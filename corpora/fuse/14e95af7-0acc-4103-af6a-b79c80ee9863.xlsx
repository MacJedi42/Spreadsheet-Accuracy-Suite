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7875" yWindow="15" windowWidth="7395" windowHeight="8205" tabRatio="896"/>
  </bookViews>
  <sheets>
    <sheet name="2011-12" sheetId="19" r:id="rId1"/>
    <sheet name="2010-11" sheetId="17" r:id="rId2"/>
    <sheet name="2009-10" sheetId="18" r:id="rId3"/>
    <sheet name="2008-09" sheetId="16" r:id="rId4"/>
    <sheet name="2007-08" sheetId="13" r:id="rId5"/>
    <sheet name="2006-07" sheetId="14" r:id="rId6"/>
    <sheet name="2005-06" sheetId="15" r:id="rId7"/>
    <sheet name="2004-05" sheetId="12" r:id="rId8"/>
    <sheet name="2003-04" sheetId="11" r:id="rId9"/>
    <sheet name="2002-03" sheetId="10" r:id="rId10"/>
    <sheet name="2001-02" sheetId="9" r:id="rId11"/>
    <sheet name="2000-01" sheetId="8" r:id="rId12"/>
    <sheet name="1999-00" sheetId="7" r:id="rId13"/>
    <sheet name="1998-99" sheetId="6" r:id="rId14"/>
    <sheet name="1997-98" sheetId="5" r:id="rId15"/>
    <sheet name="1996-97" sheetId="2" r:id="rId16"/>
    <sheet name="1995-96" sheetId="1" r:id="rId17"/>
  </sheets>
  <definedNames>
    <definedName name="_xlnm.Print_Titles" localSheetId="16">'1995-96'!$5:$6</definedName>
    <definedName name="_xlnm.Print_Titles" localSheetId="15">'1996-97'!$5:$6</definedName>
    <definedName name="_xlnm.Print_Titles" localSheetId="14">'1997-98'!$5:$6</definedName>
    <definedName name="_xlnm.Print_Titles" localSheetId="13">'1998-99'!$5:$6</definedName>
    <definedName name="_xlnm.Print_Titles" localSheetId="12">'1999-00'!$5:$6</definedName>
    <definedName name="_xlnm.Print_Titles" localSheetId="11">'2000-01'!$5:$6</definedName>
    <definedName name="_xlnm.Print_Titles" localSheetId="10">'2001-02'!$5:$6</definedName>
    <definedName name="_xlnm.Print_Titles" localSheetId="9">'2002-03'!$5:$6</definedName>
    <definedName name="_xlnm.Print_Titles" localSheetId="8">'2003-04'!$5:$6</definedName>
    <definedName name="_xlnm.Print_Titles" localSheetId="7">'2004-05'!$5:$6</definedName>
    <definedName name="_xlnm.Print_Titles" localSheetId="6">'2005-06'!$5:$6</definedName>
    <definedName name="_xlnm.Print_Titles" localSheetId="5">'2006-07'!$5:$6</definedName>
    <definedName name="_xlnm.Print_Titles" localSheetId="4">'2007-08'!$5:$6</definedName>
    <definedName name="_xlnm.Print_Titles" localSheetId="3">'2008-09'!$5:$6</definedName>
    <definedName name="_xlnm.Print_Titles" localSheetId="2">'2009-10'!$5:$6</definedName>
    <definedName name="_xlnm.Print_Titles" localSheetId="1">'2010-11'!$5:$6</definedName>
    <definedName name="_xlnm.Print_Titles" localSheetId="0">'2011-12'!$5:$6</definedName>
  </definedNames>
  <calcPr calcId="145621"/>
</workbook>
</file>

<file path=xl/calcChain.xml><?xml version="1.0" encoding="utf-8"?>
<calcChain xmlns="http://schemas.openxmlformats.org/spreadsheetml/2006/main">
  <c r="F49" i="1" l="1"/>
  <c r="D49" i="1"/>
  <c r="E49" i="1"/>
  <c r="C49" i="1"/>
  <c r="B49" i="1"/>
  <c r="D22" i="1"/>
  <c r="D49" i="6"/>
  <c r="C158" i="17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C151" i="5"/>
  <c r="D151" i="5"/>
  <c r="E151" i="5"/>
  <c r="F151" i="5"/>
  <c r="G151" i="5"/>
  <c r="H151" i="5"/>
  <c r="B151" i="5"/>
  <c r="C162" i="5"/>
  <c r="D162" i="5"/>
  <c r="E162" i="5"/>
  <c r="F162" i="5"/>
  <c r="G162" i="5"/>
  <c r="H162" i="5"/>
  <c r="B162" i="5"/>
  <c r="C137" i="5"/>
  <c r="D137" i="5"/>
  <c r="E137" i="5"/>
  <c r="F137" i="5"/>
  <c r="G137" i="5"/>
  <c r="H137" i="5"/>
  <c r="B137" i="5"/>
  <c r="D50" i="5"/>
  <c r="D51" i="5"/>
  <c r="D52" i="5"/>
  <c r="D53" i="5"/>
  <c r="D54" i="5"/>
  <c r="D55" i="5"/>
  <c r="D56" i="5"/>
  <c r="D57" i="5"/>
  <c r="D58" i="5"/>
  <c r="D59" i="5"/>
  <c r="D60" i="5"/>
  <c r="D61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52" i="6"/>
  <c r="D53" i="6"/>
  <c r="D54" i="6"/>
  <c r="D55" i="6"/>
  <c r="D56" i="6"/>
  <c r="D57" i="6"/>
  <c r="D58" i="6"/>
  <c r="D59" i="6"/>
  <c r="D60" i="6"/>
  <c r="D61" i="6"/>
  <c r="D62" i="6"/>
  <c r="D63" i="6"/>
  <c r="C169" i="6"/>
  <c r="E169" i="6"/>
  <c r="F169" i="6"/>
  <c r="G169" i="6"/>
  <c r="B169" i="6"/>
  <c r="C159" i="6"/>
  <c r="D159" i="6"/>
  <c r="E159" i="6"/>
  <c r="F159" i="6"/>
  <c r="G159" i="6"/>
  <c r="H159" i="6"/>
  <c r="B159" i="6"/>
  <c r="C142" i="6"/>
  <c r="D142" i="6"/>
  <c r="E142" i="6"/>
  <c r="F142" i="6"/>
  <c r="G142" i="6"/>
  <c r="H142" i="6"/>
  <c r="B142" i="6"/>
  <c r="G116" i="6"/>
  <c r="G117" i="6"/>
  <c r="G118" i="6"/>
  <c r="G119" i="6"/>
  <c r="G120" i="6"/>
  <c r="G121" i="6"/>
  <c r="H121" i="6" s="1"/>
  <c r="G122" i="6"/>
  <c r="H122" i="6" s="1"/>
  <c r="G123" i="6"/>
  <c r="H123" i="6" s="1"/>
  <c r="D119" i="6"/>
  <c r="H119" i="6" s="1"/>
  <c r="D120" i="6"/>
  <c r="H120" i="6" s="1"/>
  <c r="D121" i="6"/>
  <c r="D122" i="6"/>
  <c r="D123" i="6"/>
  <c r="B125" i="6"/>
  <c r="C125" i="6"/>
  <c r="E125" i="6"/>
  <c r="F125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H118" i="6" s="1"/>
  <c r="D124" i="6"/>
  <c r="C164" i="7"/>
  <c r="D164" i="7"/>
  <c r="E164" i="7"/>
  <c r="F164" i="7"/>
  <c r="G164" i="7"/>
  <c r="H164" i="7"/>
  <c r="B164" i="7"/>
  <c r="C154" i="7"/>
  <c r="D154" i="7"/>
  <c r="E154" i="7"/>
  <c r="F154" i="7"/>
  <c r="G154" i="7"/>
  <c r="H154" i="7"/>
  <c r="B154" i="7"/>
  <c r="C137" i="7"/>
  <c r="D137" i="7"/>
  <c r="E137" i="7"/>
  <c r="F137" i="7"/>
  <c r="G137" i="7"/>
  <c r="H137" i="7"/>
  <c r="B137" i="7"/>
  <c r="H53" i="7"/>
  <c r="H54" i="7"/>
  <c r="H55" i="7"/>
  <c r="H56" i="7"/>
  <c r="H57" i="7"/>
  <c r="H58" i="7"/>
  <c r="H59" i="7"/>
  <c r="H60" i="7"/>
  <c r="H61" i="7"/>
  <c r="H62" i="7"/>
  <c r="H63" i="7"/>
  <c r="D53" i="7"/>
  <c r="D54" i="7"/>
  <c r="D55" i="7"/>
  <c r="D56" i="7"/>
  <c r="D57" i="7"/>
  <c r="D58" i="7"/>
  <c r="D59" i="7"/>
  <c r="D60" i="7"/>
  <c r="D61" i="7"/>
  <c r="D62" i="7"/>
  <c r="D63" i="7"/>
  <c r="D48" i="7"/>
  <c r="D49" i="7"/>
  <c r="D24" i="7"/>
  <c r="D25" i="7"/>
  <c r="D26" i="7"/>
  <c r="D27" i="7"/>
  <c r="D28" i="7"/>
  <c r="D29" i="7"/>
  <c r="D30" i="7"/>
  <c r="D31" i="7"/>
  <c r="D32" i="7"/>
  <c r="D33" i="7"/>
  <c r="D34" i="7"/>
  <c r="D35" i="7"/>
  <c r="D50" i="7" s="1"/>
  <c r="D36" i="7"/>
  <c r="D37" i="7"/>
  <c r="D38" i="7"/>
  <c r="D39" i="7"/>
  <c r="D40" i="7"/>
  <c r="D41" i="7"/>
  <c r="D42" i="7"/>
  <c r="D43" i="7"/>
  <c r="D44" i="7"/>
  <c r="D45" i="7"/>
  <c r="D46" i="7"/>
  <c r="D47" i="7"/>
  <c r="C50" i="7"/>
  <c r="E50" i="7"/>
  <c r="F50" i="7"/>
  <c r="G50" i="7"/>
  <c r="G40" i="7"/>
  <c r="H40" i="7"/>
  <c r="G41" i="7"/>
  <c r="H41" i="7"/>
  <c r="G42" i="7"/>
  <c r="H42" i="7"/>
  <c r="G43" i="7"/>
  <c r="H43" i="7"/>
  <c r="G44" i="7"/>
  <c r="H44" i="7"/>
  <c r="G45" i="7"/>
  <c r="H45" i="7"/>
  <c r="G46" i="7"/>
  <c r="H46" i="7"/>
  <c r="G47" i="7"/>
  <c r="H47" i="7"/>
  <c r="F160" i="5"/>
  <c r="E160" i="5"/>
  <c r="C160" i="5"/>
  <c r="B160" i="5"/>
  <c r="G159" i="5"/>
  <c r="D159" i="5"/>
  <c r="G158" i="5"/>
  <c r="D158" i="5"/>
  <c r="D160" i="5" s="1"/>
  <c r="F167" i="6"/>
  <c r="E167" i="6"/>
  <c r="D167" i="6"/>
  <c r="C167" i="6"/>
  <c r="B167" i="6"/>
  <c r="G166" i="6"/>
  <c r="G167" i="6" s="1"/>
  <c r="D166" i="6"/>
  <c r="G165" i="6"/>
  <c r="H165" i="6" s="1"/>
  <c r="D165" i="6"/>
  <c r="C171" i="8"/>
  <c r="D171" i="8"/>
  <c r="F171" i="8"/>
  <c r="B171" i="8"/>
  <c r="C160" i="8"/>
  <c r="D160" i="8"/>
  <c r="E160" i="8"/>
  <c r="F160" i="8"/>
  <c r="G160" i="8"/>
  <c r="H160" i="8"/>
  <c r="B160" i="8"/>
  <c r="C142" i="8"/>
  <c r="D142" i="8"/>
  <c r="E142" i="8"/>
  <c r="F142" i="8"/>
  <c r="G142" i="8"/>
  <c r="H142" i="8"/>
  <c r="B142" i="8"/>
  <c r="D53" i="8"/>
  <c r="D54" i="8"/>
  <c r="D55" i="8"/>
  <c r="D56" i="8"/>
  <c r="D57" i="8"/>
  <c r="D58" i="8"/>
  <c r="D59" i="8"/>
  <c r="D60" i="8"/>
  <c r="D61" i="8"/>
  <c r="D62" i="8"/>
  <c r="D63" i="8"/>
  <c r="D6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9" i="9"/>
  <c r="G9" i="9"/>
  <c r="D10" i="9"/>
  <c r="G10" i="9"/>
  <c r="D11" i="9"/>
  <c r="G11" i="9"/>
  <c r="H11" i="9"/>
  <c r="D12" i="9"/>
  <c r="G12" i="9"/>
  <c r="D13" i="9"/>
  <c r="G13" i="9"/>
  <c r="H13" i="9"/>
  <c r="D14" i="9"/>
  <c r="G14" i="9"/>
  <c r="H14" i="9" s="1"/>
  <c r="D15" i="9"/>
  <c r="G15" i="9"/>
  <c r="D16" i="9"/>
  <c r="G16" i="9"/>
  <c r="D17" i="9"/>
  <c r="G17" i="9"/>
  <c r="H17" i="9" s="1"/>
  <c r="D18" i="9"/>
  <c r="G18" i="9"/>
  <c r="D19" i="9"/>
  <c r="G19" i="9"/>
  <c r="H19" i="9" s="1"/>
  <c r="D20" i="9"/>
  <c r="G20" i="9"/>
  <c r="H20" i="9"/>
  <c r="D21" i="9"/>
  <c r="G21" i="9"/>
  <c r="D22" i="9"/>
  <c r="G22" i="9"/>
  <c r="D26" i="9"/>
  <c r="H26" i="9" s="1"/>
  <c r="G26" i="9"/>
  <c r="D27" i="9"/>
  <c r="G27" i="9"/>
  <c r="H27" i="9"/>
  <c r="D28" i="9"/>
  <c r="G28" i="9"/>
  <c r="H28" i="9"/>
  <c r="D29" i="9"/>
  <c r="G29" i="9"/>
  <c r="H29" i="9" s="1"/>
  <c r="D30" i="9"/>
  <c r="G30" i="9"/>
  <c r="H30" i="9" s="1"/>
  <c r="D31" i="9"/>
  <c r="G31" i="9"/>
  <c r="D32" i="9"/>
  <c r="G32" i="9"/>
  <c r="D33" i="9"/>
  <c r="G33" i="9"/>
  <c r="H33" i="9"/>
  <c r="D34" i="9"/>
  <c r="G34" i="9"/>
  <c r="H34" i="9"/>
  <c r="D35" i="9"/>
  <c r="G35" i="9"/>
  <c r="H35" i="9"/>
  <c r="D36" i="9"/>
  <c r="G36" i="9"/>
  <c r="H36" i="9" s="1"/>
  <c r="D37" i="9"/>
  <c r="G37" i="9"/>
  <c r="H37" i="9"/>
  <c r="D38" i="9"/>
  <c r="G38" i="9"/>
  <c r="D39" i="9"/>
  <c r="G39" i="9"/>
  <c r="H39" i="9"/>
  <c r="D40" i="9"/>
  <c r="G40" i="9"/>
  <c r="H40" i="9"/>
  <c r="D41" i="9"/>
  <c r="G41" i="9"/>
  <c r="D42" i="9"/>
  <c r="G42" i="9"/>
  <c r="H42" i="9"/>
  <c r="D43" i="9"/>
  <c r="G43" i="9"/>
  <c r="H43" i="9"/>
  <c r="D44" i="9"/>
  <c r="G44" i="9"/>
  <c r="H44" i="9"/>
  <c r="D45" i="9"/>
  <c r="G45" i="9"/>
  <c r="H45" i="9" s="1"/>
  <c r="D46" i="9"/>
  <c r="G46" i="9"/>
  <c r="H46" i="9" s="1"/>
  <c r="D47" i="9"/>
  <c r="G47" i="9"/>
  <c r="D51" i="9"/>
  <c r="G51" i="9"/>
  <c r="H51" i="9" s="1"/>
  <c r="D52" i="9"/>
  <c r="G52" i="9"/>
  <c r="H52" i="9" s="1"/>
  <c r="D53" i="9"/>
  <c r="G53" i="9"/>
  <c r="H53" i="9"/>
  <c r="D54" i="9"/>
  <c r="H54" i="9" s="1"/>
  <c r="G54" i="9"/>
  <c r="D55" i="9"/>
  <c r="G55" i="9"/>
  <c r="H55" i="9" s="1"/>
  <c r="D56" i="9"/>
  <c r="G56" i="9"/>
  <c r="H56" i="9" s="1"/>
  <c r="D57" i="9"/>
  <c r="G57" i="9"/>
  <c r="H57" i="9"/>
  <c r="D58" i="9"/>
  <c r="G58" i="9"/>
  <c r="H58" i="9"/>
  <c r="D59" i="9"/>
  <c r="G59" i="9"/>
  <c r="H59" i="9"/>
  <c r="D60" i="9"/>
  <c r="H60" i="9" s="1"/>
  <c r="G60" i="9"/>
  <c r="D61" i="9"/>
  <c r="G61" i="9"/>
  <c r="H61" i="9" s="1"/>
  <c r="D65" i="9"/>
  <c r="G65" i="9"/>
  <c r="H65" i="9" s="1"/>
  <c r="D66" i="9"/>
  <c r="G66" i="9"/>
  <c r="H66" i="9" s="1"/>
  <c r="D67" i="9"/>
  <c r="G67" i="9"/>
  <c r="H67" i="9"/>
  <c r="D68" i="9"/>
  <c r="G68" i="9"/>
  <c r="H68" i="9" s="1"/>
  <c r="D69" i="9"/>
  <c r="G69" i="9"/>
  <c r="H69" i="9"/>
  <c r="D70" i="9"/>
  <c r="G70" i="9"/>
  <c r="H70" i="9" s="1"/>
  <c r="D71" i="9"/>
  <c r="G71" i="9"/>
  <c r="D72" i="9"/>
  <c r="G72" i="9"/>
  <c r="H72" i="9"/>
  <c r="D73" i="9"/>
  <c r="G73" i="9"/>
  <c r="H73" i="9"/>
  <c r="D74" i="9"/>
  <c r="G74" i="9"/>
  <c r="H74" i="9" s="1"/>
  <c r="D75" i="9"/>
  <c r="G75" i="9"/>
  <c r="D76" i="9"/>
  <c r="G76" i="9"/>
  <c r="D77" i="9"/>
  <c r="G77" i="9"/>
  <c r="D78" i="9"/>
  <c r="G78" i="9"/>
  <c r="H78" i="9"/>
  <c r="D79" i="9"/>
  <c r="G79" i="9"/>
  <c r="H79" i="9"/>
  <c r="D80" i="9"/>
  <c r="G80" i="9"/>
  <c r="H80" i="9"/>
  <c r="D81" i="9"/>
  <c r="G81" i="9"/>
  <c r="H81" i="9" s="1"/>
  <c r="D82" i="9"/>
  <c r="G82" i="9"/>
  <c r="H82" i="9" s="1"/>
  <c r="D83" i="9"/>
  <c r="H83" i="9" s="1"/>
  <c r="G83" i="9"/>
  <c r="D84" i="9"/>
  <c r="G84" i="9"/>
  <c r="H84" i="9"/>
  <c r="D85" i="9"/>
  <c r="G85" i="9"/>
  <c r="H85" i="9" s="1"/>
  <c r="D86" i="9"/>
  <c r="G86" i="9"/>
  <c r="H86" i="9" s="1"/>
  <c r="G90" i="9"/>
  <c r="G91" i="9"/>
  <c r="G92" i="9"/>
  <c r="G93" i="9"/>
  <c r="G94" i="9"/>
  <c r="H94" i="9"/>
  <c r="G95" i="9"/>
  <c r="H95" i="9"/>
  <c r="G96" i="9"/>
  <c r="G97" i="9"/>
  <c r="G98" i="9"/>
  <c r="H98" i="9"/>
  <c r="G99" i="9"/>
  <c r="H99" i="9"/>
  <c r="G100" i="9"/>
  <c r="H100" i="9"/>
  <c r="G101" i="9"/>
  <c r="H101" i="9"/>
  <c r="G102" i="9"/>
  <c r="H102" i="9"/>
  <c r="G103" i="9"/>
  <c r="H103" i="9"/>
  <c r="G104" i="9"/>
  <c r="G105" i="9"/>
  <c r="G106" i="9"/>
  <c r="G107" i="9"/>
  <c r="G108" i="9"/>
  <c r="H108" i="9"/>
  <c r="G109" i="9"/>
  <c r="G110" i="9"/>
  <c r="H110" i="9" s="1"/>
  <c r="G111" i="9"/>
  <c r="H111" i="9" s="1"/>
  <c r="G112" i="9"/>
  <c r="G113" i="9"/>
  <c r="G114" i="9"/>
  <c r="H114" i="9"/>
  <c r="G115" i="9"/>
  <c r="H115" i="9"/>
  <c r="G116" i="9"/>
  <c r="H116" i="9"/>
  <c r="G117" i="9"/>
  <c r="H117" i="9"/>
  <c r="D90" i="9"/>
  <c r="H90" i="9" s="1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H104" i="9" s="1"/>
  <c r="D105" i="9"/>
  <c r="H105" i="9" s="1"/>
  <c r="D106" i="9"/>
  <c r="H106" i="9" s="1"/>
  <c r="D107" i="9"/>
  <c r="D108" i="9"/>
  <c r="D109" i="9"/>
  <c r="H109" i="9" s="1"/>
  <c r="D110" i="9"/>
  <c r="D111" i="9"/>
  <c r="D112" i="9"/>
  <c r="H112" i="9" s="1"/>
  <c r="D113" i="9"/>
  <c r="H113" i="9" s="1"/>
  <c r="D114" i="9"/>
  <c r="D115" i="9"/>
  <c r="D116" i="9"/>
  <c r="D117" i="9"/>
  <c r="C137" i="9"/>
  <c r="E137" i="9"/>
  <c r="F137" i="9"/>
  <c r="B137" i="9"/>
  <c r="G124" i="9"/>
  <c r="G125" i="9"/>
  <c r="G126" i="9"/>
  <c r="G127" i="9"/>
  <c r="G128" i="9"/>
  <c r="G129" i="9"/>
  <c r="G130" i="9"/>
  <c r="H130" i="9"/>
  <c r="G131" i="9"/>
  <c r="H131" i="9"/>
  <c r="G132" i="9"/>
  <c r="H132" i="9"/>
  <c r="G133" i="9"/>
  <c r="G134" i="9"/>
  <c r="G135" i="9"/>
  <c r="D124" i="9"/>
  <c r="D125" i="9"/>
  <c r="D126" i="9"/>
  <c r="D127" i="9"/>
  <c r="D128" i="9"/>
  <c r="H128" i="9" s="1"/>
  <c r="D129" i="9"/>
  <c r="D130" i="9"/>
  <c r="D131" i="9"/>
  <c r="D132" i="9"/>
  <c r="D133" i="9"/>
  <c r="D134" i="9"/>
  <c r="D135" i="9"/>
  <c r="G140" i="9"/>
  <c r="H140" i="9" s="1"/>
  <c r="G141" i="9"/>
  <c r="H141" i="9"/>
  <c r="G142" i="9"/>
  <c r="H142" i="9"/>
  <c r="G143" i="9"/>
  <c r="H143" i="9"/>
  <c r="G144" i="9"/>
  <c r="G145" i="9"/>
  <c r="G146" i="9"/>
  <c r="G147" i="9"/>
  <c r="G148" i="9"/>
  <c r="G149" i="9"/>
  <c r="G150" i="9"/>
  <c r="G151" i="9"/>
  <c r="G152" i="9"/>
  <c r="D140" i="9"/>
  <c r="D141" i="9"/>
  <c r="D142" i="9"/>
  <c r="D143" i="9"/>
  <c r="D144" i="9"/>
  <c r="D145" i="9"/>
  <c r="H145" i="9" s="1"/>
  <c r="D146" i="9"/>
  <c r="H146" i="9" s="1"/>
  <c r="D147" i="9"/>
  <c r="H147" i="9" s="1"/>
  <c r="D148" i="9"/>
  <c r="D149" i="9"/>
  <c r="D150" i="9"/>
  <c r="D151" i="9"/>
  <c r="D152" i="9"/>
  <c r="D153" i="9"/>
  <c r="C154" i="9"/>
  <c r="E154" i="9"/>
  <c r="F154" i="9"/>
  <c r="B154" i="9"/>
  <c r="C164" i="10"/>
  <c r="D164" i="10"/>
  <c r="E164" i="10"/>
  <c r="F164" i="10"/>
  <c r="G164" i="10"/>
  <c r="H164" i="10"/>
  <c r="B164" i="10"/>
  <c r="C152" i="10"/>
  <c r="D152" i="10"/>
  <c r="E152" i="10"/>
  <c r="F152" i="10"/>
  <c r="G152" i="10"/>
  <c r="H152" i="10"/>
  <c r="B152" i="10"/>
  <c r="C136" i="10"/>
  <c r="D136" i="10"/>
  <c r="E136" i="10"/>
  <c r="F136" i="10"/>
  <c r="G136" i="10"/>
  <c r="H136" i="10"/>
  <c r="B136" i="10"/>
  <c r="G95" i="10"/>
  <c r="H95" i="10"/>
  <c r="G96" i="10"/>
  <c r="H96" i="10"/>
  <c r="G97" i="10"/>
  <c r="H97" i="10"/>
  <c r="G98" i="10"/>
  <c r="H98" i="10"/>
  <c r="G99" i="10"/>
  <c r="H99" i="10"/>
  <c r="G100" i="10"/>
  <c r="H100" i="10"/>
  <c r="G101" i="10"/>
  <c r="H101" i="10"/>
  <c r="G102" i="10"/>
  <c r="H102" i="10"/>
  <c r="G103" i="10"/>
  <c r="H103" i="10"/>
  <c r="G104" i="10"/>
  <c r="H104" i="10"/>
  <c r="G105" i="10"/>
  <c r="H105" i="10"/>
  <c r="G106" i="10"/>
  <c r="H106" i="10"/>
  <c r="G107" i="10"/>
  <c r="H107" i="10"/>
  <c r="G108" i="10"/>
  <c r="H108" i="10"/>
  <c r="G109" i="10"/>
  <c r="H109" i="10"/>
  <c r="G110" i="10"/>
  <c r="H110" i="10"/>
  <c r="G111" i="10"/>
  <c r="H111" i="10"/>
  <c r="G112" i="10"/>
  <c r="H112" i="10"/>
  <c r="G113" i="10"/>
  <c r="H113" i="10"/>
  <c r="G114" i="10"/>
  <c r="H114" i="10"/>
  <c r="G115" i="10"/>
  <c r="H115" i="10"/>
  <c r="G116" i="10"/>
  <c r="H116" i="10"/>
  <c r="G117" i="10"/>
  <c r="H117" i="10"/>
  <c r="G118" i="10"/>
  <c r="H118" i="10"/>
  <c r="G119" i="10"/>
  <c r="H119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G69" i="10"/>
  <c r="H69" i="10"/>
  <c r="G70" i="10"/>
  <c r="H70" i="10"/>
  <c r="G71" i="10"/>
  <c r="H71" i="10"/>
  <c r="G72" i="10"/>
  <c r="H72" i="10"/>
  <c r="G73" i="10"/>
  <c r="H73" i="10"/>
  <c r="G74" i="10"/>
  <c r="H74" i="10"/>
  <c r="G75" i="10"/>
  <c r="H75" i="10"/>
  <c r="G76" i="10"/>
  <c r="H76" i="10"/>
  <c r="G77" i="10"/>
  <c r="H77" i="10"/>
  <c r="G78" i="10"/>
  <c r="H78" i="10"/>
  <c r="G79" i="10"/>
  <c r="H79" i="10"/>
  <c r="G80" i="10"/>
  <c r="H80" i="10"/>
  <c r="G81" i="10"/>
  <c r="H81" i="10"/>
  <c r="G82" i="10"/>
  <c r="H82" i="10"/>
  <c r="G83" i="10"/>
  <c r="H83" i="10"/>
  <c r="G84" i="10"/>
  <c r="H84" i="10"/>
  <c r="G85" i="10"/>
  <c r="H85" i="10"/>
  <c r="G86" i="10"/>
  <c r="H86" i="10"/>
  <c r="G87" i="10"/>
  <c r="H87" i="10"/>
  <c r="G88" i="10"/>
  <c r="H88" i="10"/>
  <c r="G89" i="10"/>
  <c r="H89" i="10"/>
  <c r="G90" i="10"/>
  <c r="H90" i="10"/>
  <c r="G91" i="10"/>
  <c r="H91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G55" i="10"/>
  <c r="H55" i="10" s="1"/>
  <c r="G56" i="10"/>
  <c r="H56" i="10"/>
  <c r="G57" i="10"/>
  <c r="H57" i="10"/>
  <c r="G58" i="10"/>
  <c r="H58" i="10"/>
  <c r="G59" i="10"/>
  <c r="H59" i="10"/>
  <c r="G60" i="10"/>
  <c r="H60" i="10"/>
  <c r="G61" i="10"/>
  <c r="H61" i="10"/>
  <c r="G62" i="10"/>
  <c r="H62" i="10"/>
  <c r="G63" i="10"/>
  <c r="H63" i="10" s="1"/>
  <c r="G64" i="10"/>
  <c r="H64" i="10"/>
  <c r="G65" i="10"/>
  <c r="H65" i="10"/>
  <c r="D55" i="10"/>
  <c r="D56" i="10"/>
  <c r="D57" i="10"/>
  <c r="D58" i="10"/>
  <c r="D59" i="10"/>
  <c r="D60" i="10"/>
  <c r="D61" i="10"/>
  <c r="D62" i="10"/>
  <c r="D63" i="10"/>
  <c r="D64" i="10"/>
  <c r="D65" i="10"/>
  <c r="G26" i="10"/>
  <c r="H26" i="10"/>
  <c r="G27" i="10"/>
  <c r="H27" i="10"/>
  <c r="G28" i="10"/>
  <c r="H28" i="10"/>
  <c r="G29" i="10"/>
  <c r="H29" i="10"/>
  <c r="G30" i="10"/>
  <c r="H30" i="10"/>
  <c r="G31" i="10"/>
  <c r="H31" i="10"/>
  <c r="G32" i="10"/>
  <c r="H32" i="10"/>
  <c r="G33" i="10"/>
  <c r="H33" i="10"/>
  <c r="G34" i="10"/>
  <c r="H34" i="10"/>
  <c r="G35" i="10"/>
  <c r="H35" i="10"/>
  <c r="G36" i="10"/>
  <c r="H36" i="10"/>
  <c r="G37" i="10"/>
  <c r="H37" i="10"/>
  <c r="G38" i="10"/>
  <c r="H38" i="10"/>
  <c r="G39" i="10"/>
  <c r="H39" i="10"/>
  <c r="G40" i="10"/>
  <c r="H40" i="10"/>
  <c r="G41" i="10"/>
  <c r="H41" i="10"/>
  <c r="G42" i="10"/>
  <c r="H42" i="10"/>
  <c r="G43" i="10"/>
  <c r="H43" i="10"/>
  <c r="G44" i="10"/>
  <c r="H44" i="10"/>
  <c r="G45" i="10"/>
  <c r="H45" i="10"/>
  <c r="G46" i="10"/>
  <c r="H46" i="10"/>
  <c r="G47" i="10"/>
  <c r="H47" i="10"/>
  <c r="G48" i="10"/>
  <c r="H48" i="10"/>
  <c r="G49" i="10"/>
  <c r="H49" i="10"/>
  <c r="G50" i="10"/>
  <c r="H50" i="10"/>
  <c r="G51" i="10"/>
  <c r="H51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155" i="2"/>
  <c r="D156" i="2" s="1"/>
  <c r="G155" i="2"/>
  <c r="G156" i="2" s="1"/>
  <c r="B156" i="2"/>
  <c r="C156" i="2"/>
  <c r="E156" i="2"/>
  <c r="F156" i="2"/>
  <c r="F162" i="7"/>
  <c r="E162" i="7"/>
  <c r="C162" i="7"/>
  <c r="B162" i="7"/>
  <c r="G161" i="7"/>
  <c r="D161" i="7"/>
  <c r="G160" i="7"/>
  <c r="D160" i="7"/>
  <c r="D162" i="7" s="1"/>
  <c r="F169" i="8"/>
  <c r="E169" i="8"/>
  <c r="E171" i="8" s="1"/>
  <c r="C169" i="8"/>
  <c r="B169" i="8"/>
  <c r="G168" i="8"/>
  <c r="D168" i="8"/>
  <c r="G167" i="8"/>
  <c r="D167" i="8"/>
  <c r="D169" i="8" s="1"/>
  <c r="F166" i="9"/>
  <c r="E166" i="9"/>
  <c r="C166" i="9"/>
  <c r="B166" i="9"/>
  <c r="G165" i="9"/>
  <c r="H165" i="9" s="1"/>
  <c r="D165" i="9"/>
  <c r="G164" i="9"/>
  <c r="D164" i="9"/>
  <c r="D166" i="9" s="1"/>
  <c r="F162" i="10"/>
  <c r="E162" i="10"/>
  <c r="C162" i="10"/>
  <c r="B162" i="10"/>
  <c r="G161" i="10"/>
  <c r="D161" i="10"/>
  <c r="G160" i="10"/>
  <c r="D160" i="10"/>
  <c r="D162" i="10" s="1"/>
  <c r="C161" i="11"/>
  <c r="D161" i="11"/>
  <c r="E161" i="11"/>
  <c r="F161" i="11"/>
  <c r="G161" i="11"/>
  <c r="H161" i="11"/>
  <c r="B161" i="11"/>
  <c r="C150" i="11"/>
  <c r="D150" i="11"/>
  <c r="E150" i="11"/>
  <c r="F150" i="11"/>
  <c r="G150" i="11"/>
  <c r="H150" i="11"/>
  <c r="B150" i="11"/>
  <c r="G144" i="11"/>
  <c r="G145" i="11"/>
  <c r="D144" i="11"/>
  <c r="H144" i="11" s="1"/>
  <c r="D145" i="11"/>
  <c r="H145" i="11" s="1"/>
  <c r="C136" i="11"/>
  <c r="E136" i="11"/>
  <c r="F136" i="11"/>
  <c r="B136" i="11"/>
  <c r="G96" i="11"/>
  <c r="H96" i="11" s="1"/>
  <c r="G97" i="11"/>
  <c r="H97" i="11"/>
  <c r="G98" i="11"/>
  <c r="H98" i="11"/>
  <c r="G99" i="11"/>
  <c r="H99" i="11"/>
  <c r="G100" i="11"/>
  <c r="G101" i="11"/>
  <c r="G102" i="11"/>
  <c r="G103" i="11"/>
  <c r="G104" i="11"/>
  <c r="G105" i="11"/>
  <c r="G106" i="11"/>
  <c r="G107" i="11"/>
  <c r="H107" i="11"/>
  <c r="G108" i="11"/>
  <c r="H108" i="11" s="1"/>
  <c r="G109" i="11"/>
  <c r="G110" i="11"/>
  <c r="H110" i="11"/>
  <c r="G111" i="11"/>
  <c r="H111" i="11"/>
  <c r="G112" i="11"/>
  <c r="H112" i="11" s="1"/>
  <c r="G113" i="11"/>
  <c r="H113" i="11"/>
  <c r="G114" i="11"/>
  <c r="H114" i="11"/>
  <c r="G115" i="11"/>
  <c r="H115" i="11"/>
  <c r="G116" i="11"/>
  <c r="H116" i="11"/>
  <c r="G117" i="11"/>
  <c r="D96" i="11"/>
  <c r="D97" i="11"/>
  <c r="D98" i="11"/>
  <c r="D99" i="11"/>
  <c r="D100" i="11"/>
  <c r="H100" i="11" s="1"/>
  <c r="D101" i="11"/>
  <c r="H101" i="11" s="1"/>
  <c r="D102" i="11"/>
  <c r="H102" i="11" s="1"/>
  <c r="D103" i="11"/>
  <c r="H103" i="11" s="1"/>
  <c r="D104" i="11"/>
  <c r="D105" i="11"/>
  <c r="H105" i="11" s="1"/>
  <c r="D106" i="11"/>
  <c r="H106" i="11" s="1"/>
  <c r="D107" i="11"/>
  <c r="D108" i="11"/>
  <c r="D109" i="11"/>
  <c r="H109" i="11" s="1"/>
  <c r="D110" i="11"/>
  <c r="D111" i="11"/>
  <c r="D112" i="11"/>
  <c r="D113" i="11"/>
  <c r="D114" i="11"/>
  <c r="D115" i="11"/>
  <c r="D116" i="11"/>
  <c r="D117" i="11"/>
  <c r="H117" i="11" s="1"/>
  <c r="G69" i="11"/>
  <c r="H69" i="11"/>
  <c r="G70" i="11"/>
  <c r="H70" i="11"/>
  <c r="G71" i="11"/>
  <c r="H71" i="11"/>
  <c r="G72" i="11"/>
  <c r="H72" i="11"/>
  <c r="G73" i="11"/>
  <c r="G74" i="11"/>
  <c r="G75" i="11"/>
  <c r="G76" i="11"/>
  <c r="G77" i="11"/>
  <c r="H77" i="11"/>
  <c r="G78" i="11"/>
  <c r="H78" i="11"/>
  <c r="G79" i="11"/>
  <c r="H79" i="11"/>
  <c r="G80" i="11"/>
  <c r="H80" i="11"/>
  <c r="G81" i="11"/>
  <c r="G82" i="11"/>
  <c r="G83" i="11"/>
  <c r="G84" i="11"/>
  <c r="G85" i="11"/>
  <c r="H85" i="11"/>
  <c r="G86" i="11"/>
  <c r="H86" i="11"/>
  <c r="G87" i="11"/>
  <c r="H87" i="11"/>
  <c r="G88" i="11"/>
  <c r="H88" i="11"/>
  <c r="G89" i="11"/>
  <c r="G90" i="11"/>
  <c r="G91" i="11"/>
  <c r="G92" i="11"/>
  <c r="D69" i="11"/>
  <c r="D70" i="11"/>
  <c r="D71" i="11"/>
  <c r="D72" i="11"/>
  <c r="D73" i="11"/>
  <c r="H73" i="11" s="1"/>
  <c r="D74" i="11"/>
  <c r="H74" i="11" s="1"/>
  <c r="D75" i="11"/>
  <c r="H75" i="11" s="1"/>
  <c r="D76" i="11"/>
  <c r="H76" i="11" s="1"/>
  <c r="D77" i="11"/>
  <c r="D78" i="11"/>
  <c r="D79" i="11"/>
  <c r="D80" i="11"/>
  <c r="D81" i="11"/>
  <c r="H81" i="11" s="1"/>
  <c r="D82" i="11"/>
  <c r="H82" i="11" s="1"/>
  <c r="D83" i="11"/>
  <c r="H83" i="11" s="1"/>
  <c r="D84" i="11"/>
  <c r="H84" i="11" s="1"/>
  <c r="D85" i="11"/>
  <c r="D86" i="11"/>
  <c r="D87" i="11"/>
  <c r="D88" i="11"/>
  <c r="D89" i="11"/>
  <c r="H89" i="11" s="1"/>
  <c r="D90" i="11"/>
  <c r="H90" i="11" s="1"/>
  <c r="D91" i="11"/>
  <c r="H91" i="11" s="1"/>
  <c r="D92" i="11"/>
  <c r="H92" i="11" s="1"/>
  <c r="H65" i="11"/>
  <c r="G55" i="11"/>
  <c r="H55" i="11" s="1"/>
  <c r="G56" i="11"/>
  <c r="H56" i="11" s="1"/>
  <c r="G57" i="11"/>
  <c r="H57" i="11" s="1"/>
  <c r="G58" i="11"/>
  <c r="H58" i="11" s="1"/>
  <c r="G59" i="11"/>
  <c r="H59" i="11" s="1"/>
  <c r="G60" i="11"/>
  <c r="G61" i="11"/>
  <c r="G62" i="11"/>
  <c r="G63" i="11"/>
  <c r="G64" i="11"/>
  <c r="G65" i="11"/>
  <c r="D55" i="11"/>
  <c r="D56" i="11"/>
  <c r="D57" i="11"/>
  <c r="D58" i="11"/>
  <c r="D59" i="11"/>
  <c r="D60" i="11"/>
  <c r="H60" i="11" s="1"/>
  <c r="D61" i="11"/>
  <c r="H61" i="11" s="1"/>
  <c r="D62" i="11"/>
  <c r="H62" i="11" s="1"/>
  <c r="D63" i="11"/>
  <c r="H63" i="11" s="1"/>
  <c r="D64" i="11"/>
  <c r="H64" i="11" s="1"/>
  <c r="D65" i="11"/>
  <c r="H37" i="11"/>
  <c r="H38" i="11"/>
  <c r="H39" i="11"/>
  <c r="H40" i="11"/>
  <c r="G26" i="11"/>
  <c r="H26" i="11" s="1"/>
  <c r="G27" i="11"/>
  <c r="H27" i="11" s="1"/>
  <c r="G28" i="11"/>
  <c r="H28" i="11" s="1"/>
  <c r="G29" i="11"/>
  <c r="H29" i="11" s="1"/>
  <c r="G30" i="11"/>
  <c r="H30" i="11" s="1"/>
  <c r="G31" i="11"/>
  <c r="G32" i="11"/>
  <c r="G33" i="11"/>
  <c r="G34" i="11"/>
  <c r="G35" i="11"/>
  <c r="G36" i="11"/>
  <c r="G37" i="11"/>
  <c r="G38" i="11"/>
  <c r="G39" i="11"/>
  <c r="G40" i="11"/>
  <c r="G41" i="11"/>
  <c r="H41" i="11" s="1"/>
  <c r="G42" i="11"/>
  <c r="H42" i="11" s="1"/>
  <c r="G43" i="11"/>
  <c r="H43" i="11" s="1"/>
  <c r="G44" i="11"/>
  <c r="H44" i="11" s="1"/>
  <c r="G45" i="11"/>
  <c r="H45" i="11" s="1"/>
  <c r="G46" i="11"/>
  <c r="H46" i="11" s="1"/>
  <c r="G47" i="11"/>
  <c r="G48" i="11"/>
  <c r="G49" i="11"/>
  <c r="G50" i="11"/>
  <c r="G51" i="11"/>
  <c r="D26" i="11"/>
  <c r="D27" i="11"/>
  <c r="D28" i="11"/>
  <c r="D29" i="11"/>
  <c r="D30" i="11"/>
  <c r="D31" i="11"/>
  <c r="H31" i="11" s="1"/>
  <c r="D32" i="11"/>
  <c r="H32" i="11" s="1"/>
  <c r="D33" i="11"/>
  <c r="H33" i="11" s="1"/>
  <c r="D34" i="11"/>
  <c r="H34" i="11" s="1"/>
  <c r="D35" i="11"/>
  <c r="H35" i="11" s="1"/>
  <c r="D36" i="11"/>
  <c r="H36" i="11" s="1"/>
  <c r="D37" i="11"/>
  <c r="D38" i="11"/>
  <c r="D39" i="11"/>
  <c r="D40" i="11"/>
  <c r="D41" i="11"/>
  <c r="D42" i="11"/>
  <c r="D43" i="11"/>
  <c r="D44" i="11"/>
  <c r="D45" i="11"/>
  <c r="D46" i="11"/>
  <c r="D47" i="11"/>
  <c r="H47" i="11" s="1"/>
  <c r="D48" i="11"/>
  <c r="H48" i="11" s="1"/>
  <c r="D49" i="11"/>
  <c r="H49" i="11" s="1"/>
  <c r="D50" i="11"/>
  <c r="H50" i="11" s="1"/>
  <c r="D51" i="11"/>
  <c r="H51" i="11" s="1"/>
  <c r="C169" i="12"/>
  <c r="D169" i="12"/>
  <c r="E169" i="12"/>
  <c r="F169" i="12"/>
  <c r="G169" i="12"/>
  <c r="H169" i="12"/>
  <c r="B169" i="12"/>
  <c r="F167" i="12"/>
  <c r="E167" i="12"/>
  <c r="C167" i="12"/>
  <c r="B167" i="12"/>
  <c r="G166" i="12"/>
  <c r="G167" i="12" s="1"/>
  <c r="D166" i="12"/>
  <c r="G165" i="12"/>
  <c r="D165" i="12"/>
  <c r="D167" i="12" s="1"/>
  <c r="C157" i="12"/>
  <c r="D157" i="12"/>
  <c r="E157" i="12"/>
  <c r="F157" i="12"/>
  <c r="G157" i="12"/>
  <c r="B157" i="12"/>
  <c r="G145" i="12"/>
  <c r="G146" i="12"/>
  <c r="G147" i="12"/>
  <c r="G148" i="12"/>
  <c r="G149" i="12"/>
  <c r="G150" i="12"/>
  <c r="G151" i="12"/>
  <c r="G152" i="12"/>
  <c r="G153" i="12"/>
  <c r="G154" i="12"/>
  <c r="D145" i="12"/>
  <c r="H145" i="12" s="1"/>
  <c r="D146" i="12"/>
  <c r="H146" i="12" s="1"/>
  <c r="D147" i="12"/>
  <c r="H147" i="12" s="1"/>
  <c r="D148" i="12"/>
  <c r="H148" i="12" s="1"/>
  <c r="D149" i="12"/>
  <c r="H149" i="12" s="1"/>
  <c r="D150" i="12"/>
  <c r="H150" i="12" s="1"/>
  <c r="D151" i="12"/>
  <c r="D152" i="12"/>
  <c r="D153" i="12"/>
  <c r="D154" i="12"/>
  <c r="D155" i="12"/>
  <c r="C142" i="12"/>
  <c r="E142" i="12"/>
  <c r="F142" i="12"/>
  <c r="B142" i="12"/>
  <c r="G127" i="12"/>
  <c r="D127" i="12"/>
  <c r="C128" i="12"/>
  <c r="E128" i="12"/>
  <c r="F128" i="12"/>
  <c r="H62" i="12"/>
  <c r="H63" i="12"/>
  <c r="H64" i="12"/>
  <c r="H65" i="12"/>
  <c r="G54" i="12"/>
  <c r="H54" i="12" s="1"/>
  <c r="G55" i="12"/>
  <c r="H55" i="12" s="1"/>
  <c r="G56" i="12"/>
  <c r="H56" i="12" s="1"/>
  <c r="G57" i="12"/>
  <c r="H57" i="12" s="1"/>
  <c r="G58" i="12"/>
  <c r="G59" i="12"/>
  <c r="G60" i="12"/>
  <c r="G61" i="12"/>
  <c r="G62" i="12"/>
  <c r="G63" i="12"/>
  <c r="G64" i="12"/>
  <c r="G65" i="12"/>
  <c r="D54" i="12"/>
  <c r="D55" i="12"/>
  <c r="D56" i="12"/>
  <c r="D57" i="12"/>
  <c r="D58" i="12"/>
  <c r="H58" i="12" s="1"/>
  <c r="D59" i="12"/>
  <c r="H59" i="12" s="1"/>
  <c r="D60" i="12"/>
  <c r="H60" i="12" s="1"/>
  <c r="D61" i="12"/>
  <c r="H61" i="12" s="1"/>
  <c r="D62" i="12"/>
  <c r="D63" i="12"/>
  <c r="D64" i="12"/>
  <c r="D65" i="12"/>
  <c r="G36" i="12"/>
  <c r="G37" i="12"/>
  <c r="G38" i="12"/>
  <c r="G39" i="12"/>
  <c r="G40" i="12"/>
  <c r="G41" i="12"/>
  <c r="G42" i="12"/>
  <c r="H42" i="12" s="1"/>
  <c r="G43" i="12"/>
  <c r="H43" i="12"/>
  <c r="G44" i="12"/>
  <c r="G45" i="12"/>
  <c r="G46" i="12"/>
  <c r="G47" i="12"/>
  <c r="G48" i="12"/>
  <c r="G49" i="12"/>
  <c r="G50" i="12"/>
  <c r="H50" i="12"/>
  <c r="D36" i="12"/>
  <c r="D37" i="12"/>
  <c r="H37" i="12" s="1"/>
  <c r="D38" i="12"/>
  <c r="H38" i="12" s="1"/>
  <c r="D39" i="12"/>
  <c r="H39" i="12" s="1"/>
  <c r="D40" i="12"/>
  <c r="H40" i="12" s="1"/>
  <c r="D41" i="12"/>
  <c r="H41" i="12" s="1"/>
  <c r="D42" i="12"/>
  <c r="D43" i="12"/>
  <c r="D44" i="12"/>
  <c r="D45" i="12"/>
  <c r="D46" i="12"/>
  <c r="D47" i="12"/>
  <c r="H47" i="12" s="1"/>
  <c r="D48" i="12"/>
  <c r="H48" i="12" s="1"/>
  <c r="D49" i="12"/>
  <c r="H49" i="12" s="1"/>
  <c r="D50" i="12"/>
  <c r="D9" i="12"/>
  <c r="G9" i="12"/>
  <c r="D10" i="12"/>
  <c r="H10" i="12" s="1"/>
  <c r="G10" i="12"/>
  <c r="D11" i="12"/>
  <c r="G11" i="12"/>
  <c r="H11" i="12"/>
  <c r="D12" i="12"/>
  <c r="G12" i="12"/>
  <c r="H12" i="12" s="1"/>
  <c r="D13" i="12"/>
  <c r="G13" i="12"/>
  <c r="H13" i="12"/>
  <c r="D14" i="12"/>
  <c r="G14" i="12"/>
  <c r="D15" i="12"/>
  <c r="G15" i="12"/>
  <c r="D16" i="12"/>
  <c r="G16" i="12"/>
  <c r="H16" i="12"/>
  <c r="D17" i="12"/>
  <c r="G17" i="12"/>
  <c r="H17" i="12"/>
  <c r="D18" i="12"/>
  <c r="G18" i="12"/>
  <c r="H18" i="12" s="1"/>
  <c r="D19" i="12"/>
  <c r="G19" i="12"/>
  <c r="H19" i="12" s="1"/>
  <c r="D20" i="12"/>
  <c r="G20" i="12"/>
  <c r="D21" i="12"/>
  <c r="G21" i="12"/>
  <c r="H21" i="12"/>
  <c r="D22" i="12"/>
  <c r="G22" i="12"/>
  <c r="H22" i="12"/>
  <c r="D23" i="12"/>
  <c r="G23" i="12"/>
  <c r="H23" i="12"/>
  <c r="D24" i="12"/>
  <c r="G24" i="12"/>
  <c r="H24" i="12" s="1"/>
  <c r="D25" i="12"/>
  <c r="G25" i="12"/>
  <c r="D26" i="12"/>
  <c r="G26" i="12"/>
  <c r="D27" i="12"/>
  <c r="G27" i="12"/>
  <c r="H27" i="12"/>
  <c r="D28" i="12"/>
  <c r="G28" i="12"/>
  <c r="H28" i="12"/>
  <c r="D29" i="12"/>
  <c r="G29" i="12"/>
  <c r="H29" i="12"/>
  <c r="D30" i="12"/>
  <c r="G30" i="12"/>
  <c r="D31" i="12"/>
  <c r="G31" i="12"/>
  <c r="D32" i="12"/>
  <c r="G32" i="12"/>
  <c r="H32" i="12" s="1"/>
  <c r="H155" i="2" l="1"/>
  <c r="H156" i="2" s="1"/>
  <c r="G160" i="5"/>
  <c r="H158" i="5"/>
  <c r="G162" i="7"/>
  <c r="H160" i="7"/>
  <c r="H159" i="5"/>
  <c r="H160" i="5" s="1"/>
  <c r="H166" i="6"/>
  <c r="H167" i="6" s="1"/>
  <c r="G169" i="8"/>
  <c r="G171" i="8" s="1"/>
  <c r="H167" i="8"/>
  <c r="H164" i="9"/>
  <c r="H166" i="9" s="1"/>
  <c r="H152" i="9"/>
  <c r="H151" i="9"/>
  <c r="H144" i="9"/>
  <c r="H150" i="9"/>
  <c r="H149" i="9"/>
  <c r="H148" i="9"/>
  <c r="H124" i="9"/>
  <c r="H135" i="9"/>
  <c r="H129" i="9"/>
  <c r="H127" i="9"/>
  <c r="H126" i="9"/>
  <c r="H125" i="9"/>
  <c r="H134" i="9"/>
  <c r="H133" i="9"/>
  <c r="H96" i="9"/>
  <c r="H97" i="9"/>
  <c r="H93" i="9"/>
  <c r="H92" i="9"/>
  <c r="H107" i="9"/>
  <c r="H91" i="9"/>
  <c r="H77" i="9"/>
  <c r="H76" i="9"/>
  <c r="H75" i="9"/>
  <c r="H71" i="9"/>
  <c r="H38" i="9"/>
  <c r="H32" i="9"/>
  <c r="H31" i="9"/>
  <c r="H41" i="9"/>
  <c r="H47" i="9"/>
  <c r="H22" i="9"/>
  <c r="H12" i="9"/>
  <c r="H18" i="9"/>
  <c r="H21" i="9"/>
  <c r="H16" i="9"/>
  <c r="H10" i="9"/>
  <c r="H9" i="9"/>
  <c r="H15" i="9"/>
  <c r="G162" i="10"/>
  <c r="H160" i="10"/>
  <c r="H161" i="7"/>
  <c r="H162" i="7" s="1"/>
  <c r="H168" i="8"/>
  <c r="H169" i="8" s="1"/>
  <c r="H171" i="8" s="1"/>
  <c r="G166" i="9"/>
  <c r="H161" i="10"/>
  <c r="H162" i="10" s="1"/>
  <c r="H104" i="11"/>
  <c r="H165" i="12"/>
  <c r="H166" i="12"/>
  <c r="H167" i="12" s="1"/>
  <c r="H154" i="12"/>
  <c r="H153" i="12"/>
  <c r="H152" i="12"/>
  <c r="H151" i="12"/>
  <c r="H44" i="12"/>
  <c r="H45" i="12"/>
  <c r="H46" i="12"/>
  <c r="H36" i="12"/>
  <c r="H14" i="12"/>
  <c r="H26" i="12"/>
  <c r="H20" i="12"/>
  <c r="H25" i="12"/>
  <c r="H31" i="12"/>
  <c r="H30" i="12"/>
  <c r="H15" i="12"/>
  <c r="H9" i="12"/>
  <c r="C162" i="15"/>
  <c r="D162" i="15"/>
  <c r="E162" i="15"/>
  <c r="F162" i="15"/>
  <c r="G162" i="15"/>
  <c r="H162" i="15"/>
  <c r="B162" i="15"/>
  <c r="F160" i="15"/>
  <c r="E160" i="15"/>
  <c r="C160" i="15"/>
  <c r="B160" i="15"/>
  <c r="G159" i="15"/>
  <c r="D159" i="15"/>
  <c r="G158" i="15"/>
  <c r="G160" i="15" s="1"/>
  <c r="D158" i="15"/>
  <c r="B151" i="15"/>
  <c r="C151" i="15"/>
  <c r="D151" i="15"/>
  <c r="E151" i="15"/>
  <c r="F151" i="15"/>
  <c r="G151" i="15"/>
  <c r="H151" i="15"/>
  <c r="B139" i="15"/>
  <c r="C139" i="15"/>
  <c r="D139" i="15"/>
  <c r="E139" i="15"/>
  <c r="F139" i="15"/>
  <c r="G139" i="15"/>
  <c r="H139" i="15"/>
  <c r="D143" i="15"/>
  <c r="G143" i="15"/>
  <c r="H67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H136" i="14"/>
  <c r="G155" i="14"/>
  <c r="D155" i="14"/>
  <c r="G150" i="14"/>
  <c r="G151" i="14"/>
  <c r="D150" i="14"/>
  <c r="D151" i="14"/>
  <c r="G139" i="14"/>
  <c r="G140" i="14"/>
  <c r="G141" i="14"/>
  <c r="G142" i="14"/>
  <c r="G143" i="14"/>
  <c r="G144" i="14"/>
  <c r="G145" i="14"/>
  <c r="G146" i="14"/>
  <c r="D139" i="14"/>
  <c r="D140" i="14"/>
  <c r="D141" i="14"/>
  <c r="D142" i="14"/>
  <c r="D143" i="14"/>
  <c r="D144" i="14"/>
  <c r="D145" i="14"/>
  <c r="D146" i="14"/>
  <c r="G124" i="14"/>
  <c r="G125" i="14"/>
  <c r="G126" i="14"/>
  <c r="G127" i="14"/>
  <c r="G128" i="14"/>
  <c r="G129" i="14"/>
  <c r="G130" i="14"/>
  <c r="G131" i="14"/>
  <c r="G132" i="14"/>
  <c r="G133" i="14"/>
  <c r="G134" i="14"/>
  <c r="G135" i="14"/>
  <c r="D124" i="14"/>
  <c r="D125" i="14"/>
  <c r="D126" i="14"/>
  <c r="D127" i="14"/>
  <c r="D128" i="14"/>
  <c r="D129" i="14"/>
  <c r="D130" i="14"/>
  <c r="D131" i="14"/>
  <c r="D136" i="14" s="1"/>
  <c r="D132" i="14"/>
  <c r="D133" i="14"/>
  <c r="D134" i="14"/>
  <c r="D135" i="14"/>
  <c r="G120" i="14"/>
  <c r="D120" i="14"/>
  <c r="G98" i="14"/>
  <c r="G99" i="14"/>
  <c r="G100" i="14"/>
  <c r="G101" i="14"/>
  <c r="G102" i="14"/>
  <c r="G103" i="14"/>
  <c r="G104" i="14"/>
  <c r="H104" i="14" s="1"/>
  <c r="G105" i="14"/>
  <c r="H105" i="14" s="1"/>
  <c r="G106" i="14"/>
  <c r="G107" i="14"/>
  <c r="G108" i="14"/>
  <c r="G109" i="14"/>
  <c r="G110" i="14"/>
  <c r="G111" i="14"/>
  <c r="G112" i="14"/>
  <c r="H112" i="14" s="1"/>
  <c r="G113" i="14"/>
  <c r="H113" i="14" s="1"/>
  <c r="G114" i="14"/>
  <c r="G115" i="14"/>
  <c r="G116" i="14"/>
  <c r="D98" i="14"/>
  <c r="D99" i="14"/>
  <c r="D100" i="14"/>
  <c r="D101" i="14"/>
  <c r="D102" i="14"/>
  <c r="D103" i="14"/>
  <c r="D104" i="14"/>
  <c r="D105" i="14"/>
  <c r="D106" i="14"/>
  <c r="D107" i="14"/>
  <c r="D108" i="14"/>
  <c r="D109" i="14"/>
  <c r="D110" i="14"/>
  <c r="D111" i="14"/>
  <c r="D112" i="14"/>
  <c r="D113" i="14"/>
  <c r="D114" i="14"/>
  <c r="D115" i="14"/>
  <c r="D116" i="14"/>
  <c r="G70" i="14"/>
  <c r="G71" i="14"/>
  <c r="G72" i="14"/>
  <c r="G73" i="14"/>
  <c r="G74" i="14"/>
  <c r="G75" i="14"/>
  <c r="G76" i="14"/>
  <c r="G77" i="14"/>
  <c r="G78" i="14"/>
  <c r="G79" i="14"/>
  <c r="G80" i="14"/>
  <c r="G81" i="14"/>
  <c r="G82" i="14"/>
  <c r="G83" i="14"/>
  <c r="G84" i="14"/>
  <c r="G85" i="14"/>
  <c r="H85" i="14" s="1"/>
  <c r="G86" i="14"/>
  <c r="G87" i="14"/>
  <c r="G88" i="14"/>
  <c r="G89" i="14"/>
  <c r="G90" i="14"/>
  <c r="G91" i="14"/>
  <c r="G92" i="14"/>
  <c r="G93" i="14"/>
  <c r="H93" i="14" s="1"/>
  <c r="G94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G55" i="14"/>
  <c r="G56" i="14"/>
  <c r="G57" i="14"/>
  <c r="G58" i="14"/>
  <c r="H58" i="14" s="1"/>
  <c r="G59" i="14"/>
  <c r="H59" i="14" s="1"/>
  <c r="G60" i="14"/>
  <c r="G61" i="14"/>
  <c r="H61" i="14" s="1"/>
  <c r="G62" i="14"/>
  <c r="H62" i="14" s="1"/>
  <c r="G63" i="14"/>
  <c r="G64" i="14"/>
  <c r="G65" i="14"/>
  <c r="G66" i="14"/>
  <c r="D66" i="14"/>
  <c r="D55" i="14"/>
  <c r="D56" i="14"/>
  <c r="D57" i="14"/>
  <c r="D58" i="14"/>
  <c r="D59" i="14"/>
  <c r="D60" i="14"/>
  <c r="D61" i="14"/>
  <c r="D62" i="14"/>
  <c r="D63" i="14"/>
  <c r="D64" i="14"/>
  <c r="D65" i="14"/>
  <c r="G36" i="14"/>
  <c r="G37" i="14"/>
  <c r="G38" i="14"/>
  <c r="G39" i="14"/>
  <c r="H39" i="14" s="1"/>
  <c r="G40" i="14"/>
  <c r="H40" i="14" s="1"/>
  <c r="G41" i="14"/>
  <c r="G42" i="14"/>
  <c r="G43" i="14"/>
  <c r="H43" i="14" s="1"/>
  <c r="G44" i="14"/>
  <c r="G45" i="14"/>
  <c r="G46" i="14"/>
  <c r="G47" i="14"/>
  <c r="H47" i="14" s="1"/>
  <c r="G48" i="14"/>
  <c r="G49" i="14"/>
  <c r="G50" i="14"/>
  <c r="G51" i="14"/>
  <c r="H51" i="14" s="1"/>
  <c r="D36" i="14"/>
  <c r="D37" i="14"/>
  <c r="H37" i="14" s="1"/>
  <c r="D38" i="14"/>
  <c r="D39" i="14"/>
  <c r="D40" i="14"/>
  <c r="D41" i="14"/>
  <c r="H41" i="14" s="1"/>
  <c r="D42" i="14"/>
  <c r="H42" i="14" s="1"/>
  <c r="D43" i="14"/>
  <c r="D44" i="14"/>
  <c r="D45" i="14"/>
  <c r="H45" i="14" s="1"/>
  <c r="D46" i="14"/>
  <c r="D47" i="14"/>
  <c r="D48" i="14"/>
  <c r="D49" i="14"/>
  <c r="D50" i="14"/>
  <c r="H50" i="14" s="1"/>
  <c r="D51" i="14"/>
  <c r="G9" i="14"/>
  <c r="G10" i="14"/>
  <c r="G11" i="14"/>
  <c r="G12" i="14"/>
  <c r="G13" i="14"/>
  <c r="G14" i="14"/>
  <c r="H14" i="14" s="1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H9" i="14"/>
  <c r="H10" i="14"/>
  <c r="H11" i="14"/>
  <c r="H12" i="14"/>
  <c r="H13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6" i="14"/>
  <c r="H38" i="14"/>
  <c r="H44" i="14"/>
  <c r="H46" i="14"/>
  <c r="H48" i="14"/>
  <c r="H66" i="14"/>
  <c r="H55" i="14"/>
  <c r="H56" i="14"/>
  <c r="H57" i="14"/>
  <c r="H60" i="14"/>
  <c r="H63" i="14"/>
  <c r="H64" i="14"/>
  <c r="H65" i="14"/>
  <c r="H70" i="14"/>
  <c r="H71" i="14"/>
  <c r="H72" i="14"/>
  <c r="H73" i="14"/>
  <c r="H74" i="14"/>
  <c r="H75" i="14"/>
  <c r="H76" i="14"/>
  <c r="H78" i="14"/>
  <c r="H79" i="14"/>
  <c r="H80" i="14"/>
  <c r="H81" i="14"/>
  <c r="H82" i="14"/>
  <c r="H83" i="14"/>
  <c r="H84" i="14"/>
  <c r="H86" i="14"/>
  <c r="H87" i="14"/>
  <c r="H88" i="14"/>
  <c r="H89" i="14"/>
  <c r="H90" i="14"/>
  <c r="H91" i="14"/>
  <c r="H92" i="14"/>
  <c r="H94" i="14"/>
  <c r="H98" i="14"/>
  <c r="H99" i="14"/>
  <c r="H100" i="14"/>
  <c r="H101" i="14"/>
  <c r="H102" i="14"/>
  <c r="H103" i="14"/>
  <c r="H106" i="14"/>
  <c r="H107" i="14"/>
  <c r="H108" i="14"/>
  <c r="H109" i="14"/>
  <c r="H110" i="14"/>
  <c r="H111" i="14"/>
  <c r="H114" i="14"/>
  <c r="H115" i="14"/>
  <c r="H116" i="14"/>
  <c r="H120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9" i="14"/>
  <c r="H140" i="14"/>
  <c r="H141" i="14"/>
  <c r="H142" i="14"/>
  <c r="H143" i="14"/>
  <c r="H144" i="14"/>
  <c r="H145" i="14"/>
  <c r="G154" i="14"/>
  <c r="C147" i="14"/>
  <c r="D147" i="14"/>
  <c r="E147" i="14"/>
  <c r="F147" i="14"/>
  <c r="B147" i="14"/>
  <c r="C136" i="14"/>
  <c r="E136" i="14"/>
  <c r="F136" i="14"/>
  <c r="G136" i="14"/>
  <c r="B136" i="14"/>
  <c r="F156" i="14"/>
  <c r="E156" i="14"/>
  <c r="C156" i="14"/>
  <c r="B156" i="14"/>
  <c r="H155" i="14"/>
  <c r="G156" i="14"/>
  <c r="D154" i="14"/>
  <c r="D156" i="14" s="1"/>
  <c r="C152" i="14"/>
  <c r="E152" i="14"/>
  <c r="F152" i="14"/>
  <c r="C121" i="14"/>
  <c r="E121" i="14"/>
  <c r="F121" i="14"/>
  <c r="C117" i="14"/>
  <c r="E117" i="14"/>
  <c r="F117" i="14"/>
  <c r="C95" i="14"/>
  <c r="E95" i="14"/>
  <c r="F95" i="14"/>
  <c r="C67" i="14"/>
  <c r="E67" i="14"/>
  <c r="F67" i="14"/>
  <c r="C52" i="14"/>
  <c r="E52" i="14"/>
  <c r="F52" i="14"/>
  <c r="C33" i="14"/>
  <c r="E33" i="14"/>
  <c r="F33" i="14"/>
  <c r="C162" i="13"/>
  <c r="D162" i="13"/>
  <c r="E162" i="13"/>
  <c r="F162" i="13"/>
  <c r="G162" i="13"/>
  <c r="H162" i="13"/>
  <c r="B162" i="13"/>
  <c r="G158" i="13"/>
  <c r="F160" i="13"/>
  <c r="E160" i="13"/>
  <c r="C160" i="13"/>
  <c r="B160" i="13"/>
  <c r="G159" i="13"/>
  <c r="G160" i="13" s="1"/>
  <c r="D159" i="13"/>
  <c r="D158" i="13"/>
  <c r="H158" i="13" s="1"/>
  <c r="D143" i="13"/>
  <c r="G143" i="13"/>
  <c r="H143" i="13" s="1"/>
  <c r="D144" i="13"/>
  <c r="G144" i="13"/>
  <c r="D145" i="13"/>
  <c r="G145" i="13"/>
  <c r="H145" i="13" s="1"/>
  <c r="B150" i="13"/>
  <c r="C150" i="13"/>
  <c r="E150" i="13"/>
  <c r="F150" i="13"/>
  <c r="H135" i="13"/>
  <c r="C135" i="13"/>
  <c r="D135" i="13"/>
  <c r="E135" i="13"/>
  <c r="F135" i="13"/>
  <c r="G135" i="13"/>
  <c r="B13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C164" i="16"/>
  <c r="D164" i="16"/>
  <c r="B164" i="16"/>
  <c r="H69" i="16"/>
  <c r="G69" i="16"/>
  <c r="F69" i="16"/>
  <c r="E69" i="16"/>
  <c r="D69" i="16"/>
  <c r="C69" i="16"/>
  <c r="B69" i="16"/>
  <c r="C162" i="16"/>
  <c r="E162" i="16"/>
  <c r="F162" i="16"/>
  <c r="B162" i="16"/>
  <c r="D160" i="16"/>
  <c r="C153" i="16"/>
  <c r="E153" i="16"/>
  <c r="F153" i="16"/>
  <c r="B153" i="16"/>
  <c r="C136" i="16"/>
  <c r="E136" i="16"/>
  <c r="F136" i="16"/>
  <c r="B136" i="16"/>
  <c r="G142" i="16"/>
  <c r="G143" i="16"/>
  <c r="D142" i="16"/>
  <c r="D143" i="16"/>
  <c r="D144" i="16"/>
  <c r="D145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D72" i="16"/>
  <c r="D73" i="16"/>
  <c r="H73" i="16" s="1"/>
  <c r="D74" i="16"/>
  <c r="H74" i="16" s="1"/>
  <c r="D75" i="16"/>
  <c r="H75" i="16" s="1"/>
  <c r="D76" i="16"/>
  <c r="D77" i="16"/>
  <c r="H77" i="16" s="1"/>
  <c r="D78" i="16"/>
  <c r="D79" i="16"/>
  <c r="H79" i="16" s="1"/>
  <c r="D80" i="16"/>
  <c r="D81" i="16"/>
  <c r="H81" i="16" s="1"/>
  <c r="D82" i="16"/>
  <c r="H82" i="16" s="1"/>
  <c r="D83" i="16"/>
  <c r="H83" i="16" s="1"/>
  <c r="D84" i="16"/>
  <c r="D85" i="16"/>
  <c r="D86" i="16"/>
  <c r="D87" i="16"/>
  <c r="H87" i="16" s="1"/>
  <c r="D88" i="16"/>
  <c r="D89" i="16"/>
  <c r="H89" i="16" s="1"/>
  <c r="D90" i="16"/>
  <c r="H90" i="16" s="1"/>
  <c r="D91" i="16"/>
  <c r="H91" i="16" s="1"/>
  <c r="D92" i="16"/>
  <c r="D93" i="16"/>
  <c r="D94" i="16"/>
  <c r="D95" i="16"/>
  <c r="H95" i="16" s="1"/>
  <c r="G68" i="16"/>
  <c r="D68" i="16"/>
  <c r="G67" i="16"/>
  <c r="D67" i="16"/>
  <c r="G66" i="16"/>
  <c r="D66" i="16"/>
  <c r="G65" i="16"/>
  <c r="D65" i="16"/>
  <c r="G64" i="16"/>
  <c r="D64" i="16"/>
  <c r="H64" i="16" s="1"/>
  <c r="G63" i="16"/>
  <c r="D63" i="16"/>
  <c r="G62" i="16"/>
  <c r="D62" i="16"/>
  <c r="G61" i="16"/>
  <c r="D61" i="16"/>
  <c r="G60" i="16"/>
  <c r="D60" i="16"/>
  <c r="G59" i="16"/>
  <c r="D59" i="16"/>
  <c r="G58" i="16"/>
  <c r="D58" i="16"/>
  <c r="G57" i="16"/>
  <c r="D57" i="16"/>
  <c r="G56" i="16"/>
  <c r="D56" i="16"/>
  <c r="H56" i="16" s="1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D38" i="16"/>
  <c r="H38" i="16" s="1"/>
  <c r="D39" i="16"/>
  <c r="H39" i="16" s="1"/>
  <c r="D40" i="16"/>
  <c r="H40" i="16" s="1"/>
  <c r="D41" i="16"/>
  <c r="D42" i="16"/>
  <c r="D43" i="16"/>
  <c r="D44" i="16"/>
  <c r="D45" i="16"/>
  <c r="D46" i="16"/>
  <c r="H46" i="16" s="1"/>
  <c r="D47" i="16"/>
  <c r="D48" i="16"/>
  <c r="H48" i="16" s="1"/>
  <c r="D49" i="16"/>
  <c r="D50" i="16"/>
  <c r="H50" i="16" s="1"/>
  <c r="D51" i="16"/>
  <c r="D52" i="16"/>
  <c r="D53" i="16"/>
  <c r="H172" i="18"/>
  <c r="G172" i="18"/>
  <c r="F172" i="18"/>
  <c r="E172" i="18"/>
  <c r="D172" i="18"/>
  <c r="C172" i="18"/>
  <c r="H163" i="18"/>
  <c r="G163" i="18"/>
  <c r="C163" i="18"/>
  <c r="D163" i="18"/>
  <c r="E163" i="18"/>
  <c r="F163" i="18"/>
  <c r="B163" i="18"/>
  <c r="H146" i="18"/>
  <c r="C146" i="18"/>
  <c r="D146" i="18"/>
  <c r="E146" i="18"/>
  <c r="F146" i="18"/>
  <c r="G146" i="18"/>
  <c r="B146" i="18"/>
  <c r="H159" i="15" l="1"/>
  <c r="D160" i="15"/>
  <c r="H158" i="15"/>
  <c r="H160" i="15" s="1"/>
  <c r="H143" i="15"/>
  <c r="H77" i="14"/>
  <c r="H49" i="14"/>
  <c r="F158" i="14"/>
  <c r="C158" i="14"/>
  <c r="E158" i="14"/>
  <c r="H154" i="14"/>
  <c r="H156" i="14" s="1"/>
  <c r="H159" i="13"/>
  <c r="H160" i="13" s="1"/>
  <c r="D160" i="13"/>
  <c r="H144" i="13"/>
  <c r="H85" i="16"/>
  <c r="H49" i="16"/>
  <c r="H93" i="16"/>
  <c r="H47" i="16"/>
  <c r="H84" i="16"/>
  <c r="H76" i="16"/>
  <c r="H94" i="16"/>
  <c r="H86" i="16"/>
  <c r="H62" i="16"/>
  <c r="H160" i="16"/>
  <c r="H68" i="16"/>
  <c r="H88" i="16"/>
  <c r="H80" i="16"/>
  <c r="H72" i="16"/>
  <c r="H61" i="16"/>
  <c r="H78" i="16"/>
  <c r="H63" i="16"/>
  <c r="H58" i="16"/>
  <c r="H92" i="16"/>
  <c r="H143" i="16"/>
  <c r="H142" i="16"/>
  <c r="H67" i="16"/>
  <c r="H66" i="16"/>
  <c r="H59" i="16"/>
  <c r="H60" i="16"/>
  <c r="H65" i="16"/>
  <c r="H57" i="16"/>
  <c r="H52" i="16"/>
  <c r="H43" i="16"/>
  <c r="H42" i="16"/>
  <c r="H41" i="16"/>
  <c r="H51" i="16"/>
  <c r="H45" i="16"/>
  <c r="H53" i="16"/>
  <c r="H44" i="16"/>
  <c r="G136" i="18"/>
  <c r="G137" i="18"/>
  <c r="G138" i="18"/>
  <c r="H138" i="18" s="1"/>
  <c r="G139" i="18"/>
  <c r="H139" i="18" s="1"/>
  <c r="D134" i="18"/>
  <c r="D135" i="18"/>
  <c r="D136" i="18"/>
  <c r="D137" i="18"/>
  <c r="D138" i="18"/>
  <c r="D139" i="18"/>
  <c r="D140" i="18"/>
  <c r="D141" i="18"/>
  <c r="D142" i="18"/>
  <c r="D143" i="18"/>
  <c r="D144" i="18"/>
  <c r="H80" i="18"/>
  <c r="H88" i="18"/>
  <c r="H96" i="18"/>
  <c r="D73" i="18"/>
  <c r="D74" i="18"/>
  <c r="D75" i="18"/>
  <c r="D76" i="18"/>
  <c r="D77" i="18"/>
  <c r="D78" i="18"/>
  <c r="D79" i="18"/>
  <c r="D80" i="18"/>
  <c r="D81" i="18"/>
  <c r="D82" i="18"/>
  <c r="D83" i="18"/>
  <c r="D84" i="18"/>
  <c r="D85" i="18"/>
  <c r="D86" i="18"/>
  <c r="D87" i="18"/>
  <c r="D88" i="18"/>
  <c r="D89" i="18"/>
  <c r="D90" i="18"/>
  <c r="D91" i="18"/>
  <c r="D92" i="18"/>
  <c r="D93" i="18"/>
  <c r="D94" i="18"/>
  <c r="D95" i="18"/>
  <c r="D96" i="18"/>
  <c r="D97" i="18"/>
  <c r="D98" i="18"/>
  <c r="D58" i="18"/>
  <c r="D59" i="18"/>
  <c r="D60" i="18"/>
  <c r="D61" i="18"/>
  <c r="D62" i="18"/>
  <c r="D63" i="18"/>
  <c r="D64" i="18"/>
  <c r="D65" i="18"/>
  <c r="D66" i="18"/>
  <c r="D67" i="18"/>
  <c r="D68" i="18"/>
  <c r="D69" i="18"/>
  <c r="D38" i="18"/>
  <c r="D39" i="18"/>
  <c r="D40" i="18"/>
  <c r="D41" i="18"/>
  <c r="D42" i="18"/>
  <c r="D43" i="18"/>
  <c r="D44" i="18"/>
  <c r="D45" i="18"/>
  <c r="D46" i="18"/>
  <c r="D47" i="18"/>
  <c r="D48" i="18"/>
  <c r="D49" i="18"/>
  <c r="D50" i="18"/>
  <c r="D51" i="18"/>
  <c r="D52" i="18"/>
  <c r="D53" i="18"/>
  <c r="D54" i="18"/>
  <c r="A3" i="18"/>
  <c r="C165" i="17"/>
  <c r="D165" i="17"/>
  <c r="E165" i="17"/>
  <c r="F165" i="17"/>
  <c r="G165" i="17"/>
  <c r="H165" i="17"/>
  <c r="B165" i="17"/>
  <c r="E158" i="17"/>
  <c r="F158" i="17"/>
  <c r="B158" i="17"/>
  <c r="C143" i="17"/>
  <c r="E143" i="17"/>
  <c r="F143" i="17"/>
  <c r="B143" i="17"/>
  <c r="G135" i="17"/>
  <c r="H135" i="17"/>
  <c r="G136" i="17"/>
  <c r="G137" i="17"/>
  <c r="H137" i="17" s="1"/>
  <c r="G138" i="17"/>
  <c r="H138" i="17"/>
  <c r="D135" i="17"/>
  <c r="D136" i="17"/>
  <c r="D137" i="17"/>
  <c r="D138" i="17"/>
  <c r="D73" i="17"/>
  <c r="D74" i="17"/>
  <c r="D75" i="17"/>
  <c r="D76" i="17"/>
  <c r="D77" i="17"/>
  <c r="D78" i="17"/>
  <c r="D79" i="17"/>
  <c r="D80" i="17"/>
  <c r="D81" i="17"/>
  <c r="D82" i="17"/>
  <c r="D83" i="17"/>
  <c r="D84" i="17"/>
  <c r="D85" i="17"/>
  <c r="D86" i="17"/>
  <c r="D87" i="17"/>
  <c r="D88" i="17"/>
  <c r="D89" i="17"/>
  <c r="D90" i="17"/>
  <c r="D91" i="17"/>
  <c r="D92" i="17"/>
  <c r="D93" i="17"/>
  <c r="D94" i="17"/>
  <c r="D95" i="17"/>
  <c r="D96" i="17"/>
  <c r="D97" i="17"/>
  <c r="D58" i="17"/>
  <c r="D59" i="17"/>
  <c r="D60" i="17"/>
  <c r="D61" i="17"/>
  <c r="D62" i="17"/>
  <c r="D63" i="17"/>
  <c r="D64" i="17"/>
  <c r="D65" i="17"/>
  <c r="D66" i="17"/>
  <c r="D67" i="17"/>
  <c r="D68" i="17"/>
  <c r="D69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C177" i="19"/>
  <c r="D177" i="19"/>
  <c r="E177" i="19"/>
  <c r="F177" i="19"/>
  <c r="G177" i="19"/>
  <c r="H177" i="19"/>
  <c r="I177" i="19"/>
  <c r="J177" i="19"/>
  <c r="K177" i="19"/>
  <c r="B177" i="19"/>
  <c r="C175" i="19"/>
  <c r="E175" i="19"/>
  <c r="F175" i="19"/>
  <c r="H175" i="19"/>
  <c r="I175" i="19"/>
  <c r="B175" i="19"/>
  <c r="J173" i="19"/>
  <c r="D173" i="19"/>
  <c r="C165" i="19"/>
  <c r="E165" i="19"/>
  <c r="F165" i="19"/>
  <c r="H165" i="19"/>
  <c r="I165" i="19"/>
  <c r="B165" i="19"/>
  <c r="J150" i="19"/>
  <c r="J151" i="19"/>
  <c r="J152" i="19"/>
  <c r="J153" i="19"/>
  <c r="J154" i="19"/>
  <c r="J155" i="19"/>
  <c r="G150" i="19"/>
  <c r="G151" i="19"/>
  <c r="G152" i="19"/>
  <c r="G153" i="19"/>
  <c r="G154" i="19"/>
  <c r="G155" i="19"/>
  <c r="D150" i="19"/>
  <c r="D151" i="19"/>
  <c r="D152" i="19"/>
  <c r="D153" i="19"/>
  <c r="D154" i="19"/>
  <c r="D155" i="19"/>
  <c r="D156" i="19"/>
  <c r="D157" i="19"/>
  <c r="D158" i="19"/>
  <c r="D159" i="19"/>
  <c r="D160" i="19"/>
  <c r="D161" i="19"/>
  <c r="D162" i="19"/>
  <c r="I147" i="19"/>
  <c r="H147" i="19"/>
  <c r="F147" i="19"/>
  <c r="E147" i="19"/>
  <c r="C147" i="19"/>
  <c r="B147" i="19"/>
  <c r="D76" i="19"/>
  <c r="D77" i="19"/>
  <c r="D78" i="19"/>
  <c r="D79" i="19"/>
  <c r="D80" i="19"/>
  <c r="D81" i="19"/>
  <c r="D82" i="19"/>
  <c r="D83" i="19"/>
  <c r="D84" i="19"/>
  <c r="D85" i="19"/>
  <c r="D86" i="19"/>
  <c r="D87" i="19"/>
  <c r="D88" i="19"/>
  <c r="D89" i="19"/>
  <c r="D90" i="19"/>
  <c r="D91" i="19"/>
  <c r="D92" i="19"/>
  <c r="D93" i="19"/>
  <c r="D94" i="19"/>
  <c r="D95" i="19"/>
  <c r="D96" i="19"/>
  <c r="D97" i="19"/>
  <c r="D61" i="19"/>
  <c r="D62" i="19"/>
  <c r="D63" i="19"/>
  <c r="D64" i="19"/>
  <c r="D65" i="19"/>
  <c r="D66" i="19"/>
  <c r="D67" i="19"/>
  <c r="D68" i="19"/>
  <c r="D69" i="19"/>
  <c r="D70" i="19"/>
  <c r="D71" i="19"/>
  <c r="D72" i="19"/>
  <c r="D38" i="19"/>
  <c r="D39" i="19"/>
  <c r="D40" i="19"/>
  <c r="D41" i="19"/>
  <c r="D42" i="19"/>
  <c r="D43" i="19"/>
  <c r="D44" i="19"/>
  <c r="D45" i="19"/>
  <c r="D46" i="19"/>
  <c r="D47" i="19"/>
  <c r="D48" i="19"/>
  <c r="D49" i="19"/>
  <c r="D50" i="19"/>
  <c r="D51" i="19"/>
  <c r="D52" i="19"/>
  <c r="D53" i="19"/>
  <c r="D54" i="19"/>
  <c r="D55" i="19"/>
  <c r="D56" i="19"/>
  <c r="D57" i="19"/>
  <c r="J174" i="19"/>
  <c r="I171" i="19"/>
  <c r="H171" i="19"/>
  <c r="J170" i="19"/>
  <c r="J169" i="19"/>
  <c r="J168" i="19"/>
  <c r="J167" i="19"/>
  <c r="J164" i="19"/>
  <c r="J163" i="19"/>
  <c r="J162" i="19"/>
  <c r="J161" i="19"/>
  <c r="J160" i="19"/>
  <c r="J159" i="19"/>
  <c r="J158" i="19"/>
  <c r="J157" i="19"/>
  <c r="J156" i="19"/>
  <c r="J149" i="19"/>
  <c r="J146" i="19"/>
  <c r="J145" i="19"/>
  <c r="J144" i="19"/>
  <c r="J143" i="19"/>
  <c r="J142" i="19"/>
  <c r="J141" i="19"/>
  <c r="J140" i="19"/>
  <c r="J139" i="19"/>
  <c r="J138" i="19"/>
  <c r="J137" i="19"/>
  <c r="J136" i="19"/>
  <c r="I134" i="19"/>
  <c r="H134" i="19"/>
  <c r="J133" i="19"/>
  <c r="J132" i="19"/>
  <c r="I130" i="19"/>
  <c r="H130" i="19"/>
  <c r="J129" i="19"/>
  <c r="J128" i="19"/>
  <c r="J127" i="19"/>
  <c r="J126" i="19"/>
  <c r="J125" i="19"/>
  <c r="J124" i="19"/>
  <c r="J123" i="19"/>
  <c r="J122" i="19"/>
  <c r="J121" i="19"/>
  <c r="J120" i="19"/>
  <c r="J119" i="19"/>
  <c r="J118" i="19"/>
  <c r="J117" i="19"/>
  <c r="J116" i="19"/>
  <c r="J115" i="19"/>
  <c r="J114" i="19"/>
  <c r="J113" i="19"/>
  <c r="J112" i="19"/>
  <c r="J111" i="19"/>
  <c r="J110" i="19"/>
  <c r="J109" i="19"/>
  <c r="J108" i="19"/>
  <c r="J107" i="19"/>
  <c r="J106" i="19"/>
  <c r="J105" i="19"/>
  <c r="J104" i="19"/>
  <c r="J103" i="19"/>
  <c r="J102" i="19"/>
  <c r="J101" i="19"/>
  <c r="J100" i="19"/>
  <c r="I98" i="19"/>
  <c r="H98" i="19"/>
  <c r="J97" i="19"/>
  <c r="J96" i="19"/>
  <c r="J95" i="19"/>
  <c r="J94" i="19"/>
  <c r="J93" i="19"/>
  <c r="J92" i="19"/>
  <c r="J91" i="19"/>
  <c r="J90" i="19"/>
  <c r="J89" i="19"/>
  <c r="J88" i="19"/>
  <c r="J87" i="19"/>
  <c r="J86" i="19"/>
  <c r="J85" i="19"/>
  <c r="J84" i="19"/>
  <c r="J83" i="19"/>
  <c r="J82" i="19"/>
  <c r="J81" i="19"/>
  <c r="J80" i="19"/>
  <c r="J79" i="19"/>
  <c r="J78" i="19"/>
  <c r="J77" i="19"/>
  <c r="J76" i="19"/>
  <c r="J75" i="19"/>
  <c r="I73" i="19"/>
  <c r="H73" i="19"/>
  <c r="J72" i="19"/>
  <c r="J71" i="19"/>
  <c r="J70" i="19"/>
  <c r="J69" i="19"/>
  <c r="J68" i="19"/>
  <c r="J67" i="19"/>
  <c r="J66" i="19"/>
  <c r="J65" i="19"/>
  <c r="J64" i="19"/>
  <c r="J63" i="19"/>
  <c r="J62" i="19"/>
  <c r="J61" i="19"/>
  <c r="J60" i="19"/>
  <c r="I58" i="19"/>
  <c r="H58" i="19"/>
  <c r="J57" i="19"/>
  <c r="J56" i="19"/>
  <c r="J55" i="19"/>
  <c r="J54" i="19"/>
  <c r="J53" i="19"/>
  <c r="J52" i="19"/>
  <c r="J51" i="19"/>
  <c r="J50" i="19"/>
  <c r="J49" i="19"/>
  <c r="J48" i="19"/>
  <c r="J47" i="19"/>
  <c r="J46" i="19"/>
  <c r="J45" i="19"/>
  <c r="J44" i="19"/>
  <c r="J43" i="19"/>
  <c r="J42" i="19"/>
  <c r="J41" i="19"/>
  <c r="J40" i="19"/>
  <c r="J39" i="19"/>
  <c r="J38" i="19"/>
  <c r="J37" i="19"/>
  <c r="I35" i="19"/>
  <c r="H35" i="19"/>
  <c r="J34" i="19"/>
  <c r="J33" i="19"/>
  <c r="J32" i="19"/>
  <c r="J31" i="19"/>
  <c r="J30" i="19"/>
  <c r="J29" i="19"/>
  <c r="J28" i="19"/>
  <c r="J27" i="19"/>
  <c r="J26" i="19"/>
  <c r="J25" i="19"/>
  <c r="J24" i="19"/>
  <c r="J23" i="19"/>
  <c r="J22" i="19"/>
  <c r="J21" i="19"/>
  <c r="J20" i="19"/>
  <c r="J19" i="19"/>
  <c r="J18" i="19"/>
  <c r="J17" i="19"/>
  <c r="J16" i="19"/>
  <c r="J15" i="19"/>
  <c r="J14" i="19"/>
  <c r="J13" i="19"/>
  <c r="J12" i="19"/>
  <c r="J11" i="19"/>
  <c r="J10" i="19"/>
  <c r="J9" i="19"/>
  <c r="J8" i="19"/>
  <c r="G174" i="19"/>
  <c r="D174" i="19"/>
  <c r="F170" i="18"/>
  <c r="E170" i="18"/>
  <c r="C170" i="18"/>
  <c r="B170" i="18"/>
  <c r="G169" i="18"/>
  <c r="G170" i="18" s="1"/>
  <c r="D169" i="18"/>
  <c r="D170" i="18" s="1"/>
  <c r="G161" i="16"/>
  <c r="G162" i="16" s="1"/>
  <c r="D161" i="16"/>
  <c r="D162" i="16" s="1"/>
  <c r="G159" i="11"/>
  <c r="F159" i="11"/>
  <c r="E159" i="11"/>
  <c r="D159" i="11"/>
  <c r="C159" i="11"/>
  <c r="B159" i="11"/>
  <c r="G158" i="11"/>
  <c r="D158" i="11"/>
  <c r="H158" i="11" s="1"/>
  <c r="H159" i="11" s="1"/>
  <c r="F167" i="18"/>
  <c r="E167" i="18"/>
  <c r="C167" i="18"/>
  <c r="B167" i="18"/>
  <c r="G166" i="18"/>
  <c r="H166" i="18" s="1"/>
  <c r="D166" i="18"/>
  <c r="G165" i="18"/>
  <c r="D165" i="18"/>
  <c r="F158" i="7"/>
  <c r="E158" i="7"/>
  <c r="C158" i="7"/>
  <c r="B158" i="7"/>
  <c r="G157" i="7"/>
  <c r="D157" i="7"/>
  <c r="G156" i="7"/>
  <c r="G158" i="7" s="1"/>
  <c r="D156" i="7"/>
  <c r="H156" i="7" s="1"/>
  <c r="F165" i="8"/>
  <c r="E165" i="8"/>
  <c r="C165" i="8"/>
  <c r="B165" i="8"/>
  <c r="G164" i="8"/>
  <c r="D164" i="8"/>
  <c r="G163" i="8"/>
  <c r="D163" i="8"/>
  <c r="G162" i="8"/>
  <c r="G165" i="8" s="1"/>
  <c r="D162" i="8"/>
  <c r="F156" i="15"/>
  <c r="E156" i="15"/>
  <c r="C156" i="15"/>
  <c r="B156" i="15"/>
  <c r="G155" i="15"/>
  <c r="D155" i="15"/>
  <c r="H155" i="15" s="1"/>
  <c r="G154" i="15"/>
  <c r="D154" i="15"/>
  <c r="G153" i="15"/>
  <c r="D153" i="15"/>
  <c r="B152" i="14"/>
  <c r="H151" i="14"/>
  <c r="G149" i="14"/>
  <c r="D149" i="14"/>
  <c r="F158" i="16"/>
  <c r="E158" i="16"/>
  <c r="C158" i="16"/>
  <c r="B158" i="16"/>
  <c r="G157" i="16"/>
  <c r="D157" i="16"/>
  <c r="G156" i="16"/>
  <c r="D156" i="16"/>
  <c r="G155" i="16"/>
  <c r="D155" i="16"/>
  <c r="F163" i="17"/>
  <c r="E163" i="17"/>
  <c r="C163" i="17"/>
  <c r="B163" i="17"/>
  <c r="G162" i="17"/>
  <c r="D162" i="17"/>
  <c r="G161" i="17"/>
  <c r="D161" i="17"/>
  <c r="G160" i="17"/>
  <c r="D160" i="17"/>
  <c r="F171" i="19"/>
  <c r="E171" i="19"/>
  <c r="C171" i="19"/>
  <c r="B171" i="19"/>
  <c r="G170" i="19"/>
  <c r="D170" i="19"/>
  <c r="G169" i="19"/>
  <c r="D169" i="19"/>
  <c r="G168" i="19"/>
  <c r="D168" i="19"/>
  <c r="G167" i="19"/>
  <c r="D167" i="19"/>
  <c r="F156" i="13"/>
  <c r="E156" i="13"/>
  <c r="C156" i="13"/>
  <c r="B156" i="13"/>
  <c r="G155" i="13"/>
  <c r="D155" i="13"/>
  <c r="H155" i="13" s="1"/>
  <c r="G154" i="13"/>
  <c r="D154" i="13"/>
  <c r="G153" i="13"/>
  <c r="D153" i="13"/>
  <c r="G152" i="13"/>
  <c r="D152" i="13"/>
  <c r="F163" i="12"/>
  <c r="E163" i="12"/>
  <c r="C163" i="12"/>
  <c r="B163" i="12"/>
  <c r="G162" i="12"/>
  <c r="D162" i="12"/>
  <c r="H162" i="12" s="1"/>
  <c r="G161" i="12"/>
  <c r="D161" i="12"/>
  <c r="G160" i="12"/>
  <c r="D160" i="12"/>
  <c r="G159" i="12"/>
  <c r="D159" i="12"/>
  <c r="D163" i="12" s="1"/>
  <c r="F156" i="11"/>
  <c r="E156" i="11"/>
  <c r="C156" i="11"/>
  <c r="B156" i="11"/>
  <c r="G155" i="11"/>
  <c r="D155" i="11"/>
  <c r="H155" i="11" s="1"/>
  <c r="G154" i="11"/>
  <c r="H154" i="11" s="1"/>
  <c r="D154" i="11"/>
  <c r="G153" i="11"/>
  <c r="D153" i="11"/>
  <c r="D156" i="11" s="1"/>
  <c r="G152" i="11"/>
  <c r="H152" i="11" s="1"/>
  <c r="D152" i="11"/>
  <c r="F158" i="10"/>
  <c r="E158" i="10"/>
  <c r="C158" i="10"/>
  <c r="B158" i="10"/>
  <c r="G157" i="10"/>
  <c r="D157" i="10"/>
  <c r="G156" i="10"/>
  <c r="D156" i="10"/>
  <c r="G155" i="10"/>
  <c r="D155" i="10"/>
  <c r="G154" i="10"/>
  <c r="G158" i="10" s="1"/>
  <c r="D154" i="10"/>
  <c r="D158" i="10" s="1"/>
  <c r="G157" i="9"/>
  <c r="H157" i="9" s="1"/>
  <c r="G158" i="9"/>
  <c r="H158" i="9"/>
  <c r="G159" i="9"/>
  <c r="G160" i="9"/>
  <c r="D157" i="9"/>
  <c r="D158" i="9"/>
  <c r="D159" i="9"/>
  <c r="D160" i="9"/>
  <c r="F162" i="9"/>
  <c r="E162" i="9"/>
  <c r="C162" i="9"/>
  <c r="B162" i="9"/>
  <c r="G161" i="9"/>
  <c r="D161" i="9"/>
  <c r="G156" i="9"/>
  <c r="D156" i="9"/>
  <c r="G138" i="14"/>
  <c r="D138" i="14"/>
  <c r="H138" i="14" s="1"/>
  <c r="G150" i="15"/>
  <c r="D150" i="15"/>
  <c r="G149" i="15"/>
  <c r="D149" i="15"/>
  <c r="G148" i="15"/>
  <c r="D148" i="15"/>
  <c r="G147" i="15"/>
  <c r="D147" i="15"/>
  <c r="G146" i="15"/>
  <c r="D146" i="15"/>
  <c r="H146" i="15" s="1"/>
  <c r="G145" i="15"/>
  <c r="D145" i="15"/>
  <c r="G144" i="15"/>
  <c r="D144" i="15"/>
  <c r="H144" i="15" s="1"/>
  <c r="G142" i="15"/>
  <c r="D142" i="15"/>
  <c r="G141" i="15"/>
  <c r="D141" i="15"/>
  <c r="G149" i="11"/>
  <c r="D149" i="11"/>
  <c r="G148" i="11"/>
  <c r="D148" i="11"/>
  <c r="G147" i="11"/>
  <c r="D147" i="11"/>
  <c r="G146" i="11"/>
  <c r="D146" i="11"/>
  <c r="G143" i="11"/>
  <c r="D143" i="11"/>
  <c r="G142" i="11"/>
  <c r="D142" i="11"/>
  <c r="G141" i="11"/>
  <c r="D141" i="11"/>
  <c r="G140" i="11"/>
  <c r="D140" i="11"/>
  <c r="G139" i="11"/>
  <c r="D139" i="11"/>
  <c r="G138" i="11"/>
  <c r="D138" i="11"/>
  <c r="G156" i="12"/>
  <c r="D156" i="12"/>
  <c r="H156" i="12" s="1"/>
  <c r="G155" i="12"/>
  <c r="G144" i="12"/>
  <c r="D144" i="12"/>
  <c r="G149" i="13"/>
  <c r="D149" i="13"/>
  <c r="G148" i="13"/>
  <c r="D148" i="13"/>
  <c r="G147" i="13"/>
  <c r="D147" i="13"/>
  <c r="G146" i="13"/>
  <c r="D146" i="13"/>
  <c r="G142" i="13"/>
  <c r="D142" i="13"/>
  <c r="G141" i="13"/>
  <c r="D141" i="13"/>
  <c r="G140" i="13"/>
  <c r="D140" i="13"/>
  <c r="G139" i="13"/>
  <c r="D139" i="13"/>
  <c r="G138" i="13"/>
  <c r="D138" i="13"/>
  <c r="G137" i="13"/>
  <c r="D137" i="13"/>
  <c r="G157" i="17"/>
  <c r="D157" i="17"/>
  <c r="G156" i="17"/>
  <c r="D156" i="17"/>
  <c r="G155" i="17"/>
  <c r="D155" i="17"/>
  <c r="G154" i="17"/>
  <c r="G158" i="17" s="1"/>
  <c r="D154" i="17"/>
  <c r="D158" i="17" s="1"/>
  <c r="G153" i="17"/>
  <c r="D153" i="17"/>
  <c r="G152" i="17"/>
  <c r="D152" i="17"/>
  <c r="G151" i="17"/>
  <c r="D151" i="17"/>
  <c r="G150" i="17"/>
  <c r="D150" i="17"/>
  <c r="G149" i="17"/>
  <c r="D149" i="17"/>
  <c r="G148" i="17"/>
  <c r="D148" i="17"/>
  <c r="G147" i="17"/>
  <c r="D147" i="17"/>
  <c r="G146" i="17"/>
  <c r="D146" i="17"/>
  <c r="G145" i="17"/>
  <c r="D145" i="17"/>
  <c r="G152" i="16"/>
  <c r="D152" i="16"/>
  <c r="G151" i="16"/>
  <c r="D151" i="16"/>
  <c r="G150" i="16"/>
  <c r="D150" i="16"/>
  <c r="G149" i="16"/>
  <c r="D149" i="16"/>
  <c r="G148" i="16"/>
  <c r="D148" i="16"/>
  <c r="G147" i="16"/>
  <c r="D147" i="16"/>
  <c r="H147" i="16" s="1"/>
  <c r="G146" i="16"/>
  <c r="D146" i="16"/>
  <c r="G145" i="16"/>
  <c r="G144" i="16"/>
  <c r="G141" i="16"/>
  <c r="D141" i="16"/>
  <c r="G140" i="16"/>
  <c r="D140" i="16"/>
  <c r="G139" i="16"/>
  <c r="D139" i="16"/>
  <c r="G138" i="16"/>
  <c r="D138" i="16"/>
  <c r="G151" i="10"/>
  <c r="D151" i="10"/>
  <c r="G150" i="10"/>
  <c r="D150" i="10"/>
  <c r="G149" i="10"/>
  <c r="D149" i="10"/>
  <c r="G148" i="10"/>
  <c r="D148" i="10"/>
  <c r="G147" i="10"/>
  <c r="D147" i="10"/>
  <c r="G146" i="10"/>
  <c r="D146" i="10"/>
  <c r="G145" i="10"/>
  <c r="D145" i="10"/>
  <c r="G144" i="10"/>
  <c r="D144" i="10"/>
  <c r="G143" i="10"/>
  <c r="D143" i="10"/>
  <c r="G142" i="10"/>
  <c r="D142" i="10"/>
  <c r="G141" i="10"/>
  <c r="D141" i="10"/>
  <c r="G140" i="10"/>
  <c r="D140" i="10"/>
  <c r="G139" i="10"/>
  <c r="D139" i="10"/>
  <c r="G138" i="10"/>
  <c r="D138" i="10"/>
  <c r="D151" i="8"/>
  <c r="G151" i="8"/>
  <c r="D152" i="8"/>
  <c r="H152" i="8" s="1"/>
  <c r="G152" i="8"/>
  <c r="G159" i="8"/>
  <c r="D159" i="8"/>
  <c r="G158" i="8"/>
  <c r="D158" i="8"/>
  <c r="H158" i="8" s="1"/>
  <c r="G157" i="8"/>
  <c r="D157" i="8"/>
  <c r="G156" i="8"/>
  <c r="H156" i="8" s="1"/>
  <c r="D156" i="8"/>
  <c r="G155" i="8"/>
  <c r="D155" i="8"/>
  <c r="G154" i="8"/>
  <c r="D154" i="8"/>
  <c r="G153" i="8"/>
  <c r="D153" i="8"/>
  <c r="G150" i="8"/>
  <c r="D150" i="8"/>
  <c r="G149" i="8"/>
  <c r="D149" i="8"/>
  <c r="G148" i="8"/>
  <c r="H148" i="8" s="1"/>
  <c r="D148" i="8"/>
  <c r="G147" i="8"/>
  <c r="H147" i="8" s="1"/>
  <c r="D147" i="8"/>
  <c r="G146" i="8"/>
  <c r="D146" i="8"/>
  <c r="G145" i="8"/>
  <c r="D145" i="8"/>
  <c r="G144" i="8"/>
  <c r="D144" i="8"/>
  <c r="G164" i="19"/>
  <c r="D164" i="19"/>
  <c r="G163" i="19"/>
  <c r="D163" i="19"/>
  <c r="G162" i="19"/>
  <c r="G161" i="19"/>
  <c r="K161" i="19" s="1"/>
  <c r="G160" i="19"/>
  <c r="G159" i="19"/>
  <c r="G158" i="19"/>
  <c r="G157" i="19"/>
  <c r="K157" i="19" s="1"/>
  <c r="G156" i="19"/>
  <c r="G149" i="19"/>
  <c r="D149" i="19"/>
  <c r="G162" i="18"/>
  <c r="D162" i="18"/>
  <c r="G161" i="18"/>
  <c r="D161" i="18"/>
  <c r="G160" i="18"/>
  <c r="D160" i="18"/>
  <c r="G159" i="18"/>
  <c r="D159" i="18"/>
  <c r="G158" i="18"/>
  <c r="D158" i="18"/>
  <c r="G157" i="18"/>
  <c r="D157" i="18"/>
  <c r="G156" i="18"/>
  <c r="D156" i="18"/>
  <c r="G155" i="18"/>
  <c r="H155" i="18" s="1"/>
  <c r="D155" i="18"/>
  <c r="G154" i="18"/>
  <c r="D154" i="18"/>
  <c r="G153" i="18"/>
  <c r="D153" i="18"/>
  <c r="G152" i="18"/>
  <c r="D152" i="18"/>
  <c r="G151" i="18"/>
  <c r="D151" i="18"/>
  <c r="G150" i="18"/>
  <c r="D150" i="18"/>
  <c r="G149" i="18"/>
  <c r="D149" i="18"/>
  <c r="G148" i="18"/>
  <c r="D148" i="18"/>
  <c r="G153" i="9"/>
  <c r="H153" i="9" s="1"/>
  <c r="G139" i="9"/>
  <c r="G154" i="9" s="1"/>
  <c r="D139" i="9"/>
  <c r="D154" i="9" s="1"/>
  <c r="H153" i="7"/>
  <c r="G153" i="7"/>
  <c r="D153" i="7"/>
  <c r="G152" i="7"/>
  <c r="D152" i="7"/>
  <c r="G151" i="7"/>
  <c r="D151" i="7"/>
  <c r="G150" i="7"/>
  <c r="D150" i="7"/>
  <c r="G149" i="7"/>
  <c r="D149" i="7"/>
  <c r="H149" i="7" s="1"/>
  <c r="G148" i="7"/>
  <c r="D148" i="7"/>
  <c r="G147" i="7"/>
  <c r="D147" i="7"/>
  <c r="G146" i="7"/>
  <c r="D146" i="7"/>
  <c r="G145" i="7"/>
  <c r="D145" i="7"/>
  <c r="G144" i="7"/>
  <c r="D144" i="7"/>
  <c r="G143" i="7"/>
  <c r="D143" i="7"/>
  <c r="G142" i="7"/>
  <c r="D142" i="7"/>
  <c r="G141" i="7"/>
  <c r="D141" i="7"/>
  <c r="H141" i="7" s="1"/>
  <c r="G140" i="7"/>
  <c r="D140" i="7"/>
  <c r="G139" i="7"/>
  <c r="D139" i="7"/>
  <c r="D150" i="6"/>
  <c r="G150" i="6"/>
  <c r="D151" i="6"/>
  <c r="G151" i="6"/>
  <c r="D152" i="6"/>
  <c r="G152" i="6"/>
  <c r="D153" i="6"/>
  <c r="G153" i="6"/>
  <c r="D154" i="6"/>
  <c r="G154" i="6"/>
  <c r="G136" i="7"/>
  <c r="H136" i="7" s="1"/>
  <c r="D136" i="7"/>
  <c r="G135" i="7"/>
  <c r="D135" i="7"/>
  <c r="G134" i="7"/>
  <c r="D134" i="7"/>
  <c r="H134" i="7" s="1"/>
  <c r="G133" i="7"/>
  <c r="D133" i="7"/>
  <c r="H133" i="7" s="1"/>
  <c r="G132" i="7"/>
  <c r="D132" i="7"/>
  <c r="G131" i="7"/>
  <c r="D131" i="7"/>
  <c r="G135" i="16"/>
  <c r="D135" i="16"/>
  <c r="G134" i="16"/>
  <c r="D134" i="16"/>
  <c r="G133" i="16"/>
  <c r="D133" i="16"/>
  <c r="G132" i="16"/>
  <c r="D132" i="16"/>
  <c r="G131" i="16"/>
  <c r="D131" i="16"/>
  <c r="G130" i="16"/>
  <c r="D130" i="16"/>
  <c r="G129" i="16"/>
  <c r="D129" i="16"/>
  <c r="G138" i="15"/>
  <c r="D138" i="15"/>
  <c r="G137" i="15"/>
  <c r="D137" i="15"/>
  <c r="G136" i="15"/>
  <c r="D136" i="15"/>
  <c r="G135" i="15"/>
  <c r="D135" i="15"/>
  <c r="G134" i="15"/>
  <c r="D134" i="15"/>
  <c r="G133" i="15"/>
  <c r="D133" i="15"/>
  <c r="G132" i="15"/>
  <c r="D132" i="15"/>
  <c r="G131" i="15"/>
  <c r="D131" i="15"/>
  <c r="G134" i="13"/>
  <c r="H134" i="13" s="1"/>
  <c r="D134" i="13"/>
  <c r="G133" i="13"/>
  <c r="D133" i="13"/>
  <c r="G132" i="13"/>
  <c r="D132" i="13"/>
  <c r="H132" i="13" s="1"/>
  <c r="G131" i="13"/>
  <c r="D131" i="13"/>
  <c r="G130" i="13"/>
  <c r="D130" i="13"/>
  <c r="G129" i="13"/>
  <c r="D129" i="13"/>
  <c r="G128" i="13"/>
  <c r="D128" i="13"/>
  <c r="G127" i="13"/>
  <c r="D127" i="13"/>
  <c r="G126" i="13"/>
  <c r="H126" i="13" s="1"/>
  <c r="D126" i="13"/>
  <c r="G141" i="8"/>
  <c r="D141" i="8"/>
  <c r="H141" i="8" s="1"/>
  <c r="G140" i="8"/>
  <c r="D140" i="8"/>
  <c r="G139" i="8"/>
  <c r="D139" i="8"/>
  <c r="G138" i="8"/>
  <c r="D138" i="8"/>
  <c r="G137" i="8"/>
  <c r="D137" i="8"/>
  <c r="G136" i="8"/>
  <c r="D136" i="8"/>
  <c r="G135" i="8"/>
  <c r="D135" i="8"/>
  <c r="G134" i="8"/>
  <c r="D134" i="8"/>
  <c r="G133" i="8"/>
  <c r="D133" i="8"/>
  <c r="G135" i="10"/>
  <c r="D135" i="10"/>
  <c r="G134" i="10"/>
  <c r="D134" i="10"/>
  <c r="G133" i="10"/>
  <c r="D133" i="10"/>
  <c r="G132" i="10"/>
  <c r="D132" i="10"/>
  <c r="G131" i="10"/>
  <c r="D131" i="10"/>
  <c r="G130" i="10"/>
  <c r="D130" i="10"/>
  <c r="G129" i="10"/>
  <c r="D129" i="10"/>
  <c r="G128" i="10"/>
  <c r="D128" i="10"/>
  <c r="G127" i="10"/>
  <c r="D127" i="10"/>
  <c r="H127" i="10" s="1"/>
  <c r="G126" i="10"/>
  <c r="D126" i="10"/>
  <c r="G142" i="17"/>
  <c r="D142" i="17"/>
  <c r="G141" i="17"/>
  <c r="D141" i="17"/>
  <c r="G140" i="17"/>
  <c r="D140" i="17"/>
  <c r="G139" i="17"/>
  <c r="D139" i="17"/>
  <c r="G134" i="17"/>
  <c r="D134" i="17"/>
  <c r="G133" i="17"/>
  <c r="D133" i="17"/>
  <c r="G132" i="17"/>
  <c r="G143" i="17" s="1"/>
  <c r="D132" i="17"/>
  <c r="D143" i="17" s="1"/>
  <c r="D133" i="18"/>
  <c r="G133" i="18"/>
  <c r="G134" i="18"/>
  <c r="H134" i="18" s="1"/>
  <c r="G135" i="18"/>
  <c r="H135" i="18" s="1"/>
  <c r="G140" i="18"/>
  <c r="G141" i="18"/>
  <c r="G142" i="18"/>
  <c r="H142" i="18"/>
  <c r="G143" i="18"/>
  <c r="H143" i="18" s="1"/>
  <c r="G144" i="18"/>
  <c r="H144" i="18" s="1"/>
  <c r="D145" i="18"/>
  <c r="G145" i="18"/>
  <c r="G123" i="14"/>
  <c r="D123" i="14"/>
  <c r="G141" i="12"/>
  <c r="D141" i="12"/>
  <c r="G140" i="12"/>
  <c r="D140" i="12"/>
  <c r="G139" i="12"/>
  <c r="D139" i="12"/>
  <c r="G138" i="12"/>
  <c r="D138" i="12"/>
  <c r="G137" i="12"/>
  <c r="D137" i="12"/>
  <c r="G136" i="12"/>
  <c r="D136" i="12"/>
  <c r="G135" i="12"/>
  <c r="D135" i="12"/>
  <c r="G134" i="12"/>
  <c r="D134" i="12"/>
  <c r="G133" i="12"/>
  <c r="D133" i="12"/>
  <c r="G132" i="12"/>
  <c r="H132" i="12" s="1"/>
  <c r="D132" i="12"/>
  <c r="G131" i="12"/>
  <c r="D131" i="12"/>
  <c r="G130" i="12"/>
  <c r="D130" i="12"/>
  <c r="G135" i="11"/>
  <c r="D135" i="11"/>
  <c r="H135" i="11" s="1"/>
  <c r="G134" i="11"/>
  <c r="H134" i="11" s="1"/>
  <c r="D134" i="11"/>
  <c r="G133" i="11"/>
  <c r="D133" i="11"/>
  <c r="G132" i="11"/>
  <c r="D132" i="11"/>
  <c r="G131" i="11"/>
  <c r="D131" i="11"/>
  <c r="G130" i="11"/>
  <c r="D130" i="11"/>
  <c r="G129" i="11"/>
  <c r="D129" i="11"/>
  <c r="G128" i="11"/>
  <c r="D128" i="11"/>
  <c r="G127" i="11"/>
  <c r="D127" i="11"/>
  <c r="G126" i="11"/>
  <c r="D126" i="11"/>
  <c r="G125" i="11"/>
  <c r="D125" i="11"/>
  <c r="G124" i="11"/>
  <c r="D124" i="11"/>
  <c r="D136" i="11" s="1"/>
  <c r="G136" i="9"/>
  <c r="G137" i="9" s="1"/>
  <c r="D136" i="9"/>
  <c r="D137" i="9" s="1"/>
  <c r="G146" i="19"/>
  <c r="D146" i="19"/>
  <c r="G145" i="19"/>
  <c r="D145" i="19"/>
  <c r="G144" i="19"/>
  <c r="D144" i="19"/>
  <c r="G143" i="19"/>
  <c r="D143" i="19"/>
  <c r="G142" i="19"/>
  <c r="D142" i="19"/>
  <c r="G141" i="19"/>
  <c r="D141" i="19"/>
  <c r="G140" i="19"/>
  <c r="D140" i="19"/>
  <c r="G139" i="19"/>
  <c r="D139" i="19"/>
  <c r="G138" i="19"/>
  <c r="D138" i="19"/>
  <c r="G137" i="19"/>
  <c r="D137" i="19"/>
  <c r="G136" i="19"/>
  <c r="D136" i="19"/>
  <c r="F134" i="19"/>
  <c r="E134" i="19"/>
  <c r="C134" i="19"/>
  <c r="B134" i="19"/>
  <c r="G133" i="19"/>
  <c r="D133" i="19"/>
  <c r="G132" i="19"/>
  <c r="D132" i="19"/>
  <c r="F130" i="17"/>
  <c r="E130" i="17"/>
  <c r="C130" i="17"/>
  <c r="B130" i="17"/>
  <c r="G129" i="17"/>
  <c r="D129" i="17"/>
  <c r="G128" i="17"/>
  <c r="D128" i="17"/>
  <c r="F131" i="18"/>
  <c r="E131" i="18"/>
  <c r="C131" i="18"/>
  <c r="B131" i="18"/>
  <c r="B172" i="18" s="1"/>
  <c r="G130" i="18"/>
  <c r="H130" i="18" s="1"/>
  <c r="D130" i="18"/>
  <c r="G129" i="18"/>
  <c r="D129" i="18"/>
  <c r="F127" i="16"/>
  <c r="F164" i="16" s="1"/>
  <c r="E127" i="16"/>
  <c r="E164" i="16" s="1"/>
  <c r="C127" i="16"/>
  <c r="B127" i="16"/>
  <c r="G126" i="16"/>
  <c r="D126" i="16"/>
  <c r="G125" i="16"/>
  <c r="D125" i="16"/>
  <c r="F124" i="13"/>
  <c r="E124" i="13"/>
  <c r="C124" i="13"/>
  <c r="B124" i="13"/>
  <c r="H123" i="13"/>
  <c r="G123" i="13"/>
  <c r="D123" i="13"/>
  <c r="G122" i="13"/>
  <c r="D122" i="13"/>
  <c r="B121" i="14"/>
  <c r="G119" i="14"/>
  <c r="D119" i="14"/>
  <c r="F129" i="15"/>
  <c r="E129" i="15"/>
  <c r="C129" i="15"/>
  <c r="B129" i="15"/>
  <c r="G128" i="15"/>
  <c r="D128" i="15"/>
  <c r="G127" i="15"/>
  <c r="D127" i="15"/>
  <c r="D129" i="15" s="1"/>
  <c r="B128" i="12"/>
  <c r="H127" i="12"/>
  <c r="G126" i="12"/>
  <c r="G128" i="12" s="1"/>
  <c r="D126" i="12"/>
  <c r="D128" i="12" s="1"/>
  <c r="F122" i="11"/>
  <c r="E122" i="11"/>
  <c r="C122" i="11"/>
  <c r="B122" i="11"/>
  <c r="G121" i="11"/>
  <c r="D121" i="11"/>
  <c r="G120" i="11"/>
  <c r="D120" i="11"/>
  <c r="F124" i="10"/>
  <c r="E124" i="10"/>
  <c r="C124" i="10"/>
  <c r="B124" i="10"/>
  <c r="G123" i="10"/>
  <c r="D123" i="10"/>
  <c r="G122" i="10"/>
  <c r="D122" i="10"/>
  <c r="F122" i="9"/>
  <c r="E122" i="9"/>
  <c r="C122" i="9"/>
  <c r="B122" i="9"/>
  <c r="G121" i="9"/>
  <c r="D121" i="9"/>
  <c r="G120" i="9"/>
  <c r="D120" i="9"/>
  <c r="D122" i="9" s="1"/>
  <c r="F131" i="8"/>
  <c r="E131" i="8"/>
  <c r="C131" i="8"/>
  <c r="B131" i="8"/>
  <c r="G130" i="8"/>
  <c r="D130" i="8"/>
  <c r="G129" i="8"/>
  <c r="D129" i="8"/>
  <c r="H129" i="8" s="1"/>
  <c r="F129" i="7"/>
  <c r="E129" i="7"/>
  <c r="C129" i="7"/>
  <c r="B129" i="7"/>
  <c r="G128" i="7"/>
  <c r="D128" i="7"/>
  <c r="G127" i="7"/>
  <c r="D127" i="7"/>
  <c r="D129" i="7" s="1"/>
  <c r="F120" i="13"/>
  <c r="E120" i="13"/>
  <c r="C120" i="13"/>
  <c r="B120" i="13"/>
  <c r="G119" i="13"/>
  <c r="D119" i="13"/>
  <c r="G118" i="13"/>
  <c r="D118" i="13"/>
  <c r="G117" i="13"/>
  <c r="D117" i="13"/>
  <c r="G116" i="13"/>
  <c r="D116" i="13"/>
  <c r="G115" i="13"/>
  <c r="D115" i="13"/>
  <c r="G114" i="13"/>
  <c r="D114" i="13"/>
  <c r="G113" i="13"/>
  <c r="D113" i="13"/>
  <c r="G112" i="13"/>
  <c r="D112" i="13"/>
  <c r="G111" i="13"/>
  <c r="D111" i="13"/>
  <c r="G110" i="13"/>
  <c r="D110" i="13"/>
  <c r="G109" i="13"/>
  <c r="D109" i="13"/>
  <c r="G108" i="13"/>
  <c r="D108" i="13"/>
  <c r="G107" i="13"/>
  <c r="D107" i="13"/>
  <c r="G106" i="13"/>
  <c r="D106" i="13"/>
  <c r="G105" i="13"/>
  <c r="D105" i="13"/>
  <c r="G104" i="13"/>
  <c r="D104" i="13"/>
  <c r="G103" i="13"/>
  <c r="D103" i="13"/>
  <c r="G102" i="13"/>
  <c r="D102" i="13"/>
  <c r="G101" i="13"/>
  <c r="D101" i="13"/>
  <c r="G100" i="13"/>
  <c r="D100" i="13"/>
  <c r="B117" i="14"/>
  <c r="G97" i="14"/>
  <c r="D97" i="14"/>
  <c r="F118" i="11"/>
  <c r="E118" i="11"/>
  <c r="C118" i="11"/>
  <c r="B118" i="11"/>
  <c r="G95" i="11"/>
  <c r="D95" i="11"/>
  <c r="H95" i="11" s="1"/>
  <c r="F125" i="15"/>
  <c r="E125" i="15"/>
  <c r="C125" i="15"/>
  <c r="B125" i="15"/>
  <c r="G124" i="15"/>
  <c r="D124" i="15"/>
  <c r="G123" i="15"/>
  <c r="D123" i="15"/>
  <c r="G122" i="15"/>
  <c r="D122" i="15"/>
  <c r="G121" i="15"/>
  <c r="D121" i="15"/>
  <c r="G120" i="15"/>
  <c r="D120" i="15"/>
  <c r="G119" i="15"/>
  <c r="D119" i="15"/>
  <c r="G118" i="15"/>
  <c r="D118" i="15"/>
  <c r="G117" i="15"/>
  <c r="H117" i="15" s="1"/>
  <c r="D117" i="15"/>
  <c r="G116" i="15"/>
  <c r="D116" i="15"/>
  <c r="G115" i="15"/>
  <c r="D115" i="15"/>
  <c r="G114" i="15"/>
  <c r="D114" i="15"/>
  <c r="G113" i="15"/>
  <c r="D113" i="15"/>
  <c r="G112" i="15"/>
  <c r="D112" i="15"/>
  <c r="G111" i="15"/>
  <c r="D111" i="15"/>
  <c r="G110" i="15"/>
  <c r="D110" i="15"/>
  <c r="G109" i="15"/>
  <c r="D109" i="15"/>
  <c r="G108" i="15"/>
  <c r="D108" i="15"/>
  <c r="G107" i="15"/>
  <c r="H107" i="15" s="1"/>
  <c r="D107" i="15"/>
  <c r="G106" i="15"/>
  <c r="D106" i="15"/>
  <c r="G105" i="15"/>
  <c r="D105" i="15"/>
  <c r="G104" i="15"/>
  <c r="D104" i="15"/>
  <c r="G103" i="15"/>
  <c r="H103" i="15" s="1"/>
  <c r="D103" i="15"/>
  <c r="G102" i="15"/>
  <c r="D102" i="15"/>
  <c r="G101" i="15"/>
  <c r="D101" i="15"/>
  <c r="G100" i="15"/>
  <c r="D100" i="15"/>
  <c r="F123" i="16"/>
  <c r="E123" i="16"/>
  <c r="C123" i="16"/>
  <c r="B123" i="16"/>
  <c r="G122" i="16"/>
  <c r="D122" i="16"/>
  <c r="G121" i="16"/>
  <c r="D121" i="16"/>
  <c r="G120" i="16"/>
  <c r="D120" i="16"/>
  <c r="G119" i="16"/>
  <c r="D119" i="16"/>
  <c r="G118" i="16"/>
  <c r="D118" i="16"/>
  <c r="G117" i="16"/>
  <c r="D117" i="16"/>
  <c r="G116" i="16"/>
  <c r="D116" i="16"/>
  <c r="G115" i="16"/>
  <c r="D115" i="16"/>
  <c r="G114" i="16"/>
  <c r="D114" i="16"/>
  <c r="G113" i="16"/>
  <c r="D113" i="16"/>
  <c r="G112" i="16"/>
  <c r="D112" i="16"/>
  <c r="G111" i="16"/>
  <c r="D111" i="16"/>
  <c r="G110" i="16"/>
  <c r="D110" i="16"/>
  <c r="G109" i="16"/>
  <c r="D109" i="16"/>
  <c r="G108" i="16"/>
  <c r="D108" i="16"/>
  <c r="G107" i="16"/>
  <c r="D107" i="16"/>
  <c r="G106" i="16"/>
  <c r="D106" i="16"/>
  <c r="G105" i="16"/>
  <c r="D105" i="16"/>
  <c r="G104" i="16"/>
  <c r="D104" i="16"/>
  <c r="G103" i="16"/>
  <c r="D103" i="16"/>
  <c r="G102" i="16"/>
  <c r="D102" i="16"/>
  <c r="G101" i="16"/>
  <c r="D101" i="16"/>
  <c r="G100" i="16"/>
  <c r="D100" i="16"/>
  <c r="G99" i="16"/>
  <c r="D99" i="16"/>
  <c r="G98" i="16"/>
  <c r="D98" i="16"/>
  <c r="F126" i="17"/>
  <c r="E126" i="17"/>
  <c r="C126" i="17"/>
  <c r="B126" i="17"/>
  <c r="G125" i="17"/>
  <c r="D125" i="17"/>
  <c r="G124" i="17"/>
  <c r="D124" i="17"/>
  <c r="G123" i="17"/>
  <c r="D123" i="17"/>
  <c r="G122" i="17"/>
  <c r="D122" i="17"/>
  <c r="G121" i="17"/>
  <c r="D121" i="17"/>
  <c r="G120" i="17"/>
  <c r="D120" i="17"/>
  <c r="G119" i="17"/>
  <c r="D119" i="17"/>
  <c r="G118" i="17"/>
  <c r="D118" i="17"/>
  <c r="G117" i="17"/>
  <c r="D117" i="17"/>
  <c r="G116" i="17"/>
  <c r="D116" i="17"/>
  <c r="G115" i="17"/>
  <c r="D115" i="17"/>
  <c r="G114" i="17"/>
  <c r="D114" i="17"/>
  <c r="G113" i="17"/>
  <c r="D113" i="17"/>
  <c r="G112" i="17"/>
  <c r="D112" i="17"/>
  <c r="G111" i="17"/>
  <c r="D111" i="17"/>
  <c r="G110" i="17"/>
  <c r="D110" i="17"/>
  <c r="G109" i="17"/>
  <c r="D109" i="17"/>
  <c r="G108" i="17"/>
  <c r="D108" i="17"/>
  <c r="G107" i="17"/>
  <c r="D107" i="17"/>
  <c r="G106" i="17"/>
  <c r="D106" i="17"/>
  <c r="G105" i="17"/>
  <c r="D105" i="17"/>
  <c r="G104" i="17"/>
  <c r="D104" i="17"/>
  <c r="G103" i="17"/>
  <c r="D103" i="17"/>
  <c r="G102" i="17"/>
  <c r="D102" i="17"/>
  <c r="G101" i="17"/>
  <c r="D101" i="17"/>
  <c r="G100" i="17"/>
  <c r="D100" i="17"/>
  <c r="F127" i="18"/>
  <c r="E127" i="18"/>
  <c r="C127" i="18"/>
  <c r="B127" i="18"/>
  <c r="G126" i="18"/>
  <c r="D126" i="18"/>
  <c r="G125" i="18"/>
  <c r="D125" i="18"/>
  <c r="G124" i="18"/>
  <c r="H124" i="18" s="1"/>
  <c r="D124" i="18"/>
  <c r="G123" i="18"/>
  <c r="D123" i="18"/>
  <c r="G122" i="18"/>
  <c r="D122" i="18"/>
  <c r="G121" i="18"/>
  <c r="D121" i="18"/>
  <c r="G120" i="18"/>
  <c r="D120" i="18"/>
  <c r="G119" i="18"/>
  <c r="D119" i="18"/>
  <c r="G118" i="18"/>
  <c r="D118" i="18"/>
  <c r="H118" i="18" s="1"/>
  <c r="G117" i="18"/>
  <c r="D117" i="18"/>
  <c r="G116" i="18"/>
  <c r="D116" i="18"/>
  <c r="G115" i="18"/>
  <c r="D115" i="18"/>
  <c r="G114" i="18"/>
  <c r="D114" i="18"/>
  <c r="G113" i="18"/>
  <c r="D113" i="18"/>
  <c r="G112" i="18"/>
  <c r="D112" i="18"/>
  <c r="G111" i="18"/>
  <c r="D111" i="18"/>
  <c r="G110" i="18"/>
  <c r="D110" i="18"/>
  <c r="G109" i="18"/>
  <c r="D109" i="18"/>
  <c r="G108" i="18"/>
  <c r="D108" i="18"/>
  <c r="G107" i="18"/>
  <c r="D107" i="18"/>
  <c r="G106" i="18"/>
  <c r="D106" i="18"/>
  <c r="G105" i="18"/>
  <c r="D105" i="18"/>
  <c r="G104" i="18"/>
  <c r="D104" i="18"/>
  <c r="G103" i="18"/>
  <c r="D103" i="18"/>
  <c r="G102" i="18"/>
  <c r="D102" i="18"/>
  <c r="G101" i="18"/>
  <c r="D101" i="18"/>
  <c r="F124" i="12"/>
  <c r="E124" i="12"/>
  <c r="C124" i="12"/>
  <c r="B124" i="12"/>
  <c r="G123" i="12"/>
  <c r="D123" i="12"/>
  <c r="H123" i="12" s="1"/>
  <c r="G122" i="12"/>
  <c r="D122" i="12"/>
  <c r="G121" i="12"/>
  <c r="D121" i="12"/>
  <c r="G120" i="12"/>
  <c r="D120" i="12"/>
  <c r="G119" i="12"/>
  <c r="D119" i="12"/>
  <c r="G118" i="12"/>
  <c r="D118" i="12"/>
  <c r="G117" i="12"/>
  <c r="D117" i="12"/>
  <c r="G116" i="12"/>
  <c r="D116" i="12"/>
  <c r="G115" i="12"/>
  <c r="H115" i="12" s="1"/>
  <c r="D115" i="12"/>
  <c r="G114" i="12"/>
  <c r="H114" i="12" s="1"/>
  <c r="D114" i="12"/>
  <c r="G113" i="12"/>
  <c r="H113" i="12" s="1"/>
  <c r="D113" i="12"/>
  <c r="G112" i="12"/>
  <c r="D112" i="12"/>
  <c r="G111" i="12"/>
  <c r="D111" i="12"/>
  <c r="G110" i="12"/>
  <c r="D110" i="12"/>
  <c r="G109" i="12"/>
  <c r="D109" i="12"/>
  <c r="G108" i="12"/>
  <c r="D108" i="12"/>
  <c r="G107" i="12"/>
  <c r="D107" i="12"/>
  <c r="H107" i="12" s="1"/>
  <c r="G106" i="12"/>
  <c r="H106" i="12" s="1"/>
  <c r="D106" i="12"/>
  <c r="G105" i="12"/>
  <c r="D105" i="12"/>
  <c r="G104" i="12"/>
  <c r="D104" i="12"/>
  <c r="G103" i="12"/>
  <c r="D103" i="12"/>
  <c r="G102" i="12"/>
  <c r="D102" i="12"/>
  <c r="G101" i="12"/>
  <c r="H101" i="12" s="1"/>
  <c r="D101" i="12"/>
  <c r="G100" i="12"/>
  <c r="D100" i="12"/>
  <c r="G99" i="12"/>
  <c r="D99" i="12"/>
  <c r="G98" i="12"/>
  <c r="H98" i="12" s="1"/>
  <c r="D98" i="12"/>
  <c r="G97" i="12"/>
  <c r="D97" i="12"/>
  <c r="F120" i="10"/>
  <c r="E120" i="10"/>
  <c r="C120" i="10"/>
  <c r="B120" i="10"/>
  <c r="G94" i="10"/>
  <c r="D94" i="10"/>
  <c r="F118" i="9"/>
  <c r="E118" i="9"/>
  <c r="C118" i="9"/>
  <c r="B118" i="9"/>
  <c r="G89" i="9"/>
  <c r="D89" i="9"/>
  <c r="D105" i="8"/>
  <c r="G105" i="8"/>
  <c r="D106" i="8"/>
  <c r="G106" i="8"/>
  <c r="D107" i="8"/>
  <c r="G107" i="8"/>
  <c r="F127" i="8"/>
  <c r="E127" i="8"/>
  <c r="C127" i="8"/>
  <c r="B127" i="8"/>
  <c r="G126" i="8"/>
  <c r="D126" i="8"/>
  <c r="G125" i="8"/>
  <c r="D125" i="8"/>
  <c r="G124" i="8"/>
  <c r="D124" i="8"/>
  <c r="G123" i="8"/>
  <c r="D123" i="8"/>
  <c r="G122" i="8"/>
  <c r="D122" i="8"/>
  <c r="G121" i="8"/>
  <c r="H121" i="8" s="1"/>
  <c r="D121" i="8"/>
  <c r="G120" i="8"/>
  <c r="D120" i="8"/>
  <c r="G119" i="8"/>
  <c r="H119" i="8" s="1"/>
  <c r="D119" i="8"/>
  <c r="G118" i="8"/>
  <c r="D118" i="8"/>
  <c r="G117" i="8"/>
  <c r="D117" i="8"/>
  <c r="G116" i="8"/>
  <c r="D116" i="8"/>
  <c r="G115" i="8"/>
  <c r="D115" i="8"/>
  <c r="G114" i="8"/>
  <c r="D114" i="8"/>
  <c r="G113" i="8"/>
  <c r="D113" i="8"/>
  <c r="G112" i="8"/>
  <c r="D112" i="8"/>
  <c r="G111" i="8"/>
  <c r="D111" i="8"/>
  <c r="G110" i="8"/>
  <c r="D110" i="8"/>
  <c r="G109" i="8"/>
  <c r="D109" i="8"/>
  <c r="G108" i="8"/>
  <c r="D108" i="8"/>
  <c r="G104" i="8"/>
  <c r="D104" i="8"/>
  <c r="G103" i="8"/>
  <c r="H103" i="8" s="1"/>
  <c r="D103" i="8"/>
  <c r="G102" i="8"/>
  <c r="D102" i="8"/>
  <c r="G101" i="8"/>
  <c r="D101" i="8"/>
  <c r="G100" i="8"/>
  <c r="D100" i="8"/>
  <c r="G99" i="8"/>
  <c r="D99" i="8"/>
  <c r="G98" i="8"/>
  <c r="D98" i="8"/>
  <c r="G97" i="8"/>
  <c r="D97" i="8"/>
  <c r="G96" i="8"/>
  <c r="D96" i="8"/>
  <c r="G95" i="8"/>
  <c r="D95" i="8"/>
  <c r="F125" i="7"/>
  <c r="E125" i="7"/>
  <c r="C125" i="7"/>
  <c r="B125" i="7"/>
  <c r="G124" i="7"/>
  <c r="D124" i="7"/>
  <c r="G123" i="7"/>
  <c r="D123" i="7"/>
  <c r="G122" i="7"/>
  <c r="D122" i="7"/>
  <c r="G121" i="7"/>
  <c r="D121" i="7"/>
  <c r="G120" i="7"/>
  <c r="D120" i="7"/>
  <c r="G119" i="7"/>
  <c r="D119" i="7"/>
  <c r="G118" i="7"/>
  <c r="D118" i="7"/>
  <c r="G117" i="7"/>
  <c r="D117" i="7"/>
  <c r="G116" i="7"/>
  <c r="D116" i="7"/>
  <c r="G115" i="7"/>
  <c r="D115" i="7"/>
  <c r="G114" i="7"/>
  <c r="D114" i="7"/>
  <c r="G113" i="7"/>
  <c r="D113" i="7"/>
  <c r="G112" i="7"/>
  <c r="D112" i="7"/>
  <c r="G111" i="7"/>
  <c r="D111" i="7"/>
  <c r="G110" i="7"/>
  <c r="D110" i="7"/>
  <c r="G109" i="7"/>
  <c r="D109" i="7"/>
  <c r="G108" i="7"/>
  <c r="D108" i="7"/>
  <c r="G107" i="7"/>
  <c r="D107" i="7"/>
  <c r="G106" i="7"/>
  <c r="D106" i="7"/>
  <c r="G105" i="7"/>
  <c r="D105" i="7"/>
  <c r="G104" i="7"/>
  <c r="D104" i="7"/>
  <c r="G103" i="7"/>
  <c r="D103" i="7"/>
  <c r="G102" i="7"/>
  <c r="D102" i="7"/>
  <c r="G101" i="7"/>
  <c r="D101" i="7"/>
  <c r="G100" i="7"/>
  <c r="D100" i="7"/>
  <c r="G99" i="7"/>
  <c r="D99" i="7"/>
  <c r="G98" i="7"/>
  <c r="D98" i="7"/>
  <c r="G97" i="7"/>
  <c r="D97" i="7"/>
  <c r="G96" i="7"/>
  <c r="D96" i="7"/>
  <c r="G95" i="7"/>
  <c r="D95" i="7"/>
  <c r="D120" i="19"/>
  <c r="G120" i="19"/>
  <c r="D121" i="19"/>
  <c r="G121" i="19"/>
  <c r="D122" i="19"/>
  <c r="G122" i="19"/>
  <c r="F130" i="19"/>
  <c r="E130" i="19"/>
  <c r="C130" i="19"/>
  <c r="B130" i="19"/>
  <c r="G129" i="19"/>
  <c r="D129" i="19"/>
  <c r="G128" i="19"/>
  <c r="D128" i="19"/>
  <c r="G127" i="19"/>
  <c r="D127" i="19"/>
  <c r="G126" i="19"/>
  <c r="D126" i="19"/>
  <c r="G125" i="19"/>
  <c r="D125" i="19"/>
  <c r="G124" i="19"/>
  <c r="D124" i="19"/>
  <c r="G123" i="19"/>
  <c r="D123" i="19"/>
  <c r="G119" i="19"/>
  <c r="D119" i="19"/>
  <c r="G118" i="19"/>
  <c r="D118" i="19"/>
  <c r="G117" i="19"/>
  <c r="D117" i="19"/>
  <c r="G116" i="19"/>
  <c r="D116" i="19"/>
  <c r="G115" i="19"/>
  <c r="D115" i="19"/>
  <c r="G114" i="19"/>
  <c r="D114" i="19"/>
  <c r="G113" i="19"/>
  <c r="D113" i="19"/>
  <c r="G112" i="19"/>
  <c r="D112" i="19"/>
  <c r="G111" i="19"/>
  <c r="D111" i="19"/>
  <c r="G110" i="19"/>
  <c r="D110" i="19"/>
  <c r="G109" i="19"/>
  <c r="D109" i="19"/>
  <c r="G108" i="19"/>
  <c r="D108" i="19"/>
  <c r="G107" i="19"/>
  <c r="D107" i="19"/>
  <c r="G106" i="19"/>
  <c r="D106" i="19"/>
  <c r="G105" i="19"/>
  <c r="D105" i="19"/>
  <c r="G104" i="19"/>
  <c r="D104" i="19"/>
  <c r="G103" i="19"/>
  <c r="D103" i="19"/>
  <c r="G102" i="19"/>
  <c r="D102" i="19"/>
  <c r="G101" i="19"/>
  <c r="D101" i="19"/>
  <c r="G100" i="19"/>
  <c r="D100" i="19"/>
  <c r="F98" i="19"/>
  <c r="E98" i="19"/>
  <c r="C98" i="19"/>
  <c r="B98" i="19"/>
  <c r="G97" i="19"/>
  <c r="G96" i="19"/>
  <c r="G95" i="19"/>
  <c r="K95" i="19" s="1"/>
  <c r="G94" i="19"/>
  <c r="G93" i="19"/>
  <c r="G92" i="19"/>
  <c r="G91" i="19"/>
  <c r="G90" i="19"/>
  <c r="G89" i="19"/>
  <c r="G88" i="19"/>
  <c r="G87" i="19"/>
  <c r="K87" i="19" s="1"/>
  <c r="G86" i="19"/>
  <c r="G85" i="19"/>
  <c r="G84" i="19"/>
  <c r="G83" i="19"/>
  <c r="G82" i="19"/>
  <c r="G81" i="19"/>
  <c r="G80" i="19"/>
  <c r="G79" i="19"/>
  <c r="K79" i="19" s="1"/>
  <c r="G78" i="19"/>
  <c r="G77" i="19"/>
  <c r="G76" i="19"/>
  <c r="G75" i="19"/>
  <c r="D75" i="19"/>
  <c r="F87" i="9"/>
  <c r="E87" i="9"/>
  <c r="C87" i="9"/>
  <c r="B87" i="9"/>
  <c r="G64" i="9"/>
  <c r="D64" i="9"/>
  <c r="F92" i="10"/>
  <c r="E92" i="10"/>
  <c r="C92" i="10"/>
  <c r="B92" i="10"/>
  <c r="D91" i="10"/>
  <c r="G68" i="10"/>
  <c r="D68" i="10"/>
  <c r="F96" i="16"/>
  <c r="E96" i="16"/>
  <c r="C96" i="16"/>
  <c r="B96" i="16"/>
  <c r="G71" i="16"/>
  <c r="D71" i="16"/>
  <c r="F93" i="11"/>
  <c r="E93" i="11"/>
  <c r="C93" i="11"/>
  <c r="B93" i="11"/>
  <c r="G68" i="11"/>
  <c r="D68" i="11"/>
  <c r="F93" i="8"/>
  <c r="E93" i="8"/>
  <c r="C93" i="8"/>
  <c r="B93" i="8"/>
  <c r="G92" i="8"/>
  <c r="D92" i="8"/>
  <c r="G91" i="8"/>
  <c r="D91" i="8"/>
  <c r="G90" i="8"/>
  <c r="D90" i="8"/>
  <c r="G89" i="8"/>
  <c r="D89" i="8"/>
  <c r="G88" i="8"/>
  <c r="D88" i="8"/>
  <c r="G87" i="8"/>
  <c r="D87" i="8"/>
  <c r="G86" i="8"/>
  <c r="D86" i="8"/>
  <c r="G85" i="8"/>
  <c r="D85" i="8"/>
  <c r="G84" i="8"/>
  <c r="D84" i="8"/>
  <c r="G83" i="8"/>
  <c r="D83" i="8"/>
  <c r="G82" i="8"/>
  <c r="D82" i="8"/>
  <c r="G81" i="8"/>
  <c r="D81" i="8"/>
  <c r="G80" i="8"/>
  <c r="D80" i="8"/>
  <c r="G79" i="8"/>
  <c r="D79" i="8"/>
  <c r="G78" i="8"/>
  <c r="D78" i="8"/>
  <c r="G77" i="8"/>
  <c r="D77" i="8"/>
  <c r="G76" i="8"/>
  <c r="D76" i="8"/>
  <c r="G75" i="8"/>
  <c r="D75" i="8"/>
  <c r="G74" i="8"/>
  <c r="D74" i="8"/>
  <c r="G73" i="8"/>
  <c r="H73" i="8" s="1"/>
  <c r="D73" i="8"/>
  <c r="G72" i="8"/>
  <c r="D72" i="8"/>
  <c r="G71" i="8"/>
  <c r="D71" i="8"/>
  <c r="G70" i="8"/>
  <c r="D70" i="8"/>
  <c r="G69" i="8"/>
  <c r="D69" i="8"/>
  <c r="G68" i="8"/>
  <c r="D68" i="8"/>
  <c r="G67" i="8"/>
  <c r="D67" i="8"/>
  <c r="B95" i="14"/>
  <c r="G69" i="14"/>
  <c r="D69" i="14"/>
  <c r="F98" i="17"/>
  <c r="E98" i="17"/>
  <c r="C98" i="17"/>
  <c r="B98" i="17"/>
  <c r="G97" i="17"/>
  <c r="G96" i="17"/>
  <c r="G95" i="17"/>
  <c r="G94" i="17"/>
  <c r="G93" i="17"/>
  <c r="G92" i="17"/>
  <c r="G91" i="17"/>
  <c r="G90" i="17"/>
  <c r="G89" i="17"/>
  <c r="G88" i="17"/>
  <c r="G87" i="17"/>
  <c r="G86" i="17"/>
  <c r="G85" i="17"/>
  <c r="G84" i="17"/>
  <c r="G83" i="17"/>
  <c r="G82" i="17"/>
  <c r="G81" i="17"/>
  <c r="G80" i="17"/>
  <c r="G79" i="17"/>
  <c r="G78" i="17"/>
  <c r="G77" i="17"/>
  <c r="G76" i="17"/>
  <c r="G75" i="17"/>
  <c r="G74" i="17"/>
  <c r="G73" i="17"/>
  <c r="G72" i="17"/>
  <c r="D72" i="17"/>
  <c r="F99" i="18"/>
  <c r="E99" i="18"/>
  <c r="C99" i="18"/>
  <c r="B99" i="18"/>
  <c r="G98" i="18"/>
  <c r="H98" i="18" s="1"/>
  <c r="G97" i="18"/>
  <c r="H97" i="18" s="1"/>
  <c r="G96" i="18"/>
  <c r="G95" i="18"/>
  <c r="H95" i="18" s="1"/>
  <c r="G94" i="18"/>
  <c r="H94" i="18" s="1"/>
  <c r="G93" i="18"/>
  <c r="H93" i="18" s="1"/>
  <c r="G92" i="18"/>
  <c r="H92" i="18" s="1"/>
  <c r="G91" i="18"/>
  <c r="H91" i="18" s="1"/>
  <c r="G90" i="18"/>
  <c r="H90" i="18" s="1"/>
  <c r="G89" i="18"/>
  <c r="H89" i="18" s="1"/>
  <c r="G88" i="18"/>
  <c r="G87" i="18"/>
  <c r="H87" i="18" s="1"/>
  <c r="G86" i="18"/>
  <c r="H86" i="18" s="1"/>
  <c r="G85" i="18"/>
  <c r="H85" i="18" s="1"/>
  <c r="G84" i="18"/>
  <c r="H84" i="18" s="1"/>
  <c r="G83" i="18"/>
  <c r="H83" i="18" s="1"/>
  <c r="G82" i="18"/>
  <c r="H82" i="18" s="1"/>
  <c r="G81" i="18"/>
  <c r="H81" i="18" s="1"/>
  <c r="G80" i="18"/>
  <c r="G79" i="18"/>
  <c r="H79" i="18" s="1"/>
  <c r="G78" i="18"/>
  <c r="H78" i="18" s="1"/>
  <c r="G77" i="18"/>
  <c r="H77" i="18" s="1"/>
  <c r="G76" i="18"/>
  <c r="H76" i="18" s="1"/>
  <c r="G75" i="18"/>
  <c r="H75" i="18" s="1"/>
  <c r="G74" i="18"/>
  <c r="H74" i="18" s="1"/>
  <c r="G73" i="18"/>
  <c r="H73" i="18" s="1"/>
  <c r="G72" i="18"/>
  <c r="H72" i="18" s="1"/>
  <c r="D72" i="18"/>
  <c r="F95" i="12"/>
  <c r="E95" i="12"/>
  <c r="C95" i="12"/>
  <c r="B95" i="12"/>
  <c r="G94" i="12"/>
  <c r="D94" i="12"/>
  <c r="G93" i="12"/>
  <c r="D93" i="12"/>
  <c r="G92" i="12"/>
  <c r="D92" i="12"/>
  <c r="G91" i="12"/>
  <c r="D91" i="12"/>
  <c r="G90" i="12"/>
  <c r="D90" i="12"/>
  <c r="G89" i="12"/>
  <c r="D89" i="12"/>
  <c r="G88" i="12"/>
  <c r="D88" i="12"/>
  <c r="G87" i="12"/>
  <c r="H87" i="12" s="1"/>
  <c r="D87" i="12"/>
  <c r="G86" i="12"/>
  <c r="H86" i="12" s="1"/>
  <c r="D86" i="12"/>
  <c r="G85" i="12"/>
  <c r="D85" i="12"/>
  <c r="H85" i="12" s="1"/>
  <c r="G84" i="12"/>
  <c r="D84" i="12"/>
  <c r="H84" i="12" s="1"/>
  <c r="G83" i="12"/>
  <c r="D83" i="12"/>
  <c r="G82" i="12"/>
  <c r="D82" i="12"/>
  <c r="G81" i="12"/>
  <c r="D81" i="12"/>
  <c r="G80" i="12"/>
  <c r="H80" i="12" s="1"/>
  <c r="D80" i="12"/>
  <c r="G79" i="12"/>
  <c r="H79" i="12" s="1"/>
  <c r="D79" i="12"/>
  <c r="G78" i="12"/>
  <c r="D78" i="12"/>
  <c r="G77" i="12"/>
  <c r="D77" i="12"/>
  <c r="G76" i="12"/>
  <c r="D76" i="12"/>
  <c r="G75" i="12"/>
  <c r="D75" i="12"/>
  <c r="G74" i="12"/>
  <c r="D74" i="12"/>
  <c r="G73" i="12"/>
  <c r="H73" i="12" s="1"/>
  <c r="D73" i="12"/>
  <c r="G72" i="12"/>
  <c r="D72" i="12"/>
  <c r="G71" i="12"/>
  <c r="D71" i="12"/>
  <c r="G70" i="12"/>
  <c r="D70" i="12"/>
  <c r="H70" i="12" s="1"/>
  <c r="G69" i="12"/>
  <c r="D69" i="12"/>
  <c r="G68" i="12"/>
  <c r="D68" i="12"/>
  <c r="F93" i="7"/>
  <c r="E93" i="7"/>
  <c r="C93" i="7"/>
  <c r="B93" i="7"/>
  <c r="G92" i="7"/>
  <c r="D92" i="7"/>
  <c r="G91" i="7"/>
  <c r="D91" i="7"/>
  <c r="G90" i="7"/>
  <c r="D90" i="7"/>
  <c r="G89" i="7"/>
  <c r="D89" i="7"/>
  <c r="G88" i="7"/>
  <c r="D88" i="7"/>
  <c r="G87" i="7"/>
  <c r="D87" i="7"/>
  <c r="G86" i="7"/>
  <c r="D86" i="7"/>
  <c r="G85" i="7"/>
  <c r="D85" i="7"/>
  <c r="G84" i="7"/>
  <c r="D84" i="7"/>
  <c r="G83" i="7"/>
  <c r="D83" i="7"/>
  <c r="G82" i="7"/>
  <c r="D82" i="7"/>
  <c r="G81" i="7"/>
  <c r="D81" i="7"/>
  <c r="G80" i="7"/>
  <c r="D80" i="7"/>
  <c r="G79" i="7"/>
  <c r="D79" i="7"/>
  <c r="G78" i="7"/>
  <c r="D78" i="7"/>
  <c r="G77" i="7"/>
  <c r="D77" i="7"/>
  <c r="G76" i="7"/>
  <c r="D76" i="7"/>
  <c r="G75" i="7"/>
  <c r="D75" i="7"/>
  <c r="G74" i="7"/>
  <c r="D74" i="7"/>
  <c r="G73" i="7"/>
  <c r="D73" i="7"/>
  <c r="H73" i="7" s="1"/>
  <c r="G72" i="7"/>
  <c r="H72" i="7" s="1"/>
  <c r="D72" i="7"/>
  <c r="G71" i="7"/>
  <c r="D71" i="7"/>
  <c r="G70" i="7"/>
  <c r="D70" i="7"/>
  <c r="G69" i="7"/>
  <c r="H69" i="7" s="1"/>
  <c r="D69" i="7"/>
  <c r="G68" i="7"/>
  <c r="D68" i="7"/>
  <c r="G67" i="7"/>
  <c r="D67" i="7"/>
  <c r="G66" i="7"/>
  <c r="D66" i="7"/>
  <c r="F98" i="13"/>
  <c r="E98" i="13"/>
  <c r="C98" i="13"/>
  <c r="B98" i="13"/>
  <c r="G97" i="13"/>
  <c r="D97" i="13"/>
  <c r="G96" i="13"/>
  <c r="H96" i="13" s="1"/>
  <c r="D96" i="13"/>
  <c r="G95" i="13"/>
  <c r="H95" i="13" s="1"/>
  <c r="D95" i="13"/>
  <c r="G94" i="13"/>
  <c r="D94" i="13"/>
  <c r="G93" i="13"/>
  <c r="D93" i="13"/>
  <c r="G92" i="13"/>
  <c r="H92" i="13" s="1"/>
  <c r="D92" i="13"/>
  <c r="G91" i="13"/>
  <c r="D91" i="13"/>
  <c r="G90" i="13"/>
  <c r="D90" i="13"/>
  <c r="G89" i="13"/>
  <c r="D89" i="13"/>
  <c r="G88" i="13"/>
  <c r="D88" i="13"/>
  <c r="G87" i="13"/>
  <c r="D87" i="13"/>
  <c r="G86" i="13"/>
  <c r="D86" i="13"/>
  <c r="G85" i="13"/>
  <c r="H85" i="13" s="1"/>
  <c r="D85" i="13"/>
  <c r="G84" i="13"/>
  <c r="D84" i="13"/>
  <c r="G83" i="13"/>
  <c r="D83" i="13"/>
  <c r="G82" i="13"/>
  <c r="D82" i="13"/>
  <c r="G81" i="13"/>
  <c r="D81" i="13"/>
  <c r="G80" i="13"/>
  <c r="D80" i="13"/>
  <c r="G79" i="13"/>
  <c r="H79" i="13" s="1"/>
  <c r="D79" i="13"/>
  <c r="G78" i="13"/>
  <c r="D78" i="13"/>
  <c r="G77" i="13"/>
  <c r="D77" i="13"/>
  <c r="G76" i="13"/>
  <c r="D76" i="13"/>
  <c r="G75" i="13"/>
  <c r="D75" i="13"/>
  <c r="G74" i="13"/>
  <c r="D74" i="13"/>
  <c r="G73" i="13"/>
  <c r="D73" i="13"/>
  <c r="G72" i="13"/>
  <c r="D72" i="13"/>
  <c r="G71" i="13"/>
  <c r="D71" i="13"/>
  <c r="G70" i="13"/>
  <c r="D70" i="13"/>
  <c r="F98" i="15"/>
  <c r="E98" i="15"/>
  <c r="C98" i="15"/>
  <c r="B98" i="15"/>
  <c r="G97" i="15"/>
  <c r="D97" i="15"/>
  <c r="G96" i="15"/>
  <c r="D96" i="15"/>
  <c r="G95" i="15"/>
  <c r="D95" i="15"/>
  <c r="G94" i="15"/>
  <c r="D94" i="15"/>
  <c r="G93" i="15"/>
  <c r="D93" i="15"/>
  <c r="G92" i="15"/>
  <c r="D92" i="15"/>
  <c r="G91" i="15"/>
  <c r="D91" i="15"/>
  <c r="G90" i="15"/>
  <c r="D90" i="15"/>
  <c r="G89" i="15"/>
  <c r="D89" i="15"/>
  <c r="G88" i="15"/>
  <c r="D88" i="15"/>
  <c r="G87" i="15"/>
  <c r="D87" i="15"/>
  <c r="G86" i="15"/>
  <c r="D86" i="15"/>
  <c r="G85" i="15"/>
  <c r="D85" i="15"/>
  <c r="G84" i="15"/>
  <c r="D84" i="15"/>
  <c r="H84" i="15" s="1"/>
  <c r="G83" i="15"/>
  <c r="D83" i="15"/>
  <c r="G82" i="15"/>
  <c r="D82" i="15"/>
  <c r="G81" i="15"/>
  <c r="D81" i="15"/>
  <c r="G80" i="15"/>
  <c r="D80" i="15"/>
  <c r="G79" i="15"/>
  <c r="D79" i="15"/>
  <c r="G78" i="15"/>
  <c r="D78" i="15"/>
  <c r="G77" i="15"/>
  <c r="D77" i="15"/>
  <c r="G76" i="15"/>
  <c r="D76" i="15"/>
  <c r="G75" i="15"/>
  <c r="D75" i="15"/>
  <c r="H75" i="15" s="1"/>
  <c r="G74" i="15"/>
  <c r="D74" i="15"/>
  <c r="G73" i="15"/>
  <c r="D73" i="15"/>
  <c r="G72" i="15"/>
  <c r="D72" i="15"/>
  <c r="G71" i="15"/>
  <c r="D71" i="15"/>
  <c r="G70" i="15"/>
  <c r="D70" i="15"/>
  <c r="D82" i="6"/>
  <c r="G82" i="6"/>
  <c r="D83" i="6"/>
  <c r="G83" i="6"/>
  <c r="D84" i="6"/>
  <c r="G84" i="6"/>
  <c r="D85" i="6"/>
  <c r="G85" i="6"/>
  <c r="D86" i="6"/>
  <c r="G86" i="6"/>
  <c r="D87" i="6"/>
  <c r="G87" i="6"/>
  <c r="F64" i="7"/>
  <c r="E64" i="7"/>
  <c r="C64" i="7"/>
  <c r="B64" i="7"/>
  <c r="G63" i="7"/>
  <c r="G62" i="7"/>
  <c r="G61" i="7"/>
  <c r="G60" i="7"/>
  <c r="G59" i="7"/>
  <c r="G58" i="7"/>
  <c r="G57" i="7"/>
  <c r="G56" i="7"/>
  <c r="G55" i="7"/>
  <c r="G54" i="7"/>
  <c r="G53" i="7"/>
  <c r="G52" i="7"/>
  <c r="D52" i="7"/>
  <c r="F62" i="9"/>
  <c r="E62" i="9"/>
  <c r="C62" i="9"/>
  <c r="B62" i="9"/>
  <c r="G50" i="9"/>
  <c r="D50" i="9"/>
  <c r="F66" i="10"/>
  <c r="E66" i="10"/>
  <c r="C66" i="10"/>
  <c r="B66" i="10"/>
  <c r="G54" i="10"/>
  <c r="D54" i="10"/>
  <c r="F66" i="11"/>
  <c r="E66" i="11"/>
  <c r="C66" i="11"/>
  <c r="B66" i="11"/>
  <c r="G54" i="11"/>
  <c r="D54" i="11"/>
  <c r="F73" i="19"/>
  <c r="E73" i="19"/>
  <c r="C73" i="19"/>
  <c r="B73" i="19"/>
  <c r="G72" i="19"/>
  <c r="G71" i="19"/>
  <c r="K71" i="19" s="1"/>
  <c r="G70" i="19"/>
  <c r="G69" i="19"/>
  <c r="G68" i="19"/>
  <c r="G67" i="19"/>
  <c r="G66" i="19"/>
  <c r="G65" i="19"/>
  <c r="G64" i="19"/>
  <c r="K64" i="19" s="1"/>
  <c r="G63" i="19"/>
  <c r="K63" i="19" s="1"/>
  <c r="G62" i="19"/>
  <c r="G61" i="19"/>
  <c r="G60" i="19"/>
  <c r="D60" i="19"/>
  <c r="F70" i="17"/>
  <c r="E70" i="17"/>
  <c r="C70" i="17"/>
  <c r="B70" i="17"/>
  <c r="G69" i="17"/>
  <c r="G68" i="17"/>
  <c r="G67" i="17"/>
  <c r="G66" i="17"/>
  <c r="G65" i="17"/>
  <c r="G64" i="17"/>
  <c r="G63" i="17"/>
  <c r="G62" i="17"/>
  <c r="G61" i="17"/>
  <c r="G60" i="17"/>
  <c r="G59" i="17"/>
  <c r="G58" i="17"/>
  <c r="G57" i="17"/>
  <c r="D57" i="17"/>
  <c r="F70" i="18"/>
  <c r="E70" i="18"/>
  <c r="C70" i="18"/>
  <c r="B70" i="18"/>
  <c r="G69" i="18"/>
  <c r="G68" i="18"/>
  <c r="H68" i="18" s="1"/>
  <c r="G67" i="18"/>
  <c r="H67" i="18" s="1"/>
  <c r="G66" i="18"/>
  <c r="H66" i="18" s="1"/>
  <c r="G65" i="18"/>
  <c r="G64" i="18"/>
  <c r="H64" i="18" s="1"/>
  <c r="G63" i="18"/>
  <c r="H63" i="18" s="1"/>
  <c r="G62" i="18"/>
  <c r="G61" i="18"/>
  <c r="G60" i="18"/>
  <c r="G59" i="18"/>
  <c r="H59" i="18" s="1"/>
  <c r="G58" i="18"/>
  <c r="G57" i="18"/>
  <c r="D57" i="18"/>
  <c r="F68" i="13"/>
  <c r="E68" i="13"/>
  <c r="C68" i="13"/>
  <c r="B68" i="13"/>
  <c r="G67" i="13"/>
  <c r="H67" i="13" s="1"/>
  <c r="G66" i="13"/>
  <c r="G65" i="13"/>
  <c r="G64" i="13"/>
  <c r="G63" i="13"/>
  <c r="G62" i="13"/>
  <c r="H62" i="13" s="1"/>
  <c r="G61" i="13"/>
  <c r="G60" i="13"/>
  <c r="H60" i="13" s="1"/>
  <c r="G59" i="13"/>
  <c r="H59" i="13" s="1"/>
  <c r="G58" i="13"/>
  <c r="H58" i="13" s="1"/>
  <c r="G57" i="13"/>
  <c r="G56" i="13"/>
  <c r="G55" i="13"/>
  <c r="D55" i="13"/>
  <c r="B67" i="14"/>
  <c r="G54" i="14"/>
  <c r="D54" i="14"/>
  <c r="F68" i="15"/>
  <c r="E68" i="15"/>
  <c r="C68" i="15"/>
  <c r="B68" i="15"/>
  <c r="G67" i="15"/>
  <c r="G66" i="15"/>
  <c r="H66" i="15" s="1"/>
  <c r="G65" i="15"/>
  <c r="H65" i="15" s="1"/>
  <c r="G64" i="15"/>
  <c r="H64" i="15" s="1"/>
  <c r="G63" i="15"/>
  <c r="H63" i="15" s="1"/>
  <c r="G62" i="15"/>
  <c r="H62" i="15" s="1"/>
  <c r="G61" i="15"/>
  <c r="H61" i="15" s="1"/>
  <c r="G60" i="15"/>
  <c r="H60" i="15" s="1"/>
  <c r="G59" i="15"/>
  <c r="H59" i="15" s="1"/>
  <c r="G58" i="15"/>
  <c r="H58" i="15" s="1"/>
  <c r="G57" i="15"/>
  <c r="H57" i="15" s="1"/>
  <c r="G56" i="15"/>
  <c r="H56" i="15" s="1"/>
  <c r="G55" i="15"/>
  <c r="D55" i="15"/>
  <c r="F66" i="12"/>
  <c r="E66" i="12"/>
  <c r="C66" i="12"/>
  <c r="B66" i="12"/>
  <c r="G53" i="12"/>
  <c r="G66" i="12" s="1"/>
  <c r="D53" i="12"/>
  <c r="F65" i="8"/>
  <c r="E65" i="8"/>
  <c r="C65" i="8"/>
  <c r="B65" i="8"/>
  <c r="G64" i="8"/>
  <c r="G63" i="8"/>
  <c r="G62" i="8"/>
  <c r="G61" i="8"/>
  <c r="G60" i="8"/>
  <c r="G59" i="8"/>
  <c r="G58" i="8"/>
  <c r="G57" i="8"/>
  <c r="G56" i="8"/>
  <c r="G55" i="8"/>
  <c r="G54" i="8"/>
  <c r="G53" i="8"/>
  <c r="G52" i="8"/>
  <c r="D52" i="8"/>
  <c r="G49" i="19"/>
  <c r="G50" i="19"/>
  <c r="G51" i="19"/>
  <c r="G52" i="19"/>
  <c r="K52" i="19" s="1"/>
  <c r="G53" i="19"/>
  <c r="F58" i="19"/>
  <c r="E58" i="19"/>
  <c r="C58" i="19"/>
  <c r="B58" i="19"/>
  <c r="G57" i="19"/>
  <c r="G56" i="19"/>
  <c r="K56" i="19" s="1"/>
  <c r="G55" i="19"/>
  <c r="K55" i="19" s="1"/>
  <c r="G54" i="19"/>
  <c r="G48" i="19"/>
  <c r="G47" i="19"/>
  <c r="K47" i="19" s="1"/>
  <c r="G46" i="19"/>
  <c r="G45" i="19"/>
  <c r="G44" i="19"/>
  <c r="K44" i="19" s="1"/>
  <c r="G43" i="19"/>
  <c r="G42" i="19"/>
  <c r="G41" i="19"/>
  <c r="G40" i="19"/>
  <c r="G39" i="19"/>
  <c r="K39" i="19" s="1"/>
  <c r="G38" i="19"/>
  <c r="G37" i="19"/>
  <c r="D37" i="19"/>
  <c r="F55" i="17"/>
  <c r="E55" i="17"/>
  <c r="C55" i="17"/>
  <c r="B55" i="17"/>
  <c r="G54" i="17"/>
  <c r="G53" i="17"/>
  <c r="G52" i="17"/>
  <c r="G51" i="17"/>
  <c r="G50" i="17"/>
  <c r="G49" i="17"/>
  <c r="G48" i="17"/>
  <c r="G47" i="17"/>
  <c r="G46" i="17"/>
  <c r="G45" i="17"/>
  <c r="G44" i="17"/>
  <c r="G43" i="17"/>
  <c r="G42" i="17"/>
  <c r="G41" i="17"/>
  <c r="G40" i="17"/>
  <c r="G39" i="17"/>
  <c r="G38" i="17"/>
  <c r="H38" i="17" s="1"/>
  <c r="G37" i="17"/>
  <c r="D37" i="17"/>
  <c r="F55" i="18"/>
  <c r="E55" i="18"/>
  <c r="C55" i="18"/>
  <c r="B55" i="18"/>
  <c r="G54" i="18"/>
  <c r="G53" i="18"/>
  <c r="G52" i="18"/>
  <c r="G51" i="18"/>
  <c r="H51" i="18" s="1"/>
  <c r="G50" i="18"/>
  <c r="G49" i="18"/>
  <c r="H49" i="18" s="1"/>
  <c r="G48" i="18"/>
  <c r="G47" i="18"/>
  <c r="G46" i="18"/>
  <c r="G45" i="18"/>
  <c r="G44" i="18"/>
  <c r="G43" i="18"/>
  <c r="G42" i="18"/>
  <c r="G41" i="18"/>
  <c r="H41" i="18" s="1"/>
  <c r="G40" i="18"/>
  <c r="H40" i="18" s="1"/>
  <c r="G39" i="18"/>
  <c r="G38" i="18"/>
  <c r="G37" i="18"/>
  <c r="D37" i="18"/>
  <c r="F54" i="16"/>
  <c r="E54" i="16"/>
  <c r="C54" i="16"/>
  <c r="B54" i="16"/>
  <c r="G37" i="16"/>
  <c r="D37" i="16"/>
  <c r="F53" i="13"/>
  <c r="E53" i="13"/>
  <c r="G53" i="13" s="1"/>
  <c r="C53" i="13"/>
  <c r="B53" i="13"/>
  <c r="G52" i="13"/>
  <c r="G51" i="13"/>
  <c r="H51" i="13" s="1"/>
  <c r="G50" i="13"/>
  <c r="G49" i="13"/>
  <c r="H49" i="13" s="1"/>
  <c r="G48" i="13"/>
  <c r="G47" i="13"/>
  <c r="G46" i="13"/>
  <c r="G45" i="13"/>
  <c r="H45" i="13" s="1"/>
  <c r="G44" i="13"/>
  <c r="G43" i="13"/>
  <c r="G42" i="13"/>
  <c r="H42" i="13" s="1"/>
  <c r="G41" i="13"/>
  <c r="G40" i="13"/>
  <c r="G39" i="13"/>
  <c r="G38" i="13"/>
  <c r="H38" i="13" s="1"/>
  <c r="G37" i="13"/>
  <c r="D37" i="13"/>
  <c r="B52" i="14"/>
  <c r="G35" i="14"/>
  <c r="G52" i="14" s="1"/>
  <c r="D35" i="14"/>
  <c r="G46" i="15"/>
  <c r="G47" i="15"/>
  <c r="D46" i="15"/>
  <c r="D47" i="15"/>
  <c r="D48" i="15"/>
  <c r="F53" i="15"/>
  <c r="E53" i="15"/>
  <c r="C53" i="15"/>
  <c r="B53" i="15"/>
  <c r="G52" i="15"/>
  <c r="D52" i="15"/>
  <c r="G51" i="15"/>
  <c r="D51" i="15"/>
  <c r="G50" i="15"/>
  <c r="D50" i="15"/>
  <c r="G49" i="15"/>
  <c r="D49" i="15"/>
  <c r="G48" i="15"/>
  <c r="G45" i="15"/>
  <c r="D45" i="15"/>
  <c r="G44" i="15"/>
  <c r="D44" i="15"/>
  <c r="G43" i="15"/>
  <c r="D43" i="15"/>
  <c r="G42" i="15"/>
  <c r="D42" i="15"/>
  <c r="G41" i="15"/>
  <c r="D41" i="15"/>
  <c r="G40" i="15"/>
  <c r="D40" i="15"/>
  <c r="G39" i="15"/>
  <c r="D39" i="15"/>
  <c r="G38" i="15"/>
  <c r="D38" i="15"/>
  <c r="G37" i="15"/>
  <c r="D37" i="15"/>
  <c r="G36" i="15"/>
  <c r="D36" i="15"/>
  <c r="G35" i="15"/>
  <c r="D35" i="15"/>
  <c r="F51" i="12"/>
  <c r="E51" i="12"/>
  <c r="G51" i="12" s="1"/>
  <c r="C51" i="12"/>
  <c r="B51" i="12"/>
  <c r="G35" i="12"/>
  <c r="D35" i="12"/>
  <c r="D51" i="12" s="1"/>
  <c r="F52" i="11"/>
  <c r="E52" i="11"/>
  <c r="C52" i="11"/>
  <c r="B52" i="11"/>
  <c r="G25" i="11"/>
  <c r="D25" i="11"/>
  <c r="F52" i="10"/>
  <c r="E52" i="10"/>
  <c r="C52" i="10"/>
  <c r="B52" i="10"/>
  <c r="G25" i="10"/>
  <c r="D25" i="10"/>
  <c r="F48" i="9"/>
  <c r="E48" i="9"/>
  <c r="C48" i="9"/>
  <c r="B48" i="9"/>
  <c r="G25" i="9"/>
  <c r="D25" i="9"/>
  <c r="F50" i="8"/>
  <c r="E50" i="8"/>
  <c r="G50" i="8" s="1"/>
  <c r="C50" i="8"/>
  <c r="B50" i="8"/>
  <c r="G49" i="8"/>
  <c r="D49" i="8"/>
  <c r="G48" i="8"/>
  <c r="D48" i="8"/>
  <c r="G47" i="8"/>
  <c r="G46" i="8"/>
  <c r="H46" i="8" s="1"/>
  <c r="G45" i="8"/>
  <c r="G44" i="8"/>
  <c r="G43" i="8"/>
  <c r="G42" i="8"/>
  <c r="G41" i="8"/>
  <c r="G40" i="8"/>
  <c r="G39" i="8"/>
  <c r="G38" i="8"/>
  <c r="H38" i="8" s="1"/>
  <c r="G37" i="8"/>
  <c r="G36" i="8"/>
  <c r="G35" i="8"/>
  <c r="G34" i="8"/>
  <c r="G33" i="8"/>
  <c r="G32" i="8"/>
  <c r="G31" i="8"/>
  <c r="H31" i="8" s="1"/>
  <c r="G30" i="8"/>
  <c r="G29" i="8"/>
  <c r="G28" i="8"/>
  <c r="G27" i="8"/>
  <c r="G26" i="8"/>
  <c r="H26" i="8" s="1"/>
  <c r="G25" i="8"/>
  <c r="G24" i="8"/>
  <c r="D24" i="8"/>
  <c r="G39" i="7"/>
  <c r="B50" i="7"/>
  <c r="G49" i="7"/>
  <c r="G48" i="7"/>
  <c r="G38" i="7"/>
  <c r="H38" i="7"/>
  <c r="G37" i="7"/>
  <c r="G36" i="7"/>
  <c r="G35" i="7"/>
  <c r="G34" i="7"/>
  <c r="G33" i="7"/>
  <c r="G32" i="7"/>
  <c r="H32" i="7"/>
  <c r="G31" i="7"/>
  <c r="G30" i="7"/>
  <c r="G29" i="7"/>
  <c r="G28" i="7"/>
  <c r="G27" i="7"/>
  <c r="H27" i="7" s="1"/>
  <c r="G26" i="7"/>
  <c r="G25" i="7"/>
  <c r="G24" i="7"/>
  <c r="H24" i="7"/>
  <c r="G31" i="6"/>
  <c r="G32" i="6"/>
  <c r="G33" i="6"/>
  <c r="G34" i="6"/>
  <c r="G35" i="6"/>
  <c r="G36" i="6"/>
  <c r="G37" i="6"/>
  <c r="G38" i="6"/>
  <c r="F35" i="19"/>
  <c r="E35" i="19"/>
  <c r="C35" i="19"/>
  <c r="B35" i="19"/>
  <c r="G34" i="19"/>
  <c r="D34" i="19"/>
  <c r="G33" i="19"/>
  <c r="D33" i="19"/>
  <c r="G32" i="19"/>
  <c r="D32" i="19"/>
  <c r="G31" i="19"/>
  <c r="D31" i="19"/>
  <c r="G30" i="19"/>
  <c r="D30" i="19"/>
  <c r="G29" i="19"/>
  <c r="D29" i="19"/>
  <c r="G28" i="19"/>
  <c r="D28" i="19"/>
  <c r="G27" i="19"/>
  <c r="D27" i="19"/>
  <c r="G26" i="19"/>
  <c r="D26" i="19"/>
  <c r="G25" i="19"/>
  <c r="D25" i="19"/>
  <c r="G24" i="19"/>
  <c r="D24" i="19"/>
  <c r="G23" i="19"/>
  <c r="D23" i="19"/>
  <c r="G22" i="19"/>
  <c r="D22" i="19"/>
  <c r="G21" i="19"/>
  <c r="D21" i="19"/>
  <c r="G20" i="19"/>
  <c r="D20" i="19"/>
  <c r="G19" i="19"/>
  <c r="D19" i="19"/>
  <c r="G18" i="19"/>
  <c r="D18" i="19"/>
  <c r="G17" i="19"/>
  <c r="D17" i="19"/>
  <c r="G16" i="19"/>
  <c r="D16" i="19"/>
  <c r="G15" i="19"/>
  <c r="D15" i="19"/>
  <c r="G14" i="19"/>
  <c r="D14" i="19"/>
  <c r="G13" i="19"/>
  <c r="D13" i="19"/>
  <c r="G12" i="19"/>
  <c r="D12" i="19"/>
  <c r="G11" i="19"/>
  <c r="D11" i="19"/>
  <c r="G10" i="19"/>
  <c r="D10" i="19"/>
  <c r="G9" i="19"/>
  <c r="D9" i="19"/>
  <c r="G8" i="19"/>
  <c r="D8" i="19"/>
  <c r="A3" i="19"/>
  <c r="F35" i="17"/>
  <c r="E35" i="17"/>
  <c r="C35" i="17"/>
  <c r="B35" i="17"/>
  <c r="G34" i="17"/>
  <c r="D34" i="17"/>
  <c r="G33" i="17"/>
  <c r="D33" i="17"/>
  <c r="G32" i="17"/>
  <c r="D32" i="17"/>
  <c r="G31" i="17"/>
  <c r="D31" i="17"/>
  <c r="G30" i="17"/>
  <c r="D30" i="17"/>
  <c r="G29" i="17"/>
  <c r="D29" i="17"/>
  <c r="G28" i="17"/>
  <c r="D28" i="17"/>
  <c r="G27" i="17"/>
  <c r="D27" i="17"/>
  <c r="G26" i="17"/>
  <c r="D26" i="17"/>
  <c r="G25" i="17"/>
  <c r="D25" i="17"/>
  <c r="G24" i="17"/>
  <c r="D24" i="17"/>
  <c r="G23" i="17"/>
  <c r="D23" i="17"/>
  <c r="G22" i="17"/>
  <c r="D22" i="17"/>
  <c r="G21" i="17"/>
  <c r="D21" i="17"/>
  <c r="G20" i="17"/>
  <c r="D20" i="17"/>
  <c r="G19" i="17"/>
  <c r="D19" i="17"/>
  <c r="G18" i="17"/>
  <c r="D18" i="17"/>
  <c r="G17" i="17"/>
  <c r="D17" i="17"/>
  <c r="G16" i="17"/>
  <c r="D16" i="17"/>
  <c r="G15" i="17"/>
  <c r="D15" i="17"/>
  <c r="G14" i="17"/>
  <c r="D14" i="17"/>
  <c r="G13" i="17"/>
  <c r="D13" i="17"/>
  <c r="G12" i="17"/>
  <c r="D12" i="17"/>
  <c r="G11" i="17"/>
  <c r="D11" i="17"/>
  <c r="G10" i="17"/>
  <c r="D10" i="17"/>
  <c r="G9" i="17"/>
  <c r="D9" i="17"/>
  <c r="G8" i="17"/>
  <c r="D8" i="17"/>
  <c r="A3" i="17"/>
  <c r="F35" i="18"/>
  <c r="E35" i="18"/>
  <c r="C35" i="18"/>
  <c r="B35" i="18"/>
  <c r="G34" i="18"/>
  <c r="D34" i="18"/>
  <c r="G33" i="18"/>
  <c r="D33" i="18"/>
  <c r="G32" i="18"/>
  <c r="D32" i="18"/>
  <c r="G31" i="18"/>
  <c r="D31" i="18"/>
  <c r="G30" i="18"/>
  <c r="D30" i="18"/>
  <c r="G29" i="18"/>
  <c r="D29" i="18"/>
  <c r="G28" i="18"/>
  <c r="D28" i="18"/>
  <c r="G27" i="18"/>
  <c r="D27" i="18"/>
  <c r="G26" i="18"/>
  <c r="H26" i="18" s="1"/>
  <c r="D26" i="18"/>
  <c r="G25" i="18"/>
  <c r="D25" i="18"/>
  <c r="G24" i="18"/>
  <c r="D24" i="18"/>
  <c r="G23" i="18"/>
  <c r="D23" i="18"/>
  <c r="G22" i="18"/>
  <c r="D22" i="18"/>
  <c r="G21" i="18"/>
  <c r="D21" i="18"/>
  <c r="G20" i="18"/>
  <c r="H20" i="18" s="1"/>
  <c r="D20" i="18"/>
  <c r="G19" i="18"/>
  <c r="D19" i="18"/>
  <c r="G18" i="18"/>
  <c r="D18" i="18"/>
  <c r="G17" i="18"/>
  <c r="D17" i="18"/>
  <c r="G16" i="18"/>
  <c r="D16" i="18"/>
  <c r="G15" i="18"/>
  <c r="H15" i="18" s="1"/>
  <c r="D15" i="18"/>
  <c r="G14" i="18"/>
  <c r="D14" i="18"/>
  <c r="H14" i="18" s="1"/>
  <c r="G13" i="18"/>
  <c r="D13" i="18"/>
  <c r="G12" i="18"/>
  <c r="D12" i="18"/>
  <c r="G11" i="18"/>
  <c r="D11" i="18"/>
  <c r="G10" i="18"/>
  <c r="D10" i="18"/>
  <c r="G9" i="18"/>
  <c r="D9" i="18"/>
  <c r="G8" i="18"/>
  <c r="H8" i="18" s="1"/>
  <c r="D8" i="18"/>
  <c r="F35" i="16"/>
  <c r="E35" i="16"/>
  <c r="C35" i="16"/>
  <c r="B35" i="16"/>
  <c r="G34" i="16"/>
  <c r="D34" i="16"/>
  <c r="G33" i="16"/>
  <c r="D33" i="16"/>
  <c r="G32" i="16"/>
  <c r="D32" i="16"/>
  <c r="G31" i="16"/>
  <c r="D31" i="16"/>
  <c r="G30" i="16"/>
  <c r="D30" i="16"/>
  <c r="G29" i="16"/>
  <c r="D29" i="16"/>
  <c r="G28" i="16"/>
  <c r="D28" i="16"/>
  <c r="G27" i="16"/>
  <c r="D27" i="16"/>
  <c r="G26" i="16"/>
  <c r="D26" i="16"/>
  <c r="G25" i="16"/>
  <c r="D25" i="16"/>
  <c r="G24" i="16"/>
  <c r="D24" i="16"/>
  <c r="G23" i="16"/>
  <c r="D23" i="16"/>
  <c r="G22" i="16"/>
  <c r="D22" i="16"/>
  <c r="G21" i="16"/>
  <c r="D21" i="16"/>
  <c r="G20" i="16"/>
  <c r="D20" i="16"/>
  <c r="G19" i="16"/>
  <c r="D19" i="16"/>
  <c r="G18" i="16"/>
  <c r="D18" i="16"/>
  <c r="G17" i="16"/>
  <c r="D17" i="16"/>
  <c r="G16" i="16"/>
  <c r="D16" i="16"/>
  <c r="G15" i="16"/>
  <c r="D15" i="16"/>
  <c r="G14" i="16"/>
  <c r="D14" i="16"/>
  <c r="G13" i="16"/>
  <c r="D13" i="16"/>
  <c r="G12" i="16"/>
  <c r="D12" i="16"/>
  <c r="G11" i="16"/>
  <c r="D11" i="16"/>
  <c r="G10" i="16"/>
  <c r="D10" i="16"/>
  <c r="G9" i="16"/>
  <c r="D9" i="16"/>
  <c r="G8" i="16"/>
  <c r="D8" i="16"/>
  <c r="A3" i="16"/>
  <c r="G11" i="13"/>
  <c r="D11" i="13"/>
  <c r="G10" i="13"/>
  <c r="D10" i="13"/>
  <c r="F35" i="13"/>
  <c r="E35" i="13"/>
  <c r="C35" i="13"/>
  <c r="B35" i="13"/>
  <c r="G34" i="13"/>
  <c r="D34" i="13"/>
  <c r="G33" i="13"/>
  <c r="D33" i="13"/>
  <c r="G32" i="13"/>
  <c r="D32" i="13"/>
  <c r="G31" i="13"/>
  <c r="D31" i="13"/>
  <c r="G30" i="13"/>
  <c r="D30" i="13"/>
  <c r="G29" i="13"/>
  <c r="H29" i="13" s="1"/>
  <c r="D29" i="13"/>
  <c r="G28" i="13"/>
  <c r="D28" i="13"/>
  <c r="G27" i="13"/>
  <c r="D27" i="13"/>
  <c r="G26" i="13"/>
  <c r="D26" i="13"/>
  <c r="G25" i="13"/>
  <c r="D25" i="13"/>
  <c r="G24" i="13"/>
  <c r="D24" i="13"/>
  <c r="G23" i="13"/>
  <c r="D23" i="13"/>
  <c r="G22" i="13"/>
  <c r="D22" i="13"/>
  <c r="G21" i="13"/>
  <c r="D21" i="13"/>
  <c r="G20" i="13"/>
  <c r="D20" i="13"/>
  <c r="G19" i="13"/>
  <c r="D19" i="13"/>
  <c r="G18" i="13"/>
  <c r="D18" i="13"/>
  <c r="G17" i="13"/>
  <c r="D17" i="13"/>
  <c r="G16" i="13"/>
  <c r="D16" i="13"/>
  <c r="G15" i="13"/>
  <c r="D15" i="13"/>
  <c r="G14" i="13"/>
  <c r="D14" i="13"/>
  <c r="G13" i="13"/>
  <c r="D13" i="13"/>
  <c r="G12" i="13"/>
  <c r="D12" i="13"/>
  <c r="G9" i="13"/>
  <c r="D9" i="13"/>
  <c r="G8" i="13"/>
  <c r="D8" i="13"/>
  <c r="A3" i="13"/>
  <c r="B33" i="14"/>
  <c r="G8" i="14"/>
  <c r="D8" i="14"/>
  <c r="A3" i="14"/>
  <c r="D27" i="15"/>
  <c r="G27" i="15"/>
  <c r="D28" i="15"/>
  <c r="G28" i="15"/>
  <c r="H28" i="15" s="1"/>
  <c r="D29" i="15"/>
  <c r="G29" i="15"/>
  <c r="F33" i="15"/>
  <c r="E33" i="15"/>
  <c r="C33" i="15"/>
  <c r="B33" i="15"/>
  <c r="G32" i="15"/>
  <c r="D32" i="15"/>
  <c r="G31" i="15"/>
  <c r="D31" i="15"/>
  <c r="G30" i="15"/>
  <c r="D30" i="15"/>
  <c r="G26" i="15"/>
  <c r="D26" i="15"/>
  <c r="G25" i="15"/>
  <c r="D25" i="15"/>
  <c r="G24" i="15"/>
  <c r="D24" i="15"/>
  <c r="G23" i="15"/>
  <c r="D23" i="15"/>
  <c r="G22" i="15"/>
  <c r="H22" i="15" s="1"/>
  <c r="D22" i="15"/>
  <c r="G21" i="15"/>
  <c r="D21" i="15"/>
  <c r="G20" i="15"/>
  <c r="D20" i="15"/>
  <c r="G19" i="15"/>
  <c r="D19" i="15"/>
  <c r="G18" i="15"/>
  <c r="D18" i="15"/>
  <c r="G17" i="15"/>
  <c r="D17" i="15"/>
  <c r="G16" i="15"/>
  <c r="D16" i="15"/>
  <c r="G15" i="15"/>
  <c r="D15" i="15"/>
  <c r="H14" i="15"/>
  <c r="G14" i="15"/>
  <c r="D14" i="15"/>
  <c r="G13" i="15"/>
  <c r="D13" i="15"/>
  <c r="G12" i="15"/>
  <c r="D12" i="15"/>
  <c r="G11" i="15"/>
  <c r="D11" i="15"/>
  <c r="G10" i="15"/>
  <c r="D10" i="15"/>
  <c r="G9" i="15"/>
  <c r="D9" i="15"/>
  <c r="G8" i="15"/>
  <c r="D8" i="15"/>
  <c r="A3" i="15"/>
  <c r="F33" i="12"/>
  <c r="E33" i="12"/>
  <c r="C33" i="12"/>
  <c r="B33" i="12"/>
  <c r="G8" i="12"/>
  <c r="D8" i="12"/>
  <c r="A3" i="12"/>
  <c r="F23" i="11"/>
  <c r="E23" i="11"/>
  <c r="C23" i="11"/>
  <c r="B23" i="11"/>
  <c r="G22" i="11"/>
  <c r="D22" i="11"/>
  <c r="G21" i="11"/>
  <c r="D21" i="11"/>
  <c r="G20" i="11"/>
  <c r="D20" i="11"/>
  <c r="G19" i="11"/>
  <c r="D19" i="11"/>
  <c r="G18" i="11"/>
  <c r="D18" i="11"/>
  <c r="G17" i="11"/>
  <c r="D17" i="11"/>
  <c r="G16" i="11"/>
  <c r="D16" i="11"/>
  <c r="G15" i="11"/>
  <c r="D15" i="11"/>
  <c r="G14" i="11"/>
  <c r="D14" i="11"/>
  <c r="G13" i="11"/>
  <c r="D13" i="11"/>
  <c r="G12" i="11"/>
  <c r="D12" i="11"/>
  <c r="G11" i="11"/>
  <c r="D11" i="11"/>
  <c r="G10" i="11"/>
  <c r="D10" i="11"/>
  <c r="G9" i="11"/>
  <c r="D9" i="11"/>
  <c r="G8" i="11"/>
  <c r="D8" i="11"/>
  <c r="A3" i="11"/>
  <c r="F23" i="10"/>
  <c r="E23" i="10"/>
  <c r="C23" i="10"/>
  <c r="B23" i="10"/>
  <c r="G22" i="10"/>
  <c r="D22" i="10"/>
  <c r="G21" i="10"/>
  <c r="D21" i="10"/>
  <c r="G20" i="10"/>
  <c r="D20" i="10"/>
  <c r="G19" i="10"/>
  <c r="D19" i="10"/>
  <c r="G18" i="10"/>
  <c r="D18" i="10"/>
  <c r="G17" i="10"/>
  <c r="D17" i="10"/>
  <c r="G16" i="10"/>
  <c r="D16" i="10"/>
  <c r="G15" i="10"/>
  <c r="D15" i="10"/>
  <c r="G14" i="10"/>
  <c r="D14" i="10"/>
  <c r="G13" i="10"/>
  <c r="D13" i="10"/>
  <c r="G12" i="10"/>
  <c r="D12" i="10"/>
  <c r="G11" i="10"/>
  <c r="D11" i="10"/>
  <c r="G10" i="10"/>
  <c r="D10" i="10"/>
  <c r="G9" i="10"/>
  <c r="D9" i="10"/>
  <c r="G8" i="10"/>
  <c r="D8" i="10"/>
  <c r="A3" i="10"/>
  <c r="F23" i="9"/>
  <c r="E23" i="9"/>
  <c r="C23" i="9"/>
  <c r="B23" i="9"/>
  <c r="G8" i="9"/>
  <c r="D8" i="9"/>
  <c r="A3" i="9"/>
  <c r="F22" i="8"/>
  <c r="E22" i="8"/>
  <c r="C22" i="8"/>
  <c r="B22" i="8"/>
  <c r="G21" i="8"/>
  <c r="D21" i="8"/>
  <c r="G20" i="8"/>
  <c r="D20" i="8"/>
  <c r="G19" i="8"/>
  <c r="D19" i="8"/>
  <c r="G18" i="8"/>
  <c r="D18" i="8"/>
  <c r="G17" i="8"/>
  <c r="D17" i="8"/>
  <c r="G16" i="8"/>
  <c r="D16" i="8"/>
  <c r="G15" i="8"/>
  <c r="D15" i="8"/>
  <c r="G14" i="8"/>
  <c r="D14" i="8"/>
  <c r="G13" i="8"/>
  <c r="D13" i="8"/>
  <c r="G12" i="8"/>
  <c r="H12" i="8" s="1"/>
  <c r="D12" i="8"/>
  <c r="G11" i="8"/>
  <c r="D11" i="8"/>
  <c r="G10" i="8"/>
  <c r="D10" i="8"/>
  <c r="G9" i="8"/>
  <c r="D9" i="8"/>
  <c r="G8" i="8"/>
  <c r="D8" i="8"/>
  <c r="A3" i="8"/>
  <c r="F22" i="7"/>
  <c r="E22" i="7"/>
  <c r="C22" i="7"/>
  <c r="B22" i="7"/>
  <c r="G21" i="7"/>
  <c r="D21" i="7"/>
  <c r="G20" i="7"/>
  <c r="D20" i="7"/>
  <c r="G19" i="7"/>
  <c r="D19" i="7"/>
  <c r="G18" i="7"/>
  <c r="D18" i="7"/>
  <c r="G17" i="7"/>
  <c r="D17" i="7"/>
  <c r="G16" i="7"/>
  <c r="D16" i="7"/>
  <c r="G15" i="7"/>
  <c r="D15" i="7"/>
  <c r="G14" i="7"/>
  <c r="D14" i="7"/>
  <c r="G13" i="7"/>
  <c r="D13" i="7"/>
  <c r="G12" i="7"/>
  <c r="D12" i="7"/>
  <c r="G11" i="7"/>
  <c r="D11" i="7"/>
  <c r="G10" i="7"/>
  <c r="D10" i="7"/>
  <c r="G9" i="7"/>
  <c r="D9" i="7"/>
  <c r="G8" i="7"/>
  <c r="D8" i="7"/>
  <c r="A3" i="7"/>
  <c r="F163" i="6"/>
  <c r="E163" i="6"/>
  <c r="C163" i="6"/>
  <c r="B163" i="6"/>
  <c r="G162" i="6"/>
  <c r="D162" i="6"/>
  <c r="G161" i="6"/>
  <c r="D161" i="6"/>
  <c r="G158" i="6"/>
  <c r="D158" i="6"/>
  <c r="G157" i="6"/>
  <c r="D157" i="6"/>
  <c r="G156" i="6"/>
  <c r="D156" i="6"/>
  <c r="G155" i="6"/>
  <c r="D155" i="6"/>
  <c r="G149" i="6"/>
  <c r="D149" i="6"/>
  <c r="G148" i="6"/>
  <c r="D148" i="6"/>
  <c r="H148" i="6" s="1"/>
  <c r="G147" i="6"/>
  <c r="D147" i="6"/>
  <c r="G146" i="6"/>
  <c r="D146" i="6"/>
  <c r="G145" i="6"/>
  <c r="D145" i="6"/>
  <c r="G144" i="6"/>
  <c r="D144" i="6"/>
  <c r="G141" i="6"/>
  <c r="D141" i="6"/>
  <c r="G140" i="6"/>
  <c r="D140" i="6"/>
  <c r="G139" i="6"/>
  <c r="D139" i="6"/>
  <c r="G138" i="6"/>
  <c r="D138" i="6"/>
  <c r="G137" i="6"/>
  <c r="D137" i="6"/>
  <c r="G136" i="6"/>
  <c r="D136" i="6"/>
  <c r="G135" i="6"/>
  <c r="D135" i="6"/>
  <c r="G134" i="6"/>
  <c r="D134" i="6"/>
  <c r="G133" i="6"/>
  <c r="D133" i="6"/>
  <c r="G132" i="6"/>
  <c r="D132" i="6"/>
  <c r="G131" i="6"/>
  <c r="D131" i="6"/>
  <c r="F129" i="6"/>
  <c r="E129" i="6"/>
  <c r="C129" i="6"/>
  <c r="B129" i="6"/>
  <c r="G128" i="6"/>
  <c r="D128" i="6"/>
  <c r="G127" i="6"/>
  <c r="G129" i="6" s="1"/>
  <c r="D127" i="6"/>
  <c r="G124" i="6"/>
  <c r="G115" i="6"/>
  <c r="G114" i="6"/>
  <c r="G113" i="6"/>
  <c r="G112" i="6"/>
  <c r="G111" i="6"/>
  <c r="G110" i="6"/>
  <c r="G109" i="6"/>
  <c r="G108" i="6"/>
  <c r="G107" i="6"/>
  <c r="H107" i="6" s="1"/>
  <c r="G106" i="6"/>
  <c r="G105" i="6"/>
  <c r="G104" i="6"/>
  <c r="G103" i="6"/>
  <c r="G102" i="6"/>
  <c r="G101" i="6"/>
  <c r="G100" i="6"/>
  <c r="G99" i="6"/>
  <c r="H99" i="6" s="1"/>
  <c r="G98" i="6"/>
  <c r="G97" i="6"/>
  <c r="G96" i="6"/>
  <c r="D96" i="6"/>
  <c r="D125" i="6" s="1"/>
  <c r="F94" i="6"/>
  <c r="E94" i="6"/>
  <c r="C94" i="6"/>
  <c r="B94" i="6"/>
  <c r="G93" i="6"/>
  <c r="D93" i="6"/>
  <c r="G92" i="6"/>
  <c r="D92" i="6"/>
  <c r="G91" i="6"/>
  <c r="D91" i="6"/>
  <c r="G90" i="6"/>
  <c r="D90" i="6"/>
  <c r="G89" i="6"/>
  <c r="D89" i="6"/>
  <c r="G88" i="6"/>
  <c r="D88" i="6"/>
  <c r="G81" i="6"/>
  <c r="D81" i="6"/>
  <c r="G80" i="6"/>
  <c r="D80" i="6"/>
  <c r="G79" i="6"/>
  <c r="D79" i="6"/>
  <c r="G78" i="6"/>
  <c r="D78" i="6"/>
  <c r="G77" i="6"/>
  <c r="D77" i="6"/>
  <c r="G76" i="6"/>
  <c r="D76" i="6"/>
  <c r="G75" i="6"/>
  <c r="D75" i="6"/>
  <c r="G74" i="6"/>
  <c r="D74" i="6"/>
  <c r="G73" i="6"/>
  <c r="D73" i="6"/>
  <c r="G72" i="6"/>
  <c r="D72" i="6"/>
  <c r="G71" i="6"/>
  <c r="D71" i="6"/>
  <c r="G70" i="6"/>
  <c r="D70" i="6"/>
  <c r="G69" i="6"/>
  <c r="D69" i="6"/>
  <c r="G68" i="6"/>
  <c r="D68" i="6"/>
  <c r="G67" i="6"/>
  <c r="D67" i="6"/>
  <c r="G66" i="6"/>
  <c r="D66" i="6"/>
  <c r="F64" i="6"/>
  <c r="E64" i="6"/>
  <c r="C64" i="6"/>
  <c r="B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D51" i="6"/>
  <c r="F49" i="6"/>
  <c r="E49" i="6"/>
  <c r="C49" i="6"/>
  <c r="B49" i="6"/>
  <c r="G48" i="6"/>
  <c r="G47" i="6"/>
  <c r="G46" i="6"/>
  <c r="G45" i="6"/>
  <c r="G44" i="6"/>
  <c r="G43" i="6"/>
  <c r="G42" i="6"/>
  <c r="G41" i="6"/>
  <c r="G40" i="6"/>
  <c r="G39" i="6"/>
  <c r="G30" i="6"/>
  <c r="G29" i="6"/>
  <c r="G28" i="6"/>
  <c r="G27" i="6"/>
  <c r="G26" i="6"/>
  <c r="G25" i="6"/>
  <c r="G24" i="6"/>
  <c r="D24" i="6"/>
  <c r="F22" i="6"/>
  <c r="E22" i="6"/>
  <c r="C22" i="6"/>
  <c r="B22" i="6"/>
  <c r="G21" i="6"/>
  <c r="D21" i="6"/>
  <c r="G20" i="6"/>
  <c r="D20" i="6"/>
  <c r="G19" i="6"/>
  <c r="D19" i="6"/>
  <c r="G18" i="6"/>
  <c r="D18" i="6"/>
  <c r="G17" i="6"/>
  <c r="D17" i="6"/>
  <c r="G16" i="6"/>
  <c r="D16" i="6"/>
  <c r="G15" i="6"/>
  <c r="D15" i="6"/>
  <c r="G14" i="6"/>
  <c r="D14" i="6"/>
  <c r="G13" i="6"/>
  <c r="D13" i="6"/>
  <c r="G12" i="6"/>
  <c r="D12" i="6"/>
  <c r="G11" i="6"/>
  <c r="D11" i="6"/>
  <c r="G10" i="6"/>
  <c r="D10" i="6"/>
  <c r="G9" i="6"/>
  <c r="D9" i="6"/>
  <c r="G8" i="6"/>
  <c r="D8" i="6"/>
  <c r="A3" i="6"/>
  <c r="F156" i="5"/>
  <c r="E156" i="5"/>
  <c r="C156" i="5"/>
  <c r="B156" i="5"/>
  <c r="G155" i="5"/>
  <c r="D155" i="5"/>
  <c r="G154" i="5"/>
  <c r="D154" i="5"/>
  <c r="G153" i="5"/>
  <c r="D153" i="5"/>
  <c r="G150" i="5"/>
  <c r="D150" i="5"/>
  <c r="G149" i="5"/>
  <c r="D149" i="5"/>
  <c r="G148" i="5"/>
  <c r="D148" i="5"/>
  <c r="G147" i="5"/>
  <c r="D147" i="5"/>
  <c r="G146" i="5"/>
  <c r="D146" i="5"/>
  <c r="G145" i="5"/>
  <c r="D145" i="5"/>
  <c r="G144" i="5"/>
  <c r="D144" i="5"/>
  <c r="G143" i="5"/>
  <c r="D143" i="5"/>
  <c r="G142" i="5"/>
  <c r="D142" i="5"/>
  <c r="G141" i="5"/>
  <c r="D141" i="5"/>
  <c r="G140" i="5"/>
  <c r="D140" i="5"/>
  <c r="G139" i="5"/>
  <c r="D139" i="5"/>
  <c r="G136" i="5"/>
  <c r="D136" i="5"/>
  <c r="G135" i="5"/>
  <c r="D135" i="5"/>
  <c r="G134" i="5"/>
  <c r="D134" i="5"/>
  <c r="G133" i="5"/>
  <c r="D133" i="5"/>
  <c r="G132" i="5"/>
  <c r="D132" i="5"/>
  <c r="G131" i="5"/>
  <c r="D131" i="5"/>
  <c r="G130" i="5"/>
  <c r="D130" i="5"/>
  <c r="G129" i="5"/>
  <c r="D129" i="5"/>
  <c r="G128" i="5"/>
  <c r="D128" i="5"/>
  <c r="G127" i="5"/>
  <c r="D127" i="5"/>
  <c r="G126" i="5"/>
  <c r="D126" i="5"/>
  <c r="F124" i="5"/>
  <c r="E124" i="5"/>
  <c r="C124" i="5"/>
  <c r="B124" i="5"/>
  <c r="G123" i="5"/>
  <c r="D123" i="5"/>
  <c r="G122" i="5"/>
  <c r="D122" i="5"/>
  <c r="F120" i="5"/>
  <c r="E120" i="5"/>
  <c r="C120" i="5"/>
  <c r="B120" i="5"/>
  <c r="G119" i="5"/>
  <c r="D119" i="5"/>
  <c r="G118" i="5"/>
  <c r="D118" i="5"/>
  <c r="G117" i="5"/>
  <c r="D117" i="5"/>
  <c r="G116" i="5"/>
  <c r="D116" i="5"/>
  <c r="G115" i="5"/>
  <c r="D115" i="5"/>
  <c r="G114" i="5"/>
  <c r="D114" i="5"/>
  <c r="G113" i="5"/>
  <c r="D113" i="5"/>
  <c r="G112" i="5"/>
  <c r="D112" i="5"/>
  <c r="G111" i="5"/>
  <c r="D111" i="5"/>
  <c r="G110" i="5"/>
  <c r="D110" i="5"/>
  <c r="G109" i="5"/>
  <c r="D109" i="5"/>
  <c r="G108" i="5"/>
  <c r="D108" i="5"/>
  <c r="G107" i="5"/>
  <c r="D107" i="5"/>
  <c r="G106" i="5"/>
  <c r="D106" i="5"/>
  <c r="G105" i="5"/>
  <c r="D105" i="5"/>
  <c r="G104" i="5"/>
  <c r="D104" i="5"/>
  <c r="G103" i="5"/>
  <c r="D103" i="5"/>
  <c r="G102" i="5"/>
  <c r="D102" i="5"/>
  <c r="G101" i="5"/>
  <c r="D101" i="5"/>
  <c r="G100" i="5"/>
  <c r="D100" i="5"/>
  <c r="G99" i="5"/>
  <c r="D99" i="5"/>
  <c r="G98" i="5"/>
  <c r="D98" i="5"/>
  <c r="G97" i="5"/>
  <c r="D97" i="5"/>
  <c r="G96" i="5"/>
  <c r="D96" i="5"/>
  <c r="G95" i="5"/>
  <c r="D95" i="5"/>
  <c r="G94" i="5"/>
  <c r="D94" i="5"/>
  <c r="G93" i="5"/>
  <c r="D93" i="5"/>
  <c r="G92" i="5"/>
  <c r="D92" i="5"/>
  <c r="F90" i="5"/>
  <c r="E90" i="5"/>
  <c r="C90" i="5"/>
  <c r="B90" i="5"/>
  <c r="G89" i="5"/>
  <c r="D89" i="5"/>
  <c r="G88" i="5"/>
  <c r="D88" i="5"/>
  <c r="G87" i="5"/>
  <c r="D87" i="5"/>
  <c r="G86" i="5"/>
  <c r="D86" i="5"/>
  <c r="G85" i="5"/>
  <c r="D85" i="5"/>
  <c r="G84" i="5"/>
  <c r="D84" i="5"/>
  <c r="G83" i="5"/>
  <c r="D83" i="5"/>
  <c r="G82" i="5"/>
  <c r="D82" i="5"/>
  <c r="G81" i="5"/>
  <c r="D81" i="5"/>
  <c r="G80" i="5"/>
  <c r="D80" i="5"/>
  <c r="G79" i="5"/>
  <c r="D79" i="5"/>
  <c r="G78" i="5"/>
  <c r="D78" i="5"/>
  <c r="G77" i="5"/>
  <c r="D77" i="5"/>
  <c r="G76" i="5"/>
  <c r="D76" i="5"/>
  <c r="G75" i="5"/>
  <c r="D75" i="5"/>
  <c r="G74" i="5"/>
  <c r="D74" i="5"/>
  <c r="G73" i="5"/>
  <c r="D73" i="5"/>
  <c r="G72" i="5"/>
  <c r="D72" i="5"/>
  <c r="G71" i="5"/>
  <c r="D71" i="5"/>
  <c r="G70" i="5"/>
  <c r="D70" i="5"/>
  <c r="G69" i="5"/>
  <c r="D69" i="5"/>
  <c r="G68" i="5"/>
  <c r="D68" i="5"/>
  <c r="G67" i="5"/>
  <c r="D67" i="5"/>
  <c r="G66" i="5"/>
  <c r="D66" i="5"/>
  <c r="G65" i="5"/>
  <c r="D65" i="5"/>
  <c r="G64" i="5"/>
  <c r="D64" i="5"/>
  <c r="F62" i="5"/>
  <c r="E62" i="5"/>
  <c r="C62" i="5"/>
  <c r="B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D49" i="5"/>
  <c r="G48" i="5"/>
  <c r="D48" i="5"/>
  <c r="F46" i="5"/>
  <c r="E46" i="5"/>
  <c r="C46" i="5"/>
  <c r="B46" i="5"/>
  <c r="G45" i="5"/>
  <c r="H45" i="5"/>
  <c r="G44" i="5"/>
  <c r="G43" i="5"/>
  <c r="G42" i="5"/>
  <c r="G41" i="5"/>
  <c r="G40" i="5"/>
  <c r="G39" i="5"/>
  <c r="G38" i="5"/>
  <c r="G37" i="5"/>
  <c r="H37" i="5" s="1"/>
  <c r="G36" i="5"/>
  <c r="G35" i="5"/>
  <c r="H35" i="5" s="1"/>
  <c r="G34" i="5"/>
  <c r="G33" i="5"/>
  <c r="G32" i="5"/>
  <c r="G31" i="5"/>
  <c r="G30" i="5"/>
  <c r="G29" i="5"/>
  <c r="G28" i="5"/>
  <c r="G27" i="5"/>
  <c r="G26" i="5"/>
  <c r="G25" i="5"/>
  <c r="G24" i="5"/>
  <c r="D24" i="5"/>
  <c r="F22" i="5"/>
  <c r="E22" i="5"/>
  <c r="C22" i="5"/>
  <c r="B22" i="5"/>
  <c r="G21" i="5"/>
  <c r="D21" i="5"/>
  <c r="G20" i="5"/>
  <c r="D20" i="5"/>
  <c r="G19" i="5"/>
  <c r="D19" i="5"/>
  <c r="G18" i="5"/>
  <c r="D18" i="5"/>
  <c r="G17" i="5"/>
  <c r="D17" i="5"/>
  <c r="G16" i="5"/>
  <c r="D16" i="5"/>
  <c r="G15" i="5"/>
  <c r="D15" i="5"/>
  <c r="G14" i="5"/>
  <c r="D14" i="5"/>
  <c r="G13" i="5"/>
  <c r="D13" i="5"/>
  <c r="G12" i="5"/>
  <c r="D12" i="5"/>
  <c r="G11" i="5"/>
  <c r="D11" i="5"/>
  <c r="G10" i="5"/>
  <c r="D10" i="5"/>
  <c r="G9" i="5"/>
  <c r="D9" i="5"/>
  <c r="G8" i="5"/>
  <c r="D8" i="5"/>
  <c r="A3" i="5"/>
  <c r="C154" i="1"/>
  <c r="D154" i="1"/>
  <c r="E154" i="1"/>
  <c r="F154" i="1"/>
  <c r="G154" i="1"/>
  <c r="H154" i="1"/>
  <c r="B154" i="1"/>
  <c r="G128" i="2"/>
  <c r="D128" i="2"/>
  <c r="G110" i="2"/>
  <c r="D110" i="2"/>
  <c r="G109" i="2"/>
  <c r="D109" i="2"/>
  <c r="G75" i="2"/>
  <c r="D75" i="2"/>
  <c r="G54" i="2"/>
  <c r="D54" i="2"/>
  <c r="F47" i="2"/>
  <c r="E47" i="2"/>
  <c r="G26" i="2"/>
  <c r="G27" i="2"/>
  <c r="G28" i="2"/>
  <c r="C47" i="2"/>
  <c r="B47" i="2"/>
  <c r="H50" i="5" l="1"/>
  <c r="H152" i="6"/>
  <c r="H150" i="6"/>
  <c r="H154" i="6"/>
  <c r="H153" i="6"/>
  <c r="H83" i="6"/>
  <c r="H34" i="6"/>
  <c r="H38" i="6"/>
  <c r="H157" i="7"/>
  <c r="H158" i="7"/>
  <c r="H143" i="7"/>
  <c r="H151" i="7"/>
  <c r="H144" i="7"/>
  <c r="H145" i="7"/>
  <c r="H139" i="7"/>
  <c r="H146" i="7"/>
  <c r="H140" i="7"/>
  <c r="H147" i="7"/>
  <c r="H148" i="7"/>
  <c r="H142" i="7"/>
  <c r="H150" i="7"/>
  <c r="H152" i="7"/>
  <c r="H131" i="7"/>
  <c r="H132" i="7"/>
  <c r="H135" i="7"/>
  <c r="H111" i="7"/>
  <c r="H100" i="7"/>
  <c r="H108" i="7"/>
  <c r="H124" i="7"/>
  <c r="H101" i="7"/>
  <c r="H109" i="7"/>
  <c r="H102" i="7"/>
  <c r="H110" i="7"/>
  <c r="H103" i="7"/>
  <c r="H119" i="7"/>
  <c r="H112" i="7"/>
  <c r="H113" i="7"/>
  <c r="H114" i="7"/>
  <c r="H115" i="7"/>
  <c r="H85" i="7"/>
  <c r="H75" i="7"/>
  <c r="H71" i="7"/>
  <c r="H79" i="7"/>
  <c r="H80" i="7"/>
  <c r="H70" i="7"/>
  <c r="H78" i="7"/>
  <c r="H74" i="7"/>
  <c r="H48" i="7"/>
  <c r="H49" i="7"/>
  <c r="H164" i="8"/>
  <c r="D165" i="8"/>
  <c r="H163" i="8"/>
  <c r="H145" i="8"/>
  <c r="H155" i="8"/>
  <c r="H151" i="8"/>
  <c r="H146" i="8"/>
  <c r="H149" i="8"/>
  <c r="H159" i="8"/>
  <c r="H150" i="8"/>
  <c r="H154" i="8"/>
  <c r="H157" i="8"/>
  <c r="H144" i="8"/>
  <c r="H153" i="8"/>
  <c r="H136" i="8"/>
  <c r="H139" i="8"/>
  <c r="H135" i="8"/>
  <c r="H118" i="8"/>
  <c r="H113" i="8"/>
  <c r="H115" i="8"/>
  <c r="H124" i="8"/>
  <c r="H98" i="8"/>
  <c r="H120" i="8"/>
  <c r="H117" i="8"/>
  <c r="H102" i="8"/>
  <c r="H68" i="8"/>
  <c r="H84" i="8"/>
  <c r="H69" i="8"/>
  <c r="H80" i="8"/>
  <c r="H58" i="8"/>
  <c r="H64" i="8"/>
  <c r="H57" i="8"/>
  <c r="H53" i="8"/>
  <c r="H61" i="8"/>
  <c r="H49" i="8"/>
  <c r="H48" i="8"/>
  <c r="H20" i="8"/>
  <c r="H19" i="8"/>
  <c r="H11" i="8"/>
  <c r="H160" i="9"/>
  <c r="H159" i="9"/>
  <c r="H161" i="9"/>
  <c r="H139" i="9"/>
  <c r="H154" i="9" s="1"/>
  <c r="H121" i="9"/>
  <c r="B168" i="9"/>
  <c r="C168" i="9"/>
  <c r="E168" i="9"/>
  <c r="F168" i="9"/>
  <c r="H157" i="10"/>
  <c r="H146" i="10"/>
  <c r="H142" i="10"/>
  <c r="H145" i="10"/>
  <c r="H130" i="10"/>
  <c r="H139" i="11"/>
  <c r="G136" i="11"/>
  <c r="H143" i="11"/>
  <c r="H148" i="11"/>
  <c r="H140" i="11"/>
  <c r="H149" i="11"/>
  <c r="H141" i="11"/>
  <c r="H142" i="11"/>
  <c r="H131" i="11"/>
  <c r="H130" i="11"/>
  <c r="H121" i="11"/>
  <c r="H159" i="12"/>
  <c r="H160" i="12"/>
  <c r="H161" i="12"/>
  <c r="H81" i="12"/>
  <c r="H82" i="12"/>
  <c r="H121" i="12"/>
  <c r="H69" i="12"/>
  <c r="H99" i="12"/>
  <c r="H135" i="12"/>
  <c r="H108" i="12"/>
  <c r="H76" i="12"/>
  <c r="D142" i="12"/>
  <c r="G142" i="12"/>
  <c r="H130" i="12"/>
  <c r="H103" i="12"/>
  <c r="H111" i="12"/>
  <c r="H131" i="12"/>
  <c r="H139" i="12"/>
  <c r="H144" i="12"/>
  <c r="H155" i="12"/>
  <c r="H137" i="12"/>
  <c r="H138" i="12"/>
  <c r="H133" i="12"/>
  <c r="H141" i="12"/>
  <c r="H140" i="12"/>
  <c r="H134" i="12"/>
  <c r="H136" i="12"/>
  <c r="H112" i="12"/>
  <c r="H119" i="12"/>
  <c r="G124" i="12"/>
  <c r="H97" i="12"/>
  <c r="H105" i="12"/>
  <c r="H120" i="12"/>
  <c r="H100" i="12"/>
  <c r="H122" i="12"/>
  <c r="H102" i="12"/>
  <c r="H109" i="12"/>
  <c r="H116" i="12"/>
  <c r="H110" i="12"/>
  <c r="H117" i="12"/>
  <c r="D124" i="12"/>
  <c r="H104" i="12"/>
  <c r="H118" i="12"/>
  <c r="H94" i="12"/>
  <c r="H74" i="12"/>
  <c r="H89" i="12"/>
  <c r="G95" i="12"/>
  <c r="H77" i="12"/>
  <c r="H78" i="12"/>
  <c r="D95" i="12"/>
  <c r="H75" i="12"/>
  <c r="H88" i="12"/>
  <c r="H83" i="12"/>
  <c r="H90" i="12"/>
  <c r="H71" i="12"/>
  <c r="H91" i="12"/>
  <c r="H72" i="12"/>
  <c r="H92" i="12"/>
  <c r="H93" i="12"/>
  <c r="H53" i="12"/>
  <c r="H66" i="12" s="1"/>
  <c r="H35" i="12"/>
  <c r="G156" i="15"/>
  <c r="H154" i="15"/>
  <c r="D156" i="15"/>
  <c r="H134" i="15"/>
  <c r="H138" i="15"/>
  <c r="H45" i="15"/>
  <c r="H142" i="15"/>
  <c r="H106" i="15"/>
  <c r="H148" i="15"/>
  <c r="H145" i="15"/>
  <c r="H149" i="15"/>
  <c r="H100" i="15"/>
  <c r="H116" i="15"/>
  <c r="H141" i="15"/>
  <c r="H150" i="15"/>
  <c r="H133" i="15"/>
  <c r="H119" i="15"/>
  <c r="H104" i="15"/>
  <c r="H78" i="15"/>
  <c r="H94" i="15"/>
  <c r="H47" i="15"/>
  <c r="H49" i="15"/>
  <c r="H40" i="15"/>
  <c r="H31" i="15"/>
  <c r="G152" i="14"/>
  <c r="H150" i="14"/>
  <c r="D152" i="14"/>
  <c r="G147" i="14"/>
  <c r="H146" i="14"/>
  <c r="H147" i="14" s="1"/>
  <c r="H123" i="14"/>
  <c r="G117" i="14"/>
  <c r="G121" i="14"/>
  <c r="D121" i="14"/>
  <c r="B158" i="14"/>
  <c r="D117" i="14"/>
  <c r="G95" i="14"/>
  <c r="D95" i="14"/>
  <c r="G67" i="14"/>
  <c r="D67" i="14"/>
  <c r="D52" i="14"/>
  <c r="G33" i="14"/>
  <c r="D33" i="14"/>
  <c r="H152" i="13"/>
  <c r="H153" i="13"/>
  <c r="H154" i="13"/>
  <c r="D156" i="13"/>
  <c r="H141" i="13"/>
  <c r="G150" i="13"/>
  <c r="H142" i="13"/>
  <c r="H149" i="13"/>
  <c r="H21" i="13"/>
  <c r="H76" i="13"/>
  <c r="H84" i="13"/>
  <c r="H18" i="13"/>
  <c r="H22" i="13"/>
  <c r="H107" i="13"/>
  <c r="H115" i="13"/>
  <c r="H82" i="13"/>
  <c r="H94" i="13"/>
  <c r="H104" i="13"/>
  <c r="H108" i="13"/>
  <c r="D150" i="13"/>
  <c r="H148" i="13"/>
  <c r="H146" i="13"/>
  <c r="H147" i="13"/>
  <c r="H128" i="13"/>
  <c r="H129" i="13"/>
  <c r="H133" i="13"/>
  <c r="D124" i="13"/>
  <c r="H102" i="13"/>
  <c r="H114" i="13"/>
  <c r="H118" i="13"/>
  <c r="H117" i="13"/>
  <c r="H103" i="13"/>
  <c r="H111" i="13"/>
  <c r="H119" i="13"/>
  <c r="H109" i="13"/>
  <c r="H78" i="13"/>
  <c r="H77" i="13"/>
  <c r="H88" i="13"/>
  <c r="H93" i="13"/>
  <c r="H71" i="13"/>
  <c r="H86" i="13"/>
  <c r="H87" i="13"/>
  <c r="H40" i="13"/>
  <c r="H44" i="13"/>
  <c r="H52" i="13"/>
  <c r="H50" i="13"/>
  <c r="H37" i="13"/>
  <c r="H8" i="13"/>
  <c r="H20" i="13"/>
  <c r="H10" i="13"/>
  <c r="H30" i="13"/>
  <c r="H31" i="13"/>
  <c r="G136" i="16"/>
  <c r="D136" i="16"/>
  <c r="H130" i="16"/>
  <c r="H134" i="16"/>
  <c r="D153" i="16"/>
  <c r="G153" i="16"/>
  <c r="H148" i="16"/>
  <c r="H152" i="16"/>
  <c r="H157" i="16"/>
  <c r="D158" i="16"/>
  <c r="H150" i="16"/>
  <c r="H149" i="16"/>
  <c r="H104" i="16"/>
  <c r="H102" i="16"/>
  <c r="H106" i="16"/>
  <c r="H114" i="16"/>
  <c r="H103" i="16"/>
  <c r="H111" i="16"/>
  <c r="H109" i="16"/>
  <c r="H141" i="16"/>
  <c r="H129" i="16"/>
  <c r="H138" i="16"/>
  <c r="G158" i="16"/>
  <c r="H22" i="16"/>
  <c r="H34" i="16"/>
  <c r="H139" i="16"/>
  <c r="H144" i="16"/>
  <c r="H156" i="16"/>
  <c r="H140" i="16"/>
  <c r="H145" i="16"/>
  <c r="H131" i="16"/>
  <c r="H151" i="16"/>
  <c r="H117" i="16"/>
  <c r="H121" i="16"/>
  <c r="H126" i="16"/>
  <c r="H135" i="16"/>
  <c r="H161" i="16"/>
  <c r="H162" i="16" s="1"/>
  <c r="H146" i="16"/>
  <c r="H27" i="16"/>
  <c r="H71" i="16"/>
  <c r="H37" i="16"/>
  <c r="H9" i="16"/>
  <c r="H25" i="16"/>
  <c r="H29" i="16"/>
  <c r="H10" i="16"/>
  <c r="H14" i="16"/>
  <c r="H18" i="16"/>
  <c r="H26" i="16"/>
  <c r="H150" i="18"/>
  <c r="H158" i="18"/>
  <c r="H151" i="18"/>
  <c r="H159" i="18"/>
  <c r="H157" i="18"/>
  <c r="H161" i="18"/>
  <c r="H154" i="18"/>
  <c r="H162" i="18"/>
  <c r="H148" i="18"/>
  <c r="H152" i="18"/>
  <c r="H156" i="18"/>
  <c r="H160" i="18"/>
  <c r="H133" i="18"/>
  <c r="H137" i="18"/>
  <c r="H136" i="18"/>
  <c r="H10" i="18"/>
  <c r="H117" i="18"/>
  <c r="H121" i="18"/>
  <c r="D131" i="18"/>
  <c r="H21" i="18"/>
  <c r="H24" i="18"/>
  <c r="H61" i="18"/>
  <c r="H101" i="18"/>
  <c r="H109" i="18"/>
  <c r="H113" i="18"/>
  <c r="H119" i="18"/>
  <c r="H106" i="18"/>
  <c r="H114" i="18"/>
  <c r="H125" i="18"/>
  <c r="H107" i="18"/>
  <c r="H105" i="18"/>
  <c r="G70" i="18"/>
  <c r="H50" i="18"/>
  <c r="G55" i="18"/>
  <c r="H37" i="18"/>
  <c r="H38" i="18"/>
  <c r="H42" i="18"/>
  <c r="H46" i="18"/>
  <c r="H54" i="18"/>
  <c r="H43" i="18"/>
  <c r="H47" i="18"/>
  <c r="H44" i="18"/>
  <c r="H48" i="18"/>
  <c r="H18" i="18"/>
  <c r="H17" i="18"/>
  <c r="H28" i="18"/>
  <c r="H32" i="18"/>
  <c r="H25" i="18"/>
  <c r="H29" i="18"/>
  <c r="H33" i="18"/>
  <c r="H11" i="18"/>
  <c r="H16" i="18"/>
  <c r="H27" i="18"/>
  <c r="H108" i="18"/>
  <c r="H112" i="18"/>
  <c r="H126" i="18"/>
  <c r="H9" i="18"/>
  <c r="H19" i="18"/>
  <c r="H23" i="18"/>
  <c r="H30" i="18"/>
  <c r="H34" i="18"/>
  <c r="H69" i="18"/>
  <c r="H13" i="18"/>
  <c r="H39" i="18"/>
  <c r="H58" i="18"/>
  <c r="H62" i="18"/>
  <c r="D99" i="18"/>
  <c r="G127" i="18"/>
  <c r="H116" i="18"/>
  <c r="H123" i="18"/>
  <c r="G131" i="18"/>
  <c r="H141" i="18"/>
  <c r="D167" i="18"/>
  <c r="H45" i="18"/>
  <c r="H57" i="18"/>
  <c r="H104" i="18"/>
  <c r="H115" i="18"/>
  <c r="H122" i="18"/>
  <c r="H169" i="18"/>
  <c r="H170" i="18" s="1"/>
  <c r="H52" i="18"/>
  <c r="H65" i="18"/>
  <c r="H31" i="18"/>
  <c r="H53" i="18"/>
  <c r="G99" i="18"/>
  <c r="H99" i="18" s="1"/>
  <c r="H102" i="18"/>
  <c r="H127" i="18" s="1"/>
  <c r="H120" i="18"/>
  <c r="G167" i="18"/>
  <c r="H12" i="18"/>
  <c r="D55" i="18"/>
  <c r="H55" i="18" s="1"/>
  <c r="H110" i="18"/>
  <c r="H140" i="18"/>
  <c r="D35" i="18"/>
  <c r="H103" i="18"/>
  <c r="G35" i="18"/>
  <c r="H22" i="18"/>
  <c r="D70" i="18"/>
  <c r="H60" i="18"/>
  <c r="H111" i="18"/>
  <c r="H149" i="18"/>
  <c r="H153" i="18"/>
  <c r="H142" i="17"/>
  <c r="H13" i="17"/>
  <c r="H21" i="17"/>
  <c r="H150" i="17"/>
  <c r="H136" i="17"/>
  <c r="H162" i="17"/>
  <c r="H153" i="17"/>
  <c r="H157" i="17"/>
  <c r="H132" i="17"/>
  <c r="H110" i="17"/>
  <c r="H111" i="17"/>
  <c r="H119" i="17"/>
  <c r="H101" i="17"/>
  <c r="H118" i="17"/>
  <c r="H41" i="17"/>
  <c r="H49" i="17"/>
  <c r="H45" i="17"/>
  <c r="H39" i="17"/>
  <c r="H43" i="17"/>
  <c r="H47" i="17"/>
  <c r="H28" i="17"/>
  <c r="K13" i="19"/>
  <c r="K21" i="19"/>
  <c r="D175" i="19"/>
  <c r="J175" i="19"/>
  <c r="J134" i="19"/>
  <c r="G175" i="19"/>
  <c r="K120" i="19"/>
  <c r="K156" i="19"/>
  <c r="K173" i="19"/>
  <c r="K160" i="19"/>
  <c r="K40" i="19"/>
  <c r="K48" i="19"/>
  <c r="K77" i="19"/>
  <c r="K85" i="19"/>
  <c r="K93" i="19"/>
  <c r="K76" i="19"/>
  <c r="K84" i="19"/>
  <c r="K92" i="19"/>
  <c r="K170" i="19"/>
  <c r="J58" i="19"/>
  <c r="J165" i="19"/>
  <c r="K16" i="19"/>
  <c r="K65" i="19"/>
  <c r="K8" i="19"/>
  <c r="K12" i="19"/>
  <c r="K20" i="19"/>
  <c r="K24" i="19"/>
  <c r="K32" i="19"/>
  <c r="K46" i="19"/>
  <c r="K151" i="19"/>
  <c r="K168" i="19"/>
  <c r="K10" i="19"/>
  <c r="K54" i="19"/>
  <c r="K133" i="19"/>
  <c r="D171" i="19"/>
  <c r="K37" i="19"/>
  <c r="K14" i="19"/>
  <c r="K18" i="19"/>
  <c r="K22" i="19"/>
  <c r="K26" i="19"/>
  <c r="K30" i="19"/>
  <c r="K34" i="19"/>
  <c r="D165" i="19"/>
  <c r="D147" i="19"/>
  <c r="G165" i="19"/>
  <c r="G147" i="19"/>
  <c r="K163" i="19"/>
  <c r="K167" i="19"/>
  <c r="K169" i="19"/>
  <c r="K11" i="19"/>
  <c r="K15" i="19"/>
  <c r="K19" i="19"/>
  <c r="K23" i="19"/>
  <c r="K27" i="19"/>
  <c r="K31" i="19"/>
  <c r="D134" i="19"/>
  <c r="K28" i="19"/>
  <c r="G134" i="19"/>
  <c r="K9" i="19"/>
  <c r="K17" i="19"/>
  <c r="K25" i="19"/>
  <c r="K29" i="19"/>
  <c r="K33" i="19"/>
  <c r="K38" i="19"/>
  <c r="K78" i="19"/>
  <c r="K51" i="19"/>
  <c r="K43" i="19"/>
  <c r="K174" i="19"/>
  <c r="K121" i="19"/>
  <c r="J171" i="19"/>
  <c r="K152" i="19"/>
  <c r="K155" i="19"/>
  <c r="K154" i="19"/>
  <c r="K150" i="19"/>
  <c r="K153" i="19"/>
  <c r="K162" i="19"/>
  <c r="K149" i="19"/>
  <c r="K158" i="19"/>
  <c r="K164" i="19"/>
  <c r="J147" i="19"/>
  <c r="K139" i="19"/>
  <c r="K140" i="19"/>
  <c r="K137" i="19"/>
  <c r="K145" i="19"/>
  <c r="K144" i="19"/>
  <c r="K138" i="19"/>
  <c r="K142" i="19"/>
  <c r="K146" i="19"/>
  <c r="K141" i="19"/>
  <c r="K136" i="19"/>
  <c r="K143" i="19"/>
  <c r="K132" i="19"/>
  <c r="G58" i="19"/>
  <c r="K50" i="19"/>
  <c r="K42" i="19"/>
  <c r="K57" i="19"/>
  <c r="K49" i="19"/>
  <c r="K41" i="19"/>
  <c r="K83" i="19"/>
  <c r="K91" i="19"/>
  <c r="J73" i="19"/>
  <c r="K122" i="19"/>
  <c r="K53" i="19"/>
  <c r="K45" i="19"/>
  <c r="K75" i="19"/>
  <c r="J130" i="19"/>
  <c r="K103" i="19"/>
  <c r="K107" i="19"/>
  <c r="K111" i="19"/>
  <c r="K115" i="19"/>
  <c r="K119" i="19"/>
  <c r="K126" i="19"/>
  <c r="K100" i="19"/>
  <c r="K104" i="19"/>
  <c r="K108" i="19"/>
  <c r="K112" i="19"/>
  <c r="K116" i="19"/>
  <c r="K123" i="19"/>
  <c r="K127" i="19"/>
  <c r="K101" i="19"/>
  <c r="K105" i="19"/>
  <c r="K109" i="19"/>
  <c r="K113" i="19"/>
  <c r="K117" i="19"/>
  <c r="K124" i="19"/>
  <c r="K128" i="19"/>
  <c r="K102" i="19"/>
  <c r="K106" i="19"/>
  <c r="K110" i="19"/>
  <c r="K114" i="19"/>
  <c r="K118" i="19"/>
  <c r="K125" i="19"/>
  <c r="K129" i="19"/>
  <c r="K86" i="19"/>
  <c r="J98" i="19"/>
  <c r="K90" i="19"/>
  <c r="K82" i="19"/>
  <c r="K97" i="19"/>
  <c r="K89" i="19"/>
  <c r="K81" i="19"/>
  <c r="K96" i="19"/>
  <c r="K88" i="19"/>
  <c r="K80" i="19"/>
  <c r="K94" i="19"/>
  <c r="G98" i="19"/>
  <c r="K60" i="19"/>
  <c r="K68" i="19"/>
  <c r="K62" i="19"/>
  <c r="K66" i="19"/>
  <c r="K70" i="19"/>
  <c r="K67" i="19"/>
  <c r="K72" i="19"/>
  <c r="K61" i="19"/>
  <c r="K69" i="19"/>
  <c r="J35" i="19"/>
  <c r="H165" i="18"/>
  <c r="H167" i="18" s="1"/>
  <c r="D158" i="7"/>
  <c r="H139" i="6"/>
  <c r="H84" i="6"/>
  <c r="H14" i="6"/>
  <c r="H58" i="6"/>
  <c r="H100" i="6"/>
  <c r="H37" i="6"/>
  <c r="H162" i="6"/>
  <c r="H36" i="6"/>
  <c r="H32" i="6"/>
  <c r="H27" i="6"/>
  <c r="H55" i="6"/>
  <c r="H67" i="6"/>
  <c r="H79" i="6"/>
  <c r="H89" i="6"/>
  <c r="H97" i="6"/>
  <c r="H101" i="6"/>
  <c r="H109" i="6"/>
  <c r="H59" i="6"/>
  <c r="H75" i="6"/>
  <c r="H98" i="6"/>
  <c r="H110" i="6"/>
  <c r="H138" i="6"/>
  <c r="H146" i="6"/>
  <c r="H35" i="6"/>
  <c r="H31" i="6"/>
  <c r="H85" i="6"/>
  <c r="H151" i="6"/>
  <c r="H162" i="8"/>
  <c r="H165" i="8" s="1"/>
  <c r="H153" i="15"/>
  <c r="H156" i="15" s="1"/>
  <c r="H149" i="14"/>
  <c r="H152" i="14" s="1"/>
  <c r="H155" i="16"/>
  <c r="H161" i="17"/>
  <c r="H40" i="17"/>
  <c r="H133" i="17"/>
  <c r="H151" i="17"/>
  <c r="H26" i="17"/>
  <c r="H69" i="17"/>
  <c r="H109" i="17"/>
  <c r="H152" i="17"/>
  <c r="H156" i="17"/>
  <c r="H50" i="17"/>
  <c r="H149" i="17"/>
  <c r="D130" i="17"/>
  <c r="D163" i="17"/>
  <c r="H107" i="17"/>
  <c r="G130" i="17"/>
  <c r="H160" i="17"/>
  <c r="H163" i="17"/>
  <c r="G163" i="17"/>
  <c r="G171" i="19"/>
  <c r="H156" i="13"/>
  <c r="G156" i="13"/>
  <c r="H163" i="12"/>
  <c r="G163" i="12"/>
  <c r="H153" i="11"/>
  <c r="H156" i="11" s="1"/>
  <c r="G156" i="11"/>
  <c r="H139" i="10"/>
  <c r="H143" i="10"/>
  <c r="H147" i="10"/>
  <c r="H154" i="10"/>
  <c r="H158" i="10" s="1"/>
  <c r="H140" i="10"/>
  <c r="H123" i="10"/>
  <c r="H141" i="10"/>
  <c r="H155" i="10"/>
  <c r="H156" i="10"/>
  <c r="G162" i="9"/>
  <c r="D162" i="9"/>
  <c r="H136" i="9"/>
  <c r="H137" i="9" s="1"/>
  <c r="H156" i="9"/>
  <c r="H162" i="9" s="1"/>
  <c r="H110" i="15"/>
  <c r="H114" i="15"/>
  <c r="H10" i="15"/>
  <c r="H32" i="15"/>
  <c r="D68" i="15"/>
  <c r="H79" i="15"/>
  <c r="H87" i="15"/>
  <c r="H111" i="15"/>
  <c r="G129" i="15"/>
  <c r="H72" i="15"/>
  <c r="H76" i="15"/>
  <c r="H88" i="15"/>
  <c r="H92" i="15"/>
  <c r="H108" i="15"/>
  <c r="H128" i="15"/>
  <c r="H131" i="15"/>
  <c r="H147" i="15"/>
  <c r="H81" i="15"/>
  <c r="H89" i="15"/>
  <c r="H97" i="15"/>
  <c r="D125" i="15"/>
  <c r="H29" i="15"/>
  <c r="H74" i="15"/>
  <c r="H82" i="15"/>
  <c r="H90" i="15"/>
  <c r="H105" i="15"/>
  <c r="H109" i="15"/>
  <c r="H113" i="15"/>
  <c r="H120" i="15"/>
  <c r="H124" i="15"/>
  <c r="H136" i="15"/>
  <c r="H138" i="11"/>
  <c r="H146" i="11"/>
  <c r="H147" i="11"/>
  <c r="H128" i="11"/>
  <c r="H15" i="13"/>
  <c r="H34" i="13"/>
  <c r="H43" i="13"/>
  <c r="H61" i="13"/>
  <c r="H65" i="13"/>
  <c r="H11" i="13"/>
  <c r="H47" i="13"/>
  <c r="D68" i="13"/>
  <c r="H66" i="13"/>
  <c r="H75" i="13"/>
  <c r="H81" i="13"/>
  <c r="H101" i="13"/>
  <c r="H105" i="13"/>
  <c r="H112" i="13"/>
  <c r="H116" i="13"/>
  <c r="H140" i="13"/>
  <c r="D53" i="13"/>
  <c r="H41" i="13"/>
  <c r="H48" i="13"/>
  <c r="G68" i="13"/>
  <c r="H113" i="13"/>
  <c r="H13" i="13"/>
  <c r="H17" i="13"/>
  <c r="H14" i="13"/>
  <c r="H32" i="13"/>
  <c r="H56" i="13"/>
  <c r="H63" i="13"/>
  <c r="H72" i="13"/>
  <c r="H83" i="13"/>
  <c r="H89" i="13"/>
  <c r="H106" i="13"/>
  <c r="H110" i="13"/>
  <c r="H137" i="13"/>
  <c r="H130" i="13"/>
  <c r="H26" i="13"/>
  <c r="H57" i="13"/>
  <c r="H64" i="13"/>
  <c r="D98" i="13"/>
  <c r="H73" i="13"/>
  <c r="H90" i="13"/>
  <c r="D120" i="13"/>
  <c r="H127" i="13"/>
  <c r="H138" i="13"/>
  <c r="H39" i="13"/>
  <c r="H46" i="13"/>
  <c r="G98" i="13"/>
  <c r="H98" i="13" s="1"/>
  <c r="H80" i="13"/>
  <c r="H91" i="13"/>
  <c r="H97" i="13"/>
  <c r="H100" i="13"/>
  <c r="H131" i="13"/>
  <c r="H139" i="13"/>
  <c r="H70" i="13"/>
  <c r="H74" i="13"/>
  <c r="G124" i="13"/>
  <c r="H75" i="17"/>
  <c r="H79" i="17"/>
  <c r="H83" i="17"/>
  <c r="H145" i="17"/>
  <c r="G70" i="17"/>
  <c r="H9" i="17"/>
  <c r="H25" i="17"/>
  <c r="H29" i="17"/>
  <c r="H46" i="17"/>
  <c r="H54" i="17"/>
  <c r="H76" i="17"/>
  <c r="H84" i="17"/>
  <c r="H92" i="17"/>
  <c r="H113" i="17"/>
  <c r="H117" i="17"/>
  <c r="H121" i="17"/>
  <c r="H125" i="17"/>
  <c r="H146" i="17"/>
  <c r="H154" i="17"/>
  <c r="H11" i="17"/>
  <c r="H85" i="17"/>
  <c r="H102" i="17"/>
  <c r="H129" i="17"/>
  <c r="H147" i="17"/>
  <c r="H155" i="17"/>
  <c r="H60" i="17"/>
  <c r="H68" i="17"/>
  <c r="H78" i="17"/>
  <c r="H86" i="17"/>
  <c r="D126" i="17"/>
  <c r="H103" i="17"/>
  <c r="H115" i="17"/>
  <c r="H123" i="17"/>
  <c r="H148" i="17"/>
  <c r="H134" i="10"/>
  <c r="H150" i="10"/>
  <c r="H128" i="10"/>
  <c r="H135" i="10"/>
  <c r="H144" i="10"/>
  <c r="H151" i="10"/>
  <c r="H131" i="10"/>
  <c r="H138" i="10"/>
  <c r="H68" i="10"/>
  <c r="H129" i="10"/>
  <c r="H132" i="10"/>
  <c r="H148" i="10"/>
  <c r="D124" i="10"/>
  <c r="G124" i="10"/>
  <c r="H126" i="10"/>
  <c r="H133" i="10"/>
  <c r="H149" i="10"/>
  <c r="H9" i="8"/>
  <c r="H88" i="8"/>
  <c r="H92" i="8"/>
  <c r="H108" i="8"/>
  <c r="H112" i="8"/>
  <c r="H130" i="8"/>
  <c r="H131" i="8" s="1"/>
  <c r="D65" i="8"/>
  <c r="H70" i="8"/>
  <c r="H78" i="8"/>
  <c r="H107" i="8"/>
  <c r="H10" i="8"/>
  <c r="H29" i="8"/>
  <c r="H33" i="8"/>
  <c r="H45" i="8"/>
  <c r="H90" i="8"/>
  <c r="H71" i="8"/>
  <c r="H75" i="8"/>
  <c r="H96" i="8"/>
  <c r="H122" i="8"/>
  <c r="H42" i="8"/>
  <c r="H76" i="8"/>
  <c r="H105" i="8"/>
  <c r="H96" i="6"/>
  <c r="H104" i="6"/>
  <c r="H87" i="6"/>
  <c r="H137" i="6"/>
  <c r="H33" i="6"/>
  <c r="H86" i="6"/>
  <c r="H103" i="6"/>
  <c r="H128" i="6"/>
  <c r="H155" i="6"/>
  <c r="H134" i="6"/>
  <c r="H82" i="6"/>
  <c r="H90" i="6"/>
  <c r="H102" i="6"/>
  <c r="H106" i="6"/>
  <c r="H114" i="6"/>
  <c r="H135" i="6"/>
  <c r="H84" i="7"/>
  <c r="H88" i="7"/>
  <c r="H92" i="7"/>
  <c r="H96" i="7"/>
  <c r="H107" i="7"/>
  <c r="H122" i="7"/>
  <c r="H26" i="7"/>
  <c r="H81" i="7"/>
  <c r="H97" i="7"/>
  <c r="H104" i="7"/>
  <c r="H116" i="7"/>
  <c r="H123" i="7"/>
  <c r="H82" i="7"/>
  <c r="H90" i="7"/>
  <c r="D125" i="7"/>
  <c r="H98" i="7"/>
  <c r="H105" i="7"/>
  <c r="H117" i="7"/>
  <c r="H120" i="7"/>
  <c r="G125" i="7"/>
  <c r="G129" i="7"/>
  <c r="H31" i="7"/>
  <c r="H35" i="7"/>
  <c r="H39" i="7"/>
  <c r="H91" i="7"/>
  <c r="H95" i="7"/>
  <c r="H99" i="7"/>
  <c r="H106" i="7"/>
  <c r="H118" i="7"/>
  <c r="H121" i="7"/>
  <c r="H128" i="7"/>
  <c r="H21" i="16"/>
  <c r="H100" i="16"/>
  <c r="H119" i="16"/>
  <c r="G127" i="16"/>
  <c r="H11" i="16"/>
  <c r="H132" i="16"/>
  <c r="H30" i="16"/>
  <c r="G123" i="16"/>
  <c r="H110" i="16"/>
  <c r="H23" i="16"/>
  <c r="H13" i="16"/>
  <c r="H20" i="16"/>
  <c r="H28" i="16"/>
  <c r="H99" i="16"/>
  <c r="H107" i="16"/>
  <c r="H118" i="16"/>
  <c r="H122" i="16"/>
  <c r="H133" i="16"/>
  <c r="D127" i="16"/>
  <c r="H15" i="15"/>
  <c r="H19" i="15"/>
  <c r="H23" i="15"/>
  <c r="G53" i="15"/>
  <c r="H71" i="15"/>
  <c r="H83" i="15"/>
  <c r="H86" i="15"/>
  <c r="G125" i="15"/>
  <c r="H123" i="15"/>
  <c r="H91" i="15"/>
  <c r="H137" i="15"/>
  <c r="H9" i="15"/>
  <c r="H13" i="15"/>
  <c r="H37" i="15"/>
  <c r="H41" i="15"/>
  <c r="H51" i="15"/>
  <c r="G68" i="15"/>
  <c r="H73" i="15"/>
  <c r="H80" i="15"/>
  <c r="H95" i="15"/>
  <c r="H101" i="15"/>
  <c r="H121" i="15"/>
  <c r="H26" i="15"/>
  <c r="H38" i="15"/>
  <c r="H42" i="15"/>
  <c r="H52" i="15"/>
  <c r="D98" i="15"/>
  <c r="H77" i="15"/>
  <c r="H96" i="15"/>
  <c r="H102" i="15"/>
  <c r="H115" i="15"/>
  <c r="H118" i="15"/>
  <c r="H135" i="15"/>
  <c r="D53" i="15"/>
  <c r="H43" i="15"/>
  <c r="H70" i="15"/>
  <c r="H85" i="15"/>
  <c r="H112" i="15"/>
  <c r="H122" i="15"/>
  <c r="H132" i="15"/>
  <c r="H46" i="15"/>
  <c r="H93" i="15"/>
  <c r="H25" i="8"/>
  <c r="H41" i="8"/>
  <c r="H56" i="8"/>
  <c r="H79" i="8"/>
  <c r="H83" i="8"/>
  <c r="H140" i="8"/>
  <c r="H14" i="8"/>
  <c r="H18" i="8"/>
  <c r="H72" i="8"/>
  <c r="H87" i="8"/>
  <c r="H91" i="8"/>
  <c r="H97" i="8"/>
  <c r="H101" i="8"/>
  <c r="H104" i="8"/>
  <c r="H111" i="8"/>
  <c r="H114" i="8"/>
  <c r="H125" i="8"/>
  <c r="H126" i="8"/>
  <c r="H106" i="8"/>
  <c r="H133" i="8"/>
  <c r="D127" i="8"/>
  <c r="H134" i="8"/>
  <c r="H35" i="8"/>
  <c r="H47" i="8"/>
  <c r="H77" i="8"/>
  <c r="H81" i="8"/>
  <c r="G127" i="8"/>
  <c r="H138" i="8"/>
  <c r="D93" i="8"/>
  <c r="H74" i="8"/>
  <c r="H85" i="8"/>
  <c r="H89" i="8"/>
  <c r="H95" i="8"/>
  <c r="H99" i="8"/>
  <c r="H109" i="8"/>
  <c r="H116" i="8"/>
  <c r="H123" i="8"/>
  <c r="G131" i="8"/>
  <c r="H24" i="8"/>
  <c r="H28" i="8"/>
  <c r="H32" i="8"/>
  <c r="H40" i="8"/>
  <c r="H44" i="8"/>
  <c r="H55" i="8"/>
  <c r="H59" i="8"/>
  <c r="H63" i="8"/>
  <c r="G93" i="8"/>
  <c r="H82" i="8"/>
  <c r="H86" i="8"/>
  <c r="H100" i="8"/>
  <c r="H110" i="8"/>
  <c r="H137" i="8"/>
  <c r="H27" i="17"/>
  <c r="H30" i="17"/>
  <c r="H34" i="17"/>
  <c r="H37" i="17"/>
  <c r="H104" i="17"/>
  <c r="H108" i="17"/>
  <c r="H122" i="17"/>
  <c r="G98" i="17"/>
  <c r="H105" i="17"/>
  <c r="H141" i="17"/>
  <c r="H16" i="17"/>
  <c r="H20" i="17"/>
  <c r="H31" i="17"/>
  <c r="H42" i="17"/>
  <c r="H61" i="17"/>
  <c r="H81" i="17"/>
  <c r="H96" i="17"/>
  <c r="H112" i="17"/>
  <c r="H116" i="17"/>
  <c r="H134" i="17"/>
  <c r="H17" i="17"/>
  <c r="H58" i="17"/>
  <c r="H74" i="17"/>
  <c r="H93" i="17"/>
  <c r="H106" i="17"/>
  <c r="H120" i="17"/>
  <c r="H124" i="17"/>
  <c r="H10" i="17"/>
  <c r="H14" i="17"/>
  <c r="H18" i="17"/>
  <c r="H33" i="17"/>
  <c r="H63" i="17"/>
  <c r="H67" i="17"/>
  <c r="H91" i="17"/>
  <c r="G126" i="17"/>
  <c r="H114" i="17"/>
  <c r="H140" i="17"/>
  <c r="H145" i="18"/>
  <c r="H10" i="11"/>
  <c r="H14" i="11"/>
  <c r="H22" i="11"/>
  <c r="H124" i="11"/>
  <c r="H136" i="11" s="1"/>
  <c r="G118" i="11"/>
  <c r="H132" i="11"/>
  <c r="H125" i="11"/>
  <c r="H127" i="11"/>
  <c r="D122" i="11"/>
  <c r="H129" i="11"/>
  <c r="H133" i="11"/>
  <c r="G122" i="11"/>
  <c r="H126" i="11"/>
  <c r="D87" i="9"/>
  <c r="G122" i="9"/>
  <c r="H128" i="17"/>
  <c r="H129" i="18"/>
  <c r="H131" i="18" s="1"/>
  <c r="H125" i="16"/>
  <c r="H122" i="13"/>
  <c r="H124" i="13" s="1"/>
  <c r="H119" i="14"/>
  <c r="H121" i="14" s="1"/>
  <c r="H127" i="15"/>
  <c r="H126" i="12"/>
  <c r="H128" i="12" s="1"/>
  <c r="H120" i="11"/>
  <c r="H122" i="11" s="1"/>
  <c r="H122" i="10"/>
  <c r="H120" i="9"/>
  <c r="H122" i="9" s="1"/>
  <c r="D131" i="8"/>
  <c r="H127" i="7"/>
  <c r="G120" i="13"/>
  <c r="H35" i="14"/>
  <c r="H54" i="14"/>
  <c r="H97" i="14"/>
  <c r="D118" i="11"/>
  <c r="G93" i="11"/>
  <c r="H16" i="11"/>
  <c r="H12" i="16"/>
  <c r="H15" i="16"/>
  <c r="H19" i="16"/>
  <c r="H32" i="16"/>
  <c r="G54" i="16"/>
  <c r="G96" i="16"/>
  <c r="D123" i="16"/>
  <c r="H108" i="16"/>
  <c r="H115" i="16"/>
  <c r="H16" i="16"/>
  <c r="H33" i="16"/>
  <c r="H105" i="16"/>
  <c r="H112" i="16"/>
  <c r="H116" i="16"/>
  <c r="H17" i="16"/>
  <c r="H113" i="16"/>
  <c r="H24" i="16"/>
  <c r="D35" i="16"/>
  <c r="H31" i="16"/>
  <c r="H120" i="16"/>
  <c r="G35" i="16"/>
  <c r="D54" i="16"/>
  <c r="D96" i="16"/>
  <c r="H101" i="16"/>
  <c r="H98" i="16"/>
  <c r="H100" i="17"/>
  <c r="D127" i="18"/>
  <c r="G120" i="10"/>
  <c r="H94" i="10"/>
  <c r="D120" i="10"/>
  <c r="H8" i="10"/>
  <c r="H10" i="10"/>
  <c r="H18" i="10"/>
  <c r="H15" i="10"/>
  <c r="G118" i="9"/>
  <c r="D118" i="9"/>
  <c r="H89" i="9"/>
  <c r="G22" i="8"/>
  <c r="H39" i="8"/>
  <c r="H8" i="8"/>
  <c r="H15" i="8"/>
  <c r="H36" i="8"/>
  <c r="H43" i="8"/>
  <c r="H54" i="8"/>
  <c r="H16" i="8"/>
  <c r="H37" i="8"/>
  <c r="H62" i="8"/>
  <c r="H13" i="8"/>
  <c r="H17" i="8"/>
  <c r="H30" i="8"/>
  <c r="H21" i="8"/>
  <c r="H34" i="8"/>
  <c r="G65" i="8"/>
  <c r="D22" i="8"/>
  <c r="D50" i="8"/>
  <c r="H50" i="8" s="1"/>
  <c r="H27" i="8"/>
  <c r="H60" i="8"/>
  <c r="G73" i="19"/>
  <c r="G130" i="19"/>
  <c r="D73" i="19"/>
  <c r="G35" i="19"/>
  <c r="D130" i="19"/>
  <c r="D98" i="19"/>
  <c r="G87" i="9"/>
  <c r="G48" i="9"/>
  <c r="H25" i="9"/>
  <c r="H50" i="9"/>
  <c r="G62" i="9"/>
  <c r="H64" i="9"/>
  <c r="G92" i="10"/>
  <c r="H21" i="10"/>
  <c r="D66" i="10"/>
  <c r="H9" i="10"/>
  <c r="H14" i="10"/>
  <c r="H22" i="10"/>
  <c r="H11" i="10"/>
  <c r="H54" i="10"/>
  <c r="D92" i="10"/>
  <c r="G52" i="11"/>
  <c r="D93" i="11"/>
  <c r="G66" i="11"/>
  <c r="H9" i="11"/>
  <c r="H13" i="11"/>
  <c r="H12" i="11"/>
  <c r="H68" i="11"/>
  <c r="H67" i="8"/>
  <c r="H69" i="14"/>
  <c r="H12" i="17"/>
  <c r="H19" i="17"/>
  <c r="H22" i="17"/>
  <c r="H48" i="17"/>
  <c r="H51" i="17"/>
  <c r="D70" i="17"/>
  <c r="H64" i="17"/>
  <c r="H82" i="17"/>
  <c r="H89" i="17"/>
  <c r="H23" i="17"/>
  <c r="H52" i="17"/>
  <c r="G55" i="17"/>
  <c r="H65" i="17"/>
  <c r="D98" i="17"/>
  <c r="H90" i="17"/>
  <c r="H97" i="17"/>
  <c r="H24" i="17"/>
  <c r="H53" i="17"/>
  <c r="H59" i="17"/>
  <c r="H62" i="17"/>
  <c r="H66" i="17"/>
  <c r="D35" i="17"/>
  <c r="D55" i="17"/>
  <c r="H73" i="17"/>
  <c r="H80" i="17"/>
  <c r="H87" i="17"/>
  <c r="H94" i="17"/>
  <c r="G35" i="17"/>
  <c r="H15" i="17"/>
  <c r="H32" i="17"/>
  <c r="H44" i="17"/>
  <c r="H77" i="17"/>
  <c r="H88" i="17"/>
  <c r="H95" i="17"/>
  <c r="H72" i="17"/>
  <c r="H95" i="12"/>
  <c r="H68" i="12"/>
  <c r="H30" i="7"/>
  <c r="H67" i="7"/>
  <c r="H68" i="7"/>
  <c r="H9" i="7"/>
  <c r="H21" i="7"/>
  <c r="D64" i="7"/>
  <c r="H89" i="7"/>
  <c r="H28" i="7"/>
  <c r="H52" i="7"/>
  <c r="H86" i="7"/>
  <c r="D93" i="7"/>
  <c r="H76" i="7"/>
  <c r="H83" i="7"/>
  <c r="H29" i="7"/>
  <c r="H37" i="7"/>
  <c r="H66" i="7"/>
  <c r="H77" i="7"/>
  <c r="H87" i="7"/>
  <c r="G93" i="7"/>
  <c r="H93" i="7" s="1"/>
  <c r="G98" i="15"/>
  <c r="H17" i="6"/>
  <c r="H29" i="6"/>
  <c r="H41" i="6"/>
  <c r="H57" i="6"/>
  <c r="H81" i="6"/>
  <c r="H91" i="6"/>
  <c r="H30" i="6"/>
  <c r="H42" i="6"/>
  <c r="H62" i="6"/>
  <c r="H70" i="6"/>
  <c r="H74" i="6"/>
  <c r="H11" i="6"/>
  <c r="H19" i="6"/>
  <c r="H43" i="6"/>
  <c r="H51" i="6"/>
  <c r="H71" i="6"/>
  <c r="H93" i="6"/>
  <c r="H44" i="6"/>
  <c r="H68" i="6"/>
  <c r="H8" i="6"/>
  <c r="H16" i="6"/>
  <c r="D64" i="6"/>
  <c r="D169" i="6" s="1"/>
  <c r="G64" i="7"/>
  <c r="D62" i="9"/>
  <c r="G66" i="10"/>
  <c r="H18" i="11"/>
  <c r="D52" i="11"/>
  <c r="H54" i="11"/>
  <c r="H25" i="11"/>
  <c r="H11" i="11"/>
  <c r="H8" i="11"/>
  <c r="H15" i="11"/>
  <c r="H19" i="11"/>
  <c r="G23" i="11"/>
  <c r="H20" i="11"/>
  <c r="H17" i="11"/>
  <c r="H21" i="11"/>
  <c r="D66" i="11"/>
  <c r="H57" i="17"/>
  <c r="H55" i="13"/>
  <c r="H55" i="15"/>
  <c r="D66" i="12"/>
  <c r="H52" i="8"/>
  <c r="H10" i="6"/>
  <c r="H18" i="6"/>
  <c r="H46" i="6"/>
  <c r="G49" i="6"/>
  <c r="H53" i="6"/>
  <c r="H60" i="6"/>
  <c r="H78" i="6"/>
  <c r="H105" i="6"/>
  <c r="H112" i="6"/>
  <c r="H116" i="6"/>
  <c r="H124" i="6"/>
  <c r="H131" i="6"/>
  <c r="H147" i="6"/>
  <c r="H157" i="6"/>
  <c r="G163" i="6"/>
  <c r="H54" i="6"/>
  <c r="H88" i="6"/>
  <c r="H113" i="6"/>
  <c r="H132" i="6"/>
  <c r="H136" i="6"/>
  <c r="H158" i="6"/>
  <c r="H15" i="6"/>
  <c r="H12" i="6"/>
  <c r="H20" i="6"/>
  <c r="H24" i="6"/>
  <c r="H39" i="6"/>
  <c r="H47" i="6"/>
  <c r="H69" i="6"/>
  <c r="H72" i="6"/>
  <c r="H76" i="6"/>
  <c r="H92" i="6"/>
  <c r="H117" i="6"/>
  <c r="H133" i="6"/>
  <c r="H140" i="6"/>
  <c r="H144" i="6"/>
  <c r="D163" i="6"/>
  <c r="H61" i="6"/>
  <c r="D94" i="6"/>
  <c r="H25" i="6"/>
  <c r="H28" i="6"/>
  <c r="H40" i="6"/>
  <c r="H48" i="6"/>
  <c r="G94" i="6"/>
  <c r="H73" i="6"/>
  <c r="H77" i="6"/>
  <c r="H80" i="6"/>
  <c r="H141" i="6"/>
  <c r="H145" i="6"/>
  <c r="H149" i="6"/>
  <c r="G64" i="6"/>
  <c r="H56" i="6"/>
  <c r="H63" i="6"/>
  <c r="H108" i="6"/>
  <c r="H111" i="6"/>
  <c r="H115" i="6"/>
  <c r="D129" i="6"/>
  <c r="H156" i="6"/>
  <c r="D35" i="19"/>
  <c r="D58" i="19"/>
  <c r="K58" i="19" s="1"/>
  <c r="H53" i="13"/>
  <c r="H8" i="14"/>
  <c r="H17" i="15"/>
  <c r="H21" i="15"/>
  <c r="H18" i="15"/>
  <c r="H25" i="15"/>
  <c r="H39" i="15"/>
  <c r="H48" i="15"/>
  <c r="H36" i="15"/>
  <c r="H11" i="15"/>
  <c r="H8" i="15"/>
  <c r="H12" i="15"/>
  <c r="H30" i="15"/>
  <c r="H27" i="15"/>
  <c r="H44" i="15"/>
  <c r="H16" i="15"/>
  <c r="H20" i="15"/>
  <c r="H50" i="15"/>
  <c r="H24" i="15"/>
  <c r="H35" i="15"/>
  <c r="D33" i="12"/>
  <c r="G33" i="12"/>
  <c r="H8" i="12"/>
  <c r="H51" i="12"/>
  <c r="G52" i="10"/>
  <c r="H12" i="10"/>
  <c r="H16" i="10"/>
  <c r="H19" i="10"/>
  <c r="H20" i="10"/>
  <c r="H25" i="10"/>
  <c r="H13" i="10"/>
  <c r="H17" i="10"/>
  <c r="D52" i="10"/>
  <c r="G23" i="10"/>
  <c r="D48" i="9"/>
  <c r="H25" i="7"/>
  <c r="H11" i="7"/>
  <c r="H15" i="7"/>
  <c r="H36" i="7"/>
  <c r="H33" i="7"/>
  <c r="H34" i="7"/>
  <c r="H21" i="6"/>
  <c r="H26" i="6"/>
  <c r="G22" i="6"/>
  <c r="H13" i="6"/>
  <c r="H45" i="6"/>
  <c r="H8" i="17"/>
  <c r="H8" i="16"/>
  <c r="H19" i="13"/>
  <c r="D35" i="13"/>
  <c r="H16" i="13"/>
  <c r="H33" i="13"/>
  <c r="G35" i="13"/>
  <c r="H23" i="13"/>
  <c r="H27" i="13"/>
  <c r="H9" i="13"/>
  <c r="H24" i="13"/>
  <c r="H28" i="13"/>
  <c r="H12" i="13"/>
  <c r="H25" i="13"/>
  <c r="G33" i="15"/>
  <c r="D33" i="15"/>
  <c r="D23" i="11"/>
  <c r="D23" i="10"/>
  <c r="G23" i="9"/>
  <c r="D23" i="9"/>
  <c r="H8" i="9"/>
  <c r="H18" i="7"/>
  <c r="H14" i="7"/>
  <c r="H8" i="7"/>
  <c r="H19" i="7"/>
  <c r="H12" i="7"/>
  <c r="H10" i="7"/>
  <c r="D22" i="7"/>
  <c r="H16" i="7"/>
  <c r="H20" i="7"/>
  <c r="H13" i="7"/>
  <c r="H17" i="7"/>
  <c r="G22" i="7"/>
  <c r="D22" i="6"/>
  <c r="H9" i="6"/>
  <c r="H66" i="6"/>
  <c r="H127" i="6"/>
  <c r="H161" i="6"/>
  <c r="H163" i="6" s="1"/>
  <c r="H52" i="6"/>
  <c r="G125" i="6"/>
  <c r="H41" i="5"/>
  <c r="H144" i="5"/>
  <c r="H12" i="5"/>
  <c r="H27" i="5"/>
  <c r="H88" i="5"/>
  <c r="H112" i="5"/>
  <c r="H39" i="5"/>
  <c r="H49" i="5"/>
  <c r="H129" i="5"/>
  <c r="H14" i="5"/>
  <c r="H89" i="5"/>
  <c r="H116" i="5"/>
  <c r="H118" i="5"/>
  <c r="H123" i="5"/>
  <c r="H110" i="5"/>
  <c r="H55" i="5"/>
  <c r="H67" i="5"/>
  <c r="H71" i="5"/>
  <c r="H75" i="5"/>
  <c r="H79" i="5"/>
  <c r="H96" i="5"/>
  <c r="H11" i="5"/>
  <c r="H101" i="5"/>
  <c r="H54" i="5"/>
  <c r="H58" i="5"/>
  <c r="D156" i="5"/>
  <c r="H42" i="5"/>
  <c r="H93" i="5"/>
  <c r="H109" i="5"/>
  <c r="H153" i="5"/>
  <c r="H16" i="5"/>
  <c r="H20" i="5"/>
  <c r="H43" i="5"/>
  <c r="H83" i="5"/>
  <c r="H146" i="5"/>
  <c r="H21" i="5"/>
  <c r="H29" i="5"/>
  <c r="H33" i="5"/>
  <c r="H76" i="5"/>
  <c r="H95" i="5"/>
  <c r="H135" i="5"/>
  <c r="H143" i="5"/>
  <c r="H26" i="5"/>
  <c r="H34" i="5"/>
  <c r="H77" i="5"/>
  <c r="H92" i="5"/>
  <c r="H100" i="5"/>
  <c r="H104" i="5"/>
  <c r="H108" i="5"/>
  <c r="H148" i="5"/>
  <c r="H56" i="5"/>
  <c r="H64" i="5"/>
  <c r="H68" i="5"/>
  <c r="G124" i="5"/>
  <c r="H126" i="5"/>
  <c r="H130" i="5"/>
  <c r="H132" i="5"/>
  <c r="H136" i="5"/>
  <c r="H140" i="5"/>
  <c r="H65" i="5"/>
  <c r="G156" i="5"/>
  <c r="H13" i="5"/>
  <c r="H127" i="5"/>
  <c r="H133" i="5"/>
  <c r="H141" i="5"/>
  <c r="H145" i="5"/>
  <c r="H87" i="5"/>
  <c r="H111" i="5"/>
  <c r="H25" i="5"/>
  <c r="H66" i="5"/>
  <c r="H94" i="5"/>
  <c r="H128" i="5"/>
  <c r="H134" i="5"/>
  <c r="H102" i="5"/>
  <c r="H44" i="5"/>
  <c r="D62" i="5"/>
  <c r="H57" i="5"/>
  <c r="H78" i="5"/>
  <c r="H103" i="5"/>
  <c r="H117" i="5"/>
  <c r="H131" i="5"/>
  <c r="H150" i="5"/>
  <c r="H36" i="5"/>
  <c r="G62" i="5"/>
  <c r="H51" i="5"/>
  <c r="H61" i="5"/>
  <c r="H82" i="5"/>
  <c r="H84" i="5"/>
  <c r="H97" i="5"/>
  <c r="H107" i="5"/>
  <c r="H113" i="5"/>
  <c r="H142" i="5"/>
  <c r="H147" i="5"/>
  <c r="H17" i="5"/>
  <c r="H24" i="5"/>
  <c r="H30" i="5"/>
  <c r="H40" i="5"/>
  <c r="H48" i="5"/>
  <c r="H52" i="5"/>
  <c r="H69" i="5"/>
  <c r="H72" i="5"/>
  <c r="H85" i="5"/>
  <c r="D120" i="5"/>
  <c r="H98" i="5"/>
  <c r="H114" i="5"/>
  <c r="D124" i="5"/>
  <c r="H139" i="5"/>
  <c r="H18" i="5"/>
  <c r="D46" i="5"/>
  <c r="H31" i="5"/>
  <c r="H73" i="5"/>
  <c r="G120" i="5"/>
  <c r="H155" i="5"/>
  <c r="H15" i="5"/>
  <c r="H28" i="5"/>
  <c r="H53" i="5"/>
  <c r="H59" i="5"/>
  <c r="H70" i="5"/>
  <c r="H80" i="5"/>
  <c r="H86" i="5"/>
  <c r="H99" i="5"/>
  <c r="H105" i="5"/>
  <c r="H115" i="5"/>
  <c r="H119" i="5"/>
  <c r="H19" i="5"/>
  <c r="H32" i="5"/>
  <c r="H38" i="5"/>
  <c r="G46" i="5"/>
  <c r="H60" i="5"/>
  <c r="D90" i="5"/>
  <c r="H74" i="5"/>
  <c r="H81" i="5"/>
  <c r="H106" i="5"/>
  <c r="H149" i="5"/>
  <c r="G22" i="5"/>
  <c r="H8" i="5"/>
  <c r="H10" i="5"/>
  <c r="H9" i="5"/>
  <c r="G90" i="5"/>
  <c r="D22" i="5"/>
  <c r="H154" i="5"/>
  <c r="H122" i="5"/>
  <c r="H128" i="2"/>
  <c r="H109" i="2"/>
  <c r="H110" i="2"/>
  <c r="H75" i="2"/>
  <c r="H54" i="2"/>
  <c r="H26" i="2"/>
  <c r="H27" i="2"/>
  <c r="H28" i="2"/>
  <c r="D8" i="2"/>
  <c r="F153" i="2"/>
  <c r="E153" i="2"/>
  <c r="C153" i="2"/>
  <c r="B153" i="2"/>
  <c r="G152" i="2"/>
  <c r="D152" i="2"/>
  <c r="G151" i="2"/>
  <c r="D151" i="2"/>
  <c r="G150" i="2"/>
  <c r="D150" i="2"/>
  <c r="F148" i="2"/>
  <c r="E148" i="2"/>
  <c r="C148" i="2"/>
  <c r="B148" i="2"/>
  <c r="G147" i="2"/>
  <c r="D147" i="2"/>
  <c r="G146" i="2"/>
  <c r="D146" i="2"/>
  <c r="G145" i="2"/>
  <c r="D145" i="2"/>
  <c r="G144" i="2"/>
  <c r="D144" i="2"/>
  <c r="G143" i="2"/>
  <c r="D143" i="2"/>
  <c r="G142" i="2"/>
  <c r="D142" i="2"/>
  <c r="G141" i="2"/>
  <c r="D141" i="2"/>
  <c r="G140" i="2"/>
  <c r="D140" i="2"/>
  <c r="G139" i="2"/>
  <c r="D139" i="2"/>
  <c r="G138" i="2"/>
  <c r="D138" i="2"/>
  <c r="F136" i="2"/>
  <c r="E136" i="2"/>
  <c r="C136" i="2"/>
  <c r="B136" i="2"/>
  <c r="G135" i="2"/>
  <c r="D135" i="2"/>
  <c r="G134" i="2"/>
  <c r="D134" i="2"/>
  <c r="G133" i="2"/>
  <c r="D133" i="2"/>
  <c r="G132" i="2"/>
  <c r="D132" i="2"/>
  <c r="G131" i="2"/>
  <c r="D131" i="2"/>
  <c r="G130" i="2"/>
  <c r="D130" i="2"/>
  <c r="G129" i="2"/>
  <c r="D129" i="2"/>
  <c r="G127" i="2"/>
  <c r="D127" i="2"/>
  <c r="G126" i="2"/>
  <c r="D126" i="2"/>
  <c r="F124" i="2"/>
  <c r="E124" i="2"/>
  <c r="C124" i="2"/>
  <c r="B124" i="2"/>
  <c r="G123" i="2"/>
  <c r="D123" i="2"/>
  <c r="G122" i="2"/>
  <c r="D122" i="2"/>
  <c r="F120" i="2"/>
  <c r="E120" i="2"/>
  <c r="C120" i="2"/>
  <c r="B120" i="2"/>
  <c r="G119" i="2"/>
  <c r="D119" i="2"/>
  <c r="G118" i="2"/>
  <c r="D118" i="2"/>
  <c r="G117" i="2"/>
  <c r="D117" i="2"/>
  <c r="G116" i="2"/>
  <c r="D116" i="2"/>
  <c r="G115" i="2"/>
  <c r="D115" i="2"/>
  <c r="G114" i="2"/>
  <c r="D114" i="2"/>
  <c r="G113" i="2"/>
  <c r="D113" i="2"/>
  <c r="G112" i="2"/>
  <c r="D112" i="2"/>
  <c r="G111" i="2"/>
  <c r="D111" i="2"/>
  <c r="G108" i="2"/>
  <c r="D108" i="2"/>
  <c r="G107" i="2"/>
  <c r="D107" i="2"/>
  <c r="G106" i="2"/>
  <c r="D106" i="2"/>
  <c r="G105" i="2"/>
  <c r="D105" i="2"/>
  <c r="G104" i="2"/>
  <c r="D104" i="2"/>
  <c r="G103" i="2"/>
  <c r="D103" i="2"/>
  <c r="G102" i="2"/>
  <c r="D102" i="2"/>
  <c r="G101" i="2"/>
  <c r="D101" i="2"/>
  <c r="G100" i="2"/>
  <c r="D100" i="2"/>
  <c r="G99" i="2"/>
  <c r="D99" i="2"/>
  <c r="G98" i="2"/>
  <c r="D98" i="2"/>
  <c r="G97" i="2"/>
  <c r="D97" i="2"/>
  <c r="G96" i="2"/>
  <c r="D96" i="2"/>
  <c r="G95" i="2"/>
  <c r="D95" i="2"/>
  <c r="G94" i="2"/>
  <c r="D94" i="2"/>
  <c r="G93" i="2"/>
  <c r="D93" i="2"/>
  <c r="G92" i="2"/>
  <c r="D92" i="2"/>
  <c r="G91" i="2"/>
  <c r="D91" i="2"/>
  <c r="G90" i="2"/>
  <c r="D90" i="2"/>
  <c r="F88" i="2"/>
  <c r="E88" i="2"/>
  <c r="C88" i="2"/>
  <c r="B88" i="2"/>
  <c r="G87" i="2"/>
  <c r="D87" i="2"/>
  <c r="G86" i="2"/>
  <c r="D86" i="2"/>
  <c r="G85" i="2"/>
  <c r="D85" i="2"/>
  <c r="G84" i="2"/>
  <c r="D84" i="2"/>
  <c r="G83" i="2"/>
  <c r="D83" i="2"/>
  <c r="G82" i="2"/>
  <c r="D82" i="2"/>
  <c r="G81" i="2"/>
  <c r="D81" i="2"/>
  <c r="G80" i="2"/>
  <c r="D80" i="2"/>
  <c r="G79" i="2"/>
  <c r="D79" i="2"/>
  <c r="G78" i="2"/>
  <c r="D78" i="2"/>
  <c r="G77" i="2"/>
  <c r="D77" i="2"/>
  <c r="G76" i="2"/>
  <c r="D76" i="2"/>
  <c r="G74" i="2"/>
  <c r="D74" i="2"/>
  <c r="G73" i="2"/>
  <c r="D73" i="2"/>
  <c r="G72" i="2"/>
  <c r="D72" i="2"/>
  <c r="G71" i="2"/>
  <c r="D71" i="2"/>
  <c r="G70" i="2"/>
  <c r="D70" i="2"/>
  <c r="G69" i="2"/>
  <c r="D69" i="2"/>
  <c r="G68" i="2"/>
  <c r="D68" i="2"/>
  <c r="G67" i="2"/>
  <c r="D67" i="2"/>
  <c r="G66" i="2"/>
  <c r="D66" i="2"/>
  <c r="G65" i="2"/>
  <c r="D65" i="2"/>
  <c r="G64" i="2"/>
  <c r="D64" i="2"/>
  <c r="F62" i="2"/>
  <c r="E62" i="2"/>
  <c r="C62" i="2"/>
  <c r="B62" i="2"/>
  <c r="G61" i="2"/>
  <c r="D61" i="2"/>
  <c r="G60" i="2"/>
  <c r="D60" i="2"/>
  <c r="G59" i="2"/>
  <c r="D59" i="2"/>
  <c r="G58" i="2"/>
  <c r="D58" i="2"/>
  <c r="G57" i="2"/>
  <c r="D57" i="2"/>
  <c r="G56" i="2"/>
  <c r="D56" i="2"/>
  <c r="G55" i="2"/>
  <c r="D55" i="2"/>
  <c r="G53" i="2"/>
  <c r="D53" i="2"/>
  <c r="G52" i="2"/>
  <c r="D52" i="2"/>
  <c r="G51" i="2"/>
  <c r="D51" i="2"/>
  <c r="G50" i="2"/>
  <c r="D50" i="2"/>
  <c r="G49" i="2"/>
  <c r="D49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5" i="2"/>
  <c r="G24" i="2"/>
  <c r="D24" i="2"/>
  <c r="F22" i="2"/>
  <c r="E22" i="2"/>
  <c r="C22" i="2"/>
  <c r="B22" i="2"/>
  <c r="G21" i="2"/>
  <c r="D21" i="2"/>
  <c r="G20" i="2"/>
  <c r="D20" i="2"/>
  <c r="G19" i="2"/>
  <c r="D19" i="2"/>
  <c r="G18" i="2"/>
  <c r="D18" i="2"/>
  <c r="G17" i="2"/>
  <c r="D17" i="2"/>
  <c r="G16" i="2"/>
  <c r="D16" i="2"/>
  <c r="G15" i="2"/>
  <c r="D15" i="2"/>
  <c r="G14" i="2"/>
  <c r="D14" i="2"/>
  <c r="G13" i="2"/>
  <c r="D13" i="2"/>
  <c r="G12" i="2"/>
  <c r="D12" i="2"/>
  <c r="G11" i="2"/>
  <c r="D11" i="2"/>
  <c r="G10" i="2"/>
  <c r="D10" i="2"/>
  <c r="G9" i="2"/>
  <c r="D9" i="2"/>
  <c r="G8" i="2"/>
  <c r="A3" i="2"/>
  <c r="A3" i="1"/>
  <c r="B158" i="2" l="1"/>
  <c r="C158" i="2"/>
  <c r="E158" i="2"/>
  <c r="F158" i="2"/>
  <c r="D22" i="2"/>
  <c r="H125" i="7"/>
  <c r="H50" i="7"/>
  <c r="H127" i="8"/>
  <c r="H22" i="8"/>
  <c r="G168" i="9"/>
  <c r="D168" i="9"/>
  <c r="H93" i="11"/>
  <c r="H52" i="11"/>
  <c r="H142" i="12"/>
  <c r="H124" i="12"/>
  <c r="H157" i="12"/>
  <c r="H33" i="12"/>
  <c r="H129" i="15"/>
  <c r="H68" i="15"/>
  <c r="H53" i="15"/>
  <c r="H95" i="14"/>
  <c r="H33" i="14"/>
  <c r="H117" i="14"/>
  <c r="G158" i="14"/>
  <c r="H67" i="14"/>
  <c r="D158" i="14"/>
  <c r="H52" i="14"/>
  <c r="H120" i="13"/>
  <c r="H150" i="13"/>
  <c r="H35" i="13"/>
  <c r="G164" i="16"/>
  <c r="H136" i="16"/>
  <c r="H153" i="16"/>
  <c r="H158" i="16"/>
  <c r="H127" i="16"/>
  <c r="H70" i="18"/>
  <c r="H35" i="18"/>
  <c r="H158" i="17"/>
  <c r="H143" i="17"/>
  <c r="H130" i="17"/>
  <c r="H98" i="17"/>
  <c r="K175" i="19"/>
  <c r="K134" i="19"/>
  <c r="K165" i="19"/>
  <c r="K171" i="19"/>
  <c r="K147" i="19"/>
  <c r="K98" i="19"/>
  <c r="K73" i="19"/>
  <c r="K130" i="19"/>
  <c r="H129" i="6"/>
  <c r="H55" i="17"/>
  <c r="H124" i="10"/>
  <c r="H87" i="9"/>
  <c r="H62" i="9"/>
  <c r="H125" i="15"/>
  <c r="H68" i="13"/>
  <c r="H93" i="8"/>
  <c r="H65" i="8"/>
  <c r="H125" i="6"/>
  <c r="H22" i="6"/>
  <c r="H129" i="7"/>
  <c r="H96" i="16"/>
  <c r="H54" i="16"/>
  <c r="H33" i="15"/>
  <c r="H98" i="15"/>
  <c r="H70" i="17"/>
  <c r="H126" i="17"/>
  <c r="H118" i="11"/>
  <c r="H35" i="16"/>
  <c r="H123" i="16"/>
  <c r="H120" i="10"/>
  <c r="H23" i="10"/>
  <c r="H52" i="10"/>
  <c r="H66" i="10"/>
  <c r="H92" i="10"/>
  <c r="H118" i="9"/>
  <c r="H48" i="9"/>
  <c r="H23" i="11"/>
  <c r="H35" i="17"/>
  <c r="H64" i="7"/>
  <c r="H66" i="11"/>
  <c r="H64" i="6"/>
  <c r="H169" i="6" s="1"/>
  <c r="H94" i="6"/>
  <c r="K35" i="19"/>
  <c r="H22" i="7"/>
  <c r="H49" i="6"/>
  <c r="H23" i="9"/>
  <c r="H124" i="5"/>
  <c r="H90" i="5"/>
  <c r="H156" i="5"/>
  <c r="H46" i="5"/>
  <c r="H62" i="5"/>
  <c r="H120" i="5"/>
  <c r="H22" i="5"/>
  <c r="H130" i="2"/>
  <c r="H142" i="2"/>
  <c r="H72" i="2"/>
  <c r="H71" i="2"/>
  <c r="H76" i="2"/>
  <c r="H84" i="2"/>
  <c r="H104" i="2"/>
  <c r="H108" i="2"/>
  <c r="G124" i="2"/>
  <c r="H101" i="2"/>
  <c r="H111" i="2"/>
  <c r="H119" i="2"/>
  <c r="H123" i="2"/>
  <c r="H46" i="2"/>
  <c r="H69" i="2"/>
  <c r="H90" i="2"/>
  <c r="H147" i="2"/>
  <c r="H126" i="2"/>
  <c r="H143" i="2"/>
  <c r="D47" i="2"/>
  <c r="H8" i="2"/>
  <c r="H79" i="2"/>
  <c r="H83" i="2"/>
  <c r="H64" i="2"/>
  <c r="H68" i="2"/>
  <c r="H77" i="2"/>
  <c r="H93" i="2"/>
  <c r="H97" i="2"/>
  <c r="H94" i="2"/>
  <c r="H102" i="2"/>
  <c r="G136" i="2"/>
  <c r="H132" i="2"/>
  <c r="H140" i="2"/>
  <c r="H49" i="2"/>
  <c r="H58" i="2"/>
  <c r="H87" i="2"/>
  <c r="H129" i="2"/>
  <c r="H141" i="2"/>
  <c r="D148" i="2"/>
  <c r="D62" i="2"/>
  <c r="H92" i="2"/>
  <c r="H100" i="2"/>
  <c r="H113" i="2"/>
  <c r="H117" i="2"/>
  <c r="H134" i="2"/>
  <c r="H31" i="2"/>
  <c r="H15" i="2"/>
  <c r="H44" i="2"/>
  <c r="H42" i="2"/>
  <c r="H40" i="2"/>
  <c r="H37" i="2"/>
  <c r="H33" i="2"/>
  <c r="H30" i="2"/>
  <c r="H25" i="2"/>
  <c r="H17" i="2"/>
  <c r="H9" i="2"/>
  <c r="G22" i="2"/>
  <c r="H21" i="2"/>
  <c r="H18" i="2"/>
  <c r="H14" i="2"/>
  <c r="H13" i="2"/>
  <c r="H11" i="2"/>
  <c r="H10" i="2"/>
  <c r="H151" i="2"/>
  <c r="D153" i="2"/>
  <c r="H150" i="2"/>
  <c r="H144" i="2"/>
  <c r="H138" i="2"/>
  <c r="H145" i="2"/>
  <c r="H139" i="2"/>
  <c r="H146" i="2"/>
  <c r="H131" i="2"/>
  <c r="H133" i="2"/>
  <c r="D136" i="2"/>
  <c r="H135" i="2"/>
  <c r="D124" i="2"/>
  <c r="H118" i="2"/>
  <c r="H112" i="2"/>
  <c r="H91" i="2"/>
  <c r="H98" i="2"/>
  <c r="H105" i="2"/>
  <c r="H114" i="2"/>
  <c r="H95" i="2"/>
  <c r="H99" i="2"/>
  <c r="H106" i="2"/>
  <c r="H115" i="2"/>
  <c r="H96" i="2"/>
  <c r="H103" i="2"/>
  <c r="H107" i="2"/>
  <c r="H116" i="2"/>
  <c r="D120" i="2"/>
  <c r="H80" i="2"/>
  <c r="H81" i="2"/>
  <c r="H70" i="2"/>
  <c r="D88" i="2"/>
  <c r="H66" i="2"/>
  <c r="H73" i="2"/>
  <c r="H78" i="2"/>
  <c r="H85" i="2"/>
  <c r="H65" i="2"/>
  <c r="H67" i="2"/>
  <c r="H74" i="2"/>
  <c r="H82" i="2"/>
  <c r="H86" i="2"/>
  <c r="H57" i="2"/>
  <c r="G62" i="2"/>
  <c r="H52" i="2"/>
  <c r="H60" i="2"/>
  <c r="H53" i="2"/>
  <c r="H61" i="2"/>
  <c r="H50" i="2"/>
  <c r="H55" i="2"/>
  <c r="H51" i="2"/>
  <c r="H56" i="2"/>
  <c r="H59" i="2"/>
  <c r="H38" i="2"/>
  <c r="H39" i="2"/>
  <c r="G47" i="2"/>
  <c r="H34" i="2"/>
  <c r="H41" i="2"/>
  <c r="H45" i="2"/>
  <c r="H35" i="2"/>
  <c r="H24" i="2"/>
  <c r="H29" i="2"/>
  <c r="H32" i="2"/>
  <c r="H36" i="2"/>
  <c r="H43" i="2"/>
  <c r="H16" i="2"/>
  <c r="H12" i="2"/>
  <c r="H19" i="2"/>
  <c r="H20" i="2"/>
  <c r="H122" i="2"/>
  <c r="H127" i="2"/>
  <c r="G148" i="2"/>
  <c r="G88" i="2"/>
  <c r="G153" i="2"/>
  <c r="G120" i="2"/>
  <c r="H152" i="2"/>
  <c r="C118" i="1"/>
  <c r="E118" i="1"/>
  <c r="F118" i="1"/>
  <c r="B118" i="1"/>
  <c r="C88" i="1"/>
  <c r="E88" i="1"/>
  <c r="F88" i="1"/>
  <c r="B88" i="1"/>
  <c r="C63" i="1"/>
  <c r="E63" i="1"/>
  <c r="F63" i="1"/>
  <c r="B63" i="1"/>
  <c r="G153" i="1"/>
  <c r="D153" i="1"/>
  <c r="C151" i="1"/>
  <c r="E151" i="1"/>
  <c r="F151" i="1"/>
  <c r="B151" i="1"/>
  <c r="D147" i="1"/>
  <c r="D148" i="1"/>
  <c r="D149" i="1"/>
  <c r="D150" i="1"/>
  <c r="G147" i="1"/>
  <c r="G148" i="1"/>
  <c r="G149" i="1"/>
  <c r="G150" i="1"/>
  <c r="G135" i="1"/>
  <c r="G136" i="1"/>
  <c r="G137" i="1"/>
  <c r="G138" i="1"/>
  <c r="G139" i="1"/>
  <c r="G140" i="1"/>
  <c r="G141" i="1"/>
  <c r="G142" i="1"/>
  <c r="G143" i="1"/>
  <c r="G144" i="1"/>
  <c r="E145" i="1"/>
  <c r="F145" i="1"/>
  <c r="B145" i="1"/>
  <c r="C145" i="1"/>
  <c r="D135" i="1"/>
  <c r="D136" i="1"/>
  <c r="D137" i="1"/>
  <c r="D138" i="1"/>
  <c r="D139" i="1"/>
  <c r="D140" i="1"/>
  <c r="D141" i="1"/>
  <c r="D142" i="1"/>
  <c r="D143" i="1"/>
  <c r="D144" i="1"/>
  <c r="C133" i="1"/>
  <c r="E133" i="1"/>
  <c r="F133" i="1"/>
  <c r="B133" i="1"/>
  <c r="B122" i="1"/>
  <c r="G124" i="1"/>
  <c r="G125" i="1"/>
  <c r="G126" i="1"/>
  <c r="G127" i="1"/>
  <c r="G128" i="1"/>
  <c r="G129" i="1"/>
  <c r="G130" i="1"/>
  <c r="G131" i="1"/>
  <c r="G132" i="1"/>
  <c r="D124" i="1"/>
  <c r="D125" i="1"/>
  <c r="D126" i="1"/>
  <c r="D127" i="1"/>
  <c r="D128" i="1"/>
  <c r="D129" i="1"/>
  <c r="D130" i="1"/>
  <c r="D131" i="1"/>
  <c r="D132" i="1"/>
  <c r="C122" i="1"/>
  <c r="E122" i="1"/>
  <c r="F122" i="1"/>
  <c r="G120" i="1"/>
  <c r="G121" i="1"/>
  <c r="D120" i="1"/>
  <c r="D121" i="1"/>
  <c r="G102" i="1"/>
  <c r="G103" i="1"/>
  <c r="G104" i="1"/>
  <c r="G105" i="1"/>
  <c r="G106" i="1"/>
  <c r="G107" i="1"/>
  <c r="G108" i="1"/>
  <c r="G109" i="1"/>
  <c r="G110" i="1"/>
  <c r="G111" i="1"/>
  <c r="D102" i="1"/>
  <c r="D103" i="1"/>
  <c r="D104" i="1"/>
  <c r="D105" i="1"/>
  <c r="D106" i="1"/>
  <c r="D107" i="1"/>
  <c r="D108" i="1"/>
  <c r="D109" i="1"/>
  <c r="D110" i="1"/>
  <c r="D111" i="1"/>
  <c r="G117" i="1"/>
  <c r="D117" i="1"/>
  <c r="G116" i="1"/>
  <c r="D116" i="1"/>
  <c r="G115" i="1"/>
  <c r="D115" i="1"/>
  <c r="G114" i="1"/>
  <c r="D114" i="1"/>
  <c r="G113" i="1"/>
  <c r="D113" i="1"/>
  <c r="G112" i="1"/>
  <c r="D112" i="1"/>
  <c r="G101" i="1"/>
  <c r="D101" i="1"/>
  <c r="G100" i="1"/>
  <c r="D100" i="1"/>
  <c r="G99" i="1"/>
  <c r="D99" i="1"/>
  <c r="G98" i="1"/>
  <c r="D98" i="1"/>
  <c r="G97" i="1"/>
  <c r="D97" i="1"/>
  <c r="G96" i="1"/>
  <c r="D96" i="1"/>
  <c r="G95" i="1"/>
  <c r="D95" i="1"/>
  <c r="G94" i="1"/>
  <c r="D94" i="1"/>
  <c r="G93" i="1"/>
  <c r="D93" i="1"/>
  <c r="G92" i="1"/>
  <c r="D92" i="1"/>
  <c r="G91" i="1"/>
  <c r="D91" i="1"/>
  <c r="G90" i="1"/>
  <c r="D90" i="1"/>
  <c r="G62" i="1"/>
  <c r="D62" i="1"/>
  <c r="G61" i="1"/>
  <c r="D61" i="1"/>
  <c r="G60" i="1"/>
  <c r="D60" i="1"/>
  <c r="G59" i="1"/>
  <c r="D59" i="1"/>
  <c r="G58" i="1"/>
  <c r="D58" i="1"/>
  <c r="G57" i="1"/>
  <c r="D57" i="1"/>
  <c r="G56" i="1"/>
  <c r="D56" i="1"/>
  <c r="G55" i="1"/>
  <c r="D55" i="1"/>
  <c r="G54" i="1"/>
  <c r="D54" i="1"/>
  <c r="G53" i="1"/>
  <c r="D53" i="1"/>
  <c r="G52" i="1"/>
  <c r="D52" i="1"/>
  <c r="G51" i="1"/>
  <c r="D51" i="1"/>
  <c r="G87" i="1"/>
  <c r="D87" i="1"/>
  <c r="G86" i="1"/>
  <c r="D86" i="1"/>
  <c r="G85" i="1"/>
  <c r="D85" i="1"/>
  <c r="G84" i="1"/>
  <c r="D84" i="1"/>
  <c r="G83" i="1"/>
  <c r="D83" i="1"/>
  <c r="G82" i="1"/>
  <c r="D82" i="1"/>
  <c r="G81" i="1"/>
  <c r="D81" i="1"/>
  <c r="G80" i="1"/>
  <c r="D80" i="1"/>
  <c r="G79" i="1"/>
  <c r="D79" i="1"/>
  <c r="G78" i="1"/>
  <c r="D78" i="1"/>
  <c r="G77" i="1"/>
  <c r="D77" i="1"/>
  <c r="G76" i="1"/>
  <c r="D76" i="1"/>
  <c r="G75" i="1"/>
  <c r="D75" i="1"/>
  <c r="G74" i="1"/>
  <c r="D74" i="1"/>
  <c r="G73" i="1"/>
  <c r="D73" i="1"/>
  <c r="G72" i="1"/>
  <c r="D72" i="1"/>
  <c r="G71" i="1"/>
  <c r="D71" i="1"/>
  <c r="G70" i="1"/>
  <c r="D70" i="1"/>
  <c r="G69" i="1"/>
  <c r="D69" i="1"/>
  <c r="G68" i="1"/>
  <c r="D68" i="1"/>
  <c r="G67" i="1"/>
  <c r="D67" i="1"/>
  <c r="G66" i="1"/>
  <c r="D66" i="1"/>
  <c r="G65" i="1"/>
  <c r="D65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G10" i="1"/>
  <c r="G11" i="1"/>
  <c r="G12" i="1"/>
  <c r="G13" i="1"/>
  <c r="G14" i="1"/>
  <c r="G15" i="1"/>
  <c r="G16" i="1"/>
  <c r="G17" i="1"/>
  <c r="G18" i="1"/>
  <c r="G19" i="1"/>
  <c r="G20" i="1"/>
  <c r="G21" i="1"/>
  <c r="D10" i="1"/>
  <c r="D11" i="1"/>
  <c r="D12" i="1"/>
  <c r="D13" i="1"/>
  <c r="D14" i="1"/>
  <c r="D15" i="1"/>
  <c r="D16" i="1"/>
  <c r="D17" i="1"/>
  <c r="D18" i="1"/>
  <c r="B22" i="1"/>
  <c r="C22" i="1"/>
  <c r="F22" i="1"/>
  <c r="E22" i="1"/>
  <c r="D158" i="2" l="1"/>
  <c r="G158" i="2"/>
  <c r="H168" i="9"/>
  <c r="H158" i="14"/>
  <c r="H164" i="16"/>
  <c r="H124" i="2"/>
  <c r="H47" i="2"/>
  <c r="H88" i="2"/>
  <c r="H148" i="2"/>
  <c r="H136" i="2"/>
  <c r="H22" i="2"/>
  <c r="H120" i="2"/>
  <c r="H62" i="2"/>
  <c r="H153" i="2"/>
  <c r="F156" i="1"/>
  <c r="E156" i="1"/>
  <c r="D88" i="1"/>
  <c r="H141" i="1"/>
  <c r="D63" i="1"/>
  <c r="B156" i="1"/>
  <c r="G88" i="1"/>
  <c r="H88" i="1" s="1"/>
  <c r="H120" i="1"/>
  <c r="H137" i="1"/>
  <c r="G63" i="1"/>
  <c r="D118" i="1"/>
  <c r="G118" i="1"/>
  <c r="H129" i="1"/>
  <c r="H125" i="1"/>
  <c r="D151" i="1"/>
  <c r="G151" i="1"/>
  <c r="C156" i="1"/>
  <c r="D145" i="1"/>
  <c r="H142" i="1"/>
  <c r="H138" i="1"/>
  <c r="G133" i="1"/>
  <c r="H144" i="1"/>
  <c r="H140" i="1"/>
  <c r="H136" i="1"/>
  <c r="D133" i="1"/>
  <c r="H131" i="1"/>
  <c r="H127" i="1"/>
  <c r="H143" i="1"/>
  <c r="H139" i="1"/>
  <c r="H135" i="1"/>
  <c r="H121" i="1"/>
  <c r="H122" i="1" s="1"/>
  <c r="H130" i="1"/>
  <c r="H126" i="1"/>
  <c r="H132" i="1"/>
  <c r="H128" i="1"/>
  <c r="H124" i="1"/>
  <c r="G145" i="1"/>
  <c r="D122" i="1"/>
  <c r="H150" i="1"/>
  <c r="H111" i="1"/>
  <c r="H107" i="1"/>
  <c r="G122" i="1"/>
  <c r="H153" i="1"/>
  <c r="H103" i="1"/>
  <c r="H92" i="1"/>
  <c r="H94" i="1"/>
  <c r="H112" i="1"/>
  <c r="H147" i="1"/>
  <c r="H149" i="1"/>
  <c r="H110" i="1"/>
  <c r="H106" i="1"/>
  <c r="H102" i="1"/>
  <c r="H109" i="1"/>
  <c r="H105" i="1"/>
  <c r="H108" i="1"/>
  <c r="H104" i="1"/>
  <c r="H96" i="1"/>
  <c r="H98" i="1"/>
  <c r="H114" i="1"/>
  <c r="H116" i="1"/>
  <c r="H90" i="1"/>
  <c r="H99" i="1"/>
  <c r="H101" i="1"/>
  <c r="H91" i="1"/>
  <c r="H93" i="1"/>
  <c r="H100" i="1"/>
  <c r="H113" i="1"/>
  <c r="H115" i="1"/>
  <c r="H95" i="1"/>
  <c r="H97" i="1"/>
  <c r="H117" i="1"/>
  <c r="H148" i="1"/>
  <c r="H44" i="1"/>
  <c r="H36" i="1"/>
  <c r="H80" i="1"/>
  <c r="H28" i="1"/>
  <c r="H46" i="1"/>
  <c r="H42" i="1"/>
  <c r="H38" i="1"/>
  <c r="H34" i="1"/>
  <c r="H30" i="1"/>
  <c r="H26" i="1"/>
  <c r="H48" i="1"/>
  <c r="H40" i="1"/>
  <c r="H32" i="1"/>
  <c r="H24" i="1"/>
  <c r="H45" i="1"/>
  <c r="H41" i="1"/>
  <c r="H37" i="1"/>
  <c r="H33" i="1"/>
  <c r="H29" i="1"/>
  <c r="H25" i="1"/>
  <c r="G49" i="1"/>
  <c r="H82" i="1"/>
  <c r="H84" i="1"/>
  <c r="H47" i="1"/>
  <c r="H43" i="1"/>
  <c r="H39" i="1"/>
  <c r="H35" i="1"/>
  <c r="H31" i="1"/>
  <c r="H27" i="1"/>
  <c r="H73" i="1"/>
  <c r="H75" i="1"/>
  <c r="H66" i="1"/>
  <c r="H68" i="1"/>
  <c r="H72" i="1"/>
  <c r="H76" i="1"/>
  <c r="H77" i="1"/>
  <c r="H86" i="1"/>
  <c r="H81" i="1"/>
  <c r="H70" i="1"/>
  <c r="H79" i="1"/>
  <c r="H65" i="1"/>
  <c r="H67" i="1"/>
  <c r="H74" i="1"/>
  <c r="H83" i="1"/>
  <c r="H69" i="1"/>
  <c r="H71" i="1"/>
  <c r="H78" i="1"/>
  <c r="H85" i="1"/>
  <c r="H87" i="1"/>
  <c r="H54" i="1"/>
  <c r="H58" i="1"/>
  <c r="H62" i="1"/>
  <c r="H56" i="1"/>
  <c r="H51" i="1"/>
  <c r="H53" i="1"/>
  <c r="H60" i="1"/>
  <c r="H55" i="1"/>
  <c r="H57" i="1"/>
  <c r="H52" i="1"/>
  <c r="H59" i="1"/>
  <c r="H61" i="1"/>
  <c r="H18" i="1"/>
  <c r="H14" i="1"/>
  <c r="H10" i="1"/>
  <c r="H17" i="1"/>
  <c r="H13" i="1"/>
  <c r="H16" i="1"/>
  <c r="H12" i="1"/>
  <c r="H15" i="1"/>
  <c r="H11" i="1"/>
  <c r="G8" i="1"/>
  <c r="G9" i="1"/>
  <c r="G22" i="1"/>
  <c r="D8" i="1"/>
  <c r="D9" i="1"/>
  <c r="D19" i="1"/>
  <c r="H19" i="1" s="1"/>
  <c r="D20" i="1"/>
  <c r="H20" i="1" s="1"/>
  <c r="D21" i="1"/>
  <c r="H21" i="1" s="1"/>
  <c r="H158" i="2" l="1"/>
  <c r="G156" i="1"/>
  <c r="H145" i="1"/>
  <c r="H63" i="1"/>
  <c r="H151" i="1"/>
  <c r="H118" i="1"/>
  <c r="D156" i="1"/>
  <c r="H49" i="1"/>
  <c r="H133" i="1"/>
  <c r="H8" i="1"/>
  <c r="H9" i="1"/>
  <c r="H22" i="1"/>
  <c r="H156" i="1" l="1"/>
</calcChain>
</file>

<file path=xl/sharedStrings.xml><?xml version="1.0" encoding="utf-8"?>
<sst xmlns="http://schemas.openxmlformats.org/spreadsheetml/2006/main" count="2920" uniqueCount="249">
  <si>
    <t>Total</t>
  </si>
  <si>
    <t>Undergraduate</t>
  </si>
  <si>
    <t>Graduate</t>
  </si>
  <si>
    <t>Country/Region</t>
  </si>
  <si>
    <t>Full Time</t>
  </si>
  <si>
    <t>Part Time</t>
  </si>
  <si>
    <t>Subtotal</t>
  </si>
  <si>
    <t>Table O</t>
  </si>
  <si>
    <t xml:space="preserve">Students Domiciled outside the UK by Method of Study </t>
  </si>
  <si>
    <t>European Union (Excl. the UK)</t>
  </si>
  <si>
    <t>Austria</t>
  </si>
  <si>
    <t>Belgium</t>
  </si>
  <si>
    <t>Denmark</t>
  </si>
  <si>
    <t>Eire</t>
  </si>
  <si>
    <t>Finland</t>
  </si>
  <si>
    <t>France</t>
  </si>
  <si>
    <t>Germany</t>
  </si>
  <si>
    <t>Greece</t>
  </si>
  <si>
    <t>Italy</t>
  </si>
  <si>
    <t>Luxembourg</t>
  </si>
  <si>
    <t>Netherlands</t>
  </si>
  <si>
    <t>Portugal</t>
  </si>
  <si>
    <t>Spain</t>
  </si>
  <si>
    <t>Sweden</t>
  </si>
  <si>
    <t>Rest of Europe</t>
  </si>
  <si>
    <t>Albania</t>
  </si>
  <si>
    <t>Armenia</t>
  </si>
  <si>
    <t>Bosnia-Herzegovina</t>
  </si>
  <si>
    <t>Bulgaria</t>
  </si>
  <si>
    <t>Croatia</t>
  </si>
  <si>
    <t>Cyprus</t>
  </si>
  <si>
    <t>Czech Republic</t>
  </si>
  <si>
    <t>former Czechoslovakia</t>
  </si>
  <si>
    <t>Estonia</t>
  </si>
  <si>
    <t>Hungary</t>
  </si>
  <si>
    <t>Iceland</t>
  </si>
  <si>
    <t>Latvia</t>
  </si>
  <si>
    <t>Republic of Macedonia</t>
  </si>
  <si>
    <t>Malta</t>
  </si>
  <si>
    <t>Norway</t>
  </si>
  <si>
    <t>Poland</t>
  </si>
  <si>
    <t>Romania</t>
  </si>
  <si>
    <t>Russia</t>
  </si>
  <si>
    <t>Slovakia</t>
  </si>
  <si>
    <t>Slovenia</t>
  </si>
  <si>
    <t>Switzerland</t>
  </si>
  <si>
    <t>Turkey</t>
  </si>
  <si>
    <t>former USSR</t>
  </si>
  <si>
    <t>Ukraine</t>
  </si>
  <si>
    <t>Middle East</t>
  </si>
  <si>
    <t>Bahrain</t>
  </si>
  <si>
    <t>Iran</t>
  </si>
  <si>
    <t>Iraq</t>
  </si>
  <si>
    <t>Israel</t>
  </si>
  <si>
    <t>Jordan</t>
  </si>
  <si>
    <t>Kuwait</t>
  </si>
  <si>
    <t>Lebanon</t>
  </si>
  <si>
    <t>Oman</t>
  </si>
  <si>
    <t>Saudi Arabia</t>
  </si>
  <si>
    <t>South Yemen</t>
  </si>
  <si>
    <t>Syria</t>
  </si>
  <si>
    <t>United Arab Emirates</t>
  </si>
  <si>
    <t>Asia</t>
  </si>
  <si>
    <t>Afghanistan</t>
  </si>
  <si>
    <t>Bangladesh</t>
  </si>
  <si>
    <t>Brunei</t>
  </si>
  <si>
    <t>Burma (Myanmar)</t>
  </si>
  <si>
    <t>Cambodia</t>
  </si>
  <si>
    <t>China</t>
  </si>
  <si>
    <t>Hong Kong</t>
  </si>
  <si>
    <t>India</t>
  </si>
  <si>
    <t>Indonesia</t>
  </si>
  <si>
    <t>Japan</t>
  </si>
  <si>
    <t>Kazakhstan</t>
  </si>
  <si>
    <t>Malaysia</t>
  </si>
  <si>
    <t>Maldive Islands</t>
  </si>
  <si>
    <t>Nepal</t>
  </si>
  <si>
    <t>Pakistan</t>
  </si>
  <si>
    <t>Papua New Guinea</t>
  </si>
  <si>
    <t>Philippines</t>
  </si>
  <si>
    <t>Singapore</t>
  </si>
  <si>
    <t>South Korea</t>
  </si>
  <si>
    <t>Sri Lanka</t>
  </si>
  <si>
    <t>Taiwan</t>
  </si>
  <si>
    <t>Thailand</t>
  </si>
  <si>
    <t>Vietnam</t>
  </si>
  <si>
    <t>Africa</t>
  </si>
  <si>
    <t>Algeria</t>
  </si>
  <si>
    <t>Botswana</t>
  </si>
  <si>
    <t>Cameroon</t>
  </si>
  <si>
    <t>Egypt</t>
  </si>
  <si>
    <t>Eritrea</t>
  </si>
  <si>
    <t>Ethiopia</t>
  </si>
  <si>
    <t>Gabon</t>
  </si>
  <si>
    <t>Gambia</t>
  </si>
  <si>
    <t>Ghana</t>
  </si>
  <si>
    <t>Kenya</t>
  </si>
  <si>
    <t>Lesotho</t>
  </si>
  <si>
    <t>Liberia</t>
  </si>
  <si>
    <t>Libya</t>
  </si>
  <si>
    <t>Malawi</t>
  </si>
  <si>
    <t>Mauritius</t>
  </si>
  <si>
    <t>Morocco</t>
  </si>
  <si>
    <t>Namibia</t>
  </si>
  <si>
    <t>Nigeria</t>
  </si>
  <si>
    <t>Sierra Leone</t>
  </si>
  <si>
    <t>Somalia</t>
  </si>
  <si>
    <t>South Africa</t>
  </si>
  <si>
    <t>Sudan</t>
  </si>
  <si>
    <t>Seychelles</t>
  </si>
  <si>
    <t>Tanzania</t>
  </si>
  <si>
    <t>Uganda</t>
  </si>
  <si>
    <t>Zaire</t>
  </si>
  <si>
    <t>Zambia</t>
  </si>
  <si>
    <t>Zimbabwe</t>
  </si>
  <si>
    <t>North America</t>
  </si>
  <si>
    <t>Canada</t>
  </si>
  <si>
    <t>USA</t>
  </si>
  <si>
    <t>Bahamas</t>
  </si>
  <si>
    <t>Barbados</t>
  </si>
  <si>
    <t>Bermuda</t>
  </si>
  <si>
    <t>Cayman Islands</t>
  </si>
  <si>
    <t>Dominica</t>
  </si>
  <si>
    <t>Jamaica</t>
  </si>
  <si>
    <t>St Lucia</t>
  </si>
  <si>
    <t>St Vincent &amp; the Grenadines</t>
  </si>
  <si>
    <t>Trinidad &amp; Tobago</t>
  </si>
  <si>
    <t>Latin America</t>
  </si>
  <si>
    <t>Argentina</t>
  </si>
  <si>
    <t>Belize</t>
  </si>
  <si>
    <t>Brazil</t>
  </si>
  <si>
    <t>Chile</t>
  </si>
  <si>
    <t>Colombia</t>
  </si>
  <si>
    <t>Guatemala</t>
  </si>
  <si>
    <t>Guyana</t>
  </si>
  <si>
    <t>Mexico</t>
  </si>
  <si>
    <t>Peru</t>
  </si>
  <si>
    <t>Venezeula</t>
  </si>
  <si>
    <t>Australasia</t>
  </si>
  <si>
    <t>Australia</t>
  </si>
  <si>
    <t>Fiji</t>
  </si>
  <si>
    <t>New Zealand</t>
  </si>
  <si>
    <t>Solomon Islands</t>
  </si>
  <si>
    <t>Stateless/Not Known</t>
  </si>
  <si>
    <t>Former Yugoslavia</t>
  </si>
  <si>
    <t>Carribean</t>
  </si>
  <si>
    <t>Other</t>
  </si>
  <si>
    <t>This table is concerned with students whose domicile at the time of application is outside the UK irrespective of nationality.</t>
  </si>
  <si>
    <t>Belarus</t>
  </si>
  <si>
    <t>Lithuania</t>
  </si>
  <si>
    <t>former Yugoslavia</t>
  </si>
  <si>
    <t>Yemen Arab Republic (North Yemen)</t>
  </si>
  <si>
    <t>Mongolia</t>
  </si>
  <si>
    <t>Niger</t>
  </si>
  <si>
    <t>Swaziland</t>
  </si>
  <si>
    <t>Tunisia</t>
  </si>
  <si>
    <t>Dominican Republic</t>
  </si>
  <si>
    <t>Haiti</t>
  </si>
  <si>
    <t>Tonga</t>
  </si>
  <si>
    <t>Graduate Research</t>
  </si>
  <si>
    <t>Gibraltar</t>
  </si>
  <si>
    <t>Azerbaijan</t>
  </si>
  <si>
    <t>Faroe Islands</t>
  </si>
  <si>
    <t>Georgia</t>
  </si>
  <si>
    <t>Kosovo</t>
  </si>
  <si>
    <t>Liechtenstein</t>
  </si>
  <si>
    <t>Macedonia</t>
  </si>
  <si>
    <t>Moldova</t>
  </si>
  <si>
    <t>Monaco</t>
  </si>
  <si>
    <t>Montenegro</t>
  </si>
  <si>
    <t>Serbia and Montenegro</t>
  </si>
  <si>
    <t>Qatar</t>
  </si>
  <si>
    <t>Yemen</t>
  </si>
  <si>
    <t>Burma</t>
  </si>
  <si>
    <t>China, People's Republic</t>
  </si>
  <si>
    <t>Hong Kong SAR</t>
  </si>
  <si>
    <t>Korea, Republic of</t>
  </si>
  <si>
    <t>Macao SAR</t>
  </si>
  <si>
    <t>Maldives</t>
  </si>
  <si>
    <t>Turkmenistan</t>
  </si>
  <si>
    <t>Uzbekistan</t>
  </si>
  <si>
    <t>Angola</t>
  </si>
  <si>
    <t>Benin</t>
  </si>
  <si>
    <t>Burkina-Faso</t>
  </si>
  <si>
    <t>Congo, People's Republic</t>
  </si>
  <si>
    <t>Mauritania</t>
  </si>
  <si>
    <t>Mozambique</t>
  </si>
  <si>
    <t>Reunion</t>
  </si>
  <si>
    <t>Senegal</t>
  </si>
  <si>
    <t>Grenada</t>
  </si>
  <si>
    <t>Guadeloupe</t>
  </si>
  <si>
    <t>Puerto Rico</t>
  </si>
  <si>
    <t>Trinidad And Tobago</t>
  </si>
  <si>
    <t>Turks and Caicos Islands</t>
  </si>
  <si>
    <t>Virgin Islands (US)</t>
  </si>
  <si>
    <t>Central and South America</t>
  </si>
  <si>
    <t>Costa Rica</t>
  </si>
  <si>
    <t>Cuba</t>
  </si>
  <si>
    <t>Falkland Islands</t>
  </si>
  <si>
    <t>Honduras</t>
  </si>
  <si>
    <t>Nicaragua</t>
  </si>
  <si>
    <t>Panama</t>
  </si>
  <si>
    <t>Paraguay</t>
  </si>
  <si>
    <t>Venezuela</t>
  </si>
  <si>
    <t>New Caledonia</t>
  </si>
  <si>
    <t>Stateless</t>
  </si>
  <si>
    <t>Not Known</t>
  </si>
  <si>
    <t>Bhutan</t>
  </si>
  <si>
    <t>Mali</t>
  </si>
  <si>
    <t>St Vincent</t>
  </si>
  <si>
    <t>Kyrgyzstan</t>
  </si>
  <si>
    <t>Tajikistan</t>
  </si>
  <si>
    <t>Ivory Coast</t>
  </si>
  <si>
    <t>British Virgin Islands</t>
  </si>
  <si>
    <t>West Indies</t>
  </si>
  <si>
    <t>Bolivia</t>
  </si>
  <si>
    <t>Ecuador</t>
  </si>
  <si>
    <t xml:space="preserve">This table is concerned with students whose domicile at the time of application is within the UK irrespective of nationality. </t>
  </si>
  <si>
    <t>The sum of Tables N and O is equivalent to the total number of students attending UCL.</t>
  </si>
  <si>
    <t>Madagascar</t>
  </si>
  <si>
    <t>Rwanda</t>
  </si>
  <si>
    <t>Uruguay</t>
  </si>
  <si>
    <t>Netherlands Antilles</t>
  </si>
  <si>
    <t>East Timor</t>
  </si>
  <si>
    <t>Outer Mongolia</t>
  </si>
  <si>
    <t>U.S.A.</t>
  </si>
  <si>
    <t>Guinea</t>
  </si>
  <si>
    <t>St Helena</t>
  </si>
  <si>
    <t>Montserrat</t>
  </si>
  <si>
    <t>Kirgizia</t>
  </si>
  <si>
    <t>Macao</t>
  </si>
  <si>
    <t>Republic of Korea</t>
  </si>
  <si>
    <t>Antigua and Barbuda</t>
  </si>
  <si>
    <t>Surinam</t>
  </si>
  <si>
    <t>Muscat And Oman</t>
  </si>
  <si>
    <t>Syrian Arab Republic</t>
  </si>
  <si>
    <t>Yemen (People's Democratic Republic)</t>
  </si>
  <si>
    <t>Democratic People's Republic of Korea</t>
  </si>
  <si>
    <t>St Kitts-Nevis</t>
  </si>
  <si>
    <t>Vanuatu</t>
  </si>
  <si>
    <t>Western Samoa</t>
  </si>
  <si>
    <t>North Korea</t>
  </si>
  <si>
    <t>Comoros</t>
  </si>
  <si>
    <t>Togo</t>
  </si>
  <si>
    <t>St Vincent and The Grenadines</t>
  </si>
  <si>
    <t>Trinidad and Tobago</t>
  </si>
  <si>
    <t>El Salvador</t>
  </si>
  <si>
    <t>Laos</t>
  </si>
  <si>
    <t>Antigua (&amp; Barbuda)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</si>
</sst>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8"/>
      <color theme="0"/>
      <name val="Arial"/>
      <family val="2"/>
    </font>
    <font>
      <sz val="8.5"/>
      <color theme="1"/>
      <name val="Arial"/>
      <family val="2"/>
    </font>
    <font>
      <b/>
      <sz val="10"/>
      <color theme="1"/>
      <name val="Arial"/>
      <family val="2"/>
    </font>
    <font>
      <b/>
      <sz val="8.5"/>
      <color theme="1"/>
      <name val="Arial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6CCFF"/>
        <bgColor indexed="64"/>
      </patternFill>
    </fill>
    <fill>
      <patternFill patternType="solid">
        <fgColor theme="0" tint="-4.9989318521683403E-2"/>
        <bgColor indexed="64"/>
      </patternFill>
    </fill>
  </fills>
  <borders count="36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double">
        <color indexed="64"/>
      </bottom>
      <diagonal/>
    </border>
    <border>
      <left style="thin">
        <color rgb="FF000000"/>
      </left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2" xfId="0" applyFont="1" applyBorder="1"/>
    <xf numFmtId="0" fontId="4" fillId="0" borderId="1" xfId="0" applyFont="1" applyBorder="1"/>
    <xf numFmtId="0" fontId="4" fillId="0" borderId="7" xfId="0" applyFont="1" applyBorder="1"/>
    <xf numFmtId="0" fontId="4" fillId="0" borderId="11" xfId="0" applyFont="1" applyBorder="1"/>
    <xf numFmtId="0" fontId="4" fillId="0" borderId="8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9" xfId="0" applyFont="1" applyBorder="1"/>
    <xf numFmtId="0" fontId="9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2" xfId="0" applyFont="1" applyBorder="1"/>
    <xf numFmtId="0" fontId="4" fillId="0" borderId="19" xfId="0" applyFont="1" applyBorder="1"/>
    <xf numFmtId="0" fontId="9" fillId="3" borderId="13" xfId="0" applyFont="1" applyFill="1" applyBorder="1"/>
    <xf numFmtId="0" fontId="4" fillId="3" borderId="20" xfId="0" applyFont="1" applyFill="1" applyBorder="1"/>
    <xf numFmtId="0" fontId="4" fillId="3" borderId="21" xfId="0" applyFont="1" applyFill="1" applyBorder="1"/>
    <xf numFmtId="0" fontId="5" fillId="2" borderId="10" xfId="0" applyFont="1" applyFill="1" applyBorder="1" applyAlignment="1"/>
    <xf numFmtId="49" fontId="0" fillId="0" borderId="0" xfId="0" applyNumberFormat="1"/>
    <xf numFmtId="49" fontId="0" fillId="0" borderId="0" xfId="0" applyNumberFormat="1" applyAlignment="1">
      <alignment wrapText="1"/>
    </xf>
    <xf numFmtId="0" fontId="8" fillId="3" borderId="13" xfId="0" applyFont="1" applyFill="1" applyBorder="1" applyAlignment="1">
      <alignment horizontal="center"/>
    </xf>
    <xf numFmtId="0" fontId="4" fillId="3" borderId="20" xfId="0" applyFont="1" applyFill="1" applyBorder="1" applyAlignment="1">
      <alignment horizontal="center"/>
    </xf>
    <xf numFmtId="0" fontId="4" fillId="3" borderId="21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0" fillId="0" borderId="0" xfId="0" applyAlignment="1">
      <alignment horizontal="left" wrapText="1"/>
    </xf>
    <xf numFmtId="0" fontId="5" fillId="2" borderId="10" xfId="0" applyFont="1" applyFill="1" applyBorder="1" applyAlignment="1">
      <alignment horizontal="left" wrapText="1"/>
    </xf>
    <xf numFmtId="0" fontId="5" fillId="2" borderId="23" xfId="0" applyFont="1" applyFill="1" applyBorder="1" applyAlignment="1">
      <alignment horizontal="left" wrapText="1"/>
    </xf>
    <xf numFmtId="0" fontId="2" fillId="0" borderId="0" xfId="0" applyFont="1" applyAlignment="1">
      <alignment horizontal="left"/>
    </xf>
    <xf numFmtId="0" fontId="8" fillId="3" borderId="16" xfId="0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/>
    </xf>
    <xf numFmtId="0" fontId="4" fillId="3" borderId="18" xfId="0" applyFont="1" applyFill="1" applyBorder="1" applyAlignment="1">
      <alignment horizontal="center"/>
    </xf>
    <xf numFmtId="0" fontId="5" fillId="2" borderId="22" xfId="0" applyFont="1" applyFill="1" applyBorder="1" applyAlignment="1">
      <alignment horizontal="center"/>
    </xf>
    <xf numFmtId="0" fontId="5" fillId="2" borderId="25" xfId="0" applyFont="1" applyFill="1" applyBorder="1" applyAlignment="1">
      <alignment horizontal="center"/>
    </xf>
    <xf numFmtId="0" fontId="5" fillId="2" borderId="27" xfId="0" applyFont="1" applyFill="1" applyBorder="1" applyAlignment="1">
      <alignment horizontal="center"/>
    </xf>
    <xf numFmtId="0" fontId="5" fillId="2" borderId="28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left"/>
    </xf>
    <xf numFmtId="0" fontId="5" fillId="2" borderId="23" xfId="0" applyFont="1" applyFill="1" applyBorder="1" applyAlignment="1">
      <alignment horizontal="left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9" fillId="0" borderId="29" xfId="0" applyFont="1" applyBorder="1"/>
    <xf numFmtId="0" fontId="4" fillId="0" borderId="30" xfId="0" applyFont="1" applyBorder="1"/>
    <xf numFmtId="0" fontId="4" fillId="0" borderId="31" xfId="0" applyFont="1" applyBorder="1"/>
    <xf numFmtId="0" fontId="4" fillId="0" borderId="32" xfId="0" applyFont="1" applyBorder="1"/>
    <xf numFmtId="0" fontId="0" fillId="0" borderId="0" xfId="0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2" fillId="0" borderId="0" xfId="0" applyFont="1" applyBorder="1" applyAlignment="1">
      <alignment horizontal="left"/>
    </xf>
    <xf numFmtId="0" fontId="3" fillId="0" borderId="0" xfId="0" applyFont="1" applyBorder="1"/>
    <xf numFmtId="0" fontId="0" fillId="0" borderId="0" xfId="0" applyBorder="1"/>
    <xf numFmtId="0" fontId="6" fillId="2" borderId="33" xfId="0" applyFont="1" applyFill="1" applyBorder="1" applyAlignment="1">
      <alignment horizontal="center" wrapText="1"/>
    </xf>
    <xf numFmtId="0" fontId="6" fillId="2" borderId="34" xfId="0" applyFont="1" applyFill="1" applyBorder="1" applyAlignment="1">
      <alignment horizontal="center" wrapText="1"/>
    </xf>
    <xf numFmtId="0" fontId="6" fillId="2" borderId="35" xfId="0" applyFont="1" applyFill="1" applyBorder="1" applyAlignment="1">
      <alignment horizontal="center" wrapText="1"/>
    </xf>
    <xf numFmtId="0" fontId="5" fillId="2" borderId="23" xfId="0" applyFont="1" applyFill="1" applyBorder="1" applyAlignment="1"/>
    <xf numFmtId="0" fontId="0" fillId="0" borderId="0" xfId="0" applyAlignment="1">
      <alignment wrapText="1"/>
    </xf>
    <xf numFmtId="0" fontId="1" fillId="0" borderId="0" xfId="0" applyFont="1" applyBorder="1"/>
    <xf numFmtId="0" fontId="2" fillId="0" borderId="0" xfId="0" applyFont="1" applyBorder="1"/>
    <xf numFmtId="49" fontId="6" fillId="2" borderId="33" xfId="0" applyNumberFormat="1" applyFont="1" applyFill="1" applyBorder="1" applyAlignment="1">
      <alignment horizontal="center" wrapText="1"/>
    </xf>
    <xf numFmtId="49" fontId="6" fillId="2" borderId="34" xfId="0" applyNumberFormat="1" applyFont="1" applyFill="1" applyBorder="1" applyAlignment="1">
      <alignment horizontal="center" wrapText="1"/>
    </xf>
    <xf numFmtId="49" fontId="6" fillId="2" borderId="35" xfId="0" applyNumberFormat="1" applyFont="1" applyFill="1" applyBorder="1" applyAlignment="1">
      <alignment horizontal="center" wrapText="1"/>
    </xf>
    <xf numFmtId="0" fontId="5" fillId="2" borderId="10" xfId="0" applyFont="1" applyFill="1" applyBorder="1" applyAlignment="1">
      <alignment horizontal="center"/>
    </xf>
    <xf numFmtId="0" fontId="5" fillId="2" borderId="23" xfId="0" applyFont="1" applyFill="1" applyBorder="1" applyAlignment="1">
      <alignment horizontal="center"/>
    </xf>
    <xf numFmtId="0" fontId="5" fillId="2" borderId="24" xfId="0" applyFont="1" applyFill="1" applyBorder="1" applyAlignment="1">
      <alignment horizontal="center"/>
    </xf>
    <xf numFmtId="0" fontId="5" fillId="2" borderId="2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9"/>
  <sheetViews>
    <sheetView tabSelected="1" view="pageLayout" zoomScale="85" zoomScaleNormal="70" zoomScalePageLayoutView="85" workbookViewId="0">
      <selection activeCell="B187" sqref="B187"/>
    </sheetView>
  </sheetViews>
  <sheetFormatPr defaultColWidth="9.140625" defaultRowHeight="15" customHeight="1" x14ac:dyDescent="0.25"/>
  <cols>
    <col min="1" max="1" width="19.7109375" bestFit="1" customWidth="1"/>
    <col min="2" max="8" width="6" customWidth="1"/>
    <col min="9" max="11" width="5.5703125" customWidth="1"/>
  </cols>
  <sheetData>
    <row r="1" spans="1:11" ht="15" customHeight="1" x14ac:dyDescent="0.25">
      <c r="A1" s="1" t="s">
        <v>7</v>
      </c>
      <c r="B1" s="3"/>
    </row>
    <row r="2" spans="1:11" ht="15" customHeight="1" x14ac:dyDescent="0.25">
      <c r="A2" s="31" t="s">
        <v>8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spans="1:11" ht="15" customHeight="1" x14ac:dyDescent="0.25">
      <c r="A3" s="2" t="str">
        <f ca="1">RIGHT(CELL("filename",A1),LEN(CELL("filename",A1))-FIND("]",CELL("filename",A1)))</f>
        <v>2011-12</v>
      </c>
      <c r="B3" s="3"/>
    </row>
    <row r="4" spans="1:11" ht="15" customHeight="1" thickBot="1" x14ac:dyDescent="0.3">
      <c r="A4" s="3"/>
      <c r="B4" s="3"/>
    </row>
    <row r="5" spans="1:11" ht="15" customHeight="1" x14ac:dyDescent="0.25">
      <c r="A5" s="29" t="s">
        <v>3</v>
      </c>
      <c r="B5" s="26" t="s">
        <v>1</v>
      </c>
      <c r="C5" s="27"/>
      <c r="D5" s="27"/>
      <c r="E5" s="26" t="s">
        <v>2</v>
      </c>
      <c r="F5" s="27"/>
      <c r="G5" s="27"/>
      <c r="H5" s="64" t="s">
        <v>159</v>
      </c>
      <c r="I5" s="35"/>
      <c r="J5" s="36"/>
      <c r="K5" s="20" t="s">
        <v>0</v>
      </c>
    </row>
    <row r="6" spans="1:11" ht="15" customHeight="1" x14ac:dyDescent="0.25">
      <c r="A6" s="30"/>
      <c r="B6" s="59" t="s">
        <v>4</v>
      </c>
      <c r="C6" s="60" t="s">
        <v>5</v>
      </c>
      <c r="D6" s="61" t="s">
        <v>0</v>
      </c>
      <c r="E6" s="59" t="s">
        <v>4</v>
      </c>
      <c r="F6" s="60" t="s">
        <v>5</v>
      </c>
      <c r="G6" s="61" t="s">
        <v>0</v>
      </c>
      <c r="H6" s="65"/>
      <c r="I6" s="37"/>
      <c r="J6" s="38"/>
      <c r="K6" s="55"/>
    </row>
    <row r="7" spans="1:11" ht="15" customHeight="1" thickBot="1" x14ac:dyDescent="0.3">
      <c r="A7" s="32" t="s">
        <v>9</v>
      </c>
      <c r="B7" s="33"/>
      <c r="C7" s="33"/>
      <c r="D7" s="33"/>
      <c r="E7" s="33"/>
      <c r="F7" s="33"/>
      <c r="G7" s="33"/>
      <c r="H7" s="33"/>
      <c r="I7" s="33"/>
      <c r="J7" s="33"/>
      <c r="K7" s="34"/>
    </row>
    <row r="8" spans="1:11" ht="15" customHeight="1" thickTop="1" x14ac:dyDescent="0.25">
      <c r="A8" s="11" t="s">
        <v>10</v>
      </c>
      <c r="B8" s="6">
        <v>39</v>
      </c>
      <c r="C8" s="4">
        <v>0</v>
      </c>
      <c r="D8" s="5">
        <f t="shared" ref="D8:D34" si="0">B8+C8</f>
        <v>39</v>
      </c>
      <c r="E8" s="6">
        <v>21</v>
      </c>
      <c r="F8" s="4">
        <v>1</v>
      </c>
      <c r="G8" s="5">
        <f t="shared" ref="G8:G34" si="1">E8+F8</f>
        <v>22</v>
      </c>
      <c r="H8" s="6">
        <v>17</v>
      </c>
      <c r="I8" s="4">
        <v>5</v>
      </c>
      <c r="J8" s="5">
        <f t="shared" ref="J8:J27" si="2">H8+I8</f>
        <v>22</v>
      </c>
      <c r="K8" s="7">
        <f t="shared" ref="K8:K34" si="3">G8+D8+J8</f>
        <v>83</v>
      </c>
    </row>
    <row r="9" spans="1:11" ht="15" customHeight="1" x14ac:dyDescent="0.25">
      <c r="A9" s="11" t="s">
        <v>11</v>
      </c>
      <c r="B9" s="6">
        <v>65</v>
      </c>
      <c r="C9" s="4">
        <v>3</v>
      </c>
      <c r="D9" s="5">
        <f t="shared" si="0"/>
        <v>68</v>
      </c>
      <c r="E9" s="6">
        <v>32</v>
      </c>
      <c r="F9" s="4">
        <v>4</v>
      </c>
      <c r="G9" s="5">
        <f t="shared" si="1"/>
        <v>36</v>
      </c>
      <c r="H9" s="6">
        <v>12</v>
      </c>
      <c r="I9" s="4">
        <v>1</v>
      </c>
      <c r="J9" s="5">
        <f t="shared" si="2"/>
        <v>13</v>
      </c>
      <c r="K9" s="7">
        <f t="shared" si="3"/>
        <v>117</v>
      </c>
    </row>
    <row r="10" spans="1:11" ht="15" customHeight="1" x14ac:dyDescent="0.25">
      <c r="A10" s="11" t="s">
        <v>28</v>
      </c>
      <c r="B10" s="6">
        <v>16</v>
      </c>
      <c r="C10" s="4">
        <v>1</v>
      </c>
      <c r="D10" s="5">
        <f t="shared" si="0"/>
        <v>17</v>
      </c>
      <c r="E10" s="6">
        <v>24</v>
      </c>
      <c r="F10" s="4">
        <v>4</v>
      </c>
      <c r="G10" s="5">
        <f t="shared" si="1"/>
        <v>28</v>
      </c>
      <c r="H10" s="6">
        <v>6</v>
      </c>
      <c r="I10" s="4">
        <v>3</v>
      </c>
      <c r="J10" s="5">
        <f t="shared" si="2"/>
        <v>9</v>
      </c>
      <c r="K10" s="7">
        <f t="shared" si="3"/>
        <v>54</v>
      </c>
    </row>
    <row r="11" spans="1:11" ht="15" customHeight="1" x14ac:dyDescent="0.25">
      <c r="A11" s="11" t="s">
        <v>30</v>
      </c>
      <c r="B11" s="6">
        <v>133</v>
      </c>
      <c r="C11" s="4">
        <v>0</v>
      </c>
      <c r="D11" s="5">
        <f t="shared" si="0"/>
        <v>133</v>
      </c>
      <c r="E11" s="6">
        <v>63</v>
      </c>
      <c r="F11" s="4">
        <v>5</v>
      </c>
      <c r="G11" s="5">
        <f t="shared" si="1"/>
        <v>68</v>
      </c>
      <c r="H11" s="6">
        <v>36</v>
      </c>
      <c r="I11" s="4">
        <v>4</v>
      </c>
      <c r="J11" s="5">
        <f t="shared" si="2"/>
        <v>40</v>
      </c>
      <c r="K11" s="7">
        <f t="shared" si="3"/>
        <v>241</v>
      </c>
    </row>
    <row r="12" spans="1:11" ht="15" customHeight="1" x14ac:dyDescent="0.25">
      <c r="A12" s="11" t="s">
        <v>31</v>
      </c>
      <c r="B12" s="6">
        <v>25</v>
      </c>
      <c r="C12" s="4">
        <v>0</v>
      </c>
      <c r="D12" s="5">
        <f t="shared" si="0"/>
        <v>25</v>
      </c>
      <c r="E12" s="6">
        <v>13</v>
      </c>
      <c r="F12" s="4">
        <v>2</v>
      </c>
      <c r="G12" s="5">
        <f t="shared" si="1"/>
        <v>15</v>
      </c>
      <c r="H12" s="6">
        <v>5</v>
      </c>
      <c r="I12" s="4">
        <v>0</v>
      </c>
      <c r="J12" s="5">
        <f t="shared" si="2"/>
        <v>5</v>
      </c>
      <c r="K12" s="7">
        <f t="shared" si="3"/>
        <v>45</v>
      </c>
    </row>
    <row r="13" spans="1:11" ht="15" customHeight="1" x14ac:dyDescent="0.25">
      <c r="A13" s="11" t="s">
        <v>12</v>
      </c>
      <c r="B13" s="6">
        <v>15</v>
      </c>
      <c r="C13" s="4">
        <v>0</v>
      </c>
      <c r="D13" s="5">
        <f t="shared" si="0"/>
        <v>15</v>
      </c>
      <c r="E13" s="6">
        <v>18</v>
      </c>
      <c r="F13" s="4">
        <v>2</v>
      </c>
      <c r="G13" s="5">
        <f t="shared" si="1"/>
        <v>20</v>
      </c>
      <c r="H13" s="6">
        <v>9</v>
      </c>
      <c r="I13" s="4">
        <v>0</v>
      </c>
      <c r="J13" s="5">
        <f t="shared" si="2"/>
        <v>9</v>
      </c>
      <c r="K13" s="7">
        <f t="shared" si="3"/>
        <v>44</v>
      </c>
    </row>
    <row r="14" spans="1:11" ht="15" customHeight="1" x14ac:dyDescent="0.25">
      <c r="A14" s="11" t="s">
        <v>13</v>
      </c>
      <c r="B14" s="6">
        <v>17</v>
      </c>
      <c r="C14" s="4">
        <v>0</v>
      </c>
      <c r="D14" s="5">
        <f t="shared" si="0"/>
        <v>17</v>
      </c>
      <c r="E14" s="6">
        <v>56</v>
      </c>
      <c r="F14" s="4">
        <v>33</v>
      </c>
      <c r="G14" s="5">
        <f t="shared" si="1"/>
        <v>89</v>
      </c>
      <c r="H14" s="6">
        <v>36</v>
      </c>
      <c r="I14" s="4">
        <v>18</v>
      </c>
      <c r="J14" s="5">
        <f t="shared" si="2"/>
        <v>54</v>
      </c>
      <c r="K14" s="7">
        <f t="shared" si="3"/>
        <v>160</v>
      </c>
    </row>
    <row r="15" spans="1:11" ht="15" customHeight="1" x14ac:dyDescent="0.25">
      <c r="A15" s="11" t="s">
        <v>33</v>
      </c>
      <c r="B15" s="6">
        <v>9</v>
      </c>
      <c r="C15" s="4">
        <v>0</v>
      </c>
      <c r="D15" s="5">
        <f t="shared" si="0"/>
        <v>9</v>
      </c>
      <c r="E15" s="6">
        <v>0</v>
      </c>
      <c r="F15" s="4">
        <v>2</v>
      </c>
      <c r="G15" s="5">
        <f t="shared" si="1"/>
        <v>2</v>
      </c>
      <c r="H15" s="6">
        <v>2</v>
      </c>
      <c r="I15" s="4">
        <v>0</v>
      </c>
      <c r="J15" s="5">
        <f t="shared" si="2"/>
        <v>2</v>
      </c>
      <c r="K15" s="7">
        <f t="shared" si="3"/>
        <v>13</v>
      </c>
    </row>
    <row r="16" spans="1:11" ht="15" customHeight="1" x14ac:dyDescent="0.25">
      <c r="A16" s="11" t="s">
        <v>14</v>
      </c>
      <c r="B16" s="6">
        <v>19</v>
      </c>
      <c r="C16" s="4">
        <v>0</v>
      </c>
      <c r="D16" s="5">
        <f t="shared" si="0"/>
        <v>19</v>
      </c>
      <c r="E16" s="6">
        <v>8</v>
      </c>
      <c r="F16" s="4">
        <v>0</v>
      </c>
      <c r="G16" s="5">
        <f t="shared" si="1"/>
        <v>8</v>
      </c>
      <c r="H16" s="6">
        <v>8</v>
      </c>
      <c r="I16" s="4">
        <v>1</v>
      </c>
      <c r="J16" s="5">
        <f t="shared" si="2"/>
        <v>9</v>
      </c>
      <c r="K16" s="7">
        <f t="shared" si="3"/>
        <v>36</v>
      </c>
    </row>
    <row r="17" spans="1:11" ht="15" customHeight="1" x14ac:dyDescent="0.25">
      <c r="A17" s="11" t="s">
        <v>15</v>
      </c>
      <c r="B17" s="6">
        <v>204</v>
      </c>
      <c r="C17" s="4">
        <v>1</v>
      </c>
      <c r="D17" s="5">
        <f t="shared" si="0"/>
        <v>205</v>
      </c>
      <c r="E17" s="6">
        <v>85</v>
      </c>
      <c r="F17" s="4">
        <v>2</v>
      </c>
      <c r="G17" s="5">
        <f t="shared" si="1"/>
        <v>87</v>
      </c>
      <c r="H17" s="6">
        <v>57</v>
      </c>
      <c r="I17" s="4">
        <v>5</v>
      </c>
      <c r="J17" s="5">
        <f t="shared" si="2"/>
        <v>62</v>
      </c>
      <c r="K17" s="7">
        <f t="shared" si="3"/>
        <v>354</v>
      </c>
    </row>
    <row r="18" spans="1:11" ht="15" customHeight="1" x14ac:dyDescent="0.25">
      <c r="A18" s="11" t="s">
        <v>16</v>
      </c>
      <c r="B18" s="6">
        <v>189</v>
      </c>
      <c r="C18" s="4">
        <v>0</v>
      </c>
      <c r="D18" s="5">
        <f t="shared" si="0"/>
        <v>189</v>
      </c>
      <c r="E18" s="6">
        <v>116</v>
      </c>
      <c r="F18" s="4">
        <v>11</v>
      </c>
      <c r="G18" s="5">
        <f t="shared" si="1"/>
        <v>127</v>
      </c>
      <c r="H18" s="6">
        <v>101</v>
      </c>
      <c r="I18" s="4">
        <v>16</v>
      </c>
      <c r="J18" s="5">
        <f t="shared" si="2"/>
        <v>117</v>
      </c>
      <c r="K18" s="7">
        <f t="shared" si="3"/>
        <v>433</v>
      </c>
    </row>
    <row r="19" spans="1:11" ht="15" customHeight="1" x14ac:dyDescent="0.25">
      <c r="A19" s="11" t="s">
        <v>160</v>
      </c>
      <c r="B19" s="6">
        <v>1</v>
      </c>
      <c r="C19" s="4">
        <v>0</v>
      </c>
      <c r="D19" s="5">
        <f t="shared" si="0"/>
        <v>1</v>
      </c>
      <c r="E19" s="6">
        <v>1</v>
      </c>
      <c r="F19" s="4">
        <v>0</v>
      </c>
      <c r="G19" s="5">
        <f t="shared" si="1"/>
        <v>1</v>
      </c>
      <c r="H19" s="6">
        <v>0</v>
      </c>
      <c r="I19" s="4">
        <v>0</v>
      </c>
      <c r="J19" s="5">
        <f t="shared" si="2"/>
        <v>0</v>
      </c>
      <c r="K19" s="7">
        <f t="shared" si="3"/>
        <v>2</v>
      </c>
    </row>
    <row r="20" spans="1:11" ht="15" customHeight="1" x14ac:dyDescent="0.25">
      <c r="A20" s="11" t="s">
        <v>17</v>
      </c>
      <c r="B20" s="6">
        <v>54</v>
      </c>
      <c r="C20" s="4">
        <v>0</v>
      </c>
      <c r="D20" s="5">
        <f t="shared" si="0"/>
        <v>54</v>
      </c>
      <c r="E20" s="6">
        <v>200</v>
      </c>
      <c r="F20" s="4">
        <v>14</v>
      </c>
      <c r="G20" s="5">
        <f t="shared" si="1"/>
        <v>214</v>
      </c>
      <c r="H20" s="6">
        <v>79</v>
      </c>
      <c r="I20" s="4">
        <v>16</v>
      </c>
      <c r="J20" s="5">
        <f t="shared" si="2"/>
        <v>95</v>
      </c>
      <c r="K20" s="7">
        <f t="shared" si="3"/>
        <v>363</v>
      </c>
    </row>
    <row r="21" spans="1:11" ht="15" customHeight="1" x14ac:dyDescent="0.25">
      <c r="A21" s="11" t="s">
        <v>34</v>
      </c>
      <c r="B21" s="6">
        <v>23</v>
      </c>
      <c r="C21" s="4">
        <v>0</v>
      </c>
      <c r="D21" s="5">
        <f t="shared" si="0"/>
        <v>23</v>
      </c>
      <c r="E21" s="6">
        <v>9</v>
      </c>
      <c r="F21" s="4">
        <v>4</v>
      </c>
      <c r="G21" s="5">
        <f t="shared" si="1"/>
        <v>13</v>
      </c>
      <c r="H21" s="6">
        <v>7</v>
      </c>
      <c r="I21" s="4">
        <v>1</v>
      </c>
      <c r="J21" s="5">
        <f t="shared" si="2"/>
        <v>8</v>
      </c>
      <c r="K21" s="7">
        <f t="shared" si="3"/>
        <v>44</v>
      </c>
    </row>
    <row r="22" spans="1:11" ht="15" customHeight="1" x14ac:dyDescent="0.25">
      <c r="A22" s="11" t="s">
        <v>18</v>
      </c>
      <c r="B22" s="6">
        <v>134</v>
      </c>
      <c r="C22" s="4">
        <v>0</v>
      </c>
      <c r="D22" s="5">
        <f t="shared" si="0"/>
        <v>134</v>
      </c>
      <c r="E22" s="6">
        <v>90</v>
      </c>
      <c r="F22" s="4">
        <v>14</v>
      </c>
      <c r="G22" s="5">
        <f t="shared" si="1"/>
        <v>104</v>
      </c>
      <c r="H22" s="6">
        <v>114</v>
      </c>
      <c r="I22" s="4">
        <v>18</v>
      </c>
      <c r="J22" s="5">
        <f t="shared" si="2"/>
        <v>132</v>
      </c>
      <c r="K22" s="7">
        <f t="shared" si="3"/>
        <v>370</v>
      </c>
    </row>
    <row r="23" spans="1:11" ht="15" customHeight="1" x14ac:dyDescent="0.25">
      <c r="A23" s="11" t="s">
        <v>36</v>
      </c>
      <c r="B23" s="6">
        <v>8</v>
      </c>
      <c r="C23" s="4">
        <v>0</v>
      </c>
      <c r="D23" s="5">
        <f t="shared" si="0"/>
        <v>8</v>
      </c>
      <c r="E23" s="6">
        <v>1</v>
      </c>
      <c r="F23" s="4">
        <v>1</v>
      </c>
      <c r="G23" s="5">
        <f t="shared" si="1"/>
        <v>2</v>
      </c>
      <c r="H23" s="6">
        <v>1</v>
      </c>
      <c r="I23" s="4">
        <v>0</v>
      </c>
      <c r="J23" s="5">
        <f t="shared" si="2"/>
        <v>1</v>
      </c>
      <c r="K23" s="7">
        <f t="shared" si="3"/>
        <v>11</v>
      </c>
    </row>
    <row r="24" spans="1:11" ht="15" customHeight="1" x14ac:dyDescent="0.25">
      <c r="A24" s="11" t="s">
        <v>149</v>
      </c>
      <c r="B24" s="6">
        <v>22</v>
      </c>
      <c r="C24" s="4">
        <v>0</v>
      </c>
      <c r="D24" s="5">
        <f t="shared" si="0"/>
        <v>22</v>
      </c>
      <c r="E24" s="6">
        <v>8</v>
      </c>
      <c r="F24" s="4">
        <v>3</v>
      </c>
      <c r="G24" s="5">
        <f t="shared" si="1"/>
        <v>11</v>
      </c>
      <c r="H24" s="6">
        <v>8</v>
      </c>
      <c r="I24" s="4">
        <v>0</v>
      </c>
      <c r="J24" s="5">
        <f t="shared" si="2"/>
        <v>8</v>
      </c>
      <c r="K24" s="7">
        <f t="shared" si="3"/>
        <v>41</v>
      </c>
    </row>
    <row r="25" spans="1:11" ht="15" customHeight="1" x14ac:dyDescent="0.25">
      <c r="A25" s="11" t="s">
        <v>19</v>
      </c>
      <c r="B25" s="6">
        <v>16</v>
      </c>
      <c r="C25" s="4">
        <v>0</v>
      </c>
      <c r="D25" s="5">
        <f t="shared" si="0"/>
        <v>16</v>
      </c>
      <c r="E25" s="6">
        <v>6</v>
      </c>
      <c r="F25" s="4">
        <v>0</v>
      </c>
      <c r="G25" s="5">
        <f t="shared" si="1"/>
        <v>6</v>
      </c>
      <c r="H25" s="6">
        <v>2</v>
      </c>
      <c r="I25" s="4">
        <v>0</v>
      </c>
      <c r="J25" s="5">
        <f t="shared" si="2"/>
        <v>2</v>
      </c>
      <c r="K25" s="7">
        <f t="shared" si="3"/>
        <v>24</v>
      </c>
    </row>
    <row r="26" spans="1:11" ht="15" customHeight="1" x14ac:dyDescent="0.25">
      <c r="A26" s="11" t="s">
        <v>38</v>
      </c>
      <c r="B26" s="6">
        <v>4</v>
      </c>
      <c r="C26" s="4">
        <v>0</v>
      </c>
      <c r="D26" s="5">
        <f t="shared" si="0"/>
        <v>4</v>
      </c>
      <c r="E26" s="6">
        <v>19</v>
      </c>
      <c r="F26" s="4">
        <v>3</v>
      </c>
      <c r="G26" s="5">
        <f t="shared" si="1"/>
        <v>22</v>
      </c>
      <c r="H26" s="6">
        <v>6</v>
      </c>
      <c r="I26" s="4">
        <v>8</v>
      </c>
      <c r="J26" s="5">
        <f t="shared" si="2"/>
        <v>14</v>
      </c>
      <c r="K26" s="7">
        <f t="shared" si="3"/>
        <v>40</v>
      </c>
    </row>
    <row r="27" spans="1:11" ht="15" customHeight="1" x14ac:dyDescent="0.25">
      <c r="A27" s="11" t="s">
        <v>20</v>
      </c>
      <c r="B27" s="6">
        <v>40</v>
      </c>
      <c r="C27" s="4">
        <v>0</v>
      </c>
      <c r="D27" s="5">
        <f t="shared" si="0"/>
        <v>40</v>
      </c>
      <c r="E27" s="6">
        <v>44</v>
      </c>
      <c r="F27" s="4">
        <v>7</v>
      </c>
      <c r="G27" s="5">
        <f t="shared" si="1"/>
        <v>51</v>
      </c>
      <c r="H27" s="6">
        <v>23</v>
      </c>
      <c r="I27" s="4">
        <v>5</v>
      </c>
      <c r="J27" s="5">
        <f t="shared" si="2"/>
        <v>28</v>
      </c>
      <c r="K27" s="7">
        <f t="shared" si="3"/>
        <v>119</v>
      </c>
    </row>
    <row r="28" spans="1:11" ht="15" customHeight="1" x14ac:dyDescent="0.25">
      <c r="A28" s="11" t="s">
        <v>40</v>
      </c>
      <c r="B28" s="6">
        <v>127</v>
      </c>
      <c r="C28" s="4">
        <v>0</v>
      </c>
      <c r="D28" s="5">
        <f t="shared" si="0"/>
        <v>127</v>
      </c>
      <c r="E28" s="6">
        <v>26</v>
      </c>
      <c r="F28" s="4">
        <v>9</v>
      </c>
      <c r="G28" s="5">
        <f>E28+F28</f>
        <v>35</v>
      </c>
      <c r="H28" s="6">
        <v>32</v>
      </c>
      <c r="I28" s="4">
        <v>8</v>
      </c>
      <c r="J28" s="5">
        <f>H28+I28</f>
        <v>40</v>
      </c>
      <c r="K28" s="7">
        <f t="shared" si="3"/>
        <v>202</v>
      </c>
    </row>
    <row r="29" spans="1:11" ht="15" customHeight="1" x14ac:dyDescent="0.25">
      <c r="A29" s="11" t="s">
        <v>21</v>
      </c>
      <c r="B29" s="6">
        <v>13</v>
      </c>
      <c r="C29" s="4">
        <v>1</v>
      </c>
      <c r="D29" s="5">
        <f t="shared" si="0"/>
        <v>14</v>
      </c>
      <c r="E29" s="6">
        <v>25</v>
      </c>
      <c r="F29" s="4">
        <v>1</v>
      </c>
      <c r="G29" s="5">
        <f t="shared" ref="G29:G31" si="4">E29+F29</f>
        <v>26</v>
      </c>
      <c r="H29" s="6">
        <v>37</v>
      </c>
      <c r="I29" s="4">
        <v>3</v>
      </c>
      <c r="J29" s="5">
        <f t="shared" ref="J29:J34" si="5">H29+I29</f>
        <v>40</v>
      </c>
      <c r="K29" s="7">
        <f t="shared" si="3"/>
        <v>80</v>
      </c>
    </row>
    <row r="30" spans="1:11" ht="15" customHeight="1" x14ac:dyDescent="0.25">
      <c r="A30" s="11" t="s">
        <v>41</v>
      </c>
      <c r="B30" s="6">
        <v>72</v>
      </c>
      <c r="C30" s="4">
        <v>0</v>
      </c>
      <c r="D30" s="5">
        <f t="shared" si="0"/>
        <v>72</v>
      </c>
      <c r="E30" s="6">
        <v>23</v>
      </c>
      <c r="F30" s="4">
        <v>8</v>
      </c>
      <c r="G30" s="5">
        <f t="shared" si="4"/>
        <v>31</v>
      </c>
      <c r="H30" s="6">
        <v>15</v>
      </c>
      <c r="I30" s="4">
        <v>2</v>
      </c>
      <c r="J30" s="5">
        <f t="shared" si="5"/>
        <v>17</v>
      </c>
      <c r="K30" s="7">
        <f t="shared" si="3"/>
        <v>120</v>
      </c>
    </row>
    <row r="31" spans="1:11" ht="15" customHeight="1" x14ac:dyDescent="0.25">
      <c r="A31" s="11" t="s">
        <v>43</v>
      </c>
      <c r="B31" s="6">
        <v>3</v>
      </c>
      <c r="C31" s="4">
        <v>0</v>
      </c>
      <c r="D31" s="5">
        <f t="shared" si="0"/>
        <v>3</v>
      </c>
      <c r="E31" s="6">
        <v>4</v>
      </c>
      <c r="F31" s="4">
        <v>2</v>
      </c>
      <c r="G31" s="5">
        <f t="shared" si="4"/>
        <v>6</v>
      </c>
      <c r="H31" s="6">
        <v>7</v>
      </c>
      <c r="I31" s="4">
        <v>1</v>
      </c>
      <c r="J31" s="5">
        <f t="shared" si="5"/>
        <v>8</v>
      </c>
      <c r="K31" s="7">
        <f t="shared" si="3"/>
        <v>17</v>
      </c>
    </row>
    <row r="32" spans="1:11" ht="15" customHeight="1" x14ac:dyDescent="0.25">
      <c r="A32" s="11" t="s">
        <v>44</v>
      </c>
      <c r="B32" s="6">
        <v>1</v>
      </c>
      <c r="C32" s="4">
        <v>0</v>
      </c>
      <c r="D32" s="5">
        <f t="shared" si="0"/>
        <v>1</v>
      </c>
      <c r="E32" s="6">
        <v>10</v>
      </c>
      <c r="F32" s="4">
        <v>0</v>
      </c>
      <c r="G32" s="5">
        <f t="shared" si="1"/>
        <v>10</v>
      </c>
      <c r="H32" s="6">
        <v>4</v>
      </c>
      <c r="I32" s="4">
        <v>0</v>
      </c>
      <c r="J32" s="5">
        <f t="shared" si="5"/>
        <v>4</v>
      </c>
      <c r="K32" s="7">
        <f t="shared" si="3"/>
        <v>15</v>
      </c>
    </row>
    <row r="33" spans="1:11" ht="15" customHeight="1" x14ac:dyDescent="0.25">
      <c r="A33" s="11" t="s">
        <v>22</v>
      </c>
      <c r="B33" s="6">
        <v>89</v>
      </c>
      <c r="C33" s="4">
        <v>0</v>
      </c>
      <c r="D33" s="5">
        <f t="shared" si="0"/>
        <v>89</v>
      </c>
      <c r="E33" s="6">
        <v>30</v>
      </c>
      <c r="F33" s="4">
        <v>3</v>
      </c>
      <c r="G33" s="5">
        <f t="shared" si="1"/>
        <v>33</v>
      </c>
      <c r="H33" s="6">
        <v>28</v>
      </c>
      <c r="I33" s="4">
        <v>7</v>
      </c>
      <c r="J33" s="5">
        <f t="shared" si="5"/>
        <v>35</v>
      </c>
      <c r="K33" s="7">
        <f t="shared" si="3"/>
        <v>157</v>
      </c>
    </row>
    <row r="34" spans="1:11" ht="15" customHeight="1" thickBot="1" x14ac:dyDescent="0.3">
      <c r="A34" s="11" t="s">
        <v>23</v>
      </c>
      <c r="B34" s="8">
        <v>64</v>
      </c>
      <c r="C34" s="9">
        <v>1</v>
      </c>
      <c r="D34" s="10">
        <f t="shared" si="0"/>
        <v>65</v>
      </c>
      <c r="E34" s="8">
        <v>22</v>
      </c>
      <c r="F34" s="9">
        <v>0</v>
      </c>
      <c r="G34" s="5">
        <f t="shared" si="1"/>
        <v>22</v>
      </c>
      <c r="H34" s="8">
        <v>7</v>
      </c>
      <c r="I34" s="9">
        <v>1</v>
      </c>
      <c r="J34" s="5">
        <f t="shared" si="5"/>
        <v>8</v>
      </c>
      <c r="K34" s="7">
        <f t="shared" si="3"/>
        <v>95</v>
      </c>
    </row>
    <row r="35" spans="1:11" ht="15" customHeight="1" thickTop="1" thickBot="1" x14ac:dyDescent="0.3">
      <c r="A35" s="12" t="s">
        <v>6</v>
      </c>
      <c r="B35" s="13">
        <f t="shared" ref="B35:K35" si="6">SUM(B8:B34)</f>
        <v>1402</v>
      </c>
      <c r="C35" s="13">
        <f t="shared" si="6"/>
        <v>7</v>
      </c>
      <c r="D35" s="13">
        <f t="shared" si="6"/>
        <v>1409</v>
      </c>
      <c r="E35" s="13">
        <f t="shared" si="6"/>
        <v>954</v>
      </c>
      <c r="F35" s="13">
        <f t="shared" si="6"/>
        <v>135</v>
      </c>
      <c r="G35" s="13">
        <f t="shared" si="6"/>
        <v>1089</v>
      </c>
      <c r="H35" s="13">
        <f t="shared" si="6"/>
        <v>659</v>
      </c>
      <c r="I35" s="13">
        <f t="shared" si="6"/>
        <v>123</v>
      </c>
      <c r="J35" s="13">
        <f t="shared" si="6"/>
        <v>782</v>
      </c>
      <c r="K35" s="13">
        <f t="shared" si="6"/>
        <v>3280</v>
      </c>
    </row>
    <row r="36" spans="1:11" ht="15" customHeight="1" thickTop="1" thickBot="1" x14ac:dyDescent="0.3">
      <c r="A36" s="23" t="s">
        <v>24</v>
      </c>
      <c r="B36" s="24"/>
      <c r="C36" s="24"/>
      <c r="D36" s="24"/>
      <c r="E36" s="24"/>
      <c r="F36" s="24"/>
      <c r="G36" s="24"/>
      <c r="H36" s="24"/>
      <c r="I36" s="24"/>
      <c r="J36" s="24"/>
      <c r="K36" s="25"/>
    </row>
    <row r="37" spans="1:11" ht="15" customHeight="1" thickTop="1" x14ac:dyDescent="0.25">
      <c r="A37" s="11" t="s">
        <v>25</v>
      </c>
      <c r="B37" s="6">
        <v>3</v>
      </c>
      <c r="C37" s="16">
        <v>0</v>
      </c>
      <c r="D37" s="5">
        <f t="shared" ref="D37:D57" si="7">B37+C37</f>
        <v>3</v>
      </c>
      <c r="E37" s="6">
        <v>4</v>
      </c>
      <c r="F37" s="16">
        <v>0</v>
      </c>
      <c r="G37" s="5">
        <f t="shared" ref="G37:G57" si="8">E37+F37</f>
        <v>4</v>
      </c>
      <c r="H37" s="6">
        <v>1</v>
      </c>
      <c r="I37" s="16">
        <v>0</v>
      </c>
      <c r="J37" s="5">
        <f t="shared" ref="J37:J58" si="9">H37+I37</f>
        <v>1</v>
      </c>
      <c r="K37" s="7">
        <f t="shared" ref="K37:K100" si="10">G37+D37+J37</f>
        <v>8</v>
      </c>
    </row>
    <row r="38" spans="1:11" ht="15" customHeight="1" x14ac:dyDescent="0.25">
      <c r="A38" s="11" t="s">
        <v>26</v>
      </c>
      <c r="B38" s="6">
        <v>1</v>
      </c>
      <c r="C38" s="16">
        <v>0</v>
      </c>
      <c r="D38" s="5">
        <f t="shared" si="7"/>
        <v>1</v>
      </c>
      <c r="E38" s="6">
        <v>11</v>
      </c>
      <c r="F38" s="16">
        <v>0</v>
      </c>
      <c r="G38" s="5">
        <f t="shared" si="8"/>
        <v>11</v>
      </c>
      <c r="H38" s="6">
        <v>1</v>
      </c>
      <c r="I38" s="16">
        <v>0</v>
      </c>
      <c r="J38" s="5">
        <f t="shared" si="9"/>
        <v>1</v>
      </c>
      <c r="K38" s="7">
        <f t="shared" si="10"/>
        <v>13</v>
      </c>
    </row>
    <row r="39" spans="1:11" ht="15" customHeight="1" x14ac:dyDescent="0.25">
      <c r="A39" s="11" t="s">
        <v>161</v>
      </c>
      <c r="B39" s="6">
        <v>9</v>
      </c>
      <c r="C39" s="16">
        <v>2</v>
      </c>
      <c r="D39" s="5">
        <f t="shared" si="7"/>
        <v>11</v>
      </c>
      <c r="E39" s="6">
        <v>3</v>
      </c>
      <c r="F39" s="16">
        <v>0</v>
      </c>
      <c r="G39" s="5">
        <f t="shared" si="8"/>
        <v>3</v>
      </c>
      <c r="H39" s="6">
        <v>3</v>
      </c>
      <c r="I39" s="16">
        <v>0</v>
      </c>
      <c r="J39" s="5">
        <f t="shared" si="9"/>
        <v>3</v>
      </c>
      <c r="K39" s="7">
        <f t="shared" si="10"/>
        <v>17</v>
      </c>
    </row>
    <row r="40" spans="1:11" ht="15" customHeight="1" x14ac:dyDescent="0.25">
      <c r="A40" s="11" t="s">
        <v>148</v>
      </c>
      <c r="B40" s="6">
        <v>1</v>
      </c>
      <c r="C40" s="16">
        <v>1</v>
      </c>
      <c r="D40" s="5">
        <f t="shared" si="7"/>
        <v>2</v>
      </c>
      <c r="E40" s="6">
        <v>1</v>
      </c>
      <c r="F40" s="16">
        <v>0</v>
      </c>
      <c r="G40" s="5">
        <f t="shared" si="8"/>
        <v>1</v>
      </c>
      <c r="H40" s="6">
        <v>1</v>
      </c>
      <c r="I40" s="16">
        <v>0</v>
      </c>
      <c r="J40" s="5">
        <f t="shared" si="9"/>
        <v>1</v>
      </c>
      <c r="K40" s="7">
        <f t="shared" si="10"/>
        <v>4</v>
      </c>
    </row>
    <row r="41" spans="1:11" ht="15" customHeight="1" x14ac:dyDescent="0.25">
      <c r="A41" s="11" t="s">
        <v>27</v>
      </c>
      <c r="B41" s="6">
        <v>0</v>
      </c>
      <c r="C41" s="16">
        <v>0</v>
      </c>
      <c r="D41" s="5">
        <f t="shared" si="7"/>
        <v>0</v>
      </c>
      <c r="E41" s="6">
        <v>0</v>
      </c>
      <c r="F41" s="16">
        <v>0</v>
      </c>
      <c r="G41" s="5">
        <f t="shared" si="8"/>
        <v>0</v>
      </c>
      <c r="H41" s="6">
        <v>1</v>
      </c>
      <c r="I41" s="16">
        <v>0</v>
      </c>
      <c r="J41" s="5">
        <f t="shared" si="9"/>
        <v>1</v>
      </c>
      <c r="K41" s="7">
        <f t="shared" si="10"/>
        <v>1</v>
      </c>
    </row>
    <row r="42" spans="1:11" ht="15" customHeight="1" x14ac:dyDescent="0.25">
      <c r="A42" s="11" t="s">
        <v>29</v>
      </c>
      <c r="B42" s="6">
        <v>5</v>
      </c>
      <c r="C42" s="16">
        <v>0</v>
      </c>
      <c r="D42" s="5">
        <f t="shared" si="7"/>
        <v>5</v>
      </c>
      <c r="E42" s="6">
        <v>2</v>
      </c>
      <c r="F42" s="16">
        <v>1</v>
      </c>
      <c r="G42" s="5">
        <f t="shared" si="8"/>
        <v>3</v>
      </c>
      <c r="H42" s="6">
        <v>1</v>
      </c>
      <c r="I42" s="16">
        <v>0</v>
      </c>
      <c r="J42" s="5">
        <f t="shared" si="9"/>
        <v>1</v>
      </c>
      <c r="K42" s="7">
        <f t="shared" si="10"/>
        <v>9</v>
      </c>
    </row>
    <row r="43" spans="1:11" ht="15" customHeight="1" x14ac:dyDescent="0.25">
      <c r="A43" s="11" t="s">
        <v>162</v>
      </c>
      <c r="B43" s="6">
        <v>0</v>
      </c>
      <c r="C43" s="16">
        <v>0</v>
      </c>
      <c r="D43" s="5">
        <f t="shared" si="7"/>
        <v>0</v>
      </c>
      <c r="E43" s="6">
        <v>0</v>
      </c>
      <c r="F43" s="16">
        <v>0</v>
      </c>
      <c r="G43" s="5">
        <f t="shared" si="8"/>
        <v>0</v>
      </c>
      <c r="H43" s="6">
        <v>1</v>
      </c>
      <c r="I43" s="16">
        <v>0</v>
      </c>
      <c r="J43" s="5">
        <f t="shared" si="9"/>
        <v>1</v>
      </c>
      <c r="K43" s="7">
        <f t="shared" si="10"/>
        <v>1</v>
      </c>
    </row>
    <row r="44" spans="1:11" ht="15" customHeight="1" x14ac:dyDescent="0.25">
      <c r="A44" s="11" t="s">
        <v>163</v>
      </c>
      <c r="B44" s="6">
        <v>7</v>
      </c>
      <c r="C44" s="16">
        <v>1</v>
      </c>
      <c r="D44" s="5">
        <f t="shared" si="7"/>
        <v>8</v>
      </c>
      <c r="E44" s="6">
        <v>0</v>
      </c>
      <c r="F44" s="16">
        <v>0</v>
      </c>
      <c r="G44" s="5">
        <f t="shared" si="8"/>
        <v>0</v>
      </c>
      <c r="H44" s="6">
        <v>1</v>
      </c>
      <c r="I44" s="16">
        <v>0</v>
      </c>
      <c r="J44" s="5">
        <f t="shared" si="9"/>
        <v>1</v>
      </c>
      <c r="K44" s="7">
        <f t="shared" si="10"/>
        <v>9</v>
      </c>
    </row>
    <row r="45" spans="1:11" ht="15" customHeight="1" x14ac:dyDescent="0.25">
      <c r="A45" s="11" t="s">
        <v>35</v>
      </c>
      <c r="B45" s="6">
        <v>3</v>
      </c>
      <c r="C45" s="16">
        <v>0</v>
      </c>
      <c r="D45" s="5">
        <f t="shared" si="7"/>
        <v>3</v>
      </c>
      <c r="E45" s="6">
        <v>4</v>
      </c>
      <c r="F45" s="16">
        <v>0</v>
      </c>
      <c r="G45" s="5">
        <f t="shared" si="8"/>
        <v>4</v>
      </c>
      <c r="H45" s="6">
        <v>1</v>
      </c>
      <c r="I45" s="16">
        <v>0</v>
      </c>
      <c r="J45" s="5">
        <f t="shared" si="9"/>
        <v>1</v>
      </c>
      <c r="K45" s="7">
        <f t="shared" si="10"/>
        <v>8</v>
      </c>
    </row>
    <row r="46" spans="1:11" ht="15" customHeight="1" x14ac:dyDescent="0.25">
      <c r="A46" s="11" t="s">
        <v>164</v>
      </c>
      <c r="B46" s="6">
        <v>1</v>
      </c>
      <c r="C46" s="16">
        <v>0</v>
      </c>
      <c r="D46" s="5">
        <f t="shared" si="7"/>
        <v>1</v>
      </c>
      <c r="E46" s="6">
        <v>0</v>
      </c>
      <c r="F46" s="16">
        <v>0</v>
      </c>
      <c r="G46" s="5">
        <f t="shared" si="8"/>
        <v>0</v>
      </c>
      <c r="H46" s="6">
        <v>1</v>
      </c>
      <c r="I46" s="16">
        <v>0</v>
      </c>
      <c r="J46" s="5">
        <f t="shared" si="9"/>
        <v>1</v>
      </c>
      <c r="K46" s="7">
        <f t="shared" si="10"/>
        <v>2</v>
      </c>
    </row>
    <row r="47" spans="1:11" ht="15" customHeight="1" x14ac:dyDescent="0.25">
      <c r="A47" s="11" t="s">
        <v>165</v>
      </c>
      <c r="B47" s="6">
        <v>0</v>
      </c>
      <c r="C47" s="16">
        <v>0</v>
      </c>
      <c r="D47" s="5">
        <f t="shared" si="7"/>
        <v>0</v>
      </c>
      <c r="E47" s="6">
        <v>1</v>
      </c>
      <c r="F47" s="16">
        <v>0</v>
      </c>
      <c r="G47" s="5">
        <f t="shared" si="8"/>
        <v>1</v>
      </c>
      <c r="H47" s="6">
        <v>0</v>
      </c>
      <c r="I47" s="16">
        <v>0</v>
      </c>
      <c r="J47" s="5">
        <f t="shared" si="9"/>
        <v>0</v>
      </c>
      <c r="K47" s="7">
        <f t="shared" si="10"/>
        <v>1</v>
      </c>
    </row>
    <row r="48" spans="1:11" ht="15" customHeight="1" x14ac:dyDescent="0.25">
      <c r="A48" s="11" t="s">
        <v>166</v>
      </c>
      <c r="B48" s="6">
        <v>0</v>
      </c>
      <c r="C48" s="16">
        <v>0</v>
      </c>
      <c r="D48" s="5">
        <f t="shared" si="7"/>
        <v>0</v>
      </c>
      <c r="E48" s="6">
        <v>3</v>
      </c>
      <c r="F48" s="16">
        <v>0</v>
      </c>
      <c r="G48" s="5">
        <f t="shared" si="8"/>
        <v>3</v>
      </c>
      <c r="H48" s="6">
        <v>1</v>
      </c>
      <c r="I48" s="16">
        <v>0</v>
      </c>
      <c r="J48" s="5">
        <f t="shared" si="9"/>
        <v>1</v>
      </c>
      <c r="K48" s="7">
        <f t="shared" si="10"/>
        <v>4</v>
      </c>
    </row>
    <row r="49" spans="1:11" ht="15" customHeight="1" x14ac:dyDescent="0.25">
      <c r="A49" s="11" t="s">
        <v>167</v>
      </c>
      <c r="B49" s="6">
        <v>5</v>
      </c>
      <c r="C49" s="16">
        <v>0</v>
      </c>
      <c r="D49" s="5">
        <f t="shared" si="7"/>
        <v>5</v>
      </c>
      <c r="E49" s="6">
        <v>1</v>
      </c>
      <c r="F49" s="16">
        <v>0</v>
      </c>
      <c r="G49" s="5">
        <f t="shared" ref="G49:G53" si="11">E49+F49</f>
        <v>1</v>
      </c>
      <c r="H49" s="6">
        <v>0</v>
      </c>
      <c r="I49" s="16">
        <v>0</v>
      </c>
      <c r="J49" s="5">
        <f t="shared" si="9"/>
        <v>0</v>
      </c>
      <c r="K49" s="7">
        <f t="shared" si="10"/>
        <v>6</v>
      </c>
    </row>
    <row r="50" spans="1:11" ht="15" customHeight="1" x14ac:dyDescent="0.25">
      <c r="A50" s="11" t="s">
        <v>168</v>
      </c>
      <c r="B50" s="6">
        <v>1</v>
      </c>
      <c r="C50" s="16">
        <v>0</v>
      </c>
      <c r="D50" s="5">
        <f t="shared" si="7"/>
        <v>1</v>
      </c>
      <c r="E50" s="6">
        <v>0</v>
      </c>
      <c r="F50" s="16">
        <v>0</v>
      </c>
      <c r="G50" s="5">
        <f t="shared" si="11"/>
        <v>0</v>
      </c>
      <c r="H50" s="6">
        <v>0</v>
      </c>
      <c r="I50" s="16">
        <v>0</v>
      </c>
      <c r="J50" s="5">
        <f t="shared" si="9"/>
        <v>0</v>
      </c>
      <c r="K50" s="7">
        <f t="shared" si="10"/>
        <v>1</v>
      </c>
    </row>
    <row r="51" spans="1:11" ht="15" customHeight="1" x14ac:dyDescent="0.25">
      <c r="A51" s="11" t="s">
        <v>169</v>
      </c>
      <c r="B51" s="6">
        <v>1</v>
      </c>
      <c r="C51" s="16">
        <v>0</v>
      </c>
      <c r="D51" s="5">
        <f t="shared" si="7"/>
        <v>1</v>
      </c>
      <c r="E51" s="6">
        <v>1</v>
      </c>
      <c r="F51" s="16">
        <v>0</v>
      </c>
      <c r="G51" s="5">
        <f t="shared" si="11"/>
        <v>1</v>
      </c>
      <c r="H51" s="6">
        <v>0</v>
      </c>
      <c r="I51" s="16">
        <v>0</v>
      </c>
      <c r="J51" s="5">
        <f t="shared" si="9"/>
        <v>0</v>
      </c>
      <c r="K51" s="7">
        <f t="shared" si="10"/>
        <v>2</v>
      </c>
    </row>
    <row r="52" spans="1:11" ht="15" customHeight="1" x14ac:dyDescent="0.25">
      <c r="A52" s="11" t="s">
        <v>39</v>
      </c>
      <c r="B52" s="6">
        <v>27</v>
      </c>
      <c r="C52" s="16">
        <v>0</v>
      </c>
      <c r="D52" s="5">
        <f t="shared" si="7"/>
        <v>27</v>
      </c>
      <c r="E52" s="6">
        <v>13</v>
      </c>
      <c r="F52" s="16">
        <v>0</v>
      </c>
      <c r="G52" s="5">
        <f t="shared" si="11"/>
        <v>13</v>
      </c>
      <c r="H52" s="6">
        <v>6</v>
      </c>
      <c r="I52" s="16">
        <v>0</v>
      </c>
      <c r="J52" s="5">
        <f t="shared" si="9"/>
        <v>6</v>
      </c>
      <c r="K52" s="7">
        <f t="shared" si="10"/>
        <v>46</v>
      </c>
    </row>
    <row r="53" spans="1:11" ht="15" customHeight="1" x14ac:dyDescent="0.25">
      <c r="A53" s="11" t="s">
        <v>42</v>
      </c>
      <c r="B53" s="6">
        <v>95</v>
      </c>
      <c r="C53" s="16">
        <v>5</v>
      </c>
      <c r="D53" s="5">
        <f t="shared" si="7"/>
        <v>100</v>
      </c>
      <c r="E53" s="6">
        <v>24</v>
      </c>
      <c r="F53" s="16">
        <v>0</v>
      </c>
      <c r="G53" s="5">
        <f t="shared" si="11"/>
        <v>24</v>
      </c>
      <c r="H53" s="6">
        <v>3</v>
      </c>
      <c r="I53" s="16">
        <v>0</v>
      </c>
      <c r="J53" s="5">
        <f t="shared" si="9"/>
        <v>3</v>
      </c>
      <c r="K53" s="7">
        <f t="shared" si="10"/>
        <v>127</v>
      </c>
    </row>
    <row r="54" spans="1:11" ht="15" customHeight="1" x14ac:dyDescent="0.25">
      <c r="A54" s="11" t="s">
        <v>170</v>
      </c>
      <c r="B54" s="6">
        <v>7</v>
      </c>
      <c r="C54" s="16">
        <v>0</v>
      </c>
      <c r="D54" s="5">
        <f t="shared" si="7"/>
        <v>7</v>
      </c>
      <c r="E54" s="6">
        <v>9</v>
      </c>
      <c r="F54" s="16">
        <v>0</v>
      </c>
      <c r="G54" s="5">
        <f t="shared" si="8"/>
        <v>9</v>
      </c>
      <c r="H54" s="6">
        <v>4</v>
      </c>
      <c r="I54" s="16">
        <v>1</v>
      </c>
      <c r="J54" s="5">
        <f t="shared" si="9"/>
        <v>5</v>
      </c>
      <c r="K54" s="7">
        <f t="shared" si="10"/>
        <v>21</v>
      </c>
    </row>
    <row r="55" spans="1:11" ht="15" customHeight="1" x14ac:dyDescent="0.25">
      <c r="A55" s="11" t="s">
        <v>45</v>
      </c>
      <c r="B55" s="6">
        <v>50</v>
      </c>
      <c r="C55" s="16">
        <v>0</v>
      </c>
      <c r="D55" s="5">
        <f t="shared" si="7"/>
        <v>50</v>
      </c>
      <c r="E55" s="6">
        <v>24</v>
      </c>
      <c r="F55" s="16">
        <v>3</v>
      </c>
      <c r="G55" s="5">
        <f t="shared" si="8"/>
        <v>27</v>
      </c>
      <c r="H55" s="6">
        <v>6</v>
      </c>
      <c r="I55" s="16">
        <v>2</v>
      </c>
      <c r="J55" s="5">
        <f t="shared" si="9"/>
        <v>8</v>
      </c>
      <c r="K55" s="7">
        <f t="shared" si="10"/>
        <v>85</v>
      </c>
    </row>
    <row r="56" spans="1:11" ht="15" customHeight="1" x14ac:dyDescent="0.25">
      <c r="A56" s="11" t="s">
        <v>46</v>
      </c>
      <c r="B56" s="6">
        <v>43</v>
      </c>
      <c r="C56" s="16">
        <v>0</v>
      </c>
      <c r="D56" s="5">
        <f t="shared" si="7"/>
        <v>43</v>
      </c>
      <c r="E56" s="6">
        <v>27</v>
      </c>
      <c r="F56" s="16">
        <v>0</v>
      </c>
      <c r="G56" s="5">
        <f t="shared" si="8"/>
        <v>27</v>
      </c>
      <c r="H56" s="6">
        <v>11</v>
      </c>
      <c r="I56" s="16">
        <v>1</v>
      </c>
      <c r="J56" s="5">
        <f t="shared" si="9"/>
        <v>12</v>
      </c>
      <c r="K56" s="7">
        <f t="shared" si="10"/>
        <v>82</v>
      </c>
    </row>
    <row r="57" spans="1:11" ht="15" customHeight="1" thickBot="1" x14ac:dyDescent="0.3">
      <c r="A57" s="11" t="s">
        <v>48</v>
      </c>
      <c r="B57" s="6">
        <v>1</v>
      </c>
      <c r="C57" s="16">
        <v>0</v>
      </c>
      <c r="D57" s="5">
        <f t="shared" si="7"/>
        <v>1</v>
      </c>
      <c r="E57" s="6">
        <v>1</v>
      </c>
      <c r="F57" s="16">
        <v>1</v>
      </c>
      <c r="G57" s="5">
        <f t="shared" si="8"/>
        <v>2</v>
      </c>
      <c r="H57" s="6">
        <v>0</v>
      </c>
      <c r="I57" s="16">
        <v>0</v>
      </c>
      <c r="J57" s="5">
        <f t="shared" si="9"/>
        <v>0</v>
      </c>
      <c r="K57" s="7">
        <f t="shared" si="10"/>
        <v>3</v>
      </c>
    </row>
    <row r="58" spans="1:11" ht="15" customHeight="1" thickTop="1" thickBot="1" x14ac:dyDescent="0.3">
      <c r="A58" s="12" t="s">
        <v>6</v>
      </c>
      <c r="B58" s="13">
        <f t="shared" ref="B58:I58" si="12">SUM(B37:B57)</f>
        <v>260</v>
      </c>
      <c r="C58" s="13">
        <f t="shared" si="12"/>
        <v>9</v>
      </c>
      <c r="D58" s="13">
        <f t="shared" si="12"/>
        <v>269</v>
      </c>
      <c r="E58" s="13">
        <f t="shared" si="12"/>
        <v>129</v>
      </c>
      <c r="F58" s="13">
        <f t="shared" si="12"/>
        <v>5</v>
      </c>
      <c r="G58" s="13">
        <f t="shared" si="12"/>
        <v>134</v>
      </c>
      <c r="H58" s="13">
        <f t="shared" si="12"/>
        <v>43</v>
      </c>
      <c r="I58" s="13">
        <f t="shared" si="12"/>
        <v>4</v>
      </c>
      <c r="J58" s="14">
        <f t="shared" si="9"/>
        <v>47</v>
      </c>
      <c r="K58" s="15">
        <f t="shared" si="10"/>
        <v>450</v>
      </c>
    </row>
    <row r="59" spans="1:11" ht="15" customHeight="1" thickTop="1" thickBot="1" x14ac:dyDescent="0.3">
      <c r="A59" s="23" t="s">
        <v>49</v>
      </c>
      <c r="B59" s="24"/>
      <c r="C59" s="24"/>
      <c r="D59" s="24"/>
      <c r="E59" s="24"/>
      <c r="F59" s="24"/>
      <c r="G59" s="24"/>
      <c r="H59" s="24"/>
      <c r="I59" s="24"/>
      <c r="J59" s="24"/>
      <c r="K59" s="25"/>
    </row>
    <row r="60" spans="1:11" ht="15" customHeight="1" thickTop="1" x14ac:dyDescent="0.25">
      <c r="A60" s="11" t="s">
        <v>50</v>
      </c>
      <c r="B60" s="6">
        <v>8</v>
      </c>
      <c r="C60" s="16">
        <v>0</v>
      </c>
      <c r="D60" s="5">
        <f t="shared" ref="D60:D72" si="13">B60+C60</f>
        <v>8</v>
      </c>
      <c r="E60" s="6">
        <v>3</v>
      </c>
      <c r="F60" s="16">
        <v>0</v>
      </c>
      <c r="G60" s="5">
        <f t="shared" ref="G60:G71" si="14">E60+F60</f>
        <v>3</v>
      </c>
      <c r="H60" s="6">
        <v>2</v>
      </c>
      <c r="I60" s="16">
        <v>0</v>
      </c>
      <c r="J60" s="5">
        <f t="shared" ref="J60:J71" si="15">H60+I60</f>
        <v>2</v>
      </c>
      <c r="K60" s="7">
        <f t="shared" si="10"/>
        <v>13</v>
      </c>
    </row>
    <row r="61" spans="1:11" ht="15" customHeight="1" x14ac:dyDescent="0.25">
      <c r="A61" s="11" t="s">
        <v>51</v>
      </c>
      <c r="B61" s="6">
        <v>29</v>
      </c>
      <c r="C61" s="16">
        <v>0</v>
      </c>
      <c r="D61" s="5">
        <f t="shared" si="13"/>
        <v>29</v>
      </c>
      <c r="E61" s="6">
        <v>22</v>
      </c>
      <c r="F61" s="16">
        <v>3</v>
      </c>
      <c r="G61" s="5">
        <f t="shared" si="14"/>
        <v>25</v>
      </c>
      <c r="H61" s="6">
        <v>25</v>
      </c>
      <c r="I61" s="16">
        <v>3</v>
      </c>
      <c r="J61" s="5">
        <f t="shared" si="15"/>
        <v>28</v>
      </c>
      <c r="K61" s="7">
        <f t="shared" si="10"/>
        <v>82</v>
      </c>
    </row>
    <row r="62" spans="1:11" ht="15" customHeight="1" x14ac:dyDescent="0.25">
      <c r="A62" s="11" t="s">
        <v>52</v>
      </c>
      <c r="B62" s="6">
        <v>2</v>
      </c>
      <c r="C62" s="16">
        <v>0</v>
      </c>
      <c r="D62" s="5">
        <f t="shared" si="13"/>
        <v>2</v>
      </c>
      <c r="E62" s="6">
        <v>3</v>
      </c>
      <c r="F62" s="16">
        <v>0</v>
      </c>
      <c r="G62" s="5">
        <f t="shared" si="14"/>
        <v>3</v>
      </c>
      <c r="H62" s="6">
        <v>9</v>
      </c>
      <c r="I62" s="16">
        <v>1</v>
      </c>
      <c r="J62" s="5">
        <f t="shared" si="15"/>
        <v>10</v>
      </c>
      <c r="K62" s="7">
        <f t="shared" si="10"/>
        <v>15</v>
      </c>
    </row>
    <row r="63" spans="1:11" ht="15" customHeight="1" x14ac:dyDescent="0.25">
      <c r="A63" s="11" t="s">
        <v>53</v>
      </c>
      <c r="B63" s="6">
        <v>8</v>
      </c>
      <c r="C63" s="16">
        <v>0</v>
      </c>
      <c r="D63" s="5">
        <f t="shared" si="13"/>
        <v>8</v>
      </c>
      <c r="E63" s="6">
        <v>11</v>
      </c>
      <c r="F63" s="16">
        <v>1</v>
      </c>
      <c r="G63" s="5">
        <f t="shared" si="14"/>
        <v>12</v>
      </c>
      <c r="H63" s="6">
        <v>6</v>
      </c>
      <c r="I63" s="16">
        <v>1</v>
      </c>
      <c r="J63" s="5">
        <f t="shared" si="15"/>
        <v>7</v>
      </c>
      <c r="K63" s="7">
        <f t="shared" si="10"/>
        <v>27</v>
      </c>
    </row>
    <row r="64" spans="1:11" ht="15" customHeight="1" x14ac:dyDescent="0.25">
      <c r="A64" s="11" t="s">
        <v>54</v>
      </c>
      <c r="B64" s="6">
        <v>15</v>
      </c>
      <c r="C64" s="16">
        <v>1</v>
      </c>
      <c r="D64" s="5">
        <f t="shared" si="13"/>
        <v>16</v>
      </c>
      <c r="E64" s="6">
        <v>8</v>
      </c>
      <c r="F64" s="16">
        <v>0</v>
      </c>
      <c r="G64" s="5">
        <f t="shared" si="14"/>
        <v>8</v>
      </c>
      <c r="H64" s="6">
        <v>4</v>
      </c>
      <c r="I64" s="16">
        <v>1</v>
      </c>
      <c r="J64" s="5">
        <f t="shared" si="15"/>
        <v>5</v>
      </c>
      <c r="K64" s="7">
        <f t="shared" si="10"/>
        <v>29</v>
      </c>
    </row>
    <row r="65" spans="1:11" ht="15" customHeight="1" x14ac:dyDescent="0.25">
      <c r="A65" s="11" t="s">
        <v>55</v>
      </c>
      <c r="B65" s="6">
        <v>8</v>
      </c>
      <c r="C65" s="16">
        <v>0</v>
      </c>
      <c r="D65" s="5">
        <f t="shared" si="13"/>
        <v>8</v>
      </c>
      <c r="E65" s="6">
        <v>14</v>
      </c>
      <c r="F65" s="16">
        <v>0</v>
      </c>
      <c r="G65" s="5">
        <f t="shared" si="14"/>
        <v>14</v>
      </c>
      <c r="H65" s="6">
        <v>7</v>
      </c>
      <c r="I65" s="16">
        <v>0</v>
      </c>
      <c r="J65" s="5">
        <f t="shared" si="15"/>
        <v>7</v>
      </c>
      <c r="K65" s="7">
        <f t="shared" si="10"/>
        <v>29</v>
      </c>
    </row>
    <row r="66" spans="1:11" ht="15" customHeight="1" x14ac:dyDescent="0.25">
      <c r="A66" s="11" t="s">
        <v>56</v>
      </c>
      <c r="B66" s="6">
        <v>15</v>
      </c>
      <c r="C66" s="16">
        <v>0</v>
      </c>
      <c r="D66" s="5">
        <f t="shared" si="13"/>
        <v>15</v>
      </c>
      <c r="E66" s="6">
        <v>8</v>
      </c>
      <c r="F66" s="16">
        <v>1</v>
      </c>
      <c r="G66" s="5">
        <f t="shared" si="14"/>
        <v>9</v>
      </c>
      <c r="H66" s="6">
        <v>4</v>
      </c>
      <c r="I66" s="16">
        <v>0</v>
      </c>
      <c r="J66" s="5">
        <f t="shared" si="15"/>
        <v>4</v>
      </c>
      <c r="K66" s="7">
        <f t="shared" si="10"/>
        <v>28</v>
      </c>
    </row>
    <row r="67" spans="1:11" ht="15" customHeight="1" x14ac:dyDescent="0.25">
      <c r="A67" s="11" t="s">
        <v>57</v>
      </c>
      <c r="B67" s="6">
        <v>3</v>
      </c>
      <c r="C67" s="16">
        <v>0</v>
      </c>
      <c r="D67" s="5">
        <f t="shared" si="13"/>
        <v>3</v>
      </c>
      <c r="E67" s="6">
        <v>3</v>
      </c>
      <c r="F67" s="16">
        <v>1</v>
      </c>
      <c r="G67" s="5">
        <f t="shared" si="14"/>
        <v>4</v>
      </c>
      <c r="H67" s="6">
        <v>1</v>
      </c>
      <c r="I67" s="16">
        <v>0</v>
      </c>
      <c r="J67" s="5">
        <f t="shared" si="15"/>
        <v>1</v>
      </c>
      <c r="K67" s="7">
        <f t="shared" si="10"/>
        <v>8</v>
      </c>
    </row>
    <row r="68" spans="1:11" ht="15" customHeight="1" x14ac:dyDescent="0.25">
      <c r="A68" s="11" t="s">
        <v>171</v>
      </c>
      <c r="B68" s="6">
        <v>8</v>
      </c>
      <c r="C68" s="16">
        <v>0</v>
      </c>
      <c r="D68" s="5">
        <f t="shared" si="13"/>
        <v>8</v>
      </c>
      <c r="E68" s="6">
        <v>6</v>
      </c>
      <c r="F68" s="16">
        <v>1</v>
      </c>
      <c r="G68" s="5">
        <f t="shared" si="14"/>
        <v>7</v>
      </c>
      <c r="H68" s="6">
        <v>4</v>
      </c>
      <c r="I68" s="16">
        <v>0</v>
      </c>
      <c r="J68" s="5">
        <f t="shared" si="15"/>
        <v>4</v>
      </c>
      <c r="K68" s="7">
        <f t="shared" si="10"/>
        <v>19</v>
      </c>
    </row>
    <row r="69" spans="1:11" ht="15" customHeight="1" x14ac:dyDescent="0.25">
      <c r="A69" s="11" t="s">
        <v>58</v>
      </c>
      <c r="B69" s="6">
        <v>38</v>
      </c>
      <c r="C69" s="16">
        <v>0</v>
      </c>
      <c r="D69" s="5">
        <f t="shared" si="13"/>
        <v>38</v>
      </c>
      <c r="E69" s="6">
        <v>26</v>
      </c>
      <c r="F69" s="16">
        <v>1</v>
      </c>
      <c r="G69" s="5">
        <f t="shared" si="14"/>
        <v>27</v>
      </c>
      <c r="H69" s="6">
        <v>32</v>
      </c>
      <c r="I69" s="16">
        <v>1</v>
      </c>
      <c r="J69" s="5">
        <f t="shared" si="15"/>
        <v>33</v>
      </c>
      <c r="K69" s="7">
        <f t="shared" si="10"/>
        <v>98</v>
      </c>
    </row>
    <row r="70" spans="1:11" ht="15" customHeight="1" x14ac:dyDescent="0.25">
      <c r="A70" s="11" t="s">
        <v>60</v>
      </c>
      <c r="B70" s="6">
        <v>4</v>
      </c>
      <c r="C70" s="16">
        <v>0</v>
      </c>
      <c r="D70" s="5">
        <f t="shared" si="13"/>
        <v>4</v>
      </c>
      <c r="E70" s="6">
        <v>3</v>
      </c>
      <c r="F70" s="16">
        <v>0</v>
      </c>
      <c r="G70" s="5">
        <f t="shared" si="14"/>
        <v>3</v>
      </c>
      <c r="H70" s="6">
        <v>2</v>
      </c>
      <c r="I70" s="16">
        <v>0</v>
      </c>
      <c r="J70" s="5">
        <f t="shared" si="15"/>
        <v>2</v>
      </c>
      <c r="K70" s="7">
        <f t="shared" si="10"/>
        <v>9</v>
      </c>
    </row>
    <row r="71" spans="1:11" ht="15" customHeight="1" x14ac:dyDescent="0.25">
      <c r="A71" s="11" t="s">
        <v>61</v>
      </c>
      <c r="B71" s="6">
        <v>26</v>
      </c>
      <c r="C71" s="16">
        <v>0</v>
      </c>
      <c r="D71" s="5">
        <f t="shared" si="13"/>
        <v>26</v>
      </c>
      <c r="E71" s="6">
        <v>17</v>
      </c>
      <c r="F71" s="16">
        <v>0</v>
      </c>
      <c r="G71" s="5">
        <f t="shared" si="14"/>
        <v>17</v>
      </c>
      <c r="H71" s="6">
        <v>2</v>
      </c>
      <c r="I71" s="16">
        <v>2</v>
      </c>
      <c r="J71" s="5">
        <f t="shared" si="15"/>
        <v>4</v>
      </c>
      <c r="K71" s="7">
        <f t="shared" si="10"/>
        <v>47</v>
      </c>
    </row>
    <row r="72" spans="1:11" ht="15" customHeight="1" thickBot="1" x14ac:dyDescent="0.3">
      <c r="A72" s="11" t="s">
        <v>172</v>
      </c>
      <c r="B72" s="6">
        <v>1</v>
      </c>
      <c r="C72" s="16">
        <v>0</v>
      </c>
      <c r="D72" s="5">
        <f t="shared" si="13"/>
        <v>1</v>
      </c>
      <c r="E72" s="6">
        <v>0</v>
      </c>
      <c r="F72" s="16">
        <v>0</v>
      </c>
      <c r="G72" s="5">
        <f>E72+F72</f>
        <v>0</v>
      </c>
      <c r="H72" s="6">
        <v>0</v>
      </c>
      <c r="I72" s="16">
        <v>0</v>
      </c>
      <c r="J72" s="5">
        <f>H72+I72</f>
        <v>0</v>
      </c>
      <c r="K72" s="7">
        <f t="shared" si="10"/>
        <v>1</v>
      </c>
    </row>
    <row r="73" spans="1:11" ht="15" customHeight="1" thickTop="1" thickBot="1" x14ac:dyDescent="0.3">
      <c r="A73" s="12" t="s">
        <v>6</v>
      </c>
      <c r="B73" s="13">
        <f t="shared" ref="B73:J73" si="16">SUM(B60:B72)</f>
        <v>165</v>
      </c>
      <c r="C73" s="13">
        <f t="shared" si="16"/>
        <v>1</v>
      </c>
      <c r="D73" s="13">
        <f t="shared" si="16"/>
        <v>166</v>
      </c>
      <c r="E73" s="13">
        <f t="shared" si="16"/>
        <v>124</v>
      </c>
      <c r="F73" s="13">
        <f t="shared" si="16"/>
        <v>8</v>
      </c>
      <c r="G73" s="13">
        <f t="shared" si="16"/>
        <v>132</v>
      </c>
      <c r="H73" s="13">
        <f t="shared" si="16"/>
        <v>98</v>
      </c>
      <c r="I73" s="13">
        <f t="shared" si="16"/>
        <v>9</v>
      </c>
      <c r="J73" s="13">
        <f t="shared" si="16"/>
        <v>107</v>
      </c>
      <c r="K73" s="13">
        <f t="shared" si="10"/>
        <v>405</v>
      </c>
    </row>
    <row r="74" spans="1:11" ht="15" customHeight="1" thickTop="1" thickBot="1" x14ac:dyDescent="0.3">
      <c r="A74" s="23" t="s">
        <v>62</v>
      </c>
      <c r="B74" s="24"/>
      <c r="C74" s="24"/>
      <c r="D74" s="24"/>
      <c r="E74" s="24"/>
      <c r="F74" s="24"/>
      <c r="G74" s="24"/>
      <c r="H74" s="24"/>
      <c r="I74" s="24"/>
      <c r="J74" s="24"/>
      <c r="K74" s="25"/>
    </row>
    <row r="75" spans="1:11" ht="15" customHeight="1" thickTop="1" x14ac:dyDescent="0.25">
      <c r="A75" s="11" t="s">
        <v>63</v>
      </c>
      <c r="B75" s="6">
        <v>0</v>
      </c>
      <c r="C75" s="16">
        <v>0</v>
      </c>
      <c r="D75" s="5">
        <f t="shared" ref="D75:D97" si="17">B75+C75</f>
        <v>0</v>
      </c>
      <c r="E75" s="6">
        <v>1</v>
      </c>
      <c r="F75" s="16">
        <v>1</v>
      </c>
      <c r="G75" s="5">
        <f t="shared" ref="G75:G97" si="18">E75+F75</f>
        <v>2</v>
      </c>
      <c r="H75" s="6">
        <v>0</v>
      </c>
      <c r="I75" s="16">
        <v>0</v>
      </c>
      <c r="J75" s="5">
        <f t="shared" ref="J75:J97" si="19">H75+I75</f>
        <v>0</v>
      </c>
      <c r="K75" s="7">
        <f t="shared" si="10"/>
        <v>2</v>
      </c>
    </row>
    <row r="76" spans="1:11" ht="15" customHeight="1" x14ac:dyDescent="0.25">
      <c r="A76" s="11" t="s">
        <v>64</v>
      </c>
      <c r="B76" s="6">
        <v>24</v>
      </c>
      <c r="C76" s="16">
        <v>1</v>
      </c>
      <c r="D76" s="5">
        <f t="shared" si="17"/>
        <v>25</v>
      </c>
      <c r="E76" s="6">
        <v>8</v>
      </c>
      <c r="F76" s="16">
        <v>0</v>
      </c>
      <c r="G76" s="5">
        <f t="shared" si="18"/>
        <v>8</v>
      </c>
      <c r="H76" s="6">
        <v>4</v>
      </c>
      <c r="I76" s="16">
        <v>0</v>
      </c>
      <c r="J76" s="5">
        <f t="shared" si="19"/>
        <v>4</v>
      </c>
      <c r="K76" s="7">
        <f t="shared" si="10"/>
        <v>37</v>
      </c>
    </row>
    <row r="77" spans="1:11" ht="15" customHeight="1" x14ac:dyDescent="0.25">
      <c r="A77" s="11" t="s">
        <v>65</v>
      </c>
      <c r="B77" s="6">
        <v>32</v>
      </c>
      <c r="C77" s="16">
        <v>0</v>
      </c>
      <c r="D77" s="5">
        <f t="shared" si="17"/>
        <v>32</v>
      </c>
      <c r="E77" s="6">
        <v>6</v>
      </c>
      <c r="F77" s="16">
        <v>0</v>
      </c>
      <c r="G77" s="5">
        <f t="shared" si="18"/>
        <v>6</v>
      </c>
      <c r="H77" s="6">
        <v>0</v>
      </c>
      <c r="I77" s="16">
        <v>0</v>
      </c>
      <c r="J77" s="5">
        <f t="shared" si="19"/>
        <v>0</v>
      </c>
      <c r="K77" s="7">
        <f t="shared" si="10"/>
        <v>38</v>
      </c>
    </row>
    <row r="78" spans="1:11" ht="15" customHeight="1" x14ac:dyDescent="0.25">
      <c r="A78" s="11" t="s">
        <v>173</v>
      </c>
      <c r="B78" s="6">
        <v>4</v>
      </c>
      <c r="C78" s="16">
        <v>0</v>
      </c>
      <c r="D78" s="5">
        <f t="shared" si="17"/>
        <v>4</v>
      </c>
      <c r="E78" s="6">
        <v>0</v>
      </c>
      <c r="F78" s="16">
        <v>0</v>
      </c>
      <c r="G78" s="5">
        <f t="shared" si="18"/>
        <v>0</v>
      </c>
      <c r="H78" s="6">
        <v>1</v>
      </c>
      <c r="I78" s="16">
        <v>0</v>
      </c>
      <c r="J78" s="5">
        <f t="shared" si="19"/>
        <v>1</v>
      </c>
      <c r="K78" s="7">
        <f t="shared" si="10"/>
        <v>5</v>
      </c>
    </row>
    <row r="79" spans="1:11" ht="15" customHeight="1" x14ac:dyDescent="0.25">
      <c r="A79" s="11" t="s">
        <v>174</v>
      </c>
      <c r="B79" s="6">
        <v>808</v>
      </c>
      <c r="C79" s="16">
        <v>35</v>
      </c>
      <c r="D79" s="5">
        <f t="shared" si="17"/>
        <v>843</v>
      </c>
      <c r="E79" s="6">
        <v>518</v>
      </c>
      <c r="F79" s="16">
        <v>3</v>
      </c>
      <c r="G79" s="5">
        <f t="shared" si="18"/>
        <v>521</v>
      </c>
      <c r="H79" s="6">
        <v>99</v>
      </c>
      <c r="I79" s="16">
        <v>5</v>
      </c>
      <c r="J79" s="5">
        <f t="shared" si="19"/>
        <v>104</v>
      </c>
      <c r="K79" s="7">
        <f t="shared" si="10"/>
        <v>1468</v>
      </c>
    </row>
    <row r="80" spans="1:11" ht="15" customHeight="1" x14ac:dyDescent="0.25">
      <c r="A80" s="11" t="s">
        <v>175</v>
      </c>
      <c r="B80" s="6">
        <v>406</v>
      </c>
      <c r="C80" s="16">
        <v>5</v>
      </c>
      <c r="D80" s="5">
        <f t="shared" si="17"/>
        <v>411</v>
      </c>
      <c r="E80" s="6">
        <v>57</v>
      </c>
      <c r="F80" s="16">
        <v>3</v>
      </c>
      <c r="G80" s="5">
        <f t="shared" si="18"/>
        <v>60</v>
      </c>
      <c r="H80" s="6">
        <v>15</v>
      </c>
      <c r="I80" s="16">
        <v>2</v>
      </c>
      <c r="J80" s="5">
        <f t="shared" si="19"/>
        <v>17</v>
      </c>
      <c r="K80" s="7">
        <f t="shared" si="10"/>
        <v>488</v>
      </c>
    </row>
    <row r="81" spans="1:11" ht="15" customHeight="1" x14ac:dyDescent="0.25">
      <c r="A81" s="11" t="s">
        <v>70</v>
      </c>
      <c r="B81" s="6">
        <v>63</v>
      </c>
      <c r="C81" s="16">
        <v>0</v>
      </c>
      <c r="D81" s="5">
        <f t="shared" si="17"/>
        <v>63</v>
      </c>
      <c r="E81" s="6">
        <v>117</v>
      </c>
      <c r="F81" s="16">
        <v>6</v>
      </c>
      <c r="G81" s="5">
        <f t="shared" si="18"/>
        <v>123</v>
      </c>
      <c r="H81" s="6">
        <v>30</v>
      </c>
      <c r="I81" s="16">
        <v>3</v>
      </c>
      <c r="J81" s="5">
        <f t="shared" si="19"/>
        <v>33</v>
      </c>
      <c r="K81" s="7">
        <f t="shared" si="10"/>
        <v>219</v>
      </c>
    </row>
    <row r="82" spans="1:11" ht="15" customHeight="1" x14ac:dyDescent="0.25">
      <c r="A82" s="11" t="s">
        <v>71</v>
      </c>
      <c r="B82" s="6">
        <v>10</v>
      </c>
      <c r="C82" s="16">
        <v>0</v>
      </c>
      <c r="D82" s="5">
        <f t="shared" si="17"/>
        <v>10</v>
      </c>
      <c r="E82" s="6">
        <v>13</v>
      </c>
      <c r="F82" s="16">
        <v>0</v>
      </c>
      <c r="G82" s="5">
        <f t="shared" si="18"/>
        <v>13</v>
      </c>
      <c r="H82" s="6">
        <v>2</v>
      </c>
      <c r="I82" s="16">
        <v>0</v>
      </c>
      <c r="J82" s="5">
        <f t="shared" si="19"/>
        <v>2</v>
      </c>
      <c r="K82" s="7">
        <f t="shared" si="10"/>
        <v>25</v>
      </c>
    </row>
    <row r="83" spans="1:11" ht="15" customHeight="1" x14ac:dyDescent="0.25">
      <c r="A83" s="11" t="s">
        <v>72</v>
      </c>
      <c r="B83" s="6">
        <v>61</v>
      </c>
      <c r="C83" s="16">
        <v>0</v>
      </c>
      <c r="D83" s="5">
        <f t="shared" si="17"/>
        <v>61</v>
      </c>
      <c r="E83" s="6">
        <v>55</v>
      </c>
      <c r="F83" s="16">
        <v>1</v>
      </c>
      <c r="G83" s="5">
        <f t="shared" si="18"/>
        <v>56</v>
      </c>
      <c r="H83" s="6">
        <v>8</v>
      </c>
      <c r="I83" s="16">
        <v>0</v>
      </c>
      <c r="J83" s="5">
        <f t="shared" si="19"/>
        <v>8</v>
      </c>
      <c r="K83" s="7">
        <f t="shared" si="10"/>
        <v>125</v>
      </c>
    </row>
    <row r="84" spans="1:11" ht="15" customHeight="1" x14ac:dyDescent="0.25">
      <c r="A84" s="11" t="s">
        <v>73</v>
      </c>
      <c r="B84" s="6">
        <v>84</v>
      </c>
      <c r="C84" s="16">
        <v>1</v>
      </c>
      <c r="D84" s="5">
        <f t="shared" si="17"/>
        <v>85</v>
      </c>
      <c r="E84" s="6">
        <v>23</v>
      </c>
      <c r="F84" s="16">
        <v>0</v>
      </c>
      <c r="G84" s="5">
        <f t="shared" si="18"/>
        <v>23</v>
      </c>
      <c r="H84" s="6">
        <v>3</v>
      </c>
      <c r="I84" s="16">
        <v>0</v>
      </c>
      <c r="J84" s="5">
        <f t="shared" si="19"/>
        <v>3</v>
      </c>
      <c r="K84" s="7">
        <f t="shared" si="10"/>
        <v>111</v>
      </c>
    </row>
    <row r="85" spans="1:11" ht="15" customHeight="1" x14ac:dyDescent="0.25">
      <c r="A85" s="11" t="s">
        <v>176</v>
      </c>
      <c r="B85" s="6">
        <v>147</v>
      </c>
      <c r="C85" s="16">
        <v>6</v>
      </c>
      <c r="D85" s="5">
        <f t="shared" si="17"/>
        <v>153</v>
      </c>
      <c r="E85" s="6">
        <v>71</v>
      </c>
      <c r="F85" s="16">
        <v>1</v>
      </c>
      <c r="G85" s="5">
        <f t="shared" si="18"/>
        <v>72</v>
      </c>
      <c r="H85" s="6">
        <v>20</v>
      </c>
      <c r="I85" s="16">
        <v>5</v>
      </c>
      <c r="J85" s="5">
        <f t="shared" si="19"/>
        <v>25</v>
      </c>
      <c r="K85" s="7">
        <f t="shared" si="10"/>
        <v>250</v>
      </c>
    </row>
    <row r="86" spans="1:11" ht="15" customHeight="1" x14ac:dyDescent="0.25">
      <c r="A86" s="11" t="s">
        <v>177</v>
      </c>
      <c r="B86" s="6">
        <v>11</v>
      </c>
      <c r="C86" s="16">
        <v>0</v>
      </c>
      <c r="D86" s="5">
        <f t="shared" si="17"/>
        <v>11</v>
      </c>
      <c r="E86" s="6">
        <v>2</v>
      </c>
      <c r="F86" s="16">
        <v>0</v>
      </c>
      <c r="G86" s="5">
        <f t="shared" si="18"/>
        <v>2</v>
      </c>
      <c r="H86" s="6">
        <v>0</v>
      </c>
      <c r="I86" s="16">
        <v>0</v>
      </c>
      <c r="J86" s="5">
        <f t="shared" si="19"/>
        <v>0</v>
      </c>
      <c r="K86" s="7">
        <f t="shared" si="10"/>
        <v>13</v>
      </c>
    </row>
    <row r="87" spans="1:11" ht="15" customHeight="1" x14ac:dyDescent="0.25">
      <c r="A87" s="11" t="s">
        <v>74</v>
      </c>
      <c r="B87" s="6">
        <v>268</v>
      </c>
      <c r="C87" s="16">
        <v>1</v>
      </c>
      <c r="D87" s="5">
        <f t="shared" si="17"/>
        <v>269</v>
      </c>
      <c r="E87" s="6">
        <v>58</v>
      </c>
      <c r="F87" s="16">
        <v>1</v>
      </c>
      <c r="G87" s="5">
        <f t="shared" si="18"/>
        <v>59</v>
      </c>
      <c r="H87" s="6">
        <v>30</v>
      </c>
      <c r="I87" s="16">
        <v>1</v>
      </c>
      <c r="J87" s="5">
        <f t="shared" si="19"/>
        <v>31</v>
      </c>
      <c r="K87" s="7">
        <f t="shared" si="10"/>
        <v>359</v>
      </c>
    </row>
    <row r="88" spans="1:11" ht="15" customHeight="1" x14ac:dyDescent="0.25">
      <c r="A88" s="11" t="s">
        <v>178</v>
      </c>
      <c r="B88" s="6">
        <v>4</v>
      </c>
      <c r="C88" s="16">
        <v>0</v>
      </c>
      <c r="D88" s="5">
        <f t="shared" si="17"/>
        <v>4</v>
      </c>
      <c r="E88" s="6">
        <v>1</v>
      </c>
      <c r="F88" s="16">
        <v>0</v>
      </c>
      <c r="G88" s="5">
        <f t="shared" si="18"/>
        <v>1</v>
      </c>
      <c r="H88" s="6">
        <v>0</v>
      </c>
      <c r="I88" s="16">
        <v>0</v>
      </c>
      <c r="J88" s="5">
        <f t="shared" si="19"/>
        <v>0</v>
      </c>
      <c r="K88" s="7">
        <f t="shared" si="10"/>
        <v>5</v>
      </c>
    </row>
    <row r="89" spans="1:11" ht="15" customHeight="1" x14ac:dyDescent="0.25">
      <c r="A89" s="11" t="s">
        <v>77</v>
      </c>
      <c r="B89" s="6">
        <v>53</v>
      </c>
      <c r="C89" s="16">
        <v>2</v>
      </c>
      <c r="D89" s="5">
        <f t="shared" si="17"/>
        <v>55</v>
      </c>
      <c r="E89" s="6">
        <v>15</v>
      </c>
      <c r="F89" s="16">
        <v>1</v>
      </c>
      <c r="G89" s="5">
        <f t="shared" si="18"/>
        <v>16</v>
      </c>
      <c r="H89" s="6">
        <v>9</v>
      </c>
      <c r="I89" s="16">
        <v>1</v>
      </c>
      <c r="J89" s="5">
        <f t="shared" si="19"/>
        <v>10</v>
      </c>
      <c r="K89" s="7">
        <f t="shared" si="10"/>
        <v>81</v>
      </c>
    </row>
    <row r="90" spans="1:11" ht="15" customHeight="1" x14ac:dyDescent="0.25">
      <c r="A90" s="11" t="s">
        <v>79</v>
      </c>
      <c r="B90" s="6">
        <v>7</v>
      </c>
      <c r="C90" s="16">
        <v>0</v>
      </c>
      <c r="D90" s="5">
        <f t="shared" si="17"/>
        <v>7</v>
      </c>
      <c r="E90" s="6">
        <v>3</v>
      </c>
      <c r="F90" s="16">
        <v>0</v>
      </c>
      <c r="G90" s="5">
        <f t="shared" si="18"/>
        <v>3</v>
      </c>
      <c r="H90" s="6">
        <v>1</v>
      </c>
      <c r="I90" s="16">
        <v>0</v>
      </c>
      <c r="J90" s="5">
        <f t="shared" si="19"/>
        <v>1</v>
      </c>
      <c r="K90" s="7">
        <f t="shared" si="10"/>
        <v>11</v>
      </c>
    </row>
    <row r="91" spans="1:11" ht="15" customHeight="1" x14ac:dyDescent="0.25">
      <c r="A91" s="11" t="s">
        <v>80</v>
      </c>
      <c r="B91" s="6">
        <v>450</v>
      </c>
      <c r="C91" s="16">
        <v>3</v>
      </c>
      <c r="D91" s="5">
        <f t="shared" si="17"/>
        <v>453</v>
      </c>
      <c r="E91" s="6">
        <v>34</v>
      </c>
      <c r="F91" s="16">
        <v>29</v>
      </c>
      <c r="G91" s="5">
        <f t="shared" si="18"/>
        <v>63</v>
      </c>
      <c r="H91" s="6">
        <v>23</v>
      </c>
      <c r="I91" s="16">
        <v>0</v>
      </c>
      <c r="J91" s="5">
        <f t="shared" si="19"/>
        <v>23</v>
      </c>
      <c r="K91" s="7">
        <f t="shared" si="10"/>
        <v>539</v>
      </c>
    </row>
    <row r="92" spans="1:11" ht="15" customHeight="1" x14ac:dyDescent="0.25">
      <c r="A92" s="11" t="s">
        <v>82</v>
      </c>
      <c r="B92" s="6">
        <v>27</v>
      </c>
      <c r="C92" s="16">
        <v>0</v>
      </c>
      <c r="D92" s="5">
        <f t="shared" si="17"/>
        <v>27</v>
      </c>
      <c r="E92" s="6">
        <v>3</v>
      </c>
      <c r="F92" s="16">
        <v>1</v>
      </c>
      <c r="G92" s="5">
        <f t="shared" si="18"/>
        <v>4</v>
      </c>
      <c r="H92" s="6">
        <v>4</v>
      </c>
      <c r="I92" s="16">
        <v>1</v>
      </c>
      <c r="J92" s="5">
        <f t="shared" si="19"/>
        <v>5</v>
      </c>
      <c r="K92" s="7">
        <f t="shared" si="10"/>
        <v>36</v>
      </c>
    </row>
    <row r="93" spans="1:11" ht="15" customHeight="1" x14ac:dyDescent="0.25">
      <c r="A93" s="11" t="s">
        <v>83</v>
      </c>
      <c r="B93" s="6">
        <v>35</v>
      </c>
      <c r="C93" s="16">
        <v>2</v>
      </c>
      <c r="D93" s="5">
        <f t="shared" si="17"/>
        <v>37</v>
      </c>
      <c r="E93" s="6">
        <v>35</v>
      </c>
      <c r="F93" s="16">
        <v>0</v>
      </c>
      <c r="G93" s="5">
        <f t="shared" si="18"/>
        <v>35</v>
      </c>
      <c r="H93" s="6">
        <v>34</v>
      </c>
      <c r="I93" s="16">
        <v>4</v>
      </c>
      <c r="J93" s="5">
        <f t="shared" si="19"/>
        <v>38</v>
      </c>
      <c r="K93" s="7">
        <f t="shared" si="10"/>
        <v>110</v>
      </c>
    </row>
    <row r="94" spans="1:11" ht="15" customHeight="1" x14ac:dyDescent="0.25">
      <c r="A94" s="11" t="s">
        <v>84</v>
      </c>
      <c r="B94" s="6">
        <v>58</v>
      </c>
      <c r="C94" s="16">
        <v>1</v>
      </c>
      <c r="D94" s="5">
        <f t="shared" si="17"/>
        <v>59</v>
      </c>
      <c r="E94" s="6">
        <v>66</v>
      </c>
      <c r="F94" s="16">
        <v>0</v>
      </c>
      <c r="G94" s="5">
        <f t="shared" si="18"/>
        <v>66</v>
      </c>
      <c r="H94" s="6">
        <v>16</v>
      </c>
      <c r="I94" s="16">
        <v>1</v>
      </c>
      <c r="J94" s="5">
        <f t="shared" si="19"/>
        <v>17</v>
      </c>
      <c r="K94" s="7">
        <f t="shared" si="10"/>
        <v>142</v>
      </c>
    </row>
    <row r="95" spans="1:11" ht="15" customHeight="1" x14ac:dyDescent="0.25">
      <c r="A95" s="11" t="s">
        <v>179</v>
      </c>
      <c r="B95" s="6">
        <v>1</v>
      </c>
      <c r="C95" s="16">
        <v>0</v>
      </c>
      <c r="D95" s="5">
        <f t="shared" si="17"/>
        <v>1</v>
      </c>
      <c r="E95" s="6">
        <v>0</v>
      </c>
      <c r="F95" s="16">
        <v>0</v>
      </c>
      <c r="G95" s="5">
        <f t="shared" si="18"/>
        <v>0</v>
      </c>
      <c r="H95" s="6">
        <v>1</v>
      </c>
      <c r="I95" s="16">
        <v>0</v>
      </c>
      <c r="J95" s="5">
        <f t="shared" si="19"/>
        <v>1</v>
      </c>
      <c r="K95" s="7">
        <f t="shared" si="10"/>
        <v>2</v>
      </c>
    </row>
    <row r="96" spans="1:11" ht="15" customHeight="1" x14ac:dyDescent="0.25">
      <c r="A96" s="11" t="s">
        <v>180</v>
      </c>
      <c r="B96" s="6">
        <v>1</v>
      </c>
      <c r="C96" s="16">
        <v>0</v>
      </c>
      <c r="D96" s="5">
        <f t="shared" si="17"/>
        <v>1</v>
      </c>
      <c r="E96" s="6">
        <v>0</v>
      </c>
      <c r="F96" s="16">
        <v>0</v>
      </c>
      <c r="G96" s="5">
        <f t="shared" si="18"/>
        <v>0</v>
      </c>
      <c r="H96" s="6">
        <v>0</v>
      </c>
      <c r="I96" s="16">
        <v>0</v>
      </c>
      <c r="J96" s="5">
        <f t="shared" si="19"/>
        <v>0</v>
      </c>
      <c r="K96" s="7">
        <f t="shared" si="10"/>
        <v>1</v>
      </c>
    </row>
    <row r="97" spans="1:11" ht="15" customHeight="1" thickBot="1" x14ac:dyDescent="0.3">
      <c r="A97" s="11" t="s">
        <v>85</v>
      </c>
      <c r="B97" s="6">
        <v>60</v>
      </c>
      <c r="C97" s="16">
        <v>1</v>
      </c>
      <c r="D97" s="5">
        <f t="shared" si="17"/>
        <v>61</v>
      </c>
      <c r="E97" s="6">
        <v>8</v>
      </c>
      <c r="F97" s="16">
        <v>0</v>
      </c>
      <c r="G97" s="5">
        <f t="shared" si="18"/>
        <v>8</v>
      </c>
      <c r="H97" s="6">
        <v>1</v>
      </c>
      <c r="I97" s="16">
        <v>0</v>
      </c>
      <c r="J97" s="5">
        <f t="shared" si="19"/>
        <v>1</v>
      </c>
      <c r="K97" s="7">
        <f t="shared" si="10"/>
        <v>70</v>
      </c>
    </row>
    <row r="98" spans="1:11" ht="15" customHeight="1" thickTop="1" thickBot="1" x14ac:dyDescent="0.3">
      <c r="A98" s="12" t="s">
        <v>6</v>
      </c>
      <c r="B98" s="13">
        <f t="shared" ref="B98:J98" si="20">SUM(B75:B97)</f>
        <v>2614</v>
      </c>
      <c r="C98" s="13">
        <f t="shared" si="20"/>
        <v>58</v>
      </c>
      <c r="D98" s="13">
        <f t="shared" si="20"/>
        <v>2672</v>
      </c>
      <c r="E98" s="13">
        <f t="shared" si="20"/>
        <v>1094</v>
      </c>
      <c r="F98" s="13">
        <f t="shared" si="20"/>
        <v>47</v>
      </c>
      <c r="G98" s="13">
        <f t="shared" si="20"/>
        <v>1141</v>
      </c>
      <c r="H98" s="13">
        <f t="shared" si="20"/>
        <v>301</v>
      </c>
      <c r="I98" s="13">
        <f t="shared" si="20"/>
        <v>23</v>
      </c>
      <c r="J98" s="13">
        <f t="shared" si="20"/>
        <v>324</v>
      </c>
      <c r="K98" s="15">
        <f t="shared" si="10"/>
        <v>4137</v>
      </c>
    </row>
    <row r="99" spans="1:11" ht="14.85" customHeight="1" thickTop="1" thickBot="1" x14ac:dyDescent="0.3">
      <c r="A99" s="23" t="s">
        <v>86</v>
      </c>
      <c r="B99" s="24"/>
      <c r="C99" s="24"/>
      <c r="D99" s="24"/>
      <c r="E99" s="24"/>
      <c r="F99" s="24"/>
      <c r="G99" s="24"/>
      <c r="H99" s="24"/>
      <c r="I99" s="24"/>
      <c r="J99" s="24"/>
      <c r="K99" s="25"/>
    </row>
    <row r="100" spans="1:11" ht="14.85" customHeight="1" thickTop="1" x14ac:dyDescent="0.25">
      <c r="A100" s="11" t="s">
        <v>87</v>
      </c>
      <c r="B100" s="6">
        <v>1</v>
      </c>
      <c r="C100" s="16">
        <v>0</v>
      </c>
      <c r="D100" s="5">
        <f t="shared" ref="D100:D129" si="21">B100+C100</f>
        <v>1</v>
      </c>
      <c r="E100" s="6">
        <v>1</v>
      </c>
      <c r="F100" s="16">
        <v>0</v>
      </c>
      <c r="G100" s="5">
        <f t="shared" ref="G100:G129" si="22">E100+F100</f>
        <v>1</v>
      </c>
      <c r="H100" s="6">
        <v>0</v>
      </c>
      <c r="I100" s="16">
        <v>0</v>
      </c>
      <c r="J100" s="5">
        <f t="shared" ref="J100:J129" si="23">H100+I100</f>
        <v>0</v>
      </c>
      <c r="K100" s="7">
        <f t="shared" si="10"/>
        <v>2</v>
      </c>
    </row>
    <row r="101" spans="1:11" ht="14.85" customHeight="1" x14ac:dyDescent="0.25">
      <c r="A101" s="11" t="s">
        <v>181</v>
      </c>
      <c r="B101" s="6">
        <v>0</v>
      </c>
      <c r="C101" s="16">
        <v>0</v>
      </c>
      <c r="D101" s="5">
        <f t="shared" si="21"/>
        <v>0</v>
      </c>
      <c r="E101" s="6">
        <v>2</v>
      </c>
      <c r="F101" s="16">
        <v>0</v>
      </c>
      <c r="G101" s="5">
        <f t="shared" si="22"/>
        <v>2</v>
      </c>
      <c r="H101" s="6">
        <v>0</v>
      </c>
      <c r="I101" s="16">
        <v>0</v>
      </c>
      <c r="J101" s="5">
        <f t="shared" si="23"/>
        <v>0</v>
      </c>
      <c r="K101" s="7">
        <f t="shared" ref="K101:K130" si="24">G101+D101+J101</f>
        <v>2</v>
      </c>
    </row>
    <row r="102" spans="1:11" ht="14.85" customHeight="1" x14ac:dyDescent="0.25">
      <c r="A102" s="11" t="s">
        <v>182</v>
      </c>
      <c r="B102" s="6">
        <v>2</v>
      </c>
      <c r="C102" s="16">
        <v>0</v>
      </c>
      <c r="D102" s="5">
        <f t="shared" si="21"/>
        <v>2</v>
      </c>
      <c r="E102" s="6">
        <v>0</v>
      </c>
      <c r="F102" s="16">
        <v>0</v>
      </c>
      <c r="G102" s="5">
        <f t="shared" si="22"/>
        <v>0</v>
      </c>
      <c r="H102" s="6">
        <v>0</v>
      </c>
      <c r="I102" s="16">
        <v>0</v>
      </c>
      <c r="J102" s="5">
        <f t="shared" si="23"/>
        <v>0</v>
      </c>
      <c r="K102" s="7">
        <f t="shared" si="24"/>
        <v>2</v>
      </c>
    </row>
    <row r="103" spans="1:11" ht="14.85" customHeight="1" x14ac:dyDescent="0.25">
      <c r="A103" s="11" t="s">
        <v>88</v>
      </c>
      <c r="B103" s="6">
        <v>1</v>
      </c>
      <c r="C103" s="16">
        <v>0</v>
      </c>
      <c r="D103" s="5">
        <f t="shared" si="21"/>
        <v>1</v>
      </c>
      <c r="E103" s="6">
        <v>0</v>
      </c>
      <c r="F103" s="16">
        <v>0</v>
      </c>
      <c r="G103" s="5">
        <f t="shared" si="22"/>
        <v>0</v>
      </c>
      <c r="H103" s="6">
        <v>1</v>
      </c>
      <c r="I103" s="16">
        <v>0</v>
      </c>
      <c r="J103" s="5">
        <f t="shared" si="23"/>
        <v>1</v>
      </c>
      <c r="K103" s="7">
        <f t="shared" si="24"/>
        <v>2</v>
      </c>
    </row>
    <row r="104" spans="1:11" ht="14.85" customHeight="1" x14ac:dyDescent="0.25">
      <c r="A104" s="11" t="s">
        <v>183</v>
      </c>
      <c r="B104" s="6">
        <v>1</v>
      </c>
      <c r="C104" s="16">
        <v>0</v>
      </c>
      <c r="D104" s="5">
        <f t="shared" si="21"/>
        <v>1</v>
      </c>
      <c r="E104" s="6">
        <v>0</v>
      </c>
      <c r="F104" s="16">
        <v>0</v>
      </c>
      <c r="G104" s="5">
        <f t="shared" si="22"/>
        <v>0</v>
      </c>
      <c r="H104" s="6">
        <v>0</v>
      </c>
      <c r="I104" s="16">
        <v>0</v>
      </c>
      <c r="J104" s="5">
        <f t="shared" si="23"/>
        <v>0</v>
      </c>
      <c r="K104" s="7">
        <f t="shared" si="24"/>
        <v>1</v>
      </c>
    </row>
    <row r="105" spans="1:11" ht="14.85" customHeight="1" x14ac:dyDescent="0.25">
      <c r="A105" s="11" t="s">
        <v>89</v>
      </c>
      <c r="B105" s="6">
        <v>0</v>
      </c>
      <c r="C105" s="16">
        <v>0</v>
      </c>
      <c r="D105" s="5">
        <f t="shared" si="21"/>
        <v>0</v>
      </c>
      <c r="E105" s="6">
        <v>0</v>
      </c>
      <c r="F105" s="16">
        <v>1</v>
      </c>
      <c r="G105" s="5">
        <f t="shared" si="22"/>
        <v>1</v>
      </c>
      <c r="H105" s="6">
        <v>1</v>
      </c>
      <c r="I105" s="16">
        <v>0</v>
      </c>
      <c r="J105" s="5">
        <f t="shared" si="23"/>
        <v>1</v>
      </c>
      <c r="K105" s="7">
        <f t="shared" si="24"/>
        <v>2</v>
      </c>
    </row>
    <row r="106" spans="1:11" ht="14.85" customHeight="1" x14ac:dyDescent="0.25">
      <c r="A106" s="11" t="s">
        <v>184</v>
      </c>
      <c r="B106" s="6">
        <v>0</v>
      </c>
      <c r="C106" s="16">
        <v>0</v>
      </c>
      <c r="D106" s="5">
        <f t="shared" si="21"/>
        <v>0</v>
      </c>
      <c r="E106" s="6">
        <v>1</v>
      </c>
      <c r="F106" s="16">
        <v>0</v>
      </c>
      <c r="G106" s="5">
        <f t="shared" si="22"/>
        <v>1</v>
      </c>
      <c r="H106" s="6">
        <v>0</v>
      </c>
      <c r="I106" s="16">
        <v>0</v>
      </c>
      <c r="J106" s="5">
        <f t="shared" si="23"/>
        <v>0</v>
      </c>
      <c r="K106" s="7">
        <f t="shared" si="24"/>
        <v>1</v>
      </c>
    </row>
    <row r="107" spans="1:11" ht="14.85" customHeight="1" x14ac:dyDescent="0.25">
      <c r="A107" s="11" t="s">
        <v>90</v>
      </c>
      <c r="B107" s="6">
        <v>12</v>
      </c>
      <c r="C107" s="16">
        <v>0</v>
      </c>
      <c r="D107" s="5">
        <f t="shared" si="21"/>
        <v>12</v>
      </c>
      <c r="E107" s="6">
        <v>13</v>
      </c>
      <c r="F107" s="16">
        <v>2</v>
      </c>
      <c r="G107" s="5">
        <f t="shared" si="22"/>
        <v>15</v>
      </c>
      <c r="H107" s="6">
        <v>8</v>
      </c>
      <c r="I107" s="16">
        <v>3</v>
      </c>
      <c r="J107" s="5">
        <f t="shared" si="23"/>
        <v>11</v>
      </c>
      <c r="K107" s="7">
        <f t="shared" si="24"/>
        <v>38</v>
      </c>
    </row>
    <row r="108" spans="1:11" ht="14.85" customHeight="1" x14ac:dyDescent="0.25">
      <c r="A108" s="11" t="s">
        <v>92</v>
      </c>
      <c r="B108" s="6">
        <v>0</v>
      </c>
      <c r="C108" s="16">
        <v>0</v>
      </c>
      <c r="D108" s="5">
        <f t="shared" si="21"/>
        <v>0</v>
      </c>
      <c r="E108" s="6">
        <v>1</v>
      </c>
      <c r="F108" s="16">
        <v>0</v>
      </c>
      <c r="G108" s="5">
        <f t="shared" si="22"/>
        <v>1</v>
      </c>
      <c r="H108" s="6">
        <v>0</v>
      </c>
      <c r="I108" s="16">
        <v>0</v>
      </c>
      <c r="J108" s="5">
        <f t="shared" si="23"/>
        <v>0</v>
      </c>
      <c r="K108" s="7">
        <f t="shared" si="24"/>
        <v>1</v>
      </c>
    </row>
    <row r="109" spans="1:11" ht="14.85" customHeight="1" x14ac:dyDescent="0.25">
      <c r="A109" s="11" t="s">
        <v>95</v>
      </c>
      <c r="B109" s="6">
        <v>2</v>
      </c>
      <c r="C109" s="16">
        <v>0</v>
      </c>
      <c r="D109" s="5">
        <f t="shared" si="21"/>
        <v>2</v>
      </c>
      <c r="E109" s="6">
        <v>6</v>
      </c>
      <c r="F109" s="16">
        <v>0</v>
      </c>
      <c r="G109" s="5">
        <f t="shared" si="22"/>
        <v>6</v>
      </c>
      <c r="H109" s="6">
        <v>0</v>
      </c>
      <c r="I109" s="16">
        <v>0</v>
      </c>
      <c r="J109" s="5">
        <f t="shared" si="23"/>
        <v>0</v>
      </c>
      <c r="K109" s="7">
        <f t="shared" si="24"/>
        <v>8</v>
      </c>
    </row>
    <row r="110" spans="1:11" ht="14.85" customHeight="1" x14ac:dyDescent="0.25">
      <c r="A110" s="11" t="s">
        <v>96</v>
      </c>
      <c r="B110" s="6">
        <v>19</v>
      </c>
      <c r="C110" s="16">
        <v>2</v>
      </c>
      <c r="D110" s="5">
        <f t="shared" si="21"/>
        <v>21</v>
      </c>
      <c r="E110" s="6">
        <v>4</v>
      </c>
      <c r="F110" s="16">
        <v>2</v>
      </c>
      <c r="G110" s="5">
        <f t="shared" si="22"/>
        <v>6</v>
      </c>
      <c r="H110" s="6">
        <v>0</v>
      </c>
      <c r="I110" s="16">
        <v>0</v>
      </c>
      <c r="J110" s="5">
        <f t="shared" si="23"/>
        <v>0</v>
      </c>
      <c r="K110" s="7">
        <f t="shared" si="24"/>
        <v>27</v>
      </c>
    </row>
    <row r="111" spans="1:11" ht="14.85" customHeight="1" x14ac:dyDescent="0.25">
      <c r="A111" s="11" t="s">
        <v>99</v>
      </c>
      <c r="B111" s="6">
        <v>0</v>
      </c>
      <c r="C111" s="16">
        <v>0</v>
      </c>
      <c r="D111" s="5">
        <f t="shared" si="21"/>
        <v>0</v>
      </c>
      <c r="E111" s="6">
        <v>2</v>
      </c>
      <c r="F111" s="16">
        <v>0</v>
      </c>
      <c r="G111" s="5">
        <f t="shared" si="22"/>
        <v>2</v>
      </c>
      <c r="H111" s="6">
        <v>5</v>
      </c>
      <c r="I111" s="16">
        <v>0</v>
      </c>
      <c r="J111" s="5">
        <f t="shared" si="23"/>
        <v>5</v>
      </c>
      <c r="K111" s="7">
        <f t="shared" si="24"/>
        <v>7</v>
      </c>
    </row>
    <row r="112" spans="1:11" ht="14.85" customHeight="1" x14ac:dyDescent="0.25">
      <c r="A112" s="11" t="s">
        <v>100</v>
      </c>
      <c r="B112" s="6">
        <v>2</v>
      </c>
      <c r="C112" s="16">
        <v>0</v>
      </c>
      <c r="D112" s="5">
        <f t="shared" si="21"/>
        <v>2</v>
      </c>
      <c r="E112" s="6">
        <v>1</v>
      </c>
      <c r="F112" s="16">
        <v>1</v>
      </c>
      <c r="G112" s="5">
        <f t="shared" si="22"/>
        <v>2</v>
      </c>
      <c r="H112" s="6">
        <v>1</v>
      </c>
      <c r="I112" s="16">
        <v>0</v>
      </c>
      <c r="J112" s="5">
        <f t="shared" si="23"/>
        <v>1</v>
      </c>
      <c r="K112" s="7">
        <f t="shared" si="24"/>
        <v>5</v>
      </c>
    </row>
    <row r="113" spans="1:11" ht="14.85" customHeight="1" x14ac:dyDescent="0.25">
      <c r="A113" s="11" t="s">
        <v>185</v>
      </c>
      <c r="B113" s="6">
        <v>1</v>
      </c>
      <c r="C113" s="16">
        <v>0</v>
      </c>
      <c r="D113" s="5">
        <f t="shared" si="21"/>
        <v>1</v>
      </c>
      <c r="E113" s="6">
        <v>0</v>
      </c>
      <c r="F113" s="16">
        <v>0</v>
      </c>
      <c r="G113" s="5">
        <f t="shared" si="22"/>
        <v>0</v>
      </c>
      <c r="H113" s="6">
        <v>0</v>
      </c>
      <c r="I113" s="16">
        <v>0</v>
      </c>
      <c r="J113" s="5">
        <f t="shared" si="23"/>
        <v>0</v>
      </c>
      <c r="K113" s="7">
        <f t="shared" si="24"/>
        <v>1</v>
      </c>
    </row>
    <row r="114" spans="1:11" ht="14.85" customHeight="1" x14ac:dyDescent="0.25">
      <c r="A114" s="11" t="s">
        <v>101</v>
      </c>
      <c r="B114" s="6">
        <v>27</v>
      </c>
      <c r="C114" s="16">
        <v>0</v>
      </c>
      <c r="D114" s="5">
        <f t="shared" si="21"/>
        <v>27</v>
      </c>
      <c r="E114" s="6">
        <v>3</v>
      </c>
      <c r="F114" s="16">
        <v>1</v>
      </c>
      <c r="G114" s="5">
        <f t="shared" si="22"/>
        <v>4</v>
      </c>
      <c r="H114" s="6">
        <v>1</v>
      </c>
      <c r="I114" s="16">
        <v>0</v>
      </c>
      <c r="J114" s="5">
        <f t="shared" si="23"/>
        <v>1</v>
      </c>
      <c r="K114" s="7">
        <f t="shared" si="24"/>
        <v>32</v>
      </c>
    </row>
    <row r="115" spans="1:11" ht="14.85" customHeight="1" x14ac:dyDescent="0.25">
      <c r="A115" s="11" t="s">
        <v>102</v>
      </c>
      <c r="B115" s="6">
        <v>8</v>
      </c>
      <c r="C115" s="16">
        <v>0</v>
      </c>
      <c r="D115" s="5">
        <f t="shared" si="21"/>
        <v>8</v>
      </c>
      <c r="E115" s="6">
        <v>2</v>
      </c>
      <c r="F115" s="16">
        <v>0</v>
      </c>
      <c r="G115" s="5">
        <f t="shared" si="22"/>
        <v>2</v>
      </c>
      <c r="H115" s="6">
        <v>0</v>
      </c>
      <c r="I115" s="16">
        <v>0</v>
      </c>
      <c r="J115" s="5">
        <f t="shared" si="23"/>
        <v>0</v>
      </c>
      <c r="K115" s="7">
        <f t="shared" si="24"/>
        <v>10</v>
      </c>
    </row>
    <row r="116" spans="1:11" ht="14.85" customHeight="1" x14ac:dyDescent="0.25">
      <c r="A116" s="11" t="s">
        <v>186</v>
      </c>
      <c r="B116" s="6">
        <v>0</v>
      </c>
      <c r="C116" s="16">
        <v>0</v>
      </c>
      <c r="D116" s="5">
        <f t="shared" si="21"/>
        <v>0</v>
      </c>
      <c r="E116" s="6">
        <v>0</v>
      </c>
      <c r="F116" s="16">
        <v>0</v>
      </c>
      <c r="G116" s="5">
        <f t="shared" si="22"/>
        <v>0</v>
      </c>
      <c r="H116" s="6">
        <v>1</v>
      </c>
      <c r="I116" s="16">
        <v>0</v>
      </c>
      <c r="J116" s="5">
        <f t="shared" si="23"/>
        <v>1</v>
      </c>
      <c r="K116" s="7">
        <f t="shared" si="24"/>
        <v>1</v>
      </c>
    </row>
    <row r="117" spans="1:11" ht="14.85" customHeight="1" x14ac:dyDescent="0.25">
      <c r="A117" s="11" t="s">
        <v>104</v>
      </c>
      <c r="B117" s="6">
        <v>49</v>
      </c>
      <c r="C117" s="16">
        <v>1</v>
      </c>
      <c r="D117" s="5">
        <f t="shared" si="21"/>
        <v>50</v>
      </c>
      <c r="E117" s="6">
        <v>48</v>
      </c>
      <c r="F117" s="16">
        <v>5</v>
      </c>
      <c r="G117" s="5">
        <f t="shared" si="22"/>
        <v>53</v>
      </c>
      <c r="H117" s="6">
        <v>13</v>
      </c>
      <c r="I117" s="16">
        <v>0</v>
      </c>
      <c r="J117" s="5">
        <f t="shared" si="23"/>
        <v>13</v>
      </c>
      <c r="K117" s="7">
        <f t="shared" si="24"/>
        <v>116</v>
      </c>
    </row>
    <row r="118" spans="1:11" ht="14.85" customHeight="1" x14ac:dyDescent="0.25">
      <c r="A118" s="11" t="s">
        <v>187</v>
      </c>
      <c r="B118" s="6">
        <v>0</v>
      </c>
      <c r="C118" s="16">
        <v>0</v>
      </c>
      <c r="D118" s="5">
        <f t="shared" si="21"/>
        <v>0</v>
      </c>
      <c r="E118" s="6">
        <v>1</v>
      </c>
      <c r="F118" s="16">
        <v>0</v>
      </c>
      <c r="G118" s="5">
        <f t="shared" si="22"/>
        <v>1</v>
      </c>
      <c r="H118" s="6">
        <v>0</v>
      </c>
      <c r="I118" s="16">
        <v>0</v>
      </c>
      <c r="J118" s="5">
        <f t="shared" si="23"/>
        <v>0</v>
      </c>
      <c r="K118" s="7">
        <f t="shared" si="24"/>
        <v>1</v>
      </c>
    </row>
    <row r="119" spans="1:11" ht="14.85" customHeight="1" x14ac:dyDescent="0.25">
      <c r="A119" s="11" t="s">
        <v>188</v>
      </c>
      <c r="B119" s="6">
        <v>1</v>
      </c>
      <c r="C119" s="16">
        <v>0</v>
      </c>
      <c r="D119" s="5">
        <f t="shared" si="21"/>
        <v>1</v>
      </c>
      <c r="E119" s="6">
        <v>0</v>
      </c>
      <c r="F119" s="16">
        <v>0</v>
      </c>
      <c r="G119" s="5">
        <f t="shared" si="22"/>
        <v>0</v>
      </c>
      <c r="H119" s="6">
        <v>0</v>
      </c>
      <c r="I119" s="16">
        <v>0</v>
      </c>
      <c r="J119" s="5">
        <f t="shared" si="23"/>
        <v>0</v>
      </c>
      <c r="K119" s="7">
        <f t="shared" si="24"/>
        <v>1</v>
      </c>
    </row>
    <row r="120" spans="1:11" ht="14.85" customHeight="1" x14ac:dyDescent="0.25">
      <c r="A120" s="11" t="s">
        <v>109</v>
      </c>
      <c r="B120" s="6">
        <v>1</v>
      </c>
      <c r="C120" s="16">
        <v>0</v>
      </c>
      <c r="D120" s="5">
        <f t="shared" ref="D120" si="25">B120+C120</f>
        <v>1</v>
      </c>
      <c r="E120" s="6">
        <v>0</v>
      </c>
      <c r="F120" s="16">
        <v>0</v>
      </c>
      <c r="G120" s="5">
        <f t="shared" ref="G120" si="26">E120+F120</f>
        <v>0</v>
      </c>
      <c r="H120" s="6">
        <v>0</v>
      </c>
      <c r="I120" s="16">
        <v>0</v>
      </c>
      <c r="J120" s="5">
        <f t="shared" si="23"/>
        <v>0</v>
      </c>
      <c r="K120" s="7">
        <f t="shared" si="24"/>
        <v>1</v>
      </c>
    </row>
    <row r="121" spans="1:11" ht="14.85" customHeight="1" x14ac:dyDescent="0.25">
      <c r="A121" s="11" t="s">
        <v>105</v>
      </c>
      <c r="B121" s="6">
        <v>0</v>
      </c>
      <c r="C121" s="16">
        <v>0</v>
      </c>
      <c r="D121" s="5">
        <f t="shared" ref="D121:D122" si="27">B121+C121</f>
        <v>0</v>
      </c>
      <c r="E121" s="6">
        <v>1</v>
      </c>
      <c r="F121" s="16">
        <v>0</v>
      </c>
      <c r="G121" s="5">
        <f t="shared" ref="G121:G122" si="28">E121+F121</f>
        <v>1</v>
      </c>
      <c r="H121" s="6">
        <v>1</v>
      </c>
      <c r="I121" s="16">
        <v>0</v>
      </c>
      <c r="J121" s="5">
        <f t="shared" si="23"/>
        <v>1</v>
      </c>
      <c r="K121" s="7">
        <f t="shared" si="24"/>
        <v>2</v>
      </c>
    </row>
    <row r="122" spans="1:11" ht="14.85" customHeight="1" x14ac:dyDescent="0.25">
      <c r="A122" s="11" t="s">
        <v>107</v>
      </c>
      <c r="B122" s="6">
        <v>4</v>
      </c>
      <c r="C122" s="16">
        <v>0</v>
      </c>
      <c r="D122" s="5">
        <f t="shared" si="27"/>
        <v>4</v>
      </c>
      <c r="E122" s="6">
        <v>5</v>
      </c>
      <c r="F122" s="16">
        <v>2</v>
      </c>
      <c r="G122" s="5">
        <f t="shared" si="28"/>
        <v>7</v>
      </c>
      <c r="H122" s="6">
        <v>10</v>
      </c>
      <c r="I122" s="16">
        <v>1</v>
      </c>
      <c r="J122" s="5">
        <f t="shared" si="23"/>
        <v>11</v>
      </c>
      <c r="K122" s="7">
        <f t="shared" si="24"/>
        <v>22</v>
      </c>
    </row>
    <row r="123" spans="1:11" ht="14.85" customHeight="1" x14ac:dyDescent="0.25">
      <c r="A123" s="11" t="s">
        <v>108</v>
      </c>
      <c r="B123" s="6">
        <v>1</v>
      </c>
      <c r="C123" s="16">
        <v>0</v>
      </c>
      <c r="D123" s="5">
        <f t="shared" si="21"/>
        <v>1</v>
      </c>
      <c r="E123" s="6">
        <v>1</v>
      </c>
      <c r="F123" s="16">
        <v>2</v>
      </c>
      <c r="G123" s="5">
        <f t="shared" si="22"/>
        <v>3</v>
      </c>
      <c r="H123" s="6">
        <v>1</v>
      </c>
      <c r="I123" s="16">
        <v>0</v>
      </c>
      <c r="J123" s="5">
        <f t="shared" si="23"/>
        <v>1</v>
      </c>
      <c r="K123" s="7">
        <f t="shared" si="24"/>
        <v>5</v>
      </c>
    </row>
    <row r="124" spans="1:11" ht="14.85" customHeight="1" x14ac:dyDescent="0.25">
      <c r="A124" s="11" t="s">
        <v>110</v>
      </c>
      <c r="B124" s="6">
        <v>6</v>
      </c>
      <c r="C124" s="16">
        <v>0</v>
      </c>
      <c r="D124" s="5">
        <f t="shared" si="21"/>
        <v>6</v>
      </c>
      <c r="E124" s="6">
        <v>2</v>
      </c>
      <c r="F124" s="16">
        <v>3</v>
      </c>
      <c r="G124" s="5">
        <f t="shared" si="22"/>
        <v>5</v>
      </c>
      <c r="H124" s="6">
        <v>2</v>
      </c>
      <c r="I124" s="16">
        <v>0</v>
      </c>
      <c r="J124" s="5">
        <f t="shared" si="23"/>
        <v>2</v>
      </c>
      <c r="K124" s="7">
        <f t="shared" si="24"/>
        <v>13</v>
      </c>
    </row>
    <row r="125" spans="1:11" ht="14.85" customHeight="1" x14ac:dyDescent="0.25">
      <c r="A125" s="11" t="s">
        <v>155</v>
      </c>
      <c r="B125" s="6">
        <v>0</v>
      </c>
      <c r="C125" s="16">
        <v>0</v>
      </c>
      <c r="D125" s="5">
        <f t="shared" si="21"/>
        <v>0</v>
      </c>
      <c r="E125" s="6">
        <v>0</v>
      </c>
      <c r="F125" s="16">
        <v>0</v>
      </c>
      <c r="G125" s="5">
        <f t="shared" si="22"/>
        <v>0</v>
      </c>
      <c r="H125" s="6">
        <v>1</v>
      </c>
      <c r="I125" s="16">
        <v>0</v>
      </c>
      <c r="J125" s="5">
        <f t="shared" si="23"/>
        <v>1</v>
      </c>
      <c r="K125" s="7">
        <f t="shared" si="24"/>
        <v>1</v>
      </c>
    </row>
    <row r="126" spans="1:11" ht="14.85" customHeight="1" x14ac:dyDescent="0.25">
      <c r="A126" s="11" t="s">
        <v>111</v>
      </c>
      <c r="B126" s="6">
        <v>3</v>
      </c>
      <c r="C126" s="16">
        <v>0</v>
      </c>
      <c r="D126" s="5">
        <f t="shared" si="21"/>
        <v>3</v>
      </c>
      <c r="E126" s="6">
        <v>1</v>
      </c>
      <c r="F126" s="16">
        <v>0</v>
      </c>
      <c r="G126" s="5">
        <f t="shared" si="22"/>
        <v>1</v>
      </c>
      <c r="H126" s="6">
        <v>0</v>
      </c>
      <c r="I126" s="16">
        <v>0</v>
      </c>
      <c r="J126" s="5">
        <f t="shared" si="23"/>
        <v>0</v>
      </c>
      <c r="K126" s="7">
        <f t="shared" si="24"/>
        <v>4</v>
      </c>
    </row>
    <row r="127" spans="1:11" ht="14.85" customHeight="1" x14ac:dyDescent="0.25">
      <c r="A127" s="11" t="s">
        <v>112</v>
      </c>
      <c r="B127" s="6">
        <v>1</v>
      </c>
      <c r="C127" s="16">
        <v>0</v>
      </c>
      <c r="D127" s="5">
        <f t="shared" si="21"/>
        <v>1</v>
      </c>
      <c r="E127" s="6">
        <v>1</v>
      </c>
      <c r="F127" s="16">
        <v>0</v>
      </c>
      <c r="G127" s="5">
        <f t="shared" si="22"/>
        <v>1</v>
      </c>
      <c r="H127" s="6">
        <v>0</v>
      </c>
      <c r="I127" s="16">
        <v>0</v>
      </c>
      <c r="J127" s="5">
        <f t="shared" si="23"/>
        <v>0</v>
      </c>
      <c r="K127" s="7">
        <f t="shared" si="24"/>
        <v>2</v>
      </c>
    </row>
    <row r="128" spans="1:11" ht="14.85" customHeight="1" x14ac:dyDescent="0.25">
      <c r="A128" s="11" t="s">
        <v>113</v>
      </c>
      <c r="B128" s="6">
        <v>0</v>
      </c>
      <c r="C128" s="16">
        <v>0</v>
      </c>
      <c r="D128" s="5">
        <f t="shared" si="21"/>
        <v>0</v>
      </c>
      <c r="E128" s="6">
        <v>0</v>
      </c>
      <c r="F128" s="16">
        <v>0</v>
      </c>
      <c r="G128" s="5">
        <f t="shared" si="22"/>
        <v>0</v>
      </c>
      <c r="H128" s="6">
        <v>1</v>
      </c>
      <c r="I128" s="16">
        <v>0</v>
      </c>
      <c r="J128" s="5">
        <f t="shared" si="23"/>
        <v>1</v>
      </c>
      <c r="K128" s="7">
        <f t="shared" si="24"/>
        <v>1</v>
      </c>
    </row>
    <row r="129" spans="1:11" ht="14.85" customHeight="1" thickBot="1" x14ac:dyDescent="0.3">
      <c r="A129" s="11" t="s">
        <v>114</v>
      </c>
      <c r="B129" s="6">
        <v>2</v>
      </c>
      <c r="C129" s="16">
        <v>0</v>
      </c>
      <c r="D129" s="5">
        <f t="shared" si="21"/>
        <v>2</v>
      </c>
      <c r="E129" s="6">
        <v>0</v>
      </c>
      <c r="F129" s="16">
        <v>0</v>
      </c>
      <c r="G129" s="5">
        <f t="shared" si="22"/>
        <v>0</v>
      </c>
      <c r="H129" s="6">
        <v>0</v>
      </c>
      <c r="I129" s="16">
        <v>2</v>
      </c>
      <c r="J129" s="5">
        <f t="shared" si="23"/>
        <v>2</v>
      </c>
      <c r="K129" s="7">
        <f t="shared" si="24"/>
        <v>4</v>
      </c>
    </row>
    <row r="130" spans="1:11" ht="14.85" customHeight="1" thickTop="1" thickBot="1" x14ac:dyDescent="0.3">
      <c r="A130" s="12" t="s">
        <v>6</v>
      </c>
      <c r="B130" s="13">
        <f t="shared" ref="B130:J130" si="29">SUM(B100:B129)</f>
        <v>144</v>
      </c>
      <c r="C130" s="13">
        <f t="shared" si="29"/>
        <v>3</v>
      </c>
      <c r="D130" s="13">
        <f t="shared" si="29"/>
        <v>147</v>
      </c>
      <c r="E130" s="13">
        <f t="shared" si="29"/>
        <v>96</v>
      </c>
      <c r="F130" s="13">
        <f t="shared" si="29"/>
        <v>19</v>
      </c>
      <c r="G130" s="13">
        <f t="shared" si="29"/>
        <v>115</v>
      </c>
      <c r="H130" s="13">
        <f t="shared" si="29"/>
        <v>47</v>
      </c>
      <c r="I130" s="13">
        <f t="shared" si="29"/>
        <v>6</v>
      </c>
      <c r="J130" s="13">
        <f t="shared" si="29"/>
        <v>53</v>
      </c>
      <c r="K130" s="13">
        <f t="shared" si="24"/>
        <v>315</v>
      </c>
    </row>
    <row r="131" spans="1:11" ht="14.85" customHeight="1" thickTop="1" thickBot="1" x14ac:dyDescent="0.3">
      <c r="A131" s="23" t="s">
        <v>115</v>
      </c>
      <c r="B131" s="24"/>
      <c r="C131" s="24"/>
      <c r="D131" s="24"/>
      <c r="E131" s="24"/>
      <c r="F131" s="24"/>
      <c r="G131" s="24"/>
      <c r="H131" s="24"/>
      <c r="I131" s="24"/>
      <c r="J131" s="24"/>
      <c r="K131" s="25"/>
    </row>
    <row r="132" spans="1:11" ht="14.85" customHeight="1" thickTop="1" x14ac:dyDescent="0.25">
      <c r="A132" s="11" t="s">
        <v>116</v>
      </c>
      <c r="B132" s="6">
        <v>49</v>
      </c>
      <c r="C132" s="16">
        <v>0</v>
      </c>
      <c r="D132" s="5">
        <f t="shared" ref="D132:D133" si="30">B132+C132</f>
        <v>49</v>
      </c>
      <c r="E132" s="6">
        <v>86</v>
      </c>
      <c r="F132" s="16">
        <v>4</v>
      </c>
      <c r="G132" s="5">
        <f t="shared" ref="G132:G133" si="31">E132+F132</f>
        <v>90</v>
      </c>
      <c r="H132" s="6">
        <v>26</v>
      </c>
      <c r="I132" s="16">
        <v>5</v>
      </c>
      <c r="J132" s="5">
        <f t="shared" ref="J132:J133" si="32">H132+I132</f>
        <v>31</v>
      </c>
      <c r="K132" s="7">
        <f t="shared" ref="K132:K134" si="33">G132+D132+J132</f>
        <v>170</v>
      </c>
    </row>
    <row r="133" spans="1:11" ht="14.85" customHeight="1" thickBot="1" x14ac:dyDescent="0.3">
      <c r="A133" s="11" t="s">
        <v>117</v>
      </c>
      <c r="B133" s="6">
        <v>413</v>
      </c>
      <c r="C133" s="16">
        <v>0</v>
      </c>
      <c r="D133" s="5">
        <f t="shared" si="30"/>
        <v>413</v>
      </c>
      <c r="E133" s="6">
        <v>283</v>
      </c>
      <c r="F133" s="16">
        <v>4</v>
      </c>
      <c r="G133" s="5">
        <f t="shared" si="31"/>
        <v>287</v>
      </c>
      <c r="H133" s="6">
        <v>72</v>
      </c>
      <c r="I133" s="16">
        <v>14</v>
      </c>
      <c r="J133" s="5">
        <f t="shared" si="32"/>
        <v>86</v>
      </c>
      <c r="K133" s="7">
        <f t="shared" si="33"/>
        <v>786</v>
      </c>
    </row>
    <row r="134" spans="1:11" ht="14.85" customHeight="1" thickTop="1" thickBot="1" x14ac:dyDescent="0.3">
      <c r="A134" s="12" t="s">
        <v>6</v>
      </c>
      <c r="B134" s="13">
        <f>SUM(B132:B133)</f>
        <v>462</v>
      </c>
      <c r="C134" s="13">
        <f t="shared" ref="C134:G134" si="34">SUM(C132:C133)</f>
        <v>0</v>
      </c>
      <c r="D134" s="13">
        <f t="shared" si="34"/>
        <v>462</v>
      </c>
      <c r="E134" s="13">
        <f t="shared" si="34"/>
        <v>369</v>
      </c>
      <c r="F134" s="13">
        <f t="shared" si="34"/>
        <v>8</v>
      </c>
      <c r="G134" s="13">
        <f t="shared" si="34"/>
        <v>377</v>
      </c>
      <c r="H134" s="13">
        <f t="shared" ref="H134:J134" si="35">SUM(H132:H133)</f>
        <v>98</v>
      </c>
      <c r="I134" s="13">
        <f t="shared" si="35"/>
        <v>19</v>
      </c>
      <c r="J134" s="13">
        <f t="shared" si="35"/>
        <v>117</v>
      </c>
      <c r="K134" s="13">
        <f t="shared" si="33"/>
        <v>956</v>
      </c>
    </row>
    <row r="135" spans="1:11" ht="14.85" customHeight="1" thickTop="1" thickBot="1" x14ac:dyDescent="0.3">
      <c r="A135" s="23" t="s">
        <v>145</v>
      </c>
      <c r="B135" s="24"/>
      <c r="C135" s="24"/>
      <c r="D135" s="24"/>
      <c r="E135" s="24"/>
      <c r="F135" s="24"/>
      <c r="G135" s="24"/>
      <c r="H135" s="24"/>
      <c r="I135" s="24"/>
      <c r="J135" s="24"/>
      <c r="K135" s="25"/>
    </row>
    <row r="136" spans="1:11" ht="14.85" customHeight="1" thickTop="1" x14ac:dyDescent="0.25">
      <c r="A136" s="11" t="s">
        <v>118</v>
      </c>
      <c r="B136" s="6">
        <v>1</v>
      </c>
      <c r="C136" s="16">
        <v>0</v>
      </c>
      <c r="D136" s="5">
        <f t="shared" ref="D136:D146" si="36">B136+C136</f>
        <v>1</v>
      </c>
      <c r="E136" s="6">
        <v>1</v>
      </c>
      <c r="F136" s="16">
        <v>0</v>
      </c>
      <c r="G136" s="5">
        <f t="shared" ref="G136:G146" si="37">E136+F136</f>
        <v>1</v>
      </c>
      <c r="H136" s="6">
        <v>0</v>
      </c>
      <c r="I136" s="16">
        <v>0</v>
      </c>
      <c r="J136" s="5">
        <f t="shared" ref="J136:J146" si="38">H136+I136</f>
        <v>0</v>
      </c>
      <c r="K136" s="7">
        <f t="shared" ref="K136:K147" si="39">G136+D136+J136</f>
        <v>2</v>
      </c>
    </row>
    <row r="137" spans="1:11" ht="14.85" customHeight="1" x14ac:dyDescent="0.25">
      <c r="A137" s="11" t="s">
        <v>119</v>
      </c>
      <c r="B137" s="6">
        <v>1</v>
      </c>
      <c r="C137" s="16">
        <v>0</v>
      </c>
      <c r="D137" s="5">
        <f t="shared" si="36"/>
        <v>1</v>
      </c>
      <c r="E137" s="6">
        <v>1</v>
      </c>
      <c r="F137" s="16">
        <v>1</v>
      </c>
      <c r="G137" s="5">
        <f t="shared" si="37"/>
        <v>2</v>
      </c>
      <c r="H137" s="6">
        <v>0</v>
      </c>
      <c r="I137" s="16">
        <v>0</v>
      </c>
      <c r="J137" s="5">
        <f t="shared" si="38"/>
        <v>0</v>
      </c>
      <c r="K137" s="7">
        <f t="shared" si="39"/>
        <v>3</v>
      </c>
    </row>
    <row r="138" spans="1:11" ht="14.85" customHeight="1" x14ac:dyDescent="0.25">
      <c r="A138" s="11" t="s">
        <v>120</v>
      </c>
      <c r="B138" s="6">
        <v>2</v>
      </c>
      <c r="C138" s="16">
        <v>0</v>
      </c>
      <c r="D138" s="5">
        <f t="shared" si="36"/>
        <v>2</v>
      </c>
      <c r="E138" s="6">
        <v>2</v>
      </c>
      <c r="F138" s="16">
        <v>0</v>
      </c>
      <c r="G138" s="5">
        <f t="shared" si="37"/>
        <v>2</v>
      </c>
      <c r="H138" s="6">
        <v>0</v>
      </c>
      <c r="I138" s="16">
        <v>0</v>
      </c>
      <c r="J138" s="5">
        <f t="shared" si="38"/>
        <v>0</v>
      </c>
      <c r="K138" s="7">
        <f t="shared" si="39"/>
        <v>4</v>
      </c>
    </row>
    <row r="139" spans="1:11" ht="14.85" customHeight="1" x14ac:dyDescent="0.25">
      <c r="A139" s="11" t="s">
        <v>122</v>
      </c>
      <c r="B139" s="6">
        <v>1</v>
      </c>
      <c r="C139" s="16">
        <v>0</v>
      </c>
      <c r="D139" s="5">
        <f t="shared" si="36"/>
        <v>1</v>
      </c>
      <c r="E139" s="6">
        <v>0</v>
      </c>
      <c r="F139" s="16">
        <v>0</v>
      </c>
      <c r="G139" s="5">
        <f t="shared" si="37"/>
        <v>0</v>
      </c>
      <c r="H139" s="6">
        <v>0</v>
      </c>
      <c r="I139" s="16">
        <v>0</v>
      </c>
      <c r="J139" s="5">
        <f t="shared" si="38"/>
        <v>0</v>
      </c>
      <c r="K139" s="7">
        <f t="shared" si="39"/>
        <v>1</v>
      </c>
    </row>
    <row r="140" spans="1:11" ht="14.85" customHeight="1" x14ac:dyDescent="0.25">
      <c r="A140" s="11" t="s">
        <v>189</v>
      </c>
      <c r="B140" s="6">
        <v>0</v>
      </c>
      <c r="C140" s="16">
        <v>0</v>
      </c>
      <c r="D140" s="5">
        <f t="shared" si="36"/>
        <v>0</v>
      </c>
      <c r="E140" s="6">
        <v>1</v>
      </c>
      <c r="F140" s="16">
        <v>0</v>
      </c>
      <c r="G140" s="5">
        <f t="shared" si="37"/>
        <v>1</v>
      </c>
      <c r="H140" s="6">
        <v>0</v>
      </c>
      <c r="I140" s="16">
        <v>0</v>
      </c>
      <c r="J140" s="5">
        <f t="shared" si="38"/>
        <v>0</v>
      </c>
      <c r="K140" s="7">
        <f t="shared" si="39"/>
        <v>1</v>
      </c>
    </row>
    <row r="141" spans="1:11" ht="14.85" customHeight="1" x14ac:dyDescent="0.25">
      <c r="A141" s="11" t="s">
        <v>190</v>
      </c>
      <c r="B141" s="6">
        <v>1</v>
      </c>
      <c r="C141" s="16">
        <v>0</v>
      </c>
      <c r="D141" s="5">
        <f t="shared" si="36"/>
        <v>1</v>
      </c>
      <c r="E141" s="6">
        <v>0</v>
      </c>
      <c r="F141" s="16">
        <v>0</v>
      </c>
      <c r="G141" s="5">
        <f t="shared" si="37"/>
        <v>0</v>
      </c>
      <c r="H141" s="6">
        <v>0</v>
      </c>
      <c r="I141" s="16">
        <v>0</v>
      </c>
      <c r="J141" s="5">
        <f t="shared" si="38"/>
        <v>0</v>
      </c>
      <c r="K141" s="7">
        <f t="shared" si="39"/>
        <v>1</v>
      </c>
    </row>
    <row r="142" spans="1:11" ht="14.85" customHeight="1" x14ac:dyDescent="0.25">
      <c r="A142" s="11" t="s">
        <v>123</v>
      </c>
      <c r="B142" s="6">
        <v>1</v>
      </c>
      <c r="C142" s="16">
        <v>0</v>
      </c>
      <c r="D142" s="5">
        <f t="shared" si="36"/>
        <v>1</v>
      </c>
      <c r="E142" s="6">
        <v>1</v>
      </c>
      <c r="F142" s="16">
        <v>0</v>
      </c>
      <c r="G142" s="5">
        <f t="shared" si="37"/>
        <v>1</v>
      </c>
      <c r="H142" s="6">
        <v>1</v>
      </c>
      <c r="I142" s="16">
        <v>1</v>
      </c>
      <c r="J142" s="5">
        <f t="shared" si="38"/>
        <v>2</v>
      </c>
      <c r="K142" s="7">
        <f t="shared" si="39"/>
        <v>4</v>
      </c>
    </row>
    <row r="143" spans="1:11" ht="14.85" customHeight="1" x14ac:dyDescent="0.25">
      <c r="A143" s="11" t="s">
        <v>191</v>
      </c>
      <c r="B143" s="6">
        <v>0</v>
      </c>
      <c r="C143" s="16">
        <v>0</v>
      </c>
      <c r="D143" s="5">
        <f t="shared" si="36"/>
        <v>0</v>
      </c>
      <c r="E143" s="6">
        <v>1</v>
      </c>
      <c r="F143" s="16">
        <v>0</v>
      </c>
      <c r="G143" s="5">
        <f t="shared" si="37"/>
        <v>1</v>
      </c>
      <c r="H143" s="6">
        <v>1</v>
      </c>
      <c r="I143" s="16">
        <v>0</v>
      </c>
      <c r="J143" s="5">
        <f t="shared" si="38"/>
        <v>1</v>
      </c>
      <c r="K143" s="7">
        <f t="shared" si="39"/>
        <v>2</v>
      </c>
    </row>
    <row r="144" spans="1:11" ht="14.85" customHeight="1" x14ac:dyDescent="0.25">
      <c r="A144" s="11" t="s">
        <v>192</v>
      </c>
      <c r="B144" s="6">
        <v>8</v>
      </c>
      <c r="C144" s="16">
        <v>0</v>
      </c>
      <c r="D144" s="5">
        <f t="shared" si="36"/>
        <v>8</v>
      </c>
      <c r="E144" s="6">
        <v>6</v>
      </c>
      <c r="F144" s="16">
        <v>2</v>
      </c>
      <c r="G144" s="5">
        <f t="shared" si="37"/>
        <v>8</v>
      </c>
      <c r="H144" s="6">
        <v>1</v>
      </c>
      <c r="I144" s="16">
        <v>0</v>
      </c>
      <c r="J144" s="5">
        <f t="shared" si="38"/>
        <v>1</v>
      </c>
      <c r="K144" s="7">
        <f t="shared" si="39"/>
        <v>17</v>
      </c>
    </row>
    <row r="145" spans="1:11" ht="14.85" customHeight="1" x14ac:dyDescent="0.25">
      <c r="A145" s="11" t="s">
        <v>193</v>
      </c>
      <c r="B145" s="6">
        <v>1</v>
      </c>
      <c r="C145" s="16">
        <v>0</v>
      </c>
      <c r="D145" s="5">
        <f t="shared" si="36"/>
        <v>1</v>
      </c>
      <c r="E145" s="6">
        <v>0</v>
      </c>
      <c r="F145" s="16">
        <v>0</v>
      </c>
      <c r="G145" s="5">
        <f t="shared" si="37"/>
        <v>0</v>
      </c>
      <c r="H145" s="6">
        <v>0</v>
      </c>
      <c r="I145" s="16">
        <v>0</v>
      </c>
      <c r="J145" s="5">
        <f t="shared" si="38"/>
        <v>0</v>
      </c>
      <c r="K145" s="7">
        <f t="shared" si="39"/>
        <v>1</v>
      </c>
    </row>
    <row r="146" spans="1:11" ht="14.85" customHeight="1" thickBot="1" x14ac:dyDescent="0.3">
      <c r="A146" s="11" t="s">
        <v>194</v>
      </c>
      <c r="B146" s="6">
        <v>0</v>
      </c>
      <c r="C146" s="16">
        <v>0</v>
      </c>
      <c r="D146" s="5">
        <f t="shared" si="36"/>
        <v>0</v>
      </c>
      <c r="E146" s="6">
        <v>1</v>
      </c>
      <c r="F146" s="16">
        <v>0</v>
      </c>
      <c r="G146" s="5">
        <f t="shared" si="37"/>
        <v>1</v>
      </c>
      <c r="H146" s="6">
        <v>0</v>
      </c>
      <c r="I146" s="16">
        <v>0</v>
      </c>
      <c r="J146" s="5">
        <f t="shared" si="38"/>
        <v>0</v>
      </c>
      <c r="K146" s="7">
        <f t="shared" si="39"/>
        <v>1</v>
      </c>
    </row>
    <row r="147" spans="1:11" ht="14.85" customHeight="1" thickTop="1" thickBot="1" x14ac:dyDescent="0.3">
      <c r="A147" s="12" t="s">
        <v>6</v>
      </c>
      <c r="B147" s="13">
        <f t="shared" ref="B147:I147" si="40">SUM(B136:B146)</f>
        <v>16</v>
      </c>
      <c r="C147" s="13">
        <f t="shared" si="40"/>
        <v>0</v>
      </c>
      <c r="D147" s="13">
        <f t="shared" si="40"/>
        <v>16</v>
      </c>
      <c r="E147" s="13">
        <f t="shared" si="40"/>
        <v>14</v>
      </c>
      <c r="F147" s="13">
        <f t="shared" si="40"/>
        <v>3</v>
      </c>
      <c r="G147" s="13">
        <f t="shared" si="40"/>
        <v>17</v>
      </c>
      <c r="H147" s="13">
        <f t="shared" si="40"/>
        <v>3</v>
      </c>
      <c r="I147" s="13">
        <f t="shared" si="40"/>
        <v>1</v>
      </c>
      <c r="J147" s="13">
        <f>SUM(J142:J146)</f>
        <v>4</v>
      </c>
      <c r="K147" s="13">
        <f t="shared" si="39"/>
        <v>37</v>
      </c>
    </row>
    <row r="148" spans="1:11" ht="15" customHeight="1" thickTop="1" thickBot="1" x14ac:dyDescent="0.3">
      <c r="A148" s="23" t="s">
        <v>195</v>
      </c>
      <c r="B148" s="24"/>
      <c r="C148" s="24"/>
      <c r="D148" s="24"/>
      <c r="E148" s="24"/>
      <c r="F148" s="24"/>
      <c r="G148" s="24"/>
      <c r="H148" s="24"/>
      <c r="I148" s="24"/>
      <c r="J148" s="24"/>
      <c r="K148" s="25"/>
    </row>
    <row r="149" spans="1:11" ht="15" customHeight="1" thickTop="1" x14ac:dyDescent="0.25">
      <c r="A149" s="11" t="s">
        <v>128</v>
      </c>
      <c r="B149" s="6">
        <v>3</v>
      </c>
      <c r="C149" s="16">
        <v>0</v>
      </c>
      <c r="D149" s="5">
        <f t="shared" ref="D149:D164" si="41">B149+C149</f>
        <v>3</v>
      </c>
      <c r="E149" s="6">
        <v>1</v>
      </c>
      <c r="F149" s="16">
        <v>0</v>
      </c>
      <c r="G149" s="5">
        <f t="shared" ref="G149:G164" si="42">E149+F149</f>
        <v>1</v>
      </c>
      <c r="H149" s="6">
        <v>4</v>
      </c>
      <c r="I149" s="16">
        <v>0</v>
      </c>
      <c r="J149" s="5">
        <f t="shared" ref="J149:J164" si="43">H149+I149</f>
        <v>4</v>
      </c>
      <c r="K149" s="7">
        <f t="shared" ref="K149:K164" si="44">G149+D149+J149</f>
        <v>8</v>
      </c>
    </row>
    <row r="150" spans="1:11" ht="15" customHeight="1" x14ac:dyDescent="0.25">
      <c r="A150" s="11" t="s">
        <v>130</v>
      </c>
      <c r="B150" s="6">
        <v>10</v>
      </c>
      <c r="C150" s="16">
        <v>0</v>
      </c>
      <c r="D150" s="5">
        <f t="shared" si="41"/>
        <v>10</v>
      </c>
      <c r="E150" s="6">
        <v>20</v>
      </c>
      <c r="F150" s="16">
        <v>2</v>
      </c>
      <c r="G150" s="5">
        <f t="shared" si="42"/>
        <v>22</v>
      </c>
      <c r="H150" s="6">
        <v>5</v>
      </c>
      <c r="I150" s="16">
        <v>0</v>
      </c>
      <c r="J150" s="5">
        <f t="shared" si="43"/>
        <v>5</v>
      </c>
      <c r="K150" s="7">
        <f t="shared" si="44"/>
        <v>37</v>
      </c>
    </row>
    <row r="151" spans="1:11" ht="15" customHeight="1" x14ac:dyDescent="0.25">
      <c r="A151" s="11" t="s">
        <v>131</v>
      </c>
      <c r="B151" s="6">
        <v>1</v>
      </c>
      <c r="C151" s="16">
        <v>0</v>
      </c>
      <c r="D151" s="5">
        <f t="shared" si="41"/>
        <v>1</v>
      </c>
      <c r="E151" s="6">
        <v>33</v>
      </c>
      <c r="F151" s="16">
        <v>0</v>
      </c>
      <c r="G151" s="5">
        <f t="shared" si="42"/>
        <v>33</v>
      </c>
      <c r="H151" s="6">
        <v>21</v>
      </c>
      <c r="I151" s="16">
        <v>0</v>
      </c>
      <c r="J151" s="5">
        <f t="shared" si="43"/>
        <v>21</v>
      </c>
      <c r="K151" s="7">
        <f t="shared" si="44"/>
        <v>55</v>
      </c>
    </row>
    <row r="152" spans="1:11" ht="15" customHeight="1" x14ac:dyDescent="0.25">
      <c r="A152" s="11" t="s">
        <v>132</v>
      </c>
      <c r="B152" s="6">
        <v>4</v>
      </c>
      <c r="C152" s="16">
        <v>0</v>
      </c>
      <c r="D152" s="5">
        <f t="shared" si="41"/>
        <v>4</v>
      </c>
      <c r="E152" s="6">
        <v>24</v>
      </c>
      <c r="F152" s="16">
        <v>0</v>
      </c>
      <c r="G152" s="5">
        <f t="shared" si="42"/>
        <v>24</v>
      </c>
      <c r="H152" s="6">
        <v>11</v>
      </c>
      <c r="I152" s="16">
        <v>0</v>
      </c>
      <c r="J152" s="5">
        <f t="shared" si="43"/>
        <v>11</v>
      </c>
      <c r="K152" s="7">
        <f t="shared" si="44"/>
        <v>39</v>
      </c>
    </row>
    <row r="153" spans="1:11" ht="15" customHeight="1" x14ac:dyDescent="0.25">
      <c r="A153" s="11" t="s">
        <v>196</v>
      </c>
      <c r="B153" s="6">
        <v>1</v>
      </c>
      <c r="C153" s="16">
        <v>0</v>
      </c>
      <c r="D153" s="5">
        <f t="shared" si="41"/>
        <v>1</v>
      </c>
      <c r="E153" s="6">
        <v>0</v>
      </c>
      <c r="F153" s="16">
        <v>0</v>
      </c>
      <c r="G153" s="5">
        <f t="shared" si="42"/>
        <v>0</v>
      </c>
      <c r="H153" s="6">
        <v>1</v>
      </c>
      <c r="I153" s="16">
        <v>0</v>
      </c>
      <c r="J153" s="5">
        <f t="shared" si="43"/>
        <v>1</v>
      </c>
      <c r="K153" s="7">
        <f t="shared" si="44"/>
        <v>2</v>
      </c>
    </row>
    <row r="154" spans="1:11" ht="15" customHeight="1" x14ac:dyDescent="0.25">
      <c r="A154" s="11" t="s">
        <v>197</v>
      </c>
      <c r="B154" s="6">
        <v>0</v>
      </c>
      <c r="C154" s="16">
        <v>0</v>
      </c>
      <c r="D154" s="5">
        <f t="shared" si="41"/>
        <v>0</v>
      </c>
      <c r="E154" s="6">
        <v>0</v>
      </c>
      <c r="F154" s="16">
        <v>0</v>
      </c>
      <c r="G154" s="5">
        <f t="shared" si="42"/>
        <v>0</v>
      </c>
      <c r="H154" s="6">
        <v>1</v>
      </c>
      <c r="I154" s="16">
        <v>0</v>
      </c>
      <c r="J154" s="5">
        <f t="shared" si="43"/>
        <v>1</v>
      </c>
      <c r="K154" s="7">
        <f t="shared" si="44"/>
        <v>1</v>
      </c>
    </row>
    <row r="155" spans="1:11" ht="15" customHeight="1" x14ac:dyDescent="0.25">
      <c r="A155" s="11" t="s">
        <v>198</v>
      </c>
      <c r="B155" s="6">
        <v>1</v>
      </c>
      <c r="C155" s="16">
        <v>0</v>
      </c>
      <c r="D155" s="5">
        <f t="shared" si="41"/>
        <v>1</v>
      </c>
      <c r="E155" s="6">
        <v>0</v>
      </c>
      <c r="F155" s="16">
        <v>0</v>
      </c>
      <c r="G155" s="5">
        <f t="shared" si="42"/>
        <v>0</v>
      </c>
      <c r="H155" s="6">
        <v>0</v>
      </c>
      <c r="I155" s="16">
        <v>0</v>
      </c>
      <c r="J155" s="5">
        <f t="shared" si="43"/>
        <v>0</v>
      </c>
      <c r="K155" s="7">
        <f t="shared" si="44"/>
        <v>1</v>
      </c>
    </row>
    <row r="156" spans="1:11" ht="15" customHeight="1" x14ac:dyDescent="0.25">
      <c r="A156" s="11" t="s">
        <v>133</v>
      </c>
      <c r="B156" s="6">
        <v>0</v>
      </c>
      <c r="C156" s="16">
        <v>0</v>
      </c>
      <c r="D156" s="5">
        <f t="shared" si="41"/>
        <v>0</v>
      </c>
      <c r="E156" s="6">
        <v>0</v>
      </c>
      <c r="F156" s="16">
        <v>0</v>
      </c>
      <c r="G156" s="5">
        <f t="shared" si="42"/>
        <v>0</v>
      </c>
      <c r="H156" s="6">
        <v>1</v>
      </c>
      <c r="I156" s="16">
        <v>0</v>
      </c>
      <c r="J156" s="5">
        <f t="shared" si="43"/>
        <v>1</v>
      </c>
      <c r="K156" s="7">
        <f t="shared" si="44"/>
        <v>1</v>
      </c>
    </row>
    <row r="157" spans="1:11" ht="15" customHeight="1" x14ac:dyDescent="0.25">
      <c r="A157" s="11" t="s">
        <v>134</v>
      </c>
      <c r="B157" s="6">
        <v>0</v>
      </c>
      <c r="C157" s="16">
        <v>0</v>
      </c>
      <c r="D157" s="5">
        <f t="shared" si="41"/>
        <v>0</v>
      </c>
      <c r="E157" s="6">
        <v>0</v>
      </c>
      <c r="F157" s="16">
        <v>0</v>
      </c>
      <c r="G157" s="5">
        <f t="shared" si="42"/>
        <v>0</v>
      </c>
      <c r="H157" s="6">
        <v>1</v>
      </c>
      <c r="I157" s="16">
        <v>0</v>
      </c>
      <c r="J157" s="5">
        <f t="shared" si="43"/>
        <v>1</v>
      </c>
      <c r="K157" s="7">
        <f t="shared" si="44"/>
        <v>1</v>
      </c>
    </row>
    <row r="158" spans="1:11" ht="15" customHeight="1" x14ac:dyDescent="0.25">
      <c r="A158" s="11" t="s">
        <v>199</v>
      </c>
      <c r="B158" s="6">
        <v>0</v>
      </c>
      <c r="C158" s="16">
        <v>0</v>
      </c>
      <c r="D158" s="5">
        <f t="shared" si="41"/>
        <v>0</v>
      </c>
      <c r="E158" s="6">
        <v>0</v>
      </c>
      <c r="F158" s="16">
        <v>0</v>
      </c>
      <c r="G158" s="5">
        <f t="shared" si="42"/>
        <v>0</v>
      </c>
      <c r="H158" s="6">
        <v>0</v>
      </c>
      <c r="I158" s="16">
        <v>1</v>
      </c>
      <c r="J158" s="5">
        <f t="shared" si="43"/>
        <v>1</v>
      </c>
      <c r="K158" s="7">
        <f t="shared" si="44"/>
        <v>1</v>
      </c>
    </row>
    <row r="159" spans="1:11" ht="15" customHeight="1" x14ac:dyDescent="0.25">
      <c r="A159" s="11" t="s">
        <v>135</v>
      </c>
      <c r="B159" s="6">
        <v>7</v>
      </c>
      <c r="C159" s="16">
        <v>0</v>
      </c>
      <c r="D159" s="5">
        <f t="shared" si="41"/>
        <v>7</v>
      </c>
      <c r="E159" s="6">
        <v>34</v>
      </c>
      <c r="F159" s="16">
        <v>0</v>
      </c>
      <c r="G159" s="5">
        <f t="shared" si="42"/>
        <v>34</v>
      </c>
      <c r="H159" s="6">
        <v>23</v>
      </c>
      <c r="I159" s="16">
        <v>0</v>
      </c>
      <c r="J159" s="5">
        <f t="shared" si="43"/>
        <v>23</v>
      </c>
      <c r="K159" s="7">
        <v>64</v>
      </c>
    </row>
    <row r="160" spans="1:11" ht="15" customHeight="1" x14ac:dyDescent="0.25">
      <c r="A160" s="11" t="s">
        <v>200</v>
      </c>
      <c r="B160" s="6">
        <v>0</v>
      </c>
      <c r="C160" s="16">
        <v>0</v>
      </c>
      <c r="D160" s="5">
        <f t="shared" si="41"/>
        <v>0</v>
      </c>
      <c r="E160" s="6">
        <v>1</v>
      </c>
      <c r="F160" s="16">
        <v>0</v>
      </c>
      <c r="G160" s="5">
        <f t="shared" si="42"/>
        <v>1</v>
      </c>
      <c r="H160" s="6">
        <v>0</v>
      </c>
      <c r="I160" s="16">
        <v>0</v>
      </c>
      <c r="J160" s="5">
        <f t="shared" si="43"/>
        <v>0</v>
      </c>
      <c r="K160" s="7">
        <f t="shared" si="44"/>
        <v>1</v>
      </c>
    </row>
    <row r="161" spans="1:11" ht="15" customHeight="1" x14ac:dyDescent="0.25">
      <c r="A161" s="11" t="s">
        <v>201</v>
      </c>
      <c r="B161" s="6">
        <v>0</v>
      </c>
      <c r="C161" s="16">
        <v>0</v>
      </c>
      <c r="D161" s="5">
        <f t="shared" si="41"/>
        <v>0</v>
      </c>
      <c r="E161" s="6">
        <v>2</v>
      </c>
      <c r="F161" s="16">
        <v>0</v>
      </c>
      <c r="G161" s="5">
        <f t="shared" si="42"/>
        <v>2</v>
      </c>
      <c r="H161" s="6">
        <v>1</v>
      </c>
      <c r="I161" s="16">
        <v>0</v>
      </c>
      <c r="J161" s="5">
        <f t="shared" si="43"/>
        <v>1</v>
      </c>
      <c r="K161" s="7">
        <f t="shared" si="44"/>
        <v>3</v>
      </c>
    </row>
    <row r="162" spans="1:11" ht="15" customHeight="1" x14ac:dyDescent="0.25">
      <c r="A162" s="11" t="s">
        <v>202</v>
      </c>
      <c r="B162" s="6">
        <v>1</v>
      </c>
      <c r="C162" s="16">
        <v>0</v>
      </c>
      <c r="D162" s="5">
        <f t="shared" si="41"/>
        <v>1</v>
      </c>
      <c r="E162" s="6">
        <v>0</v>
      </c>
      <c r="F162" s="16">
        <v>0</v>
      </c>
      <c r="G162" s="5">
        <f t="shared" si="42"/>
        <v>0</v>
      </c>
      <c r="H162" s="6">
        <v>0</v>
      </c>
      <c r="I162" s="16">
        <v>0</v>
      </c>
      <c r="J162" s="5">
        <f t="shared" si="43"/>
        <v>0</v>
      </c>
      <c r="K162" s="7">
        <f t="shared" si="44"/>
        <v>1</v>
      </c>
    </row>
    <row r="163" spans="1:11" ht="15" customHeight="1" x14ac:dyDescent="0.25">
      <c r="A163" s="11" t="s">
        <v>136</v>
      </c>
      <c r="B163" s="6">
        <v>4</v>
      </c>
      <c r="C163" s="16">
        <v>0</v>
      </c>
      <c r="D163" s="5">
        <f t="shared" si="41"/>
        <v>4</v>
      </c>
      <c r="E163" s="6">
        <v>9</v>
      </c>
      <c r="F163" s="16">
        <v>0</v>
      </c>
      <c r="G163" s="5">
        <f t="shared" si="42"/>
        <v>9</v>
      </c>
      <c r="H163" s="6">
        <v>3</v>
      </c>
      <c r="I163" s="16">
        <v>0</v>
      </c>
      <c r="J163" s="5">
        <f t="shared" si="43"/>
        <v>3</v>
      </c>
      <c r="K163" s="7">
        <f t="shared" si="44"/>
        <v>16</v>
      </c>
    </row>
    <row r="164" spans="1:11" ht="15" customHeight="1" thickBot="1" x14ac:dyDescent="0.3">
      <c r="A164" s="11" t="s">
        <v>203</v>
      </c>
      <c r="B164" s="6">
        <v>2</v>
      </c>
      <c r="C164" s="16">
        <v>0</v>
      </c>
      <c r="D164" s="5">
        <f t="shared" si="41"/>
        <v>2</v>
      </c>
      <c r="E164" s="6">
        <v>2</v>
      </c>
      <c r="F164" s="16">
        <v>1</v>
      </c>
      <c r="G164" s="5">
        <f t="shared" si="42"/>
        <v>3</v>
      </c>
      <c r="H164" s="6">
        <v>1</v>
      </c>
      <c r="I164" s="16">
        <v>0</v>
      </c>
      <c r="J164" s="5">
        <f t="shared" si="43"/>
        <v>1</v>
      </c>
      <c r="K164" s="7">
        <f t="shared" si="44"/>
        <v>6</v>
      </c>
    </row>
    <row r="165" spans="1:11" ht="15" customHeight="1" thickTop="1" thickBot="1" x14ac:dyDescent="0.3">
      <c r="A165" s="12" t="s">
        <v>6</v>
      </c>
      <c r="B165" s="14">
        <f>SUM(B149:B164)</f>
        <v>34</v>
      </c>
      <c r="C165" s="14">
        <f t="shared" ref="C165:I165" si="45">SUM(C149:C164)</f>
        <v>0</v>
      </c>
      <c r="D165" s="14">
        <f t="shared" si="45"/>
        <v>34</v>
      </c>
      <c r="E165" s="14">
        <f t="shared" si="45"/>
        <v>126</v>
      </c>
      <c r="F165" s="14">
        <f t="shared" si="45"/>
        <v>3</v>
      </c>
      <c r="G165" s="14">
        <f t="shared" si="45"/>
        <v>129</v>
      </c>
      <c r="H165" s="14">
        <f t="shared" si="45"/>
        <v>73</v>
      </c>
      <c r="I165" s="14">
        <f t="shared" si="45"/>
        <v>1</v>
      </c>
      <c r="J165" s="14">
        <f>SUM(J149:J164)</f>
        <v>74</v>
      </c>
      <c r="K165" s="15">
        <f>SUM(K149:K164)</f>
        <v>237</v>
      </c>
    </row>
    <row r="166" spans="1:11" ht="15" customHeight="1" thickTop="1" thickBot="1" x14ac:dyDescent="0.3">
      <c r="A166" s="23" t="s">
        <v>138</v>
      </c>
      <c r="B166" s="24"/>
      <c r="C166" s="24"/>
      <c r="D166" s="24"/>
      <c r="E166" s="24"/>
      <c r="F166" s="24"/>
      <c r="G166" s="24"/>
      <c r="H166" s="24"/>
      <c r="I166" s="24"/>
      <c r="J166" s="24"/>
      <c r="K166" s="25"/>
    </row>
    <row r="167" spans="1:11" ht="15" customHeight="1" thickTop="1" x14ac:dyDescent="0.25">
      <c r="A167" s="11" t="s">
        <v>139</v>
      </c>
      <c r="B167" s="6">
        <v>22</v>
      </c>
      <c r="C167" s="16">
        <v>0</v>
      </c>
      <c r="D167" s="5">
        <f t="shared" ref="D167:D170" si="46">B167+C167</f>
        <v>22</v>
      </c>
      <c r="E167" s="6">
        <v>22</v>
      </c>
      <c r="F167" s="16">
        <v>16</v>
      </c>
      <c r="G167" s="5">
        <f t="shared" ref="G167:G170" si="47">E167+F167</f>
        <v>38</v>
      </c>
      <c r="H167" s="6">
        <v>7</v>
      </c>
      <c r="I167" s="16">
        <v>1</v>
      </c>
      <c r="J167" s="5">
        <f t="shared" ref="J167:J170" si="48">H167+I167</f>
        <v>8</v>
      </c>
      <c r="K167" s="7">
        <f t="shared" ref="K167:K171" si="49">G167+D167+J167</f>
        <v>68</v>
      </c>
    </row>
    <row r="168" spans="1:11" ht="15" customHeight="1" x14ac:dyDescent="0.25">
      <c r="A168" s="11" t="s">
        <v>204</v>
      </c>
      <c r="B168" s="6">
        <v>0</v>
      </c>
      <c r="C168" s="16">
        <v>0</v>
      </c>
      <c r="D168" s="5">
        <f t="shared" si="46"/>
        <v>0</v>
      </c>
      <c r="E168" s="6">
        <v>1</v>
      </c>
      <c r="F168" s="16">
        <v>0</v>
      </c>
      <c r="G168" s="5">
        <f t="shared" si="47"/>
        <v>1</v>
      </c>
      <c r="H168" s="6">
        <v>0</v>
      </c>
      <c r="I168" s="16">
        <v>0</v>
      </c>
      <c r="J168" s="5">
        <f t="shared" si="48"/>
        <v>0</v>
      </c>
      <c r="K168" s="7">
        <f t="shared" si="49"/>
        <v>1</v>
      </c>
    </row>
    <row r="169" spans="1:11" ht="15" customHeight="1" x14ac:dyDescent="0.25">
      <c r="A169" s="11" t="s">
        <v>141</v>
      </c>
      <c r="B169" s="6">
        <v>10</v>
      </c>
      <c r="C169" s="16">
        <v>0</v>
      </c>
      <c r="D169" s="5">
        <f t="shared" si="46"/>
        <v>10</v>
      </c>
      <c r="E169" s="6">
        <v>3</v>
      </c>
      <c r="F169" s="16">
        <v>3</v>
      </c>
      <c r="G169" s="5">
        <f t="shared" si="47"/>
        <v>6</v>
      </c>
      <c r="H169" s="6">
        <v>1</v>
      </c>
      <c r="I169" s="16">
        <v>0</v>
      </c>
      <c r="J169" s="5">
        <f t="shared" si="48"/>
        <v>1</v>
      </c>
      <c r="K169" s="7">
        <f t="shared" si="49"/>
        <v>17</v>
      </c>
    </row>
    <row r="170" spans="1:11" ht="15" customHeight="1" thickBot="1" x14ac:dyDescent="0.3">
      <c r="A170" s="11" t="s">
        <v>78</v>
      </c>
      <c r="B170" s="6">
        <v>0</v>
      </c>
      <c r="C170" s="16">
        <v>0</v>
      </c>
      <c r="D170" s="5">
        <f t="shared" si="46"/>
        <v>0</v>
      </c>
      <c r="E170" s="6">
        <v>2</v>
      </c>
      <c r="F170" s="16">
        <v>0</v>
      </c>
      <c r="G170" s="5">
        <f t="shared" si="47"/>
        <v>2</v>
      </c>
      <c r="H170" s="6">
        <v>0</v>
      </c>
      <c r="I170" s="16">
        <v>0</v>
      </c>
      <c r="J170" s="5">
        <f t="shared" si="48"/>
        <v>0</v>
      </c>
      <c r="K170" s="7">
        <f t="shared" si="49"/>
        <v>2</v>
      </c>
    </row>
    <row r="171" spans="1:11" ht="15" customHeight="1" thickTop="1" thickBot="1" x14ac:dyDescent="0.3">
      <c r="A171" s="12" t="s">
        <v>6</v>
      </c>
      <c r="B171" s="13">
        <f t="shared" ref="B171:J171" si="50">SUM(B167:B170)</f>
        <v>32</v>
      </c>
      <c r="C171" s="13">
        <f t="shared" si="50"/>
        <v>0</v>
      </c>
      <c r="D171" s="13">
        <f t="shared" si="50"/>
        <v>32</v>
      </c>
      <c r="E171" s="13">
        <f t="shared" si="50"/>
        <v>28</v>
      </c>
      <c r="F171" s="13">
        <f t="shared" si="50"/>
        <v>19</v>
      </c>
      <c r="G171" s="13">
        <f t="shared" si="50"/>
        <v>47</v>
      </c>
      <c r="H171" s="13">
        <f t="shared" si="50"/>
        <v>8</v>
      </c>
      <c r="I171" s="13">
        <f t="shared" si="50"/>
        <v>1</v>
      </c>
      <c r="J171" s="13">
        <f t="shared" si="50"/>
        <v>9</v>
      </c>
      <c r="K171" s="15">
        <f t="shared" si="49"/>
        <v>88</v>
      </c>
    </row>
    <row r="172" spans="1:11" ht="15" customHeight="1" thickTop="1" thickBot="1" x14ac:dyDescent="0.3">
      <c r="A172" s="23" t="s">
        <v>146</v>
      </c>
      <c r="B172" s="24"/>
      <c r="C172" s="24"/>
      <c r="D172" s="24"/>
      <c r="E172" s="24"/>
      <c r="F172" s="24"/>
      <c r="G172" s="24"/>
      <c r="H172" s="24"/>
      <c r="I172" s="24"/>
      <c r="J172" s="24"/>
      <c r="K172" s="25"/>
    </row>
    <row r="173" spans="1:11" ht="15" customHeight="1" thickTop="1" x14ac:dyDescent="0.25">
      <c r="A173" s="11" t="s">
        <v>206</v>
      </c>
      <c r="B173" s="6">
        <v>2</v>
      </c>
      <c r="C173" s="16">
        <v>0</v>
      </c>
      <c r="D173" s="5">
        <f t="shared" ref="D173:D174" si="51">B173+C173</f>
        <v>2</v>
      </c>
      <c r="E173" s="6">
        <v>0</v>
      </c>
      <c r="F173" s="16">
        <v>0</v>
      </c>
      <c r="G173" s="5">
        <v>0</v>
      </c>
      <c r="H173" s="6">
        <v>0</v>
      </c>
      <c r="I173" s="16">
        <v>0</v>
      </c>
      <c r="J173" s="5">
        <f t="shared" ref="J173:J174" si="52">H173+I173</f>
        <v>0</v>
      </c>
      <c r="K173" s="7">
        <f t="shared" ref="K173:K174" si="53">G173+D173+J173</f>
        <v>2</v>
      </c>
    </row>
    <row r="174" spans="1:11" ht="15" customHeight="1" thickBot="1" x14ac:dyDescent="0.3">
      <c r="A174" s="11" t="s">
        <v>205</v>
      </c>
      <c r="B174" s="6">
        <v>1</v>
      </c>
      <c r="C174" s="16">
        <v>0</v>
      </c>
      <c r="D174" s="5">
        <f t="shared" si="51"/>
        <v>1</v>
      </c>
      <c r="E174" s="6">
        <v>0</v>
      </c>
      <c r="F174" s="16">
        <v>0</v>
      </c>
      <c r="G174" s="5">
        <f t="shared" ref="G174" si="54">E174+F174</f>
        <v>0</v>
      </c>
      <c r="H174" s="6">
        <v>0</v>
      </c>
      <c r="I174" s="16">
        <v>0</v>
      </c>
      <c r="J174" s="5">
        <f t="shared" si="52"/>
        <v>0</v>
      </c>
      <c r="K174" s="7">
        <f t="shared" si="53"/>
        <v>1</v>
      </c>
    </row>
    <row r="175" spans="1:11" ht="16.5" thickTop="1" thickBot="1" x14ac:dyDescent="0.3">
      <c r="A175" s="12" t="s">
        <v>6</v>
      </c>
      <c r="B175" s="13">
        <f>SUM(B173:B174)</f>
        <v>3</v>
      </c>
      <c r="C175" s="13">
        <f t="shared" ref="C175:K175" si="55">SUM(C173:C174)</f>
        <v>0</v>
      </c>
      <c r="D175" s="13">
        <f t="shared" si="55"/>
        <v>3</v>
      </c>
      <c r="E175" s="13">
        <f t="shared" si="55"/>
        <v>0</v>
      </c>
      <c r="F175" s="13">
        <f t="shared" si="55"/>
        <v>0</v>
      </c>
      <c r="G175" s="13">
        <f t="shared" si="55"/>
        <v>0</v>
      </c>
      <c r="H175" s="13">
        <f t="shared" si="55"/>
        <v>0</v>
      </c>
      <c r="I175" s="13">
        <f t="shared" si="55"/>
        <v>0</v>
      </c>
      <c r="J175" s="13">
        <f t="shared" si="55"/>
        <v>0</v>
      </c>
      <c r="K175" s="13">
        <f t="shared" si="55"/>
        <v>3</v>
      </c>
    </row>
    <row r="176" spans="1:11" ht="16.5" thickTop="1" thickBot="1" x14ac:dyDescent="0.3">
      <c r="A176" s="17"/>
      <c r="B176" s="18"/>
      <c r="C176" s="18"/>
      <c r="D176" s="18"/>
      <c r="E176" s="18"/>
      <c r="F176" s="18"/>
      <c r="G176" s="18"/>
      <c r="H176" s="18"/>
      <c r="I176" s="18"/>
      <c r="J176" s="18"/>
      <c r="K176" s="19"/>
    </row>
    <row r="177" spans="1:11" ht="15" customHeight="1" thickTop="1" thickBot="1" x14ac:dyDescent="0.3">
      <c r="A177" s="12" t="s">
        <v>0</v>
      </c>
      <c r="B177" s="13">
        <f>B35+B58+B73+B98+B130+B134+B147+B165+B171+B175</f>
        <v>5132</v>
      </c>
      <c r="C177" s="13">
        <f t="shared" ref="C177:K177" si="56">C35+C58+C73+C98+C130+C134+C147+C165+C171+C175</f>
        <v>78</v>
      </c>
      <c r="D177" s="13">
        <f t="shared" si="56"/>
        <v>5210</v>
      </c>
      <c r="E177" s="13">
        <f t="shared" si="56"/>
        <v>2934</v>
      </c>
      <c r="F177" s="13">
        <f t="shared" si="56"/>
        <v>247</v>
      </c>
      <c r="G177" s="13">
        <f t="shared" si="56"/>
        <v>3181</v>
      </c>
      <c r="H177" s="13">
        <f t="shared" si="56"/>
        <v>1330</v>
      </c>
      <c r="I177" s="13">
        <f t="shared" si="56"/>
        <v>187</v>
      </c>
      <c r="J177" s="13">
        <f t="shared" si="56"/>
        <v>1517</v>
      </c>
      <c r="K177" s="13">
        <f t="shared" si="56"/>
        <v>9908</v>
      </c>
    </row>
    <row r="178" spans="1:11" ht="15" customHeight="1" thickTop="1" x14ac:dyDescent="0.25"/>
    <row r="179" spans="1:11" ht="15" customHeight="1" x14ac:dyDescent="0.25">
      <c r="A179" s="28" t="s">
        <v>147</v>
      </c>
      <c r="B179" s="28"/>
      <c r="C179" s="28"/>
      <c r="D179" s="28"/>
      <c r="E179" s="28"/>
      <c r="F179" s="28"/>
      <c r="G179" s="28"/>
      <c r="H179" s="28"/>
    </row>
  </sheetData>
  <mergeCells count="16">
    <mergeCell ref="A2:K2"/>
    <mergeCell ref="B5:D5"/>
    <mergeCell ref="E5:G5"/>
    <mergeCell ref="A7:K7"/>
    <mergeCell ref="A36:K36"/>
    <mergeCell ref="H5:J6"/>
    <mergeCell ref="A172:K172"/>
    <mergeCell ref="A179:H179"/>
    <mergeCell ref="A5:A6"/>
    <mergeCell ref="A74:K74"/>
    <mergeCell ref="A99:K99"/>
    <mergeCell ref="A131:K131"/>
    <mergeCell ref="A135:K135"/>
    <mergeCell ref="A148:K148"/>
    <mergeCell ref="A166:K166"/>
    <mergeCell ref="A59:K59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6"/>
  <sheetViews>
    <sheetView view="pageLayout" topLeftCell="A159" zoomScaleNormal="85" workbookViewId="0">
      <selection activeCell="A168" sqref="A168:H169"/>
    </sheetView>
  </sheetViews>
  <sheetFormatPr defaultRowHeight="15" customHeight="1" x14ac:dyDescent="0.25"/>
  <cols>
    <col min="1" max="1" width="18.85546875" bestFit="1" customWidth="1"/>
    <col min="2" max="8" width="6" customWidth="1"/>
    <col min="9" max="11" width="5.5703125" customWidth="1"/>
  </cols>
  <sheetData>
    <row r="1" spans="1:9" ht="15" customHeight="1" x14ac:dyDescent="0.25">
      <c r="A1" s="1" t="s">
        <v>7</v>
      </c>
      <c r="B1" s="3"/>
    </row>
    <row r="2" spans="1:9" ht="15" customHeight="1" x14ac:dyDescent="0.25">
      <c r="A2" s="31" t="s">
        <v>8</v>
      </c>
      <c r="B2" s="31"/>
      <c r="C2" s="31"/>
      <c r="D2" s="31"/>
      <c r="E2" s="31"/>
      <c r="F2" s="31"/>
      <c r="G2" s="31"/>
      <c r="H2" s="31"/>
    </row>
    <row r="3" spans="1:9" ht="15" customHeight="1" x14ac:dyDescent="0.25">
      <c r="A3" s="2" t="str">
        <f ca="1">RIGHT(CELL("filename",A1),LEN(CELL("filename",A1))-FIND("]",CELL("filename",A1)))</f>
        <v>2010-11</v>
      </c>
      <c r="B3" s="3"/>
    </row>
    <row r="4" spans="1:9" ht="15" customHeight="1" thickBot="1" x14ac:dyDescent="0.3">
      <c r="A4" s="3"/>
      <c r="B4" s="3"/>
    </row>
    <row r="5" spans="1:9" ht="15" customHeight="1" x14ac:dyDescent="0.25">
      <c r="A5" s="39" t="s">
        <v>3</v>
      </c>
      <c r="B5" s="26" t="s">
        <v>1</v>
      </c>
      <c r="C5" s="27"/>
      <c r="D5" s="27"/>
      <c r="E5" s="26" t="s">
        <v>2</v>
      </c>
      <c r="F5" s="27"/>
      <c r="G5" s="27"/>
      <c r="H5" s="62" t="s">
        <v>0</v>
      </c>
    </row>
    <row r="6" spans="1:9" ht="15" customHeight="1" x14ac:dyDescent="0.25">
      <c r="A6" s="40"/>
      <c r="B6" s="52" t="s">
        <v>4</v>
      </c>
      <c r="C6" s="53" t="s">
        <v>5</v>
      </c>
      <c r="D6" s="54" t="s">
        <v>0</v>
      </c>
      <c r="E6" s="52" t="s">
        <v>4</v>
      </c>
      <c r="F6" s="53" t="s">
        <v>5</v>
      </c>
      <c r="G6" s="54" t="s">
        <v>0</v>
      </c>
      <c r="H6" s="63"/>
      <c r="I6" s="22"/>
    </row>
    <row r="7" spans="1:9" ht="15" customHeight="1" thickBot="1" x14ac:dyDescent="0.3">
      <c r="A7" s="32" t="s">
        <v>9</v>
      </c>
      <c r="B7" s="33"/>
      <c r="C7" s="33"/>
      <c r="D7" s="33"/>
      <c r="E7" s="33"/>
      <c r="F7" s="33"/>
      <c r="G7" s="33"/>
      <c r="H7" s="34"/>
    </row>
    <row r="8" spans="1:9" ht="15" customHeight="1" thickTop="1" x14ac:dyDescent="0.25">
      <c r="A8" s="11" t="s">
        <v>10</v>
      </c>
      <c r="B8" s="6">
        <v>40</v>
      </c>
      <c r="C8" s="4">
        <v>0</v>
      </c>
      <c r="D8" s="5">
        <f t="shared" ref="D8:D34" si="0">B8+C8</f>
        <v>40</v>
      </c>
      <c r="E8" s="6">
        <v>26</v>
      </c>
      <c r="F8" s="4">
        <v>5</v>
      </c>
      <c r="G8" s="5">
        <f t="shared" ref="G8:G34" si="1">E8+F8</f>
        <v>31</v>
      </c>
      <c r="H8" s="7">
        <f t="shared" ref="H8:H34" si="2">G8+D8</f>
        <v>71</v>
      </c>
    </row>
    <row r="9" spans="1:9" ht="15" customHeight="1" x14ac:dyDescent="0.25">
      <c r="A9" s="11" t="s">
        <v>11</v>
      </c>
      <c r="B9" s="6">
        <v>67</v>
      </c>
      <c r="C9" s="4">
        <v>0</v>
      </c>
      <c r="D9" s="5">
        <f t="shared" si="0"/>
        <v>67</v>
      </c>
      <c r="E9" s="6">
        <v>42</v>
      </c>
      <c r="F9" s="4">
        <v>4</v>
      </c>
      <c r="G9" s="5">
        <f t="shared" si="1"/>
        <v>46</v>
      </c>
      <c r="H9" s="7">
        <f t="shared" si="2"/>
        <v>113</v>
      </c>
    </row>
    <row r="10" spans="1:9" ht="15" customHeight="1" x14ac:dyDescent="0.25">
      <c r="A10" s="11" t="s">
        <v>28</v>
      </c>
      <c r="B10" s="6">
        <v>14</v>
      </c>
      <c r="C10" s="4">
        <v>0</v>
      </c>
      <c r="D10" s="5">
        <f t="shared" si="0"/>
        <v>14</v>
      </c>
      <c r="E10" s="6">
        <v>27</v>
      </c>
      <c r="F10" s="4">
        <v>5</v>
      </c>
      <c r="G10" s="5">
        <f t="shared" si="1"/>
        <v>32</v>
      </c>
      <c r="H10" s="7">
        <f t="shared" si="2"/>
        <v>46</v>
      </c>
    </row>
    <row r="11" spans="1:9" ht="15" customHeight="1" x14ac:dyDescent="0.25">
      <c r="A11" s="11" t="s">
        <v>30</v>
      </c>
      <c r="B11" s="6">
        <v>132</v>
      </c>
      <c r="C11" s="4">
        <v>1</v>
      </c>
      <c r="D11" s="5">
        <f t="shared" si="0"/>
        <v>133</v>
      </c>
      <c r="E11" s="6">
        <v>105</v>
      </c>
      <c r="F11" s="4">
        <v>9</v>
      </c>
      <c r="G11" s="5">
        <f t="shared" si="1"/>
        <v>114</v>
      </c>
      <c r="H11" s="7">
        <f t="shared" si="2"/>
        <v>247</v>
      </c>
    </row>
    <row r="12" spans="1:9" ht="15" customHeight="1" x14ac:dyDescent="0.25">
      <c r="A12" s="11" t="s">
        <v>31</v>
      </c>
      <c r="B12" s="6">
        <v>21</v>
      </c>
      <c r="C12" s="4">
        <v>0</v>
      </c>
      <c r="D12" s="5">
        <f t="shared" si="0"/>
        <v>21</v>
      </c>
      <c r="E12" s="6">
        <v>17</v>
      </c>
      <c r="F12" s="4">
        <v>1</v>
      </c>
      <c r="G12" s="5">
        <f t="shared" si="1"/>
        <v>18</v>
      </c>
      <c r="H12" s="7">
        <f t="shared" si="2"/>
        <v>39</v>
      </c>
    </row>
    <row r="13" spans="1:9" ht="15" customHeight="1" x14ac:dyDescent="0.25">
      <c r="A13" s="11" t="s">
        <v>12</v>
      </c>
      <c r="B13" s="6">
        <v>12</v>
      </c>
      <c r="C13" s="4">
        <v>0</v>
      </c>
      <c r="D13" s="5">
        <f t="shared" si="0"/>
        <v>12</v>
      </c>
      <c r="E13" s="6">
        <v>22</v>
      </c>
      <c r="F13" s="4">
        <v>3</v>
      </c>
      <c r="G13" s="5">
        <f t="shared" si="1"/>
        <v>25</v>
      </c>
      <c r="H13" s="7">
        <f t="shared" si="2"/>
        <v>37</v>
      </c>
    </row>
    <row r="14" spans="1:9" ht="15" customHeight="1" x14ac:dyDescent="0.25">
      <c r="A14" s="11" t="s">
        <v>13</v>
      </c>
      <c r="B14" s="6">
        <v>17</v>
      </c>
      <c r="C14" s="4">
        <v>1</v>
      </c>
      <c r="D14" s="5">
        <f t="shared" si="0"/>
        <v>18</v>
      </c>
      <c r="E14" s="6">
        <v>114</v>
      </c>
      <c r="F14" s="4">
        <v>38</v>
      </c>
      <c r="G14" s="5">
        <f t="shared" si="1"/>
        <v>152</v>
      </c>
      <c r="H14" s="7">
        <f t="shared" si="2"/>
        <v>170</v>
      </c>
    </row>
    <row r="15" spans="1:9" ht="15" customHeight="1" x14ac:dyDescent="0.25">
      <c r="A15" s="11" t="s">
        <v>33</v>
      </c>
      <c r="B15" s="6">
        <v>7</v>
      </c>
      <c r="C15" s="4">
        <v>0</v>
      </c>
      <c r="D15" s="5">
        <f t="shared" si="0"/>
        <v>7</v>
      </c>
      <c r="E15" s="6">
        <v>7</v>
      </c>
      <c r="F15" s="4">
        <v>2</v>
      </c>
      <c r="G15" s="5">
        <f t="shared" si="1"/>
        <v>9</v>
      </c>
      <c r="H15" s="7">
        <f t="shared" si="2"/>
        <v>16</v>
      </c>
    </row>
    <row r="16" spans="1:9" ht="15" customHeight="1" x14ac:dyDescent="0.25">
      <c r="A16" s="11" t="s">
        <v>14</v>
      </c>
      <c r="B16" s="6">
        <v>21</v>
      </c>
      <c r="C16" s="4">
        <v>0</v>
      </c>
      <c r="D16" s="5">
        <f t="shared" si="0"/>
        <v>21</v>
      </c>
      <c r="E16" s="6">
        <v>20</v>
      </c>
      <c r="F16" s="4">
        <v>1</v>
      </c>
      <c r="G16" s="5">
        <f t="shared" si="1"/>
        <v>21</v>
      </c>
      <c r="H16" s="7">
        <f t="shared" si="2"/>
        <v>42</v>
      </c>
    </row>
    <row r="17" spans="1:8" ht="15" customHeight="1" x14ac:dyDescent="0.25">
      <c r="A17" s="11" t="s">
        <v>15</v>
      </c>
      <c r="B17" s="6">
        <v>220</v>
      </c>
      <c r="C17" s="4">
        <v>3</v>
      </c>
      <c r="D17" s="5">
        <f t="shared" si="0"/>
        <v>223</v>
      </c>
      <c r="E17" s="6">
        <v>117</v>
      </c>
      <c r="F17" s="4">
        <v>11</v>
      </c>
      <c r="G17" s="5">
        <f t="shared" si="1"/>
        <v>128</v>
      </c>
      <c r="H17" s="7">
        <f t="shared" si="2"/>
        <v>351</v>
      </c>
    </row>
    <row r="18" spans="1:8" ht="15" customHeight="1" x14ac:dyDescent="0.25">
      <c r="A18" s="11" t="s">
        <v>16</v>
      </c>
      <c r="B18" s="6">
        <v>203</v>
      </c>
      <c r="C18" s="4">
        <v>1</v>
      </c>
      <c r="D18" s="5">
        <f t="shared" si="0"/>
        <v>204</v>
      </c>
      <c r="E18" s="6">
        <v>204</v>
      </c>
      <c r="F18" s="4">
        <v>27</v>
      </c>
      <c r="G18" s="5">
        <f t="shared" si="1"/>
        <v>231</v>
      </c>
      <c r="H18" s="7">
        <f t="shared" si="2"/>
        <v>435</v>
      </c>
    </row>
    <row r="19" spans="1:8" ht="15" customHeight="1" x14ac:dyDescent="0.25">
      <c r="A19" s="11" t="s">
        <v>160</v>
      </c>
      <c r="B19" s="6">
        <v>1</v>
      </c>
      <c r="C19" s="4">
        <v>0</v>
      </c>
      <c r="D19" s="5">
        <f t="shared" si="0"/>
        <v>1</v>
      </c>
      <c r="E19" s="6">
        <v>0</v>
      </c>
      <c r="F19" s="4">
        <v>0</v>
      </c>
      <c r="G19" s="5">
        <f t="shared" si="1"/>
        <v>0</v>
      </c>
      <c r="H19" s="7">
        <f t="shared" si="2"/>
        <v>1</v>
      </c>
    </row>
    <row r="20" spans="1:8" ht="15" customHeight="1" x14ac:dyDescent="0.25">
      <c r="A20" s="11" t="s">
        <v>17</v>
      </c>
      <c r="B20" s="6">
        <v>58</v>
      </c>
      <c r="C20" s="4">
        <v>2</v>
      </c>
      <c r="D20" s="5">
        <f t="shared" si="0"/>
        <v>60</v>
      </c>
      <c r="E20" s="6">
        <v>242</v>
      </c>
      <c r="F20" s="4">
        <v>37</v>
      </c>
      <c r="G20" s="5">
        <f t="shared" si="1"/>
        <v>279</v>
      </c>
      <c r="H20" s="7">
        <f t="shared" si="2"/>
        <v>339</v>
      </c>
    </row>
    <row r="21" spans="1:8" ht="15" customHeight="1" x14ac:dyDescent="0.25">
      <c r="A21" s="11" t="s">
        <v>34</v>
      </c>
      <c r="B21" s="6">
        <v>13</v>
      </c>
      <c r="C21" s="4">
        <v>0</v>
      </c>
      <c r="D21" s="5">
        <f t="shared" si="0"/>
        <v>13</v>
      </c>
      <c r="E21" s="6">
        <v>12</v>
      </c>
      <c r="F21" s="4">
        <v>7</v>
      </c>
      <c r="G21" s="5">
        <f t="shared" si="1"/>
        <v>19</v>
      </c>
      <c r="H21" s="7">
        <f t="shared" si="2"/>
        <v>32</v>
      </c>
    </row>
    <row r="22" spans="1:8" ht="15" customHeight="1" x14ac:dyDescent="0.25">
      <c r="A22" s="11" t="s">
        <v>18</v>
      </c>
      <c r="B22" s="6">
        <v>161</v>
      </c>
      <c r="C22" s="4">
        <v>0</v>
      </c>
      <c r="D22" s="5">
        <f t="shared" si="0"/>
        <v>161</v>
      </c>
      <c r="E22" s="6">
        <v>212</v>
      </c>
      <c r="F22" s="4">
        <v>18</v>
      </c>
      <c r="G22" s="5">
        <f t="shared" si="1"/>
        <v>230</v>
      </c>
      <c r="H22" s="7">
        <f t="shared" si="2"/>
        <v>391</v>
      </c>
    </row>
    <row r="23" spans="1:8" ht="15" customHeight="1" x14ac:dyDescent="0.25">
      <c r="A23" s="11" t="s">
        <v>36</v>
      </c>
      <c r="B23" s="6">
        <v>5</v>
      </c>
      <c r="C23" s="4">
        <v>0</v>
      </c>
      <c r="D23" s="5">
        <f t="shared" si="0"/>
        <v>5</v>
      </c>
      <c r="E23" s="6">
        <v>4</v>
      </c>
      <c r="F23" s="4">
        <v>1</v>
      </c>
      <c r="G23" s="5">
        <f t="shared" si="1"/>
        <v>5</v>
      </c>
      <c r="H23" s="7">
        <f t="shared" si="2"/>
        <v>10</v>
      </c>
    </row>
    <row r="24" spans="1:8" ht="15" customHeight="1" x14ac:dyDescent="0.25">
      <c r="A24" s="11" t="s">
        <v>149</v>
      </c>
      <c r="B24" s="6">
        <v>23</v>
      </c>
      <c r="C24" s="4">
        <v>0</v>
      </c>
      <c r="D24" s="5">
        <f t="shared" si="0"/>
        <v>23</v>
      </c>
      <c r="E24" s="6">
        <v>18</v>
      </c>
      <c r="F24" s="4">
        <v>1</v>
      </c>
      <c r="G24" s="5">
        <f t="shared" si="1"/>
        <v>19</v>
      </c>
      <c r="H24" s="7">
        <f t="shared" si="2"/>
        <v>42</v>
      </c>
    </row>
    <row r="25" spans="1:8" ht="15" customHeight="1" x14ac:dyDescent="0.25">
      <c r="A25" s="11" t="s">
        <v>19</v>
      </c>
      <c r="B25" s="6">
        <v>14</v>
      </c>
      <c r="C25" s="4">
        <v>0</v>
      </c>
      <c r="D25" s="5">
        <f t="shared" si="0"/>
        <v>14</v>
      </c>
      <c r="E25" s="6">
        <v>9</v>
      </c>
      <c r="F25" s="4">
        <v>0</v>
      </c>
      <c r="G25" s="5">
        <f t="shared" si="1"/>
        <v>9</v>
      </c>
      <c r="H25" s="7">
        <f t="shared" si="2"/>
        <v>23</v>
      </c>
    </row>
    <row r="26" spans="1:8" ht="15" customHeight="1" x14ac:dyDescent="0.25">
      <c r="A26" s="11" t="s">
        <v>38</v>
      </c>
      <c r="B26" s="6">
        <v>3</v>
      </c>
      <c r="C26" s="4">
        <v>1</v>
      </c>
      <c r="D26" s="5">
        <f t="shared" si="0"/>
        <v>4</v>
      </c>
      <c r="E26" s="6">
        <v>15</v>
      </c>
      <c r="F26" s="4">
        <v>13</v>
      </c>
      <c r="G26" s="5">
        <f t="shared" si="1"/>
        <v>28</v>
      </c>
      <c r="H26" s="7">
        <f t="shared" si="2"/>
        <v>32</v>
      </c>
    </row>
    <row r="27" spans="1:8" ht="15" customHeight="1" x14ac:dyDescent="0.25">
      <c r="A27" s="11" t="s">
        <v>20</v>
      </c>
      <c r="B27" s="6">
        <v>41</v>
      </c>
      <c r="C27" s="4">
        <v>1</v>
      </c>
      <c r="D27" s="5">
        <f t="shared" si="0"/>
        <v>42</v>
      </c>
      <c r="E27" s="6">
        <v>70</v>
      </c>
      <c r="F27" s="4">
        <v>8</v>
      </c>
      <c r="G27" s="5">
        <f t="shared" si="1"/>
        <v>78</v>
      </c>
      <c r="H27" s="7">
        <f t="shared" si="2"/>
        <v>120</v>
      </c>
    </row>
    <row r="28" spans="1:8" ht="15" customHeight="1" x14ac:dyDescent="0.25">
      <c r="A28" s="11" t="s">
        <v>40</v>
      </c>
      <c r="B28" s="6">
        <v>147</v>
      </c>
      <c r="C28" s="4">
        <v>0</v>
      </c>
      <c r="D28" s="5">
        <f t="shared" si="0"/>
        <v>147</v>
      </c>
      <c r="E28" s="6">
        <v>69</v>
      </c>
      <c r="F28" s="4">
        <v>9</v>
      </c>
      <c r="G28" s="5">
        <f>E28+F28</f>
        <v>78</v>
      </c>
      <c r="H28" s="7">
        <f>G28+D28</f>
        <v>225</v>
      </c>
    </row>
    <row r="29" spans="1:8" ht="15" customHeight="1" x14ac:dyDescent="0.25">
      <c r="A29" s="11" t="s">
        <v>21</v>
      </c>
      <c r="B29" s="6">
        <v>18</v>
      </c>
      <c r="C29" s="4">
        <v>1</v>
      </c>
      <c r="D29" s="5">
        <f t="shared" si="0"/>
        <v>19</v>
      </c>
      <c r="E29" s="6">
        <v>49</v>
      </c>
      <c r="F29" s="4">
        <v>8</v>
      </c>
      <c r="G29" s="5">
        <f t="shared" ref="G29:G31" si="3">E29+F29</f>
        <v>57</v>
      </c>
      <c r="H29" s="7">
        <f t="shared" ref="H29:H31" si="4">G29+D29</f>
        <v>76</v>
      </c>
    </row>
    <row r="30" spans="1:8" ht="15" customHeight="1" x14ac:dyDescent="0.25">
      <c r="A30" s="11" t="s">
        <v>41</v>
      </c>
      <c r="B30" s="6">
        <v>68</v>
      </c>
      <c r="C30" s="4">
        <v>3</v>
      </c>
      <c r="D30" s="5">
        <f t="shared" si="0"/>
        <v>71</v>
      </c>
      <c r="E30" s="6">
        <v>38</v>
      </c>
      <c r="F30" s="4">
        <v>3</v>
      </c>
      <c r="G30" s="5">
        <f t="shared" si="3"/>
        <v>41</v>
      </c>
      <c r="H30" s="7">
        <f t="shared" si="4"/>
        <v>112</v>
      </c>
    </row>
    <row r="31" spans="1:8" ht="15" customHeight="1" x14ac:dyDescent="0.25">
      <c r="A31" s="11" t="s">
        <v>43</v>
      </c>
      <c r="B31" s="6">
        <v>4</v>
      </c>
      <c r="C31" s="4">
        <v>0</v>
      </c>
      <c r="D31" s="5">
        <f t="shared" si="0"/>
        <v>4</v>
      </c>
      <c r="E31" s="6">
        <v>9</v>
      </c>
      <c r="F31" s="4">
        <v>2</v>
      </c>
      <c r="G31" s="5">
        <f t="shared" si="3"/>
        <v>11</v>
      </c>
      <c r="H31" s="7">
        <f t="shared" si="4"/>
        <v>15</v>
      </c>
    </row>
    <row r="32" spans="1:8" ht="15" customHeight="1" x14ac:dyDescent="0.25">
      <c r="A32" s="11" t="s">
        <v>44</v>
      </c>
      <c r="B32" s="6">
        <v>1</v>
      </c>
      <c r="C32" s="4">
        <v>0</v>
      </c>
      <c r="D32" s="5">
        <f t="shared" si="0"/>
        <v>1</v>
      </c>
      <c r="E32" s="6">
        <v>6</v>
      </c>
      <c r="F32" s="4">
        <v>1</v>
      </c>
      <c r="G32" s="5">
        <f t="shared" si="1"/>
        <v>7</v>
      </c>
      <c r="H32" s="7">
        <f t="shared" si="2"/>
        <v>8</v>
      </c>
    </row>
    <row r="33" spans="1:8" ht="15" customHeight="1" x14ac:dyDescent="0.25">
      <c r="A33" s="11" t="s">
        <v>22</v>
      </c>
      <c r="B33" s="6">
        <v>86</v>
      </c>
      <c r="C33" s="4">
        <v>0</v>
      </c>
      <c r="D33" s="5">
        <f t="shared" si="0"/>
        <v>86</v>
      </c>
      <c r="E33" s="6">
        <v>70</v>
      </c>
      <c r="F33" s="4">
        <v>6</v>
      </c>
      <c r="G33" s="5">
        <f t="shared" si="1"/>
        <v>76</v>
      </c>
      <c r="H33" s="7">
        <f t="shared" si="2"/>
        <v>162</v>
      </c>
    </row>
    <row r="34" spans="1:8" ht="15" customHeight="1" thickBot="1" x14ac:dyDescent="0.3">
      <c r="A34" s="11" t="s">
        <v>23</v>
      </c>
      <c r="B34" s="8">
        <v>62</v>
      </c>
      <c r="C34" s="9">
        <v>2</v>
      </c>
      <c r="D34" s="10">
        <f t="shared" si="0"/>
        <v>64</v>
      </c>
      <c r="E34" s="8">
        <v>26</v>
      </c>
      <c r="F34" s="9">
        <v>3</v>
      </c>
      <c r="G34" s="5">
        <f t="shared" si="1"/>
        <v>29</v>
      </c>
      <c r="H34" s="7">
        <f t="shared" si="2"/>
        <v>93</v>
      </c>
    </row>
    <row r="35" spans="1:8" ht="15" customHeight="1" thickTop="1" thickBot="1" x14ac:dyDescent="0.3">
      <c r="A35" s="12" t="s">
        <v>6</v>
      </c>
      <c r="B35" s="13">
        <f t="shared" ref="B35:H35" si="5">SUM(B8:B34)</f>
        <v>1459</v>
      </c>
      <c r="C35" s="13">
        <f t="shared" si="5"/>
        <v>16</v>
      </c>
      <c r="D35" s="13">
        <f t="shared" si="5"/>
        <v>1475</v>
      </c>
      <c r="E35" s="13">
        <f t="shared" si="5"/>
        <v>1550</v>
      </c>
      <c r="F35" s="13">
        <f t="shared" si="5"/>
        <v>223</v>
      </c>
      <c r="G35" s="13">
        <f t="shared" si="5"/>
        <v>1773</v>
      </c>
      <c r="H35" s="15">
        <f t="shared" si="5"/>
        <v>3248</v>
      </c>
    </row>
    <row r="36" spans="1:8" ht="15" customHeight="1" thickTop="1" thickBot="1" x14ac:dyDescent="0.3">
      <c r="A36" s="23" t="s">
        <v>24</v>
      </c>
      <c r="B36" s="24"/>
      <c r="C36" s="24"/>
      <c r="D36" s="24"/>
      <c r="E36" s="24"/>
      <c r="F36" s="24"/>
      <c r="G36" s="24"/>
      <c r="H36" s="25"/>
    </row>
    <row r="37" spans="1:8" ht="15" customHeight="1" thickTop="1" x14ac:dyDescent="0.25">
      <c r="A37" s="11" t="s">
        <v>25</v>
      </c>
      <c r="B37" s="6">
        <v>2</v>
      </c>
      <c r="C37" s="16">
        <v>0</v>
      </c>
      <c r="D37" s="5">
        <f t="shared" ref="D37:D54" si="6">B37+C37</f>
        <v>2</v>
      </c>
      <c r="E37" s="6">
        <v>2</v>
      </c>
      <c r="F37" s="16">
        <v>0</v>
      </c>
      <c r="G37" s="5">
        <f t="shared" ref="G37:G55" si="7">E37+F37</f>
        <v>2</v>
      </c>
      <c r="H37" s="7">
        <f t="shared" ref="H37:H55" si="8">G37+D37</f>
        <v>4</v>
      </c>
    </row>
    <row r="38" spans="1:8" ht="15" customHeight="1" x14ac:dyDescent="0.25">
      <c r="A38" s="11" t="s">
        <v>26</v>
      </c>
      <c r="B38" s="6">
        <v>1</v>
      </c>
      <c r="C38" s="16">
        <v>0</v>
      </c>
      <c r="D38" s="5">
        <f t="shared" si="6"/>
        <v>1</v>
      </c>
      <c r="E38" s="6">
        <v>9</v>
      </c>
      <c r="F38" s="16">
        <v>0</v>
      </c>
      <c r="G38" s="5">
        <f t="shared" si="7"/>
        <v>9</v>
      </c>
      <c r="H38" s="7">
        <f t="shared" si="8"/>
        <v>10</v>
      </c>
    </row>
    <row r="39" spans="1:8" ht="15" customHeight="1" x14ac:dyDescent="0.25">
      <c r="A39" s="11" t="s">
        <v>148</v>
      </c>
      <c r="B39" s="6">
        <v>2</v>
      </c>
      <c r="C39" s="16">
        <v>0</v>
      </c>
      <c r="D39" s="5">
        <f t="shared" si="6"/>
        <v>2</v>
      </c>
      <c r="E39" s="6">
        <v>0</v>
      </c>
      <c r="F39" s="16">
        <v>0</v>
      </c>
      <c r="G39" s="5">
        <f t="shared" si="7"/>
        <v>0</v>
      </c>
      <c r="H39" s="7">
        <f t="shared" si="8"/>
        <v>2</v>
      </c>
    </row>
    <row r="40" spans="1:8" ht="15" customHeight="1" x14ac:dyDescent="0.25">
      <c r="A40" s="11" t="s">
        <v>27</v>
      </c>
      <c r="B40" s="6">
        <v>0</v>
      </c>
      <c r="C40" s="16">
        <v>0</v>
      </c>
      <c r="D40" s="5">
        <f t="shared" si="6"/>
        <v>0</v>
      </c>
      <c r="E40" s="6">
        <v>1</v>
      </c>
      <c r="F40" s="16">
        <v>0</v>
      </c>
      <c r="G40" s="5">
        <f t="shared" si="7"/>
        <v>1</v>
      </c>
      <c r="H40" s="7">
        <f t="shared" si="8"/>
        <v>1</v>
      </c>
    </row>
    <row r="41" spans="1:8" ht="15" customHeight="1" x14ac:dyDescent="0.25">
      <c r="A41" s="11" t="s">
        <v>29</v>
      </c>
      <c r="B41" s="6">
        <v>6</v>
      </c>
      <c r="C41" s="16">
        <v>0</v>
      </c>
      <c r="D41" s="5">
        <f t="shared" si="6"/>
        <v>6</v>
      </c>
      <c r="E41" s="6">
        <v>2</v>
      </c>
      <c r="F41" s="16">
        <v>0</v>
      </c>
      <c r="G41" s="5">
        <f t="shared" si="7"/>
        <v>2</v>
      </c>
      <c r="H41" s="7">
        <f t="shared" si="8"/>
        <v>8</v>
      </c>
    </row>
    <row r="42" spans="1:8" ht="15" customHeight="1" x14ac:dyDescent="0.25">
      <c r="A42" s="11" t="s">
        <v>163</v>
      </c>
      <c r="B42" s="6">
        <v>5</v>
      </c>
      <c r="C42" s="16">
        <v>0</v>
      </c>
      <c r="D42" s="5">
        <f t="shared" si="6"/>
        <v>5</v>
      </c>
      <c r="E42" s="6">
        <v>3</v>
      </c>
      <c r="F42" s="16">
        <v>0</v>
      </c>
      <c r="G42" s="5">
        <f t="shared" si="7"/>
        <v>3</v>
      </c>
      <c r="H42" s="7">
        <f t="shared" si="8"/>
        <v>8</v>
      </c>
    </row>
    <row r="43" spans="1:8" ht="15" customHeight="1" x14ac:dyDescent="0.25">
      <c r="A43" s="11" t="s">
        <v>35</v>
      </c>
      <c r="B43" s="6">
        <v>1</v>
      </c>
      <c r="C43" s="16">
        <v>0</v>
      </c>
      <c r="D43" s="5">
        <f t="shared" si="6"/>
        <v>1</v>
      </c>
      <c r="E43" s="6">
        <v>6</v>
      </c>
      <c r="F43" s="16">
        <v>0</v>
      </c>
      <c r="G43" s="5">
        <f t="shared" si="7"/>
        <v>6</v>
      </c>
      <c r="H43" s="7">
        <f t="shared" si="8"/>
        <v>7</v>
      </c>
    </row>
    <row r="44" spans="1:8" ht="15" customHeight="1" x14ac:dyDescent="0.25">
      <c r="A44" s="11" t="s">
        <v>165</v>
      </c>
      <c r="B44" s="6">
        <v>1</v>
      </c>
      <c r="C44" s="16">
        <v>0</v>
      </c>
      <c r="D44" s="5">
        <f t="shared" si="6"/>
        <v>1</v>
      </c>
      <c r="E44" s="6">
        <v>0</v>
      </c>
      <c r="F44" s="16">
        <v>0</v>
      </c>
      <c r="G44" s="5">
        <f t="shared" si="7"/>
        <v>0</v>
      </c>
      <c r="H44" s="7">
        <f t="shared" si="8"/>
        <v>1</v>
      </c>
    </row>
    <row r="45" spans="1:8" ht="15" customHeight="1" x14ac:dyDescent="0.25">
      <c r="A45" s="11" t="s">
        <v>166</v>
      </c>
      <c r="B45" s="6">
        <v>0</v>
      </c>
      <c r="C45" s="16">
        <v>0</v>
      </c>
      <c r="D45" s="5">
        <f t="shared" si="6"/>
        <v>0</v>
      </c>
      <c r="E45" s="6">
        <v>6</v>
      </c>
      <c r="F45" s="16">
        <v>0</v>
      </c>
      <c r="G45" s="5">
        <f t="shared" si="7"/>
        <v>6</v>
      </c>
      <c r="H45" s="7">
        <f t="shared" si="8"/>
        <v>6</v>
      </c>
    </row>
    <row r="46" spans="1:8" ht="15" customHeight="1" x14ac:dyDescent="0.25">
      <c r="A46" s="11" t="s">
        <v>167</v>
      </c>
      <c r="B46" s="6">
        <v>5</v>
      </c>
      <c r="C46" s="16">
        <v>0</v>
      </c>
      <c r="D46" s="5">
        <f t="shared" si="6"/>
        <v>5</v>
      </c>
      <c r="E46" s="6">
        <v>3</v>
      </c>
      <c r="F46" s="16">
        <v>1</v>
      </c>
      <c r="G46" s="5">
        <f t="shared" si="7"/>
        <v>4</v>
      </c>
      <c r="H46" s="7">
        <f t="shared" si="8"/>
        <v>9</v>
      </c>
    </row>
    <row r="47" spans="1:8" ht="15" customHeight="1" x14ac:dyDescent="0.25">
      <c r="A47" s="11" t="s">
        <v>168</v>
      </c>
      <c r="B47" s="6">
        <v>1</v>
      </c>
      <c r="C47" s="16">
        <v>0</v>
      </c>
      <c r="D47" s="5">
        <f t="shared" si="6"/>
        <v>1</v>
      </c>
      <c r="E47" s="6">
        <v>1</v>
      </c>
      <c r="F47" s="16">
        <v>0</v>
      </c>
      <c r="G47" s="5">
        <f t="shared" si="7"/>
        <v>1</v>
      </c>
      <c r="H47" s="7">
        <f t="shared" si="8"/>
        <v>2</v>
      </c>
    </row>
    <row r="48" spans="1:8" ht="15" customHeight="1" x14ac:dyDescent="0.25">
      <c r="A48" s="11" t="s">
        <v>169</v>
      </c>
      <c r="B48" s="6">
        <v>1</v>
      </c>
      <c r="C48" s="16">
        <v>0</v>
      </c>
      <c r="D48" s="5">
        <f t="shared" si="6"/>
        <v>1</v>
      </c>
      <c r="E48" s="6">
        <v>1</v>
      </c>
      <c r="F48" s="16">
        <v>0</v>
      </c>
      <c r="G48" s="5">
        <f t="shared" si="7"/>
        <v>1</v>
      </c>
      <c r="H48" s="7">
        <f t="shared" si="8"/>
        <v>2</v>
      </c>
    </row>
    <row r="49" spans="1:8" ht="15" customHeight="1" x14ac:dyDescent="0.25">
      <c r="A49" s="11" t="s">
        <v>39</v>
      </c>
      <c r="B49" s="6">
        <v>29</v>
      </c>
      <c r="C49" s="16">
        <v>0</v>
      </c>
      <c r="D49" s="5">
        <f t="shared" si="6"/>
        <v>29</v>
      </c>
      <c r="E49" s="6">
        <v>22</v>
      </c>
      <c r="F49" s="16">
        <v>2</v>
      </c>
      <c r="G49" s="5">
        <f t="shared" si="7"/>
        <v>24</v>
      </c>
      <c r="H49" s="7">
        <f t="shared" si="8"/>
        <v>53</v>
      </c>
    </row>
    <row r="50" spans="1:8" ht="15" customHeight="1" x14ac:dyDescent="0.25">
      <c r="A50" s="11" t="s">
        <v>42</v>
      </c>
      <c r="B50" s="6">
        <v>80</v>
      </c>
      <c r="C50" s="16">
        <v>3</v>
      </c>
      <c r="D50" s="5">
        <f t="shared" si="6"/>
        <v>83</v>
      </c>
      <c r="E50" s="6">
        <v>29</v>
      </c>
      <c r="F50" s="16">
        <v>1</v>
      </c>
      <c r="G50" s="5">
        <f t="shared" si="7"/>
        <v>30</v>
      </c>
      <c r="H50" s="7">
        <f t="shared" si="8"/>
        <v>113</v>
      </c>
    </row>
    <row r="51" spans="1:8" ht="15" customHeight="1" x14ac:dyDescent="0.25">
      <c r="A51" s="11" t="s">
        <v>170</v>
      </c>
      <c r="B51" s="6">
        <v>7</v>
      </c>
      <c r="C51" s="16">
        <v>0</v>
      </c>
      <c r="D51" s="5">
        <f t="shared" si="6"/>
        <v>7</v>
      </c>
      <c r="E51" s="6">
        <v>13</v>
      </c>
      <c r="F51" s="16">
        <v>1</v>
      </c>
      <c r="G51" s="5">
        <f t="shared" si="7"/>
        <v>14</v>
      </c>
      <c r="H51" s="7">
        <f t="shared" si="8"/>
        <v>21</v>
      </c>
    </row>
    <row r="52" spans="1:8" ht="15" customHeight="1" x14ac:dyDescent="0.25">
      <c r="A52" s="11" t="s">
        <v>45</v>
      </c>
      <c r="B52" s="6">
        <v>43</v>
      </c>
      <c r="C52" s="16">
        <v>2</v>
      </c>
      <c r="D52" s="5">
        <f t="shared" si="6"/>
        <v>45</v>
      </c>
      <c r="E52" s="6">
        <v>35</v>
      </c>
      <c r="F52" s="16">
        <v>5</v>
      </c>
      <c r="G52" s="5">
        <f t="shared" si="7"/>
        <v>40</v>
      </c>
      <c r="H52" s="7">
        <f t="shared" si="8"/>
        <v>85</v>
      </c>
    </row>
    <row r="53" spans="1:8" ht="15" customHeight="1" x14ac:dyDescent="0.25">
      <c r="A53" s="11" t="s">
        <v>46</v>
      </c>
      <c r="B53" s="6">
        <v>31</v>
      </c>
      <c r="C53" s="16">
        <v>0</v>
      </c>
      <c r="D53" s="5">
        <f t="shared" si="6"/>
        <v>31</v>
      </c>
      <c r="E53" s="6">
        <v>26</v>
      </c>
      <c r="F53" s="16">
        <v>2</v>
      </c>
      <c r="G53" s="5">
        <f t="shared" si="7"/>
        <v>28</v>
      </c>
      <c r="H53" s="7">
        <f t="shared" si="8"/>
        <v>59</v>
      </c>
    </row>
    <row r="54" spans="1:8" ht="15" customHeight="1" thickBot="1" x14ac:dyDescent="0.3">
      <c r="A54" s="11" t="s">
        <v>48</v>
      </c>
      <c r="B54" s="6">
        <v>2</v>
      </c>
      <c r="C54" s="16">
        <v>0</v>
      </c>
      <c r="D54" s="5">
        <f t="shared" si="6"/>
        <v>2</v>
      </c>
      <c r="E54" s="6">
        <v>10</v>
      </c>
      <c r="F54" s="16">
        <v>0</v>
      </c>
      <c r="G54" s="5">
        <f t="shared" si="7"/>
        <v>10</v>
      </c>
      <c r="H54" s="7">
        <f t="shared" si="8"/>
        <v>12</v>
      </c>
    </row>
    <row r="55" spans="1:8" ht="15" customHeight="1" thickTop="1" thickBot="1" x14ac:dyDescent="0.3">
      <c r="A55" s="12" t="s">
        <v>6</v>
      </c>
      <c r="B55" s="13">
        <f>SUM(B37:B54)</f>
        <v>217</v>
      </c>
      <c r="C55" s="13">
        <f>SUM(C37:C54)</f>
        <v>5</v>
      </c>
      <c r="D55" s="13">
        <f>SUM(D37:D54)</f>
        <v>222</v>
      </c>
      <c r="E55" s="13">
        <f>SUM(E37:E54)</f>
        <v>169</v>
      </c>
      <c r="F55" s="13">
        <f>SUM(F37:F54)</f>
        <v>12</v>
      </c>
      <c r="G55" s="14">
        <f t="shared" si="7"/>
        <v>181</v>
      </c>
      <c r="H55" s="15">
        <f t="shared" si="8"/>
        <v>403</v>
      </c>
    </row>
    <row r="56" spans="1:8" ht="15" customHeight="1" thickTop="1" thickBot="1" x14ac:dyDescent="0.3">
      <c r="A56" s="23" t="s">
        <v>49</v>
      </c>
      <c r="B56" s="24"/>
      <c r="C56" s="24"/>
      <c r="D56" s="24"/>
      <c r="E56" s="24"/>
      <c r="F56" s="24"/>
      <c r="G56" s="24"/>
      <c r="H56" s="25"/>
    </row>
    <row r="57" spans="1:8" ht="15" customHeight="1" thickTop="1" x14ac:dyDescent="0.25">
      <c r="A57" s="11" t="s">
        <v>50</v>
      </c>
      <c r="B57" s="6">
        <v>8</v>
      </c>
      <c r="C57" s="16">
        <v>0</v>
      </c>
      <c r="D57" s="5">
        <f t="shared" ref="D57:D69" si="9">B57+C57</f>
        <v>8</v>
      </c>
      <c r="E57" s="6">
        <v>5</v>
      </c>
      <c r="F57" s="16">
        <v>1</v>
      </c>
      <c r="G57" s="5">
        <f t="shared" ref="G57:G68" si="10">E57+F57</f>
        <v>6</v>
      </c>
      <c r="H57" s="7">
        <f t="shared" ref="H57:H68" si="11">G57+D57</f>
        <v>14</v>
      </c>
    </row>
    <row r="58" spans="1:8" ht="15" customHeight="1" x14ac:dyDescent="0.25">
      <c r="A58" s="11" t="s">
        <v>51</v>
      </c>
      <c r="B58" s="6">
        <v>32</v>
      </c>
      <c r="C58" s="16">
        <v>1</v>
      </c>
      <c r="D58" s="5">
        <f t="shared" si="9"/>
        <v>33</v>
      </c>
      <c r="E58" s="6">
        <v>42</v>
      </c>
      <c r="F58" s="16">
        <v>4</v>
      </c>
      <c r="G58" s="5">
        <f t="shared" si="10"/>
        <v>46</v>
      </c>
      <c r="H58" s="7">
        <f t="shared" si="11"/>
        <v>79</v>
      </c>
    </row>
    <row r="59" spans="1:8" ht="15" customHeight="1" x14ac:dyDescent="0.25">
      <c r="A59" s="11" t="s">
        <v>52</v>
      </c>
      <c r="B59" s="6">
        <v>0</v>
      </c>
      <c r="C59" s="16">
        <v>0</v>
      </c>
      <c r="D59" s="5">
        <f t="shared" si="9"/>
        <v>0</v>
      </c>
      <c r="E59" s="6">
        <v>8</v>
      </c>
      <c r="F59" s="16">
        <v>1</v>
      </c>
      <c r="G59" s="5">
        <f t="shared" si="10"/>
        <v>9</v>
      </c>
      <c r="H59" s="7">
        <f t="shared" si="11"/>
        <v>9</v>
      </c>
    </row>
    <row r="60" spans="1:8" ht="15" customHeight="1" x14ac:dyDescent="0.25">
      <c r="A60" s="11" t="s">
        <v>53</v>
      </c>
      <c r="B60" s="6">
        <v>7</v>
      </c>
      <c r="C60" s="16">
        <v>0</v>
      </c>
      <c r="D60" s="5">
        <f t="shared" si="9"/>
        <v>7</v>
      </c>
      <c r="E60" s="6">
        <v>22</v>
      </c>
      <c r="F60" s="16">
        <v>2</v>
      </c>
      <c r="G60" s="5">
        <f t="shared" si="10"/>
        <v>24</v>
      </c>
      <c r="H60" s="7">
        <f t="shared" si="11"/>
        <v>31</v>
      </c>
    </row>
    <row r="61" spans="1:8" ht="15" customHeight="1" x14ac:dyDescent="0.25">
      <c r="A61" s="11" t="s">
        <v>54</v>
      </c>
      <c r="B61" s="6">
        <v>18</v>
      </c>
      <c r="C61" s="16">
        <v>0</v>
      </c>
      <c r="D61" s="5">
        <f t="shared" si="9"/>
        <v>18</v>
      </c>
      <c r="E61" s="6">
        <v>6</v>
      </c>
      <c r="F61" s="16">
        <v>1</v>
      </c>
      <c r="G61" s="5">
        <f t="shared" si="10"/>
        <v>7</v>
      </c>
      <c r="H61" s="7">
        <f t="shared" si="11"/>
        <v>25</v>
      </c>
    </row>
    <row r="62" spans="1:8" ht="15" customHeight="1" x14ac:dyDescent="0.25">
      <c r="A62" s="11" t="s">
        <v>55</v>
      </c>
      <c r="B62" s="6">
        <v>7</v>
      </c>
      <c r="C62" s="16">
        <v>0</v>
      </c>
      <c r="D62" s="5">
        <f t="shared" si="9"/>
        <v>7</v>
      </c>
      <c r="E62" s="6">
        <v>15</v>
      </c>
      <c r="F62" s="16">
        <v>3</v>
      </c>
      <c r="G62" s="5">
        <f t="shared" si="10"/>
        <v>18</v>
      </c>
      <c r="H62" s="7">
        <f t="shared" si="11"/>
        <v>25</v>
      </c>
    </row>
    <row r="63" spans="1:8" ht="15" customHeight="1" x14ac:dyDescent="0.25">
      <c r="A63" s="11" t="s">
        <v>56</v>
      </c>
      <c r="B63" s="6">
        <v>15</v>
      </c>
      <c r="C63" s="16">
        <v>0</v>
      </c>
      <c r="D63" s="5">
        <f t="shared" si="9"/>
        <v>15</v>
      </c>
      <c r="E63" s="6">
        <v>13</v>
      </c>
      <c r="F63" s="16">
        <v>1</v>
      </c>
      <c r="G63" s="5">
        <f t="shared" si="10"/>
        <v>14</v>
      </c>
      <c r="H63" s="7">
        <f t="shared" si="11"/>
        <v>29</v>
      </c>
    </row>
    <row r="64" spans="1:8" ht="15" customHeight="1" x14ac:dyDescent="0.25">
      <c r="A64" s="11" t="s">
        <v>57</v>
      </c>
      <c r="B64" s="6">
        <v>3</v>
      </c>
      <c r="C64" s="16">
        <v>0</v>
      </c>
      <c r="D64" s="5">
        <f t="shared" si="9"/>
        <v>3</v>
      </c>
      <c r="E64" s="6">
        <v>5</v>
      </c>
      <c r="F64" s="16">
        <v>0</v>
      </c>
      <c r="G64" s="5">
        <f t="shared" si="10"/>
        <v>5</v>
      </c>
      <c r="H64" s="7">
        <f t="shared" si="11"/>
        <v>8</v>
      </c>
    </row>
    <row r="65" spans="1:8" ht="15" customHeight="1" x14ac:dyDescent="0.25">
      <c r="A65" s="11" t="s">
        <v>171</v>
      </c>
      <c r="B65" s="6">
        <v>8</v>
      </c>
      <c r="C65" s="16">
        <v>0</v>
      </c>
      <c r="D65" s="5">
        <f t="shared" si="9"/>
        <v>8</v>
      </c>
      <c r="E65" s="6">
        <v>7</v>
      </c>
      <c r="F65" s="16">
        <v>2</v>
      </c>
      <c r="G65" s="5">
        <f t="shared" si="10"/>
        <v>9</v>
      </c>
      <c r="H65" s="7">
        <f t="shared" si="11"/>
        <v>17</v>
      </c>
    </row>
    <row r="66" spans="1:8" ht="15" customHeight="1" x14ac:dyDescent="0.25">
      <c r="A66" s="11" t="s">
        <v>58</v>
      </c>
      <c r="B66" s="6">
        <v>31</v>
      </c>
      <c r="C66" s="16">
        <v>0</v>
      </c>
      <c r="D66" s="5">
        <f t="shared" si="9"/>
        <v>31</v>
      </c>
      <c r="E66" s="6">
        <v>54</v>
      </c>
      <c r="F66" s="16">
        <v>5</v>
      </c>
      <c r="G66" s="5">
        <f t="shared" si="10"/>
        <v>59</v>
      </c>
      <c r="H66" s="7">
        <f t="shared" si="11"/>
        <v>90</v>
      </c>
    </row>
    <row r="67" spans="1:8" ht="15" customHeight="1" x14ac:dyDescent="0.25">
      <c r="A67" s="11" t="s">
        <v>60</v>
      </c>
      <c r="B67" s="6">
        <v>1</v>
      </c>
      <c r="C67" s="16">
        <v>0</v>
      </c>
      <c r="D67" s="5">
        <f t="shared" si="9"/>
        <v>1</v>
      </c>
      <c r="E67" s="6">
        <v>5</v>
      </c>
      <c r="F67" s="16">
        <v>0</v>
      </c>
      <c r="G67" s="5">
        <f t="shared" si="10"/>
        <v>5</v>
      </c>
      <c r="H67" s="7">
        <f t="shared" si="11"/>
        <v>6</v>
      </c>
    </row>
    <row r="68" spans="1:8" ht="15" customHeight="1" x14ac:dyDescent="0.25">
      <c r="A68" s="11" t="s">
        <v>61</v>
      </c>
      <c r="B68" s="6">
        <v>29</v>
      </c>
      <c r="C68" s="16">
        <v>0</v>
      </c>
      <c r="D68" s="5">
        <f t="shared" si="9"/>
        <v>29</v>
      </c>
      <c r="E68" s="6">
        <v>10</v>
      </c>
      <c r="F68" s="16">
        <v>3</v>
      </c>
      <c r="G68" s="5">
        <f t="shared" si="10"/>
        <v>13</v>
      </c>
      <c r="H68" s="7">
        <f t="shared" si="11"/>
        <v>42</v>
      </c>
    </row>
    <row r="69" spans="1:8" ht="15" customHeight="1" thickBot="1" x14ac:dyDescent="0.3">
      <c r="A69" s="11" t="s">
        <v>172</v>
      </c>
      <c r="B69" s="6">
        <v>1</v>
      </c>
      <c r="C69" s="16">
        <v>0</v>
      </c>
      <c r="D69" s="5">
        <f t="shared" si="9"/>
        <v>1</v>
      </c>
      <c r="E69" s="6">
        <v>1</v>
      </c>
      <c r="F69" s="16">
        <v>0</v>
      </c>
      <c r="G69" s="5">
        <f>E69+F69</f>
        <v>1</v>
      </c>
      <c r="H69" s="7">
        <f>G69+D69</f>
        <v>2</v>
      </c>
    </row>
    <row r="70" spans="1:8" ht="15" customHeight="1" thickTop="1" thickBot="1" x14ac:dyDescent="0.3">
      <c r="A70" s="12" t="s">
        <v>6</v>
      </c>
      <c r="B70" s="13">
        <f t="shared" ref="B70:H70" si="12">SUM(B57:B69)</f>
        <v>160</v>
      </c>
      <c r="C70" s="13">
        <f t="shared" si="12"/>
        <v>1</v>
      </c>
      <c r="D70" s="13">
        <f t="shared" si="12"/>
        <v>161</v>
      </c>
      <c r="E70" s="13">
        <f t="shared" si="12"/>
        <v>193</v>
      </c>
      <c r="F70" s="13">
        <f t="shared" si="12"/>
        <v>23</v>
      </c>
      <c r="G70" s="13">
        <f t="shared" si="12"/>
        <v>216</v>
      </c>
      <c r="H70" s="15">
        <f t="shared" si="12"/>
        <v>377</v>
      </c>
    </row>
    <row r="71" spans="1:8" ht="15" customHeight="1" thickTop="1" thickBot="1" x14ac:dyDescent="0.3">
      <c r="A71" s="23" t="s">
        <v>62</v>
      </c>
      <c r="B71" s="24"/>
      <c r="C71" s="24"/>
      <c r="D71" s="24"/>
      <c r="E71" s="24"/>
      <c r="F71" s="24"/>
      <c r="G71" s="24"/>
      <c r="H71" s="25"/>
    </row>
    <row r="72" spans="1:8" ht="15" customHeight="1" thickTop="1" x14ac:dyDescent="0.25">
      <c r="A72" s="11" t="s">
        <v>161</v>
      </c>
      <c r="B72" s="6">
        <v>12</v>
      </c>
      <c r="C72" s="16">
        <v>0</v>
      </c>
      <c r="D72" s="5">
        <f t="shared" ref="D72:D97" si="13">B72+C72</f>
        <v>12</v>
      </c>
      <c r="E72" s="6">
        <v>7</v>
      </c>
      <c r="F72" s="16">
        <v>0</v>
      </c>
      <c r="G72" s="5">
        <f t="shared" ref="G72:G97" si="14">E72+F72</f>
        <v>7</v>
      </c>
      <c r="H72" s="7">
        <f t="shared" ref="H72:H98" si="15">G72+D72</f>
        <v>19</v>
      </c>
    </row>
    <row r="73" spans="1:8" ht="15" customHeight="1" x14ac:dyDescent="0.25">
      <c r="A73" s="11" t="s">
        <v>64</v>
      </c>
      <c r="B73" s="6">
        <v>24</v>
      </c>
      <c r="C73" s="16">
        <v>1</v>
      </c>
      <c r="D73" s="5">
        <f t="shared" si="13"/>
        <v>25</v>
      </c>
      <c r="E73" s="6">
        <v>6</v>
      </c>
      <c r="F73" s="16">
        <v>0</v>
      </c>
      <c r="G73" s="5">
        <f t="shared" si="14"/>
        <v>6</v>
      </c>
      <c r="H73" s="7">
        <f t="shared" si="15"/>
        <v>31</v>
      </c>
    </row>
    <row r="74" spans="1:8" ht="15" customHeight="1" x14ac:dyDescent="0.25">
      <c r="A74" s="11" t="s">
        <v>207</v>
      </c>
      <c r="B74" s="6">
        <v>0</v>
      </c>
      <c r="C74" s="16">
        <v>0</v>
      </c>
      <c r="D74" s="5">
        <f t="shared" si="13"/>
        <v>0</v>
      </c>
      <c r="E74" s="6">
        <v>1</v>
      </c>
      <c r="F74" s="16">
        <v>0</v>
      </c>
      <c r="G74" s="5">
        <f t="shared" si="14"/>
        <v>1</v>
      </c>
      <c r="H74" s="7">
        <f t="shared" si="15"/>
        <v>1</v>
      </c>
    </row>
    <row r="75" spans="1:8" ht="15" customHeight="1" x14ac:dyDescent="0.25">
      <c r="A75" s="11" t="s">
        <v>65</v>
      </c>
      <c r="B75" s="6">
        <v>37</v>
      </c>
      <c r="C75" s="16">
        <v>2</v>
      </c>
      <c r="D75" s="5">
        <f t="shared" si="13"/>
        <v>39</v>
      </c>
      <c r="E75" s="6">
        <v>9</v>
      </c>
      <c r="F75" s="16">
        <v>0</v>
      </c>
      <c r="G75" s="5">
        <f t="shared" si="14"/>
        <v>9</v>
      </c>
      <c r="H75" s="7">
        <f t="shared" si="15"/>
        <v>48</v>
      </c>
    </row>
    <row r="76" spans="1:8" ht="15" customHeight="1" x14ac:dyDescent="0.25">
      <c r="A76" s="11" t="s">
        <v>173</v>
      </c>
      <c r="B76" s="6">
        <v>7</v>
      </c>
      <c r="C76" s="16">
        <v>0</v>
      </c>
      <c r="D76" s="5">
        <f t="shared" si="13"/>
        <v>7</v>
      </c>
      <c r="E76" s="6">
        <v>1</v>
      </c>
      <c r="F76" s="16">
        <v>0</v>
      </c>
      <c r="G76" s="5">
        <f t="shared" si="14"/>
        <v>1</v>
      </c>
      <c r="H76" s="7">
        <f t="shared" si="15"/>
        <v>8</v>
      </c>
    </row>
    <row r="77" spans="1:8" ht="15" customHeight="1" x14ac:dyDescent="0.25">
      <c r="A77" s="11" t="s">
        <v>67</v>
      </c>
      <c r="B77" s="6">
        <v>0</v>
      </c>
      <c r="C77" s="16">
        <v>0</v>
      </c>
      <c r="D77" s="5">
        <f t="shared" si="13"/>
        <v>0</v>
      </c>
      <c r="E77" s="6">
        <v>1</v>
      </c>
      <c r="F77" s="16">
        <v>0</v>
      </c>
      <c r="G77" s="5">
        <f t="shared" si="14"/>
        <v>1</v>
      </c>
      <c r="H77" s="7">
        <f t="shared" si="15"/>
        <v>1</v>
      </c>
    </row>
    <row r="78" spans="1:8" ht="15" customHeight="1" x14ac:dyDescent="0.25">
      <c r="A78" s="11" t="s">
        <v>174</v>
      </c>
      <c r="B78" s="6">
        <v>698</v>
      </c>
      <c r="C78" s="16">
        <v>28</v>
      </c>
      <c r="D78" s="5">
        <f t="shared" si="13"/>
        <v>726</v>
      </c>
      <c r="E78" s="6">
        <v>467</v>
      </c>
      <c r="F78" s="16">
        <v>11</v>
      </c>
      <c r="G78" s="5">
        <f t="shared" si="14"/>
        <v>478</v>
      </c>
      <c r="H78" s="7">
        <f t="shared" si="15"/>
        <v>1204</v>
      </c>
    </row>
    <row r="79" spans="1:8" ht="15" customHeight="1" x14ac:dyDescent="0.25">
      <c r="A79" s="11" t="s">
        <v>175</v>
      </c>
      <c r="B79" s="6">
        <v>370</v>
      </c>
      <c r="C79" s="16">
        <v>13</v>
      </c>
      <c r="D79" s="5">
        <f t="shared" si="13"/>
        <v>383</v>
      </c>
      <c r="E79" s="6">
        <v>52</v>
      </c>
      <c r="F79" s="16">
        <v>5</v>
      </c>
      <c r="G79" s="5">
        <f t="shared" si="14"/>
        <v>57</v>
      </c>
      <c r="H79" s="7">
        <f t="shared" si="15"/>
        <v>440</v>
      </c>
    </row>
    <row r="80" spans="1:8" ht="15" customHeight="1" x14ac:dyDescent="0.25">
      <c r="A80" s="11" t="s">
        <v>70</v>
      </c>
      <c r="B80" s="6">
        <v>63</v>
      </c>
      <c r="C80" s="16">
        <v>0</v>
      </c>
      <c r="D80" s="5">
        <f t="shared" si="13"/>
        <v>63</v>
      </c>
      <c r="E80" s="6">
        <v>134</v>
      </c>
      <c r="F80" s="16">
        <v>13</v>
      </c>
      <c r="G80" s="5">
        <f t="shared" si="14"/>
        <v>147</v>
      </c>
      <c r="H80" s="7">
        <f t="shared" si="15"/>
        <v>210</v>
      </c>
    </row>
    <row r="81" spans="1:8" ht="15" customHeight="1" x14ac:dyDescent="0.25">
      <c r="A81" s="11" t="s">
        <v>71</v>
      </c>
      <c r="B81" s="6">
        <v>5</v>
      </c>
      <c r="C81" s="16">
        <v>1</v>
      </c>
      <c r="D81" s="5">
        <f t="shared" si="13"/>
        <v>6</v>
      </c>
      <c r="E81" s="6">
        <v>10</v>
      </c>
      <c r="F81" s="16">
        <v>0</v>
      </c>
      <c r="G81" s="5">
        <f t="shared" si="14"/>
        <v>10</v>
      </c>
      <c r="H81" s="7">
        <f t="shared" si="15"/>
        <v>16</v>
      </c>
    </row>
    <row r="82" spans="1:8" ht="15" customHeight="1" x14ac:dyDescent="0.25">
      <c r="A82" s="11" t="s">
        <v>72</v>
      </c>
      <c r="B82" s="6">
        <v>55</v>
      </c>
      <c r="C82" s="16">
        <v>0</v>
      </c>
      <c r="D82" s="5">
        <f t="shared" si="13"/>
        <v>55</v>
      </c>
      <c r="E82" s="6">
        <v>60</v>
      </c>
      <c r="F82" s="16">
        <v>1</v>
      </c>
      <c r="G82" s="5">
        <f t="shared" si="14"/>
        <v>61</v>
      </c>
      <c r="H82" s="7">
        <f t="shared" si="15"/>
        <v>116</v>
      </c>
    </row>
    <row r="83" spans="1:8" ht="15" customHeight="1" x14ac:dyDescent="0.25">
      <c r="A83" s="11" t="s">
        <v>73</v>
      </c>
      <c r="B83" s="6">
        <v>84</v>
      </c>
      <c r="C83" s="16">
        <v>0</v>
      </c>
      <c r="D83" s="5">
        <f t="shared" si="13"/>
        <v>84</v>
      </c>
      <c r="E83" s="6">
        <v>26</v>
      </c>
      <c r="F83" s="16">
        <v>0</v>
      </c>
      <c r="G83" s="5">
        <f t="shared" si="14"/>
        <v>26</v>
      </c>
      <c r="H83" s="7">
        <f t="shared" si="15"/>
        <v>110</v>
      </c>
    </row>
    <row r="84" spans="1:8" ht="15" customHeight="1" x14ac:dyDescent="0.25">
      <c r="A84" s="11" t="s">
        <v>176</v>
      </c>
      <c r="B84" s="6">
        <v>130</v>
      </c>
      <c r="C84" s="16">
        <v>4</v>
      </c>
      <c r="D84" s="5">
        <f t="shared" si="13"/>
        <v>134</v>
      </c>
      <c r="E84" s="6">
        <v>80</v>
      </c>
      <c r="F84" s="16">
        <v>3</v>
      </c>
      <c r="G84" s="5">
        <f t="shared" si="14"/>
        <v>83</v>
      </c>
      <c r="H84" s="7">
        <f t="shared" si="15"/>
        <v>217</v>
      </c>
    </row>
    <row r="85" spans="1:8" ht="15" customHeight="1" x14ac:dyDescent="0.25">
      <c r="A85" s="11" t="s">
        <v>177</v>
      </c>
      <c r="B85" s="6">
        <v>11</v>
      </c>
      <c r="C85" s="16">
        <v>0</v>
      </c>
      <c r="D85" s="5">
        <f t="shared" si="13"/>
        <v>11</v>
      </c>
      <c r="E85" s="6">
        <v>0</v>
      </c>
      <c r="F85" s="16">
        <v>0</v>
      </c>
      <c r="G85" s="5">
        <f t="shared" si="14"/>
        <v>0</v>
      </c>
      <c r="H85" s="7">
        <f t="shared" si="15"/>
        <v>11</v>
      </c>
    </row>
    <row r="86" spans="1:8" ht="15" customHeight="1" x14ac:dyDescent="0.25">
      <c r="A86" s="11" t="s">
        <v>74</v>
      </c>
      <c r="B86" s="6">
        <v>230</v>
      </c>
      <c r="C86" s="16">
        <v>3</v>
      </c>
      <c r="D86" s="5">
        <f t="shared" si="13"/>
        <v>233</v>
      </c>
      <c r="E86" s="6">
        <v>65</v>
      </c>
      <c r="F86" s="16">
        <v>3</v>
      </c>
      <c r="G86" s="5">
        <f t="shared" si="14"/>
        <v>68</v>
      </c>
      <c r="H86" s="7">
        <f t="shared" si="15"/>
        <v>301</v>
      </c>
    </row>
    <row r="87" spans="1:8" ht="15" customHeight="1" x14ac:dyDescent="0.25">
      <c r="A87" s="11" t="s">
        <v>178</v>
      </c>
      <c r="B87" s="6">
        <v>4</v>
      </c>
      <c r="C87" s="16">
        <v>0</v>
      </c>
      <c r="D87" s="5">
        <f t="shared" si="13"/>
        <v>4</v>
      </c>
      <c r="E87" s="6">
        <v>0</v>
      </c>
      <c r="F87" s="16">
        <v>0</v>
      </c>
      <c r="G87" s="5">
        <f t="shared" si="14"/>
        <v>0</v>
      </c>
      <c r="H87" s="7">
        <f t="shared" si="15"/>
        <v>4</v>
      </c>
    </row>
    <row r="88" spans="1:8" ht="15" customHeight="1" x14ac:dyDescent="0.25">
      <c r="A88" s="11" t="s">
        <v>76</v>
      </c>
      <c r="B88" s="6">
        <v>1</v>
      </c>
      <c r="C88" s="16">
        <v>0</v>
      </c>
      <c r="D88" s="5">
        <f t="shared" si="13"/>
        <v>1</v>
      </c>
      <c r="E88" s="6">
        <v>1</v>
      </c>
      <c r="F88" s="16">
        <v>0</v>
      </c>
      <c r="G88" s="5">
        <f t="shared" si="14"/>
        <v>1</v>
      </c>
      <c r="H88" s="7">
        <f t="shared" si="15"/>
        <v>2</v>
      </c>
    </row>
    <row r="89" spans="1:8" ht="15" customHeight="1" x14ac:dyDescent="0.25">
      <c r="A89" s="11" t="s">
        <v>77</v>
      </c>
      <c r="B89" s="6">
        <v>54</v>
      </c>
      <c r="C89" s="16">
        <v>1</v>
      </c>
      <c r="D89" s="5">
        <f t="shared" si="13"/>
        <v>55</v>
      </c>
      <c r="E89" s="6">
        <v>23</v>
      </c>
      <c r="F89" s="16">
        <v>5</v>
      </c>
      <c r="G89" s="5">
        <f t="shared" si="14"/>
        <v>28</v>
      </c>
      <c r="H89" s="7">
        <f t="shared" si="15"/>
        <v>83</v>
      </c>
    </row>
    <row r="90" spans="1:8" ht="15" customHeight="1" x14ac:dyDescent="0.25">
      <c r="A90" s="11" t="s">
        <v>79</v>
      </c>
      <c r="B90" s="6">
        <v>9</v>
      </c>
      <c r="C90" s="16">
        <v>0</v>
      </c>
      <c r="D90" s="5">
        <f t="shared" si="13"/>
        <v>9</v>
      </c>
      <c r="E90" s="6">
        <v>6</v>
      </c>
      <c r="F90" s="16">
        <v>0</v>
      </c>
      <c r="G90" s="5">
        <f t="shared" si="14"/>
        <v>6</v>
      </c>
      <c r="H90" s="7">
        <f t="shared" si="15"/>
        <v>15</v>
      </c>
    </row>
    <row r="91" spans="1:8" ht="15" customHeight="1" x14ac:dyDescent="0.25">
      <c r="A91" s="11" t="s">
        <v>80</v>
      </c>
      <c r="B91" s="6">
        <v>353</v>
      </c>
      <c r="C91" s="16">
        <v>2</v>
      </c>
      <c r="D91" s="5">
        <f t="shared" si="13"/>
        <v>355</v>
      </c>
      <c r="E91" s="6">
        <v>56</v>
      </c>
      <c r="F91" s="16">
        <v>27</v>
      </c>
      <c r="G91" s="5">
        <f t="shared" si="14"/>
        <v>83</v>
      </c>
      <c r="H91" s="7">
        <f t="shared" si="15"/>
        <v>438</v>
      </c>
    </row>
    <row r="92" spans="1:8" ht="15" customHeight="1" x14ac:dyDescent="0.25">
      <c r="A92" s="11" t="s">
        <v>82</v>
      </c>
      <c r="B92" s="6">
        <v>30</v>
      </c>
      <c r="C92" s="16">
        <v>0</v>
      </c>
      <c r="D92" s="5">
        <f t="shared" si="13"/>
        <v>30</v>
      </c>
      <c r="E92" s="6">
        <v>7</v>
      </c>
      <c r="F92" s="16">
        <v>2</v>
      </c>
      <c r="G92" s="5">
        <f t="shared" si="14"/>
        <v>9</v>
      </c>
      <c r="H92" s="7">
        <f t="shared" si="15"/>
        <v>39</v>
      </c>
    </row>
    <row r="93" spans="1:8" ht="15" customHeight="1" x14ac:dyDescent="0.25">
      <c r="A93" s="11" t="s">
        <v>83</v>
      </c>
      <c r="B93" s="6">
        <v>36</v>
      </c>
      <c r="C93" s="16">
        <v>1</v>
      </c>
      <c r="D93" s="5">
        <f t="shared" si="13"/>
        <v>37</v>
      </c>
      <c r="E93" s="6">
        <v>72</v>
      </c>
      <c r="F93" s="16">
        <v>4</v>
      </c>
      <c r="G93" s="5">
        <f t="shared" si="14"/>
        <v>76</v>
      </c>
      <c r="H93" s="7">
        <f t="shared" si="15"/>
        <v>113</v>
      </c>
    </row>
    <row r="94" spans="1:8" ht="15" customHeight="1" x14ac:dyDescent="0.25">
      <c r="A94" s="11" t="s">
        <v>84</v>
      </c>
      <c r="B94" s="6">
        <v>54</v>
      </c>
      <c r="C94" s="16">
        <v>4</v>
      </c>
      <c r="D94" s="5">
        <f t="shared" si="13"/>
        <v>58</v>
      </c>
      <c r="E94" s="6">
        <v>63</v>
      </c>
      <c r="F94" s="16">
        <v>1</v>
      </c>
      <c r="G94" s="5">
        <f t="shared" si="14"/>
        <v>64</v>
      </c>
      <c r="H94" s="7">
        <f t="shared" si="15"/>
        <v>122</v>
      </c>
    </row>
    <row r="95" spans="1:8" ht="15" customHeight="1" x14ac:dyDescent="0.25">
      <c r="A95" s="11" t="s">
        <v>179</v>
      </c>
      <c r="B95" s="6">
        <v>1</v>
      </c>
      <c r="C95" s="16">
        <v>0</v>
      </c>
      <c r="D95" s="5">
        <f t="shared" si="13"/>
        <v>1</v>
      </c>
      <c r="E95" s="6">
        <v>1</v>
      </c>
      <c r="F95" s="16">
        <v>0</v>
      </c>
      <c r="G95" s="5">
        <f t="shared" si="14"/>
        <v>1</v>
      </c>
      <c r="H95" s="7">
        <f t="shared" si="15"/>
        <v>2</v>
      </c>
    </row>
    <row r="96" spans="1:8" ht="15" customHeight="1" x14ac:dyDescent="0.25">
      <c r="A96" s="11" t="s">
        <v>180</v>
      </c>
      <c r="B96" s="6">
        <v>1</v>
      </c>
      <c r="C96" s="16">
        <v>0</v>
      </c>
      <c r="D96" s="5">
        <f t="shared" si="13"/>
        <v>1</v>
      </c>
      <c r="E96" s="6">
        <v>0</v>
      </c>
      <c r="F96" s="16">
        <v>0</v>
      </c>
      <c r="G96" s="5">
        <f t="shared" si="14"/>
        <v>0</v>
      </c>
      <c r="H96" s="7">
        <f t="shared" si="15"/>
        <v>1</v>
      </c>
    </row>
    <row r="97" spans="1:8" ht="15" customHeight="1" thickBot="1" x14ac:dyDescent="0.3">
      <c r="A97" s="11" t="s">
        <v>85</v>
      </c>
      <c r="B97" s="6">
        <v>45</v>
      </c>
      <c r="C97" s="16">
        <v>1</v>
      </c>
      <c r="D97" s="5">
        <f t="shared" si="13"/>
        <v>46</v>
      </c>
      <c r="E97" s="6">
        <v>5</v>
      </c>
      <c r="F97" s="16">
        <v>1</v>
      </c>
      <c r="G97" s="5">
        <f t="shared" si="14"/>
        <v>6</v>
      </c>
      <c r="H97" s="7">
        <f t="shared" si="15"/>
        <v>52</v>
      </c>
    </row>
    <row r="98" spans="1:8" ht="15" customHeight="1" thickTop="1" thickBot="1" x14ac:dyDescent="0.3">
      <c r="A98" s="12" t="s">
        <v>6</v>
      </c>
      <c r="B98" s="13">
        <f t="shared" ref="B98:G98" si="16">SUM(B72:B97)</f>
        <v>2314</v>
      </c>
      <c r="C98" s="13">
        <f t="shared" si="16"/>
        <v>61</v>
      </c>
      <c r="D98" s="13">
        <f t="shared" si="16"/>
        <v>2375</v>
      </c>
      <c r="E98" s="13">
        <f t="shared" si="16"/>
        <v>1153</v>
      </c>
      <c r="F98" s="13">
        <f t="shared" si="16"/>
        <v>76</v>
      </c>
      <c r="G98" s="13">
        <f t="shared" si="16"/>
        <v>1229</v>
      </c>
      <c r="H98" s="15">
        <f t="shared" si="15"/>
        <v>3604</v>
      </c>
    </row>
    <row r="99" spans="1:8" ht="15" customHeight="1" thickTop="1" thickBot="1" x14ac:dyDescent="0.3">
      <c r="A99" s="23" t="s">
        <v>86</v>
      </c>
      <c r="B99" s="24"/>
      <c r="C99" s="24"/>
      <c r="D99" s="24"/>
      <c r="E99" s="24"/>
      <c r="F99" s="24"/>
      <c r="G99" s="24"/>
      <c r="H99" s="25"/>
    </row>
    <row r="100" spans="1:8" ht="15" customHeight="1" thickTop="1" x14ac:dyDescent="0.25">
      <c r="A100" s="11" t="s">
        <v>87</v>
      </c>
      <c r="B100" s="6">
        <v>0</v>
      </c>
      <c r="C100" s="16">
        <v>0</v>
      </c>
      <c r="D100" s="5">
        <f t="shared" ref="D100:D125" si="17">B100+C100</f>
        <v>0</v>
      </c>
      <c r="E100" s="6">
        <v>4</v>
      </c>
      <c r="F100" s="16">
        <v>0</v>
      </c>
      <c r="G100" s="5">
        <f t="shared" ref="G100:G125" si="18">E100+F100</f>
        <v>4</v>
      </c>
      <c r="H100" s="7">
        <f t="shared" ref="H100:H125" si="19">G100+D100</f>
        <v>4</v>
      </c>
    </row>
    <row r="101" spans="1:8" ht="15" customHeight="1" x14ac:dyDescent="0.25">
      <c r="A101" s="11" t="s">
        <v>181</v>
      </c>
      <c r="B101" s="6">
        <v>1</v>
      </c>
      <c r="C101" s="16">
        <v>0</v>
      </c>
      <c r="D101" s="5">
        <f t="shared" si="17"/>
        <v>1</v>
      </c>
      <c r="E101" s="6">
        <v>0</v>
      </c>
      <c r="F101" s="16">
        <v>0</v>
      </c>
      <c r="G101" s="5">
        <f t="shared" si="18"/>
        <v>0</v>
      </c>
      <c r="H101" s="7">
        <f t="shared" si="19"/>
        <v>1</v>
      </c>
    </row>
    <row r="102" spans="1:8" ht="15" customHeight="1" x14ac:dyDescent="0.25">
      <c r="A102" s="11" t="s">
        <v>182</v>
      </c>
      <c r="B102" s="6">
        <v>1</v>
      </c>
      <c r="C102" s="16">
        <v>0</v>
      </c>
      <c r="D102" s="5">
        <f t="shared" si="17"/>
        <v>1</v>
      </c>
      <c r="E102" s="6">
        <v>0</v>
      </c>
      <c r="F102" s="16">
        <v>0</v>
      </c>
      <c r="G102" s="5">
        <f t="shared" si="18"/>
        <v>0</v>
      </c>
      <c r="H102" s="7">
        <f t="shared" si="19"/>
        <v>1</v>
      </c>
    </row>
    <row r="103" spans="1:8" ht="15" customHeight="1" x14ac:dyDescent="0.25">
      <c r="A103" s="11" t="s">
        <v>88</v>
      </c>
      <c r="B103" s="6">
        <v>2</v>
      </c>
      <c r="C103" s="16">
        <v>0</v>
      </c>
      <c r="D103" s="5">
        <f t="shared" si="17"/>
        <v>2</v>
      </c>
      <c r="E103" s="6">
        <v>4</v>
      </c>
      <c r="F103" s="16">
        <v>0</v>
      </c>
      <c r="G103" s="5">
        <f t="shared" si="18"/>
        <v>4</v>
      </c>
      <c r="H103" s="7">
        <f t="shared" si="19"/>
        <v>6</v>
      </c>
    </row>
    <row r="104" spans="1:8" ht="15" customHeight="1" x14ac:dyDescent="0.25">
      <c r="A104" s="11" t="s">
        <v>183</v>
      </c>
      <c r="B104" s="6">
        <v>1</v>
      </c>
      <c r="C104" s="16">
        <v>0</v>
      </c>
      <c r="D104" s="5">
        <f t="shared" si="17"/>
        <v>1</v>
      </c>
      <c r="E104" s="6">
        <v>0</v>
      </c>
      <c r="F104" s="16">
        <v>0</v>
      </c>
      <c r="G104" s="5">
        <f t="shared" si="18"/>
        <v>0</v>
      </c>
      <c r="H104" s="7">
        <f t="shared" si="19"/>
        <v>1</v>
      </c>
    </row>
    <row r="105" spans="1:8" ht="15" customHeight="1" x14ac:dyDescent="0.25">
      <c r="A105" s="11" t="s">
        <v>90</v>
      </c>
      <c r="B105" s="6">
        <v>11</v>
      </c>
      <c r="C105" s="16">
        <v>0</v>
      </c>
      <c r="D105" s="5">
        <f t="shared" si="17"/>
        <v>11</v>
      </c>
      <c r="E105" s="6">
        <v>18</v>
      </c>
      <c r="F105" s="16">
        <v>4</v>
      </c>
      <c r="G105" s="5">
        <f t="shared" si="18"/>
        <v>22</v>
      </c>
      <c r="H105" s="7">
        <f t="shared" si="19"/>
        <v>33</v>
      </c>
    </row>
    <row r="106" spans="1:8" ht="15" customHeight="1" x14ac:dyDescent="0.25">
      <c r="A106" s="11" t="s">
        <v>92</v>
      </c>
      <c r="B106" s="6">
        <v>0</v>
      </c>
      <c r="C106" s="16">
        <v>0</v>
      </c>
      <c r="D106" s="5">
        <f t="shared" si="17"/>
        <v>0</v>
      </c>
      <c r="E106" s="6">
        <v>1</v>
      </c>
      <c r="F106" s="16">
        <v>0</v>
      </c>
      <c r="G106" s="5">
        <f t="shared" si="18"/>
        <v>1</v>
      </c>
      <c r="H106" s="7">
        <f t="shared" si="19"/>
        <v>1</v>
      </c>
    </row>
    <row r="107" spans="1:8" ht="15" customHeight="1" x14ac:dyDescent="0.25">
      <c r="A107" s="11" t="s">
        <v>95</v>
      </c>
      <c r="B107" s="6">
        <v>3</v>
      </c>
      <c r="C107" s="16">
        <v>0</v>
      </c>
      <c r="D107" s="5">
        <f t="shared" si="17"/>
        <v>3</v>
      </c>
      <c r="E107" s="6">
        <v>4</v>
      </c>
      <c r="F107" s="16">
        <v>0</v>
      </c>
      <c r="G107" s="5">
        <f t="shared" si="18"/>
        <v>4</v>
      </c>
      <c r="H107" s="7">
        <f t="shared" si="19"/>
        <v>7</v>
      </c>
    </row>
    <row r="108" spans="1:8" ht="15" customHeight="1" x14ac:dyDescent="0.25">
      <c r="A108" s="11" t="s">
        <v>96</v>
      </c>
      <c r="B108" s="6">
        <v>20</v>
      </c>
      <c r="C108" s="16">
        <v>0</v>
      </c>
      <c r="D108" s="5">
        <f t="shared" si="17"/>
        <v>20</v>
      </c>
      <c r="E108" s="6">
        <v>5</v>
      </c>
      <c r="F108" s="16">
        <v>1</v>
      </c>
      <c r="G108" s="5">
        <f t="shared" si="18"/>
        <v>6</v>
      </c>
      <c r="H108" s="7">
        <f t="shared" si="19"/>
        <v>26</v>
      </c>
    </row>
    <row r="109" spans="1:8" ht="15" customHeight="1" x14ac:dyDescent="0.25">
      <c r="A109" s="11" t="s">
        <v>99</v>
      </c>
      <c r="B109" s="6">
        <v>0</v>
      </c>
      <c r="C109" s="16">
        <v>0</v>
      </c>
      <c r="D109" s="5">
        <f t="shared" si="17"/>
        <v>0</v>
      </c>
      <c r="E109" s="6">
        <v>8</v>
      </c>
      <c r="F109" s="16">
        <v>0</v>
      </c>
      <c r="G109" s="5">
        <f t="shared" si="18"/>
        <v>8</v>
      </c>
      <c r="H109" s="7">
        <f t="shared" si="19"/>
        <v>8</v>
      </c>
    </row>
    <row r="110" spans="1:8" ht="15" customHeight="1" x14ac:dyDescent="0.25">
      <c r="A110" s="11" t="s">
        <v>100</v>
      </c>
      <c r="B110" s="6">
        <v>2</v>
      </c>
      <c r="C110" s="16">
        <v>0</v>
      </c>
      <c r="D110" s="5">
        <f t="shared" si="17"/>
        <v>2</v>
      </c>
      <c r="E110" s="6">
        <v>2</v>
      </c>
      <c r="F110" s="16">
        <v>2</v>
      </c>
      <c r="G110" s="5">
        <f t="shared" si="18"/>
        <v>4</v>
      </c>
      <c r="H110" s="7">
        <f t="shared" si="19"/>
        <v>6</v>
      </c>
    </row>
    <row r="111" spans="1:8" ht="15" customHeight="1" x14ac:dyDescent="0.25">
      <c r="A111" s="11" t="s">
        <v>208</v>
      </c>
      <c r="B111" s="6">
        <v>1</v>
      </c>
      <c r="C111" s="16">
        <v>0</v>
      </c>
      <c r="D111" s="5">
        <f t="shared" si="17"/>
        <v>1</v>
      </c>
      <c r="E111" s="6">
        <v>0</v>
      </c>
      <c r="F111" s="16">
        <v>0</v>
      </c>
      <c r="G111" s="5">
        <f t="shared" si="18"/>
        <v>0</v>
      </c>
      <c r="H111" s="7">
        <f t="shared" si="19"/>
        <v>1</v>
      </c>
    </row>
    <row r="112" spans="1:8" ht="15" customHeight="1" x14ac:dyDescent="0.25">
      <c r="A112" s="11" t="s">
        <v>101</v>
      </c>
      <c r="B112" s="6">
        <v>24</v>
      </c>
      <c r="C112" s="16">
        <v>0</v>
      </c>
      <c r="D112" s="5">
        <f t="shared" si="17"/>
        <v>24</v>
      </c>
      <c r="E112" s="6">
        <v>6</v>
      </c>
      <c r="F112" s="16">
        <v>1</v>
      </c>
      <c r="G112" s="5">
        <f t="shared" si="18"/>
        <v>7</v>
      </c>
      <c r="H112" s="7">
        <f t="shared" si="19"/>
        <v>31</v>
      </c>
    </row>
    <row r="113" spans="1:8" ht="15" customHeight="1" x14ac:dyDescent="0.25">
      <c r="A113" s="11" t="s">
        <v>102</v>
      </c>
      <c r="B113" s="6">
        <v>5</v>
      </c>
      <c r="C113" s="16">
        <v>0</v>
      </c>
      <c r="D113" s="5">
        <f t="shared" si="17"/>
        <v>5</v>
      </c>
      <c r="E113" s="6">
        <v>0</v>
      </c>
      <c r="F113" s="16">
        <v>0</v>
      </c>
      <c r="G113" s="5">
        <f t="shared" si="18"/>
        <v>0</v>
      </c>
      <c r="H113" s="7">
        <f t="shared" si="19"/>
        <v>5</v>
      </c>
    </row>
    <row r="114" spans="1:8" ht="15" customHeight="1" x14ac:dyDescent="0.25">
      <c r="A114" s="11" t="s">
        <v>186</v>
      </c>
      <c r="B114" s="6">
        <v>0</v>
      </c>
      <c r="C114" s="16">
        <v>0</v>
      </c>
      <c r="D114" s="5">
        <f t="shared" si="17"/>
        <v>0</v>
      </c>
      <c r="E114" s="6">
        <v>2</v>
      </c>
      <c r="F114" s="16">
        <v>0</v>
      </c>
      <c r="G114" s="5">
        <f t="shared" si="18"/>
        <v>2</v>
      </c>
      <c r="H114" s="7">
        <f t="shared" si="19"/>
        <v>2</v>
      </c>
    </row>
    <row r="115" spans="1:8" ht="15" customHeight="1" x14ac:dyDescent="0.25">
      <c r="A115" s="11" t="s">
        <v>104</v>
      </c>
      <c r="B115" s="6">
        <v>47</v>
      </c>
      <c r="C115" s="16">
        <v>0</v>
      </c>
      <c r="D115" s="5">
        <f t="shared" si="17"/>
        <v>47</v>
      </c>
      <c r="E115" s="6">
        <v>57</v>
      </c>
      <c r="F115" s="16">
        <v>3</v>
      </c>
      <c r="G115" s="5">
        <f t="shared" si="18"/>
        <v>60</v>
      </c>
      <c r="H115" s="7">
        <f t="shared" si="19"/>
        <v>107</v>
      </c>
    </row>
    <row r="116" spans="1:8" ht="15" customHeight="1" x14ac:dyDescent="0.25">
      <c r="A116" s="11" t="s">
        <v>188</v>
      </c>
      <c r="B116" s="6">
        <v>1</v>
      </c>
      <c r="C116" s="16">
        <v>0</v>
      </c>
      <c r="D116" s="5">
        <f t="shared" si="17"/>
        <v>1</v>
      </c>
      <c r="E116" s="6">
        <v>0</v>
      </c>
      <c r="F116" s="16">
        <v>0</v>
      </c>
      <c r="G116" s="5">
        <f t="shared" si="18"/>
        <v>0</v>
      </c>
      <c r="H116" s="7">
        <f t="shared" si="19"/>
        <v>1</v>
      </c>
    </row>
    <row r="117" spans="1:8" ht="15" customHeight="1" x14ac:dyDescent="0.25">
      <c r="A117" s="11" t="s">
        <v>109</v>
      </c>
      <c r="B117" s="6">
        <v>1</v>
      </c>
      <c r="C117" s="16">
        <v>0</v>
      </c>
      <c r="D117" s="5">
        <f t="shared" si="17"/>
        <v>1</v>
      </c>
      <c r="E117" s="6">
        <v>0</v>
      </c>
      <c r="F117" s="16">
        <v>0</v>
      </c>
      <c r="G117" s="5">
        <f t="shared" si="18"/>
        <v>0</v>
      </c>
      <c r="H117" s="7">
        <f t="shared" si="19"/>
        <v>1</v>
      </c>
    </row>
    <row r="118" spans="1:8" ht="15" customHeight="1" x14ac:dyDescent="0.25">
      <c r="A118" s="11" t="s">
        <v>107</v>
      </c>
      <c r="B118" s="6">
        <v>6</v>
      </c>
      <c r="C118" s="16">
        <v>0</v>
      </c>
      <c r="D118" s="5">
        <f t="shared" si="17"/>
        <v>6</v>
      </c>
      <c r="E118" s="6">
        <v>18</v>
      </c>
      <c r="F118" s="16">
        <v>5</v>
      </c>
      <c r="G118" s="5">
        <f t="shared" si="18"/>
        <v>23</v>
      </c>
      <c r="H118" s="7">
        <f t="shared" si="19"/>
        <v>29</v>
      </c>
    </row>
    <row r="119" spans="1:8" ht="15" customHeight="1" x14ac:dyDescent="0.25">
      <c r="A119" s="11" t="s">
        <v>108</v>
      </c>
      <c r="B119" s="6">
        <v>0</v>
      </c>
      <c r="C119" s="16">
        <v>0</v>
      </c>
      <c r="D119" s="5">
        <f t="shared" si="17"/>
        <v>0</v>
      </c>
      <c r="E119" s="6">
        <v>5</v>
      </c>
      <c r="F119" s="16">
        <v>1</v>
      </c>
      <c r="G119" s="5">
        <f t="shared" si="18"/>
        <v>6</v>
      </c>
      <c r="H119" s="7">
        <f t="shared" si="19"/>
        <v>6</v>
      </c>
    </row>
    <row r="120" spans="1:8" ht="15" customHeight="1" x14ac:dyDescent="0.25">
      <c r="A120" s="11" t="s">
        <v>110</v>
      </c>
      <c r="B120" s="6">
        <v>5</v>
      </c>
      <c r="C120" s="16">
        <v>0</v>
      </c>
      <c r="D120" s="5">
        <f t="shared" si="17"/>
        <v>5</v>
      </c>
      <c r="E120" s="6">
        <v>3</v>
      </c>
      <c r="F120" s="16">
        <v>0</v>
      </c>
      <c r="G120" s="5">
        <f t="shared" si="18"/>
        <v>3</v>
      </c>
      <c r="H120" s="7">
        <f t="shared" si="19"/>
        <v>8</v>
      </c>
    </row>
    <row r="121" spans="1:8" ht="15" customHeight="1" x14ac:dyDescent="0.25">
      <c r="A121" s="11" t="s">
        <v>155</v>
      </c>
      <c r="B121" s="6">
        <v>0</v>
      </c>
      <c r="C121" s="16">
        <v>0</v>
      </c>
      <c r="D121" s="5">
        <f t="shared" si="17"/>
        <v>0</v>
      </c>
      <c r="E121" s="6">
        <v>1</v>
      </c>
      <c r="F121" s="16">
        <v>0</v>
      </c>
      <c r="G121" s="5">
        <f t="shared" si="18"/>
        <v>1</v>
      </c>
      <c r="H121" s="7">
        <f t="shared" si="19"/>
        <v>1</v>
      </c>
    </row>
    <row r="122" spans="1:8" ht="15" customHeight="1" x14ac:dyDescent="0.25">
      <c r="A122" s="11" t="s">
        <v>111</v>
      </c>
      <c r="B122" s="6">
        <v>1</v>
      </c>
      <c r="C122" s="16">
        <v>0</v>
      </c>
      <c r="D122" s="5">
        <f t="shared" si="17"/>
        <v>1</v>
      </c>
      <c r="E122" s="6">
        <v>4</v>
      </c>
      <c r="F122" s="16">
        <v>1</v>
      </c>
      <c r="G122" s="5">
        <f t="shared" si="18"/>
        <v>5</v>
      </c>
      <c r="H122" s="7">
        <f t="shared" si="19"/>
        <v>6</v>
      </c>
    </row>
    <row r="123" spans="1:8" ht="15" customHeight="1" x14ac:dyDescent="0.25">
      <c r="A123" s="11" t="s">
        <v>112</v>
      </c>
      <c r="B123" s="6">
        <v>1</v>
      </c>
      <c r="C123" s="16">
        <v>0</v>
      </c>
      <c r="D123" s="5">
        <f t="shared" si="17"/>
        <v>1</v>
      </c>
      <c r="E123" s="6">
        <v>0</v>
      </c>
      <c r="F123" s="16">
        <v>0</v>
      </c>
      <c r="G123" s="5">
        <f t="shared" si="18"/>
        <v>0</v>
      </c>
      <c r="H123" s="7">
        <f t="shared" si="19"/>
        <v>1</v>
      </c>
    </row>
    <row r="124" spans="1:8" ht="15" customHeight="1" x14ac:dyDescent="0.25">
      <c r="A124" s="11" t="s">
        <v>113</v>
      </c>
      <c r="B124" s="6">
        <v>1</v>
      </c>
      <c r="C124" s="16">
        <v>0</v>
      </c>
      <c r="D124" s="5">
        <f t="shared" si="17"/>
        <v>1</v>
      </c>
      <c r="E124" s="6">
        <v>0</v>
      </c>
      <c r="F124" s="16">
        <v>0</v>
      </c>
      <c r="G124" s="5">
        <f t="shared" si="18"/>
        <v>0</v>
      </c>
      <c r="H124" s="7">
        <f t="shared" si="19"/>
        <v>1</v>
      </c>
    </row>
    <row r="125" spans="1:8" ht="15" customHeight="1" thickBot="1" x14ac:dyDescent="0.3">
      <c r="A125" s="11" t="s">
        <v>114</v>
      </c>
      <c r="B125" s="6">
        <v>3</v>
      </c>
      <c r="C125" s="16">
        <v>0</v>
      </c>
      <c r="D125" s="5">
        <f t="shared" si="17"/>
        <v>3</v>
      </c>
      <c r="E125" s="6">
        <v>2</v>
      </c>
      <c r="F125" s="16">
        <v>2</v>
      </c>
      <c r="G125" s="5">
        <f t="shared" si="18"/>
        <v>4</v>
      </c>
      <c r="H125" s="7">
        <f t="shared" si="19"/>
        <v>7</v>
      </c>
    </row>
    <row r="126" spans="1:8" ht="15" customHeight="1" thickTop="1" thickBot="1" x14ac:dyDescent="0.3">
      <c r="A126" s="12" t="s">
        <v>6</v>
      </c>
      <c r="B126" s="13">
        <f t="shared" ref="B126:H126" si="20">SUM(B100:B125)</f>
        <v>137</v>
      </c>
      <c r="C126" s="13">
        <f t="shared" si="20"/>
        <v>0</v>
      </c>
      <c r="D126" s="13">
        <f t="shared" si="20"/>
        <v>137</v>
      </c>
      <c r="E126" s="13">
        <f t="shared" si="20"/>
        <v>144</v>
      </c>
      <c r="F126" s="13">
        <f t="shared" si="20"/>
        <v>20</v>
      </c>
      <c r="G126" s="13">
        <f t="shared" si="20"/>
        <v>164</v>
      </c>
      <c r="H126" s="15">
        <f t="shared" si="20"/>
        <v>301</v>
      </c>
    </row>
    <row r="127" spans="1:8" ht="15" customHeight="1" thickTop="1" thickBot="1" x14ac:dyDescent="0.3">
      <c r="A127" s="23" t="s">
        <v>115</v>
      </c>
      <c r="B127" s="24"/>
      <c r="C127" s="24"/>
      <c r="D127" s="24"/>
      <c r="E127" s="24"/>
      <c r="F127" s="24"/>
      <c r="G127" s="24"/>
      <c r="H127" s="25"/>
    </row>
    <row r="128" spans="1:8" ht="15" customHeight="1" thickTop="1" x14ac:dyDescent="0.25">
      <c r="A128" s="11" t="s">
        <v>116</v>
      </c>
      <c r="B128" s="6">
        <v>37</v>
      </c>
      <c r="C128" s="16">
        <v>1</v>
      </c>
      <c r="D128" s="5">
        <f t="shared" ref="D128:D129" si="21">B128+C128</f>
        <v>38</v>
      </c>
      <c r="E128" s="6">
        <v>94</v>
      </c>
      <c r="F128" s="16">
        <v>10</v>
      </c>
      <c r="G128" s="5">
        <f t="shared" ref="G128:G129" si="22">E128+F128</f>
        <v>104</v>
      </c>
      <c r="H128" s="7">
        <f t="shared" ref="H128:H129" si="23">G128+D128</f>
        <v>142</v>
      </c>
    </row>
    <row r="129" spans="1:8" ht="15" customHeight="1" thickBot="1" x14ac:dyDescent="0.3">
      <c r="A129" s="11" t="s">
        <v>117</v>
      </c>
      <c r="B129" s="6">
        <v>383</v>
      </c>
      <c r="C129" s="16">
        <v>1</v>
      </c>
      <c r="D129" s="5">
        <f t="shared" si="21"/>
        <v>384</v>
      </c>
      <c r="E129" s="6">
        <v>392</v>
      </c>
      <c r="F129" s="16">
        <v>15</v>
      </c>
      <c r="G129" s="5">
        <f t="shared" si="22"/>
        <v>407</v>
      </c>
      <c r="H129" s="7">
        <f t="shared" si="23"/>
        <v>791</v>
      </c>
    </row>
    <row r="130" spans="1:8" ht="15" customHeight="1" thickTop="1" thickBot="1" x14ac:dyDescent="0.3">
      <c r="A130" s="12" t="s">
        <v>6</v>
      </c>
      <c r="B130" s="13">
        <f>SUM(B128:B129)</f>
        <v>420</v>
      </c>
      <c r="C130" s="13">
        <f t="shared" ref="C130:H130" si="24">SUM(C128:C129)</f>
        <v>2</v>
      </c>
      <c r="D130" s="13">
        <f t="shared" si="24"/>
        <v>422</v>
      </c>
      <c r="E130" s="13">
        <f t="shared" si="24"/>
        <v>486</v>
      </c>
      <c r="F130" s="13">
        <f t="shared" si="24"/>
        <v>25</v>
      </c>
      <c r="G130" s="13">
        <f t="shared" si="24"/>
        <v>511</v>
      </c>
      <c r="H130" s="15">
        <f t="shared" si="24"/>
        <v>933</v>
      </c>
    </row>
    <row r="131" spans="1:8" ht="15" customHeight="1" thickTop="1" thickBot="1" x14ac:dyDescent="0.3">
      <c r="A131" s="23" t="s">
        <v>145</v>
      </c>
      <c r="B131" s="24"/>
      <c r="C131" s="24"/>
      <c r="D131" s="24"/>
      <c r="E131" s="24"/>
      <c r="F131" s="24"/>
      <c r="G131" s="24"/>
      <c r="H131" s="25"/>
    </row>
    <row r="132" spans="1:8" ht="15" customHeight="1" thickTop="1" x14ac:dyDescent="0.25">
      <c r="A132" s="11" t="s">
        <v>118</v>
      </c>
      <c r="B132" s="6">
        <v>0</v>
      </c>
      <c r="C132" s="16">
        <v>0</v>
      </c>
      <c r="D132" s="5">
        <f>B132+C132</f>
        <v>0</v>
      </c>
      <c r="E132" s="6">
        <v>1</v>
      </c>
      <c r="F132" s="16">
        <v>0</v>
      </c>
      <c r="G132" s="5">
        <f>E132+F132</f>
        <v>1</v>
      </c>
      <c r="H132" s="7">
        <f>G132+D132</f>
        <v>1</v>
      </c>
    </row>
    <row r="133" spans="1:8" ht="15" customHeight="1" x14ac:dyDescent="0.25">
      <c r="A133" s="11" t="s">
        <v>119</v>
      </c>
      <c r="B133" s="6">
        <v>1</v>
      </c>
      <c r="C133" s="16">
        <v>0</v>
      </c>
      <c r="D133" s="5">
        <f>B133+C133</f>
        <v>1</v>
      </c>
      <c r="E133" s="6">
        <v>2</v>
      </c>
      <c r="F133" s="16">
        <v>1</v>
      </c>
      <c r="G133" s="5">
        <f>E133+F133</f>
        <v>3</v>
      </c>
      <c r="H133" s="7">
        <f>G133+D133</f>
        <v>4</v>
      </c>
    </row>
    <row r="134" spans="1:8" ht="15" customHeight="1" x14ac:dyDescent="0.25">
      <c r="A134" s="11" t="s">
        <v>120</v>
      </c>
      <c r="B134" s="6">
        <v>1</v>
      </c>
      <c r="C134" s="16">
        <v>0</v>
      </c>
      <c r="D134" s="5">
        <f>B134+C134</f>
        <v>1</v>
      </c>
      <c r="E134" s="6">
        <v>1</v>
      </c>
      <c r="F134" s="16">
        <v>0</v>
      </c>
      <c r="G134" s="5">
        <f>E134+F134</f>
        <v>1</v>
      </c>
      <c r="H134" s="7">
        <f>G134+D134</f>
        <v>2</v>
      </c>
    </row>
    <row r="135" spans="1:8" ht="15" customHeight="1" x14ac:dyDescent="0.25">
      <c r="A135" s="11" t="s">
        <v>122</v>
      </c>
      <c r="B135" s="6">
        <v>1</v>
      </c>
      <c r="C135" s="16">
        <v>0</v>
      </c>
      <c r="D135" s="5">
        <f t="shared" ref="D135:D138" si="25">B135+C135</f>
        <v>1</v>
      </c>
      <c r="E135" s="6">
        <v>0</v>
      </c>
      <c r="F135" s="16">
        <v>0</v>
      </c>
      <c r="G135" s="5">
        <f t="shared" ref="G135:G138" si="26">E135+F135</f>
        <v>0</v>
      </c>
      <c r="H135" s="7">
        <f t="shared" ref="H135:H138" si="27">G135+D135</f>
        <v>1</v>
      </c>
    </row>
    <row r="136" spans="1:8" ht="15" customHeight="1" x14ac:dyDescent="0.25">
      <c r="A136" s="11" t="s">
        <v>189</v>
      </c>
      <c r="B136" s="6">
        <v>0</v>
      </c>
      <c r="C136" s="16">
        <v>0</v>
      </c>
      <c r="D136" s="5">
        <f t="shared" si="25"/>
        <v>0</v>
      </c>
      <c r="E136" s="6">
        <v>1</v>
      </c>
      <c r="F136" s="16">
        <v>0</v>
      </c>
      <c r="G136" s="5">
        <f t="shared" si="26"/>
        <v>1</v>
      </c>
      <c r="H136" s="7">
        <f t="shared" si="27"/>
        <v>1</v>
      </c>
    </row>
    <row r="137" spans="1:8" ht="15" customHeight="1" x14ac:dyDescent="0.25">
      <c r="A137" s="11" t="s">
        <v>190</v>
      </c>
      <c r="B137" s="6">
        <v>1</v>
      </c>
      <c r="C137" s="16">
        <v>0</v>
      </c>
      <c r="D137" s="5">
        <f t="shared" si="25"/>
        <v>1</v>
      </c>
      <c r="E137" s="6">
        <v>0</v>
      </c>
      <c r="F137" s="16">
        <v>0</v>
      </c>
      <c r="G137" s="5">
        <f t="shared" si="26"/>
        <v>0</v>
      </c>
      <c r="H137" s="7">
        <f t="shared" si="27"/>
        <v>1</v>
      </c>
    </row>
    <row r="138" spans="1:8" ht="15" customHeight="1" x14ac:dyDescent="0.25">
      <c r="A138" s="11" t="s">
        <v>123</v>
      </c>
      <c r="B138" s="6">
        <v>0</v>
      </c>
      <c r="C138" s="16">
        <v>0</v>
      </c>
      <c r="D138" s="5">
        <f t="shared" si="25"/>
        <v>0</v>
      </c>
      <c r="E138" s="6">
        <v>2</v>
      </c>
      <c r="F138" s="16">
        <v>1</v>
      </c>
      <c r="G138" s="5">
        <f t="shared" si="26"/>
        <v>3</v>
      </c>
      <c r="H138" s="7">
        <f t="shared" si="27"/>
        <v>3</v>
      </c>
    </row>
    <row r="139" spans="1:8" ht="15" customHeight="1" x14ac:dyDescent="0.25">
      <c r="A139" s="11" t="s">
        <v>135</v>
      </c>
      <c r="B139" s="6">
        <v>6</v>
      </c>
      <c r="C139" s="16">
        <v>0</v>
      </c>
      <c r="D139" s="5">
        <f>B139+C139</f>
        <v>6</v>
      </c>
      <c r="E139" s="6">
        <v>58</v>
      </c>
      <c r="F139" s="16">
        <v>0</v>
      </c>
      <c r="G139" s="5">
        <f>E139+F139</f>
        <v>58</v>
      </c>
      <c r="H139" s="7">
        <v>64</v>
      </c>
    </row>
    <row r="140" spans="1:8" ht="15" customHeight="1" x14ac:dyDescent="0.25">
      <c r="A140" s="11" t="s">
        <v>191</v>
      </c>
      <c r="B140" s="6">
        <v>0</v>
      </c>
      <c r="C140" s="16">
        <v>0</v>
      </c>
      <c r="D140" s="5">
        <f>B140+C140</f>
        <v>0</v>
      </c>
      <c r="E140" s="6">
        <v>1</v>
      </c>
      <c r="F140" s="16">
        <v>0</v>
      </c>
      <c r="G140" s="5">
        <f>E140+F140</f>
        <v>1</v>
      </c>
      <c r="H140" s="7">
        <f>G140+D140</f>
        <v>1</v>
      </c>
    </row>
    <row r="141" spans="1:8" ht="15" customHeight="1" x14ac:dyDescent="0.25">
      <c r="A141" s="11" t="s">
        <v>209</v>
      </c>
      <c r="B141" s="6">
        <v>0</v>
      </c>
      <c r="C141" s="16">
        <v>0</v>
      </c>
      <c r="D141" s="5">
        <f>B141+C141</f>
        <v>0</v>
      </c>
      <c r="E141" s="6">
        <v>2</v>
      </c>
      <c r="F141" s="16">
        <v>0</v>
      </c>
      <c r="G141" s="5">
        <f>E141+F141</f>
        <v>2</v>
      </c>
      <c r="H141" s="7">
        <f>G141+D141</f>
        <v>2</v>
      </c>
    </row>
    <row r="142" spans="1:8" ht="15" customHeight="1" thickBot="1" x14ac:dyDescent="0.3">
      <c r="A142" s="11" t="s">
        <v>192</v>
      </c>
      <c r="B142" s="6">
        <v>10</v>
      </c>
      <c r="C142" s="16">
        <v>0</v>
      </c>
      <c r="D142" s="5">
        <f>B142+C142</f>
        <v>10</v>
      </c>
      <c r="E142" s="6">
        <v>6</v>
      </c>
      <c r="F142" s="16">
        <v>1</v>
      </c>
      <c r="G142" s="5">
        <f>E142+F142</f>
        <v>7</v>
      </c>
      <c r="H142" s="7">
        <f>G142+D142</f>
        <v>17</v>
      </c>
    </row>
    <row r="143" spans="1:8" ht="15" customHeight="1" thickTop="1" thickBot="1" x14ac:dyDescent="0.3">
      <c r="A143" s="12" t="s">
        <v>6</v>
      </c>
      <c r="B143" s="13">
        <f>SUM(B132:B142)</f>
        <v>20</v>
      </c>
      <c r="C143" s="13">
        <f t="shared" ref="C143:H143" si="28">SUM(C132:C142)</f>
        <v>0</v>
      </c>
      <c r="D143" s="13">
        <f t="shared" si="28"/>
        <v>20</v>
      </c>
      <c r="E143" s="13">
        <f t="shared" si="28"/>
        <v>74</v>
      </c>
      <c r="F143" s="13">
        <f t="shared" si="28"/>
        <v>3</v>
      </c>
      <c r="G143" s="13">
        <f t="shared" si="28"/>
        <v>77</v>
      </c>
      <c r="H143" s="15">
        <f t="shared" si="28"/>
        <v>97</v>
      </c>
    </row>
    <row r="144" spans="1:8" ht="15" customHeight="1" thickTop="1" thickBot="1" x14ac:dyDescent="0.3">
      <c r="A144" s="23" t="s">
        <v>195</v>
      </c>
      <c r="B144" s="24"/>
      <c r="C144" s="24"/>
      <c r="D144" s="24"/>
      <c r="E144" s="24"/>
      <c r="F144" s="24"/>
      <c r="G144" s="24"/>
      <c r="H144" s="25"/>
    </row>
    <row r="145" spans="1:8" ht="15" customHeight="1" thickTop="1" x14ac:dyDescent="0.25">
      <c r="A145" s="11" t="s">
        <v>128</v>
      </c>
      <c r="B145" s="6">
        <v>5</v>
      </c>
      <c r="C145" s="16">
        <v>0</v>
      </c>
      <c r="D145" s="5">
        <f t="shared" ref="D145:D157" si="29">B145+C145</f>
        <v>5</v>
      </c>
      <c r="E145" s="6">
        <v>9</v>
      </c>
      <c r="F145" s="16">
        <v>0</v>
      </c>
      <c r="G145" s="5">
        <f t="shared" ref="G145:G157" si="30">E145+F145</f>
        <v>9</v>
      </c>
      <c r="H145" s="7">
        <f t="shared" ref="H145:H157" si="31">G145+D145</f>
        <v>14</v>
      </c>
    </row>
    <row r="146" spans="1:8" ht="15" customHeight="1" x14ac:dyDescent="0.25">
      <c r="A146" s="11" t="s">
        <v>130</v>
      </c>
      <c r="B146" s="6">
        <v>11</v>
      </c>
      <c r="C146" s="16">
        <v>0</v>
      </c>
      <c r="D146" s="5">
        <f t="shared" si="29"/>
        <v>11</v>
      </c>
      <c r="E146" s="6">
        <v>37</v>
      </c>
      <c r="F146" s="16">
        <v>3</v>
      </c>
      <c r="G146" s="5">
        <f t="shared" si="30"/>
        <v>40</v>
      </c>
      <c r="H146" s="7">
        <f t="shared" si="31"/>
        <v>51</v>
      </c>
    </row>
    <row r="147" spans="1:8" ht="15" customHeight="1" x14ac:dyDescent="0.25">
      <c r="A147" s="11" t="s">
        <v>131</v>
      </c>
      <c r="B147" s="6">
        <v>3</v>
      </c>
      <c r="C147" s="16">
        <v>0</v>
      </c>
      <c r="D147" s="5">
        <f t="shared" si="29"/>
        <v>3</v>
      </c>
      <c r="E147" s="6">
        <v>48</v>
      </c>
      <c r="F147" s="16">
        <v>0</v>
      </c>
      <c r="G147" s="5">
        <f t="shared" si="30"/>
        <v>48</v>
      </c>
      <c r="H147" s="7">
        <f t="shared" si="31"/>
        <v>51</v>
      </c>
    </row>
    <row r="148" spans="1:8" ht="15" customHeight="1" x14ac:dyDescent="0.25">
      <c r="A148" s="11" t="s">
        <v>132</v>
      </c>
      <c r="B148" s="6">
        <v>4</v>
      </c>
      <c r="C148" s="16">
        <v>0</v>
      </c>
      <c r="D148" s="5">
        <f t="shared" si="29"/>
        <v>4</v>
      </c>
      <c r="E148" s="6">
        <v>23</v>
      </c>
      <c r="F148" s="16">
        <v>0</v>
      </c>
      <c r="G148" s="5">
        <f t="shared" si="30"/>
        <v>23</v>
      </c>
      <c r="H148" s="7">
        <f t="shared" si="31"/>
        <v>27</v>
      </c>
    </row>
    <row r="149" spans="1:8" ht="15" customHeight="1" x14ac:dyDescent="0.25">
      <c r="A149" s="11" t="s">
        <v>196</v>
      </c>
      <c r="B149" s="6">
        <v>1</v>
      </c>
      <c r="C149" s="16">
        <v>0</v>
      </c>
      <c r="D149" s="5">
        <f t="shared" si="29"/>
        <v>1</v>
      </c>
      <c r="E149" s="6">
        <v>2</v>
      </c>
      <c r="F149" s="16">
        <v>0</v>
      </c>
      <c r="G149" s="5">
        <f t="shared" si="30"/>
        <v>2</v>
      </c>
      <c r="H149" s="7">
        <f t="shared" si="31"/>
        <v>3</v>
      </c>
    </row>
    <row r="150" spans="1:8" ht="15" customHeight="1" x14ac:dyDescent="0.25">
      <c r="A150" s="11" t="s">
        <v>197</v>
      </c>
      <c r="B150" s="6">
        <v>0</v>
      </c>
      <c r="C150" s="16">
        <v>0</v>
      </c>
      <c r="D150" s="5">
        <f t="shared" si="29"/>
        <v>0</v>
      </c>
      <c r="E150" s="6">
        <v>1</v>
      </c>
      <c r="F150" s="16">
        <v>0</v>
      </c>
      <c r="G150" s="5">
        <f t="shared" si="30"/>
        <v>1</v>
      </c>
      <c r="H150" s="7">
        <f t="shared" si="31"/>
        <v>1</v>
      </c>
    </row>
    <row r="151" spans="1:8" ht="15" customHeight="1" x14ac:dyDescent="0.25">
      <c r="A151" s="11" t="s">
        <v>198</v>
      </c>
      <c r="B151" s="6">
        <v>1</v>
      </c>
      <c r="C151" s="16">
        <v>0</v>
      </c>
      <c r="D151" s="5">
        <f t="shared" si="29"/>
        <v>1</v>
      </c>
      <c r="E151" s="6">
        <v>0</v>
      </c>
      <c r="F151" s="16">
        <v>0</v>
      </c>
      <c r="G151" s="5">
        <f t="shared" si="30"/>
        <v>0</v>
      </c>
      <c r="H151" s="7">
        <f t="shared" si="31"/>
        <v>1</v>
      </c>
    </row>
    <row r="152" spans="1:8" ht="15" customHeight="1" x14ac:dyDescent="0.25">
      <c r="A152" s="11" t="s">
        <v>133</v>
      </c>
      <c r="B152" s="6">
        <v>1</v>
      </c>
      <c r="C152" s="16">
        <v>0</v>
      </c>
      <c r="D152" s="5">
        <f t="shared" si="29"/>
        <v>1</v>
      </c>
      <c r="E152" s="6">
        <v>0</v>
      </c>
      <c r="F152" s="16">
        <v>0</v>
      </c>
      <c r="G152" s="5">
        <f t="shared" si="30"/>
        <v>0</v>
      </c>
      <c r="H152" s="7">
        <f t="shared" si="31"/>
        <v>1</v>
      </c>
    </row>
    <row r="153" spans="1:8" ht="15" customHeight="1" x14ac:dyDescent="0.25">
      <c r="A153" s="11" t="s">
        <v>134</v>
      </c>
      <c r="B153" s="6">
        <v>0</v>
      </c>
      <c r="C153" s="16">
        <v>0</v>
      </c>
      <c r="D153" s="5">
        <f t="shared" si="29"/>
        <v>0</v>
      </c>
      <c r="E153" s="6">
        <v>1</v>
      </c>
      <c r="F153" s="16">
        <v>0</v>
      </c>
      <c r="G153" s="5">
        <f t="shared" si="30"/>
        <v>1</v>
      </c>
      <c r="H153" s="7">
        <f t="shared" si="31"/>
        <v>1</v>
      </c>
    </row>
    <row r="154" spans="1:8" ht="15" customHeight="1" x14ac:dyDescent="0.25">
      <c r="A154" s="11" t="s">
        <v>199</v>
      </c>
      <c r="B154" s="6">
        <v>0</v>
      </c>
      <c r="C154" s="16">
        <v>0</v>
      </c>
      <c r="D154" s="5">
        <f t="shared" si="29"/>
        <v>0</v>
      </c>
      <c r="E154" s="6">
        <v>0</v>
      </c>
      <c r="F154" s="16">
        <v>1</v>
      </c>
      <c r="G154" s="5">
        <f t="shared" si="30"/>
        <v>1</v>
      </c>
      <c r="H154" s="7">
        <f t="shared" si="31"/>
        <v>1</v>
      </c>
    </row>
    <row r="155" spans="1:8" ht="15" customHeight="1" x14ac:dyDescent="0.25">
      <c r="A155" s="11" t="s">
        <v>201</v>
      </c>
      <c r="B155" s="6">
        <v>0</v>
      </c>
      <c r="C155" s="16">
        <v>0</v>
      </c>
      <c r="D155" s="5">
        <f t="shared" si="29"/>
        <v>0</v>
      </c>
      <c r="E155" s="6">
        <v>1</v>
      </c>
      <c r="F155" s="16">
        <v>0</v>
      </c>
      <c r="G155" s="5">
        <f t="shared" si="30"/>
        <v>1</v>
      </c>
      <c r="H155" s="7">
        <f t="shared" si="31"/>
        <v>1</v>
      </c>
    </row>
    <row r="156" spans="1:8" ht="15" customHeight="1" x14ac:dyDescent="0.25">
      <c r="A156" s="11" t="s">
        <v>136</v>
      </c>
      <c r="B156" s="6">
        <v>1</v>
      </c>
      <c r="C156" s="16">
        <v>0</v>
      </c>
      <c r="D156" s="5">
        <f t="shared" si="29"/>
        <v>1</v>
      </c>
      <c r="E156" s="6">
        <v>8</v>
      </c>
      <c r="F156" s="16">
        <v>0</v>
      </c>
      <c r="G156" s="5">
        <f t="shared" si="30"/>
        <v>8</v>
      </c>
      <c r="H156" s="7">
        <f t="shared" si="31"/>
        <v>9</v>
      </c>
    </row>
    <row r="157" spans="1:8" ht="15" customHeight="1" thickBot="1" x14ac:dyDescent="0.3">
      <c r="A157" s="11" t="s">
        <v>203</v>
      </c>
      <c r="B157" s="6">
        <v>2</v>
      </c>
      <c r="C157" s="16">
        <v>0</v>
      </c>
      <c r="D157" s="5">
        <f t="shared" si="29"/>
        <v>2</v>
      </c>
      <c r="E157" s="6">
        <v>6</v>
      </c>
      <c r="F157" s="16">
        <v>0</v>
      </c>
      <c r="G157" s="5">
        <f t="shared" si="30"/>
        <v>6</v>
      </c>
      <c r="H157" s="7">
        <f t="shared" si="31"/>
        <v>8</v>
      </c>
    </row>
    <row r="158" spans="1:8" ht="15" customHeight="1" thickTop="1" thickBot="1" x14ac:dyDescent="0.3">
      <c r="A158" s="12" t="s">
        <v>6</v>
      </c>
      <c r="B158" s="14">
        <f>SUM(B145:B157)</f>
        <v>29</v>
      </c>
      <c r="C158" s="14">
        <f>SUM(C145:C157)</f>
        <v>0</v>
      </c>
      <c r="D158" s="14">
        <f>SUM(D154:D157)</f>
        <v>3</v>
      </c>
      <c r="E158" s="14">
        <f>SUM(E154:E157)</f>
        <v>15</v>
      </c>
      <c r="F158" s="14">
        <f>SUM(F154:F157)</f>
        <v>1</v>
      </c>
      <c r="G158" s="14">
        <f>SUM(G154:G157)</f>
        <v>16</v>
      </c>
      <c r="H158" s="15">
        <f>SUM(H145:H157)</f>
        <v>169</v>
      </c>
    </row>
    <row r="159" spans="1:8" ht="15" customHeight="1" thickTop="1" thickBot="1" x14ac:dyDescent="0.3">
      <c r="A159" s="23" t="s">
        <v>138</v>
      </c>
      <c r="B159" s="24"/>
      <c r="C159" s="24"/>
      <c r="D159" s="24"/>
      <c r="E159" s="24"/>
      <c r="F159" s="24"/>
      <c r="G159" s="24"/>
      <c r="H159" s="25"/>
    </row>
    <row r="160" spans="1:8" ht="15" customHeight="1" thickTop="1" x14ac:dyDescent="0.25">
      <c r="A160" s="11" t="s">
        <v>139</v>
      </c>
      <c r="B160" s="6">
        <v>22</v>
      </c>
      <c r="C160" s="16">
        <v>0</v>
      </c>
      <c r="D160" s="5">
        <f t="shared" ref="D160:D162" si="32">B160+C160</f>
        <v>22</v>
      </c>
      <c r="E160" s="6">
        <v>32</v>
      </c>
      <c r="F160" s="16">
        <v>7</v>
      </c>
      <c r="G160" s="5">
        <f t="shared" ref="G160:G162" si="33">E160+F160</f>
        <v>39</v>
      </c>
      <c r="H160" s="7">
        <f t="shared" ref="H160:H162" si="34">G160+D160</f>
        <v>61</v>
      </c>
    </row>
    <row r="161" spans="1:8" ht="15" customHeight="1" x14ac:dyDescent="0.25">
      <c r="A161" s="11" t="s">
        <v>141</v>
      </c>
      <c r="B161" s="6">
        <v>8</v>
      </c>
      <c r="C161" s="16">
        <v>0</v>
      </c>
      <c r="D161" s="5">
        <f t="shared" si="32"/>
        <v>8</v>
      </c>
      <c r="E161" s="6">
        <v>11</v>
      </c>
      <c r="F161" s="16">
        <v>3</v>
      </c>
      <c r="G161" s="5">
        <f t="shared" si="33"/>
        <v>14</v>
      </c>
      <c r="H161" s="7">
        <f t="shared" si="34"/>
        <v>22</v>
      </c>
    </row>
    <row r="162" spans="1:8" ht="15" customHeight="1" thickBot="1" x14ac:dyDescent="0.3">
      <c r="A162" s="11" t="s">
        <v>78</v>
      </c>
      <c r="B162" s="6">
        <v>0</v>
      </c>
      <c r="C162" s="16">
        <v>0</v>
      </c>
      <c r="D162" s="5">
        <f t="shared" si="32"/>
        <v>0</v>
      </c>
      <c r="E162" s="6">
        <v>2</v>
      </c>
      <c r="F162" s="16">
        <v>0</v>
      </c>
      <c r="G162" s="5">
        <f t="shared" si="33"/>
        <v>2</v>
      </c>
      <c r="H162" s="7">
        <f t="shared" si="34"/>
        <v>2</v>
      </c>
    </row>
    <row r="163" spans="1:8" ht="15" customHeight="1" thickTop="1" thickBot="1" x14ac:dyDescent="0.3">
      <c r="A163" s="12" t="s">
        <v>6</v>
      </c>
      <c r="B163" s="13">
        <f t="shared" ref="B163:H163" si="35">SUM(B160:B162)</f>
        <v>30</v>
      </c>
      <c r="C163" s="13">
        <f t="shared" si="35"/>
        <v>0</v>
      </c>
      <c r="D163" s="13">
        <f t="shared" si="35"/>
        <v>30</v>
      </c>
      <c r="E163" s="13">
        <f t="shared" si="35"/>
        <v>45</v>
      </c>
      <c r="F163" s="13">
        <f t="shared" si="35"/>
        <v>10</v>
      </c>
      <c r="G163" s="13">
        <f t="shared" si="35"/>
        <v>55</v>
      </c>
      <c r="H163" s="15">
        <f t="shared" si="35"/>
        <v>85</v>
      </c>
    </row>
    <row r="164" spans="1:8" ht="15" customHeight="1" thickTop="1" thickBot="1" x14ac:dyDescent="0.3">
      <c r="A164" s="23"/>
      <c r="B164" s="24"/>
      <c r="C164" s="24"/>
      <c r="D164" s="24"/>
      <c r="E164" s="24"/>
      <c r="F164" s="24"/>
      <c r="G164" s="24"/>
      <c r="H164" s="25"/>
    </row>
    <row r="165" spans="1:8" ht="15" customHeight="1" thickTop="1" thickBot="1" x14ac:dyDescent="0.3">
      <c r="A165" s="43" t="s">
        <v>0</v>
      </c>
      <c r="B165" s="44">
        <f>B35+B55+B70+B98+B126+B130+B143+B158+B163</f>
        <v>4786</v>
      </c>
      <c r="C165" s="44">
        <f t="shared" ref="C165:H165" si="36">C35+C55+C70+C98+C126+C130+C143+C158+C163</f>
        <v>85</v>
      </c>
      <c r="D165" s="44">
        <f t="shared" si="36"/>
        <v>4845</v>
      </c>
      <c r="E165" s="44">
        <f t="shared" si="36"/>
        <v>3829</v>
      </c>
      <c r="F165" s="44">
        <f t="shared" si="36"/>
        <v>393</v>
      </c>
      <c r="G165" s="44">
        <f t="shared" si="36"/>
        <v>4222</v>
      </c>
      <c r="H165" s="45">
        <f t="shared" si="36"/>
        <v>9217</v>
      </c>
    </row>
    <row r="168" spans="1:8" ht="35.25" customHeight="1" x14ac:dyDescent="0.25">
      <c r="A168" s="48" t="s">
        <v>217</v>
      </c>
      <c r="B168" s="48"/>
      <c r="C168" s="48"/>
      <c r="D168" s="48"/>
      <c r="E168" s="48"/>
      <c r="F168" s="48"/>
      <c r="G168" s="48"/>
      <c r="H168" s="48"/>
    </row>
    <row r="169" spans="1:8" ht="31.5" customHeight="1" x14ac:dyDescent="0.25">
      <c r="A169" s="48" t="s">
        <v>218</v>
      </c>
      <c r="B169" s="48"/>
      <c r="C169" s="48"/>
      <c r="D169" s="48"/>
      <c r="E169" s="48"/>
      <c r="F169" s="48"/>
      <c r="G169" s="48"/>
      <c r="H169" s="48"/>
    </row>
    <row r="175" spans="1:8" ht="25.5" customHeight="1" x14ac:dyDescent="0.25"/>
    <row r="176" spans="1:8" ht="25.5" customHeight="1" x14ac:dyDescent="0.25"/>
  </sheetData>
  <mergeCells count="17">
    <mergeCell ref="A169:H169"/>
    <mergeCell ref="A2:H2"/>
    <mergeCell ref="A7:H7"/>
    <mergeCell ref="A36:H36"/>
    <mergeCell ref="A56:H56"/>
    <mergeCell ref="A168:H168"/>
    <mergeCell ref="A5:A6"/>
    <mergeCell ref="B5:D5"/>
    <mergeCell ref="E5:G5"/>
    <mergeCell ref="H5:H6"/>
    <mergeCell ref="A164:H164"/>
    <mergeCell ref="A71:H71"/>
    <mergeCell ref="A99:H99"/>
    <mergeCell ref="A127:H127"/>
    <mergeCell ref="A131:H131"/>
    <mergeCell ref="A144:H144"/>
    <mergeCell ref="A159:H159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&amp;A&amp;RPage &amp;P of &amp;N</oddFooter>
  </headerFooter>
  <rowBreaks count="1" manualBreakCount="1">
    <brk id="143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8"/>
  <sheetViews>
    <sheetView view="pageLayout" topLeftCell="A157" zoomScaleNormal="85" workbookViewId="0">
      <selection activeCell="A175" sqref="A175:H176"/>
    </sheetView>
  </sheetViews>
  <sheetFormatPr defaultRowHeight="15" customHeight="1" x14ac:dyDescent="0.25"/>
  <cols>
    <col min="1" max="1" width="18.85546875" bestFit="1" customWidth="1"/>
    <col min="2" max="8" width="6" customWidth="1"/>
    <col min="9" max="11" width="5.5703125" customWidth="1"/>
  </cols>
  <sheetData>
    <row r="1" spans="1:9" ht="15" customHeight="1" x14ac:dyDescent="0.25">
      <c r="A1" s="1" t="s">
        <v>7</v>
      </c>
      <c r="B1" s="3"/>
    </row>
    <row r="2" spans="1:9" ht="15" customHeight="1" x14ac:dyDescent="0.25">
      <c r="A2" s="31" t="s">
        <v>8</v>
      </c>
      <c r="B2" s="31"/>
      <c r="C2" s="31"/>
      <c r="D2" s="31"/>
      <c r="E2" s="31"/>
      <c r="F2" s="31"/>
      <c r="G2" s="31"/>
      <c r="H2" s="31"/>
    </row>
    <row r="3" spans="1:9" ht="15" customHeight="1" x14ac:dyDescent="0.25">
      <c r="A3" s="2" t="str">
        <f ca="1">RIGHT(CELL("filename",A1),LEN(CELL("filename",A1))-FIND("]",CELL("filename",A1)))</f>
        <v>2009-10</v>
      </c>
      <c r="B3" s="3"/>
      <c r="I3" s="22"/>
    </row>
    <row r="4" spans="1:9" ht="6" customHeight="1" thickBot="1" x14ac:dyDescent="0.3">
      <c r="A4" s="3"/>
      <c r="B4" s="3"/>
    </row>
    <row r="5" spans="1:9" ht="15" customHeight="1" x14ac:dyDescent="0.25">
      <c r="A5" s="39" t="s">
        <v>3</v>
      </c>
      <c r="B5" s="26" t="s">
        <v>1</v>
      </c>
      <c r="C5" s="27"/>
      <c r="D5" s="27"/>
      <c r="E5" s="26" t="s">
        <v>2</v>
      </c>
      <c r="F5" s="27"/>
      <c r="G5" s="27"/>
      <c r="H5" s="62" t="s">
        <v>0</v>
      </c>
    </row>
    <row r="6" spans="1:9" ht="15" customHeight="1" x14ac:dyDescent="0.25">
      <c r="A6" s="40"/>
      <c r="B6" s="52" t="s">
        <v>4</v>
      </c>
      <c r="C6" s="53" t="s">
        <v>5</v>
      </c>
      <c r="D6" s="54" t="s">
        <v>0</v>
      </c>
      <c r="E6" s="52" t="s">
        <v>4</v>
      </c>
      <c r="F6" s="53" t="s">
        <v>5</v>
      </c>
      <c r="G6" s="54" t="s">
        <v>0</v>
      </c>
      <c r="H6" s="63"/>
    </row>
    <row r="7" spans="1:9" ht="15" customHeight="1" thickBot="1" x14ac:dyDescent="0.3">
      <c r="A7" s="32" t="s">
        <v>9</v>
      </c>
      <c r="B7" s="33"/>
      <c r="C7" s="33"/>
      <c r="D7" s="33"/>
      <c r="E7" s="33"/>
      <c r="F7" s="33"/>
      <c r="G7" s="33"/>
      <c r="H7" s="34"/>
    </row>
    <row r="8" spans="1:9" ht="15" customHeight="1" thickTop="1" x14ac:dyDescent="0.25">
      <c r="A8" s="11" t="s">
        <v>10</v>
      </c>
      <c r="B8" s="6">
        <v>37</v>
      </c>
      <c r="C8" s="4">
        <v>0</v>
      </c>
      <c r="D8" s="5">
        <f t="shared" ref="D8:D34" si="0">B8+C8</f>
        <v>37</v>
      </c>
      <c r="E8" s="6">
        <v>23</v>
      </c>
      <c r="F8" s="4">
        <v>4</v>
      </c>
      <c r="G8" s="5">
        <f t="shared" ref="G8:G34" si="1">E8+F8</f>
        <v>27</v>
      </c>
      <c r="H8" s="7">
        <f t="shared" ref="H8:H34" si="2">G8+D8</f>
        <v>64</v>
      </c>
    </row>
    <row r="9" spans="1:9" ht="15" customHeight="1" x14ac:dyDescent="0.25">
      <c r="A9" s="11" t="s">
        <v>11</v>
      </c>
      <c r="B9" s="6">
        <v>73</v>
      </c>
      <c r="C9" s="4">
        <v>0</v>
      </c>
      <c r="D9" s="5">
        <f t="shared" si="0"/>
        <v>73</v>
      </c>
      <c r="E9" s="6">
        <v>30</v>
      </c>
      <c r="F9" s="4">
        <v>5</v>
      </c>
      <c r="G9" s="5">
        <f t="shared" si="1"/>
        <v>35</v>
      </c>
      <c r="H9" s="7">
        <f t="shared" si="2"/>
        <v>108</v>
      </c>
    </row>
    <row r="10" spans="1:9" ht="15" customHeight="1" x14ac:dyDescent="0.25">
      <c r="A10" s="11" t="s">
        <v>28</v>
      </c>
      <c r="B10" s="6">
        <v>16</v>
      </c>
      <c r="C10" s="4">
        <v>0</v>
      </c>
      <c r="D10" s="5">
        <f t="shared" si="0"/>
        <v>16</v>
      </c>
      <c r="E10" s="6">
        <v>18</v>
      </c>
      <c r="F10" s="4">
        <v>2</v>
      </c>
      <c r="G10" s="5">
        <f t="shared" si="1"/>
        <v>20</v>
      </c>
      <c r="H10" s="7">
        <f t="shared" si="2"/>
        <v>36</v>
      </c>
    </row>
    <row r="11" spans="1:9" ht="15" customHeight="1" x14ac:dyDescent="0.25">
      <c r="A11" s="11" t="s">
        <v>30</v>
      </c>
      <c r="B11" s="6">
        <v>118</v>
      </c>
      <c r="C11" s="4">
        <v>0</v>
      </c>
      <c r="D11" s="5">
        <f t="shared" si="0"/>
        <v>118</v>
      </c>
      <c r="E11" s="6">
        <v>100</v>
      </c>
      <c r="F11" s="4">
        <v>12</v>
      </c>
      <c r="G11" s="5">
        <f t="shared" si="1"/>
        <v>112</v>
      </c>
      <c r="H11" s="7">
        <f t="shared" si="2"/>
        <v>230</v>
      </c>
    </row>
    <row r="12" spans="1:9" ht="15" customHeight="1" x14ac:dyDescent="0.25">
      <c r="A12" s="11" t="s">
        <v>31</v>
      </c>
      <c r="B12" s="6">
        <v>31</v>
      </c>
      <c r="C12" s="4">
        <v>0</v>
      </c>
      <c r="D12" s="5">
        <f t="shared" si="0"/>
        <v>31</v>
      </c>
      <c r="E12" s="6">
        <v>14</v>
      </c>
      <c r="F12" s="4">
        <v>1</v>
      </c>
      <c r="G12" s="5">
        <f t="shared" si="1"/>
        <v>15</v>
      </c>
      <c r="H12" s="7">
        <f t="shared" si="2"/>
        <v>46</v>
      </c>
    </row>
    <row r="13" spans="1:9" ht="15" customHeight="1" x14ac:dyDescent="0.25">
      <c r="A13" s="11" t="s">
        <v>12</v>
      </c>
      <c r="B13" s="6">
        <v>9</v>
      </c>
      <c r="C13" s="4">
        <v>0</v>
      </c>
      <c r="D13" s="5">
        <f t="shared" si="0"/>
        <v>9</v>
      </c>
      <c r="E13" s="6">
        <v>11</v>
      </c>
      <c r="F13" s="4">
        <v>4</v>
      </c>
      <c r="G13" s="5">
        <f t="shared" si="1"/>
        <v>15</v>
      </c>
      <c r="H13" s="7">
        <f t="shared" si="2"/>
        <v>24</v>
      </c>
    </row>
    <row r="14" spans="1:9" ht="15" customHeight="1" x14ac:dyDescent="0.25">
      <c r="A14" s="11" t="s">
        <v>13</v>
      </c>
      <c r="B14" s="6">
        <v>16</v>
      </c>
      <c r="C14" s="4">
        <v>0</v>
      </c>
      <c r="D14" s="5">
        <f t="shared" si="0"/>
        <v>16</v>
      </c>
      <c r="E14" s="6">
        <v>95</v>
      </c>
      <c r="F14" s="4">
        <v>30</v>
      </c>
      <c r="G14" s="5">
        <f t="shared" si="1"/>
        <v>125</v>
      </c>
      <c r="H14" s="7">
        <f t="shared" si="2"/>
        <v>141</v>
      </c>
    </row>
    <row r="15" spans="1:9" ht="15" customHeight="1" x14ac:dyDescent="0.25">
      <c r="A15" s="11" t="s">
        <v>33</v>
      </c>
      <c r="B15" s="6">
        <v>8</v>
      </c>
      <c r="C15" s="4">
        <v>0</v>
      </c>
      <c r="D15" s="5">
        <f t="shared" si="0"/>
        <v>8</v>
      </c>
      <c r="E15" s="6">
        <v>4</v>
      </c>
      <c r="F15" s="4">
        <v>1</v>
      </c>
      <c r="G15" s="5">
        <f t="shared" si="1"/>
        <v>5</v>
      </c>
      <c r="H15" s="7">
        <f t="shared" si="2"/>
        <v>13</v>
      </c>
    </row>
    <row r="16" spans="1:9" ht="15" customHeight="1" x14ac:dyDescent="0.25">
      <c r="A16" s="11" t="s">
        <v>14</v>
      </c>
      <c r="B16" s="6">
        <v>20</v>
      </c>
      <c r="C16" s="4">
        <v>0</v>
      </c>
      <c r="D16" s="5">
        <f t="shared" si="0"/>
        <v>20</v>
      </c>
      <c r="E16" s="6">
        <v>13</v>
      </c>
      <c r="F16" s="4">
        <v>0</v>
      </c>
      <c r="G16" s="5">
        <f t="shared" si="1"/>
        <v>13</v>
      </c>
      <c r="H16" s="7">
        <f t="shared" si="2"/>
        <v>33</v>
      </c>
    </row>
    <row r="17" spans="1:8" ht="15" customHeight="1" x14ac:dyDescent="0.25">
      <c r="A17" s="11" t="s">
        <v>15</v>
      </c>
      <c r="B17" s="6">
        <v>207</v>
      </c>
      <c r="C17" s="4">
        <v>1</v>
      </c>
      <c r="D17" s="5">
        <f t="shared" si="0"/>
        <v>208</v>
      </c>
      <c r="E17" s="6">
        <v>115</v>
      </c>
      <c r="F17" s="4">
        <v>11</v>
      </c>
      <c r="G17" s="5">
        <f t="shared" si="1"/>
        <v>126</v>
      </c>
      <c r="H17" s="7">
        <f t="shared" si="2"/>
        <v>334</v>
      </c>
    </row>
    <row r="18" spans="1:8" ht="15" customHeight="1" x14ac:dyDescent="0.25">
      <c r="A18" s="11" t="s">
        <v>16</v>
      </c>
      <c r="B18" s="6">
        <v>186</v>
      </c>
      <c r="C18" s="4">
        <v>2</v>
      </c>
      <c r="D18" s="5">
        <f t="shared" si="0"/>
        <v>188</v>
      </c>
      <c r="E18" s="6">
        <v>182</v>
      </c>
      <c r="F18" s="4">
        <v>20</v>
      </c>
      <c r="G18" s="5">
        <f t="shared" si="1"/>
        <v>202</v>
      </c>
      <c r="H18" s="7">
        <f t="shared" si="2"/>
        <v>390</v>
      </c>
    </row>
    <row r="19" spans="1:8" ht="15" customHeight="1" x14ac:dyDescent="0.25">
      <c r="A19" s="11" t="s">
        <v>160</v>
      </c>
      <c r="B19" s="6">
        <v>0</v>
      </c>
      <c r="C19" s="4">
        <v>0</v>
      </c>
      <c r="D19" s="5">
        <f t="shared" si="0"/>
        <v>0</v>
      </c>
      <c r="E19" s="6">
        <v>2</v>
      </c>
      <c r="F19" s="4">
        <v>0</v>
      </c>
      <c r="G19" s="5">
        <f t="shared" si="1"/>
        <v>2</v>
      </c>
      <c r="H19" s="7">
        <f t="shared" si="2"/>
        <v>2</v>
      </c>
    </row>
    <row r="20" spans="1:8" ht="15" customHeight="1" x14ac:dyDescent="0.25">
      <c r="A20" s="11" t="s">
        <v>17</v>
      </c>
      <c r="B20" s="6">
        <v>61</v>
      </c>
      <c r="C20" s="4">
        <v>1</v>
      </c>
      <c r="D20" s="5">
        <f t="shared" si="0"/>
        <v>62</v>
      </c>
      <c r="E20" s="6">
        <v>238</v>
      </c>
      <c r="F20" s="4">
        <v>38</v>
      </c>
      <c r="G20" s="5">
        <f t="shared" si="1"/>
        <v>276</v>
      </c>
      <c r="H20" s="7">
        <f t="shared" si="2"/>
        <v>338</v>
      </c>
    </row>
    <row r="21" spans="1:8" ht="15" customHeight="1" x14ac:dyDescent="0.25">
      <c r="A21" s="11" t="s">
        <v>34</v>
      </c>
      <c r="B21" s="6">
        <v>10</v>
      </c>
      <c r="C21" s="4">
        <v>0</v>
      </c>
      <c r="D21" s="5">
        <f t="shared" si="0"/>
        <v>10</v>
      </c>
      <c r="E21" s="6">
        <v>5</v>
      </c>
      <c r="F21" s="4">
        <v>4</v>
      </c>
      <c r="G21" s="5">
        <f t="shared" si="1"/>
        <v>9</v>
      </c>
      <c r="H21" s="7">
        <f t="shared" si="2"/>
        <v>19</v>
      </c>
    </row>
    <row r="22" spans="1:8" ht="15" customHeight="1" x14ac:dyDescent="0.25">
      <c r="A22" s="11" t="s">
        <v>18</v>
      </c>
      <c r="B22" s="6">
        <v>142</v>
      </c>
      <c r="C22" s="4">
        <v>3</v>
      </c>
      <c r="D22" s="5">
        <f t="shared" si="0"/>
        <v>145</v>
      </c>
      <c r="E22" s="6">
        <v>154</v>
      </c>
      <c r="F22" s="4">
        <v>19</v>
      </c>
      <c r="G22" s="5">
        <f t="shared" si="1"/>
        <v>173</v>
      </c>
      <c r="H22" s="7">
        <f t="shared" si="2"/>
        <v>318</v>
      </c>
    </row>
    <row r="23" spans="1:8" ht="15" customHeight="1" x14ac:dyDescent="0.25">
      <c r="A23" s="11" t="s">
        <v>36</v>
      </c>
      <c r="B23" s="6">
        <v>8</v>
      </c>
      <c r="C23" s="4">
        <v>0</v>
      </c>
      <c r="D23" s="5">
        <f t="shared" si="0"/>
        <v>8</v>
      </c>
      <c r="E23" s="6">
        <v>2</v>
      </c>
      <c r="F23" s="4">
        <v>0</v>
      </c>
      <c r="G23" s="5">
        <f t="shared" si="1"/>
        <v>2</v>
      </c>
      <c r="H23" s="7">
        <f t="shared" si="2"/>
        <v>10</v>
      </c>
    </row>
    <row r="24" spans="1:8" ht="15" customHeight="1" x14ac:dyDescent="0.25">
      <c r="A24" s="11" t="s">
        <v>149</v>
      </c>
      <c r="B24" s="6">
        <v>21</v>
      </c>
      <c r="C24" s="4">
        <v>0</v>
      </c>
      <c r="D24" s="5">
        <f t="shared" si="0"/>
        <v>21</v>
      </c>
      <c r="E24" s="6">
        <v>13</v>
      </c>
      <c r="F24" s="4">
        <v>0</v>
      </c>
      <c r="G24" s="5">
        <f t="shared" si="1"/>
        <v>13</v>
      </c>
      <c r="H24" s="7">
        <f t="shared" si="2"/>
        <v>34</v>
      </c>
    </row>
    <row r="25" spans="1:8" ht="15" customHeight="1" x14ac:dyDescent="0.25">
      <c r="A25" s="11" t="s">
        <v>19</v>
      </c>
      <c r="B25" s="6">
        <v>16</v>
      </c>
      <c r="C25" s="4">
        <v>0</v>
      </c>
      <c r="D25" s="5">
        <f t="shared" si="0"/>
        <v>16</v>
      </c>
      <c r="E25" s="6">
        <v>6</v>
      </c>
      <c r="F25" s="4">
        <v>0</v>
      </c>
      <c r="G25" s="5">
        <f t="shared" si="1"/>
        <v>6</v>
      </c>
      <c r="H25" s="7">
        <f t="shared" si="2"/>
        <v>22</v>
      </c>
    </row>
    <row r="26" spans="1:8" ht="15" customHeight="1" x14ac:dyDescent="0.25">
      <c r="A26" s="11" t="s">
        <v>38</v>
      </c>
      <c r="B26" s="6">
        <v>4</v>
      </c>
      <c r="C26" s="4">
        <v>0</v>
      </c>
      <c r="D26" s="5">
        <f t="shared" si="0"/>
        <v>4</v>
      </c>
      <c r="E26" s="6">
        <v>12</v>
      </c>
      <c r="F26" s="4">
        <v>13</v>
      </c>
      <c r="G26" s="5">
        <f t="shared" si="1"/>
        <v>25</v>
      </c>
      <c r="H26" s="7">
        <f t="shared" si="2"/>
        <v>29</v>
      </c>
    </row>
    <row r="27" spans="1:8" ht="15" customHeight="1" x14ac:dyDescent="0.25">
      <c r="A27" s="11" t="s">
        <v>20</v>
      </c>
      <c r="B27" s="6">
        <v>32</v>
      </c>
      <c r="C27" s="4">
        <v>0</v>
      </c>
      <c r="D27" s="5">
        <f t="shared" si="0"/>
        <v>32</v>
      </c>
      <c r="E27" s="6">
        <v>39</v>
      </c>
      <c r="F27" s="4">
        <v>9</v>
      </c>
      <c r="G27" s="5">
        <f t="shared" si="1"/>
        <v>48</v>
      </c>
      <c r="H27" s="7">
        <f t="shared" si="2"/>
        <v>80</v>
      </c>
    </row>
    <row r="28" spans="1:8" ht="15" customHeight="1" x14ac:dyDescent="0.25">
      <c r="A28" s="11" t="s">
        <v>40</v>
      </c>
      <c r="B28" s="6">
        <v>136</v>
      </c>
      <c r="C28" s="4">
        <v>1</v>
      </c>
      <c r="D28" s="5">
        <f t="shared" si="0"/>
        <v>137</v>
      </c>
      <c r="E28" s="6">
        <v>48</v>
      </c>
      <c r="F28" s="4">
        <v>6</v>
      </c>
      <c r="G28" s="5">
        <f>E28+F28</f>
        <v>54</v>
      </c>
      <c r="H28" s="7">
        <f>G28+D28</f>
        <v>191</v>
      </c>
    </row>
    <row r="29" spans="1:8" ht="15" customHeight="1" x14ac:dyDescent="0.25">
      <c r="A29" s="11" t="s">
        <v>21</v>
      </c>
      <c r="B29" s="6">
        <v>18</v>
      </c>
      <c r="C29" s="4">
        <v>1</v>
      </c>
      <c r="D29" s="5">
        <f t="shared" si="0"/>
        <v>19</v>
      </c>
      <c r="E29" s="6">
        <v>52</v>
      </c>
      <c r="F29" s="4">
        <v>4</v>
      </c>
      <c r="G29" s="5">
        <f t="shared" ref="G29:G31" si="3">E29+F29</f>
        <v>56</v>
      </c>
      <c r="H29" s="7">
        <f t="shared" ref="H29:H31" si="4">G29+D29</f>
        <v>75</v>
      </c>
    </row>
    <row r="30" spans="1:8" ht="15" customHeight="1" x14ac:dyDescent="0.25">
      <c r="A30" s="11" t="s">
        <v>41</v>
      </c>
      <c r="B30" s="6">
        <v>57</v>
      </c>
      <c r="C30" s="4">
        <v>1</v>
      </c>
      <c r="D30" s="5">
        <f t="shared" si="0"/>
        <v>58</v>
      </c>
      <c r="E30" s="6">
        <v>35</v>
      </c>
      <c r="F30" s="4">
        <v>4</v>
      </c>
      <c r="G30" s="5">
        <f t="shared" si="3"/>
        <v>39</v>
      </c>
      <c r="H30" s="7">
        <f t="shared" si="4"/>
        <v>97</v>
      </c>
    </row>
    <row r="31" spans="1:8" ht="15" customHeight="1" x14ac:dyDescent="0.25">
      <c r="A31" s="11" t="s">
        <v>43</v>
      </c>
      <c r="B31" s="6">
        <v>4</v>
      </c>
      <c r="C31" s="4">
        <v>0</v>
      </c>
      <c r="D31" s="5">
        <f t="shared" si="0"/>
        <v>4</v>
      </c>
      <c r="E31" s="6">
        <v>7</v>
      </c>
      <c r="F31" s="4">
        <v>0</v>
      </c>
      <c r="G31" s="5">
        <f t="shared" si="3"/>
        <v>7</v>
      </c>
      <c r="H31" s="7">
        <f t="shared" si="4"/>
        <v>11</v>
      </c>
    </row>
    <row r="32" spans="1:8" ht="15" customHeight="1" x14ac:dyDescent="0.25">
      <c r="A32" s="11" t="s">
        <v>44</v>
      </c>
      <c r="B32" s="6">
        <v>1</v>
      </c>
      <c r="C32" s="4">
        <v>0</v>
      </c>
      <c r="D32" s="5">
        <f t="shared" si="0"/>
        <v>1</v>
      </c>
      <c r="E32" s="6">
        <v>3</v>
      </c>
      <c r="F32" s="4">
        <v>1</v>
      </c>
      <c r="G32" s="5">
        <f t="shared" si="1"/>
        <v>4</v>
      </c>
      <c r="H32" s="7">
        <f t="shared" si="2"/>
        <v>5</v>
      </c>
    </row>
    <row r="33" spans="1:8" ht="15" customHeight="1" x14ac:dyDescent="0.25">
      <c r="A33" s="11" t="s">
        <v>22</v>
      </c>
      <c r="B33" s="6">
        <v>79</v>
      </c>
      <c r="C33" s="4">
        <v>1</v>
      </c>
      <c r="D33" s="5">
        <f t="shared" si="0"/>
        <v>80</v>
      </c>
      <c r="E33" s="6">
        <v>48</v>
      </c>
      <c r="F33" s="4">
        <v>6</v>
      </c>
      <c r="G33" s="5">
        <f t="shared" si="1"/>
        <v>54</v>
      </c>
      <c r="H33" s="7">
        <f t="shared" si="2"/>
        <v>134</v>
      </c>
    </row>
    <row r="34" spans="1:8" ht="15" customHeight="1" thickBot="1" x14ac:dyDescent="0.3">
      <c r="A34" s="11" t="s">
        <v>23</v>
      </c>
      <c r="B34" s="8">
        <v>64</v>
      </c>
      <c r="C34" s="9">
        <v>1</v>
      </c>
      <c r="D34" s="10">
        <f t="shared" si="0"/>
        <v>65</v>
      </c>
      <c r="E34" s="8">
        <v>15</v>
      </c>
      <c r="F34" s="9">
        <v>5</v>
      </c>
      <c r="G34" s="5">
        <f t="shared" si="1"/>
        <v>20</v>
      </c>
      <c r="H34" s="7">
        <f t="shared" si="2"/>
        <v>85</v>
      </c>
    </row>
    <row r="35" spans="1:8" ht="15" customHeight="1" thickTop="1" thickBot="1" x14ac:dyDescent="0.3">
      <c r="A35" s="12" t="s">
        <v>6</v>
      </c>
      <c r="B35" s="13">
        <f t="shared" ref="B35:H35" si="5">SUM(B8:B34)</f>
        <v>1374</v>
      </c>
      <c r="C35" s="13">
        <f t="shared" si="5"/>
        <v>12</v>
      </c>
      <c r="D35" s="13">
        <f t="shared" si="5"/>
        <v>1386</v>
      </c>
      <c r="E35" s="13">
        <f t="shared" si="5"/>
        <v>1284</v>
      </c>
      <c r="F35" s="13">
        <f t="shared" si="5"/>
        <v>199</v>
      </c>
      <c r="G35" s="13">
        <f t="shared" si="5"/>
        <v>1483</v>
      </c>
      <c r="H35" s="15">
        <f t="shared" si="5"/>
        <v>2869</v>
      </c>
    </row>
    <row r="36" spans="1:8" ht="15" customHeight="1" thickTop="1" thickBot="1" x14ac:dyDescent="0.3">
      <c r="A36" s="23" t="s">
        <v>24</v>
      </c>
      <c r="B36" s="24"/>
      <c r="C36" s="24"/>
      <c r="D36" s="24"/>
      <c r="E36" s="24"/>
      <c r="F36" s="24"/>
      <c r="G36" s="24"/>
      <c r="H36" s="25"/>
    </row>
    <row r="37" spans="1:8" ht="15" customHeight="1" thickTop="1" x14ac:dyDescent="0.25">
      <c r="A37" s="11" t="s">
        <v>25</v>
      </c>
      <c r="B37" s="6">
        <v>3</v>
      </c>
      <c r="C37" s="16">
        <v>0</v>
      </c>
      <c r="D37" s="5">
        <f t="shared" ref="D37:D54" si="6">B37+C37</f>
        <v>3</v>
      </c>
      <c r="E37" s="6">
        <v>0</v>
      </c>
      <c r="F37" s="16">
        <v>0</v>
      </c>
      <c r="G37" s="5">
        <f t="shared" ref="G37:G55" si="7">E37+F37</f>
        <v>0</v>
      </c>
      <c r="H37" s="7">
        <f t="shared" ref="H37:H55" si="8">G37+D37</f>
        <v>3</v>
      </c>
    </row>
    <row r="38" spans="1:8" ht="15" customHeight="1" x14ac:dyDescent="0.25">
      <c r="A38" s="11" t="s">
        <v>26</v>
      </c>
      <c r="B38" s="6">
        <v>1</v>
      </c>
      <c r="C38" s="16">
        <v>0</v>
      </c>
      <c r="D38" s="5">
        <f t="shared" si="6"/>
        <v>1</v>
      </c>
      <c r="E38" s="6">
        <v>4</v>
      </c>
      <c r="F38" s="16">
        <v>0</v>
      </c>
      <c r="G38" s="5">
        <f t="shared" si="7"/>
        <v>4</v>
      </c>
      <c r="H38" s="7">
        <f t="shared" si="8"/>
        <v>5</v>
      </c>
    </row>
    <row r="39" spans="1:8" ht="15" customHeight="1" x14ac:dyDescent="0.25">
      <c r="A39" s="11" t="s">
        <v>148</v>
      </c>
      <c r="B39" s="6">
        <v>3</v>
      </c>
      <c r="C39" s="16">
        <v>0</v>
      </c>
      <c r="D39" s="5">
        <f t="shared" si="6"/>
        <v>3</v>
      </c>
      <c r="E39" s="6">
        <v>1</v>
      </c>
      <c r="F39" s="16">
        <v>0</v>
      </c>
      <c r="G39" s="5">
        <f t="shared" si="7"/>
        <v>1</v>
      </c>
      <c r="H39" s="7">
        <f t="shared" si="8"/>
        <v>4</v>
      </c>
    </row>
    <row r="40" spans="1:8" ht="15" customHeight="1" x14ac:dyDescent="0.25">
      <c r="A40" s="11" t="s">
        <v>27</v>
      </c>
      <c r="B40" s="6">
        <v>0</v>
      </c>
      <c r="C40" s="16">
        <v>0</v>
      </c>
      <c r="D40" s="5">
        <f t="shared" si="6"/>
        <v>0</v>
      </c>
      <c r="E40" s="6">
        <v>2</v>
      </c>
      <c r="F40" s="16">
        <v>0</v>
      </c>
      <c r="G40" s="5">
        <f t="shared" si="7"/>
        <v>2</v>
      </c>
      <c r="H40" s="7">
        <f t="shared" si="8"/>
        <v>2</v>
      </c>
    </row>
    <row r="41" spans="1:8" ht="15" customHeight="1" x14ac:dyDescent="0.25">
      <c r="A41" s="11" t="s">
        <v>29</v>
      </c>
      <c r="B41" s="6">
        <v>4</v>
      </c>
      <c r="C41" s="16">
        <v>0</v>
      </c>
      <c r="D41" s="5">
        <f t="shared" si="6"/>
        <v>4</v>
      </c>
      <c r="E41" s="6">
        <v>3</v>
      </c>
      <c r="F41" s="16">
        <v>0</v>
      </c>
      <c r="G41" s="5">
        <f t="shared" si="7"/>
        <v>3</v>
      </c>
      <c r="H41" s="7">
        <f t="shared" si="8"/>
        <v>7</v>
      </c>
    </row>
    <row r="42" spans="1:8" ht="15" customHeight="1" x14ac:dyDescent="0.25">
      <c r="A42" s="11" t="s">
        <v>163</v>
      </c>
      <c r="B42" s="6">
        <v>2</v>
      </c>
      <c r="C42" s="16">
        <v>0</v>
      </c>
      <c r="D42" s="5">
        <f t="shared" si="6"/>
        <v>2</v>
      </c>
      <c r="E42" s="6">
        <v>3</v>
      </c>
      <c r="F42" s="16">
        <v>0</v>
      </c>
      <c r="G42" s="5">
        <f t="shared" si="7"/>
        <v>3</v>
      </c>
      <c r="H42" s="7">
        <f t="shared" si="8"/>
        <v>5</v>
      </c>
    </row>
    <row r="43" spans="1:8" ht="15" customHeight="1" x14ac:dyDescent="0.25">
      <c r="A43" s="11" t="s">
        <v>35</v>
      </c>
      <c r="B43" s="6">
        <v>2</v>
      </c>
      <c r="C43" s="16">
        <v>0</v>
      </c>
      <c r="D43" s="5">
        <f t="shared" si="6"/>
        <v>2</v>
      </c>
      <c r="E43" s="6">
        <v>4</v>
      </c>
      <c r="F43" s="16">
        <v>0</v>
      </c>
      <c r="G43" s="5">
        <f t="shared" si="7"/>
        <v>4</v>
      </c>
      <c r="H43" s="7">
        <f t="shared" si="8"/>
        <v>6</v>
      </c>
    </row>
    <row r="44" spans="1:8" ht="15" customHeight="1" x14ac:dyDescent="0.25">
      <c r="A44" s="11" t="s">
        <v>165</v>
      </c>
      <c r="B44" s="6">
        <v>1</v>
      </c>
      <c r="C44" s="16">
        <v>0</v>
      </c>
      <c r="D44" s="5">
        <f t="shared" si="6"/>
        <v>1</v>
      </c>
      <c r="E44" s="6">
        <v>0</v>
      </c>
      <c r="F44" s="16">
        <v>0</v>
      </c>
      <c r="G44" s="5">
        <f t="shared" si="7"/>
        <v>0</v>
      </c>
      <c r="H44" s="7">
        <f t="shared" si="8"/>
        <v>1</v>
      </c>
    </row>
    <row r="45" spans="1:8" ht="15" customHeight="1" x14ac:dyDescent="0.25">
      <c r="A45" s="11" t="s">
        <v>166</v>
      </c>
      <c r="B45" s="6">
        <v>0</v>
      </c>
      <c r="C45" s="16">
        <v>0</v>
      </c>
      <c r="D45" s="5">
        <f t="shared" si="6"/>
        <v>0</v>
      </c>
      <c r="E45" s="6">
        <v>3</v>
      </c>
      <c r="F45" s="16">
        <v>1</v>
      </c>
      <c r="G45" s="5">
        <f t="shared" si="7"/>
        <v>4</v>
      </c>
      <c r="H45" s="7">
        <f t="shared" si="8"/>
        <v>4</v>
      </c>
    </row>
    <row r="46" spans="1:8" ht="15" customHeight="1" x14ac:dyDescent="0.25">
      <c r="A46" s="11" t="s">
        <v>167</v>
      </c>
      <c r="B46" s="6">
        <v>4</v>
      </c>
      <c r="C46" s="16">
        <v>0</v>
      </c>
      <c r="D46" s="5">
        <f t="shared" si="6"/>
        <v>4</v>
      </c>
      <c r="E46" s="6">
        <v>4</v>
      </c>
      <c r="F46" s="16">
        <v>0</v>
      </c>
      <c r="G46" s="5">
        <f t="shared" si="7"/>
        <v>4</v>
      </c>
      <c r="H46" s="7">
        <f t="shared" si="8"/>
        <v>8</v>
      </c>
    </row>
    <row r="47" spans="1:8" ht="15" customHeight="1" x14ac:dyDescent="0.25">
      <c r="A47" s="11" t="s">
        <v>168</v>
      </c>
      <c r="B47" s="6">
        <v>2</v>
      </c>
      <c r="C47" s="16">
        <v>0</v>
      </c>
      <c r="D47" s="5">
        <f t="shared" si="6"/>
        <v>2</v>
      </c>
      <c r="E47" s="6">
        <v>0</v>
      </c>
      <c r="F47" s="16">
        <v>0</v>
      </c>
      <c r="G47" s="5">
        <f t="shared" si="7"/>
        <v>0</v>
      </c>
      <c r="H47" s="7">
        <f t="shared" si="8"/>
        <v>2</v>
      </c>
    </row>
    <row r="48" spans="1:8" ht="15" customHeight="1" x14ac:dyDescent="0.25">
      <c r="A48" s="11" t="s">
        <v>169</v>
      </c>
      <c r="B48" s="6">
        <v>1</v>
      </c>
      <c r="C48" s="16">
        <v>0</v>
      </c>
      <c r="D48" s="5">
        <f t="shared" si="6"/>
        <v>1</v>
      </c>
      <c r="E48" s="6">
        <v>0</v>
      </c>
      <c r="F48" s="16">
        <v>0</v>
      </c>
      <c r="G48" s="5">
        <f t="shared" si="7"/>
        <v>0</v>
      </c>
      <c r="H48" s="7">
        <f t="shared" si="8"/>
        <v>1</v>
      </c>
    </row>
    <row r="49" spans="1:8" ht="15" customHeight="1" x14ac:dyDescent="0.25">
      <c r="A49" s="11" t="s">
        <v>39</v>
      </c>
      <c r="B49" s="6">
        <v>21</v>
      </c>
      <c r="C49" s="16">
        <v>0</v>
      </c>
      <c r="D49" s="5">
        <f t="shared" si="6"/>
        <v>21</v>
      </c>
      <c r="E49" s="6">
        <v>15</v>
      </c>
      <c r="F49" s="16">
        <v>3</v>
      </c>
      <c r="G49" s="5">
        <f t="shared" si="7"/>
        <v>18</v>
      </c>
      <c r="H49" s="7">
        <f t="shared" si="8"/>
        <v>39</v>
      </c>
    </row>
    <row r="50" spans="1:8" ht="15" customHeight="1" x14ac:dyDescent="0.25">
      <c r="A50" s="11" t="s">
        <v>42</v>
      </c>
      <c r="B50" s="6">
        <v>65</v>
      </c>
      <c r="C50" s="16">
        <v>0</v>
      </c>
      <c r="D50" s="5">
        <f t="shared" si="6"/>
        <v>65</v>
      </c>
      <c r="E50" s="6">
        <v>32</v>
      </c>
      <c r="F50" s="16">
        <v>1</v>
      </c>
      <c r="G50" s="5">
        <f t="shared" si="7"/>
        <v>33</v>
      </c>
      <c r="H50" s="7">
        <f t="shared" si="8"/>
        <v>98</v>
      </c>
    </row>
    <row r="51" spans="1:8" ht="15" customHeight="1" x14ac:dyDescent="0.25">
      <c r="A51" s="11" t="s">
        <v>170</v>
      </c>
      <c r="B51" s="6">
        <v>3</v>
      </c>
      <c r="C51" s="16">
        <v>0</v>
      </c>
      <c r="D51" s="5">
        <f t="shared" si="6"/>
        <v>3</v>
      </c>
      <c r="E51" s="6">
        <v>11</v>
      </c>
      <c r="F51" s="16">
        <v>1</v>
      </c>
      <c r="G51" s="5">
        <f t="shared" si="7"/>
        <v>12</v>
      </c>
      <c r="H51" s="7">
        <f t="shared" si="8"/>
        <v>15</v>
      </c>
    </row>
    <row r="52" spans="1:8" ht="15" customHeight="1" x14ac:dyDescent="0.25">
      <c r="A52" s="11" t="s">
        <v>45</v>
      </c>
      <c r="B52" s="6">
        <v>44</v>
      </c>
      <c r="C52" s="16">
        <v>1</v>
      </c>
      <c r="D52" s="5">
        <f t="shared" si="6"/>
        <v>45</v>
      </c>
      <c r="E52" s="6">
        <v>26</v>
      </c>
      <c r="F52" s="16">
        <v>4</v>
      </c>
      <c r="G52" s="5">
        <f t="shared" si="7"/>
        <v>30</v>
      </c>
      <c r="H52" s="7">
        <f t="shared" si="8"/>
        <v>75</v>
      </c>
    </row>
    <row r="53" spans="1:8" ht="15" customHeight="1" x14ac:dyDescent="0.25">
      <c r="A53" s="11" t="s">
        <v>46</v>
      </c>
      <c r="B53" s="6">
        <v>14</v>
      </c>
      <c r="C53" s="16">
        <v>0</v>
      </c>
      <c r="D53" s="5">
        <f t="shared" si="6"/>
        <v>14</v>
      </c>
      <c r="E53" s="6">
        <v>26</v>
      </c>
      <c r="F53" s="16">
        <v>3</v>
      </c>
      <c r="G53" s="5">
        <f t="shared" si="7"/>
        <v>29</v>
      </c>
      <c r="H53" s="7">
        <f t="shared" si="8"/>
        <v>43</v>
      </c>
    </row>
    <row r="54" spans="1:8" ht="15" customHeight="1" thickBot="1" x14ac:dyDescent="0.3">
      <c r="A54" s="11" t="s">
        <v>48</v>
      </c>
      <c r="B54" s="6">
        <v>2</v>
      </c>
      <c r="C54" s="16">
        <v>0</v>
      </c>
      <c r="D54" s="5">
        <f t="shared" si="6"/>
        <v>2</v>
      </c>
      <c r="E54" s="6">
        <v>7</v>
      </c>
      <c r="F54" s="16">
        <v>1</v>
      </c>
      <c r="G54" s="5">
        <f t="shared" si="7"/>
        <v>8</v>
      </c>
      <c r="H54" s="7">
        <f t="shared" si="8"/>
        <v>10</v>
      </c>
    </row>
    <row r="55" spans="1:8" ht="15" customHeight="1" thickTop="1" thickBot="1" x14ac:dyDescent="0.3">
      <c r="A55" s="12" t="s">
        <v>6</v>
      </c>
      <c r="B55" s="13">
        <f>SUM(B37:B54)</f>
        <v>172</v>
      </c>
      <c r="C55" s="13">
        <f>SUM(C37:C54)</f>
        <v>1</v>
      </c>
      <c r="D55" s="13">
        <f>SUM(D37:D54)</f>
        <v>173</v>
      </c>
      <c r="E55" s="13">
        <f>SUM(E37:E54)</f>
        <v>141</v>
      </c>
      <c r="F55" s="13">
        <f>SUM(F37:F54)</f>
        <v>14</v>
      </c>
      <c r="G55" s="14">
        <f t="shared" si="7"/>
        <v>155</v>
      </c>
      <c r="H55" s="15">
        <f t="shared" si="8"/>
        <v>328</v>
      </c>
    </row>
    <row r="56" spans="1:8" ht="15" customHeight="1" thickTop="1" thickBot="1" x14ac:dyDescent="0.3">
      <c r="A56" s="23" t="s">
        <v>49</v>
      </c>
      <c r="B56" s="24"/>
      <c r="C56" s="24"/>
      <c r="D56" s="24"/>
      <c r="E56" s="24"/>
      <c r="F56" s="24"/>
      <c r="G56" s="24"/>
      <c r="H56" s="25"/>
    </row>
    <row r="57" spans="1:8" ht="15" customHeight="1" thickTop="1" x14ac:dyDescent="0.25">
      <c r="A57" s="11" t="s">
        <v>50</v>
      </c>
      <c r="B57" s="6">
        <v>11</v>
      </c>
      <c r="C57" s="16">
        <v>0</v>
      </c>
      <c r="D57" s="5">
        <f t="shared" ref="D57:D69" si="9">B57+C57</f>
        <v>11</v>
      </c>
      <c r="E57" s="6">
        <v>5</v>
      </c>
      <c r="F57" s="16">
        <v>1</v>
      </c>
      <c r="G57" s="5">
        <f t="shared" ref="G57:G68" si="10">E57+F57</f>
        <v>6</v>
      </c>
      <c r="H57" s="7">
        <f t="shared" ref="H57:H68" si="11">G57+D57</f>
        <v>17</v>
      </c>
    </row>
    <row r="58" spans="1:8" ht="15" customHeight="1" x14ac:dyDescent="0.25">
      <c r="A58" s="11" t="s">
        <v>51</v>
      </c>
      <c r="B58" s="6">
        <v>32</v>
      </c>
      <c r="C58" s="16">
        <v>2</v>
      </c>
      <c r="D58" s="5">
        <f t="shared" si="9"/>
        <v>34</v>
      </c>
      <c r="E58" s="6">
        <v>53</v>
      </c>
      <c r="F58" s="16">
        <v>5</v>
      </c>
      <c r="G58" s="5">
        <f t="shared" si="10"/>
        <v>58</v>
      </c>
      <c r="H58" s="7">
        <f t="shared" si="11"/>
        <v>92</v>
      </c>
    </row>
    <row r="59" spans="1:8" ht="15" customHeight="1" x14ac:dyDescent="0.25">
      <c r="A59" s="11" t="s">
        <v>52</v>
      </c>
      <c r="B59" s="6">
        <v>1</v>
      </c>
      <c r="C59" s="16">
        <v>0</v>
      </c>
      <c r="D59" s="5">
        <f t="shared" si="9"/>
        <v>1</v>
      </c>
      <c r="E59" s="6">
        <v>8</v>
      </c>
      <c r="F59" s="16">
        <v>1</v>
      </c>
      <c r="G59" s="5">
        <f t="shared" si="10"/>
        <v>9</v>
      </c>
      <c r="H59" s="7">
        <f t="shared" si="11"/>
        <v>10</v>
      </c>
    </row>
    <row r="60" spans="1:8" ht="15" customHeight="1" x14ac:dyDescent="0.25">
      <c r="A60" s="11" t="s">
        <v>53</v>
      </c>
      <c r="B60" s="6">
        <v>7</v>
      </c>
      <c r="C60" s="16">
        <v>0</v>
      </c>
      <c r="D60" s="5">
        <f t="shared" si="9"/>
        <v>7</v>
      </c>
      <c r="E60" s="6">
        <v>16</v>
      </c>
      <c r="F60" s="16">
        <v>1</v>
      </c>
      <c r="G60" s="5">
        <f t="shared" si="10"/>
        <v>17</v>
      </c>
      <c r="H60" s="7">
        <f t="shared" si="11"/>
        <v>24</v>
      </c>
    </row>
    <row r="61" spans="1:8" ht="15" customHeight="1" x14ac:dyDescent="0.25">
      <c r="A61" s="11" t="s">
        <v>54</v>
      </c>
      <c r="B61" s="6">
        <v>11</v>
      </c>
      <c r="C61" s="16">
        <v>1</v>
      </c>
      <c r="D61" s="5">
        <f t="shared" si="9"/>
        <v>12</v>
      </c>
      <c r="E61" s="6">
        <v>4</v>
      </c>
      <c r="F61" s="16">
        <v>0</v>
      </c>
      <c r="G61" s="5">
        <f t="shared" si="10"/>
        <v>4</v>
      </c>
      <c r="H61" s="7">
        <f t="shared" si="11"/>
        <v>16</v>
      </c>
    </row>
    <row r="62" spans="1:8" ht="15" customHeight="1" x14ac:dyDescent="0.25">
      <c r="A62" s="11" t="s">
        <v>55</v>
      </c>
      <c r="B62" s="6">
        <v>8</v>
      </c>
      <c r="C62" s="16">
        <v>0</v>
      </c>
      <c r="D62" s="5">
        <f t="shared" si="9"/>
        <v>8</v>
      </c>
      <c r="E62" s="6">
        <v>20</v>
      </c>
      <c r="F62" s="16">
        <v>2</v>
      </c>
      <c r="G62" s="5">
        <f t="shared" si="10"/>
        <v>22</v>
      </c>
      <c r="H62" s="7">
        <f t="shared" si="11"/>
        <v>30</v>
      </c>
    </row>
    <row r="63" spans="1:8" ht="15" customHeight="1" x14ac:dyDescent="0.25">
      <c r="A63" s="11" t="s">
        <v>56</v>
      </c>
      <c r="B63" s="6">
        <v>9</v>
      </c>
      <c r="C63" s="16">
        <v>0</v>
      </c>
      <c r="D63" s="5">
        <f t="shared" si="9"/>
        <v>9</v>
      </c>
      <c r="E63" s="6">
        <v>8</v>
      </c>
      <c r="F63" s="16">
        <v>0</v>
      </c>
      <c r="G63" s="5">
        <f t="shared" si="10"/>
        <v>8</v>
      </c>
      <c r="H63" s="7">
        <f t="shared" si="11"/>
        <v>17</v>
      </c>
    </row>
    <row r="64" spans="1:8" ht="15" customHeight="1" x14ac:dyDescent="0.25">
      <c r="A64" s="11" t="s">
        <v>57</v>
      </c>
      <c r="B64" s="6">
        <v>4</v>
      </c>
      <c r="C64" s="16">
        <v>0</v>
      </c>
      <c r="D64" s="5">
        <f t="shared" si="9"/>
        <v>4</v>
      </c>
      <c r="E64" s="6">
        <v>2</v>
      </c>
      <c r="F64" s="16">
        <v>0</v>
      </c>
      <c r="G64" s="5">
        <f t="shared" si="10"/>
        <v>2</v>
      </c>
      <c r="H64" s="7">
        <f t="shared" si="11"/>
        <v>6</v>
      </c>
    </row>
    <row r="65" spans="1:8" ht="15" customHeight="1" x14ac:dyDescent="0.25">
      <c r="A65" s="11" t="s">
        <v>171</v>
      </c>
      <c r="B65" s="6">
        <v>4</v>
      </c>
      <c r="C65" s="16">
        <v>0</v>
      </c>
      <c r="D65" s="5">
        <f t="shared" si="9"/>
        <v>4</v>
      </c>
      <c r="E65" s="6">
        <v>1</v>
      </c>
      <c r="F65" s="16">
        <v>1</v>
      </c>
      <c r="G65" s="5">
        <f t="shared" si="10"/>
        <v>2</v>
      </c>
      <c r="H65" s="7">
        <f t="shared" si="11"/>
        <v>6</v>
      </c>
    </row>
    <row r="66" spans="1:8" ht="15" customHeight="1" x14ac:dyDescent="0.25">
      <c r="A66" s="11" t="s">
        <v>58</v>
      </c>
      <c r="B66" s="6">
        <v>39</v>
      </c>
      <c r="C66" s="16">
        <v>0</v>
      </c>
      <c r="D66" s="5">
        <f t="shared" si="9"/>
        <v>39</v>
      </c>
      <c r="E66" s="6">
        <v>51</v>
      </c>
      <c r="F66" s="16">
        <v>6</v>
      </c>
      <c r="G66" s="5">
        <f t="shared" si="10"/>
        <v>57</v>
      </c>
      <c r="H66" s="7">
        <f t="shared" si="11"/>
        <v>96</v>
      </c>
    </row>
    <row r="67" spans="1:8" ht="15" customHeight="1" x14ac:dyDescent="0.25">
      <c r="A67" s="11" t="s">
        <v>60</v>
      </c>
      <c r="B67" s="6">
        <v>0</v>
      </c>
      <c r="C67" s="16">
        <v>0</v>
      </c>
      <c r="D67" s="5">
        <f t="shared" si="9"/>
        <v>0</v>
      </c>
      <c r="E67" s="6">
        <v>6</v>
      </c>
      <c r="F67" s="16">
        <v>0</v>
      </c>
      <c r="G67" s="5">
        <f t="shared" si="10"/>
        <v>6</v>
      </c>
      <c r="H67" s="7">
        <f t="shared" si="11"/>
        <v>6</v>
      </c>
    </row>
    <row r="68" spans="1:8" ht="15" customHeight="1" x14ac:dyDescent="0.25">
      <c r="A68" s="11" t="s">
        <v>61</v>
      </c>
      <c r="B68" s="6">
        <v>31</v>
      </c>
      <c r="C68" s="16">
        <v>0</v>
      </c>
      <c r="D68" s="5">
        <f t="shared" si="9"/>
        <v>31</v>
      </c>
      <c r="E68" s="6">
        <v>15</v>
      </c>
      <c r="F68" s="16">
        <v>2</v>
      </c>
      <c r="G68" s="5">
        <f t="shared" si="10"/>
        <v>17</v>
      </c>
      <c r="H68" s="7">
        <f t="shared" si="11"/>
        <v>48</v>
      </c>
    </row>
    <row r="69" spans="1:8" ht="15" customHeight="1" thickBot="1" x14ac:dyDescent="0.3">
      <c r="A69" s="11" t="s">
        <v>172</v>
      </c>
      <c r="B69" s="6">
        <v>2</v>
      </c>
      <c r="C69" s="16">
        <v>0</v>
      </c>
      <c r="D69" s="5">
        <f t="shared" si="9"/>
        <v>2</v>
      </c>
      <c r="E69" s="6">
        <v>1</v>
      </c>
      <c r="F69" s="16">
        <v>0</v>
      </c>
      <c r="G69" s="5">
        <f>E69+F69</f>
        <v>1</v>
      </c>
      <c r="H69" s="7">
        <f>G69+D69</f>
        <v>3</v>
      </c>
    </row>
    <row r="70" spans="1:8" ht="15" customHeight="1" thickTop="1" thickBot="1" x14ac:dyDescent="0.3">
      <c r="A70" s="12" t="s">
        <v>6</v>
      </c>
      <c r="B70" s="13">
        <f t="shared" ref="B70:H70" si="12">SUM(B57:B69)</f>
        <v>159</v>
      </c>
      <c r="C70" s="13">
        <f t="shared" si="12"/>
        <v>3</v>
      </c>
      <c r="D70" s="13">
        <f t="shared" si="12"/>
        <v>162</v>
      </c>
      <c r="E70" s="13">
        <f t="shared" si="12"/>
        <v>190</v>
      </c>
      <c r="F70" s="13">
        <f t="shared" si="12"/>
        <v>19</v>
      </c>
      <c r="G70" s="13">
        <f t="shared" si="12"/>
        <v>209</v>
      </c>
      <c r="H70" s="15">
        <f t="shared" si="12"/>
        <v>371</v>
      </c>
    </row>
    <row r="71" spans="1:8" ht="15" customHeight="1" thickTop="1" thickBot="1" x14ac:dyDescent="0.3">
      <c r="A71" s="23" t="s">
        <v>62</v>
      </c>
      <c r="B71" s="24"/>
      <c r="C71" s="24"/>
      <c r="D71" s="24"/>
      <c r="E71" s="24"/>
      <c r="F71" s="24"/>
      <c r="G71" s="24"/>
      <c r="H71" s="25"/>
    </row>
    <row r="72" spans="1:8" ht="15" customHeight="1" thickTop="1" x14ac:dyDescent="0.25">
      <c r="A72" s="11" t="s">
        <v>161</v>
      </c>
      <c r="B72" s="6">
        <v>10</v>
      </c>
      <c r="C72" s="16">
        <v>0</v>
      </c>
      <c r="D72" s="5">
        <f t="shared" ref="D72:D98" si="13">B72+C72</f>
        <v>10</v>
      </c>
      <c r="E72" s="6">
        <v>2</v>
      </c>
      <c r="F72" s="16">
        <v>1</v>
      </c>
      <c r="G72" s="5">
        <f t="shared" ref="G72:G98" si="14">E72+F72</f>
        <v>3</v>
      </c>
      <c r="H72" s="7">
        <f t="shared" ref="H72:H99" si="15">G72+D72</f>
        <v>13</v>
      </c>
    </row>
    <row r="73" spans="1:8" ht="15" customHeight="1" x14ac:dyDescent="0.25">
      <c r="A73" s="11" t="s">
        <v>64</v>
      </c>
      <c r="B73" s="6">
        <v>22</v>
      </c>
      <c r="C73" s="16">
        <v>0</v>
      </c>
      <c r="D73" s="5">
        <f t="shared" si="13"/>
        <v>22</v>
      </c>
      <c r="E73" s="6">
        <v>11</v>
      </c>
      <c r="F73" s="16">
        <v>0</v>
      </c>
      <c r="G73" s="5">
        <f t="shared" si="14"/>
        <v>11</v>
      </c>
      <c r="H73" s="7">
        <f t="shared" si="15"/>
        <v>33</v>
      </c>
    </row>
    <row r="74" spans="1:8" ht="15" customHeight="1" x14ac:dyDescent="0.25">
      <c r="A74" s="11" t="s">
        <v>207</v>
      </c>
      <c r="B74" s="6">
        <v>0</v>
      </c>
      <c r="C74" s="16">
        <v>0</v>
      </c>
      <c r="D74" s="5">
        <f t="shared" si="13"/>
        <v>0</v>
      </c>
      <c r="E74" s="6">
        <v>1</v>
      </c>
      <c r="F74" s="16">
        <v>0</v>
      </c>
      <c r="G74" s="5">
        <f t="shared" si="14"/>
        <v>1</v>
      </c>
      <c r="H74" s="7">
        <f t="shared" si="15"/>
        <v>1</v>
      </c>
    </row>
    <row r="75" spans="1:8" ht="15" customHeight="1" x14ac:dyDescent="0.25">
      <c r="A75" s="11" t="s">
        <v>65</v>
      </c>
      <c r="B75" s="6">
        <v>34</v>
      </c>
      <c r="C75" s="16">
        <v>1</v>
      </c>
      <c r="D75" s="5">
        <f t="shared" si="13"/>
        <v>35</v>
      </c>
      <c r="E75" s="6">
        <v>2</v>
      </c>
      <c r="F75" s="16">
        <v>0</v>
      </c>
      <c r="G75" s="5">
        <f t="shared" si="14"/>
        <v>2</v>
      </c>
      <c r="H75" s="7">
        <f t="shared" si="15"/>
        <v>37</v>
      </c>
    </row>
    <row r="76" spans="1:8" ht="15" customHeight="1" x14ac:dyDescent="0.25">
      <c r="A76" s="11" t="s">
        <v>173</v>
      </c>
      <c r="B76" s="6">
        <v>9</v>
      </c>
      <c r="C76" s="16">
        <v>0</v>
      </c>
      <c r="D76" s="5">
        <f t="shared" si="13"/>
        <v>9</v>
      </c>
      <c r="E76" s="6">
        <v>2</v>
      </c>
      <c r="F76" s="16">
        <v>0</v>
      </c>
      <c r="G76" s="5">
        <f t="shared" si="14"/>
        <v>2</v>
      </c>
      <c r="H76" s="7">
        <f t="shared" si="15"/>
        <v>11</v>
      </c>
    </row>
    <row r="77" spans="1:8" ht="15" customHeight="1" x14ac:dyDescent="0.25">
      <c r="A77" s="11" t="s">
        <v>174</v>
      </c>
      <c r="B77" s="6">
        <v>562</v>
      </c>
      <c r="C77" s="16">
        <v>28</v>
      </c>
      <c r="D77" s="5">
        <f t="shared" si="13"/>
        <v>590</v>
      </c>
      <c r="E77" s="6">
        <v>416</v>
      </c>
      <c r="F77" s="16">
        <v>9</v>
      </c>
      <c r="G77" s="5">
        <f t="shared" si="14"/>
        <v>425</v>
      </c>
      <c r="H77" s="7">
        <f t="shared" si="15"/>
        <v>1015</v>
      </c>
    </row>
    <row r="78" spans="1:8" ht="15" customHeight="1" x14ac:dyDescent="0.25">
      <c r="A78" s="11" t="s">
        <v>175</v>
      </c>
      <c r="B78" s="6">
        <v>366</v>
      </c>
      <c r="C78" s="16">
        <v>6</v>
      </c>
      <c r="D78" s="5">
        <f t="shared" si="13"/>
        <v>372</v>
      </c>
      <c r="E78" s="6">
        <v>55</v>
      </c>
      <c r="F78" s="16">
        <v>5</v>
      </c>
      <c r="G78" s="5">
        <f t="shared" si="14"/>
        <v>60</v>
      </c>
      <c r="H78" s="7">
        <f t="shared" si="15"/>
        <v>432</v>
      </c>
    </row>
    <row r="79" spans="1:8" ht="15" customHeight="1" x14ac:dyDescent="0.25">
      <c r="A79" s="11" t="s">
        <v>70</v>
      </c>
      <c r="B79" s="6">
        <v>54</v>
      </c>
      <c r="C79" s="16">
        <v>0</v>
      </c>
      <c r="D79" s="5">
        <f t="shared" si="13"/>
        <v>54</v>
      </c>
      <c r="E79" s="6">
        <v>136</v>
      </c>
      <c r="F79" s="16">
        <v>29</v>
      </c>
      <c r="G79" s="5">
        <f t="shared" si="14"/>
        <v>165</v>
      </c>
      <c r="H79" s="7">
        <f t="shared" si="15"/>
        <v>219</v>
      </c>
    </row>
    <row r="80" spans="1:8" ht="15" customHeight="1" x14ac:dyDescent="0.25">
      <c r="A80" s="11" t="s">
        <v>71</v>
      </c>
      <c r="B80" s="6">
        <v>11</v>
      </c>
      <c r="C80" s="16">
        <v>0</v>
      </c>
      <c r="D80" s="5">
        <f t="shared" si="13"/>
        <v>11</v>
      </c>
      <c r="E80" s="6">
        <v>9</v>
      </c>
      <c r="F80" s="16">
        <v>0</v>
      </c>
      <c r="G80" s="5">
        <f t="shared" si="14"/>
        <v>9</v>
      </c>
      <c r="H80" s="7">
        <f t="shared" si="15"/>
        <v>20</v>
      </c>
    </row>
    <row r="81" spans="1:8" ht="15" customHeight="1" x14ac:dyDescent="0.25">
      <c r="A81" s="11" t="s">
        <v>72</v>
      </c>
      <c r="B81" s="6">
        <v>61</v>
      </c>
      <c r="C81" s="16">
        <v>1</v>
      </c>
      <c r="D81" s="5">
        <f t="shared" si="13"/>
        <v>62</v>
      </c>
      <c r="E81" s="6">
        <v>59</v>
      </c>
      <c r="F81" s="16">
        <v>0</v>
      </c>
      <c r="G81" s="5">
        <f t="shared" si="14"/>
        <v>59</v>
      </c>
      <c r="H81" s="7">
        <f t="shared" si="15"/>
        <v>121</v>
      </c>
    </row>
    <row r="82" spans="1:8" ht="15" customHeight="1" x14ac:dyDescent="0.25">
      <c r="A82" s="11" t="s">
        <v>73</v>
      </c>
      <c r="B82" s="6">
        <v>66</v>
      </c>
      <c r="C82" s="16">
        <v>1</v>
      </c>
      <c r="D82" s="5">
        <f t="shared" si="13"/>
        <v>67</v>
      </c>
      <c r="E82" s="6">
        <v>28</v>
      </c>
      <c r="F82" s="16">
        <v>0</v>
      </c>
      <c r="G82" s="5">
        <f t="shared" si="14"/>
        <v>28</v>
      </c>
      <c r="H82" s="7">
        <f t="shared" si="15"/>
        <v>95</v>
      </c>
    </row>
    <row r="83" spans="1:8" ht="15" customHeight="1" x14ac:dyDescent="0.25">
      <c r="A83" s="11" t="s">
        <v>176</v>
      </c>
      <c r="B83" s="6">
        <v>112</v>
      </c>
      <c r="C83" s="16">
        <v>5</v>
      </c>
      <c r="D83" s="5">
        <f t="shared" si="13"/>
        <v>117</v>
      </c>
      <c r="E83" s="6">
        <v>69</v>
      </c>
      <c r="F83" s="16">
        <v>4</v>
      </c>
      <c r="G83" s="5">
        <f t="shared" si="14"/>
        <v>73</v>
      </c>
      <c r="H83" s="7">
        <f t="shared" si="15"/>
        <v>190</v>
      </c>
    </row>
    <row r="84" spans="1:8" ht="15" customHeight="1" x14ac:dyDescent="0.25">
      <c r="A84" s="11" t="s">
        <v>210</v>
      </c>
      <c r="B84" s="6">
        <v>0</v>
      </c>
      <c r="C84" s="16">
        <v>0</v>
      </c>
      <c r="D84" s="5">
        <f t="shared" si="13"/>
        <v>0</v>
      </c>
      <c r="E84" s="6">
        <v>1</v>
      </c>
      <c r="F84" s="16">
        <v>0</v>
      </c>
      <c r="G84" s="5">
        <f t="shared" si="14"/>
        <v>1</v>
      </c>
      <c r="H84" s="7">
        <f t="shared" si="15"/>
        <v>1</v>
      </c>
    </row>
    <row r="85" spans="1:8" ht="15" customHeight="1" x14ac:dyDescent="0.25">
      <c r="A85" s="11" t="s">
        <v>177</v>
      </c>
      <c r="B85" s="6">
        <v>5</v>
      </c>
      <c r="C85" s="16">
        <v>0</v>
      </c>
      <c r="D85" s="5">
        <f t="shared" si="13"/>
        <v>5</v>
      </c>
      <c r="E85" s="6">
        <v>0</v>
      </c>
      <c r="F85" s="16">
        <v>0</v>
      </c>
      <c r="G85" s="5">
        <f t="shared" si="14"/>
        <v>0</v>
      </c>
      <c r="H85" s="7">
        <f t="shared" si="15"/>
        <v>5</v>
      </c>
    </row>
    <row r="86" spans="1:8" ht="15" customHeight="1" x14ac:dyDescent="0.25">
      <c r="A86" s="11" t="s">
        <v>74</v>
      </c>
      <c r="B86" s="6">
        <v>212</v>
      </c>
      <c r="C86" s="16">
        <v>1</v>
      </c>
      <c r="D86" s="5">
        <f t="shared" si="13"/>
        <v>213</v>
      </c>
      <c r="E86" s="6">
        <v>63</v>
      </c>
      <c r="F86" s="16">
        <v>5</v>
      </c>
      <c r="G86" s="5">
        <f t="shared" si="14"/>
        <v>68</v>
      </c>
      <c r="H86" s="7">
        <f t="shared" si="15"/>
        <v>281</v>
      </c>
    </row>
    <row r="87" spans="1:8" ht="15" customHeight="1" x14ac:dyDescent="0.25">
      <c r="A87" s="11" t="s">
        <v>178</v>
      </c>
      <c r="B87" s="6">
        <v>3</v>
      </c>
      <c r="C87" s="16">
        <v>0</v>
      </c>
      <c r="D87" s="5">
        <f t="shared" si="13"/>
        <v>3</v>
      </c>
      <c r="E87" s="6">
        <v>0</v>
      </c>
      <c r="F87" s="16">
        <v>0</v>
      </c>
      <c r="G87" s="5">
        <f t="shared" si="14"/>
        <v>0</v>
      </c>
      <c r="H87" s="7">
        <f t="shared" si="15"/>
        <v>3</v>
      </c>
    </row>
    <row r="88" spans="1:8" ht="15" customHeight="1" x14ac:dyDescent="0.25">
      <c r="A88" s="11" t="s">
        <v>76</v>
      </c>
      <c r="B88" s="6">
        <v>1</v>
      </c>
      <c r="C88" s="16">
        <v>0</v>
      </c>
      <c r="D88" s="5">
        <f t="shared" si="13"/>
        <v>1</v>
      </c>
      <c r="E88" s="6">
        <v>1</v>
      </c>
      <c r="F88" s="16">
        <v>0</v>
      </c>
      <c r="G88" s="5">
        <f t="shared" si="14"/>
        <v>1</v>
      </c>
      <c r="H88" s="7">
        <f t="shared" si="15"/>
        <v>2</v>
      </c>
    </row>
    <row r="89" spans="1:8" ht="15" customHeight="1" x14ac:dyDescent="0.25">
      <c r="A89" s="11" t="s">
        <v>77</v>
      </c>
      <c r="B89" s="6">
        <v>56</v>
      </c>
      <c r="C89" s="16">
        <v>0</v>
      </c>
      <c r="D89" s="5">
        <f t="shared" si="13"/>
        <v>56</v>
      </c>
      <c r="E89" s="6">
        <v>35</v>
      </c>
      <c r="F89" s="16">
        <v>3</v>
      </c>
      <c r="G89" s="5">
        <f t="shared" si="14"/>
        <v>38</v>
      </c>
      <c r="H89" s="7">
        <f t="shared" si="15"/>
        <v>94</v>
      </c>
    </row>
    <row r="90" spans="1:8" ht="15" customHeight="1" x14ac:dyDescent="0.25">
      <c r="A90" s="11" t="s">
        <v>79</v>
      </c>
      <c r="B90" s="6">
        <v>9</v>
      </c>
      <c r="C90" s="16">
        <v>0</v>
      </c>
      <c r="D90" s="5">
        <f t="shared" si="13"/>
        <v>9</v>
      </c>
      <c r="E90" s="6">
        <v>5</v>
      </c>
      <c r="F90" s="16">
        <v>0</v>
      </c>
      <c r="G90" s="5">
        <f t="shared" si="14"/>
        <v>5</v>
      </c>
      <c r="H90" s="7">
        <f t="shared" si="15"/>
        <v>14</v>
      </c>
    </row>
    <row r="91" spans="1:8" ht="15" customHeight="1" x14ac:dyDescent="0.25">
      <c r="A91" s="11" t="s">
        <v>80</v>
      </c>
      <c r="B91" s="6">
        <v>262</v>
      </c>
      <c r="C91" s="16">
        <v>3</v>
      </c>
      <c r="D91" s="5">
        <f t="shared" si="13"/>
        <v>265</v>
      </c>
      <c r="E91" s="6">
        <v>34</v>
      </c>
      <c r="F91" s="16">
        <v>3</v>
      </c>
      <c r="G91" s="5">
        <f t="shared" si="14"/>
        <v>37</v>
      </c>
      <c r="H91" s="7">
        <f t="shared" si="15"/>
        <v>302</v>
      </c>
    </row>
    <row r="92" spans="1:8" ht="15" customHeight="1" x14ac:dyDescent="0.25">
      <c r="A92" s="11" t="s">
        <v>82</v>
      </c>
      <c r="B92" s="6">
        <v>23</v>
      </c>
      <c r="C92" s="16">
        <v>0</v>
      </c>
      <c r="D92" s="5">
        <f t="shared" si="13"/>
        <v>23</v>
      </c>
      <c r="E92" s="6">
        <v>6</v>
      </c>
      <c r="F92" s="16">
        <v>0</v>
      </c>
      <c r="G92" s="5">
        <f t="shared" si="14"/>
        <v>6</v>
      </c>
      <c r="H92" s="7">
        <f t="shared" si="15"/>
        <v>29</v>
      </c>
    </row>
    <row r="93" spans="1:8" ht="15" customHeight="1" x14ac:dyDescent="0.25">
      <c r="A93" s="11" t="s">
        <v>83</v>
      </c>
      <c r="B93" s="6">
        <v>38</v>
      </c>
      <c r="C93" s="16">
        <v>2</v>
      </c>
      <c r="D93" s="5">
        <f t="shared" si="13"/>
        <v>40</v>
      </c>
      <c r="E93" s="6">
        <v>56</v>
      </c>
      <c r="F93" s="16">
        <v>5</v>
      </c>
      <c r="G93" s="5">
        <f t="shared" si="14"/>
        <v>61</v>
      </c>
      <c r="H93" s="7">
        <f t="shared" si="15"/>
        <v>101</v>
      </c>
    </row>
    <row r="94" spans="1:8" ht="15" customHeight="1" x14ac:dyDescent="0.25">
      <c r="A94" s="11" t="s">
        <v>211</v>
      </c>
      <c r="B94" s="6">
        <v>0</v>
      </c>
      <c r="C94" s="16">
        <v>0</v>
      </c>
      <c r="D94" s="5">
        <f t="shared" si="13"/>
        <v>0</v>
      </c>
      <c r="E94" s="6">
        <v>1</v>
      </c>
      <c r="F94" s="16">
        <v>0</v>
      </c>
      <c r="G94" s="5">
        <f t="shared" si="14"/>
        <v>1</v>
      </c>
      <c r="H94" s="7">
        <f t="shared" si="15"/>
        <v>1</v>
      </c>
    </row>
    <row r="95" spans="1:8" ht="15" customHeight="1" x14ac:dyDescent="0.25">
      <c r="A95" s="11" t="s">
        <v>84</v>
      </c>
      <c r="B95" s="6">
        <v>58</v>
      </c>
      <c r="C95" s="16">
        <v>1</v>
      </c>
      <c r="D95" s="5">
        <f t="shared" si="13"/>
        <v>59</v>
      </c>
      <c r="E95" s="6">
        <v>73</v>
      </c>
      <c r="F95" s="16">
        <v>1</v>
      </c>
      <c r="G95" s="5">
        <f t="shared" si="14"/>
        <v>74</v>
      </c>
      <c r="H95" s="7">
        <f t="shared" si="15"/>
        <v>133</v>
      </c>
    </row>
    <row r="96" spans="1:8" ht="15" customHeight="1" x14ac:dyDescent="0.25">
      <c r="A96" s="11" t="s">
        <v>179</v>
      </c>
      <c r="B96" s="6">
        <v>0</v>
      </c>
      <c r="C96" s="16">
        <v>0</v>
      </c>
      <c r="D96" s="5">
        <f t="shared" si="13"/>
        <v>0</v>
      </c>
      <c r="E96" s="6">
        <v>1</v>
      </c>
      <c r="F96" s="16">
        <v>0</v>
      </c>
      <c r="G96" s="5">
        <f t="shared" si="14"/>
        <v>1</v>
      </c>
      <c r="H96" s="7">
        <f t="shared" si="15"/>
        <v>1</v>
      </c>
    </row>
    <row r="97" spans="1:8" ht="15" customHeight="1" x14ac:dyDescent="0.25">
      <c r="A97" s="11" t="s">
        <v>180</v>
      </c>
      <c r="B97" s="6">
        <v>1</v>
      </c>
      <c r="C97" s="16">
        <v>0</v>
      </c>
      <c r="D97" s="5">
        <f t="shared" si="13"/>
        <v>1</v>
      </c>
      <c r="E97" s="6">
        <v>1</v>
      </c>
      <c r="F97" s="16">
        <v>0</v>
      </c>
      <c r="G97" s="5">
        <f t="shared" si="14"/>
        <v>1</v>
      </c>
      <c r="H97" s="7">
        <f t="shared" si="15"/>
        <v>2</v>
      </c>
    </row>
    <row r="98" spans="1:8" ht="15" customHeight="1" thickBot="1" x14ac:dyDescent="0.3">
      <c r="A98" s="11" t="s">
        <v>85</v>
      </c>
      <c r="B98" s="6">
        <v>38</v>
      </c>
      <c r="C98" s="16">
        <v>0</v>
      </c>
      <c r="D98" s="5">
        <f t="shared" si="13"/>
        <v>38</v>
      </c>
      <c r="E98" s="6">
        <v>1</v>
      </c>
      <c r="F98" s="16">
        <v>1</v>
      </c>
      <c r="G98" s="5">
        <f t="shared" si="14"/>
        <v>2</v>
      </c>
      <c r="H98" s="7">
        <f t="shared" si="15"/>
        <v>40</v>
      </c>
    </row>
    <row r="99" spans="1:8" ht="15" customHeight="1" thickTop="1" thickBot="1" x14ac:dyDescent="0.3">
      <c r="A99" s="12" t="s">
        <v>6</v>
      </c>
      <c r="B99" s="13">
        <f t="shared" ref="B99:G99" si="16">SUM(B72:B98)</f>
        <v>2013</v>
      </c>
      <c r="C99" s="13">
        <f t="shared" si="16"/>
        <v>49</v>
      </c>
      <c r="D99" s="13">
        <f t="shared" si="16"/>
        <v>2062</v>
      </c>
      <c r="E99" s="13">
        <f t="shared" si="16"/>
        <v>1068</v>
      </c>
      <c r="F99" s="13">
        <f t="shared" si="16"/>
        <v>66</v>
      </c>
      <c r="G99" s="13">
        <f t="shared" si="16"/>
        <v>1134</v>
      </c>
      <c r="H99" s="15">
        <f t="shared" si="15"/>
        <v>3196</v>
      </c>
    </row>
    <row r="100" spans="1:8" ht="15" customHeight="1" thickTop="1" thickBot="1" x14ac:dyDescent="0.3">
      <c r="A100" s="23" t="s">
        <v>86</v>
      </c>
      <c r="B100" s="24"/>
      <c r="C100" s="24"/>
      <c r="D100" s="24"/>
      <c r="E100" s="24"/>
      <c r="F100" s="24"/>
      <c r="G100" s="24"/>
      <c r="H100" s="25"/>
    </row>
    <row r="101" spans="1:8" ht="15" customHeight="1" thickTop="1" x14ac:dyDescent="0.25">
      <c r="A101" s="11" t="s">
        <v>87</v>
      </c>
      <c r="B101" s="6">
        <v>4</v>
      </c>
      <c r="C101" s="16">
        <v>0</v>
      </c>
      <c r="D101" s="5">
        <f t="shared" ref="D101:D126" si="17">B101+C101</f>
        <v>4</v>
      </c>
      <c r="E101" s="6">
        <v>4</v>
      </c>
      <c r="F101" s="16">
        <v>0</v>
      </c>
      <c r="G101" s="5">
        <f t="shared" ref="G101:G126" si="18">E101+F101</f>
        <v>4</v>
      </c>
      <c r="H101" s="7">
        <f t="shared" ref="H101:H126" si="19">G101+D101</f>
        <v>8</v>
      </c>
    </row>
    <row r="102" spans="1:8" ht="15" customHeight="1" x14ac:dyDescent="0.25">
      <c r="A102" s="11" t="s">
        <v>181</v>
      </c>
      <c r="B102" s="6">
        <v>1</v>
      </c>
      <c r="C102" s="16">
        <v>0</v>
      </c>
      <c r="D102" s="5">
        <f t="shared" si="17"/>
        <v>1</v>
      </c>
      <c r="E102" s="6">
        <v>0</v>
      </c>
      <c r="F102" s="16">
        <v>0</v>
      </c>
      <c r="G102" s="5">
        <f t="shared" si="18"/>
        <v>0</v>
      </c>
      <c r="H102" s="7">
        <f t="shared" si="19"/>
        <v>1</v>
      </c>
    </row>
    <row r="103" spans="1:8" ht="15" customHeight="1" x14ac:dyDescent="0.25">
      <c r="A103" s="11" t="s">
        <v>88</v>
      </c>
      <c r="B103" s="6">
        <v>2</v>
      </c>
      <c r="C103" s="16">
        <v>0</v>
      </c>
      <c r="D103" s="5">
        <f t="shared" si="17"/>
        <v>2</v>
      </c>
      <c r="E103" s="6">
        <v>1</v>
      </c>
      <c r="F103" s="16">
        <v>0</v>
      </c>
      <c r="G103" s="5">
        <f t="shared" si="18"/>
        <v>1</v>
      </c>
      <c r="H103" s="7">
        <f t="shared" si="19"/>
        <v>3</v>
      </c>
    </row>
    <row r="104" spans="1:8" ht="15" customHeight="1" x14ac:dyDescent="0.25">
      <c r="A104" s="11" t="s">
        <v>183</v>
      </c>
      <c r="B104" s="6">
        <v>1</v>
      </c>
      <c r="C104" s="16">
        <v>0</v>
      </c>
      <c r="D104" s="5">
        <f t="shared" si="17"/>
        <v>1</v>
      </c>
      <c r="E104" s="6">
        <v>0</v>
      </c>
      <c r="F104" s="16">
        <v>0</v>
      </c>
      <c r="G104" s="5">
        <f t="shared" si="18"/>
        <v>0</v>
      </c>
      <c r="H104" s="7">
        <f t="shared" si="19"/>
        <v>1</v>
      </c>
    </row>
    <row r="105" spans="1:8" ht="15" customHeight="1" x14ac:dyDescent="0.25">
      <c r="A105" s="11" t="s">
        <v>89</v>
      </c>
      <c r="B105" s="6">
        <v>0</v>
      </c>
      <c r="C105" s="16">
        <v>0</v>
      </c>
      <c r="D105" s="5">
        <f t="shared" si="17"/>
        <v>0</v>
      </c>
      <c r="E105" s="6">
        <v>1</v>
      </c>
      <c r="F105" s="16">
        <v>0</v>
      </c>
      <c r="G105" s="5">
        <f t="shared" si="18"/>
        <v>1</v>
      </c>
      <c r="H105" s="7">
        <f t="shared" si="19"/>
        <v>1</v>
      </c>
    </row>
    <row r="106" spans="1:8" ht="15" customHeight="1" x14ac:dyDescent="0.25">
      <c r="A106" s="11" t="s">
        <v>90</v>
      </c>
      <c r="B106" s="6">
        <v>5</v>
      </c>
      <c r="C106" s="16">
        <v>0</v>
      </c>
      <c r="D106" s="5">
        <f t="shared" si="17"/>
        <v>5</v>
      </c>
      <c r="E106" s="6">
        <v>15</v>
      </c>
      <c r="F106" s="16">
        <v>3</v>
      </c>
      <c r="G106" s="5">
        <f t="shared" si="18"/>
        <v>18</v>
      </c>
      <c r="H106" s="7">
        <f t="shared" si="19"/>
        <v>23</v>
      </c>
    </row>
    <row r="107" spans="1:8" ht="15" customHeight="1" x14ac:dyDescent="0.25">
      <c r="A107" s="11" t="s">
        <v>95</v>
      </c>
      <c r="B107" s="6">
        <v>4</v>
      </c>
      <c r="C107" s="16">
        <v>0</v>
      </c>
      <c r="D107" s="5">
        <f t="shared" si="17"/>
        <v>4</v>
      </c>
      <c r="E107" s="6">
        <v>5</v>
      </c>
      <c r="F107" s="16">
        <v>0</v>
      </c>
      <c r="G107" s="5">
        <f t="shared" si="18"/>
        <v>5</v>
      </c>
      <c r="H107" s="7">
        <f t="shared" si="19"/>
        <v>9</v>
      </c>
    </row>
    <row r="108" spans="1:8" ht="15" customHeight="1" x14ac:dyDescent="0.25">
      <c r="A108" s="11" t="s">
        <v>212</v>
      </c>
      <c r="B108" s="6">
        <v>1</v>
      </c>
      <c r="C108" s="16">
        <v>0</v>
      </c>
      <c r="D108" s="5">
        <f t="shared" si="17"/>
        <v>1</v>
      </c>
      <c r="E108" s="6">
        <v>0</v>
      </c>
      <c r="F108" s="16">
        <v>0</v>
      </c>
      <c r="G108" s="5">
        <f t="shared" si="18"/>
        <v>0</v>
      </c>
      <c r="H108" s="7">
        <f t="shared" si="19"/>
        <v>1</v>
      </c>
    </row>
    <row r="109" spans="1:8" ht="15" customHeight="1" x14ac:dyDescent="0.25">
      <c r="A109" s="11" t="s">
        <v>96</v>
      </c>
      <c r="B109" s="6">
        <v>21</v>
      </c>
      <c r="C109" s="16">
        <v>0</v>
      </c>
      <c r="D109" s="5">
        <f t="shared" si="17"/>
        <v>21</v>
      </c>
      <c r="E109" s="6">
        <v>6</v>
      </c>
      <c r="F109" s="16">
        <v>1</v>
      </c>
      <c r="G109" s="5">
        <f t="shared" si="18"/>
        <v>7</v>
      </c>
      <c r="H109" s="7">
        <f t="shared" si="19"/>
        <v>28</v>
      </c>
    </row>
    <row r="110" spans="1:8" ht="15" customHeight="1" x14ac:dyDescent="0.25">
      <c r="A110" s="11" t="s">
        <v>99</v>
      </c>
      <c r="B110" s="6">
        <v>0</v>
      </c>
      <c r="C110" s="16">
        <v>0</v>
      </c>
      <c r="D110" s="5">
        <f t="shared" si="17"/>
        <v>0</v>
      </c>
      <c r="E110" s="6">
        <v>10</v>
      </c>
      <c r="F110" s="16">
        <v>0</v>
      </c>
      <c r="G110" s="5">
        <f t="shared" si="18"/>
        <v>10</v>
      </c>
      <c r="H110" s="7">
        <f t="shared" si="19"/>
        <v>10</v>
      </c>
    </row>
    <row r="111" spans="1:8" ht="15" customHeight="1" x14ac:dyDescent="0.25">
      <c r="A111" s="11" t="s">
        <v>100</v>
      </c>
      <c r="B111" s="6">
        <v>1</v>
      </c>
      <c r="C111" s="16">
        <v>0</v>
      </c>
      <c r="D111" s="5">
        <f t="shared" si="17"/>
        <v>1</v>
      </c>
      <c r="E111" s="6">
        <v>1</v>
      </c>
      <c r="F111" s="16">
        <v>1</v>
      </c>
      <c r="G111" s="5">
        <f t="shared" si="18"/>
        <v>2</v>
      </c>
      <c r="H111" s="7">
        <f t="shared" si="19"/>
        <v>3</v>
      </c>
    </row>
    <row r="112" spans="1:8" ht="15" customHeight="1" x14ac:dyDescent="0.25">
      <c r="A112" s="11" t="s">
        <v>101</v>
      </c>
      <c r="B112" s="6">
        <v>23</v>
      </c>
      <c r="C112" s="16">
        <v>0</v>
      </c>
      <c r="D112" s="5">
        <f t="shared" si="17"/>
        <v>23</v>
      </c>
      <c r="E112" s="6">
        <v>3</v>
      </c>
      <c r="F112" s="16">
        <v>1</v>
      </c>
      <c r="G112" s="5">
        <f t="shared" si="18"/>
        <v>4</v>
      </c>
      <c r="H112" s="7">
        <f t="shared" si="19"/>
        <v>27</v>
      </c>
    </row>
    <row r="113" spans="1:8" ht="15" customHeight="1" x14ac:dyDescent="0.25">
      <c r="A113" s="11" t="s">
        <v>102</v>
      </c>
      <c r="B113" s="6">
        <v>5</v>
      </c>
      <c r="C113" s="16">
        <v>0</v>
      </c>
      <c r="D113" s="5">
        <f t="shared" si="17"/>
        <v>5</v>
      </c>
      <c r="E113" s="6">
        <v>2</v>
      </c>
      <c r="F113" s="16">
        <v>0</v>
      </c>
      <c r="G113" s="5">
        <f t="shared" si="18"/>
        <v>2</v>
      </c>
      <c r="H113" s="7">
        <f t="shared" si="19"/>
        <v>7</v>
      </c>
    </row>
    <row r="114" spans="1:8" ht="15" customHeight="1" x14ac:dyDescent="0.25">
      <c r="A114" s="11" t="s">
        <v>186</v>
      </c>
      <c r="B114" s="6">
        <v>1</v>
      </c>
      <c r="C114" s="16">
        <v>0</v>
      </c>
      <c r="D114" s="5">
        <f t="shared" si="17"/>
        <v>1</v>
      </c>
      <c r="E114" s="6">
        <v>1</v>
      </c>
      <c r="F114" s="16">
        <v>0</v>
      </c>
      <c r="G114" s="5">
        <f t="shared" si="18"/>
        <v>1</v>
      </c>
      <c r="H114" s="7">
        <f t="shared" si="19"/>
        <v>2</v>
      </c>
    </row>
    <row r="115" spans="1:8" ht="15" customHeight="1" x14ac:dyDescent="0.25">
      <c r="A115" s="11" t="s">
        <v>103</v>
      </c>
      <c r="B115" s="6">
        <v>0</v>
      </c>
      <c r="C115" s="16">
        <v>0</v>
      </c>
      <c r="D115" s="5">
        <f t="shared" si="17"/>
        <v>0</v>
      </c>
      <c r="E115" s="6">
        <v>1</v>
      </c>
      <c r="F115" s="16">
        <v>0</v>
      </c>
      <c r="G115" s="5">
        <f t="shared" si="18"/>
        <v>1</v>
      </c>
      <c r="H115" s="7">
        <f t="shared" si="19"/>
        <v>1</v>
      </c>
    </row>
    <row r="116" spans="1:8" ht="15" customHeight="1" x14ac:dyDescent="0.25">
      <c r="A116" s="11" t="s">
        <v>104</v>
      </c>
      <c r="B116" s="6">
        <v>44</v>
      </c>
      <c r="C116" s="16">
        <v>0</v>
      </c>
      <c r="D116" s="5">
        <f t="shared" si="17"/>
        <v>44</v>
      </c>
      <c r="E116" s="6">
        <v>78</v>
      </c>
      <c r="F116" s="16">
        <v>1</v>
      </c>
      <c r="G116" s="5">
        <f t="shared" si="18"/>
        <v>79</v>
      </c>
      <c r="H116" s="7">
        <f t="shared" si="19"/>
        <v>123</v>
      </c>
    </row>
    <row r="117" spans="1:8" ht="15" customHeight="1" x14ac:dyDescent="0.25">
      <c r="A117" s="11" t="s">
        <v>188</v>
      </c>
      <c r="B117" s="6">
        <v>1</v>
      </c>
      <c r="C117" s="16">
        <v>0</v>
      </c>
      <c r="D117" s="5">
        <f t="shared" si="17"/>
        <v>1</v>
      </c>
      <c r="E117" s="6">
        <v>0</v>
      </c>
      <c r="F117" s="16">
        <v>0</v>
      </c>
      <c r="G117" s="5">
        <f t="shared" si="18"/>
        <v>0</v>
      </c>
      <c r="H117" s="7">
        <f t="shared" si="19"/>
        <v>1</v>
      </c>
    </row>
    <row r="118" spans="1:8" ht="15" customHeight="1" x14ac:dyDescent="0.25">
      <c r="A118" s="11" t="s">
        <v>109</v>
      </c>
      <c r="B118" s="6">
        <v>1</v>
      </c>
      <c r="C118" s="16">
        <v>0</v>
      </c>
      <c r="D118" s="5">
        <f t="shared" si="17"/>
        <v>1</v>
      </c>
      <c r="E118" s="6">
        <v>1</v>
      </c>
      <c r="F118" s="16">
        <v>0</v>
      </c>
      <c r="G118" s="5">
        <f t="shared" si="18"/>
        <v>1</v>
      </c>
      <c r="H118" s="7">
        <f t="shared" si="19"/>
        <v>2</v>
      </c>
    </row>
    <row r="119" spans="1:8" ht="15" customHeight="1" x14ac:dyDescent="0.25">
      <c r="A119" s="11" t="s">
        <v>105</v>
      </c>
      <c r="B119" s="6">
        <v>0</v>
      </c>
      <c r="C119" s="16">
        <v>0</v>
      </c>
      <c r="D119" s="5">
        <f t="shared" si="17"/>
        <v>0</v>
      </c>
      <c r="E119" s="6">
        <v>1</v>
      </c>
      <c r="F119" s="16">
        <v>0</v>
      </c>
      <c r="G119" s="5">
        <f t="shared" si="18"/>
        <v>1</v>
      </c>
      <c r="H119" s="7">
        <f t="shared" si="19"/>
        <v>1</v>
      </c>
    </row>
    <row r="120" spans="1:8" ht="15" customHeight="1" x14ac:dyDescent="0.25">
      <c r="A120" s="11" t="s">
        <v>107</v>
      </c>
      <c r="B120" s="6">
        <v>7</v>
      </c>
      <c r="C120" s="16">
        <v>0</v>
      </c>
      <c r="D120" s="5">
        <f t="shared" si="17"/>
        <v>7</v>
      </c>
      <c r="E120" s="6">
        <v>12</v>
      </c>
      <c r="F120" s="16">
        <v>3</v>
      </c>
      <c r="G120" s="5">
        <f t="shared" si="18"/>
        <v>15</v>
      </c>
      <c r="H120" s="7">
        <f t="shared" si="19"/>
        <v>22</v>
      </c>
    </row>
    <row r="121" spans="1:8" ht="15" customHeight="1" x14ac:dyDescent="0.25">
      <c r="A121" s="11" t="s">
        <v>108</v>
      </c>
      <c r="B121" s="6">
        <v>0</v>
      </c>
      <c r="C121" s="16">
        <v>0</v>
      </c>
      <c r="D121" s="5">
        <f t="shared" si="17"/>
        <v>0</v>
      </c>
      <c r="E121" s="6">
        <v>3</v>
      </c>
      <c r="F121" s="16">
        <v>0</v>
      </c>
      <c r="G121" s="5">
        <f t="shared" si="18"/>
        <v>3</v>
      </c>
      <c r="H121" s="7">
        <f t="shared" si="19"/>
        <v>3</v>
      </c>
    </row>
    <row r="122" spans="1:8" ht="15" customHeight="1" x14ac:dyDescent="0.25">
      <c r="A122" s="11" t="s">
        <v>110</v>
      </c>
      <c r="B122" s="6">
        <v>6</v>
      </c>
      <c r="C122" s="16">
        <v>0</v>
      </c>
      <c r="D122" s="5">
        <f t="shared" si="17"/>
        <v>6</v>
      </c>
      <c r="E122" s="6">
        <v>5</v>
      </c>
      <c r="F122" s="16">
        <v>0</v>
      </c>
      <c r="G122" s="5">
        <f t="shared" si="18"/>
        <v>5</v>
      </c>
      <c r="H122" s="7">
        <f t="shared" si="19"/>
        <v>11</v>
      </c>
    </row>
    <row r="123" spans="1:8" ht="15" customHeight="1" x14ac:dyDescent="0.25">
      <c r="A123" s="11" t="s">
        <v>111</v>
      </c>
      <c r="B123" s="6">
        <v>1</v>
      </c>
      <c r="C123" s="16">
        <v>0</v>
      </c>
      <c r="D123" s="5">
        <f t="shared" si="17"/>
        <v>1</v>
      </c>
      <c r="E123" s="6">
        <v>4</v>
      </c>
      <c r="F123" s="16">
        <v>0</v>
      </c>
      <c r="G123" s="5">
        <f t="shared" si="18"/>
        <v>4</v>
      </c>
      <c r="H123" s="7">
        <f t="shared" si="19"/>
        <v>5</v>
      </c>
    </row>
    <row r="124" spans="1:8" ht="15" customHeight="1" x14ac:dyDescent="0.25">
      <c r="A124" s="11" t="s">
        <v>112</v>
      </c>
      <c r="B124" s="6">
        <v>1</v>
      </c>
      <c r="C124" s="16">
        <v>0</v>
      </c>
      <c r="D124" s="5">
        <f t="shared" si="17"/>
        <v>1</v>
      </c>
      <c r="E124" s="6">
        <v>0</v>
      </c>
      <c r="F124" s="16">
        <v>0</v>
      </c>
      <c r="G124" s="5">
        <f t="shared" si="18"/>
        <v>0</v>
      </c>
      <c r="H124" s="7">
        <f t="shared" si="19"/>
        <v>1</v>
      </c>
    </row>
    <row r="125" spans="1:8" ht="15" customHeight="1" x14ac:dyDescent="0.25">
      <c r="A125" s="11" t="s">
        <v>113</v>
      </c>
      <c r="B125" s="6">
        <v>1</v>
      </c>
      <c r="C125" s="16">
        <v>0</v>
      </c>
      <c r="D125" s="5">
        <f t="shared" si="17"/>
        <v>1</v>
      </c>
      <c r="E125" s="6">
        <v>1</v>
      </c>
      <c r="F125" s="16">
        <v>1</v>
      </c>
      <c r="G125" s="5">
        <f t="shared" si="18"/>
        <v>2</v>
      </c>
      <c r="H125" s="7">
        <f t="shared" si="19"/>
        <v>3</v>
      </c>
    </row>
    <row r="126" spans="1:8" ht="15" customHeight="1" thickBot="1" x14ac:dyDescent="0.3">
      <c r="A126" s="11" t="s">
        <v>114</v>
      </c>
      <c r="B126" s="6">
        <v>1</v>
      </c>
      <c r="C126" s="16">
        <v>0</v>
      </c>
      <c r="D126" s="5">
        <f t="shared" si="17"/>
        <v>1</v>
      </c>
      <c r="E126" s="6">
        <v>4</v>
      </c>
      <c r="F126" s="16">
        <v>1</v>
      </c>
      <c r="G126" s="5">
        <f t="shared" si="18"/>
        <v>5</v>
      </c>
      <c r="H126" s="7">
        <f t="shared" si="19"/>
        <v>6</v>
      </c>
    </row>
    <row r="127" spans="1:8" ht="15" customHeight="1" thickTop="1" thickBot="1" x14ac:dyDescent="0.3">
      <c r="A127" s="12" t="s">
        <v>6</v>
      </c>
      <c r="B127" s="13">
        <f t="shared" ref="B127:H127" si="20">SUM(B101:B126)</f>
        <v>132</v>
      </c>
      <c r="C127" s="13">
        <f t="shared" si="20"/>
        <v>0</v>
      </c>
      <c r="D127" s="13">
        <f t="shared" si="20"/>
        <v>132</v>
      </c>
      <c r="E127" s="13">
        <f t="shared" si="20"/>
        <v>159</v>
      </c>
      <c r="F127" s="13">
        <f t="shared" si="20"/>
        <v>12</v>
      </c>
      <c r="G127" s="13">
        <f t="shared" si="20"/>
        <v>171</v>
      </c>
      <c r="H127" s="15">
        <f t="shared" si="20"/>
        <v>303</v>
      </c>
    </row>
    <row r="128" spans="1:8" ht="15" customHeight="1" thickTop="1" thickBot="1" x14ac:dyDescent="0.3">
      <c r="A128" s="23" t="s">
        <v>115</v>
      </c>
      <c r="B128" s="24"/>
      <c r="C128" s="24"/>
      <c r="D128" s="24"/>
      <c r="E128" s="24"/>
      <c r="F128" s="24"/>
      <c r="G128" s="24"/>
      <c r="H128" s="25"/>
    </row>
    <row r="129" spans="1:8" ht="15" customHeight="1" thickTop="1" x14ac:dyDescent="0.25">
      <c r="A129" s="11" t="s">
        <v>116</v>
      </c>
      <c r="B129" s="6">
        <v>50</v>
      </c>
      <c r="C129" s="16">
        <v>0</v>
      </c>
      <c r="D129" s="5">
        <f t="shared" ref="D129:D130" si="21">B129+C129</f>
        <v>50</v>
      </c>
      <c r="E129" s="6">
        <v>75</v>
      </c>
      <c r="F129" s="16">
        <v>6</v>
      </c>
      <c r="G129" s="5">
        <f t="shared" ref="G129:G130" si="22">E129+F129</f>
        <v>81</v>
      </c>
      <c r="H129" s="7">
        <f t="shared" ref="H129:H130" si="23">G129+D129</f>
        <v>131</v>
      </c>
    </row>
    <row r="130" spans="1:8" ht="15" customHeight="1" thickBot="1" x14ac:dyDescent="0.3">
      <c r="A130" s="11" t="s">
        <v>117</v>
      </c>
      <c r="B130" s="6">
        <v>313</v>
      </c>
      <c r="C130" s="16">
        <v>1</v>
      </c>
      <c r="D130" s="5">
        <f t="shared" si="21"/>
        <v>314</v>
      </c>
      <c r="E130" s="6">
        <v>351</v>
      </c>
      <c r="F130" s="16">
        <v>20</v>
      </c>
      <c r="G130" s="5">
        <f t="shared" si="22"/>
        <v>371</v>
      </c>
      <c r="H130" s="7">
        <f t="shared" si="23"/>
        <v>685</v>
      </c>
    </row>
    <row r="131" spans="1:8" ht="15" customHeight="1" thickTop="1" thickBot="1" x14ac:dyDescent="0.3">
      <c r="A131" s="12" t="s">
        <v>6</v>
      </c>
      <c r="B131" s="13">
        <f>SUM(B129:B130)</f>
        <v>363</v>
      </c>
      <c r="C131" s="13">
        <f t="shared" ref="C131:H131" si="24">SUM(C129:C130)</f>
        <v>1</v>
      </c>
      <c r="D131" s="13">
        <f t="shared" si="24"/>
        <v>364</v>
      </c>
      <c r="E131" s="13">
        <f t="shared" si="24"/>
        <v>426</v>
      </c>
      <c r="F131" s="13">
        <f t="shared" si="24"/>
        <v>26</v>
      </c>
      <c r="G131" s="13">
        <f t="shared" si="24"/>
        <v>452</v>
      </c>
      <c r="H131" s="15">
        <f t="shared" si="24"/>
        <v>816</v>
      </c>
    </row>
    <row r="132" spans="1:8" ht="15" customHeight="1" thickTop="1" thickBot="1" x14ac:dyDescent="0.3">
      <c r="A132" s="23" t="s">
        <v>145</v>
      </c>
      <c r="B132" s="24"/>
      <c r="C132" s="24"/>
      <c r="D132" s="24"/>
      <c r="E132" s="24"/>
      <c r="F132" s="24"/>
      <c r="G132" s="24"/>
      <c r="H132" s="25"/>
    </row>
    <row r="133" spans="1:8" ht="15" customHeight="1" thickTop="1" x14ac:dyDescent="0.25">
      <c r="A133" s="11" t="s">
        <v>118</v>
      </c>
      <c r="B133" s="6">
        <v>1</v>
      </c>
      <c r="C133" s="16">
        <v>0</v>
      </c>
      <c r="D133" s="5">
        <f>B133+C133</f>
        <v>1</v>
      </c>
      <c r="E133" s="6">
        <v>0</v>
      </c>
      <c r="F133" s="16">
        <v>0</v>
      </c>
      <c r="G133" s="5">
        <f>E133+F133</f>
        <v>0</v>
      </c>
      <c r="H133" s="7">
        <f>G133+D133</f>
        <v>1</v>
      </c>
    </row>
    <row r="134" spans="1:8" ht="15" customHeight="1" x14ac:dyDescent="0.25">
      <c r="A134" s="11" t="s">
        <v>119</v>
      </c>
      <c r="B134" s="6">
        <v>1</v>
      </c>
      <c r="C134" s="16">
        <v>0</v>
      </c>
      <c r="D134" s="5">
        <f t="shared" ref="D134:D144" si="25">B134+C134</f>
        <v>1</v>
      </c>
      <c r="E134" s="6">
        <v>3</v>
      </c>
      <c r="F134" s="16">
        <v>0</v>
      </c>
      <c r="G134" s="5">
        <f>E134+F134</f>
        <v>3</v>
      </c>
      <c r="H134" s="7">
        <f>G134+D134</f>
        <v>4</v>
      </c>
    </row>
    <row r="135" spans="1:8" ht="15" customHeight="1" x14ac:dyDescent="0.25">
      <c r="A135" s="11" t="s">
        <v>120</v>
      </c>
      <c r="B135" s="6">
        <v>2</v>
      </c>
      <c r="C135" s="16">
        <v>0</v>
      </c>
      <c r="D135" s="5">
        <f t="shared" si="25"/>
        <v>2</v>
      </c>
      <c r="E135" s="6">
        <v>2</v>
      </c>
      <c r="F135" s="16">
        <v>0</v>
      </c>
      <c r="G135" s="5">
        <f>E135+F135</f>
        <v>2</v>
      </c>
      <c r="H135" s="7">
        <f>G135+D135</f>
        <v>4</v>
      </c>
    </row>
    <row r="136" spans="1:8" ht="15" customHeight="1" x14ac:dyDescent="0.25">
      <c r="A136" s="11" t="s">
        <v>213</v>
      </c>
      <c r="B136" s="6">
        <v>0</v>
      </c>
      <c r="C136" s="16">
        <v>0</v>
      </c>
      <c r="D136" s="5">
        <f t="shared" si="25"/>
        <v>0</v>
      </c>
      <c r="E136" s="6">
        <v>1</v>
      </c>
      <c r="F136" s="16">
        <v>0</v>
      </c>
      <c r="G136" s="5">
        <f t="shared" ref="G136:G139" si="26">E136+F136</f>
        <v>1</v>
      </c>
      <c r="H136" s="7">
        <f t="shared" ref="H136:H139" si="27">G136+D136</f>
        <v>1</v>
      </c>
    </row>
    <row r="137" spans="1:8" ht="15" customHeight="1" x14ac:dyDescent="0.25">
      <c r="A137" s="11" t="s">
        <v>121</v>
      </c>
      <c r="B137" s="6">
        <v>0</v>
      </c>
      <c r="C137" s="16">
        <v>0</v>
      </c>
      <c r="D137" s="5">
        <f t="shared" si="25"/>
        <v>0</v>
      </c>
      <c r="E137" s="6">
        <v>1</v>
      </c>
      <c r="F137" s="16">
        <v>0</v>
      </c>
      <c r="G137" s="5">
        <f t="shared" si="26"/>
        <v>1</v>
      </c>
      <c r="H137" s="7">
        <f t="shared" si="27"/>
        <v>1</v>
      </c>
    </row>
    <row r="138" spans="1:8" ht="15" customHeight="1" x14ac:dyDescent="0.25">
      <c r="A138" s="11" t="s">
        <v>189</v>
      </c>
      <c r="B138" s="6">
        <v>0</v>
      </c>
      <c r="C138" s="16">
        <v>0</v>
      </c>
      <c r="D138" s="5">
        <f t="shared" si="25"/>
        <v>0</v>
      </c>
      <c r="E138" s="6">
        <v>1</v>
      </c>
      <c r="F138" s="16">
        <v>0</v>
      </c>
      <c r="G138" s="5">
        <f t="shared" si="26"/>
        <v>1</v>
      </c>
      <c r="H138" s="7">
        <f t="shared" si="27"/>
        <v>1</v>
      </c>
    </row>
    <row r="139" spans="1:8" ht="15" customHeight="1" x14ac:dyDescent="0.25">
      <c r="A139" s="11" t="s">
        <v>123</v>
      </c>
      <c r="B139" s="6">
        <v>0</v>
      </c>
      <c r="C139" s="16">
        <v>0</v>
      </c>
      <c r="D139" s="5">
        <f t="shared" si="25"/>
        <v>0</v>
      </c>
      <c r="E139" s="6">
        <v>5</v>
      </c>
      <c r="F139" s="16">
        <v>1</v>
      </c>
      <c r="G139" s="5">
        <f t="shared" si="26"/>
        <v>6</v>
      </c>
      <c r="H139" s="7">
        <f t="shared" si="27"/>
        <v>6</v>
      </c>
    </row>
    <row r="140" spans="1:8" ht="15" customHeight="1" x14ac:dyDescent="0.25">
      <c r="A140" s="11" t="s">
        <v>135</v>
      </c>
      <c r="B140" s="6">
        <v>2</v>
      </c>
      <c r="C140" s="16">
        <v>0</v>
      </c>
      <c r="D140" s="5">
        <f t="shared" si="25"/>
        <v>2</v>
      </c>
      <c r="E140" s="6">
        <v>38</v>
      </c>
      <c r="F140" s="16">
        <v>0</v>
      </c>
      <c r="G140" s="5">
        <f t="shared" ref="G140:G145" si="28">E140+F140</f>
        <v>38</v>
      </c>
      <c r="H140" s="7">
        <f t="shared" ref="H140:H145" si="29">G140+D140</f>
        <v>40</v>
      </c>
    </row>
    <row r="141" spans="1:8" ht="15" customHeight="1" x14ac:dyDescent="0.25">
      <c r="A141" s="11" t="s">
        <v>191</v>
      </c>
      <c r="B141" s="6">
        <v>1</v>
      </c>
      <c r="C141" s="16">
        <v>0</v>
      </c>
      <c r="D141" s="5">
        <f t="shared" si="25"/>
        <v>1</v>
      </c>
      <c r="E141" s="6">
        <v>2</v>
      </c>
      <c r="F141" s="16">
        <v>0</v>
      </c>
      <c r="G141" s="5">
        <f t="shared" si="28"/>
        <v>2</v>
      </c>
      <c r="H141" s="7">
        <f t="shared" si="29"/>
        <v>3</v>
      </c>
    </row>
    <row r="142" spans="1:8" ht="15" customHeight="1" x14ac:dyDescent="0.25">
      <c r="A142" s="11" t="s">
        <v>124</v>
      </c>
      <c r="B142" s="6">
        <v>0</v>
      </c>
      <c r="C142" s="16">
        <v>0</v>
      </c>
      <c r="D142" s="5">
        <f t="shared" si="25"/>
        <v>0</v>
      </c>
      <c r="E142" s="6">
        <v>1</v>
      </c>
      <c r="F142" s="16">
        <v>0</v>
      </c>
      <c r="G142" s="5">
        <f t="shared" si="28"/>
        <v>1</v>
      </c>
      <c r="H142" s="7">
        <f t="shared" si="29"/>
        <v>1</v>
      </c>
    </row>
    <row r="143" spans="1:8" ht="15" customHeight="1" x14ac:dyDescent="0.25">
      <c r="A143" s="11" t="s">
        <v>209</v>
      </c>
      <c r="B143" s="6">
        <v>0</v>
      </c>
      <c r="C143" s="16">
        <v>0</v>
      </c>
      <c r="D143" s="5">
        <f t="shared" si="25"/>
        <v>0</v>
      </c>
      <c r="E143" s="6">
        <v>1</v>
      </c>
      <c r="F143" s="16">
        <v>0</v>
      </c>
      <c r="G143" s="5">
        <f t="shared" si="28"/>
        <v>1</v>
      </c>
      <c r="H143" s="7">
        <f t="shared" si="29"/>
        <v>1</v>
      </c>
    </row>
    <row r="144" spans="1:8" ht="15" customHeight="1" x14ac:dyDescent="0.25">
      <c r="A144" s="11" t="s">
        <v>192</v>
      </c>
      <c r="B144" s="6">
        <v>8</v>
      </c>
      <c r="C144" s="16">
        <v>0</v>
      </c>
      <c r="D144" s="5">
        <f t="shared" si="25"/>
        <v>8</v>
      </c>
      <c r="E144" s="6">
        <v>6</v>
      </c>
      <c r="F144" s="16">
        <v>0</v>
      </c>
      <c r="G144" s="5">
        <f t="shared" si="28"/>
        <v>6</v>
      </c>
      <c r="H144" s="7">
        <f t="shared" si="29"/>
        <v>14</v>
      </c>
    </row>
    <row r="145" spans="1:8" ht="15" customHeight="1" thickBot="1" x14ac:dyDescent="0.3">
      <c r="A145" s="11" t="s">
        <v>214</v>
      </c>
      <c r="B145" s="6">
        <v>0</v>
      </c>
      <c r="C145" s="16">
        <v>0</v>
      </c>
      <c r="D145" s="5">
        <f>B145+C145</f>
        <v>0</v>
      </c>
      <c r="E145" s="6">
        <v>1</v>
      </c>
      <c r="F145" s="16">
        <v>0</v>
      </c>
      <c r="G145" s="5">
        <f t="shared" si="28"/>
        <v>1</v>
      </c>
      <c r="H145" s="7">
        <f t="shared" si="29"/>
        <v>1</v>
      </c>
    </row>
    <row r="146" spans="1:8" ht="15" customHeight="1" thickTop="1" thickBot="1" x14ac:dyDescent="0.3">
      <c r="A146" s="12" t="s">
        <v>6</v>
      </c>
      <c r="B146" s="13">
        <f>SUM(B133:B145)</f>
        <v>15</v>
      </c>
      <c r="C146" s="13">
        <f t="shared" ref="C146:G146" si="30">SUM(C133:C145)</f>
        <v>0</v>
      </c>
      <c r="D146" s="13">
        <f t="shared" si="30"/>
        <v>15</v>
      </c>
      <c r="E146" s="13">
        <f t="shared" si="30"/>
        <v>62</v>
      </c>
      <c r="F146" s="13">
        <f t="shared" si="30"/>
        <v>1</v>
      </c>
      <c r="G146" s="13">
        <f t="shared" si="30"/>
        <v>63</v>
      </c>
      <c r="H146" s="15">
        <f>SUM(H133:H145)</f>
        <v>78</v>
      </c>
    </row>
    <row r="147" spans="1:8" ht="15" customHeight="1" thickTop="1" thickBot="1" x14ac:dyDescent="0.3">
      <c r="A147" s="23" t="s">
        <v>195</v>
      </c>
      <c r="B147" s="24"/>
      <c r="C147" s="24"/>
      <c r="D147" s="24"/>
      <c r="E147" s="24"/>
      <c r="F147" s="24"/>
      <c r="G147" s="24"/>
      <c r="H147" s="25"/>
    </row>
    <row r="148" spans="1:8" ht="15" customHeight="1" thickTop="1" x14ac:dyDescent="0.25">
      <c r="A148" s="11" t="s">
        <v>128</v>
      </c>
      <c r="B148" s="6">
        <v>2</v>
      </c>
      <c r="C148" s="16">
        <v>0</v>
      </c>
      <c r="D148" s="5">
        <f t="shared" ref="D148:D162" si="31">B148+C148</f>
        <v>2</v>
      </c>
      <c r="E148" s="6">
        <v>9</v>
      </c>
      <c r="F148" s="16">
        <v>0</v>
      </c>
      <c r="G148" s="5">
        <f t="shared" ref="G148:G162" si="32">E148+F148</f>
        <v>9</v>
      </c>
      <c r="H148" s="7">
        <f t="shared" ref="H148:H162" si="33">G148+D148</f>
        <v>11</v>
      </c>
    </row>
    <row r="149" spans="1:8" ht="15" customHeight="1" x14ac:dyDescent="0.25">
      <c r="A149" s="11" t="s">
        <v>129</v>
      </c>
      <c r="B149" s="6">
        <v>0</v>
      </c>
      <c r="C149" s="16">
        <v>0</v>
      </c>
      <c r="D149" s="5">
        <f t="shared" si="31"/>
        <v>0</v>
      </c>
      <c r="E149" s="6">
        <v>1</v>
      </c>
      <c r="F149" s="16">
        <v>0</v>
      </c>
      <c r="G149" s="5">
        <f t="shared" si="32"/>
        <v>1</v>
      </c>
      <c r="H149" s="7">
        <f t="shared" si="33"/>
        <v>1</v>
      </c>
    </row>
    <row r="150" spans="1:8" ht="15" customHeight="1" x14ac:dyDescent="0.25">
      <c r="A150" s="11" t="s">
        <v>215</v>
      </c>
      <c r="B150" s="6">
        <v>0</v>
      </c>
      <c r="C150" s="16">
        <v>0</v>
      </c>
      <c r="D150" s="5">
        <f t="shared" si="31"/>
        <v>0</v>
      </c>
      <c r="E150" s="6">
        <v>1</v>
      </c>
      <c r="F150" s="16">
        <v>0</v>
      </c>
      <c r="G150" s="5">
        <f t="shared" si="32"/>
        <v>1</v>
      </c>
      <c r="H150" s="7">
        <f t="shared" si="33"/>
        <v>1</v>
      </c>
    </row>
    <row r="151" spans="1:8" ht="15" customHeight="1" x14ac:dyDescent="0.25">
      <c r="A151" s="11" t="s">
        <v>130</v>
      </c>
      <c r="B151" s="6">
        <v>8</v>
      </c>
      <c r="C151" s="16">
        <v>0</v>
      </c>
      <c r="D151" s="5">
        <f t="shared" si="31"/>
        <v>8</v>
      </c>
      <c r="E151" s="6">
        <v>21</v>
      </c>
      <c r="F151" s="16">
        <v>5</v>
      </c>
      <c r="G151" s="5">
        <f t="shared" si="32"/>
        <v>26</v>
      </c>
      <c r="H151" s="7">
        <f t="shared" si="33"/>
        <v>34</v>
      </c>
    </row>
    <row r="152" spans="1:8" ht="15" customHeight="1" x14ac:dyDescent="0.25">
      <c r="A152" s="11" t="s">
        <v>131</v>
      </c>
      <c r="B152" s="6">
        <v>3</v>
      </c>
      <c r="C152" s="16">
        <v>0</v>
      </c>
      <c r="D152" s="5">
        <f t="shared" si="31"/>
        <v>3</v>
      </c>
      <c r="E152" s="6">
        <v>29</v>
      </c>
      <c r="F152" s="16">
        <v>0</v>
      </c>
      <c r="G152" s="5">
        <f t="shared" si="32"/>
        <v>29</v>
      </c>
      <c r="H152" s="7">
        <f t="shared" si="33"/>
        <v>32</v>
      </c>
    </row>
    <row r="153" spans="1:8" ht="15" customHeight="1" x14ac:dyDescent="0.25">
      <c r="A153" s="11" t="s">
        <v>132</v>
      </c>
      <c r="B153" s="6">
        <v>3</v>
      </c>
      <c r="C153" s="16">
        <v>0</v>
      </c>
      <c r="D153" s="5">
        <f t="shared" si="31"/>
        <v>3</v>
      </c>
      <c r="E153" s="6">
        <v>18</v>
      </c>
      <c r="F153" s="16">
        <v>0</v>
      </c>
      <c r="G153" s="5">
        <f t="shared" si="32"/>
        <v>18</v>
      </c>
      <c r="H153" s="7">
        <f t="shared" si="33"/>
        <v>21</v>
      </c>
    </row>
    <row r="154" spans="1:8" ht="15" customHeight="1" x14ac:dyDescent="0.25">
      <c r="A154" s="11" t="s">
        <v>196</v>
      </c>
      <c r="B154" s="6">
        <v>4</v>
      </c>
      <c r="C154" s="16">
        <v>0</v>
      </c>
      <c r="D154" s="5">
        <f t="shared" si="31"/>
        <v>4</v>
      </c>
      <c r="E154" s="6">
        <v>2</v>
      </c>
      <c r="F154" s="16">
        <v>0</v>
      </c>
      <c r="G154" s="5">
        <f t="shared" si="32"/>
        <v>2</v>
      </c>
      <c r="H154" s="7">
        <f t="shared" si="33"/>
        <v>6</v>
      </c>
    </row>
    <row r="155" spans="1:8" ht="15" customHeight="1" x14ac:dyDescent="0.25">
      <c r="A155" s="11" t="s">
        <v>197</v>
      </c>
      <c r="B155" s="6">
        <v>0</v>
      </c>
      <c r="C155" s="16">
        <v>0</v>
      </c>
      <c r="D155" s="5">
        <f t="shared" si="31"/>
        <v>0</v>
      </c>
      <c r="E155" s="6">
        <v>1</v>
      </c>
      <c r="F155" s="16">
        <v>0</v>
      </c>
      <c r="G155" s="5">
        <f t="shared" si="32"/>
        <v>1</v>
      </c>
      <c r="H155" s="7">
        <f t="shared" si="33"/>
        <v>1</v>
      </c>
    </row>
    <row r="156" spans="1:8" ht="15" customHeight="1" x14ac:dyDescent="0.25">
      <c r="A156" s="11" t="s">
        <v>216</v>
      </c>
      <c r="B156" s="6">
        <v>0</v>
      </c>
      <c r="C156" s="16">
        <v>0</v>
      </c>
      <c r="D156" s="5">
        <f t="shared" si="31"/>
        <v>0</v>
      </c>
      <c r="E156" s="6">
        <v>1</v>
      </c>
      <c r="F156" s="16">
        <v>0</v>
      </c>
      <c r="G156" s="5">
        <f t="shared" si="32"/>
        <v>1</v>
      </c>
      <c r="H156" s="7">
        <f t="shared" si="33"/>
        <v>1</v>
      </c>
    </row>
    <row r="157" spans="1:8" ht="15" customHeight="1" x14ac:dyDescent="0.25">
      <c r="A157" s="11" t="s">
        <v>133</v>
      </c>
      <c r="B157" s="6">
        <v>1</v>
      </c>
      <c r="C157" s="16">
        <v>0</v>
      </c>
      <c r="D157" s="5">
        <f t="shared" si="31"/>
        <v>1</v>
      </c>
      <c r="E157" s="6">
        <v>0</v>
      </c>
      <c r="F157" s="16">
        <v>0</v>
      </c>
      <c r="G157" s="5">
        <f t="shared" si="32"/>
        <v>0</v>
      </c>
      <c r="H157" s="7">
        <f t="shared" si="33"/>
        <v>1</v>
      </c>
    </row>
    <row r="158" spans="1:8" ht="15" customHeight="1" x14ac:dyDescent="0.25">
      <c r="A158" s="11" t="s">
        <v>134</v>
      </c>
      <c r="B158" s="6">
        <v>0</v>
      </c>
      <c r="C158" s="16">
        <v>0</v>
      </c>
      <c r="D158" s="5">
        <f t="shared" si="31"/>
        <v>0</v>
      </c>
      <c r="E158" s="6">
        <v>1</v>
      </c>
      <c r="F158" s="16">
        <v>0</v>
      </c>
      <c r="G158" s="5">
        <f t="shared" si="32"/>
        <v>1</v>
      </c>
      <c r="H158" s="7">
        <f t="shared" si="33"/>
        <v>1</v>
      </c>
    </row>
    <row r="159" spans="1:8" ht="15" customHeight="1" x14ac:dyDescent="0.25">
      <c r="A159" s="11" t="s">
        <v>199</v>
      </c>
      <c r="B159" s="6">
        <v>1</v>
      </c>
      <c r="C159" s="16">
        <v>0</v>
      </c>
      <c r="D159" s="5">
        <f t="shared" si="31"/>
        <v>1</v>
      </c>
      <c r="E159" s="6">
        <v>0</v>
      </c>
      <c r="F159" s="16">
        <v>0</v>
      </c>
      <c r="G159" s="5">
        <f t="shared" si="32"/>
        <v>0</v>
      </c>
      <c r="H159" s="7">
        <f t="shared" si="33"/>
        <v>1</v>
      </c>
    </row>
    <row r="160" spans="1:8" ht="15" customHeight="1" x14ac:dyDescent="0.25">
      <c r="A160" s="11" t="s">
        <v>201</v>
      </c>
      <c r="B160" s="6">
        <v>0</v>
      </c>
      <c r="C160" s="16">
        <v>0</v>
      </c>
      <c r="D160" s="5">
        <f t="shared" si="31"/>
        <v>0</v>
      </c>
      <c r="E160" s="6">
        <v>2</v>
      </c>
      <c r="F160" s="16">
        <v>0</v>
      </c>
      <c r="G160" s="5">
        <f t="shared" si="32"/>
        <v>2</v>
      </c>
      <c r="H160" s="7">
        <f t="shared" si="33"/>
        <v>2</v>
      </c>
    </row>
    <row r="161" spans="1:8" ht="15" customHeight="1" x14ac:dyDescent="0.25">
      <c r="A161" s="11" t="s">
        <v>136</v>
      </c>
      <c r="B161" s="6">
        <v>2</v>
      </c>
      <c r="C161" s="16">
        <v>0</v>
      </c>
      <c r="D161" s="5">
        <f t="shared" si="31"/>
        <v>2</v>
      </c>
      <c r="E161" s="6">
        <v>8</v>
      </c>
      <c r="F161" s="16">
        <v>0</v>
      </c>
      <c r="G161" s="5">
        <f t="shared" si="32"/>
        <v>8</v>
      </c>
      <c r="H161" s="7">
        <f t="shared" si="33"/>
        <v>10</v>
      </c>
    </row>
    <row r="162" spans="1:8" ht="15" customHeight="1" thickBot="1" x14ac:dyDescent="0.3">
      <c r="A162" s="11" t="s">
        <v>203</v>
      </c>
      <c r="B162" s="6">
        <v>0</v>
      </c>
      <c r="C162" s="16">
        <v>0</v>
      </c>
      <c r="D162" s="5">
        <f t="shared" si="31"/>
        <v>0</v>
      </c>
      <c r="E162" s="6">
        <v>3</v>
      </c>
      <c r="F162" s="16">
        <v>0</v>
      </c>
      <c r="G162" s="5">
        <f t="shared" si="32"/>
        <v>3</v>
      </c>
      <c r="H162" s="7">
        <f t="shared" si="33"/>
        <v>3</v>
      </c>
    </row>
    <row r="163" spans="1:8" ht="15" customHeight="1" thickTop="1" thickBot="1" x14ac:dyDescent="0.3">
      <c r="A163" s="12" t="s">
        <v>6</v>
      </c>
      <c r="B163" s="14">
        <f>SUM(B148:B162)</f>
        <v>24</v>
      </c>
      <c r="C163" s="14">
        <f t="shared" ref="C163:H163" si="34">SUM(C148:C162)</f>
        <v>0</v>
      </c>
      <c r="D163" s="14">
        <f t="shared" si="34"/>
        <v>24</v>
      </c>
      <c r="E163" s="14">
        <f t="shared" si="34"/>
        <v>97</v>
      </c>
      <c r="F163" s="14">
        <f t="shared" si="34"/>
        <v>5</v>
      </c>
      <c r="G163" s="14">
        <f t="shared" si="34"/>
        <v>102</v>
      </c>
      <c r="H163" s="15">
        <f t="shared" si="34"/>
        <v>126</v>
      </c>
    </row>
    <row r="164" spans="1:8" ht="15" customHeight="1" thickTop="1" thickBot="1" x14ac:dyDescent="0.3">
      <c r="A164" s="23" t="s">
        <v>138</v>
      </c>
      <c r="B164" s="24"/>
      <c r="C164" s="24"/>
      <c r="D164" s="24"/>
      <c r="E164" s="24"/>
      <c r="F164" s="24"/>
      <c r="G164" s="24"/>
      <c r="H164" s="25"/>
    </row>
    <row r="165" spans="1:8" ht="15" customHeight="1" thickTop="1" x14ac:dyDescent="0.25">
      <c r="A165" s="11" t="s">
        <v>139</v>
      </c>
      <c r="B165" s="6">
        <v>18</v>
      </c>
      <c r="C165" s="16">
        <v>0</v>
      </c>
      <c r="D165" s="5">
        <f t="shared" ref="D165:D166" si="35">B165+C165</f>
        <v>18</v>
      </c>
      <c r="E165" s="6">
        <v>19</v>
      </c>
      <c r="F165" s="16">
        <v>3</v>
      </c>
      <c r="G165" s="5">
        <f t="shared" ref="G165:G166" si="36">E165+F165</f>
        <v>22</v>
      </c>
      <c r="H165" s="7">
        <f t="shared" ref="H165:H166" si="37">G165+D165</f>
        <v>40</v>
      </c>
    </row>
    <row r="166" spans="1:8" ht="15" customHeight="1" thickBot="1" x14ac:dyDescent="0.3">
      <c r="A166" s="11" t="s">
        <v>141</v>
      </c>
      <c r="B166" s="6">
        <v>5</v>
      </c>
      <c r="C166" s="16">
        <v>0</v>
      </c>
      <c r="D166" s="5">
        <f t="shared" si="35"/>
        <v>5</v>
      </c>
      <c r="E166" s="6">
        <v>7</v>
      </c>
      <c r="F166" s="16">
        <v>2</v>
      </c>
      <c r="G166" s="5">
        <f t="shared" si="36"/>
        <v>9</v>
      </c>
      <c r="H166" s="7">
        <f t="shared" si="37"/>
        <v>14</v>
      </c>
    </row>
    <row r="167" spans="1:8" ht="15" customHeight="1" thickTop="1" thickBot="1" x14ac:dyDescent="0.3">
      <c r="A167" s="12" t="s">
        <v>6</v>
      </c>
      <c r="B167" s="13">
        <f t="shared" ref="B167:H167" si="38">SUM(B165:B166)</f>
        <v>23</v>
      </c>
      <c r="C167" s="13">
        <f t="shared" si="38"/>
        <v>0</v>
      </c>
      <c r="D167" s="13">
        <f t="shared" si="38"/>
        <v>23</v>
      </c>
      <c r="E167" s="13">
        <f t="shared" si="38"/>
        <v>26</v>
      </c>
      <c r="F167" s="13">
        <f t="shared" si="38"/>
        <v>5</v>
      </c>
      <c r="G167" s="13">
        <f t="shared" si="38"/>
        <v>31</v>
      </c>
      <c r="H167" s="15">
        <f t="shared" si="38"/>
        <v>54</v>
      </c>
    </row>
    <row r="168" spans="1:8" ht="15" customHeight="1" thickTop="1" thickBot="1" x14ac:dyDescent="0.3">
      <c r="A168" s="23" t="s">
        <v>146</v>
      </c>
      <c r="B168" s="24"/>
      <c r="C168" s="24"/>
      <c r="D168" s="24"/>
      <c r="E168" s="24"/>
      <c r="F168" s="24"/>
      <c r="G168" s="24"/>
      <c r="H168" s="25"/>
    </row>
    <row r="169" spans="1:8" ht="15" customHeight="1" thickTop="1" thickBot="1" x14ac:dyDescent="0.3">
      <c r="A169" s="11" t="s">
        <v>206</v>
      </c>
      <c r="B169" s="6">
        <v>1</v>
      </c>
      <c r="C169" s="16"/>
      <c r="D169" s="5">
        <f t="shared" ref="D169" si="39">B169+C169</f>
        <v>1</v>
      </c>
      <c r="E169" s="6">
        <v>1</v>
      </c>
      <c r="F169" s="16"/>
      <c r="G169" s="5">
        <f t="shared" ref="G169" si="40">E169+F169</f>
        <v>1</v>
      </c>
      <c r="H169" s="7">
        <f t="shared" ref="H169" si="41">G169+D169</f>
        <v>2</v>
      </c>
    </row>
    <row r="170" spans="1:8" ht="15" customHeight="1" thickTop="1" thickBot="1" x14ac:dyDescent="0.3">
      <c r="A170" s="12" t="s">
        <v>6</v>
      </c>
      <c r="B170" s="13">
        <f>B169</f>
        <v>1</v>
      </c>
      <c r="C170" s="13">
        <f t="shared" ref="C170:H170" si="42">C169</f>
        <v>0</v>
      </c>
      <c r="D170" s="13">
        <f t="shared" si="42"/>
        <v>1</v>
      </c>
      <c r="E170" s="13">
        <f t="shared" si="42"/>
        <v>1</v>
      </c>
      <c r="F170" s="13">
        <f t="shared" si="42"/>
        <v>0</v>
      </c>
      <c r="G170" s="13">
        <f t="shared" si="42"/>
        <v>1</v>
      </c>
      <c r="H170" s="15">
        <f t="shared" si="42"/>
        <v>2</v>
      </c>
    </row>
    <row r="171" spans="1:8" ht="15" customHeight="1" thickTop="1" thickBot="1" x14ac:dyDescent="0.3">
      <c r="A171" s="23"/>
      <c r="B171" s="24"/>
      <c r="C171" s="24"/>
      <c r="D171" s="24"/>
      <c r="E171" s="24"/>
      <c r="F171" s="24"/>
      <c r="G171" s="24"/>
      <c r="H171" s="25"/>
    </row>
    <row r="172" spans="1:8" ht="15" customHeight="1" thickTop="1" thickBot="1" x14ac:dyDescent="0.3">
      <c r="A172" s="43" t="s">
        <v>0</v>
      </c>
      <c r="B172" s="44">
        <f>B35+B55+B70+B99+B127+B131+B146+B163+B167+B170</f>
        <v>4276</v>
      </c>
      <c r="C172" s="44">
        <f t="shared" ref="C172:H172" si="43">C35+C55+C70+C99+C127+C131+C146+C163+C167+C170</f>
        <v>66</v>
      </c>
      <c r="D172" s="44">
        <f t="shared" si="43"/>
        <v>4342</v>
      </c>
      <c r="E172" s="44">
        <f t="shared" si="43"/>
        <v>3454</v>
      </c>
      <c r="F172" s="44">
        <f t="shared" si="43"/>
        <v>347</v>
      </c>
      <c r="G172" s="44">
        <f t="shared" si="43"/>
        <v>3801</v>
      </c>
      <c r="H172" s="45">
        <f t="shared" si="43"/>
        <v>8143</v>
      </c>
    </row>
    <row r="175" spans="1:8" ht="25.5" customHeight="1" x14ac:dyDescent="0.25">
      <c r="A175" s="48" t="s">
        <v>217</v>
      </c>
      <c r="B175" s="48"/>
      <c r="C175" s="48"/>
      <c r="D175" s="48"/>
      <c r="E175" s="48"/>
      <c r="F175" s="48"/>
      <c r="G175" s="48"/>
      <c r="H175" s="48"/>
    </row>
    <row r="176" spans="1:8" ht="25.5" customHeight="1" x14ac:dyDescent="0.25">
      <c r="A176" s="48" t="s">
        <v>218</v>
      </c>
      <c r="B176" s="48"/>
      <c r="C176" s="48"/>
      <c r="D176" s="48"/>
      <c r="E176" s="48"/>
      <c r="F176" s="48"/>
      <c r="G176" s="48"/>
      <c r="H176" s="48"/>
    </row>
    <row r="177" spans="1:8" ht="15" customHeight="1" x14ac:dyDescent="0.25">
      <c r="A177" s="56"/>
      <c r="B177" s="56"/>
      <c r="C177" s="56"/>
      <c r="D177" s="56"/>
      <c r="E177" s="56"/>
      <c r="F177" s="56"/>
      <c r="G177" s="56"/>
      <c r="H177" s="56"/>
    </row>
    <row r="178" spans="1:8" ht="15" customHeight="1" x14ac:dyDescent="0.25">
      <c r="A178" s="56"/>
      <c r="B178" s="56"/>
      <c r="C178" s="56"/>
      <c r="D178" s="56"/>
      <c r="E178" s="56"/>
      <c r="F178" s="56"/>
      <c r="G178" s="56"/>
      <c r="H178" s="56"/>
    </row>
  </sheetData>
  <mergeCells count="18">
    <mergeCell ref="A175:H175"/>
    <mergeCell ref="A176:H176"/>
    <mergeCell ref="H5:H6"/>
    <mergeCell ref="A168:H168"/>
    <mergeCell ref="A2:H2"/>
    <mergeCell ref="A5:A6"/>
    <mergeCell ref="A171:H171"/>
    <mergeCell ref="A71:H71"/>
    <mergeCell ref="A100:H100"/>
    <mergeCell ref="A128:H128"/>
    <mergeCell ref="A132:H132"/>
    <mergeCell ref="A147:H147"/>
    <mergeCell ref="A164:H164"/>
    <mergeCell ref="B5:D5"/>
    <mergeCell ref="E5:G5"/>
    <mergeCell ref="A7:H7"/>
    <mergeCell ref="A36:H36"/>
    <mergeCell ref="A56:H56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&amp;A&amp;RPage &amp;P of &amp;N</oddFooter>
  </headerFooter>
  <rowBreaks count="1" manualBreakCount="1">
    <brk id="146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6"/>
  <sheetViews>
    <sheetView view="pageLayout" topLeftCell="A154" zoomScaleNormal="85" workbookViewId="0">
      <selection activeCell="A178" sqref="A178"/>
    </sheetView>
  </sheetViews>
  <sheetFormatPr defaultRowHeight="15" customHeight="1" x14ac:dyDescent="0.25"/>
  <cols>
    <col min="1" max="1" width="18.85546875" bestFit="1" customWidth="1"/>
    <col min="2" max="8" width="6" customWidth="1"/>
    <col min="9" max="11" width="5.5703125" customWidth="1"/>
  </cols>
  <sheetData>
    <row r="1" spans="1:9" ht="15" customHeight="1" x14ac:dyDescent="0.25">
      <c r="A1" s="1" t="s">
        <v>7</v>
      </c>
      <c r="B1" s="3"/>
    </row>
    <row r="2" spans="1:9" ht="15" customHeight="1" x14ac:dyDescent="0.25">
      <c r="A2" s="31" t="s">
        <v>8</v>
      </c>
      <c r="B2" s="31"/>
      <c r="C2" s="31"/>
      <c r="D2" s="31"/>
      <c r="E2" s="31"/>
      <c r="F2" s="31"/>
      <c r="G2" s="31"/>
      <c r="H2" s="31"/>
    </row>
    <row r="3" spans="1:9" ht="15" customHeight="1" x14ac:dyDescent="0.25">
      <c r="A3" s="2" t="str">
        <f ca="1">RIGHT(CELL("filename",A1),LEN(CELL("filename",A1))-FIND("]",CELL("filename",A1)))</f>
        <v>2008-09</v>
      </c>
      <c r="B3" s="3"/>
    </row>
    <row r="4" spans="1:9" ht="15" customHeight="1" thickBot="1" x14ac:dyDescent="0.3">
      <c r="A4" s="3"/>
      <c r="B4" s="3"/>
    </row>
    <row r="5" spans="1:9" ht="15" customHeight="1" x14ac:dyDescent="0.25">
      <c r="A5" s="29" t="s">
        <v>3</v>
      </c>
      <c r="B5" s="26" t="s">
        <v>1</v>
      </c>
      <c r="C5" s="27"/>
      <c r="D5" s="27"/>
      <c r="E5" s="26" t="s">
        <v>2</v>
      </c>
      <c r="F5" s="27"/>
      <c r="G5" s="27"/>
      <c r="H5" s="62" t="s">
        <v>0</v>
      </c>
    </row>
    <row r="6" spans="1:9" ht="15" customHeight="1" x14ac:dyDescent="0.25">
      <c r="A6" s="30"/>
      <c r="B6" s="59" t="s">
        <v>4</v>
      </c>
      <c r="C6" s="60" t="s">
        <v>5</v>
      </c>
      <c r="D6" s="61" t="s">
        <v>0</v>
      </c>
      <c r="E6" s="59" t="s">
        <v>4</v>
      </c>
      <c r="F6" s="60" t="s">
        <v>5</v>
      </c>
      <c r="G6" s="61" t="s">
        <v>0</v>
      </c>
      <c r="H6" s="63"/>
      <c r="I6" s="22"/>
    </row>
    <row r="7" spans="1:9" ht="15" customHeight="1" thickBot="1" x14ac:dyDescent="0.3">
      <c r="A7" s="32" t="s">
        <v>9</v>
      </c>
      <c r="B7" s="33"/>
      <c r="C7" s="33"/>
      <c r="D7" s="33"/>
      <c r="E7" s="33"/>
      <c r="F7" s="33"/>
      <c r="G7" s="33"/>
      <c r="H7" s="34"/>
    </row>
    <row r="8" spans="1:9" ht="15" customHeight="1" thickTop="1" x14ac:dyDescent="0.25">
      <c r="A8" s="11" t="s">
        <v>10</v>
      </c>
      <c r="B8" s="6">
        <v>33</v>
      </c>
      <c r="C8" s="4">
        <v>1</v>
      </c>
      <c r="D8" s="5">
        <f t="shared" ref="D8:D34" si="0">B8+C8</f>
        <v>34</v>
      </c>
      <c r="E8" s="6">
        <v>18</v>
      </c>
      <c r="F8" s="4">
        <v>5</v>
      </c>
      <c r="G8" s="5">
        <f t="shared" ref="G8:G34" si="1">E8+F8</f>
        <v>23</v>
      </c>
      <c r="H8" s="7">
        <f t="shared" ref="H8:H34" si="2">G8+D8</f>
        <v>57</v>
      </c>
    </row>
    <row r="9" spans="1:9" ht="15" customHeight="1" x14ac:dyDescent="0.25">
      <c r="A9" s="11" t="s">
        <v>11</v>
      </c>
      <c r="B9" s="6">
        <v>63</v>
      </c>
      <c r="C9" s="4">
        <v>0</v>
      </c>
      <c r="D9" s="5">
        <f t="shared" si="0"/>
        <v>63</v>
      </c>
      <c r="E9" s="6">
        <v>10</v>
      </c>
      <c r="F9" s="4">
        <v>6</v>
      </c>
      <c r="G9" s="5">
        <f t="shared" si="1"/>
        <v>16</v>
      </c>
      <c r="H9" s="7">
        <f t="shared" si="2"/>
        <v>79</v>
      </c>
    </row>
    <row r="10" spans="1:9" ht="15" customHeight="1" x14ac:dyDescent="0.25">
      <c r="A10" s="11" t="s">
        <v>28</v>
      </c>
      <c r="B10" s="6">
        <v>20</v>
      </c>
      <c r="C10" s="4">
        <v>0</v>
      </c>
      <c r="D10" s="5">
        <f t="shared" si="0"/>
        <v>20</v>
      </c>
      <c r="E10" s="6">
        <v>5</v>
      </c>
      <c r="F10" s="4">
        <v>3</v>
      </c>
      <c r="G10" s="5">
        <f t="shared" si="1"/>
        <v>8</v>
      </c>
      <c r="H10" s="7">
        <f t="shared" si="2"/>
        <v>28</v>
      </c>
    </row>
    <row r="11" spans="1:9" ht="15" customHeight="1" x14ac:dyDescent="0.25">
      <c r="A11" s="11" t="s">
        <v>30</v>
      </c>
      <c r="B11" s="6">
        <v>113</v>
      </c>
      <c r="C11" s="4">
        <v>1</v>
      </c>
      <c r="D11" s="5">
        <f t="shared" si="0"/>
        <v>114</v>
      </c>
      <c r="E11" s="6">
        <v>72</v>
      </c>
      <c r="F11" s="4">
        <v>9</v>
      </c>
      <c r="G11" s="5">
        <f t="shared" si="1"/>
        <v>81</v>
      </c>
      <c r="H11" s="7">
        <f t="shared" si="2"/>
        <v>195</v>
      </c>
    </row>
    <row r="12" spans="1:9" ht="15" customHeight="1" x14ac:dyDescent="0.25">
      <c r="A12" s="11" t="s">
        <v>31</v>
      </c>
      <c r="B12" s="6">
        <v>23</v>
      </c>
      <c r="C12" s="4">
        <v>0</v>
      </c>
      <c r="D12" s="5">
        <f t="shared" si="0"/>
        <v>23</v>
      </c>
      <c r="E12" s="6">
        <v>7</v>
      </c>
      <c r="F12" s="4">
        <v>2</v>
      </c>
      <c r="G12" s="5">
        <f t="shared" si="1"/>
        <v>9</v>
      </c>
      <c r="H12" s="7">
        <f t="shared" si="2"/>
        <v>32</v>
      </c>
    </row>
    <row r="13" spans="1:9" ht="15" customHeight="1" x14ac:dyDescent="0.25">
      <c r="A13" s="11" t="s">
        <v>12</v>
      </c>
      <c r="B13" s="6">
        <v>12</v>
      </c>
      <c r="C13" s="4">
        <v>0</v>
      </c>
      <c r="D13" s="5">
        <f t="shared" si="0"/>
        <v>12</v>
      </c>
      <c r="E13" s="6">
        <v>14</v>
      </c>
      <c r="F13" s="4">
        <v>3</v>
      </c>
      <c r="G13" s="5">
        <f t="shared" si="1"/>
        <v>17</v>
      </c>
      <c r="H13" s="7">
        <f t="shared" si="2"/>
        <v>29</v>
      </c>
    </row>
    <row r="14" spans="1:9" ht="15" customHeight="1" x14ac:dyDescent="0.25">
      <c r="A14" s="11" t="s">
        <v>13</v>
      </c>
      <c r="B14" s="6">
        <v>17</v>
      </c>
      <c r="C14" s="4">
        <v>0</v>
      </c>
      <c r="D14" s="5">
        <f t="shared" si="0"/>
        <v>17</v>
      </c>
      <c r="E14" s="6">
        <v>75</v>
      </c>
      <c r="F14" s="4">
        <v>32</v>
      </c>
      <c r="G14" s="5">
        <f t="shared" si="1"/>
        <v>107</v>
      </c>
      <c r="H14" s="7">
        <f t="shared" si="2"/>
        <v>124</v>
      </c>
    </row>
    <row r="15" spans="1:9" ht="15" customHeight="1" x14ac:dyDescent="0.25">
      <c r="A15" s="11" t="s">
        <v>33</v>
      </c>
      <c r="B15" s="6">
        <v>5</v>
      </c>
      <c r="C15" s="4">
        <v>0</v>
      </c>
      <c r="D15" s="5">
        <f t="shared" si="0"/>
        <v>5</v>
      </c>
      <c r="E15" s="6">
        <v>3</v>
      </c>
      <c r="F15" s="4">
        <v>1</v>
      </c>
      <c r="G15" s="5">
        <f t="shared" si="1"/>
        <v>4</v>
      </c>
      <c r="H15" s="7">
        <f t="shared" si="2"/>
        <v>9</v>
      </c>
    </row>
    <row r="16" spans="1:9" ht="15" customHeight="1" x14ac:dyDescent="0.25">
      <c r="A16" s="11" t="s">
        <v>14</v>
      </c>
      <c r="B16" s="6">
        <v>16</v>
      </c>
      <c r="C16" s="4">
        <v>0</v>
      </c>
      <c r="D16" s="5">
        <f t="shared" si="0"/>
        <v>16</v>
      </c>
      <c r="E16" s="6">
        <v>11</v>
      </c>
      <c r="F16" s="4">
        <v>1</v>
      </c>
      <c r="G16" s="5">
        <f t="shared" si="1"/>
        <v>12</v>
      </c>
      <c r="H16" s="7">
        <f t="shared" si="2"/>
        <v>28</v>
      </c>
    </row>
    <row r="17" spans="1:8" ht="15" customHeight="1" x14ac:dyDescent="0.25">
      <c r="A17" s="11" t="s">
        <v>15</v>
      </c>
      <c r="B17" s="6">
        <v>199</v>
      </c>
      <c r="C17" s="4">
        <v>0</v>
      </c>
      <c r="D17" s="5">
        <f t="shared" si="0"/>
        <v>199</v>
      </c>
      <c r="E17" s="6">
        <v>104</v>
      </c>
      <c r="F17" s="4">
        <v>6</v>
      </c>
      <c r="G17" s="5">
        <f t="shared" si="1"/>
        <v>110</v>
      </c>
      <c r="H17" s="7">
        <f t="shared" si="2"/>
        <v>309</v>
      </c>
    </row>
    <row r="18" spans="1:8" ht="15" customHeight="1" x14ac:dyDescent="0.25">
      <c r="A18" s="11" t="s">
        <v>16</v>
      </c>
      <c r="B18" s="6">
        <v>159</v>
      </c>
      <c r="C18" s="4">
        <v>2</v>
      </c>
      <c r="D18" s="5">
        <f t="shared" si="0"/>
        <v>161</v>
      </c>
      <c r="E18" s="6">
        <v>128</v>
      </c>
      <c r="F18" s="4">
        <v>24</v>
      </c>
      <c r="G18" s="5">
        <f t="shared" si="1"/>
        <v>152</v>
      </c>
      <c r="H18" s="7">
        <f t="shared" si="2"/>
        <v>313</v>
      </c>
    </row>
    <row r="19" spans="1:8" ht="15" customHeight="1" x14ac:dyDescent="0.25">
      <c r="A19" s="11" t="s">
        <v>160</v>
      </c>
      <c r="B19" s="6">
        <v>1</v>
      </c>
      <c r="C19" s="4">
        <v>0</v>
      </c>
      <c r="D19" s="5">
        <f t="shared" si="0"/>
        <v>1</v>
      </c>
      <c r="E19" s="6">
        <v>0</v>
      </c>
      <c r="F19" s="4">
        <v>0</v>
      </c>
      <c r="G19" s="5">
        <f t="shared" si="1"/>
        <v>0</v>
      </c>
      <c r="H19" s="7">
        <f t="shared" si="2"/>
        <v>1</v>
      </c>
    </row>
    <row r="20" spans="1:8" ht="15" customHeight="1" x14ac:dyDescent="0.25">
      <c r="A20" s="11" t="s">
        <v>17</v>
      </c>
      <c r="B20" s="6">
        <v>65</v>
      </c>
      <c r="C20" s="4">
        <v>2</v>
      </c>
      <c r="D20" s="5">
        <f t="shared" si="0"/>
        <v>67</v>
      </c>
      <c r="E20" s="6">
        <v>233</v>
      </c>
      <c r="F20" s="4">
        <v>39</v>
      </c>
      <c r="G20" s="5">
        <f t="shared" si="1"/>
        <v>272</v>
      </c>
      <c r="H20" s="7">
        <f t="shared" si="2"/>
        <v>339</v>
      </c>
    </row>
    <row r="21" spans="1:8" ht="15" customHeight="1" x14ac:dyDescent="0.25">
      <c r="A21" s="11" t="s">
        <v>34</v>
      </c>
      <c r="B21" s="6">
        <v>8</v>
      </c>
      <c r="C21" s="4">
        <v>0</v>
      </c>
      <c r="D21" s="5">
        <f t="shared" si="0"/>
        <v>8</v>
      </c>
      <c r="E21" s="6">
        <v>6</v>
      </c>
      <c r="F21" s="4">
        <v>1</v>
      </c>
      <c r="G21" s="5">
        <f t="shared" si="1"/>
        <v>7</v>
      </c>
      <c r="H21" s="7">
        <f t="shared" si="2"/>
        <v>15</v>
      </c>
    </row>
    <row r="22" spans="1:8" ht="15" customHeight="1" x14ac:dyDescent="0.25">
      <c r="A22" s="11" t="s">
        <v>18</v>
      </c>
      <c r="B22" s="6">
        <v>141</v>
      </c>
      <c r="C22" s="4">
        <v>1</v>
      </c>
      <c r="D22" s="5">
        <f t="shared" si="0"/>
        <v>142</v>
      </c>
      <c r="E22" s="6">
        <v>143</v>
      </c>
      <c r="F22" s="4">
        <v>20</v>
      </c>
      <c r="G22" s="5">
        <f t="shared" si="1"/>
        <v>163</v>
      </c>
      <c r="H22" s="7">
        <f t="shared" si="2"/>
        <v>305</v>
      </c>
    </row>
    <row r="23" spans="1:8" ht="15" customHeight="1" x14ac:dyDescent="0.25">
      <c r="A23" s="11" t="s">
        <v>36</v>
      </c>
      <c r="B23" s="6">
        <v>6</v>
      </c>
      <c r="C23" s="4">
        <v>0</v>
      </c>
      <c r="D23" s="5">
        <f t="shared" si="0"/>
        <v>6</v>
      </c>
      <c r="E23" s="6">
        <v>1</v>
      </c>
      <c r="F23" s="4">
        <v>0</v>
      </c>
      <c r="G23" s="5">
        <f t="shared" si="1"/>
        <v>1</v>
      </c>
      <c r="H23" s="7">
        <f t="shared" si="2"/>
        <v>7</v>
      </c>
    </row>
    <row r="24" spans="1:8" ht="15" customHeight="1" x14ac:dyDescent="0.25">
      <c r="A24" s="11" t="s">
        <v>149</v>
      </c>
      <c r="B24" s="6">
        <v>20</v>
      </c>
      <c r="C24" s="4">
        <v>0</v>
      </c>
      <c r="D24" s="5">
        <f t="shared" si="0"/>
        <v>20</v>
      </c>
      <c r="E24" s="6">
        <v>8</v>
      </c>
      <c r="F24" s="4">
        <v>0</v>
      </c>
      <c r="G24" s="5">
        <f t="shared" si="1"/>
        <v>8</v>
      </c>
      <c r="H24" s="7">
        <f t="shared" si="2"/>
        <v>28</v>
      </c>
    </row>
    <row r="25" spans="1:8" ht="15" customHeight="1" x14ac:dyDescent="0.25">
      <c r="A25" s="11" t="s">
        <v>19</v>
      </c>
      <c r="B25" s="6">
        <v>17</v>
      </c>
      <c r="C25" s="4">
        <v>0</v>
      </c>
      <c r="D25" s="5">
        <f t="shared" si="0"/>
        <v>17</v>
      </c>
      <c r="E25" s="6">
        <v>6</v>
      </c>
      <c r="F25" s="4">
        <v>0</v>
      </c>
      <c r="G25" s="5">
        <f t="shared" si="1"/>
        <v>6</v>
      </c>
      <c r="H25" s="7">
        <f t="shared" si="2"/>
        <v>23</v>
      </c>
    </row>
    <row r="26" spans="1:8" ht="15" customHeight="1" x14ac:dyDescent="0.25">
      <c r="A26" s="11" t="s">
        <v>38</v>
      </c>
      <c r="B26" s="6">
        <v>4</v>
      </c>
      <c r="C26" s="4">
        <v>0</v>
      </c>
      <c r="D26" s="5">
        <f t="shared" si="0"/>
        <v>4</v>
      </c>
      <c r="E26" s="6">
        <v>8</v>
      </c>
      <c r="F26" s="4">
        <v>9</v>
      </c>
      <c r="G26" s="5">
        <f t="shared" si="1"/>
        <v>17</v>
      </c>
      <c r="H26" s="7">
        <f t="shared" si="2"/>
        <v>21</v>
      </c>
    </row>
    <row r="27" spans="1:8" ht="15" customHeight="1" x14ac:dyDescent="0.25">
      <c r="A27" s="11" t="s">
        <v>20</v>
      </c>
      <c r="B27" s="6">
        <v>30</v>
      </c>
      <c r="C27" s="4">
        <v>0</v>
      </c>
      <c r="D27" s="5">
        <f t="shared" si="0"/>
        <v>30</v>
      </c>
      <c r="E27" s="6">
        <v>34</v>
      </c>
      <c r="F27" s="4">
        <v>8</v>
      </c>
      <c r="G27" s="5">
        <f t="shared" si="1"/>
        <v>42</v>
      </c>
      <c r="H27" s="7">
        <f t="shared" si="2"/>
        <v>72</v>
      </c>
    </row>
    <row r="28" spans="1:8" ht="15" customHeight="1" x14ac:dyDescent="0.25">
      <c r="A28" s="11" t="s">
        <v>40</v>
      </c>
      <c r="B28" s="6">
        <v>108</v>
      </c>
      <c r="C28" s="4">
        <v>2</v>
      </c>
      <c r="D28" s="5">
        <f t="shared" si="0"/>
        <v>110</v>
      </c>
      <c r="E28" s="6">
        <v>42</v>
      </c>
      <c r="F28" s="4">
        <v>7</v>
      </c>
      <c r="G28" s="5">
        <f>E28+F28</f>
        <v>49</v>
      </c>
      <c r="H28" s="7">
        <f>G28+D28</f>
        <v>159</v>
      </c>
    </row>
    <row r="29" spans="1:8" ht="15" customHeight="1" x14ac:dyDescent="0.25">
      <c r="A29" s="11" t="s">
        <v>21</v>
      </c>
      <c r="B29" s="6">
        <v>22</v>
      </c>
      <c r="C29" s="4">
        <v>0</v>
      </c>
      <c r="D29" s="5">
        <f t="shared" si="0"/>
        <v>22</v>
      </c>
      <c r="E29" s="6">
        <v>46</v>
      </c>
      <c r="F29" s="4">
        <v>0</v>
      </c>
      <c r="G29" s="5">
        <f t="shared" ref="G29:G31" si="3">E29+F29</f>
        <v>46</v>
      </c>
      <c r="H29" s="7">
        <f t="shared" ref="H29:H31" si="4">G29+D29</f>
        <v>68</v>
      </c>
    </row>
    <row r="30" spans="1:8" ht="15" customHeight="1" x14ac:dyDescent="0.25">
      <c r="A30" s="11" t="s">
        <v>41</v>
      </c>
      <c r="B30" s="6">
        <v>40</v>
      </c>
      <c r="C30" s="4">
        <v>0</v>
      </c>
      <c r="D30" s="5">
        <f t="shared" si="0"/>
        <v>40</v>
      </c>
      <c r="E30" s="6">
        <v>21</v>
      </c>
      <c r="F30" s="4">
        <v>4</v>
      </c>
      <c r="G30" s="5">
        <f t="shared" si="3"/>
        <v>25</v>
      </c>
      <c r="H30" s="7">
        <f t="shared" si="4"/>
        <v>65</v>
      </c>
    </row>
    <row r="31" spans="1:8" ht="15" customHeight="1" x14ac:dyDescent="0.25">
      <c r="A31" s="11" t="s">
        <v>43</v>
      </c>
      <c r="B31" s="6">
        <v>7</v>
      </c>
      <c r="C31" s="4">
        <v>0</v>
      </c>
      <c r="D31" s="5">
        <f t="shared" si="0"/>
        <v>7</v>
      </c>
      <c r="E31" s="6">
        <v>5</v>
      </c>
      <c r="F31" s="4">
        <v>0</v>
      </c>
      <c r="G31" s="5">
        <f t="shared" si="3"/>
        <v>5</v>
      </c>
      <c r="H31" s="7">
        <f t="shared" si="4"/>
        <v>12</v>
      </c>
    </row>
    <row r="32" spans="1:8" ht="15" customHeight="1" x14ac:dyDescent="0.25">
      <c r="A32" s="11" t="s">
        <v>44</v>
      </c>
      <c r="B32" s="6">
        <v>0</v>
      </c>
      <c r="C32" s="4">
        <v>0</v>
      </c>
      <c r="D32" s="5">
        <f t="shared" si="0"/>
        <v>0</v>
      </c>
      <c r="E32" s="6">
        <v>3</v>
      </c>
      <c r="F32" s="4">
        <v>1</v>
      </c>
      <c r="G32" s="5">
        <f t="shared" si="1"/>
        <v>4</v>
      </c>
      <c r="H32" s="7">
        <f t="shared" si="2"/>
        <v>4</v>
      </c>
    </row>
    <row r="33" spans="1:8" ht="15" customHeight="1" x14ac:dyDescent="0.25">
      <c r="A33" s="11" t="s">
        <v>22</v>
      </c>
      <c r="B33" s="6">
        <v>71</v>
      </c>
      <c r="C33" s="4">
        <v>1</v>
      </c>
      <c r="D33" s="5">
        <f t="shared" si="0"/>
        <v>72</v>
      </c>
      <c r="E33" s="6">
        <v>45</v>
      </c>
      <c r="F33" s="4">
        <v>5</v>
      </c>
      <c r="G33" s="5">
        <f t="shared" si="1"/>
        <v>50</v>
      </c>
      <c r="H33" s="7">
        <f t="shared" si="2"/>
        <v>122</v>
      </c>
    </row>
    <row r="34" spans="1:8" ht="15" customHeight="1" thickBot="1" x14ac:dyDescent="0.3">
      <c r="A34" s="11" t="s">
        <v>23</v>
      </c>
      <c r="B34" s="8">
        <v>63</v>
      </c>
      <c r="C34" s="9">
        <v>1</v>
      </c>
      <c r="D34" s="10">
        <f t="shared" si="0"/>
        <v>64</v>
      </c>
      <c r="E34" s="8">
        <v>13</v>
      </c>
      <c r="F34" s="9">
        <v>3</v>
      </c>
      <c r="G34" s="5">
        <f t="shared" si="1"/>
        <v>16</v>
      </c>
      <c r="H34" s="7">
        <f t="shared" si="2"/>
        <v>80</v>
      </c>
    </row>
    <row r="35" spans="1:8" ht="15" customHeight="1" thickTop="1" thickBot="1" x14ac:dyDescent="0.3">
      <c r="A35" s="12" t="s">
        <v>6</v>
      </c>
      <c r="B35" s="13">
        <f t="shared" ref="B35:H35" si="5">SUM(B8:B34)</f>
        <v>1263</v>
      </c>
      <c r="C35" s="13">
        <f t="shared" si="5"/>
        <v>11</v>
      </c>
      <c r="D35" s="13">
        <f t="shared" si="5"/>
        <v>1274</v>
      </c>
      <c r="E35" s="13">
        <f t="shared" si="5"/>
        <v>1061</v>
      </c>
      <c r="F35" s="13">
        <f t="shared" si="5"/>
        <v>189</v>
      </c>
      <c r="G35" s="13">
        <f t="shared" si="5"/>
        <v>1250</v>
      </c>
      <c r="H35" s="15">
        <f t="shared" si="5"/>
        <v>2524</v>
      </c>
    </row>
    <row r="36" spans="1:8" ht="15" customHeight="1" thickTop="1" thickBot="1" x14ac:dyDescent="0.3">
      <c r="A36" s="23" t="s">
        <v>24</v>
      </c>
      <c r="B36" s="24"/>
      <c r="C36" s="24"/>
      <c r="D36" s="24"/>
      <c r="E36" s="24"/>
      <c r="F36" s="24"/>
      <c r="G36" s="24"/>
      <c r="H36" s="25"/>
    </row>
    <row r="37" spans="1:8" ht="15" customHeight="1" thickTop="1" x14ac:dyDescent="0.25">
      <c r="A37" s="11" t="s">
        <v>25</v>
      </c>
      <c r="B37" s="6">
        <v>2</v>
      </c>
      <c r="C37" s="16">
        <v>0</v>
      </c>
      <c r="D37" s="5">
        <f t="shared" ref="D37:D53" si="6">B37+C37</f>
        <v>2</v>
      </c>
      <c r="E37" s="6">
        <v>2</v>
      </c>
      <c r="F37" s="16">
        <v>0</v>
      </c>
      <c r="G37" s="5">
        <f t="shared" ref="G37:G54" si="7">E37+F37</f>
        <v>2</v>
      </c>
      <c r="H37" s="7">
        <f t="shared" ref="H37:H54" si="8">G37+D37</f>
        <v>4</v>
      </c>
    </row>
    <row r="38" spans="1:8" ht="15" customHeight="1" x14ac:dyDescent="0.25">
      <c r="A38" s="11" t="s">
        <v>26</v>
      </c>
      <c r="B38" s="6">
        <v>1</v>
      </c>
      <c r="C38" s="16">
        <v>0</v>
      </c>
      <c r="D38" s="5">
        <f t="shared" si="6"/>
        <v>1</v>
      </c>
      <c r="E38" s="6">
        <v>1</v>
      </c>
      <c r="F38" s="16">
        <v>0</v>
      </c>
      <c r="G38" s="5">
        <f t="shared" si="7"/>
        <v>1</v>
      </c>
      <c r="H38" s="7">
        <f t="shared" si="8"/>
        <v>2</v>
      </c>
    </row>
    <row r="39" spans="1:8" ht="15" customHeight="1" x14ac:dyDescent="0.25">
      <c r="A39" s="11" t="s">
        <v>148</v>
      </c>
      <c r="B39" s="6">
        <v>3</v>
      </c>
      <c r="C39" s="16">
        <v>0</v>
      </c>
      <c r="D39" s="5">
        <f t="shared" si="6"/>
        <v>3</v>
      </c>
      <c r="E39" s="6">
        <v>1</v>
      </c>
      <c r="F39" s="16">
        <v>0</v>
      </c>
      <c r="G39" s="5">
        <f t="shared" si="7"/>
        <v>1</v>
      </c>
      <c r="H39" s="7">
        <f t="shared" si="8"/>
        <v>4</v>
      </c>
    </row>
    <row r="40" spans="1:8" ht="15" customHeight="1" x14ac:dyDescent="0.25">
      <c r="A40" s="11" t="s">
        <v>27</v>
      </c>
      <c r="B40" s="6">
        <v>0</v>
      </c>
      <c r="C40" s="16">
        <v>0</v>
      </c>
      <c r="D40" s="5">
        <f t="shared" si="6"/>
        <v>0</v>
      </c>
      <c r="E40" s="6">
        <v>1</v>
      </c>
      <c r="F40" s="16">
        <v>0</v>
      </c>
      <c r="G40" s="5">
        <f t="shared" si="7"/>
        <v>1</v>
      </c>
      <c r="H40" s="7">
        <f t="shared" si="8"/>
        <v>1</v>
      </c>
    </row>
    <row r="41" spans="1:8" ht="15" customHeight="1" x14ac:dyDescent="0.25">
      <c r="A41" s="11" t="s">
        <v>29</v>
      </c>
      <c r="B41" s="6">
        <v>3</v>
      </c>
      <c r="C41" s="16">
        <v>0</v>
      </c>
      <c r="D41" s="5">
        <f t="shared" si="6"/>
        <v>3</v>
      </c>
      <c r="E41" s="6">
        <v>4</v>
      </c>
      <c r="F41" s="16">
        <v>0</v>
      </c>
      <c r="G41" s="5">
        <f t="shared" si="7"/>
        <v>4</v>
      </c>
      <c r="H41" s="7">
        <f t="shared" si="8"/>
        <v>7</v>
      </c>
    </row>
    <row r="42" spans="1:8" ht="15" customHeight="1" x14ac:dyDescent="0.25">
      <c r="A42" s="11" t="s">
        <v>163</v>
      </c>
      <c r="B42" s="6">
        <v>1</v>
      </c>
      <c r="C42" s="16">
        <v>0</v>
      </c>
      <c r="D42" s="5">
        <f t="shared" si="6"/>
        <v>1</v>
      </c>
      <c r="E42" s="6">
        <v>3</v>
      </c>
      <c r="F42" s="16">
        <v>0</v>
      </c>
      <c r="G42" s="5">
        <f t="shared" si="7"/>
        <v>3</v>
      </c>
      <c r="H42" s="7">
        <f t="shared" si="8"/>
        <v>4</v>
      </c>
    </row>
    <row r="43" spans="1:8" ht="15" customHeight="1" x14ac:dyDescent="0.25">
      <c r="A43" s="11" t="s">
        <v>35</v>
      </c>
      <c r="B43" s="6">
        <v>1</v>
      </c>
      <c r="C43" s="16">
        <v>0</v>
      </c>
      <c r="D43" s="5">
        <f t="shared" si="6"/>
        <v>1</v>
      </c>
      <c r="E43" s="6">
        <v>8</v>
      </c>
      <c r="F43" s="16">
        <v>0</v>
      </c>
      <c r="G43" s="5">
        <f t="shared" si="7"/>
        <v>8</v>
      </c>
      <c r="H43" s="7">
        <f t="shared" si="8"/>
        <v>9</v>
      </c>
    </row>
    <row r="44" spans="1:8" ht="15" customHeight="1" x14ac:dyDescent="0.25">
      <c r="A44" s="11" t="s">
        <v>165</v>
      </c>
      <c r="B44" s="6">
        <v>1</v>
      </c>
      <c r="C44" s="16">
        <v>0</v>
      </c>
      <c r="D44" s="5">
        <f t="shared" si="6"/>
        <v>1</v>
      </c>
      <c r="E44" s="6">
        <v>0</v>
      </c>
      <c r="F44" s="16">
        <v>0</v>
      </c>
      <c r="G44" s="5">
        <f t="shared" si="7"/>
        <v>0</v>
      </c>
      <c r="H44" s="7">
        <f t="shared" si="8"/>
        <v>1</v>
      </c>
    </row>
    <row r="45" spans="1:8" ht="15" customHeight="1" x14ac:dyDescent="0.25">
      <c r="A45" s="11" t="s">
        <v>166</v>
      </c>
      <c r="B45" s="6">
        <v>1</v>
      </c>
      <c r="C45" s="16">
        <v>0</v>
      </c>
      <c r="D45" s="5">
        <f t="shared" si="6"/>
        <v>1</v>
      </c>
      <c r="E45" s="6">
        <v>3</v>
      </c>
      <c r="F45" s="16">
        <v>1</v>
      </c>
      <c r="G45" s="5">
        <f t="shared" si="7"/>
        <v>4</v>
      </c>
      <c r="H45" s="7">
        <f t="shared" si="8"/>
        <v>5</v>
      </c>
    </row>
    <row r="46" spans="1:8" ht="15" customHeight="1" x14ac:dyDescent="0.25">
      <c r="A46" s="11" t="s">
        <v>167</v>
      </c>
      <c r="B46" s="6">
        <v>2</v>
      </c>
      <c r="C46" s="16">
        <v>0</v>
      </c>
      <c r="D46" s="5">
        <f t="shared" si="6"/>
        <v>2</v>
      </c>
      <c r="E46" s="6">
        <v>3</v>
      </c>
      <c r="F46" s="16">
        <v>0</v>
      </c>
      <c r="G46" s="5">
        <f t="shared" si="7"/>
        <v>3</v>
      </c>
      <c r="H46" s="7">
        <f t="shared" si="8"/>
        <v>5</v>
      </c>
    </row>
    <row r="47" spans="1:8" ht="15" customHeight="1" x14ac:dyDescent="0.25">
      <c r="A47" s="11" t="s">
        <v>168</v>
      </c>
      <c r="B47" s="6">
        <v>2</v>
      </c>
      <c r="C47" s="16">
        <v>0</v>
      </c>
      <c r="D47" s="5">
        <f t="shared" si="6"/>
        <v>2</v>
      </c>
      <c r="E47" s="6">
        <v>0</v>
      </c>
      <c r="F47" s="16">
        <v>0</v>
      </c>
      <c r="G47" s="5">
        <f t="shared" si="7"/>
        <v>0</v>
      </c>
      <c r="H47" s="7">
        <f t="shared" si="8"/>
        <v>2</v>
      </c>
    </row>
    <row r="48" spans="1:8" ht="15" customHeight="1" x14ac:dyDescent="0.25">
      <c r="A48" s="11" t="s">
        <v>39</v>
      </c>
      <c r="B48" s="6">
        <v>17</v>
      </c>
      <c r="C48" s="16">
        <v>0</v>
      </c>
      <c r="D48" s="5">
        <f t="shared" si="6"/>
        <v>17</v>
      </c>
      <c r="E48" s="6">
        <v>13</v>
      </c>
      <c r="F48" s="16">
        <v>1</v>
      </c>
      <c r="G48" s="5">
        <f t="shared" si="7"/>
        <v>14</v>
      </c>
      <c r="H48" s="7">
        <f t="shared" si="8"/>
        <v>31</v>
      </c>
    </row>
    <row r="49" spans="1:8" ht="15" customHeight="1" x14ac:dyDescent="0.25">
      <c r="A49" s="11" t="s">
        <v>42</v>
      </c>
      <c r="B49" s="6">
        <v>57</v>
      </c>
      <c r="C49" s="16">
        <v>5</v>
      </c>
      <c r="D49" s="5">
        <f t="shared" si="6"/>
        <v>62</v>
      </c>
      <c r="E49" s="6">
        <v>29</v>
      </c>
      <c r="F49" s="16">
        <v>1</v>
      </c>
      <c r="G49" s="5">
        <f t="shared" si="7"/>
        <v>30</v>
      </c>
      <c r="H49" s="7">
        <f t="shared" si="8"/>
        <v>92</v>
      </c>
    </row>
    <row r="50" spans="1:8" ht="15" customHeight="1" x14ac:dyDescent="0.25">
      <c r="A50" s="11" t="s">
        <v>170</v>
      </c>
      <c r="B50" s="6">
        <v>4</v>
      </c>
      <c r="C50" s="16">
        <v>0</v>
      </c>
      <c r="D50" s="5">
        <f t="shared" si="6"/>
        <v>4</v>
      </c>
      <c r="E50" s="6">
        <v>10</v>
      </c>
      <c r="F50" s="16">
        <v>2</v>
      </c>
      <c r="G50" s="5">
        <f t="shared" si="7"/>
        <v>12</v>
      </c>
      <c r="H50" s="7">
        <f t="shared" si="8"/>
        <v>16</v>
      </c>
    </row>
    <row r="51" spans="1:8" ht="15" customHeight="1" x14ac:dyDescent="0.25">
      <c r="A51" s="11" t="s">
        <v>45</v>
      </c>
      <c r="B51" s="6">
        <v>40</v>
      </c>
      <c r="C51" s="16">
        <v>0</v>
      </c>
      <c r="D51" s="5">
        <f t="shared" si="6"/>
        <v>40</v>
      </c>
      <c r="E51" s="6">
        <v>26</v>
      </c>
      <c r="F51" s="16">
        <v>8</v>
      </c>
      <c r="G51" s="5">
        <f t="shared" si="7"/>
        <v>34</v>
      </c>
      <c r="H51" s="7">
        <f t="shared" si="8"/>
        <v>74</v>
      </c>
    </row>
    <row r="52" spans="1:8" ht="15" customHeight="1" x14ac:dyDescent="0.25">
      <c r="A52" s="11" t="s">
        <v>46</v>
      </c>
      <c r="B52" s="6">
        <v>11</v>
      </c>
      <c r="C52" s="16">
        <v>0</v>
      </c>
      <c r="D52" s="5">
        <f t="shared" si="6"/>
        <v>11</v>
      </c>
      <c r="E52" s="6">
        <v>24</v>
      </c>
      <c r="F52" s="16">
        <v>2</v>
      </c>
      <c r="G52" s="5">
        <f t="shared" si="7"/>
        <v>26</v>
      </c>
      <c r="H52" s="7">
        <f t="shared" si="8"/>
        <v>37</v>
      </c>
    </row>
    <row r="53" spans="1:8" ht="15" customHeight="1" thickBot="1" x14ac:dyDescent="0.3">
      <c r="A53" s="11" t="s">
        <v>48</v>
      </c>
      <c r="B53" s="6">
        <v>3</v>
      </c>
      <c r="C53" s="16">
        <v>0</v>
      </c>
      <c r="D53" s="5">
        <f t="shared" si="6"/>
        <v>3</v>
      </c>
      <c r="E53" s="6">
        <v>9</v>
      </c>
      <c r="F53" s="16">
        <v>0</v>
      </c>
      <c r="G53" s="5">
        <f t="shared" si="7"/>
        <v>9</v>
      </c>
      <c r="H53" s="7">
        <f t="shared" si="8"/>
        <v>12</v>
      </c>
    </row>
    <row r="54" spans="1:8" ht="15" customHeight="1" thickTop="1" thickBot="1" x14ac:dyDescent="0.3">
      <c r="A54" s="12" t="s">
        <v>6</v>
      </c>
      <c r="B54" s="13">
        <f>SUM(B37:B53)</f>
        <v>149</v>
      </c>
      <c r="C54" s="13">
        <f>SUM(C37:C53)</f>
        <v>5</v>
      </c>
      <c r="D54" s="13">
        <f>SUM(D37:D53)</f>
        <v>154</v>
      </c>
      <c r="E54" s="13">
        <f>SUM(E37:E53)</f>
        <v>137</v>
      </c>
      <c r="F54" s="13">
        <f>SUM(F37:F53)</f>
        <v>15</v>
      </c>
      <c r="G54" s="14">
        <f t="shared" si="7"/>
        <v>152</v>
      </c>
      <c r="H54" s="15">
        <f t="shared" si="8"/>
        <v>306</v>
      </c>
    </row>
    <row r="55" spans="1:8" ht="15" customHeight="1" thickTop="1" thickBot="1" x14ac:dyDescent="0.3">
      <c r="A55" s="23" t="s">
        <v>49</v>
      </c>
      <c r="B55" s="24"/>
      <c r="C55" s="24"/>
      <c r="D55" s="24"/>
      <c r="E55" s="24"/>
      <c r="F55" s="24"/>
      <c r="G55" s="24"/>
      <c r="H55" s="25"/>
    </row>
    <row r="56" spans="1:8" ht="15" customHeight="1" thickTop="1" x14ac:dyDescent="0.25">
      <c r="A56" s="11" t="s">
        <v>50</v>
      </c>
      <c r="B56" s="6">
        <v>8</v>
      </c>
      <c r="C56" s="16">
        <v>0</v>
      </c>
      <c r="D56" s="5">
        <f t="shared" ref="D56:D68" si="9">B56+C56</f>
        <v>8</v>
      </c>
      <c r="E56" s="6">
        <v>6</v>
      </c>
      <c r="F56" s="16">
        <v>0</v>
      </c>
      <c r="G56" s="5">
        <f t="shared" ref="G56:G68" si="10">E56+F56</f>
        <v>6</v>
      </c>
      <c r="H56" s="7">
        <f t="shared" ref="H56:H68" si="11">G56+D56</f>
        <v>14</v>
      </c>
    </row>
    <row r="57" spans="1:8" ht="15" customHeight="1" x14ac:dyDescent="0.25">
      <c r="A57" s="11" t="s">
        <v>51</v>
      </c>
      <c r="B57" s="6">
        <v>25</v>
      </c>
      <c r="C57" s="16">
        <v>1</v>
      </c>
      <c r="D57" s="5">
        <f t="shared" si="9"/>
        <v>26</v>
      </c>
      <c r="E57" s="6">
        <v>42</v>
      </c>
      <c r="F57" s="16">
        <v>6</v>
      </c>
      <c r="G57" s="5">
        <f t="shared" si="10"/>
        <v>48</v>
      </c>
      <c r="H57" s="7">
        <f t="shared" si="11"/>
        <v>74</v>
      </c>
    </row>
    <row r="58" spans="1:8" ht="15" customHeight="1" x14ac:dyDescent="0.25">
      <c r="A58" s="11" t="s">
        <v>52</v>
      </c>
      <c r="B58" s="6">
        <v>1</v>
      </c>
      <c r="C58" s="16">
        <v>0</v>
      </c>
      <c r="D58" s="5">
        <f t="shared" si="9"/>
        <v>1</v>
      </c>
      <c r="E58" s="6">
        <v>8</v>
      </c>
      <c r="F58" s="16">
        <v>1</v>
      </c>
      <c r="G58" s="5">
        <f t="shared" si="10"/>
        <v>9</v>
      </c>
      <c r="H58" s="7">
        <f t="shared" si="11"/>
        <v>10</v>
      </c>
    </row>
    <row r="59" spans="1:8" ht="15" customHeight="1" x14ac:dyDescent="0.25">
      <c r="A59" s="11" t="s">
        <v>53</v>
      </c>
      <c r="B59" s="6">
        <v>10</v>
      </c>
      <c r="C59" s="16">
        <v>0</v>
      </c>
      <c r="D59" s="5">
        <f t="shared" si="9"/>
        <v>10</v>
      </c>
      <c r="E59" s="6">
        <v>15</v>
      </c>
      <c r="F59" s="16">
        <v>2</v>
      </c>
      <c r="G59" s="5">
        <f t="shared" si="10"/>
        <v>17</v>
      </c>
      <c r="H59" s="7">
        <f t="shared" si="11"/>
        <v>27</v>
      </c>
    </row>
    <row r="60" spans="1:8" ht="15" customHeight="1" x14ac:dyDescent="0.25">
      <c r="A60" s="11" t="s">
        <v>54</v>
      </c>
      <c r="B60" s="6">
        <v>11</v>
      </c>
      <c r="C60" s="16">
        <v>0</v>
      </c>
      <c r="D60" s="5">
        <f t="shared" si="9"/>
        <v>11</v>
      </c>
      <c r="E60" s="6">
        <v>6</v>
      </c>
      <c r="F60" s="16">
        <v>0</v>
      </c>
      <c r="G60" s="5">
        <f t="shared" si="10"/>
        <v>6</v>
      </c>
      <c r="H60" s="7">
        <f t="shared" si="11"/>
        <v>17</v>
      </c>
    </row>
    <row r="61" spans="1:8" ht="15" customHeight="1" x14ac:dyDescent="0.25">
      <c r="A61" s="11" t="s">
        <v>55</v>
      </c>
      <c r="B61" s="6">
        <v>5</v>
      </c>
      <c r="C61" s="16">
        <v>0</v>
      </c>
      <c r="D61" s="5">
        <f t="shared" si="9"/>
        <v>5</v>
      </c>
      <c r="E61" s="6">
        <v>12</v>
      </c>
      <c r="F61" s="16">
        <v>3</v>
      </c>
      <c r="G61" s="5">
        <f t="shared" si="10"/>
        <v>15</v>
      </c>
      <c r="H61" s="7">
        <f t="shared" si="11"/>
        <v>20</v>
      </c>
    </row>
    <row r="62" spans="1:8" ht="15" customHeight="1" x14ac:dyDescent="0.25">
      <c r="A62" s="11" t="s">
        <v>56</v>
      </c>
      <c r="B62" s="6">
        <v>12</v>
      </c>
      <c r="C62" s="16">
        <v>0</v>
      </c>
      <c r="D62" s="5">
        <f t="shared" si="9"/>
        <v>12</v>
      </c>
      <c r="E62" s="6">
        <v>4</v>
      </c>
      <c r="F62" s="16">
        <v>1</v>
      </c>
      <c r="G62" s="5">
        <f t="shared" si="10"/>
        <v>5</v>
      </c>
      <c r="H62" s="7">
        <f t="shared" si="11"/>
        <v>17</v>
      </c>
    </row>
    <row r="63" spans="1:8" ht="15" customHeight="1" x14ac:dyDescent="0.25">
      <c r="A63" s="11" t="s">
        <v>57</v>
      </c>
      <c r="B63" s="6">
        <v>4</v>
      </c>
      <c r="C63" s="16">
        <v>0</v>
      </c>
      <c r="D63" s="5">
        <f t="shared" si="9"/>
        <v>4</v>
      </c>
      <c r="E63" s="6">
        <v>1</v>
      </c>
      <c r="F63" s="16">
        <v>0</v>
      </c>
      <c r="G63" s="5">
        <f t="shared" si="10"/>
        <v>1</v>
      </c>
      <c r="H63" s="7">
        <f t="shared" si="11"/>
        <v>5</v>
      </c>
    </row>
    <row r="64" spans="1:8" ht="15" customHeight="1" x14ac:dyDescent="0.25">
      <c r="A64" s="11" t="s">
        <v>171</v>
      </c>
      <c r="B64" s="6">
        <v>2</v>
      </c>
      <c r="C64" s="16">
        <v>0</v>
      </c>
      <c r="D64" s="5">
        <f t="shared" si="9"/>
        <v>2</v>
      </c>
      <c r="E64" s="6">
        <v>3</v>
      </c>
      <c r="F64" s="16">
        <v>0</v>
      </c>
      <c r="G64" s="5">
        <f t="shared" si="10"/>
        <v>3</v>
      </c>
      <c r="H64" s="7">
        <f t="shared" si="11"/>
        <v>5</v>
      </c>
    </row>
    <row r="65" spans="1:8" ht="15" customHeight="1" x14ac:dyDescent="0.25">
      <c r="A65" s="11" t="s">
        <v>58</v>
      </c>
      <c r="B65" s="6">
        <v>29</v>
      </c>
      <c r="C65" s="16">
        <v>0</v>
      </c>
      <c r="D65" s="5">
        <f t="shared" si="9"/>
        <v>29</v>
      </c>
      <c r="E65" s="6">
        <v>34</v>
      </c>
      <c r="F65" s="16">
        <v>5</v>
      </c>
      <c r="G65" s="5">
        <f t="shared" si="10"/>
        <v>39</v>
      </c>
      <c r="H65" s="7">
        <f t="shared" si="11"/>
        <v>68</v>
      </c>
    </row>
    <row r="66" spans="1:8" ht="15" customHeight="1" x14ac:dyDescent="0.25">
      <c r="A66" s="11" t="s">
        <v>60</v>
      </c>
      <c r="B66" s="6">
        <v>0</v>
      </c>
      <c r="C66" s="16">
        <v>0</v>
      </c>
      <c r="D66" s="5">
        <f t="shared" si="9"/>
        <v>0</v>
      </c>
      <c r="E66" s="6">
        <v>2</v>
      </c>
      <c r="F66" s="16">
        <v>0</v>
      </c>
      <c r="G66" s="5">
        <f t="shared" si="10"/>
        <v>2</v>
      </c>
      <c r="H66" s="7">
        <f t="shared" si="11"/>
        <v>2</v>
      </c>
    </row>
    <row r="67" spans="1:8" ht="15" customHeight="1" x14ac:dyDescent="0.25">
      <c r="A67" s="11" t="s">
        <v>61</v>
      </c>
      <c r="B67" s="6">
        <v>30</v>
      </c>
      <c r="C67" s="16">
        <v>0</v>
      </c>
      <c r="D67" s="5">
        <f t="shared" si="9"/>
        <v>30</v>
      </c>
      <c r="E67" s="6">
        <v>10</v>
      </c>
      <c r="F67" s="16">
        <v>1</v>
      </c>
      <c r="G67" s="5">
        <f t="shared" si="10"/>
        <v>11</v>
      </c>
      <c r="H67" s="7">
        <f t="shared" si="11"/>
        <v>41</v>
      </c>
    </row>
    <row r="68" spans="1:8" ht="15" customHeight="1" thickBot="1" x14ac:dyDescent="0.3">
      <c r="A68" s="11" t="s">
        <v>172</v>
      </c>
      <c r="B68" s="6">
        <v>2</v>
      </c>
      <c r="C68" s="16">
        <v>0</v>
      </c>
      <c r="D68" s="5">
        <f t="shared" si="9"/>
        <v>2</v>
      </c>
      <c r="E68" s="6">
        <v>6</v>
      </c>
      <c r="F68" s="16">
        <v>0</v>
      </c>
      <c r="G68" s="5">
        <f t="shared" si="10"/>
        <v>6</v>
      </c>
      <c r="H68" s="7">
        <f t="shared" si="11"/>
        <v>8</v>
      </c>
    </row>
    <row r="69" spans="1:8" ht="15" customHeight="1" thickTop="1" thickBot="1" x14ac:dyDescent="0.3">
      <c r="A69" s="12" t="s">
        <v>6</v>
      </c>
      <c r="B69" s="14">
        <f>SUM(B56:B68)</f>
        <v>139</v>
      </c>
      <c r="C69" s="14">
        <f t="shared" ref="C69:H69" si="12">SUM(C56:C68)</f>
        <v>1</v>
      </c>
      <c r="D69" s="14">
        <f t="shared" si="12"/>
        <v>140</v>
      </c>
      <c r="E69" s="14">
        <f t="shared" si="12"/>
        <v>149</v>
      </c>
      <c r="F69" s="14">
        <f t="shared" si="12"/>
        <v>19</v>
      </c>
      <c r="G69" s="14">
        <f t="shared" si="12"/>
        <v>168</v>
      </c>
      <c r="H69" s="15">
        <f t="shared" si="12"/>
        <v>308</v>
      </c>
    </row>
    <row r="70" spans="1:8" ht="15" customHeight="1" thickTop="1" thickBot="1" x14ac:dyDescent="0.3">
      <c r="A70" s="23" t="s">
        <v>62</v>
      </c>
      <c r="B70" s="24"/>
      <c r="C70" s="24"/>
      <c r="D70" s="24"/>
      <c r="E70" s="24"/>
      <c r="F70" s="24"/>
      <c r="G70" s="24"/>
      <c r="H70" s="25"/>
    </row>
    <row r="71" spans="1:8" ht="15" customHeight="1" thickTop="1" x14ac:dyDescent="0.25">
      <c r="A71" s="11" t="s">
        <v>63</v>
      </c>
      <c r="B71" s="6">
        <v>1</v>
      </c>
      <c r="C71" s="16">
        <v>0</v>
      </c>
      <c r="D71" s="5">
        <f t="shared" ref="D71:D95" si="13">B71+C71</f>
        <v>1</v>
      </c>
      <c r="E71" s="6">
        <v>0</v>
      </c>
      <c r="F71" s="16">
        <v>0</v>
      </c>
      <c r="G71" s="5">
        <f t="shared" ref="G71:G95" si="14">E71+F71</f>
        <v>0</v>
      </c>
      <c r="H71" s="7">
        <f t="shared" ref="H71:H96" si="15">G71+D71</f>
        <v>1</v>
      </c>
    </row>
    <row r="72" spans="1:8" ht="15" customHeight="1" x14ac:dyDescent="0.25">
      <c r="A72" s="11" t="s">
        <v>161</v>
      </c>
      <c r="B72" s="6">
        <v>11</v>
      </c>
      <c r="C72" s="16">
        <v>0</v>
      </c>
      <c r="D72" s="5">
        <f t="shared" si="13"/>
        <v>11</v>
      </c>
      <c r="E72" s="6">
        <v>1</v>
      </c>
      <c r="F72" s="16">
        <v>1</v>
      </c>
      <c r="G72" s="5">
        <f t="shared" si="14"/>
        <v>2</v>
      </c>
      <c r="H72" s="7">
        <f t="shared" si="15"/>
        <v>13</v>
      </c>
    </row>
    <row r="73" spans="1:8" ht="15" customHeight="1" x14ac:dyDescent="0.25">
      <c r="A73" s="11" t="s">
        <v>64</v>
      </c>
      <c r="B73" s="6">
        <v>25</v>
      </c>
      <c r="C73" s="16">
        <v>0</v>
      </c>
      <c r="D73" s="5">
        <f t="shared" si="13"/>
        <v>25</v>
      </c>
      <c r="E73" s="6">
        <v>14</v>
      </c>
      <c r="F73" s="16">
        <v>0</v>
      </c>
      <c r="G73" s="5">
        <f t="shared" si="14"/>
        <v>14</v>
      </c>
      <c r="H73" s="7">
        <f t="shared" si="15"/>
        <v>39</v>
      </c>
    </row>
    <row r="74" spans="1:8" ht="15" customHeight="1" x14ac:dyDescent="0.25">
      <c r="A74" s="11" t="s">
        <v>65</v>
      </c>
      <c r="B74" s="6">
        <v>33</v>
      </c>
      <c r="C74" s="16">
        <v>0</v>
      </c>
      <c r="D74" s="5">
        <f t="shared" si="13"/>
        <v>33</v>
      </c>
      <c r="E74" s="6">
        <v>5</v>
      </c>
      <c r="F74" s="16">
        <v>0</v>
      </c>
      <c r="G74" s="5">
        <f t="shared" si="14"/>
        <v>5</v>
      </c>
      <c r="H74" s="7">
        <f t="shared" si="15"/>
        <v>38</v>
      </c>
    </row>
    <row r="75" spans="1:8" ht="15" customHeight="1" x14ac:dyDescent="0.25">
      <c r="A75" s="11" t="s">
        <v>173</v>
      </c>
      <c r="B75" s="6">
        <v>9</v>
      </c>
      <c r="C75" s="16">
        <v>0</v>
      </c>
      <c r="D75" s="5">
        <f t="shared" si="13"/>
        <v>9</v>
      </c>
      <c r="E75" s="6">
        <v>1</v>
      </c>
      <c r="F75" s="16">
        <v>2</v>
      </c>
      <c r="G75" s="5">
        <f t="shared" si="14"/>
        <v>3</v>
      </c>
      <c r="H75" s="7">
        <f t="shared" si="15"/>
        <v>12</v>
      </c>
    </row>
    <row r="76" spans="1:8" ht="15" customHeight="1" x14ac:dyDescent="0.25">
      <c r="A76" s="11" t="s">
        <v>174</v>
      </c>
      <c r="B76" s="6">
        <v>496</v>
      </c>
      <c r="C76" s="16">
        <v>23</v>
      </c>
      <c r="D76" s="5">
        <f t="shared" si="13"/>
        <v>519</v>
      </c>
      <c r="E76" s="6">
        <v>301</v>
      </c>
      <c r="F76" s="16">
        <v>8</v>
      </c>
      <c r="G76" s="5">
        <f t="shared" si="14"/>
        <v>309</v>
      </c>
      <c r="H76" s="7">
        <f t="shared" si="15"/>
        <v>828</v>
      </c>
    </row>
    <row r="77" spans="1:8" ht="15" customHeight="1" x14ac:dyDescent="0.25">
      <c r="A77" s="11" t="s">
        <v>175</v>
      </c>
      <c r="B77" s="6">
        <v>366</v>
      </c>
      <c r="C77" s="16">
        <v>7</v>
      </c>
      <c r="D77" s="5">
        <f t="shared" si="13"/>
        <v>373</v>
      </c>
      <c r="E77" s="6">
        <v>39</v>
      </c>
      <c r="F77" s="16">
        <v>3</v>
      </c>
      <c r="G77" s="5">
        <f t="shared" si="14"/>
        <v>42</v>
      </c>
      <c r="H77" s="7">
        <f t="shared" si="15"/>
        <v>415</v>
      </c>
    </row>
    <row r="78" spans="1:8" ht="15" customHeight="1" x14ac:dyDescent="0.25">
      <c r="A78" s="11" t="s">
        <v>70</v>
      </c>
      <c r="B78" s="6">
        <v>41</v>
      </c>
      <c r="C78" s="16">
        <v>1</v>
      </c>
      <c r="D78" s="5">
        <f t="shared" si="13"/>
        <v>42</v>
      </c>
      <c r="E78" s="6">
        <v>110</v>
      </c>
      <c r="F78" s="16">
        <v>64</v>
      </c>
      <c r="G78" s="5">
        <f t="shared" si="14"/>
        <v>174</v>
      </c>
      <c r="H78" s="7">
        <f t="shared" si="15"/>
        <v>216</v>
      </c>
    </row>
    <row r="79" spans="1:8" ht="15" customHeight="1" x14ac:dyDescent="0.25">
      <c r="A79" s="11" t="s">
        <v>71</v>
      </c>
      <c r="B79" s="6">
        <v>14</v>
      </c>
      <c r="C79" s="16">
        <v>0</v>
      </c>
      <c r="D79" s="5">
        <f t="shared" si="13"/>
        <v>14</v>
      </c>
      <c r="E79" s="6">
        <v>6</v>
      </c>
      <c r="F79" s="16">
        <v>0</v>
      </c>
      <c r="G79" s="5">
        <f t="shared" si="14"/>
        <v>6</v>
      </c>
      <c r="H79" s="7">
        <f t="shared" si="15"/>
        <v>20</v>
      </c>
    </row>
    <row r="80" spans="1:8" ht="15" customHeight="1" x14ac:dyDescent="0.25">
      <c r="A80" s="11" t="s">
        <v>72</v>
      </c>
      <c r="B80" s="6">
        <v>56</v>
      </c>
      <c r="C80" s="16">
        <v>0</v>
      </c>
      <c r="D80" s="5">
        <f t="shared" si="13"/>
        <v>56</v>
      </c>
      <c r="E80" s="6">
        <v>48</v>
      </c>
      <c r="F80" s="16">
        <v>1</v>
      </c>
      <c r="G80" s="5">
        <f t="shared" si="14"/>
        <v>49</v>
      </c>
      <c r="H80" s="7">
        <f t="shared" si="15"/>
        <v>105</v>
      </c>
    </row>
    <row r="81" spans="1:8" ht="15" customHeight="1" x14ac:dyDescent="0.25">
      <c r="A81" s="11" t="s">
        <v>73</v>
      </c>
      <c r="B81" s="6">
        <v>57</v>
      </c>
      <c r="C81" s="16">
        <v>1</v>
      </c>
      <c r="D81" s="5">
        <f t="shared" si="13"/>
        <v>58</v>
      </c>
      <c r="E81" s="6">
        <v>10</v>
      </c>
      <c r="F81" s="16">
        <v>0</v>
      </c>
      <c r="G81" s="5">
        <f t="shared" si="14"/>
        <v>10</v>
      </c>
      <c r="H81" s="7">
        <f t="shared" si="15"/>
        <v>68</v>
      </c>
    </row>
    <row r="82" spans="1:8" ht="15" customHeight="1" x14ac:dyDescent="0.25">
      <c r="A82" s="11" t="s">
        <v>176</v>
      </c>
      <c r="B82" s="6">
        <v>97</v>
      </c>
      <c r="C82" s="16">
        <v>7</v>
      </c>
      <c r="D82" s="5">
        <f t="shared" si="13"/>
        <v>104</v>
      </c>
      <c r="E82" s="6">
        <v>50</v>
      </c>
      <c r="F82" s="16">
        <v>2</v>
      </c>
      <c r="G82" s="5">
        <f t="shared" si="14"/>
        <v>52</v>
      </c>
      <c r="H82" s="7">
        <f t="shared" si="15"/>
        <v>156</v>
      </c>
    </row>
    <row r="83" spans="1:8" ht="15" customHeight="1" x14ac:dyDescent="0.25">
      <c r="A83" s="11" t="s">
        <v>210</v>
      </c>
      <c r="B83" s="6">
        <v>0</v>
      </c>
      <c r="C83" s="16">
        <v>0</v>
      </c>
      <c r="D83" s="5">
        <f t="shared" si="13"/>
        <v>0</v>
      </c>
      <c r="E83" s="6">
        <v>1</v>
      </c>
      <c r="F83" s="16">
        <v>0</v>
      </c>
      <c r="G83" s="5">
        <f t="shared" si="14"/>
        <v>1</v>
      </c>
      <c r="H83" s="7">
        <f t="shared" si="15"/>
        <v>1</v>
      </c>
    </row>
    <row r="84" spans="1:8" ht="15" customHeight="1" x14ac:dyDescent="0.25">
      <c r="A84" s="11" t="s">
        <v>177</v>
      </c>
      <c r="B84" s="6">
        <v>3</v>
      </c>
      <c r="C84" s="16">
        <v>0</v>
      </c>
      <c r="D84" s="5">
        <f t="shared" si="13"/>
        <v>3</v>
      </c>
      <c r="E84" s="6">
        <v>2</v>
      </c>
      <c r="F84" s="16">
        <v>0</v>
      </c>
      <c r="G84" s="5">
        <f t="shared" si="14"/>
        <v>2</v>
      </c>
      <c r="H84" s="7">
        <f t="shared" si="15"/>
        <v>5</v>
      </c>
    </row>
    <row r="85" spans="1:8" ht="15" customHeight="1" x14ac:dyDescent="0.25">
      <c r="A85" s="11" t="s">
        <v>74</v>
      </c>
      <c r="B85" s="6">
        <v>180</v>
      </c>
      <c r="C85" s="16">
        <v>1</v>
      </c>
      <c r="D85" s="5">
        <f t="shared" si="13"/>
        <v>181</v>
      </c>
      <c r="E85" s="6">
        <v>55</v>
      </c>
      <c r="F85" s="16">
        <v>6</v>
      </c>
      <c r="G85" s="5">
        <f t="shared" si="14"/>
        <v>61</v>
      </c>
      <c r="H85" s="7">
        <f t="shared" si="15"/>
        <v>242</v>
      </c>
    </row>
    <row r="86" spans="1:8" ht="15" customHeight="1" x14ac:dyDescent="0.25">
      <c r="A86" s="11" t="s">
        <v>178</v>
      </c>
      <c r="B86" s="6">
        <v>4</v>
      </c>
      <c r="C86" s="16">
        <v>0</v>
      </c>
      <c r="D86" s="5">
        <f t="shared" si="13"/>
        <v>4</v>
      </c>
      <c r="E86" s="6">
        <v>0</v>
      </c>
      <c r="F86" s="16">
        <v>0</v>
      </c>
      <c r="G86" s="5">
        <f t="shared" si="14"/>
        <v>0</v>
      </c>
      <c r="H86" s="7">
        <f t="shared" si="15"/>
        <v>4</v>
      </c>
    </row>
    <row r="87" spans="1:8" ht="15" customHeight="1" x14ac:dyDescent="0.25">
      <c r="A87" s="11" t="s">
        <v>77</v>
      </c>
      <c r="B87" s="6">
        <v>56</v>
      </c>
      <c r="C87" s="16">
        <v>1</v>
      </c>
      <c r="D87" s="5">
        <f t="shared" si="13"/>
        <v>57</v>
      </c>
      <c r="E87" s="6">
        <v>37</v>
      </c>
      <c r="F87" s="16">
        <v>4</v>
      </c>
      <c r="G87" s="5">
        <f t="shared" si="14"/>
        <v>41</v>
      </c>
      <c r="H87" s="7">
        <f t="shared" si="15"/>
        <v>98</v>
      </c>
    </row>
    <row r="88" spans="1:8" ht="15" customHeight="1" x14ac:dyDescent="0.25">
      <c r="A88" s="11" t="s">
        <v>79</v>
      </c>
      <c r="B88" s="6">
        <v>7</v>
      </c>
      <c r="C88" s="16">
        <v>0</v>
      </c>
      <c r="D88" s="5">
        <f t="shared" si="13"/>
        <v>7</v>
      </c>
      <c r="E88" s="6">
        <v>4</v>
      </c>
      <c r="F88" s="16">
        <v>0</v>
      </c>
      <c r="G88" s="5">
        <f t="shared" si="14"/>
        <v>4</v>
      </c>
      <c r="H88" s="7">
        <f t="shared" si="15"/>
        <v>11</v>
      </c>
    </row>
    <row r="89" spans="1:8" ht="15" customHeight="1" x14ac:dyDescent="0.25">
      <c r="A89" s="11" t="s">
        <v>80</v>
      </c>
      <c r="B89" s="6">
        <v>207</v>
      </c>
      <c r="C89" s="16">
        <v>0</v>
      </c>
      <c r="D89" s="5">
        <f t="shared" si="13"/>
        <v>207</v>
      </c>
      <c r="E89" s="6">
        <v>23</v>
      </c>
      <c r="F89" s="16">
        <v>3</v>
      </c>
      <c r="G89" s="5">
        <f t="shared" si="14"/>
        <v>26</v>
      </c>
      <c r="H89" s="7">
        <f t="shared" si="15"/>
        <v>233</v>
      </c>
    </row>
    <row r="90" spans="1:8" ht="15" customHeight="1" x14ac:dyDescent="0.25">
      <c r="A90" s="11" t="s">
        <v>82</v>
      </c>
      <c r="B90" s="6">
        <v>25</v>
      </c>
      <c r="C90" s="16">
        <v>0</v>
      </c>
      <c r="D90" s="5">
        <f t="shared" si="13"/>
        <v>25</v>
      </c>
      <c r="E90" s="6">
        <v>14</v>
      </c>
      <c r="F90" s="16">
        <v>2</v>
      </c>
      <c r="G90" s="5">
        <f t="shared" si="14"/>
        <v>16</v>
      </c>
      <c r="H90" s="7">
        <f t="shared" si="15"/>
        <v>41</v>
      </c>
    </row>
    <row r="91" spans="1:8" ht="15" customHeight="1" x14ac:dyDescent="0.25">
      <c r="A91" s="11" t="s">
        <v>83</v>
      </c>
      <c r="B91" s="6">
        <v>31</v>
      </c>
      <c r="C91" s="16">
        <v>2</v>
      </c>
      <c r="D91" s="5">
        <f t="shared" si="13"/>
        <v>33</v>
      </c>
      <c r="E91" s="6">
        <v>61</v>
      </c>
      <c r="F91" s="16">
        <v>4</v>
      </c>
      <c r="G91" s="5">
        <f t="shared" si="14"/>
        <v>65</v>
      </c>
      <c r="H91" s="7">
        <f t="shared" si="15"/>
        <v>98</v>
      </c>
    </row>
    <row r="92" spans="1:8" ht="15" customHeight="1" x14ac:dyDescent="0.25">
      <c r="A92" s="11" t="s">
        <v>211</v>
      </c>
      <c r="B92" s="6">
        <v>1</v>
      </c>
      <c r="C92" s="16">
        <v>0</v>
      </c>
      <c r="D92" s="5">
        <f t="shared" si="13"/>
        <v>1</v>
      </c>
      <c r="E92" s="6">
        <v>1</v>
      </c>
      <c r="F92" s="16">
        <v>0</v>
      </c>
      <c r="G92" s="5">
        <f t="shared" si="14"/>
        <v>1</v>
      </c>
      <c r="H92" s="7">
        <f t="shared" si="15"/>
        <v>2</v>
      </c>
    </row>
    <row r="93" spans="1:8" ht="15" customHeight="1" x14ac:dyDescent="0.25">
      <c r="A93" s="11" t="s">
        <v>84</v>
      </c>
      <c r="B93" s="6">
        <v>47</v>
      </c>
      <c r="C93" s="16">
        <v>1</v>
      </c>
      <c r="D93" s="5">
        <f t="shared" si="13"/>
        <v>48</v>
      </c>
      <c r="E93" s="6">
        <v>44</v>
      </c>
      <c r="F93" s="16">
        <v>2</v>
      </c>
      <c r="G93" s="5">
        <f t="shared" si="14"/>
        <v>46</v>
      </c>
      <c r="H93" s="7">
        <f t="shared" si="15"/>
        <v>94</v>
      </c>
    </row>
    <row r="94" spans="1:8" ht="15" customHeight="1" x14ac:dyDescent="0.25">
      <c r="A94" s="11" t="s">
        <v>180</v>
      </c>
      <c r="B94" s="6">
        <v>0</v>
      </c>
      <c r="C94" s="16">
        <v>0</v>
      </c>
      <c r="D94" s="5">
        <f t="shared" si="13"/>
        <v>0</v>
      </c>
      <c r="E94" s="6">
        <v>2</v>
      </c>
      <c r="F94" s="16">
        <v>0</v>
      </c>
      <c r="G94" s="5">
        <f t="shared" si="14"/>
        <v>2</v>
      </c>
      <c r="H94" s="7">
        <f t="shared" si="15"/>
        <v>2</v>
      </c>
    </row>
    <row r="95" spans="1:8" ht="15" customHeight="1" thickBot="1" x14ac:dyDescent="0.3">
      <c r="A95" s="11" t="s">
        <v>85</v>
      </c>
      <c r="B95" s="6">
        <v>23</v>
      </c>
      <c r="C95" s="16">
        <v>0</v>
      </c>
      <c r="D95" s="5">
        <f t="shared" si="13"/>
        <v>23</v>
      </c>
      <c r="E95" s="6">
        <v>2</v>
      </c>
      <c r="F95" s="16">
        <v>0</v>
      </c>
      <c r="G95" s="5">
        <f t="shared" si="14"/>
        <v>2</v>
      </c>
      <c r="H95" s="7">
        <f t="shared" si="15"/>
        <v>25</v>
      </c>
    </row>
    <row r="96" spans="1:8" ht="15" customHeight="1" thickTop="1" thickBot="1" x14ac:dyDescent="0.3">
      <c r="A96" s="12" t="s">
        <v>6</v>
      </c>
      <c r="B96" s="13">
        <f t="shared" ref="B96:G96" si="16">SUM(B71:B95)</f>
        <v>1790</v>
      </c>
      <c r="C96" s="13">
        <f t="shared" si="16"/>
        <v>44</v>
      </c>
      <c r="D96" s="13">
        <f t="shared" si="16"/>
        <v>1834</v>
      </c>
      <c r="E96" s="13">
        <f t="shared" si="16"/>
        <v>831</v>
      </c>
      <c r="F96" s="13">
        <f t="shared" si="16"/>
        <v>102</v>
      </c>
      <c r="G96" s="13">
        <f t="shared" si="16"/>
        <v>933</v>
      </c>
      <c r="H96" s="15">
        <f t="shared" si="15"/>
        <v>2767</v>
      </c>
    </row>
    <row r="97" spans="1:8" ht="15" customHeight="1" thickTop="1" thickBot="1" x14ac:dyDescent="0.3">
      <c r="A97" s="23" t="s">
        <v>86</v>
      </c>
      <c r="B97" s="24"/>
      <c r="C97" s="24"/>
      <c r="D97" s="24"/>
      <c r="E97" s="24"/>
      <c r="F97" s="24"/>
      <c r="G97" s="24"/>
      <c r="H97" s="25"/>
    </row>
    <row r="98" spans="1:8" ht="15" customHeight="1" thickTop="1" x14ac:dyDescent="0.25">
      <c r="A98" s="11" t="s">
        <v>87</v>
      </c>
      <c r="B98" s="6">
        <v>8</v>
      </c>
      <c r="C98" s="16">
        <v>1</v>
      </c>
      <c r="D98" s="5">
        <f t="shared" ref="D98:D122" si="17">B98+C98</f>
        <v>9</v>
      </c>
      <c r="E98" s="6">
        <v>3</v>
      </c>
      <c r="F98" s="16">
        <v>0</v>
      </c>
      <c r="G98" s="5">
        <f t="shared" ref="G98:G122" si="18">E98+F98</f>
        <v>3</v>
      </c>
      <c r="H98" s="7">
        <f t="shared" ref="H98:H122" si="19">G98+D98</f>
        <v>12</v>
      </c>
    </row>
    <row r="99" spans="1:8" ht="15" customHeight="1" x14ac:dyDescent="0.25">
      <c r="A99" s="11" t="s">
        <v>181</v>
      </c>
      <c r="B99" s="6">
        <v>1</v>
      </c>
      <c r="C99" s="16">
        <v>0</v>
      </c>
      <c r="D99" s="5">
        <f t="shared" si="17"/>
        <v>1</v>
      </c>
      <c r="E99" s="6">
        <v>0</v>
      </c>
      <c r="F99" s="16">
        <v>0</v>
      </c>
      <c r="G99" s="5">
        <f t="shared" si="18"/>
        <v>0</v>
      </c>
      <c r="H99" s="7">
        <f t="shared" si="19"/>
        <v>1</v>
      </c>
    </row>
    <row r="100" spans="1:8" ht="15" customHeight="1" x14ac:dyDescent="0.25">
      <c r="A100" s="11" t="s">
        <v>90</v>
      </c>
      <c r="B100" s="6">
        <v>8</v>
      </c>
      <c r="C100" s="16">
        <v>0</v>
      </c>
      <c r="D100" s="5">
        <f t="shared" si="17"/>
        <v>8</v>
      </c>
      <c r="E100" s="6">
        <v>17</v>
      </c>
      <c r="F100" s="16">
        <v>3</v>
      </c>
      <c r="G100" s="5">
        <f t="shared" si="18"/>
        <v>20</v>
      </c>
      <c r="H100" s="7">
        <f t="shared" si="19"/>
        <v>28</v>
      </c>
    </row>
    <row r="101" spans="1:8" ht="15" customHeight="1" x14ac:dyDescent="0.25">
      <c r="A101" s="11" t="s">
        <v>92</v>
      </c>
      <c r="B101" s="6">
        <v>0</v>
      </c>
      <c r="C101" s="16">
        <v>0</v>
      </c>
      <c r="D101" s="5">
        <f t="shared" si="17"/>
        <v>0</v>
      </c>
      <c r="E101" s="6">
        <v>1</v>
      </c>
      <c r="F101" s="16">
        <v>0</v>
      </c>
      <c r="G101" s="5">
        <f t="shared" si="18"/>
        <v>1</v>
      </c>
      <c r="H101" s="7">
        <f t="shared" si="19"/>
        <v>1</v>
      </c>
    </row>
    <row r="102" spans="1:8" ht="15" customHeight="1" x14ac:dyDescent="0.25">
      <c r="A102" s="11" t="s">
        <v>95</v>
      </c>
      <c r="B102" s="6">
        <v>2</v>
      </c>
      <c r="C102" s="16">
        <v>0</v>
      </c>
      <c r="D102" s="5">
        <f t="shared" si="17"/>
        <v>2</v>
      </c>
      <c r="E102" s="6">
        <v>8</v>
      </c>
      <c r="F102" s="16">
        <v>0</v>
      </c>
      <c r="G102" s="5">
        <f t="shared" si="18"/>
        <v>8</v>
      </c>
      <c r="H102" s="7">
        <f t="shared" si="19"/>
        <v>10</v>
      </c>
    </row>
    <row r="103" spans="1:8" ht="15" customHeight="1" x14ac:dyDescent="0.25">
      <c r="A103" s="11" t="s">
        <v>96</v>
      </c>
      <c r="B103" s="6">
        <v>21</v>
      </c>
      <c r="C103" s="16">
        <v>1</v>
      </c>
      <c r="D103" s="5">
        <f t="shared" si="17"/>
        <v>22</v>
      </c>
      <c r="E103" s="6">
        <v>5</v>
      </c>
      <c r="F103" s="16">
        <v>1</v>
      </c>
      <c r="G103" s="5">
        <f t="shared" si="18"/>
        <v>6</v>
      </c>
      <c r="H103" s="7">
        <f t="shared" si="19"/>
        <v>28</v>
      </c>
    </row>
    <row r="104" spans="1:8" ht="15" customHeight="1" x14ac:dyDescent="0.25">
      <c r="A104" s="11" t="s">
        <v>99</v>
      </c>
      <c r="B104" s="6">
        <v>0</v>
      </c>
      <c r="C104" s="16">
        <v>0</v>
      </c>
      <c r="D104" s="5">
        <f t="shared" si="17"/>
        <v>0</v>
      </c>
      <c r="E104" s="6">
        <v>3</v>
      </c>
      <c r="F104" s="16">
        <v>1</v>
      </c>
      <c r="G104" s="5">
        <f t="shared" si="18"/>
        <v>4</v>
      </c>
      <c r="H104" s="7">
        <f t="shared" si="19"/>
        <v>4</v>
      </c>
    </row>
    <row r="105" spans="1:8" ht="15" customHeight="1" x14ac:dyDescent="0.25">
      <c r="A105" s="11" t="s">
        <v>219</v>
      </c>
      <c r="B105" s="6">
        <v>1</v>
      </c>
      <c r="C105" s="16">
        <v>0</v>
      </c>
      <c r="D105" s="5">
        <f t="shared" si="17"/>
        <v>1</v>
      </c>
      <c r="E105" s="6">
        <v>0</v>
      </c>
      <c r="F105" s="16">
        <v>0</v>
      </c>
      <c r="G105" s="5">
        <f t="shared" si="18"/>
        <v>0</v>
      </c>
      <c r="H105" s="7">
        <f t="shared" si="19"/>
        <v>1</v>
      </c>
    </row>
    <row r="106" spans="1:8" ht="15" customHeight="1" x14ac:dyDescent="0.25">
      <c r="A106" s="11" t="s">
        <v>100</v>
      </c>
      <c r="B106" s="6">
        <v>0</v>
      </c>
      <c r="C106" s="16">
        <v>0</v>
      </c>
      <c r="D106" s="5">
        <f t="shared" si="17"/>
        <v>0</v>
      </c>
      <c r="E106" s="6">
        <v>2</v>
      </c>
      <c r="F106" s="16">
        <v>1</v>
      </c>
      <c r="G106" s="5">
        <f t="shared" si="18"/>
        <v>3</v>
      </c>
      <c r="H106" s="7">
        <f t="shared" si="19"/>
        <v>3</v>
      </c>
    </row>
    <row r="107" spans="1:8" ht="15" customHeight="1" x14ac:dyDescent="0.25">
      <c r="A107" s="11" t="s">
        <v>101</v>
      </c>
      <c r="B107" s="6">
        <v>18</v>
      </c>
      <c r="C107" s="16">
        <v>2</v>
      </c>
      <c r="D107" s="5">
        <f t="shared" si="17"/>
        <v>20</v>
      </c>
      <c r="E107" s="6">
        <v>4</v>
      </c>
      <c r="F107" s="16">
        <v>1</v>
      </c>
      <c r="G107" s="5">
        <f t="shared" si="18"/>
        <v>5</v>
      </c>
      <c r="H107" s="7">
        <f t="shared" si="19"/>
        <v>25</v>
      </c>
    </row>
    <row r="108" spans="1:8" ht="15" customHeight="1" x14ac:dyDescent="0.25">
      <c r="A108" s="11" t="s">
        <v>102</v>
      </c>
      <c r="B108" s="6">
        <v>4</v>
      </c>
      <c r="C108" s="16">
        <v>0</v>
      </c>
      <c r="D108" s="5">
        <f t="shared" si="17"/>
        <v>4</v>
      </c>
      <c r="E108" s="6">
        <v>1</v>
      </c>
      <c r="F108" s="16">
        <v>0</v>
      </c>
      <c r="G108" s="5">
        <f t="shared" si="18"/>
        <v>1</v>
      </c>
      <c r="H108" s="7">
        <f t="shared" si="19"/>
        <v>5</v>
      </c>
    </row>
    <row r="109" spans="1:8" ht="15" customHeight="1" x14ac:dyDescent="0.25">
      <c r="A109" s="11" t="s">
        <v>186</v>
      </c>
      <c r="B109" s="6">
        <v>1</v>
      </c>
      <c r="C109" s="16">
        <v>0</v>
      </c>
      <c r="D109" s="5">
        <f t="shared" si="17"/>
        <v>1</v>
      </c>
      <c r="E109" s="6">
        <v>0</v>
      </c>
      <c r="F109" s="16">
        <v>0</v>
      </c>
      <c r="G109" s="5">
        <f t="shared" si="18"/>
        <v>0</v>
      </c>
      <c r="H109" s="7">
        <f t="shared" si="19"/>
        <v>1</v>
      </c>
    </row>
    <row r="110" spans="1:8" ht="15" customHeight="1" x14ac:dyDescent="0.25">
      <c r="A110" s="11" t="s">
        <v>103</v>
      </c>
      <c r="B110" s="6">
        <v>0</v>
      </c>
      <c r="C110" s="16">
        <v>0</v>
      </c>
      <c r="D110" s="5">
        <f t="shared" si="17"/>
        <v>0</v>
      </c>
      <c r="E110" s="6">
        <v>1</v>
      </c>
      <c r="F110" s="16">
        <v>0</v>
      </c>
      <c r="G110" s="5">
        <f t="shared" si="18"/>
        <v>1</v>
      </c>
      <c r="H110" s="7">
        <f t="shared" si="19"/>
        <v>1</v>
      </c>
    </row>
    <row r="111" spans="1:8" ht="15" customHeight="1" x14ac:dyDescent="0.25">
      <c r="A111" s="11" t="s">
        <v>104</v>
      </c>
      <c r="B111" s="6">
        <v>42</v>
      </c>
      <c r="C111" s="16">
        <v>2</v>
      </c>
      <c r="D111" s="5">
        <f t="shared" si="17"/>
        <v>44</v>
      </c>
      <c r="E111" s="6">
        <v>60</v>
      </c>
      <c r="F111" s="16">
        <v>3</v>
      </c>
      <c r="G111" s="5">
        <f t="shared" si="18"/>
        <v>63</v>
      </c>
      <c r="H111" s="7">
        <f t="shared" si="19"/>
        <v>107</v>
      </c>
    </row>
    <row r="112" spans="1:8" ht="15" customHeight="1" x14ac:dyDescent="0.25">
      <c r="A112" s="11" t="s">
        <v>220</v>
      </c>
      <c r="B112" s="6">
        <v>0</v>
      </c>
      <c r="C112" s="16">
        <v>0</v>
      </c>
      <c r="D112" s="5">
        <f t="shared" si="17"/>
        <v>0</v>
      </c>
      <c r="E112" s="6">
        <v>1</v>
      </c>
      <c r="F112" s="16">
        <v>0</v>
      </c>
      <c r="G112" s="5">
        <f t="shared" si="18"/>
        <v>1</v>
      </c>
      <c r="H112" s="7">
        <f t="shared" si="19"/>
        <v>1</v>
      </c>
    </row>
    <row r="113" spans="1:8" ht="15" customHeight="1" x14ac:dyDescent="0.25">
      <c r="A113" s="11" t="s">
        <v>188</v>
      </c>
      <c r="B113" s="6">
        <v>1</v>
      </c>
      <c r="C113" s="16">
        <v>0</v>
      </c>
      <c r="D113" s="5">
        <f t="shared" si="17"/>
        <v>1</v>
      </c>
      <c r="E113" s="6">
        <v>0</v>
      </c>
      <c r="F113" s="16">
        <v>0</v>
      </c>
      <c r="G113" s="5">
        <f t="shared" si="18"/>
        <v>0</v>
      </c>
      <c r="H113" s="7">
        <f t="shared" si="19"/>
        <v>1</v>
      </c>
    </row>
    <row r="114" spans="1:8" ht="15" customHeight="1" x14ac:dyDescent="0.25">
      <c r="A114" s="11" t="s">
        <v>109</v>
      </c>
      <c r="B114" s="6">
        <v>1</v>
      </c>
      <c r="C114" s="16">
        <v>0</v>
      </c>
      <c r="D114" s="5">
        <f t="shared" si="17"/>
        <v>1</v>
      </c>
      <c r="E114" s="6">
        <v>0</v>
      </c>
      <c r="F114" s="16">
        <v>0</v>
      </c>
      <c r="G114" s="5">
        <f t="shared" si="18"/>
        <v>0</v>
      </c>
      <c r="H114" s="7">
        <f t="shared" si="19"/>
        <v>1</v>
      </c>
    </row>
    <row r="115" spans="1:8" ht="15" customHeight="1" x14ac:dyDescent="0.25">
      <c r="A115" s="11" t="s">
        <v>107</v>
      </c>
      <c r="B115" s="6">
        <v>5</v>
      </c>
      <c r="C115" s="16">
        <v>0</v>
      </c>
      <c r="D115" s="5">
        <f t="shared" si="17"/>
        <v>5</v>
      </c>
      <c r="E115" s="6">
        <v>11</v>
      </c>
      <c r="F115" s="16">
        <v>5</v>
      </c>
      <c r="G115" s="5">
        <f t="shared" si="18"/>
        <v>16</v>
      </c>
      <c r="H115" s="7">
        <f t="shared" si="19"/>
        <v>21</v>
      </c>
    </row>
    <row r="116" spans="1:8" ht="15" customHeight="1" x14ac:dyDescent="0.25">
      <c r="A116" s="11" t="s">
        <v>108</v>
      </c>
      <c r="B116" s="6">
        <v>0</v>
      </c>
      <c r="C116" s="16">
        <v>0</v>
      </c>
      <c r="D116" s="5">
        <f t="shared" si="17"/>
        <v>0</v>
      </c>
      <c r="E116" s="6">
        <v>5</v>
      </c>
      <c r="F116" s="16">
        <v>0</v>
      </c>
      <c r="G116" s="5">
        <f t="shared" si="18"/>
        <v>5</v>
      </c>
      <c r="H116" s="7">
        <f t="shared" si="19"/>
        <v>5</v>
      </c>
    </row>
    <row r="117" spans="1:8" ht="15" customHeight="1" x14ac:dyDescent="0.25">
      <c r="A117" s="11" t="s">
        <v>110</v>
      </c>
      <c r="B117" s="6">
        <v>6</v>
      </c>
      <c r="C117" s="16">
        <v>0</v>
      </c>
      <c r="D117" s="5">
        <f t="shared" si="17"/>
        <v>6</v>
      </c>
      <c r="E117" s="6">
        <v>3</v>
      </c>
      <c r="F117" s="16">
        <v>0</v>
      </c>
      <c r="G117" s="5">
        <f t="shared" si="18"/>
        <v>3</v>
      </c>
      <c r="H117" s="7">
        <f t="shared" si="19"/>
        <v>9</v>
      </c>
    </row>
    <row r="118" spans="1:8" ht="15" customHeight="1" x14ac:dyDescent="0.25">
      <c r="A118" s="11" t="s">
        <v>155</v>
      </c>
      <c r="B118" s="6">
        <v>1</v>
      </c>
      <c r="C118" s="16">
        <v>0</v>
      </c>
      <c r="D118" s="5">
        <f t="shared" si="17"/>
        <v>1</v>
      </c>
      <c r="E118" s="6">
        <v>1</v>
      </c>
      <c r="F118" s="16">
        <v>0</v>
      </c>
      <c r="G118" s="5">
        <f t="shared" si="18"/>
        <v>1</v>
      </c>
      <c r="H118" s="7">
        <f t="shared" si="19"/>
        <v>2</v>
      </c>
    </row>
    <row r="119" spans="1:8" ht="15" customHeight="1" x14ac:dyDescent="0.25">
      <c r="A119" s="11" t="s">
        <v>111</v>
      </c>
      <c r="B119" s="6">
        <v>1</v>
      </c>
      <c r="C119" s="16">
        <v>0</v>
      </c>
      <c r="D119" s="5">
        <f t="shared" si="17"/>
        <v>1</v>
      </c>
      <c r="E119" s="6">
        <v>8</v>
      </c>
      <c r="F119" s="16">
        <v>0</v>
      </c>
      <c r="G119" s="5">
        <f t="shared" si="18"/>
        <v>8</v>
      </c>
      <c r="H119" s="7">
        <f t="shared" si="19"/>
        <v>9</v>
      </c>
    </row>
    <row r="120" spans="1:8" ht="15" customHeight="1" x14ac:dyDescent="0.25">
      <c r="A120" s="11" t="s">
        <v>112</v>
      </c>
      <c r="B120" s="6">
        <v>2</v>
      </c>
      <c r="C120" s="16">
        <v>0</v>
      </c>
      <c r="D120" s="5">
        <f t="shared" si="17"/>
        <v>2</v>
      </c>
      <c r="E120" s="6">
        <v>0</v>
      </c>
      <c r="F120" s="16">
        <v>0</v>
      </c>
      <c r="G120" s="5">
        <f t="shared" si="18"/>
        <v>0</v>
      </c>
      <c r="H120" s="7">
        <f t="shared" si="19"/>
        <v>2</v>
      </c>
    </row>
    <row r="121" spans="1:8" ht="15" customHeight="1" x14ac:dyDescent="0.25">
      <c r="A121" s="11" t="s">
        <v>113</v>
      </c>
      <c r="B121" s="6">
        <v>1</v>
      </c>
      <c r="C121" s="16">
        <v>0</v>
      </c>
      <c r="D121" s="5">
        <f t="shared" si="17"/>
        <v>1</v>
      </c>
      <c r="E121" s="6">
        <v>1</v>
      </c>
      <c r="F121" s="16">
        <v>0</v>
      </c>
      <c r="G121" s="5">
        <f t="shared" si="18"/>
        <v>1</v>
      </c>
      <c r="H121" s="7">
        <f t="shared" si="19"/>
        <v>2</v>
      </c>
    </row>
    <row r="122" spans="1:8" ht="15" customHeight="1" thickBot="1" x14ac:dyDescent="0.3">
      <c r="A122" s="11" t="s">
        <v>114</v>
      </c>
      <c r="B122" s="6">
        <v>0</v>
      </c>
      <c r="C122" s="16">
        <v>0</v>
      </c>
      <c r="D122" s="5">
        <f t="shared" si="17"/>
        <v>0</v>
      </c>
      <c r="E122" s="6">
        <v>3</v>
      </c>
      <c r="F122" s="16">
        <v>1</v>
      </c>
      <c r="G122" s="5">
        <f t="shared" si="18"/>
        <v>4</v>
      </c>
      <c r="H122" s="7">
        <f t="shared" si="19"/>
        <v>4</v>
      </c>
    </row>
    <row r="123" spans="1:8" ht="15" customHeight="1" thickTop="1" thickBot="1" x14ac:dyDescent="0.3">
      <c r="A123" s="12" t="s">
        <v>6</v>
      </c>
      <c r="B123" s="13">
        <f t="shared" ref="B123:H123" si="20">SUM(B98:B122)</f>
        <v>124</v>
      </c>
      <c r="C123" s="13">
        <f t="shared" si="20"/>
        <v>6</v>
      </c>
      <c r="D123" s="13">
        <f t="shared" si="20"/>
        <v>130</v>
      </c>
      <c r="E123" s="13">
        <f t="shared" si="20"/>
        <v>138</v>
      </c>
      <c r="F123" s="13">
        <f t="shared" si="20"/>
        <v>16</v>
      </c>
      <c r="G123" s="13">
        <f t="shared" si="20"/>
        <v>154</v>
      </c>
      <c r="H123" s="15">
        <f t="shared" si="20"/>
        <v>284</v>
      </c>
    </row>
    <row r="124" spans="1:8" ht="15" customHeight="1" thickTop="1" thickBot="1" x14ac:dyDescent="0.3">
      <c r="A124" s="23" t="s">
        <v>115</v>
      </c>
      <c r="B124" s="24"/>
      <c r="C124" s="24"/>
      <c r="D124" s="24"/>
      <c r="E124" s="24"/>
      <c r="F124" s="24"/>
      <c r="G124" s="24"/>
      <c r="H124" s="25"/>
    </row>
    <row r="125" spans="1:8" ht="15" customHeight="1" thickTop="1" x14ac:dyDescent="0.25">
      <c r="A125" s="11" t="s">
        <v>116</v>
      </c>
      <c r="B125" s="6">
        <v>42</v>
      </c>
      <c r="C125" s="16">
        <v>0</v>
      </c>
      <c r="D125" s="5">
        <f t="shared" ref="D125:D126" si="21">B125+C125</f>
        <v>42</v>
      </c>
      <c r="E125" s="6">
        <v>70</v>
      </c>
      <c r="F125" s="16">
        <v>5</v>
      </c>
      <c r="G125" s="5">
        <f t="shared" ref="G125:G126" si="22">E125+F125</f>
        <v>75</v>
      </c>
      <c r="H125" s="7">
        <f t="shared" ref="H125:H126" si="23">G125+D125</f>
        <v>117</v>
      </c>
    </row>
    <row r="126" spans="1:8" ht="15" customHeight="1" thickBot="1" x14ac:dyDescent="0.3">
      <c r="A126" s="11" t="s">
        <v>117</v>
      </c>
      <c r="B126" s="6">
        <v>305</v>
      </c>
      <c r="C126" s="16">
        <v>0</v>
      </c>
      <c r="D126" s="5">
        <f t="shared" si="21"/>
        <v>305</v>
      </c>
      <c r="E126" s="6">
        <v>277</v>
      </c>
      <c r="F126" s="16">
        <v>23</v>
      </c>
      <c r="G126" s="5">
        <f t="shared" si="22"/>
        <v>300</v>
      </c>
      <c r="H126" s="7">
        <f t="shared" si="23"/>
        <v>605</v>
      </c>
    </row>
    <row r="127" spans="1:8" ht="15" customHeight="1" thickTop="1" thickBot="1" x14ac:dyDescent="0.3">
      <c r="A127" s="12" t="s">
        <v>6</v>
      </c>
      <c r="B127" s="13">
        <f>SUM(B125:B126)</f>
        <v>347</v>
      </c>
      <c r="C127" s="13">
        <f t="shared" ref="C127:H127" si="24">SUM(C125:C126)</f>
        <v>0</v>
      </c>
      <c r="D127" s="13">
        <f t="shared" si="24"/>
        <v>347</v>
      </c>
      <c r="E127" s="13">
        <f t="shared" si="24"/>
        <v>347</v>
      </c>
      <c r="F127" s="13">
        <f t="shared" si="24"/>
        <v>28</v>
      </c>
      <c r="G127" s="13">
        <f t="shared" si="24"/>
        <v>375</v>
      </c>
      <c r="H127" s="15">
        <f t="shared" si="24"/>
        <v>722</v>
      </c>
    </row>
    <row r="128" spans="1:8" ht="15" customHeight="1" thickTop="1" thickBot="1" x14ac:dyDescent="0.3">
      <c r="A128" s="23" t="s">
        <v>145</v>
      </c>
      <c r="B128" s="24"/>
      <c r="C128" s="24"/>
      <c r="D128" s="24"/>
      <c r="E128" s="24"/>
      <c r="F128" s="24"/>
      <c r="G128" s="24"/>
      <c r="H128" s="25"/>
    </row>
    <row r="129" spans="1:8" ht="15" customHeight="1" thickTop="1" x14ac:dyDescent="0.25">
      <c r="A129" s="11" t="s">
        <v>118</v>
      </c>
      <c r="B129" s="6">
        <v>1</v>
      </c>
      <c r="C129" s="16">
        <v>0</v>
      </c>
      <c r="D129" s="5">
        <f t="shared" ref="D129:D135" si="25">B129+C129</f>
        <v>1</v>
      </c>
      <c r="E129" s="6">
        <v>0</v>
      </c>
      <c r="F129" s="16">
        <v>0</v>
      </c>
      <c r="G129" s="5">
        <f t="shared" ref="G129:G135" si="26">E129+F129</f>
        <v>0</v>
      </c>
      <c r="H129" s="7">
        <f t="shared" ref="H129:H135" si="27">G129+D129</f>
        <v>1</v>
      </c>
    </row>
    <row r="130" spans="1:8" ht="15" customHeight="1" x14ac:dyDescent="0.25">
      <c r="A130" s="11" t="s">
        <v>119</v>
      </c>
      <c r="B130" s="6">
        <v>0</v>
      </c>
      <c r="C130" s="16">
        <v>0</v>
      </c>
      <c r="D130" s="5">
        <f t="shared" si="25"/>
        <v>0</v>
      </c>
      <c r="E130" s="6">
        <v>1</v>
      </c>
      <c r="F130" s="16">
        <v>0</v>
      </c>
      <c r="G130" s="5">
        <f t="shared" si="26"/>
        <v>1</v>
      </c>
      <c r="H130" s="7">
        <f t="shared" si="27"/>
        <v>1</v>
      </c>
    </row>
    <row r="131" spans="1:8" ht="15" customHeight="1" x14ac:dyDescent="0.25">
      <c r="A131" s="11" t="s">
        <v>120</v>
      </c>
      <c r="B131" s="6">
        <v>5</v>
      </c>
      <c r="C131" s="16">
        <v>0</v>
      </c>
      <c r="D131" s="5">
        <f t="shared" si="25"/>
        <v>5</v>
      </c>
      <c r="E131" s="6">
        <v>0</v>
      </c>
      <c r="F131" s="16">
        <v>0</v>
      </c>
      <c r="G131" s="5">
        <f t="shared" si="26"/>
        <v>0</v>
      </c>
      <c r="H131" s="7">
        <f t="shared" si="27"/>
        <v>5</v>
      </c>
    </row>
    <row r="132" spans="1:8" ht="15" customHeight="1" x14ac:dyDescent="0.25">
      <c r="A132" s="11" t="s">
        <v>122</v>
      </c>
      <c r="B132" s="6">
        <v>1</v>
      </c>
      <c r="C132" s="16">
        <v>0</v>
      </c>
      <c r="D132" s="5">
        <f t="shared" si="25"/>
        <v>1</v>
      </c>
      <c r="E132" s="6">
        <v>0</v>
      </c>
      <c r="F132" s="16">
        <v>0</v>
      </c>
      <c r="G132" s="5">
        <f t="shared" si="26"/>
        <v>0</v>
      </c>
      <c r="H132" s="7">
        <f t="shared" si="27"/>
        <v>1</v>
      </c>
    </row>
    <row r="133" spans="1:8" ht="15" customHeight="1" x14ac:dyDescent="0.25">
      <c r="A133" s="11" t="s">
        <v>123</v>
      </c>
      <c r="B133" s="6">
        <v>0</v>
      </c>
      <c r="C133" s="16">
        <v>0</v>
      </c>
      <c r="D133" s="5">
        <f t="shared" si="25"/>
        <v>0</v>
      </c>
      <c r="E133" s="6">
        <v>3</v>
      </c>
      <c r="F133" s="16">
        <v>0</v>
      </c>
      <c r="G133" s="5">
        <f t="shared" si="26"/>
        <v>3</v>
      </c>
      <c r="H133" s="7">
        <f t="shared" si="27"/>
        <v>3</v>
      </c>
    </row>
    <row r="134" spans="1:8" ht="15" customHeight="1" x14ac:dyDescent="0.25">
      <c r="A134" s="11" t="s">
        <v>191</v>
      </c>
      <c r="B134" s="6">
        <v>0</v>
      </c>
      <c r="C134" s="16">
        <v>0</v>
      </c>
      <c r="D134" s="5">
        <f t="shared" si="25"/>
        <v>0</v>
      </c>
      <c r="E134" s="6">
        <v>1</v>
      </c>
      <c r="F134" s="16">
        <v>0</v>
      </c>
      <c r="G134" s="5">
        <f t="shared" si="26"/>
        <v>1</v>
      </c>
      <c r="H134" s="7">
        <f t="shared" si="27"/>
        <v>1</v>
      </c>
    </row>
    <row r="135" spans="1:8" ht="15" customHeight="1" thickBot="1" x14ac:dyDescent="0.3">
      <c r="A135" s="11" t="s">
        <v>192</v>
      </c>
      <c r="B135" s="6">
        <v>8</v>
      </c>
      <c r="C135" s="16">
        <v>0</v>
      </c>
      <c r="D135" s="5">
        <f t="shared" si="25"/>
        <v>8</v>
      </c>
      <c r="E135" s="6">
        <v>7</v>
      </c>
      <c r="F135" s="16">
        <v>1</v>
      </c>
      <c r="G135" s="5">
        <f t="shared" si="26"/>
        <v>8</v>
      </c>
      <c r="H135" s="7">
        <f t="shared" si="27"/>
        <v>16</v>
      </c>
    </row>
    <row r="136" spans="1:8" ht="15" customHeight="1" thickTop="1" thickBot="1" x14ac:dyDescent="0.3">
      <c r="A136" s="12" t="s">
        <v>6</v>
      </c>
      <c r="B136" s="13">
        <f>SUM(B129:B135)</f>
        <v>15</v>
      </c>
      <c r="C136" s="13">
        <f t="shared" ref="C136:G136" si="28">SUM(C129:C135)</f>
        <v>0</v>
      </c>
      <c r="D136" s="13">
        <f t="shared" si="28"/>
        <v>15</v>
      </c>
      <c r="E136" s="13">
        <f t="shared" si="28"/>
        <v>12</v>
      </c>
      <c r="F136" s="13">
        <f t="shared" si="28"/>
        <v>1</v>
      </c>
      <c r="G136" s="13">
        <f t="shared" si="28"/>
        <v>13</v>
      </c>
      <c r="H136" s="15">
        <f>SUM(H129:H135)</f>
        <v>28</v>
      </c>
    </row>
    <row r="137" spans="1:8" ht="15" customHeight="1" thickTop="1" thickBot="1" x14ac:dyDescent="0.3">
      <c r="A137" s="23" t="s">
        <v>127</v>
      </c>
      <c r="B137" s="24"/>
      <c r="C137" s="24"/>
      <c r="D137" s="24"/>
      <c r="E137" s="24"/>
      <c r="F137" s="24"/>
      <c r="G137" s="24"/>
      <c r="H137" s="25"/>
    </row>
    <row r="138" spans="1:8" ht="15" customHeight="1" thickTop="1" x14ac:dyDescent="0.25">
      <c r="A138" s="11" t="s">
        <v>128</v>
      </c>
      <c r="B138" s="6">
        <v>2</v>
      </c>
      <c r="C138" s="16">
        <v>0</v>
      </c>
      <c r="D138" s="5">
        <f t="shared" ref="D138:D152" si="29">B138+C138</f>
        <v>2</v>
      </c>
      <c r="E138" s="6">
        <v>3</v>
      </c>
      <c r="F138" s="16">
        <v>0</v>
      </c>
      <c r="G138" s="5">
        <f t="shared" ref="G138:G152" si="30">E138+F138</f>
        <v>3</v>
      </c>
      <c r="H138" s="7">
        <f t="shared" ref="H138:H152" si="31">G138+D138</f>
        <v>5</v>
      </c>
    </row>
    <row r="139" spans="1:8" ht="15" customHeight="1" x14ac:dyDescent="0.25">
      <c r="A139" s="11" t="s">
        <v>215</v>
      </c>
      <c r="B139" s="6">
        <v>1</v>
      </c>
      <c r="C139" s="16">
        <v>0</v>
      </c>
      <c r="D139" s="5">
        <f t="shared" si="29"/>
        <v>1</v>
      </c>
      <c r="E139" s="6">
        <v>1</v>
      </c>
      <c r="F139" s="16">
        <v>0</v>
      </c>
      <c r="G139" s="5">
        <f t="shared" si="30"/>
        <v>1</v>
      </c>
      <c r="H139" s="7">
        <f t="shared" si="31"/>
        <v>2</v>
      </c>
    </row>
    <row r="140" spans="1:8" ht="15" customHeight="1" x14ac:dyDescent="0.25">
      <c r="A140" s="11" t="s">
        <v>130</v>
      </c>
      <c r="B140" s="6">
        <v>12</v>
      </c>
      <c r="C140" s="16">
        <v>0</v>
      </c>
      <c r="D140" s="5">
        <f t="shared" si="29"/>
        <v>12</v>
      </c>
      <c r="E140" s="6">
        <v>17</v>
      </c>
      <c r="F140" s="16">
        <v>6</v>
      </c>
      <c r="G140" s="5">
        <f t="shared" si="30"/>
        <v>23</v>
      </c>
      <c r="H140" s="7">
        <f t="shared" si="31"/>
        <v>35</v>
      </c>
    </row>
    <row r="141" spans="1:8" ht="15" customHeight="1" x14ac:dyDescent="0.25">
      <c r="A141" s="11" t="s">
        <v>131</v>
      </c>
      <c r="B141" s="6">
        <v>3</v>
      </c>
      <c r="C141" s="16">
        <v>0</v>
      </c>
      <c r="D141" s="5">
        <f t="shared" si="29"/>
        <v>3</v>
      </c>
      <c r="E141" s="6">
        <v>15</v>
      </c>
      <c r="F141" s="16">
        <v>1</v>
      </c>
      <c r="G141" s="5">
        <f t="shared" si="30"/>
        <v>16</v>
      </c>
      <c r="H141" s="7">
        <f t="shared" si="31"/>
        <v>19</v>
      </c>
    </row>
    <row r="142" spans="1:8" ht="15" customHeight="1" x14ac:dyDescent="0.25">
      <c r="A142" s="11" t="s">
        <v>132</v>
      </c>
      <c r="B142" s="6">
        <v>3</v>
      </c>
      <c r="C142" s="16">
        <v>0</v>
      </c>
      <c r="D142" s="5">
        <f t="shared" si="29"/>
        <v>3</v>
      </c>
      <c r="E142" s="6">
        <v>23</v>
      </c>
      <c r="F142" s="16">
        <v>0</v>
      </c>
      <c r="G142" s="5">
        <f t="shared" ref="G142:G143" si="32">E142+F142</f>
        <v>23</v>
      </c>
      <c r="H142" s="7">
        <f t="shared" ref="H142:H143" si="33">G142+D142</f>
        <v>26</v>
      </c>
    </row>
    <row r="143" spans="1:8" ht="15" customHeight="1" x14ac:dyDescent="0.25">
      <c r="A143" s="11" t="s">
        <v>196</v>
      </c>
      <c r="B143" s="6">
        <v>3</v>
      </c>
      <c r="C143" s="16">
        <v>0</v>
      </c>
      <c r="D143" s="5">
        <f t="shared" si="29"/>
        <v>3</v>
      </c>
      <c r="E143" s="6">
        <v>1</v>
      </c>
      <c r="F143" s="16">
        <v>0</v>
      </c>
      <c r="G143" s="5">
        <f t="shared" si="32"/>
        <v>1</v>
      </c>
      <c r="H143" s="7">
        <f t="shared" si="33"/>
        <v>4</v>
      </c>
    </row>
    <row r="144" spans="1:8" ht="15" customHeight="1" x14ac:dyDescent="0.25">
      <c r="A144" s="11" t="s">
        <v>197</v>
      </c>
      <c r="B144" s="6">
        <v>0</v>
      </c>
      <c r="C144" s="16">
        <v>0</v>
      </c>
      <c r="D144" s="5">
        <f t="shared" si="29"/>
        <v>0</v>
      </c>
      <c r="E144" s="6">
        <v>1</v>
      </c>
      <c r="F144" s="16">
        <v>0</v>
      </c>
      <c r="G144" s="5">
        <f t="shared" si="30"/>
        <v>1</v>
      </c>
      <c r="H144" s="7">
        <f t="shared" si="31"/>
        <v>1</v>
      </c>
    </row>
    <row r="145" spans="1:8" ht="15" customHeight="1" x14ac:dyDescent="0.25">
      <c r="A145" s="11" t="s">
        <v>216</v>
      </c>
      <c r="B145" s="6">
        <v>1</v>
      </c>
      <c r="C145" s="16">
        <v>0</v>
      </c>
      <c r="D145" s="5">
        <f t="shared" si="29"/>
        <v>1</v>
      </c>
      <c r="E145" s="6">
        <v>0</v>
      </c>
      <c r="F145" s="16">
        <v>0</v>
      </c>
      <c r="G145" s="5">
        <f t="shared" si="30"/>
        <v>0</v>
      </c>
      <c r="H145" s="7">
        <f t="shared" si="31"/>
        <v>1</v>
      </c>
    </row>
    <row r="146" spans="1:8" ht="15" customHeight="1" x14ac:dyDescent="0.25">
      <c r="A146" s="11" t="s">
        <v>134</v>
      </c>
      <c r="B146" s="6">
        <v>0</v>
      </c>
      <c r="C146" s="16">
        <v>0</v>
      </c>
      <c r="D146" s="5">
        <f t="shared" si="29"/>
        <v>0</v>
      </c>
      <c r="E146" s="6">
        <v>1</v>
      </c>
      <c r="F146" s="16">
        <v>0</v>
      </c>
      <c r="G146" s="5">
        <f t="shared" si="30"/>
        <v>1</v>
      </c>
      <c r="H146" s="7">
        <f t="shared" si="31"/>
        <v>1</v>
      </c>
    </row>
    <row r="147" spans="1:8" ht="15" customHeight="1" x14ac:dyDescent="0.25">
      <c r="A147" s="11" t="s">
        <v>135</v>
      </c>
      <c r="B147" s="6">
        <v>0</v>
      </c>
      <c r="C147" s="16">
        <v>0</v>
      </c>
      <c r="D147" s="5">
        <f t="shared" si="29"/>
        <v>0</v>
      </c>
      <c r="E147" s="6">
        <v>37</v>
      </c>
      <c r="F147" s="16">
        <v>0</v>
      </c>
      <c r="G147" s="5">
        <f t="shared" si="30"/>
        <v>37</v>
      </c>
      <c r="H147" s="7">
        <f t="shared" si="31"/>
        <v>37</v>
      </c>
    </row>
    <row r="148" spans="1:8" ht="15" customHeight="1" x14ac:dyDescent="0.25">
      <c r="A148" s="11" t="s">
        <v>200</v>
      </c>
      <c r="B148" s="6">
        <v>1</v>
      </c>
      <c r="C148" s="16">
        <v>0</v>
      </c>
      <c r="D148" s="5">
        <f t="shared" si="29"/>
        <v>1</v>
      </c>
      <c r="E148" s="6">
        <v>0</v>
      </c>
      <c r="F148" s="16">
        <v>0</v>
      </c>
      <c r="G148" s="5">
        <f t="shared" si="30"/>
        <v>0</v>
      </c>
      <c r="H148" s="7">
        <f t="shared" si="31"/>
        <v>1</v>
      </c>
    </row>
    <row r="149" spans="1:8" ht="15" customHeight="1" x14ac:dyDescent="0.25">
      <c r="A149" s="11" t="s">
        <v>201</v>
      </c>
      <c r="B149" s="6">
        <v>1</v>
      </c>
      <c r="C149" s="16">
        <v>0</v>
      </c>
      <c r="D149" s="5">
        <f t="shared" si="29"/>
        <v>1</v>
      </c>
      <c r="E149" s="6">
        <v>1</v>
      </c>
      <c r="F149" s="16">
        <v>0</v>
      </c>
      <c r="G149" s="5">
        <f t="shared" si="30"/>
        <v>1</v>
      </c>
      <c r="H149" s="7">
        <f t="shared" si="31"/>
        <v>2</v>
      </c>
    </row>
    <row r="150" spans="1:8" ht="15" customHeight="1" x14ac:dyDescent="0.25">
      <c r="A150" s="11" t="s">
        <v>136</v>
      </c>
      <c r="B150" s="6">
        <v>3</v>
      </c>
      <c r="C150" s="16">
        <v>0</v>
      </c>
      <c r="D150" s="5">
        <f t="shared" si="29"/>
        <v>3</v>
      </c>
      <c r="E150" s="6">
        <v>3</v>
      </c>
      <c r="F150" s="16">
        <v>0</v>
      </c>
      <c r="G150" s="5">
        <f t="shared" si="30"/>
        <v>3</v>
      </c>
      <c r="H150" s="7">
        <f t="shared" si="31"/>
        <v>6</v>
      </c>
    </row>
    <row r="151" spans="1:8" ht="15" customHeight="1" x14ac:dyDescent="0.25">
      <c r="A151" s="11" t="s">
        <v>221</v>
      </c>
      <c r="B151" s="6">
        <v>0</v>
      </c>
      <c r="C151" s="16">
        <v>0</v>
      </c>
      <c r="D151" s="5">
        <f t="shared" si="29"/>
        <v>0</v>
      </c>
      <c r="E151" s="6">
        <v>2</v>
      </c>
      <c r="F151" s="16">
        <v>0</v>
      </c>
      <c r="G151" s="5">
        <f t="shared" si="30"/>
        <v>2</v>
      </c>
      <c r="H151" s="7">
        <f t="shared" si="31"/>
        <v>2</v>
      </c>
    </row>
    <row r="152" spans="1:8" ht="15" customHeight="1" thickBot="1" x14ac:dyDescent="0.3">
      <c r="A152" s="11" t="s">
        <v>203</v>
      </c>
      <c r="B152" s="6">
        <v>0</v>
      </c>
      <c r="C152" s="16">
        <v>0</v>
      </c>
      <c r="D152" s="5">
        <f t="shared" si="29"/>
        <v>0</v>
      </c>
      <c r="E152" s="6">
        <v>3</v>
      </c>
      <c r="F152" s="16">
        <v>0</v>
      </c>
      <c r="G152" s="5">
        <f t="shared" si="30"/>
        <v>3</v>
      </c>
      <c r="H152" s="7">
        <f t="shared" si="31"/>
        <v>3</v>
      </c>
    </row>
    <row r="153" spans="1:8" ht="15" customHeight="1" thickTop="1" thickBot="1" x14ac:dyDescent="0.3">
      <c r="A153" s="12" t="s">
        <v>6</v>
      </c>
      <c r="B153" s="14">
        <f>SUM(B138:B152)</f>
        <v>30</v>
      </c>
      <c r="C153" s="14">
        <f t="shared" ref="C153:G153" si="34">SUM(C138:C152)</f>
        <v>0</v>
      </c>
      <c r="D153" s="14">
        <f t="shared" si="34"/>
        <v>30</v>
      </c>
      <c r="E153" s="14">
        <f t="shared" si="34"/>
        <v>108</v>
      </c>
      <c r="F153" s="14">
        <f t="shared" si="34"/>
        <v>7</v>
      </c>
      <c r="G153" s="14">
        <f t="shared" si="34"/>
        <v>115</v>
      </c>
      <c r="H153" s="15">
        <f>G153+D153</f>
        <v>145</v>
      </c>
    </row>
    <row r="154" spans="1:8" ht="15" customHeight="1" thickTop="1" thickBot="1" x14ac:dyDescent="0.3">
      <c r="A154" s="23" t="s">
        <v>138</v>
      </c>
      <c r="B154" s="24"/>
      <c r="C154" s="24"/>
      <c r="D154" s="24"/>
      <c r="E154" s="24"/>
      <c r="F154" s="24"/>
      <c r="G154" s="24"/>
      <c r="H154" s="25"/>
    </row>
    <row r="155" spans="1:8" ht="15" customHeight="1" thickTop="1" x14ac:dyDescent="0.25">
      <c r="A155" s="11" t="s">
        <v>139</v>
      </c>
      <c r="B155" s="6">
        <v>24</v>
      </c>
      <c r="C155" s="16">
        <v>0</v>
      </c>
      <c r="D155" s="5">
        <f t="shared" ref="D155:D157" si="35">B155+C155</f>
        <v>24</v>
      </c>
      <c r="E155" s="6">
        <v>14</v>
      </c>
      <c r="F155" s="16">
        <v>3</v>
      </c>
      <c r="G155" s="5">
        <f t="shared" ref="G155:G157" si="36">E155+F155</f>
        <v>17</v>
      </c>
      <c r="H155" s="7">
        <f t="shared" ref="H155:H157" si="37">G155+D155</f>
        <v>41</v>
      </c>
    </row>
    <row r="156" spans="1:8" ht="15" customHeight="1" x14ac:dyDescent="0.25">
      <c r="A156" s="11" t="s">
        <v>141</v>
      </c>
      <c r="B156" s="6">
        <v>4</v>
      </c>
      <c r="C156" s="16">
        <v>0</v>
      </c>
      <c r="D156" s="5">
        <f t="shared" si="35"/>
        <v>4</v>
      </c>
      <c r="E156" s="6">
        <v>8</v>
      </c>
      <c r="F156" s="16">
        <v>0</v>
      </c>
      <c r="G156" s="5">
        <f t="shared" si="36"/>
        <v>8</v>
      </c>
      <c r="H156" s="7">
        <f t="shared" si="37"/>
        <v>12</v>
      </c>
    </row>
    <row r="157" spans="1:8" ht="15" customHeight="1" thickBot="1" x14ac:dyDescent="0.3">
      <c r="A157" s="11" t="s">
        <v>78</v>
      </c>
      <c r="B157" s="6">
        <v>0</v>
      </c>
      <c r="C157" s="16">
        <v>0</v>
      </c>
      <c r="D157" s="5">
        <f t="shared" si="35"/>
        <v>0</v>
      </c>
      <c r="E157" s="6">
        <v>0</v>
      </c>
      <c r="F157" s="16">
        <v>1</v>
      </c>
      <c r="G157" s="5">
        <f t="shared" si="36"/>
        <v>1</v>
      </c>
      <c r="H157" s="7">
        <f t="shared" si="37"/>
        <v>1</v>
      </c>
    </row>
    <row r="158" spans="1:8" ht="15" customHeight="1" thickTop="1" thickBot="1" x14ac:dyDescent="0.3">
      <c r="A158" s="12" t="s">
        <v>6</v>
      </c>
      <c r="B158" s="13">
        <f t="shared" ref="B158:H158" si="38">SUM(B155:B157)</f>
        <v>28</v>
      </c>
      <c r="C158" s="13">
        <f t="shared" si="38"/>
        <v>0</v>
      </c>
      <c r="D158" s="13">
        <f t="shared" si="38"/>
        <v>28</v>
      </c>
      <c r="E158" s="13">
        <f t="shared" si="38"/>
        <v>22</v>
      </c>
      <c r="F158" s="13">
        <f t="shared" si="38"/>
        <v>4</v>
      </c>
      <c r="G158" s="13">
        <f t="shared" si="38"/>
        <v>26</v>
      </c>
      <c r="H158" s="15">
        <f t="shared" si="38"/>
        <v>54</v>
      </c>
    </row>
    <row r="159" spans="1:8" ht="15" customHeight="1" thickTop="1" thickBot="1" x14ac:dyDescent="0.3">
      <c r="A159" s="23" t="s">
        <v>146</v>
      </c>
      <c r="B159" s="24"/>
      <c r="C159" s="24"/>
      <c r="D159" s="24"/>
      <c r="E159" s="24"/>
      <c r="F159" s="24"/>
      <c r="G159" s="24"/>
      <c r="H159" s="25"/>
    </row>
    <row r="160" spans="1:8" ht="15" customHeight="1" thickTop="1" x14ac:dyDescent="0.25">
      <c r="A160" s="11" t="s">
        <v>206</v>
      </c>
      <c r="B160" s="6">
        <v>6</v>
      </c>
      <c r="C160" s="16">
        <v>0</v>
      </c>
      <c r="D160" s="5">
        <f t="shared" ref="D160" si="39">B160+C160</f>
        <v>6</v>
      </c>
      <c r="E160" s="6">
        <v>0</v>
      </c>
      <c r="F160" s="16">
        <v>0</v>
      </c>
      <c r="G160" s="5">
        <v>0</v>
      </c>
      <c r="H160" s="7">
        <f t="shared" ref="H160" si="40">G160+D160</f>
        <v>6</v>
      </c>
    </row>
    <row r="161" spans="1:8" ht="15" customHeight="1" thickBot="1" x14ac:dyDescent="0.3">
      <c r="A161" s="11" t="s">
        <v>205</v>
      </c>
      <c r="B161" s="6">
        <v>0</v>
      </c>
      <c r="C161" s="16">
        <v>0</v>
      </c>
      <c r="D161" s="5">
        <f t="shared" ref="D161" si="41">B161+C161</f>
        <v>0</v>
      </c>
      <c r="E161" s="6">
        <v>0</v>
      </c>
      <c r="F161" s="16">
        <v>0</v>
      </c>
      <c r="G161" s="5">
        <f t="shared" ref="G161" si="42">E161+F161</f>
        <v>0</v>
      </c>
      <c r="H161" s="7">
        <f t="shared" ref="H161" si="43">G161+D161</f>
        <v>0</v>
      </c>
    </row>
    <row r="162" spans="1:8" ht="15" customHeight="1" thickTop="1" thickBot="1" x14ac:dyDescent="0.3">
      <c r="A162" s="12" t="s">
        <v>6</v>
      </c>
      <c r="B162" s="13">
        <f>SUM(B160:B161)</f>
        <v>6</v>
      </c>
      <c r="C162" s="13">
        <f t="shared" ref="C162:H162" si="44">SUM(C160:C161)</f>
        <v>0</v>
      </c>
      <c r="D162" s="13">
        <f t="shared" si="44"/>
        <v>6</v>
      </c>
      <c r="E162" s="13">
        <f t="shared" si="44"/>
        <v>0</v>
      </c>
      <c r="F162" s="13">
        <f t="shared" si="44"/>
        <v>0</v>
      </c>
      <c r="G162" s="13">
        <f t="shared" si="44"/>
        <v>0</v>
      </c>
      <c r="H162" s="15">
        <f t="shared" si="44"/>
        <v>6</v>
      </c>
    </row>
    <row r="163" spans="1:8" ht="15" customHeight="1" thickTop="1" thickBot="1" x14ac:dyDescent="0.3">
      <c r="A163" s="23"/>
      <c r="B163" s="24"/>
      <c r="C163" s="24"/>
      <c r="D163" s="24"/>
      <c r="E163" s="24"/>
      <c r="F163" s="24"/>
      <c r="G163" s="24"/>
      <c r="H163" s="25"/>
    </row>
    <row r="164" spans="1:8" ht="15" customHeight="1" thickTop="1" thickBot="1" x14ac:dyDescent="0.3">
      <c r="A164" s="43" t="s">
        <v>0</v>
      </c>
      <c r="B164" s="44">
        <f>B35+B54+B69+B96+B123+B127+B136+B153+B158+B162</f>
        <v>3891</v>
      </c>
      <c r="C164" s="44">
        <f t="shared" ref="C164:H164" si="45">C35+C54+C69+C96+C123+C127+C136+C153+C158+C162</f>
        <v>67</v>
      </c>
      <c r="D164" s="44">
        <f t="shared" si="45"/>
        <v>3958</v>
      </c>
      <c r="E164" s="44">
        <f t="shared" si="45"/>
        <v>2805</v>
      </c>
      <c r="F164" s="44">
        <f t="shared" si="45"/>
        <v>381</v>
      </c>
      <c r="G164" s="44">
        <f t="shared" si="45"/>
        <v>3186</v>
      </c>
      <c r="H164" s="45">
        <f t="shared" si="45"/>
        <v>7144</v>
      </c>
    </row>
    <row r="167" spans="1:8" ht="28.5" customHeight="1" x14ac:dyDescent="0.25">
      <c r="A167" s="48" t="s">
        <v>217</v>
      </c>
      <c r="B167" s="48"/>
      <c r="C167" s="48"/>
      <c r="D167" s="48"/>
      <c r="E167" s="48"/>
      <c r="F167" s="48"/>
      <c r="G167" s="48"/>
      <c r="H167" s="48"/>
    </row>
    <row r="168" spans="1:8" ht="32.25" customHeight="1" x14ac:dyDescent="0.25">
      <c r="A168" s="48" t="s">
        <v>218</v>
      </c>
      <c r="B168" s="48"/>
      <c r="C168" s="48"/>
      <c r="D168" s="48"/>
      <c r="E168" s="48"/>
      <c r="F168" s="48"/>
      <c r="G168" s="48"/>
      <c r="H168" s="48"/>
    </row>
    <row r="175" spans="1:8" ht="25.5" customHeight="1" x14ac:dyDescent="0.25"/>
    <row r="176" spans="1:8" ht="25.5" customHeight="1" x14ac:dyDescent="0.25"/>
  </sheetData>
  <mergeCells count="18">
    <mergeCell ref="A70:H70"/>
    <mergeCell ref="A5:A6"/>
    <mergeCell ref="A55:H55"/>
    <mergeCell ref="A167:H167"/>
    <mergeCell ref="A168:H168"/>
    <mergeCell ref="H5:H6"/>
    <mergeCell ref="A2:H2"/>
    <mergeCell ref="B5:D5"/>
    <mergeCell ref="E5:G5"/>
    <mergeCell ref="A7:H7"/>
    <mergeCell ref="A36:H36"/>
    <mergeCell ref="A163:H163"/>
    <mergeCell ref="A97:H97"/>
    <mergeCell ref="A124:H124"/>
    <mergeCell ref="A128:H128"/>
    <mergeCell ref="A137:H137"/>
    <mergeCell ref="A154:H154"/>
    <mergeCell ref="A159:H159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&amp;A&amp;RPage &amp;P of &amp;N</oddFooter>
  </headerFooter>
  <rowBreaks count="1" manualBreakCount="1">
    <brk id="96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6"/>
  <sheetViews>
    <sheetView view="pageLayout" topLeftCell="A139" zoomScaleNormal="85" workbookViewId="0">
      <selection activeCell="A178" sqref="A178"/>
    </sheetView>
  </sheetViews>
  <sheetFormatPr defaultRowHeight="15" customHeight="1" x14ac:dyDescent="0.25"/>
  <cols>
    <col min="1" max="1" width="18.85546875" bestFit="1" customWidth="1"/>
    <col min="2" max="8" width="6" customWidth="1"/>
    <col min="9" max="11" width="5.5703125" customWidth="1"/>
  </cols>
  <sheetData>
    <row r="1" spans="1:9" ht="15" customHeight="1" x14ac:dyDescent="0.25">
      <c r="A1" s="57" t="s">
        <v>7</v>
      </c>
      <c r="B1" s="50"/>
      <c r="C1" s="51"/>
      <c r="D1" s="51"/>
      <c r="E1" s="51"/>
      <c r="F1" s="51"/>
      <c r="G1" s="51"/>
      <c r="H1" s="51"/>
    </row>
    <row r="2" spans="1:9" ht="15" customHeight="1" x14ac:dyDescent="0.25">
      <c r="A2" s="49" t="s">
        <v>8</v>
      </c>
      <c r="B2" s="49"/>
      <c r="C2" s="49"/>
      <c r="D2" s="49"/>
      <c r="E2" s="49"/>
      <c r="F2" s="49"/>
      <c r="G2" s="49"/>
      <c r="H2" s="49"/>
    </row>
    <row r="3" spans="1:9" ht="15" customHeight="1" x14ac:dyDescent="0.25">
      <c r="A3" s="58" t="str">
        <f ca="1">RIGHT(CELL("filename",A1),LEN(CELL("filename",A1))-FIND("]",CELL("filename",A1)))</f>
        <v>2007-08</v>
      </c>
      <c r="B3" s="50"/>
      <c r="C3" s="51"/>
      <c r="D3" s="51"/>
      <c r="E3" s="51"/>
      <c r="F3" s="51"/>
      <c r="G3" s="51"/>
      <c r="H3" s="51"/>
    </row>
    <row r="4" spans="1:9" ht="15" customHeight="1" thickBot="1" x14ac:dyDescent="0.3">
      <c r="A4" s="50"/>
      <c r="B4" s="50"/>
      <c r="C4" s="51"/>
      <c r="D4" s="51"/>
      <c r="E4" s="51"/>
      <c r="F4" s="51"/>
      <c r="G4" s="51"/>
      <c r="H4" s="51"/>
    </row>
    <row r="5" spans="1:9" ht="15" customHeight="1" x14ac:dyDescent="0.25">
      <c r="A5" s="29" t="s">
        <v>3</v>
      </c>
      <c r="B5" s="26" t="s">
        <v>1</v>
      </c>
      <c r="C5" s="27"/>
      <c r="D5" s="27"/>
      <c r="E5" s="26" t="s">
        <v>2</v>
      </c>
      <c r="F5" s="27"/>
      <c r="G5" s="27"/>
      <c r="H5" s="62" t="s">
        <v>0</v>
      </c>
    </row>
    <row r="6" spans="1:9" ht="15" customHeight="1" x14ac:dyDescent="0.25">
      <c r="A6" s="30"/>
      <c r="B6" s="59" t="s">
        <v>4</v>
      </c>
      <c r="C6" s="60" t="s">
        <v>5</v>
      </c>
      <c r="D6" s="61" t="s">
        <v>0</v>
      </c>
      <c r="E6" s="59" t="s">
        <v>4</v>
      </c>
      <c r="F6" s="60" t="s">
        <v>5</v>
      </c>
      <c r="G6" s="61" t="s">
        <v>0</v>
      </c>
      <c r="H6" s="63"/>
      <c r="I6" s="22"/>
    </row>
    <row r="7" spans="1:9" ht="15" customHeight="1" thickBot="1" x14ac:dyDescent="0.3">
      <c r="A7" s="32" t="s">
        <v>9</v>
      </c>
      <c r="B7" s="33"/>
      <c r="C7" s="33"/>
      <c r="D7" s="33"/>
      <c r="E7" s="33"/>
      <c r="F7" s="33"/>
      <c r="G7" s="33"/>
      <c r="H7" s="34"/>
    </row>
    <row r="8" spans="1:9" ht="15" customHeight="1" thickTop="1" x14ac:dyDescent="0.25">
      <c r="A8" s="11" t="s">
        <v>10</v>
      </c>
      <c r="B8" s="6">
        <v>25</v>
      </c>
      <c r="C8" s="4">
        <v>0</v>
      </c>
      <c r="D8" s="5">
        <f t="shared" ref="D8:D34" si="0">B8+C8</f>
        <v>25</v>
      </c>
      <c r="E8" s="6">
        <v>21</v>
      </c>
      <c r="F8" s="4">
        <v>2</v>
      </c>
      <c r="G8" s="5">
        <f t="shared" ref="G8:G34" si="1">E8+F8</f>
        <v>23</v>
      </c>
      <c r="H8" s="7">
        <f t="shared" ref="H8:H34" si="2">G8+D8</f>
        <v>48</v>
      </c>
    </row>
    <row r="9" spans="1:9" ht="15" customHeight="1" x14ac:dyDescent="0.25">
      <c r="A9" s="11" t="s">
        <v>11</v>
      </c>
      <c r="B9" s="6">
        <v>62</v>
      </c>
      <c r="C9" s="4">
        <v>0</v>
      </c>
      <c r="D9" s="5">
        <f t="shared" si="0"/>
        <v>62</v>
      </c>
      <c r="E9" s="6">
        <v>20</v>
      </c>
      <c r="F9" s="4">
        <v>7</v>
      </c>
      <c r="G9" s="5">
        <f t="shared" si="1"/>
        <v>27</v>
      </c>
      <c r="H9" s="7">
        <f t="shared" si="2"/>
        <v>89</v>
      </c>
    </row>
    <row r="10" spans="1:9" ht="15" customHeight="1" x14ac:dyDescent="0.25">
      <c r="A10" s="11" t="s">
        <v>28</v>
      </c>
      <c r="B10" s="6">
        <v>16</v>
      </c>
      <c r="C10" s="4">
        <v>0</v>
      </c>
      <c r="D10" s="5">
        <f t="shared" ref="D10:D11" si="3">B10+C10</f>
        <v>16</v>
      </c>
      <c r="E10" s="6">
        <v>13</v>
      </c>
      <c r="F10" s="4">
        <v>3</v>
      </c>
      <c r="G10" s="5">
        <f t="shared" ref="G10:G11" si="4">E10+F10</f>
        <v>16</v>
      </c>
      <c r="H10" s="7">
        <f t="shared" ref="H10:H11" si="5">G10+D10</f>
        <v>32</v>
      </c>
    </row>
    <row r="11" spans="1:9" ht="15" customHeight="1" x14ac:dyDescent="0.25">
      <c r="A11" s="11" t="s">
        <v>30</v>
      </c>
      <c r="B11" s="6">
        <v>111</v>
      </c>
      <c r="C11" s="4">
        <v>2</v>
      </c>
      <c r="D11" s="5">
        <f t="shared" si="3"/>
        <v>113</v>
      </c>
      <c r="E11" s="6">
        <v>78</v>
      </c>
      <c r="F11" s="4">
        <v>11</v>
      </c>
      <c r="G11" s="5">
        <f t="shared" si="4"/>
        <v>89</v>
      </c>
      <c r="H11" s="7">
        <f t="shared" si="5"/>
        <v>202</v>
      </c>
    </row>
    <row r="12" spans="1:9" ht="15" customHeight="1" x14ac:dyDescent="0.25">
      <c r="A12" s="11" t="s">
        <v>31</v>
      </c>
      <c r="B12" s="6">
        <v>23</v>
      </c>
      <c r="C12" s="4">
        <v>0</v>
      </c>
      <c r="D12" s="5">
        <f t="shared" si="0"/>
        <v>23</v>
      </c>
      <c r="E12" s="6">
        <v>9</v>
      </c>
      <c r="F12" s="4">
        <v>2</v>
      </c>
      <c r="G12" s="5">
        <f t="shared" si="1"/>
        <v>11</v>
      </c>
      <c r="H12" s="7">
        <f t="shared" si="2"/>
        <v>34</v>
      </c>
    </row>
    <row r="13" spans="1:9" ht="15" customHeight="1" x14ac:dyDescent="0.25">
      <c r="A13" s="11" t="s">
        <v>12</v>
      </c>
      <c r="B13" s="6">
        <v>15</v>
      </c>
      <c r="C13" s="4">
        <v>0</v>
      </c>
      <c r="D13" s="5">
        <f t="shared" si="0"/>
        <v>15</v>
      </c>
      <c r="E13" s="6">
        <v>15</v>
      </c>
      <c r="F13" s="4">
        <v>3</v>
      </c>
      <c r="G13" s="5">
        <f t="shared" si="1"/>
        <v>18</v>
      </c>
      <c r="H13" s="7">
        <f t="shared" si="2"/>
        <v>33</v>
      </c>
    </row>
    <row r="14" spans="1:9" ht="15" customHeight="1" x14ac:dyDescent="0.25">
      <c r="A14" s="11" t="s">
        <v>13</v>
      </c>
      <c r="B14" s="6">
        <v>16</v>
      </c>
      <c r="C14" s="4">
        <v>0</v>
      </c>
      <c r="D14" s="5">
        <f t="shared" si="0"/>
        <v>16</v>
      </c>
      <c r="E14" s="6">
        <v>52</v>
      </c>
      <c r="F14" s="4">
        <v>34</v>
      </c>
      <c r="G14" s="5">
        <f t="shared" si="1"/>
        <v>86</v>
      </c>
      <c r="H14" s="7">
        <f t="shared" si="2"/>
        <v>102</v>
      </c>
    </row>
    <row r="15" spans="1:9" ht="15" customHeight="1" x14ac:dyDescent="0.25">
      <c r="A15" s="11" t="s">
        <v>33</v>
      </c>
      <c r="B15" s="6">
        <v>5</v>
      </c>
      <c r="C15" s="4">
        <v>0</v>
      </c>
      <c r="D15" s="5">
        <f t="shared" si="0"/>
        <v>5</v>
      </c>
      <c r="E15" s="6">
        <v>4</v>
      </c>
      <c r="F15" s="4">
        <v>1</v>
      </c>
      <c r="G15" s="5">
        <f t="shared" si="1"/>
        <v>5</v>
      </c>
      <c r="H15" s="7">
        <f t="shared" si="2"/>
        <v>10</v>
      </c>
    </row>
    <row r="16" spans="1:9" ht="15" customHeight="1" x14ac:dyDescent="0.25">
      <c r="A16" s="11" t="s">
        <v>14</v>
      </c>
      <c r="B16" s="6">
        <v>15</v>
      </c>
      <c r="C16" s="4">
        <v>0</v>
      </c>
      <c r="D16" s="5">
        <f t="shared" si="0"/>
        <v>15</v>
      </c>
      <c r="E16" s="6">
        <v>10</v>
      </c>
      <c r="F16" s="4">
        <v>0</v>
      </c>
      <c r="G16" s="5">
        <f t="shared" si="1"/>
        <v>10</v>
      </c>
      <c r="H16" s="7">
        <f t="shared" si="2"/>
        <v>25</v>
      </c>
    </row>
    <row r="17" spans="1:8" ht="15" customHeight="1" x14ac:dyDescent="0.25">
      <c r="A17" s="11" t="s">
        <v>15</v>
      </c>
      <c r="B17" s="6">
        <v>177</v>
      </c>
      <c r="C17" s="4">
        <v>2</v>
      </c>
      <c r="D17" s="5">
        <f t="shared" si="0"/>
        <v>179</v>
      </c>
      <c r="E17" s="6">
        <v>84</v>
      </c>
      <c r="F17" s="4">
        <v>4</v>
      </c>
      <c r="G17" s="5">
        <f t="shared" si="1"/>
        <v>88</v>
      </c>
      <c r="H17" s="7">
        <f t="shared" si="2"/>
        <v>267</v>
      </c>
    </row>
    <row r="18" spans="1:8" ht="15" customHeight="1" x14ac:dyDescent="0.25">
      <c r="A18" s="11" t="s">
        <v>16</v>
      </c>
      <c r="B18" s="6">
        <v>145</v>
      </c>
      <c r="C18" s="4">
        <v>2</v>
      </c>
      <c r="D18" s="5">
        <f t="shared" si="0"/>
        <v>147</v>
      </c>
      <c r="E18" s="6">
        <v>119</v>
      </c>
      <c r="F18" s="4">
        <v>24</v>
      </c>
      <c r="G18" s="5">
        <f t="shared" si="1"/>
        <v>143</v>
      </c>
      <c r="H18" s="7">
        <f t="shared" si="2"/>
        <v>290</v>
      </c>
    </row>
    <row r="19" spans="1:8" ht="15" customHeight="1" x14ac:dyDescent="0.25">
      <c r="A19" s="11" t="s">
        <v>160</v>
      </c>
      <c r="B19" s="6">
        <v>3</v>
      </c>
      <c r="C19" s="4">
        <v>0</v>
      </c>
      <c r="D19" s="5">
        <f t="shared" si="0"/>
        <v>3</v>
      </c>
      <c r="E19" s="6">
        <v>0</v>
      </c>
      <c r="F19" s="4">
        <v>0</v>
      </c>
      <c r="G19" s="5">
        <f t="shared" si="1"/>
        <v>0</v>
      </c>
      <c r="H19" s="7">
        <f t="shared" si="2"/>
        <v>3</v>
      </c>
    </row>
    <row r="20" spans="1:8" ht="15" customHeight="1" x14ac:dyDescent="0.25">
      <c r="A20" s="11" t="s">
        <v>17</v>
      </c>
      <c r="B20" s="6">
        <v>77</v>
      </c>
      <c r="C20" s="4">
        <v>3</v>
      </c>
      <c r="D20" s="5">
        <f t="shared" si="0"/>
        <v>80</v>
      </c>
      <c r="E20" s="6">
        <v>227</v>
      </c>
      <c r="F20" s="4">
        <v>34</v>
      </c>
      <c r="G20" s="5">
        <f t="shared" si="1"/>
        <v>261</v>
      </c>
      <c r="H20" s="7">
        <f t="shared" si="2"/>
        <v>341</v>
      </c>
    </row>
    <row r="21" spans="1:8" ht="15" customHeight="1" x14ac:dyDescent="0.25">
      <c r="A21" s="11" t="s">
        <v>34</v>
      </c>
      <c r="B21" s="6">
        <v>10</v>
      </c>
      <c r="C21" s="4">
        <v>0</v>
      </c>
      <c r="D21" s="5">
        <f t="shared" si="0"/>
        <v>10</v>
      </c>
      <c r="E21" s="6">
        <v>7</v>
      </c>
      <c r="F21" s="4">
        <v>0</v>
      </c>
      <c r="G21" s="5">
        <f t="shared" si="1"/>
        <v>7</v>
      </c>
      <c r="H21" s="7">
        <f t="shared" si="2"/>
        <v>17</v>
      </c>
    </row>
    <row r="22" spans="1:8" ht="15" customHeight="1" x14ac:dyDescent="0.25">
      <c r="A22" s="11" t="s">
        <v>18</v>
      </c>
      <c r="B22" s="6">
        <v>119</v>
      </c>
      <c r="C22" s="4">
        <v>0</v>
      </c>
      <c r="D22" s="5">
        <f t="shared" si="0"/>
        <v>119</v>
      </c>
      <c r="E22" s="6">
        <v>134</v>
      </c>
      <c r="F22" s="4">
        <v>21</v>
      </c>
      <c r="G22" s="5">
        <f t="shared" si="1"/>
        <v>155</v>
      </c>
      <c r="H22" s="7">
        <f t="shared" si="2"/>
        <v>274</v>
      </c>
    </row>
    <row r="23" spans="1:8" ht="15" customHeight="1" x14ac:dyDescent="0.25">
      <c r="A23" s="11" t="s">
        <v>36</v>
      </c>
      <c r="B23" s="6">
        <v>5</v>
      </c>
      <c r="C23" s="4">
        <v>1</v>
      </c>
      <c r="D23" s="5">
        <f t="shared" si="0"/>
        <v>6</v>
      </c>
      <c r="E23" s="6">
        <v>2</v>
      </c>
      <c r="F23" s="4">
        <v>0</v>
      </c>
      <c r="G23" s="5">
        <f t="shared" si="1"/>
        <v>2</v>
      </c>
      <c r="H23" s="7">
        <f t="shared" si="2"/>
        <v>8</v>
      </c>
    </row>
    <row r="24" spans="1:8" ht="15" customHeight="1" x14ac:dyDescent="0.25">
      <c r="A24" s="11" t="s">
        <v>149</v>
      </c>
      <c r="B24" s="6">
        <v>10</v>
      </c>
      <c r="C24" s="4">
        <v>0</v>
      </c>
      <c r="D24" s="5">
        <f t="shared" si="0"/>
        <v>10</v>
      </c>
      <c r="E24" s="6">
        <v>11</v>
      </c>
      <c r="F24" s="4">
        <v>0</v>
      </c>
      <c r="G24" s="5">
        <f t="shared" si="1"/>
        <v>11</v>
      </c>
      <c r="H24" s="7">
        <f t="shared" si="2"/>
        <v>21</v>
      </c>
    </row>
    <row r="25" spans="1:8" ht="15" customHeight="1" x14ac:dyDescent="0.25">
      <c r="A25" s="11" t="s">
        <v>19</v>
      </c>
      <c r="B25" s="6">
        <v>9</v>
      </c>
      <c r="C25" s="4">
        <v>0</v>
      </c>
      <c r="D25" s="5">
        <f t="shared" si="0"/>
        <v>9</v>
      </c>
      <c r="E25" s="6">
        <v>5</v>
      </c>
      <c r="F25" s="4">
        <v>0</v>
      </c>
      <c r="G25" s="5">
        <f t="shared" si="1"/>
        <v>5</v>
      </c>
      <c r="H25" s="7">
        <f t="shared" si="2"/>
        <v>14</v>
      </c>
    </row>
    <row r="26" spans="1:8" ht="15" customHeight="1" x14ac:dyDescent="0.25">
      <c r="A26" s="11" t="s">
        <v>38</v>
      </c>
      <c r="B26" s="6">
        <v>3</v>
      </c>
      <c r="C26" s="4">
        <v>0</v>
      </c>
      <c r="D26" s="5">
        <f t="shared" si="0"/>
        <v>3</v>
      </c>
      <c r="E26" s="6">
        <v>6</v>
      </c>
      <c r="F26" s="4">
        <v>7</v>
      </c>
      <c r="G26" s="5">
        <f t="shared" si="1"/>
        <v>13</v>
      </c>
      <c r="H26" s="7">
        <f t="shared" si="2"/>
        <v>16</v>
      </c>
    </row>
    <row r="27" spans="1:8" ht="15" customHeight="1" x14ac:dyDescent="0.25">
      <c r="A27" s="11" t="s">
        <v>20</v>
      </c>
      <c r="B27" s="6">
        <v>26</v>
      </c>
      <c r="C27" s="4">
        <v>0</v>
      </c>
      <c r="D27" s="5">
        <f t="shared" si="0"/>
        <v>26</v>
      </c>
      <c r="E27" s="6">
        <v>32</v>
      </c>
      <c r="F27" s="4">
        <v>6</v>
      </c>
      <c r="G27" s="5">
        <f t="shared" si="1"/>
        <v>38</v>
      </c>
      <c r="H27" s="7">
        <f t="shared" si="2"/>
        <v>64</v>
      </c>
    </row>
    <row r="28" spans="1:8" ht="15" customHeight="1" x14ac:dyDescent="0.25">
      <c r="A28" s="11" t="s">
        <v>40</v>
      </c>
      <c r="B28" s="6">
        <v>97</v>
      </c>
      <c r="C28" s="4">
        <v>0</v>
      </c>
      <c r="D28" s="5">
        <f t="shared" si="0"/>
        <v>97</v>
      </c>
      <c r="E28" s="6">
        <v>39</v>
      </c>
      <c r="F28" s="4">
        <v>7</v>
      </c>
      <c r="G28" s="5">
        <f>E28+F28</f>
        <v>46</v>
      </c>
      <c r="H28" s="7">
        <f>G28+D28</f>
        <v>143</v>
      </c>
    </row>
    <row r="29" spans="1:8" ht="15" customHeight="1" x14ac:dyDescent="0.25">
      <c r="A29" s="11" t="s">
        <v>21</v>
      </c>
      <c r="B29" s="6">
        <v>22</v>
      </c>
      <c r="C29" s="4">
        <v>1</v>
      </c>
      <c r="D29" s="5">
        <f t="shared" si="0"/>
        <v>23</v>
      </c>
      <c r="E29" s="6">
        <v>50</v>
      </c>
      <c r="F29" s="4">
        <v>5</v>
      </c>
      <c r="G29" s="5">
        <f t="shared" ref="G29:G31" si="6">E29+F29</f>
        <v>55</v>
      </c>
      <c r="H29" s="7">
        <f t="shared" ref="H29:H31" si="7">G29+D29</f>
        <v>78</v>
      </c>
    </row>
    <row r="30" spans="1:8" ht="15" customHeight="1" x14ac:dyDescent="0.25">
      <c r="A30" s="11" t="s">
        <v>41</v>
      </c>
      <c r="B30" s="6">
        <v>25</v>
      </c>
      <c r="C30" s="4">
        <v>0</v>
      </c>
      <c r="D30" s="5">
        <f t="shared" si="0"/>
        <v>25</v>
      </c>
      <c r="E30" s="6">
        <v>25</v>
      </c>
      <c r="F30" s="4">
        <v>0</v>
      </c>
      <c r="G30" s="5">
        <f t="shared" si="6"/>
        <v>25</v>
      </c>
      <c r="H30" s="7">
        <f t="shared" si="7"/>
        <v>50</v>
      </c>
    </row>
    <row r="31" spans="1:8" ht="15" customHeight="1" x14ac:dyDescent="0.25">
      <c r="A31" s="11" t="s">
        <v>43</v>
      </c>
      <c r="B31" s="6">
        <v>6</v>
      </c>
      <c r="C31" s="4">
        <v>0</v>
      </c>
      <c r="D31" s="5">
        <f t="shared" si="0"/>
        <v>6</v>
      </c>
      <c r="E31" s="6">
        <v>4</v>
      </c>
      <c r="F31" s="4">
        <v>1</v>
      </c>
      <c r="G31" s="5">
        <f t="shared" si="6"/>
        <v>5</v>
      </c>
      <c r="H31" s="7">
        <f t="shared" si="7"/>
        <v>11</v>
      </c>
    </row>
    <row r="32" spans="1:8" ht="15" customHeight="1" x14ac:dyDescent="0.25">
      <c r="A32" s="11" t="s">
        <v>44</v>
      </c>
      <c r="B32" s="6">
        <v>2</v>
      </c>
      <c r="C32" s="4">
        <v>0</v>
      </c>
      <c r="D32" s="5">
        <f t="shared" si="0"/>
        <v>2</v>
      </c>
      <c r="E32" s="6">
        <v>6</v>
      </c>
      <c r="F32" s="4">
        <v>1</v>
      </c>
      <c r="G32" s="5">
        <f t="shared" si="1"/>
        <v>7</v>
      </c>
      <c r="H32" s="7">
        <f t="shared" si="2"/>
        <v>9</v>
      </c>
    </row>
    <row r="33" spans="1:8" ht="15" customHeight="1" x14ac:dyDescent="0.25">
      <c r="A33" s="11" t="s">
        <v>22</v>
      </c>
      <c r="B33" s="6">
        <v>80</v>
      </c>
      <c r="C33" s="4">
        <v>0</v>
      </c>
      <c r="D33" s="5">
        <f t="shared" si="0"/>
        <v>80</v>
      </c>
      <c r="E33" s="6">
        <v>40</v>
      </c>
      <c r="F33" s="4">
        <v>4</v>
      </c>
      <c r="G33" s="5">
        <f t="shared" si="1"/>
        <v>44</v>
      </c>
      <c r="H33" s="7">
        <f t="shared" si="2"/>
        <v>124</v>
      </c>
    </row>
    <row r="34" spans="1:8" ht="15" customHeight="1" thickBot="1" x14ac:dyDescent="0.3">
      <c r="A34" s="11" t="s">
        <v>23</v>
      </c>
      <c r="B34" s="8">
        <v>61</v>
      </c>
      <c r="C34" s="9">
        <v>2</v>
      </c>
      <c r="D34" s="10">
        <f t="shared" si="0"/>
        <v>63</v>
      </c>
      <c r="E34" s="8">
        <v>20</v>
      </c>
      <c r="F34" s="9">
        <v>5</v>
      </c>
      <c r="G34" s="5">
        <f t="shared" si="1"/>
        <v>25</v>
      </c>
      <c r="H34" s="7">
        <f t="shared" si="2"/>
        <v>88</v>
      </c>
    </row>
    <row r="35" spans="1:8" ht="15" customHeight="1" thickTop="1" thickBot="1" x14ac:dyDescent="0.3">
      <c r="A35" s="12" t="s">
        <v>6</v>
      </c>
      <c r="B35" s="13">
        <f t="shared" ref="B35:H35" si="8">SUM(B8:B34)</f>
        <v>1165</v>
      </c>
      <c r="C35" s="13">
        <f t="shared" si="8"/>
        <v>13</v>
      </c>
      <c r="D35" s="13">
        <f t="shared" si="8"/>
        <v>1178</v>
      </c>
      <c r="E35" s="13">
        <f t="shared" si="8"/>
        <v>1033</v>
      </c>
      <c r="F35" s="13">
        <f t="shared" si="8"/>
        <v>182</v>
      </c>
      <c r="G35" s="13">
        <f t="shared" si="8"/>
        <v>1215</v>
      </c>
      <c r="H35" s="15">
        <f t="shared" si="8"/>
        <v>2393</v>
      </c>
    </row>
    <row r="36" spans="1:8" ht="15" customHeight="1" thickTop="1" thickBot="1" x14ac:dyDescent="0.3">
      <c r="A36" s="23" t="s">
        <v>24</v>
      </c>
      <c r="B36" s="24"/>
      <c r="C36" s="24"/>
      <c r="D36" s="24"/>
      <c r="E36" s="24"/>
      <c r="F36" s="24"/>
      <c r="G36" s="24"/>
      <c r="H36" s="25"/>
    </row>
    <row r="37" spans="1:8" ht="15" customHeight="1" thickTop="1" x14ac:dyDescent="0.25">
      <c r="A37" s="11" t="s">
        <v>25</v>
      </c>
      <c r="B37" s="6">
        <v>3</v>
      </c>
      <c r="C37" s="16">
        <v>0</v>
      </c>
      <c r="D37" s="5">
        <f t="shared" ref="D37:D52" si="9">B37+C37</f>
        <v>3</v>
      </c>
      <c r="E37" s="6">
        <v>0</v>
      </c>
      <c r="F37" s="16">
        <v>0</v>
      </c>
      <c r="G37" s="5">
        <f t="shared" ref="G37:G53" si="10">E37+F37</f>
        <v>0</v>
      </c>
      <c r="H37" s="7">
        <f t="shared" ref="H37:H53" si="11">G37+D37</f>
        <v>3</v>
      </c>
    </row>
    <row r="38" spans="1:8" ht="15" customHeight="1" x14ac:dyDescent="0.25">
      <c r="A38" s="11" t="s">
        <v>26</v>
      </c>
      <c r="B38" s="6">
        <v>1</v>
      </c>
      <c r="C38" s="16">
        <v>0</v>
      </c>
      <c r="D38" s="5">
        <f t="shared" si="9"/>
        <v>1</v>
      </c>
      <c r="E38" s="6">
        <v>1</v>
      </c>
      <c r="F38" s="16">
        <v>1</v>
      </c>
      <c r="G38" s="5">
        <f t="shared" si="10"/>
        <v>2</v>
      </c>
      <c r="H38" s="7">
        <f t="shared" si="11"/>
        <v>3</v>
      </c>
    </row>
    <row r="39" spans="1:8" ht="15" customHeight="1" x14ac:dyDescent="0.25">
      <c r="A39" s="11" t="s">
        <v>148</v>
      </c>
      <c r="B39" s="6">
        <v>3</v>
      </c>
      <c r="C39" s="16">
        <v>0</v>
      </c>
      <c r="D39" s="5">
        <f t="shared" si="9"/>
        <v>3</v>
      </c>
      <c r="E39" s="6">
        <v>0</v>
      </c>
      <c r="F39" s="16">
        <v>0</v>
      </c>
      <c r="G39" s="5">
        <f t="shared" si="10"/>
        <v>0</v>
      </c>
      <c r="H39" s="7">
        <f t="shared" si="11"/>
        <v>3</v>
      </c>
    </row>
    <row r="40" spans="1:8" ht="15" customHeight="1" x14ac:dyDescent="0.25">
      <c r="A40" s="11" t="s">
        <v>27</v>
      </c>
      <c r="B40" s="6">
        <v>0</v>
      </c>
      <c r="C40" s="16">
        <v>0</v>
      </c>
      <c r="D40" s="5">
        <f t="shared" si="9"/>
        <v>0</v>
      </c>
      <c r="E40" s="6">
        <v>1</v>
      </c>
      <c r="F40" s="16">
        <v>0</v>
      </c>
      <c r="G40" s="5">
        <f t="shared" si="10"/>
        <v>1</v>
      </c>
      <c r="H40" s="7">
        <f t="shared" si="11"/>
        <v>1</v>
      </c>
    </row>
    <row r="41" spans="1:8" ht="15" customHeight="1" x14ac:dyDescent="0.25">
      <c r="A41" s="11" t="s">
        <v>29</v>
      </c>
      <c r="B41" s="6">
        <v>2</v>
      </c>
      <c r="C41" s="16">
        <v>0</v>
      </c>
      <c r="D41" s="5">
        <f t="shared" si="9"/>
        <v>2</v>
      </c>
      <c r="E41" s="6">
        <v>7</v>
      </c>
      <c r="F41" s="16">
        <v>0</v>
      </c>
      <c r="G41" s="5">
        <f t="shared" si="10"/>
        <v>7</v>
      </c>
      <c r="H41" s="7">
        <f t="shared" si="11"/>
        <v>9</v>
      </c>
    </row>
    <row r="42" spans="1:8" ht="15" customHeight="1" x14ac:dyDescent="0.25">
      <c r="A42" s="11" t="s">
        <v>163</v>
      </c>
      <c r="B42" s="6">
        <v>0</v>
      </c>
      <c r="C42" s="16">
        <v>0</v>
      </c>
      <c r="D42" s="5">
        <f t="shared" si="9"/>
        <v>0</v>
      </c>
      <c r="E42" s="6">
        <v>3</v>
      </c>
      <c r="F42" s="16">
        <v>0</v>
      </c>
      <c r="G42" s="5">
        <f t="shared" si="10"/>
        <v>3</v>
      </c>
      <c r="H42" s="7">
        <f t="shared" si="11"/>
        <v>3</v>
      </c>
    </row>
    <row r="43" spans="1:8" ht="15" customHeight="1" x14ac:dyDescent="0.25">
      <c r="A43" s="11" t="s">
        <v>35</v>
      </c>
      <c r="B43" s="6">
        <v>3</v>
      </c>
      <c r="C43" s="16">
        <v>0</v>
      </c>
      <c r="D43" s="5">
        <f t="shared" si="9"/>
        <v>3</v>
      </c>
      <c r="E43" s="6">
        <v>2</v>
      </c>
      <c r="F43" s="16">
        <v>0</v>
      </c>
      <c r="G43" s="5">
        <f t="shared" si="10"/>
        <v>2</v>
      </c>
      <c r="H43" s="7">
        <f t="shared" si="11"/>
        <v>5</v>
      </c>
    </row>
    <row r="44" spans="1:8" ht="15" customHeight="1" x14ac:dyDescent="0.25">
      <c r="A44" s="11" t="s">
        <v>166</v>
      </c>
      <c r="B44" s="6">
        <v>1</v>
      </c>
      <c r="C44" s="16">
        <v>0</v>
      </c>
      <c r="D44" s="5">
        <f t="shared" si="9"/>
        <v>1</v>
      </c>
      <c r="E44" s="6">
        <v>2</v>
      </c>
      <c r="F44" s="16">
        <v>0</v>
      </c>
      <c r="G44" s="5">
        <f t="shared" si="10"/>
        <v>2</v>
      </c>
      <c r="H44" s="7">
        <f t="shared" si="11"/>
        <v>3</v>
      </c>
    </row>
    <row r="45" spans="1:8" ht="15" customHeight="1" x14ac:dyDescent="0.25">
      <c r="A45" s="11" t="s">
        <v>167</v>
      </c>
      <c r="B45" s="6">
        <v>1</v>
      </c>
      <c r="C45" s="16">
        <v>0</v>
      </c>
      <c r="D45" s="5">
        <f t="shared" si="9"/>
        <v>1</v>
      </c>
      <c r="E45" s="6">
        <v>1</v>
      </c>
      <c r="F45" s="16">
        <v>0</v>
      </c>
      <c r="G45" s="5">
        <f t="shared" si="10"/>
        <v>1</v>
      </c>
      <c r="H45" s="7">
        <f t="shared" si="11"/>
        <v>2</v>
      </c>
    </row>
    <row r="46" spans="1:8" ht="15" customHeight="1" x14ac:dyDescent="0.25">
      <c r="A46" s="11" t="s">
        <v>168</v>
      </c>
      <c r="B46" s="6">
        <v>2</v>
      </c>
      <c r="C46" s="16">
        <v>0</v>
      </c>
      <c r="D46" s="5">
        <f t="shared" si="9"/>
        <v>2</v>
      </c>
      <c r="E46" s="6">
        <v>0</v>
      </c>
      <c r="F46" s="16">
        <v>0</v>
      </c>
      <c r="G46" s="5">
        <f t="shared" si="10"/>
        <v>0</v>
      </c>
      <c r="H46" s="7">
        <f t="shared" si="11"/>
        <v>2</v>
      </c>
    </row>
    <row r="47" spans="1:8" ht="15" customHeight="1" x14ac:dyDescent="0.25">
      <c r="A47" s="11" t="s">
        <v>39</v>
      </c>
      <c r="B47" s="6">
        <v>8</v>
      </c>
      <c r="C47" s="16">
        <v>0</v>
      </c>
      <c r="D47" s="5">
        <f t="shared" si="9"/>
        <v>8</v>
      </c>
      <c r="E47" s="6">
        <v>7</v>
      </c>
      <c r="F47" s="16">
        <v>2</v>
      </c>
      <c r="G47" s="5">
        <f t="shared" si="10"/>
        <v>9</v>
      </c>
      <c r="H47" s="7">
        <f t="shared" si="11"/>
        <v>17</v>
      </c>
    </row>
    <row r="48" spans="1:8" ht="15" customHeight="1" x14ac:dyDescent="0.25">
      <c r="A48" s="11" t="s">
        <v>42</v>
      </c>
      <c r="B48" s="6">
        <v>59</v>
      </c>
      <c r="C48" s="16">
        <v>3</v>
      </c>
      <c r="D48" s="5">
        <f t="shared" si="9"/>
        <v>62</v>
      </c>
      <c r="E48" s="6">
        <v>23</v>
      </c>
      <c r="F48" s="16">
        <v>0</v>
      </c>
      <c r="G48" s="5">
        <f t="shared" si="10"/>
        <v>23</v>
      </c>
      <c r="H48" s="7">
        <f t="shared" si="11"/>
        <v>85</v>
      </c>
    </row>
    <row r="49" spans="1:8" ht="15" customHeight="1" x14ac:dyDescent="0.25">
      <c r="A49" s="11" t="s">
        <v>170</v>
      </c>
      <c r="B49" s="6">
        <v>2</v>
      </c>
      <c r="C49" s="16">
        <v>0</v>
      </c>
      <c r="D49" s="5">
        <f t="shared" si="9"/>
        <v>2</v>
      </c>
      <c r="E49" s="6">
        <v>7</v>
      </c>
      <c r="F49" s="16">
        <v>0</v>
      </c>
      <c r="G49" s="5">
        <f t="shared" si="10"/>
        <v>7</v>
      </c>
      <c r="H49" s="7">
        <f t="shared" si="11"/>
        <v>9</v>
      </c>
    </row>
    <row r="50" spans="1:8" ht="15" customHeight="1" x14ac:dyDescent="0.25">
      <c r="A50" s="11" t="s">
        <v>45</v>
      </c>
      <c r="B50" s="6">
        <v>33</v>
      </c>
      <c r="C50" s="16">
        <v>0</v>
      </c>
      <c r="D50" s="5">
        <f t="shared" si="9"/>
        <v>33</v>
      </c>
      <c r="E50" s="6">
        <v>15</v>
      </c>
      <c r="F50" s="16">
        <v>5</v>
      </c>
      <c r="G50" s="5">
        <f t="shared" si="10"/>
        <v>20</v>
      </c>
      <c r="H50" s="7">
        <f t="shared" si="11"/>
        <v>53</v>
      </c>
    </row>
    <row r="51" spans="1:8" ht="15" customHeight="1" x14ac:dyDescent="0.25">
      <c r="A51" s="11" t="s">
        <v>46</v>
      </c>
      <c r="B51" s="6">
        <v>7</v>
      </c>
      <c r="C51" s="16">
        <v>0</v>
      </c>
      <c r="D51" s="5">
        <f t="shared" si="9"/>
        <v>7</v>
      </c>
      <c r="E51" s="6">
        <v>21</v>
      </c>
      <c r="F51" s="16">
        <v>3</v>
      </c>
      <c r="G51" s="5">
        <f t="shared" si="10"/>
        <v>24</v>
      </c>
      <c r="H51" s="7">
        <f t="shared" si="11"/>
        <v>31</v>
      </c>
    </row>
    <row r="52" spans="1:8" ht="15" customHeight="1" thickBot="1" x14ac:dyDescent="0.3">
      <c r="A52" s="11" t="s">
        <v>48</v>
      </c>
      <c r="B52" s="6">
        <v>8</v>
      </c>
      <c r="C52" s="16">
        <v>0</v>
      </c>
      <c r="D52" s="5">
        <f t="shared" si="9"/>
        <v>8</v>
      </c>
      <c r="E52" s="6">
        <v>1</v>
      </c>
      <c r="F52" s="16">
        <v>0</v>
      </c>
      <c r="G52" s="5">
        <f t="shared" si="10"/>
        <v>1</v>
      </c>
      <c r="H52" s="7">
        <f t="shared" si="11"/>
        <v>9</v>
      </c>
    </row>
    <row r="53" spans="1:8" ht="15" customHeight="1" thickTop="1" thickBot="1" x14ac:dyDescent="0.3">
      <c r="A53" s="12" t="s">
        <v>6</v>
      </c>
      <c r="B53" s="13">
        <f>SUM(B37:B52)</f>
        <v>133</v>
      </c>
      <c r="C53" s="13">
        <f>SUM(C37:C52)</f>
        <v>3</v>
      </c>
      <c r="D53" s="13">
        <f>SUM(D37:D52)</f>
        <v>136</v>
      </c>
      <c r="E53" s="13">
        <f>SUM(E37:E52)</f>
        <v>91</v>
      </c>
      <c r="F53" s="13">
        <f>SUM(F37:F52)</f>
        <v>11</v>
      </c>
      <c r="G53" s="14">
        <f t="shared" si="10"/>
        <v>102</v>
      </c>
      <c r="H53" s="15">
        <f t="shared" si="11"/>
        <v>238</v>
      </c>
    </row>
    <row r="54" spans="1:8" ht="15" customHeight="1" thickTop="1" thickBot="1" x14ac:dyDescent="0.3">
      <c r="A54" s="23" t="s">
        <v>49</v>
      </c>
      <c r="B54" s="24"/>
      <c r="C54" s="24"/>
      <c r="D54" s="24"/>
      <c r="E54" s="24"/>
      <c r="F54" s="24"/>
      <c r="G54" s="24"/>
      <c r="H54" s="25"/>
    </row>
    <row r="55" spans="1:8" ht="15" customHeight="1" thickTop="1" x14ac:dyDescent="0.25">
      <c r="A55" s="11" t="s">
        <v>50</v>
      </c>
      <c r="B55" s="6">
        <v>8</v>
      </c>
      <c r="C55" s="16">
        <v>0</v>
      </c>
      <c r="D55" s="5">
        <f t="shared" ref="D55:D67" si="12">B55+C55</f>
        <v>8</v>
      </c>
      <c r="E55" s="6">
        <v>2</v>
      </c>
      <c r="F55" s="16">
        <v>0</v>
      </c>
      <c r="G55" s="5">
        <f t="shared" ref="G55:G66" si="13">E55+F55</f>
        <v>2</v>
      </c>
      <c r="H55" s="7">
        <f t="shared" ref="H55:H66" si="14">G55+D55</f>
        <v>10</v>
      </c>
    </row>
    <row r="56" spans="1:8" ht="15" customHeight="1" x14ac:dyDescent="0.25">
      <c r="A56" s="11" t="s">
        <v>51</v>
      </c>
      <c r="B56" s="6">
        <v>23</v>
      </c>
      <c r="C56" s="16">
        <v>2</v>
      </c>
      <c r="D56" s="5">
        <f t="shared" si="12"/>
        <v>25</v>
      </c>
      <c r="E56" s="6">
        <v>26</v>
      </c>
      <c r="F56" s="16">
        <v>6</v>
      </c>
      <c r="G56" s="5">
        <f t="shared" si="13"/>
        <v>32</v>
      </c>
      <c r="H56" s="7">
        <f t="shared" si="14"/>
        <v>57</v>
      </c>
    </row>
    <row r="57" spans="1:8" ht="15" customHeight="1" x14ac:dyDescent="0.25">
      <c r="A57" s="11" t="s">
        <v>52</v>
      </c>
      <c r="B57" s="6">
        <v>1</v>
      </c>
      <c r="C57" s="16">
        <v>0</v>
      </c>
      <c r="D57" s="5">
        <f t="shared" si="12"/>
        <v>1</v>
      </c>
      <c r="E57" s="6">
        <v>6</v>
      </c>
      <c r="F57" s="16">
        <v>2</v>
      </c>
      <c r="G57" s="5">
        <f t="shared" si="13"/>
        <v>8</v>
      </c>
      <c r="H57" s="7">
        <f t="shared" si="14"/>
        <v>9</v>
      </c>
    </row>
    <row r="58" spans="1:8" ht="15" customHeight="1" x14ac:dyDescent="0.25">
      <c r="A58" s="11" t="s">
        <v>53</v>
      </c>
      <c r="B58" s="6">
        <v>12</v>
      </c>
      <c r="C58" s="16">
        <v>0</v>
      </c>
      <c r="D58" s="5">
        <f t="shared" si="12"/>
        <v>12</v>
      </c>
      <c r="E58" s="6">
        <v>9</v>
      </c>
      <c r="F58" s="16">
        <v>4</v>
      </c>
      <c r="G58" s="5">
        <f t="shared" si="13"/>
        <v>13</v>
      </c>
      <c r="H58" s="7">
        <f t="shared" si="14"/>
        <v>25</v>
      </c>
    </row>
    <row r="59" spans="1:8" ht="15" customHeight="1" x14ac:dyDescent="0.25">
      <c r="A59" s="11" t="s">
        <v>54</v>
      </c>
      <c r="B59" s="6">
        <v>9</v>
      </c>
      <c r="C59" s="16">
        <v>0</v>
      </c>
      <c r="D59" s="5">
        <f t="shared" si="12"/>
        <v>9</v>
      </c>
      <c r="E59" s="6">
        <v>3</v>
      </c>
      <c r="F59" s="16">
        <v>0</v>
      </c>
      <c r="G59" s="5">
        <f t="shared" si="13"/>
        <v>3</v>
      </c>
      <c r="H59" s="7">
        <f t="shared" si="14"/>
        <v>12</v>
      </c>
    </row>
    <row r="60" spans="1:8" ht="15" customHeight="1" x14ac:dyDescent="0.25">
      <c r="A60" s="11" t="s">
        <v>55</v>
      </c>
      <c r="B60" s="6">
        <v>5</v>
      </c>
      <c r="C60" s="16">
        <v>0</v>
      </c>
      <c r="D60" s="5">
        <f t="shared" si="12"/>
        <v>5</v>
      </c>
      <c r="E60" s="6">
        <v>11</v>
      </c>
      <c r="F60" s="16">
        <v>0</v>
      </c>
      <c r="G60" s="5">
        <f t="shared" si="13"/>
        <v>11</v>
      </c>
      <c r="H60" s="7">
        <f t="shared" si="14"/>
        <v>16</v>
      </c>
    </row>
    <row r="61" spans="1:8" ht="15" customHeight="1" x14ac:dyDescent="0.25">
      <c r="A61" s="11" t="s">
        <v>56</v>
      </c>
      <c r="B61" s="6">
        <v>7</v>
      </c>
      <c r="C61" s="16">
        <v>0</v>
      </c>
      <c r="D61" s="5">
        <f t="shared" si="12"/>
        <v>7</v>
      </c>
      <c r="E61" s="6">
        <v>5</v>
      </c>
      <c r="F61" s="16">
        <v>1</v>
      </c>
      <c r="G61" s="5">
        <f t="shared" si="13"/>
        <v>6</v>
      </c>
      <c r="H61" s="7">
        <f t="shared" si="14"/>
        <v>13</v>
      </c>
    </row>
    <row r="62" spans="1:8" ht="15" customHeight="1" x14ac:dyDescent="0.25">
      <c r="A62" s="11" t="s">
        <v>57</v>
      </c>
      <c r="B62" s="6">
        <v>5</v>
      </c>
      <c r="C62" s="16">
        <v>0</v>
      </c>
      <c r="D62" s="5">
        <f t="shared" si="12"/>
        <v>5</v>
      </c>
      <c r="E62" s="6">
        <v>1</v>
      </c>
      <c r="F62" s="16">
        <v>0</v>
      </c>
      <c r="G62" s="5">
        <f t="shared" si="13"/>
        <v>1</v>
      </c>
      <c r="H62" s="7">
        <f t="shared" si="14"/>
        <v>6</v>
      </c>
    </row>
    <row r="63" spans="1:8" ht="15" customHeight="1" x14ac:dyDescent="0.25">
      <c r="A63" s="11" t="s">
        <v>171</v>
      </c>
      <c r="B63" s="6">
        <v>6</v>
      </c>
      <c r="C63" s="16">
        <v>0</v>
      </c>
      <c r="D63" s="5">
        <f t="shared" si="12"/>
        <v>6</v>
      </c>
      <c r="E63" s="6">
        <v>2</v>
      </c>
      <c r="F63" s="16">
        <v>0</v>
      </c>
      <c r="G63" s="5">
        <f t="shared" si="13"/>
        <v>2</v>
      </c>
      <c r="H63" s="7">
        <f t="shared" si="14"/>
        <v>8</v>
      </c>
    </row>
    <row r="64" spans="1:8" ht="15" customHeight="1" x14ac:dyDescent="0.25">
      <c r="A64" s="11" t="s">
        <v>58</v>
      </c>
      <c r="B64" s="6">
        <v>25</v>
      </c>
      <c r="C64" s="16">
        <v>0</v>
      </c>
      <c r="D64" s="5">
        <f t="shared" si="12"/>
        <v>25</v>
      </c>
      <c r="E64" s="6">
        <v>17</v>
      </c>
      <c r="F64" s="16">
        <v>5</v>
      </c>
      <c r="G64" s="5">
        <f t="shared" si="13"/>
        <v>22</v>
      </c>
      <c r="H64" s="7">
        <f t="shared" si="14"/>
        <v>47</v>
      </c>
    </row>
    <row r="65" spans="1:8" ht="15" customHeight="1" x14ac:dyDescent="0.25">
      <c r="A65" s="11" t="s">
        <v>60</v>
      </c>
      <c r="B65" s="6">
        <v>0</v>
      </c>
      <c r="C65" s="16">
        <v>0</v>
      </c>
      <c r="D65" s="5">
        <f t="shared" si="12"/>
        <v>0</v>
      </c>
      <c r="E65" s="6">
        <v>4</v>
      </c>
      <c r="F65" s="16">
        <v>0</v>
      </c>
      <c r="G65" s="5">
        <f t="shared" si="13"/>
        <v>4</v>
      </c>
      <c r="H65" s="7">
        <f t="shared" si="14"/>
        <v>4</v>
      </c>
    </row>
    <row r="66" spans="1:8" ht="15" customHeight="1" x14ac:dyDescent="0.25">
      <c r="A66" s="11" t="s">
        <v>61</v>
      </c>
      <c r="B66" s="6">
        <v>27</v>
      </c>
      <c r="C66" s="16">
        <v>0</v>
      </c>
      <c r="D66" s="5">
        <f t="shared" si="12"/>
        <v>27</v>
      </c>
      <c r="E66" s="6">
        <v>9</v>
      </c>
      <c r="F66" s="16">
        <v>4</v>
      </c>
      <c r="G66" s="5">
        <f t="shared" si="13"/>
        <v>13</v>
      </c>
      <c r="H66" s="7">
        <f t="shared" si="14"/>
        <v>40</v>
      </c>
    </row>
    <row r="67" spans="1:8" ht="15" customHeight="1" thickBot="1" x14ac:dyDescent="0.3">
      <c r="A67" s="11" t="s">
        <v>172</v>
      </c>
      <c r="B67" s="6">
        <v>2</v>
      </c>
      <c r="C67" s="16">
        <v>0</v>
      </c>
      <c r="D67" s="5">
        <f t="shared" si="12"/>
        <v>2</v>
      </c>
      <c r="E67" s="6">
        <v>1</v>
      </c>
      <c r="F67" s="16">
        <v>0</v>
      </c>
      <c r="G67" s="5">
        <f>E67+F67</f>
        <v>1</v>
      </c>
      <c r="H67" s="7">
        <f>G67+D67</f>
        <v>3</v>
      </c>
    </row>
    <row r="68" spans="1:8" ht="15" customHeight="1" thickTop="1" thickBot="1" x14ac:dyDescent="0.3">
      <c r="A68" s="12" t="s">
        <v>6</v>
      </c>
      <c r="B68" s="13">
        <f t="shared" ref="B68:H68" si="15">SUM(B55:B67)</f>
        <v>130</v>
      </c>
      <c r="C68" s="13">
        <f t="shared" si="15"/>
        <v>2</v>
      </c>
      <c r="D68" s="13">
        <f t="shared" si="15"/>
        <v>132</v>
      </c>
      <c r="E68" s="13">
        <f t="shared" si="15"/>
        <v>96</v>
      </c>
      <c r="F68" s="13">
        <f t="shared" si="15"/>
        <v>22</v>
      </c>
      <c r="G68" s="13">
        <f t="shared" si="15"/>
        <v>118</v>
      </c>
      <c r="H68" s="15">
        <f t="shared" si="15"/>
        <v>250</v>
      </c>
    </row>
    <row r="69" spans="1:8" ht="15" customHeight="1" thickTop="1" thickBot="1" x14ac:dyDescent="0.3">
      <c r="A69" s="23" t="s">
        <v>62</v>
      </c>
      <c r="B69" s="24"/>
      <c r="C69" s="24"/>
      <c r="D69" s="24"/>
      <c r="E69" s="24"/>
      <c r="F69" s="24"/>
      <c r="G69" s="24"/>
      <c r="H69" s="25"/>
    </row>
    <row r="70" spans="1:8" ht="15" customHeight="1" thickTop="1" x14ac:dyDescent="0.25">
      <c r="A70" s="11" t="s">
        <v>63</v>
      </c>
      <c r="B70" s="6">
        <v>1</v>
      </c>
      <c r="C70" s="16">
        <v>0</v>
      </c>
      <c r="D70" s="5">
        <f t="shared" ref="D70:D97" si="16">B70+C70</f>
        <v>1</v>
      </c>
      <c r="E70" s="6">
        <v>0</v>
      </c>
      <c r="F70" s="16">
        <v>0</v>
      </c>
      <c r="G70" s="5">
        <f t="shared" ref="G70:G97" si="17">E70+F70</f>
        <v>0</v>
      </c>
      <c r="H70" s="7">
        <f t="shared" ref="H70:H98" si="18">G70+D70</f>
        <v>1</v>
      </c>
    </row>
    <row r="71" spans="1:8" ht="15" customHeight="1" x14ac:dyDescent="0.25">
      <c r="A71" s="11" t="s">
        <v>161</v>
      </c>
      <c r="B71" s="6">
        <v>2</v>
      </c>
      <c r="C71" s="16">
        <v>0</v>
      </c>
      <c r="D71" s="5">
        <f t="shared" si="16"/>
        <v>2</v>
      </c>
      <c r="E71" s="6">
        <v>2</v>
      </c>
      <c r="F71" s="16">
        <v>0</v>
      </c>
      <c r="G71" s="5">
        <f t="shared" si="17"/>
        <v>2</v>
      </c>
      <c r="H71" s="7">
        <f t="shared" si="18"/>
        <v>4</v>
      </c>
    </row>
    <row r="72" spans="1:8" ht="15" customHeight="1" x14ac:dyDescent="0.25">
      <c r="A72" s="11" t="s">
        <v>64</v>
      </c>
      <c r="B72" s="6">
        <v>17</v>
      </c>
      <c r="C72" s="16">
        <v>1</v>
      </c>
      <c r="D72" s="5">
        <f t="shared" si="16"/>
        <v>18</v>
      </c>
      <c r="E72" s="6">
        <v>9</v>
      </c>
      <c r="F72" s="16">
        <v>1</v>
      </c>
      <c r="G72" s="5">
        <f t="shared" si="17"/>
        <v>10</v>
      </c>
      <c r="H72" s="7">
        <f t="shared" si="18"/>
        <v>28</v>
      </c>
    </row>
    <row r="73" spans="1:8" ht="15" customHeight="1" x14ac:dyDescent="0.25">
      <c r="A73" s="11" t="s">
        <v>65</v>
      </c>
      <c r="B73" s="6">
        <v>19</v>
      </c>
      <c r="C73" s="16">
        <v>0</v>
      </c>
      <c r="D73" s="5">
        <f t="shared" si="16"/>
        <v>19</v>
      </c>
      <c r="E73" s="6">
        <v>3</v>
      </c>
      <c r="F73" s="16">
        <v>0</v>
      </c>
      <c r="G73" s="5">
        <f t="shared" si="17"/>
        <v>3</v>
      </c>
      <c r="H73" s="7">
        <f t="shared" si="18"/>
        <v>22</v>
      </c>
    </row>
    <row r="74" spans="1:8" ht="15" customHeight="1" x14ac:dyDescent="0.25">
      <c r="A74" s="11" t="s">
        <v>173</v>
      </c>
      <c r="B74" s="6">
        <v>12</v>
      </c>
      <c r="C74" s="16">
        <v>0</v>
      </c>
      <c r="D74" s="5">
        <f t="shared" si="16"/>
        <v>12</v>
      </c>
      <c r="E74" s="6">
        <v>0</v>
      </c>
      <c r="F74" s="16">
        <v>2</v>
      </c>
      <c r="G74" s="5">
        <f t="shared" si="17"/>
        <v>2</v>
      </c>
      <c r="H74" s="7">
        <f t="shared" si="18"/>
        <v>14</v>
      </c>
    </row>
    <row r="75" spans="1:8" ht="15" customHeight="1" x14ac:dyDescent="0.25">
      <c r="A75" s="11" t="s">
        <v>174</v>
      </c>
      <c r="B75" s="6">
        <v>459</v>
      </c>
      <c r="C75" s="16">
        <v>24</v>
      </c>
      <c r="D75" s="5">
        <f t="shared" si="16"/>
        <v>483</v>
      </c>
      <c r="E75" s="6">
        <v>286</v>
      </c>
      <c r="F75" s="16">
        <v>10</v>
      </c>
      <c r="G75" s="5">
        <f t="shared" si="17"/>
        <v>296</v>
      </c>
      <c r="H75" s="7">
        <f t="shared" si="18"/>
        <v>779</v>
      </c>
    </row>
    <row r="76" spans="1:8" ht="15" customHeight="1" x14ac:dyDescent="0.25">
      <c r="A76" s="11" t="s">
        <v>175</v>
      </c>
      <c r="B76" s="6">
        <v>314</v>
      </c>
      <c r="C76" s="16">
        <v>13</v>
      </c>
      <c r="D76" s="5">
        <f t="shared" si="16"/>
        <v>327</v>
      </c>
      <c r="E76" s="6">
        <v>28</v>
      </c>
      <c r="F76" s="16">
        <v>6</v>
      </c>
      <c r="G76" s="5">
        <f t="shared" si="17"/>
        <v>34</v>
      </c>
      <c r="H76" s="7">
        <f t="shared" si="18"/>
        <v>361</v>
      </c>
    </row>
    <row r="77" spans="1:8" ht="15" customHeight="1" x14ac:dyDescent="0.25">
      <c r="A77" s="11" t="s">
        <v>70</v>
      </c>
      <c r="B77" s="6">
        <v>29</v>
      </c>
      <c r="C77" s="16">
        <v>2</v>
      </c>
      <c r="D77" s="5">
        <f t="shared" si="16"/>
        <v>31</v>
      </c>
      <c r="E77" s="6">
        <v>75</v>
      </c>
      <c r="F77" s="16">
        <v>102</v>
      </c>
      <c r="G77" s="5">
        <f t="shared" si="17"/>
        <v>177</v>
      </c>
      <c r="H77" s="7">
        <f t="shared" si="18"/>
        <v>208</v>
      </c>
    </row>
    <row r="78" spans="1:8" ht="15" customHeight="1" x14ac:dyDescent="0.25">
      <c r="A78" s="11" t="s">
        <v>71</v>
      </c>
      <c r="B78" s="6">
        <v>13</v>
      </c>
      <c r="C78" s="16">
        <v>0</v>
      </c>
      <c r="D78" s="5">
        <f t="shared" si="16"/>
        <v>13</v>
      </c>
      <c r="E78" s="6">
        <v>6</v>
      </c>
      <c r="F78" s="16">
        <v>0</v>
      </c>
      <c r="G78" s="5">
        <f t="shared" si="17"/>
        <v>6</v>
      </c>
      <c r="H78" s="7">
        <f t="shared" si="18"/>
        <v>19</v>
      </c>
    </row>
    <row r="79" spans="1:8" ht="15" customHeight="1" x14ac:dyDescent="0.25">
      <c r="A79" s="11" t="s">
        <v>72</v>
      </c>
      <c r="B79" s="6">
        <v>65</v>
      </c>
      <c r="C79" s="16">
        <v>0</v>
      </c>
      <c r="D79" s="5">
        <f t="shared" si="16"/>
        <v>65</v>
      </c>
      <c r="E79" s="6">
        <v>51</v>
      </c>
      <c r="F79" s="16">
        <v>2</v>
      </c>
      <c r="G79" s="5">
        <f t="shared" si="17"/>
        <v>53</v>
      </c>
      <c r="H79" s="7">
        <f t="shared" si="18"/>
        <v>118</v>
      </c>
    </row>
    <row r="80" spans="1:8" ht="15" customHeight="1" x14ac:dyDescent="0.25">
      <c r="A80" s="11" t="s">
        <v>73</v>
      </c>
      <c r="B80" s="6">
        <v>56</v>
      </c>
      <c r="C80" s="16">
        <v>1</v>
      </c>
      <c r="D80" s="5">
        <f t="shared" si="16"/>
        <v>57</v>
      </c>
      <c r="E80" s="6">
        <v>2</v>
      </c>
      <c r="F80" s="16">
        <v>0</v>
      </c>
      <c r="G80" s="5">
        <f t="shared" si="17"/>
        <v>2</v>
      </c>
      <c r="H80" s="7">
        <f t="shared" si="18"/>
        <v>59</v>
      </c>
    </row>
    <row r="81" spans="1:8" ht="15" customHeight="1" x14ac:dyDescent="0.25">
      <c r="A81" s="11" t="s">
        <v>176</v>
      </c>
      <c r="B81" s="6">
        <v>83</v>
      </c>
      <c r="C81" s="16">
        <v>9</v>
      </c>
      <c r="D81" s="5">
        <f t="shared" si="16"/>
        <v>92</v>
      </c>
      <c r="E81" s="6">
        <v>44</v>
      </c>
      <c r="F81" s="16">
        <v>3</v>
      </c>
      <c r="G81" s="5">
        <f t="shared" si="17"/>
        <v>47</v>
      </c>
      <c r="H81" s="7">
        <f t="shared" si="18"/>
        <v>139</v>
      </c>
    </row>
    <row r="82" spans="1:8" ht="15" customHeight="1" x14ac:dyDescent="0.25">
      <c r="A82" s="11" t="s">
        <v>210</v>
      </c>
      <c r="B82" s="6">
        <v>0</v>
      </c>
      <c r="C82" s="16">
        <v>0</v>
      </c>
      <c r="D82" s="5">
        <f t="shared" si="16"/>
        <v>0</v>
      </c>
      <c r="E82" s="6">
        <v>1</v>
      </c>
      <c r="F82" s="16">
        <v>0</v>
      </c>
      <c r="G82" s="5">
        <f t="shared" si="17"/>
        <v>1</v>
      </c>
      <c r="H82" s="7">
        <f t="shared" si="18"/>
        <v>1</v>
      </c>
    </row>
    <row r="83" spans="1:8" ht="15" customHeight="1" x14ac:dyDescent="0.25">
      <c r="A83" s="11" t="s">
        <v>177</v>
      </c>
      <c r="B83" s="6">
        <v>2</v>
      </c>
      <c r="C83" s="16">
        <v>0</v>
      </c>
      <c r="D83" s="5">
        <f t="shared" si="16"/>
        <v>2</v>
      </c>
      <c r="E83" s="6">
        <v>0</v>
      </c>
      <c r="F83" s="16">
        <v>0</v>
      </c>
      <c r="G83" s="5">
        <f t="shared" si="17"/>
        <v>0</v>
      </c>
      <c r="H83" s="7">
        <f t="shared" si="18"/>
        <v>2</v>
      </c>
    </row>
    <row r="84" spans="1:8" ht="15" customHeight="1" x14ac:dyDescent="0.25">
      <c r="A84" s="11" t="s">
        <v>74</v>
      </c>
      <c r="B84" s="6">
        <v>149</v>
      </c>
      <c r="C84" s="16">
        <v>0</v>
      </c>
      <c r="D84" s="5">
        <f t="shared" si="16"/>
        <v>149</v>
      </c>
      <c r="E84" s="6">
        <v>45</v>
      </c>
      <c r="F84" s="16">
        <v>4</v>
      </c>
      <c r="G84" s="5">
        <f t="shared" si="17"/>
        <v>49</v>
      </c>
      <c r="H84" s="7">
        <f t="shared" si="18"/>
        <v>198</v>
      </c>
    </row>
    <row r="85" spans="1:8" ht="15" customHeight="1" x14ac:dyDescent="0.25">
      <c r="A85" s="11" t="s">
        <v>178</v>
      </c>
      <c r="B85" s="6">
        <v>4</v>
      </c>
      <c r="C85" s="16">
        <v>0</v>
      </c>
      <c r="D85" s="5">
        <f t="shared" si="16"/>
        <v>4</v>
      </c>
      <c r="E85" s="6">
        <v>0</v>
      </c>
      <c r="F85" s="16">
        <v>0</v>
      </c>
      <c r="G85" s="5">
        <f t="shared" si="17"/>
        <v>0</v>
      </c>
      <c r="H85" s="7">
        <f t="shared" si="18"/>
        <v>4</v>
      </c>
    </row>
    <row r="86" spans="1:8" ht="15" customHeight="1" x14ac:dyDescent="0.25">
      <c r="A86" s="11" t="s">
        <v>152</v>
      </c>
      <c r="B86" s="6">
        <v>0</v>
      </c>
      <c r="C86" s="16">
        <v>0</v>
      </c>
      <c r="D86" s="5">
        <f t="shared" si="16"/>
        <v>0</v>
      </c>
      <c r="E86" s="6">
        <v>1</v>
      </c>
      <c r="F86" s="16">
        <v>0</v>
      </c>
      <c r="G86" s="5">
        <f t="shared" si="17"/>
        <v>1</v>
      </c>
      <c r="H86" s="7">
        <f t="shared" si="18"/>
        <v>1</v>
      </c>
    </row>
    <row r="87" spans="1:8" ht="15" customHeight="1" x14ac:dyDescent="0.25">
      <c r="A87" s="11" t="s">
        <v>76</v>
      </c>
      <c r="B87" s="6">
        <v>1</v>
      </c>
      <c r="C87" s="16">
        <v>0</v>
      </c>
      <c r="D87" s="5">
        <f t="shared" si="16"/>
        <v>1</v>
      </c>
      <c r="E87" s="6">
        <v>0</v>
      </c>
      <c r="F87" s="16">
        <v>1</v>
      </c>
      <c r="G87" s="5">
        <f t="shared" si="17"/>
        <v>1</v>
      </c>
      <c r="H87" s="7">
        <f t="shared" si="18"/>
        <v>2</v>
      </c>
    </row>
    <row r="88" spans="1:8" ht="15" customHeight="1" x14ac:dyDescent="0.25">
      <c r="A88" s="11" t="s">
        <v>77</v>
      </c>
      <c r="B88" s="6">
        <v>57</v>
      </c>
      <c r="C88" s="16">
        <v>0</v>
      </c>
      <c r="D88" s="5">
        <f t="shared" si="16"/>
        <v>57</v>
      </c>
      <c r="E88" s="6">
        <v>36</v>
      </c>
      <c r="F88" s="16">
        <v>4</v>
      </c>
      <c r="G88" s="5">
        <f t="shared" si="17"/>
        <v>40</v>
      </c>
      <c r="H88" s="7">
        <f t="shared" si="18"/>
        <v>97</v>
      </c>
    </row>
    <row r="89" spans="1:8" ht="15" customHeight="1" x14ac:dyDescent="0.25">
      <c r="A89" s="11" t="s">
        <v>79</v>
      </c>
      <c r="B89" s="6">
        <v>3</v>
      </c>
      <c r="C89" s="16">
        <v>0</v>
      </c>
      <c r="D89" s="5">
        <f t="shared" si="16"/>
        <v>3</v>
      </c>
      <c r="E89" s="6">
        <v>6</v>
      </c>
      <c r="F89" s="16">
        <v>0</v>
      </c>
      <c r="G89" s="5">
        <f t="shared" si="17"/>
        <v>6</v>
      </c>
      <c r="H89" s="7">
        <f t="shared" si="18"/>
        <v>9</v>
      </c>
    </row>
    <row r="90" spans="1:8" ht="15" customHeight="1" x14ac:dyDescent="0.25">
      <c r="A90" s="11" t="s">
        <v>80</v>
      </c>
      <c r="B90" s="6">
        <v>161</v>
      </c>
      <c r="C90" s="16">
        <v>0</v>
      </c>
      <c r="D90" s="5">
        <f t="shared" si="16"/>
        <v>161</v>
      </c>
      <c r="E90" s="6">
        <v>24</v>
      </c>
      <c r="F90" s="16">
        <v>1</v>
      </c>
      <c r="G90" s="5">
        <f t="shared" si="17"/>
        <v>25</v>
      </c>
      <c r="H90" s="7">
        <f t="shared" si="18"/>
        <v>186</v>
      </c>
    </row>
    <row r="91" spans="1:8" ht="15" customHeight="1" x14ac:dyDescent="0.25">
      <c r="A91" s="11" t="s">
        <v>82</v>
      </c>
      <c r="B91" s="6">
        <v>18</v>
      </c>
      <c r="C91" s="16">
        <v>1</v>
      </c>
      <c r="D91" s="5">
        <f t="shared" si="16"/>
        <v>19</v>
      </c>
      <c r="E91" s="6">
        <v>12</v>
      </c>
      <c r="F91" s="16">
        <v>1</v>
      </c>
      <c r="G91" s="5">
        <f t="shared" si="17"/>
        <v>13</v>
      </c>
      <c r="H91" s="7">
        <f t="shared" si="18"/>
        <v>32</v>
      </c>
    </row>
    <row r="92" spans="1:8" ht="15" customHeight="1" x14ac:dyDescent="0.25">
      <c r="A92" s="11" t="s">
        <v>83</v>
      </c>
      <c r="B92" s="6">
        <v>26</v>
      </c>
      <c r="C92" s="16">
        <v>2</v>
      </c>
      <c r="D92" s="5">
        <f t="shared" si="16"/>
        <v>28</v>
      </c>
      <c r="E92" s="6">
        <v>66</v>
      </c>
      <c r="F92" s="16">
        <v>2</v>
      </c>
      <c r="G92" s="5">
        <f t="shared" si="17"/>
        <v>68</v>
      </c>
      <c r="H92" s="7">
        <f t="shared" si="18"/>
        <v>96</v>
      </c>
    </row>
    <row r="93" spans="1:8" ht="15" customHeight="1" x14ac:dyDescent="0.25">
      <c r="A93" s="11" t="s">
        <v>211</v>
      </c>
      <c r="B93" s="6">
        <v>1</v>
      </c>
      <c r="C93" s="16">
        <v>0</v>
      </c>
      <c r="D93" s="5">
        <f t="shared" si="16"/>
        <v>1</v>
      </c>
      <c r="E93" s="6">
        <v>2</v>
      </c>
      <c r="F93" s="16">
        <v>0</v>
      </c>
      <c r="G93" s="5">
        <f t="shared" si="17"/>
        <v>2</v>
      </c>
      <c r="H93" s="7">
        <f t="shared" si="18"/>
        <v>3</v>
      </c>
    </row>
    <row r="94" spans="1:8" ht="15" customHeight="1" x14ac:dyDescent="0.25">
      <c r="A94" s="11" t="s">
        <v>84</v>
      </c>
      <c r="B94" s="6">
        <v>41</v>
      </c>
      <c r="C94" s="16">
        <v>1</v>
      </c>
      <c r="D94" s="5">
        <f t="shared" si="16"/>
        <v>42</v>
      </c>
      <c r="E94" s="6">
        <v>49</v>
      </c>
      <c r="F94" s="16">
        <v>0</v>
      </c>
      <c r="G94" s="5">
        <f t="shared" si="17"/>
        <v>49</v>
      </c>
      <c r="H94" s="7">
        <f t="shared" si="18"/>
        <v>91</v>
      </c>
    </row>
    <row r="95" spans="1:8" ht="15" customHeight="1" x14ac:dyDescent="0.25">
      <c r="A95" s="11" t="s">
        <v>179</v>
      </c>
      <c r="B95" s="6">
        <v>0</v>
      </c>
      <c r="C95" s="16">
        <v>0</v>
      </c>
      <c r="D95" s="5">
        <f t="shared" si="16"/>
        <v>0</v>
      </c>
      <c r="E95" s="6">
        <v>1</v>
      </c>
      <c r="F95" s="16">
        <v>0</v>
      </c>
      <c r="G95" s="5">
        <f t="shared" si="17"/>
        <v>1</v>
      </c>
      <c r="H95" s="7">
        <f t="shared" si="18"/>
        <v>1</v>
      </c>
    </row>
    <row r="96" spans="1:8" ht="15" customHeight="1" x14ac:dyDescent="0.25">
      <c r="A96" s="11" t="s">
        <v>180</v>
      </c>
      <c r="B96" s="6">
        <v>1</v>
      </c>
      <c r="C96" s="16">
        <v>0</v>
      </c>
      <c r="D96" s="5">
        <f t="shared" si="16"/>
        <v>1</v>
      </c>
      <c r="E96" s="6">
        <v>1</v>
      </c>
      <c r="F96" s="16">
        <v>0</v>
      </c>
      <c r="G96" s="5">
        <f t="shared" si="17"/>
        <v>1</v>
      </c>
      <c r="H96" s="7">
        <f t="shared" si="18"/>
        <v>2</v>
      </c>
    </row>
    <row r="97" spans="1:8" ht="15" customHeight="1" thickBot="1" x14ac:dyDescent="0.3">
      <c r="A97" s="11" t="s">
        <v>85</v>
      </c>
      <c r="B97" s="6">
        <v>17</v>
      </c>
      <c r="C97" s="16">
        <v>1</v>
      </c>
      <c r="D97" s="5">
        <f t="shared" si="16"/>
        <v>18</v>
      </c>
      <c r="E97" s="6">
        <v>3</v>
      </c>
      <c r="F97" s="16">
        <v>0</v>
      </c>
      <c r="G97" s="5">
        <f t="shared" si="17"/>
        <v>3</v>
      </c>
      <c r="H97" s="7">
        <f t="shared" si="18"/>
        <v>21</v>
      </c>
    </row>
    <row r="98" spans="1:8" ht="15" customHeight="1" thickTop="1" thickBot="1" x14ac:dyDescent="0.3">
      <c r="A98" s="12" t="s">
        <v>6</v>
      </c>
      <c r="B98" s="13">
        <f t="shared" ref="B98:G98" si="19">SUM(B70:B97)</f>
        <v>1551</v>
      </c>
      <c r="C98" s="13">
        <f t="shared" si="19"/>
        <v>55</v>
      </c>
      <c r="D98" s="13">
        <f t="shared" si="19"/>
        <v>1606</v>
      </c>
      <c r="E98" s="13">
        <f t="shared" si="19"/>
        <v>753</v>
      </c>
      <c r="F98" s="13">
        <f t="shared" si="19"/>
        <v>139</v>
      </c>
      <c r="G98" s="13">
        <f t="shared" si="19"/>
        <v>892</v>
      </c>
      <c r="H98" s="15">
        <f t="shared" si="18"/>
        <v>2498</v>
      </c>
    </row>
    <row r="99" spans="1:8" ht="15" customHeight="1" thickTop="1" thickBot="1" x14ac:dyDescent="0.3">
      <c r="A99" s="23" t="s">
        <v>86</v>
      </c>
      <c r="B99" s="24"/>
      <c r="C99" s="24"/>
      <c r="D99" s="24"/>
      <c r="E99" s="24"/>
      <c r="F99" s="24"/>
      <c r="G99" s="24"/>
      <c r="H99" s="25"/>
    </row>
    <row r="100" spans="1:8" ht="15" customHeight="1" thickTop="1" x14ac:dyDescent="0.25">
      <c r="A100" s="11" t="s">
        <v>87</v>
      </c>
      <c r="B100" s="6">
        <v>13</v>
      </c>
      <c r="C100" s="16">
        <v>0</v>
      </c>
      <c r="D100" s="5">
        <f t="shared" ref="D100:D119" si="20">B100+C100</f>
        <v>13</v>
      </c>
      <c r="E100" s="6">
        <v>5</v>
      </c>
      <c r="F100" s="16">
        <v>0</v>
      </c>
      <c r="G100" s="5">
        <f t="shared" ref="G100:G119" si="21">E100+F100</f>
        <v>5</v>
      </c>
      <c r="H100" s="7">
        <f t="shared" ref="H100:H119" si="22">G100+D100</f>
        <v>18</v>
      </c>
    </row>
    <row r="101" spans="1:8" ht="15" customHeight="1" x14ac:dyDescent="0.25">
      <c r="A101" s="11" t="s">
        <v>88</v>
      </c>
      <c r="B101" s="6">
        <v>0</v>
      </c>
      <c r="C101" s="16">
        <v>0</v>
      </c>
      <c r="D101" s="5">
        <f t="shared" si="20"/>
        <v>0</v>
      </c>
      <c r="E101" s="6">
        <v>1</v>
      </c>
      <c r="F101" s="16">
        <v>0</v>
      </c>
      <c r="G101" s="5">
        <f t="shared" si="21"/>
        <v>1</v>
      </c>
      <c r="H101" s="7">
        <f t="shared" si="22"/>
        <v>1</v>
      </c>
    </row>
    <row r="102" spans="1:8" ht="15" customHeight="1" x14ac:dyDescent="0.25">
      <c r="A102" s="11" t="s">
        <v>90</v>
      </c>
      <c r="B102" s="6">
        <v>5</v>
      </c>
      <c r="C102" s="16">
        <v>0</v>
      </c>
      <c r="D102" s="5">
        <f t="shared" si="20"/>
        <v>5</v>
      </c>
      <c r="E102" s="6">
        <v>18</v>
      </c>
      <c r="F102" s="16">
        <v>4</v>
      </c>
      <c r="G102" s="5">
        <f t="shared" si="21"/>
        <v>22</v>
      </c>
      <c r="H102" s="7">
        <f t="shared" si="22"/>
        <v>27</v>
      </c>
    </row>
    <row r="103" spans="1:8" ht="15" customHeight="1" x14ac:dyDescent="0.25">
      <c r="A103" s="11" t="s">
        <v>95</v>
      </c>
      <c r="B103" s="6">
        <v>4</v>
      </c>
      <c r="C103" s="16">
        <v>0</v>
      </c>
      <c r="D103" s="5">
        <f t="shared" si="20"/>
        <v>4</v>
      </c>
      <c r="E103" s="6">
        <v>3</v>
      </c>
      <c r="F103" s="16">
        <v>0</v>
      </c>
      <c r="G103" s="5">
        <f t="shared" si="21"/>
        <v>3</v>
      </c>
      <c r="H103" s="7">
        <f t="shared" si="22"/>
        <v>7</v>
      </c>
    </row>
    <row r="104" spans="1:8" ht="15" customHeight="1" x14ac:dyDescent="0.25">
      <c r="A104" s="11" t="s">
        <v>96</v>
      </c>
      <c r="B104" s="6">
        <v>13</v>
      </c>
      <c r="C104" s="16">
        <v>1</v>
      </c>
      <c r="D104" s="5">
        <f t="shared" si="20"/>
        <v>14</v>
      </c>
      <c r="E104" s="6">
        <v>5</v>
      </c>
      <c r="F104" s="16">
        <v>0</v>
      </c>
      <c r="G104" s="5">
        <f t="shared" si="21"/>
        <v>5</v>
      </c>
      <c r="H104" s="7">
        <f t="shared" si="22"/>
        <v>19</v>
      </c>
    </row>
    <row r="105" spans="1:8" ht="15" customHeight="1" x14ac:dyDescent="0.25">
      <c r="A105" s="11" t="s">
        <v>99</v>
      </c>
      <c r="B105" s="6">
        <v>0</v>
      </c>
      <c r="C105" s="16">
        <v>0</v>
      </c>
      <c r="D105" s="5">
        <f t="shared" si="20"/>
        <v>0</v>
      </c>
      <c r="E105" s="6">
        <v>2</v>
      </c>
      <c r="F105" s="16">
        <v>1</v>
      </c>
      <c r="G105" s="5">
        <f t="shared" si="21"/>
        <v>3</v>
      </c>
      <c r="H105" s="7">
        <f t="shared" si="22"/>
        <v>3</v>
      </c>
    </row>
    <row r="106" spans="1:8" ht="15" customHeight="1" x14ac:dyDescent="0.25">
      <c r="A106" s="11" t="s">
        <v>100</v>
      </c>
      <c r="B106" s="6">
        <v>1</v>
      </c>
      <c r="C106" s="16">
        <v>0</v>
      </c>
      <c r="D106" s="5">
        <f t="shared" si="20"/>
        <v>1</v>
      </c>
      <c r="E106" s="6">
        <v>1</v>
      </c>
      <c r="F106" s="16">
        <v>1</v>
      </c>
      <c r="G106" s="5">
        <f t="shared" si="21"/>
        <v>2</v>
      </c>
      <c r="H106" s="7">
        <f t="shared" si="22"/>
        <v>3</v>
      </c>
    </row>
    <row r="107" spans="1:8" ht="15" customHeight="1" x14ac:dyDescent="0.25">
      <c r="A107" s="11" t="s">
        <v>101</v>
      </c>
      <c r="B107" s="6">
        <v>14</v>
      </c>
      <c r="C107" s="16">
        <v>0</v>
      </c>
      <c r="D107" s="5">
        <f t="shared" si="20"/>
        <v>14</v>
      </c>
      <c r="E107" s="6">
        <v>2</v>
      </c>
      <c r="F107" s="16">
        <v>1</v>
      </c>
      <c r="G107" s="5">
        <f t="shared" si="21"/>
        <v>3</v>
      </c>
      <c r="H107" s="7">
        <f t="shared" si="22"/>
        <v>17</v>
      </c>
    </row>
    <row r="108" spans="1:8" ht="15" customHeight="1" x14ac:dyDescent="0.25">
      <c r="A108" s="11" t="s">
        <v>102</v>
      </c>
      <c r="B108" s="6">
        <v>3</v>
      </c>
      <c r="C108" s="16">
        <v>1</v>
      </c>
      <c r="D108" s="5">
        <f t="shared" si="20"/>
        <v>4</v>
      </c>
      <c r="E108" s="6">
        <v>0</v>
      </c>
      <c r="F108" s="16">
        <v>0</v>
      </c>
      <c r="G108" s="5">
        <f t="shared" si="21"/>
        <v>0</v>
      </c>
      <c r="H108" s="7">
        <f t="shared" si="22"/>
        <v>4</v>
      </c>
    </row>
    <row r="109" spans="1:8" ht="15" customHeight="1" x14ac:dyDescent="0.25">
      <c r="A109" s="11" t="s">
        <v>103</v>
      </c>
      <c r="B109" s="6">
        <v>0</v>
      </c>
      <c r="C109" s="16">
        <v>0</v>
      </c>
      <c r="D109" s="5">
        <f t="shared" si="20"/>
        <v>0</v>
      </c>
      <c r="E109" s="6">
        <v>1</v>
      </c>
      <c r="F109" s="16">
        <v>0</v>
      </c>
      <c r="G109" s="5">
        <f t="shared" si="21"/>
        <v>1</v>
      </c>
      <c r="H109" s="7">
        <f t="shared" si="22"/>
        <v>1</v>
      </c>
    </row>
    <row r="110" spans="1:8" ht="15" customHeight="1" x14ac:dyDescent="0.25">
      <c r="A110" s="11" t="s">
        <v>104</v>
      </c>
      <c r="B110" s="6">
        <v>31</v>
      </c>
      <c r="C110" s="16">
        <v>1</v>
      </c>
      <c r="D110" s="5">
        <f t="shared" si="20"/>
        <v>32</v>
      </c>
      <c r="E110" s="6">
        <v>38</v>
      </c>
      <c r="F110" s="16">
        <v>6</v>
      </c>
      <c r="G110" s="5">
        <f t="shared" si="21"/>
        <v>44</v>
      </c>
      <c r="H110" s="7">
        <f t="shared" si="22"/>
        <v>76</v>
      </c>
    </row>
    <row r="111" spans="1:8" ht="15" customHeight="1" x14ac:dyDescent="0.25">
      <c r="A111" s="11" t="s">
        <v>109</v>
      </c>
      <c r="B111" s="6">
        <v>1</v>
      </c>
      <c r="C111" s="16">
        <v>0</v>
      </c>
      <c r="D111" s="5">
        <f t="shared" si="20"/>
        <v>1</v>
      </c>
      <c r="E111" s="6">
        <v>0</v>
      </c>
      <c r="F111" s="16">
        <v>0</v>
      </c>
      <c r="G111" s="5">
        <f t="shared" si="21"/>
        <v>0</v>
      </c>
      <c r="H111" s="7">
        <f t="shared" si="22"/>
        <v>1</v>
      </c>
    </row>
    <row r="112" spans="1:8" ht="15" customHeight="1" x14ac:dyDescent="0.25">
      <c r="A112" s="11" t="s">
        <v>107</v>
      </c>
      <c r="B112" s="6">
        <v>6</v>
      </c>
      <c r="C112" s="16">
        <v>0</v>
      </c>
      <c r="D112" s="5">
        <f t="shared" si="20"/>
        <v>6</v>
      </c>
      <c r="E112" s="6">
        <v>7</v>
      </c>
      <c r="F112" s="16">
        <v>9</v>
      </c>
      <c r="G112" s="5">
        <f t="shared" si="21"/>
        <v>16</v>
      </c>
      <c r="H112" s="7">
        <f t="shared" si="22"/>
        <v>22</v>
      </c>
    </row>
    <row r="113" spans="1:8" ht="15" customHeight="1" x14ac:dyDescent="0.25">
      <c r="A113" s="11" t="s">
        <v>108</v>
      </c>
      <c r="B113" s="6">
        <v>0</v>
      </c>
      <c r="C113" s="16">
        <v>0</v>
      </c>
      <c r="D113" s="5">
        <f t="shared" si="20"/>
        <v>0</v>
      </c>
      <c r="E113" s="6">
        <v>4</v>
      </c>
      <c r="F113" s="16">
        <v>2</v>
      </c>
      <c r="G113" s="5">
        <f t="shared" si="21"/>
        <v>6</v>
      </c>
      <c r="H113" s="7">
        <f t="shared" si="22"/>
        <v>6</v>
      </c>
    </row>
    <row r="114" spans="1:8" ht="15" customHeight="1" x14ac:dyDescent="0.25">
      <c r="A114" s="11" t="s">
        <v>110</v>
      </c>
      <c r="B114" s="6">
        <v>3</v>
      </c>
      <c r="C114" s="16">
        <v>1</v>
      </c>
      <c r="D114" s="5">
        <f t="shared" si="20"/>
        <v>4</v>
      </c>
      <c r="E114" s="6">
        <v>2</v>
      </c>
      <c r="F114" s="16">
        <v>0</v>
      </c>
      <c r="G114" s="5">
        <f t="shared" si="21"/>
        <v>2</v>
      </c>
      <c r="H114" s="7">
        <f t="shared" si="22"/>
        <v>6</v>
      </c>
    </row>
    <row r="115" spans="1:8" ht="15" customHeight="1" x14ac:dyDescent="0.25">
      <c r="A115" s="11" t="s">
        <v>155</v>
      </c>
      <c r="B115" s="6">
        <v>1</v>
      </c>
      <c r="C115" s="16">
        <v>0</v>
      </c>
      <c r="D115" s="5">
        <f t="shared" si="20"/>
        <v>1</v>
      </c>
      <c r="E115" s="6">
        <v>0</v>
      </c>
      <c r="F115" s="16">
        <v>0</v>
      </c>
      <c r="G115" s="5">
        <f t="shared" si="21"/>
        <v>0</v>
      </c>
      <c r="H115" s="7">
        <f t="shared" si="22"/>
        <v>1</v>
      </c>
    </row>
    <row r="116" spans="1:8" ht="15" customHeight="1" x14ac:dyDescent="0.25">
      <c r="A116" s="11" t="s">
        <v>111</v>
      </c>
      <c r="B116" s="6">
        <v>1</v>
      </c>
      <c r="C116" s="16">
        <v>0</v>
      </c>
      <c r="D116" s="5">
        <f t="shared" si="20"/>
        <v>1</v>
      </c>
      <c r="E116" s="6">
        <v>4</v>
      </c>
      <c r="F116" s="16">
        <v>0</v>
      </c>
      <c r="G116" s="5">
        <f t="shared" si="21"/>
        <v>4</v>
      </c>
      <c r="H116" s="7">
        <f t="shared" si="22"/>
        <v>5</v>
      </c>
    </row>
    <row r="117" spans="1:8" ht="15" customHeight="1" x14ac:dyDescent="0.25">
      <c r="A117" s="11" t="s">
        <v>112</v>
      </c>
      <c r="B117" s="6">
        <v>1</v>
      </c>
      <c r="C117" s="16">
        <v>0</v>
      </c>
      <c r="D117" s="5">
        <f t="shared" si="20"/>
        <v>1</v>
      </c>
      <c r="E117" s="6">
        <v>0</v>
      </c>
      <c r="F117" s="16">
        <v>0</v>
      </c>
      <c r="G117" s="5">
        <f t="shared" si="21"/>
        <v>0</v>
      </c>
      <c r="H117" s="7">
        <f t="shared" si="22"/>
        <v>1</v>
      </c>
    </row>
    <row r="118" spans="1:8" ht="15" customHeight="1" x14ac:dyDescent="0.25">
      <c r="A118" s="11" t="s">
        <v>113</v>
      </c>
      <c r="B118" s="6">
        <v>0</v>
      </c>
      <c r="C118" s="16">
        <v>0</v>
      </c>
      <c r="D118" s="5">
        <f t="shared" si="20"/>
        <v>0</v>
      </c>
      <c r="E118" s="6">
        <v>0</v>
      </c>
      <c r="F118" s="16">
        <v>1</v>
      </c>
      <c r="G118" s="5">
        <f t="shared" si="21"/>
        <v>1</v>
      </c>
      <c r="H118" s="7">
        <f t="shared" si="22"/>
        <v>1</v>
      </c>
    </row>
    <row r="119" spans="1:8" ht="15" customHeight="1" thickBot="1" x14ac:dyDescent="0.3">
      <c r="A119" s="11" t="s">
        <v>114</v>
      </c>
      <c r="B119" s="6">
        <v>1</v>
      </c>
      <c r="C119" s="16">
        <v>0</v>
      </c>
      <c r="D119" s="5">
        <f t="shared" si="20"/>
        <v>1</v>
      </c>
      <c r="E119" s="6">
        <v>1</v>
      </c>
      <c r="F119" s="16">
        <v>2</v>
      </c>
      <c r="G119" s="5">
        <f t="shared" si="21"/>
        <v>3</v>
      </c>
      <c r="H119" s="7">
        <f t="shared" si="22"/>
        <v>4</v>
      </c>
    </row>
    <row r="120" spans="1:8" ht="15" customHeight="1" thickTop="1" thickBot="1" x14ac:dyDescent="0.3">
      <c r="A120" s="12" t="s">
        <v>6</v>
      </c>
      <c r="B120" s="13">
        <f t="shared" ref="B120:H120" si="23">SUM(B100:B119)</f>
        <v>98</v>
      </c>
      <c r="C120" s="13">
        <f t="shared" si="23"/>
        <v>4</v>
      </c>
      <c r="D120" s="13">
        <f t="shared" si="23"/>
        <v>102</v>
      </c>
      <c r="E120" s="13">
        <f t="shared" si="23"/>
        <v>94</v>
      </c>
      <c r="F120" s="13">
        <f t="shared" si="23"/>
        <v>27</v>
      </c>
      <c r="G120" s="13">
        <f t="shared" si="23"/>
        <v>121</v>
      </c>
      <c r="H120" s="15">
        <f t="shared" si="23"/>
        <v>223</v>
      </c>
    </row>
    <row r="121" spans="1:8" ht="15" customHeight="1" thickTop="1" thickBot="1" x14ac:dyDescent="0.3">
      <c r="A121" s="23" t="s">
        <v>115</v>
      </c>
      <c r="B121" s="24"/>
      <c r="C121" s="24"/>
      <c r="D121" s="24"/>
      <c r="E121" s="24"/>
      <c r="F121" s="24"/>
      <c r="G121" s="24"/>
      <c r="H121" s="25"/>
    </row>
    <row r="122" spans="1:8" ht="15" customHeight="1" thickTop="1" x14ac:dyDescent="0.25">
      <c r="A122" s="11" t="s">
        <v>116</v>
      </c>
      <c r="B122" s="6">
        <v>29</v>
      </c>
      <c r="C122" s="16">
        <v>0</v>
      </c>
      <c r="D122" s="5">
        <f t="shared" ref="D122:D123" si="24">B122+C122</f>
        <v>29</v>
      </c>
      <c r="E122" s="6">
        <v>70</v>
      </c>
      <c r="F122" s="16">
        <v>4</v>
      </c>
      <c r="G122" s="5">
        <f t="shared" ref="G122:G123" si="25">E122+F122</f>
        <v>74</v>
      </c>
      <c r="H122" s="7">
        <f t="shared" ref="H122:H123" si="26">G122+D122</f>
        <v>103</v>
      </c>
    </row>
    <row r="123" spans="1:8" ht="15" customHeight="1" thickBot="1" x14ac:dyDescent="0.3">
      <c r="A123" s="11" t="s">
        <v>117</v>
      </c>
      <c r="B123" s="6">
        <v>315</v>
      </c>
      <c r="C123" s="16">
        <v>2</v>
      </c>
      <c r="D123" s="5">
        <f t="shared" si="24"/>
        <v>317</v>
      </c>
      <c r="E123" s="6">
        <v>296</v>
      </c>
      <c r="F123" s="16">
        <v>19</v>
      </c>
      <c r="G123" s="5">
        <f t="shared" si="25"/>
        <v>315</v>
      </c>
      <c r="H123" s="7">
        <f t="shared" si="26"/>
        <v>632</v>
      </c>
    </row>
    <row r="124" spans="1:8" ht="15" customHeight="1" thickTop="1" thickBot="1" x14ac:dyDescent="0.3">
      <c r="A124" s="12" t="s">
        <v>6</v>
      </c>
      <c r="B124" s="13">
        <f>SUM(B122:B123)</f>
        <v>344</v>
      </c>
      <c r="C124" s="13">
        <f t="shared" ref="C124:H124" si="27">SUM(C122:C123)</f>
        <v>2</v>
      </c>
      <c r="D124" s="13">
        <f t="shared" si="27"/>
        <v>346</v>
      </c>
      <c r="E124" s="13">
        <f t="shared" si="27"/>
        <v>366</v>
      </c>
      <c r="F124" s="13">
        <f t="shared" si="27"/>
        <v>23</v>
      </c>
      <c r="G124" s="13">
        <f t="shared" si="27"/>
        <v>389</v>
      </c>
      <c r="H124" s="15">
        <f t="shared" si="27"/>
        <v>735</v>
      </c>
    </row>
    <row r="125" spans="1:8" ht="15" customHeight="1" thickTop="1" thickBot="1" x14ac:dyDescent="0.3">
      <c r="A125" s="23" t="s">
        <v>145</v>
      </c>
      <c r="B125" s="24"/>
      <c r="C125" s="24"/>
      <c r="D125" s="24"/>
      <c r="E125" s="24"/>
      <c r="F125" s="24"/>
      <c r="G125" s="24"/>
      <c r="H125" s="25"/>
    </row>
    <row r="126" spans="1:8" ht="15" customHeight="1" thickTop="1" x14ac:dyDescent="0.25">
      <c r="A126" s="11" t="s">
        <v>118</v>
      </c>
      <c r="B126" s="6">
        <v>2</v>
      </c>
      <c r="C126" s="16">
        <v>0</v>
      </c>
      <c r="D126" s="5">
        <f t="shared" ref="D126:D134" si="28">B126+C126</f>
        <v>2</v>
      </c>
      <c r="E126" s="6">
        <v>0</v>
      </c>
      <c r="F126" s="16">
        <v>0</v>
      </c>
      <c r="G126" s="5">
        <f t="shared" ref="G126:G134" si="29">E126+F126</f>
        <v>0</v>
      </c>
      <c r="H126" s="7">
        <f t="shared" ref="H126:H134" si="30">G126+D126</f>
        <v>2</v>
      </c>
    </row>
    <row r="127" spans="1:8" ht="15" customHeight="1" x14ac:dyDescent="0.25">
      <c r="A127" s="11" t="s">
        <v>119</v>
      </c>
      <c r="B127" s="6">
        <v>1</v>
      </c>
      <c r="C127" s="16">
        <v>0</v>
      </c>
      <c r="D127" s="5">
        <f t="shared" si="28"/>
        <v>1</v>
      </c>
      <c r="E127" s="6">
        <v>0</v>
      </c>
      <c r="F127" s="16">
        <v>0</v>
      </c>
      <c r="G127" s="5">
        <f t="shared" si="29"/>
        <v>0</v>
      </c>
      <c r="H127" s="7">
        <f t="shared" si="30"/>
        <v>1</v>
      </c>
    </row>
    <row r="128" spans="1:8" ht="15" customHeight="1" x14ac:dyDescent="0.25">
      <c r="A128" s="11" t="s">
        <v>120</v>
      </c>
      <c r="B128" s="6">
        <v>5</v>
      </c>
      <c r="C128" s="16">
        <v>0</v>
      </c>
      <c r="D128" s="5">
        <f t="shared" si="28"/>
        <v>5</v>
      </c>
      <c r="E128" s="6">
        <v>1</v>
      </c>
      <c r="F128" s="16">
        <v>0</v>
      </c>
      <c r="G128" s="5">
        <f t="shared" si="29"/>
        <v>1</v>
      </c>
      <c r="H128" s="7">
        <f t="shared" si="30"/>
        <v>6</v>
      </c>
    </row>
    <row r="129" spans="1:8" ht="15" customHeight="1" x14ac:dyDescent="0.25">
      <c r="A129" s="11" t="s">
        <v>122</v>
      </c>
      <c r="B129" s="6">
        <v>1</v>
      </c>
      <c r="C129" s="16">
        <v>0</v>
      </c>
      <c r="D129" s="5">
        <f t="shared" si="28"/>
        <v>1</v>
      </c>
      <c r="E129" s="6">
        <v>0</v>
      </c>
      <c r="F129" s="16">
        <v>0</v>
      </c>
      <c r="G129" s="5">
        <f t="shared" si="29"/>
        <v>0</v>
      </c>
      <c r="H129" s="7">
        <f t="shared" si="30"/>
        <v>1</v>
      </c>
    </row>
    <row r="130" spans="1:8" ht="15" customHeight="1" x14ac:dyDescent="0.25">
      <c r="A130" s="11" t="s">
        <v>123</v>
      </c>
      <c r="B130" s="6">
        <v>3</v>
      </c>
      <c r="C130" s="16">
        <v>0</v>
      </c>
      <c r="D130" s="5">
        <f t="shared" si="28"/>
        <v>3</v>
      </c>
      <c r="E130" s="6">
        <v>5</v>
      </c>
      <c r="F130" s="16">
        <v>0</v>
      </c>
      <c r="G130" s="5">
        <f t="shared" si="29"/>
        <v>5</v>
      </c>
      <c r="H130" s="7">
        <f t="shared" si="30"/>
        <v>8</v>
      </c>
    </row>
    <row r="131" spans="1:8" ht="15" customHeight="1" x14ac:dyDescent="0.25">
      <c r="A131" s="11" t="s">
        <v>191</v>
      </c>
      <c r="B131" s="6">
        <v>0</v>
      </c>
      <c r="C131" s="16">
        <v>0</v>
      </c>
      <c r="D131" s="5">
        <f t="shared" si="28"/>
        <v>0</v>
      </c>
      <c r="E131" s="6">
        <v>1</v>
      </c>
      <c r="F131" s="16">
        <v>0</v>
      </c>
      <c r="G131" s="5">
        <f t="shared" si="29"/>
        <v>1</v>
      </c>
      <c r="H131" s="7">
        <f t="shared" si="30"/>
        <v>1</v>
      </c>
    </row>
    <row r="132" spans="1:8" ht="15" customHeight="1" x14ac:dyDescent="0.25">
      <c r="A132" s="11" t="s">
        <v>209</v>
      </c>
      <c r="B132" s="6">
        <v>0</v>
      </c>
      <c r="C132" s="16">
        <v>0</v>
      </c>
      <c r="D132" s="5">
        <f t="shared" si="28"/>
        <v>0</v>
      </c>
      <c r="E132" s="6">
        <v>2</v>
      </c>
      <c r="F132" s="16">
        <v>0</v>
      </c>
      <c r="G132" s="5">
        <f t="shared" si="29"/>
        <v>2</v>
      </c>
      <c r="H132" s="7">
        <f t="shared" si="30"/>
        <v>2</v>
      </c>
    </row>
    <row r="133" spans="1:8" ht="15" customHeight="1" x14ac:dyDescent="0.25">
      <c r="A133" s="11" t="s">
        <v>192</v>
      </c>
      <c r="B133" s="6">
        <v>9</v>
      </c>
      <c r="C133" s="16">
        <v>0</v>
      </c>
      <c r="D133" s="5">
        <f t="shared" si="28"/>
        <v>9</v>
      </c>
      <c r="E133" s="6">
        <v>5</v>
      </c>
      <c r="F133" s="16">
        <v>2</v>
      </c>
      <c r="G133" s="5">
        <f t="shared" si="29"/>
        <v>7</v>
      </c>
      <c r="H133" s="7">
        <f t="shared" si="30"/>
        <v>16</v>
      </c>
    </row>
    <row r="134" spans="1:8" ht="15" customHeight="1" thickBot="1" x14ac:dyDescent="0.3">
      <c r="A134" s="11" t="s">
        <v>214</v>
      </c>
      <c r="B134" s="6">
        <v>0</v>
      </c>
      <c r="C134" s="16">
        <v>0</v>
      </c>
      <c r="D134" s="5">
        <f t="shared" si="28"/>
        <v>0</v>
      </c>
      <c r="E134" s="6">
        <v>1</v>
      </c>
      <c r="F134" s="16">
        <v>0</v>
      </c>
      <c r="G134" s="5">
        <f t="shared" si="29"/>
        <v>1</v>
      </c>
      <c r="H134" s="7">
        <f t="shared" si="30"/>
        <v>1</v>
      </c>
    </row>
    <row r="135" spans="1:8" ht="15" customHeight="1" thickTop="1" thickBot="1" x14ac:dyDescent="0.3">
      <c r="A135" s="12" t="s">
        <v>6</v>
      </c>
      <c r="B135" s="13">
        <f>SUM(B126:B134)</f>
        <v>21</v>
      </c>
      <c r="C135" s="13">
        <f t="shared" ref="C135:G135" si="31">SUM(C126:C134)</f>
        <v>0</v>
      </c>
      <c r="D135" s="13">
        <f t="shared" si="31"/>
        <v>21</v>
      </c>
      <c r="E135" s="13">
        <f t="shared" si="31"/>
        <v>15</v>
      </c>
      <c r="F135" s="13">
        <f t="shared" si="31"/>
        <v>2</v>
      </c>
      <c r="G135" s="13">
        <f t="shared" si="31"/>
        <v>17</v>
      </c>
      <c r="H135" s="15">
        <f>SUM(H126:H134)</f>
        <v>38</v>
      </c>
    </row>
    <row r="136" spans="1:8" ht="15" customHeight="1" thickTop="1" thickBot="1" x14ac:dyDescent="0.3">
      <c r="A136" s="23" t="s">
        <v>195</v>
      </c>
      <c r="B136" s="24"/>
      <c r="C136" s="24"/>
      <c r="D136" s="24"/>
      <c r="E136" s="24"/>
      <c r="F136" s="24"/>
      <c r="G136" s="24"/>
      <c r="H136" s="25"/>
    </row>
    <row r="137" spans="1:8" ht="15" customHeight="1" thickTop="1" x14ac:dyDescent="0.25">
      <c r="A137" s="11" t="s">
        <v>128</v>
      </c>
      <c r="B137" s="6">
        <v>4</v>
      </c>
      <c r="C137" s="16">
        <v>0</v>
      </c>
      <c r="D137" s="5">
        <f t="shared" ref="D137:D149" si="32">B137+C137</f>
        <v>4</v>
      </c>
      <c r="E137" s="6">
        <v>7</v>
      </c>
      <c r="F137" s="16">
        <v>0</v>
      </c>
      <c r="G137" s="5">
        <f t="shared" ref="G137:G149" si="33">E137+F137</f>
        <v>7</v>
      </c>
      <c r="H137" s="7">
        <f t="shared" ref="H137:H149" si="34">G137+D137</f>
        <v>11</v>
      </c>
    </row>
    <row r="138" spans="1:8" ht="15" customHeight="1" x14ac:dyDescent="0.25">
      <c r="A138" s="11" t="s">
        <v>130</v>
      </c>
      <c r="B138" s="6">
        <v>4</v>
      </c>
      <c r="C138" s="16">
        <v>1</v>
      </c>
      <c r="D138" s="5">
        <f t="shared" si="32"/>
        <v>5</v>
      </c>
      <c r="E138" s="6">
        <v>24</v>
      </c>
      <c r="F138" s="16">
        <v>7</v>
      </c>
      <c r="G138" s="5">
        <f t="shared" si="33"/>
        <v>31</v>
      </c>
      <c r="H138" s="7">
        <f t="shared" si="34"/>
        <v>36</v>
      </c>
    </row>
    <row r="139" spans="1:8" ht="15" customHeight="1" x14ac:dyDescent="0.25">
      <c r="A139" s="11" t="s">
        <v>131</v>
      </c>
      <c r="B139" s="6">
        <v>2</v>
      </c>
      <c r="C139" s="16">
        <v>0</v>
      </c>
      <c r="D139" s="5">
        <f t="shared" si="32"/>
        <v>2</v>
      </c>
      <c r="E139" s="6">
        <v>18</v>
      </c>
      <c r="F139" s="16">
        <v>1</v>
      </c>
      <c r="G139" s="5">
        <f t="shared" si="33"/>
        <v>19</v>
      </c>
      <c r="H139" s="7">
        <f t="shared" si="34"/>
        <v>21</v>
      </c>
    </row>
    <row r="140" spans="1:8" ht="15" customHeight="1" x14ac:dyDescent="0.25">
      <c r="A140" s="11" t="s">
        <v>132</v>
      </c>
      <c r="B140" s="6">
        <v>1</v>
      </c>
      <c r="C140" s="16">
        <v>0</v>
      </c>
      <c r="D140" s="5">
        <f t="shared" si="32"/>
        <v>1</v>
      </c>
      <c r="E140" s="6">
        <v>17</v>
      </c>
      <c r="F140" s="16">
        <v>0</v>
      </c>
      <c r="G140" s="5">
        <f t="shared" si="33"/>
        <v>17</v>
      </c>
      <c r="H140" s="7">
        <f t="shared" si="34"/>
        <v>18</v>
      </c>
    </row>
    <row r="141" spans="1:8" ht="15" customHeight="1" x14ac:dyDescent="0.25">
      <c r="A141" s="11" t="s">
        <v>196</v>
      </c>
      <c r="B141" s="6">
        <v>2</v>
      </c>
      <c r="C141" s="16">
        <v>0</v>
      </c>
      <c r="D141" s="5">
        <f t="shared" si="32"/>
        <v>2</v>
      </c>
      <c r="E141" s="6">
        <v>2</v>
      </c>
      <c r="F141" s="16">
        <v>0</v>
      </c>
      <c r="G141" s="5">
        <f t="shared" si="33"/>
        <v>2</v>
      </c>
      <c r="H141" s="7">
        <f t="shared" si="34"/>
        <v>4</v>
      </c>
    </row>
    <row r="142" spans="1:8" ht="15" customHeight="1" x14ac:dyDescent="0.25">
      <c r="A142" s="11" t="s">
        <v>197</v>
      </c>
      <c r="B142" s="6">
        <v>0</v>
      </c>
      <c r="C142" s="16">
        <v>0</v>
      </c>
      <c r="D142" s="5">
        <f t="shared" si="32"/>
        <v>0</v>
      </c>
      <c r="E142" s="6">
        <v>1</v>
      </c>
      <c r="F142" s="16">
        <v>0</v>
      </c>
      <c r="G142" s="5">
        <f t="shared" si="33"/>
        <v>1</v>
      </c>
      <c r="H142" s="7">
        <f t="shared" si="34"/>
        <v>1</v>
      </c>
    </row>
    <row r="143" spans="1:8" ht="15" customHeight="1" x14ac:dyDescent="0.25">
      <c r="A143" s="11" t="s">
        <v>134</v>
      </c>
      <c r="B143" s="6">
        <v>0</v>
      </c>
      <c r="C143" s="16">
        <v>0</v>
      </c>
      <c r="D143" s="5">
        <f t="shared" ref="D143:D145" si="35">B143+C143</f>
        <v>0</v>
      </c>
      <c r="E143" s="6">
        <v>1</v>
      </c>
      <c r="F143" s="16">
        <v>0</v>
      </c>
      <c r="G143" s="5">
        <f t="shared" ref="G143:G145" si="36">E143+F143</f>
        <v>1</v>
      </c>
      <c r="H143" s="7">
        <f t="shared" ref="H143:H145" si="37">G143+D143</f>
        <v>1</v>
      </c>
    </row>
    <row r="144" spans="1:8" ht="15" customHeight="1" x14ac:dyDescent="0.25">
      <c r="A144" s="11" t="s">
        <v>199</v>
      </c>
      <c r="B144" s="6">
        <v>0</v>
      </c>
      <c r="C144" s="16">
        <v>0</v>
      </c>
      <c r="D144" s="5">
        <f t="shared" si="35"/>
        <v>0</v>
      </c>
      <c r="E144" s="6">
        <v>1</v>
      </c>
      <c r="F144" s="16">
        <v>0</v>
      </c>
      <c r="G144" s="5">
        <f t="shared" si="36"/>
        <v>1</v>
      </c>
      <c r="H144" s="7">
        <f t="shared" si="37"/>
        <v>1</v>
      </c>
    </row>
    <row r="145" spans="1:8" ht="15" customHeight="1" x14ac:dyDescent="0.25">
      <c r="A145" s="11" t="s">
        <v>135</v>
      </c>
      <c r="B145" s="6">
        <v>4</v>
      </c>
      <c r="C145" s="16">
        <v>0</v>
      </c>
      <c r="D145" s="5">
        <f t="shared" si="35"/>
        <v>4</v>
      </c>
      <c r="E145" s="6">
        <v>45</v>
      </c>
      <c r="F145" s="16">
        <v>0</v>
      </c>
      <c r="G145" s="5">
        <f t="shared" si="36"/>
        <v>45</v>
      </c>
      <c r="H145" s="7">
        <f t="shared" si="37"/>
        <v>49</v>
      </c>
    </row>
    <row r="146" spans="1:8" ht="15" customHeight="1" x14ac:dyDescent="0.25">
      <c r="A146" s="11" t="s">
        <v>201</v>
      </c>
      <c r="B146" s="6">
        <v>0</v>
      </c>
      <c r="C146" s="16">
        <v>0</v>
      </c>
      <c r="D146" s="5">
        <f t="shared" si="32"/>
        <v>0</v>
      </c>
      <c r="E146" s="6">
        <v>1</v>
      </c>
      <c r="F146" s="16">
        <v>0</v>
      </c>
      <c r="G146" s="5">
        <f t="shared" si="33"/>
        <v>1</v>
      </c>
      <c r="H146" s="7">
        <f t="shared" si="34"/>
        <v>1</v>
      </c>
    </row>
    <row r="147" spans="1:8" ht="15" customHeight="1" x14ac:dyDescent="0.25">
      <c r="A147" s="11" t="s">
        <v>136</v>
      </c>
      <c r="B147" s="6">
        <v>2</v>
      </c>
      <c r="C147" s="16">
        <v>0</v>
      </c>
      <c r="D147" s="5">
        <f t="shared" si="32"/>
        <v>2</v>
      </c>
      <c r="E147" s="6">
        <v>7</v>
      </c>
      <c r="F147" s="16">
        <v>0</v>
      </c>
      <c r="G147" s="5">
        <f t="shared" si="33"/>
        <v>7</v>
      </c>
      <c r="H147" s="7">
        <f t="shared" si="34"/>
        <v>9</v>
      </c>
    </row>
    <row r="148" spans="1:8" ht="15" customHeight="1" x14ac:dyDescent="0.25">
      <c r="A148" s="11" t="s">
        <v>221</v>
      </c>
      <c r="B148" s="6">
        <v>1</v>
      </c>
      <c r="C148" s="16">
        <v>0</v>
      </c>
      <c r="D148" s="5">
        <f t="shared" si="32"/>
        <v>1</v>
      </c>
      <c r="E148" s="6">
        <v>0</v>
      </c>
      <c r="F148" s="16">
        <v>0</v>
      </c>
      <c r="G148" s="5">
        <f t="shared" si="33"/>
        <v>0</v>
      </c>
      <c r="H148" s="7">
        <f t="shared" si="34"/>
        <v>1</v>
      </c>
    </row>
    <row r="149" spans="1:8" ht="15" customHeight="1" thickBot="1" x14ac:dyDescent="0.3">
      <c r="A149" s="11" t="s">
        <v>203</v>
      </c>
      <c r="B149" s="6">
        <v>0</v>
      </c>
      <c r="C149" s="16">
        <v>0</v>
      </c>
      <c r="D149" s="5">
        <f t="shared" si="32"/>
        <v>0</v>
      </c>
      <c r="E149" s="6">
        <v>3</v>
      </c>
      <c r="F149" s="16">
        <v>1</v>
      </c>
      <c r="G149" s="5">
        <f t="shared" si="33"/>
        <v>4</v>
      </c>
      <c r="H149" s="7">
        <f t="shared" si="34"/>
        <v>4</v>
      </c>
    </row>
    <row r="150" spans="1:8" ht="15" customHeight="1" thickTop="1" thickBot="1" x14ac:dyDescent="0.3">
      <c r="A150" s="12" t="s">
        <v>6</v>
      </c>
      <c r="B150" s="14">
        <f>SUM(B137:B149)</f>
        <v>20</v>
      </c>
      <c r="C150" s="14">
        <f t="shared" ref="C150:H150" si="38">SUM(C137:C149)</f>
        <v>1</v>
      </c>
      <c r="D150" s="14">
        <f t="shared" si="38"/>
        <v>21</v>
      </c>
      <c r="E150" s="14">
        <f t="shared" si="38"/>
        <v>127</v>
      </c>
      <c r="F150" s="14">
        <f t="shared" si="38"/>
        <v>9</v>
      </c>
      <c r="G150" s="14">
        <f t="shared" si="38"/>
        <v>136</v>
      </c>
      <c r="H150" s="15">
        <f t="shared" si="38"/>
        <v>157</v>
      </c>
    </row>
    <row r="151" spans="1:8" ht="15" customHeight="1" thickTop="1" thickBot="1" x14ac:dyDescent="0.3">
      <c r="A151" s="23" t="s">
        <v>138</v>
      </c>
      <c r="B151" s="24"/>
      <c r="C151" s="24"/>
      <c r="D151" s="24"/>
      <c r="E151" s="24"/>
      <c r="F151" s="24"/>
      <c r="G151" s="24"/>
      <c r="H151" s="25"/>
    </row>
    <row r="152" spans="1:8" ht="15" customHeight="1" thickTop="1" x14ac:dyDescent="0.25">
      <c r="A152" s="11" t="s">
        <v>139</v>
      </c>
      <c r="B152" s="6">
        <v>27</v>
      </c>
      <c r="C152" s="16">
        <v>0</v>
      </c>
      <c r="D152" s="5">
        <f t="shared" ref="D152:D155" si="39">B152+C152</f>
        <v>27</v>
      </c>
      <c r="E152" s="6">
        <v>15</v>
      </c>
      <c r="F152" s="16">
        <v>2</v>
      </c>
      <c r="G152" s="5">
        <f t="shared" ref="G152:G155" si="40">E152+F152</f>
        <v>17</v>
      </c>
      <c r="H152" s="7">
        <f t="shared" ref="H152:H155" si="41">G152+D152</f>
        <v>44</v>
      </c>
    </row>
    <row r="153" spans="1:8" ht="15" customHeight="1" x14ac:dyDescent="0.25">
      <c r="A153" s="11" t="s">
        <v>140</v>
      </c>
      <c r="B153" s="6">
        <v>0</v>
      </c>
      <c r="C153" s="16">
        <v>0</v>
      </c>
      <c r="D153" s="5">
        <f t="shared" si="39"/>
        <v>0</v>
      </c>
      <c r="E153" s="6">
        <v>1</v>
      </c>
      <c r="F153" s="16">
        <v>0</v>
      </c>
      <c r="G153" s="5">
        <f t="shared" si="40"/>
        <v>1</v>
      </c>
      <c r="H153" s="7">
        <f t="shared" si="41"/>
        <v>1</v>
      </c>
    </row>
    <row r="154" spans="1:8" ht="15" customHeight="1" x14ac:dyDescent="0.25">
      <c r="A154" s="11" t="s">
        <v>141</v>
      </c>
      <c r="B154" s="6">
        <v>4</v>
      </c>
      <c r="C154" s="16">
        <v>0</v>
      </c>
      <c r="D154" s="5">
        <f t="shared" si="39"/>
        <v>4</v>
      </c>
      <c r="E154" s="6">
        <v>6</v>
      </c>
      <c r="F154" s="16">
        <v>1</v>
      </c>
      <c r="G154" s="5">
        <f t="shared" si="40"/>
        <v>7</v>
      </c>
      <c r="H154" s="7">
        <f t="shared" si="41"/>
        <v>11</v>
      </c>
    </row>
    <row r="155" spans="1:8" ht="15" customHeight="1" thickBot="1" x14ac:dyDescent="0.3">
      <c r="A155" s="11" t="s">
        <v>78</v>
      </c>
      <c r="B155" s="6">
        <v>0</v>
      </c>
      <c r="C155" s="16">
        <v>0</v>
      </c>
      <c r="D155" s="5">
        <f t="shared" si="39"/>
        <v>0</v>
      </c>
      <c r="E155" s="6">
        <v>0</v>
      </c>
      <c r="F155" s="16">
        <v>1</v>
      </c>
      <c r="G155" s="5">
        <f t="shared" si="40"/>
        <v>1</v>
      </c>
      <c r="H155" s="7">
        <f t="shared" si="41"/>
        <v>1</v>
      </c>
    </row>
    <row r="156" spans="1:8" ht="15" customHeight="1" thickTop="1" thickBot="1" x14ac:dyDescent="0.3">
      <c r="A156" s="12" t="s">
        <v>6</v>
      </c>
      <c r="B156" s="13">
        <f t="shared" ref="B156:H156" si="42">SUM(B152:B155)</f>
        <v>31</v>
      </c>
      <c r="C156" s="13">
        <f t="shared" si="42"/>
        <v>0</v>
      </c>
      <c r="D156" s="13">
        <f t="shared" si="42"/>
        <v>31</v>
      </c>
      <c r="E156" s="13">
        <f t="shared" si="42"/>
        <v>22</v>
      </c>
      <c r="F156" s="13">
        <f t="shared" si="42"/>
        <v>4</v>
      </c>
      <c r="G156" s="13">
        <f t="shared" si="42"/>
        <v>26</v>
      </c>
      <c r="H156" s="15">
        <f t="shared" si="42"/>
        <v>57</v>
      </c>
    </row>
    <row r="157" spans="1:8" ht="15" customHeight="1" thickTop="1" thickBot="1" x14ac:dyDescent="0.3">
      <c r="A157" s="23" t="s">
        <v>146</v>
      </c>
      <c r="B157" s="24"/>
      <c r="C157" s="24"/>
      <c r="D157" s="24"/>
      <c r="E157" s="24"/>
      <c r="F157" s="24"/>
      <c r="G157" s="24"/>
      <c r="H157" s="25"/>
    </row>
    <row r="158" spans="1:8" ht="15" customHeight="1" thickTop="1" x14ac:dyDescent="0.25">
      <c r="A158" s="11" t="s">
        <v>206</v>
      </c>
      <c r="B158" s="6">
        <v>5</v>
      </c>
      <c r="C158" s="16">
        <v>0</v>
      </c>
      <c r="D158" s="5">
        <f t="shared" ref="D158:D159" si="43">B158+C158</f>
        <v>5</v>
      </c>
      <c r="E158" s="6">
        <v>10</v>
      </c>
      <c r="F158" s="16">
        <v>2</v>
      </c>
      <c r="G158" s="5">
        <f>E158+F158</f>
        <v>12</v>
      </c>
      <c r="H158" s="7">
        <f t="shared" ref="H158:H159" si="44">G158+D158</f>
        <v>17</v>
      </c>
    </row>
    <row r="159" spans="1:8" ht="15" customHeight="1" thickBot="1" x14ac:dyDescent="0.3">
      <c r="A159" s="11" t="s">
        <v>205</v>
      </c>
      <c r="B159" s="6">
        <v>0</v>
      </c>
      <c r="C159" s="16">
        <v>0</v>
      </c>
      <c r="D159" s="5">
        <f t="shared" si="43"/>
        <v>0</v>
      </c>
      <c r="E159" s="6">
        <v>1</v>
      </c>
      <c r="F159" s="16">
        <v>0</v>
      </c>
      <c r="G159" s="5">
        <f t="shared" ref="G159" si="45">E159+F159</f>
        <v>1</v>
      </c>
      <c r="H159" s="7">
        <f t="shared" si="44"/>
        <v>1</v>
      </c>
    </row>
    <row r="160" spans="1:8" ht="15" customHeight="1" thickTop="1" thickBot="1" x14ac:dyDescent="0.3">
      <c r="A160" s="12" t="s">
        <v>6</v>
      </c>
      <c r="B160" s="13">
        <f>SUM(B158:B159)</f>
        <v>5</v>
      </c>
      <c r="C160" s="13">
        <f t="shared" ref="C160:H160" si="46">SUM(C158:C159)</f>
        <v>0</v>
      </c>
      <c r="D160" s="13">
        <f t="shared" si="46"/>
        <v>5</v>
      </c>
      <c r="E160" s="13">
        <f t="shared" si="46"/>
        <v>11</v>
      </c>
      <c r="F160" s="13">
        <f t="shared" si="46"/>
        <v>2</v>
      </c>
      <c r="G160" s="13">
        <f t="shared" si="46"/>
        <v>13</v>
      </c>
      <c r="H160" s="15">
        <f t="shared" si="46"/>
        <v>18</v>
      </c>
    </row>
    <row r="161" spans="1:8" ht="15" customHeight="1" thickTop="1" thickBot="1" x14ac:dyDescent="0.3">
      <c r="A161" s="23"/>
      <c r="B161" s="24"/>
      <c r="C161" s="24"/>
      <c r="D161" s="24"/>
      <c r="E161" s="24"/>
      <c r="F161" s="24"/>
      <c r="G161" s="24"/>
      <c r="H161" s="25"/>
    </row>
    <row r="162" spans="1:8" ht="15" customHeight="1" thickTop="1" thickBot="1" x14ac:dyDescent="0.3">
      <c r="A162" s="43" t="s">
        <v>0</v>
      </c>
      <c r="B162" s="44">
        <f>B35+B53+B68+B98+B120+B124+B135+B150+B156+B160</f>
        <v>3498</v>
      </c>
      <c r="C162" s="44">
        <f t="shared" ref="C162:H162" si="47">C35+C53+C68+C98+C120+C124+C135+C150+C156+C160</f>
        <v>80</v>
      </c>
      <c r="D162" s="44">
        <f t="shared" si="47"/>
        <v>3578</v>
      </c>
      <c r="E162" s="44">
        <f t="shared" si="47"/>
        <v>2608</v>
      </c>
      <c r="F162" s="44">
        <f t="shared" si="47"/>
        <v>421</v>
      </c>
      <c r="G162" s="44">
        <f t="shared" si="47"/>
        <v>3029</v>
      </c>
      <c r="H162" s="45">
        <f t="shared" si="47"/>
        <v>6607</v>
      </c>
    </row>
    <row r="165" spans="1:8" ht="15" customHeight="1" x14ac:dyDescent="0.25">
      <c r="A165" s="48" t="s">
        <v>217</v>
      </c>
      <c r="B165" s="48"/>
      <c r="C165" s="48"/>
      <c r="D165" s="48"/>
      <c r="E165" s="48"/>
      <c r="F165" s="48"/>
      <c r="G165" s="48"/>
      <c r="H165" s="48"/>
    </row>
    <row r="166" spans="1:8" ht="15" customHeight="1" x14ac:dyDescent="0.25">
      <c r="A166" s="48" t="s">
        <v>218</v>
      </c>
      <c r="B166" s="48"/>
      <c r="C166" s="48"/>
      <c r="D166" s="48"/>
      <c r="E166" s="48"/>
      <c r="F166" s="48"/>
      <c r="G166" s="48"/>
      <c r="H166" s="48"/>
    </row>
    <row r="175" spans="1:8" ht="25.5" customHeight="1" x14ac:dyDescent="0.25"/>
    <row r="176" spans="1:8" ht="25.5" customHeight="1" x14ac:dyDescent="0.25"/>
  </sheetData>
  <mergeCells count="18">
    <mergeCell ref="A165:H165"/>
    <mergeCell ref="A166:H166"/>
    <mergeCell ref="H5:H6"/>
    <mergeCell ref="A2:H2"/>
    <mergeCell ref="B5:D5"/>
    <mergeCell ref="E5:G5"/>
    <mergeCell ref="A7:H7"/>
    <mergeCell ref="A36:H36"/>
    <mergeCell ref="A157:H157"/>
    <mergeCell ref="A5:A6"/>
    <mergeCell ref="A161:H161"/>
    <mergeCell ref="A69:H69"/>
    <mergeCell ref="A99:H99"/>
    <mergeCell ref="A121:H121"/>
    <mergeCell ref="A125:H125"/>
    <mergeCell ref="A136:H136"/>
    <mergeCell ref="A151:H151"/>
    <mergeCell ref="A54:H54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6"/>
  <sheetViews>
    <sheetView view="pageLayout" topLeftCell="A135" zoomScaleNormal="85" workbookViewId="0">
      <selection activeCell="A178" sqref="A178"/>
    </sheetView>
  </sheetViews>
  <sheetFormatPr defaultRowHeight="15" customHeight="1" x14ac:dyDescent="0.25"/>
  <cols>
    <col min="1" max="1" width="18.85546875" bestFit="1" customWidth="1"/>
    <col min="2" max="8" width="6" customWidth="1"/>
    <col min="9" max="11" width="5.5703125" customWidth="1"/>
  </cols>
  <sheetData>
    <row r="1" spans="1:9" ht="15" customHeight="1" x14ac:dyDescent="0.25">
      <c r="A1" s="1" t="s">
        <v>7</v>
      </c>
      <c r="B1" s="3"/>
    </row>
    <row r="2" spans="1:9" ht="15" customHeight="1" x14ac:dyDescent="0.25">
      <c r="A2" s="31" t="s">
        <v>8</v>
      </c>
      <c r="B2" s="31"/>
      <c r="C2" s="31"/>
      <c r="D2" s="31"/>
      <c r="E2" s="31"/>
      <c r="F2" s="31"/>
      <c r="G2" s="31"/>
      <c r="H2" s="31"/>
    </row>
    <row r="3" spans="1:9" ht="15" customHeight="1" x14ac:dyDescent="0.25">
      <c r="A3" s="2" t="str">
        <f ca="1">RIGHT(CELL("filename",A1),LEN(CELL("filename",A1))-FIND("]",CELL("filename",A1)))</f>
        <v>2006-07</v>
      </c>
      <c r="B3" s="3"/>
    </row>
    <row r="4" spans="1:9" ht="15" customHeight="1" thickBot="1" x14ac:dyDescent="0.3">
      <c r="A4" s="3"/>
      <c r="B4" s="3"/>
    </row>
    <row r="5" spans="1:9" ht="15" customHeight="1" x14ac:dyDescent="0.25">
      <c r="A5" s="29" t="s">
        <v>3</v>
      </c>
      <c r="B5" s="26" t="s">
        <v>1</v>
      </c>
      <c r="C5" s="27"/>
      <c r="D5" s="27"/>
      <c r="E5" s="26" t="s">
        <v>2</v>
      </c>
      <c r="F5" s="27"/>
      <c r="G5" s="27"/>
      <c r="H5" s="62" t="s">
        <v>0</v>
      </c>
    </row>
    <row r="6" spans="1:9" ht="15" customHeight="1" x14ac:dyDescent="0.25">
      <c r="A6" s="30"/>
      <c r="B6" s="59" t="s">
        <v>4</v>
      </c>
      <c r="C6" s="60" t="s">
        <v>5</v>
      </c>
      <c r="D6" s="61" t="s">
        <v>0</v>
      </c>
      <c r="E6" s="59" t="s">
        <v>4</v>
      </c>
      <c r="F6" s="60" t="s">
        <v>5</v>
      </c>
      <c r="G6" s="61" t="s">
        <v>0</v>
      </c>
      <c r="H6" s="63"/>
      <c r="I6" s="22"/>
    </row>
    <row r="7" spans="1:9" ht="15" customHeight="1" thickBot="1" x14ac:dyDescent="0.3">
      <c r="A7" s="32" t="s">
        <v>9</v>
      </c>
      <c r="B7" s="33"/>
      <c r="C7" s="33"/>
      <c r="D7" s="33"/>
      <c r="E7" s="33"/>
      <c r="F7" s="33"/>
      <c r="G7" s="33"/>
      <c r="H7" s="34"/>
    </row>
    <row r="8" spans="1:9" ht="15" customHeight="1" thickTop="1" x14ac:dyDescent="0.25">
      <c r="A8" s="11" t="s">
        <v>10</v>
      </c>
      <c r="B8" s="6">
        <v>21</v>
      </c>
      <c r="C8" s="4">
        <v>0</v>
      </c>
      <c r="D8" s="5">
        <f t="shared" ref="D8:D32" si="0">B8+C8</f>
        <v>21</v>
      </c>
      <c r="E8" s="6">
        <v>22</v>
      </c>
      <c r="F8" s="4">
        <v>1</v>
      </c>
      <c r="G8" s="5">
        <f t="shared" ref="G8:G32" si="1">E8+F8</f>
        <v>23</v>
      </c>
      <c r="H8" s="7">
        <f t="shared" ref="H8:H32" si="2">G8+D8</f>
        <v>44</v>
      </c>
    </row>
    <row r="9" spans="1:9" ht="15" customHeight="1" x14ac:dyDescent="0.25">
      <c r="A9" s="11" t="s">
        <v>11</v>
      </c>
      <c r="B9" s="6">
        <v>42</v>
      </c>
      <c r="C9" s="4">
        <v>0</v>
      </c>
      <c r="D9" s="5">
        <f t="shared" si="0"/>
        <v>42</v>
      </c>
      <c r="E9" s="6">
        <v>16</v>
      </c>
      <c r="F9" s="4">
        <v>2</v>
      </c>
      <c r="G9" s="5">
        <f t="shared" si="1"/>
        <v>18</v>
      </c>
      <c r="H9" s="7">
        <f t="shared" si="2"/>
        <v>60</v>
      </c>
    </row>
    <row r="10" spans="1:9" ht="15" customHeight="1" x14ac:dyDescent="0.25">
      <c r="A10" s="11" t="s">
        <v>30</v>
      </c>
      <c r="B10" s="6">
        <v>109</v>
      </c>
      <c r="C10" s="4">
        <v>1</v>
      </c>
      <c r="D10" s="5">
        <f t="shared" si="0"/>
        <v>110</v>
      </c>
      <c r="E10" s="6">
        <v>61</v>
      </c>
      <c r="F10" s="4">
        <v>13</v>
      </c>
      <c r="G10" s="5">
        <f t="shared" si="1"/>
        <v>74</v>
      </c>
      <c r="H10" s="7">
        <f t="shared" si="2"/>
        <v>184</v>
      </c>
    </row>
    <row r="11" spans="1:9" ht="15" customHeight="1" x14ac:dyDescent="0.25">
      <c r="A11" s="11" t="s">
        <v>31</v>
      </c>
      <c r="B11" s="6">
        <v>22</v>
      </c>
      <c r="C11" s="4">
        <v>1</v>
      </c>
      <c r="D11" s="5">
        <f t="shared" si="0"/>
        <v>23</v>
      </c>
      <c r="E11" s="6">
        <v>1</v>
      </c>
      <c r="F11" s="4">
        <v>2</v>
      </c>
      <c r="G11" s="5">
        <f t="shared" si="1"/>
        <v>3</v>
      </c>
      <c r="H11" s="7">
        <f t="shared" si="2"/>
        <v>26</v>
      </c>
    </row>
    <row r="12" spans="1:9" ht="15" customHeight="1" x14ac:dyDescent="0.25">
      <c r="A12" s="11" t="s">
        <v>12</v>
      </c>
      <c r="B12" s="6">
        <v>11</v>
      </c>
      <c r="C12" s="4">
        <v>0</v>
      </c>
      <c r="D12" s="5">
        <f t="shared" si="0"/>
        <v>11</v>
      </c>
      <c r="E12" s="6">
        <v>16</v>
      </c>
      <c r="F12" s="4">
        <v>2</v>
      </c>
      <c r="G12" s="5">
        <f t="shared" si="1"/>
        <v>18</v>
      </c>
      <c r="H12" s="7">
        <f t="shared" si="2"/>
        <v>29</v>
      </c>
    </row>
    <row r="13" spans="1:9" ht="15" customHeight="1" x14ac:dyDescent="0.25">
      <c r="A13" s="11" t="s">
        <v>13</v>
      </c>
      <c r="B13" s="6">
        <v>11</v>
      </c>
      <c r="C13" s="4">
        <v>0</v>
      </c>
      <c r="D13" s="5">
        <f t="shared" si="0"/>
        <v>11</v>
      </c>
      <c r="E13" s="6">
        <v>42</v>
      </c>
      <c r="F13" s="4">
        <v>24</v>
      </c>
      <c r="G13" s="5">
        <f t="shared" si="1"/>
        <v>66</v>
      </c>
      <c r="H13" s="7">
        <f t="shared" si="2"/>
        <v>77</v>
      </c>
    </row>
    <row r="14" spans="1:9" ht="15" customHeight="1" x14ac:dyDescent="0.25">
      <c r="A14" s="11" t="s">
        <v>33</v>
      </c>
      <c r="B14" s="6">
        <v>7</v>
      </c>
      <c r="C14" s="4">
        <v>0</v>
      </c>
      <c r="D14" s="5">
        <f t="shared" si="0"/>
        <v>7</v>
      </c>
      <c r="E14" s="6">
        <v>2</v>
      </c>
      <c r="F14" s="4">
        <v>0</v>
      </c>
      <c r="G14" s="5">
        <f t="shared" si="1"/>
        <v>2</v>
      </c>
      <c r="H14" s="7">
        <f t="shared" si="2"/>
        <v>9</v>
      </c>
    </row>
    <row r="15" spans="1:9" ht="15" customHeight="1" x14ac:dyDescent="0.25">
      <c r="A15" s="11" t="s">
        <v>14</v>
      </c>
      <c r="B15" s="6">
        <v>19</v>
      </c>
      <c r="C15" s="4">
        <v>0</v>
      </c>
      <c r="D15" s="5">
        <f t="shared" si="0"/>
        <v>19</v>
      </c>
      <c r="E15" s="6">
        <v>12</v>
      </c>
      <c r="F15" s="4">
        <v>1</v>
      </c>
      <c r="G15" s="5">
        <f t="shared" si="1"/>
        <v>13</v>
      </c>
      <c r="H15" s="7">
        <f t="shared" si="2"/>
        <v>32</v>
      </c>
    </row>
    <row r="16" spans="1:9" ht="15" customHeight="1" x14ac:dyDescent="0.25">
      <c r="A16" s="11" t="s">
        <v>15</v>
      </c>
      <c r="B16" s="6">
        <v>148</v>
      </c>
      <c r="C16" s="4">
        <v>1</v>
      </c>
      <c r="D16" s="5">
        <f t="shared" si="0"/>
        <v>149</v>
      </c>
      <c r="E16" s="6">
        <v>84</v>
      </c>
      <c r="F16" s="4">
        <v>4</v>
      </c>
      <c r="G16" s="5">
        <f t="shared" si="1"/>
        <v>88</v>
      </c>
      <c r="H16" s="7">
        <f t="shared" si="2"/>
        <v>237</v>
      </c>
    </row>
    <row r="17" spans="1:8" ht="15" customHeight="1" x14ac:dyDescent="0.25">
      <c r="A17" s="11" t="s">
        <v>16</v>
      </c>
      <c r="B17" s="6">
        <v>151</v>
      </c>
      <c r="C17" s="4">
        <v>2</v>
      </c>
      <c r="D17" s="5">
        <f t="shared" si="0"/>
        <v>153</v>
      </c>
      <c r="E17" s="6">
        <v>120</v>
      </c>
      <c r="F17" s="4">
        <v>20</v>
      </c>
      <c r="G17" s="5">
        <f t="shared" si="1"/>
        <v>140</v>
      </c>
      <c r="H17" s="7">
        <f t="shared" si="2"/>
        <v>293</v>
      </c>
    </row>
    <row r="18" spans="1:8" ht="15" customHeight="1" x14ac:dyDescent="0.25">
      <c r="A18" s="11" t="s">
        <v>160</v>
      </c>
      <c r="B18" s="6">
        <v>3</v>
      </c>
      <c r="C18" s="4">
        <v>0</v>
      </c>
      <c r="D18" s="5">
        <f t="shared" si="0"/>
        <v>3</v>
      </c>
      <c r="E18" s="6">
        <v>0</v>
      </c>
      <c r="F18" s="4">
        <v>0</v>
      </c>
      <c r="G18" s="5">
        <f t="shared" si="1"/>
        <v>0</v>
      </c>
      <c r="H18" s="7">
        <f t="shared" si="2"/>
        <v>3</v>
      </c>
    </row>
    <row r="19" spans="1:8" ht="15" customHeight="1" x14ac:dyDescent="0.25">
      <c r="A19" s="11" t="s">
        <v>17</v>
      </c>
      <c r="B19" s="6">
        <v>85</v>
      </c>
      <c r="C19" s="4">
        <v>3</v>
      </c>
      <c r="D19" s="5">
        <f t="shared" si="0"/>
        <v>88</v>
      </c>
      <c r="E19" s="6">
        <v>229</v>
      </c>
      <c r="F19" s="4">
        <v>30</v>
      </c>
      <c r="G19" s="5">
        <f t="shared" si="1"/>
        <v>259</v>
      </c>
      <c r="H19" s="7">
        <f t="shared" si="2"/>
        <v>347</v>
      </c>
    </row>
    <row r="20" spans="1:8" ht="15" customHeight="1" x14ac:dyDescent="0.25">
      <c r="A20" s="11" t="s">
        <v>34</v>
      </c>
      <c r="B20" s="6">
        <v>11</v>
      </c>
      <c r="C20" s="4">
        <v>0</v>
      </c>
      <c r="D20" s="5">
        <f t="shared" si="0"/>
        <v>11</v>
      </c>
      <c r="E20" s="6">
        <v>7</v>
      </c>
      <c r="F20" s="4">
        <v>0</v>
      </c>
      <c r="G20" s="5">
        <f t="shared" si="1"/>
        <v>7</v>
      </c>
      <c r="H20" s="7">
        <f t="shared" si="2"/>
        <v>18</v>
      </c>
    </row>
    <row r="21" spans="1:8" ht="15" customHeight="1" x14ac:dyDescent="0.25">
      <c r="A21" s="11" t="s">
        <v>18</v>
      </c>
      <c r="B21" s="6">
        <v>108</v>
      </c>
      <c r="C21" s="4">
        <v>2</v>
      </c>
      <c r="D21" s="5">
        <f t="shared" si="0"/>
        <v>110</v>
      </c>
      <c r="E21" s="6">
        <v>131</v>
      </c>
      <c r="F21" s="4">
        <v>21</v>
      </c>
      <c r="G21" s="5">
        <f t="shared" si="1"/>
        <v>152</v>
      </c>
      <c r="H21" s="7">
        <f t="shared" si="2"/>
        <v>262</v>
      </c>
    </row>
    <row r="22" spans="1:8" ht="15" customHeight="1" x14ac:dyDescent="0.25">
      <c r="A22" s="11" t="s">
        <v>36</v>
      </c>
      <c r="B22" s="6">
        <v>4</v>
      </c>
      <c r="C22" s="4">
        <v>1</v>
      </c>
      <c r="D22" s="5">
        <f t="shared" si="0"/>
        <v>5</v>
      </c>
      <c r="E22" s="6">
        <v>1</v>
      </c>
      <c r="F22" s="4">
        <v>1</v>
      </c>
      <c r="G22" s="5">
        <f t="shared" si="1"/>
        <v>2</v>
      </c>
      <c r="H22" s="7">
        <f t="shared" si="2"/>
        <v>7</v>
      </c>
    </row>
    <row r="23" spans="1:8" ht="15" customHeight="1" x14ac:dyDescent="0.25">
      <c r="A23" s="11" t="s">
        <v>149</v>
      </c>
      <c r="B23" s="6">
        <v>6</v>
      </c>
      <c r="C23" s="4">
        <v>0</v>
      </c>
      <c r="D23" s="5">
        <f t="shared" si="0"/>
        <v>6</v>
      </c>
      <c r="E23" s="6">
        <v>3</v>
      </c>
      <c r="F23" s="4">
        <v>0</v>
      </c>
      <c r="G23" s="5">
        <f t="shared" si="1"/>
        <v>3</v>
      </c>
      <c r="H23" s="7">
        <f t="shared" si="2"/>
        <v>9</v>
      </c>
    </row>
    <row r="24" spans="1:8" ht="15" customHeight="1" x14ac:dyDescent="0.25">
      <c r="A24" s="11" t="s">
        <v>19</v>
      </c>
      <c r="B24" s="6">
        <v>8</v>
      </c>
      <c r="C24" s="4">
        <v>0</v>
      </c>
      <c r="D24" s="5">
        <f t="shared" si="0"/>
        <v>8</v>
      </c>
      <c r="E24" s="6">
        <v>7</v>
      </c>
      <c r="F24" s="4">
        <v>1</v>
      </c>
      <c r="G24" s="5">
        <f t="shared" si="1"/>
        <v>8</v>
      </c>
      <c r="H24" s="7">
        <f t="shared" si="2"/>
        <v>16</v>
      </c>
    </row>
    <row r="25" spans="1:8" ht="15" customHeight="1" x14ac:dyDescent="0.25">
      <c r="A25" s="11" t="s">
        <v>38</v>
      </c>
      <c r="B25" s="6">
        <v>1</v>
      </c>
      <c r="C25" s="4">
        <v>0</v>
      </c>
      <c r="D25" s="5">
        <f t="shared" si="0"/>
        <v>1</v>
      </c>
      <c r="E25" s="6">
        <v>4</v>
      </c>
      <c r="F25" s="4">
        <v>7</v>
      </c>
      <c r="G25" s="5">
        <f t="shared" si="1"/>
        <v>11</v>
      </c>
      <c r="H25" s="7">
        <f t="shared" si="2"/>
        <v>12</v>
      </c>
    </row>
    <row r="26" spans="1:8" ht="15" customHeight="1" x14ac:dyDescent="0.25">
      <c r="A26" s="11" t="s">
        <v>20</v>
      </c>
      <c r="B26" s="6">
        <v>20</v>
      </c>
      <c r="C26" s="4">
        <v>0</v>
      </c>
      <c r="D26" s="5">
        <f t="shared" si="0"/>
        <v>20</v>
      </c>
      <c r="E26" s="6">
        <v>34</v>
      </c>
      <c r="F26" s="4">
        <v>7</v>
      </c>
      <c r="G26" s="5">
        <f t="shared" si="1"/>
        <v>41</v>
      </c>
      <c r="H26" s="7">
        <f t="shared" si="2"/>
        <v>61</v>
      </c>
    </row>
    <row r="27" spans="1:8" ht="15" customHeight="1" x14ac:dyDescent="0.25">
      <c r="A27" s="11" t="s">
        <v>40</v>
      </c>
      <c r="B27" s="6">
        <v>71</v>
      </c>
      <c r="C27" s="4">
        <v>1</v>
      </c>
      <c r="D27" s="5">
        <f t="shared" si="0"/>
        <v>72</v>
      </c>
      <c r="E27" s="6">
        <v>33</v>
      </c>
      <c r="F27" s="4">
        <v>8</v>
      </c>
      <c r="G27" s="5">
        <f t="shared" si="1"/>
        <v>41</v>
      </c>
      <c r="H27" s="7">
        <f t="shared" si="2"/>
        <v>113</v>
      </c>
    </row>
    <row r="28" spans="1:8" ht="15" customHeight="1" x14ac:dyDescent="0.25">
      <c r="A28" s="11" t="s">
        <v>21</v>
      </c>
      <c r="B28" s="6">
        <v>24</v>
      </c>
      <c r="C28" s="4">
        <v>1</v>
      </c>
      <c r="D28" s="5">
        <f t="shared" si="0"/>
        <v>25</v>
      </c>
      <c r="E28" s="6">
        <v>44</v>
      </c>
      <c r="F28" s="4">
        <v>8</v>
      </c>
      <c r="G28" s="5">
        <f t="shared" si="1"/>
        <v>52</v>
      </c>
      <c r="H28" s="7">
        <f t="shared" si="2"/>
        <v>77</v>
      </c>
    </row>
    <row r="29" spans="1:8" ht="15" customHeight="1" x14ac:dyDescent="0.25">
      <c r="A29" s="11" t="s">
        <v>43</v>
      </c>
      <c r="B29" s="6">
        <v>8</v>
      </c>
      <c r="C29" s="4">
        <v>0</v>
      </c>
      <c r="D29" s="5">
        <f t="shared" si="0"/>
        <v>8</v>
      </c>
      <c r="E29" s="6">
        <v>2</v>
      </c>
      <c r="F29" s="4">
        <v>1</v>
      </c>
      <c r="G29" s="5">
        <f t="shared" si="1"/>
        <v>3</v>
      </c>
      <c r="H29" s="7">
        <f t="shared" si="2"/>
        <v>11</v>
      </c>
    </row>
    <row r="30" spans="1:8" ht="15" customHeight="1" x14ac:dyDescent="0.25">
      <c r="A30" s="11" t="s">
        <v>44</v>
      </c>
      <c r="B30" s="6">
        <v>2</v>
      </c>
      <c r="C30" s="4">
        <v>0</v>
      </c>
      <c r="D30" s="5">
        <f t="shared" si="0"/>
        <v>2</v>
      </c>
      <c r="E30" s="6">
        <v>7</v>
      </c>
      <c r="F30" s="4">
        <v>1</v>
      </c>
      <c r="G30" s="5">
        <f t="shared" si="1"/>
        <v>8</v>
      </c>
      <c r="H30" s="7">
        <f t="shared" si="2"/>
        <v>10</v>
      </c>
    </row>
    <row r="31" spans="1:8" ht="15" customHeight="1" x14ac:dyDescent="0.25">
      <c r="A31" s="11" t="s">
        <v>22</v>
      </c>
      <c r="B31" s="6">
        <v>67</v>
      </c>
      <c r="C31" s="4">
        <v>0</v>
      </c>
      <c r="D31" s="5">
        <f t="shared" si="0"/>
        <v>67</v>
      </c>
      <c r="E31" s="6">
        <v>40</v>
      </c>
      <c r="F31" s="4">
        <v>3</v>
      </c>
      <c r="G31" s="5">
        <f t="shared" si="1"/>
        <v>43</v>
      </c>
      <c r="H31" s="7">
        <f t="shared" si="2"/>
        <v>110</v>
      </c>
    </row>
    <row r="32" spans="1:8" ht="15" customHeight="1" thickBot="1" x14ac:dyDescent="0.3">
      <c r="A32" s="11" t="s">
        <v>23</v>
      </c>
      <c r="B32" s="8">
        <v>61</v>
      </c>
      <c r="C32" s="9">
        <v>0</v>
      </c>
      <c r="D32" s="5">
        <f t="shared" si="0"/>
        <v>61</v>
      </c>
      <c r="E32" s="8">
        <v>22</v>
      </c>
      <c r="F32" s="9">
        <v>1</v>
      </c>
      <c r="G32" s="5">
        <f t="shared" si="1"/>
        <v>23</v>
      </c>
      <c r="H32" s="7">
        <f t="shared" si="2"/>
        <v>84</v>
      </c>
    </row>
    <row r="33" spans="1:8" ht="15" customHeight="1" thickTop="1" thickBot="1" x14ac:dyDescent="0.3">
      <c r="A33" s="12" t="s">
        <v>6</v>
      </c>
      <c r="B33" s="13">
        <f>SUM(B8:B32)</f>
        <v>1020</v>
      </c>
      <c r="C33" s="13">
        <f t="shared" ref="C33:H33" si="3">SUM(C8:C32)</f>
        <v>13</v>
      </c>
      <c r="D33" s="13">
        <f t="shared" si="3"/>
        <v>1033</v>
      </c>
      <c r="E33" s="13">
        <f t="shared" si="3"/>
        <v>940</v>
      </c>
      <c r="F33" s="13">
        <f t="shared" si="3"/>
        <v>158</v>
      </c>
      <c r="G33" s="13">
        <f t="shared" si="3"/>
        <v>1098</v>
      </c>
      <c r="H33" s="15">
        <f t="shared" si="3"/>
        <v>2131</v>
      </c>
    </row>
    <row r="34" spans="1:8" ht="15" customHeight="1" thickTop="1" thickBot="1" x14ac:dyDescent="0.3">
      <c r="A34" s="23" t="s">
        <v>24</v>
      </c>
      <c r="B34" s="24"/>
      <c r="C34" s="24"/>
      <c r="D34" s="24"/>
      <c r="E34" s="24"/>
      <c r="F34" s="24"/>
      <c r="G34" s="24"/>
      <c r="H34" s="25"/>
    </row>
    <row r="35" spans="1:8" ht="15" customHeight="1" thickTop="1" x14ac:dyDescent="0.25">
      <c r="A35" s="11" t="s">
        <v>25</v>
      </c>
      <c r="B35" s="6">
        <v>3</v>
      </c>
      <c r="C35" s="16">
        <v>0</v>
      </c>
      <c r="D35" s="5">
        <f t="shared" ref="D35:D51" si="4">B35+C35</f>
        <v>3</v>
      </c>
      <c r="E35" s="6">
        <v>0</v>
      </c>
      <c r="F35" s="16">
        <v>0</v>
      </c>
      <c r="G35" s="5">
        <f t="shared" ref="G35:G51" si="5">E35+F35</f>
        <v>0</v>
      </c>
      <c r="H35" s="7">
        <f t="shared" ref="H35:H51" si="6">G35+D35</f>
        <v>3</v>
      </c>
    </row>
    <row r="36" spans="1:8" ht="15" customHeight="1" x14ac:dyDescent="0.25">
      <c r="A36" s="11" t="s">
        <v>26</v>
      </c>
      <c r="B36" s="6">
        <v>0</v>
      </c>
      <c r="C36" s="16">
        <v>0</v>
      </c>
      <c r="D36" s="5">
        <f t="shared" si="4"/>
        <v>0</v>
      </c>
      <c r="E36" s="6">
        <v>0</v>
      </c>
      <c r="F36" s="16">
        <v>1</v>
      </c>
      <c r="G36" s="5">
        <f t="shared" si="5"/>
        <v>1</v>
      </c>
      <c r="H36" s="7">
        <f t="shared" si="6"/>
        <v>1</v>
      </c>
    </row>
    <row r="37" spans="1:8" ht="15" customHeight="1" x14ac:dyDescent="0.25">
      <c r="A37" s="11" t="s">
        <v>148</v>
      </c>
      <c r="B37" s="6">
        <v>3</v>
      </c>
      <c r="C37" s="16">
        <v>0</v>
      </c>
      <c r="D37" s="5">
        <f t="shared" si="4"/>
        <v>3</v>
      </c>
      <c r="E37" s="6">
        <v>2</v>
      </c>
      <c r="F37" s="16">
        <v>0</v>
      </c>
      <c r="G37" s="5">
        <f t="shared" si="5"/>
        <v>2</v>
      </c>
      <c r="H37" s="7">
        <f t="shared" si="6"/>
        <v>5</v>
      </c>
    </row>
    <row r="38" spans="1:8" ht="15" customHeight="1" x14ac:dyDescent="0.25">
      <c r="A38" s="11" t="s">
        <v>27</v>
      </c>
      <c r="B38" s="6">
        <v>0</v>
      </c>
      <c r="C38" s="16">
        <v>0</v>
      </c>
      <c r="D38" s="5">
        <f t="shared" si="4"/>
        <v>0</v>
      </c>
      <c r="E38" s="6">
        <v>1</v>
      </c>
      <c r="F38" s="16">
        <v>0</v>
      </c>
      <c r="G38" s="5">
        <f t="shared" si="5"/>
        <v>1</v>
      </c>
      <c r="H38" s="7">
        <f t="shared" si="6"/>
        <v>1</v>
      </c>
    </row>
    <row r="39" spans="1:8" ht="15" customHeight="1" x14ac:dyDescent="0.25">
      <c r="A39" s="11" t="s">
        <v>28</v>
      </c>
      <c r="B39" s="6">
        <v>12</v>
      </c>
      <c r="C39" s="16">
        <v>1</v>
      </c>
      <c r="D39" s="5">
        <f t="shared" si="4"/>
        <v>13</v>
      </c>
      <c r="E39" s="6">
        <v>7</v>
      </c>
      <c r="F39" s="16">
        <v>2</v>
      </c>
      <c r="G39" s="5">
        <f t="shared" si="5"/>
        <v>9</v>
      </c>
      <c r="H39" s="7">
        <f t="shared" si="6"/>
        <v>22</v>
      </c>
    </row>
    <row r="40" spans="1:8" ht="15" customHeight="1" x14ac:dyDescent="0.25">
      <c r="A40" s="11" t="s">
        <v>29</v>
      </c>
      <c r="B40" s="6">
        <v>1</v>
      </c>
      <c r="C40" s="16">
        <v>0</v>
      </c>
      <c r="D40" s="5">
        <f t="shared" si="4"/>
        <v>1</v>
      </c>
      <c r="E40" s="6">
        <v>5</v>
      </c>
      <c r="F40" s="16">
        <v>0</v>
      </c>
      <c r="G40" s="5">
        <f t="shared" si="5"/>
        <v>5</v>
      </c>
      <c r="H40" s="7">
        <f t="shared" si="6"/>
        <v>6</v>
      </c>
    </row>
    <row r="41" spans="1:8" ht="15" customHeight="1" x14ac:dyDescent="0.25">
      <c r="A41" s="11" t="s">
        <v>35</v>
      </c>
      <c r="B41" s="6">
        <v>1</v>
      </c>
      <c r="C41" s="16">
        <v>0</v>
      </c>
      <c r="D41" s="5">
        <f t="shared" si="4"/>
        <v>1</v>
      </c>
      <c r="E41" s="6">
        <v>3</v>
      </c>
      <c r="F41" s="16">
        <v>1</v>
      </c>
      <c r="G41" s="5">
        <f t="shared" si="5"/>
        <v>4</v>
      </c>
      <c r="H41" s="7">
        <f t="shared" si="6"/>
        <v>5</v>
      </c>
    </row>
    <row r="42" spans="1:8" ht="15" customHeight="1" x14ac:dyDescent="0.25">
      <c r="A42" s="11" t="s">
        <v>166</v>
      </c>
      <c r="B42" s="6">
        <v>1</v>
      </c>
      <c r="C42" s="16">
        <v>0</v>
      </c>
      <c r="D42" s="5">
        <f t="shared" si="4"/>
        <v>1</v>
      </c>
      <c r="E42" s="6">
        <v>6</v>
      </c>
      <c r="F42" s="16">
        <v>0</v>
      </c>
      <c r="G42" s="5">
        <f t="shared" si="5"/>
        <v>6</v>
      </c>
      <c r="H42" s="7">
        <f t="shared" si="6"/>
        <v>7</v>
      </c>
    </row>
    <row r="43" spans="1:8" ht="15" customHeight="1" x14ac:dyDescent="0.25">
      <c r="A43" s="11" t="s">
        <v>167</v>
      </c>
      <c r="B43" s="6">
        <v>1</v>
      </c>
      <c r="C43" s="16">
        <v>0</v>
      </c>
      <c r="D43" s="5">
        <f t="shared" si="4"/>
        <v>1</v>
      </c>
      <c r="E43" s="6">
        <v>2</v>
      </c>
      <c r="F43" s="16">
        <v>0</v>
      </c>
      <c r="G43" s="5">
        <f t="shared" si="5"/>
        <v>2</v>
      </c>
      <c r="H43" s="7">
        <f t="shared" si="6"/>
        <v>3</v>
      </c>
    </row>
    <row r="44" spans="1:8" ht="15" customHeight="1" x14ac:dyDescent="0.25">
      <c r="A44" s="11" t="s">
        <v>168</v>
      </c>
      <c r="B44" s="6">
        <v>2</v>
      </c>
      <c r="C44" s="16">
        <v>0</v>
      </c>
      <c r="D44" s="5">
        <f t="shared" si="4"/>
        <v>2</v>
      </c>
      <c r="E44" s="6">
        <v>0</v>
      </c>
      <c r="F44" s="16">
        <v>0</v>
      </c>
      <c r="G44" s="5">
        <f t="shared" si="5"/>
        <v>0</v>
      </c>
      <c r="H44" s="7">
        <f t="shared" si="6"/>
        <v>2</v>
      </c>
    </row>
    <row r="45" spans="1:8" ht="15" customHeight="1" x14ac:dyDescent="0.25">
      <c r="A45" s="11" t="s">
        <v>39</v>
      </c>
      <c r="B45" s="6">
        <v>12</v>
      </c>
      <c r="C45" s="16">
        <v>0</v>
      </c>
      <c r="D45" s="5">
        <f t="shared" si="4"/>
        <v>12</v>
      </c>
      <c r="E45" s="6">
        <v>11</v>
      </c>
      <c r="F45" s="16">
        <v>3</v>
      </c>
      <c r="G45" s="5">
        <f t="shared" si="5"/>
        <v>14</v>
      </c>
      <c r="H45" s="7">
        <f t="shared" si="6"/>
        <v>26</v>
      </c>
    </row>
    <row r="46" spans="1:8" ht="15" customHeight="1" x14ac:dyDescent="0.25">
      <c r="A46" s="11" t="s">
        <v>41</v>
      </c>
      <c r="B46" s="6">
        <v>11</v>
      </c>
      <c r="C46" s="16">
        <v>0</v>
      </c>
      <c r="D46" s="5">
        <f t="shared" si="4"/>
        <v>11</v>
      </c>
      <c r="E46" s="6">
        <v>12</v>
      </c>
      <c r="F46" s="16">
        <v>1</v>
      </c>
      <c r="G46" s="5">
        <f t="shared" si="5"/>
        <v>13</v>
      </c>
      <c r="H46" s="7">
        <f t="shared" si="6"/>
        <v>24</v>
      </c>
    </row>
    <row r="47" spans="1:8" ht="15" customHeight="1" x14ac:dyDescent="0.25">
      <c r="A47" s="11" t="s">
        <v>42</v>
      </c>
      <c r="B47" s="6">
        <v>48</v>
      </c>
      <c r="C47" s="16">
        <v>3</v>
      </c>
      <c r="D47" s="5">
        <f t="shared" si="4"/>
        <v>51</v>
      </c>
      <c r="E47" s="6">
        <v>16</v>
      </c>
      <c r="F47" s="16">
        <v>0</v>
      </c>
      <c r="G47" s="5">
        <f t="shared" si="5"/>
        <v>16</v>
      </c>
      <c r="H47" s="7">
        <f t="shared" si="6"/>
        <v>67</v>
      </c>
    </row>
    <row r="48" spans="1:8" ht="15" customHeight="1" x14ac:dyDescent="0.25">
      <c r="A48" s="11" t="s">
        <v>170</v>
      </c>
      <c r="B48" s="6">
        <v>3</v>
      </c>
      <c r="C48" s="16">
        <v>0</v>
      </c>
      <c r="D48" s="5">
        <f t="shared" si="4"/>
        <v>3</v>
      </c>
      <c r="E48" s="6">
        <v>5</v>
      </c>
      <c r="F48" s="16">
        <v>1</v>
      </c>
      <c r="G48" s="5">
        <f t="shared" si="5"/>
        <v>6</v>
      </c>
      <c r="H48" s="7">
        <f t="shared" si="6"/>
        <v>9</v>
      </c>
    </row>
    <row r="49" spans="1:8" ht="15" customHeight="1" x14ac:dyDescent="0.25">
      <c r="A49" s="11" t="s">
        <v>45</v>
      </c>
      <c r="B49" s="6">
        <v>28</v>
      </c>
      <c r="C49" s="16">
        <v>0</v>
      </c>
      <c r="D49" s="5">
        <f t="shared" si="4"/>
        <v>28</v>
      </c>
      <c r="E49" s="6">
        <v>14</v>
      </c>
      <c r="F49" s="16">
        <v>6</v>
      </c>
      <c r="G49" s="5">
        <f t="shared" si="5"/>
        <v>20</v>
      </c>
      <c r="H49" s="7">
        <f t="shared" si="6"/>
        <v>48</v>
      </c>
    </row>
    <row r="50" spans="1:8" ht="15" customHeight="1" x14ac:dyDescent="0.25">
      <c r="A50" s="11" t="s">
        <v>46</v>
      </c>
      <c r="B50" s="6">
        <v>9</v>
      </c>
      <c r="C50" s="16">
        <v>0</v>
      </c>
      <c r="D50" s="5">
        <f t="shared" si="4"/>
        <v>9</v>
      </c>
      <c r="E50" s="6">
        <v>11</v>
      </c>
      <c r="F50" s="16">
        <v>2</v>
      </c>
      <c r="G50" s="5">
        <f t="shared" si="5"/>
        <v>13</v>
      </c>
      <c r="H50" s="7">
        <f t="shared" si="6"/>
        <v>22</v>
      </c>
    </row>
    <row r="51" spans="1:8" ht="15" customHeight="1" thickBot="1" x14ac:dyDescent="0.3">
      <c r="A51" s="11" t="s">
        <v>48</v>
      </c>
      <c r="B51" s="6">
        <v>6</v>
      </c>
      <c r="C51" s="16">
        <v>0</v>
      </c>
      <c r="D51" s="5">
        <f t="shared" si="4"/>
        <v>6</v>
      </c>
      <c r="E51" s="6">
        <v>4</v>
      </c>
      <c r="F51" s="16">
        <v>0</v>
      </c>
      <c r="G51" s="5">
        <f t="shared" si="5"/>
        <v>4</v>
      </c>
      <c r="H51" s="7">
        <f t="shared" si="6"/>
        <v>10</v>
      </c>
    </row>
    <row r="52" spans="1:8" ht="15" customHeight="1" thickTop="1" thickBot="1" x14ac:dyDescent="0.3">
      <c r="A52" s="12" t="s">
        <v>6</v>
      </c>
      <c r="B52" s="13">
        <f>SUM(B35:B51)</f>
        <v>141</v>
      </c>
      <c r="C52" s="13">
        <f t="shared" ref="C52:H52" si="7">SUM(C35:C51)</f>
        <v>4</v>
      </c>
      <c r="D52" s="13">
        <f t="shared" si="7"/>
        <v>145</v>
      </c>
      <c r="E52" s="13">
        <f t="shared" si="7"/>
        <v>99</v>
      </c>
      <c r="F52" s="13">
        <f t="shared" si="7"/>
        <v>17</v>
      </c>
      <c r="G52" s="13">
        <f t="shared" si="7"/>
        <v>116</v>
      </c>
      <c r="H52" s="15">
        <f t="shared" si="7"/>
        <v>261</v>
      </c>
    </row>
    <row r="53" spans="1:8" ht="15" customHeight="1" thickTop="1" thickBot="1" x14ac:dyDescent="0.3">
      <c r="A53" s="23" t="s">
        <v>49</v>
      </c>
      <c r="B53" s="24"/>
      <c r="C53" s="24"/>
      <c r="D53" s="24"/>
      <c r="E53" s="24"/>
      <c r="F53" s="24"/>
      <c r="G53" s="24"/>
      <c r="H53" s="25"/>
    </row>
    <row r="54" spans="1:8" ht="15" customHeight="1" thickTop="1" x14ac:dyDescent="0.25">
      <c r="A54" s="11" t="s">
        <v>50</v>
      </c>
      <c r="B54" s="6">
        <v>6</v>
      </c>
      <c r="C54" s="16">
        <v>0</v>
      </c>
      <c r="D54" s="5">
        <f t="shared" ref="D54:D66" si="8">B54+C54</f>
        <v>6</v>
      </c>
      <c r="E54" s="6">
        <v>4</v>
      </c>
      <c r="F54" s="16">
        <v>0</v>
      </c>
      <c r="G54" s="5">
        <f t="shared" ref="G54:G66" si="9">E54+F54</f>
        <v>4</v>
      </c>
      <c r="H54" s="7">
        <f t="shared" ref="H54:H66" si="10">G54+D54</f>
        <v>10</v>
      </c>
    </row>
    <row r="55" spans="1:8" ht="15" customHeight="1" x14ac:dyDescent="0.25">
      <c r="A55" s="11" t="s">
        <v>51</v>
      </c>
      <c r="B55" s="6">
        <v>27</v>
      </c>
      <c r="C55" s="16">
        <v>0</v>
      </c>
      <c r="D55" s="5">
        <f t="shared" si="8"/>
        <v>27</v>
      </c>
      <c r="E55" s="6">
        <v>24</v>
      </c>
      <c r="F55" s="16">
        <v>1</v>
      </c>
      <c r="G55" s="5">
        <f t="shared" si="9"/>
        <v>25</v>
      </c>
      <c r="H55" s="7">
        <f t="shared" si="10"/>
        <v>52</v>
      </c>
    </row>
    <row r="56" spans="1:8" ht="15" customHeight="1" x14ac:dyDescent="0.25">
      <c r="A56" s="11" t="s">
        <v>52</v>
      </c>
      <c r="B56" s="6">
        <v>2</v>
      </c>
      <c r="C56" s="16">
        <v>0</v>
      </c>
      <c r="D56" s="5">
        <f t="shared" si="8"/>
        <v>2</v>
      </c>
      <c r="E56" s="6">
        <v>3</v>
      </c>
      <c r="F56" s="16">
        <v>2</v>
      </c>
      <c r="G56" s="5">
        <f t="shared" si="9"/>
        <v>5</v>
      </c>
      <c r="H56" s="7">
        <f t="shared" si="10"/>
        <v>7</v>
      </c>
    </row>
    <row r="57" spans="1:8" ht="15" customHeight="1" x14ac:dyDescent="0.25">
      <c r="A57" s="11" t="s">
        <v>53</v>
      </c>
      <c r="B57" s="6">
        <v>11</v>
      </c>
      <c r="C57" s="16">
        <v>0</v>
      </c>
      <c r="D57" s="5">
        <f t="shared" si="8"/>
        <v>11</v>
      </c>
      <c r="E57" s="6">
        <v>14</v>
      </c>
      <c r="F57" s="16">
        <v>3</v>
      </c>
      <c r="G57" s="5">
        <f t="shared" si="9"/>
        <v>17</v>
      </c>
      <c r="H57" s="7">
        <f t="shared" si="10"/>
        <v>28</v>
      </c>
    </row>
    <row r="58" spans="1:8" ht="15" customHeight="1" x14ac:dyDescent="0.25">
      <c r="A58" s="11" t="s">
        <v>54</v>
      </c>
      <c r="B58" s="6">
        <v>5</v>
      </c>
      <c r="C58" s="16">
        <v>1</v>
      </c>
      <c r="D58" s="5">
        <f t="shared" si="8"/>
        <v>6</v>
      </c>
      <c r="E58" s="6">
        <v>8</v>
      </c>
      <c r="F58" s="16">
        <v>1</v>
      </c>
      <c r="G58" s="5">
        <f t="shared" si="9"/>
        <v>9</v>
      </c>
      <c r="H58" s="7">
        <f t="shared" si="10"/>
        <v>15</v>
      </c>
    </row>
    <row r="59" spans="1:8" ht="15" customHeight="1" x14ac:dyDescent="0.25">
      <c r="A59" s="11" t="s">
        <v>55</v>
      </c>
      <c r="B59" s="6">
        <v>4</v>
      </c>
      <c r="C59" s="16">
        <v>0</v>
      </c>
      <c r="D59" s="5">
        <f t="shared" si="8"/>
        <v>4</v>
      </c>
      <c r="E59" s="6">
        <v>8</v>
      </c>
      <c r="F59" s="16">
        <v>2</v>
      </c>
      <c r="G59" s="5">
        <f t="shared" si="9"/>
        <v>10</v>
      </c>
      <c r="H59" s="7">
        <f t="shared" si="10"/>
        <v>14</v>
      </c>
    </row>
    <row r="60" spans="1:8" ht="15" customHeight="1" x14ac:dyDescent="0.25">
      <c r="A60" s="11" t="s">
        <v>56</v>
      </c>
      <c r="B60" s="6">
        <v>7</v>
      </c>
      <c r="C60" s="16">
        <v>0</v>
      </c>
      <c r="D60" s="5">
        <f t="shared" si="8"/>
        <v>7</v>
      </c>
      <c r="E60" s="6">
        <v>6</v>
      </c>
      <c r="F60" s="16">
        <v>0</v>
      </c>
      <c r="G60" s="5">
        <f t="shared" si="9"/>
        <v>6</v>
      </c>
      <c r="H60" s="7">
        <f t="shared" si="10"/>
        <v>13</v>
      </c>
    </row>
    <row r="61" spans="1:8" ht="15" customHeight="1" x14ac:dyDescent="0.25">
      <c r="A61" s="11" t="s">
        <v>57</v>
      </c>
      <c r="B61" s="6">
        <v>5</v>
      </c>
      <c r="C61" s="16">
        <v>0</v>
      </c>
      <c r="D61" s="5">
        <f t="shared" si="8"/>
        <v>5</v>
      </c>
      <c r="E61" s="6">
        <v>4</v>
      </c>
      <c r="F61" s="16">
        <v>0</v>
      </c>
      <c r="G61" s="5">
        <f t="shared" si="9"/>
        <v>4</v>
      </c>
      <c r="H61" s="7">
        <f t="shared" si="10"/>
        <v>9</v>
      </c>
    </row>
    <row r="62" spans="1:8" ht="15" customHeight="1" x14ac:dyDescent="0.25">
      <c r="A62" s="11" t="s">
        <v>171</v>
      </c>
      <c r="B62" s="6">
        <v>4</v>
      </c>
      <c r="C62" s="16">
        <v>0</v>
      </c>
      <c r="D62" s="5">
        <f t="shared" si="8"/>
        <v>4</v>
      </c>
      <c r="E62" s="6">
        <v>2</v>
      </c>
      <c r="F62" s="16">
        <v>0</v>
      </c>
      <c r="G62" s="5">
        <f t="shared" si="9"/>
        <v>2</v>
      </c>
      <c r="H62" s="7">
        <f t="shared" si="10"/>
        <v>6</v>
      </c>
    </row>
    <row r="63" spans="1:8" ht="15" customHeight="1" x14ac:dyDescent="0.25">
      <c r="A63" s="11" t="s">
        <v>58</v>
      </c>
      <c r="B63" s="6">
        <v>17</v>
      </c>
      <c r="C63" s="16">
        <v>0</v>
      </c>
      <c r="D63" s="5">
        <f t="shared" si="8"/>
        <v>17</v>
      </c>
      <c r="E63" s="6">
        <v>21</v>
      </c>
      <c r="F63" s="16">
        <v>5</v>
      </c>
      <c r="G63" s="5">
        <f t="shared" si="9"/>
        <v>26</v>
      </c>
      <c r="H63" s="7">
        <f t="shared" si="10"/>
        <v>43</v>
      </c>
    </row>
    <row r="64" spans="1:8" ht="15" customHeight="1" x14ac:dyDescent="0.25">
      <c r="A64" s="11" t="s">
        <v>60</v>
      </c>
      <c r="B64" s="6">
        <v>0</v>
      </c>
      <c r="C64" s="16">
        <v>0</v>
      </c>
      <c r="D64" s="5">
        <f t="shared" si="8"/>
        <v>0</v>
      </c>
      <c r="E64" s="6">
        <v>3</v>
      </c>
      <c r="F64" s="16">
        <v>1</v>
      </c>
      <c r="G64" s="5">
        <f t="shared" si="9"/>
        <v>4</v>
      </c>
      <c r="H64" s="7">
        <f t="shared" si="10"/>
        <v>4</v>
      </c>
    </row>
    <row r="65" spans="1:8" ht="15" customHeight="1" x14ac:dyDescent="0.25">
      <c r="A65" s="11" t="s">
        <v>61</v>
      </c>
      <c r="B65" s="6">
        <v>20</v>
      </c>
      <c r="C65" s="16">
        <v>1</v>
      </c>
      <c r="D65" s="5">
        <f t="shared" si="8"/>
        <v>21</v>
      </c>
      <c r="E65" s="6">
        <v>9</v>
      </c>
      <c r="F65" s="16">
        <v>4</v>
      </c>
      <c r="G65" s="5">
        <f t="shared" si="9"/>
        <v>13</v>
      </c>
      <c r="H65" s="7">
        <f t="shared" si="10"/>
        <v>34</v>
      </c>
    </row>
    <row r="66" spans="1:8" ht="15" customHeight="1" thickBot="1" x14ac:dyDescent="0.3">
      <c r="A66" s="11" t="s">
        <v>172</v>
      </c>
      <c r="B66" s="6">
        <v>1</v>
      </c>
      <c r="C66" s="16">
        <v>0</v>
      </c>
      <c r="D66" s="5">
        <f t="shared" si="8"/>
        <v>1</v>
      </c>
      <c r="E66" s="6">
        <v>0</v>
      </c>
      <c r="F66" s="16">
        <v>0</v>
      </c>
      <c r="G66" s="5">
        <f t="shared" si="9"/>
        <v>0</v>
      </c>
      <c r="H66" s="7">
        <f t="shared" si="10"/>
        <v>1</v>
      </c>
    </row>
    <row r="67" spans="1:8" ht="15" customHeight="1" thickTop="1" thickBot="1" x14ac:dyDescent="0.3">
      <c r="A67" s="12" t="s">
        <v>6</v>
      </c>
      <c r="B67" s="13">
        <f>SUM(B54:B66)</f>
        <v>109</v>
      </c>
      <c r="C67" s="13">
        <f t="shared" ref="C67:G67" si="11">SUM(C54:C66)</f>
        <v>2</v>
      </c>
      <c r="D67" s="13">
        <f t="shared" si="11"/>
        <v>111</v>
      </c>
      <c r="E67" s="13">
        <f t="shared" si="11"/>
        <v>106</v>
      </c>
      <c r="F67" s="13">
        <f t="shared" si="11"/>
        <v>19</v>
      </c>
      <c r="G67" s="13">
        <f t="shared" si="11"/>
        <v>125</v>
      </c>
      <c r="H67" s="15">
        <f>SUM(H54:H66)</f>
        <v>236</v>
      </c>
    </row>
    <row r="68" spans="1:8" ht="15" customHeight="1" thickTop="1" thickBot="1" x14ac:dyDescent="0.3">
      <c r="A68" s="23" t="s">
        <v>62</v>
      </c>
      <c r="B68" s="24"/>
      <c r="C68" s="24"/>
      <c r="D68" s="24"/>
      <c r="E68" s="24"/>
      <c r="F68" s="24"/>
      <c r="G68" s="24"/>
      <c r="H68" s="25"/>
    </row>
    <row r="69" spans="1:8" ht="15" customHeight="1" thickTop="1" x14ac:dyDescent="0.25">
      <c r="A69" s="11" t="s">
        <v>63</v>
      </c>
      <c r="B69" s="6">
        <v>0</v>
      </c>
      <c r="C69" s="16">
        <v>1</v>
      </c>
      <c r="D69" s="5">
        <f t="shared" ref="D69:D94" si="12">B69+C69</f>
        <v>1</v>
      </c>
      <c r="E69" s="6">
        <v>0</v>
      </c>
      <c r="F69" s="16">
        <v>0</v>
      </c>
      <c r="G69" s="5">
        <f t="shared" ref="G69:G94" si="13">E69+F69</f>
        <v>0</v>
      </c>
      <c r="H69" s="7">
        <f t="shared" ref="H69:H94" si="14">G69+D69</f>
        <v>1</v>
      </c>
    </row>
    <row r="70" spans="1:8" ht="15" customHeight="1" x14ac:dyDescent="0.25">
      <c r="A70" s="11" t="s">
        <v>161</v>
      </c>
      <c r="B70" s="6">
        <v>2</v>
      </c>
      <c r="C70" s="16">
        <v>0</v>
      </c>
      <c r="D70" s="5">
        <f t="shared" si="12"/>
        <v>2</v>
      </c>
      <c r="E70" s="6">
        <v>3</v>
      </c>
      <c r="F70" s="16">
        <v>0</v>
      </c>
      <c r="G70" s="5">
        <f t="shared" si="13"/>
        <v>3</v>
      </c>
      <c r="H70" s="7">
        <f t="shared" si="14"/>
        <v>5</v>
      </c>
    </row>
    <row r="71" spans="1:8" ht="15" customHeight="1" x14ac:dyDescent="0.25">
      <c r="A71" s="11" t="s">
        <v>64</v>
      </c>
      <c r="B71" s="6">
        <v>18</v>
      </c>
      <c r="C71" s="16">
        <v>0</v>
      </c>
      <c r="D71" s="5">
        <f t="shared" si="12"/>
        <v>18</v>
      </c>
      <c r="E71" s="6">
        <v>9</v>
      </c>
      <c r="F71" s="16">
        <v>1</v>
      </c>
      <c r="G71" s="5">
        <f t="shared" si="13"/>
        <v>10</v>
      </c>
      <c r="H71" s="7">
        <f t="shared" si="14"/>
        <v>28</v>
      </c>
    </row>
    <row r="72" spans="1:8" ht="15" customHeight="1" x14ac:dyDescent="0.25">
      <c r="A72" s="11" t="s">
        <v>65</v>
      </c>
      <c r="B72" s="6">
        <v>11</v>
      </c>
      <c r="C72" s="16">
        <v>0</v>
      </c>
      <c r="D72" s="5">
        <f t="shared" si="12"/>
        <v>11</v>
      </c>
      <c r="E72" s="6">
        <v>2</v>
      </c>
      <c r="F72" s="16">
        <v>0</v>
      </c>
      <c r="G72" s="5">
        <f t="shared" si="13"/>
        <v>2</v>
      </c>
      <c r="H72" s="7">
        <f t="shared" si="14"/>
        <v>13</v>
      </c>
    </row>
    <row r="73" spans="1:8" ht="15" customHeight="1" x14ac:dyDescent="0.25">
      <c r="A73" s="11" t="s">
        <v>173</v>
      </c>
      <c r="B73" s="6">
        <v>9</v>
      </c>
      <c r="C73" s="16">
        <v>0</v>
      </c>
      <c r="D73" s="5">
        <f t="shared" si="12"/>
        <v>9</v>
      </c>
      <c r="E73" s="6">
        <v>1</v>
      </c>
      <c r="F73" s="16">
        <v>0</v>
      </c>
      <c r="G73" s="5">
        <f t="shared" si="13"/>
        <v>1</v>
      </c>
      <c r="H73" s="7">
        <f t="shared" si="14"/>
        <v>10</v>
      </c>
    </row>
    <row r="74" spans="1:8" ht="15" customHeight="1" x14ac:dyDescent="0.25">
      <c r="A74" s="11" t="s">
        <v>67</v>
      </c>
      <c r="B74" s="6">
        <v>1</v>
      </c>
      <c r="C74" s="16">
        <v>0</v>
      </c>
      <c r="D74" s="5">
        <f t="shared" si="12"/>
        <v>1</v>
      </c>
      <c r="E74" s="6">
        <v>0</v>
      </c>
      <c r="F74" s="16">
        <v>0</v>
      </c>
      <c r="G74" s="5">
        <f t="shared" si="13"/>
        <v>0</v>
      </c>
      <c r="H74" s="7">
        <f t="shared" si="14"/>
        <v>1</v>
      </c>
    </row>
    <row r="75" spans="1:8" ht="15" customHeight="1" x14ac:dyDescent="0.25">
      <c r="A75" s="11" t="s">
        <v>174</v>
      </c>
      <c r="B75" s="6">
        <v>379</v>
      </c>
      <c r="C75" s="16">
        <v>26</v>
      </c>
      <c r="D75" s="5">
        <f t="shared" si="12"/>
        <v>405</v>
      </c>
      <c r="E75" s="6">
        <v>256</v>
      </c>
      <c r="F75" s="16">
        <v>11</v>
      </c>
      <c r="G75" s="5">
        <f t="shared" si="13"/>
        <v>267</v>
      </c>
      <c r="H75" s="7">
        <f t="shared" si="14"/>
        <v>672</v>
      </c>
    </row>
    <row r="76" spans="1:8" ht="15" customHeight="1" x14ac:dyDescent="0.25">
      <c r="A76" s="11" t="s">
        <v>175</v>
      </c>
      <c r="B76" s="6">
        <v>290</v>
      </c>
      <c r="C76" s="16">
        <v>10</v>
      </c>
      <c r="D76" s="5">
        <f t="shared" si="12"/>
        <v>300</v>
      </c>
      <c r="E76" s="6">
        <v>33</v>
      </c>
      <c r="F76" s="16">
        <v>6</v>
      </c>
      <c r="G76" s="5">
        <f t="shared" si="13"/>
        <v>39</v>
      </c>
      <c r="H76" s="7">
        <f t="shared" si="14"/>
        <v>339</v>
      </c>
    </row>
    <row r="77" spans="1:8" ht="15" customHeight="1" x14ac:dyDescent="0.25">
      <c r="A77" s="11" t="s">
        <v>70</v>
      </c>
      <c r="B77" s="6">
        <v>31</v>
      </c>
      <c r="C77" s="16">
        <v>0</v>
      </c>
      <c r="D77" s="5">
        <f t="shared" si="12"/>
        <v>31</v>
      </c>
      <c r="E77" s="6">
        <v>74</v>
      </c>
      <c r="F77" s="16">
        <v>90</v>
      </c>
      <c r="G77" s="5">
        <f t="shared" si="13"/>
        <v>164</v>
      </c>
      <c r="H77" s="7">
        <f t="shared" si="14"/>
        <v>195</v>
      </c>
    </row>
    <row r="78" spans="1:8" ht="15" customHeight="1" x14ac:dyDescent="0.25">
      <c r="A78" s="11" t="s">
        <v>71</v>
      </c>
      <c r="B78" s="6">
        <v>13</v>
      </c>
      <c r="C78" s="16">
        <v>0</v>
      </c>
      <c r="D78" s="5">
        <f t="shared" si="12"/>
        <v>13</v>
      </c>
      <c r="E78" s="6">
        <v>1</v>
      </c>
      <c r="F78" s="16">
        <v>1</v>
      </c>
      <c r="G78" s="5">
        <f t="shared" si="13"/>
        <v>2</v>
      </c>
      <c r="H78" s="7">
        <f t="shared" si="14"/>
        <v>15</v>
      </c>
    </row>
    <row r="79" spans="1:8" ht="15" customHeight="1" x14ac:dyDescent="0.25">
      <c r="A79" s="11" t="s">
        <v>72</v>
      </c>
      <c r="B79" s="6">
        <v>71</v>
      </c>
      <c r="C79" s="16">
        <v>1</v>
      </c>
      <c r="D79" s="5">
        <f t="shared" si="12"/>
        <v>72</v>
      </c>
      <c r="E79" s="6">
        <v>63</v>
      </c>
      <c r="F79" s="16">
        <v>3</v>
      </c>
      <c r="G79" s="5">
        <f t="shared" si="13"/>
        <v>66</v>
      </c>
      <c r="H79" s="7">
        <f t="shared" si="14"/>
        <v>138</v>
      </c>
    </row>
    <row r="80" spans="1:8" ht="15" customHeight="1" x14ac:dyDescent="0.25">
      <c r="A80" s="11" t="s">
        <v>73</v>
      </c>
      <c r="B80" s="6">
        <v>62</v>
      </c>
      <c r="C80" s="16">
        <v>0</v>
      </c>
      <c r="D80" s="5">
        <f t="shared" si="12"/>
        <v>62</v>
      </c>
      <c r="E80" s="6">
        <v>7</v>
      </c>
      <c r="F80" s="16">
        <v>0</v>
      </c>
      <c r="G80" s="5">
        <f t="shared" si="13"/>
        <v>7</v>
      </c>
      <c r="H80" s="7">
        <f t="shared" si="14"/>
        <v>69</v>
      </c>
    </row>
    <row r="81" spans="1:8" ht="15" customHeight="1" x14ac:dyDescent="0.25">
      <c r="A81" s="11" t="s">
        <v>176</v>
      </c>
      <c r="B81" s="6">
        <v>90</v>
      </c>
      <c r="C81" s="16">
        <v>3</v>
      </c>
      <c r="D81" s="5">
        <f t="shared" si="12"/>
        <v>93</v>
      </c>
      <c r="E81" s="6">
        <v>41</v>
      </c>
      <c r="F81" s="16">
        <v>1</v>
      </c>
      <c r="G81" s="5">
        <f t="shared" si="13"/>
        <v>42</v>
      </c>
      <c r="H81" s="7">
        <f t="shared" si="14"/>
        <v>135</v>
      </c>
    </row>
    <row r="82" spans="1:8" ht="15" customHeight="1" x14ac:dyDescent="0.25">
      <c r="A82" s="11" t="s">
        <v>177</v>
      </c>
      <c r="B82" s="6">
        <v>2</v>
      </c>
      <c r="C82" s="16">
        <v>0</v>
      </c>
      <c r="D82" s="5">
        <f t="shared" si="12"/>
        <v>2</v>
      </c>
      <c r="E82" s="6">
        <v>0</v>
      </c>
      <c r="F82" s="16">
        <v>0</v>
      </c>
      <c r="G82" s="5">
        <f t="shared" si="13"/>
        <v>0</v>
      </c>
      <c r="H82" s="7">
        <f t="shared" si="14"/>
        <v>2</v>
      </c>
    </row>
    <row r="83" spans="1:8" ht="15" customHeight="1" x14ac:dyDescent="0.25">
      <c r="A83" s="11" t="s">
        <v>74</v>
      </c>
      <c r="B83" s="6">
        <v>122</v>
      </c>
      <c r="C83" s="16">
        <v>0</v>
      </c>
      <c r="D83" s="5">
        <f t="shared" si="12"/>
        <v>122</v>
      </c>
      <c r="E83" s="6">
        <v>29</v>
      </c>
      <c r="F83" s="16">
        <v>3</v>
      </c>
      <c r="G83" s="5">
        <f t="shared" si="13"/>
        <v>32</v>
      </c>
      <c r="H83" s="7">
        <f t="shared" si="14"/>
        <v>154</v>
      </c>
    </row>
    <row r="84" spans="1:8" ht="15" customHeight="1" x14ac:dyDescent="0.25">
      <c r="A84" s="11" t="s">
        <v>178</v>
      </c>
      <c r="B84" s="6">
        <v>4</v>
      </c>
      <c r="C84" s="16">
        <v>0</v>
      </c>
      <c r="D84" s="5">
        <f t="shared" si="12"/>
        <v>4</v>
      </c>
      <c r="E84" s="6">
        <v>1</v>
      </c>
      <c r="F84" s="16">
        <v>0</v>
      </c>
      <c r="G84" s="5">
        <f t="shared" si="13"/>
        <v>1</v>
      </c>
      <c r="H84" s="7">
        <f t="shared" si="14"/>
        <v>5</v>
      </c>
    </row>
    <row r="85" spans="1:8" ht="15" customHeight="1" x14ac:dyDescent="0.25">
      <c r="A85" s="11" t="s">
        <v>76</v>
      </c>
      <c r="B85" s="6">
        <v>0</v>
      </c>
      <c r="C85" s="16">
        <v>0</v>
      </c>
      <c r="D85" s="5">
        <f t="shared" si="12"/>
        <v>0</v>
      </c>
      <c r="E85" s="6">
        <v>3</v>
      </c>
      <c r="F85" s="16">
        <v>1</v>
      </c>
      <c r="G85" s="5">
        <f t="shared" si="13"/>
        <v>4</v>
      </c>
      <c r="H85" s="7">
        <f t="shared" si="14"/>
        <v>4</v>
      </c>
    </row>
    <row r="86" spans="1:8" ht="15" customHeight="1" x14ac:dyDescent="0.25">
      <c r="A86" s="11" t="s">
        <v>77</v>
      </c>
      <c r="B86" s="6">
        <v>53</v>
      </c>
      <c r="C86" s="16">
        <v>0</v>
      </c>
      <c r="D86" s="5">
        <f t="shared" si="12"/>
        <v>53</v>
      </c>
      <c r="E86" s="6">
        <v>31</v>
      </c>
      <c r="F86" s="16">
        <v>3</v>
      </c>
      <c r="G86" s="5">
        <f t="shared" si="13"/>
        <v>34</v>
      </c>
      <c r="H86" s="7">
        <f t="shared" si="14"/>
        <v>87</v>
      </c>
    </row>
    <row r="87" spans="1:8" ht="15" customHeight="1" x14ac:dyDescent="0.25">
      <c r="A87" s="11" t="s">
        <v>79</v>
      </c>
      <c r="B87" s="6">
        <v>3</v>
      </c>
      <c r="C87" s="16">
        <v>0</v>
      </c>
      <c r="D87" s="5">
        <f t="shared" si="12"/>
        <v>3</v>
      </c>
      <c r="E87" s="6">
        <v>7</v>
      </c>
      <c r="F87" s="16">
        <v>0</v>
      </c>
      <c r="G87" s="5">
        <f t="shared" si="13"/>
        <v>7</v>
      </c>
      <c r="H87" s="7">
        <f t="shared" si="14"/>
        <v>10</v>
      </c>
    </row>
    <row r="88" spans="1:8" ht="15" customHeight="1" x14ac:dyDescent="0.25">
      <c r="A88" s="11" t="s">
        <v>80</v>
      </c>
      <c r="B88" s="6">
        <v>148</v>
      </c>
      <c r="C88" s="16">
        <v>1</v>
      </c>
      <c r="D88" s="5">
        <f t="shared" si="12"/>
        <v>149</v>
      </c>
      <c r="E88" s="6">
        <v>27</v>
      </c>
      <c r="F88" s="16">
        <v>1</v>
      </c>
      <c r="G88" s="5">
        <f t="shared" si="13"/>
        <v>28</v>
      </c>
      <c r="H88" s="7">
        <f t="shared" si="14"/>
        <v>177</v>
      </c>
    </row>
    <row r="89" spans="1:8" ht="15" customHeight="1" x14ac:dyDescent="0.25">
      <c r="A89" s="11" t="s">
        <v>82</v>
      </c>
      <c r="B89" s="6">
        <v>24</v>
      </c>
      <c r="C89" s="16">
        <v>0</v>
      </c>
      <c r="D89" s="5">
        <f t="shared" si="12"/>
        <v>24</v>
      </c>
      <c r="E89" s="6">
        <v>13</v>
      </c>
      <c r="F89" s="16">
        <v>1</v>
      </c>
      <c r="G89" s="5">
        <f t="shared" si="13"/>
        <v>14</v>
      </c>
      <c r="H89" s="7">
        <f t="shared" si="14"/>
        <v>38</v>
      </c>
    </row>
    <row r="90" spans="1:8" ht="15" customHeight="1" x14ac:dyDescent="0.25">
      <c r="A90" s="11" t="s">
        <v>83</v>
      </c>
      <c r="B90" s="6">
        <v>26</v>
      </c>
      <c r="C90" s="16">
        <v>1</v>
      </c>
      <c r="D90" s="5">
        <f t="shared" si="12"/>
        <v>27</v>
      </c>
      <c r="E90" s="6">
        <v>68</v>
      </c>
      <c r="F90" s="16">
        <v>2</v>
      </c>
      <c r="G90" s="5">
        <f t="shared" si="13"/>
        <v>70</v>
      </c>
      <c r="H90" s="7">
        <f t="shared" si="14"/>
        <v>97</v>
      </c>
    </row>
    <row r="91" spans="1:8" ht="15" customHeight="1" x14ac:dyDescent="0.25">
      <c r="A91" s="11" t="s">
        <v>211</v>
      </c>
      <c r="B91" s="6">
        <v>1</v>
      </c>
      <c r="C91" s="16">
        <v>0</v>
      </c>
      <c r="D91" s="5">
        <f t="shared" si="12"/>
        <v>1</v>
      </c>
      <c r="E91" s="6">
        <v>1</v>
      </c>
      <c r="F91" s="16">
        <v>0</v>
      </c>
      <c r="G91" s="5">
        <f t="shared" si="13"/>
        <v>1</v>
      </c>
      <c r="H91" s="7">
        <f t="shared" si="14"/>
        <v>2</v>
      </c>
    </row>
    <row r="92" spans="1:8" ht="15" customHeight="1" x14ac:dyDescent="0.25">
      <c r="A92" s="11" t="s">
        <v>84</v>
      </c>
      <c r="B92" s="6">
        <v>37</v>
      </c>
      <c r="C92" s="16">
        <v>1</v>
      </c>
      <c r="D92" s="5">
        <f t="shared" si="12"/>
        <v>38</v>
      </c>
      <c r="E92" s="6">
        <v>38</v>
      </c>
      <c r="F92" s="16">
        <v>0</v>
      </c>
      <c r="G92" s="5">
        <f t="shared" si="13"/>
        <v>38</v>
      </c>
      <c r="H92" s="7">
        <f t="shared" si="14"/>
        <v>76</v>
      </c>
    </row>
    <row r="93" spans="1:8" ht="15" customHeight="1" x14ac:dyDescent="0.25">
      <c r="A93" s="11" t="s">
        <v>180</v>
      </c>
      <c r="B93" s="6">
        <v>1</v>
      </c>
      <c r="C93" s="16">
        <v>0</v>
      </c>
      <c r="D93" s="5">
        <f t="shared" si="12"/>
        <v>1</v>
      </c>
      <c r="E93" s="6">
        <v>1</v>
      </c>
      <c r="F93" s="16">
        <v>0</v>
      </c>
      <c r="G93" s="5">
        <f t="shared" si="13"/>
        <v>1</v>
      </c>
      <c r="H93" s="7">
        <f t="shared" si="14"/>
        <v>2</v>
      </c>
    </row>
    <row r="94" spans="1:8" ht="15" customHeight="1" thickBot="1" x14ac:dyDescent="0.3">
      <c r="A94" s="11" t="s">
        <v>85</v>
      </c>
      <c r="B94" s="6">
        <v>11</v>
      </c>
      <c r="C94" s="16">
        <v>0</v>
      </c>
      <c r="D94" s="5">
        <f t="shared" si="12"/>
        <v>11</v>
      </c>
      <c r="E94" s="6">
        <v>3</v>
      </c>
      <c r="F94" s="16">
        <v>0</v>
      </c>
      <c r="G94" s="5">
        <f t="shared" si="13"/>
        <v>3</v>
      </c>
      <c r="H94" s="7">
        <f t="shared" si="14"/>
        <v>14</v>
      </c>
    </row>
    <row r="95" spans="1:8" ht="15" customHeight="1" thickTop="1" thickBot="1" x14ac:dyDescent="0.3">
      <c r="A95" s="12" t="s">
        <v>6</v>
      </c>
      <c r="B95" s="13">
        <f>SUM(B69:B94)</f>
        <v>1409</v>
      </c>
      <c r="C95" s="13">
        <f t="shared" ref="C95:H95" si="15">SUM(C69:C94)</f>
        <v>44</v>
      </c>
      <c r="D95" s="13">
        <f t="shared" si="15"/>
        <v>1453</v>
      </c>
      <c r="E95" s="13">
        <f t="shared" si="15"/>
        <v>712</v>
      </c>
      <c r="F95" s="13">
        <f t="shared" si="15"/>
        <v>124</v>
      </c>
      <c r="G95" s="13">
        <f t="shared" si="15"/>
        <v>836</v>
      </c>
      <c r="H95" s="15">
        <f t="shared" si="15"/>
        <v>2289</v>
      </c>
    </row>
    <row r="96" spans="1:8" ht="15" customHeight="1" thickTop="1" thickBot="1" x14ac:dyDescent="0.3">
      <c r="A96" s="23" t="s">
        <v>86</v>
      </c>
      <c r="B96" s="24"/>
      <c r="C96" s="24"/>
      <c r="D96" s="24"/>
      <c r="E96" s="24"/>
      <c r="F96" s="24"/>
      <c r="G96" s="24"/>
      <c r="H96" s="25"/>
    </row>
    <row r="97" spans="1:8" ht="15" customHeight="1" thickTop="1" x14ac:dyDescent="0.25">
      <c r="A97" s="11" t="s">
        <v>87</v>
      </c>
      <c r="B97" s="6">
        <v>10</v>
      </c>
      <c r="C97" s="16">
        <v>0</v>
      </c>
      <c r="D97" s="5">
        <f t="shared" ref="D97:D116" si="16">B97+C97</f>
        <v>10</v>
      </c>
      <c r="E97" s="6">
        <v>4</v>
      </c>
      <c r="F97" s="16">
        <v>1</v>
      </c>
      <c r="G97" s="5">
        <f t="shared" ref="G97:G116" si="17">E97+F97</f>
        <v>5</v>
      </c>
      <c r="H97" s="7">
        <f t="shared" ref="H97:H116" si="18">G97+D97</f>
        <v>15</v>
      </c>
    </row>
    <row r="98" spans="1:8" ht="15" customHeight="1" x14ac:dyDescent="0.25">
      <c r="A98" s="11" t="s">
        <v>88</v>
      </c>
      <c r="B98" s="6">
        <v>1</v>
      </c>
      <c r="C98" s="16">
        <v>0</v>
      </c>
      <c r="D98" s="5">
        <f t="shared" si="16"/>
        <v>1</v>
      </c>
      <c r="E98" s="6">
        <v>2</v>
      </c>
      <c r="F98" s="16">
        <v>0</v>
      </c>
      <c r="G98" s="5">
        <f t="shared" si="17"/>
        <v>2</v>
      </c>
      <c r="H98" s="7">
        <f t="shared" si="18"/>
        <v>3</v>
      </c>
    </row>
    <row r="99" spans="1:8" ht="15" customHeight="1" x14ac:dyDescent="0.25">
      <c r="A99" s="11" t="s">
        <v>90</v>
      </c>
      <c r="B99" s="6">
        <v>8</v>
      </c>
      <c r="C99" s="16">
        <v>0</v>
      </c>
      <c r="D99" s="5">
        <f t="shared" si="16"/>
        <v>8</v>
      </c>
      <c r="E99" s="6">
        <v>11</v>
      </c>
      <c r="F99" s="16">
        <v>4</v>
      </c>
      <c r="G99" s="5">
        <f t="shared" si="17"/>
        <v>15</v>
      </c>
      <c r="H99" s="7">
        <f t="shared" si="18"/>
        <v>23</v>
      </c>
    </row>
    <row r="100" spans="1:8" ht="15" customHeight="1" x14ac:dyDescent="0.25">
      <c r="A100" s="11" t="s">
        <v>94</v>
      </c>
      <c r="B100" s="6">
        <v>0</v>
      </c>
      <c r="C100" s="16">
        <v>0</v>
      </c>
      <c r="D100" s="5">
        <f t="shared" si="16"/>
        <v>0</v>
      </c>
      <c r="E100" s="6">
        <v>1</v>
      </c>
      <c r="F100" s="16">
        <v>0</v>
      </c>
      <c r="G100" s="5">
        <f t="shared" si="17"/>
        <v>1</v>
      </c>
      <c r="H100" s="7">
        <f t="shared" si="18"/>
        <v>1</v>
      </c>
    </row>
    <row r="101" spans="1:8" ht="15" customHeight="1" x14ac:dyDescent="0.25">
      <c r="A101" s="11" t="s">
        <v>95</v>
      </c>
      <c r="B101" s="6">
        <v>3</v>
      </c>
      <c r="C101" s="16">
        <v>0</v>
      </c>
      <c r="D101" s="5">
        <f t="shared" si="16"/>
        <v>3</v>
      </c>
      <c r="E101" s="6">
        <v>6</v>
      </c>
      <c r="F101" s="16">
        <v>1</v>
      </c>
      <c r="G101" s="5">
        <f t="shared" si="17"/>
        <v>7</v>
      </c>
      <c r="H101" s="7">
        <f t="shared" si="18"/>
        <v>10</v>
      </c>
    </row>
    <row r="102" spans="1:8" ht="15" customHeight="1" x14ac:dyDescent="0.25">
      <c r="A102" s="11" t="s">
        <v>96</v>
      </c>
      <c r="B102" s="6">
        <v>16</v>
      </c>
      <c r="C102" s="16">
        <v>0</v>
      </c>
      <c r="D102" s="5">
        <f t="shared" si="16"/>
        <v>16</v>
      </c>
      <c r="E102" s="6">
        <v>11</v>
      </c>
      <c r="F102" s="16">
        <v>0</v>
      </c>
      <c r="G102" s="5">
        <f t="shared" si="17"/>
        <v>11</v>
      </c>
      <c r="H102" s="7">
        <f t="shared" si="18"/>
        <v>27</v>
      </c>
    </row>
    <row r="103" spans="1:8" ht="15" customHeight="1" x14ac:dyDescent="0.25">
      <c r="A103" s="11" t="s">
        <v>99</v>
      </c>
      <c r="B103" s="6">
        <v>1</v>
      </c>
      <c r="C103" s="16">
        <v>0</v>
      </c>
      <c r="D103" s="5">
        <f t="shared" si="16"/>
        <v>1</v>
      </c>
      <c r="E103" s="6">
        <v>3</v>
      </c>
      <c r="F103" s="16">
        <v>0</v>
      </c>
      <c r="G103" s="5">
        <f t="shared" si="17"/>
        <v>3</v>
      </c>
      <c r="H103" s="7">
        <f t="shared" si="18"/>
        <v>4</v>
      </c>
    </row>
    <row r="104" spans="1:8" ht="15" customHeight="1" x14ac:dyDescent="0.25">
      <c r="A104" s="11" t="s">
        <v>100</v>
      </c>
      <c r="B104" s="6">
        <v>1</v>
      </c>
      <c r="C104" s="16">
        <v>0</v>
      </c>
      <c r="D104" s="5">
        <f t="shared" si="16"/>
        <v>1</v>
      </c>
      <c r="E104" s="6">
        <v>0</v>
      </c>
      <c r="F104" s="16">
        <v>0</v>
      </c>
      <c r="G104" s="5">
        <f t="shared" si="17"/>
        <v>0</v>
      </c>
      <c r="H104" s="7">
        <f t="shared" si="18"/>
        <v>1</v>
      </c>
    </row>
    <row r="105" spans="1:8" ht="15" customHeight="1" x14ac:dyDescent="0.25">
      <c r="A105" s="11" t="s">
        <v>208</v>
      </c>
      <c r="B105" s="6">
        <v>1</v>
      </c>
      <c r="C105" s="16">
        <v>0</v>
      </c>
      <c r="D105" s="5">
        <f t="shared" si="16"/>
        <v>1</v>
      </c>
      <c r="E105" s="6">
        <v>0</v>
      </c>
      <c r="F105" s="16">
        <v>0</v>
      </c>
      <c r="G105" s="5">
        <f t="shared" si="17"/>
        <v>0</v>
      </c>
      <c r="H105" s="7">
        <f t="shared" si="18"/>
        <v>1</v>
      </c>
    </row>
    <row r="106" spans="1:8" ht="15" customHeight="1" x14ac:dyDescent="0.25">
      <c r="A106" s="11" t="s">
        <v>101</v>
      </c>
      <c r="B106" s="6">
        <v>8</v>
      </c>
      <c r="C106" s="16">
        <v>0</v>
      </c>
      <c r="D106" s="5">
        <f t="shared" si="16"/>
        <v>8</v>
      </c>
      <c r="E106" s="6">
        <v>5</v>
      </c>
      <c r="F106" s="16">
        <v>0</v>
      </c>
      <c r="G106" s="5">
        <f t="shared" si="17"/>
        <v>5</v>
      </c>
      <c r="H106" s="7">
        <f t="shared" si="18"/>
        <v>13</v>
      </c>
    </row>
    <row r="107" spans="1:8" ht="15" customHeight="1" x14ac:dyDescent="0.25">
      <c r="A107" s="11" t="s">
        <v>102</v>
      </c>
      <c r="B107" s="6">
        <v>2</v>
      </c>
      <c r="C107" s="16">
        <v>0</v>
      </c>
      <c r="D107" s="5">
        <f t="shared" si="16"/>
        <v>2</v>
      </c>
      <c r="E107" s="6">
        <v>0</v>
      </c>
      <c r="F107" s="16">
        <v>0</v>
      </c>
      <c r="G107" s="5">
        <f t="shared" si="17"/>
        <v>0</v>
      </c>
      <c r="H107" s="7">
        <f t="shared" si="18"/>
        <v>2</v>
      </c>
    </row>
    <row r="108" spans="1:8" ht="15" customHeight="1" x14ac:dyDescent="0.25">
      <c r="A108" s="11" t="s">
        <v>104</v>
      </c>
      <c r="B108" s="6">
        <v>25</v>
      </c>
      <c r="C108" s="16">
        <v>1</v>
      </c>
      <c r="D108" s="5">
        <f t="shared" si="16"/>
        <v>26</v>
      </c>
      <c r="E108" s="6">
        <v>37</v>
      </c>
      <c r="F108" s="16">
        <v>6</v>
      </c>
      <c r="G108" s="5">
        <f t="shared" si="17"/>
        <v>43</v>
      </c>
      <c r="H108" s="7">
        <f t="shared" si="18"/>
        <v>69</v>
      </c>
    </row>
    <row r="109" spans="1:8" ht="15" customHeight="1" x14ac:dyDescent="0.25">
      <c r="A109" s="11" t="s">
        <v>105</v>
      </c>
      <c r="B109" s="6">
        <v>0</v>
      </c>
      <c r="C109" s="16">
        <v>0</v>
      </c>
      <c r="D109" s="5">
        <f t="shared" si="16"/>
        <v>0</v>
      </c>
      <c r="E109" s="6">
        <v>1</v>
      </c>
      <c r="F109" s="16">
        <v>0</v>
      </c>
      <c r="G109" s="5">
        <f t="shared" si="17"/>
        <v>1</v>
      </c>
      <c r="H109" s="7">
        <f t="shared" si="18"/>
        <v>1</v>
      </c>
    </row>
    <row r="110" spans="1:8" ht="15" customHeight="1" x14ac:dyDescent="0.25">
      <c r="A110" s="11" t="s">
        <v>107</v>
      </c>
      <c r="B110" s="6">
        <v>2</v>
      </c>
      <c r="C110" s="16">
        <v>0</v>
      </c>
      <c r="D110" s="5">
        <f t="shared" si="16"/>
        <v>2</v>
      </c>
      <c r="E110" s="6">
        <v>8</v>
      </c>
      <c r="F110" s="16">
        <v>6</v>
      </c>
      <c r="G110" s="5">
        <f t="shared" si="17"/>
        <v>14</v>
      </c>
      <c r="H110" s="7">
        <f t="shared" si="18"/>
        <v>16</v>
      </c>
    </row>
    <row r="111" spans="1:8" ht="15" customHeight="1" x14ac:dyDescent="0.25">
      <c r="A111" s="11" t="s">
        <v>108</v>
      </c>
      <c r="B111" s="6">
        <v>0</v>
      </c>
      <c r="C111" s="16">
        <v>0</v>
      </c>
      <c r="D111" s="5">
        <f t="shared" si="16"/>
        <v>0</v>
      </c>
      <c r="E111" s="6">
        <v>5</v>
      </c>
      <c r="F111" s="16">
        <v>1</v>
      </c>
      <c r="G111" s="5">
        <f t="shared" si="17"/>
        <v>6</v>
      </c>
      <c r="H111" s="7">
        <f t="shared" si="18"/>
        <v>6</v>
      </c>
    </row>
    <row r="112" spans="1:8" ht="15" customHeight="1" x14ac:dyDescent="0.25">
      <c r="A112" s="11" t="s">
        <v>110</v>
      </c>
      <c r="B112" s="6">
        <v>3</v>
      </c>
      <c r="C112" s="16">
        <v>0</v>
      </c>
      <c r="D112" s="5">
        <f t="shared" si="16"/>
        <v>3</v>
      </c>
      <c r="E112" s="6">
        <v>1</v>
      </c>
      <c r="F112" s="16">
        <v>1</v>
      </c>
      <c r="G112" s="5">
        <f t="shared" si="17"/>
        <v>2</v>
      </c>
      <c r="H112" s="7">
        <f t="shared" si="18"/>
        <v>5</v>
      </c>
    </row>
    <row r="113" spans="1:8" ht="15" customHeight="1" x14ac:dyDescent="0.25">
      <c r="A113" s="11" t="s">
        <v>155</v>
      </c>
      <c r="B113" s="6">
        <v>1</v>
      </c>
      <c r="C113" s="16">
        <v>0</v>
      </c>
      <c r="D113" s="5">
        <f t="shared" si="16"/>
        <v>1</v>
      </c>
      <c r="E113" s="6">
        <v>0</v>
      </c>
      <c r="F113" s="16">
        <v>0</v>
      </c>
      <c r="G113" s="5">
        <f t="shared" si="17"/>
        <v>0</v>
      </c>
      <c r="H113" s="7">
        <f t="shared" si="18"/>
        <v>1</v>
      </c>
    </row>
    <row r="114" spans="1:8" ht="15" customHeight="1" x14ac:dyDescent="0.25">
      <c r="A114" s="11" t="s">
        <v>111</v>
      </c>
      <c r="B114" s="6">
        <v>2</v>
      </c>
      <c r="C114" s="16">
        <v>0</v>
      </c>
      <c r="D114" s="5">
        <f t="shared" si="16"/>
        <v>2</v>
      </c>
      <c r="E114" s="6">
        <v>5</v>
      </c>
      <c r="F114" s="16">
        <v>1</v>
      </c>
      <c r="G114" s="5">
        <f t="shared" si="17"/>
        <v>6</v>
      </c>
      <c r="H114" s="7">
        <f t="shared" si="18"/>
        <v>8</v>
      </c>
    </row>
    <row r="115" spans="1:8" ht="15" customHeight="1" x14ac:dyDescent="0.25">
      <c r="A115" s="11" t="s">
        <v>112</v>
      </c>
      <c r="B115" s="6">
        <v>1</v>
      </c>
      <c r="C115" s="16">
        <v>0</v>
      </c>
      <c r="D115" s="5">
        <f t="shared" si="16"/>
        <v>1</v>
      </c>
      <c r="E115" s="6">
        <v>0</v>
      </c>
      <c r="F115" s="16">
        <v>0</v>
      </c>
      <c r="G115" s="5">
        <f t="shared" si="17"/>
        <v>0</v>
      </c>
      <c r="H115" s="7">
        <f t="shared" si="18"/>
        <v>1</v>
      </c>
    </row>
    <row r="116" spans="1:8" ht="15" customHeight="1" thickBot="1" x14ac:dyDescent="0.3">
      <c r="A116" s="11" t="s">
        <v>114</v>
      </c>
      <c r="B116" s="6">
        <v>3</v>
      </c>
      <c r="C116" s="16">
        <v>0</v>
      </c>
      <c r="D116" s="5">
        <f t="shared" si="16"/>
        <v>3</v>
      </c>
      <c r="E116" s="6">
        <v>2</v>
      </c>
      <c r="F116" s="16">
        <v>2</v>
      </c>
      <c r="G116" s="5">
        <f t="shared" si="17"/>
        <v>4</v>
      </c>
      <c r="H116" s="7">
        <f t="shared" si="18"/>
        <v>7</v>
      </c>
    </row>
    <row r="117" spans="1:8" ht="15" customHeight="1" thickTop="1" thickBot="1" x14ac:dyDescent="0.3">
      <c r="A117" s="12" t="s">
        <v>6</v>
      </c>
      <c r="B117" s="13">
        <f>SUM(B97:B116)</f>
        <v>88</v>
      </c>
      <c r="C117" s="13">
        <f t="shared" ref="C117:G117" si="19">SUM(C97:C116)</f>
        <v>1</v>
      </c>
      <c r="D117" s="13">
        <f t="shared" si="19"/>
        <v>89</v>
      </c>
      <c r="E117" s="13">
        <f t="shared" si="19"/>
        <v>102</v>
      </c>
      <c r="F117" s="13">
        <f t="shared" si="19"/>
        <v>23</v>
      </c>
      <c r="G117" s="13">
        <f t="shared" si="19"/>
        <v>125</v>
      </c>
      <c r="H117" s="15">
        <f>SUM(H97:H116)</f>
        <v>214</v>
      </c>
    </row>
    <row r="118" spans="1:8" ht="15" customHeight="1" thickTop="1" thickBot="1" x14ac:dyDescent="0.3">
      <c r="A118" s="23" t="s">
        <v>115</v>
      </c>
      <c r="B118" s="24"/>
      <c r="C118" s="24"/>
      <c r="D118" s="24"/>
      <c r="E118" s="24"/>
      <c r="F118" s="24"/>
      <c r="G118" s="24"/>
      <c r="H118" s="25"/>
    </row>
    <row r="119" spans="1:8" ht="15" customHeight="1" thickTop="1" x14ac:dyDescent="0.25">
      <c r="A119" s="11" t="s">
        <v>116</v>
      </c>
      <c r="B119" s="6">
        <v>22</v>
      </c>
      <c r="C119" s="16">
        <v>0</v>
      </c>
      <c r="D119" s="5">
        <f t="shared" ref="D119:D120" si="20">B119+C119</f>
        <v>22</v>
      </c>
      <c r="E119" s="6">
        <v>60</v>
      </c>
      <c r="F119" s="16">
        <v>2</v>
      </c>
      <c r="G119" s="5">
        <f t="shared" ref="G119:G120" si="21">E119+F119</f>
        <v>62</v>
      </c>
      <c r="H119" s="7">
        <f t="shared" ref="H119:H120" si="22">G119+D119</f>
        <v>84</v>
      </c>
    </row>
    <row r="120" spans="1:8" ht="15" customHeight="1" thickBot="1" x14ac:dyDescent="0.3">
      <c r="A120" s="11" t="s">
        <v>117</v>
      </c>
      <c r="B120" s="6">
        <v>357</v>
      </c>
      <c r="C120" s="16">
        <v>0</v>
      </c>
      <c r="D120" s="5">
        <f t="shared" si="20"/>
        <v>357</v>
      </c>
      <c r="E120" s="6">
        <v>292</v>
      </c>
      <c r="F120" s="16">
        <v>14</v>
      </c>
      <c r="G120" s="5">
        <f t="shared" si="21"/>
        <v>306</v>
      </c>
      <c r="H120" s="7">
        <f t="shared" si="22"/>
        <v>663</v>
      </c>
    </row>
    <row r="121" spans="1:8" ht="15" customHeight="1" thickTop="1" thickBot="1" x14ac:dyDescent="0.3">
      <c r="A121" s="12" t="s">
        <v>6</v>
      </c>
      <c r="B121" s="13">
        <f>SUM(B119:B120)</f>
        <v>379</v>
      </c>
      <c r="C121" s="13">
        <f t="shared" ref="C121:H121" si="23">SUM(C119:C120)</f>
        <v>0</v>
      </c>
      <c r="D121" s="13">
        <f t="shared" si="23"/>
        <v>379</v>
      </c>
      <c r="E121" s="13">
        <f t="shared" si="23"/>
        <v>352</v>
      </c>
      <c r="F121" s="13">
        <f t="shared" si="23"/>
        <v>16</v>
      </c>
      <c r="G121" s="13">
        <f t="shared" si="23"/>
        <v>368</v>
      </c>
      <c r="H121" s="15">
        <f t="shared" si="23"/>
        <v>747</v>
      </c>
    </row>
    <row r="122" spans="1:8" ht="15" customHeight="1" thickTop="1" thickBot="1" x14ac:dyDescent="0.3">
      <c r="A122" s="23" t="s">
        <v>145</v>
      </c>
      <c r="B122" s="24"/>
      <c r="C122" s="24"/>
      <c r="D122" s="24"/>
      <c r="E122" s="24"/>
      <c r="F122" s="24"/>
      <c r="G122" s="24"/>
      <c r="H122" s="25"/>
    </row>
    <row r="123" spans="1:8" ht="15" customHeight="1" thickTop="1" x14ac:dyDescent="0.25">
      <c r="A123" s="11" t="s">
        <v>118</v>
      </c>
      <c r="B123" s="6">
        <v>2</v>
      </c>
      <c r="C123" s="16">
        <v>0</v>
      </c>
      <c r="D123" s="5">
        <f t="shared" ref="D123:D135" si="24">B123+C123</f>
        <v>2</v>
      </c>
      <c r="E123" s="6">
        <v>0</v>
      </c>
      <c r="F123" s="16">
        <v>0</v>
      </c>
      <c r="G123" s="5">
        <f t="shared" ref="G123:G135" si="25">E123+F123</f>
        <v>0</v>
      </c>
      <c r="H123" s="7">
        <f t="shared" ref="H123:H135" si="26">G123+D123</f>
        <v>2</v>
      </c>
    </row>
    <row r="124" spans="1:8" ht="15" customHeight="1" x14ac:dyDescent="0.25">
      <c r="A124" s="11" t="s">
        <v>119</v>
      </c>
      <c r="B124" s="6">
        <v>1</v>
      </c>
      <c r="C124" s="16">
        <v>0</v>
      </c>
      <c r="D124" s="5">
        <f t="shared" si="24"/>
        <v>1</v>
      </c>
      <c r="E124" s="6">
        <v>1</v>
      </c>
      <c r="F124" s="16">
        <v>0</v>
      </c>
      <c r="G124" s="5">
        <f t="shared" si="25"/>
        <v>1</v>
      </c>
      <c r="H124" s="7">
        <f t="shared" si="26"/>
        <v>2</v>
      </c>
    </row>
    <row r="125" spans="1:8" ht="15" customHeight="1" x14ac:dyDescent="0.25">
      <c r="A125" s="11" t="s">
        <v>120</v>
      </c>
      <c r="B125" s="6">
        <v>6</v>
      </c>
      <c r="C125" s="16">
        <v>0</v>
      </c>
      <c r="D125" s="5">
        <f t="shared" si="24"/>
        <v>6</v>
      </c>
      <c r="E125" s="6">
        <v>0</v>
      </c>
      <c r="F125" s="16">
        <v>0</v>
      </c>
      <c r="G125" s="5">
        <f t="shared" si="25"/>
        <v>0</v>
      </c>
      <c r="H125" s="7">
        <f t="shared" si="26"/>
        <v>6</v>
      </c>
    </row>
    <row r="126" spans="1:8" ht="15" customHeight="1" x14ac:dyDescent="0.25">
      <c r="A126" s="11" t="s">
        <v>122</v>
      </c>
      <c r="B126" s="6">
        <v>1</v>
      </c>
      <c r="C126" s="16">
        <v>0</v>
      </c>
      <c r="D126" s="5">
        <f t="shared" si="24"/>
        <v>1</v>
      </c>
      <c r="E126" s="6">
        <v>0</v>
      </c>
      <c r="F126" s="16">
        <v>0</v>
      </c>
      <c r="G126" s="5">
        <f t="shared" si="25"/>
        <v>0</v>
      </c>
      <c r="H126" s="7">
        <f t="shared" si="26"/>
        <v>1</v>
      </c>
    </row>
    <row r="127" spans="1:8" ht="15" customHeight="1" x14ac:dyDescent="0.25">
      <c r="A127" s="11" t="s">
        <v>189</v>
      </c>
      <c r="B127" s="6">
        <v>0</v>
      </c>
      <c r="C127" s="16">
        <v>0</v>
      </c>
      <c r="D127" s="5">
        <f t="shared" si="24"/>
        <v>0</v>
      </c>
      <c r="E127" s="6">
        <v>1</v>
      </c>
      <c r="F127" s="16">
        <v>0</v>
      </c>
      <c r="G127" s="5">
        <f t="shared" si="25"/>
        <v>1</v>
      </c>
      <c r="H127" s="7">
        <f t="shared" si="26"/>
        <v>1</v>
      </c>
    </row>
    <row r="128" spans="1:8" ht="15" customHeight="1" x14ac:dyDescent="0.25">
      <c r="A128" s="11" t="s">
        <v>123</v>
      </c>
      <c r="B128" s="6">
        <v>1</v>
      </c>
      <c r="C128" s="16">
        <v>0</v>
      </c>
      <c r="D128" s="5">
        <f t="shared" si="24"/>
        <v>1</v>
      </c>
      <c r="E128" s="6">
        <v>5</v>
      </c>
      <c r="F128" s="16">
        <v>1</v>
      </c>
      <c r="G128" s="5">
        <f t="shared" si="25"/>
        <v>6</v>
      </c>
      <c r="H128" s="7">
        <f t="shared" si="26"/>
        <v>7</v>
      </c>
    </row>
    <row r="129" spans="1:8" ht="15" customHeight="1" x14ac:dyDescent="0.25">
      <c r="A129" s="11" t="s">
        <v>135</v>
      </c>
      <c r="B129" s="6">
        <v>3</v>
      </c>
      <c r="C129" s="16">
        <v>0</v>
      </c>
      <c r="D129" s="5">
        <f t="shared" si="24"/>
        <v>3</v>
      </c>
      <c r="E129" s="6">
        <v>37</v>
      </c>
      <c r="F129" s="16">
        <v>0</v>
      </c>
      <c r="G129" s="5">
        <f t="shared" si="25"/>
        <v>37</v>
      </c>
      <c r="H129" s="7">
        <f t="shared" si="26"/>
        <v>40</v>
      </c>
    </row>
    <row r="130" spans="1:8" ht="15" customHeight="1" x14ac:dyDescent="0.25">
      <c r="A130" s="11" t="s">
        <v>222</v>
      </c>
      <c r="B130" s="6">
        <v>1</v>
      </c>
      <c r="C130" s="16">
        <v>0</v>
      </c>
      <c r="D130" s="5">
        <f t="shared" si="24"/>
        <v>1</v>
      </c>
      <c r="E130" s="6">
        <v>0</v>
      </c>
      <c r="F130" s="16">
        <v>0</v>
      </c>
      <c r="G130" s="5">
        <f t="shared" si="25"/>
        <v>0</v>
      </c>
      <c r="H130" s="7">
        <f t="shared" si="26"/>
        <v>1</v>
      </c>
    </row>
    <row r="131" spans="1:8" ht="15" customHeight="1" x14ac:dyDescent="0.25">
      <c r="A131" s="11" t="s">
        <v>191</v>
      </c>
      <c r="B131" s="6">
        <v>0</v>
      </c>
      <c r="C131" s="16">
        <v>0</v>
      </c>
      <c r="D131" s="5">
        <f t="shared" si="24"/>
        <v>0</v>
      </c>
      <c r="E131" s="6">
        <v>2</v>
      </c>
      <c r="F131" s="16">
        <v>0</v>
      </c>
      <c r="G131" s="5">
        <f t="shared" si="25"/>
        <v>2</v>
      </c>
      <c r="H131" s="7">
        <f t="shared" si="26"/>
        <v>2</v>
      </c>
    </row>
    <row r="132" spans="1:8" ht="15" customHeight="1" x14ac:dyDescent="0.25">
      <c r="A132" s="11" t="s">
        <v>124</v>
      </c>
      <c r="B132" s="6">
        <v>0</v>
      </c>
      <c r="C132" s="16">
        <v>0</v>
      </c>
      <c r="D132" s="5">
        <f t="shared" si="24"/>
        <v>0</v>
      </c>
      <c r="E132" s="6">
        <v>2</v>
      </c>
      <c r="F132" s="16">
        <v>0</v>
      </c>
      <c r="G132" s="5">
        <f t="shared" si="25"/>
        <v>2</v>
      </c>
      <c r="H132" s="7">
        <f t="shared" si="26"/>
        <v>2</v>
      </c>
    </row>
    <row r="133" spans="1:8" ht="15" customHeight="1" x14ac:dyDescent="0.25">
      <c r="A133" s="11" t="s">
        <v>209</v>
      </c>
      <c r="B133" s="6">
        <v>0</v>
      </c>
      <c r="C133" s="16">
        <v>0</v>
      </c>
      <c r="D133" s="5">
        <f t="shared" si="24"/>
        <v>0</v>
      </c>
      <c r="E133" s="6">
        <v>3</v>
      </c>
      <c r="F133" s="16">
        <v>0</v>
      </c>
      <c r="G133" s="5">
        <f t="shared" si="25"/>
        <v>3</v>
      </c>
      <c r="H133" s="7">
        <f t="shared" si="26"/>
        <v>3</v>
      </c>
    </row>
    <row r="134" spans="1:8" ht="15" customHeight="1" x14ac:dyDescent="0.25">
      <c r="A134" s="11" t="s">
        <v>192</v>
      </c>
      <c r="B134" s="6">
        <v>4</v>
      </c>
      <c r="C134" s="16">
        <v>0</v>
      </c>
      <c r="D134" s="5">
        <f t="shared" si="24"/>
        <v>4</v>
      </c>
      <c r="E134" s="6">
        <v>7</v>
      </c>
      <c r="F134" s="16">
        <v>2</v>
      </c>
      <c r="G134" s="5">
        <f t="shared" si="25"/>
        <v>9</v>
      </c>
      <c r="H134" s="7">
        <f t="shared" si="26"/>
        <v>13</v>
      </c>
    </row>
    <row r="135" spans="1:8" ht="15" customHeight="1" thickBot="1" x14ac:dyDescent="0.3">
      <c r="A135" s="11" t="s">
        <v>214</v>
      </c>
      <c r="B135" s="6">
        <v>1</v>
      </c>
      <c r="C135" s="16">
        <v>0</v>
      </c>
      <c r="D135" s="5">
        <f t="shared" si="24"/>
        <v>1</v>
      </c>
      <c r="E135" s="6">
        <v>0</v>
      </c>
      <c r="F135" s="16">
        <v>0</v>
      </c>
      <c r="G135" s="5">
        <f t="shared" si="25"/>
        <v>0</v>
      </c>
      <c r="H135" s="7">
        <f t="shared" si="26"/>
        <v>1</v>
      </c>
    </row>
    <row r="136" spans="1:8" ht="15" customHeight="1" thickTop="1" thickBot="1" x14ac:dyDescent="0.3">
      <c r="A136" s="12" t="s">
        <v>6</v>
      </c>
      <c r="B136" s="13">
        <f>SUM(B123:B135)</f>
        <v>20</v>
      </c>
      <c r="C136" s="13">
        <f t="shared" ref="C136:G136" si="27">SUM(C123:C135)</f>
        <v>0</v>
      </c>
      <c r="D136" s="13">
        <f t="shared" si="27"/>
        <v>20</v>
      </c>
      <c r="E136" s="13">
        <f t="shared" si="27"/>
        <v>58</v>
      </c>
      <c r="F136" s="13">
        <f t="shared" si="27"/>
        <v>3</v>
      </c>
      <c r="G136" s="13">
        <f t="shared" si="27"/>
        <v>61</v>
      </c>
      <c r="H136" s="15">
        <f>SUM(H123:H135)</f>
        <v>81</v>
      </c>
    </row>
    <row r="137" spans="1:8" ht="15" customHeight="1" thickTop="1" thickBot="1" x14ac:dyDescent="0.3">
      <c r="A137" s="23" t="s">
        <v>195</v>
      </c>
      <c r="B137" s="24"/>
      <c r="C137" s="24"/>
      <c r="D137" s="24"/>
      <c r="E137" s="24"/>
      <c r="F137" s="24"/>
      <c r="G137" s="24"/>
      <c r="H137" s="25"/>
    </row>
    <row r="138" spans="1:8" ht="15" customHeight="1" thickTop="1" x14ac:dyDescent="0.25">
      <c r="A138" s="11" t="s">
        <v>128</v>
      </c>
      <c r="B138" s="6">
        <v>2</v>
      </c>
      <c r="C138" s="16">
        <v>0</v>
      </c>
      <c r="D138" s="5">
        <f t="shared" ref="D138:D146" si="28">B138+C138</f>
        <v>2</v>
      </c>
      <c r="E138" s="6">
        <v>9</v>
      </c>
      <c r="F138" s="16">
        <v>0</v>
      </c>
      <c r="G138" s="5">
        <f t="shared" ref="G138:G146" si="29">E138+F138</f>
        <v>9</v>
      </c>
      <c r="H138" s="7">
        <f t="shared" ref="H138:H146" si="30">G138+D138</f>
        <v>11</v>
      </c>
    </row>
    <row r="139" spans="1:8" ht="15" customHeight="1" x14ac:dyDescent="0.25">
      <c r="A139" s="11" t="s">
        <v>215</v>
      </c>
      <c r="B139" s="6">
        <v>0</v>
      </c>
      <c r="C139" s="16">
        <v>0</v>
      </c>
      <c r="D139" s="5">
        <f t="shared" si="28"/>
        <v>0</v>
      </c>
      <c r="E139" s="6">
        <v>1</v>
      </c>
      <c r="F139" s="16">
        <v>0</v>
      </c>
      <c r="G139" s="5">
        <f t="shared" si="29"/>
        <v>1</v>
      </c>
      <c r="H139" s="7">
        <f t="shared" si="30"/>
        <v>1</v>
      </c>
    </row>
    <row r="140" spans="1:8" ht="15" customHeight="1" x14ac:dyDescent="0.25">
      <c r="A140" s="11" t="s">
        <v>130</v>
      </c>
      <c r="B140" s="6">
        <v>4</v>
      </c>
      <c r="C140" s="16">
        <v>0</v>
      </c>
      <c r="D140" s="5">
        <f t="shared" si="28"/>
        <v>4</v>
      </c>
      <c r="E140" s="6">
        <v>23</v>
      </c>
      <c r="F140" s="16">
        <v>4</v>
      </c>
      <c r="G140" s="5">
        <f t="shared" si="29"/>
        <v>27</v>
      </c>
      <c r="H140" s="7">
        <f t="shared" si="30"/>
        <v>31</v>
      </c>
    </row>
    <row r="141" spans="1:8" ht="15" customHeight="1" x14ac:dyDescent="0.25">
      <c r="A141" s="11" t="s">
        <v>131</v>
      </c>
      <c r="B141" s="6">
        <v>1</v>
      </c>
      <c r="C141" s="16">
        <v>0</v>
      </c>
      <c r="D141" s="5">
        <f t="shared" si="28"/>
        <v>1</v>
      </c>
      <c r="E141" s="6">
        <v>16</v>
      </c>
      <c r="F141" s="16">
        <v>0</v>
      </c>
      <c r="G141" s="5">
        <f t="shared" si="29"/>
        <v>16</v>
      </c>
      <c r="H141" s="7">
        <f t="shared" si="30"/>
        <v>17</v>
      </c>
    </row>
    <row r="142" spans="1:8" ht="15" customHeight="1" x14ac:dyDescent="0.25">
      <c r="A142" s="11" t="s">
        <v>132</v>
      </c>
      <c r="B142" s="6">
        <v>1</v>
      </c>
      <c r="C142" s="16">
        <v>0</v>
      </c>
      <c r="D142" s="5">
        <f t="shared" si="28"/>
        <v>1</v>
      </c>
      <c r="E142" s="6">
        <v>11</v>
      </c>
      <c r="F142" s="16">
        <v>0</v>
      </c>
      <c r="G142" s="5">
        <f t="shared" si="29"/>
        <v>11</v>
      </c>
      <c r="H142" s="7">
        <f t="shared" si="30"/>
        <v>12</v>
      </c>
    </row>
    <row r="143" spans="1:8" ht="15" customHeight="1" x14ac:dyDescent="0.25">
      <c r="A143" s="11" t="s">
        <v>196</v>
      </c>
      <c r="B143" s="6">
        <v>1</v>
      </c>
      <c r="C143" s="16">
        <v>0</v>
      </c>
      <c r="D143" s="5">
        <f t="shared" si="28"/>
        <v>1</v>
      </c>
      <c r="E143" s="6">
        <v>1</v>
      </c>
      <c r="F143" s="16">
        <v>0</v>
      </c>
      <c r="G143" s="5">
        <f t="shared" si="29"/>
        <v>1</v>
      </c>
      <c r="H143" s="7">
        <f t="shared" si="30"/>
        <v>2</v>
      </c>
    </row>
    <row r="144" spans="1:8" ht="15" customHeight="1" x14ac:dyDescent="0.25">
      <c r="A144" s="11" t="s">
        <v>134</v>
      </c>
      <c r="B144" s="6">
        <v>0</v>
      </c>
      <c r="C144" s="16">
        <v>0</v>
      </c>
      <c r="D144" s="5">
        <f t="shared" si="28"/>
        <v>0</v>
      </c>
      <c r="E144" s="6">
        <v>1</v>
      </c>
      <c r="F144" s="16">
        <v>0</v>
      </c>
      <c r="G144" s="5">
        <f t="shared" si="29"/>
        <v>1</v>
      </c>
      <c r="H144" s="7">
        <f t="shared" si="30"/>
        <v>1</v>
      </c>
    </row>
    <row r="145" spans="1:8" ht="15" customHeight="1" x14ac:dyDescent="0.25">
      <c r="A145" s="11" t="s">
        <v>136</v>
      </c>
      <c r="B145" s="6">
        <v>0</v>
      </c>
      <c r="C145" s="16">
        <v>0</v>
      </c>
      <c r="D145" s="5">
        <f t="shared" si="28"/>
        <v>0</v>
      </c>
      <c r="E145" s="6">
        <v>12</v>
      </c>
      <c r="F145" s="16">
        <v>0</v>
      </c>
      <c r="G145" s="5">
        <f t="shared" si="29"/>
        <v>12</v>
      </c>
      <c r="H145" s="7">
        <f t="shared" si="30"/>
        <v>12</v>
      </c>
    </row>
    <row r="146" spans="1:8" ht="15" customHeight="1" thickBot="1" x14ac:dyDescent="0.3">
      <c r="A146" s="11" t="s">
        <v>203</v>
      </c>
      <c r="B146" s="6">
        <v>1</v>
      </c>
      <c r="C146" s="16">
        <v>0</v>
      </c>
      <c r="D146" s="5">
        <f t="shared" si="28"/>
        <v>1</v>
      </c>
      <c r="E146" s="6">
        <v>4</v>
      </c>
      <c r="F146" s="16">
        <v>1</v>
      </c>
      <c r="G146" s="5">
        <f t="shared" si="29"/>
        <v>5</v>
      </c>
      <c r="H146" s="7">
        <f t="shared" si="30"/>
        <v>6</v>
      </c>
    </row>
    <row r="147" spans="1:8" ht="15" customHeight="1" thickTop="1" thickBot="1" x14ac:dyDescent="0.3">
      <c r="A147" s="12" t="s">
        <v>6</v>
      </c>
      <c r="B147" s="14">
        <f>SUM(B138:B146)</f>
        <v>10</v>
      </c>
      <c r="C147" s="14">
        <f t="shared" ref="C147:G147" si="31">SUM(C138:C146)</f>
        <v>0</v>
      </c>
      <c r="D147" s="14">
        <f t="shared" si="31"/>
        <v>10</v>
      </c>
      <c r="E147" s="14">
        <f t="shared" si="31"/>
        <v>78</v>
      </c>
      <c r="F147" s="14">
        <f t="shared" si="31"/>
        <v>5</v>
      </c>
      <c r="G147" s="14">
        <f t="shared" si="31"/>
        <v>83</v>
      </c>
      <c r="H147" s="15">
        <f>SUM(H138:H146)</f>
        <v>93</v>
      </c>
    </row>
    <row r="148" spans="1:8" ht="15" customHeight="1" thickTop="1" thickBot="1" x14ac:dyDescent="0.3">
      <c r="A148" s="23" t="s">
        <v>138</v>
      </c>
      <c r="B148" s="24"/>
      <c r="C148" s="24"/>
      <c r="D148" s="24"/>
      <c r="E148" s="24"/>
      <c r="F148" s="24"/>
      <c r="G148" s="24"/>
      <c r="H148" s="25"/>
    </row>
    <row r="149" spans="1:8" ht="15" customHeight="1" thickTop="1" x14ac:dyDescent="0.25">
      <c r="A149" s="11" t="s">
        <v>139</v>
      </c>
      <c r="B149" s="6">
        <v>25</v>
      </c>
      <c r="C149" s="16">
        <v>0</v>
      </c>
      <c r="D149" s="5">
        <f t="shared" ref="D149:D151" si="32">B149+C149</f>
        <v>25</v>
      </c>
      <c r="E149" s="6">
        <v>12</v>
      </c>
      <c r="F149" s="16">
        <v>0</v>
      </c>
      <c r="G149" s="5">
        <f t="shared" ref="G149:G151" si="33">E149+F149</f>
        <v>12</v>
      </c>
      <c r="H149" s="7">
        <f t="shared" ref="H149:H151" si="34">G149+D149</f>
        <v>37</v>
      </c>
    </row>
    <row r="150" spans="1:8" ht="15" customHeight="1" x14ac:dyDescent="0.25">
      <c r="A150" s="11" t="s">
        <v>141</v>
      </c>
      <c r="B150" s="6">
        <v>2</v>
      </c>
      <c r="C150" s="16">
        <v>0</v>
      </c>
      <c r="D150" s="5">
        <f t="shared" si="32"/>
        <v>2</v>
      </c>
      <c r="E150" s="6">
        <v>7</v>
      </c>
      <c r="F150" s="16">
        <v>1</v>
      </c>
      <c r="G150" s="5">
        <f t="shared" si="33"/>
        <v>8</v>
      </c>
      <c r="H150" s="7">
        <f t="shared" si="34"/>
        <v>10</v>
      </c>
    </row>
    <row r="151" spans="1:8" ht="15" customHeight="1" thickBot="1" x14ac:dyDescent="0.3">
      <c r="A151" s="11" t="s">
        <v>78</v>
      </c>
      <c r="B151" s="6">
        <v>0</v>
      </c>
      <c r="C151" s="16">
        <v>0</v>
      </c>
      <c r="D151" s="5">
        <f t="shared" si="32"/>
        <v>0</v>
      </c>
      <c r="E151" s="6">
        <v>1</v>
      </c>
      <c r="F151" s="16">
        <v>1</v>
      </c>
      <c r="G151" s="5">
        <f t="shared" si="33"/>
        <v>2</v>
      </c>
      <c r="H151" s="7">
        <f t="shared" si="34"/>
        <v>2</v>
      </c>
    </row>
    <row r="152" spans="1:8" ht="15" customHeight="1" thickTop="1" thickBot="1" x14ac:dyDescent="0.3">
      <c r="A152" s="12" t="s">
        <v>6</v>
      </c>
      <c r="B152" s="13">
        <f>SUM(B149:B151)</f>
        <v>27</v>
      </c>
      <c r="C152" s="13">
        <f t="shared" ref="C152:G152" si="35">SUM(C149:C151)</f>
        <v>0</v>
      </c>
      <c r="D152" s="13">
        <f t="shared" si="35"/>
        <v>27</v>
      </c>
      <c r="E152" s="13">
        <f t="shared" si="35"/>
        <v>20</v>
      </c>
      <c r="F152" s="13">
        <f t="shared" si="35"/>
        <v>2</v>
      </c>
      <c r="G152" s="13">
        <f t="shared" si="35"/>
        <v>22</v>
      </c>
      <c r="H152" s="15">
        <f>SUM(H149:H151)</f>
        <v>49</v>
      </c>
    </row>
    <row r="153" spans="1:8" ht="15" customHeight="1" thickTop="1" thickBot="1" x14ac:dyDescent="0.3">
      <c r="A153" s="23" t="s">
        <v>146</v>
      </c>
      <c r="B153" s="24"/>
      <c r="C153" s="24"/>
      <c r="D153" s="24"/>
      <c r="E153" s="24"/>
      <c r="F153" s="24"/>
      <c r="G153" s="24"/>
      <c r="H153" s="25"/>
    </row>
    <row r="154" spans="1:8" ht="15" customHeight="1" thickTop="1" x14ac:dyDescent="0.25">
      <c r="A154" s="11" t="s">
        <v>206</v>
      </c>
      <c r="B154" s="6">
        <v>1</v>
      </c>
      <c r="C154" s="16">
        <v>0</v>
      </c>
      <c r="D154" s="5">
        <f t="shared" ref="D154:D155" si="36">B154+C154</f>
        <v>1</v>
      </c>
      <c r="E154" s="6">
        <v>4</v>
      </c>
      <c r="F154" s="16">
        <v>1</v>
      </c>
      <c r="G154" s="5">
        <f t="shared" ref="G154:G155" si="37">E154+F154</f>
        <v>5</v>
      </c>
      <c r="H154" s="7">
        <f t="shared" ref="H154:H155" si="38">G154+D154</f>
        <v>6</v>
      </c>
    </row>
    <row r="155" spans="1:8" ht="15" customHeight="1" thickBot="1" x14ac:dyDescent="0.3">
      <c r="A155" s="11" t="s">
        <v>205</v>
      </c>
      <c r="B155" s="6">
        <v>0</v>
      </c>
      <c r="C155" s="16">
        <v>0</v>
      </c>
      <c r="D155" s="5">
        <f t="shared" si="36"/>
        <v>0</v>
      </c>
      <c r="E155" s="6">
        <v>0</v>
      </c>
      <c r="F155" s="16">
        <v>0</v>
      </c>
      <c r="G155" s="5">
        <f t="shared" si="37"/>
        <v>0</v>
      </c>
      <c r="H155" s="7">
        <f t="shared" si="38"/>
        <v>0</v>
      </c>
    </row>
    <row r="156" spans="1:8" ht="15" customHeight="1" thickTop="1" thickBot="1" x14ac:dyDescent="0.3">
      <c r="A156" s="12" t="s">
        <v>6</v>
      </c>
      <c r="B156" s="13">
        <f>SUM(B154:B155)</f>
        <v>1</v>
      </c>
      <c r="C156" s="13">
        <f t="shared" ref="C156:H156" si="39">SUM(C154:C155)</f>
        <v>0</v>
      </c>
      <c r="D156" s="13">
        <f t="shared" si="39"/>
        <v>1</v>
      </c>
      <c r="E156" s="13">
        <f t="shared" si="39"/>
        <v>4</v>
      </c>
      <c r="F156" s="13">
        <f t="shared" si="39"/>
        <v>1</v>
      </c>
      <c r="G156" s="13">
        <f t="shared" si="39"/>
        <v>5</v>
      </c>
      <c r="H156" s="15">
        <f t="shared" si="39"/>
        <v>6</v>
      </c>
    </row>
    <row r="157" spans="1:8" ht="15" customHeight="1" thickTop="1" thickBot="1" x14ac:dyDescent="0.3">
      <c r="A157" s="23"/>
      <c r="B157" s="24"/>
      <c r="C157" s="24"/>
      <c r="D157" s="24"/>
      <c r="E157" s="24"/>
      <c r="F157" s="24"/>
      <c r="G157" s="24"/>
      <c r="H157" s="25"/>
    </row>
    <row r="158" spans="1:8" ht="15" customHeight="1" thickTop="1" thickBot="1" x14ac:dyDescent="0.3">
      <c r="A158" s="43" t="s">
        <v>0</v>
      </c>
      <c r="B158" s="44">
        <f>B33+B52+B67+B95+B117+B121+B136+B147+B152+B156</f>
        <v>3204</v>
      </c>
      <c r="C158" s="44">
        <f t="shared" ref="C158:G158" si="40">C33+C52+C67+C95+C117+C121+C136+C147+C152+C156</f>
        <v>64</v>
      </c>
      <c r="D158" s="44">
        <f t="shared" si="40"/>
        <v>3268</v>
      </c>
      <c r="E158" s="44">
        <f t="shared" si="40"/>
        <v>2471</v>
      </c>
      <c r="F158" s="44">
        <f t="shared" si="40"/>
        <v>368</v>
      </c>
      <c r="G158" s="44">
        <f t="shared" si="40"/>
        <v>2839</v>
      </c>
      <c r="H158" s="45">
        <f>H33+H52+H67+H95+H117+H121+H136+H147+H152+H156</f>
        <v>6107</v>
      </c>
    </row>
    <row r="160" spans="1:8" ht="15" customHeight="1" x14ac:dyDescent="0.25">
      <c r="A160" s="47" t="s">
        <v>147</v>
      </c>
      <c r="B160" s="47"/>
      <c r="C160" s="47"/>
      <c r="D160" s="47"/>
      <c r="E160" s="47"/>
      <c r="F160" s="47"/>
      <c r="G160" s="47"/>
      <c r="H160" s="47"/>
    </row>
    <row r="161" spans="1:8" ht="15" customHeight="1" x14ac:dyDescent="0.25">
      <c r="A161" s="47" t="s">
        <v>218</v>
      </c>
      <c r="B161" s="47"/>
      <c r="C161" s="47"/>
      <c r="D161" s="47"/>
      <c r="E161" s="47"/>
      <c r="F161" s="47"/>
      <c r="G161" s="47"/>
      <c r="H161" s="47"/>
    </row>
    <row r="175" spans="1:8" ht="25.5" customHeight="1" x14ac:dyDescent="0.25"/>
    <row r="176" spans="1:8" ht="25.5" customHeight="1" x14ac:dyDescent="0.25"/>
  </sheetData>
  <mergeCells count="18">
    <mergeCell ref="A160:H160"/>
    <mergeCell ref="A161:H161"/>
    <mergeCell ref="H5:H6"/>
    <mergeCell ref="A2:H2"/>
    <mergeCell ref="B5:D5"/>
    <mergeCell ref="E5:G5"/>
    <mergeCell ref="A7:H7"/>
    <mergeCell ref="A34:H34"/>
    <mergeCell ref="A153:H153"/>
    <mergeCell ref="A5:A6"/>
    <mergeCell ref="A157:H157"/>
    <mergeCell ref="A68:H68"/>
    <mergeCell ref="A96:H96"/>
    <mergeCell ref="A118:H118"/>
    <mergeCell ref="A122:H122"/>
    <mergeCell ref="A137:H137"/>
    <mergeCell ref="A148:H148"/>
    <mergeCell ref="A53:H53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&amp;A&amp;RPage &amp;P of &amp;N</oddFooter>
  </headerFooter>
  <rowBreaks count="1" manualBreakCount="1">
    <brk id="95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6"/>
  <sheetViews>
    <sheetView view="pageLayout" topLeftCell="A145" zoomScaleNormal="85" workbookViewId="0">
      <selection activeCell="A178" sqref="A178"/>
    </sheetView>
  </sheetViews>
  <sheetFormatPr defaultRowHeight="15" customHeight="1" x14ac:dyDescent="0.25"/>
  <cols>
    <col min="1" max="1" width="18.85546875" bestFit="1" customWidth="1"/>
    <col min="2" max="8" width="6" customWidth="1"/>
    <col min="9" max="11" width="5.5703125" customWidth="1"/>
  </cols>
  <sheetData>
    <row r="1" spans="1:9" ht="15" customHeight="1" x14ac:dyDescent="0.25">
      <c r="A1" s="1" t="s">
        <v>7</v>
      </c>
      <c r="B1" s="3"/>
    </row>
    <row r="2" spans="1:9" ht="15" customHeight="1" x14ac:dyDescent="0.25">
      <c r="A2" s="31" t="s">
        <v>8</v>
      </c>
      <c r="B2" s="31"/>
      <c r="C2" s="31"/>
      <c r="D2" s="31"/>
      <c r="E2" s="31"/>
      <c r="F2" s="31"/>
      <c r="G2" s="31"/>
      <c r="H2" s="31"/>
    </row>
    <row r="3" spans="1:9" ht="15" customHeight="1" x14ac:dyDescent="0.25">
      <c r="A3" s="2" t="str">
        <f ca="1">RIGHT(CELL("filename",A1),LEN(CELL("filename",A1))-FIND("]",CELL("filename",A1)))</f>
        <v>2005-06</v>
      </c>
      <c r="B3" s="3"/>
    </row>
    <row r="4" spans="1:9" ht="15" customHeight="1" thickBot="1" x14ac:dyDescent="0.3">
      <c r="A4" s="3"/>
      <c r="B4" s="3"/>
    </row>
    <row r="5" spans="1:9" ht="15" customHeight="1" x14ac:dyDescent="0.25">
      <c r="A5" s="29" t="s">
        <v>3</v>
      </c>
      <c r="B5" s="26" t="s">
        <v>1</v>
      </c>
      <c r="C5" s="27"/>
      <c r="D5" s="27"/>
      <c r="E5" s="26" t="s">
        <v>2</v>
      </c>
      <c r="F5" s="27"/>
      <c r="G5" s="27"/>
      <c r="H5" s="62" t="s">
        <v>0</v>
      </c>
    </row>
    <row r="6" spans="1:9" ht="15" customHeight="1" x14ac:dyDescent="0.25">
      <c r="A6" s="30"/>
      <c r="B6" s="59" t="s">
        <v>4</v>
      </c>
      <c r="C6" s="60" t="s">
        <v>5</v>
      </c>
      <c r="D6" s="61" t="s">
        <v>0</v>
      </c>
      <c r="E6" s="59" t="s">
        <v>4</v>
      </c>
      <c r="F6" s="60" t="s">
        <v>5</v>
      </c>
      <c r="G6" s="61" t="s">
        <v>0</v>
      </c>
      <c r="H6" s="63"/>
      <c r="I6" s="22"/>
    </row>
    <row r="7" spans="1:9" ht="15" customHeight="1" thickBot="1" x14ac:dyDescent="0.3">
      <c r="A7" s="32" t="s">
        <v>9</v>
      </c>
      <c r="B7" s="33"/>
      <c r="C7" s="33"/>
      <c r="D7" s="33"/>
      <c r="E7" s="33"/>
      <c r="F7" s="33"/>
      <c r="G7" s="33"/>
      <c r="H7" s="34"/>
    </row>
    <row r="8" spans="1:9" ht="15" customHeight="1" thickTop="1" x14ac:dyDescent="0.25">
      <c r="A8" s="11" t="s">
        <v>10</v>
      </c>
      <c r="B8" s="6">
        <v>19</v>
      </c>
      <c r="C8" s="4">
        <v>0</v>
      </c>
      <c r="D8" s="5">
        <f t="shared" ref="D8:D32" si="0">B8+C8</f>
        <v>19</v>
      </c>
      <c r="E8" s="6">
        <v>10</v>
      </c>
      <c r="F8" s="4">
        <v>1</v>
      </c>
      <c r="G8" s="5">
        <f t="shared" ref="G8:G32" si="1">E8+F8</f>
        <v>11</v>
      </c>
      <c r="H8" s="7">
        <f t="shared" ref="H8:H32" si="2">G8+D8</f>
        <v>30</v>
      </c>
    </row>
    <row r="9" spans="1:9" ht="15" customHeight="1" x14ac:dyDescent="0.25">
      <c r="A9" s="11" t="s">
        <v>11</v>
      </c>
      <c r="B9" s="6">
        <v>43</v>
      </c>
      <c r="C9" s="4">
        <v>0</v>
      </c>
      <c r="D9" s="5">
        <f t="shared" si="0"/>
        <v>43</v>
      </c>
      <c r="E9" s="6">
        <v>27</v>
      </c>
      <c r="F9" s="4">
        <v>6</v>
      </c>
      <c r="G9" s="5">
        <f t="shared" si="1"/>
        <v>33</v>
      </c>
      <c r="H9" s="7">
        <f t="shared" si="2"/>
        <v>76</v>
      </c>
    </row>
    <row r="10" spans="1:9" ht="15" customHeight="1" x14ac:dyDescent="0.25">
      <c r="A10" s="11" t="s">
        <v>30</v>
      </c>
      <c r="B10" s="6">
        <v>106</v>
      </c>
      <c r="C10" s="4">
        <v>0</v>
      </c>
      <c r="D10" s="5">
        <f t="shared" si="0"/>
        <v>106</v>
      </c>
      <c r="E10" s="6">
        <v>52</v>
      </c>
      <c r="F10" s="4">
        <v>6</v>
      </c>
      <c r="G10" s="5">
        <f t="shared" si="1"/>
        <v>58</v>
      </c>
      <c r="H10" s="7">
        <f t="shared" si="2"/>
        <v>164</v>
      </c>
    </row>
    <row r="11" spans="1:9" ht="15" customHeight="1" x14ac:dyDescent="0.25">
      <c r="A11" s="11" t="s">
        <v>31</v>
      </c>
      <c r="B11" s="6">
        <v>15</v>
      </c>
      <c r="C11" s="4">
        <v>0</v>
      </c>
      <c r="D11" s="5">
        <f t="shared" si="0"/>
        <v>15</v>
      </c>
      <c r="E11" s="6">
        <v>2</v>
      </c>
      <c r="F11" s="4">
        <v>4</v>
      </c>
      <c r="G11" s="5">
        <f t="shared" si="1"/>
        <v>6</v>
      </c>
      <c r="H11" s="7">
        <f t="shared" si="2"/>
        <v>21</v>
      </c>
    </row>
    <row r="12" spans="1:9" ht="15" customHeight="1" x14ac:dyDescent="0.25">
      <c r="A12" s="11" t="s">
        <v>12</v>
      </c>
      <c r="B12" s="6">
        <v>18</v>
      </c>
      <c r="C12" s="4">
        <v>0</v>
      </c>
      <c r="D12" s="5">
        <f t="shared" si="0"/>
        <v>18</v>
      </c>
      <c r="E12" s="6">
        <v>26</v>
      </c>
      <c r="F12" s="4">
        <v>2</v>
      </c>
      <c r="G12" s="5">
        <f t="shared" si="1"/>
        <v>28</v>
      </c>
      <c r="H12" s="7">
        <f t="shared" si="2"/>
        <v>46</v>
      </c>
    </row>
    <row r="13" spans="1:9" ht="15" customHeight="1" x14ac:dyDescent="0.25">
      <c r="A13" s="11" t="s">
        <v>13</v>
      </c>
      <c r="B13" s="6">
        <v>16</v>
      </c>
      <c r="C13" s="4">
        <v>3</v>
      </c>
      <c r="D13" s="5">
        <f t="shared" si="0"/>
        <v>19</v>
      </c>
      <c r="E13" s="6">
        <v>46</v>
      </c>
      <c r="F13" s="4">
        <v>21</v>
      </c>
      <c r="G13" s="5">
        <f t="shared" si="1"/>
        <v>67</v>
      </c>
      <c r="H13" s="7">
        <f t="shared" si="2"/>
        <v>86</v>
      </c>
    </row>
    <row r="14" spans="1:9" ht="15" customHeight="1" x14ac:dyDescent="0.25">
      <c r="A14" s="11" t="s">
        <v>33</v>
      </c>
      <c r="B14" s="6">
        <v>3</v>
      </c>
      <c r="C14" s="4">
        <v>0</v>
      </c>
      <c r="D14" s="5">
        <f t="shared" si="0"/>
        <v>3</v>
      </c>
      <c r="E14" s="6">
        <v>2</v>
      </c>
      <c r="F14" s="4">
        <v>1</v>
      </c>
      <c r="G14" s="5">
        <f t="shared" si="1"/>
        <v>3</v>
      </c>
      <c r="H14" s="7">
        <f t="shared" si="2"/>
        <v>6</v>
      </c>
    </row>
    <row r="15" spans="1:9" ht="15" customHeight="1" x14ac:dyDescent="0.25">
      <c r="A15" s="11" t="s">
        <v>14</v>
      </c>
      <c r="B15" s="6">
        <v>22</v>
      </c>
      <c r="C15" s="4">
        <v>0</v>
      </c>
      <c r="D15" s="5">
        <f t="shared" si="0"/>
        <v>22</v>
      </c>
      <c r="E15" s="6">
        <v>15</v>
      </c>
      <c r="F15" s="4">
        <v>1</v>
      </c>
      <c r="G15" s="5">
        <f t="shared" si="1"/>
        <v>16</v>
      </c>
      <c r="H15" s="7">
        <f t="shared" si="2"/>
        <v>38</v>
      </c>
    </row>
    <row r="16" spans="1:9" ht="15" customHeight="1" x14ac:dyDescent="0.25">
      <c r="A16" s="11" t="s">
        <v>15</v>
      </c>
      <c r="B16" s="6">
        <v>149</v>
      </c>
      <c r="C16" s="4">
        <v>0</v>
      </c>
      <c r="D16" s="5">
        <f t="shared" si="0"/>
        <v>149</v>
      </c>
      <c r="E16" s="6">
        <v>72</v>
      </c>
      <c r="F16" s="4">
        <v>7</v>
      </c>
      <c r="G16" s="5">
        <f t="shared" si="1"/>
        <v>79</v>
      </c>
      <c r="H16" s="7">
        <f t="shared" si="2"/>
        <v>228</v>
      </c>
    </row>
    <row r="17" spans="1:8" ht="15" customHeight="1" x14ac:dyDescent="0.25">
      <c r="A17" s="11" t="s">
        <v>16</v>
      </c>
      <c r="B17" s="6">
        <v>156</v>
      </c>
      <c r="C17" s="4">
        <v>0</v>
      </c>
      <c r="D17" s="5">
        <f t="shared" si="0"/>
        <v>156</v>
      </c>
      <c r="E17" s="6">
        <v>102</v>
      </c>
      <c r="F17" s="4">
        <v>18</v>
      </c>
      <c r="G17" s="5">
        <f t="shared" si="1"/>
        <v>120</v>
      </c>
      <c r="H17" s="7">
        <f t="shared" si="2"/>
        <v>276</v>
      </c>
    </row>
    <row r="18" spans="1:8" ht="15" customHeight="1" x14ac:dyDescent="0.25">
      <c r="A18" s="11" t="s">
        <v>160</v>
      </c>
      <c r="B18" s="6">
        <v>4</v>
      </c>
      <c r="C18" s="4">
        <v>0</v>
      </c>
      <c r="D18" s="5">
        <f t="shared" si="0"/>
        <v>4</v>
      </c>
      <c r="E18" s="6">
        <v>0</v>
      </c>
      <c r="F18" s="4">
        <v>1</v>
      </c>
      <c r="G18" s="5">
        <f t="shared" si="1"/>
        <v>1</v>
      </c>
      <c r="H18" s="7">
        <f t="shared" si="2"/>
        <v>5</v>
      </c>
    </row>
    <row r="19" spans="1:8" ht="15" customHeight="1" x14ac:dyDescent="0.25">
      <c r="A19" s="11" t="s">
        <v>17</v>
      </c>
      <c r="B19" s="6">
        <v>100</v>
      </c>
      <c r="C19" s="4">
        <v>0</v>
      </c>
      <c r="D19" s="5">
        <f t="shared" si="0"/>
        <v>100</v>
      </c>
      <c r="E19" s="6">
        <v>231</v>
      </c>
      <c r="F19" s="4">
        <v>41</v>
      </c>
      <c r="G19" s="5">
        <f t="shared" si="1"/>
        <v>272</v>
      </c>
      <c r="H19" s="7">
        <f t="shared" si="2"/>
        <v>372</v>
      </c>
    </row>
    <row r="20" spans="1:8" ht="15" customHeight="1" x14ac:dyDescent="0.25">
      <c r="A20" s="11" t="s">
        <v>34</v>
      </c>
      <c r="B20" s="6">
        <v>6</v>
      </c>
      <c r="C20" s="4">
        <v>0</v>
      </c>
      <c r="D20" s="5">
        <f t="shared" si="0"/>
        <v>6</v>
      </c>
      <c r="E20" s="6">
        <v>8</v>
      </c>
      <c r="F20" s="4">
        <v>1</v>
      </c>
      <c r="G20" s="5">
        <f t="shared" si="1"/>
        <v>9</v>
      </c>
      <c r="H20" s="7">
        <f t="shared" si="2"/>
        <v>15</v>
      </c>
    </row>
    <row r="21" spans="1:8" ht="15" customHeight="1" x14ac:dyDescent="0.25">
      <c r="A21" s="11" t="s">
        <v>18</v>
      </c>
      <c r="B21" s="6">
        <v>105</v>
      </c>
      <c r="C21" s="4">
        <v>0</v>
      </c>
      <c r="D21" s="5">
        <f t="shared" si="0"/>
        <v>105</v>
      </c>
      <c r="E21" s="6">
        <v>104</v>
      </c>
      <c r="F21" s="4">
        <v>22</v>
      </c>
      <c r="G21" s="5">
        <f t="shared" si="1"/>
        <v>126</v>
      </c>
      <c r="H21" s="7">
        <f t="shared" si="2"/>
        <v>231</v>
      </c>
    </row>
    <row r="22" spans="1:8" ht="15" customHeight="1" x14ac:dyDescent="0.25">
      <c r="A22" s="11" t="s">
        <v>36</v>
      </c>
      <c r="B22" s="6">
        <v>2</v>
      </c>
      <c r="C22" s="4">
        <v>0</v>
      </c>
      <c r="D22" s="5">
        <f t="shared" si="0"/>
        <v>2</v>
      </c>
      <c r="E22" s="6">
        <v>4</v>
      </c>
      <c r="F22" s="4">
        <v>1</v>
      </c>
      <c r="G22" s="5">
        <f t="shared" si="1"/>
        <v>5</v>
      </c>
      <c r="H22" s="7">
        <f t="shared" si="2"/>
        <v>7</v>
      </c>
    </row>
    <row r="23" spans="1:8" ht="15" customHeight="1" x14ac:dyDescent="0.25">
      <c r="A23" s="11" t="s">
        <v>149</v>
      </c>
      <c r="B23" s="6">
        <v>2</v>
      </c>
      <c r="C23" s="4">
        <v>0</v>
      </c>
      <c r="D23" s="5">
        <f t="shared" si="0"/>
        <v>2</v>
      </c>
      <c r="E23" s="6">
        <v>3</v>
      </c>
      <c r="F23" s="4">
        <v>0</v>
      </c>
      <c r="G23" s="5">
        <f t="shared" si="1"/>
        <v>3</v>
      </c>
      <c r="H23" s="7">
        <f t="shared" si="2"/>
        <v>5</v>
      </c>
    </row>
    <row r="24" spans="1:8" ht="15" customHeight="1" x14ac:dyDescent="0.25">
      <c r="A24" s="11" t="s">
        <v>19</v>
      </c>
      <c r="B24" s="6">
        <v>10</v>
      </c>
      <c r="C24" s="4">
        <v>0</v>
      </c>
      <c r="D24" s="5">
        <f t="shared" si="0"/>
        <v>10</v>
      </c>
      <c r="E24" s="6">
        <v>6</v>
      </c>
      <c r="F24" s="4">
        <v>0</v>
      </c>
      <c r="G24" s="5">
        <f t="shared" si="1"/>
        <v>6</v>
      </c>
      <c r="H24" s="7">
        <f t="shared" si="2"/>
        <v>16</v>
      </c>
    </row>
    <row r="25" spans="1:8" ht="15" customHeight="1" x14ac:dyDescent="0.25">
      <c r="A25" s="11" t="s">
        <v>38</v>
      </c>
      <c r="B25" s="6">
        <v>2</v>
      </c>
      <c r="C25" s="4">
        <v>0</v>
      </c>
      <c r="D25" s="5">
        <f t="shared" si="0"/>
        <v>2</v>
      </c>
      <c r="E25" s="6">
        <v>6</v>
      </c>
      <c r="F25" s="4">
        <v>7</v>
      </c>
      <c r="G25" s="5">
        <f t="shared" si="1"/>
        <v>13</v>
      </c>
      <c r="H25" s="7">
        <f t="shared" si="2"/>
        <v>15</v>
      </c>
    </row>
    <row r="26" spans="1:8" ht="15" customHeight="1" x14ac:dyDescent="0.25">
      <c r="A26" s="11" t="s">
        <v>20</v>
      </c>
      <c r="B26" s="6">
        <v>20</v>
      </c>
      <c r="C26" s="4">
        <v>0</v>
      </c>
      <c r="D26" s="5">
        <f t="shared" si="0"/>
        <v>20</v>
      </c>
      <c r="E26" s="6">
        <v>29</v>
      </c>
      <c r="F26" s="4">
        <v>3</v>
      </c>
      <c r="G26" s="5">
        <f>E26+F26</f>
        <v>32</v>
      </c>
      <c r="H26" s="7">
        <f>G26+D26</f>
        <v>52</v>
      </c>
    </row>
    <row r="27" spans="1:8" ht="15" customHeight="1" x14ac:dyDescent="0.25">
      <c r="A27" s="11" t="s">
        <v>40</v>
      </c>
      <c r="B27" s="6">
        <v>52</v>
      </c>
      <c r="C27" s="4">
        <v>1</v>
      </c>
      <c r="D27" s="5">
        <f t="shared" ref="D27:D29" si="3">B27+C27</f>
        <v>53</v>
      </c>
      <c r="E27" s="6">
        <v>20</v>
      </c>
      <c r="F27" s="4">
        <v>6</v>
      </c>
      <c r="G27" s="5">
        <f t="shared" ref="G27:G29" si="4">E27+F27</f>
        <v>26</v>
      </c>
      <c r="H27" s="7">
        <f t="shared" ref="H27:H29" si="5">G27+D27</f>
        <v>79</v>
      </c>
    </row>
    <row r="28" spans="1:8" ht="15" customHeight="1" x14ac:dyDescent="0.25">
      <c r="A28" s="11" t="s">
        <v>21</v>
      </c>
      <c r="B28" s="6">
        <v>20</v>
      </c>
      <c r="C28" s="4">
        <v>1</v>
      </c>
      <c r="D28" s="5">
        <f t="shared" si="3"/>
        <v>21</v>
      </c>
      <c r="E28" s="6">
        <v>40</v>
      </c>
      <c r="F28" s="4">
        <v>11</v>
      </c>
      <c r="G28" s="5">
        <f t="shared" si="4"/>
        <v>51</v>
      </c>
      <c r="H28" s="7">
        <f t="shared" si="5"/>
        <v>72</v>
      </c>
    </row>
    <row r="29" spans="1:8" ht="15" customHeight="1" x14ac:dyDescent="0.25">
      <c r="A29" s="11" t="s">
        <v>43</v>
      </c>
      <c r="B29" s="6">
        <v>6</v>
      </c>
      <c r="C29" s="4">
        <v>0</v>
      </c>
      <c r="D29" s="5">
        <f t="shared" si="3"/>
        <v>6</v>
      </c>
      <c r="E29" s="6">
        <v>4</v>
      </c>
      <c r="F29" s="4">
        <v>0</v>
      </c>
      <c r="G29" s="5">
        <f t="shared" si="4"/>
        <v>4</v>
      </c>
      <c r="H29" s="7">
        <f t="shared" si="5"/>
        <v>10</v>
      </c>
    </row>
    <row r="30" spans="1:8" ht="15" customHeight="1" x14ac:dyDescent="0.25">
      <c r="A30" s="11" t="s">
        <v>44</v>
      </c>
      <c r="B30" s="6">
        <v>2</v>
      </c>
      <c r="C30" s="4">
        <v>0</v>
      </c>
      <c r="D30" s="5">
        <f t="shared" si="0"/>
        <v>2</v>
      </c>
      <c r="E30" s="6">
        <v>6</v>
      </c>
      <c r="F30" s="4">
        <v>1</v>
      </c>
      <c r="G30" s="5">
        <f t="shared" si="1"/>
        <v>7</v>
      </c>
      <c r="H30" s="7">
        <f t="shared" si="2"/>
        <v>9</v>
      </c>
    </row>
    <row r="31" spans="1:8" ht="15" customHeight="1" x14ac:dyDescent="0.25">
      <c r="A31" s="11" t="s">
        <v>22</v>
      </c>
      <c r="B31" s="6">
        <v>79</v>
      </c>
      <c r="C31" s="4">
        <v>0</v>
      </c>
      <c r="D31" s="5">
        <f t="shared" si="0"/>
        <v>79</v>
      </c>
      <c r="E31" s="6">
        <v>27</v>
      </c>
      <c r="F31" s="4">
        <v>3</v>
      </c>
      <c r="G31" s="5">
        <f t="shared" si="1"/>
        <v>30</v>
      </c>
      <c r="H31" s="7">
        <f t="shared" si="2"/>
        <v>109</v>
      </c>
    </row>
    <row r="32" spans="1:8" ht="15" customHeight="1" thickBot="1" x14ac:dyDescent="0.3">
      <c r="A32" s="11" t="s">
        <v>23</v>
      </c>
      <c r="B32" s="8">
        <v>60</v>
      </c>
      <c r="C32" s="9">
        <v>0</v>
      </c>
      <c r="D32" s="10">
        <f t="shared" si="0"/>
        <v>60</v>
      </c>
      <c r="E32" s="8">
        <v>20</v>
      </c>
      <c r="F32" s="9">
        <v>2</v>
      </c>
      <c r="G32" s="5">
        <f t="shared" si="1"/>
        <v>22</v>
      </c>
      <c r="H32" s="7">
        <f t="shared" si="2"/>
        <v>82</v>
      </c>
    </row>
    <row r="33" spans="1:8" ht="15" customHeight="1" thickTop="1" thickBot="1" x14ac:dyDescent="0.3">
      <c r="A33" s="12" t="s">
        <v>6</v>
      </c>
      <c r="B33" s="13">
        <f t="shared" ref="B33:H33" si="6">SUM(B8:B32)</f>
        <v>1017</v>
      </c>
      <c r="C33" s="13">
        <f t="shared" si="6"/>
        <v>5</v>
      </c>
      <c r="D33" s="13">
        <f t="shared" si="6"/>
        <v>1022</v>
      </c>
      <c r="E33" s="13">
        <f t="shared" si="6"/>
        <v>862</v>
      </c>
      <c r="F33" s="13">
        <f t="shared" si="6"/>
        <v>166</v>
      </c>
      <c r="G33" s="13">
        <f t="shared" si="6"/>
        <v>1028</v>
      </c>
      <c r="H33" s="15">
        <f t="shared" si="6"/>
        <v>2050</v>
      </c>
    </row>
    <row r="34" spans="1:8" ht="15" customHeight="1" thickTop="1" thickBot="1" x14ac:dyDescent="0.3">
      <c r="A34" s="23" t="s">
        <v>24</v>
      </c>
      <c r="B34" s="24"/>
      <c r="C34" s="24"/>
      <c r="D34" s="24"/>
      <c r="E34" s="24"/>
      <c r="F34" s="24"/>
      <c r="G34" s="24"/>
      <c r="H34" s="25"/>
    </row>
    <row r="35" spans="1:8" ht="15" customHeight="1" thickTop="1" x14ac:dyDescent="0.25">
      <c r="A35" s="11" t="s">
        <v>25</v>
      </c>
      <c r="B35" s="6">
        <v>3</v>
      </c>
      <c r="C35" s="16">
        <v>0</v>
      </c>
      <c r="D35" s="5">
        <f t="shared" ref="D35:D52" si="7">B35+C35</f>
        <v>3</v>
      </c>
      <c r="E35" s="6">
        <v>0</v>
      </c>
      <c r="F35" s="16">
        <v>0</v>
      </c>
      <c r="G35" s="5">
        <f t="shared" ref="G35:G53" si="8">E35+F35</f>
        <v>0</v>
      </c>
      <c r="H35" s="7">
        <f t="shared" ref="H35:H53" si="9">G35+D35</f>
        <v>3</v>
      </c>
    </row>
    <row r="36" spans="1:8" ht="15" customHeight="1" x14ac:dyDescent="0.25">
      <c r="A36" s="11" t="s">
        <v>26</v>
      </c>
      <c r="B36" s="6">
        <v>0</v>
      </c>
      <c r="C36" s="16">
        <v>0</v>
      </c>
      <c r="D36" s="5">
        <f t="shared" si="7"/>
        <v>0</v>
      </c>
      <c r="E36" s="6">
        <v>2</v>
      </c>
      <c r="F36" s="16">
        <v>0</v>
      </c>
      <c r="G36" s="5">
        <f t="shared" si="8"/>
        <v>2</v>
      </c>
      <c r="H36" s="7">
        <f t="shared" si="9"/>
        <v>2</v>
      </c>
    </row>
    <row r="37" spans="1:8" ht="15" customHeight="1" x14ac:dyDescent="0.25">
      <c r="A37" s="11" t="s">
        <v>148</v>
      </c>
      <c r="B37" s="6">
        <v>1</v>
      </c>
      <c r="C37" s="16">
        <v>0</v>
      </c>
      <c r="D37" s="5">
        <f t="shared" si="7"/>
        <v>1</v>
      </c>
      <c r="E37" s="6">
        <v>1</v>
      </c>
      <c r="F37" s="16">
        <v>1</v>
      </c>
      <c r="G37" s="5">
        <f t="shared" si="8"/>
        <v>2</v>
      </c>
      <c r="H37" s="7">
        <f t="shared" si="9"/>
        <v>3</v>
      </c>
    </row>
    <row r="38" spans="1:8" ht="15" customHeight="1" x14ac:dyDescent="0.25">
      <c r="A38" s="11" t="s">
        <v>27</v>
      </c>
      <c r="B38" s="6">
        <v>0</v>
      </c>
      <c r="C38" s="16">
        <v>0</v>
      </c>
      <c r="D38" s="5">
        <f t="shared" si="7"/>
        <v>0</v>
      </c>
      <c r="E38" s="6">
        <v>1</v>
      </c>
      <c r="F38" s="16">
        <v>0</v>
      </c>
      <c r="G38" s="5">
        <f t="shared" si="8"/>
        <v>1</v>
      </c>
      <c r="H38" s="7">
        <f t="shared" si="9"/>
        <v>1</v>
      </c>
    </row>
    <row r="39" spans="1:8" ht="15" customHeight="1" x14ac:dyDescent="0.25">
      <c r="A39" s="11" t="s">
        <v>28</v>
      </c>
      <c r="B39" s="6">
        <v>18</v>
      </c>
      <c r="C39" s="16">
        <v>0</v>
      </c>
      <c r="D39" s="5">
        <f t="shared" si="7"/>
        <v>18</v>
      </c>
      <c r="E39" s="6">
        <v>5</v>
      </c>
      <c r="F39" s="16">
        <v>2</v>
      </c>
      <c r="G39" s="5">
        <f t="shared" si="8"/>
        <v>7</v>
      </c>
      <c r="H39" s="7">
        <f t="shared" si="9"/>
        <v>25</v>
      </c>
    </row>
    <row r="40" spans="1:8" ht="15" customHeight="1" x14ac:dyDescent="0.25">
      <c r="A40" s="11" t="s">
        <v>29</v>
      </c>
      <c r="B40" s="6">
        <v>1</v>
      </c>
      <c r="C40" s="16">
        <v>0</v>
      </c>
      <c r="D40" s="5">
        <f t="shared" si="7"/>
        <v>1</v>
      </c>
      <c r="E40" s="6">
        <v>3</v>
      </c>
      <c r="F40" s="16">
        <v>0</v>
      </c>
      <c r="G40" s="5">
        <f t="shared" si="8"/>
        <v>3</v>
      </c>
      <c r="H40" s="7">
        <f t="shared" si="9"/>
        <v>4</v>
      </c>
    </row>
    <row r="41" spans="1:8" ht="15" customHeight="1" x14ac:dyDescent="0.25">
      <c r="A41" s="11" t="s">
        <v>35</v>
      </c>
      <c r="B41" s="6">
        <v>2</v>
      </c>
      <c r="C41" s="16">
        <v>1</v>
      </c>
      <c r="D41" s="5">
        <f>B39+C41</f>
        <v>19</v>
      </c>
      <c r="E41" s="6">
        <v>1</v>
      </c>
      <c r="F41" s="16">
        <v>1</v>
      </c>
      <c r="G41" s="5">
        <f t="shared" si="8"/>
        <v>2</v>
      </c>
      <c r="H41" s="7">
        <f t="shared" si="9"/>
        <v>21</v>
      </c>
    </row>
    <row r="42" spans="1:8" ht="15" customHeight="1" x14ac:dyDescent="0.25">
      <c r="A42" s="11" t="s">
        <v>165</v>
      </c>
      <c r="B42" s="6">
        <v>0</v>
      </c>
      <c r="C42" s="16">
        <v>0</v>
      </c>
      <c r="D42" s="5">
        <f t="shared" ref="D42:D50" si="10">B41+C42</f>
        <v>2</v>
      </c>
      <c r="E42" s="6">
        <v>1</v>
      </c>
      <c r="F42" s="16">
        <v>0</v>
      </c>
      <c r="G42" s="5">
        <f t="shared" si="8"/>
        <v>1</v>
      </c>
      <c r="H42" s="7">
        <f t="shared" si="9"/>
        <v>3</v>
      </c>
    </row>
    <row r="43" spans="1:8" ht="15" customHeight="1" x14ac:dyDescent="0.25">
      <c r="A43" s="11" t="s">
        <v>166</v>
      </c>
      <c r="B43" s="6">
        <v>0</v>
      </c>
      <c r="C43" s="16">
        <v>0</v>
      </c>
      <c r="D43" s="5">
        <f t="shared" si="10"/>
        <v>0</v>
      </c>
      <c r="E43" s="6">
        <v>3</v>
      </c>
      <c r="F43" s="16">
        <v>0</v>
      </c>
      <c r="G43" s="5">
        <f t="shared" si="8"/>
        <v>3</v>
      </c>
      <c r="H43" s="7">
        <f t="shared" si="9"/>
        <v>3</v>
      </c>
    </row>
    <row r="44" spans="1:8" ht="15" customHeight="1" x14ac:dyDescent="0.25">
      <c r="A44" s="11" t="s">
        <v>167</v>
      </c>
      <c r="B44" s="6">
        <v>1</v>
      </c>
      <c r="C44" s="16">
        <v>0</v>
      </c>
      <c r="D44" s="5">
        <f t="shared" si="10"/>
        <v>0</v>
      </c>
      <c r="E44" s="6">
        <v>0</v>
      </c>
      <c r="F44" s="16">
        <v>0</v>
      </c>
      <c r="G44" s="5">
        <f t="shared" si="8"/>
        <v>0</v>
      </c>
      <c r="H44" s="7">
        <f t="shared" si="9"/>
        <v>0</v>
      </c>
    </row>
    <row r="45" spans="1:8" ht="15" customHeight="1" x14ac:dyDescent="0.25">
      <c r="A45" s="11" t="s">
        <v>168</v>
      </c>
      <c r="B45" s="6">
        <v>2</v>
      </c>
      <c r="C45" s="16">
        <v>0</v>
      </c>
      <c r="D45" s="5">
        <f t="shared" si="10"/>
        <v>1</v>
      </c>
      <c r="E45" s="6">
        <v>0</v>
      </c>
      <c r="F45" s="16">
        <v>0</v>
      </c>
      <c r="G45" s="5">
        <f t="shared" si="8"/>
        <v>0</v>
      </c>
      <c r="H45" s="7">
        <f t="shared" si="9"/>
        <v>1</v>
      </c>
    </row>
    <row r="46" spans="1:8" ht="15" customHeight="1" x14ac:dyDescent="0.25">
      <c r="A46" s="11" t="s">
        <v>39</v>
      </c>
      <c r="B46" s="6">
        <v>12</v>
      </c>
      <c r="C46" s="16">
        <v>0</v>
      </c>
      <c r="D46" s="5">
        <f t="shared" si="10"/>
        <v>2</v>
      </c>
      <c r="E46" s="6">
        <v>6</v>
      </c>
      <c r="F46" s="16">
        <v>2</v>
      </c>
      <c r="G46" s="5">
        <f t="shared" ref="G46:G47" si="11">E46+F46</f>
        <v>8</v>
      </c>
      <c r="H46" s="7">
        <f t="shared" ref="H46:H47" si="12">G46+D46</f>
        <v>10</v>
      </c>
    </row>
    <row r="47" spans="1:8" ht="15" customHeight="1" x14ac:dyDescent="0.25">
      <c r="A47" s="11" t="s">
        <v>41</v>
      </c>
      <c r="B47" s="6">
        <v>11</v>
      </c>
      <c r="C47" s="16">
        <v>0</v>
      </c>
      <c r="D47" s="5">
        <f t="shared" si="10"/>
        <v>12</v>
      </c>
      <c r="E47" s="6">
        <v>13</v>
      </c>
      <c r="F47" s="16">
        <v>1</v>
      </c>
      <c r="G47" s="5">
        <f t="shared" si="11"/>
        <v>14</v>
      </c>
      <c r="H47" s="7">
        <f t="shared" si="12"/>
        <v>26</v>
      </c>
    </row>
    <row r="48" spans="1:8" ht="15" customHeight="1" x14ac:dyDescent="0.25">
      <c r="A48" s="11" t="s">
        <v>42</v>
      </c>
      <c r="B48" s="6">
        <v>58</v>
      </c>
      <c r="C48" s="16">
        <v>3</v>
      </c>
      <c r="D48" s="5">
        <f t="shared" si="10"/>
        <v>14</v>
      </c>
      <c r="E48" s="6">
        <v>8</v>
      </c>
      <c r="F48" s="16">
        <v>0</v>
      </c>
      <c r="G48" s="5">
        <f t="shared" si="8"/>
        <v>8</v>
      </c>
      <c r="H48" s="7">
        <f t="shared" si="9"/>
        <v>22</v>
      </c>
    </row>
    <row r="49" spans="1:8" ht="15" customHeight="1" x14ac:dyDescent="0.25">
      <c r="A49" s="11" t="s">
        <v>170</v>
      </c>
      <c r="B49" s="6">
        <v>5</v>
      </c>
      <c r="C49" s="16">
        <v>0</v>
      </c>
      <c r="D49" s="5">
        <f t="shared" si="10"/>
        <v>58</v>
      </c>
      <c r="E49" s="6">
        <v>7</v>
      </c>
      <c r="F49" s="16">
        <v>0</v>
      </c>
      <c r="G49" s="5">
        <f t="shared" si="8"/>
        <v>7</v>
      </c>
      <c r="H49" s="7">
        <f t="shared" si="9"/>
        <v>65</v>
      </c>
    </row>
    <row r="50" spans="1:8" ht="15" customHeight="1" x14ac:dyDescent="0.25">
      <c r="A50" s="11" t="s">
        <v>45</v>
      </c>
      <c r="B50" s="6">
        <v>18</v>
      </c>
      <c r="C50" s="16">
        <v>0</v>
      </c>
      <c r="D50" s="5">
        <f t="shared" si="10"/>
        <v>5</v>
      </c>
      <c r="E50" s="6">
        <v>16</v>
      </c>
      <c r="F50" s="16">
        <v>4</v>
      </c>
      <c r="G50" s="5">
        <f t="shared" si="8"/>
        <v>20</v>
      </c>
      <c r="H50" s="7">
        <f t="shared" si="9"/>
        <v>25</v>
      </c>
    </row>
    <row r="51" spans="1:8" ht="15" customHeight="1" x14ac:dyDescent="0.25">
      <c r="A51" s="11" t="s">
        <v>46</v>
      </c>
      <c r="B51" s="6">
        <v>7</v>
      </c>
      <c r="C51" s="16">
        <v>0</v>
      </c>
      <c r="D51" s="5">
        <f t="shared" si="7"/>
        <v>7</v>
      </c>
      <c r="E51" s="6">
        <v>13</v>
      </c>
      <c r="F51" s="16">
        <v>2</v>
      </c>
      <c r="G51" s="5">
        <f t="shared" si="8"/>
        <v>15</v>
      </c>
      <c r="H51" s="7">
        <f t="shared" si="9"/>
        <v>22</v>
      </c>
    </row>
    <row r="52" spans="1:8" ht="15" customHeight="1" thickBot="1" x14ac:dyDescent="0.3">
      <c r="A52" s="11" t="s">
        <v>48</v>
      </c>
      <c r="B52" s="6">
        <v>7</v>
      </c>
      <c r="C52" s="16">
        <v>0</v>
      </c>
      <c r="D52" s="5">
        <f t="shared" si="7"/>
        <v>7</v>
      </c>
      <c r="E52" s="6">
        <v>3</v>
      </c>
      <c r="F52" s="16">
        <v>0</v>
      </c>
      <c r="G52" s="5">
        <f t="shared" si="8"/>
        <v>3</v>
      </c>
      <c r="H52" s="7">
        <f t="shared" si="9"/>
        <v>10</v>
      </c>
    </row>
    <row r="53" spans="1:8" ht="15" customHeight="1" thickTop="1" thickBot="1" x14ac:dyDescent="0.3">
      <c r="A53" s="12" t="s">
        <v>6</v>
      </c>
      <c r="B53" s="13">
        <f>SUM(B35:B52)</f>
        <v>146</v>
      </c>
      <c r="C53" s="13">
        <f>SUM(C35:C52)</f>
        <v>4</v>
      </c>
      <c r="D53" s="13">
        <f>SUM(D35:D52)</f>
        <v>150</v>
      </c>
      <c r="E53" s="13">
        <f>SUM(E35:E52)</f>
        <v>83</v>
      </c>
      <c r="F53" s="13">
        <f>SUM(F35:F52)</f>
        <v>13</v>
      </c>
      <c r="G53" s="14">
        <f t="shared" si="8"/>
        <v>96</v>
      </c>
      <c r="H53" s="15">
        <f t="shared" si="9"/>
        <v>246</v>
      </c>
    </row>
    <row r="54" spans="1:8" ht="15" customHeight="1" thickTop="1" thickBot="1" x14ac:dyDescent="0.3">
      <c r="A54" s="23" t="s">
        <v>49</v>
      </c>
      <c r="B54" s="24"/>
      <c r="C54" s="24"/>
      <c r="D54" s="24"/>
      <c r="E54" s="24"/>
      <c r="F54" s="24"/>
      <c r="G54" s="24"/>
      <c r="H54" s="25"/>
    </row>
    <row r="55" spans="1:8" ht="15" customHeight="1" thickTop="1" x14ac:dyDescent="0.25">
      <c r="A55" s="11" t="s">
        <v>50</v>
      </c>
      <c r="B55" s="6">
        <v>6</v>
      </c>
      <c r="C55" s="16">
        <v>0</v>
      </c>
      <c r="D55" s="5">
        <f t="shared" ref="D55:D67" si="13">B55+C55</f>
        <v>6</v>
      </c>
      <c r="E55" s="6">
        <v>3</v>
      </c>
      <c r="F55" s="16">
        <v>0</v>
      </c>
      <c r="G55" s="5">
        <f t="shared" ref="G55:G66" si="14">E55+F55</f>
        <v>3</v>
      </c>
      <c r="H55" s="7">
        <f t="shared" ref="H55:H67" si="15">G55+D55</f>
        <v>9</v>
      </c>
    </row>
    <row r="56" spans="1:8" ht="15" customHeight="1" x14ac:dyDescent="0.25">
      <c r="A56" s="11" t="s">
        <v>51</v>
      </c>
      <c r="B56" s="6">
        <v>16</v>
      </c>
      <c r="C56" s="16">
        <v>0</v>
      </c>
      <c r="D56" s="5">
        <f t="shared" si="13"/>
        <v>16</v>
      </c>
      <c r="E56" s="6">
        <v>23</v>
      </c>
      <c r="F56" s="16">
        <v>1</v>
      </c>
      <c r="G56" s="5">
        <f t="shared" si="14"/>
        <v>24</v>
      </c>
      <c r="H56" s="7">
        <f t="shared" si="15"/>
        <v>40</v>
      </c>
    </row>
    <row r="57" spans="1:8" ht="15" customHeight="1" x14ac:dyDescent="0.25">
      <c r="A57" s="11" t="s">
        <v>52</v>
      </c>
      <c r="B57" s="6">
        <v>2</v>
      </c>
      <c r="C57" s="16">
        <v>0</v>
      </c>
      <c r="D57" s="5">
        <f t="shared" si="13"/>
        <v>2</v>
      </c>
      <c r="E57" s="6">
        <v>2</v>
      </c>
      <c r="F57" s="16">
        <v>0</v>
      </c>
      <c r="G57" s="5">
        <f t="shared" si="14"/>
        <v>2</v>
      </c>
      <c r="H57" s="7">
        <f t="shared" si="15"/>
        <v>4</v>
      </c>
    </row>
    <row r="58" spans="1:8" ht="15" customHeight="1" x14ac:dyDescent="0.25">
      <c r="A58" s="11" t="s">
        <v>53</v>
      </c>
      <c r="B58" s="6">
        <v>11</v>
      </c>
      <c r="C58" s="16">
        <v>0</v>
      </c>
      <c r="D58" s="5">
        <f t="shared" si="13"/>
        <v>11</v>
      </c>
      <c r="E58" s="6">
        <v>17</v>
      </c>
      <c r="F58" s="16">
        <v>1</v>
      </c>
      <c r="G58" s="5">
        <f t="shared" si="14"/>
        <v>18</v>
      </c>
      <c r="H58" s="7">
        <f t="shared" si="15"/>
        <v>29</v>
      </c>
    </row>
    <row r="59" spans="1:8" ht="15" customHeight="1" x14ac:dyDescent="0.25">
      <c r="A59" s="11" t="s">
        <v>54</v>
      </c>
      <c r="B59" s="6">
        <v>7</v>
      </c>
      <c r="C59" s="16">
        <v>0</v>
      </c>
      <c r="D59" s="5">
        <f t="shared" si="13"/>
        <v>7</v>
      </c>
      <c r="E59" s="6">
        <v>9</v>
      </c>
      <c r="F59" s="16">
        <v>1</v>
      </c>
      <c r="G59" s="5">
        <f t="shared" si="14"/>
        <v>10</v>
      </c>
      <c r="H59" s="7">
        <f t="shared" si="15"/>
        <v>17</v>
      </c>
    </row>
    <row r="60" spans="1:8" ht="15" customHeight="1" x14ac:dyDescent="0.25">
      <c r="A60" s="11" t="s">
        <v>55</v>
      </c>
      <c r="B60" s="6">
        <v>2</v>
      </c>
      <c r="C60" s="16">
        <v>0</v>
      </c>
      <c r="D60" s="5">
        <f t="shared" si="13"/>
        <v>2</v>
      </c>
      <c r="E60" s="6">
        <v>8</v>
      </c>
      <c r="F60" s="16">
        <v>1</v>
      </c>
      <c r="G60" s="5">
        <f t="shared" si="14"/>
        <v>9</v>
      </c>
      <c r="H60" s="7">
        <f t="shared" si="15"/>
        <v>11</v>
      </c>
    </row>
    <row r="61" spans="1:8" ht="15" customHeight="1" x14ac:dyDescent="0.25">
      <c r="A61" s="11" t="s">
        <v>56</v>
      </c>
      <c r="B61" s="6">
        <v>5</v>
      </c>
      <c r="C61" s="16">
        <v>0</v>
      </c>
      <c r="D61" s="5">
        <f t="shared" si="13"/>
        <v>5</v>
      </c>
      <c r="E61" s="6">
        <v>6</v>
      </c>
      <c r="F61" s="16">
        <v>1</v>
      </c>
      <c r="G61" s="5">
        <f t="shared" si="14"/>
        <v>7</v>
      </c>
      <c r="H61" s="7">
        <f t="shared" si="15"/>
        <v>12</v>
      </c>
    </row>
    <row r="62" spans="1:8" ht="15" customHeight="1" x14ac:dyDescent="0.25">
      <c r="A62" s="11" t="s">
        <v>57</v>
      </c>
      <c r="B62" s="6">
        <v>1</v>
      </c>
      <c r="C62" s="16">
        <v>0</v>
      </c>
      <c r="D62" s="5">
        <f t="shared" si="13"/>
        <v>1</v>
      </c>
      <c r="E62" s="6">
        <v>5</v>
      </c>
      <c r="F62" s="16">
        <v>0</v>
      </c>
      <c r="G62" s="5">
        <f t="shared" si="14"/>
        <v>5</v>
      </c>
      <c r="H62" s="7">
        <f t="shared" si="15"/>
        <v>6</v>
      </c>
    </row>
    <row r="63" spans="1:8" ht="15" customHeight="1" x14ac:dyDescent="0.25">
      <c r="A63" s="11" t="s">
        <v>171</v>
      </c>
      <c r="B63" s="6">
        <v>5</v>
      </c>
      <c r="C63" s="16">
        <v>0</v>
      </c>
      <c r="D63" s="5">
        <f t="shared" si="13"/>
        <v>5</v>
      </c>
      <c r="E63" s="6">
        <v>1</v>
      </c>
      <c r="F63" s="16">
        <v>0</v>
      </c>
      <c r="G63" s="5">
        <f t="shared" si="14"/>
        <v>1</v>
      </c>
      <c r="H63" s="7">
        <f t="shared" si="15"/>
        <v>6</v>
      </c>
    </row>
    <row r="64" spans="1:8" ht="15" customHeight="1" x14ac:dyDescent="0.25">
      <c r="A64" s="11" t="s">
        <v>58</v>
      </c>
      <c r="B64" s="6">
        <v>9</v>
      </c>
      <c r="C64" s="16">
        <v>2</v>
      </c>
      <c r="D64" s="5">
        <f t="shared" si="13"/>
        <v>11</v>
      </c>
      <c r="E64" s="6">
        <v>26</v>
      </c>
      <c r="F64" s="16">
        <v>4</v>
      </c>
      <c r="G64" s="5">
        <f t="shared" si="14"/>
        <v>30</v>
      </c>
      <c r="H64" s="7">
        <f t="shared" si="15"/>
        <v>41</v>
      </c>
    </row>
    <row r="65" spans="1:8" ht="15" customHeight="1" x14ac:dyDescent="0.25">
      <c r="A65" s="11" t="s">
        <v>60</v>
      </c>
      <c r="B65" s="6">
        <v>0</v>
      </c>
      <c r="C65" s="16">
        <v>0</v>
      </c>
      <c r="D65" s="5">
        <f t="shared" si="13"/>
        <v>0</v>
      </c>
      <c r="E65" s="6">
        <v>1</v>
      </c>
      <c r="F65" s="16">
        <v>0</v>
      </c>
      <c r="G65" s="5">
        <f t="shared" si="14"/>
        <v>1</v>
      </c>
      <c r="H65" s="7">
        <f t="shared" si="15"/>
        <v>1</v>
      </c>
    </row>
    <row r="66" spans="1:8" ht="15" customHeight="1" x14ac:dyDescent="0.25">
      <c r="A66" s="11" t="s">
        <v>61</v>
      </c>
      <c r="B66" s="6">
        <v>16</v>
      </c>
      <c r="C66" s="16">
        <v>0</v>
      </c>
      <c r="D66" s="5">
        <f t="shared" si="13"/>
        <v>16</v>
      </c>
      <c r="E66" s="6">
        <v>11</v>
      </c>
      <c r="F66" s="16">
        <v>1</v>
      </c>
      <c r="G66" s="5">
        <f t="shared" si="14"/>
        <v>12</v>
      </c>
      <c r="H66" s="7">
        <f t="shared" si="15"/>
        <v>28</v>
      </c>
    </row>
    <row r="67" spans="1:8" ht="15" customHeight="1" thickBot="1" x14ac:dyDescent="0.3">
      <c r="A67" s="11" t="s">
        <v>172</v>
      </c>
      <c r="B67" s="6">
        <v>0</v>
      </c>
      <c r="C67" s="16">
        <v>0</v>
      </c>
      <c r="D67" s="5">
        <f t="shared" si="13"/>
        <v>0</v>
      </c>
      <c r="E67" s="6">
        <v>1</v>
      </c>
      <c r="F67" s="16">
        <v>0</v>
      </c>
      <c r="G67" s="5">
        <f>E67+F67</f>
        <v>1</v>
      </c>
      <c r="H67" s="7">
        <f t="shared" si="15"/>
        <v>1</v>
      </c>
    </row>
    <row r="68" spans="1:8" ht="15" customHeight="1" thickTop="1" thickBot="1" x14ac:dyDescent="0.3">
      <c r="A68" s="12" t="s">
        <v>6</v>
      </c>
      <c r="B68" s="13">
        <f t="shared" ref="B68:H68" si="16">SUM(B55:B67)</f>
        <v>80</v>
      </c>
      <c r="C68" s="13">
        <f t="shared" si="16"/>
        <v>2</v>
      </c>
      <c r="D68" s="13">
        <f t="shared" si="16"/>
        <v>82</v>
      </c>
      <c r="E68" s="13">
        <f t="shared" si="16"/>
        <v>113</v>
      </c>
      <c r="F68" s="13">
        <f t="shared" si="16"/>
        <v>10</v>
      </c>
      <c r="G68" s="13">
        <f t="shared" si="16"/>
        <v>123</v>
      </c>
      <c r="H68" s="15">
        <f t="shared" si="16"/>
        <v>205</v>
      </c>
    </row>
    <row r="69" spans="1:8" ht="15" customHeight="1" thickTop="1" thickBot="1" x14ac:dyDescent="0.3">
      <c r="A69" s="23" t="s">
        <v>62</v>
      </c>
      <c r="B69" s="24"/>
      <c r="C69" s="24"/>
      <c r="D69" s="24"/>
      <c r="E69" s="24"/>
      <c r="F69" s="24"/>
      <c r="G69" s="24"/>
      <c r="H69" s="25"/>
    </row>
    <row r="70" spans="1:8" ht="15" customHeight="1" thickTop="1" x14ac:dyDescent="0.25">
      <c r="A70" s="11" t="s">
        <v>63</v>
      </c>
      <c r="B70" s="6">
        <v>1</v>
      </c>
      <c r="C70" s="16">
        <v>0</v>
      </c>
      <c r="D70" s="5">
        <f t="shared" ref="D70:D97" si="17">B70+C70</f>
        <v>1</v>
      </c>
      <c r="E70" s="6">
        <v>0</v>
      </c>
      <c r="F70" s="16">
        <v>0</v>
      </c>
      <c r="G70" s="5">
        <f t="shared" ref="G70:G97" si="18">E70+F70</f>
        <v>0</v>
      </c>
      <c r="H70" s="7">
        <f t="shared" ref="H70:H98" si="19">G70+D70</f>
        <v>1</v>
      </c>
    </row>
    <row r="71" spans="1:8" ht="15" customHeight="1" x14ac:dyDescent="0.25">
      <c r="A71" s="11" t="s">
        <v>161</v>
      </c>
      <c r="B71" s="6">
        <v>1</v>
      </c>
      <c r="C71" s="16">
        <v>0</v>
      </c>
      <c r="D71" s="5">
        <f t="shared" si="17"/>
        <v>1</v>
      </c>
      <c r="E71" s="6">
        <v>0</v>
      </c>
      <c r="F71" s="16">
        <v>0</v>
      </c>
      <c r="G71" s="5">
        <f t="shared" si="18"/>
        <v>0</v>
      </c>
      <c r="H71" s="7">
        <f t="shared" si="19"/>
        <v>1</v>
      </c>
    </row>
    <row r="72" spans="1:8" ht="15" customHeight="1" x14ac:dyDescent="0.25">
      <c r="A72" s="11" t="s">
        <v>64</v>
      </c>
      <c r="B72" s="6">
        <v>18</v>
      </c>
      <c r="C72" s="16">
        <v>0</v>
      </c>
      <c r="D72" s="5">
        <f t="shared" si="17"/>
        <v>18</v>
      </c>
      <c r="E72" s="6">
        <v>2</v>
      </c>
      <c r="F72" s="16">
        <v>2</v>
      </c>
      <c r="G72" s="5">
        <f t="shared" si="18"/>
        <v>4</v>
      </c>
      <c r="H72" s="7">
        <f t="shared" si="19"/>
        <v>22</v>
      </c>
    </row>
    <row r="73" spans="1:8" ht="15" customHeight="1" x14ac:dyDescent="0.25">
      <c r="A73" s="11" t="s">
        <v>207</v>
      </c>
      <c r="B73" s="6">
        <v>0</v>
      </c>
      <c r="C73" s="16">
        <v>0</v>
      </c>
      <c r="D73" s="5">
        <f t="shared" si="17"/>
        <v>0</v>
      </c>
      <c r="E73" s="6">
        <v>1</v>
      </c>
      <c r="F73" s="16">
        <v>0</v>
      </c>
      <c r="G73" s="5">
        <f t="shared" si="18"/>
        <v>1</v>
      </c>
      <c r="H73" s="7">
        <f t="shared" si="19"/>
        <v>1</v>
      </c>
    </row>
    <row r="74" spans="1:8" ht="15" customHeight="1" x14ac:dyDescent="0.25">
      <c r="A74" s="11" t="s">
        <v>65</v>
      </c>
      <c r="B74" s="6">
        <v>11</v>
      </c>
      <c r="C74" s="16">
        <v>2</v>
      </c>
      <c r="D74" s="5">
        <f t="shared" si="17"/>
        <v>13</v>
      </c>
      <c r="E74" s="6">
        <v>3</v>
      </c>
      <c r="F74" s="16">
        <v>0</v>
      </c>
      <c r="G74" s="5">
        <f t="shared" si="18"/>
        <v>3</v>
      </c>
      <c r="H74" s="7">
        <f t="shared" si="19"/>
        <v>16</v>
      </c>
    </row>
    <row r="75" spans="1:8" ht="15" customHeight="1" x14ac:dyDescent="0.25">
      <c r="A75" s="11" t="s">
        <v>173</v>
      </c>
      <c r="B75" s="6">
        <v>6</v>
      </c>
      <c r="C75" s="16">
        <v>0</v>
      </c>
      <c r="D75" s="5">
        <f t="shared" si="17"/>
        <v>6</v>
      </c>
      <c r="E75" s="6">
        <v>1</v>
      </c>
      <c r="F75" s="16">
        <v>1</v>
      </c>
      <c r="G75" s="5">
        <f t="shared" si="18"/>
        <v>2</v>
      </c>
      <c r="H75" s="7">
        <f t="shared" si="19"/>
        <v>8</v>
      </c>
    </row>
    <row r="76" spans="1:8" ht="15" customHeight="1" x14ac:dyDescent="0.25">
      <c r="A76" s="11" t="s">
        <v>67</v>
      </c>
      <c r="B76" s="6">
        <v>1</v>
      </c>
      <c r="C76" s="16">
        <v>0</v>
      </c>
      <c r="D76" s="5">
        <f t="shared" si="17"/>
        <v>1</v>
      </c>
      <c r="E76" s="6">
        <v>0</v>
      </c>
      <c r="F76" s="16">
        <v>0</v>
      </c>
      <c r="G76" s="5">
        <f t="shared" si="18"/>
        <v>0</v>
      </c>
      <c r="H76" s="7">
        <f t="shared" si="19"/>
        <v>1</v>
      </c>
    </row>
    <row r="77" spans="1:8" ht="15" customHeight="1" x14ac:dyDescent="0.25">
      <c r="A77" s="11" t="s">
        <v>174</v>
      </c>
      <c r="B77" s="6">
        <v>322</v>
      </c>
      <c r="C77" s="16">
        <v>6</v>
      </c>
      <c r="D77" s="5">
        <f t="shared" si="17"/>
        <v>328</v>
      </c>
      <c r="E77" s="6">
        <v>256</v>
      </c>
      <c r="F77" s="16">
        <v>6</v>
      </c>
      <c r="G77" s="5">
        <f t="shared" si="18"/>
        <v>262</v>
      </c>
      <c r="H77" s="7">
        <f t="shared" si="19"/>
        <v>590</v>
      </c>
    </row>
    <row r="78" spans="1:8" ht="15" customHeight="1" x14ac:dyDescent="0.25">
      <c r="A78" s="11" t="s">
        <v>223</v>
      </c>
      <c r="B78" s="6">
        <v>0</v>
      </c>
      <c r="C78" s="16">
        <v>0</v>
      </c>
      <c r="D78" s="5">
        <f t="shared" si="17"/>
        <v>0</v>
      </c>
      <c r="E78" s="6">
        <v>1</v>
      </c>
      <c r="F78" s="16">
        <v>0</v>
      </c>
      <c r="G78" s="5">
        <f t="shared" si="18"/>
        <v>1</v>
      </c>
      <c r="H78" s="7">
        <f t="shared" si="19"/>
        <v>1</v>
      </c>
    </row>
    <row r="79" spans="1:8" ht="15" customHeight="1" x14ac:dyDescent="0.25">
      <c r="A79" s="11" t="s">
        <v>175</v>
      </c>
      <c r="B79" s="6">
        <v>280</v>
      </c>
      <c r="C79" s="16">
        <v>5</v>
      </c>
      <c r="D79" s="5">
        <f t="shared" si="17"/>
        <v>285</v>
      </c>
      <c r="E79" s="6">
        <v>43</v>
      </c>
      <c r="F79" s="16">
        <v>5</v>
      </c>
      <c r="G79" s="5">
        <f t="shared" si="18"/>
        <v>48</v>
      </c>
      <c r="H79" s="7">
        <f t="shared" si="19"/>
        <v>333</v>
      </c>
    </row>
    <row r="80" spans="1:8" ht="15" customHeight="1" x14ac:dyDescent="0.25">
      <c r="A80" s="11" t="s">
        <v>70</v>
      </c>
      <c r="B80" s="6">
        <v>25</v>
      </c>
      <c r="C80" s="16">
        <v>0</v>
      </c>
      <c r="D80" s="5">
        <f t="shared" si="17"/>
        <v>25</v>
      </c>
      <c r="E80" s="6">
        <v>55</v>
      </c>
      <c r="F80" s="16">
        <v>81</v>
      </c>
      <c r="G80" s="5">
        <f t="shared" si="18"/>
        <v>136</v>
      </c>
      <c r="H80" s="7">
        <f t="shared" si="19"/>
        <v>161</v>
      </c>
    </row>
    <row r="81" spans="1:8" ht="15" customHeight="1" x14ac:dyDescent="0.25">
      <c r="A81" s="11" t="s">
        <v>71</v>
      </c>
      <c r="B81" s="6">
        <v>10</v>
      </c>
      <c r="C81" s="16">
        <v>0</v>
      </c>
      <c r="D81" s="5">
        <f t="shared" si="17"/>
        <v>10</v>
      </c>
      <c r="E81" s="6">
        <v>3</v>
      </c>
      <c r="F81" s="16">
        <v>2</v>
      </c>
      <c r="G81" s="5">
        <f t="shared" si="18"/>
        <v>5</v>
      </c>
      <c r="H81" s="7">
        <f t="shared" si="19"/>
        <v>15</v>
      </c>
    </row>
    <row r="82" spans="1:8" ht="15" customHeight="1" x14ac:dyDescent="0.25">
      <c r="A82" s="11" t="s">
        <v>72</v>
      </c>
      <c r="B82" s="6">
        <v>93</v>
      </c>
      <c r="C82" s="16">
        <v>0</v>
      </c>
      <c r="D82" s="5">
        <f t="shared" si="17"/>
        <v>93</v>
      </c>
      <c r="E82" s="6">
        <v>69</v>
      </c>
      <c r="F82" s="16">
        <v>4</v>
      </c>
      <c r="G82" s="5">
        <f t="shared" si="18"/>
        <v>73</v>
      </c>
      <c r="H82" s="7">
        <f t="shared" si="19"/>
        <v>166</v>
      </c>
    </row>
    <row r="83" spans="1:8" ht="15" customHeight="1" x14ac:dyDescent="0.25">
      <c r="A83" s="11" t="s">
        <v>73</v>
      </c>
      <c r="B83" s="6">
        <v>12</v>
      </c>
      <c r="C83" s="16">
        <v>1</v>
      </c>
      <c r="D83" s="5">
        <f t="shared" si="17"/>
        <v>13</v>
      </c>
      <c r="E83" s="6">
        <v>4</v>
      </c>
      <c r="F83" s="16">
        <v>0</v>
      </c>
      <c r="G83" s="5">
        <f t="shared" si="18"/>
        <v>4</v>
      </c>
      <c r="H83" s="7">
        <f t="shared" si="19"/>
        <v>17</v>
      </c>
    </row>
    <row r="84" spans="1:8" ht="15" customHeight="1" x14ac:dyDescent="0.25">
      <c r="A84" s="11" t="s">
        <v>176</v>
      </c>
      <c r="B84" s="6">
        <v>91</v>
      </c>
      <c r="C84" s="16">
        <v>2</v>
      </c>
      <c r="D84" s="5">
        <f t="shared" si="17"/>
        <v>93</v>
      </c>
      <c r="E84" s="6">
        <v>43</v>
      </c>
      <c r="F84" s="16">
        <v>3</v>
      </c>
      <c r="G84" s="5">
        <f t="shared" si="18"/>
        <v>46</v>
      </c>
      <c r="H84" s="7">
        <f t="shared" si="19"/>
        <v>139</v>
      </c>
    </row>
    <row r="85" spans="1:8" ht="15" customHeight="1" x14ac:dyDescent="0.25">
      <c r="A85" s="11" t="s">
        <v>177</v>
      </c>
      <c r="B85" s="6">
        <v>4</v>
      </c>
      <c r="C85" s="16">
        <v>0</v>
      </c>
      <c r="D85" s="5">
        <f t="shared" si="17"/>
        <v>4</v>
      </c>
      <c r="E85" s="6">
        <v>0</v>
      </c>
      <c r="F85" s="16">
        <v>0</v>
      </c>
      <c r="G85" s="5">
        <f t="shared" si="18"/>
        <v>0</v>
      </c>
      <c r="H85" s="7">
        <f t="shared" si="19"/>
        <v>4</v>
      </c>
    </row>
    <row r="86" spans="1:8" ht="15" customHeight="1" x14ac:dyDescent="0.25">
      <c r="A86" s="11" t="s">
        <v>74</v>
      </c>
      <c r="B86" s="6">
        <v>100</v>
      </c>
      <c r="C86" s="16">
        <v>1</v>
      </c>
      <c r="D86" s="5">
        <f t="shared" si="17"/>
        <v>101</v>
      </c>
      <c r="E86" s="6">
        <v>33</v>
      </c>
      <c r="F86" s="16">
        <v>3</v>
      </c>
      <c r="G86" s="5">
        <f t="shared" si="18"/>
        <v>36</v>
      </c>
      <c r="H86" s="7">
        <f t="shared" si="19"/>
        <v>137</v>
      </c>
    </row>
    <row r="87" spans="1:8" ht="15" customHeight="1" x14ac:dyDescent="0.25">
      <c r="A87" s="11" t="s">
        <v>178</v>
      </c>
      <c r="B87" s="6">
        <v>3</v>
      </c>
      <c r="C87" s="16">
        <v>0</v>
      </c>
      <c r="D87" s="5">
        <f t="shared" si="17"/>
        <v>3</v>
      </c>
      <c r="E87" s="6">
        <v>0</v>
      </c>
      <c r="F87" s="16">
        <v>0</v>
      </c>
      <c r="G87" s="5">
        <f t="shared" si="18"/>
        <v>0</v>
      </c>
      <c r="H87" s="7">
        <f t="shared" si="19"/>
        <v>3</v>
      </c>
    </row>
    <row r="88" spans="1:8" ht="15" customHeight="1" x14ac:dyDescent="0.25">
      <c r="A88" s="11" t="s">
        <v>76</v>
      </c>
      <c r="B88" s="6">
        <v>0</v>
      </c>
      <c r="C88" s="16">
        <v>0</v>
      </c>
      <c r="D88" s="5">
        <f t="shared" si="17"/>
        <v>0</v>
      </c>
      <c r="E88" s="6">
        <v>2</v>
      </c>
      <c r="F88" s="16">
        <v>1</v>
      </c>
      <c r="G88" s="5">
        <f t="shared" si="18"/>
        <v>3</v>
      </c>
      <c r="H88" s="7">
        <f t="shared" si="19"/>
        <v>3</v>
      </c>
    </row>
    <row r="89" spans="1:8" ht="15" customHeight="1" x14ac:dyDescent="0.25">
      <c r="A89" s="11" t="s">
        <v>224</v>
      </c>
      <c r="B89" s="6">
        <v>0</v>
      </c>
      <c r="C89" s="16">
        <v>0</v>
      </c>
      <c r="D89" s="5">
        <f t="shared" si="17"/>
        <v>0</v>
      </c>
      <c r="E89" s="6">
        <v>1</v>
      </c>
      <c r="F89" s="16">
        <v>0</v>
      </c>
      <c r="G89" s="5">
        <f t="shared" si="18"/>
        <v>1</v>
      </c>
      <c r="H89" s="7">
        <f t="shared" si="19"/>
        <v>1</v>
      </c>
    </row>
    <row r="90" spans="1:8" ht="15" customHeight="1" x14ac:dyDescent="0.25">
      <c r="A90" s="11" t="s">
        <v>77</v>
      </c>
      <c r="B90" s="6">
        <v>43</v>
      </c>
      <c r="C90" s="16">
        <v>0</v>
      </c>
      <c r="D90" s="5">
        <f t="shared" si="17"/>
        <v>43</v>
      </c>
      <c r="E90" s="6">
        <v>30</v>
      </c>
      <c r="F90" s="16">
        <v>2</v>
      </c>
      <c r="G90" s="5">
        <f t="shared" si="18"/>
        <v>32</v>
      </c>
      <c r="H90" s="7">
        <f t="shared" si="19"/>
        <v>75</v>
      </c>
    </row>
    <row r="91" spans="1:8" ht="15" customHeight="1" x14ac:dyDescent="0.25">
      <c r="A91" s="11" t="s">
        <v>79</v>
      </c>
      <c r="B91" s="6">
        <v>0</v>
      </c>
      <c r="C91" s="16">
        <v>0</v>
      </c>
      <c r="D91" s="5">
        <f t="shared" si="17"/>
        <v>0</v>
      </c>
      <c r="E91" s="6">
        <v>4</v>
      </c>
      <c r="F91" s="16">
        <v>0</v>
      </c>
      <c r="G91" s="5">
        <f t="shared" si="18"/>
        <v>4</v>
      </c>
      <c r="H91" s="7">
        <f t="shared" si="19"/>
        <v>4</v>
      </c>
    </row>
    <row r="92" spans="1:8" ht="15" customHeight="1" x14ac:dyDescent="0.25">
      <c r="A92" s="11" t="s">
        <v>80</v>
      </c>
      <c r="B92" s="6">
        <v>156</v>
      </c>
      <c r="C92" s="16">
        <v>1</v>
      </c>
      <c r="D92" s="5">
        <f t="shared" si="17"/>
        <v>157</v>
      </c>
      <c r="E92" s="6">
        <v>37</v>
      </c>
      <c r="F92" s="16">
        <v>1</v>
      </c>
      <c r="G92" s="5">
        <f t="shared" si="18"/>
        <v>38</v>
      </c>
      <c r="H92" s="7">
        <f t="shared" si="19"/>
        <v>195</v>
      </c>
    </row>
    <row r="93" spans="1:8" ht="15" customHeight="1" x14ac:dyDescent="0.25">
      <c r="A93" s="11" t="s">
        <v>82</v>
      </c>
      <c r="B93" s="6">
        <v>25</v>
      </c>
      <c r="C93" s="16">
        <v>0</v>
      </c>
      <c r="D93" s="5">
        <f t="shared" si="17"/>
        <v>25</v>
      </c>
      <c r="E93" s="6">
        <v>7</v>
      </c>
      <c r="F93" s="16">
        <v>1</v>
      </c>
      <c r="G93" s="5">
        <f t="shared" si="18"/>
        <v>8</v>
      </c>
      <c r="H93" s="7">
        <f t="shared" si="19"/>
        <v>33</v>
      </c>
    </row>
    <row r="94" spans="1:8" ht="15" customHeight="1" x14ac:dyDescent="0.25">
      <c r="A94" s="11" t="s">
        <v>83</v>
      </c>
      <c r="B94" s="6">
        <v>27</v>
      </c>
      <c r="C94" s="16">
        <v>1</v>
      </c>
      <c r="D94" s="5">
        <f t="shared" si="17"/>
        <v>28</v>
      </c>
      <c r="E94" s="6">
        <v>53</v>
      </c>
      <c r="F94" s="16">
        <v>4</v>
      </c>
      <c r="G94" s="5">
        <f t="shared" si="18"/>
        <v>57</v>
      </c>
      <c r="H94" s="7">
        <f t="shared" si="19"/>
        <v>85</v>
      </c>
    </row>
    <row r="95" spans="1:8" ht="15" customHeight="1" x14ac:dyDescent="0.25">
      <c r="A95" s="11" t="s">
        <v>211</v>
      </c>
      <c r="B95" s="6">
        <v>1</v>
      </c>
      <c r="C95" s="16">
        <v>0</v>
      </c>
      <c r="D95" s="5">
        <f t="shared" si="17"/>
        <v>1</v>
      </c>
      <c r="E95" s="6">
        <v>1</v>
      </c>
      <c r="F95" s="16">
        <v>0</v>
      </c>
      <c r="G95" s="5">
        <f t="shared" si="18"/>
        <v>1</v>
      </c>
      <c r="H95" s="7">
        <f t="shared" si="19"/>
        <v>2</v>
      </c>
    </row>
    <row r="96" spans="1:8" ht="15" customHeight="1" x14ac:dyDescent="0.25">
      <c r="A96" s="11" t="s">
        <v>84</v>
      </c>
      <c r="B96" s="6">
        <v>40</v>
      </c>
      <c r="C96" s="16">
        <v>1</v>
      </c>
      <c r="D96" s="5">
        <f t="shared" si="17"/>
        <v>41</v>
      </c>
      <c r="E96" s="6">
        <v>43</v>
      </c>
      <c r="F96" s="16">
        <v>0</v>
      </c>
      <c r="G96" s="5">
        <f t="shared" si="18"/>
        <v>43</v>
      </c>
      <c r="H96" s="7">
        <f t="shared" si="19"/>
        <v>84</v>
      </c>
    </row>
    <row r="97" spans="1:8" ht="15" customHeight="1" thickBot="1" x14ac:dyDescent="0.3">
      <c r="A97" s="11" t="s">
        <v>85</v>
      </c>
      <c r="B97" s="6">
        <v>9</v>
      </c>
      <c r="C97" s="16">
        <v>1</v>
      </c>
      <c r="D97" s="5">
        <f t="shared" si="17"/>
        <v>10</v>
      </c>
      <c r="E97" s="6">
        <v>4</v>
      </c>
      <c r="F97" s="16">
        <v>0</v>
      </c>
      <c r="G97" s="5">
        <f t="shared" si="18"/>
        <v>4</v>
      </c>
      <c r="H97" s="7">
        <f t="shared" si="19"/>
        <v>14</v>
      </c>
    </row>
    <row r="98" spans="1:8" ht="15" customHeight="1" thickTop="1" thickBot="1" x14ac:dyDescent="0.3">
      <c r="A98" s="12" t="s">
        <v>6</v>
      </c>
      <c r="B98" s="13">
        <f t="shared" ref="B98:G98" si="20">SUM(B70:B97)</f>
        <v>1279</v>
      </c>
      <c r="C98" s="13">
        <f t="shared" si="20"/>
        <v>21</v>
      </c>
      <c r="D98" s="13">
        <f t="shared" si="20"/>
        <v>1300</v>
      </c>
      <c r="E98" s="13">
        <f t="shared" si="20"/>
        <v>696</v>
      </c>
      <c r="F98" s="13">
        <f t="shared" si="20"/>
        <v>116</v>
      </c>
      <c r="G98" s="13">
        <f t="shared" si="20"/>
        <v>812</v>
      </c>
      <c r="H98" s="15">
        <f t="shared" si="19"/>
        <v>2112</v>
      </c>
    </row>
    <row r="99" spans="1:8" ht="15" customHeight="1" thickTop="1" thickBot="1" x14ac:dyDescent="0.3">
      <c r="A99" s="23" t="s">
        <v>86</v>
      </c>
      <c r="B99" s="24"/>
      <c r="C99" s="24"/>
      <c r="D99" s="24"/>
      <c r="E99" s="24"/>
      <c r="F99" s="24"/>
      <c r="G99" s="24"/>
      <c r="H99" s="25"/>
    </row>
    <row r="100" spans="1:8" ht="15" customHeight="1" thickTop="1" x14ac:dyDescent="0.25">
      <c r="A100" s="11" t="s">
        <v>87</v>
      </c>
      <c r="B100" s="6">
        <v>11</v>
      </c>
      <c r="C100" s="16">
        <v>0</v>
      </c>
      <c r="D100" s="5">
        <f t="shared" ref="D100:D124" si="21">B100+C100</f>
        <v>11</v>
      </c>
      <c r="E100" s="6">
        <v>6</v>
      </c>
      <c r="F100" s="16">
        <v>0</v>
      </c>
      <c r="G100" s="5">
        <f t="shared" ref="G100:G124" si="22">E100+F100</f>
        <v>6</v>
      </c>
      <c r="H100" s="7">
        <f t="shared" ref="H100:H124" si="23">G100+D100</f>
        <v>17</v>
      </c>
    </row>
    <row r="101" spans="1:8" ht="15" customHeight="1" x14ac:dyDescent="0.25">
      <c r="A101" s="11" t="s">
        <v>88</v>
      </c>
      <c r="B101" s="6">
        <v>2</v>
      </c>
      <c r="C101" s="16">
        <v>0</v>
      </c>
      <c r="D101" s="5">
        <f t="shared" si="21"/>
        <v>2</v>
      </c>
      <c r="E101" s="6">
        <v>4</v>
      </c>
      <c r="F101" s="16">
        <v>0</v>
      </c>
      <c r="G101" s="5">
        <f t="shared" si="22"/>
        <v>4</v>
      </c>
      <c r="H101" s="7">
        <f t="shared" si="23"/>
        <v>6</v>
      </c>
    </row>
    <row r="102" spans="1:8" ht="15" customHeight="1" x14ac:dyDescent="0.25">
      <c r="A102" s="11" t="s">
        <v>89</v>
      </c>
      <c r="B102" s="6">
        <v>1</v>
      </c>
      <c r="C102" s="16">
        <v>0</v>
      </c>
      <c r="D102" s="5">
        <f t="shared" si="21"/>
        <v>1</v>
      </c>
      <c r="E102" s="6">
        <v>0</v>
      </c>
      <c r="F102" s="16">
        <v>0</v>
      </c>
      <c r="G102" s="5">
        <f t="shared" si="22"/>
        <v>0</v>
      </c>
      <c r="H102" s="7">
        <f t="shared" si="23"/>
        <v>1</v>
      </c>
    </row>
    <row r="103" spans="1:8" ht="15" customHeight="1" x14ac:dyDescent="0.25">
      <c r="A103" s="11" t="s">
        <v>90</v>
      </c>
      <c r="B103" s="6">
        <v>7</v>
      </c>
      <c r="C103" s="16">
        <v>0</v>
      </c>
      <c r="D103" s="5">
        <f t="shared" si="21"/>
        <v>7</v>
      </c>
      <c r="E103" s="6">
        <v>11</v>
      </c>
      <c r="F103" s="16">
        <v>2</v>
      </c>
      <c r="G103" s="5">
        <f t="shared" si="22"/>
        <v>13</v>
      </c>
      <c r="H103" s="7">
        <f t="shared" si="23"/>
        <v>20</v>
      </c>
    </row>
    <row r="104" spans="1:8" ht="15" customHeight="1" x14ac:dyDescent="0.25">
      <c r="A104" s="11" t="s">
        <v>92</v>
      </c>
      <c r="B104" s="6">
        <v>0</v>
      </c>
      <c r="C104" s="16">
        <v>0</v>
      </c>
      <c r="D104" s="5">
        <f t="shared" si="21"/>
        <v>0</v>
      </c>
      <c r="E104" s="6">
        <v>1</v>
      </c>
      <c r="F104" s="16">
        <v>0</v>
      </c>
      <c r="G104" s="5">
        <f t="shared" si="22"/>
        <v>1</v>
      </c>
      <c r="H104" s="7">
        <f t="shared" si="23"/>
        <v>1</v>
      </c>
    </row>
    <row r="105" spans="1:8" ht="15" customHeight="1" x14ac:dyDescent="0.25">
      <c r="A105" s="11" t="s">
        <v>94</v>
      </c>
      <c r="B105" s="6">
        <v>2</v>
      </c>
      <c r="C105" s="16">
        <v>0</v>
      </c>
      <c r="D105" s="5">
        <f t="shared" si="21"/>
        <v>2</v>
      </c>
      <c r="E105" s="6">
        <v>0</v>
      </c>
      <c r="F105" s="16">
        <v>0</v>
      </c>
      <c r="G105" s="5">
        <f t="shared" si="22"/>
        <v>0</v>
      </c>
      <c r="H105" s="7">
        <f t="shared" si="23"/>
        <v>2</v>
      </c>
    </row>
    <row r="106" spans="1:8" ht="15" customHeight="1" x14ac:dyDescent="0.25">
      <c r="A106" s="11" t="s">
        <v>95</v>
      </c>
      <c r="B106" s="6">
        <v>2</v>
      </c>
      <c r="C106" s="16">
        <v>1</v>
      </c>
      <c r="D106" s="5">
        <f t="shared" si="21"/>
        <v>3</v>
      </c>
      <c r="E106" s="6">
        <v>8</v>
      </c>
      <c r="F106" s="16">
        <v>2</v>
      </c>
      <c r="G106" s="5">
        <f t="shared" si="22"/>
        <v>10</v>
      </c>
      <c r="H106" s="7">
        <f t="shared" si="23"/>
        <v>13</v>
      </c>
    </row>
    <row r="107" spans="1:8" ht="15" customHeight="1" x14ac:dyDescent="0.25">
      <c r="A107" s="11" t="s">
        <v>96</v>
      </c>
      <c r="B107" s="6">
        <v>11</v>
      </c>
      <c r="C107" s="16">
        <v>0</v>
      </c>
      <c r="D107" s="5">
        <f t="shared" si="21"/>
        <v>11</v>
      </c>
      <c r="E107" s="6">
        <v>5</v>
      </c>
      <c r="F107" s="16">
        <v>0</v>
      </c>
      <c r="G107" s="5">
        <f t="shared" si="22"/>
        <v>5</v>
      </c>
      <c r="H107" s="7">
        <f t="shared" si="23"/>
        <v>16</v>
      </c>
    </row>
    <row r="108" spans="1:8" ht="15" customHeight="1" x14ac:dyDescent="0.25">
      <c r="A108" s="11" t="s">
        <v>99</v>
      </c>
      <c r="B108" s="6">
        <v>0</v>
      </c>
      <c r="C108" s="16">
        <v>0</v>
      </c>
      <c r="D108" s="5">
        <f t="shared" si="21"/>
        <v>0</v>
      </c>
      <c r="E108" s="6">
        <v>1</v>
      </c>
      <c r="F108" s="16">
        <v>0</v>
      </c>
      <c r="G108" s="5">
        <f t="shared" si="22"/>
        <v>1</v>
      </c>
      <c r="H108" s="7">
        <f t="shared" si="23"/>
        <v>1</v>
      </c>
    </row>
    <row r="109" spans="1:8" ht="15" customHeight="1" x14ac:dyDescent="0.25">
      <c r="A109" s="11" t="s">
        <v>100</v>
      </c>
      <c r="B109" s="6">
        <v>1</v>
      </c>
      <c r="C109" s="16">
        <v>0</v>
      </c>
      <c r="D109" s="5">
        <f t="shared" si="21"/>
        <v>1</v>
      </c>
      <c r="E109" s="6">
        <v>1</v>
      </c>
      <c r="F109" s="16">
        <v>0</v>
      </c>
      <c r="G109" s="5">
        <f t="shared" si="22"/>
        <v>1</v>
      </c>
      <c r="H109" s="7">
        <f t="shared" si="23"/>
        <v>2</v>
      </c>
    </row>
    <row r="110" spans="1:8" ht="15" customHeight="1" x14ac:dyDescent="0.25">
      <c r="A110" s="11" t="s">
        <v>208</v>
      </c>
      <c r="B110" s="6">
        <v>1</v>
      </c>
      <c r="C110" s="16">
        <v>0</v>
      </c>
      <c r="D110" s="5">
        <f t="shared" si="21"/>
        <v>1</v>
      </c>
      <c r="E110" s="6">
        <v>0</v>
      </c>
      <c r="F110" s="16">
        <v>0</v>
      </c>
      <c r="G110" s="5">
        <f t="shared" si="22"/>
        <v>0</v>
      </c>
      <c r="H110" s="7">
        <f t="shared" si="23"/>
        <v>1</v>
      </c>
    </row>
    <row r="111" spans="1:8" ht="15" customHeight="1" x14ac:dyDescent="0.25">
      <c r="A111" s="11" t="s">
        <v>101</v>
      </c>
      <c r="B111" s="6">
        <v>4</v>
      </c>
      <c r="C111" s="16">
        <v>0</v>
      </c>
      <c r="D111" s="5">
        <f t="shared" si="21"/>
        <v>4</v>
      </c>
      <c r="E111" s="6">
        <v>5</v>
      </c>
      <c r="F111" s="16">
        <v>0</v>
      </c>
      <c r="G111" s="5">
        <f t="shared" si="22"/>
        <v>5</v>
      </c>
      <c r="H111" s="7">
        <f t="shared" si="23"/>
        <v>9</v>
      </c>
    </row>
    <row r="112" spans="1:8" ht="15" customHeight="1" x14ac:dyDescent="0.25">
      <c r="A112" s="11" t="s">
        <v>102</v>
      </c>
      <c r="B112" s="6">
        <v>0</v>
      </c>
      <c r="C112" s="16">
        <v>0</v>
      </c>
      <c r="D112" s="5">
        <f t="shared" si="21"/>
        <v>0</v>
      </c>
      <c r="E112" s="6">
        <v>1</v>
      </c>
      <c r="F112" s="16">
        <v>0</v>
      </c>
      <c r="G112" s="5">
        <f t="shared" si="22"/>
        <v>1</v>
      </c>
      <c r="H112" s="7">
        <f t="shared" si="23"/>
        <v>1</v>
      </c>
    </row>
    <row r="113" spans="1:8" ht="15" customHeight="1" x14ac:dyDescent="0.25">
      <c r="A113" s="11" t="s">
        <v>186</v>
      </c>
      <c r="B113" s="6">
        <v>1</v>
      </c>
      <c r="C113" s="16">
        <v>0</v>
      </c>
      <c r="D113" s="5">
        <f t="shared" si="21"/>
        <v>1</v>
      </c>
      <c r="E113" s="6">
        <v>0</v>
      </c>
      <c r="F113" s="16">
        <v>0</v>
      </c>
      <c r="G113" s="5">
        <f t="shared" si="22"/>
        <v>0</v>
      </c>
      <c r="H113" s="7">
        <f t="shared" si="23"/>
        <v>1</v>
      </c>
    </row>
    <row r="114" spans="1:8" ht="15" customHeight="1" x14ac:dyDescent="0.25">
      <c r="A114" s="11" t="s">
        <v>103</v>
      </c>
      <c r="B114" s="6">
        <v>0</v>
      </c>
      <c r="C114" s="16">
        <v>0</v>
      </c>
      <c r="D114" s="5">
        <f t="shared" si="21"/>
        <v>0</v>
      </c>
      <c r="E114" s="6">
        <v>1</v>
      </c>
      <c r="F114" s="16">
        <v>0</v>
      </c>
      <c r="G114" s="5">
        <f t="shared" si="22"/>
        <v>1</v>
      </c>
      <c r="H114" s="7">
        <f t="shared" si="23"/>
        <v>1</v>
      </c>
    </row>
    <row r="115" spans="1:8" ht="15" customHeight="1" x14ac:dyDescent="0.25">
      <c r="A115" s="11" t="s">
        <v>104</v>
      </c>
      <c r="B115" s="6">
        <v>23</v>
      </c>
      <c r="C115" s="16">
        <v>0</v>
      </c>
      <c r="D115" s="5">
        <f t="shared" si="21"/>
        <v>23</v>
      </c>
      <c r="E115" s="6">
        <v>41</v>
      </c>
      <c r="F115" s="16">
        <v>6</v>
      </c>
      <c r="G115" s="5">
        <f t="shared" si="22"/>
        <v>47</v>
      </c>
      <c r="H115" s="7">
        <f t="shared" si="23"/>
        <v>70</v>
      </c>
    </row>
    <row r="116" spans="1:8" ht="15" customHeight="1" x14ac:dyDescent="0.25">
      <c r="A116" s="11" t="s">
        <v>105</v>
      </c>
      <c r="B116" s="6">
        <v>0</v>
      </c>
      <c r="C116" s="16">
        <v>0</v>
      </c>
      <c r="D116" s="5">
        <f t="shared" si="21"/>
        <v>0</v>
      </c>
      <c r="E116" s="6">
        <v>1</v>
      </c>
      <c r="F116" s="16">
        <v>0</v>
      </c>
      <c r="G116" s="5">
        <f t="shared" si="22"/>
        <v>1</v>
      </c>
      <c r="H116" s="7">
        <f t="shared" si="23"/>
        <v>1</v>
      </c>
    </row>
    <row r="117" spans="1:8" ht="15" customHeight="1" x14ac:dyDescent="0.25">
      <c r="A117" s="11" t="s">
        <v>106</v>
      </c>
      <c r="B117" s="6">
        <v>1</v>
      </c>
      <c r="C117" s="16">
        <v>0</v>
      </c>
      <c r="D117" s="5">
        <f t="shared" si="21"/>
        <v>1</v>
      </c>
      <c r="E117" s="6">
        <v>0</v>
      </c>
      <c r="F117" s="16">
        <v>0</v>
      </c>
      <c r="G117" s="5">
        <f t="shared" si="22"/>
        <v>0</v>
      </c>
      <c r="H117" s="7">
        <f t="shared" si="23"/>
        <v>1</v>
      </c>
    </row>
    <row r="118" spans="1:8" ht="15" customHeight="1" x14ac:dyDescent="0.25">
      <c r="A118" s="11" t="s">
        <v>107</v>
      </c>
      <c r="B118" s="6">
        <v>1</v>
      </c>
      <c r="C118" s="16">
        <v>0</v>
      </c>
      <c r="D118" s="5">
        <f t="shared" si="21"/>
        <v>1</v>
      </c>
      <c r="E118" s="6">
        <v>8</v>
      </c>
      <c r="F118" s="16">
        <v>2</v>
      </c>
      <c r="G118" s="5">
        <f t="shared" si="22"/>
        <v>10</v>
      </c>
      <c r="H118" s="7">
        <f t="shared" si="23"/>
        <v>11</v>
      </c>
    </row>
    <row r="119" spans="1:8" ht="15" customHeight="1" x14ac:dyDescent="0.25">
      <c r="A119" s="11" t="s">
        <v>108</v>
      </c>
      <c r="B119" s="6">
        <v>0</v>
      </c>
      <c r="C119" s="16">
        <v>0</v>
      </c>
      <c r="D119" s="5">
        <f t="shared" si="21"/>
        <v>0</v>
      </c>
      <c r="E119" s="6">
        <v>5</v>
      </c>
      <c r="F119" s="16">
        <v>3</v>
      </c>
      <c r="G119" s="5">
        <f t="shared" si="22"/>
        <v>8</v>
      </c>
      <c r="H119" s="7">
        <f t="shared" si="23"/>
        <v>8</v>
      </c>
    </row>
    <row r="120" spans="1:8" ht="15" customHeight="1" x14ac:dyDescent="0.25">
      <c r="A120" s="11" t="s">
        <v>110</v>
      </c>
      <c r="B120" s="6">
        <v>5</v>
      </c>
      <c r="C120" s="16">
        <v>0</v>
      </c>
      <c r="D120" s="5">
        <f t="shared" si="21"/>
        <v>5</v>
      </c>
      <c r="E120" s="6">
        <v>3</v>
      </c>
      <c r="F120" s="16">
        <v>1</v>
      </c>
      <c r="G120" s="5">
        <f t="shared" si="22"/>
        <v>4</v>
      </c>
      <c r="H120" s="7">
        <f t="shared" si="23"/>
        <v>9</v>
      </c>
    </row>
    <row r="121" spans="1:8" ht="15" customHeight="1" x14ac:dyDescent="0.25">
      <c r="A121" s="11" t="s">
        <v>155</v>
      </c>
      <c r="B121" s="6">
        <v>2</v>
      </c>
      <c r="C121" s="16">
        <v>0</v>
      </c>
      <c r="D121" s="5">
        <f t="shared" si="21"/>
        <v>2</v>
      </c>
      <c r="E121" s="6">
        <v>0</v>
      </c>
      <c r="F121" s="16">
        <v>0</v>
      </c>
      <c r="G121" s="5">
        <f t="shared" si="22"/>
        <v>0</v>
      </c>
      <c r="H121" s="7">
        <f t="shared" si="23"/>
        <v>2</v>
      </c>
    </row>
    <row r="122" spans="1:8" ht="15" customHeight="1" x14ac:dyDescent="0.25">
      <c r="A122" s="11" t="s">
        <v>111</v>
      </c>
      <c r="B122" s="6">
        <v>2</v>
      </c>
      <c r="C122" s="16">
        <v>0</v>
      </c>
      <c r="D122" s="5">
        <f t="shared" si="21"/>
        <v>2</v>
      </c>
      <c r="E122" s="6">
        <v>6</v>
      </c>
      <c r="F122" s="16">
        <v>1</v>
      </c>
      <c r="G122" s="5">
        <f t="shared" si="22"/>
        <v>7</v>
      </c>
      <c r="H122" s="7">
        <f t="shared" si="23"/>
        <v>9</v>
      </c>
    </row>
    <row r="123" spans="1:8" ht="15" customHeight="1" x14ac:dyDescent="0.25">
      <c r="A123" s="11" t="s">
        <v>113</v>
      </c>
      <c r="B123" s="6">
        <v>0</v>
      </c>
      <c r="C123" s="16">
        <v>0</v>
      </c>
      <c r="D123" s="5">
        <f t="shared" si="21"/>
        <v>0</v>
      </c>
      <c r="E123" s="6">
        <v>2</v>
      </c>
      <c r="F123" s="16">
        <v>1</v>
      </c>
      <c r="G123" s="5">
        <f t="shared" si="22"/>
        <v>3</v>
      </c>
      <c r="H123" s="7">
        <f t="shared" si="23"/>
        <v>3</v>
      </c>
    </row>
    <row r="124" spans="1:8" ht="15" customHeight="1" thickBot="1" x14ac:dyDescent="0.3">
      <c r="A124" s="11" t="s">
        <v>114</v>
      </c>
      <c r="B124" s="6">
        <v>3</v>
      </c>
      <c r="C124" s="16">
        <v>0</v>
      </c>
      <c r="D124" s="5">
        <f t="shared" si="21"/>
        <v>3</v>
      </c>
      <c r="E124" s="6">
        <v>4</v>
      </c>
      <c r="F124" s="16">
        <v>2</v>
      </c>
      <c r="G124" s="5">
        <f t="shared" si="22"/>
        <v>6</v>
      </c>
      <c r="H124" s="7">
        <f t="shared" si="23"/>
        <v>9</v>
      </c>
    </row>
    <row r="125" spans="1:8" ht="15" customHeight="1" thickTop="1" thickBot="1" x14ac:dyDescent="0.3">
      <c r="A125" s="12" t="s">
        <v>6</v>
      </c>
      <c r="B125" s="13">
        <f t="shared" ref="B125:H125" si="24">SUM(B100:B124)</f>
        <v>80</v>
      </c>
      <c r="C125" s="13">
        <f t="shared" si="24"/>
        <v>1</v>
      </c>
      <c r="D125" s="13">
        <f t="shared" si="24"/>
        <v>81</v>
      </c>
      <c r="E125" s="13">
        <f t="shared" si="24"/>
        <v>114</v>
      </c>
      <c r="F125" s="13">
        <f t="shared" si="24"/>
        <v>20</v>
      </c>
      <c r="G125" s="13">
        <f t="shared" si="24"/>
        <v>134</v>
      </c>
      <c r="H125" s="15">
        <f t="shared" si="24"/>
        <v>215</v>
      </c>
    </row>
    <row r="126" spans="1:8" ht="15" customHeight="1" thickTop="1" thickBot="1" x14ac:dyDescent="0.3">
      <c r="A126" s="23" t="s">
        <v>115</v>
      </c>
      <c r="B126" s="24"/>
      <c r="C126" s="24"/>
      <c r="D126" s="24"/>
      <c r="E126" s="24"/>
      <c r="F126" s="24"/>
      <c r="G126" s="24"/>
      <c r="H126" s="25"/>
    </row>
    <row r="127" spans="1:8" ht="15" customHeight="1" thickTop="1" x14ac:dyDescent="0.25">
      <c r="A127" s="11" t="s">
        <v>116</v>
      </c>
      <c r="B127" s="6">
        <v>18</v>
      </c>
      <c r="C127" s="16">
        <v>0</v>
      </c>
      <c r="D127" s="5">
        <f t="shared" ref="D127:D128" si="25">B127+C127</f>
        <v>18</v>
      </c>
      <c r="E127" s="6">
        <v>54</v>
      </c>
      <c r="F127" s="16">
        <v>2</v>
      </c>
      <c r="G127" s="5">
        <f t="shared" ref="G127:G128" si="26">E127+F127</f>
        <v>56</v>
      </c>
      <c r="H127" s="7">
        <f t="shared" ref="H127:H128" si="27">G127+D127</f>
        <v>74</v>
      </c>
    </row>
    <row r="128" spans="1:8" ht="15" customHeight="1" thickBot="1" x14ac:dyDescent="0.3">
      <c r="A128" s="11" t="s">
        <v>225</v>
      </c>
      <c r="B128" s="6">
        <v>295</v>
      </c>
      <c r="C128" s="16">
        <v>0</v>
      </c>
      <c r="D128" s="5">
        <f t="shared" si="25"/>
        <v>295</v>
      </c>
      <c r="E128" s="6">
        <v>290</v>
      </c>
      <c r="F128" s="16">
        <v>10</v>
      </c>
      <c r="G128" s="5">
        <f t="shared" si="26"/>
        <v>300</v>
      </c>
      <c r="H128" s="7">
        <f t="shared" si="27"/>
        <v>595</v>
      </c>
    </row>
    <row r="129" spans="1:8" ht="15" customHeight="1" thickTop="1" thickBot="1" x14ac:dyDescent="0.3">
      <c r="A129" s="12" t="s">
        <v>6</v>
      </c>
      <c r="B129" s="13">
        <f>SUM(B127:B128)</f>
        <v>313</v>
      </c>
      <c r="C129" s="13">
        <f t="shared" ref="C129:H129" si="28">SUM(C127:C128)</f>
        <v>0</v>
      </c>
      <c r="D129" s="13">
        <f t="shared" si="28"/>
        <v>313</v>
      </c>
      <c r="E129" s="13">
        <f t="shared" si="28"/>
        <v>344</v>
      </c>
      <c r="F129" s="13">
        <f t="shared" si="28"/>
        <v>12</v>
      </c>
      <c r="G129" s="13">
        <f t="shared" si="28"/>
        <v>356</v>
      </c>
      <c r="H129" s="15">
        <f t="shared" si="28"/>
        <v>669</v>
      </c>
    </row>
    <row r="130" spans="1:8" ht="15" customHeight="1" thickTop="1" thickBot="1" x14ac:dyDescent="0.3">
      <c r="A130" s="23" t="s">
        <v>145</v>
      </c>
      <c r="B130" s="24"/>
      <c r="C130" s="24"/>
      <c r="D130" s="24"/>
      <c r="E130" s="24"/>
      <c r="F130" s="24"/>
      <c r="G130" s="24"/>
      <c r="H130" s="25"/>
    </row>
    <row r="131" spans="1:8" ht="15" customHeight="1" thickTop="1" x14ac:dyDescent="0.25">
      <c r="A131" s="11" t="s">
        <v>118</v>
      </c>
      <c r="B131" s="6">
        <v>3</v>
      </c>
      <c r="C131" s="16">
        <v>0</v>
      </c>
      <c r="D131" s="5">
        <f t="shared" ref="D131:D138" si="29">B131+C131</f>
        <v>3</v>
      </c>
      <c r="E131" s="6">
        <v>0</v>
      </c>
      <c r="F131" s="16">
        <v>0</v>
      </c>
      <c r="G131" s="5">
        <f t="shared" ref="G131:G138" si="30">E131+F131</f>
        <v>0</v>
      </c>
      <c r="H131" s="7">
        <f t="shared" ref="H131:H138" si="31">G131+D131</f>
        <v>3</v>
      </c>
    </row>
    <row r="132" spans="1:8" ht="15" customHeight="1" x14ac:dyDescent="0.25">
      <c r="A132" s="11" t="s">
        <v>119</v>
      </c>
      <c r="B132" s="6">
        <v>3</v>
      </c>
      <c r="C132" s="16">
        <v>0</v>
      </c>
      <c r="D132" s="5">
        <f t="shared" si="29"/>
        <v>3</v>
      </c>
      <c r="E132" s="6">
        <v>0</v>
      </c>
      <c r="F132" s="16">
        <v>0</v>
      </c>
      <c r="G132" s="5">
        <f t="shared" si="30"/>
        <v>0</v>
      </c>
      <c r="H132" s="7">
        <f t="shared" si="31"/>
        <v>3</v>
      </c>
    </row>
    <row r="133" spans="1:8" ht="15" customHeight="1" x14ac:dyDescent="0.25">
      <c r="A133" s="11" t="s">
        <v>120</v>
      </c>
      <c r="B133" s="6">
        <v>2</v>
      </c>
      <c r="C133" s="16">
        <v>0</v>
      </c>
      <c r="D133" s="5">
        <f t="shared" si="29"/>
        <v>2</v>
      </c>
      <c r="E133" s="6">
        <v>0</v>
      </c>
      <c r="F133" s="16">
        <v>0</v>
      </c>
      <c r="G133" s="5">
        <f t="shared" si="30"/>
        <v>0</v>
      </c>
      <c r="H133" s="7">
        <f t="shared" si="31"/>
        <v>2</v>
      </c>
    </row>
    <row r="134" spans="1:8" ht="15" customHeight="1" x14ac:dyDescent="0.25">
      <c r="A134" s="11" t="s">
        <v>122</v>
      </c>
      <c r="B134" s="6">
        <v>1</v>
      </c>
      <c r="C134" s="16">
        <v>0</v>
      </c>
      <c r="D134" s="5">
        <f t="shared" si="29"/>
        <v>1</v>
      </c>
      <c r="E134" s="6">
        <v>0</v>
      </c>
      <c r="F134" s="16">
        <v>0</v>
      </c>
      <c r="G134" s="5">
        <f t="shared" si="30"/>
        <v>0</v>
      </c>
      <c r="H134" s="7">
        <f t="shared" si="31"/>
        <v>1</v>
      </c>
    </row>
    <row r="135" spans="1:8" ht="15" customHeight="1" x14ac:dyDescent="0.25">
      <c r="A135" s="11" t="s">
        <v>123</v>
      </c>
      <c r="B135" s="6">
        <v>1</v>
      </c>
      <c r="C135" s="16">
        <v>0</v>
      </c>
      <c r="D135" s="5">
        <f t="shared" si="29"/>
        <v>1</v>
      </c>
      <c r="E135" s="6">
        <v>2</v>
      </c>
      <c r="F135" s="16">
        <v>0</v>
      </c>
      <c r="G135" s="5">
        <f t="shared" si="30"/>
        <v>2</v>
      </c>
      <c r="H135" s="7">
        <f t="shared" si="31"/>
        <v>3</v>
      </c>
    </row>
    <row r="136" spans="1:8" ht="15" customHeight="1" x14ac:dyDescent="0.25">
      <c r="A136" s="11" t="s">
        <v>124</v>
      </c>
      <c r="B136" s="6">
        <v>0</v>
      </c>
      <c r="C136" s="16">
        <v>0</v>
      </c>
      <c r="D136" s="5">
        <f t="shared" si="29"/>
        <v>0</v>
      </c>
      <c r="E136" s="6">
        <v>1</v>
      </c>
      <c r="F136" s="16">
        <v>0</v>
      </c>
      <c r="G136" s="5">
        <f t="shared" si="30"/>
        <v>1</v>
      </c>
      <c r="H136" s="7">
        <f t="shared" si="31"/>
        <v>1</v>
      </c>
    </row>
    <row r="137" spans="1:8" ht="15" customHeight="1" x14ac:dyDescent="0.25">
      <c r="A137" s="11" t="s">
        <v>192</v>
      </c>
      <c r="B137" s="6">
        <v>5</v>
      </c>
      <c r="C137" s="16">
        <v>0</v>
      </c>
      <c r="D137" s="5">
        <f t="shared" si="29"/>
        <v>5</v>
      </c>
      <c r="E137" s="6">
        <v>3</v>
      </c>
      <c r="F137" s="16">
        <v>2</v>
      </c>
      <c r="G137" s="5">
        <f t="shared" si="30"/>
        <v>5</v>
      </c>
      <c r="H137" s="7">
        <f t="shared" si="31"/>
        <v>10</v>
      </c>
    </row>
    <row r="138" spans="1:8" ht="15" customHeight="1" thickBot="1" x14ac:dyDescent="0.3">
      <c r="A138" s="11" t="s">
        <v>214</v>
      </c>
      <c r="B138" s="6">
        <v>2</v>
      </c>
      <c r="C138" s="16">
        <v>0</v>
      </c>
      <c r="D138" s="5">
        <f t="shared" si="29"/>
        <v>2</v>
      </c>
      <c r="E138" s="6">
        <v>0</v>
      </c>
      <c r="F138" s="16">
        <v>0</v>
      </c>
      <c r="G138" s="5">
        <f t="shared" si="30"/>
        <v>0</v>
      </c>
      <c r="H138" s="7">
        <f t="shared" si="31"/>
        <v>2</v>
      </c>
    </row>
    <row r="139" spans="1:8" ht="15" customHeight="1" thickTop="1" thickBot="1" x14ac:dyDescent="0.3">
      <c r="A139" s="12" t="s">
        <v>6</v>
      </c>
      <c r="B139" s="13">
        <f t="shared" ref="B139:G139" si="32">SUM(B131:B138)</f>
        <v>17</v>
      </c>
      <c r="C139" s="13">
        <f t="shared" si="32"/>
        <v>0</v>
      </c>
      <c r="D139" s="13">
        <f t="shared" si="32"/>
        <v>17</v>
      </c>
      <c r="E139" s="13">
        <f t="shared" si="32"/>
        <v>6</v>
      </c>
      <c r="F139" s="13">
        <f t="shared" si="32"/>
        <v>2</v>
      </c>
      <c r="G139" s="13">
        <f t="shared" si="32"/>
        <v>8</v>
      </c>
      <c r="H139" s="15">
        <f>SUM(H131:H138)</f>
        <v>25</v>
      </c>
    </row>
    <row r="140" spans="1:8" ht="15" customHeight="1" thickTop="1" thickBot="1" x14ac:dyDescent="0.3">
      <c r="A140" s="23" t="s">
        <v>195</v>
      </c>
      <c r="B140" s="24"/>
      <c r="C140" s="24"/>
      <c r="D140" s="24"/>
      <c r="E140" s="24"/>
      <c r="F140" s="24"/>
      <c r="G140" s="24"/>
      <c r="H140" s="25"/>
    </row>
    <row r="141" spans="1:8" ht="15" customHeight="1" thickTop="1" x14ac:dyDescent="0.25">
      <c r="A141" s="11" t="s">
        <v>128</v>
      </c>
      <c r="B141" s="6">
        <v>2</v>
      </c>
      <c r="C141" s="16">
        <v>0</v>
      </c>
      <c r="D141" s="5">
        <f t="shared" ref="D141:D150" si="33">B141+C141</f>
        <v>2</v>
      </c>
      <c r="E141" s="6">
        <v>6</v>
      </c>
      <c r="F141" s="16">
        <v>0</v>
      </c>
      <c r="G141" s="5">
        <f t="shared" ref="G141:G150" si="34">E141+F141</f>
        <v>6</v>
      </c>
      <c r="H141" s="7">
        <f t="shared" ref="H141:H150" si="35">G141+D141</f>
        <v>8</v>
      </c>
    </row>
    <row r="142" spans="1:8" ht="15" customHeight="1" x14ac:dyDescent="0.25">
      <c r="A142" s="11" t="s">
        <v>130</v>
      </c>
      <c r="B142" s="6">
        <v>3</v>
      </c>
      <c r="C142" s="16">
        <v>0</v>
      </c>
      <c r="D142" s="5">
        <f t="shared" si="33"/>
        <v>3</v>
      </c>
      <c r="E142" s="6">
        <v>25</v>
      </c>
      <c r="F142" s="16">
        <v>3</v>
      </c>
      <c r="G142" s="5">
        <f t="shared" si="34"/>
        <v>28</v>
      </c>
      <c r="H142" s="7">
        <f t="shared" si="35"/>
        <v>31</v>
      </c>
    </row>
    <row r="143" spans="1:8" ht="15" customHeight="1" x14ac:dyDescent="0.25">
      <c r="A143" s="11" t="s">
        <v>131</v>
      </c>
      <c r="B143" s="6">
        <v>1</v>
      </c>
      <c r="C143" s="16">
        <v>0</v>
      </c>
      <c r="D143" s="5">
        <f t="shared" ref="D143" si="36">B143+C143</f>
        <v>1</v>
      </c>
      <c r="E143" s="6">
        <v>15</v>
      </c>
      <c r="F143" s="16">
        <v>0</v>
      </c>
      <c r="G143" s="5">
        <f t="shared" ref="G143" si="37">E143+F143</f>
        <v>15</v>
      </c>
      <c r="H143" s="7">
        <f t="shared" ref="H143" si="38">G143+D143</f>
        <v>16</v>
      </c>
    </row>
    <row r="144" spans="1:8" ht="15" customHeight="1" x14ac:dyDescent="0.25">
      <c r="A144" s="11" t="s">
        <v>132</v>
      </c>
      <c r="B144" s="6">
        <v>1</v>
      </c>
      <c r="C144" s="16">
        <v>0</v>
      </c>
      <c r="D144" s="5">
        <f t="shared" si="33"/>
        <v>1</v>
      </c>
      <c r="E144" s="6">
        <v>8</v>
      </c>
      <c r="F144" s="16">
        <v>0</v>
      </c>
      <c r="G144" s="5">
        <f t="shared" si="34"/>
        <v>8</v>
      </c>
      <c r="H144" s="7">
        <f t="shared" si="35"/>
        <v>9</v>
      </c>
    </row>
    <row r="145" spans="1:8" ht="15" customHeight="1" x14ac:dyDescent="0.25">
      <c r="A145" s="11" t="s">
        <v>216</v>
      </c>
      <c r="B145" s="6">
        <v>0</v>
      </c>
      <c r="C145" s="16">
        <v>0</v>
      </c>
      <c r="D145" s="5">
        <f t="shared" si="33"/>
        <v>0</v>
      </c>
      <c r="E145" s="6">
        <v>2</v>
      </c>
      <c r="F145" s="16">
        <v>0</v>
      </c>
      <c r="G145" s="5">
        <f t="shared" si="34"/>
        <v>2</v>
      </c>
      <c r="H145" s="7">
        <f t="shared" si="35"/>
        <v>2</v>
      </c>
    </row>
    <row r="146" spans="1:8" ht="15" customHeight="1" x14ac:dyDescent="0.25">
      <c r="A146" s="11" t="s">
        <v>134</v>
      </c>
      <c r="B146" s="6">
        <v>0</v>
      </c>
      <c r="C146" s="16">
        <v>0</v>
      </c>
      <c r="D146" s="5">
        <f t="shared" si="33"/>
        <v>0</v>
      </c>
      <c r="E146" s="6">
        <v>1</v>
      </c>
      <c r="F146" s="16">
        <v>0</v>
      </c>
      <c r="G146" s="5">
        <f t="shared" si="34"/>
        <v>1</v>
      </c>
      <c r="H146" s="7">
        <f t="shared" si="35"/>
        <v>1</v>
      </c>
    </row>
    <row r="147" spans="1:8" ht="15" customHeight="1" x14ac:dyDescent="0.25">
      <c r="A147" s="11" t="s">
        <v>135</v>
      </c>
      <c r="B147" s="6">
        <v>4</v>
      </c>
      <c r="C147" s="16">
        <v>0</v>
      </c>
      <c r="D147" s="5">
        <f t="shared" si="33"/>
        <v>4</v>
      </c>
      <c r="E147" s="6">
        <v>31</v>
      </c>
      <c r="F147" s="16">
        <v>0</v>
      </c>
      <c r="G147" s="5">
        <f t="shared" si="34"/>
        <v>31</v>
      </c>
      <c r="H147" s="7">
        <f t="shared" si="35"/>
        <v>35</v>
      </c>
    </row>
    <row r="148" spans="1:8" ht="15" customHeight="1" x14ac:dyDescent="0.25">
      <c r="A148" s="11" t="s">
        <v>201</v>
      </c>
      <c r="B148" s="6">
        <v>0</v>
      </c>
      <c r="C148" s="16">
        <v>0</v>
      </c>
      <c r="D148" s="5">
        <f t="shared" si="33"/>
        <v>0</v>
      </c>
      <c r="E148" s="6">
        <v>1</v>
      </c>
      <c r="F148" s="16">
        <v>0</v>
      </c>
      <c r="G148" s="5">
        <f t="shared" si="34"/>
        <v>1</v>
      </c>
      <c r="H148" s="7">
        <f t="shared" si="35"/>
        <v>1</v>
      </c>
    </row>
    <row r="149" spans="1:8" ht="15" customHeight="1" x14ac:dyDescent="0.25">
      <c r="A149" s="11" t="s">
        <v>136</v>
      </c>
      <c r="B149" s="6">
        <v>0</v>
      </c>
      <c r="C149" s="16">
        <v>0</v>
      </c>
      <c r="D149" s="5">
        <f t="shared" si="33"/>
        <v>0</v>
      </c>
      <c r="E149" s="6">
        <v>6</v>
      </c>
      <c r="F149" s="16">
        <v>0</v>
      </c>
      <c r="G149" s="5">
        <f t="shared" si="34"/>
        <v>6</v>
      </c>
      <c r="H149" s="7">
        <f t="shared" si="35"/>
        <v>6</v>
      </c>
    </row>
    <row r="150" spans="1:8" ht="15" customHeight="1" thickBot="1" x14ac:dyDescent="0.3">
      <c r="A150" s="11" t="s">
        <v>203</v>
      </c>
      <c r="B150" s="6">
        <v>1</v>
      </c>
      <c r="C150" s="16">
        <v>0</v>
      </c>
      <c r="D150" s="5">
        <f t="shared" si="33"/>
        <v>1</v>
      </c>
      <c r="E150" s="6">
        <v>1</v>
      </c>
      <c r="F150" s="16">
        <v>1</v>
      </c>
      <c r="G150" s="5">
        <f t="shared" si="34"/>
        <v>2</v>
      </c>
      <c r="H150" s="7">
        <f t="shared" si="35"/>
        <v>3</v>
      </c>
    </row>
    <row r="151" spans="1:8" ht="15" customHeight="1" thickTop="1" thickBot="1" x14ac:dyDescent="0.3">
      <c r="A151" s="12" t="s">
        <v>6</v>
      </c>
      <c r="B151" s="14">
        <f t="shared" ref="B151:F151" si="39">SUM(B141:B150)</f>
        <v>12</v>
      </c>
      <c r="C151" s="14">
        <f t="shared" si="39"/>
        <v>0</v>
      </c>
      <c r="D151" s="14">
        <f t="shared" si="39"/>
        <v>12</v>
      </c>
      <c r="E151" s="14">
        <f t="shared" si="39"/>
        <v>96</v>
      </c>
      <c r="F151" s="14">
        <f t="shared" si="39"/>
        <v>4</v>
      </c>
      <c r="G151" s="14">
        <f>SUM(G141:G150)</f>
        <v>100</v>
      </c>
      <c r="H151" s="15">
        <f>SUM(H141:H150)</f>
        <v>112</v>
      </c>
    </row>
    <row r="152" spans="1:8" ht="15" customHeight="1" thickTop="1" thickBot="1" x14ac:dyDescent="0.3">
      <c r="A152" s="23" t="s">
        <v>138</v>
      </c>
      <c r="B152" s="24"/>
      <c r="C152" s="24"/>
      <c r="D152" s="24"/>
      <c r="E152" s="24"/>
      <c r="F152" s="24"/>
      <c r="G152" s="24"/>
      <c r="H152" s="25"/>
    </row>
    <row r="153" spans="1:8" ht="15" customHeight="1" thickTop="1" x14ac:dyDescent="0.25">
      <c r="A153" s="11" t="s">
        <v>139</v>
      </c>
      <c r="B153" s="6">
        <v>15</v>
      </c>
      <c r="C153" s="16">
        <v>0</v>
      </c>
      <c r="D153" s="5">
        <f t="shared" ref="D153:D155" si="40">B153+C153</f>
        <v>15</v>
      </c>
      <c r="E153" s="6">
        <v>13</v>
      </c>
      <c r="F153" s="16">
        <v>1</v>
      </c>
      <c r="G153" s="5">
        <f t="shared" ref="G153:G155" si="41">E153+F153</f>
        <v>14</v>
      </c>
      <c r="H153" s="7">
        <f t="shared" ref="H153:H155" si="42">G153+D153</f>
        <v>29</v>
      </c>
    </row>
    <row r="154" spans="1:8" ht="15" customHeight="1" x14ac:dyDescent="0.25">
      <c r="A154" s="11" t="s">
        <v>141</v>
      </c>
      <c r="B154" s="6">
        <v>0</v>
      </c>
      <c r="C154" s="16">
        <v>0</v>
      </c>
      <c r="D154" s="5">
        <f t="shared" si="40"/>
        <v>0</v>
      </c>
      <c r="E154" s="6">
        <v>2</v>
      </c>
      <c r="F154" s="16">
        <v>0</v>
      </c>
      <c r="G154" s="5">
        <f t="shared" si="41"/>
        <v>2</v>
      </c>
      <c r="H154" s="7">
        <f t="shared" si="42"/>
        <v>2</v>
      </c>
    </row>
    <row r="155" spans="1:8" ht="15" customHeight="1" thickBot="1" x14ac:dyDescent="0.3">
      <c r="A155" s="11" t="s">
        <v>78</v>
      </c>
      <c r="B155" s="6">
        <v>0</v>
      </c>
      <c r="C155" s="16">
        <v>0</v>
      </c>
      <c r="D155" s="5">
        <f t="shared" si="40"/>
        <v>0</v>
      </c>
      <c r="E155" s="6">
        <v>0</v>
      </c>
      <c r="F155" s="16">
        <v>1</v>
      </c>
      <c r="G155" s="5">
        <f t="shared" si="41"/>
        <v>1</v>
      </c>
      <c r="H155" s="7">
        <f t="shared" si="42"/>
        <v>1</v>
      </c>
    </row>
    <row r="156" spans="1:8" ht="15" customHeight="1" thickTop="1" thickBot="1" x14ac:dyDescent="0.3">
      <c r="A156" s="12" t="s">
        <v>6</v>
      </c>
      <c r="B156" s="13">
        <f t="shared" ref="B156:H156" si="43">SUM(B153:B155)</f>
        <v>15</v>
      </c>
      <c r="C156" s="13">
        <f t="shared" si="43"/>
        <v>0</v>
      </c>
      <c r="D156" s="13">
        <f t="shared" si="43"/>
        <v>15</v>
      </c>
      <c r="E156" s="13">
        <f t="shared" si="43"/>
        <v>15</v>
      </c>
      <c r="F156" s="13">
        <f t="shared" si="43"/>
        <v>2</v>
      </c>
      <c r="G156" s="13">
        <f t="shared" si="43"/>
        <v>17</v>
      </c>
      <c r="H156" s="15">
        <f t="shared" si="43"/>
        <v>32</v>
      </c>
    </row>
    <row r="157" spans="1:8" ht="15" customHeight="1" thickTop="1" thickBot="1" x14ac:dyDescent="0.3">
      <c r="A157" s="23" t="s">
        <v>146</v>
      </c>
      <c r="B157" s="24"/>
      <c r="C157" s="24"/>
      <c r="D157" s="24"/>
      <c r="E157" s="24"/>
      <c r="F157" s="24"/>
      <c r="G157" s="24"/>
      <c r="H157" s="25"/>
    </row>
    <row r="158" spans="1:8" ht="15" customHeight="1" thickTop="1" x14ac:dyDescent="0.25">
      <c r="A158" s="11" t="s">
        <v>206</v>
      </c>
      <c r="B158" s="6">
        <v>1</v>
      </c>
      <c r="C158" s="16">
        <v>0</v>
      </c>
      <c r="D158" s="5">
        <f t="shared" ref="D158:D159" si="44">B158+C158</f>
        <v>1</v>
      </c>
      <c r="E158" s="6">
        <v>1</v>
      </c>
      <c r="F158" s="16">
        <v>0</v>
      </c>
      <c r="G158" s="5">
        <f t="shared" ref="G158:G159" si="45">E158+F158</f>
        <v>1</v>
      </c>
      <c r="H158" s="7">
        <f t="shared" ref="H158:H159" si="46">G158+D158</f>
        <v>2</v>
      </c>
    </row>
    <row r="159" spans="1:8" ht="15" customHeight="1" thickBot="1" x14ac:dyDescent="0.3">
      <c r="A159" s="11" t="s">
        <v>205</v>
      </c>
      <c r="B159" s="6">
        <v>0</v>
      </c>
      <c r="C159" s="16">
        <v>0</v>
      </c>
      <c r="D159" s="5">
        <f t="shared" si="44"/>
        <v>0</v>
      </c>
      <c r="E159" s="6">
        <v>4</v>
      </c>
      <c r="F159" s="16">
        <v>0</v>
      </c>
      <c r="G159" s="5">
        <f t="shared" si="45"/>
        <v>4</v>
      </c>
      <c r="H159" s="7">
        <f t="shared" si="46"/>
        <v>4</v>
      </c>
    </row>
    <row r="160" spans="1:8" ht="15" customHeight="1" thickTop="1" thickBot="1" x14ac:dyDescent="0.3">
      <c r="A160" s="12" t="s">
        <v>6</v>
      </c>
      <c r="B160" s="13">
        <f>SUM(B158:B159)</f>
        <v>1</v>
      </c>
      <c r="C160" s="13">
        <f t="shared" ref="C160:H160" si="47">SUM(C158:C159)</f>
        <v>0</v>
      </c>
      <c r="D160" s="13">
        <f t="shared" si="47"/>
        <v>1</v>
      </c>
      <c r="E160" s="13">
        <f t="shared" si="47"/>
        <v>5</v>
      </c>
      <c r="F160" s="13">
        <f t="shared" si="47"/>
        <v>0</v>
      </c>
      <c r="G160" s="13">
        <f t="shared" si="47"/>
        <v>5</v>
      </c>
      <c r="H160" s="15">
        <f t="shared" si="47"/>
        <v>6</v>
      </c>
    </row>
    <row r="161" spans="1:8" ht="15" customHeight="1" thickTop="1" thickBot="1" x14ac:dyDescent="0.3">
      <c r="A161" s="23"/>
      <c r="B161" s="24"/>
      <c r="C161" s="24"/>
      <c r="D161" s="24"/>
      <c r="E161" s="24"/>
      <c r="F161" s="24"/>
      <c r="G161" s="24"/>
      <c r="H161" s="25"/>
    </row>
    <row r="162" spans="1:8" ht="15" customHeight="1" thickTop="1" thickBot="1" x14ac:dyDescent="0.3">
      <c r="A162" s="43" t="s">
        <v>0</v>
      </c>
      <c r="B162" s="44">
        <f>B33+B53+B68+B98+B125+B129+B139+B151+B156+B160</f>
        <v>2960</v>
      </c>
      <c r="C162" s="44">
        <f t="shared" ref="C162:H162" si="48">C33+C53+C68+C98+C125+C129+C139+C151+C156+C160</f>
        <v>33</v>
      </c>
      <c r="D162" s="44">
        <f t="shared" si="48"/>
        <v>2993</v>
      </c>
      <c r="E162" s="44">
        <f t="shared" si="48"/>
        <v>2334</v>
      </c>
      <c r="F162" s="44">
        <f t="shared" si="48"/>
        <v>345</v>
      </c>
      <c r="G162" s="44">
        <f t="shared" si="48"/>
        <v>2679</v>
      </c>
      <c r="H162" s="45">
        <f t="shared" si="48"/>
        <v>5672</v>
      </c>
    </row>
    <row r="164" spans="1:8" ht="15" customHeight="1" x14ac:dyDescent="0.25">
      <c r="A164" s="47" t="s">
        <v>147</v>
      </c>
      <c r="B164" s="47"/>
      <c r="C164" s="47"/>
      <c r="D164" s="47"/>
      <c r="E164" s="47"/>
      <c r="F164" s="47"/>
      <c r="G164" s="47"/>
      <c r="H164" s="47"/>
    </row>
    <row r="165" spans="1:8" ht="15" customHeight="1" x14ac:dyDescent="0.25">
      <c r="A165" s="47" t="s">
        <v>218</v>
      </c>
      <c r="B165" s="47"/>
      <c r="C165" s="47"/>
      <c r="D165" s="47"/>
      <c r="E165" s="47"/>
      <c r="F165" s="47"/>
      <c r="G165" s="47"/>
      <c r="H165" s="47"/>
    </row>
    <row r="175" spans="1:8" ht="25.5" customHeight="1" x14ac:dyDescent="0.25"/>
    <row r="176" spans="1:8" ht="25.5" customHeight="1" x14ac:dyDescent="0.25"/>
  </sheetData>
  <mergeCells count="18">
    <mergeCell ref="A164:H164"/>
    <mergeCell ref="A165:H165"/>
    <mergeCell ref="H5:H6"/>
    <mergeCell ref="A2:H2"/>
    <mergeCell ref="B5:D5"/>
    <mergeCell ref="E5:G5"/>
    <mergeCell ref="A7:H7"/>
    <mergeCell ref="A34:H34"/>
    <mergeCell ref="A157:H157"/>
    <mergeCell ref="A5:A6"/>
    <mergeCell ref="A161:H161"/>
    <mergeCell ref="A69:H69"/>
    <mergeCell ref="A99:H99"/>
    <mergeCell ref="A126:H126"/>
    <mergeCell ref="A130:H130"/>
    <mergeCell ref="A140:H140"/>
    <mergeCell ref="A152:H152"/>
    <mergeCell ref="A54:H54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&amp;A&amp;RPage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6"/>
  <sheetViews>
    <sheetView view="pageLayout" topLeftCell="A154" zoomScaleNormal="85" workbookViewId="0">
      <selection activeCell="A178" sqref="A178"/>
    </sheetView>
  </sheetViews>
  <sheetFormatPr defaultRowHeight="15" customHeight="1" x14ac:dyDescent="0.25"/>
  <cols>
    <col min="1" max="1" width="18.85546875" bestFit="1" customWidth="1"/>
    <col min="2" max="8" width="6" customWidth="1"/>
    <col min="9" max="11" width="5.5703125" customWidth="1"/>
  </cols>
  <sheetData>
    <row r="1" spans="1:9" ht="15" customHeight="1" x14ac:dyDescent="0.25">
      <c r="A1" s="1" t="s">
        <v>7</v>
      </c>
      <c r="B1" s="3"/>
    </row>
    <row r="2" spans="1:9" ht="15" customHeight="1" x14ac:dyDescent="0.25">
      <c r="A2" s="31" t="s">
        <v>8</v>
      </c>
      <c r="B2" s="31"/>
      <c r="C2" s="31"/>
      <c r="D2" s="31"/>
      <c r="E2" s="31"/>
      <c r="F2" s="31"/>
      <c r="G2" s="31"/>
      <c r="H2" s="31"/>
    </row>
    <row r="3" spans="1:9" ht="15" customHeight="1" x14ac:dyDescent="0.25">
      <c r="A3" s="2" t="str">
        <f ca="1">RIGHT(CELL("filename",A1),LEN(CELL("filename",A1))-FIND("]",CELL("filename",A1)))</f>
        <v>2004-05</v>
      </c>
      <c r="B3" s="3"/>
    </row>
    <row r="4" spans="1:9" ht="7.5" customHeight="1" thickBot="1" x14ac:dyDescent="0.3">
      <c r="A4" s="3"/>
      <c r="B4" s="3"/>
    </row>
    <row r="5" spans="1:9" ht="15" customHeight="1" x14ac:dyDescent="0.25">
      <c r="A5" s="29" t="s">
        <v>3</v>
      </c>
      <c r="B5" s="26" t="s">
        <v>1</v>
      </c>
      <c r="C5" s="27"/>
      <c r="D5" s="27"/>
      <c r="E5" s="26" t="s">
        <v>2</v>
      </c>
      <c r="F5" s="27"/>
      <c r="G5" s="27"/>
      <c r="H5" s="62" t="s">
        <v>0</v>
      </c>
    </row>
    <row r="6" spans="1:9" ht="15" customHeight="1" x14ac:dyDescent="0.25">
      <c r="A6" s="30"/>
      <c r="B6" s="59" t="s">
        <v>4</v>
      </c>
      <c r="C6" s="60" t="s">
        <v>5</v>
      </c>
      <c r="D6" s="61" t="s">
        <v>0</v>
      </c>
      <c r="E6" s="59" t="s">
        <v>4</v>
      </c>
      <c r="F6" s="60" t="s">
        <v>5</v>
      </c>
      <c r="G6" s="61" t="s">
        <v>0</v>
      </c>
      <c r="H6" s="63"/>
      <c r="I6" s="22"/>
    </row>
    <row r="7" spans="1:9" ht="15" customHeight="1" thickBot="1" x14ac:dyDescent="0.3">
      <c r="A7" s="32" t="s">
        <v>9</v>
      </c>
      <c r="B7" s="33"/>
      <c r="C7" s="33"/>
      <c r="D7" s="33"/>
      <c r="E7" s="33"/>
      <c r="F7" s="33"/>
      <c r="G7" s="33"/>
      <c r="H7" s="34"/>
    </row>
    <row r="8" spans="1:9" ht="15" customHeight="1" thickTop="1" x14ac:dyDescent="0.25">
      <c r="A8" s="11" t="s">
        <v>10</v>
      </c>
      <c r="B8" s="6">
        <v>24</v>
      </c>
      <c r="C8" s="4">
        <v>0</v>
      </c>
      <c r="D8" s="5">
        <f t="shared" ref="D8" si="0">B8+C8</f>
        <v>24</v>
      </c>
      <c r="E8" s="6">
        <v>19</v>
      </c>
      <c r="F8" s="4">
        <v>1</v>
      </c>
      <c r="G8" s="5">
        <f t="shared" ref="G8" si="1">E8+F8</f>
        <v>20</v>
      </c>
      <c r="H8" s="7">
        <f t="shared" ref="H8" si="2">G8+D8</f>
        <v>44</v>
      </c>
    </row>
    <row r="9" spans="1:9" ht="15" customHeight="1" x14ac:dyDescent="0.25">
      <c r="A9" s="11" t="s">
        <v>11</v>
      </c>
      <c r="B9" s="6">
        <v>42</v>
      </c>
      <c r="C9" s="4">
        <v>1</v>
      </c>
      <c r="D9" s="5">
        <f t="shared" ref="D9:D32" si="3">B9+C9</f>
        <v>43</v>
      </c>
      <c r="E9" s="6">
        <v>27</v>
      </c>
      <c r="F9" s="4">
        <v>7</v>
      </c>
      <c r="G9" s="5">
        <f t="shared" ref="G9:G32" si="4">E9+F9</f>
        <v>34</v>
      </c>
      <c r="H9" s="7">
        <f t="shared" ref="H9:H32" si="5">G9+D9</f>
        <v>77</v>
      </c>
    </row>
    <row r="10" spans="1:9" ht="15" customHeight="1" x14ac:dyDescent="0.25">
      <c r="A10" s="11" t="s">
        <v>30</v>
      </c>
      <c r="B10" s="6">
        <v>79</v>
      </c>
      <c r="C10" s="4">
        <v>0</v>
      </c>
      <c r="D10" s="5">
        <f t="shared" si="3"/>
        <v>79</v>
      </c>
      <c r="E10" s="6">
        <v>47</v>
      </c>
      <c r="F10" s="4">
        <v>2</v>
      </c>
      <c r="G10" s="5">
        <f t="shared" si="4"/>
        <v>49</v>
      </c>
      <c r="H10" s="7">
        <f t="shared" si="5"/>
        <v>128</v>
      </c>
    </row>
    <row r="11" spans="1:9" ht="15" customHeight="1" x14ac:dyDescent="0.25">
      <c r="A11" s="11" t="s">
        <v>31</v>
      </c>
      <c r="B11" s="6">
        <v>9</v>
      </c>
      <c r="C11" s="4">
        <v>0</v>
      </c>
      <c r="D11" s="5">
        <f t="shared" si="3"/>
        <v>9</v>
      </c>
      <c r="E11" s="6">
        <v>5</v>
      </c>
      <c r="F11" s="4">
        <v>2</v>
      </c>
      <c r="G11" s="5">
        <f t="shared" si="4"/>
        <v>7</v>
      </c>
      <c r="H11" s="7">
        <f t="shared" si="5"/>
        <v>16</v>
      </c>
    </row>
    <row r="12" spans="1:9" ht="15" customHeight="1" x14ac:dyDescent="0.25">
      <c r="A12" s="11" t="s">
        <v>12</v>
      </c>
      <c r="B12" s="6">
        <v>17</v>
      </c>
      <c r="C12" s="4">
        <v>2</v>
      </c>
      <c r="D12" s="5">
        <f t="shared" si="3"/>
        <v>19</v>
      </c>
      <c r="E12" s="6">
        <v>20</v>
      </c>
      <c r="F12" s="4">
        <v>3</v>
      </c>
      <c r="G12" s="5">
        <f t="shared" si="4"/>
        <v>23</v>
      </c>
      <c r="H12" s="7">
        <f t="shared" si="5"/>
        <v>42</v>
      </c>
    </row>
    <row r="13" spans="1:9" ht="15" customHeight="1" x14ac:dyDescent="0.25">
      <c r="A13" s="11" t="s">
        <v>13</v>
      </c>
      <c r="B13" s="6">
        <v>11</v>
      </c>
      <c r="C13" s="4">
        <v>0</v>
      </c>
      <c r="D13" s="5">
        <f t="shared" si="3"/>
        <v>11</v>
      </c>
      <c r="E13" s="6">
        <v>47</v>
      </c>
      <c r="F13" s="4">
        <v>15</v>
      </c>
      <c r="G13" s="5">
        <f t="shared" si="4"/>
        <v>62</v>
      </c>
      <c r="H13" s="7">
        <f t="shared" si="5"/>
        <v>73</v>
      </c>
    </row>
    <row r="14" spans="1:9" ht="15" customHeight="1" x14ac:dyDescent="0.25">
      <c r="A14" s="11" t="s">
        <v>33</v>
      </c>
      <c r="B14" s="6">
        <v>4</v>
      </c>
      <c r="C14" s="4">
        <v>0</v>
      </c>
      <c r="D14" s="5">
        <f t="shared" si="3"/>
        <v>4</v>
      </c>
      <c r="E14" s="6">
        <v>2</v>
      </c>
      <c r="F14" s="4">
        <v>0</v>
      </c>
      <c r="G14" s="5">
        <f t="shared" si="4"/>
        <v>2</v>
      </c>
      <c r="H14" s="7">
        <f t="shared" si="5"/>
        <v>6</v>
      </c>
    </row>
    <row r="15" spans="1:9" ht="15" customHeight="1" x14ac:dyDescent="0.25">
      <c r="A15" s="11" t="s">
        <v>14</v>
      </c>
      <c r="B15" s="6">
        <v>15</v>
      </c>
      <c r="C15" s="4">
        <v>0</v>
      </c>
      <c r="D15" s="5">
        <f t="shared" si="3"/>
        <v>15</v>
      </c>
      <c r="E15" s="6">
        <v>9</v>
      </c>
      <c r="F15" s="4">
        <v>2</v>
      </c>
      <c r="G15" s="5">
        <f t="shared" si="4"/>
        <v>11</v>
      </c>
      <c r="H15" s="7">
        <f t="shared" si="5"/>
        <v>26</v>
      </c>
    </row>
    <row r="16" spans="1:9" ht="15" customHeight="1" x14ac:dyDescent="0.25">
      <c r="A16" s="11" t="s">
        <v>15</v>
      </c>
      <c r="B16" s="6">
        <v>105</v>
      </c>
      <c r="C16" s="4">
        <v>0</v>
      </c>
      <c r="D16" s="5">
        <f t="shared" si="3"/>
        <v>105</v>
      </c>
      <c r="E16" s="6">
        <v>68</v>
      </c>
      <c r="F16" s="4">
        <v>7</v>
      </c>
      <c r="G16" s="5">
        <f t="shared" si="4"/>
        <v>75</v>
      </c>
      <c r="H16" s="7">
        <f t="shared" si="5"/>
        <v>180</v>
      </c>
    </row>
    <row r="17" spans="1:8" ht="15" customHeight="1" x14ac:dyDescent="0.25">
      <c r="A17" s="11" t="s">
        <v>16</v>
      </c>
      <c r="B17" s="6">
        <v>156</v>
      </c>
      <c r="C17" s="4">
        <v>0</v>
      </c>
      <c r="D17" s="5">
        <f t="shared" si="3"/>
        <v>156</v>
      </c>
      <c r="E17" s="6">
        <v>107</v>
      </c>
      <c r="F17" s="4">
        <v>20</v>
      </c>
      <c r="G17" s="5">
        <f t="shared" si="4"/>
        <v>127</v>
      </c>
      <c r="H17" s="7">
        <f t="shared" si="5"/>
        <v>283</v>
      </c>
    </row>
    <row r="18" spans="1:8" ht="15" customHeight="1" x14ac:dyDescent="0.25">
      <c r="A18" s="11" t="s">
        <v>160</v>
      </c>
      <c r="B18" s="6">
        <v>4</v>
      </c>
      <c r="C18" s="4">
        <v>0</v>
      </c>
      <c r="D18" s="5">
        <f t="shared" si="3"/>
        <v>4</v>
      </c>
      <c r="E18" s="6">
        <v>0</v>
      </c>
      <c r="F18" s="4">
        <v>1</v>
      </c>
      <c r="G18" s="5">
        <f t="shared" si="4"/>
        <v>1</v>
      </c>
      <c r="H18" s="7">
        <f t="shared" si="5"/>
        <v>5</v>
      </c>
    </row>
    <row r="19" spans="1:8" ht="15" customHeight="1" x14ac:dyDescent="0.25">
      <c r="A19" s="11" t="s">
        <v>17</v>
      </c>
      <c r="B19" s="6">
        <v>91</v>
      </c>
      <c r="C19" s="4">
        <v>1</v>
      </c>
      <c r="D19" s="5">
        <f t="shared" si="3"/>
        <v>92</v>
      </c>
      <c r="E19" s="6">
        <v>221</v>
      </c>
      <c r="F19" s="4">
        <v>39</v>
      </c>
      <c r="G19" s="5">
        <f t="shared" si="4"/>
        <v>260</v>
      </c>
      <c r="H19" s="7">
        <f t="shared" si="5"/>
        <v>352</v>
      </c>
    </row>
    <row r="20" spans="1:8" ht="15" customHeight="1" x14ac:dyDescent="0.25">
      <c r="A20" s="11" t="s">
        <v>34</v>
      </c>
      <c r="B20" s="6">
        <v>4</v>
      </c>
      <c r="C20" s="4">
        <v>0</v>
      </c>
      <c r="D20" s="5">
        <f t="shared" si="3"/>
        <v>4</v>
      </c>
      <c r="E20" s="6">
        <v>13</v>
      </c>
      <c r="F20" s="4">
        <v>1</v>
      </c>
      <c r="G20" s="5">
        <f t="shared" si="4"/>
        <v>14</v>
      </c>
      <c r="H20" s="7">
        <f t="shared" si="5"/>
        <v>18</v>
      </c>
    </row>
    <row r="21" spans="1:8" ht="15" customHeight="1" x14ac:dyDescent="0.25">
      <c r="A21" s="11" t="s">
        <v>18</v>
      </c>
      <c r="B21" s="6">
        <v>119</v>
      </c>
      <c r="C21" s="4">
        <v>0</v>
      </c>
      <c r="D21" s="5">
        <f t="shared" si="3"/>
        <v>119</v>
      </c>
      <c r="E21" s="6">
        <v>101</v>
      </c>
      <c r="F21" s="4">
        <v>21</v>
      </c>
      <c r="G21" s="5">
        <f t="shared" si="4"/>
        <v>122</v>
      </c>
      <c r="H21" s="7">
        <f t="shared" si="5"/>
        <v>241</v>
      </c>
    </row>
    <row r="22" spans="1:8" ht="15" customHeight="1" x14ac:dyDescent="0.25">
      <c r="A22" s="11" t="s">
        <v>36</v>
      </c>
      <c r="B22" s="6">
        <v>2</v>
      </c>
      <c r="C22" s="4">
        <v>0</v>
      </c>
      <c r="D22" s="5">
        <f t="shared" si="3"/>
        <v>2</v>
      </c>
      <c r="E22" s="6">
        <v>0</v>
      </c>
      <c r="F22" s="4">
        <v>0</v>
      </c>
      <c r="G22" s="5">
        <f t="shared" si="4"/>
        <v>0</v>
      </c>
      <c r="H22" s="7">
        <f t="shared" si="5"/>
        <v>2</v>
      </c>
    </row>
    <row r="23" spans="1:8" ht="15" customHeight="1" x14ac:dyDescent="0.25">
      <c r="A23" s="11" t="s">
        <v>149</v>
      </c>
      <c r="B23" s="6">
        <v>3</v>
      </c>
      <c r="C23" s="4">
        <v>0</v>
      </c>
      <c r="D23" s="5">
        <f t="shared" si="3"/>
        <v>3</v>
      </c>
      <c r="E23" s="6">
        <v>3</v>
      </c>
      <c r="F23" s="4">
        <v>0</v>
      </c>
      <c r="G23" s="5">
        <f t="shared" si="4"/>
        <v>3</v>
      </c>
      <c r="H23" s="7">
        <f t="shared" si="5"/>
        <v>6</v>
      </c>
    </row>
    <row r="24" spans="1:8" ht="15" customHeight="1" x14ac:dyDescent="0.25">
      <c r="A24" s="11" t="s">
        <v>19</v>
      </c>
      <c r="B24" s="6">
        <v>7</v>
      </c>
      <c r="C24" s="4">
        <v>0</v>
      </c>
      <c r="D24" s="5">
        <f t="shared" si="3"/>
        <v>7</v>
      </c>
      <c r="E24" s="6">
        <v>4</v>
      </c>
      <c r="F24" s="4">
        <v>0</v>
      </c>
      <c r="G24" s="5">
        <f t="shared" si="4"/>
        <v>4</v>
      </c>
      <c r="H24" s="7">
        <f t="shared" si="5"/>
        <v>11</v>
      </c>
    </row>
    <row r="25" spans="1:8" ht="15" customHeight="1" x14ac:dyDescent="0.25">
      <c r="A25" s="11" t="s">
        <v>38</v>
      </c>
      <c r="B25" s="6">
        <v>2</v>
      </c>
      <c r="C25" s="4">
        <v>0</v>
      </c>
      <c r="D25" s="5">
        <f t="shared" si="3"/>
        <v>2</v>
      </c>
      <c r="E25" s="6">
        <v>11</v>
      </c>
      <c r="F25" s="4">
        <v>2</v>
      </c>
      <c r="G25" s="5">
        <f t="shared" si="4"/>
        <v>13</v>
      </c>
      <c r="H25" s="7">
        <f t="shared" si="5"/>
        <v>15</v>
      </c>
    </row>
    <row r="26" spans="1:8" ht="15" customHeight="1" x14ac:dyDescent="0.25">
      <c r="A26" s="11" t="s">
        <v>20</v>
      </c>
      <c r="B26" s="6">
        <v>16</v>
      </c>
      <c r="C26" s="4">
        <v>0</v>
      </c>
      <c r="D26" s="5">
        <f t="shared" si="3"/>
        <v>16</v>
      </c>
      <c r="E26" s="6">
        <v>23</v>
      </c>
      <c r="F26" s="4">
        <v>5</v>
      </c>
      <c r="G26" s="5">
        <f t="shared" si="4"/>
        <v>28</v>
      </c>
      <c r="H26" s="7">
        <f t="shared" si="5"/>
        <v>44</v>
      </c>
    </row>
    <row r="27" spans="1:8" ht="15" customHeight="1" x14ac:dyDescent="0.25">
      <c r="A27" s="11" t="s">
        <v>40</v>
      </c>
      <c r="B27" s="6">
        <v>52</v>
      </c>
      <c r="C27" s="4">
        <v>0</v>
      </c>
      <c r="D27" s="5">
        <f t="shared" si="3"/>
        <v>52</v>
      </c>
      <c r="E27" s="6">
        <v>11</v>
      </c>
      <c r="F27" s="4">
        <v>4</v>
      </c>
      <c r="G27" s="5">
        <f t="shared" si="4"/>
        <v>15</v>
      </c>
      <c r="H27" s="7">
        <f t="shared" si="5"/>
        <v>67</v>
      </c>
    </row>
    <row r="28" spans="1:8" ht="15" customHeight="1" x14ac:dyDescent="0.25">
      <c r="A28" s="11" t="s">
        <v>21</v>
      </c>
      <c r="B28" s="6">
        <v>21</v>
      </c>
      <c r="C28" s="4">
        <v>0</v>
      </c>
      <c r="D28" s="5">
        <f t="shared" si="3"/>
        <v>21</v>
      </c>
      <c r="E28" s="6">
        <v>44</v>
      </c>
      <c r="F28" s="4">
        <v>6</v>
      </c>
      <c r="G28" s="5">
        <f t="shared" si="4"/>
        <v>50</v>
      </c>
      <c r="H28" s="7">
        <f t="shared" si="5"/>
        <v>71</v>
      </c>
    </row>
    <row r="29" spans="1:8" ht="15" customHeight="1" x14ac:dyDescent="0.25">
      <c r="A29" s="11" t="s">
        <v>43</v>
      </c>
      <c r="B29" s="6">
        <v>3</v>
      </c>
      <c r="C29" s="4">
        <v>0</v>
      </c>
      <c r="D29" s="5">
        <f t="shared" si="3"/>
        <v>3</v>
      </c>
      <c r="E29" s="6">
        <v>5</v>
      </c>
      <c r="F29" s="4">
        <v>1</v>
      </c>
      <c r="G29" s="5">
        <f t="shared" si="4"/>
        <v>6</v>
      </c>
      <c r="H29" s="7">
        <f t="shared" si="5"/>
        <v>9</v>
      </c>
    </row>
    <row r="30" spans="1:8" ht="15" customHeight="1" x14ac:dyDescent="0.25">
      <c r="A30" s="11" t="s">
        <v>44</v>
      </c>
      <c r="B30" s="6">
        <v>2</v>
      </c>
      <c r="C30" s="4">
        <v>0</v>
      </c>
      <c r="D30" s="5">
        <f t="shared" si="3"/>
        <v>2</v>
      </c>
      <c r="E30" s="6">
        <v>3</v>
      </c>
      <c r="F30" s="4">
        <v>1</v>
      </c>
      <c r="G30" s="5">
        <f t="shared" si="4"/>
        <v>4</v>
      </c>
      <c r="H30" s="7">
        <f t="shared" si="5"/>
        <v>6</v>
      </c>
    </row>
    <row r="31" spans="1:8" ht="15" customHeight="1" x14ac:dyDescent="0.25">
      <c r="A31" s="11" t="s">
        <v>22</v>
      </c>
      <c r="B31" s="6">
        <v>68</v>
      </c>
      <c r="C31" s="4">
        <v>0</v>
      </c>
      <c r="D31" s="5">
        <f t="shared" si="3"/>
        <v>68</v>
      </c>
      <c r="E31" s="6">
        <v>45</v>
      </c>
      <c r="F31" s="4">
        <v>10</v>
      </c>
      <c r="G31" s="5">
        <f t="shared" si="4"/>
        <v>55</v>
      </c>
      <c r="H31" s="7">
        <f t="shared" si="5"/>
        <v>123</v>
      </c>
    </row>
    <row r="32" spans="1:8" ht="15" customHeight="1" thickBot="1" x14ac:dyDescent="0.3">
      <c r="A32" s="11" t="s">
        <v>23</v>
      </c>
      <c r="B32" s="8">
        <v>54</v>
      </c>
      <c r="C32" s="9">
        <v>0</v>
      </c>
      <c r="D32" s="5">
        <f t="shared" si="3"/>
        <v>54</v>
      </c>
      <c r="E32" s="6">
        <v>18</v>
      </c>
      <c r="F32" s="4">
        <v>2</v>
      </c>
      <c r="G32" s="5">
        <f t="shared" si="4"/>
        <v>20</v>
      </c>
      <c r="H32" s="7">
        <f t="shared" si="5"/>
        <v>74</v>
      </c>
    </row>
    <row r="33" spans="1:8" ht="15" customHeight="1" thickTop="1" thickBot="1" x14ac:dyDescent="0.3">
      <c r="A33" s="12" t="s">
        <v>6</v>
      </c>
      <c r="B33" s="13">
        <f t="shared" ref="B33:H33" si="6">SUM(B8:B32)</f>
        <v>910</v>
      </c>
      <c r="C33" s="13">
        <f t="shared" si="6"/>
        <v>4</v>
      </c>
      <c r="D33" s="13">
        <f t="shared" si="6"/>
        <v>914</v>
      </c>
      <c r="E33" s="13">
        <f t="shared" si="6"/>
        <v>853</v>
      </c>
      <c r="F33" s="13">
        <f t="shared" si="6"/>
        <v>152</v>
      </c>
      <c r="G33" s="13">
        <f t="shared" si="6"/>
        <v>1005</v>
      </c>
      <c r="H33" s="15">
        <f t="shared" si="6"/>
        <v>1919</v>
      </c>
    </row>
    <row r="34" spans="1:8" ht="15" customHeight="1" thickTop="1" thickBot="1" x14ac:dyDescent="0.3">
      <c r="A34" s="23" t="s">
        <v>24</v>
      </c>
      <c r="B34" s="24"/>
      <c r="C34" s="24"/>
      <c r="D34" s="24"/>
      <c r="E34" s="24"/>
      <c r="F34" s="24"/>
      <c r="G34" s="24"/>
      <c r="H34" s="25"/>
    </row>
    <row r="35" spans="1:8" ht="15" customHeight="1" thickTop="1" x14ac:dyDescent="0.25">
      <c r="A35" s="11" t="s">
        <v>25</v>
      </c>
      <c r="B35" s="6">
        <v>2</v>
      </c>
      <c r="C35" s="16">
        <v>0</v>
      </c>
      <c r="D35" s="5">
        <f t="shared" ref="D35:D50" si="7">B35+C35</f>
        <v>2</v>
      </c>
      <c r="E35" s="6">
        <v>1</v>
      </c>
      <c r="F35" s="16">
        <v>0</v>
      </c>
      <c r="G35" s="5">
        <f t="shared" ref="G35:G51" si="8">E35+F35</f>
        <v>1</v>
      </c>
      <c r="H35" s="7">
        <f t="shared" ref="H35:H51" si="9">G35+D35</f>
        <v>3</v>
      </c>
    </row>
    <row r="36" spans="1:8" ht="15" customHeight="1" x14ac:dyDescent="0.25">
      <c r="A36" s="11" t="s">
        <v>26</v>
      </c>
      <c r="B36" s="6">
        <v>0</v>
      </c>
      <c r="C36" s="16">
        <v>0</v>
      </c>
      <c r="D36" s="5">
        <f t="shared" si="7"/>
        <v>0</v>
      </c>
      <c r="E36" s="6">
        <v>1</v>
      </c>
      <c r="F36" s="16">
        <v>0</v>
      </c>
      <c r="G36" s="5">
        <f t="shared" ref="G36:G50" si="10">E36+F36</f>
        <v>1</v>
      </c>
      <c r="H36" s="7">
        <f t="shared" ref="H36:H50" si="11">G36+D36</f>
        <v>1</v>
      </c>
    </row>
    <row r="37" spans="1:8" ht="15" customHeight="1" x14ac:dyDescent="0.25">
      <c r="A37" s="11" t="s">
        <v>148</v>
      </c>
      <c r="B37" s="6">
        <v>3</v>
      </c>
      <c r="C37" s="16">
        <v>0</v>
      </c>
      <c r="D37" s="5">
        <f t="shared" si="7"/>
        <v>3</v>
      </c>
      <c r="E37" s="6">
        <v>2</v>
      </c>
      <c r="F37" s="16">
        <v>1</v>
      </c>
      <c r="G37" s="5">
        <f t="shared" si="10"/>
        <v>3</v>
      </c>
      <c r="H37" s="7">
        <f t="shared" si="11"/>
        <v>6</v>
      </c>
    </row>
    <row r="38" spans="1:8" ht="15" customHeight="1" x14ac:dyDescent="0.25">
      <c r="A38" s="11" t="s">
        <v>28</v>
      </c>
      <c r="B38" s="6">
        <v>11</v>
      </c>
      <c r="C38" s="16">
        <v>1</v>
      </c>
      <c r="D38" s="5">
        <f t="shared" si="7"/>
        <v>12</v>
      </c>
      <c r="E38" s="6">
        <v>7</v>
      </c>
      <c r="F38" s="16">
        <v>0</v>
      </c>
      <c r="G38" s="5">
        <f t="shared" si="10"/>
        <v>7</v>
      </c>
      <c r="H38" s="7">
        <f t="shared" si="11"/>
        <v>19</v>
      </c>
    </row>
    <row r="39" spans="1:8" ht="15" customHeight="1" x14ac:dyDescent="0.25">
      <c r="A39" s="11" t="s">
        <v>29</v>
      </c>
      <c r="B39" s="6">
        <v>1</v>
      </c>
      <c r="C39" s="16">
        <v>0</v>
      </c>
      <c r="D39" s="5">
        <f t="shared" si="7"/>
        <v>1</v>
      </c>
      <c r="E39" s="6">
        <v>2</v>
      </c>
      <c r="F39" s="16">
        <v>0</v>
      </c>
      <c r="G39" s="5">
        <f t="shared" si="10"/>
        <v>2</v>
      </c>
      <c r="H39" s="7">
        <f t="shared" si="11"/>
        <v>3</v>
      </c>
    </row>
    <row r="40" spans="1:8" ht="15" customHeight="1" x14ac:dyDescent="0.25">
      <c r="A40" s="11" t="s">
        <v>35</v>
      </c>
      <c r="B40" s="6">
        <v>2</v>
      </c>
      <c r="C40" s="16">
        <v>0</v>
      </c>
      <c r="D40" s="5">
        <f t="shared" si="7"/>
        <v>2</v>
      </c>
      <c r="E40" s="6">
        <v>4</v>
      </c>
      <c r="F40" s="16">
        <v>0</v>
      </c>
      <c r="G40" s="5">
        <f t="shared" si="10"/>
        <v>4</v>
      </c>
      <c r="H40" s="7">
        <f t="shared" si="11"/>
        <v>6</v>
      </c>
    </row>
    <row r="41" spans="1:8" ht="15" customHeight="1" x14ac:dyDescent="0.25">
      <c r="A41" s="11" t="s">
        <v>165</v>
      </c>
      <c r="B41" s="6">
        <v>0</v>
      </c>
      <c r="C41" s="16">
        <v>0</v>
      </c>
      <c r="D41" s="5">
        <f t="shared" si="7"/>
        <v>0</v>
      </c>
      <c r="E41" s="6">
        <v>1</v>
      </c>
      <c r="F41" s="16">
        <v>0</v>
      </c>
      <c r="G41" s="5">
        <f t="shared" si="10"/>
        <v>1</v>
      </c>
      <c r="H41" s="7">
        <f t="shared" si="11"/>
        <v>1</v>
      </c>
    </row>
    <row r="42" spans="1:8" ht="15" customHeight="1" x14ac:dyDescent="0.25">
      <c r="A42" s="11" t="s">
        <v>166</v>
      </c>
      <c r="B42" s="6">
        <v>1</v>
      </c>
      <c r="C42" s="16">
        <v>0</v>
      </c>
      <c r="D42" s="5">
        <f t="shared" si="7"/>
        <v>1</v>
      </c>
      <c r="E42" s="6">
        <v>0</v>
      </c>
      <c r="F42" s="16">
        <v>0</v>
      </c>
      <c r="G42" s="5">
        <f t="shared" si="10"/>
        <v>0</v>
      </c>
      <c r="H42" s="7">
        <f t="shared" si="11"/>
        <v>1</v>
      </c>
    </row>
    <row r="43" spans="1:8" ht="15" customHeight="1" x14ac:dyDescent="0.25">
      <c r="A43" s="11" t="s">
        <v>167</v>
      </c>
      <c r="B43" s="6">
        <v>0</v>
      </c>
      <c r="C43" s="16">
        <v>0</v>
      </c>
      <c r="D43" s="5">
        <f t="shared" si="7"/>
        <v>0</v>
      </c>
      <c r="E43" s="6">
        <v>3</v>
      </c>
      <c r="F43" s="16">
        <v>0</v>
      </c>
      <c r="G43" s="5">
        <f t="shared" si="10"/>
        <v>3</v>
      </c>
      <c r="H43" s="7">
        <f t="shared" si="11"/>
        <v>3</v>
      </c>
    </row>
    <row r="44" spans="1:8" ht="15" customHeight="1" x14ac:dyDescent="0.25">
      <c r="A44" s="11" t="s">
        <v>39</v>
      </c>
      <c r="B44" s="6">
        <v>9</v>
      </c>
      <c r="C44" s="16">
        <v>0</v>
      </c>
      <c r="D44" s="5">
        <f t="shared" si="7"/>
        <v>9</v>
      </c>
      <c r="E44" s="6">
        <v>7</v>
      </c>
      <c r="F44" s="16">
        <v>1</v>
      </c>
      <c r="G44" s="5">
        <f t="shared" si="10"/>
        <v>8</v>
      </c>
      <c r="H44" s="7">
        <f t="shared" si="11"/>
        <v>17</v>
      </c>
    </row>
    <row r="45" spans="1:8" ht="15" customHeight="1" x14ac:dyDescent="0.25">
      <c r="A45" s="11" t="s">
        <v>41</v>
      </c>
      <c r="B45" s="6">
        <v>6</v>
      </c>
      <c r="C45" s="16">
        <v>0</v>
      </c>
      <c r="D45" s="5">
        <f t="shared" si="7"/>
        <v>6</v>
      </c>
      <c r="E45" s="6">
        <v>11</v>
      </c>
      <c r="F45" s="16">
        <v>0</v>
      </c>
      <c r="G45" s="5">
        <f t="shared" si="10"/>
        <v>11</v>
      </c>
      <c r="H45" s="7">
        <f t="shared" si="11"/>
        <v>17</v>
      </c>
    </row>
    <row r="46" spans="1:8" ht="15" customHeight="1" x14ac:dyDescent="0.25">
      <c r="A46" s="11" t="s">
        <v>42</v>
      </c>
      <c r="B46" s="6">
        <v>51</v>
      </c>
      <c r="C46" s="16">
        <v>0</v>
      </c>
      <c r="D46" s="5">
        <f t="shared" si="7"/>
        <v>51</v>
      </c>
      <c r="E46" s="6">
        <v>11</v>
      </c>
      <c r="F46" s="16">
        <v>2</v>
      </c>
      <c r="G46" s="5">
        <f t="shared" si="10"/>
        <v>13</v>
      </c>
      <c r="H46" s="7">
        <f t="shared" si="11"/>
        <v>64</v>
      </c>
    </row>
    <row r="47" spans="1:8" ht="15" customHeight="1" x14ac:dyDescent="0.25">
      <c r="A47" s="11" t="s">
        <v>170</v>
      </c>
      <c r="B47" s="6">
        <v>4</v>
      </c>
      <c r="C47" s="16">
        <v>0</v>
      </c>
      <c r="D47" s="5">
        <f t="shared" si="7"/>
        <v>4</v>
      </c>
      <c r="E47" s="6">
        <v>6</v>
      </c>
      <c r="F47" s="16">
        <v>1</v>
      </c>
      <c r="G47" s="5">
        <f t="shared" si="10"/>
        <v>7</v>
      </c>
      <c r="H47" s="7">
        <f t="shared" si="11"/>
        <v>11</v>
      </c>
    </row>
    <row r="48" spans="1:8" ht="15" customHeight="1" x14ac:dyDescent="0.25">
      <c r="A48" s="11" t="s">
        <v>45</v>
      </c>
      <c r="B48" s="6">
        <v>21</v>
      </c>
      <c r="C48" s="16">
        <v>1</v>
      </c>
      <c r="D48" s="5">
        <f t="shared" si="7"/>
        <v>22</v>
      </c>
      <c r="E48" s="6">
        <v>10</v>
      </c>
      <c r="F48" s="16">
        <v>4</v>
      </c>
      <c r="G48" s="5">
        <f t="shared" si="10"/>
        <v>14</v>
      </c>
      <c r="H48" s="7">
        <f t="shared" si="11"/>
        <v>36</v>
      </c>
    </row>
    <row r="49" spans="1:8" ht="15" customHeight="1" x14ac:dyDescent="0.25">
      <c r="A49" s="11" t="s">
        <v>46</v>
      </c>
      <c r="B49" s="6">
        <v>3</v>
      </c>
      <c r="C49" s="16">
        <v>1</v>
      </c>
      <c r="D49" s="5">
        <f t="shared" si="7"/>
        <v>4</v>
      </c>
      <c r="E49" s="6">
        <v>9</v>
      </c>
      <c r="F49" s="16">
        <v>2</v>
      </c>
      <c r="G49" s="5">
        <f t="shared" si="10"/>
        <v>11</v>
      </c>
      <c r="H49" s="7">
        <f t="shared" si="11"/>
        <v>15</v>
      </c>
    </row>
    <row r="50" spans="1:8" ht="15" customHeight="1" thickBot="1" x14ac:dyDescent="0.3">
      <c r="A50" s="11" t="s">
        <v>48</v>
      </c>
      <c r="B50" s="6">
        <v>7</v>
      </c>
      <c r="C50" s="16">
        <v>0</v>
      </c>
      <c r="D50" s="5">
        <f t="shared" si="7"/>
        <v>7</v>
      </c>
      <c r="E50" s="6">
        <v>4</v>
      </c>
      <c r="F50" s="16">
        <v>0</v>
      </c>
      <c r="G50" s="5">
        <f t="shared" si="10"/>
        <v>4</v>
      </c>
      <c r="H50" s="7">
        <f t="shared" si="11"/>
        <v>11</v>
      </c>
    </row>
    <row r="51" spans="1:8" ht="15" customHeight="1" thickTop="1" thickBot="1" x14ac:dyDescent="0.3">
      <c r="A51" s="12" t="s">
        <v>6</v>
      </c>
      <c r="B51" s="13">
        <f>SUM(B35:B50)</f>
        <v>121</v>
      </c>
      <c r="C51" s="13">
        <f>SUM(C35:C50)</f>
        <v>3</v>
      </c>
      <c r="D51" s="13">
        <f>SUM(D35:D50)</f>
        <v>124</v>
      </c>
      <c r="E51" s="13">
        <f>SUM(E35:E50)</f>
        <v>79</v>
      </c>
      <c r="F51" s="13">
        <f>SUM(F35:F50)</f>
        <v>11</v>
      </c>
      <c r="G51" s="14">
        <f t="shared" si="8"/>
        <v>90</v>
      </c>
      <c r="H51" s="15">
        <f t="shared" si="9"/>
        <v>214</v>
      </c>
    </row>
    <row r="52" spans="1:8" ht="15" customHeight="1" thickTop="1" thickBot="1" x14ac:dyDescent="0.3">
      <c r="A52" s="23" t="s">
        <v>49</v>
      </c>
      <c r="B52" s="24"/>
      <c r="C52" s="24"/>
      <c r="D52" s="24"/>
      <c r="E52" s="24"/>
      <c r="F52" s="24"/>
      <c r="G52" s="24"/>
      <c r="H52" s="25"/>
    </row>
    <row r="53" spans="1:8" ht="15" customHeight="1" thickTop="1" x14ac:dyDescent="0.25">
      <c r="A53" s="11" t="s">
        <v>50</v>
      </c>
      <c r="B53" s="6">
        <v>8</v>
      </c>
      <c r="C53" s="16">
        <v>0</v>
      </c>
      <c r="D53" s="5">
        <f t="shared" ref="D53:D65" si="12">B53+C53</f>
        <v>8</v>
      </c>
      <c r="E53" s="6">
        <v>4</v>
      </c>
      <c r="F53" s="16">
        <v>0</v>
      </c>
      <c r="G53" s="5">
        <f t="shared" ref="G53:G65" si="13">E53+F53</f>
        <v>4</v>
      </c>
      <c r="H53" s="7">
        <f t="shared" ref="H53:H65" si="14">G53+D53</f>
        <v>12</v>
      </c>
    </row>
    <row r="54" spans="1:8" ht="15" customHeight="1" x14ac:dyDescent="0.25">
      <c r="A54" s="11" t="s">
        <v>51</v>
      </c>
      <c r="B54" s="6">
        <v>15</v>
      </c>
      <c r="C54" s="16">
        <v>0</v>
      </c>
      <c r="D54" s="5">
        <f t="shared" si="12"/>
        <v>15</v>
      </c>
      <c r="E54" s="6">
        <v>20</v>
      </c>
      <c r="F54" s="16">
        <v>0</v>
      </c>
      <c r="G54" s="5">
        <f t="shared" si="13"/>
        <v>20</v>
      </c>
      <c r="H54" s="7">
        <f t="shared" si="14"/>
        <v>35</v>
      </c>
    </row>
    <row r="55" spans="1:8" ht="15" customHeight="1" x14ac:dyDescent="0.25">
      <c r="A55" s="11" t="s">
        <v>52</v>
      </c>
      <c r="B55" s="6">
        <v>2</v>
      </c>
      <c r="C55" s="16">
        <v>0</v>
      </c>
      <c r="D55" s="5">
        <f t="shared" si="12"/>
        <v>2</v>
      </c>
      <c r="E55" s="6">
        <v>2</v>
      </c>
      <c r="F55" s="16">
        <v>0</v>
      </c>
      <c r="G55" s="5">
        <f t="shared" si="13"/>
        <v>2</v>
      </c>
      <c r="H55" s="7">
        <f t="shared" si="14"/>
        <v>4</v>
      </c>
    </row>
    <row r="56" spans="1:8" ht="15" customHeight="1" x14ac:dyDescent="0.25">
      <c r="A56" s="11" t="s">
        <v>53</v>
      </c>
      <c r="B56" s="6">
        <v>10</v>
      </c>
      <c r="C56" s="16">
        <v>0</v>
      </c>
      <c r="D56" s="5">
        <f t="shared" si="12"/>
        <v>10</v>
      </c>
      <c r="E56" s="6">
        <v>25</v>
      </c>
      <c r="F56" s="16">
        <v>3</v>
      </c>
      <c r="G56" s="5">
        <f t="shared" si="13"/>
        <v>28</v>
      </c>
      <c r="H56" s="7">
        <f t="shared" si="14"/>
        <v>38</v>
      </c>
    </row>
    <row r="57" spans="1:8" ht="15" customHeight="1" x14ac:dyDescent="0.25">
      <c r="A57" s="11" t="s">
        <v>54</v>
      </c>
      <c r="B57" s="6">
        <v>6</v>
      </c>
      <c r="C57" s="16">
        <v>0</v>
      </c>
      <c r="D57" s="5">
        <f t="shared" si="12"/>
        <v>6</v>
      </c>
      <c r="E57" s="6">
        <v>7</v>
      </c>
      <c r="F57" s="16">
        <v>1</v>
      </c>
      <c r="G57" s="5">
        <f t="shared" si="13"/>
        <v>8</v>
      </c>
      <c r="H57" s="7">
        <f t="shared" si="14"/>
        <v>14</v>
      </c>
    </row>
    <row r="58" spans="1:8" ht="15" customHeight="1" x14ac:dyDescent="0.25">
      <c r="A58" s="11" t="s">
        <v>55</v>
      </c>
      <c r="B58" s="6">
        <v>1</v>
      </c>
      <c r="C58" s="16">
        <v>1</v>
      </c>
      <c r="D58" s="5">
        <f t="shared" si="12"/>
        <v>2</v>
      </c>
      <c r="E58" s="6">
        <v>9</v>
      </c>
      <c r="F58" s="16">
        <v>1</v>
      </c>
      <c r="G58" s="5">
        <f t="shared" si="13"/>
        <v>10</v>
      </c>
      <c r="H58" s="7">
        <f t="shared" si="14"/>
        <v>12</v>
      </c>
    </row>
    <row r="59" spans="1:8" ht="15" customHeight="1" x14ac:dyDescent="0.25">
      <c r="A59" s="11" t="s">
        <v>56</v>
      </c>
      <c r="B59" s="6">
        <v>6</v>
      </c>
      <c r="C59" s="16">
        <v>0</v>
      </c>
      <c r="D59" s="5">
        <f t="shared" si="12"/>
        <v>6</v>
      </c>
      <c r="E59" s="6">
        <v>3</v>
      </c>
      <c r="F59" s="16">
        <v>1</v>
      </c>
      <c r="G59" s="5">
        <f t="shared" si="13"/>
        <v>4</v>
      </c>
      <c r="H59" s="7">
        <f t="shared" si="14"/>
        <v>10</v>
      </c>
    </row>
    <row r="60" spans="1:8" ht="15" customHeight="1" x14ac:dyDescent="0.25">
      <c r="A60" s="11" t="s">
        <v>57</v>
      </c>
      <c r="B60" s="6">
        <v>2</v>
      </c>
      <c r="C60" s="16">
        <v>0</v>
      </c>
      <c r="D60" s="5">
        <f t="shared" si="12"/>
        <v>2</v>
      </c>
      <c r="E60" s="6">
        <v>4</v>
      </c>
      <c r="F60" s="16">
        <v>0</v>
      </c>
      <c r="G60" s="5">
        <f t="shared" si="13"/>
        <v>4</v>
      </c>
      <c r="H60" s="7">
        <f t="shared" si="14"/>
        <v>6</v>
      </c>
    </row>
    <row r="61" spans="1:8" ht="15" customHeight="1" x14ac:dyDescent="0.25">
      <c r="A61" s="11" t="s">
        <v>171</v>
      </c>
      <c r="B61" s="6">
        <v>2</v>
      </c>
      <c r="C61" s="16">
        <v>0</v>
      </c>
      <c r="D61" s="5">
        <f t="shared" si="12"/>
        <v>2</v>
      </c>
      <c r="E61" s="6">
        <v>2</v>
      </c>
      <c r="F61" s="16">
        <v>0</v>
      </c>
      <c r="G61" s="5">
        <f t="shared" si="13"/>
        <v>2</v>
      </c>
      <c r="H61" s="7">
        <f t="shared" si="14"/>
        <v>4</v>
      </c>
    </row>
    <row r="62" spans="1:8" ht="15" customHeight="1" x14ac:dyDescent="0.25">
      <c r="A62" s="11" t="s">
        <v>58</v>
      </c>
      <c r="B62" s="6">
        <v>12</v>
      </c>
      <c r="C62" s="16">
        <v>1</v>
      </c>
      <c r="D62" s="5">
        <f t="shared" si="12"/>
        <v>13</v>
      </c>
      <c r="E62" s="6">
        <v>26</v>
      </c>
      <c r="F62" s="16">
        <v>5</v>
      </c>
      <c r="G62" s="5">
        <f t="shared" si="13"/>
        <v>31</v>
      </c>
      <c r="H62" s="7">
        <f t="shared" si="14"/>
        <v>44</v>
      </c>
    </row>
    <row r="63" spans="1:8" ht="15" customHeight="1" x14ac:dyDescent="0.25">
      <c r="A63" s="11" t="s">
        <v>60</v>
      </c>
      <c r="B63" s="6">
        <v>1</v>
      </c>
      <c r="C63" s="16">
        <v>0</v>
      </c>
      <c r="D63" s="5">
        <f t="shared" si="12"/>
        <v>1</v>
      </c>
      <c r="E63" s="6">
        <v>3</v>
      </c>
      <c r="F63" s="16">
        <v>1</v>
      </c>
      <c r="G63" s="5">
        <f t="shared" si="13"/>
        <v>4</v>
      </c>
      <c r="H63" s="7">
        <f t="shared" si="14"/>
        <v>5</v>
      </c>
    </row>
    <row r="64" spans="1:8" ht="15" customHeight="1" x14ac:dyDescent="0.25">
      <c r="A64" s="11" t="s">
        <v>61</v>
      </c>
      <c r="B64" s="6">
        <v>18</v>
      </c>
      <c r="C64" s="16">
        <v>0</v>
      </c>
      <c r="D64" s="5">
        <f t="shared" si="12"/>
        <v>18</v>
      </c>
      <c r="E64" s="6">
        <v>6</v>
      </c>
      <c r="F64" s="16">
        <v>1</v>
      </c>
      <c r="G64" s="5">
        <f t="shared" si="13"/>
        <v>7</v>
      </c>
      <c r="H64" s="7">
        <f t="shared" si="14"/>
        <v>25</v>
      </c>
    </row>
    <row r="65" spans="1:8" ht="15" customHeight="1" thickBot="1" x14ac:dyDescent="0.3">
      <c r="A65" s="11" t="s">
        <v>172</v>
      </c>
      <c r="B65" s="6">
        <v>2</v>
      </c>
      <c r="C65" s="16">
        <v>0</v>
      </c>
      <c r="D65" s="5">
        <f t="shared" si="12"/>
        <v>2</v>
      </c>
      <c r="E65" s="6">
        <v>0</v>
      </c>
      <c r="F65" s="16">
        <v>0</v>
      </c>
      <c r="G65" s="5">
        <f t="shared" si="13"/>
        <v>0</v>
      </c>
      <c r="H65" s="7">
        <f t="shared" si="14"/>
        <v>2</v>
      </c>
    </row>
    <row r="66" spans="1:8" ht="15" customHeight="1" thickTop="1" thickBot="1" x14ac:dyDescent="0.3">
      <c r="A66" s="12" t="s">
        <v>6</v>
      </c>
      <c r="B66" s="13">
        <f t="shared" ref="B66:H66" si="15">SUM(B53:B65)</f>
        <v>85</v>
      </c>
      <c r="C66" s="13">
        <f t="shared" si="15"/>
        <v>2</v>
      </c>
      <c r="D66" s="13">
        <f t="shared" si="15"/>
        <v>87</v>
      </c>
      <c r="E66" s="13">
        <f t="shared" si="15"/>
        <v>111</v>
      </c>
      <c r="F66" s="13">
        <f t="shared" si="15"/>
        <v>13</v>
      </c>
      <c r="G66" s="13">
        <f t="shared" si="15"/>
        <v>124</v>
      </c>
      <c r="H66" s="15">
        <f t="shared" si="15"/>
        <v>211</v>
      </c>
    </row>
    <row r="67" spans="1:8" ht="15" customHeight="1" thickTop="1" thickBot="1" x14ac:dyDescent="0.3">
      <c r="A67" s="23" t="s">
        <v>62</v>
      </c>
      <c r="B67" s="24"/>
      <c r="C67" s="24"/>
      <c r="D67" s="24"/>
      <c r="E67" s="24"/>
      <c r="F67" s="24"/>
      <c r="G67" s="24"/>
      <c r="H67" s="25"/>
    </row>
    <row r="68" spans="1:8" ht="15" customHeight="1" thickTop="1" x14ac:dyDescent="0.25">
      <c r="A68" s="11" t="s">
        <v>161</v>
      </c>
      <c r="B68" s="6">
        <v>1</v>
      </c>
      <c r="C68" s="16">
        <v>0</v>
      </c>
      <c r="D68" s="5">
        <f t="shared" ref="D68:D94" si="16">B68+C68</f>
        <v>1</v>
      </c>
      <c r="E68" s="6">
        <v>2</v>
      </c>
      <c r="F68" s="16">
        <v>0</v>
      </c>
      <c r="G68" s="5">
        <f t="shared" ref="G68:G94" si="17">E68+F68</f>
        <v>2</v>
      </c>
      <c r="H68" s="7">
        <f t="shared" ref="H68:H95" si="18">G68+D68</f>
        <v>3</v>
      </c>
    </row>
    <row r="69" spans="1:8" ht="15" customHeight="1" x14ac:dyDescent="0.25">
      <c r="A69" s="11" t="s">
        <v>64</v>
      </c>
      <c r="B69" s="6">
        <v>22</v>
      </c>
      <c r="C69" s="16">
        <v>0</v>
      </c>
      <c r="D69" s="5">
        <f t="shared" si="16"/>
        <v>22</v>
      </c>
      <c r="E69" s="6">
        <v>6</v>
      </c>
      <c r="F69" s="16">
        <v>4</v>
      </c>
      <c r="G69" s="5">
        <f t="shared" si="17"/>
        <v>10</v>
      </c>
      <c r="H69" s="7">
        <f t="shared" si="18"/>
        <v>32</v>
      </c>
    </row>
    <row r="70" spans="1:8" ht="15" customHeight="1" x14ac:dyDescent="0.25">
      <c r="A70" s="11" t="s">
        <v>207</v>
      </c>
      <c r="B70" s="6">
        <v>0</v>
      </c>
      <c r="C70" s="16">
        <v>0</v>
      </c>
      <c r="D70" s="5">
        <f t="shared" si="16"/>
        <v>0</v>
      </c>
      <c r="E70" s="6">
        <v>1</v>
      </c>
      <c r="F70" s="16">
        <v>0</v>
      </c>
      <c r="G70" s="5">
        <f t="shared" si="17"/>
        <v>1</v>
      </c>
      <c r="H70" s="7">
        <f t="shared" si="18"/>
        <v>1</v>
      </c>
    </row>
    <row r="71" spans="1:8" ht="15" customHeight="1" x14ac:dyDescent="0.25">
      <c r="A71" s="11" t="s">
        <v>65</v>
      </c>
      <c r="B71" s="6">
        <v>14</v>
      </c>
      <c r="C71" s="16">
        <v>0</v>
      </c>
      <c r="D71" s="5">
        <f t="shared" si="16"/>
        <v>14</v>
      </c>
      <c r="E71" s="6">
        <v>2</v>
      </c>
      <c r="F71" s="16">
        <v>1</v>
      </c>
      <c r="G71" s="5">
        <f t="shared" si="17"/>
        <v>3</v>
      </c>
      <c r="H71" s="7">
        <f t="shared" si="18"/>
        <v>17</v>
      </c>
    </row>
    <row r="72" spans="1:8" ht="15" customHeight="1" x14ac:dyDescent="0.25">
      <c r="A72" s="11" t="s">
        <v>173</v>
      </c>
      <c r="B72" s="6">
        <v>5</v>
      </c>
      <c r="C72" s="16">
        <v>0</v>
      </c>
      <c r="D72" s="5">
        <f t="shared" si="16"/>
        <v>5</v>
      </c>
      <c r="E72" s="6">
        <v>0</v>
      </c>
      <c r="F72" s="16">
        <v>1</v>
      </c>
      <c r="G72" s="5">
        <f t="shared" si="17"/>
        <v>1</v>
      </c>
      <c r="H72" s="7">
        <f t="shared" si="18"/>
        <v>6</v>
      </c>
    </row>
    <row r="73" spans="1:8" ht="15" customHeight="1" x14ac:dyDescent="0.25">
      <c r="A73" s="11" t="s">
        <v>67</v>
      </c>
      <c r="B73" s="6">
        <v>1</v>
      </c>
      <c r="C73" s="16">
        <v>0</v>
      </c>
      <c r="D73" s="5">
        <f t="shared" si="16"/>
        <v>1</v>
      </c>
      <c r="E73" s="6">
        <v>1</v>
      </c>
      <c r="F73" s="16">
        <v>0</v>
      </c>
      <c r="G73" s="5">
        <f t="shared" si="17"/>
        <v>1</v>
      </c>
      <c r="H73" s="7">
        <f t="shared" si="18"/>
        <v>2</v>
      </c>
    </row>
    <row r="74" spans="1:8" ht="15" customHeight="1" x14ac:dyDescent="0.25">
      <c r="A74" s="11" t="s">
        <v>174</v>
      </c>
      <c r="B74" s="6">
        <v>245</v>
      </c>
      <c r="C74" s="16">
        <v>4</v>
      </c>
      <c r="D74" s="5">
        <f t="shared" si="16"/>
        <v>249</v>
      </c>
      <c r="E74" s="6">
        <v>243</v>
      </c>
      <c r="F74" s="16">
        <v>4</v>
      </c>
      <c r="G74" s="5">
        <f t="shared" si="17"/>
        <v>247</v>
      </c>
      <c r="H74" s="7">
        <f t="shared" si="18"/>
        <v>496</v>
      </c>
    </row>
    <row r="75" spans="1:8" ht="15" customHeight="1" x14ac:dyDescent="0.25">
      <c r="A75" s="11" t="s">
        <v>175</v>
      </c>
      <c r="B75" s="6">
        <v>254</v>
      </c>
      <c r="C75" s="16">
        <v>3</v>
      </c>
      <c r="D75" s="5">
        <f t="shared" si="16"/>
        <v>257</v>
      </c>
      <c r="E75" s="6">
        <v>39</v>
      </c>
      <c r="F75" s="16">
        <v>5</v>
      </c>
      <c r="G75" s="5">
        <f t="shared" si="17"/>
        <v>44</v>
      </c>
      <c r="H75" s="7">
        <f t="shared" si="18"/>
        <v>301</v>
      </c>
    </row>
    <row r="76" spans="1:8" ht="15" customHeight="1" x14ac:dyDescent="0.25">
      <c r="A76" s="11" t="s">
        <v>70</v>
      </c>
      <c r="B76" s="6">
        <v>26</v>
      </c>
      <c r="C76" s="16">
        <v>1</v>
      </c>
      <c r="D76" s="5">
        <f t="shared" si="16"/>
        <v>27</v>
      </c>
      <c r="E76" s="6">
        <v>55</v>
      </c>
      <c r="F76" s="16">
        <v>89</v>
      </c>
      <c r="G76" s="5">
        <f t="shared" si="17"/>
        <v>144</v>
      </c>
      <c r="H76" s="7">
        <f t="shared" si="18"/>
        <v>171</v>
      </c>
    </row>
    <row r="77" spans="1:8" ht="15" customHeight="1" x14ac:dyDescent="0.25">
      <c r="A77" s="11" t="s">
        <v>71</v>
      </c>
      <c r="B77" s="6">
        <v>7</v>
      </c>
      <c r="C77" s="16">
        <v>0</v>
      </c>
      <c r="D77" s="5">
        <f t="shared" si="16"/>
        <v>7</v>
      </c>
      <c r="E77" s="6">
        <v>6</v>
      </c>
      <c r="F77" s="16">
        <v>2</v>
      </c>
      <c r="G77" s="5">
        <f t="shared" si="17"/>
        <v>8</v>
      </c>
      <c r="H77" s="7">
        <f t="shared" si="18"/>
        <v>15</v>
      </c>
    </row>
    <row r="78" spans="1:8" ht="15" customHeight="1" x14ac:dyDescent="0.25">
      <c r="A78" s="11" t="s">
        <v>72</v>
      </c>
      <c r="B78" s="6">
        <v>81</v>
      </c>
      <c r="C78" s="16">
        <v>1</v>
      </c>
      <c r="D78" s="5">
        <f t="shared" si="16"/>
        <v>82</v>
      </c>
      <c r="E78" s="6">
        <v>88</v>
      </c>
      <c r="F78" s="16">
        <v>4</v>
      </c>
      <c r="G78" s="5">
        <f t="shared" si="17"/>
        <v>92</v>
      </c>
      <c r="H78" s="7">
        <f t="shared" si="18"/>
        <v>174</v>
      </c>
    </row>
    <row r="79" spans="1:8" ht="15" customHeight="1" x14ac:dyDescent="0.25">
      <c r="A79" s="11" t="s">
        <v>73</v>
      </c>
      <c r="B79" s="6">
        <v>12</v>
      </c>
      <c r="C79" s="16">
        <v>0</v>
      </c>
      <c r="D79" s="5">
        <f t="shared" si="16"/>
        <v>12</v>
      </c>
      <c r="E79" s="6">
        <v>3</v>
      </c>
      <c r="F79" s="16">
        <v>0</v>
      </c>
      <c r="G79" s="5">
        <f t="shared" si="17"/>
        <v>3</v>
      </c>
      <c r="H79" s="7">
        <f t="shared" si="18"/>
        <v>15</v>
      </c>
    </row>
    <row r="80" spans="1:8" ht="15" customHeight="1" x14ac:dyDescent="0.25">
      <c r="A80" s="11" t="s">
        <v>176</v>
      </c>
      <c r="B80" s="6">
        <v>75</v>
      </c>
      <c r="C80" s="16">
        <v>4</v>
      </c>
      <c r="D80" s="5">
        <f t="shared" si="16"/>
        <v>79</v>
      </c>
      <c r="E80" s="6">
        <v>45</v>
      </c>
      <c r="F80" s="16">
        <v>4</v>
      </c>
      <c r="G80" s="5">
        <f t="shared" si="17"/>
        <v>49</v>
      </c>
      <c r="H80" s="7">
        <f t="shared" si="18"/>
        <v>128</v>
      </c>
    </row>
    <row r="81" spans="1:8" ht="15" customHeight="1" x14ac:dyDescent="0.25">
      <c r="A81" s="11" t="s">
        <v>210</v>
      </c>
      <c r="B81" s="6">
        <v>1</v>
      </c>
      <c r="C81" s="16">
        <v>0</v>
      </c>
      <c r="D81" s="5">
        <f t="shared" si="16"/>
        <v>1</v>
      </c>
      <c r="E81" s="6">
        <v>0</v>
      </c>
      <c r="F81" s="16">
        <v>0</v>
      </c>
      <c r="G81" s="5">
        <f t="shared" si="17"/>
        <v>0</v>
      </c>
      <c r="H81" s="7">
        <f t="shared" si="18"/>
        <v>1</v>
      </c>
    </row>
    <row r="82" spans="1:8" ht="15" customHeight="1" x14ac:dyDescent="0.25">
      <c r="A82" s="11" t="s">
        <v>177</v>
      </c>
      <c r="B82" s="6">
        <v>4</v>
      </c>
      <c r="C82" s="16">
        <v>0</v>
      </c>
      <c r="D82" s="5">
        <f t="shared" si="16"/>
        <v>4</v>
      </c>
      <c r="E82" s="6">
        <v>1</v>
      </c>
      <c r="F82" s="16">
        <v>0</v>
      </c>
      <c r="G82" s="5">
        <f t="shared" si="17"/>
        <v>1</v>
      </c>
      <c r="H82" s="7">
        <f t="shared" si="18"/>
        <v>5</v>
      </c>
    </row>
    <row r="83" spans="1:8" ht="15" customHeight="1" x14ac:dyDescent="0.25">
      <c r="A83" s="11" t="s">
        <v>74</v>
      </c>
      <c r="B83" s="6">
        <v>89</v>
      </c>
      <c r="C83" s="16">
        <v>2</v>
      </c>
      <c r="D83" s="5">
        <f t="shared" si="16"/>
        <v>91</v>
      </c>
      <c r="E83" s="6">
        <v>40</v>
      </c>
      <c r="F83" s="16">
        <v>1</v>
      </c>
      <c r="G83" s="5">
        <f t="shared" si="17"/>
        <v>41</v>
      </c>
      <c r="H83" s="7">
        <f t="shared" si="18"/>
        <v>132</v>
      </c>
    </row>
    <row r="84" spans="1:8" ht="15" customHeight="1" x14ac:dyDescent="0.25">
      <c r="A84" s="11" t="s">
        <v>178</v>
      </c>
      <c r="B84" s="6">
        <v>3</v>
      </c>
      <c r="C84" s="16">
        <v>0</v>
      </c>
      <c r="D84" s="5">
        <f t="shared" si="16"/>
        <v>3</v>
      </c>
      <c r="E84" s="6">
        <v>0</v>
      </c>
      <c r="F84" s="16">
        <v>0</v>
      </c>
      <c r="G84" s="5">
        <f t="shared" si="17"/>
        <v>0</v>
      </c>
      <c r="H84" s="7">
        <f t="shared" si="18"/>
        <v>3</v>
      </c>
    </row>
    <row r="85" spans="1:8" ht="15" customHeight="1" x14ac:dyDescent="0.25">
      <c r="A85" s="11" t="s">
        <v>76</v>
      </c>
      <c r="B85" s="6">
        <v>1</v>
      </c>
      <c r="C85" s="16">
        <v>0</v>
      </c>
      <c r="D85" s="5">
        <f t="shared" si="16"/>
        <v>1</v>
      </c>
      <c r="E85" s="6">
        <v>3</v>
      </c>
      <c r="F85" s="16">
        <v>0</v>
      </c>
      <c r="G85" s="5">
        <f t="shared" si="17"/>
        <v>3</v>
      </c>
      <c r="H85" s="7">
        <f t="shared" si="18"/>
        <v>4</v>
      </c>
    </row>
    <row r="86" spans="1:8" ht="15" customHeight="1" x14ac:dyDescent="0.25">
      <c r="A86" s="11" t="s">
        <v>77</v>
      </c>
      <c r="B86" s="6">
        <v>44</v>
      </c>
      <c r="C86" s="16">
        <v>1</v>
      </c>
      <c r="D86" s="5">
        <f t="shared" si="16"/>
        <v>45</v>
      </c>
      <c r="E86" s="6">
        <v>32</v>
      </c>
      <c r="F86" s="16">
        <v>1</v>
      </c>
      <c r="G86" s="5">
        <f t="shared" si="17"/>
        <v>33</v>
      </c>
      <c r="H86" s="7">
        <f t="shared" si="18"/>
        <v>78</v>
      </c>
    </row>
    <row r="87" spans="1:8" ht="15" customHeight="1" x14ac:dyDescent="0.25">
      <c r="A87" s="11" t="s">
        <v>79</v>
      </c>
      <c r="B87" s="6">
        <v>2</v>
      </c>
      <c r="C87" s="16">
        <v>0</v>
      </c>
      <c r="D87" s="5">
        <f t="shared" si="16"/>
        <v>2</v>
      </c>
      <c r="E87" s="6">
        <v>3</v>
      </c>
      <c r="F87" s="16">
        <v>0</v>
      </c>
      <c r="G87" s="5">
        <f t="shared" si="17"/>
        <v>3</v>
      </c>
      <c r="H87" s="7">
        <f t="shared" si="18"/>
        <v>5</v>
      </c>
    </row>
    <row r="88" spans="1:8" ht="15" customHeight="1" x14ac:dyDescent="0.25">
      <c r="A88" s="11" t="s">
        <v>80</v>
      </c>
      <c r="B88" s="6">
        <v>162</v>
      </c>
      <c r="C88" s="16">
        <v>1</v>
      </c>
      <c r="D88" s="5">
        <f t="shared" si="16"/>
        <v>163</v>
      </c>
      <c r="E88" s="6">
        <v>39</v>
      </c>
      <c r="F88" s="16">
        <v>2</v>
      </c>
      <c r="G88" s="5">
        <f t="shared" si="17"/>
        <v>41</v>
      </c>
      <c r="H88" s="7">
        <f t="shared" si="18"/>
        <v>204</v>
      </c>
    </row>
    <row r="89" spans="1:8" ht="15" customHeight="1" x14ac:dyDescent="0.25">
      <c r="A89" s="11" t="s">
        <v>82</v>
      </c>
      <c r="B89" s="6">
        <v>28</v>
      </c>
      <c r="C89" s="16">
        <v>1</v>
      </c>
      <c r="D89" s="5">
        <f t="shared" si="16"/>
        <v>29</v>
      </c>
      <c r="E89" s="6">
        <v>4</v>
      </c>
      <c r="F89" s="16">
        <v>1</v>
      </c>
      <c r="G89" s="5">
        <f t="shared" si="17"/>
        <v>5</v>
      </c>
      <c r="H89" s="7">
        <f t="shared" si="18"/>
        <v>34</v>
      </c>
    </row>
    <row r="90" spans="1:8" ht="15" customHeight="1" x14ac:dyDescent="0.25">
      <c r="A90" s="11" t="s">
        <v>83</v>
      </c>
      <c r="B90" s="6">
        <v>33</v>
      </c>
      <c r="C90" s="16">
        <v>1</v>
      </c>
      <c r="D90" s="5">
        <f t="shared" si="16"/>
        <v>34</v>
      </c>
      <c r="E90" s="6">
        <v>52</v>
      </c>
      <c r="F90" s="16">
        <v>4</v>
      </c>
      <c r="G90" s="5">
        <f t="shared" si="17"/>
        <v>56</v>
      </c>
      <c r="H90" s="7">
        <f t="shared" si="18"/>
        <v>90</v>
      </c>
    </row>
    <row r="91" spans="1:8" ht="15" customHeight="1" x14ac:dyDescent="0.25">
      <c r="A91" s="11" t="s">
        <v>211</v>
      </c>
      <c r="B91" s="6">
        <v>1</v>
      </c>
      <c r="C91" s="16">
        <v>0</v>
      </c>
      <c r="D91" s="5">
        <f t="shared" si="16"/>
        <v>1</v>
      </c>
      <c r="E91" s="6">
        <v>2</v>
      </c>
      <c r="F91" s="16">
        <v>0</v>
      </c>
      <c r="G91" s="5">
        <f t="shared" si="17"/>
        <v>2</v>
      </c>
      <c r="H91" s="7">
        <f t="shared" si="18"/>
        <v>3</v>
      </c>
    </row>
    <row r="92" spans="1:8" ht="15" customHeight="1" x14ac:dyDescent="0.25">
      <c r="A92" s="11" t="s">
        <v>84</v>
      </c>
      <c r="B92" s="6">
        <v>45</v>
      </c>
      <c r="C92" s="16">
        <v>1</v>
      </c>
      <c r="D92" s="5">
        <f t="shared" si="16"/>
        <v>46</v>
      </c>
      <c r="E92" s="6">
        <v>49</v>
      </c>
      <c r="F92" s="16">
        <v>0</v>
      </c>
      <c r="G92" s="5">
        <f t="shared" si="17"/>
        <v>49</v>
      </c>
      <c r="H92" s="7">
        <f t="shared" si="18"/>
        <v>95</v>
      </c>
    </row>
    <row r="93" spans="1:8" ht="15" customHeight="1" x14ac:dyDescent="0.25">
      <c r="A93" s="11" t="s">
        <v>180</v>
      </c>
      <c r="B93" s="6">
        <v>1</v>
      </c>
      <c r="C93" s="16">
        <v>0</v>
      </c>
      <c r="D93" s="5">
        <f t="shared" si="16"/>
        <v>1</v>
      </c>
      <c r="E93" s="6">
        <v>0</v>
      </c>
      <c r="F93" s="16">
        <v>0</v>
      </c>
      <c r="G93" s="5">
        <f t="shared" si="17"/>
        <v>0</v>
      </c>
      <c r="H93" s="7">
        <f t="shared" si="18"/>
        <v>1</v>
      </c>
    </row>
    <row r="94" spans="1:8" ht="15" customHeight="1" thickBot="1" x14ac:dyDescent="0.3">
      <c r="A94" s="11" t="s">
        <v>85</v>
      </c>
      <c r="B94" s="6">
        <v>10</v>
      </c>
      <c r="C94" s="16">
        <v>0</v>
      </c>
      <c r="D94" s="5">
        <f t="shared" si="16"/>
        <v>10</v>
      </c>
      <c r="E94" s="6">
        <v>1</v>
      </c>
      <c r="F94" s="16">
        <v>0</v>
      </c>
      <c r="G94" s="5">
        <f t="shared" si="17"/>
        <v>1</v>
      </c>
      <c r="H94" s="7">
        <f t="shared" si="18"/>
        <v>11</v>
      </c>
    </row>
    <row r="95" spans="1:8" ht="15" customHeight="1" thickTop="1" thickBot="1" x14ac:dyDescent="0.3">
      <c r="A95" s="12" t="s">
        <v>6</v>
      </c>
      <c r="B95" s="13">
        <f t="shared" ref="B95:G95" si="19">SUM(B68:B94)</f>
        <v>1167</v>
      </c>
      <c r="C95" s="13">
        <f t="shared" si="19"/>
        <v>20</v>
      </c>
      <c r="D95" s="13">
        <f t="shared" si="19"/>
        <v>1187</v>
      </c>
      <c r="E95" s="13">
        <f t="shared" si="19"/>
        <v>717</v>
      </c>
      <c r="F95" s="13">
        <f t="shared" si="19"/>
        <v>123</v>
      </c>
      <c r="G95" s="13">
        <f t="shared" si="19"/>
        <v>840</v>
      </c>
      <c r="H95" s="15">
        <f t="shared" si="18"/>
        <v>2027</v>
      </c>
    </row>
    <row r="96" spans="1:8" ht="15" customHeight="1" thickTop="1" thickBot="1" x14ac:dyDescent="0.3">
      <c r="A96" s="23" t="s">
        <v>86</v>
      </c>
      <c r="B96" s="24"/>
      <c r="C96" s="24"/>
      <c r="D96" s="24"/>
      <c r="E96" s="24"/>
      <c r="F96" s="24"/>
      <c r="G96" s="24"/>
      <c r="H96" s="25"/>
    </row>
    <row r="97" spans="1:8" ht="15" customHeight="1" thickTop="1" x14ac:dyDescent="0.25">
      <c r="A97" s="11" t="s">
        <v>87</v>
      </c>
      <c r="B97" s="6">
        <v>16</v>
      </c>
      <c r="C97" s="16">
        <v>0</v>
      </c>
      <c r="D97" s="5">
        <f t="shared" ref="D97:D123" si="20">B97+C97</f>
        <v>16</v>
      </c>
      <c r="E97" s="6">
        <v>6</v>
      </c>
      <c r="F97" s="16">
        <v>0</v>
      </c>
      <c r="G97" s="5">
        <f t="shared" ref="G97:G123" si="21">E97+F97</f>
        <v>6</v>
      </c>
      <c r="H97" s="7">
        <f t="shared" ref="H97:H123" si="22">G97+D97</f>
        <v>22</v>
      </c>
    </row>
    <row r="98" spans="1:8" ht="15" customHeight="1" x14ac:dyDescent="0.25">
      <c r="A98" s="11" t="s">
        <v>88</v>
      </c>
      <c r="B98" s="6">
        <v>3</v>
      </c>
      <c r="C98" s="16">
        <v>0</v>
      </c>
      <c r="D98" s="5">
        <f t="shared" si="20"/>
        <v>3</v>
      </c>
      <c r="E98" s="6">
        <v>4</v>
      </c>
      <c r="F98" s="16">
        <v>0</v>
      </c>
      <c r="G98" s="5">
        <f t="shared" si="21"/>
        <v>4</v>
      </c>
      <c r="H98" s="7">
        <f t="shared" si="22"/>
        <v>7</v>
      </c>
    </row>
    <row r="99" spans="1:8" ht="15" customHeight="1" x14ac:dyDescent="0.25">
      <c r="A99" s="11" t="s">
        <v>89</v>
      </c>
      <c r="B99" s="6">
        <v>1</v>
      </c>
      <c r="C99" s="16">
        <v>0</v>
      </c>
      <c r="D99" s="5">
        <f t="shared" si="20"/>
        <v>1</v>
      </c>
      <c r="E99" s="6">
        <v>0</v>
      </c>
      <c r="F99" s="16">
        <v>0</v>
      </c>
      <c r="G99" s="5">
        <f t="shared" si="21"/>
        <v>0</v>
      </c>
      <c r="H99" s="7">
        <f t="shared" si="22"/>
        <v>1</v>
      </c>
    </row>
    <row r="100" spans="1:8" ht="15" customHeight="1" x14ac:dyDescent="0.25">
      <c r="A100" s="11" t="s">
        <v>90</v>
      </c>
      <c r="B100" s="6">
        <v>9</v>
      </c>
      <c r="C100" s="16">
        <v>0</v>
      </c>
      <c r="D100" s="5">
        <f t="shared" si="20"/>
        <v>9</v>
      </c>
      <c r="E100" s="6">
        <v>7</v>
      </c>
      <c r="F100" s="16">
        <v>1</v>
      </c>
      <c r="G100" s="5">
        <f t="shared" si="21"/>
        <v>8</v>
      </c>
      <c r="H100" s="7">
        <f t="shared" si="22"/>
        <v>17</v>
      </c>
    </row>
    <row r="101" spans="1:8" ht="15" customHeight="1" x14ac:dyDescent="0.25">
      <c r="A101" s="11" t="s">
        <v>92</v>
      </c>
      <c r="B101" s="6">
        <v>0</v>
      </c>
      <c r="C101" s="16">
        <v>0</v>
      </c>
      <c r="D101" s="5">
        <f t="shared" si="20"/>
        <v>0</v>
      </c>
      <c r="E101" s="6">
        <v>2</v>
      </c>
      <c r="F101" s="16">
        <v>1</v>
      </c>
      <c r="G101" s="5">
        <f t="shared" si="21"/>
        <v>3</v>
      </c>
      <c r="H101" s="7">
        <f t="shared" si="22"/>
        <v>3</v>
      </c>
    </row>
    <row r="102" spans="1:8" ht="15" customHeight="1" x14ac:dyDescent="0.25">
      <c r="A102" s="11" t="s">
        <v>94</v>
      </c>
      <c r="B102" s="6">
        <v>1</v>
      </c>
      <c r="C102" s="16">
        <v>0</v>
      </c>
      <c r="D102" s="5">
        <f t="shared" si="20"/>
        <v>1</v>
      </c>
      <c r="E102" s="6">
        <v>1</v>
      </c>
      <c r="F102" s="16">
        <v>0</v>
      </c>
      <c r="G102" s="5">
        <f t="shared" si="21"/>
        <v>1</v>
      </c>
      <c r="H102" s="7">
        <f t="shared" si="22"/>
        <v>2</v>
      </c>
    </row>
    <row r="103" spans="1:8" ht="15" customHeight="1" x14ac:dyDescent="0.25">
      <c r="A103" s="11" t="s">
        <v>95</v>
      </c>
      <c r="B103" s="6">
        <v>2</v>
      </c>
      <c r="C103" s="16">
        <v>1</v>
      </c>
      <c r="D103" s="5">
        <f t="shared" si="20"/>
        <v>3</v>
      </c>
      <c r="E103" s="6">
        <v>9</v>
      </c>
      <c r="F103" s="16">
        <v>4</v>
      </c>
      <c r="G103" s="5">
        <f t="shared" si="21"/>
        <v>13</v>
      </c>
      <c r="H103" s="7">
        <f t="shared" si="22"/>
        <v>16</v>
      </c>
    </row>
    <row r="104" spans="1:8" ht="15" customHeight="1" x14ac:dyDescent="0.25">
      <c r="A104" s="11" t="s">
        <v>226</v>
      </c>
      <c r="B104" s="6">
        <v>0</v>
      </c>
      <c r="C104" s="16">
        <v>0</v>
      </c>
      <c r="D104" s="5">
        <f t="shared" si="20"/>
        <v>0</v>
      </c>
      <c r="E104" s="6">
        <v>1</v>
      </c>
      <c r="F104" s="16">
        <v>0</v>
      </c>
      <c r="G104" s="5">
        <f t="shared" si="21"/>
        <v>1</v>
      </c>
      <c r="H104" s="7">
        <f t="shared" si="22"/>
        <v>1</v>
      </c>
    </row>
    <row r="105" spans="1:8" ht="15" customHeight="1" x14ac:dyDescent="0.25">
      <c r="A105" s="11" t="s">
        <v>96</v>
      </c>
      <c r="B105" s="6">
        <v>7</v>
      </c>
      <c r="C105" s="16">
        <v>0</v>
      </c>
      <c r="D105" s="5">
        <f t="shared" si="20"/>
        <v>7</v>
      </c>
      <c r="E105" s="6">
        <v>9</v>
      </c>
      <c r="F105" s="16">
        <v>0</v>
      </c>
      <c r="G105" s="5">
        <f t="shared" si="21"/>
        <v>9</v>
      </c>
      <c r="H105" s="7">
        <f t="shared" si="22"/>
        <v>16</v>
      </c>
    </row>
    <row r="106" spans="1:8" ht="15" customHeight="1" x14ac:dyDescent="0.25">
      <c r="A106" s="11" t="s">
        <v>99</v>
      </c>
      <c r="B106" s="6">
        <v>1</v>
      </c>
      <c r="C106" s="16">
        <v>0</v>
      </c>
      <c r="D106" s="5">
        <f t="shared" si="20"/>
        <v>1</v>
      </c>
      <c r="E106" s="6">
        <v>2</v>
      </c>
      <c r="F106" s="16">
        <v>0</v>
      </c>
      <c r="G106" s="5">
        <f t="shared" si="21"/>
        <v>2</v>
      </c>
      <c r="H106" s="7">
        <f t="shared" si="22"/>
        <v>3</v>
      </c>
    </row>
    <row r="107" spans="1:8" ht="15" customHeight="1" x14ac:dyDescent="0.25">
      <c r="A107" s="11" t="s">
        <v>100</v>
      </c>
      <c r="B107" s="6">
        <v>0</v>
      </c>
      <c r="C107" s="16">
        <v>0</v>
      </c>
      <c r="D107" s="5">
        <f t="shared" si="20"/>
        <v>0</v>
      </c>
      <c r="E107" s="6">
        <v>1</v>
      </c>
      <c r="F107" s="16">
        <v>1</v>
      </c>
      <c r="G107" s="5">
        <f t="shared" si="21"/>
        <v>2</v>
      </c>
      <c r="H107" s="7">
        <f t="shared" si="22"/>
        <v>2</v>
      </c>
    </row>
    <row r="108" spans="1:8" ht="15" customHeight="1" x14ac:dyDescent="0.25">
      <c r="A108" s="11" t="s">
        <v>208</v>
      </c>
      <c r="B108" s="6">
        <v>1</v>
      </c>
      <c r="C108" s="16">
        <v>0</v>
      </c>
      <c r="D108" s="5">
        <f t="shared" si="20"/>
        <v>1</v>
      </c>
      <c r="E108" s="6">
        <v>0</v>
      </c>
      <c r="F108" s="16">
        <v>0</v>
      </c>
      <c r="G108" s="5">
        <f t="shared" si="21"/>
        <v>0</v>
      </c>
      <c r="H108" s="7">
        <f t="shared" si="22"/>
        <v>1</v>
      </c>
    </row>
    <row r="109" spans="1:8" ht="15" customHeight="1" x14ac:dyDescent="0.25">
      <c r="A109" s="11" t="s">
        <v>101</v>
      </c>
      <c r="B109" s="6">
        <v>10</v>
      </c>
      <c r="C109" s="16">
        <v>0</v>
      </c>
      <c r="D109" s="5">
        <f t="shared" si="20"/>
        <v>10</v>
      </c>
      <c r="E109" s="6">
        <v>1</v>
      </c>
      <c r="F109" s="16">
        <v>0</v>
      </c>
      <c r="G109" s="5">
        <f t="shared" si="21"/>
        <v>1</v>
      </c>
      <c r="H109" s="7">
        <f t="shared" si="22"/>
        <v>11</v>
      </c>
    </row>
    <row r="110" spans="1:8" ht="15" customHeight="1" x14ac:dyDescent="0.25">
      <c r="A110" s="11" t="s">
        <v>102</v>
      </c>
      <c r="B110" s="6">
        <v>0</v>
      </c>
      <c r="C110" s="16">
        <v>0</v>
      </c>
      <c r="D110" s="5">
        <f t="shared" si="20"/>
        <v>0</v>
      </c>
      <c r="E110" s="6">
        <v>1</v>
      </c>
      <c r="F110" s="16">
        <v>0</v>
      </c>
      <c r="G110" s="5">
        <f t="shared" si="21"/>
        <v>1</v>
      </c>
      <c r="H110" s="7">
        <f t="shared" si="22"/>
        <v>1</v>
      </c>
    </row>
    <row r="111" spans="1:8" ht="15" customHeight="1" x14ac:dyDescent="0.25">
      <c r="A111" s="11" t="s">
        <v>186</v>
      </c>
      <c r="B111" s="6">
        <v>1</v>
      </c>
      <c r="C111" s="16">
        <v>0</v>
      </c>
      <c r="D111" s="5">
        <f t="shared" si="20"/>
        <v>1</v>
      </c>
      <c r="E111" s="6">
        <v>1</v>
      </c>
      <c r="F111" s="16">
        <v>0</v>
      </c>
      <c r="G111" s="5">
        <f t="shared" si="21"/>
        <v>1</v>
      </c>
      <c r="H111" s="7">
        <f t="shared" si="22"/>
        <v>2</v>
      </c>
    </row>
    <row r="112" spans="1:8" ht="15" customHeight="1" x14ac:dyDescent="0.25">
      <c r="A112" s="11" t="s">
        <v>104</v>
      </c>
      <c r="B112" s="6">
        <v>23</v>
      </c>
      <c r="C112" s="16">
        <v>0</v>
      </c>
      <c r="D112" s="5">
        <f t="shared" si="20"/>
        <v>23</v>
      </c>
      <c r="E112" s="6">
        <v>37</v>
      </c>
      <c r="F112" s="16">
        <v>7</v>
      </c>
      <c r="G112" s="5">
        <f t="shared" si="21"/>
        <v>44</v>
      </c>
      <c r="H112" s="7">
        <f t="shared" si="22"/>
        <v>67</v>
      </c>
    </row>
    <row r="113" spans="1:8" ht="15" customHeight="1" x14ac:dyDescent="0.25">
      <c r="A113" s="11" t="s">
        <v>109</v>
      </c>
      <c r="B113" s="6">
        <v>1</v>
      </c>
      <c r="C113" s="16">
        <v>0</v>
      </c>
      <c r="D113" s="5">
        <f t="shared" si="20"/>
        <v>1</v>
      </c>
      <c r="E113" s="6">
        <v>0</v>
      </c>
      <c r="F113" s="16">
        <v>0</v>
      </c>
      <c r="G113" s="5">
        <f t="shared" si="21"/>
        <v>0</v>
      </c>
      <c r="H113" s="7">
        <f t="shared" si="22"/>
        <v>1</v>
      </c>
    </row>
    <row r="114" spans="1:8" ht="15" customHeight="1" x14ac:dyDescent="0.25">
      <c r="A114" s="11" t="s">
        <v>105</v>
      </c>
      <c r="B114" s="6">
        <v>0</v>
      </c>
      <c r="C114" s="16">
        <v>0</v>
      </c>
      <c r="D114" s="5">
        <f t="shared" si="20"/>
        <v>0</v>
      </c>
      <c r="E114" s="6">
        <v>1</v>
      </c>
      <c r="F114" s="16">
        <v>0</v>
      </c>
      <c r="G114" s="5">
        <f t="shared" si="21"/>
        <v>1</v>
      </c>
      <c r="H114" s="7">
        <f t="shared" si="22"/>
        <v>1</v>
      </c>
    </row>
    <row r="115" spans="1:8" ht="15" customHeight="1" x14ac:dyDescent="0.25">
      <c r="A115" s="11" t="s">
        <v>106</v>
      </c>
      <c r="B115" s="6">
        <v>1</v>
      </c>
      <c r="C115" s="16">
        <v>0</v>
      </c>
      <c r="D115" s="5">
        <f t="shared" si="20"/>
        <v>1</v>
      </c>
      <c r="E115" s="6">
        <v>0</v>
      </c>
      <c r="F115" s="16">
        <v>0</v>
      </c>
      <c r="G115" s="5">
        <f t="shared" si="21"/>
        <v>0</v>
      </c>
      <c r="H115" s="7">
        <f t="shared" si="22"/>
        <v>1</v>
      </c>
    </row>
    <row r="116" spans="1:8" ht="15" customHeight="1" x14ac:dyDescent="0.25">
      <c r="A116" s="11" t="s">
        <v>107</v>
      </c>
      <c r="B116" s="6">
        <v>2</v>
      </c>
      <c r="C116" s="16">
        <v>0</v>
      </c>
      <c r="D116" s="5">
        <f t="shared" si="20"/>
        <v>2</v>
      </c>
      <c r="E116" s="6">
        <v>7</v>
      </c>
      <c r="F116" s="16">
        <v>2</v>
      </c>
      <c r="G116" s="5">
        <f t="shared" si="21"/>
        <v>9</v>
      </c>
      <c r="H116" s="7">
        <f t="shared" si="22"/>
        <v>11</v>
      </c>
    </row>
    <row r="117" spans="1:8" ht="15" customHeight="1" x14ac:dyDescent="0.25">
      <c r="A117" s="11" t="s">
        <v>227</v>
      </c>
      <c r="B117" s="6">
        <v>0</v>
      </c>
      <c r="C117" s="16">
        <v>0</v>
      </c>
      <c r="D117" s="5">
        <f t="shared" si="20"/>
        <v>0</v>
      </c>
      <c r="E117" s="6">
        <v>1</v>
      </c>
      <c r="F117" s="16">
        <v>0</v>
      </c>
      <c r="G117" s="5">
        <f t="shared" si="21"/>
        <v>1</v>
      </c>
      <c r="H117" s="7">
        <f t="shared" si="22"/>
        <v>1</v>
      </c>
    </row>
    <row r="118" spans="1:8" ht="15" customHeight="1" x14ac:dyDescent="0.25">
      <c r="A118" s="11" t="s">
        <v>108</v>
      </c>
      <c r="B118" s="6">
        <v>2</v>
      </c>
      <c r="C118" s="16">
        <v>0</v>
      </c>
      <c r="D118" s="5">
        <f t="shared" si="20"/>
        <v>2</v>
      </c>
      <c r="E118" s="6">
        <v>6</v>
      </c>
      <c r="F118" s="16">
        <v>2</v>
      </c>
      <c r="G118" s="5">
        <f t="shared" si="21"/>
        <v>8</v>
      </c>
      <c r="H118" s="7">
        <f t="shared" si="22"/>
        <v>10</v>
      </c>
    </row>
    <row r="119" spans="1:8" ht="15" customHeight="1" x14ac:dyDescent="0.25">
      <c r="A119" s="11" t="s">
        <v>154</v>
      </c>
      <c r="B119" s="6">
        <v>0</v>
      </c>
      <c r="C119" s="16">
        <v>0</v>
      </c>
      <c r="D119" s="5">
        <f t="shared" si="20"/>
        <v>0</v>
      </c>
      <c r="E119" s="6">
        <v>1</v>
      </c>
      <c r="F119" s="16">
        <v>0</v>
      </c>
      <c r="G119" s="5">
        <f t="shared" si="21"/>
        <v>1</v>
      </c>
      <c r="H119" s="7">
        <f t="shared" si="22"/>
        <v>1</v>
      </c>
    </row>
    <row r="120" spans="1:8" ht="15" customHeight="1" x14ac:dyDescent="0.25">
      <c r="A120" s="11" t="s">
        <v>110</v>
      </c>
      <c r="B120" s="6">
        <v>4</v>
      </c>
      <c r="C120" s="16">
        <v>0</v>
      </c>
      <c r="D120" s="5">
        <f t="shared" si="20"/>
        <v>4</v>
      </c>
      <c r="E120" s="6">
        <v>4</v>
      </c>
      <c r="F120" s="16">
        <v>1</v>
      </c>
      <c r="G120" s="5">
        <f t="shared" si="21"/>
        <v>5</v>
      </c>
      <c r="H120" s="7">
        <f t="shared" si="22"/>
        <v>9</v>
      </c>
    </row>
    <row r="121" spans="1:8" ht="15" customHeight="1" x14ac:dyDescent="0.25">
      <c r="A121" s="11" t="s">
        <v>111</v>
      </c>
      <c r="B121" s="6">
        <v>4</v>
      </c>
      <c r="C121" s="16">
        <v>0</v>
      </c>
      <c r="D121" s="5">
        <f t="shared" si="20"/>
        <v>4</v>
      </c>
      <c r="E121" s="6">
        <v>5</v>
      </c>
      <c r="F121" s="16">
        <v>1</v>
      </c>
      <c r="G121" s="5">
        <f t="shared" si="21"/>
        <v>6</v>
      </c>
      <c r="H121" s="7">
        <f t="shared" si="22"/>
        <v>10</v>
      </c>
    </row>
    <row r="122" spans="1:8" ht="15" customHeight="1" x14ac:dyDescent="0.25">
      <c r="A122" s="11" t="s">
        <v>113</v>
      </c>
      <c r="B122" s="6">
        <v>0</v>
      </c>
      <c r="C122" s="16">
        <v>0</v>
      </c>
      <c r="D122" s="5">
        <f t="shared" si="20"/>
        <v>0</v>
      </c>
      <c r="E122" s="6">
        <v>2</v>
      </c>
      <c r="F122" s="16">
        <v>1</v>
      </c>
      <c r="G122" s="5">
        <f t="shared" si="21"/>
        <v>3</v>
      </c>
      <c r="H122" s="7">
        <f t="shared" si="22"/>
        <v>3</v>
      </c>
    </row>
    <row r="123" spans="1:8" ht="15" customHeight="1" thickBot="1" x14ac:dyDescent="0.3">
      <c r="A123" s="11" t="s">
        <v>114</v>
      </c>
      <c r="B123" s="6">
        <v>4</v>
      </c>
      <c r="C123" s="16">
        <v>0</v>
      </c>
      <c r="D123" s="5">
        <f t="shared" si="20"/>
        <v>4</v>
      </c>
      <c r="E123" s="6">
        <v>3</v>
      </c>
      <c r="F123" s="16">
        <v>2</v>
      </c>
      <c r="G123" s="5">
        <f t="shared" si="21"/>
        <v>5</v>
      </c>
      <c r="H123" s="7">
        <f t="shared" si="22"/>
        <v>9</v>
      </c>
    </row>
    <row r="124" spans="1:8" ht="15" customHeight="1" thickTop="1" thickBot="1" x14ac:dyDescent="0.3">
      <c r="A124" s="12" t="s">
        <v>6</v>
      </c>
      <c r="B124" s="13">
        <f t="shared" ref="B124:H124" si="23">SUM(B97:B123)</f>
        <v>93</v>
      </c>
      <c r="C124" s="13">
        <f t="shared" si="23"/>
        <v>1</v>
      </c>
      <c r="D124" s="13">
        <f t="shared" si="23"/>
        <v>94</v>
      </c>
      <c r="E124" s="13">
        <f t="shared" si="23"/>
        <v>112</v>
      </c>
      <c r="F124" s="13">
        <f t="shared" si="23"/>
        <v>23</v>
      </c>
      <c r="G124" s="13">
        <f t="shared" si="23"/>
        <v>135</v>
      </c>
      <c r="H124" s="15">
        <f t="shared" si="23"/>
        <v>229</v>
      </c>
    </row>
    <row r="125" spans="1:8" ht="15" customHeight="1" thickTop="1" thickBot="1" x14ac:dyDescent="0.3">
      <c r="A125" s="23" t="s">
        <v>115</v>
      </c>
      <c r="B125" s="24"/>
      <c r="C125" s="24"/>
      <c r="D125" s="24"/>
      <c r="E125" s="24"/>
      <c r="F125" s="24"/>
      <c r="G125" s="24"/>
      <c r="H125" s="25"/>
    </row>
    <row r="126" spans="1:8" ht="15" customHeight="1" thickTop="1" x14ac:dyDescent="0.25">
      <c r="A126" s="11" t="s">
        <v>116</v>
      </c>
      <c r="B126" s="6">
        <v>16</v>
      </c>
      <c r="C126" s="16">
        <v>0</v>
      </c>
      <c r="D126" s="5">
        <f t="shared" ref="D126:D127" si="24">B126+C126</f>
        <v>16</v>
      </c>
      <c r="E126" s="6">
        <v>47</v>
      </c>
      <c r="F126" s="16">
        <v>2</v>
      </c>
      <c r="G126" s="5">
        <f t="shared" ref="G126:G127" si="25">E126+F126</f>
        <v>49</v>
      </c>
      <c r="H126" s="7">
        <f t="shared" ref="H126:H127" si="26">G126+D126</f>
        <v>65</v>
      </c>
    </row>
    <row r="127" spans="1:8" ht="15" customHeight="1" thickBot="1" x14ac:dyDescent="0.3">
      <c r="A127" s="11" t="s">
        <v>117</v>
      </c>
      <c r="B127" s="6">
        <v>337</v>
      </c>
      <c r="C127" s="16">
        <v>2</v>
      </c>
      <c r="D127" s="5">
        <f t="shared" si="24"/>
        <v>339</v>
      </c>
      <c r="E127" s="6">
        <v>265</v>
      </c>
      <c r="F127" s="16">
        <v>8</v>
      </c>
      <c r="G127" s="5">
        <f t="shared" si="25"/>
        <v>273</v>
      </c>
      <c r="H127" s="7">
        <f t="shared" si="26"/>
        <v>612</v>
      </c>
    </row>
    <row r="128" spans="1:8" ht="15" customHeight="1" thickTop="1" thickBot="1" x14ac:dyDescent="0.3">
      <c r="A128" s="12" t="s">
        <v>6</v>
      </c>
      <c r="B128" s="13">
        <f>SUM(B126:B127)</f>
        <v>353</v>
      </c>
      <c r="C128" s="13">
        <f t="shared" ref="C128:H128" si="27">SUM(C126:C127)</f>
        <v>2</v>
      </c>
      <c r="D128" s="13">
        <f t="shared" si="27"/>
        <v>355</v>
      </c>
      <c r="E128" s="13">
        <f t="shared" si="27"/>
        <v>312</v>
      </c>
      <c r="F128" s="13">
        <f t="shared" si="27"/>
        <v>10</v>
      </c>
      <c r="G128" s="13">
        <f t="shared" si="27"/>
        <v>322</v>
      </c>
      <c r="H128" s="15">
        <f t="shared" si="27"/>
        <v>677</v>
      </c>
    </row>
    <row r="129" spans="1:8" ht="15" customHeight="1" thickTop="1" thickBot="1" x14ac:dyDescent="0.3">
      <c r="A129" s="23" t="s">
        <v>145</v>
      </c>
      <c r="B129" s="24"/>
      <c r="C129" s="24"/>
      <c r="D129" s="24"/>
      <c r="E129" s="24"/>
      <c r="F129" s="24"/>
      <c r="G129" s="24"/>
      <c r="H129" s="25"/>
    </row>
    <row r="130" spans="1:8" ht="15" customHeight="1" thickTop="1" x14ac:dyDescent="0.25">
      <c r="A130" s="11" t="s">
        <v>118</v>
      </c>
      <c r="B130" s="6">
        <v>2</v>
      </c>
      <c r="C130" s="16">
        <v>0</v>
      </c>
      <c r="D130" s="5">
        <f t="shared" ref="D130:D141" si="28">B130+C130</f>
        <v>2</v>
      </c>
      <c r="E130" s="6">
        <v>0</v>
      </c>
      <c r="F130" s="16">
        <v>0</v>
      </c>
      <c r="G130" s="5">
        <f t="shared" ref="G130:G141" si="29">E130+F130</f>
        <v>0</v>
      </c>
      <c r="H130" s="7">
        <f t="shared" ref="H130:H141" si="30">G130+D130</f>
        <v>2</v>
      </c>
    </row>
    <row r="131" spans="1:8" ht="15" customHeight="1" x14ac:dyDescent="0.25">
      <c r="A131" s="11" t="s">
        <v>119</v>
      </c>
      <c r="B131" s="6">
        <v>4</v>
      </c>
      <c r="C131" s="16">
        <v>0</v>
      </c>
      <c r="D131" s="5">
        <f t="shared" si="28"/>
        <v>4</v>
      </c>
      <c r="E131" s="6">
        <v>0</v>
      </c>
      <c r="F131" s="16">
        <v>0</v>
      </c>
      <c r="G131" s="5">
        <f t="shared" si="29"/>
        <v>0</v>
      </c>
      <c r="H131" s="7">
        <f t="shared" si="30"/>
        <v>4</v>
      </c>
    </row>
    <row r="132" spans="1:8" ht="15" customHeight="1" x14ac:dyDescent="0.25">
      <c r="A132" s="11" t="s">
        <v>120</v>
      </c>
      <c r="B132" s="6">
        <v>3</v>
      </c>
      <c r="C132" s="16">
        <v>0</v>
      </c>
      <c r="D132" s="5">
        <f t="shared" si="28"/>
        <v>3</v>
      </c>
      <c r="E132" s="6">
        <v>0</v>
      </c>
      <c r="F132" s="16">
        <v>0</v>
      </c>
      <c r="G132" s="5">
        <f t="shared" si="29"/>
        <v>0</v>
      </c>
      <c r="H132" s="7">
        <f t="shared" si="30"/>
        <v>3</v>
      </c>
    </row>
    <row r="133" spans="1:8" ht="15" customHeight="1" x14ac:dyDescent="0.25">
      <c r="A133" s="11" t="s">
        <v>213</v>
      </c>
      <c r="B133" s="6">
        <v>0</v>
      </c>
      <c r="C133" s="16">
        <v>0</v>
      </c>
      <c r="D133" s="5">
        <f t="shared" si="28"/>
        <v>0</v>
      </c>
      <c r="E133" s="6">
        <v>1</v>
      </c>
      <c r="F133" s="16">
        <v>0</v>
      </c>
      <c r="G133" s="5">
        <f t="shared" si="29"/>
        <v>1</v>
      </c>
      <c r="H133" s="7">
        <f t="shared" si="30"/>
        <v>1</v>
      </c>
    </row>
    <row r="134" spans="1:8" ht="15" customHeight="1" x14ac:dyDescent="0.25">
      <c r="A134" s="11" t="s">
        <v>121</v>
      </c>
      <c r="B134" s="6">
        <v>0</v>
      </c>
      <c r="C134" s="16">
        <v>0</v>
      </c>
      <c r="D134" s="5">
        <f t="shared" si="28"/>
        <v>0</v>
      </c>
      <c r="E134" s="6">
        <v>1</v>
      </c>
      <c r="F134" s="16">
        <v>0</v>
      </c>
      <c r="G134" s="5">
        <f t="shared" si="29"/>
        <v>1</v>
      </c>
      <c r="H134" s="7">
        <f t="shared" si="30"/>
        <v>1</v>
      </c>
    </row>
    <row r="135" spans="1:8" ht="15" customHeight="1" x14ac:dyDescent="0.25">
      <c r="A135" s="11" t="s">
        <v>122</v>
      </c>
      <c r="B135" s="6">
        <v>1</v>
      </c>
      <c r="C135" s="16">
        <v>0</v>
      </c>
      <c r="D135" s="5">
        <f t="shared" si="28"/>
        <v>1</v>
      </c>
      <c r="E135" s="6">
        <v>0</v>
      </c>
      <c r="F135" s="16">
        <v>0</v>
      </c>
      <c r="G135" s="5">
        <f t="shared" si="29"/>
        <v>0</v>
      </c>
      <c r="H135" s="7">
        <f t="shared" si="30"/>
        <v>1</v>
      </c>
    </row>
    <row r="136" spans="1:8" ht="15" customHeight="1" x14ac:dyDescent="0.25">
      <c r="A136" s="11" t="s">
        <v>123</v>
      </c>
      <c r="B136" s="6">
        <v>1</v>
      </c>
      <c r="C136" s="16">
        <v>0</v>
      </c>
      <c r="D136" s="5">
        <f t="shared" si="28"/>
        <v>1</v>
      </c>
      <c r="E136" s="6">
        <v>9</v>
      </c>
      <c r="F136" s="16">
        <v>0</v>
      </c>
      <c r="G136" s="5">
        <f t="shared" si="29"/>
        <v>9</v>
      </c>
      <c r="H136" s="7">
        <f t="shared" si="30"/>
        <v>10</v>
      </c>
    </row>
    <row r="137" spans="1:8" ht="15" customHeight="1" x14ac:dyDescent="0.25">
      <c r="A137" s="11" t="s">
        <v>228</v>
      </c>
      <c r="B137" s="6">
        <v>1</v>
      </c>
      <c r="C137" s="16">
        <v>0</v>
      </c>
      <c r="D137" s="5">
        <f t="shared" si="28"/>
        <v>1</v>
      </c>
      <c r="E137" s="6">
        <v>0</v>
      </c>
      <c r="F137" s="16">
        <v>0</v>
      </c>
      <c r="G137" s="5">
        <f t="shared" si="29"/>
        <v>0</v>
      </c>
      <c r="H137" s="7">
        <f t="shared" si="30"/>
        <v>1</v>
      </c>
    </row>
    <row r="138" spans="1:8" ht="15" customHeight="1" x14ac:dyDescent="0.25">
      <c r="A138" s="11" t="s">
        <v>222</v>
      </c>
      <c r="B138" s="6">
        <v>0</v>
      </c>
      <c r="C138" s="16">
        <v>0</v>
      </c>
      <c r="D138" s="5">
        <f t="shared" si="28"/>
        <v>0</v>
      </c>
      <c r="E138" s="6">
        <v>1</v>
      </c>
      <c r="F138" s="16">
        <v>0</v>
      </c>
      <c r="G138" s="5">
        <f t="shared" si="29"/>
        <v>1</v>
      </c>
      <c r="H138" s="7">
        <f t="shared" si="30"/>
        <v>1</v>
      </c>
    </row>
    <row r="139" spans="1:8" ht="15" customHeight="1" x14ac:dyDescent="0.25">
      <c r="A139" s="11" t="s">
        <v>209</v>
      </c>
      <c r="B139" s="6">
        <v>1</v>
      </c>
      <c r="C139" s="16">
        <v>0</v>
      </c>
      <c r="D139" s="5">
        <f t="shared" si="28"/>
        <v>1</v>
      </c>
      <c r="E139" s="6">
        <v>0</v>
      </c>
      <c r="F139" s="16">
        <v>0</v>
      </c>
      <c r="G139" s="5">
        <f t="shared" si="29"/>
        <v>0</v>
      </c>
      <c r="H139" s="7">
        <f t="shared" si="30"/>
        <v>1</v>
      </c>
    </row>
    <row r="140" spans="1:8" ht="15" customHeight="1" x14ac:dyDescent="0.25">
      <c r="A140" s="11" t="s">
        <v>192</v>
      </c>
      <c r="B140" s="6">
        <v>4</v>
      </c>
      <c r="C140" s="16">
        <v>0</v>
      </c>
      <c r="D140" s="5">
        <f t="shared" si="28"/>
        <v>4</v>
      </c>
      <c r="E140" s="6">
        <v>6</v>
      </c>
      <c r="F140" s="16">
        <v>3</v>
      </c>
      <c r="G140" s="5">
        <f t="shared" si="29"/>
        <v>9</v>
      </c>
      <c r="H140" s="7">
        <f t="shared" si="30"/>
        <v>13</v>
      </c>
    </row>
    <row r="141" spans="1:8" ht="15" customHeight="1" thickBot="1" x14ac:dyDescent="0.3">
      <c r="A141" s="11" t="s">
        <v>214</v>
      </c>
      <c r="B141" s="6">
        <v>1</v>
      </c>
      <c r="C141" s="16">
        <v>0</v>
      </c>
      <c r="D141" s="5">
        <f t="shared" si="28"/>
        <v>1</v>
      </c>
      <c r="E141" s="6">
        <v>1</v>
      </c>
      <c r="F141" s="16">
        <v>0</v>
      </c>
      <c r="G141" s="5">
        <f t="shared" si="29"/>
        <v>1</v>
      </c>
      <c r="H141" s="7">
        <f t="shared" si="30"/>
        <v>2</v>
      </c>
    </row>
    <row r="142" spans="1:8" ht="15" customHeight="1" thickTop="1" thickBot="1" x14ac:dyDescent="0.3">
      <c r="A142" s="12" t="s">
        <v>6</v>
      </c>
      <c r="B142" s="13">
        <f>SUM(B130:B141)</f>
        <v>18</v>
      </c>
      <c r="C142" s="13">
        <f t="shared" ref="C142:H142" si="31">SUM(C130:C141)</f>
        <v>0</v>
      </c>
      <c r="D142" s="13">
        <f t="shared" si="31"/>
        <v>18</v>
      </c>
      <c r="E142" s="13">
        <f t="shared" si="31"/>
        <v>19</v>
      </c>
      <c r="F142" s="13">
        <f t="shared" si="31"/>
        <v>3</v>
      </c>
      <c r="G142" s="13">
        <f t="shared" si="31"/>
        <v>22</v>
      </c>
      <c r="H142" s="15">
        <f t="shared" si="31"/>
        <v>40</v>
      </c>
    </row>
    <row r="143" spans="1:8" ht="15" customHeight="1" thickTop="1" thickBot="1" x14ac:dyDescent="0.3">
      <c r="A143" s="23" t="s">
        <v>195</v>
      </c>
      <c r="B143" s="24"/>
      <c r="C143" s="24"/>
      <c r="D143" s="24"/>
      <c r="E143" s="24"/>
      <c r="F143" s="24"/>
      <c r="G143" s="24"/>
      <c r="H143" s="25"/>
    </row>
    <row r="144" spans="1:8" ht="15" customHeight="1" thickTop="1" x14ac:dyDescent="0.25">
      <c r="A144" s="11" t="s">
        <v>128</v>
      </c>
      <c r="B144" s="6">
        <v>4</v>
      </c>
      <c r="C144" s="16">
        <v>0</v>
      </c>
      <c r="D144" s="5">
        <f t="shared" ref="D144:D156" si="32">B144+C144</f>
        <v>4</v>
      </c>
      <c r="E144" s="6">
        <v>7</v>
      </c>
      <c r="F144" s="16">
        <v>0</v>
      </c>
      <c r="G144" s="5">
        <f t="shared" ref="G144:G156" si="33">E144+F144</f>
        <v>7</v>
      </c>
      <c r="H144" s="7">
        <f t="shared" ref="H144:H157" si="34">G144+D144</f>
        <v>11</v>
      </c>
    </row>
    <row r="145" spans="1:8" ht="15" customHeight="1" x14ac:dyDescent="0.25">
      <c r="A145" s="11" t="s">
        <v>130</v>
      </c>
      <c r="B145" s="6">
        <v>4</v>
      </c>
      <c r="C145" s="16">
        <v>0</v>
      </c>
      <c r="D145" s="5">
        <f t="shared" si="32"/>
        <v>4</v>
      </c>
      <c r="E145" s="6">
        <v>27</v>
      </c>
      <c r="F145" s="16">
        <v>2</v>
      </c>
      <c r="G145" s="5">
        <f t="shared" si="33"/>
        <v>29</v>
      </c>
      <c r="H145" s="7">
        <f t="shared" si="34"/>
        <v>33</v>
      </c>
    </row>
    <row r="146" spans="1:8" ht="15" customHeight="1" x14ac:dyDescent="0.25">
      <c r="A146" s="11" t="s">
        <v>131</v>
      </c>
      <c r="B146" s="6">
        <v>0</v>
      </c>
      <c r="C146" s="16">
        <v>0</v>
      </c>
      <c r="D146" s="5">
        <f t="shared" si="32"/>
        <v>0</v>
      </c>
      <c r="E146" s="6">
        <v>7</v>
      </c>
      <c r="F146" s="16">
        <v>0</v>
      </c>
      <c r="G146" s="5">
        <f t="shared" si="33"/>
        <v>7</v>
      </c>
      <c r="H146" s="7">
        <f t="shared" si="34"/>
        <v>7</v>
      </c>
    </row>
    <row r="147" spans="1:8" ht="15" customHeight="1" x14ac:dyDescent="0.25">
      <c r="A147" s="11" t="s">
        <v>132</v>
      </c>
      <c r="B147" s="6">
        <v>0</v>
      </c>
      <c r="C147" s="16">
        <v>0</v>
      </c>
      <c r="D147" s="5">
        <f t="shared" si="32"/>
        <v>0</v>
      </c>
      <c r="E147" s="6">
        <v>4</v>
      </c>
      <c r="F147" s="16">
        <v>0</v>
      </c>
      <c r="G147" s="5">
        <f t="shared" si="33"/>
        <v>4</v>
      </c>
      <c r="H147" s="7">
        <f t="shared" si="34"/>
        <v>4</v>
      </c>
    </row>
    <row r="148" spans="1:8" ht="15" customHeight="1" x14ac:dyDescent="0.25">
      <c r="A148" s="11" t="s">
        <v>196</v>
      </c>
      <c r="B148" s="6">
        <v>0</v>
      </c>
      <c r="C148" s="16">
        <v>0</v>
      </c>
      <c r="D148" s="5">
        <f t="shared" si="32"/>
        <v>0</v>
      </c>
      <c r="E148" s="6">
        <v>1</v>
      </c>
      <c r="F148" s="16">
        <v>0</v>
      </c>
      <c r="G148" s="5">
        <f t="shared" si="33"/>
        <v>1</v>
      </c>
      <c r="H148" s="7">
        <f t="shared" si="34"/>
        <v>1</v>
      </c>
    </row>
    <row r="149" spans="1:8" ht="15" customHeight="1" x14ac:dyDescent="0.25">
      <c r="A149" s="11" t="s">
        <v>216</v>
      </c>
      <c r="B149" s="6">
        <v>0</v>
      </c>
      <c r="C149" s="16">
        <v>0</v>
      </c>
      <c r="D149" s="5">
        <f t="shared" si="32"/>
        <v>0</v>
      </c>
      <c r="E149" s="6">
        <v>1</v>
      </c>
      <c r="F149" s="16">
        <v>0</v>
      </c>
      <c r="G149" s="5">
        <f t="shared" si="33"/>
        <v>1</v>
      </c>
      <c r="H149" s="7">
        <f t="shared" si="34"/>
        <v>1</v>
      </c>
    </row>
    <row r="150" spans="1:8" ht="15" customHeight="1" x14ac:dyDescent="0.25">
      <c r="A150" s="11" t="s">
        <v>133</v>
      </c>
      <c r="B150" s="6">
        <v>0</v>
      </c>
      <c r="C150" s="16">
        <v>0</v>
      </c>
      <c r="D150" s="5">
        <f t="shared" si="32"/>
        <v>0</v>
      </c>
      <c r="E150" s="6">
        <v>1</v>
      </c>
      <c r="F150" s="16">
        <v>0</v>
      </c>
      <c r="G150" s="5">
        <f t="shared" si="33"/>
        <v>1</v>
      </c>
      <c r="H150" s="7">
        <f t="shared" si="34"/>
        <v>1</v>
      </c>
    </row>
    <row r="151" spans="1:8" ht="15" customHeight="1" x14ac:dyDescent="0.25">
      <c r="A151" s="11" t="s">
        <v>134</v>
      </c>
      <c r="B151" s="6">
        <v>0</v>
      </c>
      <c r="C151" s="16">
        <v>0</v>
      </c>
      <c r="D151" s="5">
        <f t="shared" si="32"/>
        <v>0</v>
      </c>
      <c r="E151" s="6">
        <v>1</v>
      </c>
      <c r="F151" s="16">
        <v>0</v>
      </c>
      <c r="G151" s="5">
        <f t="shared" si="33"/>
        <v>1</v>
      </c>
      <c r="H151" s="7">
        <f t="shared" si="34"/>
        <v>1</v>
      </c>
    </row>
    <row r="152" spans="1:8" ht="15" customHeight="1" x14ac:dyDescent="0.25">
      <c r="A152" s="11" t="s">
        <v>135</v>
      </c>
      <c r="B152" s="6">
        <v>0</v>
      </c>
      <c r="C152" s="16">
        <v>0</v>
      </c>
      <c r="D152" s="5">
        <f t="shared" si="32"/>
        <v>0</v>
      </c>
      <c r="E152" s="6">
        <v>31</v>
      </c>
      <c r="F152" s="16">
        <v>0</v>
      </c>
      <c r="G152" s="5">
        <f t="shared" si="33"/>
        <v>31</v>
      </c>
      <c r="H152" s="7">
        <f t="shared" si="34"/>
        <v>31</v>
      </c>
    </row>
    <row r="153" spans="1:8" ht="15" customHeight="1" x14ac:dyDescent="0.25">
      <c r="A153" s="11" t="s">
        <v>200</v>
      </c>
      <c r="B153" s="6">
        <v>1</v>
      </c>
      <c r="C153" s="16">
        <v>0</v>
      </c>
      <c r="D153" s="5">
        <f t="shared" si="32"/>
        <v>1</v>
      </c>
      <c r="E153" s="6">
        <v>0</v>
      </c>
      <c r="F153" s="16">
        <v>0</v>
      </c>
      <c r="G153" s="5">
        <f t="shared" si="33"/>
        <v>0</v>
      </c>
      <c r="H153" s="7">
        <f t="shared" si="34"/>
        <v>1</v>
      </c>
    </row>
    <row r="154" spans="1:8" ht="15" customHeight="1" x14ac:dyDescent="0.25">
      <c r="A154" s="11" t="s">
        <v>201</v>
      </c>
      <c r="B154" s="6">
        <v>0</v>
      </c>
      <c r="C154" s="16">
        <v>0</v>
      </c>
      <c r="D154" s="5">
        <f t="shared" si="32"/>
        <v>0</v>
      </c>
      <c r="E154" s="6">
        <v>1</v>
      </c>
      <c r="F154" s="16">
        <v>0</v>
      </c>
      <c r="G154" s="5">
        <f t="shared" si="33"/>
        <v>1</v>
      </c>
      <c r="H154" s="7">
        <f t="shared" si="34"/>
        <v>1</v>
      </c>
    </row>
    <row r="155" spans="1:8" ht="15" customHeight="1" x14ac:dyDescent="0.25">
      <c r="A155" s="11" t="s">
        <v>136</v>
      </c>
      <c r="B155" s="6">
        <v>0</v>
      </c>
      <c r="C155" s="16">
        <v>0</v>
      </c>
      <c r="D155" s="5">
        <f t="shared" si="32"/>
        <v>0</v>
      </c>
      <c r="E155" s="6">
        <v>5</v>
      </c>
      <c r="F155" s="16">
        <v>0</v>
      </c>
      <c r="G155" s="5">
        <f t="shared" si="33"/>
        <v>5</v>
      </c>
      <c r="H155" s="7">
        <f t="shared" si="34"/>
        <v>5</v>
      </c>
    </row>
    <row r="156" spans="1:8" ht="15" customHeight="1" thickBot="1" x14ac:dyDescent="0.3">
      <c r="A156" s="11" t="s">
        <v>203</v>
      </c>
      <c r="B156" s="6">
        <v>2</v>
      </c>
      <c r="C156" s="16">
        <v>0</v>
      </c>
      <c r="D156" s="5">
        <f t="shared" si="32"/>
        <v>2</v>
      </c>
      <c r="E156" s="6">
        <v>1</v>
      </c>
      <c r="F156" s="16">
        <v>0</v>
      </c>
      <c r="G156" s="5">
        <f t="shared" si="33"/>
        <v>1</v>
      </c>
      <c r="H156" s="7">
        <f t="shared" si="34"/>
        <v>3</v>
      </c>
    </row>
    <row r="157" spans="1:8" ht="15" customHeight="1" thickTop="1" thickBot="1" x14ac:dyDescent="0.3">
      <c r="A157" s="12" t="s">
        <v>6</v>
      </c>
      <c r="B157" s="14">
        <f>SUM(B144:B156)</f>
        <v>11</v>
      </c>
      <c r="C157" s="14">
        <f t="shared" ref="C157:G157" si="35">SUM(C144:C156)</f>
        <v>0</v>
      </c>
      <c r="D157" s="14">
        <f t="shared" si="35"/>
        <v>11</v>
      </c>
      <c r="E157" s="14">
        <f t="shared" si="35"/>
        <v>87</v>
      </c>
      <c r="F157" s="14">
        <f t="shared" si="35"/>
        <v>2</v>
      </c>
      <c r="G157" s="14">
        <f t="shared" si="35"/>
        <v>89</v>
      </c>
      <c r="H157" s="15">
        <f t="shared" si="34"/>
        <v>100</v>
      </c>
    </row>
    <row r="158" spans="1:8" ht="15" customHeight="1" thickTop="1" thickBot="1" x14ac:dyDescent="0.3">
      <c r="A158" s="23" t="s">
        <v>138</v>
      </c>
      <c r="B158" s="24"/>
      <c r="C158" s="24"/>
      <c r="D158" s="24"/>
      <c r="E158" s="24"/>
      <c r="F158" s="24"/>
      <c r="G158" s="24"/>
      <c r="H158" s="25"/>
    </row>
    <row r="159" spans="1:8" ht="15" customHeight="1" thickTop="1" x14ac:dyDescent="0.25">
      <c r="A159" s="11" t="s">
        <v>139</v>
      </c>
      <c r="B159" s="6">
        <v>8</v>
      </c>
      <c r="C159" s="16">
        <v>0</v>
      </c>
      <c r="D159" s="5">
        <f t="shared" ref="D159:D162" si="36">B159+C159</f>
        <v>8</v>
      </c>
      <c r="E159" s="6">
        <v>13</v>
      </c>
      <c r="F159" s="16">
        <v>3</v>
      </c>
      <c r="G159" s="5">
        <f t="shared" ref="G159:G162" si="37">E159+F159</f>
        <v>16</v>
      </c>
      <c r="H159" s="7">
        <f t="shared" ref="H159:H162" si="38">G159+D159</f>
        <v>24</v>
      </c>
    </row>
    <row r="160" spans="1:8" ht="15" customHeight="1" x14ac:dyDescent="0.25">
      <c r="A160" s="11" t="s">
        <v>140</v>
      </c>
      <c r="B160" s="6">
        <v>1</v>
      </c>
      <c r="C160" s="16">
        <v>0</v>
      </c>
      <c r="D160" s="5">
        <f t="shared" si="36"/>
        <v>1</v>
      </c>
      <c r="E160" s="6">
        <v>1</v>
      </c>
      <c r="F160" s="16">
        <v>0</v>
      </c>
      <c r="G160" s="5">
        <f t="shared" si="37"/>
        <v>1</v>
      </c>
      <c r="H160" s="7">
        <f t="shared" si="38"/>
        <v>2</v>
      </c>
    </row>
    <row r="161" spans="1:8" ht="15" customHeight="1" x14ac:dyDescent="0.25">
      <c r="A161" s="11" t="s">
        <v>141</v>
      </c>
      <c r="B161" s="6">
        <v>0</v>
      </c>
      <c r="C161" s="16">
        <v>0</v>
      </c>
      <c r="D161" s="5">
        <f t="shared" si="36"/>
        <v>0</v>
      </c>
      <c r="E161" s="6">
        <v>3</v>
      </c>
      <c r="F161" s="16">
        <v>1</v>
      </c>
      <c r="G161" s="5">
        <f t="shared" si="37"/>
        <v>4</v>
      </c>
      <c r="H161" s="7">
        <f t="shared" si="38"/>
        <v>4</v>
      </c>
    </row>
    <row r="162" spans="1:8" ht="15" customHeight="1" thickBot="1" x14ac:dyDescent="0.3">
      <c r="A162" s="11" t="s">
        <v>158</v>
      </c>
      <c r="B162" s="6">
        <v>1</v>
      </c>
      <c r="C162" s="16">
        <v>0</v>
      </c>
      <c r="D162" s="5">
        <f t="shared" si="36"/>
        <v>1</v>
      </c>
      <c r="E162" s="6">
        <v>0</v>
      </c>
      <c r="F162" s="16">
        <v>1</v>
      </c>
      <c r="G162" s="5">
        <f t="shared" si="37"/>
        <v>1</v>
      </c>
      <c r="H162" s="7">
        <f t="shared" si="38"/>
        <v>2</v>
      </c>
    </row>
    <row r="163" spans="1:8" ht="15" customHeight="1" thickTop="1" thickBot="1" x14ac:dyDescent="0.3">
      <c r="A163" s="12" t="s">
        <v>6</v>
      </c>
      <c r="B163" s="13">
        <f t="shared" ref="B163:H163" si="39">SUM(B159:B162)</f>
        <v>10</v>
      </c>
      <c r="C163" s="13">
        <f t="shared" si="39"/>
        <v>0</v>
      </c>
      <c r="D163" s="13">
        <f t="shared" si="39"/>
        <v>10</v>
      </c>
      <c r="E163" s="13">
        <f t="shared" si="39"/>
        <v>17</v>
      </c>
      <c r="F163" s="13">
        <f t="shared" si="39"/>
        <v>5</v>
      </c>
      <c r="G163" s="13">
        <f t="shared" si="39"/>
        <v>22</v>
      </c>
      <c r="H163" s="15">
        <f t="shared" si="39"/>
        <v>32</v>
      </c>
    </row>
    <row r="164" spans="1:8" ht="15" customHeight="1" thickTop="1" thickBot="1" x14ac:dyDescent="0.3">
      <c r="A164" s="23" t="s">
        <v>146</v>
      </c>
      <c r="B164" s="24"/>
      <c r="C164" s="24"/>
      <c r="D164" s="24"/>
      <c r="E164" s="24"/>
      <c r="F164" s="24"/>
      <c r="G164" s="24"/>
      <c r="H164" s="25"/>
    </row>
    <row r="165" spans="1:8" ht="15" customHeight="1" thickTop="1" x14ac:dyDescent="0.25">
      <c r="A165" s="11" t="s">
        <v>206</v>
      </c>
      <c r="B165" s="6">
        <v>0</v>
      </c>
      <c r="C165" s="16">
        <v>0</v>
      </c>
      <c r="D165" s="5">
        <f t="shared" ref="D165:D166" si="40">B165+C165</f>
        <v>0</v>
      </c>
      <c r="E165" s="6">
        <v>1</v>
      </c>
      <c r="F165" s="16">
        <v>0</v>
      </c>
      <c r="G165" s="5">
        <f t="shared" ref="G165:G166" si="41">E165+F165</f>
        <v>1</v>
      </c>
      <c r="H165" s="7">
        <f t="shared" ref="H165:H166" si="42">G165+D165</f>
        <v>1</v>
      </c>
    </row>
    <row r="166" spans="1:8" ht="15" customHeight="1" thickBot="1" x14ac:dyDescent="0.3">
      <c r="A166" s="11" t="s">
        <v>205</v>
      </c>
      <c r="B166" s="6">
        <v>0</v>
      </c>
      <c r="C166" s="16">
        <v>0</v>
      </c>
      <c r="D166" s="5">
        <f t="shared" si="40"/>
        <v>0</v>
      </c>
      <c r="E166" s="6">
        <v>6</v>
      </c>
      <c r="F166" s="16">
        <v>0</v>
      </c>
      <c r="G166" s="5">
        <f t="shared" si="41"/>
        <v>6</v>
      </c>
      <c r="H166" s="7">
        <f t="shared" si="42"/>
        <v>6</v>
      </c>
    </row>
    <row r="167" spans="1:8" ht="15" customHeight="1" thickTop="1" thickBot="1" x14ac:dyDescent="0.3">
      <c r="A167" s="12" t="s">
        <v>6</v>
      </c>
      <c r="B167" s="13">
        <f>SUM(B165:B166)</f>
        <v>0</v>
      </c>
      <c r="C167" s="13">
        <f t="shared" ref="C167:H167" si="43">SUM(C165:C166)</f>
        <v>0</v>
      </c>
      <c r="D167" s="13">
        <f t="shared" si="43"/>
        <v>0</v>
      </c>
      <c r="E167" s="13">
        <f t="shared" si="43"/>
        <v>7</v>
      </c>
      <c r="F167" s="13">
        <f t="shared" si="43"/>
        <v>0</v>
      </c>
      <c r="G167" s="13">
        <f t="shared" si="43"/>
        <v>7</v>
      </c>
      <c r="H167" s="15">
        <f t="shared" si="43"/>
        <v>7</v>
      </c>
    </row>
    <row r="168" spans="1:8" ht="15" customHeight="1" thickTop="1" thickBot="1" x14ac:dyDescent="0.3">
      <c r="A168" s="23"/>
      <c r="B168" s="24"/>
      <c r="C168" s="24"/>
      <c r="D168" s="24"/>
      <c r="E168" s="24"/>
      <c r="F168" s="24"/>
      <c r="G168" s="24"/>
      <c r="H168" s="25"/>
    </row>
    <row r="169" spans="1:8" ht="15" customHeight="1" thickTop="1" thickBot="1" x14ac:dyDescent="0.3">
      <c r="A169" s="43" t="s">
        <v>0</v>
      </c>
      <c r="B169" s="44">
        <f>B33+B51+B66+B95+B124+B128+B142+B157+B163+B167</f>
        <v>2768</v>
      </c>
      <c r="C169" s="44">
        <f t="shared" ref="C169:H169" si="44">C33+C51+C66+C95+C124+C128+C142+C157+C163+C167</f>
        <v>32</v>
      </c>
      <c r="D169" s="44">
        <f t="shared" si="44"/>
        <v>2800</v>
      </c>
      <c r="E169" s="44">
        <f t="shared" si="44"/>
        <v>2314</v>
      </c>
      <c r="F169" s="44">
        <f t="shared" si="44"/>
        <v>342</v>
      </c>
      <c r="G169" s="44">
        <f t="shared" si="44"/>
        <v>2656</v>
      </c>
      <c r="H169" s="45">
        <f t="shared" si="44"/>
        <v>5456</v>
      </c>
    </row>
    <row r="171" spans="1:8" ht="15" customHeight="1" x14ac:dyDescent="0.25">
      <c r="A171" s="47" t="s">
        <v>147</v>
      </c>
      <c r="B171" s="47"/>
      <c r="C171" s="47"/>
      <c r="D171" s="47"/>
      <c r="E171" s="47"/>
      <c r="F171" s="47"/>
      <c r="G171" s="47"/>
      <c r="H171" s="47"/>
    </row>
    <row r="172" spans="1:8" ht="15" customHeight="1" x14ac:dyDescent="0.25">
      <c r="A172" s="47" t="s">
        <v>218</v>
      </c>
      <c r="B172" s="47"/>
      <c r="C172" s="47"/>
      <c r="D172" s="47"/>
      <c r="E172" s="47"/>
      <c r="F172" s="47"/>
      <c r="G172" s="47"/>
      <c r="H172" s="47"/>
    </row>
    <row r="175" spans="1:8" ht="25.5" customHeight="1" x14ac:dyDescent="0.25"/>
    <row r="176" spans="1:8" ht="25.5" customHeight="1" x14ac:dyDescent="0.25"/>
  </sheetData>
  <mergeCells count="18">
    <mergeCell ref="A168:H168"/>
    <mergeCell ref="A171:H171"/>
    <mergeCell ref="A172:H172"/>
    <mergeCell ref="H5:H6"/>
    <mergeCell ref="A2:H2"/>
    <mergeCell ref="B5:D5"/>
    <mergeCell ref="E5:G5"/>
    <mergeCell ref="A7:H7"/>
    <mergeCell ref="A34:H34"/>
    <mergeCell ref="A164:H164"/>
    <mergeCell ref="A5:A6"/>
    <mergeCell ref="A67:H67"/>
    <mergeCell ref="A96:H96"/>
    <mergeCell ref="A125:H125"/>
    <mergeCell ref="A129:H129"/>
    <mergeCell ref="A143:H143"/>
    <mergeCell ref="A158:H158"/>
    <mergeCell ref="A52:H52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&amp;A&amp;RPage &amp;P of &amp;N</oddFooter>
  </headerFooter>
  <rowBreaks count="1" manualBreakCount="1">
    <brk id="142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6"/>
  <sheetViews>
    <sheetView view="pageLayout" topLeftCell="A139" zoomScaleNormal="85" workbookViewId="0">
      <selection activeCell="A178" sqref="A178"/>
    </sheetView>
  </sheetViews>
  <sheetFormatPr defaultRowHeight="15" customHeight="1" x14ac:dyDescent="0.25"/>
  <cols>
    <col min="1" max="1" width="18.85546875" bestFit="1" customWidth="1"/>
    <col min="2" max="8" width="6" customWidth="1"/>
    <col min="9" max="11" width="5.5703125" customWidth="1"/>
  </cols>
  <sheetData>
    <row r="1" spans="1:9" ht="15" customHeight="1" x14ac:dyDescent="0.25">
      <c r="A1" s="1" t="s">
        <v>7</v>
      </c>
      <c r="B1" s="3"/>
    </row>
    <row r="2" spans="1:9" ht="15" customHeight="1" x14ac:dyDescent="0.25">
      <c r="A2" s="31" t="s">
        <v>8</v>
      </c>
      <c r="B2" s="31"/>
      <c r="C2" s="31"/>
      <c r="D2" s="31"/>
      <c r="E2" s="31"/>
      <c r="F2" s="31"/>
      <c r="G2" s="31"/>
      <c r="H2" s="31"/>
    </row>
    <row r="3" spans="1:9" ht="15" customHeight="1" x14ac:dyDescent="0.25">
      <c r="A3" s="2" t="str">
        <f ca="1">RIGHT(CELL("filename",A1),LEN(CELL("filename",A1))-FIND("]",CELL("filename",A1)))</f>
        <v>2003-04</v>
      </c>
      <c r="B3" s="3"/>
    </row>
    <row r="4" spans="1:9" ht="24" customHeight="1" thickBot="1" x14ac:dyDescent="0.3">
      <c r="A4" s="3"/>
      <c r="B4" s="3"/>
    </row>
    <row r="5" spans="1:9" ht="15" customHeight="1" x14ac:dyDescent="0.25">
      <c r="A5" s="29" t="s">
        <v>3</v>
      </c>
      <c r="B5" s="26" t="s">
        <v>1</v>
      </c>
      <c r="C5" s="27"/>
      <c r="D5" s="27"/>
      <c r="E5" s="26" t="s">
        <v>2</v>
      </c>
      <c r="F5" s="27"/>
      <c r="G5" s="27"/>
      <c r="H5" s="62" t="s">
        <v>0</v>
      </c>
    </row>
    <row r="6" spans="1:9" ht="15" customHeight="1" x14ac:dyDescent="0.25">
      <c r="A6" s="30"/>
      <c r="B6" s="59" t="s">
        <v>4</v>
      </c>
      <c r="C6" s="60" t="s">
        <v>5</v>
      </c>
      <c r="D6" s="61" t="s">
        <v>0</v>
      </c>
      <c r="E6" s="59" t="s">
        <v>4</v>
      </c>
      <c r="F6" s="60" t="s">
        <v>5</v>
      </c>
      <c r="G6" s="61" t="s">
        <v>0</v>
      </c>
      <c r="H6" s="63"/>
      <c r="I6" s="22"/>
    </row>
    <row r="7" spans="1:9" ht="15" customHeight="1" thickBot="1" x14ac:dyDescent="0.3">
      <c r="A7" s="32" t="s">
        <v>9</v>
      </c>
      <c r="B7" s="33"/>
      <c r="C7" s="33"/>
      <c r="D7" s="33"/>
      <c r="E7" s="33"/>
      <c r="F7" s="33"/>
      <c r="G7" s="33"/>
      <c r="H7" s="34"/>
    </row>
    <row r="8" spans="1:9" ht="15" customHeight="1" thickTop="1" x14ac:dyDescent="0.25">
      <c r="A8" s="11" t="s">
        <v>10</v>
      </c>
      <c r="B8" s="6">
        <v>24</v>
      </c>
      <c r="C8" s="4">
        <v>0</v>
      </c>
      <c r="D8" s="5">
        <f t="shared" ref="D8:D22" si="0">B8+C8</f>
        <v>24</v>
      </c>
      <c r="E8" s="6">
        <v>16</v>
      </c>
      <c r="F8" s="4">
        <v>1</v>
      </c>
      <c r="G8" s="5">
        <f t="shared" ref="G8:G22" si="1">E8+F8</f>
        <v>17</v>
      </c>
      <c r="H8" s="7">
        <f t="shared" ref="H8:H22" si="2">G8+D8</f>
        <v>41</v>
      </c>
    </row>
    <row r="9" spans="1:9" ht="15" customHeight="1" x14ac:dyDescent="0.25">
      <c r="A9" s="11" t="s">
        <v>11</v>
      </c>
      <c r="B9" s="6">
        <v>49</v>
      </c>
      <c r="C9" s="4">
        <v>0</v>
      </c>
      <c r="D9" s="5">
        <f t="shared" si="0"/>
        <v>49</v>
      </c>
      <c r="E9" s="6">
        <v>27</v>
      </c>
      <c r="F9" s="4">
        <v>6</v>
      </c>
      <c r="G9" s="5">
        <f t="shared" si="1"/>
        <v>33</v>
      </c>
      <c r="H9" s="7">
        <f t="shared" si="2"/>
        <v>82</v>
      </c>
    </row>
    <row r="10" spans="1:9" ht="15" customHeight="1" x14ac:dyDescent="0.25">
      <c r="A10" s="11" t="s">
        <v>12</v>
      </c>
      <c r="B10" s="6">
        <v>19</v>
      </c>
      <c r="C10" s="4">
        <v>0</v>
      </c>
      <c r="D10" s="5">
        <f t="shared" si="0"/>
        <v>19</v>
      </c>
      <c r="E10" s="6">
        <v>19</v>
      </c>
      <c r="F10" s="4">
        <v>3</v>
      </c>
      <c r="G10" s="5">
        <f t="shared" si="1"/>
        <v>22</v>
      </c>
      <c r="H10" s="7">
        <f t="shared" si="2"/>
        <v>41</v>
      </c>
    </row>
    <row r="11" spans="1:9" ht="15" customHeight="1" x14ac:dyDescent="0.25">
      <c r="A11" s="11" t="s">
        <v>13</v>
      </c>
      <c r="B11" s="6">
        <v>9</v>
      </c>
      <c r="C11" s="4">
        <v>1</v>
      </c>
      <c r="D11" s="5">
        <f t="shared" si="0"/>
        <v>10</v>
      </c>
      <c r="E11" s="6">
        <v>62</v>
      </c>
      <c r="F11" s="4">
        <v>22</v>
      </c>
      <c r="G11" s="5">
        <f t="shared" si="1"/>
        <v>84</v>
      </c>
      <c r="H11" s="7">
        <f t="shared" si="2"/>
        <v>94</v>
      </c>
    </row>
    <row r="12" spans="1:9" ht="15" customHeight="1" x14ac:dyDescent="0.25">
      <c r="A12" s="11" t="s">
        <v>14</v>
      </c>
      <c r="B12" s="6">
        <v>13</v>
      </c>
      <c r="C12" s="4">
        <v>0</v>
      </c>
      <c r="D12" s="5">
        <f t="shared" si="0"/>
        <v>13</v>
      </c>
      <c r="E12" s="6">
        <v>7</v>
      </c>
      <c r="F12" s="4">
        <v>2</v>
      </c>
      <c r="G12" s="5">
        <f t="shared" si="1"/>
        <v>9</v>
      </c>
      <c r="H12" s="7">
        <f t="shared" si="2"/>
        <v>22</v>
      </c>
    </row>
    <row r="13" spans="1:9" ht="15" customHeight="1" x14ac:dyDescent="0.25">
      <c r="A13" s="11" t="s">
        <v>15</v>
      </c>
      <c r="B13" s="6">
        <v>102</v>
      </c>
      <c r="C13" s="4">
        <v>1</v>
      </c>
      <c r="D13" s="5">
        <f t="shared" si="0"/>
        <v>103</v>
      </c>
      <c r="E13" s="6">
        <v>65</v>
      </c>
      <c r="F13" s="4">
        <v>6</v>
      </c>
      <c r="G13" s="5">
        <f t="shared" si="1"/>
        <v>71</v>
      </c>
      <c r="H13" s="7">
        <f t="shared" si="2"/>
        <v>174</v>
      </c>
    </row>
    <row r="14" spans="1:9" ht="15" customHeight="1" x14ac:dyDescent="0.25">
      <c r="A14" s="11" t="s">
        <v>16</v>
      </c>
      <c r="B14" s="6">
        <v>134</v>
      </c>
      <c r="C14" s="4">
        <v>2</v>
      </c>
      <c r="D14" s="5">
        <f t="shared" si="0"/>
        <v>136</v>
      </c>
      <c r="E14" s="6">
        <v>81</v>
      </c>
      <c r="F14" s="4">
        <v>21</v>
      </c>
      <c r="G14" s="5">
        <f t="shared" si="1"/>
        <v>102</v>
      </c>
      <c r="H14" s="7">
        <f t="shared" si="2"/>
        <v>238</v>
      </c>
    </row>
    <row r="15" spans="1:9" ht="15" customHeight="1" x14ac:dyDescent="0.25">
      <c r="A15" s="11" t="s">
        <v>160</v>
      </c>
      <c r="B15" s="6">
        <v>6</v>
      </c>
      <c r="C15" s="4">
        <v>0</v>
      </c>
      <c r="D15" s="5">
        <f t="shared" si="0"/>
        <v>6</v>
      </c>
      <c r="E15" s="6">
        <v>0</v>
      </c>
      <c r="F15" s="4">
        <v>1</v>
      </c>
      <c r="G15" s="5">
        <f t="shared" si="1"/>
        <v>1</v>
      </c>
      <c r="H15" s="7">
        <f t="shared" si="2"/>
        <v>7</v>
      </c>
    </row>
    <row r="16" spans="1:9" ht="15" customHeight="1" x14ac:dyDescent="0.25">
      <c r="A16" s="11" t="s">
        <v>17</v>
      </c>
      <c r="B16" s="6">
        <v>103</v>
      </c>
      <c r="C16" s="4">
        <v>0</v>
      </c>
      <c r="D16" s="5">
        <f t="shared" si="0"/>
        <v>103</v>
      </c>
      <c r="E16" s="6">
        <v>215</v>
      </c>
      <c r="F16" s="4">
        <v>34</v>
      </c>
      <c r="G16" s="5">
        <f t="shared" si="1"/>
        <v>249</v>
      </c>
      <c r="H16" s="7">
        <f t="shared" si="2"/>
        <v>352</v>
      </c>
    </row>
    <row r="17" spans="1:8" ht="15" customHeight="1" x14ac:dyDescent="0.25">
      <c r="A17" s="11" t="s">
        <v>18</v>
      </c>
      <c r="B17" s="6">
        <v>103</v>
      </c>
      <c r="C17" s="4">
        <v>1</v>
      </c>
      <c r="D17" s="5">
        <f t="shared" si="0"/>
        <v>104</v>
      </c>
      <c r="E17" s="6">
        <v>97</v>
      </c>
      <c r="F17" s="4">
        <v>15</v>
      </c>
      <c r="G17" s="5">
        <f t="shared" si="1"/>
        <v>112</v>
      </c>
      <c r="H17" s="7">
        <f t="shared" si="2"/>
        <v>216</v>
      </c>
    </row>
    <row r="18" spans="1:8" ht="15" customHeight="1" x14ac:dyDescent="0.25">
      <c r="A18" s="11" t="s">
        <v>19</v>
      </c>
      <c r="B18" s="6">
        <v>13</v>
      </c>
      <c r="C18" s="4">
        <v>0</v>
      </c>
      <c r="D18" s="5">
        <f t="shared" si="0"/>
        <v>13</v>
      </c>
      <c r="E18" s="6">
        <v>4</v>
      </c>
      <c r="F18" s="4">
        <v>1</v>
      </c>
      <c r="G18" s="5">
        <f>E18+F18</f>
        <v>5</v>
      </c>
      <c r="H18" s="7">
        <f>G18+D18</f>
        <v>18</v>
      </c>
    </row>
    <row r="19" spans="1:8" ht="15" customHeight="1" x14ac:dyDescent="0.25">
      <c r="A19" s="11" t="s">
        <v>20</v>
      </c>
      <c r="B19" s="6">
        <v>21</v>
      </c>
      <c r="C19" s="4">
        <v>0</v>
      </c>
      <c r="D19" s="5">
        <f t="shared" si="0"/>
        <v>21</v>
      </c>
      <c r="E19" s="6">
        <v>15</v>
      </c>
      <c r="F19" s="4">
        <v>4</v>
      </c>
      <c r="G19" s="5">
        <f>E19+F19</f>
        <v>19</v>
      </c>
      <c r="H19" s="7">
        <f>G19+D19</f>
        <v>40</v>
      </c>
    </row>
    <row r="20" spans="1:8" ht="15" customHeight="1" x14ac:dyDescent="0.25">
      <c r="A20" s="11" t="s">
        <v>21</v>
      </c>
      <c r="B20" s="6">
        <v>16</v>
      </c>
      <c r="C20" s="4">
        <v>0</v>
      </c>
      <c r="D20" s="5">
        <f t="shared" si="0"/>
        <v>16</v>
      </c>
      <c r="E20" s="6">
        <v>33</v>
      </c>
      <c r="F20" s="4">
        <v>4</v>
      </c>
      <c r="G20" s="5">
        <f t="shared" si="1"/>
        <v>37</v>
      </c>
      <c r="H20" s="7">
        <f t="shared" si="2"/>
        <v>53</v>
      </c>
    </row>
    <row r="21" spans="1:8" ht="15" customHeight="1" x14ac:dyDescent="0.25">
      <c r="A21" s="11" t="s">
        <v>22</v>
      </c>
      <c r="B21" s="6">
        <v>69</v>
      </c>
      <c r="C21" s="4">
        <v>0</v>
      </c>
      <c r="D21" s="5">
        <f t="shared" si="0"/>
        <v>69</v>
      </c>
      <c r="E21" s="6">
        <v>44</v>
      </c>
      <c r="F21" s="4">
        <v>5</v>
      </c>
      <c r="G21" s="5">
        <f t="shared" si="1"/>
        <v>49</v>
      </c>
      <c r="H21" s="7">
        <f t="shared" si="2"/>
        <v>118</v>
      </c>
    </row>
    <row r="22" spans="1:8" ht="15" customHeight="1" thickBot="1" x14ac:dyDescent="0.3">
      <c r="A22" s="11" t="s">
        <v>23</v>
      </c>
      <c r="B22" s="8">
        <v>58</v>
      </c>
      <c r="C22" s="9">
        <v>0</v>
      </c>
      <c r="D22" s="10">
        <f t="shared" si="0"/>
        <v>58</v>
      </c>
      <c r="E22" s="8">
        <v>18</v>
      </c>
      <c r="F22" s="9">
        <v>5</v>
      </c>
      <c r="G22" s="5">
        <f t="shared" si="1"/>
        <v>23</v>
      </c>
      <c r="H22" s="7">
        <f t="shared" si="2"/>
        <v>81</v>
      </c>
    </row>
    <row r="23" spans="1:8" ht="15" customHeight="1" thickTop="1" thickBot="1" x14ac:dyDescent="0.3">
      <c r="A23" s="12" t="s">
        <v>6</v>
      </c>
      <c r="B23" s="13">
        <f t="shared" ref="B23:H23" si="3">SUM(B8:B22)</f>
        <v>739</v>
      </c>
      <c r="C23" s="13">
        <f t="shared" si="3"/>
        <v>5</v>
      </c>
      <c r="D23" s="13">
        <f t="shared" si="3"/>
        <v>744</v>
      </c>
      <c r="E23" s="13">
        <f t="shared" si="3"/>
        <v>703</v>
      </c>
      <c r="F23" s="13">
        <f t="shared" si="3"/>
        <v>130</v>
      </c>
      <c r="G23" s="13">
        <f t="shared" si="3"/>
        <v>833</v>
      </c>
      <c r="H23" s="15">
        <f t="shared" si="3"/>
        <v>1577</v>
      </c>
    </row>
    <row r="24" spans="1:8" ht="15" customHeight="1" thickTop="1" thickBot="1" x14ac:dyDescent="0.3">
      <c r="A24" s="23" t="s">
        <v>24</v>
      </c>
      <c r="B24" s="24"/>
      <c r="C24" s="24"/>
      <c r="D24" s="24"/>
      <c r="E24" s="24"/>
      <c r="F24" s="24"/>
      <c r="G24" s="24"/>
      <c r="H24" s="25"/>
    </row>
    <row r="25" spans="1:8" ht="15" customHeight="1" thickTop="1" x14ac:dyDescent="0.25">
      <c r="A25" s="11" t="s">
        <v>25</v>
      </c>
      <c r="B25" s="6">
        <v>3</v>
      </c>
      <c r="C25" s="16">
        <v>0</v>
      </c>
      <c r="D25" s="5">
        <f t="shared" ref="D25:D51" si="4">B25+C25</f>
        <v>3</v>
      </c>
      <c r="E25" s="6">
        <v>0</v>
      </c>
      <c r="F25" s="16">
        <v>0</v>
      </c>
      <c r="G25" s="5">
        <f t="shared" ref="G25:G52" si="5">E25+F25</f>
        <v>0</v>
      </c>
      <c r="H25" s="7">
        <f t="shared" ref="H25:H52" si="6">G25+D25</f>
        <v>3</v>
      </c>
    </row>
    <row r="26" spans="1:8" ht="15" customHeight="1" x14ac:dyDescent="0.25">
      <c r="A26" s="11" t="s">
        <v>26</v>
      </c>
      <c r="B26" s="6">
        <v>0</v>
      </c>
      <c r="C26" s="16">
        <v>0</v>
      </c>
      <c r="D26" s="5">
        <f t="shared" si="4"/>
        <v>0</v>
      </c>
      <c r="E26" s="6">
        <v>2</v>
      </c>
      <c r="F26" s="16">
        <v>0</v>
      </c>
      <c r="G26" s="5">
        <f t="shared" si="5"/>
        <v>2</v>
      </c>
      <c r="H26" s="7">
        <f t="shared" si="6"/>
        <v>2</v>
      </c>
    </row>
    <row r="27" spans="1:8" ht="15" customHeight="1" x14ac:dyDescent="0.25">
      <c r="A27" s="11" t="s">
        <v>148</v>
      </c>
      <c r="B27" s="6">
        <v>3</v>
      </c>
      <c r="C27" s="16">
        <v>0</v>
      </c>
      <c r="D27" s="5">
        <f t="shared" si="4"/>
        <v>3</v>
      </c>
      <c r="E27" s="6">
        <v>0</v>
      </c>
      <c r="F27" s="16">
        <v>0</v>
      </c>
      <c r="G27" s="5">
        <f t="shared" si="5"/>
        <v>0</v>
      </c>
      <c r="H27" s="7">
        <f t="shared" si="6"/>
        <v>3</v>
      </c>
    </row>
    <row r="28" spans="1:8" ht="15" customHeight="1" x14ac:dyDescent="0.25">
      <c r="A28" s="11" t="s">
        <v>27</v>
      </c>
      <c r="B28" s="6">
        <v>0</v>
      </c>
      <c r="C28" s="16">
        <v>0</v>
      </c>
      <c r="D28" s="5">
        <f t="shared" si="4"/>
        <v>0</v>
      </c>
      <c r="E28" s="6">
        <v>0</v>
      </c>
      <c r="F28" s="16">
        <v>1</v>
      </c>
      <c r="G28" s="5">
        <f t="shared" si="5"/>
        <v>1</v>
      </c>
      <c r="H28" s="7">
        <f t="shared" si="6"/>
        <v>1</v>
      </c>
    </row>
    <row r="29" spans="1:8" ht="15" customHeight="1" x14ac:dyDescent="0.25">
      <c r="A29" s="11" t="s">
        <v>28</v>
      </c>
      <c r="B29" s="6">
        <v>11</v>
      </c>
      <c r="C29" s="16">
        <v>0</v>
      </c>
      <c r="D29" s="5">
        <f t="shared" si="4"/>
        <v>11</v>
      </c>
      <c r="E29" s="6">
        <v>5</v>
      </c>
      <c r="F29" s="16">
        <v>0</v>
      </c>
      <c r="G29" s="5">
        <f t="shared" si="5"/>
        <v>5</v>
      </c>
      <c r="H29" s="7">
        <f t="shared" si="6"/>
        <v>16</v>
      </c>
    </row>
    <row r="30" spans="1:8" ht="15" customHeight="1" x14ac:dyDescent="0.25">
      <c r="A30" s="11" t="s">
        <v>29</v>
      </c>
      <c r="B30" s="6">
        <v>1</v>
      </c>
      <c r="C30" s="16">
        <v>0</v>
      </c>
      <c r="D30" s="5">
        <f t="shared" si="4"/>
        <v>1</v>
      </c>
      <c r="E30" s="6">
        <v>2</v>
      </c>
      <c r="F30" s="16">
        <v>0</v>
      </c>
      <c r="G30" s="5">
        <f t="shared" si="5"/>
        <v>2</v>
      </c>
      <c r="H30" s="7">
        <f t="shared" si="6"/>
        <v>3</v>
      </c>
    </row>
    <row r="31" spans="1:8" ht="15" customHeight="1" x14ac:dyDescent="0.25">
      <c r="A31" s="11" t="s">
        <v>30</v>
      </c>
      <c r="B31" s="6">
        <v>86</v>
      </c>
      <c r="C31" s="16">
        <v>2</v>
      </c>
      <c r="D31" s="5">
        <f t="shared" si="4"/>
        <v>88</v>
      </c>
      <c r="E31" s="6">
        <v>24</v>
      </c>
      <c r="F31" s="16">
        <v>2</v>
      </c>
      <c r="G31" s="5">
        <f t="shared" si="5"/>
        <v>26</v>
      </c>
      <c r="H31" s="7">
        <f t="shared" si="6"/>
        <v>114</v>
      </c>
    </row>
    <row r="32" spans="1:8" ht="15" customHeight="1" x14ac:dyDescent="0.25">
      <c r="A32" s="11" t="s">
        <v>31</v>
      </c>
      <c r="B32" s="6">
        <v>7</v>
      </c>
      <c r="C32" s="16">
        <v>0</v>
      </c>
      <c r="D32" s="5">
        <f t="shared" si="4"/>
        <v>7</v>
      </c>
      <c r="E32" s="6">
        <v>2</v>
      </c>
      <c r="F32" s="16">
        <v>0</v>
      </c>
      <c r="G32" s="5">
        <f t="shared" si="5"/>
        <v>2</v>
      </c>
      <c r="H32" s="7">
        <f t="shared" si="6"/>
        <v>9</v>
      </c>
    </row>
    <row r="33" spans="1:8" ht="15" customHeight="1" x14ac:dyDescent="0.25">
      <c r="A33" s="11" t="s">
        <v>33</v>
      </c>
      <c r="B33" s="6">
        <v>4</v>
      </c>
      <c r="C33" s="16">
        <v>0</v>
      </c>
      <c r="D33" s="5">
        <f t="shared" si="4"/>
        <v>4</v>
      </c>
      <c r="E33" s="6">
        <v>1</v>
      </c>
      <c r="F33" s="16">
        <v>0</v>
      </c>
      <c r="G33" s="5">
        <f t="shared" si="5"/>
        <v>1</v>
      </c>
      <c r="H33" s="7">
        <f t="shared" si="6"/>
        <v>5</v>
      </c>
    </row>
    <row r="34" spans="1:8" ht="15" customHeight="1" x14ac:dyDescent="0.25">
      <c r="A34" s="11" t="s">
        <v>163</v>
      </c>
      <c r="B34" s="6">
        <v>0</v>
      </c>
      <c r="C34" s="16">
        <v>0</v>
      </c>
      <c r="D34" s="5">
        <f t="shared" si="4"/>
        <v>0</v>
      </c>
      <c r="E34" s="6">
        <v>3</v>
      </c>
      <c r="F34" s="16">
        <v>1</v>
      </c>
      <c r="G34" s="5">
        <f t="shared" si="5"/>
        <v>4</v>
      </c>
      <c r="H34" s="7">
        <f t="shared" si="6"/>
        <v>4</v>
      </c>
    </row>
    <row r="35" spans="1:8" ht="15" customHeight="1" x14ac:dyDescent="0.25">
      <c r="A35" s="11" t="s">
        <v>34</v>
      </c>
      <c r="B35" s="6">
        <v>4</v>
      </c>
      <c r="C35" s="16">
        <v>0</v>
      </c>
      <c r="D35" s="5">
        <f t="shared" si="4"/>
        <v>4</v>
      </c>
      <c r="E35" s="6">
        <v>4</v>
      </c>
      <c r="F35" s="16">
        <v>0</v>
      </c>
      <c r="G35" s="5">
        <f t="shared" si="5"/>
        <v>4</v>
      </c>
      <c r="H35" s="7">
        <f t="shared" si="6"/>
        <v>8</v>
      </c>
    </row>
    <row r="36" spans="1:8" ht="15" customHeight="1" x14ac:dyDescent="0.25">
      <c r="A36" s="11" t="s">
        <v>35</v>
      </c>
      <c r="B36" s="6">
        <v>0</v>
      </c>
      <c r="C36" s="16">
        <v>0</v>
      </c>
      <c r="D36" s="5">
        <f t="shared" si="4"/>
        <v>0</v>
      </c>
      <c r="E36" s="6">
        <v>5</v>
      </c>
      <c r="F36" s="16">
        <v>0</v>
      </c>
      <c r="G36" s="5">
        <f t="shared" si="5"/>
        <v>5</v>
      </c>
      <c r="H36" s="7">
        <f t="shared" si="6"/>
        <v>5</v>
      </c>
    </row>
    <row r="37" spans="1:8" ht="15" customHeight="1" x14ac:dyDescent="0.25">
      <c r="A37" s="11" t="s">
        <v>36</v>
      </c>
      <c r="B37" s="6">
        <v>3</v>
      </c>
      <c r="C37" s="16">
        <v>0</v>
      </c>
      <c r="D37" s="5">
        <f t="shared" si="4"/>
        <v>3</v>
      </c>
      <c r="E37" s="6">
        <v>1</v>
      </c>
      <c r="F37" s="16">
        <v>0</v>
      </c>
      <c r="G37" s="5">
        <f t="shared" si="5"/>
        <v>1</v>
      </c>
      <c r="H37" s="7">
        <f t="shared" si="6"/>
        <v>4</v>
      </c>
    </row>
    <row r="38" spans="1:8" ht="15" customHeight="1" x14ac:dyDescent="0.25">
      <c r="A38" s="11" t="s">
        <v>165</v>
      </c>
      <c r="B38" s="6">
        <v>1</v>
      </c>
      <c r="C38" s="16">
        <v>0</v>
      </c>
      <c r="D38" s="5">
        <f t="shared" si="4"/>
        <v>1</v>
      </c>
      <c r="E38" s="6">
        <v>0</v>
      </c>
      <c r="F38" s="16">
        <v>0</v>
      </c>
      <c r="G38" s="5">
        <f t="shared" si="5"/>
        <v>0</v>
      </c>
      <c r="H38" s="7">
        <f t="shared" si="6"/>
        <v>1</v>
      </c>
    </row>
    <row r="39" spans="1:8" ht="15" customHeight="1" x14ac:dyDescent="0.25">
      <c r="A39" s="11" t="s">
        <v>149</v>
      </c>
      <c r="B39" s="6">
        <v>2</v>
      </c>
      <c r="C39" s="16">
        <v>0</v>
      </c>
      <c r="D39" s="5">
        <f t="shared" si="4"/>
        <v>2</v>
      </c>
      <c r="E39" s="6">
        <v>1</v>
      </c>
      <c r="F39" s="16">
        <v>0</v>
      </c>
      <c r="G39" s="5">
        <f t="shared" si="5"/>
        <v>1</v>
      </c>
      <c r="H39" s="7">
        <f t="shared" si="6"/>
        <v>3</v>
      </c>
    </row>
    <row r="40" spans="1:8" ht="15" customHeight="1" x14ac:dyDescent="0.25">
      <c r="A40" s="11" t="s">
        <v>38</v>
      </c>
      <c r="B40" s="6">
        <v>2</v>
      </c>
      <c r="C40" s="16">
        <v>0</v>
      </c>
      <c r="D40" s="5">
        <f t="shared" si="4"/>
        <v>2</v>
      </c>
      <c r="E40" s="6">
        <v>2</v>
      </c>
      <c r="F40" s="16">
        <v>2</v>
      </c>
      <c r="G40" s="5">
        <f t="shared" si="5"/>
        <v>4</v>
      </c>
      <c r="H40" s="7">
        <f t="shared" si="6"/>
        <v>6</v>
      </c>
    </row>
    <row r="41" spans="1:8" ht="15" customHeight="1" x14ac:dyDescent="0.25">
      <c r="A41" s="11" t="s">
        <v>167</v>
      </c>
      <c r="B41" s="6">
        <v>0</v>
      </c>
      <c r="C41" s="16">
        <v>0</v>
      </c>
      <c r="D41" s="5">
        <f t="shared" si="4"/>
        <v>0</v>
      </c>
      <c r="E41" s="6">
        <v>2</v>
      </c>
      <c r="F41" s="16">
        <v>0</v>
      </c>
      <c r="G41" s="5">
        <f t="shared" si="5"/>
        <v>2</v>
      </c>
      <c r="H41" s="7">
        <f t="shared" si="6"/>
        <v>2</v>
      </c>
    </row>
    <row r="42" spans="1:8" ht="15" customHeight="1" x14ac:dyDescent="0.25">
      <c r="A42" s="11" t="s">
        <v>39</v>
      </c>
      <c r="B42" s="6">
        <v>11</v>
      </c>
      <c r="C42" s="16">
        <v>0</v>
      </c>
      <c r="D42" s="5">
        <f t="shared" si="4"/>
        <v>11</v>
      </c>
      <c r="E42" s="6">
        <v>3</v>
      </c>
      <c r="F42" s="16">
        <v>1</v>
      </c>
      <c r="G42" s="5">
        <f t="shared" si="5"/>
        <v>4</v>
      </c>
      <c r="H42" s="7">
        <f t="shared" si="6"/>
        <v>15</v>
      </c>
    </row>
    <row r="43" spans="1:8" ht="15" customHeight="1" x14ac:dyDescent="0.25">
      <c r="A43" s="11" t="s">
        <v>40</v>
      </c>
      <c r="B43" s="6">
        <v>36</v>
      </c>
      <c r="C43" s="16">
        <v>0</v>
      </c>
      <c r="D43" s="5">
        <f t="shared" si="4"/>
        <v>36</v>
      </c>
      <c r="E43" s="6">
        <v>10</v>
      </c>
      <c r="F43" s="16">
        <v>1</v>
      </c>
      <c r="G43" s="5">
        <f t="shared" si="5"/>
        <v>11</v>
      </c>
      <c r="H43" s="7">
        <f t="shared" si="6"/>
        <v>47</v>
      </c>
    </row>
    <row r="44" spans="1:8" ht="15" customHeight="1" x14ac:dyDescent="0.25">
      <c r="A44" s="11" t="s">
        <v>41</v>
      </c>
      <c r="B44" s="6">
        <v>11</v>
      </c>
      <c r="C44" s="16">
        <v>0</v>
      </c>
      <c r="D44" s="5">
        <f t="shared" si="4"/>
        <v>11</v>
      </c>
      <c r="E44" s="6">
        <v>3</v>
      </c>
      <c r="F44" s="16">
        <v>0</v>
      </c>
      <c r="G44" s="5">
        <f t="shared" si="5"/>
        <v>3</v>
      </c>
      <c r="H44" s="7">
        <f t="shared" si="6"/>
        <v>14</v>
      </c>
    </row>
    <row r="45" spans="1:8" ht="15" customHeight="1" x14ac:dyDescent="0.25">
      <c r="A45" s="11" t="s">
        <v>42</v>
      </c>
      <c r="B45" s="6">
        <v>54</v>
      </c>
      <c r="C45" s="16">
        <v>1</v>
      </c>
      <c r="D45" s="5">
        <f t="shared" si="4"/>
        <v>55</v>
      </c>
      <c r="E45" s="6">
        <v>13</v>
      </c>
      <c r="F45" s="16">
        <v>1</v>
      </c>
      <c r="G45" s="5">
        <f t="shared" si="5"/>
        <v>14</v>
      </c>
      <c r="H45" s="7">
        <f t="shared" si="6"/>
        <v>69</v>
      </c>
    </row>
    <row r="46" spans="1:8" ht="15" customHeight="1" x14ac:dyDescent="0.25">
      <c r="A46" s="11" t="s">
        <v>170</v>
      </c>
      <c r="B46" s="6">
        <v>4</v>
      </c>
      <c r="C46" s="16">
        <v>0</v>
      </c>
      <c r="D46" s="5">
        <f t="shared" si="4"/>
        <v>4</v>
      </c>
      <c r="E46" s="6">
        <v>7</v>
      </c>
      <c r="F46" s="16">
        <v>0</v>
      </c>
      <c r="G46" s="5">
        <f t="shared" si="5"/>
        <v>7</v>
      </c>
      <c r="H46" s="7">
        <f t="shared" si="6"/>
        <v>11</v>
      </c>
    </row>
    <row r="47" spans="1:8" ht="15" customHeight="1" x14ac:dyDescent="0.25">
      <c r="A47" s="11" t="s">
        <v>43</v>
      </c>
      <c r="B47" s="6">
        <v>2</v>
      </c>
      <c r="C47" s="16">
        <v>0</v>
      </c>
      <c r="D47" s="5">
        <f t="shared" si="4"/>
        <v>2</v>
      </c>
      <c r="E47" s="6">
        <v>1</v>
      </c>
      <c r="F47" s="16">
        <v>0</v>
      </c>
      <c r="G47" s="5">
        <f t="shared" si="5"/>
        <v>1</v>
      </c>
      <c r="H47" s="7">
        <f t="shared" si="6"/>
        <v>3</v>
      </c>
    </row>
    <row r="48" spans="1:8" ht="15" customHeight="1" x14ac:dyDescent="0.25">
      <c r="A48" s="11" t="s">
        <v>44</v>
      </c>
      <c r="B48" s="6">
        <v>1</v>
      </c>
      <c r="C48" s="16">
        <v>0</v>
      </c>
      <c r="D48" s="5">
        <f t="shared" si="4"/>
        <v>1</v>
      </c>
      <c r="E48" s="6">
        <v>1</v>
      </c>
      <c r="F48" s="16">
        <v>0</v>
      </c>
      <c r="G48" s="5">
        <f t="shared" si="5"/>
        <v>1</v>
      </c>
      <c r="H48" s="7">
        <f t="shared" si="6"/>
        <v>2</v>
      </c>
    </row>
    <row r="49" spans="1:8" ht="15" customHeight="1" x14ac:dyDescent="0.25">
      <c r="A49" s="11" t="s">
        <v>45</v>
      </c>
      <c r="B49" s="6">
        <v>21</v>
      </c>
      <c r="C49" s="16">
        <v>0</v>
      </c>
      <c r="D49" s="5">
        <f t="shared" si="4"/>
        <v>21</v>
      </c>
      <c r="E49" s="6">
        <v>11</v>
      </c>
      <c r="F49" s="16">
        <v>4</v>
      </c>
      <c r="G49" s="5">
        <f t="shared" si="5"/>
        <v>15</v>
      </c>
      <c r="H49" s="7">
        <f t="shared" si="6"/>
        <v>36</v>
      </c>
    </row>
    <row r="50" spans="1:8" ht="15" customHeight="1" x14ac:dyDescent="0.25">
      <c r="A50" s="11" t="s">
        <v>46</v>
      </c>
      <c r="B50" s="6">
        <v>6</v>
      </c>
      <c r="C50" s="16">
        <v>0</v>
      </c>
      <c r="D50" s="5">
        <f t="shared" si="4"/>
        <v>6</v>
      </c>
      <c r="E50" s="6">
        <v>14</v>
      </c>
      <c r="F50" s="16">
        <v>4</v>
      </c>
      <c r="G50" s="5">
        <f t="shared" si="5"/>
        <v>18</v>
      </c>
      <c r="H50" s="7">
        <f t="shared" si="6"/>
        <v>24</v>
      </c>
    </row>
    <row r="51" spans="1:8" ht="15" customHeight="1" thickBot="1" x14ac:dyDescent="0.3">
      <c r="A51" s="11" t="s">
        <v>48</v>
      </c>
      <c r="B51" s="6">
        <v>6</v>
      </c>
      <c r="C51" s="16">
        <v>0</v>
      </c>
      <c r="D51" s="5">
        <f t="shared" si="4"/>
        <v>6</v>
      </c>
      <c r="E51" s="6">
        <v>1</v>
      </c>
      <c r="F51" s="16">
        <v>0</v>
      </c>
      <c r="G51" s="5">
        <f t="shared" si="5"/>
        <v>1</v>
      </c>
      <c r="H51" s="7">
        <f t="shared" si="6"/>
        <v>7</v>
      </c>
    </row>
    <row r="52" spans="1:8" ht="15" customHeight="1" thickTop="1" thickBot="1" x14ac:dyDescent="0.3">
      <c r="A52" s="12" t="s">
        <v>6</v>
      </c>
      <c r="B52" s="13">
        <f>SUM(B25:B51)</f>
        <v>279</v>
      </c>
      <c r="C52" s="13">
        <f>SUM(C25:C51)</f>
        <v>3</v>
      </c>
      <c r="D52" s="13">
        <f>SUM(D25:D51)</f>
        <v>282</v>
      </c>
      <c r="E52" s="13">
        <f>SUM(E25:E51)</f>
        <v>118</v>
      </c>
      <c r="F52" s="13">
        <f>SUM(F25:F51)</f>
        <v>17</v>
      </c>
      <c r="G52" s="14">
        <f t="shared" si="5"/>
        <v>135</v>
      </c>
      <c r="H52" s="15">
        <f t="shared" si="6"/>
        <v>417</v>
      </c>
    </row>
    <row r="53" spans="1:8" ht="15" customHeight="1" thickTop="1" thickBot="1" x14ac:dyDescent="0.3">
      <c r="A53" s="23" t="s">
        <v>49</v>
      </c>
      <c r="B53" s="24"/>
      <c r="C53" s="24"/>
      <c r="D53" s="24"/>
      <c r="E53" s="24"/>
      <c r="F53" s="24"/>
      <c r="G53" s="24"/>
      <c r="H53" s="25"/>
    </row>
    <row r="54" spans="1:8" ht="15" customHeight="1" thickTop="1" x14ac:dyDescent="0.25">
      <c r="A54" s="11" t="s">
        <v>50</v>
      </c>
      <c r="B54" s="6">
        <v>7</v>
      </c>
      <c r="C54" s="16">
        <v>0</v>
      </c>
      <c r="D54" s="5">
        <f t="shared" ref="D54:D65" si="7">B54+C54</f>
        <v>7</v>
      </c>
      <c r="E54" s="6">
        <v>4</v>
      </c>
      <c r="F54" s="16">
        <v>0</v>
      </c>
      <c r="G54" s="5">
        <f t="shared" ref="G54:G65" si="8">E54+F54</f>
        <v>4</v>
      </c>
      <c r="H54" s="7">
        <f t="shared" ref="H54:H65" si="9">G54+D54</f>
        <v>11</v>
      </c>
    </row>
    <row r="55" spans="1:8" ht="15" customHeight="1" x14ac:dyDescent="0.25">
      <c r="A55" s="11" t="s">
        <v>51</v>
      </c>
      <c r="B55" s="6">
        <v>10</v>
      </c>
      <c r="C55" s="16">
        <v>0</v>
      </c>
      <c r="D55" s="5">
        <f t="shared" si="7"/>
        <v>10</v>
      </c>
      <c r="E55" s="6">
        <v>15</v>
      </c>
      <c r="F55" s="16">
        <v>0</v>
      </c>
      <c r="G55" s="5">
        <f t="shared" si="8"/>
        <v>15</v>
      </c>
      <c r="H55" s="7">
        <f t="shared" si="9"/>
        <v>25</v>
      </c>
    </row>
    <row r="56" spans="1:8" ht="15" customHeight="1" x14ac:dyDescent="0.25">
      <c r="A56" s="11" t="s">
        <v>52</v>
      </c>
      <c r="B56" s="6">
        <v>0</v>
      </c>
      <c r="C56" s="16">
        <v>0</v>
      </c>
      <c r="D56" s="5">
        <f t="shared" si="7"/>
        <v>0</v>
      </c>
      <c r="E56" s="6">
        <v>1</v>
      </c>
      <c r="F56" s="16">
        <v>2</v>
      </c>
      <c r="G56" s="5">
        <f t="shared" si="8"/>
        <v>3</v>
      </c>
      <c r="H56" s="7">
        <f t="shared" si="9"/>
        <v>3</v>
      </c>
    </row>
    <row r="57" spans="1:8" ht="15" customHeight="1" x14ac:dyDescent="0.25">
      <c r="A57" s="11" t="s">
        <v>53</v>
      </c>
      <c r="B57" s="6">
        <v>10</v>
      </c>
      <c r="C57" s="16">
        <v>0</v>
      </c>
      <c r="D57" s="5">
        <f t="shared" si="7"/>
        <v>10</v>
      </c>
      <c r="E57" s="6">
        <v>36</v>
      </c>
      <c r="F57" s="16">
        <v>8</v>
      </c>
      <c r="G57" s="5">
        <f t="shared" si="8"/>
        <v>44</v>
      </c>
      <c r="H57" s="7">
        <f t="shared" si="9"/>
        <v>54</v>
      </c>
    </row>
    <row r="58" spans="1:8" ht="15" customHeight="1" x14ac:dyDescent="0.25">
      <c r="A58" s="11" t="s">
        <v>54</v>
      </c>
      <c r="B58" s="6">
        <v>5</v>
      </c>
      <c r="C58" s="16">
        <v>0</v>
      </c>
      <c r="D58" s="5">
        <f t="shared" si="7"/>
        <v>5</v>
      </c>
      <c r="E58" s="6">
        <v>9</v>
      </c>
      <c r="F58" s="16">
        <v>1</v>
      </c>
      <c r="G58" s="5">
        <f t="shared" si="8"/>
        <v>10</v>
      </c>
      <c r="H58" s="7">
        <f t="shared" si="9"/>
        <v>15</v>
      </c>
    </row>
    <row r="59" spans="1:8" ht="15" customHeight="1" x14ac:dyDescent="0.25">
      <c r="A59" s="11" t="s">
        <v>55</v>
      </c>
      <c r="B59" s="6">
        <v>2</v>
      </c>
      <c r="C59" s="16">
        <v>0</v>
      </c>
      <c r="D59" s="5">
        <f t="shared" si="7"/>
        <v>2</v>
      </c>
      <c r="E59" s="6">
        <v>8</v>
      </c>
      <c r="F59" s="16">
        <v>1</v>
      </c>
      <c r="G59" s="5">
        <f t="shared" si="8"/>
        <v>9</v>
      </c>
      <c r="H59" s="7">
        <f t="shared" si="9"/>
        <v>11</v>
      </c>
    </row>
    <row r="60" spans="1:8" ht="15" customHeight="1" x14ac:dyDescent="0.25">
      <c r="A60" s="11" t="s">
        <v>56</v>
      </c>
      <c r="B60" s="6">
        <v>4</v>
      </c>
      <c r="C60" s="16">
        <v>0</v>
      </c>
      <c r="D60" s="5">
        <f t="shared" si="7"/>
        <v>4</v>
      </c>
      <c r="E60" s="6">
        <v>3</v>
      </c>
      <c r="F60" s="16">
        <v>1</v>
      </c>
      <c r="G60" s="5">
        <f t="shared" si="8"/>
        <v>4</v>
      </c>
      <c r="H60" s="7">
        <f t="shared" si="9"/>
        <v>8</v>
      </c>
    </row>
    <row r="61" spans="1:8" ht="15" customHeight="1" x14ac:dyDescent="0.25">
      <c r="A61" s="11" t="s">
        <v>57</v>
      </c>
      <c r="B61" s="6">
        <v>2</v>
      </c>
      <c r="C61" s="16">
        <v>0</v>
      </c>
      <c r="D61" s="5">
        <f t="shared" si="7"/>
        <v>2</v>
      </c>
      <c r="E61" s="6">
        <v>5</v>
      </c>
      <c r="F61" s="16">
        <v>0</v>
      </c>
      <c r="G61" s="5">
        <f t="shared" si="8"/>
        <v>5</v>
      </c>
      <c r="H61" s="7">
        <f t="shared" si="9"/>
        <v>7</v>
      </c>
    </row>
    <row r="62" spans="1:8" ht="15" customHeight="1" x14ac:dyDescent="0.25">
      <c r="A62" s="11" t="s">
        <v>171</v>
      </c>
      <c r="B62" s="6">
        <v>2</v>
      </c>
      <c r="C62" s="16">
        <v>0</v>
      </c>
      <c r="D62" s="5">
        <f t="shared" si="7"/>
        <v>2</v>
      </c>
      <c r="E62" s="6">
        <v>2</v>
      </c>
      <c r="F62" s="16">
        <v>0</v>
      </c>
      <c r="G62" s="5">
        <f t="shared" si="8"/>
        <v>2</v>
      </c>
      <c r="H62" s="7">
        <f t="shared" si="9"/>
        <v>4</v>
      </c>
    </row>
    <row r="63" spans="1:8" ht="15" customHeight="1" x14ac:dyDescent="0.25">
      <c r="A63" s="11" t="s">
        <v>58</v>
      </c>
      <c r="B63" s="6">
        <v>15</v>
      </c>
      <c r="C63" s="16">
        <v>0</v>
      </c>
      <c r="D63" s="5">
        <f t="shared" si="7"/>
        <v>15</v>
      </c>
      <c r="E63" s="6">
        <v>24</v>
      </c>
      <c r="F63" s="16">
        <v>4</v>
      </c>
      <c r="G63" s="5">
        <f t="shared" si="8"/>
        <v>28</v>
      </c>
      <c r="H63" s="7">
        <f t="shared" si="9"/>
        <v>43</v>
      </c>
    </row>
    <row r="64" spans="1:8" ht="15" customHeight="1" x14ac:dyDescent="0.25">
      <c r="A64" s="11" t="s">
        <v>60</v>
      </c>
      <c r="B64" s="6">
        <v>1</v>
      </c>
      <c r="C64" s="16">
        <v>0</v>
      </c>
      <c r="D64" s="5">
        <f t="shared" si="7"/>
        <v>1</v>
      </c>
      <c r="E64" s="6">
        <v>3</v>
      </c>
      <c r="F64" s="16">
        <v>0</v>
      </c>
      <c r="G64" s="5">
        <f t="shared" si="8"/>
        <v>3</v>
      </c>
      <c r="H64" s="7">
        <f t="shared" si="9"/>
        <v>4</v>
      </c>
    </row>
    <row r="65" spans="1:8" ht="15" customHeight="1" thickBot="1" x14ac:dyDescent="0.3">
      <c r="A65" s="11" t="s">
        <v>61</v>
      </c>
      <c r="B65" s="6">
        <v>20</v>
      </c>
      <c r="C65" s="16">
        <v>0</v>
      </c>
      <c r="D65" s="5">
        <f t="shared" si="7"/>
        <v>20</v>
      </c>
      <c r="E65" s="6">
        <v>7</v>
      </c>
      <c r="F65" s="16">
        <v>1</v>
      </c>
      <c r="G65" s="5">
        <f t="shared" si="8"/>
        <v>8</v>
      </c>
      <c r="H65" s="7">
        <f t="shared" si="9"/>
        <v>28</v>
      </c>
    </row>
    <row r="66" spans="1:8" ht="15" customHeight="1" thickTop="1" thickBot="1" x14ac:dyDescent="0.3">
      <c r="A66" s="12" t="s">
        <v>6</v>
      </c>
      <c r="B66" s="13">
        <f t="shared" ref="B66:H66" si="10">SUM(B54:B65)</f>
        <v>78</v>
      </c>
      <c r="C66" s="13">
        <f t="shared" si="10"/>
        <v>0</v>
      </c>
      <c r="D66" s="13">
        <f t="shared" si="10"/>
        <v>78</v>
      </c>
      <c r="E66" s="13">
        <f t="shared" si="10"/>
        <v>117</v>
      </c>
      <c r="F66" s="13">
        <f t="shared" si="10"/>
        <v>18</v>
      </c>
      <c r="G66" s="13">
        <f t="shared" si="10"/>
        <v>135</v>
      </c>
      <c r="H66" s="15">
        <f t="shared" si="10"/>
        <v>213</v>
      </c>
    </row>
    <row r="67" spans="1:8" ht="15" customHeight="1" thickTop="1" thickBot="1" x14ac:dyDescent="0.3">
      <c r="A67" s="23" t="s">
        <v>62</v>
      </c>
      <c r="B67" s="24"/>
      <c r="C67" s="24"/>
      <c r="D67" s="24"/>
      <c r="E67" s="24"/>
      <c r="F67" s="24"/>
      <c r="G67" s="24"/>
      <c r="H67" s="25"/>
    </row>
    <row r="68" spans="1:8" ht="15" customHeight="1" thickTop="1" x14ac:dyDescent="0.25">
      <c r="A68" s="11" t="s">
        <v>161</v>
      </c>
      <c r="B68" s="6">
        <v>0</v>
      </c>
      <c r="C68" s="16">
        <v>0</v>
      </c>
      <c r="D68" s="5">
        <f t="shared" ref="D68:D92" si="11">B68+C68</f>
        <v>0</v>
      </c>
      <c r="E68" s="6">
        <v>1</v>
      </c>
      <c r="F68" s="16">
        <v>0</v>
      </c>
      <c r="G68" s="5">
        <f t="shared" ref="G68" si="12">E68+F68</f>
        <v>1</v>
      </c>
      <c r="H68" s="7">
        <f t="shared" ref="H68:H93" si="13">G68+D68</f>
        <v>1</v>
      </c>
    </row>
    <row r="69" spans="1:8" ht="15" customHeight="1" x14ac:dyDescent="0.25">
      <c r="A69" s="11" t="s">
        <v>64</v>
      </c>
      <c r="B69" s="6">
        <v>17</v>
      </c>
      <c r="C69" s="16">
        <v>1</v>
      </c>
      <c r="D69" s="5">
        <f t="shared" si="11"/>
        <v>18</v>
      </c>
      <c r="E69" s="6">
        <v>4</v>
      </c>
      <c r="F69" s="16">
        <v>4</v>
      </c>
      <c r="G69" s="5">
        <f t="shared" ref="G69:G92" si="14">E69+F69</f>
        <v>8</v>
      </c>
      <c r="H69" s="7">
        <f t="shared" ref="H69:H92" si="15">G69+D69</f>
        <v>26</v>
      </c>
    </row>
    <row r="70" spans="1:8" ht="15" customHeight="1" x14ac:dyDescent="0.25">
      <c r="A70" s="11" t="s">
        <v>65</v>
      </c>
      <c r="B70" s="6">
        <v>14</v>
      </c>
      <c r="C70" s="16">
        <v>0</v>
      </c>
      <c r="D70" s="5">
        <f t="shared" si="11"/>
        <v>14</v>
      </c>
      <c r="E70" s="6">
        <v>2</v>
      </c>
      <c r="F70" s="16">
        <v>0</v>
      </c>
      <c r="G70" s="5">
        <f t="shared" si="14"/>
        <v>2</v>
      </c>
      <c r="H70" s="7">
        <f t="shared" si="15"/>
        <v>16</v>
      </c>
    </row>
    <row r="71" spans="1:8" ht="15" customHeight="1" x14ac:dyDescent="0.25">
      <c r="A71" s="11" t="s">
        <v>173</v>
      </c>
      <c r="B71" s="6">
        <v>3</v>
      </c>
      <c r="C71" s="16">
        <v>0</v>
      </c>
      <c r="D71" s="5">
        <f t="shared" si="11"/>
        <v>3</v>
      </c>
      <c r="E71" s="6">
        <v>0</v>
      </c>
      <c r="F71" s="16">
        <v>2</v>
      </c>
      <c r="G71" s="5">
        <f t="shared" si="14"/>
        <v>2</v>
      </c>
      <c r="H71" s="7">
        <f t="shared" si="15"/>
        <v>5</v>
      </c>
    </row>
    <row r="72" spans="1:8" ht="15" customHeight="1" x14ac:dyDescent="0.25">
      <c r="A72" s="11" t="s">
        <v>174</v>
      </c>
      <c r="B72" s="6">
        <v>192</v>
      </c>
      <c r="C72" s="16">
        <v>3</v>
      </c>
      <c r="D72" s="5">
        <f t="shared" si="11"/>
        <v>195</v>
      </c>
      <c r="E72" s="6">
        <v>214</v>
      </c>
      <c r="F72" s="16">
        <v>3</v>
      </c>
      <c r="G72" s="5">
        <f t="shared" si="14"/>
        <v>217</v>
      </c>
      <c r="H72" s="7">
        <f t="shared" si="15"/>
        <v>412</v>
      </c>
    </row>
    <row r="73" spans="1:8" ht="15" customHeight="1" x14ac:dyDescent="0.25">
      <c r="A73" s="11" t="s">
        <v>175</v>
      </c>
      <c r="B73" s="6">
        <v>233</v>
      </c>
      <c r="C73" s="16">
        <v>4</v>
      </c>
      <c r="D73" s="5">
        <f t="shared" si="11"/>
        <v>237</v>
      </c>
      <c r="E73" s="6">
        <v>59</v>
      </c>
      <c r="F73" s="16">
        <v>3</v>
      </c>
      <c r="G73" s="5">
        <f t="shared" si="14"/>
        <v>62</v>
      </c>
      <c r="H73" s="7">
        <f t="shared" si="15"/>
        <v>299</v>
      </c>
    </row>
    <row r="74" spans="1:8" ht="15" customHeight="1" x14ac:dyDescent="0.25">
      <c r="A74" s="11" t="s">
        <v>70</v>
      </c>
      <c r="B74" s="6">
        <v>21</v>
      </c>
      <c r="C74" s="16">
        <v>0</v>
      </c>
      <c r="D74" s="5">
        <f t="shared" si="11"/>
        <v>21</v>
      </c>
      <c r="E74" s="6">
        <v>50</v>
      </c>
      <c r="F74" s="16">
        <v>67</v>
      </c>
      <c r="G74" s="5">
        <f t="shared" si="14"/>
        <v>117</v>
      </c>
      <c r="H74" s="7">
        <f t="shared" si="15"/>
        <v>138</v>
      </c>
    </row>
    <row r="75" spans="1:8" ht="15" customHeight="1" x14ac:dyDescent="0.25">
      <c r="A75" s="11" t="s">
        <v>71</v>
      </c>
      <c r="B75" s="6">
        <v>5</v>
      </c>
      <c r="C75" s="16">
        <v>0</v>
      </c>
      <c r="D75" s="5">
        <f t="shared" si="11"/>
        <v>5</v>
      </c>
      <c r="E75" s="6">
        <v>9</v>
      </c>
      <c r="F75" s="16">
        <v>2</v>
      </c>
      <c r="G75" s="5">
        <f t="shared" si="14"/>
        <v>11</v>
      </c>
      <c r="H75" s="7">
        <f t="shared" si="15"/>
        <v>16</v>
      </c>
    </row>
    <row r="76" spans="1:8" ht="15" customHeight="1" x14ac:dyDescent="0.25">
      <c r="A76" s="11" t="s">
        <v>72</v>
      </c>
      <c r="B76" s="6">
        <v>104</v>
      </c>
      <c r="C76" s="16">
        <v>0</v>
      </c>
      <c r="D76" s="5">
        <f t="shared" si="11"/>
        <v>104</v>
      </c>
      <c r="E76" s="6">
        <v>81</v>
      </c>
      <c r="F76" s="16">
        <v>1</v>
      </c>
      <c r="G76" s="5">
        <f t="shared" si="14"/>
        <v>82</v>
      </c>
      <c r="H76" s="7">
        <f t="shared" si="15"/>
        <v>186</v>
      </c>
    </row>
    <row r="77" spans="1:8" ht="15" customHeight="1" x14ac:dyDescent="0.25">
      <c r="A77" s="11" t="s">
        <v>73</v>
      </c>
      <c r="B77" s="6">
        <v>6</v>
      </c>
      <c r="C77" s="16">
        <v>1</v>
      </c>
      <c r="D77" s="5">
        <f t="shared" si="11"/>
        <v>7</v>
      </c>
      <c r="E77" s="6">
        <v>5</v>
      </c>
      <c r="F77" s="16">
        <v>0</v>
      </c>
      <c r="G77" s="5">
        <f t="shared" si="14"/>
        <v>5</v>
      </c>
      <c r="H77" s="7">
        <f t="shared" si="15"/>
        <v>12</v>
      </c>
    </row>
    <row r="78" spans="1:8" ht="15" customHeight="1" x14ac:dyDescent="0.25">
      <c r="A78" s="11" t="s">
        <v>176</v>
      </c>
      <c r="B78" s="6">
        <v>58</v>
      </c>
      <c r="C78" s="16">
        <v>3</v>
      </c>
      <c r="D78" s="5">
        <f t="shared" si="11"/>
        <v>61</v>
      </c>
      <c r="E78" s="6">
        <v>46</v>
      </c>
      <c r="F78" s="16">
        <v>4</v>
      </c>
      <c r="G78" s="5">
        <f t="shared" si="14"/>
        <v>50</v>
      </c>
      <c r="H78" s="7">
        <f t="shared" si="15"/>
        <v>111</v>
      </c>
    </row>
    <row r="79" spans="1:8" ht="15" customHeight="1" x14ac:dyDescent="0.25">
      <c r="A79" s="11" t="s">
        <v>177</v>
      </c>
      <c r="B79" s="6">
        <v>3</v>
      </c>
      <c r="C79" s="16">
        <v>0</v>
      </c>
      <c r="D79" s="5">
        <f t="shared" si="11"/>
        <v>3</v>
      </c>
      <c r="E79" s="6">
        <v>0</v>
      </c>
      <c r="F79" s="16">
        <v>0</v>
      </c>
      <c r="G79" s="5">
        <f t="shared" si="14"/>
        <v>0</v>
      </c>
      <c r="H79" s="7">
        <f t="shared" si="15"/>
        <v>3</v>
      </c>
    </row>
    <row r="80" spans="1:8" ht="15" customHeight="1" x14ac:dyDescent="0.25">
      <c r="A80" s="11" t="s">
        <v>74</v>
      </c>
      <c r="B80" s="6">
        <v>96</v>
      </c>
      <c r="C80" s="16">
        <v>0</v>
      </c>
      <c r="D80" s="5">
        <f t="shared" si="11"/>
        <v>96</v>
      </c>
      <c r="E80" s="6">
        <v>67</v>
      </c>
      <c r="F80" s="16">
        <v>1</v>
      </c>
      <c r="G80" s="5">
        <f t="shared" si="14"/>
        <v>68</v>
      </c>
      <c r="H80" s="7">
        <f t="shared" si="15"/>
        <v>164</v>
      </c>
    </row>
    <row r="81" spans="1:8" ht="15" customHeight="1" x14ac:dyDescent="0.25">
      <c r="A81" s="11" t="s">
        <v>178</v>
      </c>
      <c r="B81" s="6">
        <v>2</v>
      </c>
      <c r="C81" s="16">
        <v>1</v>
      </c>
      <c r="D81" s="5">
        <f t="shared" si="11"/>
        <v>3</v>
      </c>
      <c r="E81" s="6">
        <v>1</v>
      </c>
      <c r="F81" s="16">
        <v>0</v>
      </c>
      <c r="G81" s="5">
        <f t="shared" si="14"/>
        <v>1</v>
      </c>
      <c r="H81" s="7">
        <f t="shared" si="15"/>
        <v>4</v>
      </c>
    </row>
    <row r="82" spans="1:8" ht="15" customHeight="1" x14ac:dyDescent="0.25">
      <c r="A82" s="11" t="s">
        <v>76</v>
      </c>
      <c r="B82" s="6">
        <v>1</v>
      </c>
      <c r="C82" s="16">
        <v>0</v>
      </c>
      <c r="D82" s="5">
        <f t="shared" si="11"/>
        <v>1</v>
      </c>
      <c r="E82" s="6">
        <v>4</v>
      </c>
      <c r="F82" s="16">
        <v>0</v>
      </c>
      <c r="G82" s="5">
        <f t="shared" si="14"/>
        <v>4</v>
      </c>
      <c r="H82" s="7">
        <f t="shared" si="15"/>
        <v>5</v>
      </c>
    </row>
    <row r="83" spans="1:8" ht="15" customHeight="1" x14ac:dyDescent="0.25">
      <c r="A83" s="11" t="s">
        <v>77</v>
      </c>
      <c r="B83" s="6">
        <v>38</v>
      </c>
      <c r="C83" s="16">
        <v>0</v>
      </c>
      <c r="D83" s="5">
        <f t="shared" si="11"/>
        <v>38</v>
      </c>
      <c r="E83" s="6">
        <v>31</v>
      </c>
      <c r="F83" s="16">
        <v>5</v>
      </c>
      <c r="G83" s="5">
        <f t="shared" si="14"/>
        <v>36</v>
      </c>
      <c r="H83" s="7">
        <f t="shared" si="15"/>
        <v>74</v>
      </c>
    </row>
    <row r="84" spans="1:8" ht="15" customHeight="1" x14ac:dyDescent="0.25">
      <c r="A84" s="11" t="s">
        <v>79</v>
      </c>
      <c r="B84" s="6">
        <v>4</v>
      </c>
      <c r="C84" s="16">
        <v>0</v>
      </c>
      <c r="D84" s="5">
        <f t="shared" si="11"/>
        <v>4</v>
      </c>
      <c r="E84" s="6">
        <v>3</v>
      </c>
      <c r="F84" s="16">
        <v>0</v>
      </c>
      <c r="G84" s="5">
        <f t="shared" si="14"/>
        <v>3</v>
      </c>
      <c r="H84" s="7">
        <f t="shared" si="15"/>
        <v>7</v>
      </c>
    </row>
    <row r="85" spans="1:8" ht="15" customHeight="1" x14ac:dyDescent="0.25">
      <c r="A85" s="11" t="s">
        <v>80</v>
      </c>
      <c r="B85" s="6">
        <v>167</v>
      </c>
      <c r="C85" s="16">
        <v>0</v>
      </c>
      <c r="D85" s="5">
        <f t="shared" si="11"/>
        <v>167</v>
      </c>
      <c r="E85" s="6">
        <v>41</v>
      </c>
      <c r="F85" s="16">
        <v>1</v>
      </c>
      <c r="G85" s="5">
        <f t="shared" si="14"/>
        <v>42</v>
      </c>
      <c r="H85" s="7">
        <f t="shared" si="15"/>
        <v>209</v>
      </c>
    </row>
    <row r="86" spans="1:8" ht="15" customHeight="1" x14ac:dyDescent="0.25">
      <c r="A86" s="11" t="s">
        <v>82</v>
      </c>
      <c r="B86" s="6">
        <v>24</v>
      </c>
      <c r="C86" s="16">
        <v>0</v>
      </c>
      <c r="D86" s="5">
        <f t="shared" si="11"/>
        <v>24</v>
      </c>
      <c r="E86" s="6">
        <v>9</v>
      </c>
      <c r="F86" s="16">
        <v>1</v>
      </c>
      <c r="G86" s="5">
        <f t="shared" si="14"/>
        <v>10</v>
      </c>
      <c r="H86" s="7">
        <f t="shared" si="15"/>
        <v>34</v>
      </c>
    </row>
    <row r="87" spans="1:8" ht="15" customHeight="1" x14ac:dyDescent="0.25">
      <c r="A87" s="11" t="s">
        <v>83</v>
      </c>
      <c r="B87" s="6">
        <v>36</v>
      </c>
      <c r="C87" s="16">
        <v>1</v>
      </c>
      <c r="D87" s="5">
        <f t="shared" si="11"/>
        <v>37</v>
      </c>
      <c r="E87" s="6">
        <v>52</v>
      </c>
      <c r="F87" s="16">
        <v>5</v>
      </c>
      <c r="G87" s="5">
        <f t="shared" si="14"/>
        <v>57</v>
      </c>
      <c r="H87" s="7">
        <f t="shared" si="15"/>
        <v>94</v>
      </c>
    </row>
    <row r="88" spans="1:8" ht="15" customHeight="1" x14ac:dyDescent="0.25">
      <c r="A88" s="11" t="s">
        <v>211</v>
      </c>
      <c r="B88" s="6">
        <v>0</v>
      </c>
      <c r="C88" s="16">
        <v>0</v>
      </c>
      <c r="D88" s="5">
        <f t="shared" si="11"/>
        <v>0</v>
      </c>
      <c r="E88" s="6">
        <v>1</v>
      </c>
      <c r="F88" s="16">
        <v>0</v>
      </c>
      <c r="G88" s="5">
        <f t="shared" si="14"/>
        <v>1</v>
      </c>
      <c r="H88" s="7">
        <f t="shared" si="15"/>
        <v>1</v>
      </c>
    </row>
    <row r="89" spans="1:8" ht="15" customHeight="1" x14ac:dyDescent="0.25">
      <c r="A89" s="11" t="s">
        <v>84</v>
      </c>
      <c r="B89" s="6">
        <v>43</v>
      </c>
      <c r="C89" s="16">
        <v>0</v>
      </c>
      <c r="D89" s="5">
        <f t="shared" si="11"/>
        <v>43</v>
      </c>
      <c r="E89" s="6">
        <v>36</v>
      </c>
      <c r="F89" s="16">
        <v>0</v>
      </c>
      <c r="G89" s="5">
        <f t="shared" si="14"/>
        <v>36</v>
      </c>
      <c r="H89" s="7">
        <f t="shared" si="15"/>
        <v>79</v>
      </c>
    </row>
    <row r="90" spans="1:8" ht="15" customHeight="1" x14ac:dyDescent="0.25">
      <c r="A90" s="11" t="s">
        <v>179</v>
      </c>
      <c r="B90" s="6">
        <v>0</v>
      </c>
      <c r="C90" s="16">
        <v>0</v>
      </c>
      <c r="D90" s="5">
        <f t="shared" si="11"/>
        <v>0</v>
      </c>
      <c r="E90" s="6">
        <v>1</v>
      </c>
      <c r="F90" s="16">
        <v>0</v>
      </c>
      <c r="G90" s="5">
        <f t="shared" si="14"/>
        <v>1</v>
      </c>
      <c r="H90" s="7">
        <f t="shared" si="15"/>
        <v>1</v>
      </c>
    </row>
    <row r="91" spans="1:8" ht="15" customHeight="1" x14ac:dyDescent="0.25">
      <c r="A91" s="11" t="s">
        <v>180</v>
      </c>
      <c r="B91" s="6">
        <v>1</v>
      </c>
      <c r="C91" s="16">
        <v>0</v>
      </c>
      <c r="D91" s="5">
        <f t="shared" si="11"/>
        <v>1</v>
      </c>
      <c r="E91" s="6">
        <v>0</v>
      </c>
      <c r="F91" s="16">
        <v>0</v>
      </c>
      <c r="G91" s="5">
        <f t="shared" si="14"/>
        <v>0</v>
      </c>
      <c r="H91" s="7">
        <f t="shared" si="15"/>
        <v>1</v>
      </c>
    </row>
    <row r="92" spans="1:8" ht="15" customHeight="1" thickBot="1" x14ac:dyDescent="0.3">
      <c r="A92" s="11" t="s">
        <v>85</v>
      </c>
      <c r="B92" s="6">
        <v>5</v>
      </c>
      <c r="C92" s="16">
        <v>0</v>
      </c>
      <c r="D92" s="5">
        <f t="shared" si="11"/>
        <v>5</v>
      </c>
      <c r="E92" s="6">
        <v>2</v>
      </c>
      <c r="F92" s="16">
        <v>0</v>
      </c>
      <c r="G92" s="5">
        <f t="shared" si="14"/>
        <v>2</v>
      </c>
      <c r="H92" s="7">
        <f t="shared" si="15"/>
        <v>7</v>
      </c>
    </row>
    <row r="93" spans="1:8" ht="15" customHeight="1" thickTop="1" thickBot="1" x14ac:dyDescent="0.3">
      <c r="A93" s="12" t="s">
        <v>6</v>
      </c>
      <c r="B93" s="13">
        <f t="shared" ref="B93:G93" si="16">SUM(B68:B92)</f>
        <v>1073</v>
      </c>
      <c r="C93" s="13">
        <f t="shared" si="16"/>
        <v>14</v>
      </c>
      <c r="D93" s="13">
        <f t="shared" si="16"/>
        <v>1087</v>
      </c>
      <c r="E93" s="13">
        <f t="shared" si="16"/>
        <v>719</v>
      </c>
      <c r="F93" s="13">
        <f t="shared" si="16"/>
        <v>99</v>
      </c>
      <c r="G93" s="13">
        <f t="shared" si="16"/>
        <v>818</v>
      </c>
      <c r="H93" s="15">
        <f t="shared" si="13"/>
        <v>1905</v>
      </c>
    </row>
    <row r="94" spans="1:8" ht="15" customHeight="1" thickTop="1" thickBot="1" x14ac:dyDescent="0.3">
      <c r="A94" s="23" t="s">
        <v>86</v>
      </c>
      <c r="B94" s="24"/>
      <c r="C94" s="24"/>
      <c r="D94" s="24"/>
      <c r="E94" s="24"/>
      <c r="F94" s="24"/>
      <c r="G94" s="24"/>
      <c r="H94" s="25"/>
    </row>
    <row r="95" spans="1:8" ht="15" customHeight="1" thickTop="1" x14ac:dyDescent="0.25">
      <c r="A95" s="11" t="s">
        <v>87</v>
      </c>
      <c r="B95" s="6">
        <v>11</v>
      </c>
      <c r="C95" s="16">
        <v>0</v>
      </c>
      <c r="D95" s="5">
        <f t="shared" ref="D95:D117" si="17">B95+C95</f>
        <v>11</v>
      </c>
      <c r="E95" s="6">
        <v>7</v>
      </c>
      <c r="F95" s="16">
        <v>0</v>
      </c>
      <c r="G95" s="5">
        <f t="shared" ref="G95" si="18">E95+F95</f>
        <v>7</v>
      </c>
      <c r="H95" s="7">
        <f t="shared" ref="H95" si="19">G95+D95</f>
        <v>18</v>
      </c>
    </row>
    <row r="96" spans="1:8" ht="15" customHeight="1" x14ac:dyDescent="0.25">
      <c r="A96" s="11" t="s">
        <v>88</v>
      </c>
      <c r="B96" s="6">
        <v>3</v>
      </c>
      <c r="C96" s="16">
        <v>0</v>
      </c>
      <c r="D96" s="5">
        <f t="shared" si="17"/>
        <v>3</v>
      </c>
      <c r="E96" s="6">
        <v>7</v>
      </c>
      <c r="F96" s="16">
        <v>0</v>
      </c>
      <c r="G96" s="5">
        <f t="shared" ref="G96:G117" si="20">E96+F96</f>
        <v>7</v>
      </c>
      <c r="H96" s="7">
        <f t="shared" ref="H96:H117" si="21">G96+D96</f>
        <v>10</v>
      </c>
    </row>
    <row r="97" spans="1:8" ht="15" customHeight="1" x14ac:dyDescent="0.25">
      <c r="A97" s="11" t="s">
        <v>90</v>
      </c>
      <c r="B97" s="6">
        <v>6</v>
      </c>
      <c r="C97" s="16">
        <v>0</v>
      </c>
      <c r="D97" s="5">
        <f t="shared" si="17"/>
        <v>6</v>
      </c>
      <c r="E97" s="6">
        <v>6</v>
      </c>
      <c r="F97" s="16">
        <v>0</v>
      </c>
      <c r="G97" s="5">
        <f t="shared" si="20"/>
        <v>6</v>
      </c>
      <c r="H97" s="7">
        <f t="shared" si="21"/>
        <v>12</v>
      </c>
    </row>
    <row r="98" spans="1:8" ht="15" customHeight="1" x14ac:dyDescent="0.25">
      <c r="A98" s="11" t="s">
        <v>92</v>
      </c>
      <c r="B98" s="6">
        <v>0</v>
      </c>
      <c r="C98" s="16">
        <v>0</v>
      </c>
      <c r="D98" s="5">
        <f t="shared" si="17"/>
        <v>0</v>
      </c>
      <c r="E98" s="6">
        <v>1</v>
      </c>
      <c r="F98" s="16">
        <v>1</v>
      </c>
      <c r="G98" s="5">
        <f t="shared" si="20"/>
        <v>2</v>
      </c>
      <c r="H98" s="7">
        <f t="shared" si="21"/>
        <v>2</v>
      </c>
    </row>
    <row r="99" spans="1:8" ht="15" customHeight="1" x14ac:dyDescent="0.25">
      <c r="A99" s="11" t="s">
        <v>94</v>
      </c>
      <c r="B99" s="6">
        <v>1</v>
      </c>
      <c r="C99" s="16">
        <v>0</v>
      </c>
      <c r="D99" s="5">
        <f t="shared" si="17"/>
        <v>1</v>
      </c>
      <c r="E99" s="6">
        <v>1</v>
      </c>
      <c r="F99" s="16">
        <v>0</v>
      </c>
      <c r="G99" s="5">
        <f t="shared" si="20"/>
        <v>1</v>
      </c>
      <c r="H99" s="7">
        <f t="shared" si="21"/>
        <v>2</v>
      </c>
    </row>
    <row r="100" spans="1:8" ht="15" customHeight="1" x14ac:dyDescent="0.25">
      <c r="A100" s="11" t="s">
        <v>95</v>
      </c>
      <c r="B100" s="6">
        <v>3</v>
      </c>
      <c r="C100" s="16">
        <v>0</v>
      </c>
      <c r="D100" s="5">
        <f t="shared" si="17"/>
        <v>3</v>
      </c>
      <c r="E100" s="6">
        <v>7</v>
      </c>
      <c r="F100" s="16">
        <v>4</v>
      </c>
      <c r="G100" s="5">
        <f t="shared" si="20"/>
        <v>11</v>
      </c>
      <c r="H100" s="7">
        <f t="shared" si="21"/>
        <v>14</v>
      </c>
    </row>
    <row r="101" spans="1:8" ht="15" customHeight="1" x14ac:dyDescent="0.25">
      <c r="A101" s="11" t="s">
        <v>96</v>
      </c>
      <c r="B101" s="6">
        <v>7</v>
      </c>
      <c r="C101" s="16">
        <v>0</v>
      </c>
      <c r="D101" s="5">
        <f t="shared" si="17"/>
        <v>7</v>
      </c>
      <c r="E101" s="6">
        <v>9</v>
      </c>
      <c r="F101" s="16">
        <v>1</v>
      </c>
      <c r="G101" s="5">
        <f t="shared" si="20"/>
        <v>10</v>
      </c>
      <c r="H101" s="7">
        <f t="shared" si="21"/>
        <v>17</v>
      </c>
    </row>
    <row r="102" spans="1:8" ht="15" customHeight="1" x14ac:dyDescent="0.25">
      <c r="A102" s="11" t="s">
        <v>99</v>
      </c>
      <c r="B102" s="6">
        <v>1</v>
      </c>
      <c r="C102" s="16">
        <v>0</v>
      </c>
      <c r="D102" s="5">
        <f t="shared" si="17"/>
        <v>1</v>
      </c>
      <c r="E102" s="6">
        <v>2</v>
      </c>
      <c r="F102" s="16">
        <v>0</v>
      </c>
      <c r="G102" s="5">
        <f t="shared" si="20"/>
        <v>2</v>
      </c>
      <c r="H102" s="7">
        <f t="shared" si="21"/>
        <v>3</v>
      </c>
    </row>
    <row r="103" spans="1:8" ht="15" customHeight="1" x14ac:dyDescent="0.25">
      <c r="A103" s="11" t="s">
        <v>100</v>
      </c>
      <c r="B103" s="6">
        <v>0</v>
      </c>
      <c r="C103" s="16">
        <v>0</v>
      </c>
      <c r="D103" s="5">
        <f t="shared" si="17"/>
        <v>0</v>
      </c>
      <c r="E103" s="6">
        <v>4</v>
      </c>
      <c r="F103" s="16">
        <v>0</v>
      </c>
      <c r="G103" s="5">
        <f t="shared" si="20"/>
        <v>4</v>
      </c>
      <c r="H103" s="7">
        <f t="shared" si="21"/>
        <v>4</v>
      </c>
    </row>
    <row r="104" spans="1:8" ht="15" customHeight="1" x14ac:dyDescent="0.25">
      <c r="A104" s="11" t="s">
        <v>101</v>
      </c>
      <c r="B104" s="6">
        <v>17</v>
      </c>
      <c r="C104" s="16">
        <v>0</v>
      </c>
      <c r="D104" s="5">
        <f t="shared" si="17"/>
        <v>17</v>
      </c>
      <c r="E104" s="6">
        <v>1</v>
      </c>
      <c r="F104" s="16">
        <v>2</v>
      </c>
      <c r="G104" s="5">
        <f t="shared" si="20"/>
        <v>3</v>
      </c>
      <c r="H104" s="7">
        <f t="shared" si="21"/>
        <v>20</v>
      </c>
    </row>
    <row r="105" spans="1:8" ht="15" customHeight="1" x14ac:dyDescent="0.25">
      <c r="A105" s="11" t="s">
        <v>102</v>
      </c>
      <c r="B105" s="6">
        <v>1</v>
      </c>
      <c r="C105" s="16">
        <v>0</v>
      </c>
      <c r="D105" s="5">
        <f t="shared" si="17"/>
        <v>1</v>
      </c>
      <c r="E105" s="6">
        <v>1</v>
      </c>
      <c r="F105" s="16">
        <v>0</v>
      </c>
      <c r="G105" s="5">
        <f t="shared" si="20"/>
        <v>1</v>
      </c>
      <c r="H105" s="7">
        <f t="shared" si="21"/>
        <v>2</v>
      </c>
    </row>
    <row r="106" spans="1:8" ht="15" customHeight="1" x14ac:dyDescent="0.25">
      <c r="A106" s="11" t="s">
        <v>186</v>
      </c>
      <c r="B106" s="6">
        <v>1</v>
      </c>
      <c r="C106" s="16">
        <v>0</v>
      </c>
      <c r="D106" s="5">
        <f t="shared" si="17"/>
        <v>1</v>
      </c>
      <c r="E106" s="6">
        <v>0</v>
      </c>
      <c r="F106" s="16">
        <v>0</v>
      </c>
      <c r="G106" s="5">
        <f t="shared" si="20"/>
        <v>0</v>
      </c>
      <c r="H106" s="7">
        <f t="shared" si="21"/>
        <v>1</v>
      </c>
    </row>
    <row r="107" spans="1:8" ht="15" customHeight="1" x14ac:dyDescent="0.25">
      <c r="A107" s="11" t="s">
        <v>104</v>
      </c>
      <c r="B107" s="6">
        <v>22</v>
      </c>
      <c r="C107" s="16">
        <v>1</v>
      </c>
      <c r="D107" s="5">
        <f t="shared" si="17"/>
        <v>23</v>
      </c>
      <c r="E107" s="6">
        <v>23</v>
      </c>
      <c r="F107" s="16">
        <v>5</v>
      </c>
      <c r="G107" s="5">
        <f t="shared" si="20"/>
        <v>28</v>
      </c>
      <c r="H107" s="7">
        <f t="shared" si="21"/>
        <v>51</v>
      </c>
    </row>
    <row r="108" spans="1:8" ht="15" customHeight="1" x14ac:dyDescent="0.25">
      <c r="A108" s="11" t="s">
        <v>188</v>
      </c>
      <c r="B108" s="6">
        <v>2</v>
      </c>
      <c r="C108" s="16">
        <v>0</v>
      </c>
      <c r="D108" s="5">
        <f t="shared" si="17"/>
        <v>2</v>
      </c>
      <c r="E108" s="6">
        <v>0</v>
      </c>
      <c r="F108" s="16">
        <v>0</v>
      </c>
      <c r="G108" s="5">
        <f t="shared" si="20"/>
        <v>0</v>
      </c>
      <c r="H108" s="7">
        <f t="shared" si="21"/>
        <v>2</v>
      </c>
    </row>
    <row r="109" spans="1:8" ht="15" customHeight="1" x14ac:dyDescent="0.25">
      <c r="A109" s="11" t="s">
        <v>109</v>
      </c>
      <c r="B109" s="6">
        <v>1</v>
      </c>
      <c r="C109" s="16">
        <v>0</v>
      </c>
      <c r="D109" s="5">
        <f t="shared" si="17"/>
        <v>1</v>
      </c>
      <c r="E109" s="6">
        <v>0</v>
      </c>
      <c r="F109" s="16">
        <v>0</v>
      </c>
      <c r="G109" s="5">
        <f t="shared" si="20"/>
        <v>0</v>
      </c>
      <c r="H109" s="7">
        <f t="shared" si="21"/>
        <v>1</v>
      </c>
    </row>
    <row r="110" spans="1:8" ht="15" customHeight="1" x14ac:dyDescent="0.25">
      <c r="A110" s="11" t="s">
        <v>106</v>
      </c>
      <c r="B110" s="6">
        <v>1</v>
      </c>
      <c r="C110" s="16">
        <v>0</v>
      </c>
      <c r="D110" s="5">
        <f t="shared" si="17"/>
        <v>1</v>
      </c>
      <c r="E110" s="6">
        <v>0</v>
      </c>
      <c r="F110" s="16">
        <v>0</v>
      </c>
      <c r="G110" s="5">
        <f t="shared" si="20"/>
        <v>0</v>
      </c>
      <c r="H110" s="7">
        <f t="shared" si="21"/>
        <v>1</v>
      </c>
    </row>
    <row r="111" spans="1:8" ht="15" customHeight="1" x14ac:dyDescent="0.25">
      <c r="A111" s="11" t="s">
        <v>107</v>
      </c>
      <c r="B111" s="6">
        <v>5</v>
      </c>
      <c r="C111" s="16">
        <v>0</v>
      </c>
      <c r="D111" s="5">
        <f t="shared" si="17"/>
        <v>5</v>
      </c>
      <c r="E111" s="6">
        <v>11</v>
      </c>
      <c r="F111" s="16">
        <v>1</v>
      </c>
      <c r="G111" s="5">
        <f t="shared" si="20"/>
        <v>12</v>
      </c>
      <c r="H111" s="7">
        <f t="shared" si="21"/>
        <v>17</v>
      </c>
    </row>
    <row r="112" spans="1:8" ht="15" customHeight="1" x14ac:dyDescent="0.25">
      <c r="A112" s="11" t="s">
        <v>108</v>
      </c>
      <c r="B112" s="6">
        <v>2</v>
      </c>
      <c r="C112" s="16">
        <v>0</v>
      </c>
      <c r="D112" s="5">
        <f t="shared" si="17"/>
        <v>2</v>
      </c>
      <c r="E112" s="6">
        <v>5</v>
      </c>
      <c r="F112" s="16">
        <v>3</v>
      </c>
      <c r="G112" s="5">
        <f t="shared" si="20"/>
        <v>8</v>
      </c>
      <c r="H112" s="7">
        <f t="shared" si="21"/>
        <v>10</v>
      </c>
    </row>
    <row r="113" spans="1:8" ht="15" customHeight="1" x14ac:dyDescent="0.25">
      <c r="A113" s="11" t="s">
        <v>154</v>
      </c>
      <c r="B113" s="6">
        <v>0</v>
      </c>
      <c r="C113" s="16">
        <v>0</v>
      </c>
      <c r="D113" s="5">
        <f t="shared" si="17"/>
        <v>0</v>
      </c>
      <c r="E113" s="6">
        <v>1</v>
      </c>
      <c r="F113" s="16">
        <v>0</v>
      </c>
      <c r="G113" s="5">
        <f t="shared" si="20"/>
        <v>1</v>
      </c>
      <c r="H113" s="7">
        <f t="shared" si="21"/>
        <v>1</v>
      </c>
    </row>
    <row r="114" spans="1:8" ht="15" customHeight="1" x14ac:dyDescent="0.25">
      <c r="A114" s="11" t="s">
        <v>110</v>
      </c>
      <c r="B114" s="6">
        <v>2</v>
      </c>
      <c r="C114" s="16">
        <v>0</v>
      </c>
      <c r="D114" s="5">
        <f t="shared" si="17"/>
        <v>2</v>
      </c>
      <c r="E114" s="6">
        <v>3</v>
      </c>
      <c r="F114" s="16">
        <v>1</v>
      </c>
      <c r="G114" s="5">
        <f t="shared" si="20"/>
        <v>4</v>
      </c>
      <c r="H114" s="7">
        <f t="shared" si="21"/>
        <v>6</v>
      </c>
    </row>
    <row r="115" spans="1:8" ht="15" customHeight="1" x14ac:dyDescent="0.25">
      <c r="A115" s="11" t="s">
        <v>111</v>
      </c>
      <c r="B115" s="6">
        <v>4</v>
      </c>
      <c r="C115" s="16">
        <v>0</v>
      </c>
      <c r="D115" s="5">
        <f t="shared" si="17"/>
        <v>4</v>
      </c>
      <c r="E115" s="6">
        <v>2</v>
      </c>
      <c r="F115" s="16">
        <v>0</v>
      </c>
      <c r="G115" s="5">
        <f t="shared" si="20"/>
        <v>2</v>
      </c>
      <c r="H115" s="7">
        <f t="shared" si="21"/>
        <v>6</v>
      </c>
    </row>
    <row r="116" spans="1:8" ht="15" customHeight="1" x14ac:dyDescent="0.25">
      <c r="A116" s="11" t="s">
        <v>113</v>
      </c>
      <c r="B116" s="6">
        <v>1</v>
      </c>
      <c r="C116" s="16">
        <v>0</v>
      </c>
      <c r="D116" s="5">
        <f t="shared" si="17"/>
        <v>1</v>
      </c>
      <c r="E116" s="6">
        <v>3</v>
      </c>
      <c r="F116" s="16">
        <v>0</v>
      </c>
      <c r="G116" s="5">
        <f t="shared" si="20"/>
        <v>3</v>
      </c>
      <c r="H116" s="7">
        <f t="shared" si="21"/>
        <v>4</v>
      </c>
    </row>
    <row r="117" spans="1:8" ht="15" customHeight="1" thickBot="1" x14ac:dyDescent="0.3">
      <c r="A117" s="11" t="s">
        <v>114</v>
      </c>
      <c r="B117" s="6">
        <v>2</v>
      </c>
      <c r="C117" s="16">
        <v>0</v>
      </c>
      <c r="D117" s="5">
        <f t="shared" si="17"/>
        <v>2</v>
      </c>
      <c r="E117" s="6">
        <v>2</v>
      </c>
      <c r="F117" s="16">
        <v>1</v>
      </c>
      <c r="G117" s="5">
        <f t="shared" si="20"/>
        <v>3</v>
      </c>
      <c r="H117" s="7">
        <f t="shared" si="21"/>
        <v>5</v>
      </c>
    </row>
    <row r="118" spans="1:8" ht="15" customHeight="1" thickTop="1" thickBot="1" x14ac:dyDescent="0.3">
      <c r="A118" s="12" t="s">
        <v>6</v>
      </c>
      <c r="B118" s="13">
        <f t="shared" ref="B118:H118" si="22">SUM(B95:B117)</f>
        <v>93</v>
      </c>
      <c r="C118" s="13">
        <f t="shared" si="22"/>
        <v>1</v>
      </c>
      <c r="D118" s="13">
        <f t="shared" si="22"/>
        <v>94</v>
      </c>
      <c r="E118" s="13">
        <f t="shared" si="22"/>
        <v>96</v>
      </c>
      <c r="F118" s="13">
        <f t="shared" si="22"/>
        <v>19</v>
      </c>
      <c r="G118" s="13">
        <f t="shared" si="22"/>
        <v>115</v>
      </c>
      <c r="H118" s="15">
        <f t="shared" si="22"/>
        <v>209</v>
      </c>
    </row>
    <row r="119" spans="1:8" ht="15" customHeight="1" thickTop="1" thickBot="1" x14ac:dyDescent="0.3">
      <c r="A119" s="23" t="s">
        <v>115</v>
      </c>
      <c r="B119" s="24"/>
      <c r="C119" s="24"/>
      <c r="D119" s="24"/>
      <c r="E119" s="24"/>
      <c r="F119" s="24"/>
      <c r="G119" s="24"/>
      <c r="H119" s="25"/>
    </row>
    <row r="120" spans="1:8" ht="15" customHeight="1" thickTop="1" x14ac:dyDescent="0.25">
      <c r="A120" s="11" t="s">
        <v>116</v>
      </c>
      <c r="B120" s="6">
        <v>17</v>
      </c>
      <c r="C120" s="16">
        <v>0</v>
      </c>
      <c r="D120" s="5">
        <f t="shared" ref="D120:D121" si="23">B120+C120</f>
        <v>17</v>
      </c>
      <c r="E120" s="6">
        <v>51</v>
      </c>
      <c r="F120" s="16">
        <v>4</v>
      </c>
      <c r="G120" s="5">
        <f t="shared" ref="G120:G121" si="24">E120+F120</f>
        <v>55</v>
      </c>
      <c r="H120" s="7">
        <f t="shared" ref="H120:H121" si="25">G120+D120</f>
        <v>72</v>
      </c>
    </row>
    <row r="121" spans="1:8" ht="15" customHeight="1" thickBot="1" x14ac:dyDescent="0.3">
      <c r="A121" s="11" t="s">
        <v>117</v>
      </c>
      <c r="B121" s="6">
        <v>319</v>
      </c>
      <c r="C121" s="16">
        <v>2</v>
      </c>
      <c r="D121" s="5">
        <f t="shared" si="23"/>
        <v>321</v>
      </c>
      <c r="E121" s="6">
        <v>261</v>
      </c>
      <c r="F121" s="16">
        <v>7</v>
      </c>
      <c r="G121" s="5">
        <f t="shared" si="24"/>
        <v>268</v>
      </c>
      <c r="H121" s="7">
        <f t="shared" si="25"/>
        <v>589</v>
      </c>
    </row>
    <row r="122" spans="1:8" ht="15" customHeight="1" thickTop="1" thickBot="1" x14ac:dyDescent="0.3">
      <c r="A122" s="12" t="s">
        <v>6</v>
      </c>
      <c r="B122" s="13">
        <f>SUM(B120:B121)</f>
        <v>336</v>
      </c>
      <c r="C122" s="13">
        <f t="shared" ref="C122:H122" si="26">SUM(C120:C121)</f>
        <v>2</v>
      </c>
      <c r="D122" s="13">
        <f t="shared" si="26"/>
        <v>338</v>
      </c>
      <c r="E122" s="13">
        <f t="shared" si="26"/>
        <v>312</v>
      </c>
      <c r="F122" s="13">
        <f t="shared" si="26"/>
        <v>11</v>
      </c>
      <c r="G122" s="13">
        <f t="shared" si="26"/>
        <v>323</v>
      </c>
      <c r="H122" s="15">
        <f t="shared" si="26"/>
        <v>661</v>
      </c>
    </row>
    <row r="123" spans="1:8" ht="15" customHeight="1" thickTop="1" thickBot="1" x14ac:dyDescent="0.3">
      <c r="A123" s="23" t="s">
        <v>145</v>
      </c>
      <c r="B123" s="24"/>
      <c r="C123" s="24"/>
      <c r="D123" s="24"/>
      <c r="E123" s="24"/>
      <c r="F123" s="24"/>
      <c r="G123" s="24"/>
      <c r="H123" s="25"/>
    </row>
    <row r="124" spans="1:8" ht="15" customHeight="1" thickTop="1" x14ac:dyDescent="0.25">
      <c r="A124" s="11" t="s">
        <v>118</v>
      </c>
      <c r="B124" s="6">
        <v>1</v>
      </c>
      <c r="C124" s="16">
        <v>0</v>
      </c>
      <c r="D124" s="5">
        <f t="shared" ref="D124:D135" si="27">B124+C124</f>
        <v>1</v>
      </c>
      <c r="E124" s="6">
        <v>0</v>
      </c>
      <c r="F124" s="16">
        <v>0</v>
      </c>
      <c r="G124" s="5">
        <f t="shared" ref="G124:G135" si="28">E124+F124</f>
        <v>0</v>
      </c>
      <c r="H124" s="7">
        <f t="shared" ref="H124:H135" si="29">G124+D124</f>
        <v>1</v>
      </c>
    </row>
    <row r="125" spans="1:8" ht="15" customHeight="1" x14ac:dyDescent="0.25">
      <c r="A125" s="11" t="s">
        <v>119</v>
      </c>
      <c r="B125" s="6">
        <v>3</v>
      </c>
      <c r="C125" s="16">
        <v>0</v>
      </c>
      <c r="D125" s="5">
        <f t="shared" si="27"/>
        <v>3</v>
      </c>
      <c r="E125" s="6">
        <v>0</v>
      </c>
      <c r="F125" s="16">
        <v>0</v>
      </c>
      <c r="G125" s="5">
        <f t="shared" si="28"/>
        <v>0</v>
      </c>
      <c r="H125" s="7">
        <f t="shared" si="29"/>
        <v>3</v>
      </c>
    </row>
    <row r="126" spans="1:8" ht="15" customHeight="1" x14ac:dyDescent="0.25">
      <c r="A126" s="11" t="s">
        <v>120</v>
      </c>
      <c r="B126" s="6">
        <v>2</v>
      </c>
      <c r="C126" s="16">
        <v>0</v>
      </c>
      <c r="D126" s="5">
        <f t="shared" si="27"/>
        <v>2</v>
      </c>
      <c r="E126" s="6">
        <v>0</v>
      </c>
      <c r="F126" s="16">
        <v>0</v>
      </c>
      <c r="G126" s="5">
        <f t="shared" si="28"/>
        <v>0</v>
      </c>
      <c r="H126" s="7">
        <f t="shared" si="29"/>
        <v>2</v>
      </c>
    </row>
    <row r="127" spans="1:8" ht="15" customHeight="1" x14ac:dyDescent="0.25">
      <c r="A127" s="11" t="s">
        <v>213</v>
      </c>
      <c r="B127" s="6">
        <v>0</v>
      </c>
      <c r="C127" s="16">
        <v>0</v>
      </c>
      <c r="D127" s="5">
        <f t="shared" si="27"/>
        <v>0</v>
      </c>
      <c r="E127" s="6">
        <v>2</v>
      </c>
      <c r="F127" s="16">
        <v>0</v>
      </c>
      <c r="G127" s="5">
        <f t="shared" si="28"/>
        <v>2</v>
      </c>
      <c r="H127" s="7">
        <f t="shared" si="29"/>
        <v>2</v>
      </c>
    </row>
    <row r="128" spans="1:8" ht="15" customHeight="1" x14ac:dyDescent="0.25">
      <c r="A128" s="11" t="s">
        <v>122</v>
      </c>
      <c r="B128" s="6">
        <v>1</v>
      </c>
      <c r="C128" s="16">
        <v>0</v>
      </c>
      <c r="D128" s="5">
        <f t="shared" si="27"/>
        <v>1</v>
      </c>
      <c r="E128" s="6">
        <v>0</v>
      </c>
      <c r="F128" s="16">
        <v>0</v>
      </c>
      <c r="G128" s="5">
        <f t="shared" si="28"/>
        <v>0</v>
      </c>
      <c r="H128" s="7">
        <f t="shared" si="29"/>
        <v>1</v>
      </c>
    </row>
    <row r="129" spans="1:8" ht="15" customHeight="1" x14ac:dyDescent="0.25">
      <c r="A129" s="11" t="s">
        <v>156</v>
      </c>
      <c r="B129" s="6">
        <v>0</v>
      </c>
      <c r="C129" s="16">
        <v>0</v>
      </c>
      <c r="D129" s="5">
        <f t="shared" si="27"/>
        <v>0</v>
      </c>
      <c r="E129" s="6">
        <v>1</v>
      </c>
      <c r="F129" s="16">
        <v>0</v>
      </c>
      <c r="G129" s="5">
        <f t="shared" si="28"/>
        <v>1</v>
      </c>
      <c r="H129" s="7">
        <f t="shared" si="29"/>
        <v>1</v>
      </c>
    </row>
    <row r="130" spans="1:8" ht="15" customHeight="1" x14ac:dyDescent="0.25">
      <c r="A130" s="11" t="s">
        <v>189</v>
      </c>
      <c r="B130" s="6">
        <v>0</v>
      </c>
      <c r="C130" s="16">
        <v>0</v>
      </c>
      <c r="D130" s="5">
        <f t="shared" si="27"/>
        <v>0</v>
      </c>
      <c r="E130" s="6">
        <v>1</v>
      </c>
      <c r="F130" s="16">
        <v>0</v>
      </c>
      <c r="G130" s="5">
        <f t="shared" si="28"/>
        <v>1</v>
      </c>
      <c r="H130" s="7">
        <f t="shared" si="29"/>
        <v>1</v>
      </c>
    </row>
    <row r="131" spans="1:8" ht="15" customHeight="1" x14ac:dyDescent="0.25">
      <c r="A131" s="11" t="s">
        <v>123</v>
      </c>
      <c r="B131" s="6">
        <v>0</v>
      </c>
      <c r="C131" s="16">
        <v>0</v>
      </c>
      <c r="D131" s="5">
        <f t="shared" si="27"/>
        <v>0</v>
      </c>
      <c r="E131" s="6">
        <v>5</v>
      </c>
      <c r="F131" s="16">
        <v>1</v>
      </c>
      <c r="G131" s="5">
        <f t="shared" si="28"/>
        <v>6</v>
      </c>
      <c r="H131" s="7">
        <f t="shared" si="29"/>
        <v>6</v>
      </c>
    </row>
    <row r="132" spans="1:8" ht="15" customHeight="1" x14ac:dyDescent="0.25">
      <c r="A132" s="11" t="s">
        <v>228</v>
      </c>
      <c r="B132" s="6">
        <v>1</v>
      </c>
      <c r="C132" s="16">
        <v>0</v>
      </c>
      <c r="D132" s="5">
        <f t="shared" si="27"/>
        <v>1</v>
      </c>
      <c r="E132" s="6">
        <v>0</v>
      </c>
      <c r="F132" s="16">
        <v>0</v>
      </c>
      <c r="G132" s="5">
        <f t="shared" si="28"/>
        <v>0</v>
      </c>
      <c r="H132" s="7">
        <f t="shared" si="29"/>
        <v>1</v>
      </c>
    </row>
    <row r="133" spans="1:8" ht="15" customHeight="1" x14ac:dyDescent="0.25">
      <c r="A133" s="11" t="s">
        <v>222</v>
      </c>
      <c r="B133" s="6">
        <v>0</v>
      </c>
      <c r="C133" s="16">
        <v>0</v>
      </c>
      <c r="D133" s="5">
        <f t="shared" si="27"/>
        <v>0</v>
      </c>
      <c r="E133" s="6">
        <v>1</v>
      </c>
      <c r="F133" s="16">
        <v>0</v>
      </c>
      <c r="G133" s="5">
        <f t="shared" si="28"/>
        <v>1</v>
      </c>
      <c r="H133" s="7">
        <f t="shared" si="29"/>
        <v>1</v>
      </c>
    </row>
    <row r="134" spans="1:8" ht="15" customHeight="1" x14ac:dyDescent="0.25">
      <c r="A134" s="11" t="s">
        <v>124</v>
      </c>
      <c r="B134" s="6">
        <v>0</v>
      </c>
      <c r="C134" s="16">
        <v>0</v>
      </c>
      <c r="D134" s="5">
        <f t="shared" si="27"/>
        <v>0</v>
      </c>
      <c r="E134" s="6">
        <v>2</v>
      </c>
      <c r="F134" s="16">
        <v>0</v>
      </c>
      <c r="G134" s="5">
        <f t="shared" si="28"/>
        <v>2</v>
      </c>
      <c r="H134" s="7">
        <f t="shared" si="29"/>
        <v>2</v>
      </c>
    </row>
    <row r="135" spans="1:8" ht="15" customHeight="1" thickBot="1" x14ac:dyDescent="0.3">
      <c r="A135" s="11" t="s">
        <v>192</v>
      </c>
      <c r="B135" s="6">
        <v>4</v>
      </c>
      <c r="C135" s="16">
        <v>0</v>
      </c>
      <c r="D135" s="5">
        <f t="shared" si="27"/>
        <v>4</v>
      </c>
      <c r="E135" s="6">
        <v>3</v>
      </c>
      <c r="F135" s="16">
        <v>2</v>
      </c>
      <c r="G135" s="5">
        <f t="shared" si="28"/>
        <v>5</v>
      </c>
      <c r="H135" s="7">
        <f t="shared" si="29"/>
        <v>9</v>
      </c>
    </row>
    <row r="136" spans="1:8" ht="15" customHeight="1" thickTop="1" thickBot="1" x14ac:dyDescent="0.3">
      <c r="A136" s="12" t="s">
        <v>6</v>
      </c>
      <c r="B136" s="13">
        <f>SUM(B124:B135)</f>
        <v>12</v>
      </c>
      <c r="C136" s="13">
        <f t="shared" ref="C136:H136" si="30">SUM(C124:C135)</f>
        <v>0</v>
      </c>
      <c r="D136" s="13">
        <f t="shared" si="30"/>
        <v>12</v>
      </c>
      <c r="E136" s="13">
        <f t="shared" si="30"/>
        <v>15</v>
      </c>
      <c r="F136" s="13">
        <f t="shared" si="30"/>
        <v>3</v>
      </c>
      <c r="G136" s="13">
        <f t="shared" si="30"/>
        <v>18</v>
      </c>
      <c r="H136" s="15">
        <f t="shared" si="30"/>
        <v>30</v>
      </c>
    </row>
    <row r="137" spans="1:8" ht="15" customHeight="1" thickTop="1" thickBot="1" x14ac:dyDescent="0.3">
      <c r="A137" s="23" t="s">
        <v>195</v>
      </c>
      <c r="B137" s="24"/>
      <c r="C137" s="24"/>
      <c r="D137" s="24"/>
      <c r="E137" s="24"/>
      <c r="F137" s="24"/>
      <c r="G137" s="24"/>
      <c r="H137" s="25"/>
    </row>
    <row r="138" spans="1:8" ht="15" customHeight="1" thickTop="1" x14ac:dyDescent="0.25">
      <c r="A138" s="11" t="s">
        <v>128</v>
      </c>
      <c r="B138" s="6">
        <v>0</v>
      </c>
      <c r="C138" s="16">
        <v>0</v>
      </c>
      <c r="D138" s="5">
        <f t="shared" ref="D138:D149" si="31">B138+C138</f>
        <v>0</v>
      </c>
      <c r="E138" s="6">
        <v>10</v>
      </c>
      <c r="F138" s="16">
        <v>0</v>
      </c>
      <c r="G138" s="5">
        <f t="shared" ref="G138:G149" si="32">E138+F138</f>
        <v>10</v>
      </c>
      <c r="H138" s="7">
        <f t="shared" ref="H138:H150" si="33">G138+D138</f>
        <v>10</v>
      </c>
    </row>
    <row r="139" spans="1:8" ht="15" customHeight="1" x14ac:dyDescent="0.25">
      <c r="A139" s="11" t="s">
        <v>130</v>
      </c>
      <c r="B139" s="6">
        <v>4</v>
      </c>
      <c r="C139" s="16">
        <v>0</v>
      </c>
      <c r="D139" s="5">
        <f t="shared" si="31"/>
        <v>4</v>
      </c>
      <c r="E139" s="6">
        <v>26</v>
      </c>
      <c r="F139" s="16">
        <v>1</v>
      </c>
      <c r="G139" s="5">
        <f t="shared" si="32"/>
        <v>27</v>
      </c>
      <c r="H139" s="7">
        <f t="shared" si="33"/>
        <v>31</v>
      </c>
    </row>
    <row r="140" spans="1:8" ht="15" customHeight="1" x14ac:dyDescent="0.25">
      <c r="A140" s="11" t="s">
        <v>131</v>
      </c>
      <c r="B140" s="6">
        <v>1</v>
      </c>
      <c r="C140" s="16">
        <v>0</v>
      </c>
      <c r="D140" s="5">
        <f t="shared" si="31"/>
        <v>1</v>
      </c>
      <c r="E140" s="6">
        <v>4</v>
      </c>
      <c r="F140" s="16">
        <v>0</v>
      </c>
      <c r="G140" s="5">
        <f t="shared" si="32"/>
        <v>4</v>
      </c>
      <c r="H140" s="7">
        <f t="shared" si="33"/>
        <v>5</v>
      </c>
    </row>
    <row r="141" spans="1:8" ht="15" customHeight="1" x14ac:dyDescent="0.25">
      <c r="A141" s="11" t="s">
        <v>132</v>
      </c>
      <c r="B141" s="6">
        <v>0</v>
      </c>
      <c r="C141" s="16">
        <v>0</v>
      </c>
      <c r="D141" s="5">
        <f t="shared" si="31"/>
        <v>0</v>
      </c>
      <c r="E141" s="6">
        <v>6</v>
      </c>
      <c r="F141" s="16">
        <v>0</v>
      </c>
      <c r="G141" s="5">
        <f t="shared" si="32"/>
        <v>6</v>
      </c>
      <c r="H141" s="7">
        <f t="shared" si="33"/>
        <v>6</v>
      </c>
    </row>
    <row r="142" spans="1:8" ht="15" customHeight="1" x14ac:dyDescent="0.25">
      <c r="A142" s="11" t="s">
        <v>196</v>
      </c>
      <c r="B142" s="6">
        <v>1</v>
      </c>
      <c r="C142" s="16">
        <v>0</v>
      </c>
      <c r="D142" s="5">
        <f t="shared" si="31"/>
        <v>1</v>
      </c>
      <c r="E142" s="6">
        <v>1</v>
      </c>
      <c r="F142" s="16">
        <v>0</v>
      </c>
      <c r="G142" s="5">
        <f t="shared" si="32"/>
        <v>1</v>
      </c>
      <c r="H142" s="7">
        <f t="shared" si="33"/>
        <v>2</v>
      </c>
    </row>
    <row r="143" spans="1:8" ht="15" customHeight="1" x14ac:dyDescent="0.25">
      <c r="A143" s="11" t="s">
        <v>216</v>
      </c>
      <c r="B143" s="6">
        <v>0</v>
      </c>
      <c r="C143" s="16">
        <v>0</v>
      </c>
      <c r="D143" s="5">
        <f t="shared" si="31"/>
        <v>0</v>
      </c>
      <c r="E143" s="6">
        <v>1</v>
      </c>
      <c r="F143" s="16">
        <v>0</v>
      </c>
      <c r="G143" s="5">
        <f t="shared" si="32"/>
        <v>1</v>
      </c>
      <c r="H143" s="7">
        <f t="shared" si="33"/>
        <v>1</v>
      </c>
    </row>
    <row r="144" spans="1:8" ht="15" customHeight="1" x14ac:dyDescent="0.25">
      <c r="A144" s="11" t="s">
        <v>133</v>
      </c>
      <c r="B144" s="6">
        <v>1</v>
      </c>
      <c r="C144" s="16">
        <v>0</v>
      </c>
      <c r="D144" s="5">
        <f t="shared" si="31"/>
        <v>1</v>
      </c>
      <c r="E144" s="6">
        <v>2</v>
      </c>
      <c r="F144" s="16">
        <v>0</v>
      </c>
      <c r="G144" s="5">
        <f t="shared" ref="G144:G145" si="34">E144+F144</f>
        <v>2</v>
      </c>
      <c r="H144" s="7">
        <f t="shared" ref="H144:H145" si="35">G144+D144</f>
        <v>3</v>
      </c>
    </row>
    <row r="145" spans="1:8" ht="15" customHeight="1" x14ac:dyDescent="0.25">
      <c r="A145" s="11" t="s">
        <v>135</v>
      </c>
      <c r="B145" s="6">
        <v>1</v>
      </c>
      <c r="C145" s="16">
        <v>0</v>
      </c>
      <c r="D145" s="5">
        <f t="shared" si="31"/>
        <v>1</v>
      </c>
      <c r="E145" s="6">
        <v>36</v>
      </c>
      <c r="F145" s="16">
        <v>0</v>
      </c>
      <c r="G145" s="5">
        <f t="shared" si="34"/>
        <v>36</v>
      </c>
      <c r="H145" s="7">
        <f t="shared" si="35"/>
        <v>37</v>
      </c>
    </row>
    <row r="146" spans="1:8" ht="15" customHeight="1" x14ac:dyDescent="0.25">
      <c r="A146" s="11" t="s">
        <v>200</v>
      </c>
      <c r="B146" s="6">
        <v>1</v>
      </c>
      <c r="C146" s="16">
        <v>0</v>
      </c>
      <c r="D146" s="5">
        <f t="shared" si="31"/>
        <v>1</v>
      </c>
      <c r="E146" s="6">
        <v>0</v>
      </c>
      <c r="F146" s="16">
        <v>0</v>
      </c>
      <c r="G146" s="5">
        <f t="shared" si="32"/>
        <v>0</v>
      </c>
      <c r="H146" s="7">
        <f t="shared" si="33"/>
        <v>1</v>
      </c>
    </row>
    <row r="147" spans="1:8" ht="15" customHeight="1" x14ac:dyDescent="0.25">
      <c r="A147" s="11" t="s">
        <v>201</v>
      </c>
      <c r="B147" s="6">
        <v>0</v>
      </c>
      <c r="C147" s="16">
        <v>0</v>
      </c>
      <c r="D147" s="5">
        <f t="shared" si="31"/>
        <v>0</v>
      </c>
      <c r="E147" s="6">
        <v>1</v>
      </c>
      <c r="F147" s="16">
        <v>0</v>
      </c>
      <c r="G147" s="5">
        <f t="shared" si="32"/>
        <v>1</v>
      </c>
      <c r="H147" s="7">
        <f t="shared" si="33"/>
        <v>1</v>
      </c>
    </row>
    <row r="148" spans="1:8" ht="15" customHeight="1" x14ac:dyDescent="0.25">
      <c r="A148" s="11" t="s">
        <v>136</v>
      </c>
      <c r="B148" s="6">
        <v>0</v>
      </c>
      <c r="C148" s="16">
        <v>0</v>
      </c>
      <c r="D148" s="5">
        <f t="shared" si="31"/>
        <v>0</v>
      </c>
      <c r="E148" s="6">
        <v>5</v>
      </c>
      <c r="F148" s="16">
        <v>0</v>
      </c>
      <c r="G148" s="5">
        <f t="shared" si="32"/>
        <v>5</v>
      </c>
      <c r="H148" s="7">
        <f t="shared" si="33"/>
        <v>5</v>
      </c>
    </row>
    <row r="149" spans="1:8" ht="15" customHeight="1" thickBot="1" x14ac:dyDescent="0.3">
      <c r="A149" s="11" t="s">
        <v>203</v>
      </c>
      <c r="B149" s="6">
        <v>1</v>
      </c>
      <c r="C149" s="16">
        <v>0</v>
      </c>
      <c r="D149" s="5">
        <f t="shared" si="31"/>
        <v>1</v>
      </c>
      <c r="E149" s="6">
        <v>8</v>
      </c>
      <c r="F149" s="16">
        <v>0</v>
      </c>
      <c r="G149" s="5">
        <f t="shared" si="32"/>
        <v>8</v>
      </c>
      <c r="H149" s="7">
        <f t="shared" si="33"/>
        <v>9</v>
      </c>
    </row>
    <row r="150" spans="1:8" ht="15" customHeight="1" thickTop="1" thickBot="1" x14ac:dyDescent="0.3">
      <c r="A150" s="12" t="s">
        <v>6</v>
      </c>
      <c r="B150" s="14">
        <f>SUM(B138:B149)</f>
        <v>10</v>
      </c>
      <c r="C150" s="14">
        <f t="shared" ref="C150:H150" si="36">SUM(C138:C149)</f>
        <v>0</v>
      </c>
      <c r="D150" s="14">
        <f t="shared" si="36"/>
        <v>10</v>
      </c>
      <c r="E150" s="14">
        <f t="shared" si="36"/>
        <v>100</v>
      </c>
      <c r="F150" s="14">
        <f t="shared" si="36"/>
        <v>1</v>
      </c>
      <c r="G150" s="14">
        <f t="shared" si="36"/>
        <v>101</v>
      </c>
      <c r="H150" s="46">
        <f t="shared" si="36"/>
        <v>111</v>
      </c>
    </row>
    <row r="151" spans="1:8" ht="15" customHeight="1" thickTop="1" thickBot="1" x14ac:dyDescent="0.3">
      <c r="A151" s="23" t="s">
        <v>138</v>
      </c>
      <c r="B151" s="24"/>
      <c r="C151" s="24"/>
      <c r="D151" s="24"/>
      <c r="E151" s="24"/>
      <c r="F151" s="24"/>
      <c r="G151" s="24"/>
      <c r="H151" s="25"/>
    </row>
    <row r="152" spans="1:8" ht="15" customHeight="1" thickTop="1" x14ac:dyDescent="0.25">
      <c r="A152" s="11" t="s">
        <v>139</v>
      </c>
      <c r="B152" s="6">
        <v>7</v>
      </c>
      <c r="C152" s="16">
        <v>0</v>
      </c>
      <c r="D152" s="5">
        <f t="shared" ref="D152:D155" si="37">B152+C152</f>
        <v>7</v>
      </c>
      <c r="E152" s="6">
        <v>13</v>
      </c>
      <c r="F152" s="16">
        <v>3</v>
      </c>
      <c r="G152" s="5">
        <f t="shared" ref="G152:G155" si="38">E152+F152</f>
        <v>16</v>
      </c>
      <c r="H152" s="7">
        <f t="shared" ref="H152:H155" si="39">G152+D152</f>
        <v>23</v>
      </c>
    </row>
    <row r="153" spans="1:8" ht="15" customHeight="1" x14ac:dyDescent="0.25">
      <c r="A153" s="11" t="s">
        <v>140</v>
      </c>
      <c r="B153" s="6">
        <v>0</v>
      </c>
      <c r="C153" s="16">
        <v>0</v>
      </c>
      <c r="D153" s="5">
        <f t="shared" si="37"/>
        <v>0</v>
      </c>
      <c r="E153" s="6">
        <v>1</v>
      </c>
      <c r="F153" s="16">
        <v>0</v>
      </c>
      <c r="G153" s="5">
        <f t="shared" si="38"/>
        <v>1</v>
      </c>
      <c r="H153" s="7">
        <f t="shared" si="39"/>
        <v>1</v>
      </c>
    </row>
    <row r="154" spans="1:8" ht="15" customHeight="1" x14ac:dyDescent="0.25">
      <c r="A154" s="11" t="s">
        <v>141</v>
      </c>
      <c r="B154" s="6">
        <v>1</v>
      </c>
      <c r="C154" s="16">
        <v>0</v>
      </c>
      <c r="D154" s="5">
        <f t="shared" si="37"/>
        <v>1</v>
      </c>
      <c r="E154" s="6">
        <v>2</v>
      </c>
      <c r="F154" s="16">
        <v>1</v>
      </c>
      <c r="G154" s="5">
        <f t="shared" si="38"/>
        <v>3</v>
      </c>
      <c r="H154" s="7">
        <f t="shared" si="39"/>
        <v>4</v>
      </c>
    </row>
    <row r="155" spans="1:8" ht="15" customHeight="1" thickBot="1" x14ac:dyDescent="0.3">
      <c r="A155" s="11" t="s">
        <v>158</v>
      </c>
      <c r="B155" s="6">
        <v>1</v>
      </c>
      <c r="C155" s="16">
        <v>0</v>
      </c>
      <c r="D155" s="5">
        <f t="shared" si="37"/>
        <v>1</v>
      </c>
      <c r="E155" s="6">
        <v>1</v>
      </c>
      <c r="F155" s="16">
        <v>0</v>
      </c>
      <c r="G155" s="5">
        <f t="shared" si="38"/>
        <v>1</v>
      </c>
      <c r="H155" s="7">
        <f t="shared" si="39"/>
        <v>2</v>
      </c>
    </row>
    <row r="156" spans="1:8" ht="15" customHeight="1" thickTop="1" thickBot="1" x14ac:dyDescent="0.3">
      <c r="A156" s="12" t="s">
        <v>6</v>
      </c>
      <c r="B156" s="13">
        <f t="shared" ref="B156:H156" si="40">SUM(B152:B155)</f>
        <v>9</v>
      </c>
      <c r="C156" s="13">
        <f t="shared" si="40"/>
        <v>0</v>
      </c>
      <c r="D156" s="13">
        <f t="shared" si="40"/>
        <v>9</v>
      </c>
      <c r="E156" s="13">
        <f t="shared" si="40"/>
        <v>17</v>
      </c>
      <c r="F156" s="13">
        <f t="shared" si="40"/>
        <v>4</v>
      </c>
      <c r="G156" s="13">
        <f t="shared" si="40"/>
        <v>21</v>
      </c>
      <c r="H156" s="15">
        <f t="shared" si="40"/>
        <v>30</v>
      </c>
    </row>
    <row r="157" spans="1:8" ht="15" customHeight="1" thickTop="1" thickBot="1" x14ac:dyDescent="0.3">
      <c r="A157" s="23" t="s">
        <v>146</v>
      </c>
      <c r="B157" s="24"/>
      <c r="C157" s="24"/>
      <c r="D157" s="24"/>
      <c r="E157" s="24"/>
      <c r="F157" s="24"/>
      <c r="G157" s="24"/>
      <c r="H157" s="25"/>
    </row>
    <row r="158" spans="1:8" ht="15" customHeight="1" thickTop="1" thickBot="1" x14ac:dyDescent="0.3">
      <c r="A158" s="11" t="s">
        <v>143</v>
      </c>
      <c r="B158" s="6">
        <v>0</v>
      </c>
      <c r="C158" s="16">
        <v>0</v>
      </c>
      <c r="D158" s="5">
        <f t="shared" ref="D158" si="41">B158+C158</f>
        <v>0</v>
      </c>
      <c r="E158" s="6">
        <v>5</v>
      </c>
      <c r="F158" s="16">
        <v>0</v>
      </c>
      <c r="G158" s="5">
        <f t="shared" ref="G158" si="42">E158+F158</f>
        <v>5</v>
      </c>
      <c r="H158" s="7">
        <f t="shared" ref="H158" si="43">G158+D158</f>
        <v>5</v>
      </c>
    </row>
    <row r="159" spans="1:8" ht="15" customHeight="1" thickTop="1" thickBot="1" x14ac:dyDescent="0.3">
      <c r="A159" s="12" t="s">
        <v>6</v>
      </c>
      <c r="B159" s="13">
        <f>B158</f>
        <v>0</v>
      </c>
      <c r="C159" s="13">
        <f t="shared" ref="C159:H159" si="44">C158</f>
        <v>0</v>
      </c>
      <c r="D159" s="13">
        <f t="shared" si="44"/>
        <v>0</v>
      </c>
      <c r="E159" s="13">
        <f t="shared" si="44"/>
        <v>5</v>
      </c>
      <c r="F159" s="13">
        <f t="shared" si="44"/>
        <v>0</v>
      </c>
      <c r="G159" s="13">
        <f t="shared" si="44"/>
        <v>5</v>
      </c>
      <c r="H159" s="15">
        <f t="shared" si="44"/>
        <v>5</v>
      </c>
    </row>
    <row r="160" spans="1:8" ht="15" customHeight="1" thickTop="1" thickBot="1" x14ac:dyDescent="0.3">
      <c r="A160" s="23"/>
      <c r="B160" s="24"/>
      <c r="C160" s="24"/>
      <c r="D160" s="24"/>
      <c r="E160" s="24"/>
      <c r="F160" s="24"/>
      <c r="G160" s="24"/>
      <c r="H160" s="25"/>
    </row>
    <row r="161" spans="1:8" ht="15" customHeight="1" thickTop="1" thickBot="1" x14ac:dyDescent="0.3">
      <c r="A161" s="43" t="s">
        <v>0</v>
      </c>
      <c r="B161" s="44">
        <f>B23+B52+B66+B93+B118+B122+B136+B150+B156+B159</f>
        <v>2629</v>
      </c>
      <c r="C161" s="44">
        <f t="shared" ref="C161:H161" si="45">C23+C52+C66+C93+C118+C122+C136+C150+C156+C159</f>
        <v>25</v>
      </c>
      <c r="D161" s="44">
        <f t="shared" si="45"/>
        <v>2654</v>
      </c>
      <c r="E161" s="44">
        <f t="shared" si="45"/>
        <v>2202</v>
      </c>
      <c r="F161" s="44">
        <f t="shared" si="45"/>
        <v>302</v>
      </c>
      <c r="G161" s="44">
        <f t="shared" si="45"/>
        <v>2504</v>
      </c>
      <c r="H161" s="45">
        <f t="shared" si="45"/>
        <v>5158</v>
      </c>
    </row>
    <row r="163" spans="1:8" ht="15" customHeight="1" x14ac:dyDescent="0.25">
      <c r="A163" s="47" t="s">
        <v>147</v>
      </c>
      <c r="B163" s="47"/>
      <c r="C163" s="47"/>
      <c r="D163" s="47"/>
      <c r="E163" s="47"/>
      <c r="F163" s="47"/>
      <c r="G163" s="47"/>
      <c r="H163" s="47"/>
    </row>
    <row r="164" spans="1:8" ht="15" customHeight="1" x14ac:dyDescent="0.25">
      <c r="A164" s="47" t="s">
        <v>218</v>
      </c>
      <c r="B164" s="47"/>
      <c r="C164" s="47"/>
      <c r="D164" s="47"/>
      <c r="E164" s="47"/>
      <c r="F164" s="47"/>
      <c r="G164" s="47"/>
      <c r="H164" s="47"/>
    </row>
    <row r="175" spans="1:8" ht="25.5" customHeight="1" x14ac:dyDescent="0.25"/>
    <row r="176" spans="1:8" ht="25.5" customHeight="1" x14ac:dyDescent="0.25"/>
  </sheetData>
  <mergeCells count="18">
    <mergeCell ref="A160:H160"/>
    <mergeCell ref="A163:H163"/>
    <mergeCell ref="A164:H164"/>
    <mergeCell ref="H5:H6"/>
    <mergeCell ref="A2:H2"/>
    <mergeCell ref="B5:D5"/>
    <mergeCell ref="E5:G5"/>
    <mergeCell ref="A7:H7"/>
    <mergeCell ref="A24:H24"/>
    <mergeCell ref="A157:H157"/>
    <mergeCell ref="A5:A6"/>
    <mergeCell ref="A67:H67"/>
    <mergeCell ref="A94:H94"/>
    <mergeCell ref="A119:H119"/>
    <mergeCell ref="A123:H123"/>
    <mergeCell ref="A137:H137"/>
    <mergeCell ref="A151:H151"/>
    <mergeCell ref="A53:H53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&amp;A&amp;RPage &amp;P of &amp;N</oddFooter>
  </headerFooter>
  <rowBreaks count="2" manualBreakCount="2">
    <brk id="93" max="16383" man="1"/>
    <brk id="136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6"/>
  <sheetViews>
    <sheetView view="pageLayout" topLeftCell="A178" zoomScaleNormal="85" workbookViewId="0">
      <selection activeCell="A178" sqref="A178"/>
    </sheetView>
  </sheetViews>
  <sheetFormatPr defaultRowHeight="15" customHeight="1" x14ac:dyDescent="0.25"/>
  <cols>
    <col min="1" max="1" width="18.85546875" bestFit="1" customWidth="1"/>
    <col min="2" max="8" width="6" customWidth="1"/>
    <col min="9" max="11" width="5.5703125" customWidth="1"/>
  </cols>
  <sheetData>
    <row r="1" spans="1:9" ht="15" customHeight="1" x14ac:dyDescent="0.25">
      <c r="A1" s="1" t="s">
        <v>7</v>
      </c>
      <c r="B1" s="3"/>
    </row>
    <row r="2" spans="1:9" ht="15" customHeight="1" x14ac:dyDescent="0.25">
      <c r="A2" s="31" t="s">
        <v>8</v>
      </c>
      <c r="B2" s="31"/>
      <c r="C2" s="31"/>
      <c r="D2" s="31"/>
      <c r="E2" s="31"/>
      <c r="F2" s="31"/>
      <c r="G2" s="31"/>
      <c r="H2" s="31"/>
    </row>
    <row r="3" spans="1:9" ht="15" customHeight="1" x14ac:dyDescent="0.25">
      <c r="A3" s="2" t="str">
        <f ca="1">RIGHT(CELL("filename",A1),LEN(CELL("filename",A1))-FIND("]",CELL("filename",A1)))</f>
        <v>2002-03</v>
      </c>
      <c r="B3" s="3"/>
    </row>
    <row r="4" spans="1:9" ht="15.75" thickBot="1" x14ac:dyDescent="0.3">
      <c r="A4" s="3"/>
      <c r="B4" s="3"/>
    </row>
    <row r="5" spans="1:9" ht="15" customHeight="1" x14ac:dyDescent="0.25">
      <c r="A5" s="29" t="s">
        <v>3</v>
      </c>
      <c r="B5" s="26" t="s">
        <v>1</v>
      </c>
      <c r="C5" s="27"/>
      <c r="D5" s="27"/>
      <c r="E5" s="26" t="s">
        <v>2</v>
      </c>
      <c r="F5" s="27"/>
      <c r="G5" s="27"/>
      <c r="H5" s="62" t="s">
        <v>0</v>
      </c>
    </row>
    <row r="6" spans="1:9" ht="15" customHeight="1" x14ac:dyDescent="0.25">
      <c r="A6" s="30"/>
      <c r="B6" s="59" t="s">
        <v>4</v>
      </c>
      <c r="C6" s="60" t="s">
        <v>5</v>
      </c>
      <c r="D6" s="61" t="s">
        <v>0</v>
      </c>
      <c r="E6" s="59" t="s">
        <v>4</v>
      </c>
      <c r="F6" s="60" t="s">
        <v>5</v>
      </c>
      <c r="G6" s="61" t="s">
        <v>0</v>
      </c>
      <c r="H6" s="63"/>
      <c r="I6" s="22"/>
    </row>
    <row r="7" spans="1:9" ht="15" customHeight="1" thickBot="1" x14ac:dyDescent="0.3">
      <c r="A7" s="32" t="s">
        <v>9</v>
      </c>
      <c r="B7" s="33"/>
      <c r="C7" s="33"/>
      <c r="D7" s="33"/>
      <c r="E7" s="33"/>
      <c r="F7" s="33"/>
      <c r="G7" s="33"/>
      <c r="H7" s="34"/>
    </row>
    <row r="8" spans="1:9" ht="15" customHeight="1" thickTop="1" x14ac:dyDescent="0.25">
      <c r="A8" s="11" t="s">
        <v>10</v>
      </c>
      <c r="B8" s="6">
        <v>19</v>
      </c>
      <c r="C8" s="4">
        <v>0</v>
      </c>
      <c r="D8" s="5">
        <f t="shared" ref="D8:D22" si="0">B8+C8</f>
        <v>19</v>
      </c>
      <c r="E8" s="6">
        <v>22</v>
      </c>
      <c r="F8" s="4">
        <v>2</v>
      </c>
      <c r="G8" s="5">
        <f t="shared" ref="G8:G22" si="1">E8+F8</f>
        <v>24</v>
      </c>
      <c r="H8" s="7">
        <f t="shared" ref="H8:H22" si="2">G8+D8</f>
        <v>43</v>
      </c>
    </row>
    <row r="9" spans="1:9" ht="15" customHeight="1" x14ac:dyDescent="0.25">
      <c r="A9" s="11" t="s">
        <v>11</v>
      </c>
      <c r="B9" s="6">
        <v>46</v>
      </c>
      <c r="C9" s="4">
        <v>2</v>
      </c>
      <c r="D9" s="5">
        <f t="shared" si="0"/>
        <v>48</v>
      </c>
      <c r="E9" s="6">
        <v>25</v>
      </c>
      <c r="F9" s="4">
        <v>7</v>
      </c>
      <c r="G9" s="5">
        <f t="shared" si="1"/>
        <v>32</v>
      </c>
      <c r="H9" s="7">
        <f t="shared" si="2"/>
        <v>80</v>
      </c>
    </row>
    <row r="10" spans="1:9" ht="15" customHeight="1" x14ac:dyDescent="0.25">
      <c r="A10" s="11" t="s">
        <v>12</v>
      </c>
      <c r="B10" s="6">
        <v>19</v>
      </c>
      <c r="C10" s="4">
        <v>0</v>
      </c>
      <c r="D10" s="5">
        <f t="shared" si="0"/>
        <v>19</v>
      </c>
      <c r="E10" s="6">
        <v>28</v>
      </c>
      <c r="F10" s="4">
        <v>2</v>
      </c>
      <c r="G10" s="5">
        <f t="shared" si="1"/>
        <v>30</v>
      </c>
      <c r="H10" s="7">
        <f t="shared" si="2"/>
        <v>49</v>
      </c>
    </row>
    <row r="11" spans="1:9" ht="15" customHeight="1" x14ac:dyDescent="0.25">
      <c r="A11" s="11" t="s">
        <v>13</v>
      </c>
      <c r="B11" s="6">
        <v>10</v>
      </c>
      <c r="C11" s="4">
        <v>0</v>
      </c>
      <c r="D11" s="5">
        <f t="shared" si="0"/>
        <v>10</v>
      </c>
      <c r="E11" s="6">
        <v>43</v>
      </c>
      <c r="F11" s="4">
        <v>17</v>
      </c>
      <c r="G11" s="5">
        <f t="shared" si="1"/>
        <v>60</v>
      </c>
      <c r="H11" s="7">
        <f t="shared" si="2"/>
        <v>70</v>
      </c>
    </row>
    <row r="12" spans="1:9" ht="15" customHeight="1" x14ac:dyDescent="0.25">
      <c r="A12" s="11" t="s">
        <v>14</v>
      </c>
      <c r="B12" s="6">
        <v>13</v>
      </c>
      <c r="C12" s="4">
        <v>0</v>
      </c>
      <c r="D12" s="5">
        <f t="shared" si="0"/>
        <v>13</v>
      </c>
      <c r="E12" s="6">
        <v>11</v>
      </c>
      <c r="F12" s="4">
        <v>1</v>
      </c>
      <c r="G12" s="5">
        <f t="shared" si="1"/>
        <v>12</v>
      </c>
      <c r="H12" s="7">
        <f t="shared" si="2"/>
        <v>25</v>
      </c>
    </row>
    <row r="13" spans="1:9" ht="15" customHeight="1" x14ac:dyDescent="0.25">
      <c r="A13" s="11" t="s">
        <v>15</v>
      </c>
      <c r="B13" s="6">
        <v>104</v>
      </c>
      <c r="C13" s="4">
        <v>0</v>
      </c>
      <c r="D13" s="5">
        <f t="shared" si="0"/>
        <v>104</v>
      </c>
      <c r="E13" s="6">
        <v>55</v>
      </c>
      <c r="F13" s="4">
        <v>4</v>
      </c>
      <c r="G13" s="5">
        <f t="shared" si="1"/>
        <v>59</v>
      </c>
      <c r="H13" s="7">
        <f t="shared" si="2"/>
        <v>163</v>
      </c>
    </row>
    <row r="14" spans="1:9" ht="15" customHeight="1" x14ac:dyDescent="0.25">
      <c r="A14" s="11" t="s">
        <v>16</v>
      </c>
      <c r="B14" s="6">
        <v>141</v>
      </c>
      <c r="C14" s="4">
        <v>1</v>
      </c>
      <c r="D14" s="5">
        <f t="shared" si="0"/>
        <v>142</v>
      </c>
      <c r="E14" s="6">
        <v>94</v>
      </c>
      <c r="F14" s="4">
        <v>20</v>
      </c>
      <c r="G14" s="5">
        <f t="shared" si="1"/>
        <v>114</v>
      </c>
      <c r="H14" s="7">
        <f t="shared" si="2"/>
        <v>256</v>
      </c>
    </row>
    <row r="15" spans="1:9" ht="15" customHeight="1" x14ac:dyDescent="0.25">
      <c r="A15" s="11" t="s">
        <v>160</v>
      </c>
      <c r="B15" s="6">
        <v>8</v>
      </c>
      <c r="C15" s="4">
        <v>0</v>
      </c>
      <c r="D15" s="5">
        <f t="shared" si="0"/>
        <v>8</v>
      </c>
      <c r="E15" s="6">
        <v>0</v>
      </c>
      <c r="F15" s="4">
        <v>1</v>
      </c>
      <c r="G15" s="5">
        <f t="shared" si="1"/>
        <v>1</v>
      </c>
      <c r="H15" s="7">
        <f t="shared" si="2"/>
        <v>9</v>
      </c>
    </row>
    <row r="16" spans="1:9" ht="15" customHeight="1" x14ac:dyDescent="0.25">
      <c r="A16" s="11" t="s">
        <v>17</v>
      </c>
      <c r="B16" s="6">
        <v>114</v>
      </c>
      <c r="C16" s="4">
        <v>1</v>
      </c>
      <c r="D16" s="5">
        <f t="shared" si="0"/>
        <v>115</v>
      </c>
      <c r="E16" s="6">
        <v>240</v>
      </c>
      <c r="F16" s="4">
        <v>35</v>
      </c>
      <c r="G16" s="5">
        <f t="shared" si="1"/>
        <v>275</v>
      </c>
      <c r="H16" s="7">
        <f t="shared" si="2"/>
        <v>390</v>
      </c>
    </row>
    <row r="17" spans="1:8" ht="15" customHeight="1" x14ac:dyDescent="0.25">
      <c r="A17" s="11" t="s">
        <v>18</v>
      </c>
      <c r="B17" s="6">
        <v>101</v>
      </c>
      <c r="C17" s="4">
        <v>1</v>
      </c>
      <c r="D17" s="5">
        <f t="shared" si="0"/>
        <v>102</v>
      </c>
      <c r="E17" s="6">
        <v>102</v>
      </c>
      <c r="F17" s="4">
        <v>11</v>
      </c>
      <c r="G17" s="5">
        <f t="shared" si="1"/>
        <v>113</v>
      </c>
      <c r="H17" s="7">
        <f t="shared" si="2"/>
        <v>215</v>
      </c>
    </row>
    <row r="18" spans="1:8" ht="15" customHeight="1" x14ac:dyDescent="0.25">
      <c r="A18" s="11" t="s">
        <v>19</v>
      </c>
      <c r="B18" s="6">
        <v>11</v>
      </c>
      <c r="C18" s="4">
        <v>0</v>
      </c>
      <c r="D18" s="5">
        <f t="shared" si="0"/>
        <v>11</v>
      </c>
      <c r="E18" s="6">
        <v>8</v>
      </c>
      <c r="F18" s="4">
        <v>1</v>
      </c>
      <c r="G18" s="5">
        <f>E18+F18</f>
        <v>9</v>
      </c>
      <c r="H18" s="7">
        <f>G18+D18</f>
        <v>20</v>
      </c>
    </row>
    <row r="19" spans="1:8" ht="15" customHeight="1" x14ac:dyDescent="0.25">
      <c r="A19" s="11" t="s">
        <v>20</v>
      </c>
      <c r="B19" s="6">
        <v>25</v>
      </c>
      <c r="C19" s="4">
        <v>0</v>
      </c>
      <c r="D19" s="5">
        <f t="shared" si="0"/>
        <v>25</v>
      </c>
      <c r="E19" s="6">
        <v>17</v>
      </c>
      <c r="F19" s="4">
        <v>4</v>
      </c>
      <c r="G19" s="5">
        <f>E19+F19</f>
        <v>21</v>
      </c>
      <c r="H19" s="7">
        <f>G19+D19</f>
        <v>46</v>
      </c>
    </row>
    <row r="20" spans="1:8" ht="15" customHeight="1" x14ac:dyDescent="0.25">
      <c r="A20" s="11" t="s">
        <v>21</v>
      </c>
      <c r="B20" s="6">
        <v>14</v>
      </c>
      <c r="C20" s="4">
        <v>0</v>
      </c>
      <c r="D20" s="5">
        <f t="shared" si="0"/>
        <v>14</v>
      </c>
      <c r="E20" s="6">
        <v>40</v>
      </c>
      <c r="F20" s="4">
        <v>6</v>
      </c>
      <c r="G20" s="5">
        <f t="shared" si="1"/>
        <v>46</v>
      </c>
      <c r="H20" s="7">
        <f t="shared" si="2"/>
        <v>60</v>
      </c>
    </row>
    <row r="21" spans="1:8" ht="15" customHeight="1" x14ac:dyDescent="0.25">
      <c r="A21" s="11" t="s">
        <v>22</v>
      </c>
      <c r="B21" s="6">
        <v>62</v>
      </c>
      <c r="C21" s="4">
        <v>0</v>
      </c>
      <c r="D21" s="5">
        <f t="shared" si="0"/>
        <v>62</v>
      </c>
      <c r="E21" s="6">
        <v>44</v>
      </c>
      <c r="F21" s="4">
        <v>7</v>
      </c>
      <c r="G21" s="5">
        <f t="shared" si="1"/>
        <v>51</v>
      </c>
      <c r="H21" s="7">
        <f t="shared" si="2"/>
        <v>113</v>
      </c>
    </row>
    <row r="22" spans="1:8" ht="15" customHeight="1" thickBot="1" x14ac:dyDescent="0.3">
      <c r="A22" s="11" t="s">
        <v>23</v>
      </c>
      <c r="B22" s="8">
        <v>48</v>
      </c>
      <c r="C22" s="9">
        <v>0</v>
      </c>
      <c r="D22" s="10">
        <f t="shared" si="0"/>
        <v>48</v>
      </c>
      <c r="E22" s="8">
        <v>17</v>
      </c>
      <c r="F22" s="9">
        <v>2</v>
      </c>
      <c r="G22" s="5">
        <f t="shared" si="1"/>
        <v>19</v>
      </c>
      <c r="H22" s="7">
        <f t="shared" si="2"/>
        <v>67</v>
      </c>
    </row>
    <row r="23" spans="1:8" ht="15" customHeight="1" thickTop="1" thickBot="1" x14ac:dyDescent="0.3">
      <c r="A23" s="12" t="s">
        <v>6</v>
      </c>
      <c r="B23" s="13">
        <f t="shared" ref="B23:H23" si="3">SUM(B8:B22)</f>
        <v>735</v>
      </c>
      <c r="C23" s="13">
        <f t="shared" si="3"/>
        <v>5</v>
      </c>
      <c r="D23" s="13">
        <f t="shared" si="3"/>
        <v>740</v>
      </c>
      <c r="E23" s="13">
        <f t="shared" si="3"/>
        <v>746</v>
      </c>
      <c r="F23" s="13">
        <f t="shared" si="3"/>
        <v>120</v>
      </c>
      <c r="G23" s="13">
        <f t="shared" si="3"/>
        <v>866</v>
      </c>
      <c r="H23" s="15">
        <f t="shared" si="3"/>
        <v>1606</v>
      </c>
    </row>
    <row r="24" spans="1:8" ht="15" customHeight="1" thickTop="1" thickBot="1" x14ac:dyDescent="0.3">
      <c r="A24" s="23" t="s">
        <v>24</v>
      </c>
      <c r="B24" s="24"/>
      <c r="C24" s="24"/>
      <c r="D24" s="24"/>
      <c r="E24" s="24"/>
      <c r="F24" s="24"/>
      <c r="G24" s="24"/>
      <c r="H24" s="25"/>
    </row>
    <row r="25" spans="1:8" ht="15" customHeight="1" thickTop="1" x14ac:dyDescent="0.25">
      <c r="A25" s="11" t="s">
        <v>25</v>
      </c>
      <c r="B25" s="6">
        <v>0</v>
      </c>
      <c r="C25" s="16">
        <v>0</v>
      </c>
      <c r="D25" s="5">
        <f t="shared" ref="D25:D51" si="4">B25+C25</f>
        <v>0</v>
      </c>
      <c r="E25" s="6">
        <v>2</v>
      </c>
      <c r="F25" s="16">
        <v>0</v>
      </c>
      <c r="G25" s="5">
        <f t="shared" ref="G25:G52" si="5">E25+F25</f>
        <v>2</v>
      </c>
      <c r="H25" s="7">
        <f t="shared" ref="H25:H52" si="6">G25+D25</f>
        <v>2</v>
      </c>
    </row>
    <row r="26" spans="1:8" ht="15" customHeight="1" x14ac:dyDescent="0.25">
      <c r="A26" s="11" t="s">
        <v>26</v>
      </c>
      <c r="B26" s="6">
        <v>0</v>
      </c>
      <c r="C26" s="16">
        <v>0</v>
      </c>
      <c r="D26" s="5">
        <f t="shared" si="4"/>
        <v>0</v>
      </c>
      <c r="E26" s="6">
        <v>2</v>
      </c>
      <c r="F26" s="16">
        <v>0</v>
      </c>
      <c r="G26" s="5">
        <f t="shared" ref="G26:G51" si="7">E26+F26</f>
        <v>2</v>
      </c>
      <c r="H26" s="7">
        <f t="shared" ref="H26:H51" si="8">G26+D26</f>
        <v>2</v>
      </c>
    </row>
    <row r="27" spans="1:8" ht="15" customHeight="1" x14ac:dyDescent="0.25">
      <c r="A27" s="11" t="s">
        <v>148</v>
      </c>
      <c r="B27" s="6">
        <v>3</v>
      </c>
      <c r="C27" s="16">
        <v>0</v>
      </c>
      <c r="D27" s="5">
        <f t="shared" si="4"/>
        <v>3</v>
      </c>
      <c r="E27" s="6">
        <v>1</v>
      </c>
      <c r="F27" s="16">
        <v>0</v>
      </c>
      <c r="G27" s="5">
        <f t="shared" si="7"/>
        <v>1</v>
      </c>
      <c r="H27" s="7">
        <f t="shared" si="8"/>
        <v>4</v>
      </c>
    </row>
    <row r="28" spans="1:8" ht="15" customHeight="1" x14ac:dyDescent="0.25">
      <c r="A28" s="11" t="s">
        <v>27</v>
      </c>
      <c r="B28" s="6">
        <v>0</v>
      </c>
      <c r="C28" s="16">
        <v>0</v>
      </c>
      <c r="D28" s="5">
        <f t="shared" si="4"/>
        <v>0</v>
      </c>
      <c r="E28" s="6">
        <v>0</v>
      </c>
      <c r="F28" s="16">
        <v>1</v>
      </c>
      <c r="G28" s="5">
        <f t="shared" si="7"/>
        <v>1</v>
      </c>
      <c r="H28" s="7">
        <f t="shared" si="8"/>
        <v>1</v>
      </c>
    </row>
    <row r="29" spans="1:8" ht="15" customHeight="1" x14ac:dyDescent="0.25">
      <c r="A29" s="11" t="s">
        <v>28</v>
      </c>
      <c r="B29" s="6">
        <v>11</v>
      </c>
      <c r="C29" s="16">
        <v>0</v>
      </c>
      <c r="D29" s="5">
        <f t="shared" si="4"/>
        <v>11</v>
      </c>
      <c r="E29" s="6">
        <v>4</v>
      </c>
      <c r="F29" s="16">
        <v>0</v>
      </c>
      <c r="G29" s="5">
        <f t="shared" si="7"/>
        <v>4</v>
      </c>
      <c r="H29" s="7">
        <f t="shared" si="8"/>
        <v>15</v>
      </c>
    </row>
    <row r="30" spans="1:8" ht="15" customHeight="1" x14ac:dyDescent="0.25">
      <c r="A30" s="11" t="s">
        <v>29</v>
      </c>
      <c r="B30" s="6">
        <v>1</v>
      </c>
      <c r="C30" s="16">
        <v>0</v>
      </c>
      <c r="D30" s="5">
        <f t="shared" si="4"/>
        <v>1</v>
      </c>
      <c r="E30" s="6">
        <v>2</v>
      </c>
      <c r="F30" s="16">
        <v>0</v>
      </c>
      <c r="G30" s="5">
        <f t="shared" si="7"/>
        <v>2</v>
      </c>
      <c r="H30" s="7">
        <f t="shared" si="8"/>
        <v>3</v>
      </c>
    </row>
    <row r="31" spans="1:8" ht="15" customHeight="1" x14ac:dyDescent="0.25">
      <c r="A31" s="11" t="s">
        <v>30</v>
      </c>
      <c r="B31" s="6">
        <v>82</v>
      </c>
      <c r="C31" s="16">
        <v>1</v>
      </c>
      <c r="D31" s="5">
        <f t="shared" si="4"/>
        <v>83</v>
      </c>
      <c r="E31" s="6">
        <v>28</v>
      </c>
      <c r="F31" s="16">
        <v>2</v>
      </c>
      <c r="G31" s="5">
        <f t="shared" si="7"/>
        <v>30</v>
      </c>
      <c r="H31" s="7">
        <f t="shared" si="8"/>
        <v>113</v>
      </c>
    </row>
    <row r="32" spans="1:8" ht="15" customHeight="1" x14ac:dyDescent="0.25">
      <c r="A32" s="11" t="s">
        <v>31</v>
      </c>
      <c r="B32" s="6">
        <v>2</v>
      </c>
      <c r="C32" s="16">
        <v>0</v>
      </c>
      <c r="D32" s="5">
        <f t="shared" si="4"/>
        <v>2</v>
      </c>
      <c r="E32" s="6">
        <v>2</v>
      </c>
      <c r="F32" s="16">
        <v>0</v>
      </c>
      <c r="G32" s="5">
        <f t="shared" si="7"/>
        <v>2</v>
      </c>
      <c r="H32" s="7">
        <f t="shared" si="8"/>
        <v>4</v>
      </c>
    </row>
    <row r="33" spans="1:8" ht="15" customHeight="1" x14ac:dyDescent="0.25">
      <c r="A33" s="11" t="s">
        <v>33</v>
      </c>
      <c r="B33" s="6">
        <v>1</v>
      </c>
      <c r="C33" s="16">
        <v>0</v>
      </c>
      <c r="D33" s="5">
        <f t="shared" si="4"/>
        <v>1</v>
      </c>
      <c r="E33" s="6">
        <v>2</v>
      </c>
      <c r="F33" s="16">
        <v>0</v>
      </c>
      <c r="G33" s="5">
        <f t="shared" si="7"/>
        <v>2</v>
      </c>
      <c r="H33" s="7">
        <f t="shared" si="8"/>
        <v>3</v>
      </c>
    </row>
    <row r="34" spans="1:8" ht="15" customHeight="1" x14ac:dyDescent="0.25">
      <c r="A34" s="11" t="s">
        <v>150</v>
      </c>
      <c r="B34" s="6">
        <v>4</v>
      </c>
      <c r="C34" s="16">
        <v>0</v>
      </c>
      <c r="D34" s="5">
        <f t="shared" si="4"/>
        <v>4</v>
      </c>
      <c r="E34" s="6">
        <v>8</v>
      </c>
      <c r="F34" s="16">
        <v>1</v>
      </c>
      <c r="G34" s="5">
        <f t="shared" si="7"/>
        <v>9</v>
      </c>
      <c r="H34" s="7">
        <f t="shared" si="8"/>
        <v>13</v>
      </c>
    </row>
    <row r="35" spans="1:8" ht="15" customHeight="1" x14ac:dyDescent="0.25">
      <c r="A35" s="11" t="s">
        <v>163</v>
      </c>
      <c r="B35" s="6">
        <v>0</v>
      </c>
      <c r="C35" s="16">
        <v>0</v>
      </c>
      <c r="D35" s="5">
        <f t="shared" si="4"/>
        <v>0</v>
      </c>
      <c r="E35" s="6">
        <v>1</v>
      </c>
      <c r="F35" s="16">
        <v>1</v>
      </c>
      <c r="G35" s="5">
        <f t="shared" si="7"/>
        <v>2</v>
      </c>
      <c r="H35" s="7">
        <f t="shared" si="8"/>
        <v>2</v>
      </c>
    </row>
    <row r="36" spans="1:8" ht="15" customHeight="1" x14ac:dyDescent="0.25">
      <c r="A36" s="11" t="s">
        <v>34</v>
      </c>
      <c r="B36" s="6">
        <v>5</v>
      </c>
      <c r="C36" s="16">
        <v>0</v>
      </c>
      <c r="D36" s="5">
        <f t="shared" si="4"/>
        <v>5</v>
      </c>
      <c r="E36" s="6">
        <v>3</v>
      </c>
      <c r="F36" s="16">
        <v>0</v>
      </c>
      <c r="G36" s="5">
        <f t="shared" si="7"/>
        <v>3</v>
      </c>
      <c r="H36" s="7">
        <f t="shared" si="8"/>
        <v>8</v>
      </c>
    </row>
    <row r="37" spans="1:8" ht="15" customHeight="1" x14ac:dyDescent="0.25">
      <c r="A37" s="11" t="s">
        <v>35</v>
      </c>
      <c r="B37" s="6">
        <v>0</v>
      </c>
      <c r="C37" s="16">
        <v>0</v>
      </c>
      <c r="D37" s="5">
        <f t="shared" si="4"/>
        <v>0</v>
      </c>
      <c r="E37" s="6">
        <v>2</v>
      </c>
      <c r="F37" s="16">
        <v>0</v>
      </c>
      <c r="G37" s="5">
        <f t="shared" si="7"/>
        <v>2</v>
      </c>
      <c r="H37" s="7">
        <f t="shared" si="8"/>
        <v>2</v>
      </c>
    </row>
    <row r="38" spans="1:8" ht="15" customHeight="1" x14ac:dyDescent="0.25">
      <c r="A38" s="11" t="s">
        <v>36</v>
      </c>
      <c r="B38" s="6">
        <v>2</v>
      </c>
      <c r="C38" s="16">
        <v>0</v>
      </c>
      <c r="D38" s="5">
        <f t="shared" si="4"/>
        <v>2</v>
      </c>
      <c r="E38" s="6">
        <v>1</v>
      </c>
      <c r="F38" s="16">
        <v>0</v>
      </c>
      <c r="G38" s="5">
        <f t="shared" si="7"/>
        <v>1</v>
      </c>
      <c r="H38" s="7">
        <f t="shared" si="8"/>
        <v>3</v>
      </c>
    </row>
    <row r="39" spans="1:8" ht="15" customHeight="1" x14ac:dyDescent="0.25">
      <c r="A39" s="11" t="s">
        <v>149</v>
      </c>
      <c r="B39" s="6">
        <v>2</v>
      </c>
      <c r="C39" s="16">
        <v>0</v>
      </c>
      <c r="D39" s="5">
        <f t="shared" si="4"/>
        <v>2</v>
      </c>
      <c r="E39" s="6">
        <v>0</v>
      </c>
      <c r="F39" s="16">
        <v>0</v>
      </c>
      <c r="G39" s="5">
        <f t="shared" si="7"/>
        <v>0</v>
      </c>
      <c r="H39" s="7">
        <f t="shared" si="8"/>
        <v>2</v>
      </c>
    </row>
    <row r="40" spans="1:8" ht="15" customHeight="1" x14ac:dyDescent="0.25">
      <c r="A40" s="11" t="s">
        <v>38</v>
      </c>
      <c r="B40" s="6">
        <v>1</v>
      </c>
      <c r="C40" s="16">
        <v>0</v>
      </c>
      <c r="D40" s="5">
        <f t="shared" si="4"/>
        <v>1</v>
      </c>
      <c r="E40" s="6">
        <v>7</v>
      </c>
      <c r="F40" s="16">
        <v>1</v>
      </c>
      <c r="G40" s="5">
        <f t="shared" si="7"/>
        <v>8</v>
      </c>
      <c r="H40" s="7">
        <f t="shared" si="8"/>
        <v>9</v>
      </c>
    </row>
    <row r="41" spans="1:8" ht="15" customHeight="1" x14ac:dyDescent="0.25">
      <c r="A41" s="11" t="s">
        <v>167</v>
      </c>
      <c r="B41" s="6">
        <v>0</v>
      </c>
      <c r="C41" s="16">
        <v>0</v>
      </c>
      <c r="D41" s="5">
        <f t="shared" si="4"/>
        <v>0</v>
      </c>
      <c r="E41" s="6">
        <v>3</v>
      </c>
      <c r="F41" s="16">
        <v>0</v>
      </c>
      <c r="G41" s="5">
        <f t="shared" si="7"/>
        <v>3</v>
      </c>
      <c r="H41" s="7">
        <f t="shared" si="8"/>
        <v>3</v>
      </c>
    </row>
    <row r="42" spans="1:8" ht="15" customHeight="1" x14ac:dyDescent="0.25">
      <c r="A42" s="11" t="s">
        <v>168</v>
      </c>
      <c r="B42" s="6">
        <v>1</v>
      </c>
      <c r="C42" s="16">
        <v>0</v>
      </c>
      <c r="D42" s="5">
        <f t="shared" si="4"/>
        <v>1</v>
      </c>
      <c r="E42" s="6">
        <v>0</v>
      </c>
      <c r="F42" s="16">
        <v>0</v>
      </c>
      <c r="G42" s="5">
        <f t="shared" si="7"/>
        <v>0</v>
      </c>
      <c r="H42" s="7">
        <f t="shared" si="8"/>
        <v>1</v>
      </c>
    </row>
    <row r="43" spans="1:8" ht="15" customHeight="1" x14ac:dyDescent="0.25">
      <c r="A43" s="11" t="s">
        <v>39</v>
      </c>
      <c r="B43" s="6">
        <v>14</v>
      </c>
      <c r="C43" s="16">
        <v>1</v>
      </c>
      <c r="D43" s="5">
        <f t="shared" si="4"/>
        <v>15</v>
      </c>
      <c r="E43" s="6">
        <v>4</v>
      </c>
      <c r="F43" s="16">
        <v>1</v>
      </c>
      <c r="G43" s="5">
        <f t="shared" si="7"/>
        <v>5</v>
      </c>
      <c r="H43" s="7">
        <f t="shared" si="8"/>
        <v>20</v>
      </c>
    </row>
    <row r="44" spans="1:8" ht="15" customHeight="1" x14ac:dyDescent="0.25">
      <c r="A44" s="11" t="s">
        <v>40</v>
      </c>
      <c r="B44" s="6">
        <v>22</v>
      </c>
      <c r="C44" s="16">
        <v>0</v>
      </c>
      <c r="D44" s="5">
        <f t="shared" si="4"/>
        <v>22</v>
      </c>
      <c r="E44" s="6">
        <v>7</v>
      </c>
      <c r="F44" s="16">
        <v>1</v>
      </c>
      <c r="G44" s="5">
        <f t="shared" si="7"/>
        <v>8</v>
      </c>
      <c r="H44" s="7">
        <f t="shared" si="8"/>
        <v>30</v>
      </c>
    </row>
    <row r="45" spans="1:8" ht="15" customHeight="1" x14ac:dyDescent="0.25">
      <c r="A45" s="11" t="s">
        <v>41</v>
      </c>
      <c r="B45" s="6">
        <v>5</v>
      </c>
      <c r="C45" s="16">
        <v>0</v>
      </c>
      <c r="D45" s="5">
        <f t="shared" si="4"/>
        <v>5</v>
      </c>
      <c r="E45" s="6">
        <v>1</v>
      </c>
      <c r="F45" s="16">
        <v>0</v>
      </c>
      <c r="G45" s="5">
        <f t="shared" si="7"/>
        <v>1</v>
      </c>
      <c r="H45" s="7">
        <f t="shared" si="8"/>
        <v>6</v>
      </c>
    </row>
    <row r="46" spans="1:8" ht="15" customHeight="1" x14ac:dyDescent="0.25">
      <c r="A46" s="11" t="s">
        <v>42</v>
      </c>
      <c r="B46" s="6">
        <v>42</v>
      </c>
      <c r="C46" s="16">
        <v>1</v>
      </c>
      <c r="D46" s="5">
        <f t="shared" si="4"/>
        <v>43</v>
      </c>
      <c r="E46" s="6">
        <v>11</v>
      </c>
      <c r="F46" s="16">
        <v>0</v>
      </c>
      <c r="G46" s="5">
        <f t="shared" si="7"/>
        <v>11</v>
      </c>
      <c r="H46" s="7">
        <f t="shared" si="8"/>
        <v>54</v>
      </c>
    </row>
    <row r="47" spans="1:8" ht="15" customHeight="1" x14ac:dyDescent="0.25">
      <c r="A47" s="11" t="s">
        <v>43</v>
      </c>
      <c r="B47" s="6">
        <v>1</v>
      </c>
      <c r="C47" s="16">
        <v>0</v>
      </c>
      <c r="D47" s="5">
        <f t="shared" si="4"/>
        <v>1</v>
      </c>
      <c r="E47" s="6">
        <v>3</v>
      </c>
      <c r="F47" s="16">
        <v>0</v>
      </c>
      <c r="G47" s="5">
        <f t="shared" si="7"/>
        <v>3</v>
      </c>
      <c r="H47" s="7">
        <f t="shared" si="8"/>
        <v>4</v>
      </c>
    </row>
    <row r="48" spans="1:8" ht="15" customHeight="1" x14ac:dyDescent="0.25">
      <c r="A48" s="11" t="s">
        <v>44</v>
      </c>
      <c r="B48" s="6">
        <v>0</v>
      </c>
      <c r="C48" s="16">
        <v>0</v>
      </c>
      <c r="D48" s="5">
        <f t="shared" si="4"/>
        <v>0</v>
      </c>
      <c r="E48" s="6">
        <v>2</v>
      </c>
      <c r="F48" s="16">
        <v>0</v>
      </c>
      <c r="G48" s="5">
        <f t="shared" si="7"/>
        <v>2</v>
      </c>
      <c r="H48" s="7">
        <f t="shared" si="8"/>
        <v>2</v>
      </c>
    </row>
    <row r="49" spans="1:8" ht="15" customHeight="1" x14ac:dyDescent="0.25">
      <c r="A49" s="11" t="s">
        <v>45</v>
      </c>
      <c r="B49" s="6">
        <v>25</v>
      </c>
      <c r="C49" s="16">
        <v>0</v>
      </c>
      <c r="D49" s="5">
        <f t="shared" si="4"/>
        <v>25</v>
      </c>
      <c r="E49" s="6">
        <v>14</v>
      </c>
      <c r="F49" s="16">
        <v>5</v>
      </c>
      <c r="G49" s="5">
        <f t="shared" si="7"/>
        <v>19</v>
      </c>
      <c r="H49" s="7">
        <f t="shared" si="8"/>
        <v>44</v>
      </c>
    </row>
    <row r="50" spans="1:8" ht="15" customHeight="1" x14ac:dyDescent="0.25">
      <c r="A50" s="11" t="s">
        <v>46</v>
      </c>
      <c r="B50" s="6">
        <v>6</v>
      </c>
      <c r="C50" s="16">
        <v>0</v>
      </c>
      <c r="D50" s="5">
        <f t="shared" si="4"/>
        <v>6</v>
      </c>
      <c r="E50" s="6">
        <v>8</v>
      </c>
      <c r="F50" s="16">
        <v>3</v>
      </c>
      <c r="G50" s="5">
        <f t="shared" si="7"/>
        <v>11</v>
      </c>
      <c r="H50" s="7">
        <f t="shared" si="8"/>
        <v>17</v>
      </c>
    </row>
    <row r="51" spans="1:8" ht="15" customHeight="1" thickBot="1" x14ac:dyDescent="0.3">
      <c r="A51" s="11" t="s">
        <v>48</v>
      </c>
      <c r="B51" s="6">
        <v>1</v>
      </c>
      <c r="C51" s="16">
        <v>1</v>
      </c>
      <c r="D51" s="5">
        <f t="shared" si="4"/>
        <v>2</v>
      </c>
      <c r="E51" s="6">
        <v>6</v>
      </c>
      <c r="F51" s="16">
        <v>0</v>
      </c>
      <c r="G51" s="5">
        <f t="shared" si="7"/>
        <v>6</v>
      </c>
      <c r="H51" s="7">
        <f t="shared" si="8"/>
        <v>8</v>
      </c>
    </row>
    <row r="52" spans="1:8" ht="15" customHeight="1" thickTop="1" thickBot="1" x14ac:dyDescent="0.3">
      <c r="A52" s="12" t="s">
        <v>6</v>
      </c>
      <c r="B52" s="13">
        <f>SUM(B25:B51)</f>
        <v>231</v>
      </c>
      <c r="C52" s="13">
        <f>SUM(C25:C51)</f>
        <v>4</v>
      </c>
      <c r="D52" s="13">
        <f>SUM(D25:D51)</f>
        <v>235</v>
      </c>
      <c r="E52" s="13">
        <f>SUM(E25:E51)</f>
        <v>124</v>
      </c>
      <c r="F52" s="13">
        <f>SUM(F25:F51)</f>
        <v>16</v>
      </c>
      <c r="G52" s="14">
        <f t="shared" si="5"/>
        <v>140</v>
      </c>
      <c r="H52" s="15">
        <f t="shared" si="6"/>
        <v>375</v>
      </c>
    </row>
    <row r="53" spans="1:8" ht="15" customHeight="1" thickTop="1" thickBot="1" x14ac:dyDescent="0.3">
      <c r="A53" s="23" t="s">
        <v>49</v>
      </c>
      <c r="B53" s="24"/>
      <c r="C53" s="24"/>
      <c r="D53" s="24"/>
      <c r="E53" s="24"/>
      <c r="F53" s="24"/>
      <c r="G53" s="24"/>
      <c r="H53" s="25"/>
    </row>
    <row r="54" spans="1:8" ht="15" customHeight="1" thickTop="1" x14ac:dyDescent="0.25">
      <c r="A54" s="11" t="s">
        <v>50</v>
      </c>
      <c r="B54" s="6">
        <v>4</v>
      </c>
      <c r="C54" s="16">
        <v>0</v>
      </c>
      <c r="D54" s="5">
        <f t="shared" ref="D54:D65" si="9">B54+C54</f>
        <v>4</v>
      </c>
      <c r="E54" s="6">
        <v>3</v>
      </c>
      <c r="F54" s="16">
        <v>0</v>
      </c>
      <c r="G54" s="5">
        <f t="shared" ref="G54:G64" si="10">E54+F54</f>
        <v>3</v>
      </c>
      <c r="H54" s="7">
        <f t="shared" ref="H54:H64" si="11">G54+D54</f>
        <v>7</v>
      </c>
    </row>
    <row r="55" spans="1:8" ht="15" customHeight="1" x14ac:dyDescent="0.25">
      <c r="A55" s="11" t="s">
        <v>51</v>
      </c>
      <c r="B55" s="6">
        <v>2</v>
      </c>
      <c r="C55" s="16">
        <v>0</v>
      </c>
      <c r="D55" s="5">
        <f t="shared" si="9"/>
        <v>2</v>
      </c>
      <c r="E55" s="6">
        <v>14</v>
      </c>
      <c r="F55" s="16">
        <v>0</v>
      </c>
      <c r="G55" s="5">
        <f t="shared" ref="G55:G65" si="12">E55+F55</f>
        <v>14</v>
      </c>
      <c r="H55" s="7">
        <f t="shared" ref="H55:H65" si="13">G55+D55</f>
        <v>16</v>
      </c>
    </row>
    <row r="56" spans="1:8" ht="15" customHeight="1" x14ac:dyDescent="0.25">
      <c r="A56" s="11" t="s">
        <v>52</v>
      </c>
      <c r="B56" s="6">
        <v>0</v>
      </c>
      <c r="C56" s="16">
        <v>0</v>
      </c>
      <c r="D56" s="5">
        <f t="shared" si="9"/>
        <v>0</v>
      </c>
      <c r="E56" s="6">
        <v>0</v>
      </c>
      <c r="F56" s="16">
        <v>1</v>
      </c>
      <c r="G56" s="5">
        <f t="shared" si="12"/>
        <v>1</v>
      </c>
      <c r="H56" s="7">
        <f t="shared" si="13"/>
        <v>1</v>
      </c>
    </row>
    <row r="57" spans="1:8" ht="15" customHeight="1" x14ac:dyDescent="0.25">
      <c r="A57" s="11" t="s">
        <v>53</v>
      </c>
      <c r="B57" s="6">
        <v>9</v>
      </c>
      <c r="C57" s="16">
        <v>0</v>
      </c>
      <c r="D57" s="5">
        <f t="shared" si="9"/>
        <v>9</v>
      </c>
      <c r="E57" s="6">
        <v>33</v>
      </c>
      <c r="F57" s="16">
        <v>5</v>
      </c>
      <c r="G57" s="5">
        <f t="shared" si="12"/>
        <v>38</v>
      </c>
      <c r="H57" s="7">
        <f t="shared" si="13"/>
        <v>47</v>
      </c>
    </row>
    <row r="58" spans="1:8" ht="15" customHeight="1" x14ac:dyDescent="0.25">
      <c r="A58" s="11" t="s">
        <v>54</v>
      </c>
      <c r="B58" s="6">
        <v>6</v>
      </c>
      <c r="C58" s="16">
        <v>0</v>
      </c>
      <c r="D58" s="5">
        <f t="shared" si="9"/>
        <v>6</v>
      </c>
      <c r="E58" s="6">
        <v>10</v>
      </c>
      <c r="F58" s="16">
        <v>1</v>
      </c>
      <c r="G58" s="5">
        <f t="shared" si="12"/>
        <v>11</v>
      </c>
      <c r="H58" s="7">
        <f t="shared" si="13"/>
        <v>17</v>
      </c>
    </row>
    <row r="59" spans="1:8" ht="15" customHeight="1" x14ac:dyDescent="0.25">
      <c r="A59" s="11" t="s">
        <v>55</v>
      </c>
      <c r="B59" s="6">
        <v>2</v>
      </c>
      <c r="C59" s="16">
        <v>0</v>
      </c>
      <c r="D59" s="5">
        <f t="shared" si="9"/>
        <v>2</v>
      </c>
      <c r="E59" s="6">
        <v>6</v>
      </c>
      <c r="F59" s="16">
        <v>0</v>
      </c>
      <c r="G59" s="5">
        <f t="shared" si="12"/>
        <v>6</v>
      </c>
      <c r="H59" s="7">
        <f t="shared" si="13"/>
        <v>8</v>
      </c>
    </row>
    <row r="60" spans="1:8" ht="15" customHeight="1" x14ac:dyDescent="0.25">
      <c r="A60" s="11" t="s">
        <v>56</v>
      </c>
      <c r="B60" s="6">
        <v>3</v>
      </c>
      <c r="C60" s="16">
        <v>1</v>
      </c>
      <c r="D60" s="5">
        <f t="shared" si="9"/>
        <v>4</v>
      </c>
      <c r="E60" s="6">
        <v>8</v>
      </c>
      <c r="F60" s="16">
        <v>1</v>
      </c>
      <c r="G60" s="5">
        <f t="shared" si="12"/>
        <v>9</v>
      </c>
      <c r="H60" s="7">
        <f t="shared" si="13"/>
        <v>13</v>
      </c>
    </row>
    <row r="61" spans="1:8" ht="15" customHeight="1" x14ac:dyDescent="0.25">
      <c r="A61" s="11" t="s">
        <v>57</v>
      </c>
      <c r="B61" s="6">
        <v>1</v>
      </c>
      <c r="C61" s="16">
        <v>0</v>
      </c>
      <c r="D61" s="5">
        <f t="shared" si="9"/>
        <v>1</v>
      </c>
      <c r="E61" s="6">
        <v>0</v>
      </c>
      <c r="F61" s="16">
        <v>0</v>
      </c>
      <c r="G61" s="5">
        <f t="shared" si="12"/>
        <v>0</v>
      </c>
      <c r="H61" s="7">
        <f t="shared" si="13"/>
        <v>1</v>
      </c>
    </row>
    <row r="62" spans="1:8" ht="15" customHeight="1" x14ac:dyDescent="0.25">
      <c r="A62" s="11" t="s">
        <v>171</v>
      </c>
      <c r="B62" s="6">
        <v>0</v>
      </c>
      <c r="C62" s="16">
        <v>0</v>
      </c>
      <c r="D62" s="5">
        <f t="shared" si="9"/>
        <v>0</v>
      </c>
      <c r="E62" s="6">
        <v>1</v>
      </c>
      <c r="F62" s="16">
        <v>0</v>
      </c>
      <c r="G62" s="5">
        <f t="shared" si="12"/>
        <v>1</v>
      </c>
      <c r="H62" s="7">
        <f t="shared" si="13"/>
        <v>1</v>
      </c>
    </row>
    <row r="63" spans="1:8" ht="15" customHeight="1" x14ac:dyDescent="0.25">
      <c r="A63" s="11" t="s">
        <v>58</v>
      </c>
      <c r="B63" s="6">
        <v>6</v>
      </c>
      <c r="C63" s="16">
        <v>0</v>
      </c>
      <c r="D63" s="5">
        <f t="shared" si="9"/>
        <v>6</v>
      </c>
      <c r="E63" s="6">
        <v>24</v>
      </c>
      <c r="F63" s="16">
        <v>5</v>
      </c>
      <c r="G63" s="5">
        <f t="shared" si="12"/>
        <v>29</v>
      </c>
      <c r="H63" s="7">
        <f t="shared" si="13"/>
        <v>35</v>
      </c>
    </row>
    <row r="64" spans="1:8" ht="15" customHeight="1" x14ac:dyDescent="0.25">
      <c r="A64" s="11" t="s">
        <v>60</v>
      </c>
      <c r="B64" s="6">
        <v>1</v>
      </c>
      <c r="C64" s="16">
        <v>0</v>
      </c>
      <c r="D64" s="5">
        <f t="shared" si="9"/>
        <v>1</v>
      </c>
      <c r="E64" s="6">
        <v>4</v>
      </c>
      <c r="F64" s="16">
        <v>1</v>
      </c>
      <c r="G64" s="5">
        <f t="shared" si="12"/>
        <v>5</v>
      </c>
      <c r="H64" s="7">
        <f t="shared" si="13"/>
        <v>6</v>
      </c>
    </row>
    <row r="65" spans="1:8" ht="15" customHeight="1" thickBot="1" x14ac:dyDescent="0.3">
      <c r="A65" s="11" t="s">
        <v>61</v>
      </c>
      <c r="B65" s="6">
        <v>17</v>
      </c>
      <c r="C65" s="16">
        <v>0</v>
      </c>
      <c r="D65" s="5">
        <f t="shared" si="9"/>
        <v>17</v>
      </c>
      <c r="E65" s="6">
        <v>5</v>
      </c>
      <c r="F65" s="16">
        <v>2</v>
      </c>
      <c r="G65" s="5">
        <f t="shared" si="12"/>
        <v>7</v>
      </c>
      <c r="H65" s="7">
        <f t="shared" si="13"/>
        <v>24</v>
      </c>
    </row>
    <row r="66" spans="1:8" ht="15" customHeight="1" thickTop="1" thickBot="1" x14ac:dyDescent="0.3">
      <c r="A66" s="12" t="s">
        <v>6</v>
      </c>
      <c r="B66" s="13">
        <f t="shared" ref="B66:H66" si="14">SUM(B54:B65)</f>
        <v>51</v>
      </c>
      <c r="C66" s="13">
        <f t="shared" si="14"/>
        <v>1</v>
      </c>
      <c r="D66" s="13">
        <f t="shared" si="14"/>
        <v>52</v>
      </c>
      <c r="E66" s="13">
        <f t="shared" si="14"/>
        <v>108</v>
      </c>
      <c r="F66" s="13">
        <f t="shared" si="14"/>
        <v>16</v>
      </c>
      <c r="G66" s="13">
        <f t="shared" si="14"/>
        <v>124</v>
      </c>
      <c r="H66" s="15">
        <f t="shared" si="14"/>
        <v>176</v>
      </c>
    </row>
    <row r="67" spans="1:8" ht="15" customHeight="1" thickTop="1" thickBot="1" x14ac:dyDescent="0.3">
      <c r="A67" s="23" t="s">
        <v>62</v>
      </c>
      <c r="B67" s="24"/>
      <c r="C67" s="24"/>
      <c r="D67" s="24"/>
      <c r="E67" s="24"/>
      <c r="F67" s="24"/>
      <c r="G67" s="24"/>
      <c r="H67" s="25"/>
    </row>
    <row r="68" spans="1:8" ht="15" customHeight="1" thickTop="1" x14ac:dyDescent="0.25">
      <c r="A68" s="11" t="s">
        <v>64</v>
      </c>
      <c r="B68" s="6">
        <v>13</v>
      </c>
      <c r="C68" s="16">
        <v>0</v>
      </c>
      <c r="D68" s="5">
        <f t="shared" ref="D68:D91" si="15">B68+C68</f>
        <v>13</v>
      </c>
      <c r="E68" s="6">
        <v>3</v>
      </c>
      <c r="F68" s="16">
        <v>1</v>
      </c>
      <c r="G68" s="5">
        <f t="shared" ref="G68:G91" si="16">E68+F68</f>
        <v>4</v>
      </c>
      <c r="H68" s="7">
        <f t="shared" ref="H68:H92" si="17">G68+D68</f>
        <v>17</v>
      </c>
    </row>
    <row r="69" spans="1:8" ht="15" customHeight="1" x14ac:dyDescent="0.25">
      <c r="A69" s="11" t="s">
        <v>65</v>
      </c>
      <c r="B69" s="6">
        <v>9</v>
      </c>
      <c r="C69" s="16">
        <v>0</v>
      </c>
      <c r="D69" s="5">
        <f t="shared" si="15"/>
        <v>9</v>
      </c>
      <c r="E69" s="6">
        <v>4</v>
      </c>
      <c r="F69" s="16">
        <v>0</v>
      </c>
      <c r="G69" s="5">
        <f t="shared" ref="G69:G91" si="18">E69+F69</f>
        <v>4</v>
      </c>
      <c r="H69" s="7">
        <f t="shared" ref="H69:H91" si="19">G69+D69</f>
        <v>13</v>
      </c>
    </row>
    <row r="70" spans="1:8" ht="15" customHeight="1" x14ac:dyDescent="0.25">
      <c r="A70" s="11" t="s">
        <v>173</v>
      </c>
      <c r="B70" s="6">
        <v>2</v>
      </c>
      <c r="C70" s="16">
        <v>0</v>
      </c>
      <c r="D70" s="5">
        <f t="shared" si="15"/>
        <v>2</v>
      </c>
      <c r="E70" s="6">
        <v>1</v>
      </c>
      <c r="F70" s="16">
        <v>0</v>
      </c>
      <c r="G70" s="5">
        <f t="shared" si="18"/>
        <v>1</v>
      </c>
      <c r="H70" s="7">
        <f t="shared" si="19"/>
        <v>3</v>
      </c>
    </row>
    <row r="71" spans="1:8" ht="15" customHeight="1" x14ac:dyDescent="0.25">
      <c r="A71" s="11" t="s">
        <v>174</v>
      </c>
      <c r="B71" s="6">
        <v>102</v>
      </c>
      <c r="C71" s="16">
        <v>3</v>
      </c>
      <c r="D71" s="5">
        <f t="shared" si="15"/>
        <v>105</v>
      </c>
      <c r="E71" s="6">
        <v>133</v>
      </c>
      <c r="F71" s="16">
        <v>4</v>
      </c>
      <c r="G71" s="5">
        <f t="shared" si="18"/>
        <v>137</v>
      </c>
      <c r="H71" s="7">
        <f t="shared" si="19"/>
        <v>242</v>
      </c>
    </row>
    <row r="72" spans="1:8" ht="15" customHeight="1" x14ac:dyDescent="0.25">
      <c r="A72" s="11" t="s">
        <v>69</v>
      </c>
      <c r="B72" s="6">
        <v>229</v>
      </c>
      <c r="C72" s="16">
        <v>6</v>
      </c>
      <c r="D72" s="5">
        <f t="shared" si="15"/>
        <v>235</v>
      </c>
      <c r="E72" s="6">
        <v>57</v>
      </c>
      <c r="F72" s="16">
        <v>3</v>
      </c>
      <c r="G72" s="5">
        <f t="shared" si="18"/>
        <v>60</v>
      </c>
      <c r="H72" s="7">
        <f t="shared" si="19"/>
        <v>295</v>
      </c>
    </row>
    <row r="73" spans="1:8" ht="15" customHeight="1" x14ac:dyDescent="0.25">
      <c r="A73" s="11" t="s">
        <v>70</v>
      </c>
      <c r="B73" s="6">
        <v>27</v>
      </c>
      <c r="C73" s="16">
        <v>0</v>
      </c>
      <c r="D73" s="5">
        <f t="shared" si="15"/>
        <v>27</v>
      </c>
      <c r="E73" s="6">
        <v>42</v>
      </c>
      <c r="F73" s="16">
        <v>28</v>
      </c>
      <c r="G73" s="5">
        <f t="shared" si="18"/>
        <v>70</v>
      </c>
      <c r="H73" s="7">
        <f t="shared" si="19"/>
        <v>97</v>
      </c>
    </row>
    <row r="74" spans="1:8" ht="15" customHeight="1" x14ac:dyDescent="0.25">
      <c r="A74" s="11" t="s">
        <v>71</v>
      </c>
      <c r="B74" s="6">
        <v>3</v>
      </c>
      <c r="C74" s="16">
        <v>0</v>
      </c>
      <c r="D74" s="5">
        <f t="shared" si="15"/>
        <v>3</v>
      </c>
      <c r="E74" s="6">
        <v>8</v>
      </c>
      <c r="F74" s="16">
        <v>1</v>
      </c>
      <c r="G74" s="5">
        <f t="shared" si="18"/>
        <v>9</v>
      </c>
      <c r="H74" s="7">
        <f t="shared" si="19"/>
        <v>12</v>
      </c>
    </row>
    <row r="75" spans="1:8" ht="15" customHeight="1" x14ac:dyDescent="0.25">
      <c r="A75" s="11" t="s">
        <v>72</v>
      </c>
      <c r="B75" s="6">
        <v>57</v>
      </c>
      <c r="C75" s="16">
        <v>0</v>
      </c>
      <c r="D75" s="5">
        <f t="shared" si="15"/>
        <v>57</v>
      </c>
      <c r="E75" s="6">
        <v>81</v>
      </c>
      <c r="F75" s="16">
        <v>3</v>
      </c>
      <c r="G75" s="5">
        <f t="shared" si="18"/>
        <v>84</v>
      </c>
      <c r="H75" s="7">
        <f t="shared" si="19"/>
        <v>141</v>
      </c>
    </row>
    <row r="76" spans="1:8" ht="15" customHeight="1" x14ac:dyDescent="0.25">
      <c r="A76" s="11" t="s">
        <v>73</v>
      </c>
      <c r="B76" s="6">
        <v>4</v>
      </c>
      <c r="C76" s="16">
        <v>0</v>
      </c>
      <c r="D76" s="5">
        <f t="shared" si="15"/>
        <v>4</v>
      </c>
      <c r="E76" s="6">
        <v>2</v>
      </c>
      <c r="F76" s="16">
        <v>0</v>
      </c>
      <c r="G76" s="5">
        <f t="shared" si="18"/>
        <v>2</v>
      </c>
      <c r="H76" s="7">
        <f t="shared" si="19"/>
        <v>6</v>
      </c>
    </row>
    <row r="77" spans="1:8" ht="15" customHeight="1" x14ac:dyDescent="0.25">
      <c r="A77" s="11" t="s">
        <v>229</v>
      </c>
      <c r="B77" s="6">
        <v>0</v>
      </c>
      <c r="C77" s="16">
        <v>1</v>
      </c>
      <c r="D77" s="5">
        <f t="shared" si="15"/>
        <v>1</v>
      </c>
      <c r="E77" s="6">
        <v>0</v>
      </c>
      <c r="F77" s="16">
        <v>0</v>
      </c>
      <c r="G77" s="5">
        <f t="shared" si="18"/>
        <v>0</v>
      </c>
      <c r="H77" s="7">
        <f t="shared" si="19"/>
        <v>1</v>
      </c>
    </row>
    <row r="78" spans="1:8" ht="15" customHeight="1" x14ac:dyDescent="0.25">
      <c r="A78" s="11" t="s">
        <v>230</v>
      </c>
      <c r="B78" s="6">
        <v>5</v>
      </c>
      <c r="C78" s="16">
        <v>0</v>
      </c>
      <c r="D78" s="5">
        <f t="shared" si="15"/>
        <v>5</v>
      </c>
      <c r="E78" s="6">
        <v>1</v>
      </c>
      <c r="F78" s="16">
        <v>1</v>
      </c>
      <c r="G78" s="5">
        <f t="shared" si="18"/>
        <v>2</v>
      </c>
      <c r="H78" s="7">
        <f t="shared" si="19"/>
        <v>7</v>
      </c>
    </row>
    <row r="79" spans="1:8" ht="15" customHeight="1" x14ac:dyDescent="0.25">
      <c r="A79" s="11" t="s">
        <v>74</v>
      </c>
      <c r="B79" s="6">
        <v>88</v>
      </c>
      <c r="C79" s="16">
        <v>1</v>
      </c>
      <c r="D79" s="5">
        <f t="shared" si="15"/>
        <v>89</v>
      </c>
      <c r="E79" s="6">
        <v>58</v>
      </c>
      <c r="F79" s="16">
        <v>3</v>
      </c>
      <c r="G79" s="5">
        <f t="shared" si="18"/>
        <v>61</v>
      </c>
      <c r="H79" s="7">
        <f t="shared" si="19"/>
        <v>150</v>
      </c>
    </row>
    <row r="80" spans="1:8" ht="15" customHeight="1" x14ac:dyDescent="0.25">
      <c r="A80" s="11" t="s">
        <v>178</v>
      </c>
      <c r="B80" s="6">
        <v>2</v>
      </c>
      <c r="C80" s="16">
        <v>0</v>
      </c>
      <c r="D80" s="5">
        <f t="shared" si="15"/>
        <v>2</v>
      </c>
      <c r="E80" s="6">
        <v>2</v>
      </c>
      <c r="F80" s="16">
        <v>0</v>
      </c>
      <c r="G80" s="5">
        <f t="shared" si="18"/>
        <v>2</v>
      </c>
      <c r="H80" s="7">
        <f t="shared" si="19"/>
        <v>4</v>
      </c>
    </row>
    <row r="81" spans="1:8" ht="15" customHeight="1" x14ac:dyDescent="0.25">
      <c r="A81" s="11" t="s">
        <v>76</v>
      </c>
      <c r="B81" s="6">
        <v>0</v>
      </c>
      <c r="C81" s="16">
        <v>0</v>
      </c>
      <c r="D81" s="5">
        <f t="shared" si="15"/>
        <v>0</v>
      </c>
      <c r="E81" s="6">
        <v>4</v>
      </c>
      <c r="F81" s="16">
        <v>0</v>
      </c>
      <c r="G81" s="5">
        <f t="shared" si="18"/>
        <v>4</v>
      </c>
      <c r="H81" s="7">
        <f t="shared" si="19"/>
        <v>4</v>
      </c>
    </row>
    <row r="82" spans="1:8" ht="15" customHeight="1" x14ac:dyDescent="0.25">
      <c r="A82" s="11" t="s">
        <v>77</v>
      </c>
      <c r="B82" s="6">
        <v>35</v>
      </c>
      <c r="C82" s="16">
        <v>0</v>
      </c>
      <c r="D82" s="5">
        <f t="shared" si="15"/>
        <v>35</v>
      </c>
      <c r="E82" s="6">
        <v>18</v>
      </c>
      <c r="F82" s="16">
        <v>5</v>
      </c>
      <c r="G82" s="5">
        <f t="shared" si="18"/>
        <v>23</v>
      </c>
      <c r="H82" s="7">
        <f t="shared" si="19"/>
        <v>58</v>
      </c>
    </row>
    <row r="83" spans="1:8" ht="15" customHeight="1" x14ac:dyDescent="0.25">
      <c r="A83" s="11" t="s">
        <v>79</v>
      </c>
      <c r="B83" s="6">
        <v>4</v>
      </c>
      <c r="C83" s="16">
        <v>0</v>
      </c>
      <c r="D83" s="5">
        <f t="shared" si="15"/>
        <v>4</v>
      </c>
      <c r="E83" s="6">
        <v>1</v>
      </c>
      <c r="F83" s="16">
        <v>0</v>
      </c>
      <c r="G83" s="5">
        <f t="shared" si="18"/>
        <v>1</v>
      </c>
      <c r="H83" s="7">
        <f t="shared" si="19"/>
        <v>5</v>
      </c>
    </row>
    <row r="84" spans="1:8" ht="15" customHeight="1" x14ac:dyDescent="0.25">
      <c r="A84" s="11" t="s">
        <v>231</v>
      </c>
      <c r="B84" s="6">
        <v>49</v>
      </c>
      <c r="C84" s="16">
        <v>2</v>
      </c>
      <c r="D84" s="5">
        <f t="shared" si="15"/>
        <v>51</v>
      </c>
      <c r="E84" s="6">
        <v>49</v>
      </c>
      <c r="F84" s="16">
        <v>2</v>
      </c>
      <c r="G84" s="5">
        <f t="shared" si="18"/>
        <v>51</v>
      </c>
      <c r="H84" s="7">
        <f t="shared" si="19"/>
        <v>102</v>
      </c>
    </row>
    <row r="85" spans="1:8" ht="15" customHeight="1" x14ac:dyDescent="0.25">
      <c r="A85" s="11" t="s">
        <v>80</v>
      </c>
      <c r="B85" s="6">
        <v>156</v>
      </c>
      <c r="C85" s="16">
        <v>1</v>
      </c>
      <c r="D85" s="5">
        <f t="shared" si="15"/>
        <v>157</v>
      </c>
      <c r="E85" s="6">
        <v>47</v>
      </c>
      <c r="F85" s="16">
        <v>2</v>
      </c>
      <c r="G85" s="5">
        <f t="shared" si="18"/>
        <v>49</v>
      </c>
      <c r="H85" s="7">
        <f t="shared" si="19"/>
        <v>206</v>
      </c>
    </row>
    <row r="86" spans="1:8" ht="15" customHeight="1" x14ac:dyDescent="0.25">
      <c r="A86" s="11" t="s">
        <v>82</v>
      </c>
      <c r="B86" s="6">
        <v>20</v>
      </c>
      <c r="C86" s="16">
        <v>1</v>
      </c>
      <c r="D86" s="5">
        <f t="shared" si="15"/>
        <v>21</v>
      </c>
      <c r="E86" s="6">
        <v>6</v>
      </c>
      <c r="F86" s="16">
        <v>1</v>
      </c>
      <c r="G86" s="5">
        <f t="shared" si="18"/>
        <v>7</v>
      </c>
      <c r="H86" s="7">
        <f t="shared" si="19"/>
        <v>28</v>
      </c>
    </row>
    <row r="87" spans="1:8" ht="15" customHeight="1" x14ac:dyDescent="0.25">
      <c r="A87" s="11" t="s">
        <v>83</v>
      </c>
      <c r="B87" s="6">
        <v>30</v>
      </c>
      <c r="C87" s="16">
        <v>1</v>
      </c>
      <c r="D87" s="5">
        <f t="shared" si="15"/>
        <v>31</v>
      </c>
      <c r="E87" s="6">
        <v>53</v>
      </c>
      <c r="F87" s="16">
        <v>1</v>
      </c>
      <c r="G87" s="5">
        <f t="shared" si="18"/>
        <v>54</v>
      </c>
      <c r="H87" s="7">
        <f t="shared" si="19"/>
        <v>85</v>
      </c>
    </row>
    <row r="88" spans="1:8" ht="15" customHeight="1" x14ac:dyDescent="0.25">
      <c r="A88" s="11" t="s">
        <v>211</v>
      </c>
      <c r="B88" s="6">
        <v>0</v>
      </c>
      <c r="C88" s="16">
        <v>0</v>
      </c>
      <c r="D88" s="5">
        <f t="shared" si="15"/>
        <v>0</v>
      </c>
      <c r="E88" s="6">
        <v>1</v>
      </c>
      <c r="F88" s="16">
        <v>2</v>
      </c>
      <c r="G88" s="5">
        <f t="shared" si="18"/>
        <v>3</v>
      </c>
      <c r="H88" s="7">
        <f t="shared" si="19"/>
        <v>3</v>
      </c>
    </row>
    <row r="89" spans="1:8" ht="15" customHeight="1" x14ac:dyDescent="0.25">
      <c r="A89" s="11" t="s">
        <v>84</v>
      </c>
      <c r="B89" s="6">
        <v>33</v>
      </c>
      <c r="C89" s="16">
        <v>3</v>
      </c>
      <c r="D89" s="5">
        <f t="shared" si="15"/>
        <v>36</v>
      </c>
      <c r="E89" s="6">
        <v>39</v>
      </c>
      <c r="F89" s="16">
        <v>1</v>
      </c>
      <c r="G89" s="5">
        <f t="shared" si="18"/>
        <v>40</v>
      </c>
      <c r="H89" s="7">
        <f t="shared" si="19"/>
        <v>76</v>
      </c>
    </row>
    <row r="90" spans="1:8" ht="15" customHeight="1" x14ac:dyDescent="0.25">
      <c r="A90" s="11" t="s">
        <v>180</v>
      </c>
      <c r="B90" s="6">
        <v>1</v>
      </c>
      <c r="C90" s="16">
        <v>0</v>
      </c>
      <c r="D90" s="5">
        <f t="shared" si="15"/>
        <v>1</v>
      </c>
      <c r="E90" s="6">
        <v>0</v>
      </c>
      <c r="F90" s="16">
        <v>0</v>
      </c>
      <c r="G90" s="5">
        <f t="shared" si="18"/>
        <v>0</v>
      </c>
      <c r="H90" s="7">
        <f t="shared" si="19"/>
        <v>1</v>
      </c>
    </row>
    <row r="91" spans="1:8" ht="15" customHeight="1" thickBot="1" x14ac:dyDescent="0.3">
      <c r="A91" s="11" t="s">
        <v>85</v>
      </c>
      <c r="B91" s="6">
        <v>0</v>
      </c>
      <c r="C91" s="16">
        <v>0</v>
      </c>
      <c r="D91" s="5">
        <f t="shared" si="15"/>
        <v>0</v>
      </c>
      <c r="E91" s="6">
        <v>1</v>
      </c>
      <c r="F91" s="16">
        <v>0</v>
      </c>
      <c r="G91" s="5">
        <f t="shared" si="18"/>
        <v>1</v>
      </c>
      <c r="H91" s="7">
        <f t="shared" si="19"/>
        <v>1</v>
      </c>
    </row>
    <row r="92" spans="1:8" ht="15" customHeight="1" thickTop="1" thickBot="1" x14ac:dyDescent="0.3">
      <c r="A92" s="12" t="s">
        <v>6</v>
      </c>
      <c r="B92" s="13">
        <f t="shared" ref="B92:G92" si="20">SUM(B68:B91)</f>
        <v>869</v>
      </c>
      <c r="C92" s="13">
        <f t="shared" si="20"/>
        <v>19</v>
      </c>
      <c r="D92" s="13">
        <f t="shared" si="20"/>
        <v>888</v>
      </c>
      <c r="E92" s="13">
        <f t="shared" si="20"/>
        <v>611</v>
      </c>
      <c r="F92" s="13">
        <f t="shared" si="20"/>
        <v>58</v>
      </c>
      <c r="G92" s="13">
        <f t="shared" si="20"/>
        <v>669</v>
      </c>
      <c r="H92" s="15">
        <f t="shared" si="17"/>
        <v>1557</v>
      </c>
    </row>
    <row r="93" spans="1:8" ht="15" customHeight="1" thickTop="1" thickBot="1" x14ac:dyDescent="0.3">
      <c r="A93" s="23" t="s">
        <v>86</v>
      </c>
      <c r="B93" s="24"/>
      <c r="C93" s="24"/>
      <c r="D93" s="24"/>
      <c r="E93" s="24"/>
      <c r="F93" s="24"/>
      <c r="G93" s="24"/>
      <c r="H93" s="25"/>
    </row>
    <row r="94" spans="1:8" ht="15" customHeight="1" thickTop="1" x14ac:dyDescent="0.25">
      <c r="A94" s="11" t="s">
        <v>87</v>
      </c>
      <c r="B94" s="6">
        <v>10</v>
      </c>
      <c r="C94" s="16">
        <v>0</v>
      </c>
      <c r="D94" s="5">
        <f t="shared" ref="D94:D119" si="21">B94+C94</f>
        <v>10</v>
      </c>
      <c r="E94" s="6">
        <v>7</v>
      </c>
      <c r="F94" s="16">
        <v>0</v>
      </c>
      <c r="G94" s="5">
        <f t="shared" ref="G94:G119" si="22">E94+F94</f>
        <v>7</v>
      </c>
      <c r="H94" s="7">
        <f t="shared" ref="H94:H119" si="23">G94+D94</f>
        <v>17</v>
      </c>
    </row>
    <row r="95" spans="1:8" ht="15" customHeight="1" x14ac:dyDescent="0.25">
      <c r="A95" s="11" t="s">
        <v>88</v>
      </c>
      <c r="B95" s="6">
        <v>3</v>
      </c>
      <c r="C95" s="16">
        <v>0</v>
      </c>
      <c r="D95" s="5">
        <f t="shared" si="21"/>
        <v>3</v>
      </c>
      <c r="E95" s="6">
        <v>8</v>
      </c>
      <c r="F95" s="16">
        <v>0</v>
      </c>
      <c r="G95" s="5">
        <f t="shared" ref="G95:G119" si="24">E95+F95</f>
        <v>8</v>
      </c>
      <c r="H95" s="7">
        <f t="shared" ref="H95:H119" si="25">G95+D95</f>
        <v>11</v>
      </c>
    </row>
    <row r="96" spans="1:8" ht="15" customHeight="1" x14ac:dyDescent="0.25">
      <c r="A96" s="11" t="s">
        <v>89</v>
      </c>
      <c r="B96" s="6">
        <v>0</v>
      </c>
      <c r="C96" s="16">
        <v>0</v>
      </c>
      <c r="D96" s="5">
        <f t="shared" si="21"/>
        <v>0</v>
      </c>
      <c r="E96" s="6">
        <v>1</v>
      </c>
      <c r="F96" s="16">
        <v>0</v>
      </c>
      <c r="G96" s="5">
        <f t="shared" si="24"/>
        <v>1</v>
      </c>
      <c r="H96" s="7">
        <f t="shared" si="25"/>
        <v>1</v>
      </c>
    </row>
    <row r="97" spans="1:8" ht="15" customHeight="1" x14ac:dyDescent="0.25">
      <c r="A97" s="11" t="s">
        <v>90</v>
      </c>
      <c r="B97" s="6">
        <v>5</v>
      </c>
      <c r="C97" s="16">
        <v>0</v>
      </c>
      <c r="D97" s="5">
        <f t="shared" si="21"/>
        <v>5</v>
      </c>
      <c r="E97" s="6">
        <v>11</v>
      </c>
      <c r="F97" s="16">
        <v>0</v>
      </c>
      <c r="G97" s="5">
        <f t="shared" si="24"/>
        <v>11</v>
      </c>
      <c r="H97" s="7">
        <f t="shared" si="25"/>
        <v>16</v>
      </c>
    </row>
    <row r="98" spans="1:8" ht="15" customHeight="1" x14ac:dyDescent="0.25">
      <c r="A98" s="11" t="s">
        <v>92</v>
      </c>
      <c r="B98" s="6">
        <v>1</v>
      </c>
      <c r="C98" s="16">
        <v>0</v>
      </c>
      <c r="D98" s="5">
        <f t="shared" si="21"/>
        <v>1</v>
      </c>
      <c r="E98" s="6">
        <v>4</v>
      </c>
      <c r="F98" s="16">
        <v>0</v>
      </c>
      <c r="G98" s="5">
        <f t="shared" si="24"/>
        <v>4</v>
      </c>
      <c r="H98" s="7">
        <f t="shared" si="25"/>
        <v>5</v>
      </c>
    </row>
    <row r="99" spans="1:8" ht="15" customHeight="1" x14ac:dyDescent="0.25">
      <c r="A99" s="11" t="s">
        <v>94</v>
      </c>
      <c r="B99" s="6">
        <v>1</v>
      </c>
      <c r="C99" s="16">
        <v>0</v>
      </c>
      <c r="D99" s="5">
        <f t="shared" si="21"/>
        <v>1</v>
      </c>
      <c r="E99" s="6">
        <v>0</v>
      </c>
      <c r="F99" s="16">
        <v>0</v>
      </c>
      <c r="G99" s="5">
        <f t="shared" si="24"/>
        <v>0</v>
      </c>
      <c r="H99" s="7">
        <f t="shared" si="25"/>
        <v>1</v>
      </c>
    </row>
    <row r="100" spans="1:8" ht="15" customHeight="1" x14ac:dyDescent="0.25">
      <c r="A100" s="11" t="s">
        <v>95</v>
      </c>
      <c r="B100" s="6">
        <v>2</v>
      </c>
      <c r="C100" s="16">
        <v>0</v>
      </c>
      <c r="D100" s="5">
        <f t="shared" si="21"/>
        <v>2</v>
      </c>
      <c r="E100" s="6">
        <v>10</v>
      </c>
      <c r="F100" s="16">
        <v>3</v>
      </c>
      <c r="G100" s="5">
        <f t="shared" si="24"/>
        <v>13</v>
      </c>
      <c r="H100" s="7">
        <f t="shared" si="25"/>
        <v>15</v>
      </c>
    </row>
    <row r="101" spans="1:8" ht="15" customHeight="1" x14ac:dyDescent="0.25">
      <c r="A101" s="11" t="s">
        <v>96</v>
      </c>
      <c r="B101" s="6">
        <v>10</v>
      </c>
      <c r="C101" s="16">
        <v>0</v>
      </c>
      <c r="D101" s="5">
        <f t="shared" si="21"/>
        <v>10</v>
      </c>
      <c r="E101" s="6">
        <v>7</v>
      </c>
      <c r="F101" s="16">
        <v>0</v>
      </c>
      <c r="G101" s="5">
        <f t="shared" si="24"/>
        <v>7</v>
      </c>
      <c r="H101" s="7">
        <f t="shared" si="25"/>
        <v>17</v>
      </c>
    </row>
    <row r="102" spans="1:8" ht="15" customHeight="1" x14ac:dyDescent="0.25">
      <c r="A102" s="11" t="s">
        <v>99</v>
      </c>
      <c r="B102" s="6">
        <v>1</v>
      </c>
      <c r="C102" s="16">
        <v>0</v>
      </c>
      <c r="D102" s="5">
        <f t="shared" si="21"/>
        <v>1</v>
      </c>
      <c r="E102" s="6">
        <v>1</v>
      </c>
      <c r="F102" s="16">
        <v>0</v>
      </c>
      <c r="G102" s="5">
        <f t="shared" si="24"/>
        <v>1</v>
      </c>
      <c r="H102" s="7">
        <f t="shared" si="25"/>
        <v>2</v>
      </c>
    </row>
    <row r="103" spans="1:8" ht="15" customHeight="1" x14ac:dyDescent="0.25">
      <c r="A103" s="11" t="s">
        <v>100</v>
      </c>
      <c r="B103" s="6">
        <v>0</v>
      </c>
      <c r="C103" s="16">
        <v>0</v>
      </c>
      <c r="D103" s="5">
        <f t="shared" si="21"/>
        <v>0</v>
      </c>
      <c r="E103" s="6">
        <v>2</v>
      </c>
      <c r="F103" s="16">
        <v>0</v>
      </c>
      <c r="G103" s="5">
        <f t="shared" si="24"/>
        <v>2</v>
      </c>
      <c r="H103" s="7">
        <f t="shared" si="25"/>
        <v>2</v>
      </c>
    </row>
    <row r="104" spans="1:8" ht="15" customHeight="1" x14ac:dyDescent="0.25">
      <c r="A104" s="11" t="s">
        <v>101</v>
      </c>
      <c r="B104" s="6">
        <v>18</v>
      </c>
      <c r="C104" s="16">
        <v>0</v>
      </c>
      <c r="D104" s="5">
        <f t="shared" si="21"/>
        <v>18</v>
      </c>
      <c r="E104" s="6">
        <v>4</v>
      </c>
      <c r="F104" s="16">
        <v>2</v>
      </c>
      <c r="G104" s="5">
        <f t="shared" si="24"/>
        <v>6</v>
      </c>
      <c r="H104" s="7">
        <f t="shared" si="25"/>
        <v>24</v>
      </c>
    </row>
    <row r="105" spans="1:8" ht="15" customHeight="1" x14ac:dyDescent="0.25">
      <c r="A105" s="11" t="s">
        <v>102</v>
      </c>
      <c r="B105" s="6">
        <v>1</v>
      </c>
      <c r="C105" s="16">
        <v>0</v>
      </c>
      <c r="D105" s="5">
        <f t="shared" si="21"/>
        <v>1</v>
      </c>
      <c r="E105" s="6">
        <v>2</v>
      </c>
      <c r="F105" s="16">
        <v>0</v>
      </c>
      <c r="G105" s="5">
        <f t="shared" si="24"/>
        <v>2</v>
      </c>
      <c r="H105" s="7">
        <f t="shared" si="25"/>
        <v>3</v>
      </c>
    </row>
    <row r="106" spans="1:8" ht="15" customHeight="1" x14ac:dyDescent="0.25">
      <c r="A106" s="11" t="s">
        <v>186</v>
      </c>
      <c r="B106" s="6">
        <v>0</v>
      </c>
      <c r="C106" s="16">
        <v>0</v>
      </c>
      <c r="D106" s="5">
        <f t="shared" si="21"/>
        <v>0</v>
      </c>
      <c r="E106" s="6">
        <v>1</v>
      </c>
      <c r="F106" s="16">
        <v>0</v>
      </c>
      <c r="G106" s="5">
        <f t="shared" si="24"/>
        <v>1</v>
      </c>
      <c r="H106" s="7">
        <f t="shared" si="25"/>
        <v>1</v>
      </c>
    </row>
    <row r="107" spans="1:8" ht="15" customHeight="1" x14ac:dyDescent="0.25">
      <c r="A107" s="11" t="s">
        <v>103</v>
      </c>
      <c r="B107" s="6">
        <v>0</v>
      </c>
      <c r="C107" s="16">
        <v>0</v>
      </c>
      <c r="D107" s="5">
        <f t="shared" si="21"/>
        <v>0</v>
      </c>
      <c r="E107" s="6">
        <v>1</v>
      </c>
      <c r="F107" s="16">
        <v>0</v>
      </c>
      <c r="G107" s="5">
        <f t="shared" si="24"/>
        <v>1</v>
      </c>
      <c r="H107" s="7">
        <f t="shared" si="25"/>
        <v>1</v>
      </c>
    </row>
    <row r="108" spans="1:8" ht="15" customHeight="1" x14ac:dyDescent="0.25">
      <c r="A108" s="11" t="s">
        <v>153</v>
      </c>
      <c r="B108" s="6">
        <v>0</v>
      </c>
      <c r="C108" s="16">
        <v>0</v>
      </c>
      <c r="D108" s="5">
        <f t="shared" si="21"/>
        <v>0</v>
      </c>
      <c r="E108" s="6">
        <v>1</v>
      </c>
      <c r="F108" s="16">
        <v>0</v>
      </c>
      <c r="G108" s="5">
        <f t="shared" si="24"/>
        <v>1</v>
      </c>
      <c r="H108" s="7">
        <f t="shared" si="25"/>
        <v>1</v>
      </c>
    </row>
    <row r="109" spans="1:8" ht="15" customHeight="1" x14ac:dyDescent="0.25">
      <c r="A109" s="11" t="s">
        <v>104</v>
      </c>
      <c r="B109" s="6">
        <v>22</v>
      </c>
      <c r="C109" s="16">
        <v>0</v>
      </c>
      <c r="D109" s="5">
        <f t="shared" si="21"/>
        <v>22</v>
      </c>
      <c r="E109" s="6">
        <v>29</v>
      </c>
      <c r="F109" s="16">
        <v>4</v>
      </c>
      <c r="G109" s="5">
        <f t="shared" si="24"/>
        <v>33</v>
      </c>
      <c r="H109" s="7">
        <f t="shared" si="25"/>
        <v>55</v>
      </c>
    </row>
    <row r="110" spans="1:8" ht="15" customHeight="1" x14ac:dyDescent="0.25">
      <c r="A110" s="11" t="s">
        <v>188</v>
      </c>
      <c r="B110" s="6">
        <v>1</v>
      </c>
      <c r="C110" s="16">
        <v>0</v>
      </c>
      <c r="D110" s="5">
        <f t="shared" si="21"/>
        <v>1</v>
      </c>
      <c r="E110" s="6">
        <v>0</v>
      </c>
      <c r="F110" s="16">
        <v>0</v>
      </c>
      <c r="G110" s="5">
        <f t="shared" si="24"/>
        <v>0</v>
      </c>
      <c r="H110" s="7">
        <f t="shared" si="25"/>
        <v>1</v>
      </c>
    </row>
    <row r="111" spans="1:8" ht="15" customHeight="1" x14ac:dyDescent="0.25">
      <c r="A111" s="11" t="s">
        <v>109</v>
      </c>
      <c r="B111" s="6">
        <v>1</v>
      </c>
      <c r="C111" s="16">
        <v>0</v>
      </c>
      <c r="D111" s="5">
        <f t="shared" si="21"/>
        <v>1</v>
      </c>
      <c r="E111" s="6">
        <v>0</v>
      </c>
      <c r="F111" s="16">
        <v>0</v>
      </c>
      <c r="G111" s="5">
        <f t="shared" si="24"/>
        <v>0</v>
      </c>
      <c r="H111" s="7">
        <f t="shared" si="25"/>
        <v>1</v>
      </c>
    </row>
    <row r="112" spans="1:8" ht="15" customHeight="1" x14ac:dyDescent="0.25">
      <c r="A112" s="11" t="s">
        <v>106</v>
      </c>
      <c r="B112" s="6">
        <v>1</v>
      </c>
      <c r="C112" s="16">
        <v>0</v>
      </c>
      <c r="D112" s="5">
        <f t="shared" si="21"/>
        <v>1</v>
      </c>
      <c r="E112" s="6">
        <v>0</v>
      </c>
      <c r="F112" s="16">
        <v>0</v>
      </c>
      <c r="G112" s="5">
        <f t="shared" si="24"/>
        <v>0</v>
      </c>
      <c r="H112" s="7">
        <f t="shared" si="25"/>
        <v>1</v>
      </c>
    </row>
    <row r="113" spans="1:8" ht="15" customHeight="1" x14ac:dyDescent="0.25">
      <c r="A113" s="11" t="s">
        <v>107</v>
      </c>
      <c r="B113" s="6">
        <v>4</v>
      </c>
      <c r="C113" s="16">
        <v>0</v>
      </c>
      <c r="D113" s="5">
        <f t="shared" si="21"/>
        <v>4</v>
      </c>
      <c r="E113" s="6">
        <v>10</v>
      </c>
      <c r="F113" s="16">
        <v>3</v>
      </c>
      <c r="G113" s="5">
        <f t="shared" si="24"/>
        <v>13</v>
      </c>
      <c r="H113" s="7">
        <f t="shared" si="25"/>
        <v>17</v>
      </c>
    </row>
    <row r="114" spans="1:8" ht="15" customHeight="1" x14ac:dyDescent="0.25">
      <c r="A114" s="11" t="s">
        <v>108</v>
      </c>
      <c r="B114" s="6">
        <v>2</v>
      </c>
      <c r="C114" s="16">
        <v>0</v>
      </c>
      <c r="D114" s="5">
        <f t="shared" si="21"/>
        <v>2</v>
      </c>
      <c r="E114" s="6">
        <v>3</v>
      </c>
      <c r="F114" s="16">
        <v>2</v>
      </c>
      <c r="G114" s="5">
        <f t="shared" si="24"/>
        <v>5</v>
      </c>
      <c r="H114" s="7">
        <f t="shared" si="25"/>
        <v>7</v>
      </c>
    </row>
    <row r="115" spans="1:8" ht="15" customHeight="1" x14ac:dyDescent="0.25">
      <c r="A115" s="11" t="s">
        <v>154</v>
      </c>
      <c r="B115" s="6">
        <v>0</v>
      </c>
      <c r="C115" s="16">
        <v>0</v>
      </c>
      <c r="D115" s="5">
        <f t="shared" si="21"/>
        <v>0</v>
      </c>
      <c r="E115" s="6">
        <v>1</v>
      </c>
      <c r="F115" s="16">
        <v>0</v>
      </c>
      <c r="G115" s="5">
        <f t="shared" si="24"/>
        <v>1</v>
      </c>
      <c r="H115" s="7">
        <f t="shared" si="25"/>
        <v>1</v>
      </c>
    </row>
    <row r="116" spans="1:8" ht="15" customHeight="1" x14ac:dyDescent="0.25">
      <c r="A116" s="11" t="s">
        <v>110</v>
      </c>
      <c r="B116" s="6">
        <v>1</v>
      </c>
      <c r="C116" s="16">
        <v>0</v>
      </c>
      <c r="D116" s="5">
        <f t="shared" si="21"/>
        <v>1</v>
      </c>
      <c r="E116" s="6">
        <v>6</v>
      </c>
      <c r="F116" s="16">
        <v>0</v>
      </c>
      <c r="G116" s="5">
        <f t="shared" si="24"/>
        <v>6</v>
      </c>
      <c r="H116" s="7">
        <f t="shared" si="25"/>
        <v>7</v>
      </c>
    </row>
    <row r="117" spans="1:8" ht="15" customHeight="1" x14ac:dyDescent="0.25">
      <c r="A117" s="11" t="s">
        <v>111</v>
      </c>
      <c r="B117" s="6">
        <v>2</v>
      </c>
      <c r="C117" s="16">
        <v>0</v>
      </c>
      <c r="D117" s="5">
        <f t="shared" si="21"/>
        <v>2</v>
      </c>
      <c r="E117" s="6">
        <v>3</v>
      </c>
      <c r="F117" s="16">
        <v>0</v>
      </c>
      <c r="G117" s="5">
        <f t="shared" si="24"/>
        <v>3</v>
      </c>
      <c r="H117" s="7">
        <f t="shared" si="25"/>
        <v>5</v>
      </c>
    </row>
    <row r="118" spans="1:8" ht="15" customHeight="1" x14ac:dyDescent="0.25">
      <c r="A118" s="11" t="s">
        <v>113</v>
      </c>
      <c r="B118" s="6">
        <v>1</v>
      </c>
      <c r="C118" s="16">
        <v>0</v>
      </c>
      <c r="D118" s="5">
        <f t="shared" si="21"/>
        <v>1</v>
      </c>
      <c r="E118" s="6">
        <v>1</v>
      </c>
      <c r="F118" s="16">
        <v>0</v>
      </c>
      <c r="G118" s="5">
        <f t="shared" si="24"/>
        <v>1</v>
      </c>
      <c r="H118" s="7">
        <f t="shared" si="25"/>
        <v>2</v>
      </c>
    </row>
    <row r="119" spans="1:8" ht="15" customHeight="1" thickBot="1" x14ac:dyDescent="0.3">
      <c r="A119" s="11" t="s">
        <v>114</v>
      </c>
      <c r="B119" s="6">
        <v>1</v>
      </c>
      <c r="C119" s="16">
        <v>0</v>
      </c>
      <c r="D119" s="5">
        <f t="shared" si="21"/>
        <v>1</v>
      </c>
      <c r="E119" s="6">
        <v>1</v>
      </c>
      <c r="F119" s="16">
        <v>0</v>
      </c>
      <c r="G119" s="5">
        <f t="shared" si="24"/>
        <v>1</v>
      </c>
      <c r="H119" s="7">
        <f t="shared" si="25"/>
        <v>2</v>
      </c>
    </row>
    <row r="120" spans="1:8" ht="15" customHeight="1" thickTop="1" thickBot="1" x14ac:dyDescent="0.3">
      <c r="A120" s="12" t="s">
        <v>6</v>
      </c>
      <c r="B120" s="13">
        <f t="shared" ref="B120:H120" si="26">SUM(B94:B119)</f>
        <v>88</v>
      </c>
      <c r="C120" s="13">
        <f t="shared" si="26"/>
        <v>0</v>
      </c>
      <c r="D120" s="13">
        <f t="shared" si="26"/>
        <v>88</v>
      </c>
      <c r="E120" s="13">
        <f t="shared" si="26"/>
        <v>114</v>
      </c>
      <c r="F120" s="13">
        <f t="shared" si="26"/>
        <v>14</v>
      </c>
      <c r="G120" s="13">
        <f t="shared" si="26"/>
        <v>128</v>
      </c>
      <c r="H120" s="15">
        <f t="shared" si="26"/>
        <v>216</v>
      </c>
    </row>
    <row r="121" spans="1:8" ht="15" customHeight="1" thickTop="1" thickBot="1" x14ac:dyDescent="0.3">
      <c r="A121" s="23" t="s">
        <v>115</v>
      </c>
      <c r="B121" s="24"/>
      <c r="C121" s="24"/>
      <c r="D121" s="24"/>
      <c r="E121" s="24"/>
      <c r="F121" s="24"/>
      <c r="G121" s="24"/>
      <c r="H121" s="25"/>
    </row>
    <row r="122" spans="1:8" ht="15" customHeight="1" thickTop="1" x14ac:dyDescent="0.25">
      <c r="A122" s="11" t="s">
        <v>116</v>
      </c>
      <c r="B122" s="6">
        <v>13</v>
      </c>
      <c r="C122" s="16">
        <v>0</v>
      </c>
      <c r="D122" s="5">
        <f t="shared" ref="D122:D123" si="27">B122+C122</f>
        <v>13</v>
      </c>
      <c r="E122" s="6">
        <v>47</v>
      </c>
      <c r="F122" s="16">
        <v>3</v>
      </c>
      <c r="G122" s="5">
        <f t="shared" ref="G122:G123" si="28">E122+F122</f>
        <v>50</v>
      </c>
      <c r="H122" s="7">
        <f t="shared" ref="H122:H123" si="29">G122+D122</f>
        <v>63</v>
      </c>
    </row>
    <row r="123" spans="1:8" ht="15" customHeight="1" thickBot="1" x14ac:dyDescent="0.3">
      <c r="A123" s="11" t="s">
        <v>117</v>
      </c>
      <c r="B123" s="6">
        <v>304</v>
      </c>
      <c r="C123" s="16">
        <v>4</v>
      </c>
      <c r="D123" s="5">
        <f t="shared" si="27"/>
        <v>308</v>
      </c>
      <c r="E123" s="6">
        <v>207</v>
      </c>
      <c r="F123" s="16">
        <v>10</v>
      </c>
      <c r="G123" s="5">
        <f t="shared" si="28"/>
        <v>217</v>
      </c>
      <c r="H123" s="7">
        <f t="shared" si="29"/>
        <v>525</v>
      </c>
    </row>
    <row r="124" spans="1:8" ht="15" customHeight="1" thickTop="1" thickBot="1" x14ac:dyDescent="0.3">
      <c r="A124" s="12" t="s">
        <v>6</v>
      </c>
      <c r="B124" s="13">
        <f>SUM(B122:B123)</f>
        <v>317</v>
      </c>
      <c r="C124" s="13">
        <f t="shared" ref="C124:H124" si="30">SUM(C122:C123)</f>
        <v>4</v>
      </c>
      <c r="D124" s="13">
        <f t="shared" si="30"/>
        <v>321</v>
      </c>
      <c r="E124" s="13">
        <f t="shared" si="30"/>
        <v>254</v>
      </c>
      <c r="F124" s="13">
        <f t="shared" si="30"/>
        <v>13</v>
      </c>
      <c r="G124" s="13">
        <f t="shared" si="30"/>
        <v>267</v>
      </c>
      <c r="H124" s="15">
        <f t="shared" si="30"/>
        <v>588</v>
      </c>
    </row>
    <row r="125" spans="1:8" ht="15" customHeight="1" thickTop="1" thickBot="1" x14ac:dyDescent="0.3">
      <c r="A125" s="23" t="s">
        <v>145</v>
      </c>
      <c r="B125" s="24"/>
      <c r="C125" s="24"/>
      <c r="D125" s="24"/>
      <c r="E125" s="24"/>
      <c r="F125" s="24"/>
      <c r="G125" s="24"/>
      <c r="H125" s="25"/>
    </row>
    <row r="126" spans="1:8" ht="15" customHeight="1" thickTop="1" x14ac:dyDescent="0.25">
      <c r="A126" s="11" t="s">
        <v>232</v>
      </c>
      <c r="B126" s="6">
        <v>0</v>
      </c>
      <c r="C126" s="16">
        <v>0</v>
      </c>
      <c r="D126" s="5">
        <f t="shared" ref="D126:D135" si="31">B126+C126</f>
        <v>0</v>
      </c>
      <c r="E126" s="6">
        <v>1</v>
      </c>
      <c r="F126" s="16">
        <v>0</v>
      </c>
      <c r="G126" s="5">
        <f t="shared" ref="G126:G135" si="32">E126+F126</f>
        <v>1</v>
      </c>
      <c r="H126" s="7">
        <f t="shared" ref="H126:H135" si="33">G126+D126</f>
        <v>1</v>
      </c>
    </row>
    <row r="127" spans="1:8" ht="15" customHeight="1" x14ac:dyDescent="0.25">
      <c r="A127" s="11" t="s">
        <v>118</v>
      </c>
      <c r="B127" s="6">
        <v>0</v>
      </c>
      <c r="C127" s="16">
        <v>0</v>
      </c>
      <c r="D127" s="5">
        <f t="shared" si="31"/>
        <v>0</v>
      </c>
      <c r="E127" s="6">
        <v>1</v>
      </c>
      <c r="F127" s="16">
        <v>0</v>
      </c>
      <c r="G127" s="5">
        <f t="shared" si="32"/>
        <v>1</v>
      </c>
      <c r="H127" s="7">
        <f t="shared" si="33"/>
        <v>1</v>
      </c>
    </row>
    <row r="128" spans="1:8" ht="15" customHeight="1" x14ac:dyDescent="0.25">
      <c r="A128" s="11" t="s">
        <v>119</v>
      </c>
      <c r="B128" s="6">
        <v>2</v>
      </c>
      <c r="C128" s="16">
        <v>0</v>
      </c>
      <c r="D128" s="5">
        <f t="shared" si="31"/>
        <v>2</v>
      </c>
      <c r="E128" s="6">
        <v>3</v>
      </c>
      <c r="F128" s="16">
        <v>0</v>
      </c>
      <c r="G128" s="5">
        <f t="shared" si="32"/>
        <v>3</v>
      </c>
      <c r="H128" s="7">
        <f t="shared" si="33"/>
        <v>5</v>
      </c>
    </row>
    <row r="129" spans="1:8" ht="15" customHeight="1" x14ac:dyDescent="0.25">
      <c r="A129" s="11" t="s">
        <v>120</v>
      </c>
      <c r="B129" s="6">
        <v>2</v>
      </c>
      <c r="C129" s="16">
        <v>0</v>
      </c>
      <c r="D129" s="5">
        <f t="shared" si="31"/>
        <v>2</v>
      </c>
      <c r="E129" s="6">
        <v>0</v>
      </c>
      <c r="F129" s="16">
        <v>0</v>
      </c>
      <c r="G129" s="5">
        <f t="shared" si="32"/>
        <v>0</v>
      </c>
      <c r="H129" s="7">
        <f t="shared" si="33"/>
        <v>2</v>
      </c>
    </row>
    <row r="130" spans="1:8" ht="15" customHeight="1" x14ac:dyDescent="0.25">
      <c r="A130" s="11" t="s">
        <v>121</v>
      </c>
      <c r="B130" s="6">
        <v>0</v>
      </c>
      <c r="C130" s="16">
        <v>0</v>
      </c>
      <c r="D130" s="5">
        <f t="shared" si="31"/>
        <v>0</v>
      </c>
      <c r="E130" s="6">
        <v>1</v>
      </c>
      <c r="F130" s="16">
        <v>0</v>
      </c>
      <c r="G130" s="5">
        <f t="shared" si="32"/>
        <v>1</v>
      </c>
      <c r="H130" s="7">
        <f t="shared" si="33"/>
        <v>1</v>
      </c>
    </row>
    <row r="131" spans="1:8" ht="15" customHeight="1" x14ac:dyDescent="0.25">
      <c r="A131" s="11" t="s">
        <v>123</v>
      </c>
      <c r="B131" s="6">
        <v>0</v>
      </c>
      <c r="C131" s="16">
        <v>0</v>
      </c>
      <c r="D131" s="5">
        <f t="shared" si="31"/>
        <v>0</v>
      </c>
      <c r="E131" s="6">
        <v>5</v>
      </c>
      <c r="F131" s="16">
        <v>2</v>
      </c>
      <c r="G131" s="5">
        <f t="shared" si="32"/>
        <v>7</v>
      </c>
      <c r="H131" s="7">
        <f t="shared" si="33"/>
        <v>7</v>
      </c>
    </row>
    <row r="132" spans="1:8" ht="15" customHeight="1" x14ac:dyDescent="0.25">
      <c r="A132" s="11" t="s">
        <v>228</v>
      </c>
      <c r="B132" s="6">
        <v>1</v>
      </c>
      <c r="C132" s="16">
        <v>0</v>
      </c>
      <c r="D132" s="5">
        <f t="shared" si="31"/>
        <v>1</v>
      </c>
      <c r="E132" s="6">
        <v>0</v>
      </c>
      <c r="F132" s="16">
        <v>0</v>
      </c>
      <c r="G132" s="5">
        <f t="shared" si="32"/>
        <v>0</v>
      </c>
      <c r="H132" s="7">
        <f t="shared" si="33"/>
        <v>1</v>
      </c>
    </row>
    <row r="133" spans="1:8" ht="15" customHeight="1" x14ac:dyDescent="0.25">
      <c r="A133" s="11" t="s">
        <v>124</v>
      </c>
      <c r="B133" s="6">
        <v>0</v>
      </c>
      <c r="C133" s="16">
        <v>0</v>
      </c>
      <c r="D133" s="5">
        <f t="shared" si="31"/>
        <v>0</v>
      </c>
      <c r="E133" s="6">
        <v>1</v>
      </c>
      <c r="F133" s="16">
        <v>0</v>
      </c>
      <c r="G133" s="5">
        <f t="shared" si="32"/>
        <v>1</v>
      </c>
      <c r="H133" s="7">
        <f t="shared" si="33"/>
        <v>1</v>
      </c>
    </row>
    <row r="134" spans="1:8" ht="15" customHeight="1" x14ac:dyDescent="0.25">
      <c r="A134" s="11" t="s">
        <v>209</v>
      </c>
      <c r="B134" s="6">
        <v>1</v>
      </c>
      <c r="C134" s="16">
        <v>0</v>
      </c>
      <c r="D134" s="5">
        <f t="shared" si="31"/>
        <v>1</v>
      </c>
      <c r="E134" s="6">
        <v>0</v>
      </c>
      <c r="F134" s="16">
        <v>0</v>
      </c>
      <c r="G134" s="5">
        <f t="shared" si="32"/>
        <v>0</v>
      </c>
      <c r="H134" s="7">
        <f t="shared" si="33"/>
        <v>1</v>
      </c>
    </row>
    <row r="135" spans="1:8" ht="15" customHeight="1" thickBot="1" x14ac:dyDescent="0.3">
      <c r="A135" s="11" t="s">
        <v>192</v>
      </c>
      <c r="B135" s="6">
        <v>0</v>
      </c>
      <c r="C135" s="16">
        <v>0</v>
      </c>
      <c r="D135" s="5">
        <f t="shared" si="31"/>
        <v>0</v>
      </c>
      <c r="E135" s="6">
        <v>5</v>
      </c>
      <c r="F135" s="16">
        <v>2</v>
      </c>
      <c r="G135" s="5">
        <f t="shared" si="32"/>
        <v>7</v>
      </c>
      <c r="H135" s="7">
        <f t="shared" si="33"/>
        <v>7</v>
      </c>
    </row>
    <row r="136" spans="1:8" ht="15" customHeight="1" thickTop="1" thickBot="1" x14ac:dyDescent="0.3">
      <c r="A136" s="12" t="s">
        <v>6</v>
      </c>
      <c r="B136" s="13">
        <f>SUM(B126:B135)</f>
        <v>6</v>
      </c>
      <c r="C136" s="13">
        <f t="shared" ref="C136:H136" si="34">SUM(C126:C135)</f>
        <v>0</v>
      </c>
      <c r="D136" s="13">
        <f t="shared" si="34"/>
        <v>6</v>
      </c>
      <c r="E136" s="13">
        <f t="shared" si="34"/>
        <v>17</v>
      </c>
      <c r="F136" s="13">
        <f t="shared" si="34"/>
        <v>4</v>
      </c>
      <c r="G136" s="13">
        <f t="shared" si="34"/>
        <v>21</v>
      </c>
      <c r="H136" s="15">
        <f t="shared" si="34"/>
        <v>27</v>
      </c>
    </row>
    <row r="137" spans="1:8" ht="15" customHeight="1" thickTop="1" thickBot="1" x14ac:dyDescent="0.3">
      <c r="A137" s="23" t="s">
        <v>127</v>
      </c>
      <c r="B137" s="24"/>
      <c r="C137" s="24"/>
      <c r="D137" s="24"/>
      <c r="E137" s="24"/>
      <c r="F137" s="24"/>
      <c r="G137" s="24"/>
      <c r="H137" s="25"/>
    </row>
    <row r="138" spans="1:8" ht="15" customHeight="1" thickTop="1" x14ac:dyDescent="0.25">
      <c r="A138" s="11" t="s">
        <v>128</v>
      </c>
      <c r="B138" s="6">
        <v>0</v>
      </c>
      <c r="C138" s="16">
        <v>0</v>
      </c>
      <c r="D138" s="5">
        <f t="shared" ref="D138:D151" si="35">B138+C138</f>
        <v>0</v>
      </c>
      <c r="E138" s="6">
        <v>14</v>
      </c>
      <c r="F138" s="16">
        <v>0</v>
      </c>
      <c r="G138" s="5">
        <f t="shared" ref="G138:G151" si="36">E138+F138</f>
        <v>14</v>
      </c>
      <c r="H138" s="7">
        <f t="shared" ref="H138:H152" si="37">G138+D138</f>
        <v>14</v>
      </c>
    </row>
    <row r="139" spans="1:8" ht="15" customHeight="1" x14ac:dyDescent="0.25">
      <c r="A139" s="11" t="s">
        <v>215</v>
      </c>
      <c r="B139" s="6">
        <v>0</v>
      </c>
      <c r="C139" s="16">
        <v>0</v>
      </c>
      <c r="D139" s="5">
        <f t="shared" si="35"/>
        <v>0</v>
      </c>
      <c r="E139" s="6">
        <v>1</v>
      </c>
      <c r="F139" s="16">
        <v>0</v>
      </c>
      <c r="G139" s="5">
        <f t="shared" si="36"/>
        <v>1</v>
      </c>
      <c r="H139" s="7">
        <f t="shared" si="37"/>
        <v>1</v>
      </c>
    </row>
    <row r="140" spans="1:8" ht="15" customHeight="1" x14ac:dyDescent="0.25">
      <c r="A140" s="11" t="s">
        <v>130</v>
      </c>
      <c r="B140" s="6">
        <v>3</v>
      </c>
      <c r="C140" s="16">
        <v>0</v>
      </c>
      <c r="D140" s="5">
        <f t="shared" si="35"/>
        <v>3</v>
      </c>
      <c r="E140" s="6">
        <v>27</v>
      </c>
      <c r="F140" s="16">
        <v>0</v>
      </c>
      <c r="G140" s="5">
        <f t="shared" si="36"/>
        <v>27</v>
      </c>
      <c r="H140" s="7">
        <f t="shared" si="37"/>
        <v>30</v>
      </c>
    </row>
    <row r="141" spans="1:8" ht="15" customHeight="1" x14ac:dyDescent="0.25">
      <c r="A141" s="11" t="s">
        <v>131</v>
      </c>
      <c r="B141" s="6">
        <v>0</v>
      </c>
      <c r="C141" s="16">
        <v>0</v>
      </c>
      <c r="D141" s="5">
        <f t="shared" si="35"/>
        <v>0</v>
      </c>
      <c r="E141" s="6">
        <v>6</v>
      </c>
      <c r="F141" s="16">
        <v>0</v>
      </c>
      <c r="G141" s="5">
        <f t="shared" si="36"/>
        <v>6</v>
      </c>
      <c r="H141" s="7">
        <f t="shared" si="37"/>
        <v>6</v>
      </c>
    </row>
    <row r="142" spans="1:8" ht="15" customHeight="1" x14ac:dyDescent="0.25">
      <c r="A142" s="11" t="s">
        <v>132</v>
      </c>
      <c r="B142" s="6">
        <v>0</v>
      </c>
      <c r="C142" s="16">
        <v>0</v>
      </c>
      <c r="D142" s="5">
        <f t="shared" si="35"/>
        <v>0</v>
      </c>
      <c r="E142" s="6">
        <v>7</v>
      </c>
      <c r="F142" s="16">
        <v>1</v>
      </c>
      <c r="G142" s="5">
        <f t="shared" si="36"/>
        <v>8</v>
      </c>
      <c r="H142" s="7">
        <f t="shared" si="37"/>
        <v>8</v>
      </c>
    </row>
    <row r="143" spans="1:8" ht="15" customHeight="1" x14ac:dyDescent="0.25">
      <c r="A143" s="11" t="s">
        <v>196</v>
      </c>
      <c r="B143" s="6">
        <v>2</v>
      </c>
      <c r="C143" s="16">
        <v>0</v>
      </c>
      <c r="D143" s="5">
        <f t="shared" si="35"/>
        <v>2</v>
      </c>
      <c r="E143" s="6">
        <v>0</v>
      </c>
      <c r="F143" s="16">
        <v>0</v>
      </c>
      <c r="G143" s="5">
        <f t="shared" si="36"/>
        <v>0</v>
      </c>
      <c r="H143" s="7">
        <f t="shared" si="37"/>
        <v>2</v>
      </c>
    </row>
    <row r="144" spans="1:8" ht="15" customHeight="1" x14ac:dyDescent="0.25">
      <c r="A144" s="11" t="s">
        <v>216</v>
      </c>
      <c r="B144" s="6">
        <v>0</v>
      </c>
      <c r="C144" s="16">
        <v>0</v>
      </c>
      <c r="D144" s="5">
        <f t="shared" si="35"/>
        <v>0</v>
      </c>
      <c r="E144" s="6">
        <v>1</v>
      </c>
      <c r="F144" s="16">
        <v>0</v>
      </c>
      <c r="G144" s="5">
        <f t="shared" si="36"/>
        <v>1</v>
      </c>
      <c r="H144" s="7">
        <f t="shared" si="37"/>
        <v>1</v>
      </c>
    </row>
    <row r="145" spans="1:8" ht="15" customHeight="1" x14ac:dyDescent="0.25">
      <c r="A145" s="11" t="s">
        <v>133</v>
      </c>
      <c r="B145" s="6">
        <v>1</v>
      </c>
      <c r="C145" s="16">
        <v>0</v>
      </c>
      <c r="D145" s="5">
        <f t="shared" si="35"/>
        <v>1</v>
      </c>
      <c r="E145" s="6">
        <v>0</v>
      </c>
      <c r="F145" s="16">
        <v>0</v>
      </c>
      <c r="G145" s="5">
        <f t="shared" si="36"/>
        <v>0</v>
      </c>
      <c r="H145" s="7">
        <f t="shared" si="37"/>
        <v>1</v>
      </c>
    </row>
    <row r="146" spans="1:8" ht="15" customHeight="1" x14ac:dyDescent="0.25">
      <c r="A146" s="11" t="s">
        <v>135</v>
      </c>
      <c r="B146" s="6">
        <v>1</v>
      </c>
      <c r="C146" s="16">
        <v>0</v>
      </c>
      <c r="D146" s="5">
        <f t="shared" si="35"/>
        <v>1</v>
      </c>
      <c r="E146" s="6">
        <v>45</v>
      </c>
      <c r="F146" s="16">
        <v>0</v>
      </c>
      <c r="G146" s="5">
        <f t="shared" si="36"/>
        <v>45</v>
      </c>
      <c r="H146" s="7">
        <f t="shared" si="37"/>
        <v>46</v>
      </c>
    </row>
    <row r="147" spans="1:8" ht="15" customHeight="1" x14ac:dyDescent="0.25">
      <c r="A147" s="11" t="s">
        <v>200</v>
      </c>
      <c r="B147" s="6">
        <v>1</v>
      </c>
      <c r="C147" s="16">
        <v>0</v>
      </c>
      <c r="D147" s="5">
        <f t="shared" si="35"/>
        <v>1</v>
      </c>
      <c r="E147" s="6">
        <v>0</v>
      </c>
      <c r="F147" s="16">
        <v>0</v>
      </c>
      <c r="G147" s="5">
        <f t="shared" si="36"/>
        <v>0</v>
      </c>
      <c r="H147" s="7">
        <f t="shared" si="37"/>
        <v>1</v>
      </c>
    </row>
    <row r="148" spans="1:8" ht="15" customHeight="1" x14ac:dyDescent="0.25">
      <c r="A148" s="11" t="s">
        <v>201</v>
      </c>
      <c r="B148" s="6">
        <v>1</v>
      </c>
      <c r="C148" s="16">
        <v>0</v>
      </c>
      <c r="D148" s="5">
        <f t="shared" si="35"/>
        <v>1</v>
      </c>
      <c r="E148" s="6">
        <v>3</v>
      </c>
      <c r="F148" s="16">
        <v>0</v>
      </c>
      <c r="G148" s="5">
        <f t="shared" si="36"/>
        <v>3</v>
      </c>
      <c r="H148" s="7">
        <f t="shared" si="37"/>
        <v>4</v>
      </c>
    </row>
    <row r="149" spans="1:8" ht="15" customHeight="1" x14ac:dyDescent="0.25">
      <c r="A149" s="11" t="s">
        <v>136</v>
      </c>
      <c r="B149" s="6">
        <v>1</v>
      </c>
      <c r="C149" s="16">
        <v>0</v>
      </c>
      <c r="D149" s="5">
        <f t="shared" si="35"/>
        <v>1</v>
      </c>
      <c r="E149" s="6">
        <v>5</v>
      </c>
      <c r="F149" s="16">
        <v>0</v>
      </c>
      <c r="G149" s="5">
        <f t="shared" si="36"/>
        <v>5</v>
      </c>
      <c r="H149" s="7">
        <f t="shared" si="37"/>
        <v>6</v>
      </c>
    </row>
    <row r="150" spans="1:8" ht="15" customHeight="1" x14ac:dyDescent="0.25">
      <c r="A150" s="11" t="s">
        <v>233</v>
      </c>
      <c r="B150" s="6">
        <v>0</v>
      </c>
      <c r="C150" s="16">
        <v>0</v>
      </c>
      <c r="D150" s="5">
        <f t="shared" si="35"/>
        <v>0</v>
      </c>
      <c r="E150" s="6">
        <v>1</v>
      </c>
      <c r="F150" s="16">
        <v>0</v>
      </c>
      <c r="G150" s="5">
        <f t="shared" si="36"/>
        <v>1</v>
      </c>
      <c r="H150" s="7">
        <f t="shared" si="37"/>
        <v>1</v>
      </c>
    </row>
    <row r="151" spans="1:8" ht="15" customHeight="1" thickBot="1" x14ac:dyDescent="0.3">
      <c r="A151" s="11" t="s">
        <v>203</v>
      </c>
      <c r="B151" s="6">
        <v>1</v>
      </c>
      <c r="C151" s="16">
        <v>0</v>
      </c>
      <c r="D151" s="5">
        <f t="shared" si="35"/>
        <v>1</v>
      </c>
      <c r="E151" s="6">
        <v>4</v>
      </c>
      <c r="F151" s="16">
        <v>0</v>
      </c>
      <c r="G151" s="5">
        <f t="shared" si="36"/>
        <v>4</v>
      </c>
      <c r="H151" s="7">
        <f t="shared" si="37"/>
        <v>5</v>
      </c>
    </row>
    <row r="152" spans="1:8" ht="15" customHeight="1" thickTop="1" thickBot="1" x14ac:dyDescent="0.3">
      <c r="A152" s="12" t="s">
        <v>6</v>
      </c>
      <c r="B152" s="14">
        <f>SUM(B138:B151)</f>
        <v>11</v>
      </c>
      <c r="C152" s="14">
        <f t="shared" ref="C152:H152" si="38">SUM(C138:C151)</f>
        <v>0</v>
      </c>
      <c r="D152" s="14">
        <f t="shared" si="38"/>
        <v>11</v>
      </c>
      <c r="E152" s="14">
        <f t="shared" si="38"/>
        <v>114</v>
      </c>
      <c r="F152" s="14">
        <f t="shared" si="38"/>
        <v>1</v>
      </c>
      <c r="G152" s="14">
        <f t="shared" si="38"/>
        <v>115</v>
      </c>
      <c r="H152" s="46">
        <f t="shared" si="38"/>
        <v>126</v>
      </c>
    </row>
    <row r="153" spans="1:8" ht="15" customHeight="1" thickTop="1" thickBot="1" x14ac:dyDescent="0.3">
      <c r="A153" s="23" t="s">
        <v>138</v>
      </c>
      <c r="B153" s="24"/>
      <c r="C153" s="24"/>
      <c r="D153" s="24"/>
      <c r="E153" s="24"/>
      <c r="F153" s="24"/>
      <c r="G153" s="24"/>
      <c r="H153" s="25"/>
    </row>
    <row r="154" spans="1:8" ht="15" customHeight="1" thickTop="1" x14ac:dyDescent="0.25">
      <c r="A154" s="11" t="s">
        <v>139</v>
      </c>
      <c r="B154" s="6">
        <v>13</v>
      </c>
      <c r="C154" s="16">
        <v>0</v>
      </c>
      <c r="D154" s="5">
        <f t="shared" ref="D154:D157" si="39">B154+C154</f>
        <v>13</v>
      </c>
      <c r="E154" s="6">
        <v>12</v>
      </c>
      <c r="F154" s="16">
        <v>4</v>
      </c>
      <c r="G154" s="5">
        <f t="shared" ref="G154:G157" si="40">E154+F154</f>
        <v>16</v>
      </c>
      <c r="H154" s="7">
        <f t="shared" ref="H154:H157" si="41">G154+D154</f>
        <v>29</v>
      </c>
    </row>
    <row r="155" spans="1:8" ht="15" customHeight="1" x14ac:dyDescent="0.25">
      <c r="A155" s="11" t="s">
        <v>140</v>
      </c>
      <c r="B155" s="6">
        <v>0</v>
      </c>
      <c r="C155" s="16">
        <v>0</v>
      </c>
      <c r="D155" s="5">
        <f t="shared" si="39"/>
        <v>0</v>
      </c>
      <c r="E155" s="6">
        <v>1</v>
      </c>
      <c r="F155" s="16">
        <v>0</v>
      </c>
      <c r="G155" s="5">
        <f t="shared" si="40"/>
        <v>1</v>
      </c>
      <c r="H155" s="7">
        <f t="shared" si="41"/>
        <v>1</v>
      </c>
    </row>
    <row r="156" spans="1:8" ht="15" customHeight="1" x14ac:dyDescent="0.25">
      <c r="A156" s="11" t="s">
        <v>141</v>
      </c>
      <c r="B156" s="6">
        <v>1</v>
      </c>
      <c r="C156" s="16">
        <v>0</v>
      </c>
      <c r="D156" s="5">
        <f t="shared" si="39"/>
        <v>1</v>
      </c>
      <c r="E156" s="6">
        <v>3</v>
      </c>
      <c r="F156" s="16">
        <v>0</v>
      </c>
      <c r="G156" s="5">
        <f t="shared" si="40"/>
        <v>3</v>
      </c>
      <c r="H156" s="7">
        <f t="shared" si="41"/>
        <v>4</v>
      </c>
    </row>
    <row r="157" spans="1:8" ht="15" customHeight="1" thickBot="1" x14ac:dyDescent="0.3">
      <c r="A157" s="11" t="s">
        <v>158</v>
      </c>
      <c r="B157" s="6">
        <v>1</v>
      </c>
      <c r="C157" s="16">
        <v>0</v>
      </c>
      <c r="D157" s="5">
        <f t="shared" si="39"/>
        <v>1</v>
      </c>
      <c r="E157" s="6">
        <v>0</v>
      </c>
      <c r="F157" s="16">
        <v>0</v>
      </c>
      <c r="G157" s="5">
        <f t="shared" si="40"/>
        <v>0</v>
      </c>
      <c r="H157" s="7">
        <f t="shared" si="41"/>
        <v>1</v>
      </c>
    </row>
    <row r="158" spans="1:8" ht="15" customHeight="1" thickTop="1" thickBot="1" x14ac:dyDescent="0.3">
      <c r="A158" s="12" t="s">
        <v>6</v>
      </c>
      <c r="B158" s="13">
        <f t="shared" ref="B158:H158" si="42">SUM(B154:B157)</f>
        <v>15</v>
      </c>
      <c r="C158" s="13">
        <f t="shared" si="42"/>
        <v>0</v>
      </c>
      <c r="D158" s="13">
        <f t="shared" si="42"/>
        <v>15</v>
      </c>
      <c r="E158" s="13">
        <f t="shared" si="42"/>
        <v>16</v>
      </c>
      <c r="F158" s="13">
        <f t="shared" si="42"/>
        <v>4</v>
      </c>
      <c r="G158" s="13">
        <f t="shared" si="42"/>
        <v>20</v>
      </c>
      <c r="H158" s="15">
        <f t="shared" si="42"/>
        <v>35</v>
      </c>
    </row>
    <row r="159" spans="1:8" ht="15" customHeight="1" thickTop="1" thickBot="1" x14ac:dyDescent="0.3">
      <c r="A159" s="23" t="s">
        <v>146</v>
      </c>
      <c r="B159" s="24"/>
      <c r="C159" s="24"/>
      <c r="D159" s="24"/>
      <c r="E159" s="24"/>
      <c r="F159" s="24"/>
      <c r="G159" s="24"/>
      <c r="H159" s="25"/>
    </row>
    <row r="160" spans="1:8" ht="15" customHeight="1" thickTop="1" x14ac:dyDescent="0.25">
      <c r="A160" s="11" t="s">
        <v>206</v>
      </c>
      <c r="B160" s="6">
        <v>4</v>
      </c>
      <c r="C160" s="16">
        <v>0</v>
      </c>
      <c r="D160" s="5">
        <f t="shared" ref="D160:D161" si="43">B160+C160</f>
        <v>4</v>
      </c>
      <c r="E160" s="6">
        <v>10</v>
      </c>
      <c r="F160" s="16">
        <v>3</v>
      </c>
      <c r="G160" s="5">
        <f t="shared" ref="G160:G161" si="44">E160+F160</f>
        <v>13</v>
      </c>
      <c r="H160" s="7">
        <f t="shared" ref="H160:H161" si="45">G160+D160</f>
        <v>17</v>
      </c>
    </row>
    <row r="161" spans="1:8" ht="15" customHeight="1" thickBot="1" x14ac:dyDescent="0.3">
      <c r="A161" s="11" t="s">
        <v>205</v>
      </c>
      <c r="B161" s="6">
        <v>0</v>
      </c>
      <c r="C161" s="16">
        <v>0</v>
      </c>
      <c r="D161" s="5">
        <f t="shared" si="43"/>
        <v>0</v>
      </c>
      <c r="E161" s="6">
        <v>0</v>
      </c>
      <c r="F161" s="16">
        <v>0</v>
      </c>
      <c r="G161" s="5">
        <f t="shared" si="44"/>
        <v>0</v>
      </c>
      <c r="H161" s="7">
        <f t="shared" si="45"/>
        <v>0</v>
      </c>
    </row>
    <row r="162" spans="1:8" ht="15" customHeight="1" thickTop="1" thickBot="1" x14ac:dyDescent="0.3">
      <c r="A162" s="12" t="s">
        <v>6</v>
      </c>
      <c r="B162" s="13">
        <f>SUM(B160:B161)</f>
        <v>4</v>
      </c>
      <c r="C162" s="13">
        <f t="shared" ref="C162:H162" si="46">SUM(C160:C161)</f>
        <v>0</v>
      </c>
      <c r="D162" s="13">
        <f t="shared" si="46"/>
        <v>4</v>
      </c>
      <c r="E162" s="13">
        <f t="shared" si="46"/>
        <v>10</v>
      </c>
      <c r="F162" s="13">
        <f t="shared" si="46"/>
        <v>3</v>
      </c>
      <c r="G162" s="13">
        <f t="shared" si="46"/>
        <v>13</v>
      </c>
      <c r="H162" s="15">
        <f t="shared" si="46"/>
        <v>17</v>
      </c>
    </row>
    <row r="163" spans="1:8" ht="15" customHeight="1" thickTop="1" thickBot="1" x14ac:dyDescent="0.3">
      <c r="A163" s="23"/>
      <c r="B163" s="24"/>
      <c r="C163" s="24"/>
      <c r="D163" s="24"/>
      <c r="E163" s="24"/>
      <c r="F163" s="24"/>
      <c r="G163" s="24"/>
      <c r="H163" s="25"/>
    </row>
    <row r="164" spans="1:8" ht="15" customHeight="1" thickTop="1" thickBot="1" x14ac:dyDescent="0.3">
      <c r="A164" s="43" t="s">
        <v>0</v>
      </c>
      <c r="B164" s="44">
        <f>B23+B52+B66+B92+B120+B124+B136+B152+B158+B162</f>
        <v>2327</v>
      </c>
      <c r="C164" s="44">
        <f t="shared" ref="C164:H164" si="47">C23+C52+C66+C92+C120+C124+C136+C152+C158+C162</f>
        <v>33</v>
      </c>
      <c r="D164" s="44">
        <f t="shared" si="47"/>
        <v>2360</v>
      </c>
      <c r="E164" s="44">
        <f t="shared" si="47"/>
        <v>2114</v>
      </c>
      <c r="F164" s="44">
        <f t="shared" si="47"/>
        <v>249</v>
      </c>
      <c r="G164" s="44">
        <f t="shared" si="47"/>
        <v>2363</v>
      </c>
      <c r="H164" s="45">
        <f t="shared" si="47"/>
        <v>4723</v>
      </c>
    </row>
    <row r="166" spans="1:8" ht="15" customHeight="1" x14ac:dyDescent="0.25">
      <c r="A166" s="47" t="s">
        <v>147</v>
      </c>
      <c r="B166" s="47"/>
      <c r="C166" s="47"/>
      <c r="D166" s="47"/>
      <c r="E166" s="47"/>
      <c r="F166" s="47"/>
      <c r="G166" s="47"/>
      <c r="H166" s="47"/>
    </row>
    <row r="167" spans="1:8" ht="15" customHeight="1" x14ac:dyDescent="0.25">
      <c r="A167" s="47" t="s">
        <v>218</v>
      </c>
      <c r="B167" s="47"/>
      <c r="C167" s="47"/>
      <c r="D167" s="47"/>
      <c r="E167" s="47"/>
      <c r="F167" s="47"/>
      <c r="G167" s="47"/>
      <c r="H167" s="47"/>
    </row>
    <row r="175" spans="1:8" ht="25.5" customHeight="1" x14ac:dyDescent="0.25"/>
    <row r="176" spans="1:8" ht="25.5" customHeight="1" x14ac:dyDescent="0.25"/>
  </sheetData>
  <mergeCells count="18">
    <mergeCell ref="A163:H163"/>
    <mergeCell ref="A166:H166"/>
    <mergeCell ref="A167:H167"/>
    <mergeCell ref="H5:H6"/>
    <mergeCell ref="A2:H2"/>
    <mergeCell ref="B5:D5"/>
    <mergeCell ref="E5:G5"/>
    <mergeCell ref="A7:H7"/>
    <mergeCell ref="A24:H24"/>
    <mergeCell ref="A153:H153"/>
    <mergeCell ref="A159:H159"/>
    <mergeCell ref="A5:A6"/>
    <mergeCell ref="A67:H67"/>
    <mergeCell ref="A93:H93"/>
    <mergeCell ref="A121:H121"/>
    <mergeCell ref="A125:H125"/>
    <mergeCell ref="A137:H137"/>
    <mergeCell ref="A53:H53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&amp;A&amp;RPage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6"/>
  <sheetViews>
    <sheetView view="pageLayout" topLeftCell="A160" zoomScaleNormal="85" workbookViewId="0">
      <selection activeCell="A178" sqref="A178"/>
    </sheetView>
  </sheetViews>
  <sheetFormatPr defaultRowHeight="15" customHeight="1" x14ac:dyDescent="0.25"/>
  <cols>
    <col min="1" max="1" width="29.42578125" bestFit="1" customWidth="1"/>
    <col min="2" max="8" width="6" customWidth="1"/>
    <col min="9" max="11" width="5.5703125" customWidth="1"/>
  </cols>
  <sheetData>
    <row r="1" spans="1:9" ht="15" customHeight="1" x14ac:dyDescent="0.25">
      <c r="A1" s="1" t="s">
        <v>7</v>
      </c>
      <c r="B1" s="3"/>
    </row>
    <row r="2" spans="1:9" ht="15" customHeight="1" x14ac:dyDescent="0.25">
      <c r="A2" s="31" t="s">
        <v>8</v>
      </c>
      <c r="B2" s="31"/>
      <c r="C2" s="31"/>
      <c r="D2" s="31"/>
      <c r="E2" s="31"/>
      <c r="F2" s="31"/>
      <c r="G2" s="31"/>
      <c r="H2" s="31"/>
    </row>
    <row r="3" spans="1:9" ht="15" customHeight="1" x14ac:dyDescent="0.25">
      <c r="A3" s="2" t="str">
        <f ca="1">RIGHT(CELL("filename",A1),LEN(CELL("filename",A1))-FIND("]",CELL("filename",A1)))</f>
        <v>2001-02</v>
      </c>
      <c r="B3" s="3"/>
    </row>
    <row r="4" spans="1:9" ht="15" customHeight="1" thickBot="1" x14ac:dyDescent="0.3">
      <c r="A4" s="3"/>
      <c r="B4" s="3"/>
    </row>
    <row r="5" spans="1:9" ht="15" customHeight="1" x14ac:dyDescent="0.25">
      <c r="A5" s="29" t="s">
        <v>3</v>
      </c>
      <c r="B5" s="26" t="s">
        <v>1</v>
      </c>
      <c r="C5" s="27"/>
      <c r="D5" s="27"/>
      <c r="E5" s="26" t="s">
        <v>2</v>
      </c>
      <c r="F5" s="27"/>
      <c r="G5" s="27"/>
      <c r="H5" s="62" t="s">
        <v>0</v>
      </c>
    </row>
    <row r="6" spans="1:9" ht="15" customHeight="1" x14ac:dyDescent="0.25">
      <c r="A6" s="30"/>
      <c r="B6" s="59" t="s">
        <v>4</v>
      </c>
      <c r="C6" s="60" t="s">
        <v>5</v>
      </c>
      <c r="D6" s="61" t="s">
        <v>0</v>
      </c>
      <c r="E6" s="59" t="s">
        <v>4</v>
      </c>
      <c r="F6" s="60" t="s">
        <v>5</v>
      </c>
      <c r="G6" s="61" t="s">
        <v>0</v>
      </c>
      <c r="H6" s="63"/>
      <c r="I6" s="22"/>
    </row>
    <row r="7" spans="1:9" ht="15" customHeight="1" thickBot="1" x14ac:dyDescent="0.3">
      <c r="A7" s="32" t="s">
        <v>9</v>
      </c>
      <c r="B7" s="33"/>
      <c r="C7" s="33"/>
      <c r="D7" s="33"/>
      <c r="E7" s="33"/>
      <c r="F7" s="33"/>
      <c r="G7" s="33"/>
      <c r="H7" s="34"/>
    </row>
    <row r="8" spans="1:9" ht="15" customHeight="1" thickTop="1" x14ac:dyDescent="0.25">
      <c r="A8" s="11" t="s">
        <v>10</v>
      </c>
      <c r="B8" s="6">
        <v>17</v>
      </c>
      <c r="C8" s="4">
        <v>1</v>
      </c>
      <c r="D8" s="5">
        <f t="shared" ref="D8:D22" si="0">B8+C8</f>
        <v>18</v>
      </c>
      <c r="E8" s="6">
        <v>19</v>
      </c>
      <c r="F8" s="4">
        <v>1</v>
      </c>
      <c r="G8" s="5">
        <f t="shared" ref="G8:G22" si="1">E8+F8</f>
        <v>20</v>
      </c>
      <c r="H8" s="7">
        <f t="shared" ref="H8:H22" si="2">G8+D8</f>
        <v>38</v>
      </c>
    </row>
    <row r="9" spans="1:9" ht="15" customHeight="1" x14ac:dyDescent="0.25">
      <c r="A9" s="11" t="s">
        <v>11</v>
      </c>
      <c r="B9" s="6">
        <v>45</v>
      </c>
      <c r="C9" s="4">
        <v>1</v>
      </c>
      <c r="D9" s="5">
        <f t="shared" ref="D9:D22" si="3">B9+C9</f>
        <v>46</v>
      </c>
      <c r="E9" s="6">
        <v>21</v>
      </c>
      <c r="F9" s="4">
        <v>4</v>
      </c>
      <c r="G9" s="5">
        <f t="shared" ref="G9:G22" si="4">E9+F9</f>
        <v>25</v>
      </c>
      <c r="H9" s="7">
        <f t="shared" ref="H9:H22" si="5">G9+D9</f>
        <v>71</v>
      </c>
    </row>
    <row r="10" spans="1:9" ht="15" customHeight="1" x14ac:dyDescent="0.25">
      <c r="A10" s="11" t="s">
        <v>12</v>
      </c>
      <c r="B10" s="6">
        <v>25</v>
      </c>
      <c r="C10" s="4">
        <v>0</v>
      </c>
      <c r="D10" s="5">
        <f t="shared" si="3"/>
        <v>25</v>
      </c>
      <c r="E10" s="6">
        <v>23</v>
      </c>
      <c r="F10" s="4">
        <v>3</v>
      </c>
      <c r="G10" s="5">
        <f t="shared" si="4"/>
        <v>26</v>
      </c>
      <c r="H10" s="7">
        <f t="shared" si="5"/>
        <v>51</v>
      </c>
    </row>
    <row r="11" spans="1:9" ht="15" customHeight="1" x14ac:dyDescent="0.25">
      <c r="A11" s="11" t="s">
        <v>13</v>
      </c>
      <c r="B11" s="6">
        <v>14</v>
      </c>
      <c r="C11" s="4">
        <v>0</v>
      </c>
      <c r="D11" s="5">
        <f t="shared" si="3"/>
        <v>14</v>
      </c>
      <c r="E11" s="6">
        <v>36</v>
      </c>
      <c r="F11" s="4">
        <v>14</v>
      </c>
      <c r="G11" s="5">
        <f t="shared" si="4"/>
        <v>50</v>
      </c>
      <c r="H11" s="7">
        <f t="shared" si="5"/>
        <v>64</v>
      </c>
    </row>
    <row r="12" spans="1:9" ht="15" customHeight="1" x14ac:dyDescent="0.25">
      <c r="A12" s="11" t="s">
        <v>14</v>
      </c>
      <c r="B12" s="6">
        <v>19</v>
      </c>
      <c r="C12" s="4">
        <v>0</v>
      </c>
      <c r="D12" s="5">
        <f t="shared" si="3"/>
        <v>19</v>
      </c>
      <c r="E12" s="6">
        <v>16</v>
      </c>
      <c r="F12" s="4">
        <v>0</v>
      </c>
      <c r="G12" s="5">
        <f t="shared" si="4"/>
        <v>16</v>
      </c>
      <c r="H12" s="7">
        <f t="shared" si="5"/>
        <v>35</v>
      </c>
    </row>
    <row r="13" spans="1:9" ht="15" customHeight="1" x14ac:dyDescent="0.25">
      <c r="A13" s="11" t="s">
        <v>15</v>
      </c>
      <c r="B13" s="6">
        <v>105</v>
      </c>
      <c r="C13" s="4">
        <v>1</v>
      </c>
      <c r="D13" s="5">
        <f t="shared" si="3"/>
        <v>106</v>
      </c>
      <c r="E13" s="6">
        <v>69</v>
      </c>
      <c r="F13" s="4">
        <v>1</v>
      </c>
      <c r="G13" s="5">
        <f t="shared" si="4"/>
        <v>70</v>
      </c>
      <c r="H13" s="7">
        <f t="shared" si="5"/>
        <v>176</v>
      </c>
    </row>
    <row r="14" spans="1:9" ht="15" customHeight="1" x14ac:dyDescent="0.25">
      <c r="A14" s="11" t="s">
        <v>16</v>
      </c>
      <c r="B14" s="6">
        <v>128</v>
      </c>
      <c r="C14" s="4">
        <v>0</v>
      </c>
      <c r="D14" s="5">
        <f t="shared" si="3"/>
        <v>128</v>
      </c>
      <c r="E14" s="6">
        <v>84</v>
      </c>
      <c r="F14" s="4">
        <v>20</v>
      </c>
      <c r="G14" s="5">
        <f t="shared" si="4"/>
        <v>104</v>
      </c>
      <c r="H14" s="7">
        <f t="shared" si="5"/>
        <v>232</v>
      </c>
    </row>
    <row r="15" spans="1:9" ht="15" customHeight="1" x14ac:dyDescent="0.25">
      <c r="A15" s="11" t="s">
        <v>160</v>
      </c>
      <c r="B15" s="6">
        <v>9</v>
      </c>
      <c r="C15" s="4">
        <v>0</v>
      </c>
      <c r="D15" s="5">
        <f t="shared" si="3"/>
        <v>9</v>
      </c>
      <c r="E15" s="6">
        <v>0</v>
      </c>
      <c r="F15" s="4">
        <v>1</v>
      </c>
      <c r="G15" s="5">
        <f t="shared" si="4"/>
        <v>1</v>
      </c>
      <c r="H15" s="7">
        <f t="shared" si="5"/>
        <v>10</v>
      </c>
    </row>
    <row r="16" spans="1:9" ht="15" customHeight="1" x14ac:dyDescent="0.25">
      <c r="A16" s="11" t="s">
        <v>17</v>
      </c>
      <c r="B16" s="6">
        <v>128</v>
      </c>
      <c r="C16" s="4">
        <v>1</v>
      </c>
      <c r="D16" s="5">
        <f t="shared" si="3"/>
        <v>129</v>
      </c>
      <c r="E16" s="6">
        <v>270</v>
      </c>
      <c r="F16" s="4">
        <v>32</v>
      </c>
      <c r="G16" s="5">
        <f t="shared" si="4"/>
        <v>302</v>
      </c>
      <c r="H16" s="7">
        <f t="shared" si="5"/>
        <v>431</v>
      </c>
    </row>
    <row r="17" spans="1:8" ht="15" customHeight="1" x14ac:dyDescent="0.25">
      <c r="A17" s="11" t="s">
        <v>18</v>
      </c>
      <c r="B17" s="6">
        <v>105</v>
      </c>
      <c r="C17" s="4">
        <v>0</v>
      </c>
      <c r="D17" s="5">
        <f t="shared" si="3"/>
        <v>105</v>
      </c>
      <c r="E17" s="6">
        <v>111</v>
      </c>
      <c r="F17" s="4">
        <v>13</v>
      </c>
      <c r="G17" s="5">
        <f t="shared" si="4"/>
        <v>124</v>
      </c>
      <c r="H17" s="7">
        <f t="shared" si="5"/>
        <v>229</v>
      </c>
    </row>
    <row r="18" spans="1:8" ht="15" customHeight="1" x14ac:dyDescent="0.25">
      <c r="A18" s="11" t="s">
        <v>19</v>
      </c>
      <c r="B18" s="6">
        <v>8</v>
      </c>
      <c r="C18" s="4">
        <v>1</v>
      </c>
      <c r="D18" s="5">
        <f t="shared" si="3"/>
        <v>9</v>
      </c>
      <c r="E18" s="6">
        <v>3</v>
      </c>
      <c r="F18" s="4">
        <v>1</v>
      </c>
      <c r="G18" s="5">
        <f t="shared" si="4"/>
        <v>4</v>
      </c>
      <c r="H18" s="7">
        <f t="shared" si="5"/>
        <v>13</v>
      </c>
    </row>
    <row r="19" spans="1:8" ht="15" customHeight="1" x14ac:dyDescent="0.25">
      <c r="A19" s="11" t="s">
        <v>20</v>
      </c>
      <c r="B19" s="6">
        <v>20</v>
      </c>
      <c r="C19" s="4">
        <v>0</v>
      </c>
      <c r="D19" s="5">
        <f t="shared" si="3"/>
        <v>20</v>
      </c>
      <c r="E19" s="6">
        <v>17</v>
      </c>
      <c r="F19" s="4">
        <v>4</v>
      </c>
      <c r="G19" s="5">
        <f t="shared" si="4"/>
        <v>21</v>
      </c>
      <c r="H19" s="7">
        <f t="shared" si="5"/>
        <v>41</v>
      </c>
    </row>
    <row r="20" spans="1:8" ht="15" customHeight="1" x14ac:dyDescent="0.25">
      <c r="A20" s="11" t="s">
        <v>21</v>
      </c>
      <c r="B20" s="6">
        <v>10</v>
      </c>
      <c r="C20" s="4">
        <v>1</v>
      </c>
      <c r="D20" s="5">
        <f t="shared" si="3"/>
        <v>11</v>
      </c>
      <c r="E20" s="6">
        <v>41</v>
      </c>
      <c r="F20" s="4">
        <v>8</v>
      </c>
      <c r="G20" s="5">
        <f t="shared" si="4"/>
        <v>49</v>
      </c>
      <c r="H20" s="7">
        <f t="shared" si="5"/>
        <v>60</v>
      </c>
    </row>
    <row r="21" spans="1:8" ht="15" customHeight="1" x14ac:dyDescent="0.25">
      <c r="A21" s="11" t="s">
        <v>22</v>
      </c>
      <c r="B21" s="6">
        <v>62</v>
      </c>
      <c r="C21" s="4">
        <v>0</v>
      </c>
      <c r="D21" s="5">
        <f t="shared" si="3"/>
        <v>62</v>
      </c>
      <c r="E21" s="6">
        <v>38</v>
      </c>
      <c r="F21" s="4">
        <v>7</v>
      </c>
      <c r="G21" s="5">
        <f t="shared" si="4"/>
        <v>45</v>
      </c>
      <c r="H21" s="7">
        <f t="shared" si="5"/>
        <v>107</v>
      </c>
    </row>
    <row r="22" spans="1:8" ht="15" customHeight="1" thickBot="1" x14ac:dyDescent="0.3">
      <c r="A22" s="11" t="s">
        <v>23</v>
      </c>
      <c r="B22" s="8">
        <v>58</v>
      </c>
      <c r="C22" s="9">
        <v>0</v>
      </c>
      <c r="D22" s="5">
        <f t="shared" si="3"/>
        <v>58</v>
      </c>
      <c r="E22" s="6">
        <v>11</v>
      </c>
      <c r="F22" s="4">
        <v>2</v>
      </c>
      <c r="G22" s="5">
        <f t="shared" si="4"/>
        <v>13</v>
      </c>
      <c r="H22" s="7">
        <f t="shared" si="5"/>
        <v>71</v>
      </c>
    </row>
    <row r="23" spans="1:8" ht="15" customHeight="1" thickTop="1" thickBot="1" x14ac:dyDescent="0.3">
      <c r="A23" s="12" t="s">
        <v>6</v>
      </c>
      <c r="B23" s="13">
        <f t="shared" ref="B23:H23" si="6">SUM(B8:B22)</f>
        <v>753</v>
      </c>
      <c r="C23" s="13">
        <f t="shared" si="6"/>
        <v>6</v>
      </c>
      <c r="D23" s="13">
        <f t="shared" si="6"/>
        <v>759</v>
      </c>
      <c r="E23" s="13">
        <f t="shared" si="6"/>
        <v>759</v>
      </c>
      <c r="F23" s="13">
        <f t="shared" si="6"/>
        <v>111</v>
      </c>
      <c r="G23" s="13">
        <f t="shared" si="6"/>
        <v>870</v>
      </c>
      <c r="H23" s="15">
        <f t="shared" si="6"/>
        <v>1629</v>
      </c>
    </row>
    <row r="24" spans="1:8" ht="15" customHeight="1" thickTop="1" thickBot="1" x14ac:dyDescent="0.3">
      <c r="A24" s="23" t="s">
        <v>24</v>
      </c>
      <c r="B24" s="24"/>
      <c r="C24" s="24"/>
      <c r="D24" s="24"/>
      <c r="E24" s="24"/>
      <c r="F24" s="24"/>
      <c r="G24" s="24"/>
      <c r="H24" s="25"/>
    </row>
    <row r="25" spans="1:8" ht="15" customHeight="1" thickTop="1" x14ac:dyDescent="0.25">
      <c r="A25" s="11" t="s">
        <v>25</v>
      </c>
      <c r="B25" s="6">
        <v>0</v>
      </c>
      <c r="C25" s="16">
        <v>0</v>
      </c>
      <c r="D25" s="5">
        <f t="shared" ref="D25:D47" si="7">B25+C25</f>
        <v>0</v>
      </c>
      <c r="E25" s="6">
        <v>2</v>
      </c>
      <c r="F25" s="16">
        <v>0</v>
      </c>
      <c r="G25" s="5">
        <f t="shared" ref="G25:G48" si="8">E25+F25</f>
        <v>2</v>
      </c>
      <c r="H25" s="7">
        <f t="shared" ref="H25:H48" si="9">G25+D25</f>
        <v>2</v>
      </c>
    </row>
    <row r="26" spans="1:8" ht="15" customHeight="1" x14ac:dyDescent="0.25">
      <c r="A26" s="11" t="s">
        <v>148</v>
      </c>
      <c r="B26" s="6">
        <v>1</v>
      </c>
      <c r="C26" s="16">
        <v>0</v>
      </c>
      <c r="D26" s="5">
        <f t="shared" ref="D26:D47" si="10">B26+C26</f>
        <v>1</v>
      </c>
      <c r="E26" s="6">
        <v>1</v>
      </c>
      <c r="F26" s="16">
        <v>0</v>
      </c>
      <c r="G26" s="5">
        <f t="shared" ref="G26:G47" si="11">E26+F26</f>
        <v>1</v>
      </c>
      <c r="H26" s="7">
        <f t="shared" ref="H26:H47" si="12">G26+D26</f>
        <v>2</v>
      </c>
    </row>
    <row r="27" spans="1:8" ht="15" customHeight="1" x14ac:dyDescent="0.25">
      <c r="A27" s="11" t="s">
        <v>28</v>
      </c>
      <c r="B27" s="6">
        <v>3</v>
      </c>
      <c r="C27" s="16">
        <v>0</v>
      </c>
      <c r="D27" s="5">
        <f t="shared" si="10"/>
        <v>3</v>
      </c>
      <c r="E27" s="6">
        <v>5</v>
      </c>
      <c r="F27" s="16">
        <v>0</v>
      </c>
      <c r="G27" s="5">
        <f t="shared" si="11"/>
        <v>5</v>
      </c>
      <c r="H27" s="7">
        <f t="shared" si="12"/>
        <v>8</v>
      </c>
    </row>
    <row r="28" spans="1:8" ht="15" customHeight="1" x14ac:dyDescent="0.25">
      <c r="A28" s="11" t="s">
        <v>29</v>
      </c>
      <c r="B28" s="6">
        <v>2</v>
      </c>
      <c r="C28" s="16">
        <v>0</v>
      </c>
      <c r="D28" s="5">
        <f t="shared" si="10"/>
        <v>2</v>
      </c>
      <c r="E28" s="6">
        <v>4</v>
      </c>
      <c r="F28" s="16">
        <v>1</v>
      </c>
      <c r="G28" s="5">
        <f t="shared" si="11"/>
        <v>5</v>
      </c>
      <c r="H28" s="7">
        <f t="shared" si="12"/>
        <v>7</v>
      </c>
    </row>
    <row r="29" spans="1:8" ht="15" customHeight="1" x14ac:dyDescent="0.25">
      <c r="A29" s="11" t="s">
        <v>30</v>
      </c>
      <c r="B29" s="6">
        <v>74</v>
      </c>
      <c r="C29" s="16">
        <v>6</v>
      </c>
      <c r="D29" s="5">
        <f t="shared" si="10"/>
        <v>80</v>
      </c>
      <c r="E29" s="6">
        <v>22</v>
      </c>
      <c r="F29" s="16">
        <v>2</v>
      </c>
      <c r="G29" s="5">
        <f t="shared" si="11"/>
        <v>24</v>
      </c>
      <c r="H29" s="7">
        <f t="shared" si="12"/>
        <v>104</v>
      </c>
    </row>
    <row r="30" spans="1:8" ht="15" customHeight="1" x14ac:dyDescent="0.25">
      <c r="A30" s="11" t="s">
        <v>31</v>
      </c>
      <c r="B30" s="6">
        <v>2</v>
      </c>
      <c r="C30" s="16">
        <v>0</v>
      </c>
      <c r="D30" s="5">
        <f t="shared" si="10"/>
        <v>2</v>
      </c>
      <c r="E30" s="6">
        <v>3</v>
      </c>
      <c r="F30" s="16">
        <v>0</v>
      </c>
      <c r="G30" s="5">
        <f t="shared" si="11"/>
        <v>3</v>
      </c>
      <c r="H30" s="7">
        <f t="shared" si="12"/>
        <v>5</v>
      </c>
    </row>
    <row r="31" spans="1:8" ht="15" customHeight="1" x14ac:dyDescent="0.25">
      <c r="A31" s="11" t="s">
        <v>33</v>
      </c>
      <c r="B31" s="6">
        <v>3</v>
      </c>
      <c r="C31" s="16">
        <v>0</v>
      </c>
      <c r="D31" s="5">
        <f t="shared" si="10"/>
        <v>3</v>
      </c>
      <c r="E31" s="6">
        <v>1</v>
      </c>
      <c r="F31" s="16">
        <v>0</v>
      </c>
      <c r="G31" s="5">
        <f t="shared" si="11"/>
        <v>1</v>
      </c>
      <c r="H31" s="7">
        <f t="shared" si="12"/>
        <v>4</v>
      </c>
    </row>
    <row r="32" spans="1:8" ht="15" customHeight="1" x14ac:dyDescent="0.25">
      <c r="A32" s="11" t="s">
        <v>150</v>
      </c>
      <c r="B32" s="6">
        <v>5</v>
      </c>
      <c r="C32" s="16">
        <v>0</v>
      </c>
      <c r="D32" s="5">
        <f t="shared" si="10"/>
        <v>5</v>
      </c>
      <c r="E32" s="6">
        <v>7</v>
      </c>
      <c r="F32" s="16">
        <v>1</v>
      </c>
      <c r="G32" s="5">
        <f t="shared" si="11"/>
        <v>8</v>
      </c>
      <c r="H32" s="7">
        <f t="shared" si="12"/>
        <v>13</v>
      </c>
    </row>
    <row r="33" spans="1:8" ht="15" customHeight="1" x14ac:dyDescent="0.25">
      <c r="A33" s="11" t="s">
        <v>34</v>
      </c>
      <c r="B33" s="6">
        <v>2</v>
      </c>
      <c r="C33" s="16">
        <v>0</v>
      </c>
      <c r="D33" s="5">
        <f t="shared" si="10"/>
        <v>2</v>
      </c>
      <c r="E33" s="6">
        <v>7</v>
      </c>
      <c r="F33" s="16">
        <v>0</v>
      </c>
      <c r="G33" s="5">
        <f t="shared" si="11"/>
        <v>7</v>
      </c>
      <c r="H33" s="7">
        <f t="shared" si="12"/>
        <v>9</v>
      </c>
    </row>
    <row r="34" spans="1:8" ht="15" customHeight="1" x14ac:dyDescent="0.25">
      <c r="A34" s="11" t="s">
        <v>35</v>
      </c>
      <c r="B34" s="6">
        <v>0</v>
      </c>
      <c r="C34" s="16">
        <v>0</v>
      </c>
      <c r="D34" s="5">
        <f t="shared" si="10"/>
        <v>0</v>
      </c>
      <c r="E34" s="6">
        <v>2</v>
      </c>
      <c r="F34" s="16">
        <v>0</v>
      </c>
      <c r="G34" s="5">
        <f t="shared" si="11"/>
        <v>2</v>
      </c>
      <c r="H34" s="7">
        <f t="shared" si="12"/>
        <v>2</v>
      </c>
    </row>
    <row r="35" spans="1:8" ht="15" customHeight="1" x14ac:dyDescent="0.25">
      <c r="A35" s="11" t="s">
        <v>36</v>
      </c>
      <c r="B35" s="6">
        <v>1</v>
      </c>
      <c r="C35" s="16">
        <v>0</v>
      </c>
      <c r="D35" s="5">
        <f t="shared" si="10"/>
        <v>1</v>
      </c>
      <c r="E35" s="6">
        <v>0</v>
      </c>
      <c r="F35" s="16">
        <v>0</v>
      </c>
      <c r="G35" s="5">
        <f t="shared" si="11"/>
        <v>0</v>
      </c>
      <c r="H35" s="7">
        <f t="shared" si="12"/>
        <v>1</v>
      </c>
    </row>
    <row r="36" spans="1:8" ht="15" customHeight="1" x14ac:dyDescent="0.25">
      <c r="A36" s="11" t="s">
        <v>149</v>
      </c>
      <c r="B36" s="6">
        <v>2</v>
      </c>
      <c r="C36" s="16">
        <v>0</v>
      </c>
      <c r="D36" s="5">
        <f t="shared" si="10"/>
        <v>2</v>
      </c>
      <c r="E36" s="6">
        <v>1</v>
      </c>
      <c r="F36" s="16">
        <v>0</v>
      </c>
      <c r="G36" s="5">
        <f t="shared" si="11"/>
        <v>1</v>
      </c>
      <c r="H36" s="7">
        <f t="shared" si="12"/>
        <v>3</v>
      </c>
    </row>
    <row r="37" spans="1:8" ht="15" customHeight="1" x14ac:dyDescent="0.25">
      <c r="A37" s="11" t="s">
        <v>38</v>
      </c>
      <c r="B37" s="6">
        <v>3</v>
      </c>
      <c r="C37" s="16">
        <v>0</v>
      </c>
      <c r="D37" s="5">
        <f t="shared" si="10"/>
        <v>3</v>
      </c>
      <c r="E37" s="6">
        <v>7</v>
      </c>
      <c r="F37" s="16">
        <v>3</v>
      </c>
      <c r="G37" s="5">
        <f t="shared" si="11"/>
        <v>10</v>
      </c>
      <c r="H37" s="7">
        <f t="shared" si="12"/>
        <v>13</v>
      </c>
    </row>
    <row r="38" spans="1:8" ht="15" customHeight="1" x14ac:dyDescent="0.25">
      <c r="A38" s="11" t="s">
        <v>168</v>
      </c>
      <c r="B38" s="6">
        <v>1</v>
      </c>
      <c r="C38" s="16">
        <v>0</v>
      </c>
      <c r="D38" s="5">
        <f t="shared" si="10"/>
        <v>1</v>
      </c>
      <c r="E38" s="6">
        <v>0</v>
      </c>
      <c r="F38" s="16">
        <v>0</v>
      </c>
      <c r="G38" s="5">
        <f t="shared" si="11"/>
        <v>0</v>
      </c>
      <c r="H38" s="7">
        <f t="shared" si="12"/>
        <v>1</v>
      </c>
    </row>
    <row r="39" spans="1:8" ht="15" customHeight="1" x14ac:dyDescent="0.25">
      <c r="A39" s="11" t="s">
        <v>39</v>
      </c>
      <c r="B39" s="6">
        <v>12</v>
      </c>
      <c r="C39" s="16">
        <v>0</v>
      </c>
      <c r="D39" s="5">
        <f t="shared" si="10"/>
        <v>12</v>
      </c>
      <c r="E39" s="6">
        <v>6</v>
      </c>
      <c r="F39" s="16">
        <v>1</v>
      </c>
      <c r="G39" s="5">
        <f t="shared" si="11"/>
        <v>7</v>
      </c>
      <c r="H39" s="7">
        <f t="shared" si="12"/>
        <v>19</v>
      </c>
    </row>
    <row r="40" spans="1:8" ht="15" customHeight="1" x14ac:dyDescent="0.25">
      <c r="A40" s="11" t="s">
        <v>40</v>
      </c>
      <c r="B40" s="6">
        <v>16</v>
      </c>
      <c r="C40" s="16">
        <v>0</v>
      </c>
      <c r="D40" s="5">
        <f t="shared" si="10"/>
        <v>16</v>
      </c>
      <c r="E40" s="6">
        <v>5</v>
      </c>
      <c r="F40" s="16">
        <v>0</v>
      </c>
      <c r="G40" s="5">
        <f t="shared" si="11"/>
        <v>5</v>
      </c>
      <c r="H40" s="7">
        <f t="shared" si="12"/>
        <v>21</v>
      </c>
    </row>
    <row r="41" spans="1:8" ht="15" customHeight="1" x14ac:dyDescent="0.25">
      <c r="A41" s="11" t="s">
        <v>41</v>
      </c>
      <c r="B41" s="6">
        <v>3</v>
      </c>
      <c r="C41" s="16">
        <v>0</v>
      </c>
      <c r="D41" s="5">
        <f t="shared" si="10"/>
        <v>3</v>
      </c>
      <c r="E41" s="6">
        <v>2</v>
      </c>
      <c r="F41" s="16">
        <v>1</v>
      </c>
      <c r="G41" s="5">
        <f t="shared" si="11"/>
        <v>3</v>
      </c>
      <c r="H41" s="7">
        <f t="shared" si="12"/>
        <v>6</v>
      </c>
    </row>
    <row r="42" spans="1:8" ht="15" customHeight="1" x14ac:dyDescent="0.25">
      <c r="A42" s="11" t="s">
        <v>42</v>
      </c>
      <c r="B42" s="6">
        <v>28</v>
      </c>
      <c r="C42" s="16">
        <v>0</v>
      </c>
      <c r="D42" s="5">
        <f t="shared" si="10"/>
        <v>28</v>
      </c>
      <c r="E42" s="6">
        <v>12</v>
      </c>
      <c r="F42" s="16">
        <v>0</v>
      </c>
      <c r="G42" s="5">
        <f t="shared" si="11"/>
        <v>12</v>
      </c>
      <c r="H42" s="7">
        <f t="shared" si="12"/>
        <v>40</v>
      </c>
    </row>
    <row r="43" spans="1:8" ht="15" customHeight="1" x14ac:dyDescent="0.25">
      <c r="A43" s="11" t="s">
        <v>43</v>
      </c>
      <c r="B43" s="6">
        <v>0</v>
      </c>
      <c r="C43" s="16">
        <v>0</v>
      </c>
      <c r="D43" s="5">
        <f t="shared" si="10"/>
        <v>0</v>
      </c>
      <c r="E43" s="6">
        <v>1</v>
      </c>
      <c r="F43" s="16">
        <v>0</v>
      </c>
      <c r="G43" s="5">
        <f t="shared" si="11"/>
        <v>1</v>
      </c>
      <c r="H43" s="7">
        <f t="shared" si="12"/>
        <v>1</v>
      </c>
    </row>
    <row r="44" spans="1:8" ht="15" customHeight="1" x14ac:dyDescent="0.25">
      <c r="A44" s="11" t="s">
        <v>44</v>
      </c>
      <c r="B44" s="6">
        <v>0</v>
      </c>
      <c r="C44" s="16">
        <v>0</v>
      </c>
      <c r="D44" s="5">
        <f t="shared" si="10"/>
        <v>0</v>
      </c>
      <c r="E44" s="6">
        <v>1</v>
      </c>
      <c r="F44" s="16">
        <v>0</v>
      </c>
      <c r="G44" s="5">
        <f t="shared" si="11"/>
        <v>1</v>
      </c>
      <c r="H44" s="7">
        <f t="shared" si="12"/>
        <v>1</v>
      </c>
    </row>
    <row r="45" spans="1:8" ht="15" customHeight="1" x14ac:dyDescent="0.25">
      <c r="A45" s="11" t="s">
        <v>45</v>
      </c>
      <c r="B45" s="6">
        <v>34</v>
      </c>
      <c r="C45" s="16">
        <v>0</v>
      </c>
      <c r="D45" s="5">
        <f t="shared" si="10"/>
        <v>34</v>
      </c>
      <c r="E45" s="6">
        <v>9</v>
      </c>
      <c r="F45" s="16">
        <v>0</v>
      </c>
      <c r="G45" s="5">
        <f t="shared" si="11"/>
        <v>9</v>
      </c>
      <c r="H45" s="7">
        <f t="shared" si="12"/>
        <v>43</v>
      </c>
    </row>
    <row r="46" spans="1:8" ht="15" customHeight="1" x14ac:dyDescent="0.25">
      <c r="A46" s="11" t="s">
        <v>46</v>
      </c>
      <c r="B46" s="6">
        <v>6</v>
      </c>
      <c r="C46" s="16">
        <v>1</v>
      </c>
      <c r="D46" s="5">
        <f t="shared" si="10"/>
        <v>7</v>
      </c>
      <c r="E46" s="6">
        <v>8</v>
      </c>
      <c r="F46" s="16">
        <v>0</v>
      </c>
      <c r="G46" s="5">
        <f t="shared" si="11"/>
        <v>8</v>
      </c>
      <c r="H46" s="7">
        <f t="shared" si="12"/>
        <v>15</v>
      </c>
    </row>
    <row r="47" spans="1:8" ht="15" customHeight="1" thickBot="1" x14ac:dyDescent="0.3">
      <c r="A47" s="11" t="s">
        <v>48</v>
      </c>
      <c r="B47" s="6">
        <v>3</v>
      </c>
      <c r="C47" s="16">
        <v>0</v>
      </c>
      <c r="D47" s="5">
        <f t="shared" si="10"/>
        <v>3</v>
      </c>
      <c r="E47" s="6">
        <v>4</v>
      </c>
      <c r="F47" s="16">
        <v>0</v>
      </c>
      <c r="G47" s="5">
        <f t="shared" si="11"/>
        <v>4</v>
      </c>
      <c r="H47" s="7">
        <f t="shared" si="12"/>
        <v>7</v>
      </c>
    </row>
    <row r="48" spans="1:8" ht="15" customHeight="1" thickTop="1" thickBot="1" x14ac:dyDescent="0.3">
      <c r="A48" s="12" t="s">
        <v>6</v>
      </c>
      <c r="B48" s="13">
        <f>SUM(B25:B47)</f>
        <v>201</v>
      </c>
      <c r="C48" s="13">
        <f>SUM(C25:C47)</f>
        <v>7</v>
      </c>
      <c r="D48" s="13">
        <f>SUM(D25:D47)</f>
        <v>208</v>
      </c>
      <c r="E48" s="13">
        <f>SUM(E25:E47)</f>
        <v>110</v>
      </c>
      <c r="F48" s="13">
        <f>SUM(F25:F47)</f>
        <v>9</v>
      </c>
      <c r="G48" s="14">
        <f t="shared" si="8"/>
        <v>119</v>
      </c>
      <c r="H48" s="15">
        <f t="shared" si="9"/>
        <v>327</v>
      </c>
    </row>
    <row r="49" spans="1:8" ht="15" customHeight="1" thickTop="1" thickBot="1" x14ac:dyDescent="0.3">
      <c r="A49" s="23" t="s">
        <v>49</v>
      </c>
      <c r="B49" s="24"/>
      <c r="C49" s="24"/>
      <c r="D49" s="24"/>
      <c r="E49" s="24"/>
      <c r="F49" s="24"/>
      <c r="G49" s="24"/>
      <c r="H49" s="25"/>
    </row>
    <row r="50" spans="1:8" ht="15" customHeight="1" thickTop="1" x14ac:dyDescent="0.25">
      <c r="A50" s="11" t="s">
        <v>50</v>
      </c>
      <c r="B50" s="6">
        <v>3</v>
      </c>
      <c r="C50" s="16">
        <v>0</v>
      </c>
      <c r="D50" s="5">
        <f t="shared" ref="D50:D60" si="13">B50+C50</f>
        <v>3</v>
      </c>
      <c r="E50" s="6">
        <v>2</v>
      </c>
      <c r="F50" s="16">
        <v>0</v>
      </c>
      <c r="G50" s="5">
        <f t="shared" ref="G50:G60" si="14">E50+F50</f>
        <v>2</v>
      </c>
      <c r="H50" s="7">
        <f t="shared" ref="H50:H60" si="15">G50+D50</f>
        <v>5</v>
      </c>
    </row>
    <row r="51" spans="1:8" ht="15" customHeight="1" x14ac:dyDescent="0.25">
      <c r="A51" s="11" t="s">
        <v>51</v>
      </c>
      <c r="B51" s="6">
        <v>2</v>
      </c>
      <c r="C51" s="16">
        <v>0</v>
      </c>
      <c r="D51" s="5">
        <f t="shared" ref="D51:D61" si="16">B51+C51</f>
        <v>2</v>
      </c>
      <c r="E51" s="6">
        <v>14</v>
      </c>
      <c r="F51" s="16">
        <v>0</v>
      </c>
      <c r="G51" s="5">
        <f t="shared" ref="G51:G61" si="17">E51+F51</f>
        <v>14</v>
      </c>
      <c r="H51" s="7">
        <f t="shared" ref="H51:H61" si="18">G51+D51</f>
        <v>16</v>
      </c>
    </row>
    <row r="52" spans="1:8" ht="15" customHeight="1" x14ac:dyDescent="0.25">
      <c r="A52" s="11" t="s">
        <v>53</v>
      </c>
      <c r="B52" s="6">
        <v>11</v>
      </c>
      <c r="C52" s="16">
        <v>0</v>
      </c>
      <c r="D52" s="5">
        <f t="shared" si="16"/>
        <v>11</v>
      </c>
      <c r="E52" s="6">
        <v>17</v>
      </c>
      <c r="F52" s="16">
        <v>1</v>
      </c>
      <c r="G52" s="5">
        <f t="shared" si="17"/>
        <v>18</v>
      </c>
      <c r="H52" s="7">
        <f t="shared" si="18"/>
        <v>29</v>
      </c>
    </row>
    <row r="53" spans="1:8" ht="15" customHeight="1" x14ac:dyDescent="0.25">
      <c r="A53" s="11" t="s">
        <v>54</v>
      </c>
      <c r="B53" s="6">
        <v>6</v>
      </c>
      <c r="C53" s="16">
        <v>0</v>
      </c>
      <c r="D53" s="5">
        <f t="shared" si="16"/>
        <v>6</v>
      </c>
      <c r="E53" s="6">
        <v>11</v>
      </c>
      <c r="F53" s="16">
        <v>1</v>
      </c>
      <c r="G53" s="5">
        <f t="shared" si="17"/>
        <v>12</v>
      </c>
      <c r="H53" s="7">
        <f t="shared" si="18"/>
        <v>18</v>
      </c>
    </row>
    <row r="54" spans="1:8" ht="15" customHeight="1" x14ac:dyDescent="0.25">
      <c r="A54" s="11" t="s">
        <v>55</v>
      </c>
      <c r="B54" s="6">
        <v>2</v>
      </c>
      <c r="C54" s="16">
        <v>0</v>
      </c>
      <c r="D54" s="5">
        <f t="shared" si="16"/>
        <v>2</v>
      </c>
      <c r="E54" s="6">
        <v>5</v>
      </c>
      <c r="F54" s="16">
        <v>0</v>
      </c>
      <c r="G54" s="5">
        <f t="shared" si="17"/>
        <v>5</v>
      </c>
      <c r="H54" s="7">
        <f t="shared" si="18"/>
        <v>7</v>
      </c>
    </row>
    <row r="55" spans="1:8" ht="15" customHeight="1" x14ac:dyDescent="0.25">
      <c r="A55" s="11" t="s">
        <v>56</v>
      </c>
      <c r="B55" s="6">
        <v>4</v>
      </c>
      <c r="C55" s="16">
        <v>0</v>
      </c>
      <c r="D55" s="5">
        <f t="shared" si="16"/>
        <v>4</v>
      </c>
      <c r="E55" s="6">
        <v>7</v>
      </c>
      <c r="F55" s="16">
        <v>0</v>
      </c>
      <c r="G55" s="5">
        <f t="shared" si="17"/>
        <v>7</v>
      </c>
      <c r="H55" s="7">
        <f t="shared" si="18"/>
        <v>11</v>
      </c>
    </row>
    <row r="56" spans="1:8" ht="15" customHeight="1" x14ac:dyDescent="0.25">
      <c r="A56" s="11" t="s">
        <v>234</v>
      </c>
      <c r="B56" s="6">
        <v>0</v>
      </c>
      <c r="C56" s="16">
        <v>0</v>
      </c>
      <c r="D56" s="5">
        <f t="shared" si="16"/>
        <v>0</v>
      </c>
      <c r="E56" s="6">
        <v>2</v>
      </c>
      <c r="F56" s="16">
        <v>0</v>
      </c>
      <c r="G56" s="5">
        <f t="shared" si="17"/>
        <v>2</v>
      </c>
      <c r="H56" s="7">
        <f t="shared" si="18"/>
        <v>2</v>
      </c>
    </row>
    <row r="57" spans="1:8" ht="15" customHeight="1" x14ac:dyDescent="0.25">
      <c r="A57" s="11" t="s">
        <v>171</v>
      </c>
      <c r="B57" s="6">
        <v>0</v>
      </c>
      <c r="C57" s="16">
        <v>0</v>
      </c>
      <c r="D57" s="5">
        <f t="shared" si="16"/>
        <v>0</v>
      </c>
      <c r="E57" s="6">
        <v>2</v>
      </c>
      <c r="F57" s="16">
        <v>0</v>
      </c>
      <c r="G57" s="5">
        <f t="shared" si="17"/>
        <v>2</v>
      </c>
      <c r="H57" s="7">
        <f t="shared" si="18"/>
        <v>2</v>
      </c>
    </row>
    <row r="58" spans="1:8" ht="15" customHeight="1" x14ac:dyDescent="0.25">
      <c r="A58" s="11" t="s">
        <v>58</v>
      </c>
      <c r="B58" s="6">
        <v>3</v>
      </c>
      <c r="C58" s="16">
        <v>0</v>
      </c>
      <c r="D58" s="5">
        <f t="shared" si="16"/>
        <v>3</v>
      </c>
      <c r="E58" s="6">
        <v>20</v>
      </c>
      <c r="F58" s="16">
        <v>1</v>
      </c>
      <c r="G58" s="5">
        <f t="shared" si="17"/>
        <v>21</v>
      </c>
      <c r="H58" s="7">
        <f t="shared" si="18"/>
        <v>24</v>
      </c>
    </row>
    <row r="59" spans="1:8" ht="15" customHeight="1" x14ac:dyDescent="0.25">
      <c r="A59" s="11" t="s">
        <v>235</v>
      </c>
      <c r="B59" s="6">
        <v>1</v>
      </c>
      <c r="C59" s="16">
        <v>0</v>
      </c>
      <c r="D59" s="5">
        <f t="shared" si="16"/>
        <v>1</v>
      </c>
      <c r="E59" s="6">
        <v>5</v>
      </c>
      <c r="F59" s="16">
        <v>1</v>
      </c>
      <c r="G59" s="5">
        <f t="shared" si="17"/>
        <v>6</v>
      </c>
      <c r="H59" s="7">
        <f t="shared" si="18"/>
        <v>7</v>
      </c>
    </row>
    <row r="60" spans="1:8" ht="15" customHeight="1" x14ac:dyDescent="0.25">
      <c r="A60" s="11" t="s">
        <v>61</v>
      </c>
      <c r="B60" s="6">
        <v>13</v>
      </c>
      <c r="C60" s="16">
        <v>2</v>
      </c>
      <c r="D60" s="5">
        <f t="shared" si="16"/>
        <v>15</v>
      </c>
      <c r="E60" s="6">
        <v>4</v>
      </c>
      <c r="F60" s="16">
        <v>3</v>
      </c>
      <c r="G60" s="5">
        <f t="shared" si="17"/>
        <v>7</v>
      </c>
      <c r="H60" s="7">
        <f t="shared" si="18"/>
        <v>22</v>
      </c>
    </row>
    <row r="61" spans="1:8" ht="15" customHeight="1" thickBot="1" x14ac:dyDescent="0.3">
      <c r="A61" s="11" t="s">
        <v>236</v>
      </c>
      <c r="B61" s="6">
        <v>0</v>
      </c>
      <c r="C61" s="16">
        <v>0</v>
      </c>
      <c r="D61" s="5">
        <f t="shared" si="16"/>
        <v>0</v>
      </c>
      <c r="E61" s="6">
        <v>1</v>
      </c>
      <c r="F61" s="16">
        <v>0</v>
      </c>
      <c r="G61" s="5">
        <f t="shared" si="17"/>
        <v>1</v>
      </c>
      <c r="H61" s="7">
        <f t="shared" si="18"/>
        <v>1</v>
      </c>
    </row>
    <row r="62" spans="1:8" ht="15" customHeight="1" thickTop="1" thickBot="1" x14ac:dyDescent="0.3">
      <c r="A62" s="12" t="s">
        <v>6</v>
      </c>
      <c r="B62" s="13">
        <f t="shared" ref="B62:H62" si="19">SUM(B50:B61)</f>
        <v>45</v>
      </c>
      <c r="C62" s="13">
        <f t="shared" si="19"/>
        <v>2</v>
      </c>
      <c r="D62" s="13">
        <f t="shared" si="19"/>
        <v>47</v>
      </c>
      <c r="E62" s="13">
        <f t="shared" si="19"/>
        <v>90</v>
      </c>
      <c r="F62" s="13">
        <f t="shared" si="19"/>
        <v>7</v>
      </c>
      <c r="G62" s="13">
        <f t="shared" si="19"/>
        <v>97</v>
      </c>
      <c r="H62" s="15">
        <f t="shared" si="19"/>
        <v>144</v>
      </c>
    </row>
    <row r="63" spans="1:8" ht="15" customHeight="1" thickTop="1" thickBot="1" x14ac:dyDescent="0.3">
      <c r="A63" s="23" t="s">
        <v>62</v>
      </c>
      <c r="B63" s="24"/>
      <c r="C63" s="24"/>
      <c r="D63" s="24"/>
      <c r="E63" s="24"/>
      <c r="F63" s="24"/>
      <c r="G63" s="24"/>
      <c r="H63" s="25"/>
    </row>
    <row r="64" spans="1:8" ht="15" customHeight="1" thickTop="1" x14ac:dyDescent="0.25">
      <c r="A64" s="11" t="s">
        <v>161</v>
      </c>
      <c r="B64" s="6">
        <v>0</v>
      </c>
      <c r="C64" s="16">
        <v>0</v>
      </c>
      <c r="D64" s="5">
        <f t="shared" ref="D64:D86" si="20">B64+C64</f>
        <v>0</v>
      </c>
      <c r="E64" s="6">
        <v>1</v>
      </c>
      <c r="F64" s="16">
        <v>0</v>
      </c>
      <c r="G64" s="5">
        <f t="shared" ref="G64:G86" si="21">E64+F64</f>
        <v>1</v>
      </c>
      <c r="H64" s="7">
        <f t="shared" ref="H64:H87" si="22">G64+D64</f>
        <v>1</v>
      </c>
    </row>
    <row r="65" spans="1:8" ht="15" customHeight="1" x14ac:dyDescent="0.25">
      <c r="A65" s="11" t="s">
        <v>64</v>
      </c>
      <c r="B65" s="6">
        <v>5</v>
      </c>
      <c r="C65" s="16">
        <v>0</v>
      </c>
      <c r="D65" s="5">
        <f t="shared" ref="D65:D86" si="23">B65+C65</f>
        <v>5</v>
      </c>
      <c r="E65" s="6">
        <v>8</v>
      </c>
      <c r="F65" s="16">
        <v>0</v>
      </c>
      <c r="G65" s="5">
        <f t="shared" ref="G65:G86" si="24">E65+F65</f>
        <v>8</v>
      </c>
      <c r="H65" s="7">
        <f t="shared" ref="H65:H86" si="25">G65+D65</f>
        <v>13</v>
      </c>
    </row>
    <row r="66" spans="1:8" ht="15" customHeight="1" x14ac:dyDescent="0.25">
      <c r="A66" s="11" t="s">
        <v>65</v>
      </c>
      <c r="B66" s="6">
        <v>6</v>
      </c>
      <c r="C66" s="16">
        <v>0</v>
      </c>
      <c r="D66" s="5">
        <f t="shared" si="23"/>
        <v>6</v>
      </c>
      <c r="E66" s="6">
        <v>5</v>
      </c>
      <c r="F66" s="16">
        <v>0</v>
      </c>
      <c r="G66" s="5">
        <f t="shared" si="24"/>
        <v>5</v>
      </c>
      <c r="H66" s="7">
        <f t="shared" si="25"/>
        <v>11</v>
      </c>
    </row>
    <row r="67" spans="1:8" ht="15" customHeight="1" x14ac:dyDescent="0.25">
      <c r="A67" s="11" t="s">
        <v>173</v>
      </c>
      <c r="B67" s="6">
        <v>2</v>
      </c>
      <c r="C67" s="16">
        <v>0</v>
      </c>
      <c r="D67" s="5">
        <f t="shared" si="23"/>
        <v>2</v>
      </c>
      <c r="E67" s="6">
        <v>2</v>
      </c>
      <c r="F67" s="16">
        <v>2</v>
      </c>
      <c r="G67" s="5">
        <f t="shared" si="24"/>
        <v>4</v>
      </c>
      <c r="H67" s="7">
        <f t="shared" si="25"/>
        <v>6</v>
      </c>
    </row>
    <row r="68" spans="1:8" ht="15" customHeight="1" x14ac:dyDescent="0.25">
      <c r="A68" s="11" t="s">
        <v>174</v>
      </c>
      <c r="B68" s="6">
        <v>65</v>
      </c>
      <c r="C68" s="16">
        <v>0</v>
      </c>
      <c r="D68" s="5">
        <f t="shared" si="23"/>
        <v>65</v>
      </c>
      <c r="E68" s="6">
        <v>60</v>
      </c>
      <c r="F68" s="16">
        <v>5</v>
      </c>
      <c r="G68" s="5">
        <f t="shared" si="24"/>
        <v>65</v>
      </c>
      <c r="H68" s="7">
        <f t="shared" si="25"/>
        <v>130</v>
      </c>
    </row>
    <row r="69" spans="1:8" ht="15" customHeight="1" x14ac:dyDescent="0.25">
      <c r="A69" s="11" t="s">
        <v>237</v>
      </c>
      <c r="B69" s="6">
        <v>1</v>
      </c>
      <c r="C69" s="16">
        <v>0</v>
      </c>
      <c r="D69" s="5">
        <f t="shared" si="23"/>
        <v>1</v>
      </c>
      <c r="E69" s="6">
        <v>0</v>
      </c>
      <c r="F69" s="16">
        <v>0</v>
      </c>
      <c r="G69" s="5">
        <f t="shared" si="24"/>
        <v>0</v>
      </c>
      <c r="H69" s="7">
        <f t="shared" si="25"/>
        <v>1</v>
      </c>
    </row>
    <row r="70" spans="1:8" ht="15" customHeight="1" x14ac:dyDescent="0.25">
      <c r="A70" s="11" t="s">
        <v>69</v>
      </c>
      <c r="B70" s="6">
        <v>193</v>
      </c>
      <c r="C70" s="16">
        <v>2</v>
      </c>
      <c r="D70" s="5">
        <f t="shared" si="23"/>
        <v>195</v>
      </c>
      <c r="E70" s="6">
        <v>48</v>
      </c>
      <c r="F70" s="16">
        <v>5</v>
      </c>
      <c r="G70" s="5">
        <f t="shared" si="24"/>
        <v>53</v>
      </c>
      <c r="H70" s="7">
        <f t="shared" si="25"/>
        <v>248</v>
      </c>
    </row>
    <row r="71" spans="1:8" ht="15" customHeight="1" x14ac:dyDescent="0.25">
      <c r="A71" s="11" t="s">
        <v>70</v>
      </c>
      <c r="B71" s="6">
        <v>19</v>
      </c>
      <c r="C71" s="16">
        <v>0</v>
      </c>
      <c r="D71" s="5">
        <f t="shared" si="23"/>
        <v>19</v>
      </c>
      <c r="E71" s="6">
        <v>31</v>
      </c>
      <c r="F71" s="16">
        <v>18</v>
      </c>
      <c r="G71" s="5">
        <f t="shared" si="24"/>
        <v>49</v>
      </c>
      <c r="H71" s="7">
        <f t="shared" si="25"/>
        <v>68</v>
      </c>
    </row>
    <row r="72" spans="1:8" ht="15" customHeight="1" x14ac:dyDescent="0.25">
      <c r="A72" s="11" t="s">
        <v>71</v>
      </c>
      <c r="B72" s="6">
        <v>3</v>
      </c>
      <c r="C72" s="16">
        <v>0</v>
      </c>
      <c r="D72" s="5">
        <f t="shared" si="23"/>
        <v>3</v>
      </c>
      <c r="E72" s="6">
        <v>11</v>
      </c>
      <c r="F72" s="16">
        <v>0</v>
      </c>
      <c r="G72" s="5">
        <f t="shared" si="24"/>
        <v>11</v>
      </c>
      <c r="H72" s="7">
        <f t="shared" si="25"/>
        <v>14</v>
      </c>
    </row>
    <row r="73" spans="1:8" ht="15" customHeight="1" x14ac:dyDescent="0.25">
      <c r="A73" s="11" t="s">
        <v>72</v>
      </c>
      <c r="B73" s="6">
        <v>55</v>
      </c>
      <c r="C73" s="16">
        <v>1</v>
      </c>
      <c r="D73" s="5">
        <f t="shared" si="23"/>
        <v>56</v>
      </c>
      <c r="E73" s="6">
        <v>78</v>
      </c>
      <c r="F73" s="16">
        <v>4</v>
      </c>
      <c r="G73" s="5">
        <f t="shared" si="24"/>
        <v>82</v>
      </c>
      <c r="H73" s="7">
        <f t="shared" si="25"/>
        <v>138</v>
      </c>
    </row>
    <row r="74" spans="1:8" ht="15" customHeight="1" x14ac:dyDescent="0.25">
      <c r="A74" s="11" t="s">
        <v>73</v>
      </c>
      <c r="B74" s="6">
        <v>2</v>
      </c>
      <c r="C74" s="16">
        <v>0</v>
      </c>
      <c r="D74" s="5">
        <f t="shared" si="23"/>
        <v>2</v>
      </c>
      <c r="E74" s="6">
        <v>0</v>
      </c>
      <c r="F74" s="16">
        <v>0</v>
      </c>
      <c r="G74" s="5">
        <f t="shared" si="24"/>
        <v>0</v>
      </c>
      <c r="H74" s="7">
        <f t="shared" si="25"/>
        <v>2</v>
      </c>
    </row>
    <row r="75" spans="1:8" ht="15" customHeight="1" x14ac:dyDescent="0.25">
      <c r="A75" s="11" t="s">
        <v>230</v>
      </c>
      <c r="B75" s="6">
        <v>4</v>
      </c>
      <c r="C75" s="16">
        <v>0</v>
      </c>
      <c r="D75" s="5">
        <f t="shared" si="23"/>
        <v>4</v>
      </c>
      <c r="E75" s="6">
        <v>0</v>
      </c>
      <c r="F75" s="16">
        <v>1</v>
      </c>
      <c r="G75" s="5">
        <f t="shared" si="24"/>
        <v>1</v>
      </c>
      <c r="H75" s="7">
        <f t="shared" si="25"/>
        <v>5</v>
      </c>
    </row>
    <row r="76" spans="1:8" ht="15" customHeight="1" x14ac:dyDescent="0.25">
      <c r="A76" s="11" t="s">
        <v>74</v>
      </c>
      <c r="B76" s="6">
        <v>78</v>
      </c>
      <c r="C76" s="16">
        <v>1</v>
      </c>
      <c r="D76" s="5">
        <f t="shared" si="23"/>
        <v>79</v>
      </c>
      <c r="E76" s="6">
        <v>45</v>
      </c>
      <c r="F76" s="16">
        <v>5</v>
      </c>
      <c r="G76" s="5">
        <f t="shared" si="24"/>
        <v>50</v>
      </c>
      <c r="H76" s="7">
        <f t="shared" si="25"/>
        <v>129</v>
      </c>
    </row>
    <row r="77" spans="1:8" ht="15" customHeight="1" x14ac:dyDescent="0.25">
      <c r="A77" s="11" t="s">
        <v>178</v>
      </c>
      <c r="B77" s="6">
        <v>3</v>
      </c>
      <c r="C77" s="16">
        <v>0</v>
      </c>
      <c r="D77" s="5">
        <f t="shared" si="23"/>
        <v>3</v>
      </c>
      <c r="E77" s="6">
        <v>2</v>
      </c>
      <c r="F77" s="16">
        <v>0</v>
      </c>
      <c r="G77" s="5">
        <f t="shared" si="24"/>
        <v>2</v>
      </c>
      <c r="H77" s="7">
        <f t="shared" si="25"/>
        <v>5</v>
      </c>
    </row>
    <row r="78" spans="1:8" ht="15" customHeight="1" x14ac:dyDescent="0.25">
      <c r="A78" s="11" t="s">
        <v>76</v>
      </c>
      <c r="B78" s="6">
        <v>0</v>
      </c>
      <c r="C78" s="16">
        <v>0</v>
      </c>
      <c r="D78" s="5">
        <f t="shared" si="23"/>
        <v>0</v>
      </c>
      <c r="E78" s="6">
        <v>4</v>
      </c>
      <c r="F78" s="16">
        <v>0</v>
      </c>
      <c r="G78" s="5">
        <f t="shared" si="24"/>
        <v>4</v>
      </c>
      <c r="H78" s="7">
        <f t="shared" si="25"/>
        <v>4</v>
      </c>
    </row>
    <row r="79" spans="1:8" ht="15" customHeight="1" x14ac:dyDescent="0.25">
      <c r="A79" s="11" t="s">
        <v>77</v>
      </c>
      <c r="B79" s="6">
        <v>23</v>
      </c>
      <c r="C79" s="16">
        <v>0</v>
      </c>
      <c r="D79" s="5">
        <f t="shared" si="23"/>
        <v>23</v>
      </c>
      <c r="E79" s="6">
        <v>18</v>
      </c>
      <c r="F79" s="16">
        <v>3</v>
      </c>
      <c r="G79" s="5">
        <f t="shared" si="24"/>
        <v>21</v>
      </c>
      <c r="H79" s="7">
        <f t="shared" si="25"/>
        <v>44</v>
      </c>
    </row>
    <row r="80" spans="1:8" ht="15" customHeight="1" x14ac:dyDescent="0.25">
      <c r="A80" s="11" t="s">
        <v>79</v>
      </c>
      <c r="B80" s="6">
        <v>2</v>
      </c>
      <c r="C80" s="16">
        <v>0</v>
      </c>
      <c r="D80" s="5">
        <f t="shared" si="23"/>
        <v>2</v>
      </c>
      <c r="E80" s="6">
        <v>3</v>
      </c>
      <c r="F80" s="16">
        <v>0</v>
      </c>
      <c r="G80" s="5">
        <f t="shared" si="24"/>
        <v>3</v>
      </c>
      <c r="H80" s="7">
        <f t="shared" si="25"/>
        <v>5</v>
      </c>
    </row>
    <row r="81" spans="1:8" ht="15" customHeight="1" x14ac:dyDescent="0.25">
      <c r="A81" s="11" t="s">
        <v>231</v>
      </c>
      <c r="B81" s="6">
        <v>33</v>
      </c>
      <c r="C81" s="16">
        <v>2</v>
      </c>
      <c r="D81" s="5">
        <f t="shared" si="23"/>
        <v>35</v>
      </c>
      <c r="E81" s="6">
        <v>38</v>
      </c>
      <c r="F81" s="16">
        <v>2</v>
      </c>
      <c r="G81" s="5">
        <f t="shared" si="24"/>
        <v>40</v>
      </c>
      <c r="H81" s="7">
        <f t="shared" si="25"/>
        <v>75</v>
      </c>
    </row>
    <row r="82" spans="1:8" ht="15" customHeight="1" x14ac:dyDescent="0.25">
      <c r="A82" s="11" t="s">
        <v>80</v>
      </c>
      <c r="B82" s="6">
        <v>142</v>
      </c>
      <c r="C82" s="16">
        <v>2</v>
      </c>
      <c r="D82" s="5">
        <f t="shared" si="23"/>
        <v>144</v>
      </c>
      <c r="E82" s="6">
        <v>41</v>
      </c>
      <c r="F82" s="16">
        <v>1</v>
      </c>
      <c r="G82" s="5">
        <f t="shared" si="24"/>
        <v>42</v>
      </c>
      <c r="H82" s="7">
        <f t="shared" si="25"/>
        <v>186</v>
      </c>
    </row>
    <row r="83" spans="1:8" ht="15" customHeight="1" x14ac:dyDescent="0.25">
      <c r="A83" s="11" t="s">
        <v>82</v>
      </c>
      <c r="B83" s="6">
        <v>12</v>
      </c>
      <c r="C83" s="16">
        <v>0</v>
      </c>
      <c r="D83" s="5">
        <f t="shared" si="23"/>
        <v>12</v>
      </c>
      <c r="E83" s="6">
        <v>19</v>
      </c>
      <c r="F83" s="16">
        <v>0</v>
      </c>
      <c r="G83" s="5">
        <f t="shared" si="24"/>
        <v>19</v>
      </c>
      <c r="H83" s="7">
        <f t="shared" si="25"/>
        <v>31</v>
      </c>
    </row>
    <row r="84" spans="1:8" ht="15" customHeight="1" x14ac:dyDescent="0.25">
      <c r="A84" s="11" t="s">
        <v>83</v>
      </c>
      <c r="B84" s="6">
        <v>21</v>
      </c>
      <c r="C84" s="16">
        <v>1</v>
      </c>
      <c r="D84" s="5">
        <f t="shared" si="23"/>
        <v>22</v>
      </c>
      <c r="E84" s="6">
        <v>35</v>
      </c>
      <c r="F84" s="16">
        <v>3</v>
      </c>
      <c r="G84" s="5">
        <f t="shared" si="24"/>
        <v>38</v>
      </c>
      <c r="H84" s="7">
        <f t="shared" si="25"/>
        <v>60</v>
      </c>
    </row>
    <row r="85" spans="1:8" ht="15" customHeight="1" x14ac:dyDescent="0.25">
      <c r="A85" s="11" t="s">
        <v>211</v>
      </c>
      <c r="B85" s="6">
        <v>0</v>
      </c>
      <c r="C85" s="16">
        <v>0</v>
      </c>
      <c r="D85" s="5">
        <f t="shared" si="23"/>
        <v>0</v>
      </c>
      <c r="E85" s="6">
        <v>2</v>
      </c>
      <c r="F85" s="16">
        <v>0</v>
      </c>
      <c r="G85" s="5">
        <f t="shared" si="24"/>
        <v>2</v>
      </c>
      <c r="H85" s="7">
        <f t="shared" si="25"/>
        <v>2</v>
      </c>
    </row>
    <row r="86" spans="1:8" ht="15" customHeight="1" thickBot="1" x14ac:dyDescent="0.3">
      <c r="A86" s="11" t="s">
        <v>84</v>
      </c>
      <c r="B86" s="6">
        <v>31</v>
      </c>
      <c r="C86" s="16">
        <v>3</v>
      </c>
      <c r="D86" s="5">
        <f t="shared" si="23"/>
        <v>34</v>
      </c>
      <c r="E86" s="6">
        <v>37</v>
      </c>
      <c r="F86" s="16">
        <v>1</v>
      </c>
      <c r="G86" s="5">
        <f t="shared" si="24"/>
        <v>38</v>
      </c>
      <c r="H86" s="7">
        <f t="shared" si="25"/>
        <v>72</v>
      </c>
    </row>
    <row r="87" spans="1:8" ht="15" customHeight="1" thickTop="1" thickBot="1" x14ac:dyDescent="0.3">
      <c r="A87" s="12" t="s">
        <v>6</v>
      </c>
      <c r="B87" s="13">
        <f t="shared" ref="B87:G87" si="26">SUM(B64:B86)</f>
        <v>700</v>
      </c>
      <c r="C87" s="13">
        <f t="shared" si="26"/>
        <v>12</v>
      </c>
      <c r="D87" s="13">
        <f t="shared" si="26"/>
        <v>712</v>
      </c>
      <c r="E87" s="13">
        <f t="shared" si="26"/>
        <v>488</v>
      </c>
      <c r="F87" s="13">
        <f t="shared" si="26"/>
        <v>50</v>
      </c>
      <c r="G87" s="13">
        <f t="shared" si="26"/>
        <v>538</v>
      </c>
      <c r="H87" s="15">
        <f t="shared" si="22"/>
        <v>1250</v>
      </c>
    </row>
    <row r="88" spans="1:8" ht="15" customHeight="1" thickTop="1" thickBot="1" x14ac:dyDescent="0.3">
      <c r="A88" s="23" t="s">
        <v>86</v>
      </c>
      <c r="B88" s="24"/>
      <c r="C88" s="24"/>
      <c r="D88" s="24"/>
      <c r="E88" s="24"/>
      <c r="F88" s="24"/>
      <c r="G88" s="24"/>
      <c r="H88" s="25"/>
    </row>
    <row r="89" spans="1:8" ht="15" customHeight="1" thickTop="1" x14ac:dyDescent="0.25">
      <c r="A89" s="11" t="s">
        <v>87</v>
      </c>
      <c r="B89" s="6">
        <v>10</v>
      </c>
      <c r="C89" s="16">
        <v>0</v>
      </c>
      <c r="D89" s="5">
        <f t="shared" ref="D89:D117" si="27">B89+C89</f>
        <v>10</v>
      </c>
      <c r="E89" s="6">
        <v>5</v>
      </c>
      <c r="F89" s="16">
        <v>0</v>
      </c>
      <c r="G89" s="5">
        <f t="shared" ref="G89:G117" si="28">E89+F89</f>
        <v>5</v>
      </c>
      <c r="H89" s="7">
        <f t="shared" ref="H89:H117" si="29">G89+D89</f>
        <v>15</v>
      </c>
    </row>
    <row r="90" spans="1:8" ht="15" customHeight="1" x14ac:dyDescent="0.25">
      <c r="A90" s="11" t="s">
        <v>88</v>
      </c>
      <c r="B90" s="6">
        <v>2</v>
      </c>
      <c r="C90" s="16">
        <v>0</v>
      </c>
      <c r="D90" s="5">
        <f t="shared" si="27"/>
        <v>2</v>
      </c>
      <c r="E90" s="6">
        <v>5</v>
      </c>
      <c r="F90" s="16">
        <v>0</v>
      </c>
      <c r="G90" s="5">
        <f t="shared" ref="G90:G117" si="30">E90+F90</f>
        <v>5</v>
      </c>
      <c r="H90" s="7">
        <f t="shared" ref="H90:H117" si="31">G90+D90</f>
        <v>7</v>
      </c>
    </row>
    <row r="91" spans="1:8" ht="15" customHeight="1" x14ac:dyDescent="0.25">
      <c r="A91" s="11" t="s">
        <v>89</v>
      </c>
      <c r="B91" s="6">
        <v>0</v>
      </c>
      <c r="C91" s="16">
        <v>0</v>
      </c>
      <c r="D91" s="5">
        <f t="shared" si="27"/>
        <v>0</v>
      </c>
      <c r="E91" s="6">
        <v>2</v>
      </c>
      <c r="F91" s="16">
        <v>0</v>
      </c>
      <c r="G91" s="5">
        <f t="shared" si="30"/>
        <v>2</v>
      </c>
      <c r="H91" s="7">
        <f t="shared" si="31"/>
        <v>2</v>
      </c>
    </row>
    <row r="92" spans="1:8" ht="15" customHeight="1" x14ac:dyDescent="0.25">
      <c r="A92" s="11" t="s">
        <v>184</v>
      </c>
      <c r="B92" s="6">
        <v>0</v>
      </c>
      <c r="C92" s="16">
        <v>0</v>
      </c>
      <c r="D92" s="5">
        <f t="shared" si="27"/>
        <v>0</v>
      </c>
      <c r="E92" s="6">
        <v>1</v>
      </c>
      <c r="F92" s="16">
        <v>0</v>
      </c>
      <c r="G92" s="5">
        <f t="shared" si="30"/>
        <v>1</v>
      </c>
      <c r="H92" s="7">
        <f t="shared" si="31"/>
        <v>1</v>
      </c>
    </row>
    <row r="93" spans="1:8" ht="15" customHeight="1" x14ac:dyDescent="0.25">
      <c r="A93" s="11" t="s">
        <v>90</v>
      </c>
      <c r="B93" s="6">
        <v>8</v>
      </c>
      <c r="C93" s="16">
        <v>0</v>
      </c>
      <c r="D93" s="5">
        <f t="shared" si="27"/>
        <v>8</v>
      </c>
      <c r="E93" s="6">
        <v>8</v>
      </c>
      <c r="F93" s="16">
        <v>1</v>
      </c>
      <c r="G93" s="5">
        <f t="shared" si="30"/>
        <v>9</v>
      </c>
      <c r="H93" s="7">
        <f t="shared" si="31"/>
        <v>17</v>
      </c>
    </row>
    <row r="94" spans="1:8" ht="15" customHeight="1" x14ac:dyDescent="0.25">
      <c r="A94" s="11" t="s">
        <v>92</v>
      </c>
      <c r="B94" s="6">
        <v>1</v>
      </c>
      <c r="C94" s="16">
        <v>0</v>
      </c>
      <c r="D94" s="5">
        <f t="shared" si="27"/>
        <v>1</v>
      </c>
      <c r="E94" s="6">
        <v>2</v>
      </c>
      <c r="F94" s="16">
        <v>0</v>
      </c>
      <c r="G94" s="5">
        <f t="shared" si="30"/>
        <v>2</v>
      </c>
      <c r="H94" s="7">
        <f t="shared" si="31"/>
        <v>3</v>
      </c>
    </row>
    <row r="95" spans="1:8" ht="15" customHeight="1" x14ac:dyDescent="0.25">
      <c r="A95" s="11" t="s">
        <v>94</v>
      </c>
      <c r="B95" s="6">
        <v>0</v>
      </c>
      <c r="C95" s="16">
        <v>0</v>
      </c>
      <c r="D95" s="5">
        <f t="shared" si="27"/>
        <v>0</v>
      </c>
      <c r="E95" s="6">
        <v>0</v>
      </c>
      <c r="F95" s="16">
        <v>1</v>
      </c>
      <c r="G95" s="5">
        <f t="shared" si="30"/>
        <v>1</v>
      </c>
      <c r="H95" s="7">
        <f t="shared" si="31"/>
        <v>1</v>
      </c>
    </row>
    <row r="96" spans="1:8" ht="15" customHeight="1" x14ac:dyDescent="0.25">
      <c r="A96" s="11" t="s">
        <v>95</v>
      </c>
      <c r="B96" s="6">
        <v>1</v>
      </c>
      <c r="C96" s="16">
        <v>0</v>
      </c>
      <c r="D96" s="5">
        <f t="shared" si="27"/>
        <v>1</v>
      </c>
      <c r="E96" s="6">
        <v>9</v>
      </c>
      <c r="F96" s="16">
        <v>3</v>
      </c>
      <c r="G96" s="5">
        <f t="shared" si="30"/>
        <v>12</v>
      </c>
      <c r="H96" s="7">
        <f t="shared" si="31"/>
        <v>13</v>
      </c>
    </row>
    <row r="97" spans="1:8" ht="15" customHeight="1" x14ac:dyDescent="0.25">
      <c r="A97" s="11" t="s">
        <v>96</v>
      </c>
      <c r="B97" s="6">
        <v>10</v>
      </c>
      <c r="C97" s="16">
        <v>0</v>
      </c>
      <c r="D97" s="5">
        <f t="shared" si="27"/>
        <v>10</v>
      </c>
      <c r="E97" s="6">
        <v>10</v>
      </c>
      <c r="F97" s="16">
        <v>0</v>
      </c>
      <c r="G97" s="5">
        <f t="shared" si="30"/>
        <v>10</v>
      </c>
      <c r="H97" s="7">
        <f t="shared" si="31"/>
        <v>20</v>
      </c>
    </row>
    <row r="98" spans="1:8" ht="15" customHeight="1" x14ac:dyDescent="0.25">
      <c r="A98" s="11" t="s">
        <v>97</v>
      </c>
      <c r="B98" s="6">
        <v>1</v>
      </c>
      <c r="C98" s="16">
        <v>0</v>
      </c>
      <c r="D98" s="5">
        <f t="shared" si="27"/>
        <v>1</v>
      </c>
      <c r="E98" s="6">
        <v>0</v>
      </c>
      <c r="F98" s="16">
        <v>0</v>
      </c>
      <c r="G98" s="5">
        <f t="shared" si="30"/>
        <v>0</v>
      </c>
      <c r="H98" s="7">
        <f t="shared" si="31"/>
        <v>1</v>
      </c>
    </row>
    <row r="99" spans="1:8" ht="15" customHeight="1" x14ac:dyDescent="0.25">
      <c r="A99" s="11" t="s">
        <v>99</v>
      </c>
      <c r="B99" s="6">
        <v>0</v>
      </c>
      <c r="C99" s="16">
        <v>0</v>
      </c>
      <c r="D99" s="5">
        <f t="shared" si="27"/>
        <v>0</v>
      </c>
      <c r="E99" s="6">
        <v>2</v>
      </c>
      <c r="F99" s="16">
        <v>1</v>
      </c>
      <c r="G99" s="5">
        <f t="shared" si="30"/>
        <v>3</v>
      </c>
      <c r="H99" s="7">
        <f t="shared" si="31"/>
        <v>3</v>
      </c>
    </row>
    <row r="100" spans="1:8" ht="15" customHeight="1" x14ac:dyDescent="0.25">
      <c r="A100" s="11" t="s">
        <v>100</v>
      </c>
      <c r="B100" s="6">
        <v>0</v>
      </c>
      <c r="C100" s="16">
        <v>0</v>
      </c>
      <c r="D100" s="5">
        <f t="shared" si="27"/>
        <v>0</v>
      </c>
      <c r="E100" s="6">
        <v>4</v>
      </c>
      <c r="F100" s="16">
        <v>0</v>
      </c>
      <c r="G100" s="5">
        <f t="shared" si="30"/>
        <v>4</v>
      </c>
      <c r="H100" s="7">
        <f t="shared" si="31"/>
        <v>4</v>
      </c>
    </row>
    <row r="101" spans="1:8" ht="15" customHeight="1" x14ac:dyDescent="0.25">
      <c r="A101" s="11" t="s">
        <v>208</v>
      </c>
      <c r="B101" s="6">
        <v>0</v>
      </c>
      <c r="C101" s="16">
        <v>0</v>
      </c>
      <c r="D101" s="5">
        <f t="shared" si="27"/>
        <v>0</v>
      </c>
      <c r="E101" s="6">
        <v>1</v>
      </c>
      <c r="F101" s="16">
        <v>0</v>
      </c>
      <c r="G101" s="5">
        <f t="shared" si="30"/>
        <v>1</v>
      </c>
      <c r="H101" s="7">
        <f t="shared" si="31"/>
        <v>1</v>
      </c>
    </row>
    <row r="102" spans="1:8" ht="15" customHeight="1" x14ac:dyDescent="0.25">
      <c r="A102" s="11" t="s">
        <v>101</v>
      </c>
      <c r="B102" s="6">
        <v>15</v>
      </c>
      <c r="C102" s="16">
        <v>0</v>
      </c>
      <c r="D102" s="5">
        <f t="shared" si="27"/>
        <v>15</v>
      </c>
      <c r="E102" s="6">
        <v>0</v>
      </c>
      <c r="F102" s="16">
        <v>2</v>
      </c>
      <c r="G102" s="5">
        <f t="shared" si="30"/>
        <v>2</v>
      </c>
      <c r="H102" s="7">
        <f t="shared" si="31"/>
        <v>17</v>
      </c>
    </row>
    <row r="103" spans="1:8" ht="15" customHeight="1" x14ac:dyDescent="0.25">
      <c r="A103" s="11" t="s">
        <v>102</v>
      </c>
      <c r="B103" s="6">
        <v>1</v>
      </c>
      <c r="C103" s="16">
        <v>0</v>
      </c>
      <c r="D103" s="5">
        <f t="shared" si="27"/>
        <v>1</v>
      </c>
      <c r="E103" s="6">
        <v>0</v>
      </c>
      <c r="F103" s="16">
        <v>0</v>
      </c>
      <c r="G103" s="5">
        <f t="shared" si="30"/>
        <v>0</v>
      </c>
      <c r="H103" s="7">
        <f t="shared" si="31"/>
        <v>1</v>
      </c>
    </row>
    <row r="104" spans="1:8" ht="15" customHeight="1" x14ac:dyDescent="0.25">
      <c r="A104" s="11" t="s">
        <v>186</v>
      </c>
      <c r="B104" s="6">
        <v>0</v>
      </c>
      <c r="C104" s="16">
        <v>0</v>
      </c>
      <c r="D104" s="5">
        <f t="shared" si="27"/>
        <v>0</v>
      </c>
      <c r="E104" s="6">
        <v>1</v>
      </c>
      <c r="F104" s="16">
        <v>1</v>
      </c>
      <c r="G104" s="5">
        <f t="shared" si="30"/>
        <v>2</v>
      </c>
      <c r="H104" s="7">
        <f t="shared" si="31"/>
        <v>2</v>
      </c>
    </row>
    <row r="105" spans="1:8" ht="15" customHeight="1" x14ac:dyDescent="0.25">
      <c r="A105" s="11" t="s">
        <v>103</v>
      </c>
      <c r="B105" s="6">
        <v>0</v>
      </c>
      <c r="C105" s="16">
        <v>0</v>
      </c>
      <c r="D105" s="5">
        <f t="shared" si="27"/>
        <v>0</v>
      </c>
      <c r="E105" s="6">
        <v>2</v>
      </c>
      <c r="F105" s="16">
        <v>0</v>
      </c>
      <c r="G105" s="5">
        <f t="shared" si="30"/>
        <v>2</v>
      </c>
      <c r="H105" s="7">
        <f t="shared" si="31"/>
        <v>2</v>
      </c>
    </row>
    <row r="106" spans="1:8" ht="15" customHeight="1" x14ac:dyDescent="0.25">
      <c r="A106" s="11" t="s">
        <v>104</v>
      </c>
      <c r="B106" s="6">
        <v>15</v>
      </c>
      <c r="C106" s="16">
        <v>0</v>
      </c>
      <c r="D106" s="5">
        <f t="shared" si="27"/>
        <v>15</v>
      </c>
      <c r="E106" s="6">
        <v>29</v>
      </c>
      <c r="F106" s="16">
        <v>4</v>
      </c>
      <c r="G106" s="5">
        <f t="shared" si="30"/>
        <v>33</v>
      </c>
      <c r="H106" s="7">
        <f t="shared" si="31"/>
        <v>48</v>
      </c>
    </row>
    <row r="107" spans="1:8" ht="15" customHeight="1" x14ac:dyDescent="0.25">
      <c r="A107" s="11" t="s">
        <v>220</v>
      </c>
      <c r="B107" s="6">
        <v>0</v>
      </c>
      <c r="C107" s="16">
        <v>0</v>
      </c>
      <c r="D107" s="5">
        <f t="shared" si="27"/>
        <v>0</v>
      </c>
      <c r="E107" s="6">
        <v>1</v>
      </c>
      <c r="F107" s="16">
        <v>0</v>
      </c>
      <c r="G107" s="5">
        <f t="shared" si="30"/>
        <v>1</v>
      </c>
      <c r="H107" s="7">
        <f t="shared" si="31"/>
        <v>1</v>
      </c>
    </row>
    <row r="108" spans="1:8" ht="15" customHeight="1" x14ac:dyDescent="0.25">
      <c r="A108" s="11" t="s">
        <v>188</v>
      </c>
      <c r="B108" s="6">
        <v>1</v>
      </c>
      <c r="C108" s="16">
        <v>0</v>
      </c>
      <c r="D108" s="5">
        <f t="shared" si="27"/>
        <v>1</v>
      </c>
      <c r="E108" s="6">
        <v>1</v>
      </c>
      <c r="F108" s="16">
        <v>1</v>
      </c>
      <c r="G108" s="5">
        <f t="shared" si="30"/>
        <v>2</v>
      </c>
      <c r="H108" s="7">
        <f t="shared" si="31"/>
        <v>3</v>
      </c>
    </row>
    <row r="109" spans="1:8" ht="15" customHeight="1" x14ac:dyDescent="0.25">
      <c r="A109" s="11" t="s">
        <v>109</v>
      </c>
      <c r="B109" s="6">
        <v>2</v>
      </c>
      <c r="C109" s="16">
        <v>0</v>
      </c>
      <c r="D109" s="5">
        <f t="shared" si="27"/>
        <v>2</v>
      </c>
      <c r="E109" s="6">
        <v>0</v>
      </c>
      <c r="F109" s="16">
        <v>0</v>
      </c>
      <c r="G109" s="5">
        <f t="shared" si="30"/>
        <v>0</v>
      </c>
      <c r="H109" s="7">
        <f t="shared" si="31"/>
        <v>2</v>
      </c>
    </row>
    <row r="110" spans="1:8" ht="15" customHeight="1" x14ac:dyDescent="0.25">
      <c r="A110" s="11" t="s">
        <v>105</v>
      </c>
      <c r="B110" s="6">
        <v>0</v>
      </c>
      <c r="C110" s="16">
        <v>0</v>
      </c>
      <c r="D110" s="5">
        <f t="shared" si="27"/>
        <v>0</v>
      </c>
      <c r="E110" s="6">
        <v>1</v>
      </c>
      <c r="F110" s="16">
        <v>1</v>
      </c>
      <c r="G110" s="5">
        <f t="shared" si="30"/>
        <v>2</v>
      </c>
      <c r="H110" s="7">
        <f t="shared" si="31"/>
        <v>2</v>
      </c>
    </row>
    <row r="111" spans="1:8" ht="15" customHeight="1" x14ac:dyDescent="0.25">
      <c r="A111" s="11" t="s">
        <v>106</v>
      </c>
      <c r="B111" s="6">
        <v>1</v>
      </c>
      <c r="C111" s="16">
        <v>0</v>
      </c>
      <c r="D111" s="5">
        <f t="shared" si="27"/>
        <v>1</v>
      </c>
      <c r="E111" s="6">
        <v>0</v>
      </c>
      <c r="F111" s="16">
        <v>0</v>
      </c>
      <c r="G111" s="5">
        <f t="shared" si="30"/>
        <v>0</v>
      </c>
      <c r="H111" s="7">
        <f t="shared" si="31"/>
        <v>1</v>
      </c>
    </row>
    <row r="112" spans="1:8" ht="15" customHeight="1" x14ac:dyDescent="0.25">
      <c r="A112" s="11" t="s">
        <v>107</v>
      </c>
      <c r="B112" s="6">
        <v>4</v>
      </c>
      <c r="C112" s="16">
        <v>0</v>
      </c>
      <c r="D112" s="5">
        <f t="shared" si="27"/>
        <v>4</v>
      </c>
      <c r="E112" s="6">
        <v>15</v>
      </c>
      <c r="F112" s="16">
        <v>4</v>
      </c>
      <c r="G112" s="5">
        <f t="shared" si="30"/>
        <v>19</v>
      </c>
      <c r="H112" s="7">
        <f t="shared" si="31"/>
        <v>23</v>
      </c>
    </row>
    <row r="113" spans="1:8" ht="15" customHeight="1" x14ac:dyDescent="0.25">
      <c r="A113" s="11" t="s">
        <v>108</v>
      </c>
      <c r="B113" s="6">
        <v>1</v>
      </c>
      <c r="C113" s="16">
        <v>0</v>
      </c>
      <c r="D113" s="5">
        <f t="shared" si="27"/>
        <v>1</v>
      </c>
      <c r="E113" s="6">
        <v>3</v>
      </c>
      <c r="F113" s="16">
        <v>1</v>
      </c>
      <c r="G113" s="5">
        <f t="shared" si="30"/>
        <v>4</v>
      </c>
      <c r="H113" s="7">
        <f t="shared" si="31"/>
        <v>5</v>
      </c>
    </row>
    <row r="114" spans="1:8" ht="15" customHeight="1" x14ac:dyDescent="0.25">
      <c r="A114" s="11" t="s">
        <v>110</v>
      </c>
      <c r="B114" s="6">
        <v>1</v>
      </c>
      <c r="C114" s="16">
        <v>0</v>
      </c>
      <c r="D114" s="5">
        <f t="shared" si="27"/>
        <v>1</v>
      </c>
      <c r="E114" s="6">
        <v>9</v>
      </c>
      <c r="F114" s="16">
        <v>0</v>
      </c>
      <c r="G114" s="5">
        <f t="shared" si="30"/>
        <v>9</v>
      </c>
      <c r="H114" s="7">
        <f t="shared" si="31"/>
        <v>10</v>
      </c>
    </row>
    <row r="115" spans="1:8" ht="15" customHeight="1" x14ac:dyDescent="0.25">
      <c r="A115" s="11" t="s">
        <v>111</v>
      </c>
      <c r="B115" s="6">
        <v>1</v>
      </c>
      <c r="C115" s="16">
        <v>0</v>
      </c>
      <c r="D115" s="5">
        <f t="shared" si="27"/>
        <v>1</v>
      </c>
      <c r="E115" s="6">
        <v>4</v>
      </c>
      <c r="F115" s="16">
        <v>0</v>
      </c>
      <c r="G115" s="5">
        <f t="shared" si="30"/>
        <v>4</v>
      </c>
      <c r="H115" s="7">
        <f t="shared" si="31"/>
        <v>5</v>
      </c>
    </row>
    <row r="116" spans="1:8" ht="15" customHeight="1" x14ac:dyDescent="0.25">
      <c r="A116" s="11" t="s">
        <v>113</v>
      </c>
      <c r="B116" s="6">
        <v>1</v>
      </c>
      <c r="C116" s="16">
        <v>0</v>
      </c>
      <c r="D116" s="5">
        <f t="shared" si="27"/>
        <v>1</v>
      </c>
      <c r="E116" s="6">
        <v>2</v>
      </c>
      <c r="F116" s="16">
        <v>0</v>
      </c>
      <c r="G116" s="5">
        <f t="shared" si="30"/>
        <v>2</v>
      </c>
      <c r="H116" s="7">
        <f t="shared" si="31"/>
        <v>3</v>
      </c>
    </row>
    <row r="117" spans="1:8" ht="15" customHeight="1" thickBot="1" x14ac:dyDescent="0.3">
      <c r="A117" s="11" t="s">
        <v>114</v>
      </c>
      <c r="B117" s="6">
        <v>0</v>
      </c>
      <c r="C117" s="16">
        <v>0</v>
      </c>
      <c r="D117" s="5">
        <f t="shared" si="27"/>
        <v>0</v>
      </c>
      <c r="E117" s="6">
        <v>5</v>
      </c>
      <c r="F117" s="16">
        <v>0</v>
      </c>
      <c r="G117" s="5">
        <f t="shared" si="30"/>
        <v>5</v>
      </c>
      <c r="H117" s="7">
        <f t="shared" si="31"/>
        <v>5</v>
      </c>
    </row>
    <row r="118" spans="1:8" ht="15" customHeight="1" thickTop="1" thickBot="1" x14ac:dyDescent="0.3">
      <c r="A118" s="12" t="s">
        <v>6</v>
      </c>
      <c r="B118" s="13">
        <f t="shared" ref="B118:H118" si="32">SUM(B89:B117)</f>
        <v>76</v>
      </c>
      <c r="C118" s="13">
        <f t="shared" si="32"/>
        <v>0</v>
      </c>
      <c r="D118" s="13">
        <f t="shared" si="32"/>
        <v>76</v>
      </c>
      <c r="E118" s="13">
        <f t="shared" si="32"/>
        <v>122</v>
      </c>
      <c r="F118" s="13">
        <f t="shared" si="32"/>
        <v>20</v>
      </c>
      <c r="G118" s="13">
        <f t="shared" si="32"/>
        <v>142</v>
      </c>
      <c r="H118" s="15">
        <f t="shared" si="32"/>
        <v>218</v>
      </c>
    </row>
    <row r="119" spans="1:8" ht="15" customHeight="1" thickTop="1" thickBot="1" x14ac:dyDescent="0.3">
      <c r="A119" s="23" t="s">
        <v>115</v>
      </c>
      <c r="B119" s="24"/>
      <c r="C119" s="24"/>
      <c r="D119" s="24"/>
      <c r="E119" s="24"/>
      <c r="F119" s="24"/>
      <c r="G119" s="24"/>
      <c r="H119" s="25"/>
    </row>
    <row r="120" spans="1:8" ht="15" customHeight="1" thickTop="1" x14ac:dyDescent="0.25">
      <c r="A120" s="11" t="s">
        <v>116</v>
      </c>
      <c r="B120" s="6">
        <v>11</v>
      </c>
      <c r="C120" s="16">
        <v>0</v>
      </c>
      <c r="D120" s="5">
        <f t="shared" ref="D120:D121" si="33">B120+C120</f>
        <v>11</v>
      </c>
      <c r="E120" s="6">
        <v>35</v>
      </c>
      <c r="F120" s="16">
        <v>1</v>
      </c>
      <c r="G120" s="5">
        <f t="shared" ref="G120:G121" si="34">E120+F120</f>
        <v>36</v>
      </c>
      <c r="H120" s="7">
        <f t="shared" ref="H120:H121" si="35">G120+D120</f>
        <v>47</v>
      </c>
    </row>
    <row r="121" spans="1:8" ht="15" customHeight="1" thickBot="1" x14ac:dyDescent="0.3">
      <c r="A121" s="11" t="s">
        <v>117</v>
      </c>
      <c r="B121" s="6">
        <v>349</v>
      </c>
      <c r="C121" s="16">
        <v>6</v>
      </c>
      <c r="D121" s="5">
        <f t="shared" si="33"/>
        <v>355</v>
      </c>
      <c r="E121" s="6">
        <v>171</v>
      </c>
      <c r="F121" s="16">
        <v>12</v>
      </c>
      <c r="G121" s="5">
        <f t="shared" si="34"/>
        <v>183</v>
      </c>
      <c r="H121" s="7">
        <f t="shared" si="35"/>
        <v>538</v>
      </c>
    </row>
    <row r="122" spans="1:8" ht="15" customHeight="1" thickTop="1" thickBot="1" x14ac:dyDescent="0.3">
      <c r="A122" s="12" t="s">
        <v>6</v>
      </c>
      <c r="B122" s="13">
        <f>SUM(B120:B121)</f>
        <v>360</v>
      </c>
      <c r="C122" s="13">
        <f t="shared" ref="C122:H122" si="36">SUM(C120:C121)</f>
        <v>6</v>
      </c>
      <c r="D122" s="13">
        <f t="shared" si="36"/>
        <v>366</v>
      </c>
      <c r="E122" s="13">
        <f t="shared" si="36"/>
        <v>206</v>
      </c>
      <c r="F122" s="13">
        <f t="shared" si="36"/>
        <v>13</v>
      </c>
      <c r="G122" s="13">
        <f t="shared" si="36"/>
        <v>219</v>
      </c>
      <c r="H122" s="15">
        <f t="shared" si="36"/>
        <v>585</v>
      </c>
    </row>
    <row r="123" spans="1:8" ht="15" customHeight="1" thickTop="1" thickBot="1" x14ac:dyDescent="0.3">
      <c r="A123" s="23" t="s">
        <v>145</v>
      </c>
      <c r="B123" s="24"/>
      <c r="C123" s="24"/>
      <c r="D123" s="24"/>
      <c r="E123" s="24"/>
      <c r="F123" s="24"/>
      <c r="G123" s="24"/>
      <c r="H123" s="25"/>
    </row>
    <row r="124" spans="1:8" ht="15" customHeight="1" thickTop="1" x14ac:dyDescent="0.25">
      <c r="A124" s="11" t="s">
        <v>118</v>
      </c>
      <c r="B124" s="6">
        <v>0</v>
      </c>
      <c r="C124" s="16">
        <v>0</v>
      </c>
      <c r="D124" s="5">
        <f t="shared" ref="D124:D136" si="37">B124+C124</f>
        <v>0</v>
      </c>
      <c r="E124" s="6">
        <v>1</v>
      </c>
      <c r="F124" s="16">
        <v>1</v>
      </c>
      <c r="G124" s="5">
        <f t="shared" ref="G124:G135" si="38">E124+F124</f>
        <v>2</v>
      </c>
      <c r="H124" s="7">
        <f t="shared" ref="H124:H135" si="39">G124+D124</f>
        <v>2</v>
      </c>
    </row>
    <row r="125" spans="1:8" ht="15" customHeight="1" x14ac:dyDescent="0.25">
      <c r="A125" s="11" t="s">
        <v>119</v>
      </c>
      <c r="B125" s="6">
        <v>0</v>
      </c>
      <c r="C125" s="16">
        <v>0</v>
      </c>
      <c r="D125" s="5">
        <f t="shared" si="37"/>
        <v>0</v>
      </c>
      <c r="E125" s="6">
        <v>3</v>
      </c>
      <c r="F125" s="16">
        <v>0</v>
      </c>
      <c r="G125" s="5">
        <f t="shared" si="38"/>
        <v>3</v>
      </c>
      <c r="H125" s="7">
        <f t="shared" si="39"/>
        <v>3</v>
      </c>
    </row>
    <row r="126" spans="1:8" ht="15" customHeight="1" x14ac:dyDescent="0.25">
      <c r="A126" s="11" t="s">
        <v>120</v>
      </c>
      <c r="B126" s="6">
        <v>2</v>
      </c>
      <c r="C126" s="16">
        <v>0</v>
      </c>
      <c r="D126" s="5">
        <f t="shared" si="37"/>
        <v>2</v>
      </c>
      <c r="E126" s="6">
        <v>0</v>
      </c>
      <c r="F126" s="16">
        <v>0</v>
      </c>
      <c r="G126" s="5">
        <f t="shared" si="38"/>
        <v>0</v>
      </c>
      <c r="H126" s="7">
        <f t="shared" si="39"/>
        <v>2</v>
      </c>
    </row>
    <row r="127" spans="1:8" ht="15" customHeight="1" x14ac:dyDescent="0.25">
      <c r="A127" s="11" t="s">
        <v>121</v>
      </c>
      <c r="B127" s="6">
        <v>1</v>
      </c>
      <c r="C127" s="16">
        <v>0</v>
      </c>
      <c r="D127" s="5">
        <f t="shared" si="37"/>
        <v>1</v>
      </c>
      <c r="E127" s="6">
        <v>0</v>
      </c>
      <c r="F127" s="16">
        <v>0</v>
      </c>
      <c r="G127" s="5">
        <f t="shared" si="38"/>
        <v>0</v>
      </c>
      <c r="H127" s="7">
        <f t="shared" si="39"/>
        <v>1</v>
      </c>
    </row>
    <row r="128" spans="1:8" ht="15" customHeight="1" x14ac:dyDescent="0.25">
      <c r="A128" s="11" t="s">
        <v>122</v>
      </c>
      <c r="B128" s="6">
        <v>0</v>
      </c>
      <c r="C128" s="16">
        <v>0</v>
      </c>
      <c r="D128" s="5">
        <f t="shared" si="37"/>
        <v>0</v>
      </c>
      <c r="E128" s="6">
        <v>2</v>
      </c>
      <c r="F128" s="16">
        <v>0</v>
      </c>
      <c r="G128" s="5">
        <f t="shared" si="38"/>
        <v>2</v>
      </c>
      <c r="H128" s="7">
        <f t="shared" si="39"/>
        <v>2</v>
      </c>
    </row>
    <row r="129" spans="1:8" ht="15" customHeight="1" x14ac:dyDescent="0.25">
      <c r="A129" s="11" t="s">
        <v>156</v>
      </c>
      <c r="B129" s="6">
        <v>0</v>
      </c>
      <c r="C129" s="16">
        <v>0</v>
      </c>
      <c r="D129" s="5">
        <f t="shared" si="37"/>
        <v>0</v>
      </c>
      <c r="E129" s="6">
        <v>1</v>
      </c>
      <c r="F129" s="16">
        <v>0</v>
      </c>
      <c r="G129" s="5">
        <f t="shared" si="38"/>
        <v>1</v>
      </c>
      <c r="H129" s="7">
        <f t="shared" si="39"/>
        <v>1</v>
      </c>
    </row>
    <row r="130" spans="1:8" ht="15" customHeight="1" x14ac:dyDescent="0.25">
      <c r="A130" s="11" t="s">
        <v>123</v>
      </c>
      <c r="B130" s="6">
        <v>1</v>
      </c>
      <c r="C130" s="16">
        <v>0</v>
      </c>
      <c r="D130" s="5">
        <f t="shared" si="37"/>
        <v>1</v>
      </c>
      <c r="E130" s="6">
        <v>7</v>
      </c>
      <c r="F130" s="16">
        <v>0</v>
      </c>
      <c r="G130" s="5">
        <f t="shared" si="38"/>
        <v>7</v>
      </c>
      <c r="H130" s="7">
        <f t="shared" si="39"/>
        <v>8</v>
      </c>
    </row>
    <row r="131" spans="1:8" ht="15" customHeight="1" x14ac:dyDescent="0.25">
      <c r="A131" s="11" t="s">
        <v>222</v>
      </c>
      <c r="B131" s="6">
        <v>0</v>
      </c>
      <c r="C131" s="16">
        <v>0</v>
      </c>
      <c r="D131" s="5">
        <f t="shared" si="37"/>
        <v>0</v>
      </c>
      <c r="E131" s="6">
        <v>1</v>
      </c>
      <c r="F131" s="16">
        <v>0</v>
      </c>
      <c r="G131" s="5">
        <f t="shared" si="38"/>
        <v>1</v>
      </c>
      <c r="H131" s="7">
        <f t="shared" si="39"/>
        <v>1</v>
      </c>
    </row>
    <row r="132" spans="1:8" ht="15" customHeight="1" x14ac:dyDescent="0.25">
      <c r="A132" s="11" t="s">
        <v>191</v>
      </c>
      <c r="B132" s="6">
        <v>0</v>
      </c>
      <c r="C132" s="16">
        <v>0</v>
      </c>
      <c r="D132" s="5">
        <f t="shared" si="37"/>
        <v>0</v>
      </c>
      <c r="E132" s="6">
        <v>1</v>
      </c>
      <c r="F132" s="16">
        <v>0</v>
      </c>
      <c r="G132" s="5">
        <f t="shared" si="38"/>
        <v>1</v>
      </c>
      <c r="H132" s="7">
        <f t="shared" si="39"/>
        <v>1</v>
      </c>
    </row>
    <row r="133" spans="1:8" ht="15" customHeight="1" x14ac:dyDescent="0.25">
      <c r="A133" s="11" t="s">
        <v>238</v>
      </c>
      <c r="B133" s="6">
        <v>0</v>
      </c>
      <c r="C133" s="16">
        <v>0</v>
      </c>
      <c r="D133" s="5">
        <f t="shared" si="37"/>
        <v>0</v>
      </c>
      <c r="E133" s="6">
        <v>1</v>
      </c>
      <c r="F133" s="16">
        <v>0</v>
      </c>
      <c r="G133" s="5">
        <f t="shared" si="38"/>
        <v>1</v>
      </c>
      <c r="H133" s="7">
        <f t="shared" si="39"/>
        <v>1</v>
      </c>
    </row>
    <row r="134" spans="1:8" ht="15" customHeight="1" x14ac:dyDescent="0.25">
      <c r="A134" s="11" t="s">
        <v>124</v>
      </c>
      <c r="B134" s="6">
        <v>1</v>
      </c>
      <c r="C134" s="16">
        <v>0</v>
      </c>
      <c r="D134" s="5">
        <f t="shared" si="37"/>
        <v>1</v>
      </c>
      <c r="E134" s="6">
        <v>1</v>
      </c>
      <c r="F134" s="16">
        <v>0</v>
      </c>
      <c r="G134" s="5">
        <f t="shared" si="38"/>
        <v>1</v>
      </c>
      <c r="H134" s="7">
        <f t="shared" si="39"/>
        <v>2</v>
      </c>
    </row>
    <row r="135" spans="1:8" ht="15" customHeight="1" x14ac:dyDescent="0.25">
      <c r="A135" s="11" t="s">
        <v>209</v>
      </c>
      <c r="B135" s="6">
        <v>1</v>
      </c>
      <c r="C135" s="16">
        <v>0</v>
      </c>
      <c r="D135" s="5">
        <f t="shared" si="37"/>
        <v>1</v>
      </c>
      <c r="E135" s="6">
        <v>0</v>
      </c>
      <c r="F135" s="16">
        <v>0</v>
      </c>
      <c r="G135" s="5">
        <f t="shared" si="38"/>
        <v>0</v>
      </c>
      <c r="H135" s="7">
        <f t="shared" si="39"/>
        <v>1</v>
      </c>
    </row>
    <row r="136" spans="1:8" ht="15" customHeight="1" thickBot="1" x14ac:dyDescent="0.3">
      <c r="A136" s="11" t="s">
        <v>192</v>
      </c>
      <c r="B136" s="6">
        <v>2</v>
      </c>
      <c r="C136" s="16">
        <v>0</v>
      </c>
      <c r="D136" s="5">
        <f t="shared" si="37"/>
        <v>2</v>
      </c>
      <c r="E136" s="6">
        <v>1</v>
      </c>
      <c r="F136" s="16">
        <v>1</v>
      </c>
      <c r="G136" s="5">
        <f t="shared" ref="G124:G136" si="40">E136+F136</f>
        <v>2</v>
      </c>
      <c r="H136" s="7">
        <f t="shared" ref="H124:H136" si="41">G136+D136</f>
        <v>4</v>
      </c>
    </row>
    <row r="137" spans="1:8" ht="15" customHeight="1" thickTop="1" thickBot="1" x14ac:dyDescent="0.3">
      <c r="A137" s="12" t="s">
        <v>6</v>
      </c>
      <c r="B137" s="13">
        <f>SUM(B124:B136)</f>
        <v>8</v>
      </c>
      <c r="C137" s="13">
        <f t="shared" ref="C137:H137" si="42">SUM(C124:C136)</f>
        <v>0</v>
      </c>
      <c r="D137" s="13">
        <f t="shared" si="42"/>
        <v>8</v>
      </c>
      <c r="E137" s="13">
        <f t="shared" si="42"/>
        <v>19</v>
      </c>
      <c r="F137" s="13">
        <f t="shared" si="42"/>
        <v>2</v>
      </c>
      <c r="G137" s="13">
        <f t="shared" si="42"/>
        <v>21</v>
      </c>
      <c r="H137" s="15">
        <f t="shared" si="42"/>
        <v>29</v>
      </c>
    </row>
    <row r="138" spans="1:8" ht="15" customHeight="1" thickTop="1" thickBot="1" x14ac:dyDescent="0.3">
      <c r="A138" s="23" t="s">
        <v>127</v>
      </c>
      <c r="B138" s="24"/>
      <c r="C138" s="24"/>
      <c r="D138" s="24"/>
      <c r="E138" s="24"/>
      <c r="F138" s="24"/>
      <c r="G138" s="24"/>
      <c r="H138" s="25"/>
    </row>
    <row r="139" spans="1:8" ht="15" customHeight="1" thickTop="1" x14ac:dyDescent="0.25">
      <c r="A139" s="11" t="s">
        <v>128</v>
      </c>
      <c r="B139" s="6">
        <v>1</v>
      </c>
      <c r="C139" s="16">
        <v>0</v>
      </c>
      <c r="D139" s="5">
        <f t="shared" ref="D139:D153" si="43">B139+C139</f>
        <v>1</v>
      </c>
      <c r="E139" s="6">
        <v>11</v>
      </c>
      <c r="F139" s="16">
        <v>0</v>
      </c>
      <c r="G139" s="5">
        <f t="shared" ref="G139:G153" si="44">E139+F139</f>
        <v>11</v>
      </c>
      <c r="H139" s="7">
        <f t="shared" ref="H139:H154" si="45">G139+D139</f>
        <v>12</v>
      </c>
    </row>
    <row r="140" spans="1:8" ht="15" customHeight="1" x14ac:dyDescent="0.25">
      <c r="A140" s="11" t="s">
        <v>130</v>
      </c>
      <c r="B140" s="6">
        <v>2</v>
      </c>
      <c r="C140" s="16">
        <v>0</v>
      </c>
      <c r="D140" s="5">
        <f t="shared" si="43"/>
        <v>2</v>
      </c>
      <c r="E140" s="6">
        <v>27</v>
      </c>
      <c r="F140" s="16">
        <v>2</v>
      </c>
      <c r="G140" s="5">
        <f t="shared" ref="G140:G152" si="46">E140+F140</f>
        <v>29</v>
      </c>
      <c r="H140" s="7">
        <f t="shared" ref="H140:H152" si="47">G140+D140</f>
        <v>31</v>
      </c>
    </row>
    <row r="141" spans="1:8" ht="15" customHeight="1" x14ac:dyDescent="0.25">
      <c r="A141" s="11" t="s">
        <v>131</v>
      </c>
      <c r="B141" s="6">
        <v>1</v>
      </c>
      <c r="C141" s="16">
        <v>0</v>
      </c>
      <c r="D141" s="5">
        <f t="shared" si="43"/>
        <v>1</v>
      </c>
      <c r="E141" s="6">
        <v>7</v>
      </c>
      <c r="F141" s="16">
        <v>0</v>
      </c>
      <c r="G141" s="5">
        <f t="shared" si="46"/>
        <v>7</v>
      </c>
      <c r="H141" s="7">
        <f t="shared" si="47"/>
        <v>8</v>
      </c>
    </row>
    <row r="142" spans="1:8" ht="15" customHeight="1" x14ac:dyDescent="0.25">
      <c r="A142" s="11" t="s">
        <v>132</v>
      </c>
      <c r="B142" s="6">
        <v>0</v>
      </c>
      <c r="C142" s="16">
        <v>0</v>
      </c>
      <c r="D142" s="5">
        <f t="shared" si="43"/>
        <v>0</v>
      </c>
      <c r="E142" s="6">
        <v>11</v>
      </c>
      <c r="F142" s="16">
        <v>2</v>
      </c>
      <c r="G142" s="5">
        <f t="shared" si="46"/>
        <v>13</v>
      </c>
      <c r="H142" s="7">
        <f t="shared" si="47"/>
        <v>13</v>
      </c>
    </row>
    <row r="143" spans="1:8" ht="15" customHeight="1" x14ac:dyDescent="0.25">
      <c r="A143" s="11" t="s">
        <v>196</v>
      </c>
      <c r="B143" s="6">
        <v>1</v>
      </c>
      <c r="C143" s="16">
        <v>0</v>
      </c>
      <c r="D143" s="5">
        <f t="shared" si="43"/>
        <v>1</v>
      </c>
      <c r="E143" s="6">
        <v>0</v>
      </c>
      <c r="F143" s="16">
        <v>0</v>
      </c>
      <c r="G143" s="5">
        <f t="shared" si="46"/>
        <v>0</v>
      </c>
      <c r="H143" s="7">
        <f t="shared" si="47"/>
        <v>1</v>
      </c>
    </row>
    <row r="144" spans="1:8" ht="15" customHeight="1" x14ac:dyDescent="0.25">
      <c r="A144" s="11" t="s">
        <v>197</v>
      </c>
      <c r="B144" s="6">
        <v>0</v>
      </c>
      <c r="C144" s="16">
        <v>0</v>
      </c>
      <c r="D144" s="5">
        <f t="shared" si="43"/>
        <v>0</v>
      </c>
      <c r="E144" s="6">
        <v>1</v>
      </c>
      <c r="F144" s="16">
        <v>0</v>
      </c>
      <c r="G144" s="5">
        <f t="shared" si="46"/>
        <v>1</v>
      </c>
      <c r="H144" s="7">
        <f t="shared" si="47"/>
        <v>1</v>
      </c>
    </row>
    <row r="145" spans="1:8" ht="15" customHeight="1" x14ac:dyDescent="0.25">
      <c r="A145" s="11" t="s">
        <v>198</v>
      </c>
      <c r="B145" s="6">
        <v>1</v>
      </c>
      <c r="C145" s="16">
        <v>0</v>
      </c>
      <c r="D145" s="5">
        <f t="shared" si="43"/>
        <v>1</v>
      </c>
      <c r="E145" s="6">
        <v>0</v>
      </c>
      <c r="F145" s="16">
        <v>0</v>
      </c>
      <c r="G145" s="5">
        <f t="shared" si="46"/>
        <v>0</v>
      </c>
      <c r="H145" s="7">
        <f t="shared" si="47"/>
        <v>1</v>
      </c>
    </row>
    <row r="146" spans="1:8" ht="15" customHeight="1" x14ac:dyDescent="0.25">
      <c r="A146" s="11" t="s">
        <v>133</v>
      </c>
      <c r="B146" s="6">
        <v>1</v>
      </c>
      <c r="C146" s="16">
        <v>0</v>
      </c>
      <c r="D146" s="5">
        <f t="shared" si="43"/>
        <v>1</v>
      </c>
      <c r="E146" s="6">
        <v>0</v>
      </c>
      <c r="F146" s="16">
        <v>0</v>
      </c>
      <c r="G146" s="5">
        <f t="shared" si="46"/>
        <v>0</v>
      </c>
      <c r="H146" s="7">
        <f t="shared" si="47"/>
        <v>1</v>
      </c>
    </row>
    <row r="147" spans="1:8" ht="15" customHeight="1" x14ac:dyDescent="0.25">
      <c r="A147" s="11" t="s">
        <v>134</v>
      </c>
      <c r="B147" s="6">
        <v>1</v>
      </c>
      <c r="C147" s="16">
        <v>0</v>
      </c>
      <c r="D147" s="5">
        <f t="shared" si="43"/>
        <v>1</v>
      </c>
      <c r="E147" s="6">
        <v>0</v>
      </c>
      <c r="F147" s="16">
        <v>0</v>
      </c>
      <c r="G147" s="5">
        <f t="shared" si="46"/>
        <v>0</v>
      </c>
      <c r="H147" s="7">
        <f t="shared" si="47"/>
        <v>1</v>
      </c>
    </row>
    <row r="148" spans="1:8" ht="15" customHeight="1" x14ac:dyDescent="0.25">
      <c r="A148" s="11" t="s">
        <v>135</v>
      </c>
      <c r="B148" s="6">
        <v>2</v>
      </c>
      <c r="C148" s="16">
        <v>0</v>
      </c>
      <c r="D148" s="5">
        <f t="shared" si="43"/>
        <v>2</v>
      </c>
      <c r="E148" s="6">
        <v>41</v>
      </c>
      <c r="F148" s="16">
        <v>0</v>
      </c>
      <c r="G148" s="5">
        <f t="shared" si="46"/>
        <v>41</v>
      </c>
      <c r="H148" s="7">
        <f t="shared" si="47"/>
        <v>43</v>
      </c>
    </row>
    <row r="149" spans="1:8" ht="15" customHeight="1" x14ac:dyDescent="0.25">
      <c r="A149" s="11" t="s">
        <v>200</v>
      </c>
      <c r="B149" s="6">
        <v>1</v>
      </c>
      <c r="C149" s="16">
        <v>0</v>
      </c>
      <c r="D149" s="5">
        <f t="shared" si="43"/>
        <v>1</v>
      </c>
      <c r="E149" s="6">
        <v>0</v>
      </c>
      <c r="F149" s="16">
        <v>0</v>
      </c>
      <c r="G149" s="5">
        <f t="shared" si="46"/>
        <v>0</v>
      </c>
      <c r="H149" s="7">
        <f t="shared" si="47"/>
        <v>1</v>
      </c>
    </row>
    <row r="150" spans="1:8" ht="15" customHeight="1" x14ac:dyDescent="0.25">
      <c r="A150" s="11" t="s">
        <v>201</v>
      </c>
      <c r="B150" s="6">
        <v>1</v>
      </c>
      <c r="C150" s="16">
        <v>0</v>
      </c>
      <c r="D150" s="5">
        <f t="shared" si="43"/>
        <v>1</v>
      </c>
      <c r="E150" s="6">
        <v>0</v>
      </c>
      <c r="F150" s="16">
        <v>0</v>
      </c>
      <c r="G150" s="5">
        <f t="shared" si="46"/>
        <v>0</v>
      </c>
      <c r="H150" s="7">
        <f t="shared" si="47"/>
        <v>1</v>
      </c>
    </row>
    <row r="151" spans="1:8" ht="15" customHeight="1" x14ac:dyDescent="0.25">
      <c r="A151" s="11" t="s">
        <v>136</v>
      </c>
      <c r="B151" s="6">
        <v>1</v>
      </c>
      <c r="C151" s="16">
        <v>0</v>
      </c>
      <c r="D151" s="5">
        <f t="shared" si="43"/>
        <v>1</v>
      </c>
      <c r="E151" s="6">
        <v>8</v>
      </c>
      <c r="F151" s="16">
        <v>0</v>
      </c>
      <c r="G151" s="5">
        <f t="shared" si="46"/>
        <v>8</v>
      </c>
      <c r="H151" s="7">
        <f t="shared" si="47"/>
        <v>9</v>
      </c>
    </row>
    <row r="152" spans="1:8" ht="15" customHeight="1" x14ac:dyDescent="0.25">
      <c r="A152" s="11" t="s">
        <v>233</v>
      </c>
      <c r="B152" s="6">
        <v>0</v>
      </c>
      <c r="C152" s="16">
        <v>0</v>
      </c>
      <c r="D152" s="5">
        <f t="shared" si="43"/>
        <v>0</v>
      </c>
      <c r="E152" s="6">
        <v>1</v>
      </c>
      <c r="F152" s="16">
        <v>0</v>
      </c>
      <c r="G152" s="5">
        <f t="shared" si="46"/>
        <v>1</v>
      </c>
      <c r="H152" s="7">
        <f t="shared" si="47"/>
        <v>1</v>
      </c>
    </row>
    <row r="153" spans="1:8" ht="15" customHeight="1" thickBot="1" x14ac:dyDescent="0.3">
      <c r="A153" s="11" t="s">
        <v>203</v>
      </c>
      <c r="B153" s="6">
        <v>1</v>
      </c>
      <c r="C153" s="16">
        <v>0</v>
      </c>
      <c r="D153" s="5">
        <f t="shared" si="43"/>
        <v>1</v>
      </c>
      <c r="E153" s="6">
        <v>3</v>
      </c>
      <c r="F153" s="16">
        <v>0</v>
      </c>
      <c r="G153" s="5">
        <f t="shared" si="44"/>
        <v>3</v>
      </c>
      <c r="H153" s="7">
        <f t="shared" si="45"/>
        <v>4</v>
      </c>
    </row>
    <row r="154" spans="1:8" ht="15" customHeight="1" thickTop="1" thickBot="1" x14ac:dyDescent="0.3">
      <c r="A154" s="12" t="s">
        <v>6</v>
      </c>
      <c r="B154" s="14">
        <f>SUM(B139:B153)</f>
        <v>14</v>
      </c>
      <c r="C154" s="14">
        <f t="shared" ref="C154:H154" si="48">SUM(C139:C153)</f>
        <v>0</v>
      </c>
      <c r="D154" s="14">
        <f t="shared" si="48"/>
        <v>14</v>
      </c>
      <c r="E154" s="14">
        <f t="shared" si="48"/>
        <v>110</v>
      </c>
      <c r="F154" s="14">
        <f t="shared" si="48"/>
        <v>4</v>
      </c>
      <c r="G154" s="14">
        <f t="shared" si="48"/>
        <v>114</v>
      </c>
      <c r="H154" s="46">
        <f t="shared" si="48"/>
        <v>128</v>
      </c>
    </row>
    <row r="155" spans="1:8" ht="15" customHeight="1" thickTop="1" thickBot="1" x14ac:dyDescent="0.3">
      <c r="A155" s="23" t="s">
        <v>138</v>
      </c>
      <c r="B155" s="24"/>
      <c r="C155" s="24"/>
      <c r="D155" s="24"/>
      <c r="E155" s="24"/>
      <c r="F155" s="24"/>
      <c r="G155" s="24"/>
      <c r="H155" s="25"/>
    </row>
    <row r="156" spans="1:8" ht="15" customHeight="1" thickTop="1" x14ac:dyDescent="0.25">
      <c r="A156" s="11" t="s">
        <v>139</v>
      </c>
      <c r="B156" s="6">
        <v>14</v>
      </c>
      <c r="C156" s="16">
        <v>1</v>
      </c>
      <c r="D156" s="5">
        <f t="shared" ref="D156:D161" si="49">B156+C156</f>
        <v>15</v>
      </c>
      <c r="E156" s="6">
        <v>9</v>
      </c>
      <c r="F156" s="16">
        <v>1</v>
      </c>
      <c r="G156" s="5">
        <f t="shared" ref="G156:G161" si="50">E156+F156</f>
        <v>10</v>
      </c>
      <c r="H156" s="7">
        <f t="shared" ref="H156:H161" si="51">G156+D156</f>
        <v>25</v>
      </c>
    </row>
    <row r="157" spans="1:8" ht="15" customHeight="1" x14ac:dyDescent="0.25">
      <c r="A157" s="11" t="s">
        <v>140</v>
      </c>
      <c r="B157" s="6">
        <v>0</v>
      </c>
      <c r="C157" s="16">
        <v>0</v>
      </c>
      <c r="D157" s="5">
        <f t="shared" si="49"/>
        <v>0</v>
      </c>
      <c r="E157" s="6">
        <v>1</v>
      </c>
      <c r="F157" s="16">
        <v>0</v>
      </c>
      <c r="G157" s="5">
        <f t="shared" ref="G157:G160" si="52">E157+F157</f>
        <v>1</v>
      </c>
      <c r="H157" s="7">
        <f t="shared" ref="H157:H160" si="53">G157+D157</f>
        <v>1</v>
      </c>
    </row>
    <row r="158" spans="1:8" ht="15" customHeight="1" x14ac:dyDescent="0.25">
      <c r="A158" s="11" t="s">
        <v>141</v>
      </c>
      <c r="B158" s="6">
        <v>0</v>
      </c>
      <c r="C158" s="16">
        <v>0</v>
      </c>
      <c r="D158" s="5">
        <f t="shared" si="49"/>
        <v>0</v>
      </c>
      <c r="E158" s="6">
        <v>3</v>
      </c>
      <c r="F158" s="16">
        <v>1</v>
      </c>
      <c r="G158" s="5">
        <f t="shared" si="52"/>
        <v>4</v>
      </c>
      <c r="H158" s="7">
        <f t="shared" si="53"/>
        <v>4</v>
      </c>
    </row>
    <row r="159" spans="1:8" ht="15" customHeight="1" x14ac:dyDescent="0.25">
      <c r="A159" s="11" t="s">
        <v>78</v>
      </c>
      <c r="B159" s="6">
        <v>0</v>
      </c>
      <c r="C159" s="16">
        <v>0</v>
      </c>
      <c r="D159" s="5">
        <f t="shared" si="49"/>
        <v>0</v>
      </c>
      <c r="E159" s="6">
        <v>1</v>
      </c>
      <c r="F159" s="16">
        <v>0</v>
      </c>
      <c r="G159" s="5">
        <f t="shared" si="52"/>
        <v>1</v>
      </c>
      <c r="H159" s="7">
        <f t="shared" si="53"/>
        <v>1</v>
      </c>
    </row>
    <row r="160" spans="1:8" ht="15" customHeight="1" x14ac:dyDescent="0.25">
      <c r="A160" s="11" t="s">
        <v>239</v>
      </c>
      <c r="B160" s="6">
        <v>0</v>
      </c>
      <c r="C160" s="16">
        <v>0</v>
      </c>
      <c r="D160" s="5">
        <f t="shared" si="49"/>
        <v>0</v>
      </c>
      <c r="E160" s="6">
        <v>1</v>
      </c>
      <c r="F160" s="16">
        <v>0</v>
      </c>
      <c r="G160" s="5">
        <f t="shared" si="52"/>
        <v>1</v>
      </c>
      <c r="H160" s="7">
        <f t="shared" si="53"/>
        <v>1</v>
      </c>
    </row>
    <row r="161" spans="1:8" ht="15" customHeight="1" thickBot="1" x14ac:dyDescent="0.3">
      <c r="A161" s="11" t="s">
        <v>240</v>
      </c>
      <c r="B161" s="6">
        <v>1</v>
      </c>
      <c r="C161" s="16">
        <v>0</v>
      </c>
      <c r="D161" s="5">
        <f t="shared" si="49"/>
        <v>1</v>
      </c>
      <c r="E161" s="6">
        <v>0</v>
      </c>
      <c r="F161" s="16">
        <v>0</v>
      </c>
      <c r="G161" s="5">
        <f t="shared" si="50"/>
        <v>0</v>
      </c>
      <c r="H161" s="7">
        <f t="shared" si="51"/>
        <v>1</v>
      </c>
    </row>
    <row r="162" spans="1:8" ht="15" customHeight="1" thickTop="1" thickBot="1" x14ac:dyDescent="0.3">
      <c r="A162" s="12" t="s">
        <v>6</v>
      </c>
      <c r="B162" s="13">
        <f t="shared" ref="B162:H162" si="54">SUM(B156:B161)</f>
        <v>15</v>
      </c>
      <c r="C162" s="13">
        <f t="shared" si="54"/>
        <v>1</v>
      </c>
      <c r="D162" s="13">
        <f t="shared" si="54"/>
        <v>16</v>
      </c>
      <c r="E162" s="13">
        <f t="shared" si="54"/>
        <v>15</v>
      </c>
      <c r="F162" s="13">
        <f t="shared" si="54"/>
        <v>2</v>
      </c>
      <c r="G162" s="13">
        <f t="shared" si="54"/>
        <v>17</v>
      </c>
      <c r="H162" s="15">
        <f t="shared" si="54"/>
        <v>33</v>
      </c>
    </row>
    <row r="163" spans="1:8" ht="15" customHeight="1" thickTop="1" thickBot="1" x14ac:dyDescent="0.3">
      <c r="A163" s="23" t="s">
        <v>146</v>
      </c>
      <c r="B163" s="24"/>
      <c r="C163" s="24"/>
      <c r="D163" s="24"/>
      <c r="E163" s="24"/>
      <c r="F163" s="24"/>
      <c r="G163" s="24"/>
      <c r="H163" s="25"/>
    </row>
    <row r="164" spans="1:8" ht="15" customHeight="1" thickTop="1" x14ac:dyDescent="0.25">
      <c r="A164" s="11" t="s">
        <v>206</v>
      </c>
      <c r="B164" s="6">
        <v>6</v>
      </c>
      <c r="C164" s="16">
        <v>0</v>
      </c>
      <c r="D164" s="5">
        <f t="shared" ref="D164:D165" si="55">B164+C164</f>
        <v>6</v>
      </c>
      <c r="E164" s="6">
        <v>5</v>
      </c>
      <c r="F164" s="16">
        <v>0</v>
      </c>
      <c r="G164" s="5">
        <f t="shared" ref="G164:G165" si="56">E164+F164</f>
        <v>5</v>
      </c>
      <c r="H164" s="7">
        <f t="shared" ref="H164:H165" si="57">G164+D164</f>
        <v>11</v>
      </c>
    </row>
    <row r="165" spans="1:8" ht="15" customHeight="1" thickBot="1" x14ac:dyDescent="0.3">
      <c r="A165" s="11" t="s">
        <v>205</v>
      </c>
      <c r="B165" s="6">
        <v>0</v>
      </c>
      <c r="C165" s="16">
        <v>0</v>
      </c>
      <c r="D165" s="5">
        <f t="shared" si="55"/>
        <v>0</v>
      </c>
      <c r="E165" s="6">
        <v>0</v>
      </c>
      <c r="F165" s="16">
        <v>0</v>
      </c>
      <c r="G165" s="5">
        <f t="shared" si="56"/>
        <v>0</v>
      </c>
      <c r="H165" s="7">
        <f t="shared" si="57"/>
        <v>0</v>
      </c>
    </row>
    <row r="166" spans="1:8" ht="15" customHeight="1" thickTop="1" thickBot="1" x14ac:dyDescent="0.3">
      <c r="A166" s="12" t="s">
        <v>6</v>
      </c>
      <c r="B166" s="13">
        <f>SUM(B164:B165)</f>
        <v>6</v>
      </c>
      <c r="C166" s="13">
        <f t="shared" ref="C166:H166" si="58">SUM(C164:C165)</f>
        <v>0</v>
      </c>
      <c r="D166" s="13">
        <f t="shared" si="58"/>
        <v>6</v>
      </c>
      <c r="E166" s="13">
        <f t="shared" si="58"/>
        <v>5</v>
      </c>
      <c r="F166" s="13">
        <f t="shared" si="58"/>
        <v>0</v>
      </c>
      <c r="G166" s="13">
        <f t="shared" si="58"/>
        <v>5</v>
      </c>
      <c r="H166" s="15">
        <f t="shared" si="58"/>
        <v>11</v>
      </c>
    </row>
    <row r="167" spans="1:8" ht="15" customHeight="1" thickTop="1" thickBot="1" x14ac:dyDescent="0.3">
      <c r="A167" s="23"/>
      <c r="B167" s="24"/>
      <c r="C167" s="24"/>
      <c r="D167" s="24"/>
      <c r="E167" s="24"/>
      <c r="F167" s="24"/>
      <c r="G167" s="24"/>
      <c r="H167" s="25"/>
    </row>
    <row r="168" spans="1:8" ht="15" customHeight="1" thickTop="1" thickBot="1" x14ac:dyDescent="0.3">
      <c r="A168" s="43" t="s">
        <v>0</v>
      </c>
      <c r="B168" s="44">
        <f>B23+B48+B62+B87+B118+B122+B137+B154+B162+B166</f>
        <v>2178</v>
      </c>
      <c r="C168" s="44">
        <f t="shared" ref="C168:H168" si="59">C23+C48+C62+C87+C118+C122+C137+C154+C162+C166</f>
        <v>34</v>
      </c>
      <c r="D168" s="44">
        <f t="shared" si="59"/>
        <v>2212</v>
      </c>
      <c r="E168" s="44">
        <f t="shared" si="59"/>
        <v>1924</v>
      </c>
      <c r="F168" s="44">
        <f t="shared" si="59"/>
        <v>218</v>
      </c>
      <c r="G168" s="44">
        <f t="shared" si="59"/>
        <v>2142</v>
      </c>
      <c r="H168" s="45">
        <f t="shared" si="59"/>
        <v>4354</v>
      </c>
    </row>
    <row r="170" spans="1:8" ht="15" customHeight="1" x14ac:dyDescent="0.25">
      <c r="A170" s="47" t="s">
        <v>147</v>
      </c>
      <c r="B170" s="47"/>
      <c r="C170" s="47"/>
      <c r="D170" s="47"/>
      <c r="E170" s="47"/>
      <c r="F170" s="47"/>
      <c r="G170" s="47"/>
      <c r="H170" s="47"/>
    </row>
    <row r="171" spans="1:8" ht="15" customHeight="1" x14ac:dyDescent="0.25">
      <c r="A171" s="47" t="s">
        <v>218</v>
      </c>
      <c r="B171" s="47"/>
      <c r="C171" s="47"/>
      <c r="D171" s="47"/>
      <c r="E171" s="47"/>
      <c r="F171" s="47"/>
      <c r="G171" s="47"/>
      <c r="H171" s="47"/>
    </row>
    <row r="175" spans="1:8" ht="25.5" customHeight="1" x14ac:dyDescent="0.25"/>
    <row r="176" spans="1:8" ht="25.5" customHeight="1" x14ac:dyDescent="0.25"/>
  </sheetData>
  <mergeCells count="18">
    <mergeCell ref="A167:H167"/>
    <mergeCell ref="A170:H170"/>
    <mergeCell ref="A171:H171"/>
    <mergeCell ref="H5:H6"/>
    <mergeCell ref="A2:H2"/>
    <mergeCell ref="B5:D5"/>
    <mergeCell ref="E5:G5"/>
    <mergeCell ref="A7:H7"/>
    <mergeCell ref="A24:H24"/>
    <mergeCell ref="A163:H163"/>
    <mergeCell ref="A5:A6"/>
    <mergeCell ref="A63:H63"/>
    <mergeCell ref="A88:H88"/>
    <mergeCell ref="A119:H119"/>
    <mergeCell ref="A123:H123"/>
    <mergeCell ref="A138:H138"/>
    <mergeCell ref="A155:H155"/>
    <mergeCell ref="A49:H49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&amp;A&amp;RPage &amp;P of &amp;N</oddFooter>
  </headerFooter>
  <rowBreaks count="1" manualBreakCount="1">
    <brk id="48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6"/>
  <sheetViews>
    <sheetView view="pageLayout" topLeftCell="A165" zoomScaleNormal="85" workbookViewId="0">
      <selection activeCell="A178" sqref="A178"/>
    </sheetView>
  </sheetViews>
  <sheetFormatPr defaultRowHeight="15" customHeight="1" x14ac:dyDescent="0.25"/>
  <cols>
    <col min="1" max="1" width="27.42578125" bestFit="1" customWidth="1"/>
    <col min="2" max="8" width="6" customWidth="1"/>
    <col min="9" max="11" width="5.5703125" customWidth="1"/>
  </cols>
  <sheetData>
    <row r="1" spans="1:9" ht="15" customHeight="1" x14ac:dyDescent="0.25">
      <c r="A1" s="1" t="s">
        <v>7</v>
      </c>
      <c r="B1" s="3"/>
    </row>
    <row r="2" spans="1:9" ht="15" customHeight="1" x14ac:dyDescent="0.25">
      <c r="A2" s="31" t="s">
        <v>8</v>
      </c>
      <c r="B2" s="31"/>
      <c r="C2" s="31"/>
      <c r="D2" s="31"/>
      <c r="E2" s="31"/>
      <c r="F2" s="31"/>
      <c r="G2" s="31"/>
      <c r="H2" s="31"/>
    </row>
    <row r="3" spans="1:9" ht="15" customHeight="1" x14ac:dyDescent="0.25">
      <c r="A3" s="2" t="str">
        <f ca="1">RIGHT(CELL("filename",A1),LEN(CELL("filename",A1))-FIND("]",CELL("filename",A1)))</f>
        <v>2000-01</v>
      </c>
      <c r="B3" s="3"/>
    </row>
    <row r="4" spans="1:9" ht="15" customHeight="1" thickBot="1" x14ac:dyDescent="0.3">
      <c r="A4" s="3"/>
      <c r="B4" s="3"/>
    </row>
    <row r="5" spans="1:9" ht="15" customHeight="1" x14ac:dyDescent="0.25">
      <c r="A5" s="29" t="s">
        <v>3</v>
      </c>
      <c r="B5" s="26" t="s">
        <v>1</v>
      </c>
      <c r="C5" s="27"/>
      <c r="D5" s="27"/>
      <c r="E5" s="26" t="s">
        <v>2</v>
      </c>
      <c r="F5" s="27"/>
      <c r="G5" s="27"/>
      <c r="H5" s="62" t="s">
        <v>0</v>
      </c>
    </row>
    <row r="6" spans="1:9" ht="15" customHeight="1" x14ac:dyDescent="0.25">
      <c r="A6" s="30"/>
      <c r="B6" s="59" t="s">
        <v>4</v>
      </c>
      <c r="C6" s="60" t="s">
        <v>5</v>
      </c>
      <c r="D6" s="61" t="s">
        <v>0</v>
      </c>
      <c r="E6" s="59" t="s">
        <v>4</v>
      </c>
      <c r="F6" s="60" t="s">
        <v>5</v>
      </c>
      <c r="G6" s="61" t="s">
        <v>0</v>
      </c>
      <c r="H6" s="63"/>
      <c r="I6" s="22"/>
    </row>
    <row r="7" spans="1:9" ht="15" customHeight="1" thickBot="1" x14ac:dyDescent="0.3">
      <c r="A7" s="32" t="s">
        <v>9</v>
      </c>
      <c r="B7" s="33"/>
      <c r="C7" s="33"/>
      <c r="D7" s="33"/>
      <c r="E7" s="33"/>
      <c r="F7" s="33"/>
      <c r="G7" s="33"/>
      <c r="H7" s="34"/>
    </row>
    <row r="8" spans="1:9" ht="15" customHeight="1" thickTop="1" x14ac:dyDescent="0.25">
      <c r="A8" s="11" t="s">
        <v>10</v>
      </c>
      <c r="B8" s="6">
        <v>21</v>
      </c>
      <c r="C8" s="4">
        <v>2</v>
      </c>
      <c r="D8" s="5">
        <f t="shared" ref="D8:D21" si="0">B8+C8</f>
        <v>23</v>
      </c>
      <c r="E8" s="6">
        <v>17</v>
      </c>
      <c r="F8" s="4">
        <v>0</v>
      </c>
      <c r="G8" s="5">
        <f t="shared" ref="G8:G21" si="1">E8+F8</f>
        <v>17</v>
      </c>
      <c r="H8" s="7">
        <f t="shared" ref="H8:H21" si="2">G8+D8</f>
        <v>40</v>
      </c>
    </row>
    <row r="9" spans="1:9" ht="15" customHeight="1" x14ac:dyDescent="0.25">
      <c r="A9" s="11" t="s">
        <v>11</v>
      </c>
      <c r="B9" s="6">
        <v>17</v>
      </c>
      <c r="C9" s="4">
        <v>1</v>
      </c>
      <c r="D9" s="5">
        <f t="shared" si="0"/>
        <v>18</v>
      </c>
      <c r="E9" s="6">
        <v>26</v>
      </c>
      <c r="F9" s="4">
        <v>1</v>
      </c>
      <c r="G9" s="5">
        <f t="shared" si="1"/>
        <v>27</v>
      </c>
      <c r="H9" s="7">
        <f t="shared" si="2"/>
        <v>45</v>
      </c>
    </row>
    <row r="10" spans="1:9" ht="15" customHeight="1" x14ac:dyDescent="0.25">
      <c r="A10" s="11" t="s">
        <v>12</v>
      </c>
      <c r="B10" s="6">
        <v>26</v>
      </c>
      <c r="C10" s="4">
        <v>1</v>
      </c>
      <c r="D10" s="5">
        <f t="shared" si="0"/>
        <v>27</v>
      </c>
      <c r="E10" s="6">
        <v>44</v>
      </c>
      <c r="F10" s="4">
        <v>0</v>
      </c>
      <c r="G10" s="5">
        <f t="shared" si="1"/>
        <v>44</v>
      </c>
      <c r="H10" s="7">
        <f t="shared" si="2"/>
        <v>71</v>
      </c>
    </row>
    <row r="11" spans="1:9" ht="15" customHeight="1" x14ac:dyDescent="0.25">
      <c r="A11" s="11" t="s">
        <v>13</v>
      </c>
      <c r="B11" s="6">
        <v>51</v>
      </c>
      <c r="C11" s="4">
        <v>0</v>
      </c>
      <c r="D11" s="5">
        <f t="shared" si="0"/>
        <v>51</v>
      </c>
      <c r="E11" s="6">
        <v>102</v>
      </c>
      <c r="F11" s="4">
        <v>1</v>
      </c>
      <c r="G11" s="5">
        <f t="shared" si="1"/>
        <v>103</v>
      </c>
      <c r="H11" s="7">
        <f t="shared" si="2"/>
        <v>154</v>
      </c>
    </row>
    <row r="12" spans="1:9" ht="15" customHeight="1" x14ac:dyDescent="0.25">
      <c r="A12" s="11" t="s">
        <v>14</v>
      </c>
      <c r="B12" s="6">
        <v>33</v>
      </c>
      <c r="C12" s="4">
        <v>0</v>
      </c>
      <c r="D12" s="5">
        <f t="shared" si="0"/>
        <v>33</v>
      </c>
      <c r="E12" s="6">
        <v>13</v>
      </c>
      <c r="F12" s="4">
        <v>1</v>
      </c>
      <c r="G12" s="5">
        <f t="shared" si="1"/>
        <v>14</v>
      </c>
      <c r="H12" s="7">
        <f t="shared" si="2"/>
        <v>47</v>
      </c>
    </row>
    <row r="13" spans="1:9" ht="15" customHeight="1" x14ac:dyDescent="0.25">
      <c r="A13" s="11" t="s">
        <v>15</v>
      </c>
      <c r="B13" s="6">
        <v>125</v>
      </c>
      <c r="C13" s="4">
        <v>1</v>
      </c>
      <c r="D13" s="5">
        <f t="shared" si="0"/>
        <v>126</v>
      </c>
      <c r="E13" s="6">
        <v>81</v>
      </c>
      <c r="F13" s="4">
        <v>1</v>
      </c>
      <c r="G13" s="5">
        <f t="shared" si="1"/>
        <v>82</v>
      </c>
      <c r="H13" s="7">
        <f t="shared" si="2"/>
        <v>208</v>
      </c>
    </row>
    <row r="14" spans="1:9" ht="15" customHeight="1" x14ac:dyDescent="0.25">
      <c r="A14" s="11" t="s">
        <v>16</v>
      </c>
      <c r="B14" s="6">
        <v>174</v>
      </c>
      <c r="C14" s="4">
        <v>3</v>
      </c>
      <c r="D14" s="5">
        <f t="shared" si="0"/>
        <v>177</v>
      </c>
      <c r="E14" s="6">
        <v>186</v>
      </c>
      <c r="F14" s="4">
        <v>6</v>
      </c>
      <c r="G14" s="5">
        <f t="shared" si="1"/>
        <v>192</v>
      </c>
      <c r="H14" s="7">
        <f t="shared" si="2"/>
        <v>369</v>
      </c>
    </row>
    <row r="15" spans="1:9" ht="15" customHeight="1" x14ac:dyDescent="0.25">
      <c r="A15" s="11" t="s">
        <v>17</v>
      </c>
      <c r="B15" s="6">
        <v>139</v>
      </c>
      <c r="C15" s="4">
        <v>1</v>
      </c>
      <c r="D15" s="5">
        <f t="shared" si="0"/>
        <v>140</v>
      </c>
      <c r="E15" s="6">
        <v>322</v>
      </c>
      <c r="F15" s="4">
        <v>2</v>
      </c>
      <c r="G15" s="5">
        <f t="shared" si="1"/>
        <v>324</v>
      </c>
      <c r="H15" s="7">
        <f t="shared" si="2"/>
        <v>464</v>
      </c>
    </row>
    <row r="16" spans="1:9" ht="15" customHeight="1" x14ac:dyDescent="0.25">
      <c r="A16" s="11" t="s">
        <v>18</v>
      </c>
      <c r="B16" s="6">
        <v>137</v>
      </c>
      <c r="C16" s="4">
        <v>1</v>
      </c>
      <c r="D16" s="5">
        <f t="shared" si="0"/>
        <v>138</v>
      </c>
      <c r="E16" s="6">
        <v>162</v>
      </c>
      <c r="F16" s="4">
        <v>3</v>
      </c>
      <c r="G16" s="5">
        <f t="shared" si="1"/>
        <v>165</v>
      </c>
      <c r="H16" s="7">
        <f t="shared" si="2"/>
        <v>303</v>
      </c>
    </row>
    <row r="17" spans="1:8" ht="15" customHeight="1" x14ac:dyDescent="0.25">
      <c r="A17" s="11" t="s">
        <v>19</v>
      </c>
      <c r="B17" s="6">
        <v>6</v>
      </c>
      <c r="C17" s="4">
        <v>0</v>
      </c>
      <c r="D17" s="5">
        <f t="shared" si="0"/>
        <v>6</v>
      </c>
      <c r="E17" s="6">
        <v>3</v>
      </c>
      <c r="F17" s="4">
        <v>0</v>
      </c>
      <c r="G17" s="5">
        <f t="shared" si="1"/>
        <v>3</v>
      </c>
      <c r="H17" s="7">
        <f t="shared" si="2"/>
        <v>9</v>
      </c>
    </row>
    <row r="18" spans="1:8" ht="15" customHeight="1" x14ac:dyDescent="0.25">
      <c r="A18" s="11" t="s">
        <v>20</v>
      </c>
      <c r="B18" s="6">
        <v>31</v>
      </c>
      <c r="C18" s="4">
        <v>1</v>
      </c>
      <c r="D18" s="5">
        <f t="shared" si="0"/>
        <v>32</v>
      </c>
      <c r="E18" s="6">
        <v>23</v>
      </c>
      <c r="F18" s="4">
        <v>1</v>
      </c>
      <c r="G18" s="5">
        <f t="shared" si="1"/>
        <v>24</v>
      </c>
      <c r="H18" s="7">
        <f t="shared" si="2"/>
        <v>56</v>
      </c>
    </row>
    <row r="19" spans="1:8" ht="15" customHeight="1" x14ac:dyDescent="0.25">
      <c r="A19" s="11" t="s">
        <v>21</v>
      </c>
      <c r="B19" s="6">
        <v>17</v>
      </c>
      <c r="C19" s="4">
        <v>5</v>
      </c>
      <c r="D19" s="5">
        <f t="shared" si="0"/>
        <v>22</v>
      </c>
      <c r="E19" s="6">
        <v>52</v>
      </c>
      <c r="F19" s="4">
        <v>2</v>
      </c>
      <c r="G19" s="5">
        <f t="shared" si="1"/>
        <v>54</v>
      </c>
      <c r="H19" s="7">
        <f t="shared" si="2"/>
        <v>76</v>
      </c>
    </row>
    <row r="20" spans="1:8" ht="15" customHeight="1" x14ac:dyDescent="0.25">
      <c r="A20" s="11" t="s">
        <v>22</v>
      </c>
      <c r="B20" s="6">
        <v>48</v>
      </c>
      <c r="C20" s="4">
        <v>1</v>
      </c>
      <c r="D20" s="5">
        <f t="shared" si="0"/>
        <v>49</v>
      </c>
      <c r="E20" s="6">
        <v>72</v>
      </c>
      <c r="F20" s="4">
        <v>0</v>
      </c>
      <c r="G20" s="5">
        <f t="shared" si="1"/>
        <v>72</v>
      </c>
      <c r="H20" s="7">
        <f t="shared" si="2"/>
        <v>121</v>
      </c>
    </row>
    <row r="21" spans="1:8" ht="15" customHeight="1" thickBot="1" x14ac:dyDescent="0.3">
      <c r="A21" s="11" t="s">
        <v>23</v>
      </c>
      <c r="B21" s="8">
        <v>88</v>
      </c>
      <c r="C21" s="9">
        <v>1</v>
      </c>
      <c r="D21" s="10">
        <f t="shared" si="0"/>
        <v>89</v>
      </c>
      <c r="E21" s="8">
        <v>29</v>
      </c>
      <c r="F21" s="9">
        <v>1</v>
      </c>
      <c r="G21" s="5">
        <f t="shared" si="1"/>
        <v>30</v>
      </c>
      <c r="H21" s="7">
        <f t="shared" si="2"/>
        <v>119</v>
      </c>
    </row>
    <row r="22" spans="1:8" ht="15" customHeight="1" thickTop="1" thickBot="1" x14ac:dyDescent="0.3">
      <c r="A22" s="12" t="s">
        <v>6</v>
      </c>
      <c r="B22" s="13">
        <f t="shared" ref="B22:H22" si="3">SUM(B8:B21)</f>
        <v>913</v>
      </c>
      <c r="C22" s="13">
        <f t="shared" si="3"/>
        <v>18</v>
      </c>
      <c r="D22" s="13">
        <f t="shared" si="3"/>
        <v>931</v>
      </c>
      <c r="E22" s="13">
        <f t="shared" si="3"/>
        <v>1132</v>
      </c>
      <c r="F22" s="13">
        <f t="shared" si="3"/>
        <v>19</v>
      </c>
      <c r="G22" s="13">
        <f t="shared" si="3"/>
        <v>1151</v>
      </c>
      <c r="H22" s="15">
        <f t="shared" si="3"/>
        <v>2082</v>
      </c>
    </row>
    <row r="23" spans="1:8" ht="15" customHeight="1" thickTop="1" thickBot="1" x14ac:dyDescent="0.3">
      <c r="A23" s="23" t="s">
        <v>24</v>
      </c>
      <c r="B23" s="24"/>
      <c r="C23" s="24"/>
      <c r="D23" s="24"/>
      <c r="E23" s="24"/>
      <c r="F23" s="24"/>
      <c r="G23" s="24"/>
      <c r="H23" s="25"/>
    </row>
    <row r="24" spans="1:8" ht="15" customHeight="1" thickTop="1" x14ac:dyDescent="0.25">
      <c r="A24" s="11" t="s">
        <v>25</v>
      </c>
      <c r="B24" s="6">
        <v>3</v>
      </c>
      <c r="C24" s="16">
        <v>0</v>
      </c>
      <c r="D24" s="5">
        <f t="shared" ref="D24:D49" si="4">B24+C24</f>
        <v>3</v>
      </c>
      <c r="E24" s="6">
        <v>1</v>
      </c>
      <c r="F24" s="16">
        <v>1</v>
      </c>
      <c r="G24" s="5">
        <f t="shared" ref="G24:G50" si="5">E24+F24</f>
        <v>2</v>
      </c>
      <c r="H24" s="7">
        <f t="shared" ref="H24:H50" si="6">G24+D24</f>
        <v>5</v>
      </c>
    </row>
    <row r="25" spans="1:8" ht="15" customHeight="1" x14ac:dyDescent="0.25">
      <c r="A25" s="11" t="s">
        <v>26</v>
      </c>
      <c r="B25" s="6">
        <v>0</v>
      </c>
      <c r="C25" s="16">
        <v>0</v>
      </c>
      <c r="D25" s="5">
        <f t="shared" si="4"/>
        <v>0</v>
      </c>
      <c r="E25" s="6">
        <v>1</v>
      </c>
      <c r="F25" s="16">
        <v>1</v>
      </c>
      <c r="G25" s="5">
        <f t="shared" si="5"/>
        <v>2</v>
      </c>
      <c r="H25" s="7">
        <f t="shared" si="6"/>
        <v>2</v>
      </c>
    </row>
    <row r="26" spans="1:8" ht="15" customHeight="1" x14ac:dyDescent="0.25">
      <c r="A26" s="11" t="s">
        <v>148</v>
      </c>
      <c r="B26" s="6">
        <v>1</v>
      </c>
      <c r="C26" s="16">
        <v>1</v>
      </c>
      <c r="D26" s="5">
        <f t="shared" si="4"/>
        <v>2</v>
      </c>
      <c r="E26" s="6">
        <v>0</v>
      </c>
      <c r="F26" s="16">
        <v>0</v>
      </c>
      <c r="G26" s="5">
        <f t="shared" si="5"/>
        <v>0</v>
      </c>
      <c r="H26" s="7">
        <f t="shared" si="6"/>
        <v>2</v>
      </c>
    </row>
    <row r="27" spans="1:8" ht="15" customHeight="1" x14ac:dyDescent="0.25">
      <c r="A27" s="11" t="s">
        <v>27</v>
      </c>
      <c r="B27" s="6">
        <v>14</v>
      </c>
      <c r="C27" s="16">
        <v>1</v>
      </c>
      <c r="D27" s="5">
        <f t="shared" si="4"/>
        <v>15</v>
      </c>
      <c r="E27" s="6">
        <v>4</v>
      </c>
      <c r="F27" s="16">
        <v>0</v>
      </c>
      <c r="G27" s="5">
        <f t="shared" si="5"/>
        <v>4</v>
      </c>
      <c r="H27" s="7">
        <f t="shared" si="6"/>
        <v>19</v>
      </c>
    </row>
    <row r="28" spans="1:8" ht="15" customHeight="1" x14ac:dyDescent="0.25">
      <c r="A28" s="11" t="s">
        <v>28</v>
      </c>
      <c r="B28" s="6">
        <v>3</v>
      </c>
      <c r="C28" s="16">
        <v>4</v>
      </c>
      <c r="D28" s="5">
        <f t="shared" si="4"/>
        <v>7</v>
      </c>
      <c r="E28" s="6">
        <v>0</v>
      </c>
      <c r="F28" s="16">
        <v>6</v>
      </c>
      <c r="G28" s="5">
        <f t="shared" si="5"/>
        <v>6</v>
      </c>
      <c r="H28" s="7">
        <f t="shared" si="6"/>
        <v>13</v>
      </c>
    </row>
    <row r="29" spans="1:8" ht="15" customHeight="1" x14ac:dyDescent="0.25">
      <c r="A29" s="11" t="s">
        <v>29</v>
      </c>
      <c r="B29" s="6">
        <v>3</v>
      </c>
      <c r="C29" s="16">
        <v>3</v>
      </c>
      <c r="D29" s="5">
        <f t="shared" si="4"/>
        <v>6</v>
      </c>
      <c r="E29" s="6">
        <v>1</v>
      </c>
      <c r="F29" s="16">
        <v>3</v>
      </c>
      <c r="G29" s="5">
        <f t="shared" si="5"/>
        <v>4</v>
      </c>
      <c r="H29" s="7">
        <f t="shared" si="6"/>
        <v>10</v>
      </c>
    </row>
    <row r="30" spans="1:8" ht="15" customHeight="1" x14ac:dyDescent="0.25">
      <c r="A30" s="11" t="s">
        <v>30</v>
      </c>
      <c r="B30" s="6">
        <v>1</v>
      </c>
      <c r="C30" s="16">
        <v>44</v>
      </c>
      <c r="D30" s="5">
        <f t="shared" si="4"/>
        <v>45</v>
      </c>
      <c r="E30" s="6">
        <v>1</v>
      </c>
      <c r="F30" s="16">
        <v>17</v>
      </c>
      <c r="G30" s="5">
        <f t="shared" si="5"/>
        <v>18</v>
      </c>
      <c r="H30" s="7">
        <f t="shared" si="6"/>
        <v>63</v>
      </c>
    </row>
    <row r="31" spans="1:8" ht="15" customHeight="1" x14ac:dyDescent="0.25">
      <c r="A31" s="11" t="s">
        <v>31</v>
      </c>
      <c r="B31" s="6">
        <v>5</v>
      </c>
      <c r="C31" s="16">
        <v>3</v>
      </c>
      <c r="D31" s="5">
        <f t="shared" si="4"/>
        <v>8</v>
      </c>
      <c r="E31" s="6">
        <v>0</v>
      </c>
      <c r="F31" s="16">
        <v>2</v>
      </c>
      <c r="G31" s="5">
        <f t="shared" si="5"/>
        <v>2</v>
      </c>
      <c r="H31" s="7">
        <f t="shared" si="6"/>
        <v>10</v>
      </c>
    </row>
    <row r="32" spans="1:8" ht="15" customHeight="1" x14ac:dyDescent="0.25">
      <c r="A32" s="11" t="s">
        <v>33</v>
      </c>
      <c r="B32" s="6">
        <v>0</v>
      </c>
      <c r="C32" s="16">
        <v>1</v>
      </c>
      <c r="D32" s="5">
        <f t="shared" si="4"/>
        <v>1</v>
      </c>
      <c r="E32" s="6">
        <v>0</v>
      </c>
      <c r="F32" s="16">
        <v>5</v>
      </c>
      <c r="G32" s="5">
        <f t="shared" si="5"/>
        <v>5</v>
      </c>
      <c r="H32" s="7">
        <f t="shared" si="6"/>
        <v>6</v>
      </c>
    </row>
    <row r="33" spans="1:8" ht="15" customHeight="1" x14ac:dyDescent="0.25">
      <c r="A33" s="11" t="s">
        <v>163</v>
      </c>
      <c r="B33" s="6">
        <v>2</v>
      </c>
      <c r="C33" s="16">
        <v>1</v>
      </c>
      <c r="D33" s="5">
        <f t="shared" si="4"/>
        <v>3</v>
      </c>
      <c r="E33" s="6">
        <v>0</v>
      </c>
      <c r="F33" s="16">
        <v>1</v>
      </c>
      <c r="G33" s="5">
        <f t="shared" si="5"/>
        <v>1</v>
      </c>
      <c r="H33" s="7">
        <f t="shared" si="6"/>
        <v>4</v>
      </c>
    </row>
    <row r="34" spans="1:8" ht="15" customHeight="1" x14ac:dyDescent="0.25">
      <c r="A34" s="11" t="s">
        <v>34</v>
      </c>
      <c r="B34" s="6">
        <v>3</v>
      </c>
      <c r="C34" s="16">
        <v>3</v>
      </c>
      <c r="D34" s="5">
        <f t="shared" si="4"/>
        <v>6</v>
      </c>
      <c r="E34" s="6">
        <v>0</v>
      </c>
      <c r="F34" s="16">
        <v>5</v>
      </c>
      <c r="G34" s="5">
        <f t="shared" si="5"/>
        <v>5</v>
      </c>
      <c r="H34" s="7">
        <f t="shared" si="6"/>
        <v>11</v>
      </c>
    </row>
    <row r="35" spans="1:8" ht="15" customHeight="1" x14ac:dyDescent="0.25">
      <c r="A35" s="11" t="s">
        <v>35</v>
      </c>
      <c r="B35" s="6">
        <v>2</v>
      </c>
      <c r="C35" s="16">
        <v>0</v>
      </c>
      <c r="D35" s="5">
        <f t="shared" si="4"/>
        <v>2</v>
      </c>
      <c r="E35" s="6">
        <v>2</v>
      </c>
      <c r="F35" s="16">
        <v>5</v>
      </c>
      <c r="G35" s="5">
        <f t="shared" si="5"/>
        <v>7</v>
      </c>
      <c r="H35" s="7">
        <f t="shared" si="6"/>
        <v>9</v>
      </c>
    </row>
    <row r="36" spans="1:8" ht="15" customHeight="1" x14ac:dyDescent="0.25">
      <c r="A36" s="11" t="s">
        <v>36</v>
      </c>
      <c r="B36" s="6">
        <v>0</v>
      </c>
      <c r="C36" s="16">
        <v>0</v>
      </c>
      <c r="D36" s="5">
        <f t="shared" si="4"/>
        <v>0</v>
      </c>
      <c r="E36" s="6">
        <v>0</v>
      </c>
      <c r="F36" s="16">
        <v>1</v>
      </c>
      <c r="G36" s="5">
        <f t="shared" si="5"/>
        <v>1</v>
      </c>
      <c r="H36" s="7">
        <f t="shared" si="6"/>
        <v>1</v>
      </c>
    </row>
    <row r="37" spans="1:8" ht="15" customHeight="1" x14ac:dyDescent="0.25">
      <c r="A37" s="11" t="s">
        <v>149</v>
      </c>
      <c r="B37" s="6">
        <v>0</v>
      </c>
      <c r="C37" s="16">
        <v>1</v>
      </c>
      <c r="D37" s="5">
        <f t="shared" si="4"/>
        <v>1</v>
      </c>
      <c r="E37" s="6">
        <v>0</v>
      </c>
      <c r="F37" s="16">
        <v>2</v>
      </c>
      <c r="G37" s="5">
        <f t="shared" si="5"/>
        <v>2</v>
      </c>
      <c r="H37" s="7">
        <f t="shared" si="6"/>
        <v>3</v>
      </c>
    </row>
    <row r="38" spans="1:8" ht="15" customHeight="1" x14ac:dyDescent="0.25">
      <c r="A38" s="11" t="s">
        <v>38</v>
      </c>
      <c r="B38" s="6">
        <v>1</v>
      </c>
      <c r="C38" s="16">
        <v>1</v>
      </c>
      <c r="D38" s="5">
        <f t="shared" si="4"/>
        <v>2</v>
      </c>
      <c r="E38" s="6">
        <v>0</v>
      </c>
      <c r="F38" s="16">
        <v>11</v>
      </c>
      <c r="G38" s="5">
        <f t="shared" si="5"/>
        <v>11</v>
      </c>
      <c r="H38" s="7">
        <f t="shared" si="6"/>
        <v>13</v>
      </c>
    </row>
    <row r="39" spans="1:8" ht="15" customHeight="1" x14ac:dyDescent="0.25">
      <c r="A39" s="11" t="s">
        <v>167</v>
      </c>
      <c r="B39" s="6">
        <v>0</v>
      </c>
      <c r="C39" s="16">
        <v>1</v>
      </c>
      <c r="D39" s="5">
        <f t="shared" si="4"/>
        <v>1</v>
      </c>
      <c r="E39" s="6">
        <v>0</v>
      </c>
      <c r="F39" s="16">
        <v>0</v>
      </c>
      <c r="G39" s="5">
        <f t="shared" si="5"/>
        <v>0</v>
      </c>
      <c r="H39" s="7">
        <f t="shared" si="6"/>
        <v>1</v>
      </c>
    </row>
    <row r="40" spans="1:8" ht="15" customHeight="1" x14ac:dyDescent="0.25">
      <c r="A40" s="11" t="s">
        <v>39</v>
      </c>
      <c r="B40" s="6">
        <v>3</v>
      </c>
      <c r="C40" s="16">
        <v>9</v>
      </c>
      <c r="D40" s="5">
        <f t="shared" si="4"/>
        <v>12</v>
      </c>
      <c r="E40" s="6">
        <v>4</v>
      </c>
      <c r="F40" s="16">
        <v>11</v>
      </c>
      <c r="G40" s="5">
        <f t="shared" si="5"/>
        <v>15</v>
      </c>
      <c r="H40" s="7">
        <f t="shared" si="6"/>
        <v>27</v>
      </c>
    </row>
    <row r="41" spans="1:8" ht="15" customHeight="1" x14ac:dyDescent="0.25">
      <c r="A41" s="11" t="s">
        <v>40</v>
      </c>
      <c r="B41" s="6">
        <v>17</v>
      </c>
      <c r="C41" s="16">
        <v>5</v>
      </c>
      <c r="D41" s="5">
        <f t="shared" si="4"/>
        <v>22</v>
      </c>
      <c r="E41" s="6">
        <v>1</v>
      </c>
      <c r="F41" s="16">
        <v>6</v>
      </c>
      <c r="G41" s="5">
        <f t="shared" si="5"/>
        <v>7</v>
      </c>
      <c r="H41" s="7">
        <f t="shared" si="6"/>
        <v>29</v>
      </c>
    </row>
    <row r="42" spans="1:8" ht="15" customHeight="1" x14ac:dyDescent="0.25">
      <c r="A42" s="11" t="s">
        <v>41</v>
      </c>
      <c r="B42" s="6">
        <v>5</v>
      </c>
      <c r="C42" s="16">
        <v>2</v>
      </c>
      <c r="D42" s="5">
        <f t="shared" si="4"/>
        <v>7</v>
      </c>
      <c r="E42" s="6">
        <v>1</v>
      </c>
      <c r="F42" s="16">
        <v>7</v>
      </c>
      <c r="G42" s="5">
        <f t="shared" si="5"/>
        <v>8</v>
      </c>
      <c r="H42" s="7">
        <f t="shared" si="6"/>
        <v>15</v>
      </c>
    </row>
    <row r="43" spans="1:8" ht="15" customHeight="1" x14ac:dyDescent="0.25">
      <c r="A43" s="11" t="s">
        <v>42</v>
      </c>
      <c r="B43" s="6">
        <v>10</v>
      </c>
      <c r="C43" s="16">
        <v>31</v>
      </c>
      <c r="D43" s="5">
        <f t="shared" si="4"/>
        <v>41</v>
      </c>
      <c r="E43" s="6">
        <v>7</v>
      </c>
      <c r="F43" s="16">
        <v>11</v>
      </c>
      <c r="G43" s="5">
        <f t="shared" si="5"/>
        <v>18</v>
      </c>
      <c r="H43" s="7">
        <f t="shared" si="6"/>
        <v>59</v>
      </c>
    </row>
    <row r="44" spans="1:8" ht="15" customHeight="1" x14ac:dyDescent="0.25">
      <c r="A44" s="11" t="s">
        <v>43</v>
      </c>
      <c r="B44" s="6">
        <v>6</v>
      </c>
      <c r="C44" s="16">
        <v>2</v>
      </c>
      <c r="D44" s="5">
        <f t="shared" si="4"/>
        <v>8</v>
      </c>
      <c r="E44" s="6">
        <v>0</v>
      </c>
      <c r="F44" s="16">
        <v>1</v>
      </c>
      <c r="G44" s="5">
        <f t="shared" si="5"/>
        <v>1</v>
      </c>
      <c r="H44" s="7">
        <f t="shared" si="6"/>
        <v>9</v>
      </c>
    </row>
    <row r="45" spans="1:8" ht="15" customHeight="1" x14ac:dyDescent="0.25">
      <c r="A45" s="11" t="s">
        <v>44</v>
      </c>
      <c r="B45" s="6">
        <v>1</v>
      </c>
      <c r="C45" s="16">
        <v>0</v>
      </c>
      <c r="D45" s="5">
        <f t="shared" si="4"/>
        <v>1</v>
      </c>
      <c r="E45" s="6">
        <v>0</v>
      </c>
      <c r="F45" s="16">
        <v>0</v>
      </c>
      <c r="G45" s="5">
        <f t="shared" si="5"/>
        <v>0</v>
      </c>
      <c r="H45" s="7">
        <f t="shared" si="6"/>
        <v>1</v>
      </c>
    </row>
    <row r="46" spans="1:8" ht="15" customHeight="1" x14ac:dyDescent="0.25">
      <c r="A46" s="11" t="s">
        <v>45</v>
      </c>
      <c r="B46" s="6">
        <v>5</v>
      </c>
      <c r="C46" s="16">
        <v>9</v>
      </c>
      <c r="D46" s="5">
        <f t="shared" si="4"/>
        <v>14</v>
      </c>
      <c r="E46" s="6">
        <v>1</v>
      </c>
      <c r="F46" s="16">
        <v>8</v>
      </c>
      <c r="G46" s="5">
        <f t="shared" si="5"/>
        <v>9</v>
      </c>
      <c r="H46" s="7">
        <f t="shared" si="6"/>
        <v>23</v>
      </c>
    </row>
    <row r="47" spans="1:8" ht="15" customHeight="1" x14ac:dyDescent="0.25">
      <c r="A47" s="11" t="s">
        <v>46</v>
      </c>
      <c r="B47" s="6">
        <v>5</v>
      </c>
      <c r="C47" s="16">
        <v>7</v>
      </c>
      <c r="D47" s="5">
        <f t="shared" si="4"/>
        <v>12</v>
      </c>
      <c r="E47" s="6">
        <v>1</v>
      </c>
      <c r="F47" s="16">
        <v>12</v>
      </c>
      <c r="G47" s="5">
        <f t="shared" si="5"/>
        <v>13</v>
      </c>
      <c r="H47" s="7">
        <f t="shared" si="6"/>
        <v>25</v>
      </c>
    </row>
    <row r="48" spans="1:8" ht="15" customHeight="1" x14ac:dyDescent="0.25">
      <c r="A48" s="11" t="s">
        <v>48</v>
      </c>
      <c r="B48" s="6">
        <v>0</v>
      </c>
      <c r="C48" s="16">
        <v>6</v>
      </c>
      <c r="D48" s="5">
        <f t="shared" si="4"/>
        <v>6</v>
      </c>
      <c r="E48" s="6">
        <v>0</v>
      </c>
      <c r="F48" s="16">
        <v>5</v>
      </c>
      <c r="G48" s="5">
        <f t="shared" si="5"/>
        <v>5</v>
      </c>
      <c r="H48" s="7">
        <f t="shared" si="6"/>
        <v>11</v>
      </c>
    </row>
    <row r="49" spans="1:8" ht="15" customHeight="1" thickBot="1" x14ac:dyDescent="0.3">
      <c r="A49" s="11" t="s">
        <v>144</v>
      </c>
      <c r="B49" s="6">
        <v>2</v>
      </c>
      <c r="C49" s="16">
        <v>10</v>
      </c>
      <c r="D49" s="5">
        <f t="shared" si="4"/>
        <v>12</v>
      </c>
      <c r="E49" s="6">
        <v>8</v>
      </c>
      <c r="F49" s="16">
        <v>6</v>
      </c>
      <c r="G49" s="5">
        <f t="shared" si="5"/>
        <v>14</v>
      </c>
      <c r="H49" s="7">
        <f t="shared" si="6"/>
        <v>26</v>
      </c>
    </row>
    <row r="50" spans="1:8" ht="15" customHeight="1" thickTop="1" thickBot="1" x14ac:dyDescent="0.3">
      <c r="A50" s="12" t="s">
        <v>6</v>
      </c>
      <c r="B50" s="13">
        <f>SUM(B24:B49)</f>
        <v>92</v>
      </c>
      <c r="C50" s="13">
        <f>SUM(C24:C49)</f>
        <v>145</v>
      </c>
      <c r="D50" s="13">
        <f>SUM(D24:D49)</f>
        <v>237</v>
      </c>
      <c r="E50" s="13">
        <f>SUM(E24:E49)</f>
        <v>33</v>
      </c>
      <c r="F50" s="13">
        <f>SUM(F24:F49)</f>
        <v>127</v>
      </c>
      <c r="G50" s="14">
        <f t="shared" si="5"/>
        <v>160</v>
      </c>
      <c r="H50" s="15">
        <f t="shared" si="6"/>
        <v>397</v>
      </c>
    </row>
    <row r="51" spans="1:8" ht="15" customHeight="1" thickTop="1" thickBot="1" x14ac:dyDescent="0.3">
      <c r="A51" s="23" t="s">
        <v>49</v>
      </c>
      <c r="B51" s="24"/>
      <c r="C51" s="24"/>
      <c r="D51" s="24"/>
      <c r="E51" s="24"/>
      <c r="F51" s="24"/>
      <c r="G51" s="24"/>
      <c r="H51" s="25"/>
    </row>
    <row r="52" spans="1:8" ht="15" customHeight="1" thickTop="1" x14ac:dyDescent="0.25">
      <c r="A52" s="11" t="s">
        <v>50</v>
      </c>
      <c r="B52" s="6">
        <v>0</v>
      </c>
      <c r="C52" s="16">
        <v>1</v>
      </c>
      <c r="D52" s="5">
        <f t="shared" ref="D52:D64" si="7">B52+C52</f>
        <v>1</v>
      </c>
      <c r="E52" s="6">
        <v>0</v>
      </c>
      <c r="F52" s="16">
        <v>2</v>
      </c>
      <c r="G52" s="5">
        <f t="shared" ref="G52:G63" si="8">E52+F52</f>
        <v>2</v>
      </c>
      <c r="H52" s="7">
        <f t="shared" ref="H52:H63" si="9">G52+D52</f>
        <v>3</v>
      </c>
    </row>
    <row r="53" spans="1:8" ht="15" customHeight="1" x14ac:dyDescent="0.25">
      <c r="A53" s="11" t="s">
        <v>51</v>
      </c>
      <c r="B53" s="6">
        <v>22</v>
      </c>
      <c r="C53" s="16">
        <v>9</v>
      </c>
      <c r="D53" s="5">
        <f t="shared" si="7"/>
        <v>31</v>
      </c>
      <c r="E53" s="6">
        <v>9</v>
      </c>
      <c r="F53" s="16">
        <v>11</v>
      </c>
      <c r="G53" s="5">
        <f t="shared" si="8"/>
        <v>20</v>
      </c>
      <c r="H53" s="7">
        <f t="shared" si="9"/>
        <v>51</v>
      </c>
    </row>
    <row r="54" spans="1:8" ht="15" customHeight="1" x14ac:dyDescent="0.25">
      <c r="A54" s="11" t="s">
        <v>52</v>
      </c>
      <c r="B54" s="6">
        <v>6</v>
      </c>
      <c r="C54" s="16">
        <v>0</v>
      </c>
      <c r="D54" s="5">
        <f t="shared" si="7"/>
        <v>6</v>
      </c>
      <c r="E54" s="6">
        <v>3</v>
      </c>
      <c r="F54" s="16">
        <v>1</v>
      </c>
      <c r="G54" s="5">
        <f t="shared" si="8"/>
        <v>4</v>
      </c>
      <c r="H54" s="7">
        <f t="shared" si="9"/>
        <v>10</v>
      </c>
    </row>
    <row r="55" spans="1:8" ht="15" customHeight="1" x14ac:dyDescent="0.25">
      <c r="A55" s="11" t="s">
        <v>53</v>
      </c>
      <c r="B55" s="6">
        <v>1</v>
      </c>
      <c r="C55" s="16">
        <v>15</v>
      </c>
      <c r="D55" s="5">
        <f t="shared" si="7"/>
        <v>16</v>
      </c>
      <c r="E55" s="6">
        <v>1</v>
      </c>
      <c r="F55" s="16">
        <v>18</v>
      </c>
      <c r="G55" s="5">
        <f t="shared" si="8"/>
        <v>19</v>
      </c>
      <c r="H55" s="7">
        <f t="shared" si="9"/>
        <v>35</v>
      </c>
    </row>
    <row r="56" spans="1:8" ht="15" customHeight="1" x14ac:dyDescent="0.25">
      <c r="A56" s="11" t="s">
        <v>54</v>
      </c>
      <c r="B56" s="6">
        <v>1</v>
      </c>
      <c r="C56" s="16">
        <v>7</v>
      </c>
      <c r="D56" s="5">
        <f t="shared" si="7"/>
        <v>8</v>
      </c>
      <c r="E56" s="6">
        <v>2</v>
      </c>
      <c r="F56" s="16">
        <v>11</v>
      </c>
      <c r="G56" s="5">
        <f t="shared" si="8"/>
        <v>13</v>
      </c>
      <c r="H56" s="7">
        <f t="shared" si="9"/>
        <v>21</v>
      </c>
    </row>
    <row r="57" spans="1:8" ht="15" customHeight="1" x14ac:dyDescent="0.25">
      <c r="A57" s="11" t="s">
        <v>55</v>
      </c>
      <c r="B57" s="6">
        <v>1</v>
      </c>
      <c r="C57" s="16">
        <v>0</v>
      </c>
      <c r="D57" s="5">
        <f t="shared" si="7"/>
        <v>1</v>
      </c>
      <c r="E57" s="6">
        <v>1</v>
      </c>
      <c r="F57" s="16">
        <v>4</v>
      </c>
      <c r="G57" s="5">
        <f t="shared" si="8"/>
        <v>5</v>
      </c>
      <c r="H57" s="7">
        <f t="shared" si="9"/>
        <v>6</v>
      </c>
    </row>
    <row r="58" spans="1:8" ht="15" customHeight="1" x14ac:dyDescent="0.25">
      <c r="A58" s="11" t="s">
        <v>56</v>
      </c>
      <c r="B58" s="6">
        <v>11</v>
      </c>
      <c r="C58" s="16">
        <v>2</v>
      </c>
      <c r="D58" s="5">
        <f t="shared" si="7"/>
        <v>13</v>
      </c>
      <c r="E58" s="6">
        <v>0</v>
      </c>
      <c r="F58" s="16">
        <v>4</v>
      </c>
      <c r="G58" s="5">
        <f t="shared" si="8"/>
        <v>4</v>
      </c>
      <c r="H58" s="7">
        <f t="shared" si="9"/>
        <v>17</v>
      </c>
    </row>
    <row r="59" spans="1:8" ht="15" customHeight="1" x14ac:dyDescent="0.25">
      <c r="A59" s="11" t="s">
        <v>57</v>
      </c>
      <c r="B59" s="6">
        <v>0</v>
      </c>
      <c r="C59" s="16">
        <v>0</v>
      </c>
      <c r="D59" s="5">
        <f t="shared" si="7"/>
        <v>0</v>
      </c>
      <c r="E59" s="6">
        <v>0</v>
      </c>
      <c r="F59" s="16">
        <v>1</v>
      </c>
      <c r="G59" s="5">
        <f t="shared" si="8"/>
        <v>1</v>
      </c>
      <c r="H59" s="7">
        <f t="shared" si="9"/>
        <v>1</v>
      </c>
    </row>
    <row r="60" spans="1:8" ht="15" customHeight="1" x14ac:dyDescent="0.25">
      <c r="A60" s="11" t="s">
        <v>171</v>
      </c>
      <c r="B60" s="6">
        <v>0</v>
      </c>
      <c r="C60" s="16">
        <v>0</v>
      </c>
      <c r="D60" s="5">
        <f t="shared" si="7"/>
        <v>0</v>
      </c>
      <c r="E60" s="6">
        <v>0</v>
      </c>
      <c r="F60" s="16">
        <v>2</v>
      </c>
      <c r="G60" s="5">
        <f t="shared" si="8"/>
        <v>2</v>
      </c>
      <c r="H60" s="7">
        <f t="shared" si="9"/>
        <v>2</v>
      </c>
    </row>
    <row r="61" spans="1:8" ht="15" customHeight="1" x14ac:dyDescent="0.25">
      <c r="A61" s="11" t="s">
        <v>58</v>
      </c>
      <c r="B61" s="6">
        <v>0</v>
      </c>
      <c r="C61" s="16">
        <v>1</v>
      </c>
      <c r="D61" s="5">
        <f t="shared" si="7"/>
        <v>1</v>
      </c>
      <c r="E61" s="6">
        <v>1</v>
      </c>
      <c r="F61" s="16">
        <v>18</v>
      </c>
      <c r="G61" s="5">
        <f t="shared" si="8"/>
        <v>19</v>
      </c>
      <c r="H61" s="7">
        <f t="shared" si="9"/>
        <v>20</v>
      </c>
    </row>
    <row r="62" spans="1:8" ht="15" customHeight="1" x14ac:dyDescent="0.25">
      <c r="A62" s="11" t="s">
        <v>60</v>
      </c>
      <c r="B62" s="6">
        <v>0</v>
      </c>
      <c r="C62" s="16">
        <v>1</v>
      </c>
      <c r="D62" s="5">
        <f t="shared" si="7"/>
        <v>1</v>
      </c>
      <c r="E62" s="6">
        <v>1</v>
      </c>
      <c r="F62" s="16">
        <v>5</v>
      </c>
      <c r="G62" s="5">
        <f t="shared" si="8"/>
        <v>6</v>
      </c>
      <c r="H62" s="7">
        <f t="shared" si="9"/>
        <v>7</v>
      </c>
    </row>
    <row r="63" spans="1:8" ht="15" customHeight="1" x14ac:dyDescent="0.25">
      <c r="A63" s="11" t="s">
        <v>61</v>
      </c>
      <c r="B63" s="6">
        <v>0</v>
      </c>
      <c r="C63" s="16">
        <v>4</v>
      </c>
      <c r="D63" s="5">
        <f t="shared" si="7"/>
        <v>4</v>
      </c>
      <c r="E63" s="6">
        <v>0</v>
      </c>
      <c r="F63" s="16">
        <v>9</v>
      </c>
      <c r="G63" s="5">
        <f t="shared" si="8"/>
        <v>9</v>
      </c>
      <c r="H63" s="7">
        <f t="shared" si="9"/>
        <v>13</v>
      </c>
    </row>
    <row r="64" spans="1:8" ht="15" customHeight="1" thickBot="1" x14ac:dyDescent="0.3">
      <c r="A64" s="11" t="s">
        <v>151</v>
      </c>
      <c r="B64" s="6">
        <v>0</v>
      </c>
      <c r="C64" s="16">
        <v>1</v>
      </c>
      <c r="D64" s="5">
        <f t="shared" si="7"/>
        <v>1</v>
      </c>
      <c r="E64" s="6">
        <v>0</v>
      </c>
      <c r="F64" s="16">
        <v>0</v>
      </c>
      <c r="G64" s="5">
        <f>E64+F64</f>
        <v>0</v>
      </c>
      <c r="H64" s="7">
        <f>G64+D64</f>
        <v>1</v>
      </c>
    </row>
    <row r="65" spans="1:8" ht="15" customHeight="1" thickTop="1" thickBot="1" x14ac:dyDescent="0.3">
      <c r="A65" s="12" t="s">
        <v>6</v>
      </c>
      <c r="B65" s="13">
        <f t="shared" ref="B65:H65" si="10">SUM(B52:B64)</f>
        <v>42</v>
      </c>
      <c r="C65" s="13">
        <f t="shared" si="10"/>
        <v>41</v>
      </c>
      <c r="D65" s="13">
        <f t="shared" si="10"/>
        <v>83</v>
      </c>
      <c r="E65" s="13">
        <f t="shared" si="10"/>
        <v>18</v>
      </c>
      <c r="F65" s="13">
        <f t="shared" si="10"/>
        <v>86</v>
      </c>
      <c r="G65" s="13">
        <f t="shared" si="10"/>
        <v>104</v>
      </c>
      <c r="H65" s="15">
        <f t="shared" si="10"/>
        <v>187</v>
      </c>
    </row>
    <row r="66" spans="1:8" ht="15" customHeight="1" thickTop="1" thickBot="1" x14ac:dyDescent="0.3">
      <c r="A66" s="23" t="s">
        <v>62</v>
      </c>
      <c r="B66" s="24"/>
      <c r="C66" s="24"/>
      <c r="D66" s="24"/>
      <c r="E66" s="24"/>
      <c r="F66" s="24"/>
      <c r="G66" s="24"/>
      <c r="H66" s="25"/>
    </row>
    <row r="67" spans="1:8" ht="15" customHeight="1" thickTop="1" x14ac:dyDescent="0.25">
      <c r="A67" s="11" t="s">
        <v>63</v>
      </c>
      <c r="B67" s="6">
        <v>4</v>
      </c>
      <c r="C67" s="16">
        <v>0</v>
      </c>
      <c r="D67" s="5">
        <f t="shared" ref="D67:D92" si="11">B67+C67</f>
        <v>4</v>
      </c>
      <c r="E67" s="6">
        <v>0</v>
      </c>
      <c r="F67" s="16">
        <v>0</v>
      </c>
      <c r="G67" s="5">
        <f t="shared" ref="G67:G92" si="12">E67+F67</f>
        <v>0</v>
      </c>
      <c r="H67" s="7">
        <f t="shared" ref="H67:H93" si="13">G67+D67</f>
        <v>4</v>
      </c>
    </row>
    <row r="68" spans="1:8" ht="15" customHeight="1" x14ac:dyDescent="0.25">
      <c r="A68" s="11" t="s">
        <v>64</v>
      </c>
      <c r="B68" s="6">
        <v>6</v>
      </c>
      <c r="C68" s="16">
        <v>5</v>
      </c>
      <c r="D68" s="5">
        <f t="shared" si="11"/>
        <v>11</v>
      </c>
      <c r="E68" s="6">
        <v>5</v>
      </c>
      <c r="F68" s="16">
        <v>12</v>
      </c>
      <c r="G68" s="5">
        <f t="shared" si="12"/>
        <v>17</v>
      </c>
      <c r="H68" s="7">
        <f t="shared" si="13"/>
        <v>28</v>
      </c>
    </row>
    <row r="69" spans="1:8" ht="15" customHeight="1" x14ac:dyDescent="0.25">
      <c r="A69" s="11" t="s">
        <v>65</v>
      </c>
      <c r="B69" s="6">
        <v>1</v>
      </c>
      <c r="C69" s="16">
        <v>4</v>
      </c>
      <c r="D69" s="5">
        <f t="shared" si="11"/>
        <v>5</v>
      </c>
      <c r="E69" s="6">
        <v>0</v>
      </c>
      <c r="F69" s="16">
        <v>0</v>
      </c>
      <c r="G69" s="5">
        <f t="shared" si="12"/>
        <v>0</v>
      </c>
      <c r="H69" s="7">
        <f t="shared" si="13"/>
        <v>5</v>
      </c>
    </row>
    <row r="70" spans="1:8" ht="15" customHeight="1" x14ac:dyDescent="0.25">
      <c r="A70" s="11" t="s">
        <v>66</v>
      </c>
      <c r="B70" s="6">
        <v>1</v>
      </c>
      <c r="C70" s="16">
        <v>2</v>
      </c>
      <c r="D70" s="5">
        <f t="shared" si="11"/>
        <v>3</v>
      </c>
      <c r="E70" s="6">
        <v>2</v>
      </c>
      <c r="F70" s="16">
        <v>3</v>
      </c>
      <c r="G70" s="5">
        <f t="shared" si="12"/>
        <v>5</v>
      </c>
      <c r="H70" s="7">
        <f t="shared" si="13"/>
        <v>8</v>
      </c>
    </row>
    <row r="71" spans="1:8" ht="15" customHeight="1" x14ac:dyDescent="0.25">
      <c r="A71" s="11" t="s">
        <v>174</v>
      </c>
      <c r="B71" s="6">
        <v>8</v>
      </c>
      <c r="C71" s="16">
        <v>36</v>
      </c>
      <c r="D71" s="5">
        <f t="shared" si="11"/>
        <v>44</v>
      </c>
      <c r="E71" s="6">
        <v>4</v>
      </c>
      <c r="F71" s="16">
        <v>45</v>
      </c>
      <c r="G71" s="5">
        <f t="shared" si="12"/>
        <v>49</v>
      </c>
      <c r="H71" s="7">
        <f t="shared" si="13"/>
        <v>93</v>
      </c>
    </row>
    <row r="72" spans="1:8" ht="15" customHeight="1" x14ac:dyDescent="0.25">
      <c r="A72" s="11" t="s">
        <v>69</v>
      </c>
      <c r="B72" s="6">
        <v>0</v>
      </c>
      <c r="C72" s="16">
        <v>15</v>
      </c>
      <c r="D72" s="5">
        <f t="shared" si="11"/>
        <v>15</v>
      </c>
      <c r="E72" s="6">
        <v>0</v>
      </c>
      <c r="F72" s="16">
        <v>12</v>
      </c>
      <c r="G72" s="5">
        <f t="shared" si="12"/>
        <v>12</v>
      </c>
      <c r="H72" s="7">
        <f t="shared" si="13"/>
        <v>27</v>
      </c>
    </row>
    <row r="73" spans="1:8" ht="15" customHeight="1" x14ac:dyDescent="0.25">
      <c r="A73" s="11" t="s">
        <v>70</v>
      </c>
      <c r="B73" s="6">
        <v>29</v>
      </c>
      <c r="C73" s="16">
        <v>29</v>
      </c>
      <c r="D73" s="5">
        <f t="shared" si="11"/>
        <v>58</v>
      </c>
      <c r="E73" s="6">
        <v>12</v>
      </c>
      <c r="F73" s="16">
        <v>40</v>
      </c>
      <c r="G73" s="5">
        <f t="shared" si="12"/>
        <v>52</v>
      </c>
      <c r="H73" s="7">
        <f t="shared" si="13"/>
        <v>110</v>
      </c>
    </row>
    <row r="74" spans="1:8" ht="15" customHeight="1" x14ac:dyDescent="0.25">
      <c r="A74" s="11" t="s">
        <v>71</v>
      </c>
      <c r="B74" s="6">
        <v>0</v>
      </c>
      <c r="C74" s="16">
        <v>7</v>
      </c>
      <c r="D74" s="5">
        <f t="shared" si="11"/>
        <v>7</v>
      </c>
      <c r="E74" s="6">
        <v>0</v>
      </c>
      <c r="F74" s="16">
        <v>7</v>
      </c>
      <c r="G74" s="5">
        <f t="shared" si="12"/>
        <v>7</v>
      </c>
      <c r="H74" s="7">
        <f t="shared" si="13"/>
        <v>14</v>
      </c>
    </row>
    <row r="75" spans="1:8" ht="15" customHeight="1" x14ac:dyDescent="0.25">
      <c r="A75" s="11" t="s">
        <v>212</v>
      </c>
      <c r="B75" s="6">
        <v>1</v>
      </c>
      <c r="C75" s="16">
        <v>0</v>
      </c>
      <c r="D75" s="5">
        <f t="shared" si="11"/>
        <v>1</v>
      </c>
      <c r="E75" s="6">
        <v>0</v>
      </c>
      <c r="F75" s="16">
        <v>0</v>
      </c>
      <c r="G75" s="5">
        <f t="shared" si="12"/>
        <v>0</v>
      </c>
      <c r="H75" s="7">
        <f t="shared" si="13"/>
        <v>1</v>
      </c>
    </row>
    <row r="76" spans="1:8" ht="15" customHeight="1" x14ac:dyDescent="0.25">
      <c r="A76" s="11" t="s">
        <v>72</v>
      </c>
      <c r="B76" s="6">
        <v>16</v>
      </c>
      <c r="C76" s="16">
        <v>67</v>
      </c>
      <c r="D76" s="5">
        <f t="shared" si="11"/>
        <v>83</v>
      </c>
      <c r="E76" s="6">
        <v>7</v>
      </c>
      <c r="F76" s="16">
        <v>72</v>
      </c>
      <c r="G76" s="5">
        <f t="shared" si="12"/>
        <v>79</v>
      </c>
      <c r="H76" s="7">
        <f t="shared" si="13"/>
        <v>162</v>
      </c>
    </row>
    <row r="77" spans="1:8" ht="15" customHeight="1" x14ac:dyDescent="0.25">
      <c r="A77" s="11" t="s">
        <v>73</v>
      </c>
      <c r="B77" s="6">
        <v>0</v>
      </c>
      <c r="C77" s="16">
        <v>1</v>
      </c>
      <c r="D77" s="5">
        <f t="shared" si="11"/>
        <v>1</v>
      </c>
      <c r="E77" s="6">
        <v>0</v>
      </c>
      <c r="F77" s="16">
        <v>1</v>
      </c>
      <c r="G77" s="5">
        <f t="shared" si="12"/>
        <v>1</v>
      </c>
      <c r="H77" s="7">
        <f t="shared" si="13"/>
        <v>2</v>
      </c>
    </row>
    <row r="78" spans="1:8" ht="15" customHeight="1" x14ac:dyDescent="0.25">
      <c r="A78" s="11" t="s">
        <v>229</v>
      </c>
      <c r="B78" s="6">
        <v>0</v>
      </c>
      <c r="C78" s="16">
        <v>1</v>
      </c>
      <c r="D78" s="5">
        <f t="shared" si="11"/>
        <v>1</v>
      </c>
      <c r="E78" s="6">
        <v>0</v>
      </c>
      <c r="F78" s="16">
        <v>1</v>
      </c>
      <c r="G78" s="5">
        <f t="shared" si="12"/>
        <v>1</v>
      </c>
      <c r="H78" s="7">
        <f t="shared" si="13"/>
        <v>2</v>
      </c>
    </row>
    <row r="79" spans="1:8" ht="15" customHeight="1" x14ac:dyDescent="0.25">
      <c r="A79" s="11" t="s">
        <v>74</v>
      </c>
      <c r="B79" s="6">
        <v>14</v>
      </c>
      <c r="C79" s="16">
        <v>93</v>
      </c>
      <c r="D79" s="5">
        <f t="shared" si="11"/>
        <v>107</v>
      </c>
      <c r="E79" s="6">
        <v>5</v>
      </c>
      <c r="F79" s="16">
        <v>48</v>
      </c>
      <c r="G79" s="5">
        <f t="shared" si="12"/>
        <v>53</v>
      </c>
      <c r="H79" s="7">
        <f t="shared" si="13"/>
        <v>160</v>
      </c>
    </row>
    <row r="80" spans="1:8" ht="15" customHeight="1" x14ac:dyDescent="0.25">
      <c r="A80" s="11" t="s">
        <v>75</v>
      </c>
      <c r="B80" s="6">
        <v>0</v>
      </c>
      <c r="C80" s="16">
        <v>3</v>
      </c>
      <c r="D80" s="5">
        <f t="shared" si="11"/>
        <v>3</v>
      </c>
      <c r="E80" s="6">
        <v>0</v>
      </c>
      <c r="F80" s="16">
        <v>0</v>
      </c>
      <c r="G80" s="5">
        <f t="shared" si="12"/>
        <v>0</v>
      </c>
      <c r="H80" s="7">
        <f t="shared" si="13"/>
        <v>3</v>
      </c>
    </row>
    <row r="81" spans="1:8" ht="15" customHeight="1" x14ac:dyDescent="0.25">
      <c r="A81" s="11" t="s">
        <v>76</v>
      </c>
      <c r="B81" s="6">
        <v>4</v>
      </c>
      <c r="C81" s="16">
        <v>0</v>
      </c>
      <c r="D81" s="5">
        <f t="shared" si="11"/>
        <v>4</v>
      </c>
      <c r="E81" s="6">
        <v>0</v>
      </c>
      <c r="F81" s="16">
        <v>3</v>
      </c>
      <c r="G81" s="5">
        <f t="shared" si="12"/>
        <v>3</v>
      </c>
      <c r="H81" s="7">
        <f t="shared" si="13"/>
        <v>7</v>
      </c>
    </row>
    <row r="82" spans="1:8" ht="15" customHeight="1" x14ac:dyDescent="0.25">
      <c r="A82" s="11" t="s">
        <v>241</v>
      </c>
      <c r="B82" s="6">
        <v>2</v>
      </c>
      <c r="C82" s="16">
        <v>2</v>
      </c>
      <c r="D82" s="5">
        <f t="shared" si="11"/>
        <v>4</v>
      </c>
      <c r="E82" s="6">
        <v>0</v>
      </c>
      <c r="F82" s="16">
        <v>0</v>
      </c>
      <c r="G82" s="5">
        <f t="shared" si="12"/>
        <v>0</v>
      </c>
      <c r="H82" s="7">
        <f t="shared" si="13"/>
        <v>4</v>
      </c>
    </row>
    <row r="83" spans="1:8" ht="15" customHeight="1" x14ac:dyDescent="0.25">
      <c r="A83" s="11" t="s">
        <v>77</v>
      </c>
      <c r="B83" s="6">
        <v>9</v>
      </c>
      <c r="C83" s="16">
        <v>19</v>
      </c>
      <c r="D83" s="5">
        <f t="shared" si="11"/>
        <v>28</v>
      </c>
      <c r="E83" s="6">
        <v>6</v>
      </c>
      <c r="F83" s="16">
        <v>16</v>
      </c>
      <c r="G83" s="5">
        <f t="shared" si="12"/>
        <v>22</v>
      </c>
      <c r="H83" s="7">
        <f t="shared" si="13"/>
        <v>50</v>
      </c>
    </row>
    <row r="84" spans="1:8" ht="15" customHeight="1" x14ac:dyDescent="0.25">
      <c r="A84" s="11" t="s">
        <v>79</v>
      </c>
      <c r="B84" s="6">
        <v>0</v>
      </c>
      <c r="C84" s="16">
        <v>2</v>
      </c>
      <c r="D84" s="5">
        <f t="shared" si="11"/>
        <v>2</v>
      </c>
      <c r="E84" s="6">
        <v>0</v>
      </c>
      <c r="F84" s="16">
        <v>8</v>
      </c>
      <c r="G84" s="5">
        <f t="shared" si="12"/>
        <v>8</v>
      </c>
      <c r="H84" s="7">
        <f t="shared" si="13"/>
        <v>10</v>
      </c>
    </row>
    <row r="85" spans="1:8" ht="15" customHeight="1" x14ac:dyDescent="0.25">
      <c r="A85" s="11" t="s">
        <v>109</v>
      </c>
      <c r="B85" s="6">
        <v>0</v>
      </c>
      <c r="C85" s="16">
        <v>2</v>
      </c>
      <c r="D85" s="5">
        <f t="shared" si="11"/>
        <v>2</v>
      </c>
      <c r="E85" s="6">
        <v>0</v>
      </c>
      <c r="F85" s="16">
        <v>1</v>
      </c>
      <c r="G85" s="5">
        <f t="shared" si="12"/>
        <v>1</v>
      </c>
      <c r="H85" s="7">
        <f t="shared" si="13"/>
        <v>3</v>
      </c>
    </row>
    <row r="86" spans="1:8" ht="15" customHeight="1" x14ac:dyDescent="0.25">
      <c r="A86" s="11" t="s">
        <v>80</v>
      </c>
      <c r="B86" s="6">
        <v>0</v>
      </c>
      <c r="C86" s="16">
        <v>134</v>
      </c>
      <c r="D86" s="5">
        <f t="shared" si="11"/>
        <v>134</v>
      </c>
      <c r="E86" s="6">
        <v>2</v>
      </c>
      <c r="F86" s="16">
        <v>22</v>
      </c>
      <c r="G86" s="5">
        <f t="shared" si="12"/>
        <v>24</v>
      </c>
      <c r="H86" s="7">
        <f t="shared" si="13"/>
        <v>158</v>
      </c>
    </row>
    <row r="87" spans="1:8" ht="15" customHeight="1" x14ac:dyDescent="0.25">
      <c r="A87" s="11" t="s">
        <v>81</v>
      </c>
      <c r="B87" s="6">
        <v>14</v>
      </c>
      <c r="C87" s="16">
        <v>40</v>
      </c>
      <c r="D87" s="5">
        <f t="shared" si="11"/>
        <v>54</v>
      </c>
      <c r="E87" s="6">
        <v>3</v>
      </c>
      <c r="F87" s="16">
        <v>44</v>
      </c>
      <c r="G87" s="5">
        <f t="shared" si="12"/>
        <v>47</v>
      </c>
      <c r="H87" s="7">
        <f t="shared" si="13"/>
        <v>101</v>
      </c>
    </row>
    <row r="88" spans="1:8" ht="15" customHeight="1" x14ac:dyDescent="0.25">
      <c r="A88" s="11" t="s">
        <v>82</v>
      </c>
      <c r="B88" s="6">
        <v>37</v>
      </c>
      <c r="C88" s="16">
        <v>17</v>
      </c>
      <c r="D88" s="5">
        <f t="shared" si="11"/>
        <v>54</v>
      </c>
      <c r="E88" s="6">
        <v>8</v>
      </c>
      <c r="F88" s="16">
        <v>15</v>
      </c>
      <c r="G88" s="5">
        <f t="shared" si="12"/>
        <v>23</v>
      </c>
      <c r="H88" s="7">
        <f t="shared" si="13"/>
        <v>77</v>
      </c>
    </row>
    <row r="89" spans="1:8" ht="15" customHeight="1" x14ac:dyDescent="0.25">
      <c r="A89" s="11" t="s">
        <v>83</v>
      </c>
      <c r="B89" s="6">
        <v>5</v>
      </c>
      <c r="C89" s="16">
        <v>28</v>
      </c>
      <c r="D89" s="5">
        <f t="shared" si="11"/>
        <v>33</v>
      </c>
      <c r="E89" s="6">
        <v>0</v>
      </c>
      <c r="F89" s="16">
        <v>39</v>
      </c>
      <c r="G89" s="5">
        <f t="shared" si="12"/>
        <v>39</v>
      </c>
      <c r="H89" s="7">
        <f t="shared" si="13"/>
        <v>72</v>
      </c>
    </row>
    <row r="90" spans="1:8" ht="15" customHeight="1" x14ac:dyDescent="0.25">
      <c r="A90" s="11" t="s">
        <v>84</v>
      </c>
      <c r="B90" s="6">
        <v>0</v>
      </c>
      <c r="C90" s="16">
        <v>23</v>
      </c>
      <c r="D90" s="5">
        <f t="shared" si="11"/>
        <v>23</v>
      </c>
      <c r="E90" s="6">
        <v>0</v>
      </c>
      <c r="F90" s="16">
        <v>48</v>
      </c>
      <c r="G90" s="5">
        <f t="shared" si="12"/>
        <v>48</v>
      </c>
      <c r="H90" s="7">
        <f t="shared" si="13"/>
        <v>71</v>
      </c>
    </row>
    <row r="91" spans="1:8" ht="15" customHeight="1" x14ac:dyDescent="0.25">
      <c r="A91" s="11" t="s">
        <v>179</v>
      </c>
      <c r="B91" s="6">
        <v>0</v>
      </c>
      <c r="C91" s="16">
        <v>1</v>
      </c>
      <c r="D91" s="5">
        <f t="shared" si="11"/>
        <v>1</v>
      </c>
      <c r="E91" s="6">
        <v>0</v>
      </c>
      <c r="F91" s="16">
        <v>0</v>
      </c>
      <c r="G91" s="5">
        <f t="shared" si="12"/>
        <v>0</v>
      </c>
      <c r="H91" s="7">
        <f t="shared" si="13"/>
        <v>1</v>
      </c>
    </row>
    <row r="92" spans="1:8" ht="15" customHeight="1" thickBot="1" x14ac:dyDescent="0.3">
      <c r="A92" s="11" t="s">
        <v>85</v>
      </c>
      <c r="B92" s="6">
        <v>1</v>
      </c>
      <c r="C92" s="16">
        <v>0</v>
      </c>
      <c r="D92" s="5">
        <f t="shared" si="11"/>
        <v>1</v>
      </c>
      <c r="E92" s="6">
        <v>0</v>
      </c>
      <c r="F92" s="16">
        <v>0</v>
      </c>
      <c r="G92" s="5">
        <f t="shared" si="12"/>
        <v>0</v>
      </c>
      <c r="H92" s="7">
        <f t="shared" si="13"/>
        <v>1</v>
      </c>
    </row>
    <row r="93" spans="1:8" ht="15" customHeight="1" thickTop="1" thickBot="1" x14ac:dyDescent="0.3">
      <c r="A93" s="12" t="s">
        <v>6</v>
      </c>
      <c r="B93" s="13">
        <f t="shared" ref="B93:G93" si="14">SUM(B67:B92)</f>
        <v>152</v>
      </c>
      <c r="C93" s="13">
        <f t="shared" si="14"/>
        <v>531</v>
      </c>
      <c r="D93" s="13">
        <f t="shared" si="14"/>
        <v>683</v>
      </c>
      <c r="E93" s="13">
        <f t="shared" si="14"/>
        <v>54</v>
      </c>
      <c r="F93" s="13">
        <f t="shared" si="14"/>
        <v>437</v>
      </c>
      <c r="G93" s="13">
        <f t="shared" si="14"/>
        <v>491</v>
      </c>
      <c r="H93" s="15">
        <f t="shared" si="13"/>
        <v>1174</v>
      </c>
    </row>
    <row r="94" spans="1:8" ht="15" customHeight="1" thickTop="1" thickBot="1" x14ac:dyDescent="0.3">
      <c r="A94" s="23" t="s">
        <v>86</v>
      </c>
      <c r="B94" s="24"/>
      <c r="C94" s="24"/>
      <c r="D94" s="24"/>
      <c r="E94" s="24"/>
      <c r="F94" s="24"/>
      <c r="G94" s="24"/>
      <c r="H94" s="25"/>
    </row>
    <row r="95" spans="1:8" ht="15" customHeight="1" thickTop="1" x14ac:dyDescent="0.25">
      <c r="A95" s="11" t="s">
        <v>87</v>
      </c>
      <c r="B95" s="6">
        <v>1</v>
      </c>
      <c r="C95" s="16">
        <v>9</v>
      </c>
      <c r="D95" s="5">
        <f t="shared" ref="D95:D126" si="15">B95+C95</f>
        <v>10</v>
      </c>
      <c r="E95" s="6">
        <v>0</v>
      </c>
      <c r="F95" s="16">
        <v>1</v>
      </c>
      <c r="G95" s="5">
        <f t="shared" ref="G95:G126" si="16">E95+F95</f>
        <v>1</v>
      </c>
      <c r="H95" s="7">
        <f t="shared" ref="H95:H126" si="17">G95+D95</f>
        <v>11</v>
      </c>
    </row>
    <row r="96" spans="1:8" ht="15" customHeight="1" x14ac:dyDescent="0.25">
      <c r="A96" s="11" t="s">
        <v>88</v>
      </c>
      <c r="B96" s="6">
        <v>0</v>
      </c>
      <c r="C96" s="16">
        <v>0</v>
      </c>
      <c r="D96" s="5">
        <f t="shared" si="15"/>
        <v>0</v>
      </c>
      <c r="E96" s="6">
        <v>0</v>
      </c>
      <c r="F96" s="16">
        <v>3</v>
      </c>
      <c r="G96" s="5">
        <f t="shared" si="16"/>
        <v>3</v>
      </c>
      <c r="H96" s="7">
        <f t="shared" si="17"/>
        <v>3</v>
      </c>
    </row>
    <row r="97" spans="1:8" ht="15" customHeight="1" x14ac:dyDescent="0.25">
      <c r="A97" s="11" t="s">
        <v>89</v>
      </c>
      <c r="B97" s="6">
        <v>0</v>
      </c>
      <c r="C97" s="16">
        <v>0</v>
      </c>
      <c r="D97" s="5">
        <f t="shared" si="15"/>
        <v>0</v>
      </c>
      <c r="E97" s="6">
        <v>0</v>
      </c>
      <c r="F97" s="16">
        <v>1</v>
      </c>
      <c r="G97" s="5">
        <f t="shared" si="16"/>
        <v>1</v>
      </c>
      <c r="H97" s="7">
        <f t="shared" si="17"/>
        <v>1</v>
      </c>
    </row>
    <row r="98" spans="1:8" ht="15" customHeight="1" x14ac:dyDescent="0.25">
      <c r="A98" s="11" t="s">
        <v>242</v>
      </c>
      <c r="B98" s="6">
        <v>1</v>
      </c>
      <c r="C98" s="16">
        <v>0</v>
      </c>
      <c r="D98" s="5">
        <f t="shared" si="15"/>
        <v>1</v>
      </c>
      <c r="E98" s="6">
        <v>0</v>
      </c>
      <c r="F98" s="16">
        <v>0</v>
      </c>
      <c r="G98" s="5">
        <f t="shared" si="16"/>
        <v>0</v>
      </c>
      <c r="H98" s="7">
        <f t="shared" si="17"/>
        <v>1</v>
      </c>
    </row>
    <row r="99" spans="1:8" ht="15" customHeight="1" x14ac:dyDescent="0.25">
      <c r="A99" s="11" t="s">
        <v>90</v>
      </c>
      <c r="B99" s="6">
        <v>1</v>
      </c>
      <c r="C99" s="16">
        <v>2</v>
      </c>
      <c r="D99" s="5">
        <f t="shared" si="15"/>
        <v>3</v>
      </c>
      <c r="E99" s="6">
        <v>2</v>
      </c>
      <c r="F99" s="16">
        <v>16</v>
      </c>
      <c r="G99" s="5">
        <f t="shared" si="16"/>
        <v>18</v>
      </c>
      <c r="H99" s="7">
        <f t="shared" si="17"/>
        <v>21</v>
      </c>
    </row>
    <row r="100" spans="1:8" ht="15" customHeight="1" x14ac:dyDescent="0.25">
      <c r="A100" s="11" t="s">
        <v>91</v>
      </c>
      <c r="B100" s="6">
        <v>0</v>
      </c>
      <c r="C100" s="16">
        <v>0</v>
      </c>
      <c r="D100" s="5">
        <f t="shared" si="15"/>
        <v>0</v>
      </c>
      <c r="E100" s="6">
        <v>2</v>
      </c>
      <c r="F100" s="16">
        <v>0</v>
      </c>
      <c r="G100" s="5">
        <f t="shared" si="16"/>
        <v>2</v>
      </c>
      <c r="H100" s="7">
        <f t="shared" si="17"/>
        <v>2</v>
      </c>
    </row>
    <row r="101" spans="1:8" ht="15" customHeight="1" x14ac:dyDescent="0.25">
      <c r="A101" s="11" t="s">
        <v>92</v>
      </c>
      <c r="B101" s="6">
        <v>2</v>
      </c>
      <c r="C101" s="16">
        <v>1</v>
      </c>
      <c r="D101" s="5">
        <f t="shared" si="15"/>
        <v>3</v>
      </c>
      <c r="E101" s="6">
        <v>1</v>
      </c>
      <c r="F101" s="16">
        <v>3</v>
      </c>
      <c r="G101" s="5">
        <f t="shared" si="16"/>
        <v>4</v>
      </c>
      <c r="H101" s="7">
        <f t="shared" si="17"/>
        <v>7</v>
      </c>
    </row>
    <row r="102" spans="1:8" ht="15" customHeight="1" x14ac:dyDescent="0.25">
      <c r="A102" s="11" t="s">
        <v>93</v>
      </c>
      <c r="B102" s="6">
        <v>0</v>
      </c>
      <c r="C102" s="16">
        <v>1</v>
      </c>
      <c r="D102" s="5">
        <f t="shared" si="15"/>
        <v>1</v>
      </c>
      <c r="E102" s="6">
        <v>0</v>
      </c>
      <c r="F102" s="16">
        <v>0</v>
      </c>
      <c r="G102" s="5">
        <f t="shared" si="16"/>
        <v>0</v>
      </c>
      <c r="H102" s="7">
        <f t="shared" si="17"/>
        <v>1</v>
      </c>
    </row>
    <row r="103" spans="1:8" ht="15" customHeight="1" x14ac:dyDescent="0.25">
      <c r="A103" s="11" t="s">
        <v>94</v>
      </c>
      <c r="B103" s="6">
        <v>0</v>
      </c>
      <c r="C103" s="16">
        <v>1</v>
      </c>
      <c r="D103" s="5">
        <f t="shared" si="15"/>
        <v>1</v>
      </c>
      <c r="E103" s="6">
        <v>0</v>
      </c>
      <c r="F103" s="16">
        <v>2</v>
      </c>
      <c r="G103" s="5">
        <f t="shared" si="16"/>
        <v>2</v>
      </c>
      <c r="H103" s="7">
        <f t="shared" si="17"/>
        <v>3</v>
      </c>
    </row>
    <row r="104" spans="1:8" ht="15" customHeight="1" x14ac:dyDescent="0.25">
      <c r="A104" s="11" t="s">
        <v>95</v>
      </c>
      <c r="B104" s="6">
        <v>6</v>
      </c>
      <c r="C104" s="16">
        <v>1</v>
      </c>
      <c r="D104" s="5">
        <f t="shared" si="15"/>
        <v>7</v>
      </c>
      <c r="E104" s="6">
        <v>1</v>
      </c>
      <c r="F104" s="16">
        <v>5</v>
      </c>
      <c r="G104" s="5">
        <f t="shared" si="16"/>
        <v>6</v>
      </c>
      <c r="H104" s="7">
        <f t="shared" si="17"/>
        <v>13</v>
      </c>
    </row>
    <row r="105" spans="1:8" ht="15" customHeight="1" x14ac:dyDescent="0.25">
      <c r="A105" s="11" t="s">
        <v>96</v>
      </c>
      <c r="B105" s="6">
        <v>1</v>
      </c>
      <c r="C105" s="16">
        <v>13</v>
      </c>
      <c r="D105" s="5">
        <f t="shared" ref="D105:D107" si="18">B105+C105</f>
        <v>14</v>
      </c>
      <c r="E105" s="6">
        <v>2</v>
      </c>
      <c r="F105" s="16">
        <v>16</v>
      </c>
      <c r="G105" s="5">
        <f t="shared" ref="G105:G107" si="19">E105+F105</f>
        <v>18</v>
      </c>
      <c r="H105" s="7">
        <f t="shared" ref="H105:H107" si="20">G105+D105</f>
        <v>32</v>
      </c>
    </row>
    <row r="106" spans="1:8" ht="15" customHeight="1" x14ac:dyDescent="0.25">
      <c r="A106" s="11" t="s">
        <v>99</v>
      </c>
      <c r="B106" s="6">
        <v>0</v>
      </c>
      <c r="C106" s="16">
        <v>0</v>
      </c>
      <c r="D106" s="5">
        <f t="shared" si="18"/>
        <v>0</v>
      </c>
      <c r="E106" s="6">
        <v>0</v>
      </c>
      <c r="F106" s="16">
        <v>3</v>
      </c>
      <c r="G106" s="5">
        <f t="shared" si="19"/>
        <v>3</v>
      </c>
      <c r="H106" s="7">
        <f t="shared" si="20"/>
        <v>3</v>
      </c>
    </row>
    <row r="107" spans="1:8" ht="15" customHeight="1" x14ac:dyDescent="0.25">
      <c r="A107" s="11" t="s">
        <v>100</v>
      </c>
      <c r="B107" s="6">
        <v>0</v>
      </c>
      <c r="C107" s="16">
        <v>1</v>
      </c>
      <c r="D107" s="5">
        <f t="shared" si="18"/>
        <v>1</v>
      </c>
      <c r="E107" s="6">
        <v>0</v>
      </c>
      <c r="F107" s="16">
        <v>1</v>
      </c>
      <c r="G107" s="5">
        <f t="shared" si="19"/>
        <v>1</v>
      </c>
      <c r="H107" s="7">
        <f t="shared" si="20"/>
        <v>2</v>
      </c>
    </row>
    <row r="108" spans="1:8" ht="15" customHeight="1" x14ac:dyDescent="0.25">
      <c r="A108" s="11" t="s">
        <v>208</v>
      </c>
      <c r="B108" s="6">
        <v>0</v>
      </c>
      <c r="C108" s="16">
        <v>0</v>
      </c>
      <c r="D108" s="5">
        <f t="shared" si="15"/>
        <v>0</v>
      </c>
      <c r="E108" s="6">
        <v>0</v>
      </c>
      <c r="F108" s="16">
        <v>1</v>
      </c>
      <c r="G108" s="5">
        <f t="shared" si="16"/>
        <v>1</v>
      </c>
      <c r="H108" s="7">
        <f t="shared" si="17"/>
        <v>1</v>
      </c>
    </row>
    <row r="109" spans="1:8" ht="15" customHeight="1" x14ac:dyDescent="0.25">
      <c r="A109" s="11" t="s">
        <v>101</v>
      </c>
      <c r="B109" s="6">
        <v>1</v>
      </c>
      <c r="C109" s="16">
        <v>9</v>
      </c>
      <c r="D109" s="5">
        <f t="shared" si="15"/>
        <v>10</v>
      </c>
      <c r="E109" s="6">
        <v>1</v>
      </c>
      <c r="F109" s="16">
        <v>3</v>
      </c>
      <c r="G109" s="5">
        <f t="shared" si="16"/>
        <v>4</v>
      </c>
      <c r="H109" s="7">
        <f t="shared" si="17"/>
        <v>14</v>
      </c>
    </row>
    <row r="110" spans="1:8" ht="15" customHeight="1" x14ac:dyDescent="0.25">
      <c r="A110" s="11" t="s">
        <v>102</v>
      </c>
      <c r="B110" s="6">
        <v>0</v>
      </c>
      <c r="C110" s="16">
        <v>1</v>
      </c>
      <c r="D110" s="5">
        <f t="shared" si="15"/>
        <v>1</v>
      </c>
      <c r="E110" s="6">
        <v>0</v>
      </c>
      <c r="F110" s="16">
        <v>0</v>
      </c>
      <c r="G110" s="5">
        <f t="shared" si="16"/>
        <v>0</v>
      </c>
      <c r="H110" s="7">
        <f t="shared" si="17"/>
        <v>1</v>
      </c>
    </row>
    <row r="111" spans="1:8" ht="15" customHeight="1" x14ac:dyDescent="0.25">
      <c r="A111" s="11" t="s">
        <v>186</v>
      </c>
      <c r="B111" s="6">
        <v>0</v>
      </c>
      <c r="C111" s="16">
        <v>0</v>
      </c>
      <c r="D111" s="5">
        <f t="shared" si="15"/>
        <v>0</v>
      </c>
      <c r="E111" s="6">
        <v>0</v>
      </c>
      <c r="F111" s="16">
        <v>2</v>
      </c>
      <c r="G111" s="5">
        <f t="shared" si="16"/>
        <v>2</v>
      </c>
      <c r="H111" s="7">
        <f t="shared" si="17"/>
        <v>2</v>
      </c>
    </row>
    <row r="112" spans="1:8" ht="15" customHeight="1" x14ac:dyDescent="0.25">
      <c r="A112" s="11" t="s">
        <v>103</v>
      </c>
      <c r="B112" s="6">
        <v>0</v>
      </c>
      <c r="C112" s="16">
        <v>0</v>
      </c>
      <c r="D112" s="5">
        <f t="shared" si="15"/>
        <v>0</v>
      </c>
      <c r="E112" s="6">
        <v>0</v>
      </c>
      <c r="F112" s="16">
        <v>1</v>
      </c>
      <c r="G112" s="5">
        <f t="shared" si="16"/>
        <v>1</v>
      </c>
      <c r="H112" s="7">
        <f t="shared" si="17"/>
        <v>1</v>
      </c>
    </row>
    <row r="113" spans="1:8" ht="15" customHeight="1" x14ac:dyDescent="0.25">
      <c r="A113" s="11" t="s">
        <v>104</v>
      </c>
      <c r="B113" s="6">
        <v>13</v>
      </c>
      <c r="C113" s="16">
        <v>22</v>
      </c>
      <c r="D113" s="5">
        <f t="shared" si="15"/>
        <v>35</v>
      </c>
      <c r="E113" s="6">
        <v>8</v>
      </c>
      <c r="F113" s="16">
        <v>33</v>
      </c>
      <c r="G113" s="5">
        <f t="shared" si="16"/>
        <v>41</v>
      </c>
      <c r="H113" s="7">
        <f t="shared" si="17"/>
        <v>76</v>
      </c>
    </row>
    <row r="114" spans="1:8" ht="15" customHeight="1" x14ac:dyDescent="0.25">
      <c r="A114" s="11" t="s">
        <v>188</v>
      </c>
      <c r="B114" s="6">
        <v>0</v>
      </c>
      <c r="C114" s="16">
        <v>1</v>
      </c>
      <c r="D114" s="5">
        <f t="shared" si="15"/>
        <v>1</v>
      </c>
      <c r="E114" s="6">
        <v>0</v>
      </c>
      <c r="F114" s="16">
        <v>0</v>
      </c>
      <c r="G114" s="5">
        <f t="shared" si="16"/>
        <v>0</v>
      </c>
      <c r="H114" s="7">
        <f t="shared" si="17"/>
        <v>1</v>
      </c>
    </row>
    <row r="115" spans="1:8" ht="15" customHeight="1" x14ac:dyDescent="0.25">
      <c r="A115" s="11" t="s">
        <v>105</v>
      </c>
      <c r="B115" s="6">
        <v>1</v>
      </c>
      <c r="C115" s="16">
        <v>1</v>
      </c>
      <c r="D115" s="5">
        <f t="shared" si="15"/>
        <v>2</v>
      </c>
      <c r="E115" s="6">
        <v>1</v>
      </c>
      <c r="F115" s="16">
        <v>2</v>
      </c>
      <c r="G115" s="5">
        <f t="shared" si="16"/>
        <v>3</v>
      </c>
      <c r="H115" s="7">
        <f t="shared" si="17"/>
        <v>5</v>
      </c>
    </row>
    <row r="116" spans="1:8" ht="15" customHeight="1" x14ac:dyDescent="0.25">
      <c r="A116" s="11" t="s">
        <v>106</v>
      </c>
      <c r="B116" s="6">
        <v>8</v>
      </c>
      <c r="C116" s="16">
        <v>0</v>
      </c>
      <c r="D116" s="5">
        <f t="shared" si="15"/>
        <v>8</v>
      </c>
      <c r="E116" s="6">
        <v>5</v>
      </c>
      <c r="F116" s="16">
        <v>0</v>
      </c>
      <c r="G116" s="5">
        <f t="shared" si="16"/>
        <v>5</v>
      </c>
      <c r="H116" s="7">
        <f t="shared" si="17"/>
        <v>13</v>
      </c>
    </row>
    <row r="117" spans="1:8" ht="15" customHeight="1" x14ac:dyDescent="0.25">
      <c r="A117" s="11" t="s">
        <v>107</v>
      </c>
      <c r="B117" s="6">
        <v>1</v>
      </c>
      <c r="C117" s="16">
        <v>4</v>
      </c>
      <c r="D117" s="5">
        <f t="shared" si="15"/>
        <v>5</v>
      </c>
      <c r="E117" s="6">
        <v>10</v>
      </c>
      <c r="F117" s="16">
        <v>16</v>
      </c>
      <c r="G117" s="5">
        <f t="shared" si="16"/>
        <v>26</v>
      </c>
      <c r="H117" s="7">
        <f t="shared" si="17"/>
        <v>31</v>
      </c>
    </row>
    <row r="118" spans="1:8" ht="15" customHeight="1" x14ac:dyDescent="0.25">
      <c r="A118" s="11" t="s">
        <v>108</v>
      </c>
      <c r="B118" s="6">
        <v>2</v>
      </c>
      <c r="C118" s="16">
        <v>5</v>
      </c>
      <c r="D118" s="5">
        <f t="shared" si="15"/>
        <v>7</v>
      </c>
      <c r="E118" s="6">
        <v>5</v>
      </c>
      <c r="F118" s="16">
        <v>6</v>
      </c>
      <c r="G118" s="5">
        <f t="shared" si="16"/>
        <v>11</v>
      </c>
      <c r="H118" s="7">
        <f t="shared" si="17"/>
        <v>18</v>
      </c>
    </row>
    <row r="119" spans="1:8" ht="15" customHeight="1" x14ac:dyDescent="0.25">
      <c r="A119" s="11" t="s">
        <v>154</v>
      </c>
      <c r="B119" s="6">
        <v>0</v>
      </c>
      <c r="C119" s="16">
        <v>0</v>
      </c>
      <c r="D119" s="5">
        <f t="shared" si="15"/>
        <v>0</v>
      </c>
      <c r="E119" s="6">
        <v>0</v>
      </c>
      <c r="F119" s="16">
        <v>1</v>
      </c>
      <c r="G119" s="5">
        <f t="shared" si="16"/>
        <v>1</v>
      </c>
      <c r="H119" s="7">
        <f t="shared" si="17"/>
        <v>1</v>
      </c>
    </row>
    <row r="120" spans="1:8" ht="15" customHeight="1" x14ac:dyDescent="0.25">
      <c r="A120" s="11" t="s">
        <v>110</v>
      </c>
      <c r="B120" s="6">
        <v>0</v>
      </c>
      <c r="C120" s="16">
        <v>2</v>
      </c>
      <c r="D120" s="5">
        <f t="shared" si="15"/>
        <v>2</v>
      </c>
      <c r="E120" s="6">
        <v>0</v>
      </c>
      <c r="F120" s="16">
        <v>8</v>
      </c>
      <c r="G120" s="5">
        <f t="shared" si="16"/>
        <v>8</v>
      </c>
      <c r="H120" s="7">
        <f t="shared" si="17"/>
        <v>10</v>
      </c>
    </row>
    <row r="121" spans="1:8" ht="15" customHeight="1" x14ac:dyDescent="0.25">
      <c r="A121" s="11" t="s">
        <v>243</v>
      </c>
      <c r="B121" s="6">
        <v>0</v>
      </c>
      <c r="C121" s="16">
        <v>0</v>
      </c>
      <c r="D121" s="5">
        <f t="shared" si="15"/>
        <v>0</v>
      </c>
      <c r="E121" s="6">
        <v>0</v>
      </c>
      <c r="F121" s="16">
        <v>1</v>
      </c>
      <c r="G121" s="5">
        <f t="shared" si="16"/>
        <v>1</v>
      </c>
      <c r="H121" s="7">
        <f t="shared" si="17"/>
        <v>1</v>
      </c>
    </row>
    <row r="122" spans="1:8" ht="15" customHeight="1" x14ac:dyDescent="0.25">
      <c r="A122" s="11" t="s">
        <v>155</v>
      </c>
      <c r="B122" s="6">
        <v>0</v>
      </c>
      <c r="C122" s="16">
        <v>0</v>
      </c>
      <c r="D122" s="5">
        <f t="shared" si="15"/>
        <v>0</v>
      </c>
      <c r="E122" s="6">
        <v>1</v>
      </c>
      <c r="F122" s="16">
        <v>0</v>
      </c>
      <c r="G122" s="5">
        <f t="shared" si="16"/>
        <v>1</v>
      </c>
      <c r="H122" s="7">
        <f t="shared" si="17"/>
        <v>1</v>
      </c>
    </row>
    <row r="123" spans="1:8" ht="15" customHeight="1" x14ac:dyDescent="0.25">
      <c r="A123" s="11" t="s">
        <v>111</v>
      </c>
      <c r="B123" s="6">
        <v>2</v>
      </c>
      <c r="C123" s="16">
        <v>0</v>
      </c>
      <c r="D123" s="5">
        <f t="shared" si="15"/>
        <v>2</v>
      </c>
      <c r="E123" s="6">
        <v>1</v>
      </c>
      <c r="F123" s="16">
        <v>6</v>
      </c>
      <c r="G123" s="5">
        <f t="shared" si="16"/>
        <v>7</v>
      </c>
      <c r="H123" s="7">
        <f t="shared" si="17"/>
        <v>9</v>
      </c>
    </row>
    <row r="124" spans="1:8" ht="15" customHeight="1" x14ac:dyDescent="0.25">
      <c r="A124" s="11" t="s">
        <v>112</v>
      </c>
      <c r="B124" s="6">
        <v>0</v>
      </c>
      <c r="C124" s="16">
        <v>1</v>
      </c>
      <c r="D124" s="5">
        <f t="shared" si="15"/>
        <v>1</v>
      </c>
      <c r="E124" s="6">
        <v>0</v>
      </c>
      <c r="F124" s="16">
        <v>0</v>
      </c>
      <c r="G124" s="5">
        <f t="shared" si="16"/>
        <v>0</v>
      </c>
      <c r="H124" s="7">
        <f t="shared" si="17"/>
        <v>1</v>
      </c>
    </row>
    <row r="125" spans="1:8" ht="15" customHeight="1" x14ac:dyDescent="0.25">
      <c r="A125" s="11" t="s">
        <v>113</v>
      </c>
      <c r="B125" s="6">
        <v>4</v>
      </c>
      <c r="C125" s="16">
        <v>0</v>
      </c>
      <c r="D125" s="5">
        <f t="shared" si="15"/>
        <v>4</v>
      </c>
      <c r="E125" s="6">
        <v>2</v>
      </c>
      <c r="F125" s="16">
        <v>2</v>
      </c>
      <c r="G125" s="5">
        <f t="shared" si="16"/>
        <v>4</v>
      </c>
      <c r="H125" s="7">
        <f t="shared" si="17"/>
        <v>8</v>
      </c>
    </row>
    <row r="126" spans="1:8" ht="15" customHeight="1" thickBot="1" x14ac:dyDescent="0.3">
      <c r="A126" s="11" t="s">
        <v>114</v>
      </c>
      <c r="B126" s="6">
        <v>1</v>
      </c>
      <c r="C126" s="16">
        <v>0</v>
      </c>
      <c r="D126" s="5">
        <f t="shared" si="15"/>
        <v>1</v>
      </c>
      <c r="E126" s="6">
        <v>1</v>
      </c>
      <c r="F126" s="16">
        <v>4</v>
      </c>
      <c r="G126" s="5">
        <f t="shared" si="16"/>
        <v>5</v>
      </c>
      <c r="H126" s="7">
        <f t="shared" si="17"/>
        <v>6</v>
      </c>
    </row>
    <row r="127" spans="1:8" ht="15" customHeight="1" thickTop="1" thickBot="1" x14ac:dyDescent="0.3">
      <c r="A127" s="12" t="s">
        <v>6</v>
      </c>
      <c r="B127" s="13">
        <f t="shared" ref="B127:H127" si="21">SUM(B95:B126)</f>
        <v>45</v>
      </c>
      <c r="C127" s="13">
        <f t="shared" si="21"/>
        <v>75</v>
      </c>
      <c r="D127" s="13">
        <f t="shared" si="21"/>
        <v>120</v>
      </c>
      <c r="E127" s="13">
        <f t="shared" si="21"/>
        <v>43</v>
      </c>
      <c r="F127" s="13">
        <f t="shared" si="21"/>
        <v>137</v>
      </c>
      <c r="G127" s="13">
        <f t="shared" si="21"/>
        <v>180</v>
      </c>
      <c r="H127" s="15">
        <f t="shared" si="21"/>
        <v>300</v>
      </c>
    </row>
    <row r="128" spans="1:8" ht="15" customHeight="1" thickTop="1" thickBot="1" x14ac:dyDescent="0.3">
      <c r="A128" s="23" t="s">
        <v>115</v>
      </c>
      <c r="B128" s="24"/>
      <c r="C128" s="24"/>
      <c r="D128" s="24"/>
      <c r="E128" s="24"/>
      <c r="F128" s="24"/>
      <c r="G128" s="24"/>
      <c r="H128" s="25"/>
    </row>
    <row r="129" spans="1:8" ht="15" customHeight="1" thickTop="1" x14ac:dyDescent="0.25">
      <c r="A129" s="11" t="s">
        <v>116</v>
      </c>
      <c r="B129" s="6">
        <v>8</v>
      </c>
      <c r="C129" s="16">
        <v>17</v>
      </c>
      <c r="D129" s="5">
        <f t="shared" ref="D129:D130" si="22">B129+C129</f>
        <v>25</v>
      </c>
      <c r="E129" s="6">
        <v>6</v>
      </c>
      <c r="F129" s="16">
        <v>33</v>
      </c>
      <c r="G129" s="5">
        <f t="shared" ref="G129:G130" si="23">E129+F129</f>
        <v>39</v>
      </c>
      <c r="H129" s="7">
        <f t="shared" ref="H129:H130" si="24">G129+D129</f>
        <v>64</v>
      </c>
    </row>
    <row r="130" spans="1:8" ht="15" customHeight="1" thickBot="1" x14ac:dyDescent="0.3">
      <c r="A130" s="11" t="s">
        <v>117</v>
      </c>
      <c r="B130" s="6">
        <v>24</v>
      </c>
      <c r="C130" s="16">
        <v>270</v>
      </c>
      <c r="D130" s="5">
        <f t="shared" si="22"/>
        <v>294</v>
      </c>
      <c r="E130" s="6">
        <v>17</v>
      </c>
      <c r="F130" s="16">
        <v>150</v>
      </c>
      <c r="G130" s="5">
        <f t="shared" si="23"/>
        <v>167</v>
      </c>
      <c r="H130" s="7">
        <f t="shared" si="24"/>
        <v>461</v>
      </c>
    </row>
    <row r="131" spans="1:8" ht="15" customHeight="1" thickTop="1" thickBot="1" x14ac:dyDescent="0.3">
      <c r="A131" s="12" t="s">
        <v>6</v>
      </c>
      <c r="B131" s="13">
        <f>SUM(B129:B130)</f>
        <v>32</v>
      </c>
      <c r="C131" s="13">
        <f t="shared" ref="C131:H131" si="25">SUM(C129:C130)</f>
        <v>287</v>
      </c>
      <c r="D131" s="13">
        <f t="shared" si="25"/>
        <v>319</v>
      </c>
      <c r="E131" s="13">
        <f t="shared" si="25"/>
        <v>23</v>
      </c>
      <c r="F131" s="13">
        <f t="shared" si="25"/>
        <v>183</v>
      </c>
      <c r="G131" s="13">
        <f t="shared" si="25"/>
        <v>206</v>
      </c>
      <c r="H131" s="15">
        <f t="shared" si="25"/>
        <v>525</v>
      </c>
    </row>
    <row r="132" spans="1:8" ht="15" customHeight="1" thickTop="1" thickBot="1" x14ac:dyDescent="0.3">
      <c r="A132" s="23" t="s">
        <v>145</v>
      </c>
      <c r="B132" s="24"/>
      <c r="C132" s="24"/>
      <c r="D132" s="24"/>
      <c r="E132" s="24"/>
      <c r="F132" s="24"/>
      <c r="G132" s="24"/>
      <c r="H132" s="25"/>
    </row>
    <row r="133" spans="1:8" ht="15" customHeight="1" thickTop="1" x14ac:dyDescent="0.25">
      <c r="A133" s="11" t="s">
        <v>118</v>
      </c>
      <c r="B133" s="6">
        <v>0</v>
      </c>
      <c r="C133" s="16">
        <v>0</v>
      </c>
      <c r="D133" s="5">
        <f t="shared" ref="D133:D141" si="26">B133+C133</f>
        <v>0</v>
      </c>
      <c r="E133" s="6">
        <v>0</v>
      </c>
      <c r="F133" s="16">
        <v>1</v>
      </c>
      <c r="G133" s="5">
        <f t="shared" ref="G133:G141" si="27">E133+F133</f>
        <v>1</v>
      </c>
      <c r="H133" s="7">
        <f t="shared" ref="H133:H141" si="28">G133+D133</f>
        <v>1</v>
      </c>
    </row>
    <row r="134" spans="1:8" ht="15" customHeight="1" x14ac:dyDescent="0.25">
      <c r="A134" s="11" t="s">
        <v>119</v>
      </c>
      <c r="B134" s="6">
        <v>0</v>
      </c>
      <c r="C134" s="16">
        <v>0</v>
      </c>
      <c r="D134" s="5">
        <f t="shared" si="26"/>
        <v>0</v>
      </c>
      <c r="E134" s="6">
        <v>0</v>
      </c>
      <c r="F134" s="16">
        <v>1</v>
      </c>
      <c r="G134" s="5">
        <f t="shared" si="27"/>
        <v>1</v>
      </c>
      <c r="H134" s="7">
        <f t="shared" si="28"/>
        <v>1</v>
      </c>
    </row>
    <row r="135" spans="1:8" ht="15" customHeight="1" x14ac:dyDescent="0.25">
      <c r="A135" s="11" t="s">
        <v>120</v>
      </c>
      <c r="B135" s="6">
        <v>0</v>
      </c>
      <c r="C135" s="16">
        <v>0</v>
      </c>
      <c r="D135" s="5">
        <f t="shared" si="26"/>
        <v>0</v>
      </c>
      <c r="E135" s="6">
        <v>0</v>
      </c>
      <c r="F135" s="16">
        <v>1</v>
      </c>
      <c r="G135" s="5">
        <f t="shared" si="27"/>
        <v>1</v>
      </c>
      <c r="H135" s="7">
        <f t="shared" si="28"/>
        <v>1</v>
      </c>
    </row>
    <row r="136" spans="1:8" ht="15" customHeight="1" x14ac:dyDescent="0.25">
      <c r="A136" s="11" t="s">
        <v>122</v>
      </c>
      <c r="B136" s="6">
        <v>0</v>
      </c>
      <c r="C136" s="16">
        <v>0</v>
      </c>
      <c r="D136" s="5">
        <f t="shared" si="26"/>
        <v>0</v>
      </c>
      <c r="E136" s="6">
        <v>1</v>
      </c>
      <c r="F136" s="16">
        <v>0</v>
      </c>
      <c r="G136" s="5">
        <f t="shared" si="27"/>
        <v>1</v>
      </c>
      <c r="H136" s="7">
        <f t="shared" si="28"/>
        <v>1</v>
      </c>
    </row>
    <row r="137" spans="1:8" ht="15" customHeight="1" x14ac:dyDescent="0.25">
      <c r="A137" s="11" t="s">
        <v>123</v>
      </c>
      <c r="B137" s="6">
        <v>1</v>
      </c>
      <c r="C137" s="16">
        <v>2</v>
      </c>
      <c r="D137" s="5">
        <f t="shared" si="26"/>
        <v>3</v>
      </c>
      <c r="E137" s="6">
        <v>2</v>
      </c>
      <c r="F137" s="16">
        <v>6</v>
      </c>
      <c r="G137" s="5">
        <f t="shared" si="27"/>
        <v>8</v>
      </c>
      <c r="H137" s="7">
        <f t="shared" si="28"/>
        <v>11</v>
      </c>
    </row>
    <row r="138" spans="1:8" ht="15" customHeight="1" x14ac:dyDescent="0.25">
      <c r="A138" s="11" t="s">
        <v>191</v>
      </c>
      <c r="B138" s="6">
        <v>0</v>
      </c>
      <c r="C138" s="16">
        <v>4</v>
      </c>
      <c r="D138" s="5">
        <f t="shared" si="26"/>
        <v>4</v>
      </c>
      <c r="E138" s="6">
        <v>0</v>
      </c>
      <c r="F138" s="16">
        <v>0</v>
      </c>
      <c r="G138" s="5">
        <f t="shared" si="27"/>
        <v>0</v>
      </c>
      <c r="H138" s="7">
        <f t="shared" si="28"/>
        <v>4</v>
      </c>
    </row>
    <row r="139" spans="1:8" ht="15" customHeight="1" x14ac:dyDescent="0.25">
      <c r="A139" s="11" t="s">
        <v>124</v>
      </c>
      <c r="B139" s="6">
        <v>0</v>
      </c>
      <c r="C139" s="16">
        <v>2</v>
      </c>
      <c r="D139" s="5">
        <f t="shared" si="26"/>
        <v>2</v>
      </c>
      <c r="E139" s="6">
        <v>0</v>
      </c>
      <c r="F139" s="16">
        <v>0</v>
      </c>
      <c r="G139" s="5">
        <f t="shared" si="27"/>
        <v>0</v>
      </c>
      <c r="H139" s="7">
        <f t="shared" si="28"/>
        <v>2</v>
      </c>
    </row>
    <row r="140" spans="1:8" ht="15" customHeight="1" x14ac:dyDescent="0.25">
      <c r="A140" s="11" t="s">
        <v>244</v>
      </c>
      <c r="B140" s="6">
        <v>0</v>
      </c>
      <c r="C140" s="16">
        <v>1</v>
      </c>
      <c r="D140" s="5">
        <f t="shared" si="26"/>
        <v>1</v>
      </c>
      <c r="E140" s="6">
        <v>0</v>
      </c>
      <c r="F140" s="16">
        <v>0</v>
      </c>
      <c r="G140" s="5">
        <f t="shared" si="27"/>
        <v>0</v>
      </c>
      <c r="H140" s="7">
        <f t="shared" si="28"/>
        <v>1</v>
      </c>
    </row>
    <row r="141" spans="1:8" ht="15" customHeight="1" thickBot="1" x14ac:dyDescent="0.3">
      <c r="A141" s="11" t="s">
        <v>245</v>
      </c>
      <c r="B141" s="6">
        <v>1</v>
      </c>
      <c r="C141" s="16">
        <v>4</v>
      </c>
      <c r="D141" s="5">
        <f t="shared" si="26"/>
        <v>5</v>
      </c>
      <c r="E141" s="6">
        <v>0</v>
      </c>
      <c r="F141" s="16">
        <v>6</v>
      </c>
      <c r="G141" s="5">
        <f t="shared" si="27"/>
        <v>6</v>
      </c>
      <c r="H141" s="7">
        <f t="shared" si="28"/>
        <v>11</v>
      </c>
    </row>
    <row r="142" spans="1:8" ht="15" customHeight="1" thickTop="1" thickBot="1" x14ac:dyDescent="0.3">
      <c r="A142" s="12" t="s">
        <v>6</v>
      </c>
      <c r="B142" s="13">
        <f>SUM(B133:B141)</f>
        <v>2</v>
      </c>
      <c r="C142" s="13">
        <f t="shared" ref="C142:H142" si="29">SUM(C133:C141)</f>
        <v>13</v>
      </c>
      <c r="D142" s="13">
        <f t="shared" si="29"/>
        <v>15</v>
      </c>
      <c r="E142" s="13">
        <f t="shared" si="29"/>
        <v>3</v>
      </c>
      <c r="F142" s="13">
        <f t="shared" si="29"/>
        <v>15</v>
      </c>
      <c r="G142" s="13">
        <f t="shared" si="29"/>
        <v>18</v>
      </c>
      <c r="H142" s="15">
        <f t="shared" si="29"/>
        <v>33</v>
      </c>
    </row>
    <row r="143" spans="1:8" ht="15" customHeight="1" thickTop="1" thickBot="1" x14ac:dyDescent="0.3">
      <c r="A143" s="23" t="s">
        <v>127</v>
      </c>
      <c r="B143" s="24"/>
      <c r="C143" s="24"/>
      <c r="D143" s="24"/>
      <c r="E143" s="24"/>
      <c r="F143" s="24"/>
      <c r="G143" s="24"/>
      <c r="H143" s="25"/>
    </row>
    <row r="144" spans="1:8" ht="15" customHeight="1" thickTop="1" x14ac:dyDescent="0.25">
      <c r="A144" s="11" t="s">
        <v>128</v>
      </c>
      <c r="B144" s="6">
        <v>1</v>
      </c>
      <c r="C144" s="16">
        <v>1</v>
      </c>
      <c r="D144" s="5">
        <f t="shared" ref="D144:D159" si="30">B144+C144</f>
        <v>2</v>
      </c>
      <c r="E144" s="6">
        <v>2</v>
      </c>
      <c r="F144" s="16">
        <v>9</v>
      </c>
      <c r="G144" s="5">
        <f t="shared" ref="G144:G159" si="31">E144+F144</f>
        <v>11</v>
      </c>
      <c r="H144" s="7">
        <f t="shared" ref="H144:H160" si="32">G144+D144</f>
        <v>13</v>
      </c>
    </row>
    <row r="145" spans="1:8" ht="15" customHeight="1" x14ac:dyDescent="0.25">
      <c r="A145" s="11" t="s">
        <v>129</v>
      </c>
      <c r="B145" s="6">
        <v>0</v>
      </c>
      <c r="C145" s="16">
        <v>1</v>
      </c>
      <c r="D145" s="5">
        <f t="shared" si="30"/>
        <v>1</v>
      </c>
      <c r="E145" s="6">
        <v>0</v>
      </c>
      <c r="F145" s="16">
        <v>0</v>
      </c>
      <c r="G145" s="5">
        <f t="shared" si="31"/>
        <v>0</v>
      </c>
      <c r="H145" s="7">
        <f t="shared" si="32"/>
        <v>1</v>
      </c>
    </row>
    <row r="146" spans="1:8" ht="15" customHeight="1" x14ac:dyDescent="0.25">
      <c r="A146" s="11" t="s">
        <v>215</v>
      </c>
      <c r="B146" s="6">
        <v>1</v>
      </c>
      <c r="C146" s="16">
        <v>0</v>
      </c>
      <c r="D146" s="5">
        <f t="shared" si="30"/>
        <v>1</v>
      </c>
      <c r="E146" s="6">
        <v>0</v>
      </c>
      <c r="F146" s="16">
        <v>0</v>
      </c>
      <c r="G146" s="5">
        <f t="shared" si="31"/>
        <v>0</v>
      </c>
      <c r="H146" s="7">
        <f t="shared" si="32"/>
        <v>1</v>
      </c>
    </row>
    <row r="147" spans="1:8" ht="15" customHeight="1" x14ac:dyDescent="0.25">
      <c r="A147" s="11" t="s">
        <v>130</v>
      </c>
      <c r="B147" s="6">
        <v>2</v>
      </c>
      <c r="C147" s="16">
        <v>3</v>
      </c>
      <c r="D147" s="5">
        <f t="shared" si="30"/>
        <v>5</v>
      </c>
      <c r="E147" s="6">
        <v>3</v>
      </c>
      <c r="F147" s="16">
        <v>36</v>
      </c>
      <c r="G147" s="5">
        <f t="shared" si="31"/>
        <v>39</v>
      </c>
      <c r="H147" s="7">
        <f t="shared" si="32"/>
        <v>44</v>
      </c>
    </row>
    <row r="148" spans="1:8" ht="15" customHeight="1" x14ac:dyDescent="0.25">
      <c r="A148" s="11" t="s">
        <v>131</v>
      </c>
      <c r="B148" s="6">
        <v>0</v>
      </c>
      <c r="C148" s="16">
        <v>1</v>
      </c>
      <c r="D148" s="5">
        <f t="shared" si="30"/>
        <v>1</v>
      </c>
      <c r="E148" s="6">
        <v>0</v>
      </c>
      <c r="F148" s="16">
        <v>5</v>
      </c>
      <c r="G148" s="5">
        <f t="shared" si="31"/>
        <v>5</v>
      </c>
      <c r="H148" s="7">
        <f t="shared" si="32"/>
        <v>6</v>
      </c>
    </row>
    <row r="149" spans="1:8" ht="15" customHeight="1" x14ac:dyDescent="0.25">
      <c r="A149" s="11" t="s">
        <v>132</v>
      </c>
      <c r="B149" s="6">
        <v>1</v>
      </c>
      <c r="C149" s="16">
        <v>1</v>
      </c>
      <c r="D149" s="5">
        <f t="shared" si="30"/>
        <v>2</v>
      </c>
      <c r="E149" s="6">
        <v>0</v>
      </c>
      <c r="F149" s="16">
        <v>7</v>
      </c>
      <c r="G149" s="5">
        <f t="shared" si="31"/>
        <v>7</v>
      </c>
      <c r="H149" s="7">
        <f t="shared" si="32"/>
        <v>9</v>
      </c>
    </row>
    <row r="150" spans="1:8" ht="15" customHeight="1" x14ac:dyDescent="0.25">
      <c r="A150" s="11" t="s">
        <v>196</v>
      </c>
      <c r="B150" s="6">
        <v>0</v>
      </c>
      <c r="C150" s="16">
        <v>0</v>
      </c>
      <c r="D150" s="5">
        <f t="shared" si="30"/>
        <v>0</v>
      </c>
      <c r="E150" s="6">
        <v>1</v>
      </c>
      <c r="F150" s="16">
        <v>1</v>
      </c>
      <c r="G150" s="5">
        <f t="shared" si="31"/>
        <v>2</v>
      </c>
      <c r="H150" s="7">
        <f t="shared" si="32"/>
        <v>2</v>
      </c>
    </row>
    <row r="151" spans="1:8" ht="15" customHeight="1" x14ac:dyDescent="0.25">
      <c r="A151" s="11" t="s">
        <v>197</v>
      </c>
      <c r="B151" s="6">
        <v>0</v>
      </c>
      <c r="C151" s="16">
        <v>0</v>
      </c>
      <c r="D151" s="5">
        <f t="shared" ref="D151:D152" si="33">B151+C151</f>
        <v>0</v>
      </c>
      <c r="E151" s="6">
        <v>1</v>
      </c>
      <c r="F151" s="16">
        <v>0</v>
      </c>
      <c r="G151" s="5">
        <f t="shared" ref="G151:G152" si="34">E151+F151</f>
        <v>1</v>
      </c>
      <c r="H151" s="7">
        <f t="shared" ref="H151:H152" si="35">G151+D151</f>
        <v>1</v>
      </c>
    </row>
    <row r="152" spans="1:8" ht="15" customHeight="1" x14ac:dyDescent="0.25">
      <c r="A152" s="11" t="s">
        <v>246</v>
      </c>
      <c r="B152" s="6">
        <v>0</v>
      </c>
      <c r="C152" s="16">
        <v>1</v>
      </c>
      <c r="D152" s="5">
        <f t="shared" si="33"/>
        <v>1</v>
      </c>
      <c r="E152" s="6">
        <v>0</v>
      </c>
      <c r="F152" s="16">
        <v>1</v>
      </c>
      <c r="G152" s="5">
        <f t="shared" si="34"/>
        <v>1</v>
      </c>
      <c r="H152" s="7">
        <f t="shared" si="35"/>
        <v>2</v>
      </c>
    </row>
    <row r="153" spans="1:8" ht="15" customHeight="1" x14ac:dyDescent="0.25">
      <c r="A153" s="11" t="s">
        <v>134</v>
      </c>
      <c r="B153" s="6">
        <v>0</v>
      </c>
      <c r="C153" s="16">
        <v>2</v>
      </c>
      <c r="D153" s="5">
        <f t="shared" si="30"/>
        <v>2</v>
      </c>
      <c r="E153" s="6">
        <v>0</v>
      </c>
      <c r="F153" s="16">
        <v>0</v>
      </c>
      <c r="G153" s="5">
        <f t="shared" si="31"/>
        <v>0</v>
      </c>
      <c r="H153" s="7">
        <f t="shared" si="32"/>
        <v>2</v>
      </c>
    </row>
    <row r="154" spans="1:8" ht="15" customHeight="1" x14ac:dyDescent="0.25">
      <c r="A154" s="11" t="s">
        <v>135</v>
      </c>
      <c r="B154" s="6">
        <v>0</v>
      </c>
      <c r="C154" s="16">
        <v>2</v>
      </c>
      <c r="D154" s="5">
        <f t="shared" si="30"/>
        <v>2</v>
      </c>
      <c r="E154" s="6">
        <v>1</v>
      </c>
      <c r="F154" s="16">
        <v>36</v>
      </c>
      <c r="G154" s="5">
        <f t="shared" si="31"/>
        <v>37</v>
      </c>
      <c r="H154" s="7">
        <f t="shared" si="32"/>
        <v>39</v>
      </c>
    </row>
    <row r="155" spans="1:8" ht="15" customHeight="1" x14ac:dyDescent="0.25">
      <c r="A155" s="11" t="s">
        <v>200</v>
      </c>
      <c r="B155" s="6">
        <v>0</v>
      </c>
      <c r="C155" s="16">
        <v>1</v>
      </c>
      <c r="D155" s="5">
        <f t="shared" si="30"/>
        <v>1</v>
      </c>
      <c r="E155" s="6">
        <v>0</v>
      </c>
      <c r="F155" s="16">
        <v>0</v>
      </c>
      <c r="G155" s="5">
        <f t="shared" si="31"/>
        <v>0</v>
      </c>
      <c r="H155" s="7">
        <f t="shared" si="32"/>
        <v>1</v>
      </c>
    </row>
    <row r="156" spans="1:8" ht="15" customHeight="1" x14ac:dyDescent="0.25">
      <c r="A156" s="11" t="s">
        <v>201</v>
      </c>
      <c r="B156" s="6">
        <v>0</v>
      </c>
      <c r="C156" s="16">
        <v>0</v>
      </c>
      <c r="D156" s="5">
        <f t="shared" si="30"/>
        <v>0</v>
      </c>
      <c r="E156" s="6">
        <v>0</v>
      </c>
      <c r="F156" s="16">
        <v>1</v>
      </c>
      <c r="G156" s="5">
        <f t="shared" si="31"/>
        <v>1</v>
      </c>
      <c r="H156" s="7">
        <f t="shared" si="32"/>
        <v>1</v>
      </c>
    </row>
    <row r="157" spans="1:8" ht="15" customHeight="1" x14ac:dyDescent="0.25">
      <c r="A157" s="11" t="s">
        <v>136</v>
      </c>
      <c r="B157" s="6">
        <v>0</v>
      </c>
      <c r="C157" s="16">
        <v>3</v>
      </c>
      <c r="D157" s="5">
        <f t="shared" si="30"/>
        <v>3</v>
      </c>
      <c r="E157" s="6">
        <v>1</v>
      </c>
      <c r="F157" s="16">
        <v>6</v>
      </c>
      <c r="G157" s="5">
        <f t="shared" si="31"/>
        <v>7</v>
      </c>
      <c r="H157" s="7">
        <f t="shared" si="32"/>
        <v>10</v>
      </c>
    </row>
    <row r="158" spans="1:8" ht="15" customHeight="1" x14ac:dyDescent="0.25">
      <c r="A158" s="11" t="s">
        <v>233</v>
      </c>
      <c r="B158" s="6">
        <v>0</v>
      </c>
      <c r="C158" s="16">
        <v>1</v>
      </c>
      <c r="D158" s="5">
        <f t="shared" si="30"/>
        <v>1</v>
      </c>
      <c r="E158" s="6">
        <v>0</v>
      </c>
      <c r="F158" s="16">
        <v>0</v>
      </c>
      <c r="G158" s="5">
        <f t="shared" si="31"/>
        <v>0</v>
      </c>
      <c r="H158" s="7">
        <f t="shared" si="32"/>
        <v>1</v>
      </c>
    </row>
    <row r="159" spans="1:8" ht="15" customHeight="1" thickBot="1" x14ac:dyDescent="0.3">
      <c r="A159" s="11" t="s">
        <v>203</v>
      </c>
      <c r="B159" s="6">
        <v>0</v>
      </c>
      <c r="C159" s="16">
        <v>1</v>
      </c>
      <c r="D159" s="5">
        <f t="shared" si="30"/>
        <v>1</v>
      </c>
      <c r="E159" s="6">
        <v>0</v>
      </c>
      <c r="F159" s="16">
        <v>2</v>
      </c>
      <c r="G159" s="5">
        <f t="shared" si="31"/>
        <v>2</v>
      </c>
      <c r="H159" s="7">
        <f t="shared" si="32"/>
        <v>3</v>
      </c>
    </row>
    <row r="160" spans="1:8" ht="15" customHeight="1" thickTop="1" thickBot="1" x14ac:dyDescent="0.3">
      <c r="A160" s="12" t="s">
        <v>6</v>
      </c>
      <c r="B160" s="14">
        <f>SUM(B144:B159)</f>
        <v>5</v>
      </c>
      <c r="C160" s="14">
        <f t="shared" ref="C160:H160" si="36">SUM(C144:C159)</f>
        <v>18</v>
      </c>
      <c r="D160" s="14">
        <f t="shared" si="36"/>
        <v>23</v>
      </c>
      <c r="E160" s="14">
        <f t="shared" si="36"/>
        <v>9</v>
      </c>
      <c r="F160" s="14">
        <f t="shared" si="36"/>
        <v>104</v>
      </c>
      <c r="G160" s="14">
        <f t="shared" si="36"/>
        <v>113</v>
      </c>
      <c r="H160" s="46">
        <f t="shared" si="36"/>
        <v>136</v>
      </c>
    </row>
    <row r="161" spans="1:8" ht="15" customHeight="1" thickTop="1" thickBot="1" x14ac:dyDescent="0.3">
      <c r="A161" s="23" t="s">
        <v>138</v>
      </c>
      <c r="B161" s="24"/>
      <c r="C161" s="24"/>
      <c r="D161" s="24"/>
      <c r="E161" s="24"/>
      <c r="F161" s="24"/>
      <c r="G161" s="24"/>
      <c r="H161" s="25"/>
    </row>
    <row r="162" spans="1:8" ht="15" customHeight="1" thickTop="1" x14ac:dyDescent="0.25">
      <c r="A162" s="11" t="s">
        <v>139</v>
      </c>
      <c r="B162" s="6">
        <v>18</v>
      </c>
      <c r="C162" s="16">
        <v>18</v>
      </c>
      <c r="D162" s="5">
        <f t="shared" ref="D162:D164" si="37">B162+C162</f>
        <v>36</v>
      </c>
      <c r="E162" s="6">
        <v>9</v>
      </c>
      <c r="F162" s="16">
        <v>17</v>
      </c>
      <c r="G162" s="5">
        <f t="shared" ref="G162:G164" si="38">E162+F162</f>
        <v>26</v>
      </c>
      <c r="H162" s="7">
        <f t="shared" ref="H162:H164" si="39">G162+D162</f>
        <v>62</v>
      </c>
    </row>
    <row r="163" spans="1:8" ht="15" customHeight="1" x14ac:dyDescent="0.25">
      <c r="A163" s="11" t="s">
        <v>140</v>
      </c>
      <c r="B163" s="6">
        <v>0</v>
      </c>
      <c r="C163" s="16">
        <v>0</v>
      </c>
      <c r="D163" s="5">
        <f t="shared" si="37"/>
        <v>0</v>
      </c>
      <c r="E163" s="6">
        <v>0</v>
      </c>
      <c r="F163" s="16">
        <v>1</v>
      </c>
      <c r="G163" s="5">
        <f t="shared" si="38"/>
        <v>1</v>
      </c>
      <c r="H163" s="7">
        <f t="shared" si="39"/>
        <v>1</v>
      </c>
    </row>
    <row r="164" spans="1:8" ht="15" customHeight="1" thickBot="1" x14ac:dyDescent="0.3">
      <c r="A164" s="11" t="s">
        <v>141</v>
      </c>
      <c r="B164" s="6">
        <v>5</v>
      </c>
      <c r="C164" s="16">
        <v>1</v>
      </c>
      <c r="D164" s="5">
        <f t="shared" si="37"/>
        <v>6</v>
      </c>
      <c r="E164" s="6">
        <v>4</v>
      </c>
      <c r="F164" s="16">
        <v>3</v>
      </c>
      <c r="G164" s="5">
        <f t="shared" si="38"/>
        <v>7</v>
      </c>
      <c r="H164" s="7">
        <f t="shared" si="39"/>
        <v>13</v>
      </c>
    </row>
    <row r="165" spans="1:8" ht="15" customHeight="1" thickTop="1" thickBot="1" x14ac:dyDescent="0.3">
      <c r="A165" s="12" t="s">
        <v>6</v>
      </c>
      <c r="B165" s="13">
        <f t="shared" ref="B165:H165" si="40">SUM(B162:B164)</f>
        <v>23</v>
      </c>
      <c r="C165" s="13">
        <f t="shared" si="40"/>
        <v>19</v>
      </c>
      <c r="D165" s="13">
        <f t="shared" si="40"/>
        <v>42</v>
      </c>
      <c r="E165" s="13">
        <f t="shared" si="40"/>
        <v>13</v>
      </c>
      <c r="F165" s="13">
        <f t="shared" si="40"/>
        <v>21</v>
      </c>
      <c r="G165" s="13">
        <f t="shared" si="40"/>
        <v>34</v>
      </c>
      <c r="H165" s="15">
        <f t="shared" si="40"/>
        <v>76</v>
      </c>
    </row>
    <row r="166" spans="1:8" ht="15" customHeight="1" thickTop="1" thickBot="1" x14ac:dyDescent="0.3">
      <c r="A166" s="23" t="s">
        <v>146</v>
      </c>
      <c r="B166" s="24"/>
      <c r="C166" s="24"/>
      <c r="D166" s="24"/>
      <c r="E166" s="24"/>
      <c r="F166" s="24"/>
      <c r="G166" s="24"/>
      <c r="H166" s="25"/>
    </row>
    <row r="167" spans="1:8" ht="15" customHeight="1" thickTop="1" x14ac:dyDescent="0.25">
      <c r="A167" s="11" t="s">
        <v>206</v>
      </c>
      <c r="B167" s="6">
        <v>11</v>
      </c>
      <c r="C167" s="16">
        <v>0</v>
      </c>
      <c r="D167" s="5">
        <f t="shared" ref="D167:D168" si="41">B167+C167</f>
        <v>11</v>
      </c>
      <c r="E167" s="6">
        <v>44</v>
      </c>
      <c r="F167" s="16">
        <v>0</v>
      </c>
      <c r="G167" s="5">
        <f t="shared" ref="G167:G168" si="42">E167+F167</f>
        <v>44</v>
      </c>
      <c r="H167" s="7">
        <f t="shared" ref="H167:H168" si="43">G167+D167</f>
        <v>55</v>
      </c>
    </row>
    <row r="168" spans="1:8" ht="15" customHeight="1" thickBot="1" x14ac:dyDescent="0.3">
      <c r="A168" s="11" t="s">
        <v>205</v>
      </c>
      <c r="B168" s="6">
        <v>0</v>
      </c>
      <c r="C168" s="16">
        <v>0</v>
      </c>
      <c r="D168" s="5">
        <f t="shared" si="41"/>
        <v>0</v>
      </c>
      <c r="E168" s="6"/>
      <c r="F168" s="16">
        <v>0</v>
      </c>
      <c r="G168" s="5">
        <f t="shared" si="42"/>
        <v>0</v>
      </c>
      <c r="H168" s="7">
        <f t="shared" si="43"/>
        <v>0</v>
      </c>
    </row>
    <row r="169" spans="1:8" ht="15" customHeight="1" thickTop="1" thickBot="1" x14ac:dyDescent="0.3">
      <c r="A169" s="12" t="s">
        <v>6</v>
      </c>
      <c r="B169" s="13">
        <f>SUM(B167:B168)</f>
        <v>11</v>
      </c>
      <c r="C169" s="13">
        <f t="shared" ref="C169:H169" si="44">SUM(C167:C168)</f>
        <v>0</v>
      </c>
      <c r="D169" s="13">
        <f t="shared" si="44"/>
        <v>11</v>
      </c>
      <c r="E169" s="13">
        <f t="shared" si="44"/>
        <v>44</v>
      </c>
      <c r="F169" s="13">
        <f t="shared" si="44"/>
        <v>0</v>
      </c>
      <c r="G169" s="13">
        <f t="shared" si="44"/>
        <v>44</v>
      </c>
      <c r="H169" s="15">
        <f t="shared" si="44"/>
        <v>55</v>
      </c>
    </row>
    <row r="170" spans="1:8" ht="15" customHeight="1" thickTop="1" thickBot="1" x14ac:dyDescent="0.3">
      <c r="A170" s="23"/>
      <c r="B170" s="24"/>
      <c r="C170" s="24"/>
      <c r="D170" s="24"/>
      <c r="E170" s="24"/>
      <c r="F170" s="24"/>
      <c r="G170" s="24"/>
      <c r="H170" s="25"/>
    </row>
    <row r="171" spans="1:8" ht="15" customHeight="1" thickTop="1" thickBot="1" x14ac:dyDescent="0.3">
      <c r="A171" s="43" t="s">
        <v>0</v>
      </c>
      <c r="B171" s="44">
        <f>B22+B50+B65+B93+B127+B131+B142+B160+B165+B169</f>
        <v>1317</v>
      </c>
      <c r="C171" s="44">
        <f t="shared" ref="C171:H171" si="45">C22+C50+C65+C93+C127+C131+C142+C160+C165+C169</f>
        <v>1147</v>
      </c>
      <c r="D171" s="44">
        <f t="shared" si="45"/>
        <v>2464</v>
      </c>
      <c r="E171" s="44">
        <f t="shared" si="45"/>
        <v>1372</v>
      </c>
      <c r="F171" s="44">
        <f t="shared" si="45"/>
        <v>1129</v>
      </c>
      <c r="G171" s="44">
        <f t="shared" si="45"/>
        <v>2501</v>
      </c>
      <c r="H171" s="45">
        <f t="shared" si="45"/>
        <v>4965</v>
      </c>
    </row>
    <row r="173" spans="1:8" ht="15" customHeight="1" x14ac:dyDescent="0.25">
      <c r="A173" s="47" t="s">
        <v>147</v>
      </c>
      <c r="B173" s="47"/>
      <c r="C173" s="47"/>
      <c r="D173" s="47"/>
      <c r="E173" s="47"/>
      <c r="F173" s="47"/>
      <c r="G173" s="47"/>
      <c r="H173" s="47"/>
    </row>
    <row r="174" spans="1:8" ht="15" customHeight="1" x14ac:dyDescent="0.25">
      <c r="A174" s="47" t="s">
        <v>218</v>
      </c>
      <c r="B174" s="47"/>
      <c r="C174" s="47"/>
      <c r="D174" s="47"/>
      <c r="E174" s="47"/>
      <c r="F174" s="47"/>
      <c r="G174" s="47"/>
      <c r="H174" s="47"/>
    </row>
    <row r="175" spans="1:8" ht="25.5" customHeight="1" x14ac:dyDescent="0.25"/>
    <row r="176" spans="1:8" ht="25.5" customHeight="1" x14ac:dyDescent="0.25"/>
  </sheetData>
  <mergeCells count="18">
    <mergeCell ref="A170:H170"/>
    <mergeCell ref="A173:H173"/>
    <mergeCell ref="A174:H174"/>
    <mergeCell ref="H5:H6"/>
    <mergeCell ref="A2:H2"/>
    <mergeCell ref="B5:D5"/>
    <mergeCell ref="E5:G5"/>
    <mergeCell ref="A7:H7"/>
    <mergeCell ref="A23:H23"/>
    <mergeCell ref="A166:H166"/>
    <mergeCell ref="A5:A6"/>
    <mergeCell ref="A66:H66"/>
    <mergeCell ref="A94:H94"/>
    <mergeCell ref="A128:H128"/>
    <mergeCell ref="A132:H132"/>
    <mergeCell ref="A143:H143"/>
    <mergeCell ref="A161:H161"/>
    <mergeCell ref="A51:H51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&amp;A&amp;RPage &amp;P of &amp;N</oddFooter>
  </headerFooter>
  <rowBreaks count="2" manualBreakCount="2">
    <brk id="93" max="16383" man="1"/>
    <brk id="131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6"/>
  <sheetViews>
    <sheetView view="pageLayout" topLeftCell="A163" zoomScale="85" zoomScaleNormal="100" zoomScalePageLayoutView="85" workbookViewId="0">
      <selection activeCell="A178" sqref="A178"/>
    </sheetView>
  </sheetViews>
  <sheetFormatPr defaultColWidth="9.140625" defaultRowHeight="15" customHeight="1" x14ac:dyDescent="0.25"/>
  <cols>
    <col min="1" max="1" width="19.7109375" bestFit="1" customWidth="1"/>
    <col min="2" max="8" width="6" customWidth="1"/>
    <col min="9" max="11" width="5.5703125" customWidth="1"/>
    <col min="12" max="13" width="5.7109375" bestFit="1" customWidth="1"/>
    <col min="14" max="14" width="5.7109375" customWidth="1"/>
    <col min="15" max="16" width="5.7109375" bestFit="1" customWidth="1"/>
  </cols>
  <sheetData>
    <row r="1" spans="1:9" s="21" customFormat="1" ht="15" customHeight="1" x14ac:dyDescent="0.25">
      <c r="A1" s="1" t="s">
        <v>7</v>
      </c>
      <c r="B1" s="3"/>
      <c r="C1"/>
      <c r="D1"/>
      <c r="E1"/>
      <c r="F1"/>
      <c r="G1"/>
      <c r="H1"/>
    </row>
    <row r="2" spans="1:9" ht="15" customHeight="1" x14ac:dyDescent="0.25">
      <c r="A2" s="31" t="s">
        <v>8</v>
      </c>
      <c r="B2" s="31"/>
      <c r="C2" s="31"/>
      <c r="D2" s="31"/>
      <c r="E2" s="31"/>
      <c r="F2" s="31"/>
      <c r="G2" s="31"/>
      <c r="H2" s="31"/>
    </row>
    <row r="3" spans="1:9" ht="15" customHeight="1" x14ac:dyDescent="0.25">
      <c r="A3" s="2" t="str">
        <f ca="1">RIGHT(CELL("filename",A1),LEN(CELL("filename",A1))-FIND("]",CELL("filename",A1)))</f>
        <v>1999-00</v>
      </c>
      <c r="B3" s="3"/>
    </row>
    <row r="4" spans="1:9" ht="15" customHeight="1" thickBot="1" x14ac:dyDescent="0.3">
      <c r="A4" s="3"/>
      <c r="B4" s="3"/>
    </row>
    <row r="5" spans="1:9" ht="15" customHeight="1" x14ac:dyDescent="0.25">
      <c r="A5" s="29" t="s">
        <v>3</v>
      </c>
      <c r="B5" s="26" t="s">
        <v>1</v>
      </c>
      <c r="C5" s="27"/>
      <c r="D5" s="27"/>
      <c r="E5" s="26" t="s">
        <v>2</v>
      </c>
      <c r="F5" s="27"/>
      <c r="G5" s="27"/>
      <c r="H5" s="62" t="s">
        <v>0</v>
      </c>
    </row>
    <row r="6" spans="1:9" ht="15" customHeight="1" x14ac:dyDescent="0.25">
      <c r="A6" s="30"/>
      <c r="B6" s="59" t="s">
        <v>4</v>
      </c>
      <c r="C6" s="60" t="s">
        <v>5</v>
      </c>
      <c r="D6" s="61" t="s">
        <v>0</v>
      </c>
      <c r="E6" s="59" t="s">
        <v>4</v>
      </c>
      <c r="F6" s="60" t="s">
        <v>5</v>
      </c>
      <c r="G6" s="61" t="s">
        <v>0</v>
      </c>
      <c r="H6" s="63"/>
      <c r="I6" s="22"/>
    </row>
    <row r="7" spans="1:9" ht="15" customHeight="1" thickBot="1" x14ac:dyDescent="0.3">
      <c r="A7" s="32" t="s">
        <v>9</v>
      </c>
      <c r="B7" s="33"/>
      <c r="C7" s="33"/>
      <c r="D7" s="33"/>
      <c r="E7" s="33"/>
      <c r="F7" s="33"/>
      <c r="G7" s="33"/>
      <c r="H7" s="34"/>
    </row>
    <row r="8" spans="1:9" ht="15" customHeight="1" thickTop="1" x14ac:dyDescent="0.25">
      <c r="A8" s="11" t="s">
        <v>10</v>
      </c>
      <c r="B8" s="6">
        <v>19</v>
      </c>
      <c r="C8" s="4">
        <v>2</v>
      </c>
      <c r="D8" s="5">
        <f t="shared" ref="D8:D21" si="0">B8+C8</f>
        <v>21</v>
      </c>
      <c r="E8" s="6">
        <v>25</v>
      </c>
      <c r="F8" s="4">
        <v>0</v>
      </c>
      <c r="G8" s="5">
        <f t="shared" ref="G8:G21" si="1">E8+F8</f>
        <v>25</v>
      </c>
      <c r="H8" s="7">
        <f t="shared" ref="H8:H21" si="2">G8+D8</f>
        <v>46</v>
      </c>
    </row>
    <row r="9" spans="1:9" ht="15" customHeight="1" x14ac:dyDescent="0.25">
      <c r="A9" s="11" t="s">
        <v>11</v>
      </c>
      <c r="B9" s="6">
        <v>17</v>
      </c>
      <c r="C9" s="4">
        <v>1</v>
      </c>
      <c r="D9" s="5">
        <f t="shared" si="0"/>
        <v>18</v>
      </c>
      <c r="E9" s="6">
        <v>25</v>
      </c>
      <c r="F9" s="4">
        <v>1</v>
      </c>
      <c r="G9" s="5">
        <f t="shared" si="1"/>
        <v>26</v>
      </c>
      <c r="H9" s="7">
        <f t="shared" si="2"/>
        <v>44</v>
      </c>
    </row>
    <row r="10" spans="1:9" ht="15" customHeight="1" x14ac:dyDescent="0.25">
      <c r="A10" s="11" t="s">
        <v>12</v>
      </c>
      <c r="B10" s="6">
        <v>32</v>
      </c>
      <c r="C10" s="4">
        <v>2</v>
      </c>
      <c r="D10" s="5">
        <f t="shared" si="0"/>
        <v>34</v>
      </c>
      <c r="E10" s="6">
        <v>36</v>
      </c>
      <c r="F10" s="4">
        <v>2</v>
      </c>
      <c r="G10" s="5">
        <f t="shared" si="1"/>
        <v>38</v>
      </c>
      <c r="H10" s="7">
        <f t="shared" si="2"/>
        <v>72</v>
      </c>
    </row>
    <row r="11" spans="1:9" ht="15" customHeight="1" x14ac:dyDescent="0.25">
      <c r="A11" s="11" t="s">
        <v>13</v>
      </c>
      <c r="B11" s="6">
        <v>56</v>
      </c>
      <c r="C11" s="4">
        <v>0</v>
      </c>
      <c r="D11" s="5">
        <f t="shared" si="0"/>
        <v>56</v>
      </c>
      <c r="E11" s="6">
        <v>96</v>
      </c>
      <c r="F11" s="4">
        <v>2</v>
      </c>
      <c r="G11" s="5">
        <f t="shared" si="1"/>
        <v>98</v>
      </c>
      <c r="H11" s="7">
        <f t="shared" si="2"/>
        <v>154</v>
      </c>
    </row>
    <row r="12" spans="1:9" ht="15" customHeight="1" x14ac:dyDescent="0.25">
      <c r="A12" s="11" t="s">
        <v>14</v>
      </c>
      <c r="B12" s="6">
        <v>44</v>
      </c>
      <c r="C12" s="4">
        <v>1</v>
      </c>
      <c r="D12" s="5">
        <f t="shared" si="0"/>
        <v>45</v>
      </c>
      <c r="E12" s="6">
        <v>10</v>
      </c>
      <c r="F12" s="4">
        <v>1</v>
      </c>
      <c r="G12" s="5">
        <f t="shared" si="1"/>
        <v>11</v>
      </c>
      <c r="H12" s="7">
        <f t="shared" si="2"/>
        <v>56</v>
      </c>
    </row>
    <row r="13" spans="1:9" ht="15" customHeight="1" x14ac:dyDescent="0.25">
      <c r="A13" s="11" t="s">
        <v>15</v>
      </c>
      <c r="B13" s="6">
        <v>111</v>
      </c>
      <c r="C13" s="4">
        <v>3</v>
      </c>
      <c r="D13" s="5">
        <f t="shared" si="0"/>
        <v>114</v>
      </c>
      <c r="E13" s="6">
        <v>68</v>
      </c>
      <c r="F13" s="4">
        <v>2</v>
      </c>
      <c r="G13" s="5">
        <f t="shared" si="1"/>
        <v>70</v>
      </c>
      <c r="H13" s="7">
        <f t="shared" si="2"/>
        <v>184</v>
      </c>
    </row>
    <row r="14" spans="1:9" ht="15" customHeight="1" x14ac:dyDescent="0.25">
      <c r="A14" s="11" t="s">
        <v>16</v>
      </c>
      <c r="B14" s="6">
        <v>153</v>
      </c>
      <c r="C14" s="4">
        <v>5</v>
      </c>
      <c r="D14" s="5">
        <f t="shared" si="0"/>
        <v>158</v>
      </c>
      <c r="E14" s="6">
        <v>191</v>
      </c>
      <c r="F14" s="4">
        <v>4</v>
      </c>
      <c r="G14" s="5">
        <f t="shared" si="1"/>
        <v>195</v>
      </c>
      <c r="H14" s="7">
        <f t="shared" si="2"/>
        <v>353</v>
      </c>
    </row>
    <row r="15" spans="1:9" ht="15" customHeight="1" x14ac:dyDescent="0.25">
      <c r="A15" s="11" t="s">
        <v>17</v>
      </c>
      <c r="B15" s="6">
        <v>123</v>
      </c>
      <c r="C15" s="4">
        <v>0</v>
      </c>
      <c r="D15" s="5">
        <f t="shared" si="0"/>
        <v>123</v>
      </c>
      <c r="E15" s="6">
        <v>319</v>
      </c>
      <c r="F15" s="4">
        <v>3</v>
      </c>
      <c r="G15" s="5">
        <f t="shared" si="1"/>
        <v>322</v>
      </c>
      <c r="H15" s="7">
        <f t="shared" si="2"/>
        <v>445</v>
      </c>
    </row>
    <row r="16" spans="1:9" ht="15" customHeight="1" x14ac:dyDescent="0.25">
      <c r="A16" s="11" t="s">
        <v>18</v>
      </c>
      <c r="B16" s="6">
        <v>140</v>
      </c>
      <c r="C16" s="4">
        <v>1</v>
      </c>
      <c r="D16" s="5">
        <f t="shared" si="0"/>
        <v>141</v>
      </c>
      <c r="E16" s="6">
        <v>150</v>
      </c>
      <c r="F16" s="4">
        <v>4</v>
      </c>
      <c r="G16" s="5">
        <f t="shared" si="1"/>
        <v>154</v>
      </c>
      <c r="H16" s="7">
        <f t="shared" si="2"/>
        <v>295</v>
      </c>
    </row>
    <row r="17" spans="1:8" ht="15" customHeight="1" x14ac:dyDescent="0.25">
      <c r="A17" s="11" t="s">
        <v>19</v>
      </c>
      <c r="B17" s="6">
        <v>5</v>
      </c>
      <c r="C17" s="4">
        <v>0</v>
      </c>
      <c r="D17" s="5">
        <f t="shared" si="0"/>
        <v>5</v>
      </c>
      <c r="E17" s="6">
        <v>2</v>
      </c>
      <c r="F17" s="4">
        <v>0</v>
      </c>
      <c r="G17" s="5">
        <f t="shared" si="1"/>
        <v>2</v>
      </c>
      <c r="H17" s="7">
        <f t="shared" si="2"/>
        <v>7</v>
      </c>
    </row>
    <row r="18" spans="1:8" ht="15" customHeight="1" x14ac:dyDescent="0.25">
      <c r="A18" s="11" t="s">
        <v>20</v>
      </c>
      <c r="B18" s="6">
        <v>24</v>
      </c>
      <c r="C18" s="4">
        <v>0</v>
      </c>
      <c r="D18" s="5">
        <f t="shared" si="0"/>
        <v>24</v>
      </c>
      <c r="E18" s="6">
        <v>29</v>
      </c>
      <c r="F18" s="4">
        <v>1</v>
      </c>
      <c r="G18" s="5">
        <f t="shared" si="1"/>
        <v>30</v>
      </c>
      <c r="H18" s="7">
        <f t="shared" si="2"/>
        <v>54</v>
      </c>
    </row>
    <row r="19" spans="1:8" ht="15" customHeight="1" x14ac:dyDescent="0.25">
      <c r="A19" s="11" t="s">
        <v>21</v>
      </c>
      <c r="B19" s="6">
        <v>18</v>
      </c>
      <c r="C19" s="4">
        <v>5</v>
      </c>
      <c r="D19" s="5">
        <f t="shared" si="0"/>
        <v>23</v>
      </c>
      <c r="E19" s="6">
        <v>57</v>
      </c>
      <c r="F19" s="4">
        <v>3</v>
      </c>
      <c r="G19" s="5">
        <f t="shared" si="1"/>
        <v>60</v>
      </c>
      <c r="H19" s="7">
        <f t="shared" si="2"/>
        <v>83</v>
      </c>
    </row>
    <row r="20" spans="1:8" ht="15" customHeight="1" x14ac:dyDescent="0.25">
      <c r="A20" s="11" t="s">
        <v>22</v>
      </c>
      <c r="B20" s="6">
        <v>44</v>
      </c>
      <c r="C20" s="4">
        <v>1</v>
      </c>
      <c r="D20" s="5">
        <f t="shared" si="0"/>
        <v>45</v>
      </c>
      <c r="E20" s="6">
        <v>63</v>
      </c>
      <c r="F20" s="4">
        <v>0</v>
      </c>
      <c r="G20" s="5">
        <f t="shared" si="1"/>
        <v>63</v>
      </c>
      <c r="H20" s="7">
        <f t="shared" si="2"/>
        <v>108</v>
      </c>
    </row>
    <row r="21" spans="1:8" ht="15" customHeight="1" thickBot="1" x14ac:dyDescent="0.3">
      <c r="A21" s="11" t="s">
        <v>23</v>
      </c>
      <c r="B21" s="8">
        <v>75</v>
      </c>
      <c r="C21" s="9">
        <v>2</v>
      </c>
      <c r="D21" s="10">
        <f t="shared" si="0"/>
        <v>77</v>
      </c>
      <c r="E21" s="8">
        <v>23</v>
      </c>
      <c r="F21" s="9">
        <v>0</v>
      </c>
      <c r="G21" s="5">
        <f t="shared" si="1"/>
        <v>23</v>
      </c>
      <c r="H21" s="7">
        <f t="shared" si="2"/>
        <v>100</v>
      </c>
    </row>
    <row r="22" spans="1:8" ht="15" customHeight="1" thickTop="1" thickBot="1" x14ac:dyDescent="0.3">
      <c r="A22" s="12" t="s">
        <v>6</v>
      </c>
      <c r="B22" s="13">
        <f t="shared" ref="B22:H22" si="3">SUM(B8:B21)</f>
        <v>861</v>
      </c>
      <c r="C22" s="13">
        <f t="shared" si="3"/>
        <v>23</v>
      </c>
      <c r="D22" s="13">
        <f t="shared" si="3"/>
        <v>884</v>
      </c>
      <c r="E22" s="13">
        <f t="shared" si="3"/>
        <v>1094</v>
      </c>
      <c r="F22" s="13">
        <f t="shared" si="3"/>
        <v>23</v>
      </c>
      <c r="G22" s="13">
        <f t="shared" si="3"/>
        <v>1117</v>
      </c>
      <c r="H22" s="15">
        <f t="shared" si="3"/>
        <v>2001</v>
      </c>
    </row>
    <row r="23" spans="1:8" ht="15" customHeight="1" thickTop="1" thickBot="1" x14ac:dyDescent="0.3">
      <c r="A23" s="23" t="s">
        <v>24</v>
      </c>
      <c r="B23" s="24"/>
      <c r="C23" s="24"/>
      <c r="D23" s="24"/>
      <c r="E23" s="24"/>
      <c r="F23" s="24"/>
      <c r="G23" s="24"/>
      <c r="H23" s="25"/>
    </row>
    <row r="24" spans="1:8" ht="15" customHeight="1" thickTop="1" x14ac:dyDescent="0.25">
      <c r="A24" s="11" t="s">
        <v>25</v>
      </c>
      <c r="B24" s="6">
        <v>2</v>
      </c>
      <c r="C24" s="16">
        <v>0</v>
      </c>
      <c r="D24" s="5">
        <f t="shared" ref="D24:D49" si="4">B24+C24</f>
        <v>2</v>
      </c>
      <c r="E24" s="6">
        <v>0</v>
      </c>
      <c r="F24" s="16">
        <v>2</v>
      </c>
      <c r="G24" s="5">
        <f t="shared" ref="G24:G50" si="5">E24+F24</f>
        <v>2</v>
      </c>
      <c r="H24" s="7">
        <f t="shared" ref="H24:H50" si="6">G24+D24</f>
        <v>4</v>
      </c>
    </row>
    <row r="25" spans="1:8" ht="15" customHeight="1" x14ac:dyDescent="0.25">
      <c r="A25" s="11" t="s">
        <v>26</v>
      </c>
      <c r="B25" s="6">
        <v>0</v>
      </c>
      <c r="C25" s="16">
        <v>0</v>
      </c>
      <c r="D25" s="5">
        <f t="shared" si="4"/>
        <v>0</v>
      </c>
      <c r="E25" s="6">
        <v>1</v>
      </c>
      <c r="F25" s="16">
        <v>1</v>
      </c>
      <c r="G25" s="5">
        <f t="shared" si="5"/>
        <v>2</v>
      </c>
      <c r="H25" s="7">
        <f t="shared" si="6"/>
        <v>2</v>
      </c>
    </row>
    <row r="26" spans="1:8" ht="15" customHeight="1" x14ac:dyDescent="0.25">
      <c r="A26" s="11" t="s">
        <v>148</v>
      </c>
      <c r="B26" s="6">
        <v>0</v>
      </c>
      <c r="C26" s="16">
        <v>1</v>
      </c>
      <c r="D26" s="5">
        <f t="shared" si="4"/>
        <v>1</v>
      </c>
      <c r="E26" s="6">
        <v>0</v>
      </c>
      <c r="F26" s="16">
        <v>1</v>
      </c>
      <c r="G26" s="5">
        <f t="shared" si="5"/>
        <v>1</v>
      </c>
      <c r="H26" s="7">
        <f t="shared" si="6"/>
        <v>2</v>
      </c>
    </row>
    <row r="27" spans="1:8" ht="15" customHeight="1" x14ac:dyDescent="0.25">
      <c r="A27" s="11" t="s">
        <v>27</v>
      </c>
      <c r="B27" s="6">
        <v>20</v>
      </c>
      <c r="C27" s="16">
        <v>0</v>
      </c>
      <c r="D27" s="5">
        <f t="shared" si="4"/>
        <v>20</v>
      </c>
      <c r="E27" s="6">
        <v>8</v>
      </c>
      <c r="F27" s="16">
        <v>0</v>
      </c>
      <c r="G27" s="5">
        <f t="shared" si="5"/>
        <v>8</v>
      </c>
      <c r="H27" s="7">
        <f t="shared" si="6"/>
        <v>28</v>
      </c>
    </row>
    <row r="28" spans="1:8" ht="15" customHeight="1" x14ac:dyDescent="0.25">
      <c r="A28" s="11" t="s">
        <v>28</v>
      </c>
      <c r="B28" s="6">
        <v>0</v>
      </c>
      <c r="C28" s="16">
        <v>2</v>
      </c>
      <c r="D28" s="5">
        <f t="shared" si="4"/>
        <v>2</v>
      </c>
      <c r="E28" s="6">
        <v>2</v>
      </c>
      <c r="F28" s="16">
        <v>5</v>
      </c>
      <c r="G28" s="5">
        <f t="shared" si="5"/>
        <v>7</v>
      </c>
      <c r="H28" s="7">
        <f t="shared" si="6"/>
        <v>9</v>
      </c>
    </row>
    <row r="29" spans="1:8" ht="15" customHeight="1" x14ac:dyDescent="0.25">
      <c r="A29" s="11" t="s">
        <v>29</v>
      </c>
      <c r="B29" s="6">
        <v>5</v>
      </c>
      <c r="C29" s="16">
        <v>4</v>
      </c>
      <c r="D29" s="5">
        <f t="shared" si="4"/>
        <v>9</v>
      </c>
      <c r="E29" s="6">
        <v>2</v>
      </c>
      <c r="F29" s="16">
        <v>4</v>
      </c>
      <c r="G29" s="5">
        <f t="shared" si="5"/>
        <v>6</v>
      </c>
      <c r="H29" s="7">
        <f t="shared" si="6"/>
        <v>15</v>
      </c>
    </row>
    <row r="30" spans="1:8" ht="15" customHeight="1" x14ac:dyDescent="0.25">
      <c r="A30" s="11" t="s">
        <v>30</v>
      </c>
      <c r="B30" s="6">
        <v>1</v>
      </c>
      <c r="C30" s="16">
        <v>52</v>
      </c>
      <c r="D30" s="5">
        <f t="shared" si="4"/>
        <v>53</v>
      </c>
      <c r="E30" s="6">
        <v>2</v>
      </c>
      <c r="F30" s="16">
        <v>23</v>
      </c>
      <c r="G30" s="5">
        <f t="shared" si="5"/>
        <v>25</v>
      </c>
      <c r="H30" s="7">
        <f t="shared" si="6"/>
        <v>78</v>
      </c>
    </row>
    <row r="31" spans="1:8" ht="15" customHeight="1" x14ac:dyDescent="0.25">
      <c r="A31" s="11" t="s">
        <v>31</v>
      </c>
      <c r="B31" s="6">
        <v>5</v>
      </c>
      <c r="C31" s="16">
        <v>1</v>
      </c>
      <c r="D31" s="5">
        <f t="shared" si="4"/>
        <v>6</v>
      </c>
      <c r="E31" s="6">
        <v>1</v>
      </c>
      <c r="F31" s="16">
        <v>5</v>
      </c>
      <c r="G31" s="5">
        <f t="shared" si="5"/>
        <v>6</v>
      </c>
      <c r="H31" s="7">
        <f t="shared" si="6"/>
        <v>12</v>
      </c>
    </row>
    <row r="32" spans="1:8" ht="15" customHeight="1" x14ac:dyDescent="0.25">
      <c r="A32" s="11" t="s">
        <v>33</v>
      </c>
      <c r="B32" s="6">
        <v>0</v>
      </c>
      <c r="C32" s="16">
        <v>1</v>
      </c>
      <c r="D32" s="5">
        <f t="shared" si="4"/>
        <v>1</v>
      </c>
      <c r="E32" s="6">
        <v>0</v>
      </c>
      <c r="F32" s="16">
        <v>1</v>
      </c>
      <c r="G32" s="5">
        <f t="shared" si="5"/>
        <v>1</v>
      </c>
      <c r="H32" s="7">
        <f t="shared" si="6"/>
        <v>2</v>
      </c>
    </row>
    <row r="33" spans="1:8" ht="15" customHeight="1" x14ac:dyDescent="0.25">
      <c r="A33" s="11" t="s">
        <v>163</v>
      </c>
      <c r="B33" s="6">
        <v>1</v>
      </c>
      <c r="C33" s="16">
        <v>0</v>
      </c>
      <c r="D33" s="5">
        <f t="shared" si="4"/>
        <v>1</v>
      </c>
      <c r="E33" s="6">
        <v>0</v>
      </c>
      <c r="F33" s="16">
        <v>0</v>
      </c>
      <c r="G33" s="5">
        <f t="shared" si="5"/>
        <v>0</v>
      </c>
      <c r="H33" s="7">
        <f t="shared" si="6"/>
        <v>1</v>
      </c>
    </row>
    <row r="34" spans="1:8" ht="15" customHeight="1" x14ac:dyDescent="0.25">
      <c r="A34" s="11" t="s">
        <v>34</v>
      </c>
      <c r="B34" s="6">
        <v>2</v>
      </c>
      <c r="C34" s="16">
        <v>1</v>
      </c>
      <c r="D34" s="5">
        <f t="shared" si="4"/>
        <v>3</v>
      </c>
      <c r="E34" s="6">
        <v>1</v>
      </c>
      <c r="F34" s="16">
        <v>5</v>
      </c>
      <c r="G34" s="5">
        <f t="shared" si="5"/>
        <v>6</v>
      </c>
      <c r="H34" s="7">
        <f t="shared" si="6"/>
        <v>9</v>
      </c>
    </row>
    <row r="35" spans="1:8" ht="15" customHeight="1" x14ac:dyDescent="0.25">
      <c r="A35" s="11" t="s">
        <v>35</v>
      </c>
      <c r="B35" s="6">
        <v>1</v>
      </c>
      <c r="C35" s="16">
        <v>0</v>
      </c>
      <c r="D35" s="5">
        <f t="shared" si="4"/>
        <v>1</v>
      </c>
      <c r="E35" s="6">
        <v>0</v>
      </c>
      <c r="F35" s="16">
        <v>3</v>
      </c>
      <c r="G35" s="5">
        <f t="shared" si="5"/>
        <v>3</v>
      </c>
      <c r="H35" s="7">
        <f t="shared" si="6"/>
        <v>4</v>
      </c>
    </row>
    <row r="36" spans="1:8" ht="15" customHeight="1" x14ac:dyDescent="0.25">
      <c r="A36" s="11" t="s">
        <v>36</v>
      </c>
      <c r="B36" s="6">
        <v>0</v>
      </c>
      <c r="C36" s="16">
        <v>0</v>
      </c>
      <c r="D36" s="5">
        <f t="shared" si="4"/>
        <v>0</v>
      </c>
      <c r="E36" s="6">
        <v>0</v>
      </c>
      <c r="F36" s="16">
        <v>1</v>
      </c>
      <c r="G36" s="5">
        <f t="shared" si="5"/>
        <v>1</v>
      </c>
      <c r="H36" s="7">
        <f t="shared" si="6"/>
        <v>1</v>
      </c>
    </row>
    <row r="37" spans="1:8" ht="15" customHeight="1" x14ac:dyDescent="0.25">
      <c r="A37" s="11" t="s">
        <v>149</v>
      </c>
      <c r="B37" s="6">
        <v>1</v>
      </c>
      <c r="C37" s="16">
        <v>0</v>
      </c>
      <c r="D37" s="5">
        <f t="shared" si="4"/>
        <v>1</v>
      </c>
      <c r="E37" s="6">
        <v>0</v>
      </c>
      <c r="F37" s="16">
        <v>1</v>
      </c>
      <c r="G37" s="5">
        <f t="shared" si="5"/>
        <v>1</v>
      </c>
      <c r="H37" s="7">
        <f t="shared" si="6"/>
        <v>2</v>
      </c>
    </row>
    <row r="38" spans="1:8" ht="15" customHeight="1" x14ac:dyDescent="0.25">
      <c r="A38" s="11" t="s">
        <v>38</v>
      </c>
      <c r="B38" s="6">
        <v>1</v>
      </c>
      <c r="C38" s="16">
        <v>1</v>
      </c>
      <c r="D38" s="5">
        <f t="shared" si="4"/>
        <v>2</v>
      </c>
      <c r="E38" s="6">
        <v>1</v>
      </c>
      <c r="F38" s="16">
        <v>10</v>
      </c>
      <c r="G38" s="5">
        <f t="shared" si="5"/>
        <v>11</v>
      </c>
      <c r="H38" s="7">
        <f t="shared" si="6"/>
        <v>13</v>
      </c>
    </row>
    <row r="39" spans="1:8" ht="15" customHeight="1" x14ac:dyDescent="0.25">
      <c r="A39" s="11" t="s">
        <v>167</v>
      </c>
      <c r="B39" s="6">
        <v>0</v>
      </c>
      <c r="C39" s="16">
        <v>1</v>
      </c>
      <c r="D39" s="5">
        <f t="shared" si="4"/>
        <v>1</v>
      </c>
      <c r="E39" s="6">
        <v>0</v>
      </c>
      <c r="F39" s="16">
        <v>0</v>
      </c>
      <c r="G39" s="5">
        <f t="shared" ref="G39:G40" si="7">E39+F39</f>
        <v>0</v>
      </c>
      <c r="H39" s="7">
        <f t="shared" ref="H39:H40" si="8">G39+D39</f>
        <v>1</v>
      </c>
    </row>
    <row r="40" spans="1:8" ht="15" customHeight="1" x14ac:dyDescent="0.25">
      <c r="A40" s="11" t="s">
        <v>39</v>
      </c>
      <c r="B40" s="6">
        <v>1</v>
      </c>
      <c r="C40" s="16">
        <v>15</v>
      </c>
      <c r="D40" s="5">
        <f t="shared" si="4"/>
        <v>16</v>
      </c>
      <c r="E40" s="6">
        <v>5</v>
      </c>
      <c r="F40" s="16">
        <v>7</v>
      </c>
      <c r="G40" s="5">
        <f t="shared" si="7"/>
        <v>12</v>
      </c>
      <c r="H40" s="7">
        <f t="shared" si="8"/>
        <v>28</v>
      </c>
    </row>
    <row r="41" spans="1:8" ht="15" customHeight="1" x14ac:dyDescent="0.25">
      <c r="A41" s="11" t="s">
        <v>40</v>
      </c>
      <c r="B41" s="6">
        <v>19</v>
      </c>
      <c r="C41" s="16">
        <v>10</v>
      </c>
      <c r="D41" s="5">
        <f t="shared" si="4"/>
        <v>29</v>
      </c>
      <c r="E41" s="6">
        <v>0</v>
      </c>
      <c r="F41" s="16">
        <v>7</v>
      </c>
      <c r="G41" s="5">
        <f t="shared" ref="G41:G47" si="9">E41+F41</f>
        <v>7</v>
      </c>
      <c r="H41" s="7">
        <f t="shared" ref="H41:H47" si="10">G41+D41</f>
        <v>36</v>
      </c>
    </row>
    <row r="42" spans="1:8" ht="15" customHeight="1" x14ac:dyDescent="0.25">
      <c r="A42" s="11" t="s">
        <v>41</v>
      </c>
      <c r="B42" s="6">
        <v>3</v>
      </c>
      <c r="C42" s="16">
        <v>2</v>
      </c>
      <c r="D42" s="5">
        <f t="shared" si="4"/>
        <v>5</v>
      </c>
      <c r="E42" s="6">
        <v>1</v>
      </c>
      <c r="F42" s="16">
        <v>8</v>
      </c>
      <c r="G42" s="5">
        <f t="shared" si="9"/>
        <v>9</v>
      </c>
      <c r="H42" s="7">
        <f t="shared" si="10"/>
        <v>14</v>
      </c>
    </row>
    <row r="43" spans="1:8" ht="15" customHeight="1" x14ac:dyDescent="0.25">
      <c r="A43" s="11" t="s">
        <v>42</v>
      </c>
      <c r="B43" s="6">
        <v>11</v>
      </c>
      <c r="C43" s="16">
        <v>16</v>
      </c>
      <c r="D43" s="5">
        <f t="shared" si="4"/>
        <v>27</v>
      </c>
      <c r="E43" s="6">
        <v>7</v>
      </c>
      <c r="F43" s="16">
        <v>12</v>
      </c>
      <c r="G43" s="5">
        <f t="shared" si="9"/>
        <v>19</v>
      </c>
      <c r="H43" s="7">
        <f t="shared" si="10"/>
        <v>46</v>
      </c>
    </row>
    <row r="44" spans="1:8" ht="15" customHeight="1" x14ac:dyDescent="0.25">
      <c r="A44" s="11" t="s">
        <v>43</v>
      </c>
      <c r="B44" s="6">
        <v>6</v>
      </c>
      <c r="C44" s="16">
        <v>1</v>
      </c>
      <c r="D44" s="5">
        <f t="shared" si="4"/>
        <v>7</v>
      </c>
      <c r="E44" s="6">
        <v>0</v>
      </c>
      <c r="F44" s="16">
        <v>2</v>
      </c>
      <c r="G44" s="5">
        <f t="shared" si="9"/>
        <v>2</v>
      </c>
      <c r="H44" s="7">
        <f t="shared" si="10"/>
        <v>9</v>
      </c>
    </row>
    <row r="45" spans="1:8" ht="15" customHeight="1" x14ac:dyDescent="0.25">
      <c r="A45" s="11" t="s">
        <v>44</v>
      </c>
      <c r="B45" s="6">
        <v>1</v>
      </c>
      <c r="C45" s="16">
        <v>0</v>
      </c>
      <c r="D45" s="5">
        <f t="shared" si="4"/>
        <v>1</v>
      </c>
      <c r="E45" s="6">
        <v>0</v>
      </c>
      <c r="F45" s="16">
        <v>0</v>
      </c>
      <c r="G45" s="5">
        <f t="shared" si="9"/>
        <v>0</v>
      </c>
      <c r="H45" s="7">
        <f t="shared" si="10"/>
        <v>1</v>
      </c>
    </row>
    <row r="46" spans="1:8" ht="15" customHeight="1" x14ac:dyDescent="0.25">
      <c r="A46" s="11" t="s">
        <v>45</v>
      </c>
      <c r="B46" s="6">
        <v>4</v>
      </c>
      <c r="C46" s="16">
        <v>10</v>
      </c>
      <c r="D46" s="5">
        <f t="shared" si="4"/>
        <v>14</v>
      </c>
      <c r="E46" s="6">
        <v>0</v>
      </c>
      <c r="F46" s="16">
        <v>13</v>
      </c>
      <c r="G46" s="5">
        <f t="shared" si="9"/>
        <v>13</v>
      </c>
      <c r="H46" s="7">
        <f t="shared" si="10"/>
        <v>27</v>
      </c>
    </row>
    <row r="47" spans="1:8" ht="15" customHeight="1" x14ac:dyDescent="0.25">
      <c r="A47" s="11" t="s">
        <v>46</v>
      </c>
      <c r="B47" s="6">
        <v>6</v>
      </c>
      <c r="C47" s="16">
        <v>4</v>
      </c>
      <c r="D47" s="5">
        <f>B47+C47</f>
        <v>10</v>
      </c>
      <c r="E47" s="6">
        <v>3</v>
      </c>
      <c r="F47" s="16">
        <v>15</v>
      </c>
      <c r="G47" s="5">
        <f t="shared" si="9"/>
        <v>18</v>
      </c>
      <c r="H47" s="7">
        <f t="shared" si="10"/>
        <v>28</v>
      </c>
    </row>
    <row r="48" spans="1:8" ht="15" customHeight="1" x14ac:dyDescent="0.25">
      <c r="A48" s="11" t="s">
        <v>48</v>
      </c>
      <c r="B48" s="6">
        <v>1</v>
      </c>
      <c r="C48" s="16">
        <v>3</v>
      </c>
      <c r="D48" s="5">
        <f t="shared" si="4"/>
        <v>4</v>
      </c>
      <c r="E48" s="6">
        <v>0</v>
      </c>
      <c r="F48" s="16">
        <v>3</v>
      </c>
      <c r="G48" s="5">
        <f t="shared" si="5"/>
        <v>3</v>
      </c>
      <c r="H48" s="7">
        <f t="shared" si="6"/>
        <v>7</v>
      </c>
    </row>
    <row r="49" spans="1:8" ht="15" customHeight="1" thickBot="1" x14ac:dyDescent="0.3">
      <c r="A49" s="11" t="s">
        <v>150</v>
      </c>
      <c r="B49" s="6">
        <v>6</v>
      </c>
      <c r="C49" s="16">
        <v>7</v>
      </c>
      <c r="D49" s="5">
        <f t="shared" si="4"/>
        <v>13</v>
      </c>
      <c r="E49" s="6">
        <v>7</v>
      </c>
      <c r="F49" s="16">
        <v>2</v>
      </c>
      <c r="G49" s="5">
        <f t="shared" si="5"/>
        <v>9</v>
      </c>
      <c r="H49" s="7">
        <f t="shared" si="6"/>
        <v>22</v>
      </c>
    </row>
    <row r="50" spans="1:8" ht="15" customHeight="1" thickTop="1" thickBot="1" x14ac:dyDescent="0.3">
      <c r="A50" s="12" t="s">
        <v>6</v>
      </c>
      <c r="B50" s="13">
        <f>SUM(B24:B49)</f>
        <v>97</v>
      </c>
      <c r="C50" s="13">
        <f t="shared" ref="C50:H50" si="11">SUM(C24:C49)</f>
        <v>132</v>
      </c>
      <c r="D50" s="13">
        <f t="shared" si="11"/>
        <v>229</v>
      </c>
      <c r="E50" s="13">
        <f t="shared" si="11"/>
        <v>41</v>
      </c>
      <c r="F50" s="13">
        <f t="shared" si="11"/>
        <v>131</v>
      </c>
      <c r="G50" s="13">
        <f t="shared" si="11"/>
        <v>172</v>
      </c>
      <c r="H50" s="15">
        <f t="shared" si="11"/>
        <v>401</v>
      </c>
    </row>
    <row r="51" spans="1:8" ht="15" customHeight="1" thickTop="1" thickBot="1" x14ac:dyDescent="0.3">
      <c r="A51" s="23" t="s">
        <v>49</v>
      </c>
      <c r="B51" s="24"/>
      <c r="C51" s="24"/>
      <c r="D51" s="24"/>
      <c r="E51" s="24"/>
      <c r="F51" s="24"/>
      <c r="G51" s="24"/>
      <c r="H51" s="25"/>
    </row>
    <row r="52" spans="1:8" ht="15" customHeight="1" thickTop="1" x14ac:dyDescent="0.25">
      <c r="A52" s="11" t="s">
        <v>51</v>
      </c>
      <c r="B52" s="6">
        <v>19</v>
      </c>
      <c r="C52" s="16">
        <v>8</v>
      </c>
      <c r="D52" s="5">
        <f t="shared" ref="D52:D63" si="12">B52+C52</f>
        <v>27</v>
      </c>
      <c r="E52" s="6">
        <v>4</v>
      </c>
      <c r="F52" s="16">
        <v>11</v>
      </c>
      <c r="G52" s="5">
        <f t="shared" ref="G52:G62" si="13">E52+F52</f>
        <v>15</v>
      </c>
      <c r="H52" s="7">
        <f t="shared" ref="H52:H63" si="14">G52+D52</f>
        <v>42</v>
      </c>
    </row>
    <row r="53" spans="1:8" ht="15" customHeight="1" x14ac:dyDescent="0.25">
      <c r="A53" s="11" t="s">
        <v>52</v>
      </c>
      <c r="B53" s="6">
        <v>7</v>
      </c>
      <c r="C53" s="16">
        <v>0</v>
      </c>
      <c r="D53" s="5">
        <f t="shared" si="12"/>
        <v>7</v>
      </c>
      <c r="E53" s="6">
        <v>3</v>
      </c>
      <c r="F53" s="16">
        <v>2</v>
      </c>
      <c r="G53" s="5">
        <f t="shared" si="13"/>
        <v>5</v>
      </c>
      <c r="H53" s="7">
        <f t="shared" si="14"/>
        <v>12</v>
      </c>
    </row>
    <row r="54" spans="1:8" ht="15" customHeight="1" x14ac:dyDescent="0.25">
      <c r="A54" s="11" t="s">
        <v>53</v>
      </c>
      <c r="B54" s="6">
        <v>2</v>
      </c>
      <c r="C54" s="16">
        <v>11</v>
      </c>
      <c r="D54" s="5">
        <f t="shared" si="12"/>
        <v>13</v>
      </c>
      <c r="E54" s="6">
        <v>3</v>
      </c>
      <c r="F54" s="16">
        <v>20</v>
      </c>
      <c r="G54" s="5">
        <f t="shared" si="13"/>
        <v>23</v>
      </c>
      <c r="H54" s="7">
        <f t="shared" si="14"/>
        <v>36</v>
      </c>
    </row>
    <row r="55" spans="1:8" ht="15" customHeight="1" x14ac:dyDescent="0.25">
      <c r="A55" s="11" t="s">
        <v>54</v>
      </c>
      <c r="B55" s="6">
        <v>1</v>
      </c>
      <c r="C55" s="16">
        <v>9</v>
      </c>
      <c r="D55" s="5">
        <f t="shared" si="12"/>
        <v>10</v>
      </c>
      <c r="E55" s="6">
        <v>1</v>
      </c>
      <c r="F55" s="16">
        <v>18</v>
      </c>
      <c r="G55" s="5">
        <f t="shared" si="13"/>
        <v>19</v>
      </c>
      <c r="H55" s="7">
        <f t="shared" si="14"/>
        <v>29</v>
      </c>
    </row>
    <row r="56" spans="1:8" ht="15" customHeight="1" x14ac:dyDescent="0.25">
      <c r="A56" s="11" t="s">
        <v>55</v>
      </c>
      <c r="B56" s="6">
        <v>1</v>
      </c>
      <c r="C56" s="16">
        <v>0</v>
      </c>
      <c r="D56" s="5">
        <f t="shared" si="12"/>
        <v>1</v>
      </c>
      <c r="E56" s="6">
        <v>1</v>
      </c>
      <c r="F56" s="16">
        <v>6</v>
      </c>
      <c r="G56" s="5">
        <f t="shared" si="13"/>
        <v>7</v>
      </c>
      <c r="H56" s="7">
        <f t="shared" si="14"/>
        <v>8</v>
      </c>
    </row>
    <row r="57" spans="1:8" ht="15" customHeight="1" x14ac:dyDescent="0.25">
      <c r="A57" s="11" t="s">
        <v>56</v>
      </c>
      <c r="B57" s="6">
        <v>9</v>
      </c>
      <c r="C57" s="16">
        <v>4</v>
      </c>
      <c r="D57" s="5">
        <f t="shared" si="12"/>
        <v>13</v>
      </c>
      <c r="E57" s="6">
        <v>4</v>
      </c>
      <c r="F57" s="16">
        <v>7</v>
      </c>
      <c r="G57" s="5">
        <f t="shared" si="13"/>
        <v>11</v>
      </c>
      <c r="H57" s="7">
        <f t="shared" si="14"/>
        <v>24</v>
      </c>
    </row>
    <row r="58" spans="1:8" ht="15" customHeight="1" x14ac:dyDescent="0.25">
      <c r="A58" s="11" t="s">
        <v>57</v>
      </c>
      <c r="B58" s="6">
        <v>0</v>
      </c>
      <c r="C58" s="16">
        <v>0</v>
      </c>
      <c r="D58" s="5">
        <f t="shared" si="12"/>
        <v>0</v>
      </c>
      <c r="E58" s="6">
        <v>0</v>
      </c>
      <c r="F58" s="16">
        <v>1</v>
      </c>
      <c r="G58" s="5">
        <f t="shared" si="13"/>
        <v>1</v>
      </c>
      <c r="H58" s="7">
        <f t="shared" si="14"/>
        <v>1</v>
      </c>
    </row>
    <row r="59" spans="1:8" ht="15" customHeight="1" x14ac:dyDescent="0.25">
      <c r="A59" s="11" t="s">
        <v>171</v>
      </c>
      <c r="B59" s="6">
        <v>0</v>
      </c>
      <c r="C59" s="16">
        <v>0</v>
      </c>
      <c r="D59" s="5">
        <f t="shared" si="12"/>
        <v>0</v>
      </c>
      <c r="E59" s="6">
        <v>0</v>
      </c>
      <c r="F59" s="16">
        <v>2</v>
      </c>
      <c r="G59" s="5">
        <f t="shared" si="13"/>
        <v>2</v>
      </c>
      <c r="H59" s="7">
        <f t="shared" si="14"/>
        <v>2</v>
      </c>
    </row>
    <row r="60" spans="1:8" ht="15" customHeight="1" x14ac:dyDescent="0.25">
      <c r="A60" s="11" t="s">
        <v>58</v>
      </c>
      <c r="B60" s="6">
        <v>0</v>
      </c>
      <c r="C60" s="16">
        <v>1</v>
      </c>
      <c r="D60" s="5">
        <f t="shared" si="12"/>
        <v>1</v>
      </c>
      <c r="E60" s="6">
        <v>0</v>
      </c>
      <c r="F60" s="16">
        <v>15</v>
      </c>
      <c r="G60" s="5">
        <f t="shared" si="13"/>
        <v>15</v>
      </c>
      <c r="H60" s="7">
        <f t="shared" si="14"/>
        <v>16</v>
      </c>
    </row>
    <row r="61" spans="1:8" ht="15" customHeight="1" x14ac:dyDescent="0.25">
      <c r="A61" s="11" t="s">
        <v>60</v>
      </c>
      <c r="B61" s="6">
        <v>0</v>
      </c>
      <c r="C61" s="16">
        <v>2</v>
      </c>
      <c r="D61" s="5">
        <f t="shared" si="12"/>
        <v>2</v>
      </c>
      <c r="E61" s="6">
        <v>1</v>
      </c>
      <c r="F61" s="16">
        <v>4</v>
      </c>
      <c r="G61" s="5">
        <f t="shared" si="13"/>
        <v>5</v>
      </c>
      <c r="H61" s="7">
        <f t="shared" si="14"/>
        <v>7</v>
      </c>
    </row>
    <row r="62" spans="1:8" ht="15" customHeight="1" x14ac:dyDescent="0.25">
      <c r="A62" s="11" t="s">
        <v>61</v>
      </c>
      <c r="B62" s="6">
        <v>0</v>
      </c>
      <c r="C62" s="16">
        <v>3</v>
      </c>
      <c r="D62" s="5">
        <f t="shared" si="12"/>
        <v>3</v>
      </c>
      <c r="E62" s="6">
        <v>0</v>
      </c>
      <c r="F62" s="16">
        <v>4</v>
      </c>
      <c r="G62" s="5">
        <f t="shared" si="13"/>
        <v>4</v>
      </c>
      <c r="H62" s="7">
        <f t="shared" si="14"/>
        <v>7</v>
      </c>
    </row>
    <row r="63" spans="1:8" ht="15" customHeight="1" thickBot="1" x14ac:dyDescent="0.3">
      <c r="A63" s="11" t="s">
        <v>172</v>
      </c>
      <c r="B63" s="6">
        <v>0</v>
      </c>
      <c r="C63" s="16">
        <v>1</v>
      </c>
      <c r="D63" s="5">
        <f t="shared" si="12"/>
        <v>1</v>
      </c>
      <c r="E63" s="6">
        <v>0</v>
      </c>
      <c r="F63" s="16">
        <v>0</v>
      </c>
      <c r="G63" s="5">
        <f>E63+F63</f>
        <v>0</v>
      </c>
      <c r="H63" s="7">
        <f t="shared" si="14"/>
        <v>1</v>
      </c>
    </row>
    <row r="64" spans="1:8" ht="15" customHeight="1" thickTop="1" thickBot="1" x14ac:dyDescent="0.3">
      <c r="A64" s="12" t="s">
        <v>6</v>
      </c>
      <c r="B64" s="13">
        <f t="shared" ref="B64:H64" si="15">SUM(B52:B63)</f>
        <v>39</v>
      </c>
      <c r="C64" s="13">
        <f t="shared" si="15"/>
        <v>39</v>
      </c>
      <c r="D64" s="13">
        <f t="shared" si="15"/>
        <v>78</v>
      </c>
      <c r="E64" s="13">
        <f t="shared" si="15"/>
        <v>17</v>
      </c>
      <c r="F64" s="13">
        <f t="shared" si="15"/>
        <v>90</v>
      </c>
      <c r="G64" s="13">
        <f t="shared" si="15"/>
        <v>107</v>
      </c>
      <c r="H64" s="15">
        <f t="shared" si="15"/>
        <v>185</v>
      </c>
    </row>
    <row r="65" spans="1:8" ht="15" customHeight="1" thickTop="1" thickBot="1" x14ac:dyDescent="0.3">
      <c r="A65" s="23" t="s">
        <v>62</v>
      </c>
      <c r="B65" s="24"/>
      <c r="C65" s="24"/>
      <c r="D65" s="24"/>
      <c r="E65" s="24"/>
      <c r="F65" s="24"/>
      <c r="G65" s="24"/>
      <c r="H65" s="25"/>
    </row>
    <row r="66" spans="1:8" ht="15" customHeight="1" thickTop="1" x14ac:dyDescent="0.25">
      <c r="A66" s="11" t="s">
        <v>63</v>
      </c>
      <c r="B66" s="6">
        <v>2</v>
      </c>
      <c r="C66" s="16">
        <v>0</v>
      </c>
      <c r="D66" s="5">
        <f t="shared" ref="D66:D92" si="16">B66+C66</f>
        <v>2</v>
      </c>
      <c r="E66" s="6">
        <v>0</v>
      </c>
      <c r="F66" s="16">
        <v>0</v>
      </c>
      <c r="G66" s="5">
        <f t="shared" ref="G66:G92" si="17">E66+F66</f>
        <v>0</v>
      </c>
      <c r="H66" s="7">
        <f t="shared" ref="H66:H93" si="18">G66+D66</f>
        <v>2</v>
      </c>
    </row>
    <row r="67" spans="1:8" ht="15" customHeight="1" x14ac:dyDescent="0.25">
      <c r="A67" s="11" t="s">
        <v>64</v>
      </c>
      <c r="B67" s="6">
        <v>6</v>
      </c>
      <c r="C67" s="16">
        <v>4</v>
      </c>
      <c r="D67" s="5">
        <f t="shared" si="16"/>
        <v>10</v>
      </c>
      <c r="E67" s="6">
        <v>3</v>
      </c>
      <c r="F67" s="16">
        <v>14</v>
      </c>
      <c r="G67" s="5">
        <f t="shared" si="17"/>
        <v>17</v>
      </c>
      <c r="H67" s="7">
        <f t="shared" si="18"/>
        <v>27</v>
      </c>
    </row>
    <row r="68" spans="1:8" ht="15" customHeight="1" x14ac:dyDescent="0.25">
      <c r="A68" s="11" t="s">
        <v>65</v>
      </c>
      <c r="B68" s="6">
        <v>1</v>
      </c>
      <c r="C68" s="16">
        <v>8</v>
      </c>
      <c r="D68" s="5">
        <f t="shared" si="16"/>
        <v>9</v>
      </c>
      <c r="E68" s="6">
        <v>0</v>
      </c>
      <c r="F68" s="16">
        <v>2</v>
      </c>
      <c r="G68" s="5">
        <f t="shared" si="17"/>
        <v>2</v>
      </c>
      <c r="H68" s="7">
        <f t="shared" si="18"/>
        <v>11</v>
      </c>
    </row>
    <row r="69" spans="1:8" ht="15" customHeight="1" x14ac:dyDescent="0.25">
      <c r="A69" s="11" t="s">
        <v>66</v>
      </c>
      <c r="B69" s="6">
        <v>1</v>
      </c>
      <c r="C69" s="16">
        <v>1</v>
      </c>
      <c r="D69" s="5">
        <f t="shared" si="16"/>
        <v>2</v>
      </c>
      <c r="E69" s="6">
        <v>2</v>
      </c>
      <c r="F69" s="16">
        <v>0</v>
      </c>
      <c r="G69" s="5">
        <f t="shared" si="17"/>
        <v>2</v>
      </c>
      <c r="H69" s="7">
        <f t="shared" si="18"/>
        <v>4</v>
      </c>
    </row>
    <row r="70" spans="1:8" ht="15" customHeight="1" x14ac:dyDescent="0.25">
      <c r="A70" s="11" t="s">
        <v>174</v>
      </c>
      <c r="B70" s="6">
        <v>6</v>
      </c>
      <c r="C70" s="16">
        <v>15</v>
      </c>
      <c r="D70" s="5">
        <f t="shared" si="16"/>
        <v>21</v>
      </c>
      <c r="E70" s="6">
        <v>6</v>
      </c>
      <c r="F70" s="16">
        <v>46</v>
      </c>
      <c r="G70" s="5">
        <f t="shared" si="17"/>
        <v>52</v>
      </c>
      <c r="H70" s="7">
        <f t="shared" si="18"/>
        <v>73</v>
      </c>
    </row>
    <row r="71" spans="1:8" ht="15" customHeight="1" x14ac:dyDescent="0.25">
      <c r="A71" s="11" t="s">
        <v>69</v>
      </c>
      <c r="B71" s="6">
        <v>1</v>
      </c>
      <c r="C71" s="16">
        <v>11</v>
      </c>
      <c r="D71" s="5">
        <f t="shared" si="16"/>
        <v>12</v>
      </c>
      <c r="E71" s="6">
        <v>0</v>
      </c>
      <c r="F71" s="16">
        <v>12</v>
      </c>
      <c r="G71" s="5">
        <f t="shared" si="17"/>
        <v>12</v>
      </c>
      <c r="H71" s="7">
        <f t="shared" si="18"/>
        <v>24</v>
      </c>
    </row>
    <row r="72" spans="1:8" ht="15" customHeight="1" x14ac:dyDescent="0.25">
      <c r="A72" s="11" t="s">
        <v>70</v>
      </c>
      <c r="B72" s="6">
        <v>29</v>
      </c>
      <c r="C72" s="16">
        <v>19</v>
      </c>
      <c r="D72" s="5">
        <f t="shared" si="16"/>
        <v>48</v>
      </c>
      <c r="E72" s="6">
        <v>16</v>
      </c>
      <c r="F72" s="16">
        <v>39</v>
      </c>
      <c r="G72" s="5">
        <f t="shared" si="17"/>
        <v>55</v>
      </c>
      <c r="H72" s="7">
        <f t="shared" si="18"/>
        <v>103</v>
      </c>
    </row>
    <row r="73" spans="1:8" ht="15" customHeight="1" x14ac:dyDescent="0.25">
      <c r="A73" s="11" t="s">
        <v>71</v>
      </c>
      <c r="B73" s="6">
        <v>0</v>
      </c>
      <c r="C73" s="16">
        <v>6</v>
      </c>
      <c r="D73" s="5">
        <f t="shared" si="16"/>
        <v>6</v>
      </c>
      <c r="E73" s="6">
        <v>0</v>
      </c>
      <c r="F73" s="16">
        <v>8</v>
      </c>
      <c r="G73" s="5">
        <f t="shared" si="17"/>
        <v>8</v>
      </c>
      <c r="H73" s="7">
        <f t="shared" si="18"/>
        <v>14</v>
      </c>
    </row>
    <row r="74" spans="1:8" ht="15" customHeight="1" x14ac:dyDescent="0.25">
      <c r="A74" s="11" t="s">
        <v>72</v>
      </c>
      <c r="B74" s="6">
        <v>14</v>
      </c>
      <c r="C74" s="16">
        <v>69</v>
      </c>
      <c r="D74" s="5">
        <f t="shared" si="16"/>
        <v>83</v>
      </c>
      <c r="E74" s="6">
        <v>6</v>
      </c>
      <c r="F74" s="16">
        <v>80</v>
      </c>
      <c r="G74" s="5">
        <f t="shared" si="17"/>
        <v>86</v>
      </c>
      <c r="H74" s="7">
        <f t="shared" si="18"/>
        <v>169</v>
      </c>
    </row>
    <row r="75" spans="1:8" ht="15" customHeight="1" x14ac:dyDescent="0.25">
      <c r="A75" s="11" t="s">
        <v>73</v>
      </c>
      <c r="B75" s="6">
        <v>0</v>
      </c>
      <c r="C75" s="16">
        <v>1</v>
      </c>
      <c r="D75" s="5">
        <f t="shared" si="16"/>
        <v>1</v>
      </c>
      <c r="E75" s="6">
        <v>0</v>
      </c>
      <c r="F75" s="16">
        <v>2</v>
      </c>
      <c r="G75" s="5">
        <f t="shared" si="17"/>
        <v>2</v>
      </c>
      <c r="H75" s="7">
        <f t="shared" si="18"/>
        <v>3</v>
      </c>
    </row>
    <row r="76" spans="1:8" ht="15" customHeight="1" x14ac:dyDescent="0.25">
      <c r="A76" s="11" t="s">
        <v>229</v>
      </c>
      <c r="B76" s="6">
        <v>0</v>
      </c>
      <c r="C76" s="16">
        <v>1</v>
      </c>
      <c r="D76" s="5">
        <f t="shared" si="16"/>
        <v>1</v>
      </c>
      <c r="E76" s="6">
        <v>0</v>
      </c>
      <c r="F76" s="16">
        <v>0</v>
      </c>
      <c r="G76" s="5">
        <f t="shared" si="17"/>
        <v>0</v>
      </c>
      <c r="H76" s="7">
        <f t="shared" si="18"/>
        <v>1</v>
      </c>
    </row>
    <row r="77" spans="1:8" ht="15" customHeight="1" x14ac:dyDescent="0.25">
      <c r="A77" s="11" t="s">
        <v>247</v>
      </c>
      <c r="B77" s="6">
        <v>0</v>
      </c>
      <c r="C77" s="16">
        <v>0</v>
      </c>
      <c r="D77" s="5">
        <f t="shared" si="16"/>
        <v>0</v>
      </c>
      <c r="E77" s="6">
        <v>0</v>
      </c>
      <c r="F77" s="16">
        <v>1</v>
      </c>
      <c r="G77" s="5">
        <f t="shared" si="17"/>
        <v>1</v>
      </c>
      <c r="H77" s="7">
        <f t="shared" si="18"/>
        <v>1</v>
      </c>
    </row>
    <row r="78" spans="1:8" ht="15" customHeight="1" x14ac:dyDescent="0.25">
      <c r="A78" s="11" t="s">
        <v>74</v>
      </c>
      <c r="B78" s="6">
        <v>15</v>
      </c>
      <c r="C78" s="16">
        <v>113</v>
      </c>
      <c r="D78" s="5">
        <f t="shared" si="16"/>
        <v>128</v>
      </c>
      <c r="E78" s="6">
        <v>2</v>
      </c>
      <c r="F78" s="16">
        <v>42</v>
      </c>
      <c r="G78" s="5">
        <f t="shared" si="17"/>
        <v>44</v>
      </c>
      <c r="H78" s="7">
        <f t="shared" si="18"/>
        <v>172</v>
      </c>
    </row>
    <row r="79" spans="1:8" ht="15" customHeight="1" x14ac:dyDescent="0.25">
      <c r="A79" s="11" t="s">
        <v>75</v>
      </c>
      <c r="B79" s="6">
        <v>0</v>
      </c>
      <c r="C79" s="16">
        <v>2</v>
      </c>
      <c r="D79" s="5">
        <f t="shared" si="16"/>
        <v>2</v>
      </c>
      <c r="E79" s="6">
        <v>0</v>
      </c>
      <c r="F79" s="16">
        <v>0</v>
      </c>
      <c r="G79" s="5">
        <f t="shared" si="17"/>
        <v>0</v>
      </c>
      <c r="H79" s="7">
        <f t="shared" si="18"/>
        <v>2</v>
      </c>
    </row>
    <row r="80" spans="1:8" ht="15" customHeight="1" x14ac:dyDescent="0.25">
      <c r="A80" s="11" t="s">
        <v>76</v>
      </c>
      <c r="B80" s="6">
        <v>3</v>
      </c>
      <c r="C80" s="16">
        <v>0</v>
      </c>
      <c r="D80" s="5">
        <f t="shared" si="16"/>
        <v>3</v>
      </c>
      <c r="E80" s="6">
        <v>0</v>
      </c>
      <c r="F80" s="16">
        <v>1</v>
      </c>
      <c r="G80" s="5">
        <f t="shared" si="17"/>
        <v>1</v>
      </c>
      <c r="H80" s="7">
        <f t="shared" si="18"/>
        <v>4</v>
      </c>
    </row>
    <row r="81" spans="1:8" ht="15" customHeight="1" x14ac:dyDescent="0.25">
      <c r="A81" s="11" t="s">
        <v>241</v>
      </c>
      <c r="B81" s="6">
        <v>2</v>
      </c>
      <c r="C81" s="16">
        <v>1</v>
      </c>
      <c r="D81" s="5">
        <f t="shared" si="16"/>
        <v>3</v>
      </c>
      <c r="E81" s="6">
        <v>0</v>
      </c>
      <c r="F81" s="16">
        <v>0</v>
      </c>
      <c r="G81" s="5">
        <f t="shared" si="17"/>
        <v>0</v>
      </c>
      <c r="H81" s="7">
        <f t="shared" si="18"/>
        <v>3</v>
      </c>
    </row>
    <row r="82" spans="1:8" ht="15" customHeight="1" x14ac:dyDescent="0.25">
      <c r="A82" s="11" t="s">
        <v>77</v>
      </c>
      <c r="B82" s="6">
        <v>10</v>
      </c>
      <c r="C82" s="16">
        <v>21</v>
      </c>
      <c r="D82" s="5">
        <f t="shared" si="16"/>
        <v>31</v>
      </c>
      <c r="E82" s="6">
        <v>7</v>
      </c>
      <c r="F82" s="16">
        <v>16</v>
      </c>
      <c r="G82" s="5">
        <f t="shared" si="17"/>
        <v>23</v>
      </c>
      <c r="H82" s="7">
        <f t="shared" si="18"/>
        <v>54</v>
      </c>
    </row>
    <row r="83" spans="1:8" ht="15" customHeight="1" x14ac:dyDescent="0.25">
      <c r="A83" s="11" t="s">
        <v>79</v>
      </c>
      <c r="B83" s="6">
        <v>0</v>
      </c>
      <c r="C83" s="16">
        <v>0</v>
      </c>
      <c r="D83" s="5">
        <f t="shared" si="16"/>
        <v>0</v>
      </c>
      <c r="E83" s="6">
        <v>0</v>
      </c>
      <c r="F83" s="16">
        <v>5</v>
      </c>
      <c r="G83" s="5">
        <f t="shared" si="17"/>
        <v>5</v>
      </c>
      <c r="H83" s="7">
        <f t="shared" si="18"/>
        <v>5</v>
      </c>
    </row>
    <row r="84" spans="1:8" ht="15" customHeight="1" x14ac:dyDescent="0.25">
      <c r="A84" s="11" t="s">
        <v>109</v>
      </c>
      <c r="B84" s="6">
        <v>0</v>
      </c>
      <c r="C84" s="16">
        <v>2</v>
      </c>
      <c r="D84" s="5">
        <f t="shared" si="16"/>
        <v>2</v>
      </c>
      <c r="E84" s="6">
        <v>0</v>
      </c>
      <c r="F84" s="16">
        <v>0</v>
      </c>
      <c r="G84" s="5">
        <f t="shared" si="17"/>
        <v>0</v>
      </c>
      <c r="H84" s="7">
        <f t="shared" si="18"/>
        <v>2</v>
      </c>
    </row>
    <row r="85" spans="1:8" ht="15" customHeight="1" x14ac:dyDescent="0.25">
      <c r="A85" s="11" t="s">
        <v>80</v>
      </c>
      <c r="B85" s="6">
        <v>0</v>
      </c>
      <c r="C85" s="16">
        <v>118</v>
      </c>
      <c r="D85" s="5">
        <f t="shared" si="16"/>
        <v>118</v>
      </c>
      <c r="E85" s="6">
        <v>3</v>
      </c>
      <c r="F85" s="16">
        <v>32</v>
      </c>
      <c r="G85" s="5">
        <f t="shared" si="17"/>
        <v>35</v>
      </c>
      <c r="H85" s="7">
        <f t="shared" si="18"/>
        <v>153</v>
      </c>
    </row>
    <row r="86" spans="1:8" ht="15" customHeight="1" x14ac:dyDescent="0.25">
      <c r="A86" s="11" t="s">
        <v>81</v>
      </c>
      <c r="B86" s="6">
        <v>11</v>
      </c>
      <c r="C86" s="16">
        <v>32</v>
      </c>
      <c r="D86" s="5">
        <f t="shared" si="16"/>
        <v>43</v>
      </c>
      <c r="E86" s="6">
        <v>4</v>
      </c>
      <c r="F86" s="16">
        <v>35</v>
      </c>
      <c r="G86" s="5">
        <f t="shared" si="17"/>
        <v>39</v>
      </c>
      <c r="H86" s="7">
        <f t="shared" si="18"/>
        <v>82</v>
      </c>
    </row>
    <row r="87" spans="1:8" ht="15" customHeight="1" x14ac:dyDescent="0.25">
      <c r="A87" s="11" t="s">
        <v>82</v>
      </c>
      <c r="B87" s="6">
        <v>33</v>
      </c>
      <c r="C87" s="16">
        <v>15</v>
      </c>
      <c r="D87" s="5">
        <f t="shared" si="16"/>
        <v>48</v>
      </c>
      <c r="E87" s="6">
        <v>3</v>
      </c>
      <c r="F87" s="16">
        <v>16</v>
      </c>
      <c r="G87" s="5">
        <f t="shared" si="17"/>
        <v>19</v>
      </c>
      <c r="H87" s="7">
        <f t="shared" si="18"/>
        <v>67</v>
      </c>
    </row>
    <row r="88" spans="1:8" ht="15" customHeight="1" x14ac:dyDescent="0.25">
      <c r="A88" s="11" t="s">
        <v>83</v>
      </c>
      <c r="B88" s="6">
        <v>2</v>
      </c>
      <c r="C88" s="16">
        <v>28</v>
      </c>
      <c r="D88" s="5">
        <f t="shared" si="16"/>
        <v>30</v>
      </c>
      <c r="E88" s="6">
        <v>0</v>
      </c>
      <c r="F88" s="16">
        <v>53</v>
      </c>
      <c r="G88" s="5">
        <f t="shared" si="17"/>
        <v>53</v>
      </c>
      <c r="H88" s="7">
        <f t="shared" si="18"/>
        <v>83</v>
      </c>
    </row>
    <row r="89" spans="1:8" ht="15" customHeight="1" x14ac:dyDescent="0.25">
      <c r="A89" s="11" t="s">
        <v>211</v>
      </c>
      <c r="B89" s="6">
        <v>0</v>
      </c>
      <c r="C89" s="16">
        <v>0</v>
      </c>
      <c r="D89" s="5">
        <f t="shared" si="16"/>
        <v>0</v>
      </c>
      <c r="E89" s="6">
        <v>0</v>
      </c>
      <c r="F89" s="16">
        <v>1</v>
      </c>
      <c r="G89" s="5">
        <f t="shared" si="17"/>
        <v>1</v>
      </c>
      <c r="H89" s="7">
        <f t="shared" si="18"/>
        <v>1</v>
      </c>
    </row>
    <row r="90" spans="1:8" ht="15" customHeight="1" x14ac:dyDescent="0.25">
      <c r="A90" s="11" t="s">
        <v>84</v>
      </c>
      <c r="B90" s="6">
        <v>1</v>
      </c>
      <c r="C90" s="16">
        <v>20</v>
      </c>
      <c r="D90" s="5">
        <f t="shared" si="16"/>
        <v>21</v>
      </c>
      <c r="E90" s="6">
        <v>0</v>
      </c>
      <c r="F90" s="16">
        <v>41</v>
      </c>
      <c r="G90" s="5">
        <f t="shared" si="17"/>
        <v>41</v>
      </c>
      <c r="H90" s="7">
        <f t="shared" si="18"/>
        <v>62</v>
      </c>
    </row>
    <row r="91" spans="1:8" ht="15" customHeight="1" x14ac:dyDescent="0.25">
      <c r="A91" s="11" t="s">
        <v>179</v>
      </c>
      <c r="B91" s="6">
        <v>0</v>
      </c>
      <c r="C91" s="16">
        <v>1</v>
      </c>
      <c r="D91" s="5">
        <f t="shared" si="16"/>
        <v>1</v>
      </c>
      <c r="E91" s="6">
        <v>0</v>
      </c>
      <c r="F91" s="16">
        <v>0</v>
      </c>
      <c r="G91" s="5">
        <f t="shared" si="17"/>
        <v>0</v>
      </c>
      <c r="H91" s="7">
        <f t="shared" si="18"/>
        <v>1</v>
      </c>
    </row>
    <row r="92" spans="1:8" ht="15" customHeight="1" thickBot="1" x14ac:dyDescent="0.3">
      <c r="A92" s="11" t="s">
        <v>85</v>
      </c>
      <c r="B92" s="6">
        <v>2</v>
      </c>
      <c r="C92" s="16">
        <v>0</v>
      </c>
      <c r="D92" s="5">
        <f t="shared" si="16"/>
        <v>2</v>
      </c>
      <c r="E92" s="6">
        <v>0</v>
      </c>
      <c r="F92" s="16">
        <v>2</v>
      </c>
      <c r="G92" s="5">
        <f t="shared" si="17"/>
        <v>2</v>
      </c>
      <c r="H92" s="7">
        <f t="shared" si="18"/>
        <v>4</v>
      </c>
    </row>
    <row r="93" spans="1:8" ht="15" customHeight="1" thickTop="1" thickBot="1" x14ac:dyDescent="0.3">
      <c r="A93" s="12" t="s">
        <v>6</v>
      </c>
      <c r="B93" s="13">
        <f t="shared" ref="B93:G93" si="19">SUM(B66:B92)</f>
        <v>139</v>
      </c>
      <c r="C93" s="13">
        <f t="shared" si="19"/>
        <v>488</v>
      </c>
      <c r="D93" s="13">
        <f t="shared" si="19"/>
        <v>627</v>
      </c>
      <c r="E93" s="13">
        <f t="shared" si="19"/>
        <v>52</v>
      </c>
      <c r="F93" s="13">
        <f t="shared" si="19"/>
        <v>448</v>
      </c>
      <c r="G93" s="13">
        <f t="shared" si="19"/>
        <v>500</v>
      </c>
      <c r="H93" s="15">
        <f t="shared" si="18"/>
        <v>1127</v>
      </c>
    </row>
    <row r="94" spans="1:8" ht="15" customHeight="1" thickTop="1" thickBot="1" x14ac:dyDescent="0.3">
      <c r="A94" s="23" t="s">
        <v>86</v>
      </c>
      <c r="B94" s="24"/>
      <c r="C94" s="24"/>
      <c r="D94" s="24"/>
      <c r="E94" s="24"/>
      <c r="F94" s="24"/>
      <c r="G94" s="24"/>
      <c r="H94" s="25"/>
    </row>
    <row r="95" spans="1:8" ht="15" customHeight="1" thickTop="1" x14ac:dyDescent="0.25">
      <c r="A95" s="11" t="s">
        <v>87</v>
      </c>
      <c r="B95" s="6">
        <v>1</v>
      </c>
      <c r="C95" s="16">
        <v>7</v>
      </c>
      <c r="D95" s="5">
        <f t="shared" ref="D95:D124" si="20">B95+C95</f>
        <v>8</v>
      </c>
      <c r="E95" s="6">
        <v>1</v>
      </c>
      <c r="F95" s="16">
        <v>2</v>
      </c>
      <c r="G95" s="5">
        <f t="shared" ref="G95:G124" si="21">E95+F95</f>
        <v>3</v>
      </c>
      <c r="H95" s="7">
        <f t="shared" ref="H95:H124" si="22">G95+D95</f>
        <v>11</v>
      </c>
    </row>
    <row r="96" spans="1:8" ht="15" customHeight="1" x14ac:dyDescent="0.25">
      <c r="A96" s="11" t="s">
        <v>88</v>
      </c>
      <c r="B96" s="6">
        <v>0</v>
      </c>
      <c r="C96" s="16">
        <v>0</v>
      </c>
      <c r="D96" s="5">
        <f t="shared" si="20"/>
        <v>0</v>
      </c>
      <c r="E96" s="6">
        <v>0</v>
      </c>
      <c r="F96" s="16">
        <v>4</v>
      </c>
      <c r="G96" s="5">
        <f t="shared" si="21"/>
        <v>4</v>
      </c>
      <c r="H96" s="7">
        <f t="shared" si="22"/>
        <v>4</v>
      </c>
    </row>
    <row r="97" spans="1:8" ht="15" customHeight="1" x14ac:dyDescent="0.25">
      <c r="A97" s="11" t="s">
        <v>89</v>
      </c>
      <c r="B97" s="6">
        <v>0</v>
      </c>
      <c r="C97" s="16">
        <v>0</v>
      </c>
      <c r="D97" s="5">
        <f t="shared" si="20"/>
        <v>0</v>
      </c>
      <c r="E97" s="6">
        <v>1</v>
      </c>
      <c r="F97" s="16">
        <v>2</v>
      </c>
      <c r="G97" s="5">
        <f t="shared" si="21"/>
        <v>3</v>
      </c>
      <c r="H97" s="7">
        <f t="shared" si="22"/>
        <v>3</v>
      </c>
    </row>
    <row r="98" spans="1:8" ht="15" customHeight="1" x14ac:dyDescent="0.25">
      <c r="A98" s="11" t="s">
        <v>184</v>
      </c>
      <c r="B98" s="6">
        <v>0</v>
      </c>
      <c r="C98" s="16">
        <v>0</v>
      </c>
      <c r="D98" s="5">
        <f t="shared" si="20"/>
        <v>0</v>
      </c>
      <c r="E98" s="6">
        <v>0</v>
      </c>
      <c r="F98" s="16">
        <v>1</v>
      </c>
      <c r="G98" s="5">
        <f t="shared" si="21"/>
        <v>1</v>
      </c>
      <c r="H98" s="7">
        <f t="shared" si="22"/>
        <v>1</v>
      </c>
    </row>
    <row r="99" spans="1:8" ht="15" customHeight="1" x14ac:dyDescent="0.25">
      <c r="A99" s="11" t="s">
        <v>90</v>
      </c>
      <c r="B99" s="6">
        <v>0</v>
      </c>
      <c r="C99" s="16">
        <v>1</v>
      </c>
      <c r="D99" s="5">
        <f t="shared" si="20"/>
        <v>1</v>
      </c>
      <c r="E99" s="6">
        <v>4</v>
      </c>
      <c r="F99" s="16">
        <v>11</v>
      </c>
      <c r="G99" s="5">
        <f t="shared" si="21"/>
        <v>15</v>
      </c>
      <c r="H99" s="7">
        <f t="shared" si="22"/>
        <v>16</v>
      </c>
    </row>
    <row r="100" spans="1:8" ht="15" customHeight="1" x14ac:dyDescent="0.25">
      <c r="A100" s="11" t="s">
        <v>91</v>
      </c>
      <c r="B100" s="6">
        <v>2</v>
      </c>
      <c r="C100" s="16">
        <v>0</v>
      </c>
      <c r="D100" s="5">
        <f t="shared" si="20"/>
        <v>2</v>
      </c>
      <c r="E100" s="6">
        <v>0</v>
      </c>
      <c r="F100" s="16">
        <v>1</v>
      </c>
      <c r="G100" s="5">
        <f t="shared" si="21"/>
        <v>1</v>
      </c>
      <c r="H100" s="7">
        <f t="shared" si="22"/>
        <v>3</v>
      </c>
    </row>
    <row r="101" spans="1:8" ht="15" customHeight="1" x14ac:dyDescent="0.25">
      <c r="A101" s="11" t="s">
        <v>92</v>
      </c>
      <c r="B101" s="6">
        <v>3</v>
      </c>
      <c r="C101" s="16">
        <v>0</v>
      </c>
      <c r="D101" s="5">
        <f t="shared" si="20"/>
        <v>3</v>
      </c>
      <c r="E101" s="6">
        <v>0</v>
      </c>
      <c r="F101" s="16">
        <v>3</v>
      </c>
      <c r="G101" s="5">
        <f t="shared" si="21"/>
        <v>3</v>
      </c>
      <c r="H101" s="7">
        <f t="shared" si="22"/>
        <v>6</v>
      </c>
    </row>
    <row r="102" spans="1:8" ht="15" customHeight="1" x14ac:dyDescent="0.25">
      <c r="A102" s="11" t="s">
        <v>93</v>
      </c>
      <c r="B102" s="6">
        <v>0</v>
      </c>
      <c r="C102" s="16">
        <v>1</v>
      </c>
      <c r="D102" s="5">
        <f t="shared" si="20"/>
        <v>1</v>
      </c>
      <c r="E102" s="6">
        <v>0</v>
      </c>
      <c r="F102" s="16">
        <v>0</v>
      </c>
      <c r="G102" s="5">
        <f t="shared" si="21"/>
        <v>0</v>
      </c>
      <c r="H102" s="7">
        <f t="shared" si="22"/>
        <v>1</v>
      </c>
    </row>
    <row r="103" spans="1:8" ht="15" customHeight="1" x14ac:dyDescent="0.25">
      <c r="A103" s="11" t="s">
        <v>94</v>
      </c>
      <c r="B103" s="6">
        <v>0</v>
      </c>
      <c r="C103" s="16">
        <v>1</v>
      </c>
      <c r="D103" s="5">
        <f t="shared" si="20"/>
        <v>1</v>
      </c>
      <c r="E103" s="6">
        <v>0</v>
      </c>
      <c r="F103" s="16">
        <v>5</v>
      </c>
      <c r="G103" s="5">
        <f t="shared" si="21"/>
        <v>5</v>
      </c>
      <c r="H103" s="7">
        <f t="shared" si="22"/>
        <v>6</v>
      </c>
    </row>
    <row r="104" spans="1:8" ht="15" customHeight="1" x14ac:dyDescent="0.25">
      <c r="A104" s="11" t="s">
        <v>95</v>
      </c>
      <c r="B104" s="6">
        <v>7</v>
      </c>
      <c r="C104" s="16">
        <v>2</v>
      </c>
      <c r="D104" s="5">
        <f t="shared" si="20"/>
        <v>9</v>
      </c>
      <c r="E104" s="6">
        <v>1</v>
      </c>
      <c r="F104" s="16">
        <v>5</v>
      </c>
      <c r="G104" s="5">
        <f t="shared" si="21"/>
        <v>6</v>
      </c>
      <c r="H104" s="7">
        <f t="shared" si="22"/>
        <v>15</v>
      </c>
    </row>
    <row r="105" spans="1:8" ht="15" customHeight="1" x14ac:dyDescent="0.25">
      <c r="A105" s="11" t="s">
        <v>96</v>
      </c>
      <c r="B105" s="6">
        <v>3</v>
      </c>
      <c r="C105" s="16">
        <v>12</v>
      </c>
      <c r="D105" s="5">
        <f t="shared" si="20"/>
        <v>15</v>
      </c>
      <c r="E105" s="6">
        <v>2</v>
      </c>
      <c r="F105" s="16">
        <v>12</v>
      </c>
      <c r="G105" s="5">
        <f t="shared" si="21"/>
        <v>14</v>
      </c>
      <c r="H105" s="7">
        <f t="shared" si="22"/>
        <v>29</v>
      </c>
    </row>
    <row r="106" spans="1:8" ht="15" customHeight="1" x14ac:dyDescent="0.25">
      <c r="A106" s="11" t="s">
        <v>99</v>
      </c>
      <c r="B106" s="6">
        <v>1</v>
      </c>
      <c r="C106" s="16">
        <v>0</v>
      </c>
      <c r="D106" s="5">
        <f t="shared" si="20"/>
        <v>1</v>
      </c>
      <c r="E106" s="6">
        <v>0</v>
      </c>
      <c r="F106" s="16">
        <v>2</v>
      </c>
      <c r="G106" s="5">
        <f t="shared" si="21"/>
        <v>2</v>
      </c>
      <c r="H106" s="7">
        <f t="shared" si="22"/>
        <v>3</v>
      </c>
    </row>
    <row r="107" spans="1:8" ht="15" customHeight="1" x14ac:dyDescent="0.25">
      <c r="A107" s="11" t="s">
        <v>100</v>
      </c>
      <c r="B107" s="6">
        <v>0</v>
      </c>
      <c r="C107" s="16">
        <v>0</v>
      </c>
      <c r="D107" s="5">
        <f t="shared" si="20"/>
        <v>0</v>
      </c>
      <c r="E107" s="6">
        <v>0</v>
      </c>
      <c r="F107" s="16">
        <v>2</v>
      </c>
      <c r="G107" s="5">
        <f t="shared" si="21"/>
        <v>2</v>
      </c>
      <c r="H107" s="7">
        <f t="shared" si="22"/>
        <v>2</v>
      </c>
    </row>
    <row r="108" spans="1:8" ht="15" customHeight="1" x14ac:dyDescent="0.25">
      <c r="A108" s="11" t="s">
        <v>101</v>
      </c>
      <c r="B108" s="6">
        <v>2</v>
      </c>
      <c r="C108" s="16">
        <v>6</v>
      </c>
      <c r="D108" s="5">
        <f t="shared" si="20"/>
        <v>8</v>
      </c>
      <c r="E108" s="6">
        <v>1</v>
      </c>
      <c r="F108" s="16">
        <v>3</v>
      </c>
      <c r="G108" s="5">
        <f t="shared" si="21"/>
        <v>4</v>
      </c>
      <c r="H108" s="7">
        <f t="shared" si="22"/>
        <v>12</v>
      </c>
    </row>
    <row r="109" spans="1:8" ht="15" customHeight="1" x14ac:dyDescent="0.25">
      <c r="A109" s="11" t="s">
        <v>102</v>
      </c>
      <c r="B109" s="6">
        <v>1</v>
      </c>
      <c r="C109" s="16">
        <v>1</v>
      </c>
      <c r="D109" s="5">
        <f t="shared" si="20"/>
        <v>2</v>
      </c>
      <c r="E109" s="6">
        <v>0</v>
      </c>
      <c r="F109" s="16">
        <v>0</v>
      </c>
      <c r="G109" s="5">
        <f t="shared" si="21"/>
        <v>0</v>
      </c>
      <c r="H109" s="7">
        <f t="shared" si="22"/>
        <v>2</v>
      </c>
    </row>
    <row r="110" spans="1:8" ht="15" customHeight="1" x14ac:dyDescent="0.25">
      <c r="A110" s="11" t="s">
        <v>103</v>
      </c>
      <c r="B110" s="6">
        <v>0</v>
      </c>
      <c r="C110" s="16">
        <v>0</v>
      </c>
      <c r="D110" s="5">
        <f t="shared" si="20"/>
        <v>0</v>
      </c>
      <c r="E110" s="6">
        <v>0</v>
      </c>
      <c r="F110" s="16">
        <v>2</v>
      </c>
      <c r="G110" s="5">
        <f t="shared" si="21"/>
        <v>2</v>
      </c>
      <c r="H110" s="7">
        <f t="shared" si="22"/>
        <v>2</v>
      </c>
    </row>
    <row r="111" spans="1:8" ht="15" customHeight="1" x14ac:dyDescent="0.25">
      <c r="A111" s="11" t="s">
        <v>104</v>
      </c>
      <c r="B111" s="6">
        <v>12</v>
      </c>
      <c r="C111" s="16">
        <v>26</v>
      </c>
      <c r="D111" s="5">
        <f t="shared" si="20"/>
        <v>38</v>
      </c>
      <c r="E111" s="6">
        <v>7</v>
      </c>
      <c r="F111" s="16">
        <v>31</v>
      </c>
      <c r="G111" s="5">
        <f t="shared" si="21"/>
        <v>38</v>
      </c>
      <c r="H111" s="7">
        <f t="shared" si="22"/>
        <v>76</v>
      </c>
    </row>
    <row r="112" spans="1:8" ht="15" customHeight="1" x14ac:dyDescent="0.25">
      <c r="A112" s="11" t="s">
        <v>220</v>
      </c>
      <c r="B112" s="6">
        <v>0</v>
      </c>
      <c r="C112" s="16">
        <v>1</v>
      </c>
      <c r="D112" s="5">
        <f t="shared" si="20"/>
        <v>1</v>
      </c>
      <c r="E112" s="6">
        <v>0</v>
      </c>
      <c r="F112" s="16">
        <v>1</v>
      </c>
      <c r="G112" s="5">
        <f t="shared" si="21"/>
        <v>1</v>
      </c>
      <c r="H112" s="7">
        <f t="shared" si="22"/>
        <v>2</v>
      </c>
    </row>
    <row r="113" spans="1:8" ht="15" customHeight="1" x14ac:dyDescent="0.25">
      <c r="A113" s="11" t="s">
        <v>188</v>
      </c>
      <c r="B113" s="6">
        <v>0</v>
      </c>
      <c r="C113" s="16">
        <v>1</v>
      </c>
      <c r="D113" s="5">
        <f t="shared" si="20"/>
        <v>1</v>
      </c>
      <c r="E113" s="6">
        <v>0</v>
      </c>
      <c r="F113" s="16">
        <v>0</v>
      </c>
      <c r="G113" s="5">
        <f t="shared" si="21"/>
        <v>0</v>
      </c>
      <c r="H113" s="7">
        <f t="shared" si="22"/>
        <v>1</v>
      </c>
    </row>
    <row r="114" spans="1:8" ht="15" customHeight="1" x14ac:dyDescent="0.25">
      <c r="A114" s="11" t="s">
        <v>105</v>
      </c>
      <c r="B114" s="6">
        <v>1</v>
      </c>
      <c r="C114" s="16">
        <v>1</v>
      </c>
      <c r="D114" s="5">
        <f t="shared" si="20"/>
        <v>2</v>
      </c>
      <c r="E114" s="6">
        <v>2</v>
      </c>
      <c r="F114" s="16">
        <v>4</v>
      </c>
      <c r="G114" s="5">
        <f t="shared" si="21"/>
        <v>6</v>
      </c>
      <c r="H114" s="7">
        <f t="shared" si="22"/>
        <v>8</v>
      </c>
    </row>
    <row r="115" spans="1:8" ht="15" customHeight="1" x14ac:dyDescent="0.25">
      <c r="A115" s="11" t="s">
        <v>106</v>
      </c>
      <c r="B115" s="6">
        <v>7</v>
      </c>
      <c r="C115" s="16">
        <v>0</v>
      </c>
      <c r="D115" s="5">
        <f t="shared" si="20"/>
        <v>7</v>
      </c>
      <c r="E115" s="6">
        <v>1</v>
      </c>
      <c r="F115" s="16">
        <v>0</v>
      </c>
      <c r="G115" s="5">
        <f t="shared" si="21"/>
        <v>1</v>
      </c>
      <c r="H115" s="7">
        <f t="shared" si="22"/>
        <v>8</v>
      </c>
    </row>
    <row r="116" spans="1:8" ht="15" customHeight="1" x14ac:dyDescent="0.25">
      <c r="A116" s="11" t="s">
        <v>107</v>
      </c>
      <c r="B116" s="6">
        <v>0</v>
      </c>
      <c r="C116" s="16">
        <v>5</v>
      </c>
      <c r="D116" s="5">
        <f t="shared" si="20"/>
        <v>5</v>
      </c>
      <c r="E116" s="6">
        <v>4</v>
      </c>
      <c r="F116" s="16">
        <v>21</v>
      </c>
      <c r="G116" s="5">
        <f t="shared" si="21"/>
        <v>25</v>
      </c>
      <c r="H116" s="7">
        <f t="shared" si="22"/>
        <v>30</v>
      </c>
    </row>
    <row r="117" spans="1:8" ht="15" customHeight="1" x14ac:dyDescent="0.25">
      <c r="A117" s="11" t="s">
        <v>108</v>
      </c>
      <c r="B117" s="6">
        <v>5</v>
      </c>
      <c r="C117" s="16">
        <v>3</v>
      </c>
      <c r="D117" s="5">
        <f t="shared" si="20"/>
        <v>8</v>
      </c>
      <c r="E117" s="6">
        <v>7</v>
      </c>
      <c r="F117" s="16">
        <v>5</v>
      </c>
      <c r="G117" s="5">
        <f t="shared" si="21"/>
        <v>12</v>
      </c>
      <c r="H117" s="7">
        <f t="shared" si="22"/>
        <v>20</v>
      </c>
    </row>
    <row r="118" spans="1:8" ht="15" customHeight="1" x14ac:dyDescent="0.25">
      <c r="A118" s="11" t="s">
        <v>154</v>
      </c>
      <c r="B118" s="6">
        <v>0</v>
      </c>
      <c r="C118" s="16">
        <v>0</v>
      </c>
      <c r="D118" s="5">
        <f t="shared" si="20"/>
        <v>0</v>
      </c>
      <c r="E118" s="6">
        <v>0</v>
      </c>
      <c r="F118" s="16">
        <v>2</v>
      </c>
      <c r="G118" s="5">
        <f t="shared" si="21"/>
        <v>2</v>
      </c>
      <c r="H118" s="7">
        <f t="shared" si="22"/>
        <v>2</v>
      </c>
    </row>
    <row r="119" spans="1:8" ht="15" customHeight="1" x14ac:dyDescent="0.25">
      <c r="A119" s="11" t="s">
        <v>110</v>
      </c>
      <c r="B119" s="6">
        <v>0</v>
      </c>
      <c r="C119" s="16">
        <v>3</v>
      </c>
      <c r="D119" s="5">
        <f t="shared" si="20"/>
        <v>3</v>
      </c>
      <c r="E119" s="6">
        <v>1</v>
      </c>
      <c r="F119" s="16">
        <v>6</v>
      </c>
      <c r="G119" s="5">
        <f t="shared" si="21"/>
        <v>7</v>
      </c>
      <c r="H119" s="7">
        <f t="shared" si="22"/>
        <v>10</v>
      </c>
    </row>
    <row r="120" spans="1:8" ht="15" customHeight="1" x14ac:dyDescent="0.25">
      <c r="A120" s="11" t="s">
        <v>155</v>
      </c>
      <c r="B120" s="6">
        <v>0</v>
      </c>
      <c r="C120" s="16">
        <v>0</v>
      </c>
      <c r="D120" s="5">
        <f t="shared" si="20"/>
        <v>0</v>
      </c>
      <c r="E120" s="6">
        <v>2</v>
      </c>
      <c r="F120" s="16">
        <v>0</v>
      </c>
      <c r="G120" s="5">
        <f t="shared" si="21"/>
        <v>2</v>
      </c>
      <c r="H120" s="7">
        <f t="shared" si="22"/>
        <v>2</v>
      </c>
    </row>
    <row r="121" spans="1:8" ht="15" customHeight="1" x14ac:dyDescent="0.25">
      <c r="A121" s="11" t="s">
        <v>111</v>
      </c>
      <c r="B121" s="6">
        <v>1</v>
      </c>
      <c r="C121" s="16">
        <v>0</v>
      </c>
      <c r="D121" s="5">
        <f t="shared" si="20"/>
        <v>1</v>
      </c>
      <c r="E121" s="6">
        <v>2</v>
      </c>
      <c r="F121" s="16">
        <v>7</v>
      </c>
      <c r="G121" s="5">
        <f t="shared" si="21"/>
        <v>9</v>
      </c>
      <c r="H121" s="7">
        <f t="shared" si="22"/>
        <v>10</v>
      </c>
    </row>
    <row r="122" spans="1:8" ht="15" customHeight="1" x14ac:dyDescent="0.25">
      <c r="A122" s="11" t="s">
        <v>112</v>
      </c>
      <c r="B122" s="6">
        <v>0</v>
      </c>
      <c r="C122" s="16">
        <v>1</v>
      </c>
      <c r="D122" s="5">
        <f t="shared" si="20"/>
        <v>1</v>
      </c>
      <c r="E122" s="6">
        <v>1</v>
      </c>
      <c r="F122" s="16">
        <v>0</v>
      </c>
      <c r="G122" s="5">
        <f t="shared" si="21"/>
        <v>1</v>
      </c>
      <c r="H122" s="7">
        <f t="shared" si="22"/>
        <v>2</v>
      </c>
    </row>
    <row r="123" spans="1:8" ht="15" customHeight="1" x14ac:dyDescent="0.25">
      <c r="A123" s="11" t="s">
        <v>113</v>
      </c>
      <c r="B123" s="6">
        <v>3</v>
      </c>
      <c r="C123" s="16">
        <v>3</v>
      </c>
      <c r="D123" s="5">
        <f t="shared" si="20"/>
        <v>6</v>
      </c>
      <c r="E123" s="6">
        <v>1</v>
      </c>
      <c r="F123" s="16">
        <v>2</v>
      </c>
      <c r="G123" s="5">
        <f t="shared" si="21"/>
        <v>3</v>
      </c>
      <c r="H123" s="7">
        <f t="shared" si="22"/>
        <v>9</v>
      </c>
    </row>
    <row r="124" spans="1:8" ht="15" customHeight="1" thickBot="1" x14ac:dyDescent="0.3">
      <c r="A124" s="11" t="s">
        <v>114</v>
      </c>
      <c r="B124" s="6">
        <v>1</v>
      </c>
      <c r="C124" s="16">
        <v>0</v>
      </c>
      <c r="D124" s="5">
        <f t="shared" si="20"/>
        <v>1</v>
      </c>
      <c r="E124" s="6">
        <v>1</v>
      </c>
      <c r="F124" s="16">
        <v>4</v>
      </c>
      <c r="G124" s="5">
        <f t="shared" si="21"/>
        <v>5</v>
      </c>
      <c r="H124" s="7">
        <f t="shared" si="22"/>
        <v>6</v>
      </c>
    </row>
    <row r="125" spans="1:8" ht="15" customHeight="1" thickTop="1" thickBot="1" x14ac:dyDescent="0.3">
      <c r="A125" s="12" t="s">
        <v>6</v>
      </c>
      <c r="B125" s="13">
        <f t="shared" ref="B125:H125" si="23">SUM(B95:B124)</f>
        <v>50</v>
      </c>
      <c r="C125" s="13">
        <f t="shared" si="23"/>
        <v>75</v>
      </c>
      <c r="D125" s="13">
        <f t="shared" si="23"/>
        <v>125</v>
      </c>
      <c r="E125" s="13">
        <f t="shared" si="23"/>
        <v>39</v>
      </c>
      <c r="F125" s="13">
        <f t="shared" si="23"/>
        <v>138</v>
      </c>
      <c r="G125" s="13">
        <f t="shared" si="23"/>
        <v>177</v>
      </c>
      <c r="H125" s="15">
        <f t="shared" si="23"/>
        <v>302</v>
      </c>
    </row>
    <row r="126" spans="1:8" ht="15" customHeight="1" thickTop="1" thickBot="1" x14ac:dyDescent="0.3">
      <c r="A126" s="23" t="s">
        <v>115</v>
      </c>
      <c r="B126" s="24"/>
      <c r="C126" s="24"/>
      <c r="D126" s="24"/>
      <c r="E126" s="24"/>
      <c r="F126" s="24"/>
      <c r="G126" s="24"/>
      <c r="H126" s="25"/>
    </row>
    <row r="127" spans="1:8" ht="15" customHeight="1" thickTop="1" x14ac:dyDescent="0.25">
      <c r="A127" s="11" t="s">
        <v>116</v>
      </c>
      <c r="B127" s="6">
        <v>6</v>
      </c>
      <c r="C127" s="16">
        <v>12</v>
      </c>
      <c r="D127" s="5">
        <f t="shared" ref="D127:D128" si="24">B127+C127</f>
        <v>18</v>
      </c>
      <c r="E127" s="6">
        <v>6</v>
      </c>
      <c r="F127" s="16">
        <v>41</v>
      </c>
      <c r="G127" s="5">
        <f t="shared" ref="G127:G128" si="25">E127+F127</f>
        <v>47</v>
      </c>
      <c r="H127" s="7">
        <f t="shared" ref="H127:H128" si="26">G127+D127</f>
        <v>65</v>
      </c>
    </row>
    <row r="128" spans="1:8" ht="15" customHeight="1" thickBot="1" x14ac:dyDescent="0.3">
      <c r="A128" s="11" t="s">
        <v>117</v>
      </c>
      <c r="B128" s="6">
        <v>27</v>
      </c>
      <c r="C128" s="16">
        <v>284</v>
      </c>
      <c r="D128" s="5">
        <f t="shared" si="24"/>
        <v>311</v>
      </c>
      <c r="E128" s="6">
        <v>12</v>
      </c>
      <c r="F128" s="16">
        <v>167</v>
      </c>
      <c r="G128" s="5">
        <f t="shared" si="25"/>
        <v>179</v>
      </c>
      <c r="H128" s="7">
        <f t="shared" si="26"/>
        <v>490</v>
      </c>
    </row>
    <row r="129" spans="1:8" ht="15" customHeight="1" thickTop="1" thickBot="1" x14ac:dyDescent="0.3">
      <c r="A129" s="12" t="s">
        <v>6</v>
      </c>
      <c r="B129" s="13">
        <f>SUM(B127:B128)</f>
        <v>33</v>
      </c>
      <c r="C129" s="13">
        <f t="shared" ref="C129:H129" si="27">SUM(C127:C128)</f>
        <v>296</v>
      </c>
      <c r="D129" s="13">
        <f t="shared" si="27"/>
        <v>329</v>
      </c>
      <c r="E129" s="13">
        <f t="shared" si="27"/>
        <v>18</v>
      </c>
      <c r="F129" s="13">
        <f t="shared" si="27"/>
        <v>208</v>
      </c>
      <c r="G129" s="13">
        <f t="shared" si="27"/>
        <v>226</v>
      </c>
      <c r="H129" s="15">
        <f t="shared" si="27"/>
        <v>555</v>
      </c>
    </row>
    <row r="130" spans="1:8" ht="15" customHeight="1" thickTop="1" thickBot="1" x14ac:dyDescent="0.3">
      <c r="A130" s="23" t="s">
        <v>145</v>
      </c>
      <c r="B130" s="24"/>
      <c r="C130" s="24"/>
      <c r="D130" s="24"/>
      <c r="E130" s="24"/>
      <c r="F130" s="24"/>
      <c r="G130" s="24"/>
      <c r="H130" s="25"/>
    </row>
    <row r="131" spans="1:8" ht="15" customHeight="1" thickTop="1" x14ac:dyDescent="0.25">
      <c r="A131" s="11" t="s">
        <v>119</v>
      </c>
      <c r="B131" s="6">
        <v>0</v>
      </c>
      <c r="C131" s="16">
        <v>1</v>
      </c>
      <c r="D131" s="5">
        <f t="shared" ref="D131:D136" si="28">B131+C131</f>
        <v>1</v>
      </c>
      <c r="E131" s="6">
        <v>0</v>
      </c>
      <c r="F131" s="16">
        <v>3</v>
      </c>
      <c r="G131" s="5">
        <f t="shared" ref="G131:G136" si="29">E131+F131</f>
        <v>3</v>
      </c>
      <c r="H131" s="7">
        <f t="shared" ref="H131:H136" si="30">G131+D131</f>
        <v>4</v>
      </c>
    </row>
    <row r="132" spans="1:8" ht="15" customHeight="1" x14ac:dyDescent="0.25">
      <c r="A132" s="11" t="s">
        <v>120</v>
      </c>
      <c r="B132" s="6">
        <v>0</v>
      </c>
      <c r="C132" s="16">
        <v>1</v>
      </c>
      <c r="D132" s="5">
        <f t="shared" si="28"/>
        <v>1</v>
      </c>
      <c r="E132" s="6">
        <v>0</v>
      </c>
      <c r="F132" s="16">
        <v>1</v>
      </c>
      <c r="G132" s="5">
        <f t="shared" si="29"/>
        <v>1</v>
      </c>
      <c r="H132" s="7">
        <f t="shared" si="30"/>
        <v>2</v>
      </c>
    </row>
    <row r="133" spans="1:8" ht="15" customHeight="1" x14ac:dyDescent="0.25">
      <c r="A133" s="11" t="s">
        <v>121</v>
      </c>
      <c r="B133" s="6">
        <v>1</v>
      </c>
      <c r="C133" s="16">
        <v>0</v>
      </c>
      <c r="D133" s="5">
        <f t="shared" si="28"/>
        <v>1</v>
      </c>
      <c r="E133" s="6">
        <v>0</v>
      </c>
      <c r="F133" s="16">
        <v>0</v>
      </c>
      <c r="G133" s="5">
        <f t="shared" si="29"/>
        <v>0</v>
      </c>
      <c r="H133" s="7">
        <f t="shared" si="30"/>
        <v>1</v>
      </c>
    </row>
    <row r="134" spans="1:8" ht="15" customHeight="1" x14ac:dyDescent="0.25">
      <c r="A134" s="11" t="s">
        <v>123</v>
      </c>
      <c r="B134" s="6">
        <v>1</v>
      </c>
      <c r="C134" s="16">
        <v>3</v>
      </c>
      <c r="D134" s="5">
        <f t="shared" si="28"/>
        <v>4</v>
      </c>
      <c r="E134" s="6">
        <v>0</v>
      </c>
      <c r="F134" s="16">
        <v>3</v>
      </c>
      <c r="G134" s="5">
        <f t="shared" si="29"/>
        <v>3</v>
      </c>
      <c r="H134" s="7">
        <f t="shared" si="30"/>
        <v>7</v>
      </c>
    </row>
    <row r="135" spans="1:8" ht="15" customHeight="1" x14ac:dyDescent="0.25">
      <c r="A135" s="11" t="s">
        <v>124</v>
      </c>
      <c r="B135" s="6">
        <v>0</v>
      </c>
      <c r="C135" s="16">
        <v>2</v>
      </c>
      <c r="D135" s="5">
        <f t="shared" si="28"/>
        <v>2</v>
      </c>
      <c r="E135" s="6">
        <v>0</v>
      </c>
      <c r="F135" s="16">
        <v>0</v>
      </c>
      <c r="G135" s="5">
        <f t="shared" si="29"/>
        <v>0</v>
      </c>
      <c r="H135" s="7">
        <f t="shared" si="30"/>
        <v>2</v>
      </c>
    </row>
    <row r="136" spans="1:8" ht="15" customHeight="1" thickBot="1" x14ac:dyDescent="0.3">
      <c r="A136" s="11" t="s">
        <v>126</v>
      </c>
      <c r="B136" s="6">
        <v>0</v>
      </c>
      <c r="C136" s="16">
        <v>4</v>
      </c>
      <c r="D136" s="5">
        <f t="shared" si="28"/>
        <v>4</v>
      </c>
      <c r="E136" s="6">
        <v>1</v>
      </c>
      <c r="F136" s="16">
        <v>7</v>
      </c>
      <c r="G136" s="5">
        <f t="shared" si="29"/>
        <v>8</v>
      </c>
      <c r="H136" s="7">
        <f t="shared" si="30"/>
        <v>12</v>
      </c>
    </row>
    <row r="137" spans="1:8" ht="15" customHeight="1" thickTop="1" thickBot="1" x14ac:dyDescent="0.3">
      <c r="A137" s="12" t="s">
        <v>6</v>
      </c>
      <c r="B137" s="13">
        <f>SUM(B131:B136)</f>
        <v>2</v>
      </c>
      <c r="C137" s="13">
        <f t="shared" ref="C137:H137" si="31">SUM(C131:C136)</f>
        <v>11</v>
      </c>
      <c r="D137" s="13">
        <f t="shared" si="31"/>
        <v>13</v>
      </c>
      <c r="E137" s="13">
        <f t="shared" si="31"/>
        <v>1</v>
      </c>
      <c r="F137" s="13">
        <f t="shared" si="31"/>
        <v>14</v>
      </c>
      <c r="G137" s="13">
        <f t="shared" si="31"/>
        <v>15</v>
      </c>
      <c r="H137" s="15">
        <f t="shared" si="31"/>
        <v>28</v>
      </c>
    </row>
    <row r="138" spans="1:8" ht="15" customHeight="1" thickTop="1" thickBot="1" x14ac:dyDescent="0.3">
      <c r="A138" s="23" t="s">
        <v>127</v>
      </c>
      <c r="B138" s="24"/>
      <c r="C138" s="24"/>
      <c r="D138" s="24"/>
      <c r="E138" s="24"/>
      <c r="F138" s="24"/>
      <c r="G138" s="24"/>
      <c r="H138" s="25"/>
    </row>
    <row r="139" spans="1:8" ht="15" customHeight="1" thickTop="1" x14ac:dyDescent="0.25">
      <c r="A139" s="11" t="s">
        <v>128</v>
      </c>
      <c r="B139" s="6">
        <v>1</v>
      </c>
      <c r="C139" s="16">
        <v>0</v>
      </c>
      <c r="D139" s="5">
        <f t="shared" ref="D139:D153" si="32">B139+C139</f>
        <v>1</v>
      </c>
      <c r="E139" s="6">
        <v>3</v>
      </c>
      <c r="F139" s="16">
        <v>6</v>
      </c>
      <c r="G139" s="5">
        <f t="shared" ref="G139:G153" si="33">E139+F139</f>
        <v>9</v>
      </c>
      <c r="H139" s="7">
        <f t="shared" ref="H139:H154" si="34">G139+D139</f>
        <v>10</v>
      </c>
    </row>
    <row r="140" spans="1:8" ht="15" customHeight="1" x14ac:dyDescent="0.25">
      <c r="A140" s="11" t="s">
        <v>215</v>
      </c>
      <c r="B140" s="6">
        <v>1</v>
      </c>
      <c r="C140" s="16">
        <v>0</v>
      </c>
      <c r="D140" s="5">
        <f t="shared" si="32"/>
        <v>1</v>
      </c>
      <c r="E140" s="6">
        <v>0</v>
      </c>
      <c r="F140" s="16">
        <v>1</v>
      </c>
      <c r="G140" s="5">
        <f t="shared" si="33"/>
        <v>1</v>
      </c>
      <c r="H140" s="7">
        <f t="shared" si="34"/>
        <v>2</v>
      </c>
    </row>
    <row r="141" spans="1:8" ht="15" customHeight="1" x14ac:dyDescent="0.25">
      <c r="A141" s="11" t="s">
        <v>130</v>
      </c>
      <c r="B141" s="6">
        <v>2</v>
      </c>
      <c r="C141" s="16">
        <v>4</v>
      </c>
      <c r="D141" s="5">
        <f t="shared" si="32"/>
        <v>6</v>
      </c>
      <c r="E141" s="6">
        <v>4</v>
      </c>
      <c r="F141" s="16">
        <v>29</v>
      </c>
      <c r="G141" s="5">
        <f t="shared" si="33"/>
        <v>33</v>
      </c>
      <c r="H141" s="7">
        <f t="shared" si="34"/>
        <v>39</v>
      </c>
    </row>
    <row r="142" spans="1:8" ht="15" customHeight="1" x14ac:dyDescent="0.25">
      <c r="A142" s="11" t="s">
        <v>131</v>
      </c>
      <c r="B142" s="6">
        <v>0</v>
      </c>
      <c r="C142" s="16">
        <v>1</v>
      </c>
      <c r="D142" s="5">
        <f t="shared" si="32"/>
        <v>1</v>
      </c>
      <c r="E142" s="6">
        <v>0</v>
      </c>
      <c r="F142" s="16">
        <v>11</v>
      </c>
      <c r="G142" s="5">
        <f t="shared" si="33"/>
        <v>11</v>
      </c>
      <c r="H142" s="7">
        <f t="shared" si="34"/>
        <v>12</v>
      </c>
    </row>
    <row r="143" spans="1:8" ht="15" customHeight="1" x14ac:dyDescent="0.25">
      <c r="A143" s="11" t="s">
        <v>132</v>
      </c>
      <c r="B143" s="6">
        <v>3</v>
      </c>
      <c r="C143" s="16">
        <v>1</v>
      </c>
      <c r="D143" s="5">
        <f t="shared" si="32"/>
        <v>4</v>
      </c>
      <c r="E143" s="6">
        <v>2</v>
      </c>
      <c r="F143" s="16">
        <v>7</v>
      </c>
      <c r="G143" s="5">
        <f t="shared" si="33"/>
        <v>9</v>
      </c>
      <c r="H143" s="7">
        <f t="shared" si="34"/>
        <v>13</v>
      </c>
    </row>
    <row r="144" spans="1:8" ht="15" customHeight="1" x14ac:dyDescent="0.25">
      <c r="A144" s="11" t="s">
        <v>196</v>
      </c>
      <c r="B144" s="6">
        <v>0</v>
      </c>
      <c r="C144" s="16">
        <v>0</v>
      </c>
      <c r="D144" s="5">
        <f t="shared" si="32"/>
        <v>0</v>
      </c>
      <c r="E144" s="6">
        <v>1</v>
      </c>
      <c r="F144" s="16">
        <v>0</v>
      </c>
      <c r="G144" s="5">
        <f t="shared" si="33"/>
        <v>1</v>
      </c>
      <c r="H144" s="7">
        <f t="shared" si="34"/>
        <v>1</v>
      </c>
    </row>
    <row r="145" spans="1:8" ht="15" customHeight="1" x14ac:dyDescent="0.25">
      <c r="A145" s="11" t="s">
        <v>197</v>
      </c>
      <c r="B145" s="6">
        <v>0</v>
      </c>
      <c r="C145" s="16">
        <v>1</v>
      </c>
      <c r="D145" s="5">
        <f t="shared" si="32"/>
        <v>1</v>
      </c>
      <c r="E145" s="6">
        <v>0</v>
      </c>
      <c r="F145" s="16">
        <v>0</v>
      </c>
      <c r="G145" s="5">
        <f t="shared" si="33"/>
        <v>0</v>
      </c>
      <c r="H145" s="7">
        <f t="shared" si="34"/>
        <v>1</v>
      </c>
    </row>
    <row r="146" spans="1:8" ht="15" customHeight="1" x14ac:dyDescent="0.25">
      <c r="A146" s="11" t="s">
        <v>216</v>
      </c>
      <c r="B146" s="6">
        <v>0</v>
      </c>
      <c r="C146" s="16">
        <v>0</v>
      </c>
      <c r="D146" s="5">
        <f t="shared" si="32"/>
        <v>0</v>
      </c>
      <c r="E146" s="6">
        <v>0</v>
      </c>
      <c r="F146" s="16">
        <v>1</v>
      </c>
      <c r="G146" s="5">
        <f t="shared" si="33"/>
        <v>1</v>
      </c>
      <c r="H146" s="7">
        <f t="shared" si="34"/>
        <v>1</v>
      </c>
    </row>
    <row r="147" spans="1:8" ht="15" customHeight="1" x14ac:dyDescent="0.25">
      <c r="A147" s="11" t="s">
        <v>246</v>
      </c>
      <c r="B147" s="6">
        <v>0</v>
      </c>
      <c r="C147" s="16">
        <v>1</v>
      </c>
      <c r="D147" s="5">
        <f t="shared" si="32"/>
        <v>1</v>
      </c>
      <c r="E147" s="6">
        <v>0</v>
      </c>
      <c r="F147" s="16">
        <v>0</v>
      </c>
      <c r="G147" s="5">
        <f t="shared" si="33"/>
        <v>0</v>
      </c>
      <c r="H147" s="7">
        <f t="shared" si="34"/>
        <v>1</v>
      </c>
    </row>
    <row r="148" spans="1:8" ht="15" customHeight="1" x14ac:dyDescent="0.25">
      <c r="A148" s="11" t="s">
        <v>134</v>
      </c>
      <c r="B148" s="6">
        <v>0</v>
      </c>
      <c r="C148" s="16">
        <v>2</v>
      </c>
      <c r="D148" s="5">
        <f t="shared" si="32"/>
        <v>2</v>
      </c>
      <c r="E148" s="6">
        <v>0</v>
      </c>
      <c r="F148" s="16">
        <v>2</v>
      </c>
      <c r="G148" s="5">
        <f t="shared" si="33"/>
        <v>2</v>
      </c>
      <c r="H148" s="7">
        <f t="shared" si="34"/>
        <v>4</v>
      </c>
    </row>
    <row r="149" spans="1:8" ht="15" customHeight="1" x14ac:dyDescent="0.25">
      <c r="A149" s="11" t="s">
        <v>135</v>
      </c>
      <c r="B149" s="6">
        <v>0</v>
      </c>
      <c r="C149" s="16">
        <v>1</v>
      </c>
      <c r="D149" s="5">
        <f t="shared" si="32"/>
        <v>1</v>
      </c>
      <c r="E149" s="6">
        <v>1</v>
      </c>
      <c r="F149" s="16">
        <v>24</v>
      </c>
      <c r="G149" s="5">
        <f t="shared" si="33"/>
        <v>25</v>
      </c>
      <c r="H149" s="7">
        <f t="shared" si="34"/>
        <v>26</v>
      </c>
    </row>
    <row r="150" spans="1:8" ht="15" customHeight="1" x14ac:dyDescent="0.25">
      <c r="A150" s="11" t="s">
        <v>201</v>
      </c>
      <c r="B150" s="6">
        <v>0</v>
      </c>
      <c r="C150" s="16">
        <v>0</v>
      </c>
      <c r="D150" s="5">
        <f t="shared" si="32"/>
        <v>0</v>
      </c>
      <c r="E150" s="6">
        <v>0</v>
      </c>
      <c r="F150" s="16">
        <v>1</v>
      </c>
      <c r="G150" s="5">
        <f t="shared" si="33"/>
        <v>1</v>
      </c>
      <c r="H150" s="7">
        <f t="shared" si="34"/>
        <v>1</v>
      </c>
    </row>
    <row r="151" spans="1:8" ht="15" customHeight="1" x14ac:dyDescent="0.25">
      <c r="A151" s="11" t="s">
        <v>136</v>
      </c>
      <c r="B151" s="6">
        <v>0</v>
      </c>
      <c r="C151" s="16">
        <v>2</v>
      </c>
      <c r="D151" s="5">
        <f t="shared" si="32"/>
        <v>2</v>
      </c>
      <c r="E151" s="6">
        <v>0</v>
      </c>
      <c r="F151" s="16">
        <v>5</v>
      </c>
      <c r="G151" s="5">
        <f t="shared" si="33"/>
        <v>5</v>
      </c>
      <c r="H151" s="7">
        <f t="shared" si="34"/>
        <v>7</v>
      </c>
    </row>
    <row r="152" spans="1:8" ht="15" customHeight="1" x14ac:dyDescent="0.25">
      <c r="A152" s="11" t="s">
        <v>233</v>
      </c>
      <c r="B152" s="6">
        <v>0</v>
      </c>
      <c r="C152" s="16">
        <v>1</v>
      </c>
      <c r="D152" s="5">
        <f t="shared" si="32"/>
        <v>1</v>
      </c>
      <c r="E152" s="6">
        <v>0</v>
      </c>
      <c r="F152" s="16">
        <v>0</v>
      </c>
      <c r="G152" s="5">
        <f t="shared" si="33"/>
        <v>0</v>
      </c>
      <c r="H152" s="7">
        <f t="shared" si="34"/>
        <v>1</v>
      </c>
    </row>
    <row r="153" spans="1:8" ht="15" customHeight="1" thickBot="1" x14ac:dyDescent="0.3">
      <c r="A153" s="11" t="s">
        <v>203</v>
      </c>
      <c r="B153" s="6">
        <v>0</v>
      </c>
      <c r="C153" s="16">
        <v>3</v>
      </c>
      <c r="D153" s="5">
        <f t="shared" si="32"/>
        <v>3</v>
      </c>
      <c r="E153" s="6">
        <v>0</v>
      </c>
      <c r="F153" s="16">
        <v>6</v>
      </c>
      <c r="G153" s="5">
        <f t="shared" si="33"/>
        <v>6</v>
      </c>
      <c r="H153" s="7">
        <f t="shared" si="34"/>
        <v>9</v>
      </c>
    </row>
    <row r="154" spans="1:8" ht="15" customHeight="1" thickTop="1" thickBot="1" x14ac:dyDescent="0.3">
      <c r="A154" s="12" t="s">
        <v>6</v>
      </c>
      <c r="B154" s="14">
        <f>SUM(B139:B153)</f>
        <v>7</v>
      </c>
      <c r="C154" s="14">
        <f t="shared" ref="C154:H154" si="35">SUM(C139:C153)</f>
        <v>17</v>
      </c>
      <c r="D154" s="14">
        <f t="shared" si="35"/>
        <v>24</v>
      </c>
      <c r="E154" s="14">
        <f t="shared" si="35"/>
        <v>11</v>
      </c>
      <c r="F154" s="14">
        <f t="shared" si="35"/>
        <v>93</v>
      </c>
      <c r="G154" s="14">
        <f t="shared" si="35"/>
        <v>104</v>
      </c>
      <c r="H154" s="46">
        <f t="shared" si="35"/>
        <v>128</v>
      </c>
    </row>
    <row r="155" spans="1:8" ht="15" customHeight="1" thickTop="1" thickBot="1" x14ac:dyDescent="0.3">
      <c r="A155" s="23" t="s">
        <v>138</v>
      </c>
      <c r="B155" s="24"/>
      <c r="C155" s="24"/>
      <c r="D155" s="24"/>
      <c r="E155" s="24"/>
      <c r="F155" s="24"/>
      <c r="G155" s="24"/>
      <c r="H155" s="25"/>
    </row>
    <row r="156" spans="1:8" ht="15" customHeight="1" thickTop="1" x14ac:dyDescent="0.25">
      <c r="A156" s="11" t="s">
        <v>139</v>
      </c>
      <c r="B156" s="6">
        <v>17</v>
      </c>
      <c r="C156" s="16">
        <v>12</v>
      </c>
      <c r="D156" s="5">
        <f t="shared" ref="D156:D157" si="36">B156+C156</f>
        <v>29</v>
      </c>
      <c r="E156" s="6">
        <v>16</v>
      </c>
      <c r="F156" s="16">
        <v>14</v>
      </c>
      <c r="G156" s="5">
        <f t="shared" ref="G156:G157" si="37">E156+F156</f>
        <v>30</v>
      </c>
      <c r="H156" s="7">
        <f t="shared" ref="H156:H157" si="38">G156+D156</f>
        <v>59</v>
      </c>
    </row>
    <row r="157" spans="1:8" ht="15" customHeight="1" thickBot="1" x14ac:dyDescent="0.3">
      <c r="A157" s="11" t="s">
        <v>141</v>
      </c>
      <c r="B157" s="6">
        <v>6</v>
      </c>
      <c r="C157" s="16">
        <v>2</v>
      </c>
      <c r="D157" s="5">
        <f t="shared" si="36"/>
        <v>8</v>
      </c>
      <c r="E157" s="6">
        <v>3</v>
      </c>
      <c r="F157" s="16">
        <v>9</v>
      </c>
      <c r="G157" s="5">
        <f t="shared" si="37"/>
        <v>12</v>
      </c>
      <c r="H157" s="7">
        <f t="shared" si="38"/>
        <v>20</v>
      </c>
    </row>
    <row r="158" spans="1:8" ht="15" customHeight="1" thickTop="1" thickBot="1" x14ac:dyDescent="0.3">
      <c r="A158" s="12" t="s">
        <v>6</v>
      </c>
      <c r="B158" s="13">
        <f t="shared" ref="B158:H158" si="39">SUM(B156:B157)</f>
        <v>23</v>
      </c>
      <c r="C158" s="13">
        <f t="shared" si="39"/>
        <v>14</v>
      </c>
      <c r="D158" s="13">
        <f t="shared" si="39"/>
        <v>37</v>
      </c>
      <c r="E158" s="13">
        <f t="shared" si="39"/>
        <v>19</v>
      </c>
      <c r="F158" s="13">
        <f t="shared" si="39"/>
        <v>23</v>
      </c>
      <c r="G158" s="13">
        <f t="shared" si="39"/>
        <v>42</v>
      </c>
      <c r="H158" s="15">
        <f t="shared" si="39"/>
        <v>79</v>
      </c>
    </row>
    <row r="159" spans="1:8" ht="15" customHeight="1" thickTop="1" thickBot="1" x14ac:dyDescent="0.3">
      <c r="A159" s="23" t="s">
        <v>146</v>
      </c>
      <c r="B159" s="24"/>
      <c r="C159" s="24"/>
      <c r="D159" s="24"/>
      <c r="E159" s="24"/>
      <c r="F159" s="24"/>
      <c r="G159" s="24"/>
      <c r="H159" s="25"/>
    </row>
    <row r="160" spans="1:8" ht="15" customHeight="1" thickTop="1" x14ac:dyDescent="0.25">
      <c r="A160" s="11" t="s">
        <v>206</v>
      </c>
      <c r="B160" s="6">
        <v>7</v>
      </c>
      <c r="C160" s="16">
        <v>1</v>
      </c>
      <c r="D160" s="5">
        <f t="shared" ref="D160:D161" si="40">B160+C160</f>
        <v>8</v>
      </c>
      <c r="E160" s="6">
        <v>62</v>
      </c>
      <c r="F160" s="16">
        <v>1</v>
      </c>
      <c r="G160" s="5">
        <f t="shared" ref="G160:G161" si="41">E160+F160</f>
        <v>63</v>
      </c>
      <c r="H160" s="7">
        <f t="shared" ref="H160:H161" si="42">G160+D160</f>
        <v>71</v>
      </c>
    </row>
    <row r="161" spans="1:8" ht="15" customHeight="1" thickBot="1" x14ac:dyDescent="0.3">
      <c r="A161" s="11" t="s">
        <v>205</v>
      </c>
      <c r="B161" s="6">
        <v>0</v>
      </c>
      <c r="C161" s="16">
        <v>0</v>
      </c>
      <c r="D161" s="5">
        <f t="shared" si="40"/>
        <v>0</v>
      </c>
      <c r="E161" s="6">
        <v>0</v>
      </c>
      <c r="F161" s="16">
        <v>0</v>
      </c>
      <c r="G161" s="5">
        <f t="shared" si="41"/>
        <v>0</v>
      </c>
      <c r="H161" s="7">
        <f t="shared" si="42"/>
        <v>0</v>
      </c>
    </row>
    <row r="162" spans="1:8" ht="15" customHeight="1" thickTop="1" thickBot="1" x14ac:dyDescent="0.3">
      <c r="A162" s="12" t="s">
        <v>6</v>
      </c>
      <c r="B162" s="13">
        <f>SUM(B160:B161)</f>
        <v>7</v>
      </c>
      <c r="C162" s="13">
        <f t="shared" ref="C162:H162" si="43">SUM(C160:C161)</f>
        <v>1</v>
      </c>
      <c r="D162" s="13">
        <f t="shared" si="43"/>
        <v>8</v>
      </c>
      <c r="E162" s="13">
        <f t="shared" si="43"/>
        <v>62</v>
      </c>
      <c r="F162" s="13">
        <f t="shared" si="43"/>
        <v>1</v>
      </c>
      <c r="G162" s="13">
        <f t="shared" si="43"/>
        <v>63</v>
      </c>
      <c r="H162" s="15">
        <f t="shared" si="43"/>
        <v>71</v>
      </c>
    </row>
    <row r="163" spans="1:8" ht="15" customHeight="1" thickTop="1" thickBot="1" x14ac:dyDescent="0.3">
      <c r="A163" s="23"/>
      <c r="B163" s="24"/>
      <c r="C163" s="24"/>
      <c r="D163" s="24"/>
      <c r="E163" s="24"/>
      <c r="F163" s="24"/>
      <c r="G163" s="24"/>
      <c r="H163" s="25"/>
    </row>
    <row r="164" spans="1:8" ht="15" customHeight="1" thickTop="1" thickBot="1" x14ac:dyDescent="0.3">
      <c r="A164" s="43" t="s">
        <v>0</v>
      </c>
      <c r="B164" s="44">
        <f>B22+B50+B64+B93+B125+B129+B137+B154+B158+B162</f>
        <v>1258</v>
      </c>
      <c r="C164" s="44">
        <f t="shared" ref="C164:H164" si="44">C22+C50+C64+C93+C125+C129+C137+C154+C158+C162</f>
        <v>1096</v>
      </c>
      <c r="D164" s="44">
        <f t="shared" si="44"/>
        <v>2354</v>
      </c>
      <c r="E164" s="44">
        <f t="shared" si="44"/>
        <v>1354</v>
      </c>
      <c r="F164" s="44">
        <f t="shared" si="44"/>
        <v>1169</v>
      </c>
      <c r="G164" s="44">
        <f t="shared" si="44"/>
        <v>2523</v>
      </c>
      <c r="H164" s="45">
        <f t="shared" si="44"/>
        <v>4877</v>
      </c>
    </row>
    <row r="166" spans="1:8" ht="15" customHeight="1" x14ac:dyDescent="0.25">
      <c r="A166" s="47" t="s">
        <v>147</v>
      </c>
      <c r="B166" s="47"/>
      <c r="C166" s="47"/>
      <c r="D166" s="47"/>
      <c r="E166" s="47"/>
      <c r="F166" s="47"/>
      <c r="G166" s="47"/>
      <c r="H166" s="47"/>
    </row>
    <row r="167" spans="1:8" ht="15" customHeight="1" x14ac:dyDescent="0.25">
      <c r="A167" s="47" t="s">
        <v>218</v>
      </c>
      <c r="B167" s="47"/>
      <c r="C167" s="47"/>
      <c r="D167" s="47"/>
      <c r="E167" s="47"/>
      <c r="F167" s="47"/>
      <c r="G167" s="47"/>
      <c r="H167" s="47"/>
    </row>
    <row r="175" spans="1:8" ht="25.5" customHeight="1" x14ac:dyDescent="0.25"/>
    <row r="176" spans="1:8" ht="25.5" customHeight="1" x14ac:dyDescent="0.25"/>
  </sheetData>
  <mergeCells count="18">
    <mergeCell ref="A163:H163"/>
    <mergeCell ref="A166:H166"/>
    <mergeCell ref="A167:H167"/>
    <mergeCell ref="H5:H6"/>
    <mergeCell ref="A2:H2"/>
    <mergeCell ref="B5:D5"/>
    <mergeCell ref="E5:G5"/>
    <mergeCell ref="A7:H7"/>
    <mergeCell ref="A23:H23"/>
    <mergeCell ref="A159:H159"/>
    <mergeCell ref="A5:A6"/>
    <mergeCell ref="A65:H65"/>
    <mergeCell ref="A94:H94"/>
    <mergeCell ref="A126:H126"/>
    <mergeCell ref="A130:H130"/>
    <mergeCell ref="A138:H138"/>
    <mergeCell ref="A155:H155"/>
    <mergeCell ref="A51:H51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&amp;A&amp;RPage &amp;P of &amp;N</oddFooter>
  </headerFooter>
  <rowBreaks count="2" manualBreakCount="2">
    <brk id="93" max="16383" man="1"/>
    <brk id="137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6"/>
  <sheetViews>
    <sheetView view="pageLayout" topLeftCell="A159" zoomScale="85" zoomScaleNormal="100" zoomScalePageLayoutView="85" workbookViewId="0">
      <selection activeCell="A178" sqref="A178"/>
    </sheetView>
  </sheetViews>
  <sheetFormatPr defaultColWidth="9.140625" defaultRowHeight="15" customHeight="1" x14ac:dyDescent="0.25"/>
  <cols>
    <col min="1" max="1" width="27.42578125" bestFit="1" customWidth="1"/>
    <col min="2" max="8" width="6" customWidth="1"/>
    <col min="9" max="11" width="5.5703125" customWidth="1"/>
  </cols>
  <sheetData>
    <row r="1" spans="1:9" ht="15" customHeight="1" x14ac:dyDescent="0.25">
      <c r="A1" s="1" t="s">
        <v>7</v>
      </c>
      <c r="B1" s="3"/>
    </row>
    <row r="2" spans="1:9" ht="15" customHeight="1" x14ac:dyDescent="0.25">
      <c r="A2" s="31" t="s">
        <v>8</v>
      </c>
      <c r="B2" s="31"/>
      <c r="C2" s="31"/>
      <c r="D2" s="31"/>
      <c r="E2" s="31"/>
      <c r="F2" s="31"/>
      <c r="G2" s="31"/>
      <c r="H2" s="31"/>
    </row>
    <row r="3" spans="1:9" ht="15" customHeight="1" x14ac:dyDescent="0.25">
      <c r="A3" s="2" t="str">
        <f ca="1">RIGHT(CELL("filename",A1),LEN(CELL("filename",A1))-FIND("]",CELL("filename",A1)))</f>
        <v>1998-99</v>
      </c>
      <c r="B3" s="3"/>
    </row>
    <row r="4" spans="1:9" ht="15" customHeight="1" thickBot="1" x14ac:dyDescent="0.3">
      <c r="A4" s="3"/>
      <c r="B4" s="3"/>
    </row>
    <row r="5" spans="1:9" ht="15" customHeight="1" x14ac:dyDescent="0.25">
      <c r="A5" s="29" t="s">
        <v>3</v>
      </c>
      <c r="B5" s="26" t="s">
        <v>1</v>
      </c>
      <c r="C5" s="27"/>
      <c r="D5" s="27"/>
      <c r="E5" s="26" t="s">
        <v>2</v>
      </c>
      <c r="F5" s="27"/>
      <c r="G5" s="27"/>
      <c r="H5" s="62" t="s">
        <v>0</v>
      </c>
    </row>
    <row r="6" spans="1:9" ht="15" customHeight="1" x14ac:dyDescent="0.25">
      <c r="A6" s="30"/>
      <c r="B6" s="59" t="s">
        <v>4</v>
      </c>
      <c r="C6" s="60" t="s">
        <v>5</v>
      </c>
      <c r="D6" s="61" t="s">
        <v>0</v>
      </c>
      <c r="E6" s="59" t="s">
        <v>4</v>
      </c>
      <c r="F6" s="60" t="s">
        <v>5</v>
      </c>
      <c r="G6" s="61" t="s">
        <v>0</v>
      </c>
      <c r="H6" s="63"/>
      <c r="I6" s="22"/>
    </row>
    <row r="7" spans="1:9" ht="15" customHeight="1" thickBot="1" x14ac:dyDescent="0.3">
      <c r="A7" s="32" t="s">
        <v>9</v>
      </c>
      <c r="B7" s="33"/>
      <c r="C7" s="33"/>
      <c r="D7" s="33"/>
      <c r="E7" s="33"/>
      <c r="F7" s="33"/>
      <c r="G7" s="33"/>
      <c r="H7" s="34"/>
    </row>
    <row r="8" spans="1:9" ht="15" customHeight="1" thickTop="1" x14ac:dyDescent="0.25">
      <c r="A8" s="11" t="s">
        <v>10</v>
      </c>
      <c r="B8" s="6">
        <v>21</v>
      </c>
      <c r="C8" s="4">
        <v>0</v>
      </c>
      <c r="D8" s="5">
        <f t="shared" ref="D8:D49" si="0">B8+C8</f>
        <v>21</v>
      </c>
      <c r="E8" s="6">
        <v>15</v>
      </c>
      <c r="F8" s="4">
        <v>0</v>
      </c>
      <c r="G8" s="5">
        <f t="shared" ref="G8:G49" si="1">E8+F8</f>
        <v>15</v>
      </c>
      <c r="H8" s="7">
        <f t="shared" ref="H8:H49" si="2">G8+D8</f>
        <v>36</v>
      </c>
    </row>
    <row r="9" spans="1:9" ht="15" customHeight="1" x14ac:dyDescent="0.25">
      <c r="A9" s="11" t="s">
        <v>11</v>
      </c>
      <c r="B9" s="6">
        <v>22</v>
      </c>
      <c r="C9" s="4">
        <v>2</v>
      </c>
      <c r="D9" s="5">
        <f t="shared" si="0"/>
        <v>24</v>
      </c>
      <c r="E9" s="6">
        <v>21</v>
      </c>
      <c r="F9" s="4">
        <v>1</v>
      </c>
      <c r="G9" s="5">
        <f t="shared" si="1"/>
        <v>22</v>
      </c>
      <c r="H9" s="7">
        <f t="shared" si="2"/>
        <v>46</v>
      </c>
    </row>
    <row r="10" spans="1:9" ht="15" customHeight="1" x14ac:dyDescent="0.25">
      <c r="A10" s="11" t="s">
        <v>12</v>
      </c>
      <c r="B10" s="6">
        <v>32</v>
      </c>
      <c r="C10" s="4">
        <v>2</v>
      </c>
      <c r="D10" s="5">
        <f t="shared" si="0"/>
        <v>34</v>
      </c>
      <c r="E10" s="6">
        <v>22</v>
      </c>
      <c r="F10" s="4">
        <v>1</v>
      </c>
      <c r="G10" s="5">
        <f t="shared" si="1"/>
        <v>23</v>
      </c>
      <c r="H10" s="7">
        <f t="shared" si="2"/>
        <v>57</v>
      </c>
    </row>
    <row r="11" spans="1:9" ht="15" customHeight="1" x14ac:dyDescent="0.25">
      <c r="A11" s="11" t="s">
        <v>13</v>
      </c>
      <c r="B11" s="6">
        <v>58</v>
      </c>
      <c r="C11" s="4">
        <v>1</v>
      </c>
      <c r="D11" s="5">
        <f t="shared" si="0"/>
        <v>59</v>
      </c>
      <c r="E11" s="6">
        <v>76</v>
      </c>
      <c r="F11" s="4">
        <v>1</v>
      </c>
      <c r="G11" s="5">
        <f t="shared" si="1"/>
        <v>77</v>
      </c>
      <c r="H11" s="7">
        <f t="shared" si="2"/>
        <v>136</v>
      </c>
    </row>
    <row r="12" spans="1:9" ht="15" customHeight="1" x14ac:dyDescent="0.25">
      <c r="A12" s="11" t="s">
        <v>14</v>
      </c>
      <c r="B12" s="6">
        <v>40</v>
      </c>
      <c r="C12" s="4">
        <v>0</v>
      </c>
      <c r="D12" s="5">
        <f t="shared" si="0"/>
        <v>40</v>
      </c>
      <c r="E12" s="6">
        <v>10</v>
      </c>
      <c r="F12" s="4">
        <v>1</v>
      </c>
      <c r="G12" s="5">
        <f t="shared" si="1"/>
        <v>11</v>
      </c>
      <c r="H12" s="7">
        <f t="shared" si="2"/>
        <v>51</v>
      </c>
    </row>
    <row r="13" spans="1:9" ht="15" customHeight="1" x14ac:dyDescent="0.25">
      <c r="A13" s="11" t="s">
        <v>15</v>
      </c>
      <c r="B13" s="6">
        <v>94</v>
      </c>
      <c r="C13" s="4">
        <v>4</v>
      </c>
      <c r="D13" s="5">
        <f t="shared" si="0"/>
        <v>98</v>
      </c>
      <c r="E13" s="6">
        <v>75</v>
      </c>
      <c r="F13" s="4">
        <v>2</v>
      </c>
      <c r="G13" s="5">
        <f t="shared" si="1"/>
        <v>77</v>
      </c>
      <c r="H13" s="7">
        <f t="shared" si="2"/>
        <v>175</v>
      </c>
    </row>
    <row r="14" spans="1:9" ht="15" customHeight="1" x14ac:dyDescent="0.25">
      <c r="A14" s="11" t="s">
        <v>16</v>
      </c>
      <c r="B14" s="6">
        <v>168</v>
      </c>
      <c r="C14" s="4">
        <v>6</v>
      </c>
      <c r="D14" s="5">
        <f t="shared" si="0"/>
        <v>174</v>
      </c>
      <c r="E14" s="6">
        <v>169</v>
      </c>
      <c r="F14" s="4">
        <v>2</v>
      </c>
      <c r="G14" s="5">
        <f t="shared" si="1"/>
        <v>171</v>
      </c>
      <c r="H14" s="7">
        <f t="shared" si="2"/>
        <v>345</v>
      </c>
    </row>
    <row r="15" spans="1:9" ht="15" customHeight="1" x14ac:dyDescent="0.25">
      <c r="A15" s="11" t="s">
        <v>17</v>
      </c>
      <c r="B15" s="6">
        <v>132</v>
      </c>
      <c r="C15" s="4">
        <v>0</v>
      </c>
      <c r="D15" s="5">
        <f t="shared" si="0"/>
        <v>132</v>
      </c>
      <c r="E15" s="6">
        <v>293</v>
      </c>
      <c r="F15" s="4">
        <v>2</v>
      </c>
      <c r="G15" s="5">
        <f t="shared" si="1"/>
        <v>295</v>
      </c>
      <c r="H15" s="7">
        <f t="shared" si="2"/>
        <v>427</v>
      </c>
    </row>
    <row r="16" spans="1:9" ht="15" customHeight="1" x14ac:dyDescent="0.25">
      <c r="A16" s="11" t="s">
        <v>18</v>
      </c>
      <c r="B16" s="6">
        <v>153</v>
      </c>
      <c r="C16" s="4">
        <v>1</v>
      </c>
      <c r="D16" s="5">
        <f t="shared" si="0"/>
        <v>154</v>
      </c>
      <c r="E16" s="6">
        <v>127</v>
      </c>
      <c r="F16" s="4">
        <v>3</v>
      </c>
      <c r="G16" s="5">
        <f t="shared" si="1"/>
        <v>130</v>
      </c>
      <c r="H16" s="7">
        <f t="shared" si="2"/>
        <v>284</v>
      </c>
    </row>
    <row r="17" spans="1:8" ht="15" customHeight="1" x14ac:dyDescent="0.25">
      <c r="A17" s="11" t="s">
        <v>19</v>
      </c>
      <c r="B17" s="6">
        <v>7</v>
      </c>
      <c r="C17" s="4">
        <v>0</v>
      </c>
      <c r="D17" s="5">
        <f t="shared" si="0"/>
        <v>7</v>
      </c>
      <c r="E17" s="6">
        <v>2</v>
      </c>
      <c r="F17" s="4">
        <v>0</v>
      </c>
      <c r="G17" s="5">
        <f t="shared" si="1"/>
        <v>2</v>
      </c>
      <c r="H17" s="7">
        <f t="shared" si="2"/>
        <v>9</v>
      </c>
    </row>
    <row r="18" spans="1:8" ht="15" customHeight="1" x14ac:dyDescent="0.25">
      <c r="A18" s="11" t="s">
        <v>20</v>
      </c>
      <c r="B18" s="6">
        <v>31</v>
      </c>
      <c r="C18" s="4">
        <v>0</v>
      </c>
      <c r="D18" s="5">
        <f t="shared" si="0"/>
        <v>31</v>
      </c>
      <c r="E18" s="6">
        <v>27</v>
      </c>
      <c r="F18" s="4">
        <v>0</v>
      </c>
      <c r="G18" s="5">
        <f t="shared" si="1"/>
        <v>27</v>
      </c>
      <c r="H18" s="7">
        <f t="shared" si="2"/>
        <v>58</v>
      </c>
    </row>
    <row r="19" spans="1:8" ht="15" customHeight="1" x14ac:dyDescent="0.25">
      <c r="A19" s="11" t="s">
        <v>21</v>
      </c>
      <c r="B19" s="6">
        <v>20</v>
      </c>
      <c r="C19" s="4">
        <v>6</v>
      </c>
      <c r="D19" s="5">
        <f t="shared" si="0"/>
        <v>26</v>
      </c>
      <c r="E19" s="6">
        <v>52</v>
      </c>
      <c r="F19" s="4">
        <v>3</v>
      </c>
      <c r="G19" s="5">
        <f t="shared" si="1"/>
        <v>55</v>
      </c>
      <c r="H19" s="7">
        <f t="shared" si="2"/>
        <v>81</v>
      </c>
    </row>
    <row r="20" spans="1:8" ht="15" customHeight="1" x14ac:dyDescent="0.25">
      <c r="A20" s="11" t="s">
        <v>22</v>
      </c>
      <c r="B20" s="6">
        <v>51</v>
      </c>
      <c r="C20" s="4">
        <v>1</v>
      </c>
      <c r="D20" s="5">
        <f t="shared" si="0"/>
        <v>52</v>
      </c>
      <c r="E20" s="6">
        <v>54</v>
      </c>
      <c r="F20" s="4">
        <v>0</v>
      </c>
      <c r="G20" s="5">
        <f t="shared" si="1"/>
        <v>54</v>
      </c>
      <c r="H20" s="7">
        <f t="shared" si="2"/>
        <v>106</v>
      </c>
    </row>
    <row r="21" spans="1:8" ht="15" customHeight="1" thickBot="1" x14ac:dyDescent="0.3">
      <c r="A21" s="11" t="s">
        <v>23</v>
      </c>
      <c r="B21" s="8">
        <v>67</v>
      </c>
      <c r="C21" s="9">
        <v>1</v>
      </c>
      <c r="D21" s="10">
        <f t="shared" si="0"/>
        <v>68</v>
      </c>
      <c r="E21" s="8">
        <v>21</v>
      </c>
      <c r="F21" s="9">
        <v>0</v>
      </c>
      <c r="G21" s="5">
        <f t="shared" si="1"/>
        <v>21</v>
      </c>
      <c r="H21" s="7">
        <f t="shared" si="2"/>
        <v>89</v>
      </c>
    </row>
    <row r="22" spans="1:8" ht="15" customHeight="1" thickTop="1" thickBot="1" x14ac:dyDescent="0.3">
      <c r="A22" s="12" t="s">
        <v>6</v>
      </c>
      <c r="B22" s="13">
        <f t="shared" ref="B22:H22" si="3">SUM(B8:B21)</f>
        <v>896</v>
      </c>
      <c r="C22" s="13">
        <f t="shared" si="3"/>
        <v>24</v>
      </c>
      <c r="D22" s="13">
        <f t="shared" si="3"/>
        <v>920</v>
      </c>
      <c r="E22" s="13">
        <f t="shared" si="3"/>
        <v>964</v>
      </c>
      <c r="F22" s="13">
        <f t="shared" si="3"/>
        <v>16</v>
      </c>
      <c r="G22" s="13">
        <f t="shared" si="3"/>
        <v>980</v>
      </c>
      <c r="H22" s="15">
        <f t="shared" si="3"/>
        <v>1900</v>
      </c>
    </row>
    <row r="23" spans="1:8" ht="15" customHeight="1" thickTop="1" thickBot="1" x14ac:dyDescent="0.3">
      <c r="A23" s="23" t="s">
        <v>24</v>
      </c>
      <c r="B23" s="24"/>
      <c r="C23" s="24"/>
      <c r="D23" s="24"/>
      <c r="E23" s="24"/>
      <c r="F23" s="24"/>
      <c r="G23" s="24"/>
      <c r="H23" s="25"/>
    </row>
    <row r="24" spans="1:8" ht="15" customHeight="1" thickTop="1" x14ac:dyDescent="0.25">
      <c r="A24" s="11" t="s">
        <v>25</v>
      </c>
      <c r="B24" s="6">
        <v>2</v>
      </c>
      <c r="C24" s="16">
        <v>0</v>
      </c>
      <c r="D24" s="5">
        <f t="shared" si="0"/>
        <v>2</v>
      </c>
      <c r="E24" s="6">
        <v>0</v>
      </c>
      <c r="F24" s="16">
        <v>0</v>
      </c>
      <c r="G24" s="5">
        <f t="shared" si="1"/>
        <v>0</v>
      </c>
      <c r="H24" s="7">
        <f t="shared" si="2"/>
        <v>2</v>
      </c>
    </row>
    <row r="25" spans="1:8" ht="15" customHeight="1" x14ac:dyDescent="0.25">
      <c r="A25" s="11" t="s">
        <v>26</v>
      </c>
      <c r="B25" s="6">
        <v>2</v>
      </c>
      <c r="C25" s="16">
        <v>0</v>
      </c>
      <c r="D25" s="5">
        <f t="shared" si="0"/>
        <v>2</v>
      </c>
      <c r="E25" s="6">
        <v>1</v>
      </c>
      <c r="F25" s="16">
        <v>1</v>
      </c>
      <c r="G25" s="5">
        <f t="shared" si="1"/>
        <v>2</v>
      </c>
      <c r="H25" s="7">
        <f t="shared" si="2"/>
        <v>4</v>
      </c>
    </row>
    <row r="26" spans="1:8" ht="15" customHeight="1" x14ac:dyDescent="0.25">
      <c r="A26" s="11" t="s">
        <v>161</v>
      </c>
      <c r="B26" s="6">
        <v>0</v>
      </c>
      <c r="C26" s="16">
        <v>0</v>
      </c>
      <c r="D26" s="5">
        <f t="shared" si="0"/>
        <v>0</v>
      </c>
      <c r="E26" s="6">
        <v>0</v>
      </c>
      <c r="F26" s="16">
        <v>1</v>
      </c>
      <c r="G26" s="5">
        <f t="shared" si="1"/>
        <v>1</v>
      </c>
      <c r="H26" s="7">
        <f t="shared" si="2"/>
        <v>1</v>
      </c>
    </row>
    <row r="27" spans="1:8" ht="15" customHeight="1" x14ac:dyDescent="0.25">
      <c r="A27" s="11" t="s">
        <v>148</v>
      </c>
      <c r="B27" s="6">
        <v>0</v>
      </c>
      <c r="C27" s="16">
        <v>1</v>
      </c>
      <c r="D27" s="5">
        <f t="shared" si="0"/>
        <v>1</v>
      </c>
      <c r="E27" s="6">
        <v>0</v>
      </c>
      <c r="F27" s="16">
        <v>0</v>
      </c>
      <c r="G27" s="5">
        <f t="shared" si="1"/>
        <v>0</v>
      </c>
      <c r="H27" s="7">
        <f t="shared" si="2"/>
        <v>1</v>
      </c>
    </row>
    <row r="28" spans="1:8" ht="15" customHeight="1" x14ac:dyDescent="0.25">
      <c r="A28" s="11" t="s">
        <v>27</v>
      </c>
      <c r="B28" s="6">
        <v>13</v>
      </c>
      <c r="C28" s="16">
        <v>1</v>
      </c>
      <c r="D28" s="5">
        <f t="shared" si="0"/>
        <v>14</v>
      </c>
      <c r="E28" s="6">
        <v>6</v>
      </c>
      <c r="F28" s="16">
        <v>0</v>
      </c>
      <c r="G28" s="5">
        <f t="shared" si="1"/>
        <v>6</v>
      </c>
      <c r="H28" s="7">
        <f t="shared" si="2"/>
        <v>20</v>
      </c>
    </row>
    <row r="29" spans="1:8" ht="15" customHeight="1" x14ac:dyDescent="0.25">
      <c r="A29" s="11" t="s">
        <v>28</v>
      </c>
      <c r="B29" s="6">
        <v>1</v>
      </c>
      <c r="C29" s="16">
        <v>4</v>
      </c>
      <c r="D29" s="5">
        <f t="shared" si="0"/>
        <v>5</v>
      </c>
      <c r="E29" s="6">
        <v>1</v>
      </c>
      <c r="F29" s="16">
        <v>3</v>
      </c>
      <c r="G29" s="5">
        <f t="shared" si="1"/>
        <v>4</v>
      </c>
      <c r="H29" s="7">
        <f t="shared" si="2"/>
        <v>9</v>
      </c>
    </row>
    <row r="30" spans="1:8" ht="15" customHeight="1" x14ac:dyDescent="0.25">
      <c r="A30" s="11" t="s">
        <v>29</v>
      </c>
      <c r="B30" s="6">
        <v>3</v>
      </c>
      <c r="C30" s="16">
        <v>4</v>
      </c>
      <c r="D30" s="5">
        <f t="shared" si="0"/>
        <v>7</v>
      </c>
      <c r="E30" s="6">
        <v>1</v>
      </c>
      <c r="F30" s="16">
        <v>2</v>
      </c>
      <c r="G30" s="5">
        <f t="shared" si="1"/>
        <v>3</v>
      </c>
      <c r="H30" s="7">
        <f t="shared" si="2"/>
        <v>10</v>
      </c>
    </row>
    <row r="31" spans="1:8" ht="15" customHeight="1" x14ac:dyDescent="0.25">
      <c r="A31" s="11" t="s">
        <v>30</v>
      </c>
      <c r="B31" s="6">
        <v>2</v>
      </c>
      <c r="C31" s="16">
        <v>61</v>
      </c>
      <c r="D31" s="5">
        <f t="shared" si="0"/>
        <v>63</v>
      </c>
      <c r="E31" s="6">
        <v>2</v>
      </c>
      <c r="F31" s="16">
        <v>26</v>
      </c>
      <c r="G31" s="5">
        <f t="shared" ref="G31:G38" si="4">E31+F31</f>
        <v>28</v>
      </c>
      <c r="H31" s="7">
        <f t="shared" ref="H31:H38" si="5">G31+D31</f>
        <v>91</v>
      </c>
    </row>
    <row r="32" spans="1:8" ht="15" customHeight="1" x14ac:dyDescent="0.25">
      <c r="A32" s="11" t="s">
        <v>31</v>
      </c>
      <c r="B32" s="6">
        <v>1</v>
      </c>
      <c r="C32" s="16">
        <v>1</v>
      </c>
      <c r="D32" s="5">
        <f t="shared" si="0"/>
        <v>2</v>
      </c>
      <c r="E32" s="6">
        <v>0</v>
      </c>
      <c r="F32" s="16">
        <v>2</v>
      </c>
      <c r="G32" s="5">
        <f t="shared" si="4"/>
        <v>2</v>
      </c>
      <c r="H32" s="7">
        <f t="shared" si="5"/>
        <v>4</v>
      </c>
    </row>
    <row r="33" spans="1:8" ht="15" customHeight="1" x14ac:dyDescent="0.25">
      <c r="A33" s="11" t="s">
        <v>163</v>
      </c>
      <c r="B33" s="6">
        <v>0</v>
      </c>
      <c r="C33" s="16">
        <v>0</v>
      </c>
      <c r="D33" s="5">
        <f t="shared" si="0"/>
        <v>0</v>
      </c>
      <c r="E33" s="6">
        <v>0</v>
      </c>
      <c r="F33" s="16">
        <v>1</v>
      </c>
      <c r="G33" s="5">
        <f t="shared" si="4"/>
        <v>1</v>
      </c>
      <c r="H33" s="7">
        <f t="shared" si="5"/>
        <v>1</v>
      </c>
    </row>
    <row r="34" spans="1:8" ht="15" customHeight="1" x14ac:dyDescent="0.25">
      <c r="A34" s="11" t="s">
        <v>34</v>
      </c>
      <c r="B34" s="6">
        <v>1</v>
      </c>
      <c r="C34" s="16">
        <v>0</v>
      </c>
      <c r="D34" s="5">
        <f t="shared" si="0"/>
        <v>1</v>
      </c>
      <c r="E34" s="6">
        <v>0</v>
      </c>
      <c r="F34" s="16">
        <v>6</v>
      </c>
      <c r="G34" s="5">
        <f t="shared" si="4"/>
        <v>6</v>
      </c>
      <c r="H34" s="7">
        <f t="shared" si="5"/>
        <v>7</v>
      </c>
    </row>
    <row r="35" spans="1:8" ht="15" customHeight="1" x14ac:dyDescent="0.25">
      <c r="A35" s="11" t="s">
        <v>35</v>
      </c>
      <c r="B35" s="6">
        <v>1</v>
      </c>
      <c r="C35" s="16">
        <v>0</v>
      </c>
      <c r="D35" s="5">
        <f t="shared" si="0"/>
        <v>1</v>
      </c>
      <c r="E35" s="6">
        <v>0</v>
      </c>
      <c r="F35" s="16">
        <v>2</v>
      </c>
      <c r="G35" s="5">
        <f t="shared" si="4"/>
        <v>2</v>
      </c>
      <c r="H35" s="7">
        <f t="shared" si="5"/>
        <v>3</v>
      </c>
    </row>
    <row r="36" spans="1:8" ht="15" customHeight="1" x14ac:dyDescent="0.25">
      <c r="A36" s="11" t="s">
        <v>149</v>
      </c>
      <c r="B36" s="6">
        <v>1</v>
      </c>
      <c r="C36" s="16">
        <v>0</v>
      </c>
      <c r="D36" s="5">
        <f t="shared" si="0"/>
        <v>1</v>
      </c>
      <c r="E36" s="6">
        <v>0</v>
      </c>
      <c r="F36" s="16">
        <v>2</v>
      </c>
      <c r="G36" s="5">
        <f t="shared" si="4"/>
        <v>2</v>
      </c>
      <c r="H36" s="7">
        <f t="shared" si="5"/>
        <v>3</v>
      </c>
    </row>
    <row r="37" spans="1:8" ht="15" customHeight="1" x14ac:dyDescent="0.25">
      <c r="A37" s="11" t="s">
        <v>38</v>
      </c>
      <c r="B37" s="6">
        <v>2</v>
      </c>
      <c r="C37" s="16">
        <v>0</v>
      </c>
      <c r="D37" s="5">
        <f t="shared" si="0"/>
        <v>2</v>
      </c>
      <c r="E37" s="6">
        <v>0</v>
      </c>
      <c r="F37" s="16">
        <v>2</v>
      </c>
      <c r="G37" s="5">
        <f t="shared" si="4"/>
        <v>2</v>
      </c>
      <c r="H37" s="7">
        <f t="shared" si="5"/>
        <v>4</v>
      </c>
    </row>
    <row r="38" spans="1:8" ht="15" customHeight="1" x14ac:dyDescent="0.25">
      <c r="A38" s="11" t="s">
        <v>167</v>
      </c>
      <c r="B38" s="6">
        <v>0</v>
      </c>
      <c r="C38" s="16">
        <v>1</v>
      </c>
      <c r="D38" s="5">
        <f t="shared" si="0"/>
        <v>1</v>
      </c>
      <c r="E38" s="6">
        <v>0</v>
      </c>
      <c r="F38" s="16">
        <v>0</v>
      </c>
      <c r="G38" s="5">
        <f t="shared" si="4"/>
        <v>0</v>
      </c>
      <c r="H38" s="7">
        <f t="shared" si="5"/>
        <v>1</v>
      </c>
    </row>
    <row r="39" spans="1:8" ht="15" customHeight="1" x14ac:dyDescent="0.25">
      <c r="A39" s="11" t="s">
        <v>39</v>
      </c>
      <c r="B39" s="6">
        <v>2</v>
      </c>
      <c r="C39" s="16">
        <v>14</v>
      </c>
      <c r="D39" s="5">
        <f t="shared" si="0"/>
        <v>16</v>
      </c>
      <c r="E39" s="6">
        <v>2</v>
      </c>
      <c r="F39" s="16">
        <v>9</v>
      </c>
      <c r="G39" s="5">
        <f t="shared" si="1"/>
        <v>11</v>
      </c>
      <c r="H39" s="7">
        <f t="shared" si="2"/>
        <v>27</v>
      </c>
    </row>
    <row r="40" spans="1:8" ht="15" customHeight="1" x14ac:dyDescent="0.25">
      <c r="A40" s="11" t="s">
        <v>40</v>
      </c>
      <c r="B40" s="6">
        <v>8</v>
      </c>
      <c r="C40" s="16">
        <v>6</v>
      </c>
      <c r="D40" s="5">
        <f t="shared" si="0"/>
        <v>14</v>
      </c>
      <c r="E40" s="6">
        <v>2</v>
      </c>
      <c r="F40" s="16">
        <v>5</v>
      </c>
      <c r="G40" s="5">
        <f t="shared" si="1"/>
        <v>7</v>
      </c>
      <c r="H40" s="7">
        <f t="shared" si="2"/>
        <v>21</v>
      </c>
    </row>
    <row r="41" spans="1:8" ht="15" customHeight="1" x14ac:dyDescent="0.25">
      <c r="A41" s="11" t="s">
        <v>41</v>
      </c>
      <c r="B41" s="6">
        <v>2</v>
      </c>
      <c r="C41" s="16">
        <v>2</v>
      </c>
      <c r="D41" s="5">
        <f t="shared" si="0"/>
        <v>4</v>
      </c>
      <c r="E41" s="6">
        <v>1</v>
      </c>
      <c r="F41" s="16">
        <v>6</v>
      </c>
      <c r="G41" s="5">
        <f t="shared" si="1"/>
        <v>7</v>
      </c>
      <c r="H41" s="7">
        <f t="shared" si="2"/>
        <v>11</v>
      </c>
    </row>
    <row r="42" spans="1:8" ht="15" customHeight="1" x14ac:dyDescent="0.25">
      <c r="A42" s="11" t="s">
        <v>42</v>
      </c>
      <c r="B42" s="6">
        <v>9</v>
      </c>
      <c r="C42" s="16">
        <v>13</v>
      </c>
      <c r="D42" s="5">
        <f t="shared" si="0"/>
        <v>22</v>
      </c>
      <c r="E42" s="6">
        <v>3</v>
      </c>
      <c r="F42" s="16">
        <v>8</v>
      </c>
      <c r="G42" s="5">
        <f t="shared" si="1"/>
        <v>11</v>
      </c>
      <c r="H42" s="7">
        <f t="shared" si="2"/>
        <v>33</v>
      </c>
    </row>
    <row r="43" spans="1:8" ht="15" customHeight="1" x14ac:dyDescent="0.25">
      <c r="A43" s="11" t="s">
        <v>43</v>
      </c>
      <c r="B43" s="6">
        <v>3</v>
      </c>
      <c r="C43" s="16">
        <v>0</v>
      </c>
      <c r="D43" s="5">
        <f t="shared" si="0"/>
        <v>3</v>
      </c>
      <c r="E43" s="6">
        <v>0</v>
      </c>
      <c r="F43" s="16">
        <v>1</v>
      </c>
      <c r="G43" s="5">
        <f t="shared" si="1"/>
        <v>1</v>
      </c>
      <c r="H43" s="7">
        <f t="shared" si="2"/>
        <v>4</v>
      </c>
    </row>
    <row r="44" spans="1:8" ht="15" customHeight="1" x14ac:dyDescent="0.25">
      <c r="A44" s="11" t="s">
        <v>44</v>
      </c>
      <c r="B44" s="6">
        <v>1</v>
      </c>
      <c r="C44" s="16">
        <v>0</v>
      </c>
      <c r="D44" s="5">
        <f t="shared" si="0"/>
        <v>1</v>
      </c>
      <c r="E44" s="6">
        <v>0</v>
      </c>
      <c r="F44" s="16">
        <v>0</v>
      </c>
      <c r="G44" s="5">
        <f t="shared" si="1"/>
        <v>0</v>
      </c>
      <c r="H44" s="7">
        <f t="shared" si="2"/>
        <v>1</v>
      </c>
    </row>
    <row r="45" spans="1:8" ht="15" customHeight="1" x14ac:dyDescent="0.25">
      <c r="A45" s="11" t="s">
        <v>45</v>
      </c>
      <c r="B45" s="6">
        <v>4</v>
      </c>
      <c r="C45" s="16">
        <v>10</v>
      </c>
      <c r="D45" s="5">
        <f t="shared" si="0"/>
        <v>14</v>
      </c>
      <c r="E45" s="6">
        <v>0</v>
      </c>
      <c r="F45" s="16">
        <v>19</v>
      </c>
      <c r="G45" s="5">
        <f t="shared" si="1"/>
        <v>19</v>
      </c>
      <c r="H45" s="7">
        <f t="shared" si="2"/>
        <v>33</v>
      </c>
    </row>
    <row r="46" spans="1:8" ht="15" customHeight="1" x14ac:dyDescent="0.25">
      <c r="A46" s="11" t="s">
        <v>46</v>
      </c>
      <c r="B46" s="6">
        <v>8</v>
      </c>
      <c r="C46" s="16">
        <v>3</v>
      </c>
      <c r="D46" s="5">
        <f t="shared" si="0"/>
        <v>11</v>
      </c>
      <c r="E46" s="6">
        <v>2</v>
      </c>
      <c r="F46" s="16">
        <v>13</v>
      </c>
      <c r="G46" s="5">
        <f t="shared" si="1"/>
        <v>15</v>
      </c>
      <c r="H46" s="7">
        <f t="shared" si="2"/>
        <v>26</v>
      </c>
    </row>
    <row r="47" spans="1:8" ht="15" customHeight="1" x14ac:dyDescent="0.25">
      <c r="A47" s="11" t="s">
        <v>48</v>
      </c>
      <c r="B47" s="6">
        <v>1</v>
      </c>
      <c r="C47" s="16">
        <v>1</v>
      </c>
      <c r="D47" s="5">
        <f t="shared" si="0"/>
        <v>2</v>
      </c>
      <c r="E47" s="6">
        <v>0</v>
      </c>
      <c r="F47" s="16">
        <v>1</v>
      </c>
      <c r="G47" s="5">
        <f t="shared" si="1"/>
        <v>1</v>
      </c>
      <c r="H47" s="7">
        <f t="shared" si="2"/>
        <v>3</v>
      </c>
    </row>
    <row r="48" spans="1:8" ht="15" customHeight="1" thickBot="1" x14ac:dyDescent="0.3">
      <c r="A48" s="11" t="s">
        <v>150</v>
      </c>
      <c r="B48" s="6">
        <v>15</v>
      </c>
      <c r="C48" s="16">
        <v>7</v>
      </c>
      <c r="D48" s="5">
        <f t="shared" si="0"/>
        <v>22</v>
      </c>
      <c r="E48" s="6">
        <v>4</v>
      </c>
      <c r="F48" s="16">
        <v>7</v>
      </c>
      <c r="G48" s="5">
        <f t="shared" si="1"/>
        <v>11</v>
      </c>
      <c r="H48" s="7">
        <f t="shared" si="2"/>
        <v>33</v>
      </c>
    </row>
    <row r="49" spans="1:8" ht="15" customHeight="1" thickTop="1" thickBot="1" x14ac:dyDescent="0.3">
      <c r="A49" s="12" t="s">
        <v>6</v>
      </c>
      <c r="B49" s="13">
        <f>SUM(B24:B48)</f>
        <v>82</v>
      </c>
      <c r="C49" s="13">
        <f>SUM(C24:C48)</f>
        <v>129</v>
      </c>
      <c r="D49" s="13">
        <f>SUM(D24:D48)</f>
        <v>211</v>
      </c>
      <c r="E49" s="13">
        <f>SUM(E24:E48)</f>
        <v>25</v>
      </c>
      <c r="F49" s="13">
        <f>SUM(F24:F48)</f>
        <v>117</v>
      </c>
      <c r="G49" s="14">
        <f t="shared" si="1"/>
        <v>142</v>
      </c>
      <c r="H49" s="15">
        <f t="shared" si="2"/>
        <v>353</v>
      </c>
    </row>
    <row r="50" spans="1:8" ht="15" customHeight="1" thickTop="1" thickBot="1" x14ac:dyDescent="0.3">
      <c r="A50" s="23" t="s">
        <v>49</v>
      </c>
      <c r="B50" s="24"/>
      <c r="C50" s="24"/>
      <c r="D50" s="24"/>
      <c r="E50" s="24"/>
      <c r="F50" s="24"/>
      <c r="G50" s="24"/>
      <c r="H50" s="25"/>
    </row>
    <row r="51" spans="1:8" ht="15" customHeight="1" thickTop="1" x14ac:dyDescent="0.25">
      <c r="A51" s="11" t="s">
        <v>50</v>
      </c>
      <c r="B51" s="6">
        <v>0</v>
      </c>
      <c r="C51" s="16">
        <v>0</v>
      </c>
      <c r="D51" s="5">
        <f t="shared" ref="D51:D63" si="6">B51+C51</f>
        <v>0</v>
      </c>
      <c r="E51" s="6">
        <v>0</v>
      </c>
      <c r="F51" s="16">
        <v>1</v>
      </c>
      <c r="G51" s="5">
        <f t="shared" ref="G51:G62" si="7">E51+F51</f>
        <v>1</v>
      </c>
      <c r="H51" s="7">
        <f t="shared" ref="H51:H62" si="8">G51+D51</f>
        <v>1</v>
      </c>
    </row>
    <row r="52" spans="1:8" ht="15" customHeight="1" x14ac:dyDescent="0.25">
      <c r="A52" s="11" t="s">
        <v>51</v>
      </c>
      <c r="B52" s="6">
        <v>22</v>
      </c>
      <c r="C52" s="16">
        <v>6</v>
      </c>
      <c r="D52" s="5">
        <f t="shared" si="6"/>
        <v>28</v>
      </c>
      <c r="E52" s="6">
        <v>7</v>
      </c>
      <c r="F52" s="16">
        <v>8</v>
      </c>
      <c r="G52" s="5">
        <f t="shared" si="7"/>
        <v>15</v>
      </c>
      <c r="H52" s="7">
        <f t="shared" si="8"/>
        <v>43</v>
      </c>
    </row>
    <row r="53" spans="1:8" ht="15" customHeight="1" x14ac:dyDescent="0.25">
      <c r="A53" s="11" t="s">
        <v>52</v>
      </c>
      <c r="B53" s="6">
        <v>10</v>
      </c>
      <c r="C53" s="16">
        <v>1</v>
      </c>
      <c r="D53" s="5">
        <f t="shared" si="6"/>
        <v>11</v>
      </c>
      <c r="E53" s="6">
        <v>3</v>
      </c>
      <c r="F53" s="16">
        <v>1</v>
      </c>
      <c r="G53" s="5">
        <f t="shared" si="7"/>
        <v>4</v>
      </c>
      <c r="H53" s="7">
        <f t="shared" si="8"/>
        <v>15</v>
      </c>
    </row>
    <row r="54" spans="1:8" ht="15" customHeight="1" x14ac:dyDescent="0.25">
      <c r="A54" s="11" t="s">
        <v>53</v>
      </c>
      <c r="B54" s="6">
        <v>4</v>
      </c>
      <c r="C54" s="16">
        <v>14</v>
      </c>
      <c r="D54" s="5">
        <f t="shared" si="6"/>
        <v>18</v>
      </c>
      <c r="E54" s="6">
        <v>4</v>
      </c>
      <c r="F54" s="16">
        <v>19</v>
      </c>
      <c r="G54" s="5">
        <f t="shared" si="7"/>
        <v>23</v>
      </c>
      <c r="H54" s="7">
        <f t="shared" si="8"/>
        <v>41</v>
      </c>
    </row>
    <row r="55" spans="1:8" ht="15" customHeight="1" x14ac:dyDescent="0.25">
      <c r="A55" s="11" t="s">
        <v>54</v>
      </c>
      <c r="B55" s="6">
        <v>2</v>
      </c>
      <c r="C55" s="16">
        <v>11</v>
      </c>
      <c r="D55" s="5">
        <f t="shared" si="6"/>
        <v>13</v>
      </c>
      <c r="E55" s="6">
        <v>0</v>
      </c>
      <c r="F55" s="16">
        <v>8</v>
      </c>
      <c r="G55" s="5">
        <f t="shared" si="7"/>
        <v>8</v>
      </c>
      <c r="H55" s="7">
        <f t="shared" si="8"/>
        <v>21</v>
      </c>
    </row>
    <row r="56" spans="1:8" ht="15" customHeight="1" x14ac:dyDescent="0.25">
      <c r="A56" s="11" t="s">
        <v>55</v>
      </c>
      <c r="B56" s="6">
        <v>1</v>
      </c>
      <c r="C56" s="16">
        <v>0</v>
      </c>
      <c r="D56" s="5">
        <f t="shared" si="6"/>
        <v>1</v>
      </c>
      <c r="E56" s="6">
        <v>0</v>
      </c>
      <c r="F56" s="16">
        <v>8</v>
      </c>
      <c r="G56" s="5">
        <f t="shared" si="7"/>
        <v>8</v>
      </c>
      <c r="H56" s="7">
        <f t="shared" si="8"/>
        <v>9</v>
      </c>
    </row>
    <row r="57" spans="1:8" ht="15" customHeight="1" x14ac:dyDescent="0.25">
      <c r="A57" s="11" t="s">
        <v>56</v>
      </c>
      <c r="B57" s="6">
        <v>4</v>
      </c>
      <c r="C57" s="16">
        <v>3</v>
      </c>
      <c r="D57" s="5">
        <f t="shared" si="6"/>
        <v>7</v>
      </c>
      <c r="E57" s="6">
        <v>3</v>
      </c>
      <c r="F57" s="16">
        <v>3</v>
      </c>
      <c r="G57" s="5">
        <f t="shared" si="7"/>
        <v>6</v>
      </c>
      <c r="H57" s="7">
        <f t="shared" si="8"/>
        <v>13</v>
      </c>
    </row>
    <row r="58" spans="1:8" ht="15" customHeight="1" x14ac:dyDescent="0.25">
      <c r="A58" s="11" t="s">
        <v>171</v>
      </c>
      <c r="B58" s="6">
        <v>0</v>
      </c>
      <c r="C58" s="16">
        <v>0</v>
      </c>
      <c r="D58" s="5">
        <f t="shared" si="6"/>
        <v>0</v>
      </c>
      <c r="E58" s="6">
        <v>0</v>
      </c>
      <c r="F58" s="16">
        <v>2</v>
      </c>
      <c r="G58" s="5">
        <f t="shared" si="7"/>
        <v>2</v>
      </c>
      <c r="H58" s="7">
        <f t="shared" si="8"/>
        <v>2</v>
      </c>
    </row>
    <row r="59" spans="1:8" ht="15" customHeight="1" x14ac:dyDescent="0.25">
      <c r="A59" s="11" t="s">
        <v>58</v>
      </c>
      <c r="B59" s="6">
        <v>2</v>
      </c>
      <c r="C59" s="16">
        <v>0</v>
      </c>
      <c r="D59" s="5">
        <f t="shared" si="6"/>
        <v>2</v>
      </c>
      <c r="E59" s="6">
        <v>0</v>
      </c>
      <c r="F59" s="16">
        <v>10</v>
      </c>
      <c r="G59" s="5">
        <f t="shared" si="7"/>
        <v>10</v>
      </c>
      <c r="H59" s="7">
        <f t="shared" si="8"/>
        <v>12</v>
      </c>
    </row>
    <row r="60" spans="1:8" ht="15" customHeight="1" x14ac:dyDescent="0.25">
      <c r="A60" s="11" t="s">
        <v>59</v>
      </c>
      <c r="B60" s="6">
        <v>0</v>
      </c>
      <c r="C60" s="16">
        <v>0</v>
      </c>
      <c r="D60" s="5">
        <f t="shared" si="6"/>
        <v>0</v>
      </c>
      <c r="E60" s="6">
        <v>0</v>
      </c>
      <c r="F60" s="16">
        <v>1</v>
      </c>
      <c r="G60" s="5">
        <f t="shared" si="7"/>
        <v>1</v>
      </c>
      <c r="H60" s="7">
        <f t="shared" si="8"/>
        <v>1</v>
      </c>
    </row>
    <row r="61" spans="1:8" ht="15" customHeight="1" x14ac:dyDescent="0.25">
      <c r="A61" s="11" t="s">
        <v>60</v>
      </c>
      <c r="B61" s="6">
        <v>0</v>
      </c>
      <c r="C61" s="16">
        <v>0</v>
      </c>
      <c r="D61" s="5">
        <f t="shared" si="6"/>
        <v>0</v>
      </c>
      <c r="E61" s="6">
        <v>0</v>
      </c>
      <c r="F61" s="16">
        <v>2</v>
      </c>
      <c r="G61" s="5">
        <f t="shared" si="7"/>
        <v>2</v>
      </c>
      <c r="H61" s="7">
        <f t="shared" si="8"/>
        <v>2</v>
      </c>
    </row>
    <row r="62" spans="1:8" ht="15" customHeight="1" x14ac:dyDescent="0.25">
      <c r="A62" s="11" t="s">
        <v>61</v>
      </c>
      <c r="B62" s="6">
        <v>0</v>
      </c>
      <c r="C62" s="16">
        <v>4</v>
      </c>
      <c r="D62" s="5">
        <f t="shared" si="6"/>
        <v>4</v>
      </c>
      <c r="E62" s="6">
        <v>0</v>
      </c>
      <c r="F62" s="16">
        <v>1</v>
      </c>
      <c r="G62" s="5">
        <f t="shared" si="7"/>
        <v>1</v>
      </c>
      <c r="H62" s="7">
        <f t="shared" si="8"/>
        <v>5</v>
      </c>
    </row>
    <row r="63" spans="1:8" ht="15" customHeight="1" thickBot="1" x14ac:dyDescent="0.3">
      <c r="A63" s="11" t="s">
        <v>151</v>
      </c>
      <c r="B63" s="6">
        <v>0</v>
      </c>
      <c r="C63" s="16">
        <v>0</v>
      </c>
      <c r="D63" s="5">
        <f t="shared" si="6"/>
        <v>0</v>
      </c>
      <c r="E63" s="6">
        <v>0</v>
      </c>
      <c r="F63" s="16">
        <v>2</v>
      </c>
      <c r="G63" s="5">
        <f>E63+F63</f>
        <v>2</v>
      </c>
      <c r="H63" s="7">
        <f>G63+D63</f>
        <v>2</v>
      </c>
    </row>
    <row r="64" spans="1:8" ht="15" customHeight="1" thickTop="1" thickBot="1" x14ac:dyDescent="0.3">
      <c r="A64" s="12" t="s">
        <v>6</v>
      </c>
      <c r="B64" s="13">
        <f t="shared" ref="B64:H64" si="9">SUM(B51:B63)</f>
        <v>45</v>
      </c>
      <c r="C64" s="13">
        <f t="shared" si="9"/>
        <v>39</v>
      </c>
      <c r="D64" s="13">
        <f t="shared" si="9"/>
        <v>84</v>
      </c>
      <c r="E64" s="13">
        <f t="shared" si="9"/>
        <v>17</v>
      </c>
      <c r="F64" s="13">
        <f t="shared" si="9"/>
        <v>66</v>
      </c>
      <c r="G64" s="13">
        <f t="shared" si="9"/>
        <v>83</v>
      </c>
      <c r="H64" s="15">
        <f t="shared" si="9"/>
        <v>167</v>
      </c>
    </row>
    <row r="65" spans="1:8" ht="15" customHeight="1" thickTop="1" thickBot="1" x14ac:dyDescent="0.3">
      <c r="A65" s="23" t="s">
        <v>62</v>
      </c>
      <c r="B65" s="24"/>
      <c r="C65" s="24"/>
      <c r="D65" s="24"/>
      <c r="E65" s="24"/>
      <c r="F65" s="24"/>
      <c r="G65" s="24"/>
      <c r="H65" s="25"/>
    </row>
    <row r="66" spans="1:8" ht="15" customHeight="1" thickTop="1" x14ac:dyDescent="0.25">
      <c r="A66" s="11" t="s">
        <v>63</v>
      </c>
      <c r="B66" s="6">
        <v>3</v>
      </c>
      <c r="C66" s="16">
        <v>0</v>
      </c>
      <c r="D66" s="5">
        <f t="shared" ref="D66:D93" si="10">B66+C66</f>
        <v>3</v>
      </c>
      <c r="E66" s="6">
        <v>0</v>
      </c>
      <c r="F66" s="16">
        <v>0</v>
      </c>
      <c r="G66" s="5">
        <f t="shared" ref="G66:G93" si="11">E66+F66</f>
        <v>0</v>
      </c>
      <c r="H66" s="7">
        <f t="shared" ref="H66:H94" si="12">G66+D66</f>
        <v>3</v>
      </c>
    </row>
    <row r="67" spans="1:8" ht="15" customHeight="1" x14ac:dyDescent="0.25">
      <c r="A67" s="11" t="s">
        <v>64</v>
      </c>
      <c r="B67" s="6">
        <v>7</v>
      </c>
      <c r="C67" s="16">
        <v>3</v>
      </c>
      <c r="D67" s="5">
        <f t="shared" si="10"/>
        <v>10</v>
      </c>
      <c r="E67" s="6">
        <v>0</v>
      </c>
      <c r="F67" s="16">
        <v>6</v>
      </c>
      <c r="G67" s="5">
        <f t="shared" si="11"/>
        <v>6</v>
      </c>
      <c r="H67" s="7">
        <f t="shared" si="12"/>
        <v>16</v>
      </c>
    </row>
    <row r="68" spans="1:8" ht="15" customHeight="1" x14ac:dyDescent="0.25">
      <c r="A68" s="11" t="s">
        <v>207</v>
      </c>
      <c r="B68" s="6">
        <v>0</v>
      </c>
      <c r="C68" s="16">
        <v>0</v>
      </c>
      <c r="D68" s="5">
        <f t="shared" si="10"/>
        <v>0</v>
      </c>
      <c r="E68" s="6">
        <v>0</v>
      </c>
      <c r="F68" s="16">
        <v>1</v>
      </c>
      <c r="G68" s="5">
        <f t="shared" si="11"/>
        <v>1</v>
      </c>
      <c r="H68" s="7">
        <f t="shared" si="12"/>
        <v>1</v>
      </c>
    </row>
    <row r="69" spans="1:8" ht="15" customHeight="1" x14ac:dyDescent="0.25">
      <c r="A69" s="11" t="s">
        <v>65</v>
      </c>
      <c r="B69" s="6">
        <v>0</v>
      </c>
      <c r="C69" s="16">
        <v>9</v>
      </c>
      <c r="D69" s="5">
        <f t="shared" si="10"/>
        <v>9</v>
      </c>
      <c r="E69" s="6">
        <v>0</v>
      </c>
      <c r="F69" s="16">
        <v>3</v>
      </c>
      <c r="G69" s="5">
        <f t="shared" si="11"/>
        <v>3</v>
      </c>
      <c r="H69" s="7">
        <f t="shared" si="12"/>
        <v>12</v>
      </c>
    </row>
    <row r="70" spans="1:8" ht="15" customHeight="1" x14ac:dyDescent="0.25">
      <c r="A70" s="11" t="s">
        <v>66</v>
      </c>
      <c r="B70" s="6">
        <v>1</v>
      </c>
      <c r="C70" s="16">
        <v>0</v>
      </c>
      <c r="D70" s="5">
        <f t="shared" si="10"/>
        <v>1</v>
      </c>
      <c r="E70" s="6">
        <v>3</v>
      </c>
      <c r="F70" s="16">
        <v>2</v>
      </c>
      <c r="G70" s="5">
        <f t="shared" si="11"/>
        <v>5</v>
      </c>
      <c r="H70" s="7">
        <f t="shared" si="12"/>
        <v>6</v>
      </c>
    </row>
    <row r="71" spans="1:8" ht="15" customHeight="1" x14ac:dyDescent="0.25">
      <c r="A71" s="11" t="s">
        <v>67</v>
      </c>
      <c r="B71" s="6">
        <v>0</v>
      </c>
      <c r="C71" s="16">
        <v>0</v>
      </c>
      <c r="D71" s="5">
        <f t="shared" si="10"/>
        <v>0</v>
      </c>
      <c r="E71" s="6">
        <v>0</v>
      </c>
      <c r="F71" s="16">
        <v>1</v>
      </c>
      <c r="G71" s="5">
        <f t="shared" si="11"/>
        <v>1</v>
      </c>
      <c r="H71" s="7">
        <f t="shared" si="12"/>
        <v>1</v>
      </c>
    </row>
    <row r="72" spans="1:8" ht="15" customHeight="1" x14ac:dyDescent="0.25">
      <c r="A72" s="11" t="s">
        <v>174</v>
      </c>
      <c r="B72" s="6">
        <v>8</v>
      </c>
      <c r="C72" s="16">
        <v>15</v>
      </c>
      <c r="D72" s="5">
        <f t="shared" si="10"/>
        <v>23</v>
      </c>
      <c r="E72" s="6">
        <v>4</v>
      </c>
      <c r="F72" s="16">
        <v>32</v>
      </c>
      <c r="G72" s="5">
        <f t="shared" si="11"/>
        <v>36</v>
      </c>
      <c r="H72" s="7">
        <f t="shared" si="12"/>
        <v>59</v>
      </c>
    </row>
    <row r="73" spans="1:8" ht="15" customHeight="1" x14ac:dyDescent="0.25">
      <c r="A73" s="11" t="s">
        <v>69</v>
      </c>
      <c r="B73" s="6">
        <v>1</v>
      </c>
      <c r="C73" s="16">
        <v>15</v>
      </c>
      <c r="D73" s="5">
        <f t="shared" si="10"/>
        <v>16</v>
      </c>
      <c r="E73" s="6">
        <v>0</v>
      </c>
      <c r="F73" s="16">
        <v>16</v>
      </c>
      <c r="G73" s="5">
        <f t="shared" si="11"/>
        <v>16</v>
      </c>
      <c r="H73" s="7">
        <f t="shared" si="12"/>
        <v>32</v>
      </c>
    </row>
    <row r="74" spans="1:8" ht="15" customHeight="1" x14ac:dyDescent="0.25">
      <c r="A74" s="11" t="s">
        <v>70</v>
      </c>
      <c r="B74" s="6">
        <v>27</v>
      </c>
      <c r="C74" s="16">
        <v>21</v>
      </c>
      <c r="D74" s="5">
        <f t="shared" si="10"/>
        <v>48</v>
      </c>
      <c r="E74" s="6">
        <v>20</v>
      </c>
      <c r="F74" s="16">
        <v>38</v>
      </c>
      <c r="G74" s="5">
        <f t="shared" si="11"/>
        <v>58</v>
      </c>
      <c r="H74" s="7">
        <f t="shared" si="12"/>
        <v>106</v>
      </c>
    </row>
    <row r="75" spans="1:8" ht="15" customHeight="1" x14ac:dyDescent="0.25">
      <c r="A75" s="11" t="s">
        <v>71</v>
      </c>
      <c r="B75" s="6">
        <v>0</v>
      </c>
      <c r="C75" s="16">
        <v>8</v>
      </c>
      <c r="D75" s="5">
        <f t="shared" si="10"/>
        <v>8</v>
      </c>
      <c r="E75" s="6">
        <v>0</v>
      </c>
      <c r="F75" s="16">
        <v>10</v>
      </c>
      <c r="G75" s="5">
        <f t="shared" si="11"/>
        <v>10</v>
      </c>
      <c r="H75" s="7">
        <f t="shared" si="12"/>
        <v>18</v>
      </c>
    </row>
    <row r="76" spans="1:8" ht="15" customHeight="1" x14ac:dyDescent="0.25">
      <c r="A76" s="11" t="s">
        <v>212</v>
      </c>
      <c r="B76" s="6">
        <v>1</v>
      </c>
      <c r="C76" s="16">
        <v>0</v>
      </c>
      <c r="D76" s="5">
        <f t="shared" si="10"/>
        <v>1</v>
      </c>
      <c r="E76" s="6">
        <v>0</v>
      </c>
      <c r="F76" s="16">
        <v>0</v>
      </c>
      <c r="G76" s="5">
        <f t="shared" si="11"/>
        <v>0</v>
      </c>
      <c r="H76" s="7">
        <f t="shared" si="12"/>
        <v>1</v>
      </c>
    </row>
    <row r="77" spans="1:8" ht="15" customHeight="1" x14ac:dyDescent="0.25">
      <c r="A77" s="11" t="s">
        <v>72</v>
      </c>
      <c r="B77" s="6">
        <v>14</v>
      </c>
      <c r="C77" s="16">
        <v>71</v>
      </c>
      <c r="D77" s="5">
        <f t="shared" si="10"/>
        <v>85</v>
      </c>
      <c r="E77" s="6">
        <v>7</v>
      </c>
      <c r="F77" s="16">
        <v>88</v>
      </c>
      <c r="G77" s="5">
        <f t="shared" si="11"/>
        <v>95</v>
      </c>
      <c r="H77" s="7">
        <f t="shared" si="12"/>
        <v>180</v>
      </c>
    </row>
    <row r="78" spans="1:8" ht="15" customHeight="1" x14ac:dyDescent="0.25">
      <c r="A78" s="11" t="s">
        <v>73</v>
      </c>
      <c r="B78" s="6">
        <v>0</v>
      </c>
      <c r="C78" s="16">
        <v>1</v>
      </c>
      <c r="D78" s="5">
        <f t="shared" si="10"/>
        <v>1</v>
      </c>
      <c r="E78" s="6">
        <v>0</v>
      </c>
      <c r="F78" s="16">
        <v>0</v>
      </c>
      <c r="G78" s="5">
        <f t="shared" si="11"/>
        <v>0</v>
      </c>
      <c r="H78" s="7">
        <f t="shared" si="12"/>
        <v>1</v>
      </c>
    </row>
    <row r="79" spans="1:8" ht="15" customHeight="1" x14ac:dyDescent="0.25">
      <c r="A79" s="11" t="s">
        <v>74</v>
      </c>
      <c r="B79" s="6">
        <v>13</v>
      </c>
      <c r="C79" s="16">
        <v>148</v>
      </c>
      <c r="D79" s="5">
        <f t="shared" si="10"/>
        <v>161</v>
      </c>
      <c r="E79" s="6">
        <v>6</v>
      </c>
      <c r="F79" s="16">
        <v>31</v>
      </c>
      <c r="G79" s="5">
        <f t="shared" si="11"/>
        <v>37</v>
      </c>
      <c r="H79" s="7">
        <f t="shared" si="12"/>
        <v>198</v>
      </c>
    </row>
    <row r="80" spans="1:8" ht="15" customHeight="1" x14ac:dyDescent="0.25">
      <c r="A80" s="11" t="s">
        <v>75</v>
      </c>
      <c r="B80" s="6">
        <v>0</v>
      </c>
      <c r="C80" s="16">
        <v>3</v>
      </c>
      <c r="D80" s="5">
        <f t="shared" si="10"/>
        <v>3</v>
      </c>
      <c r="E80" s="6">
        <v>0</v>
      </c>
      <c r="F80" s="16">
        <v>0</v>
      </c>
      <c r="G80" s="5">
        <f t="shared" si="11"/>
        <v>0</v>
      </c>
      <c r="H80" s="7">
        <f t="shared" si="12"/>
        <v>3</v>
      </c>
    </row>
    <row r="81" spans="1:8" ht="15" customHeight="1" x14ac:dyDescent="0.25">
      <c r="A81" s="11" t="s">
        <v>76</v>
      </c>
      <c r="B81" s="6">
        <v>4</v>
      </c>
      <c r="C81" s="16">
        <v>1</v>
      </c>
      <c r="D81" s="5">
        <f t="shared" si="10"/>
        <v>5</v>
      </c>
      <c r="E81" s="6">
        <v>1</v>
      </c>
      <c r="F81" s="16">
        <v>2</v>
      </c>
      <c r="G81" s="5">
        <f t="shared" si="11"/>
        <v>3</v>
      </c>
      <c r="H81" s="7">
        <f t="shared" si="12"/>
        <v>8</v>
      </c>
    </row>
    <row r="82" spans="1:8" ht="15" customHeight="1" x14ac:dyDescent="0.25">
      <c r="A82" s="11" t="s">
        <v>241</v>
      </c>
      <c r="B82" s="6">
        <v>1</v>
      </c>
      <c r="C82" s="16">
        <v>2</v>
      </c>
      <c r="D82" s="5">
        <f t="shared" ref="D82:D87" si="13">B82+C82</f>
        <v>3</v>
      </c>
      <c r="E82" s="6">
        <v>0</v>
      </c>
      <c r="F82" s="16">
        <v>0</v>
      </c>
      <c r="G82" s="5">
        <f t="shared" ref="G82:G87" si="14">E82+F82</f>
        <v>0</v>
      </c>
      <c r="H82" s="7">
        <f t="shared" ref="H82:H87" si="15">G82+D82</f>
        <v>3</v>
      </c>
    </row>
    <row r="83" spans="1:8" ht="15" customHeight="1" x14ac:dyDescent="0.25">
      <c r="A83" s="11" t="s">
        <v>77</v>
      </c>
      <c r="B83" s="6">
        <v>12</v>
      </c>
      <c r="C83" s="16">
        <v>23</v>
      </c>
      <c r="D83" s="5">
        <f t="shared" si="13"/>
        <v>35</v>
      </c>
      <c r="E83" s="6">
        <v>5</v>
      </c>
      <c r="F83" s="16">
        <v>34</v>
      </c>
      <c r="G83" s="5">
        <f t="shared" si="14"/>
        <v>39</v>
      </c>
      <c r="H83" s="7">
        <f t="shared" si="15"/>
        <v>74</v>
      </c>
    </row>
    <row r="84" spans="1:8" ht="15" customHeight="1" x14ac:dyDescent="0.25">
      <c r="A84" s="11" t="s">
        <v>79</v>
      </c>
      <c r="B84" s="6">
        <v>0</v>
      </c>
      <c r="C84" s="16">
        <v>2</v>
      </c>
      <c r="D84" s="5">
        <f t="shared" si="13"/>
        <v>2</v>
      </c>
      <c r="E84" s="6">
        <v>0</v>
      </c>
      <c r="F84" s="16">
        <v>3</v>
      </c>
      <c r="G84" s="5">
        <f t="shared" si="14"/>
        <v>3</v>
      </c>
      <c r="H84" s="7">
        <f t="shared" si="15"/>
        <v>5</v>
      </c>
    </row>
    <row r="85" spans="1:8" ht="15" customHeight="1" x14ac:dyDescent="0.25">
      <c r="A85" s="11" t="s">
        <v>109</v>
      </c>
      <c r="B85" s="6">
        <v>0</v>
      </c>
      <c r="C85" s="16">
        <v>0</v>
      </c>
      <c r="D85" s="5">
        <f t="shared" si="13"/>
        <v>0</v>
      </c>
      <c r="E85" s="6">
        <v>0</v>
      </c>
      <c r="F85" s="16">
        <v>1</v>
      </c>
      <c r="G85" s="5">
        <f t="shared" si="14"/>
        <v>1</v>
      </c>
      <c r="H85" s="7">
        <f t="shared" si="15"/>
        <v>1</v>
      </c>
    </row>
    <row r="86" spans="1:8" ht="15" customHeight="1" x14ac:dyDescent="0.25">
      <c r="A86" s="11" t="s">
        <v>80</v>
      </c>
      <c r="B86" s="6">
        <v>0</v>
      </c>
      <c r="C86" s="16">
        <v>120</v>
      </c>
      <c r="D86" s="5">
        <f t="shared" si="13"/>
        <v>120</v>
      </c>
      <c r="E86" s="6">
        <v>3</v>
      </c>
      <c r="F86" s="16">
        <v>48</v>
      </c>
      <c r="G86" s="5">
        <f t="shared" si="14"/>
        <v>51</v>
      </c>
      <c r="H86" s="7">
        <f t="shared" si="15"/>
        <v>171</v>
      </c>
    </row>
    <row r="87" spans="1:8" ht="15" customHeight="1" x14ac:dyDescent="0.25">
      <c r="A87" s="11" t="s">
        <v>81</v>
      </c>
      <c r="B87" s="6">
        <v>7</v>
      </c>
      <c r="C87" s="16">
        <v>27</v>
      </c>
      <c r="D87" s="5">
        <f t="shared" si="13"/>
        <v>34</v>
      </c>
      <c r="E87" s="6">
        <v>2</v>
      </c>
      <c r="F87" s="16">
        <v>37</v>
      </c>
      <c r="G87" s="5">
        <f t="shared" si="14"/>
        <v>39</v>
      </c>
      <c r="H87" s="7">
        <f t="shared" si="15"/>
        <v>73</v>
      </c>
    </row>
    <row r="88" spans="1:8" ht="15" customHeight="1" x14ac:dyDescent="0.25">
      <c r="A88" s="11" t="s">
        <v>82</v>
      </c>
      <c r="B88" s="6">
        <v>36</v>
      </c>
      <c r="C88" s="16">
        <v>15</v>
      </c>
      <c r="D88" s="5">
        <f t="shared" si="10"/>
        <v>51</v>
      </c>
      <c r="E88" s="6">
        <v>2</v>
      </c>
      <c r="F88" s="16">
        <v>11</v>
      </c>
      <c r="G88" s="5">
        <f t="shared" si="11"/>
        <v>13</v>
      </c>
      <c r="H88" s="7">
        <f t="shared" si="12"/>
        <v>64</v>
      </c>
    </row>
    <row r="89" spans="1:8" ht="15" customHeight="1" x14ac:dyDescent="0.25">
      <c r="A89" s="11" t="s">
        <v>83</v>
      </c>
      <c r="B89" s="6">
        <v>1</v>
      </c>
      <c r="C89" s="16">
        <v>23</v>
      </c>
      <c r="D89" s="5">
        <f t="shared" si="10"/>
        <v>24</v>
      </c>
      <c r="E89" s="6">
        <v>2</v>
      </c>
      <c r="F89" s="16">
        <v>42</v>
      </c>
      <c r="G89" s="5">
        <f t="shared" si="11"/>
        <v>44</v>
      </c>
      <c r="H89" s="7">
        <f t="shared" si="12"/>
        <v>68</v>
      </c>
    </row>
    <row r="90" spans="1:8" ht="15" customHeight="1" x14ac:dyDescent="0.25">
      <c r="A90" s="11" t="s">
        <v>211</v>
      </c>
      <c r="B90" s="6">
        <v>0</v>
      </c>
      <c r="C90" s="16">
        <v>0</v>
      </c>
      <c r="D90" s="5">
        <f t="shared" si="10"/>
        <v>0</v>
      </c>
      <c r="E90" s="6">
        <v>0</v>
      </c>
      <c r="F90" s="16">
        <v>1</v>
      </c>
      <c r="G90" s="5">
        <f t="shared" si="11"/>
        <v>1</v>
      </c>
      <c r="H90" s="7">
        <f t="shared" si="12"/>
        <v>1</v>
      </c>
    </row>
    <row r="91" spans="1:8" ht="15" customHeight="1" x14ac:dyDescent="0.25">
      <c r="A91" s="11" t="s">
        <v>84</v>
      </c>
      <c r="B91" s="6">
        <v>1</v>
      </c>
      <c r="C91" s="16">
        <v>21</v>
      </c>
      <c r="D91" s="5">
        <f t="shared" si="10"/>
        <v>22</v>
      </c>
      <c r="E91" s="6">
        <v>1</v>
      </c>
      <c r="F91" s="16">
        <v>40</v>
      </c>
      <c r="G91" s="5">
        <f t="shared" si="11"/>
        <v>41</v>
      </c>
      <c r="H91" s="7">
        <f t="shared" si="12"/>
        <v>63</v>
      </c>
    </row>
    <row r="92" spans="1:8" ht="15" customHeight="1" x14ac:dyDescent="0.25">
      <c r="A92" s="11" t="s">
        <v>179</v>
      </c>
      <c r="B92" s="6">
        <v>0</v>
      </c>
      <c r="C92" s="16">
        <v>1</v>
      </c>
      <c r="D92" s="5">
        <f t="shared" si="10"/>
        <v>1</v>
      </c>
      <c r="E92" s="6">
        <v>0</v>
      </c>
      <c r="F92" s="16">
        <v>0</v>
      </c>
      <c r="G92" s="5">
        <f t="shared" si="11"/>
        <v>0</v>
      </c>
      <c r="H92" s="7">
        <f t="shared" si="12"/>
        <v>1</v>
      </c>
    </row>
    <row r="93" spans="1:8" ht="15" customHeight="1" thickBot="1" x14ac:dyDescent="0.3">
      <c r="A93" s="11" t="s">
        <v>85</v>
      </c>
      <c r="B93" s="6">
        <v>3</v>
      </c>
      <c r="C93" s="16">
        <v>0</v>
      </c>
      <c r="D93" s="5">
        <f t="shared" si="10"/>
        <v>3</v>
      </c>
      <c r="E93" s="6">
        <v>0</v>
      </c>
      <c r="F93" s="16">
        <v>1</v>
      </c>
      <c r="G93" s="5">
        <f t="shared" si="11"/>
        <v>1</v>
      </c>
      <c r="H93" s="7">
        <f t="shared" si="12"/>
        <v>4</v>
      </c>
    </row>
    <row r="94" spans="1:8" ht="15" customHeight="1" thickTop="1" thickBot="1" x14ac:dyDescent="0.3">
      <c r="A94" s="12" t="s">
        <v>6</v>
      </c>
      <c r="B94" s="13">
        <f t="shared" ref="B94:G94" si="16">SUM(B66:B93)</f>
        <v>140</v>
      </c>
      <c r="C94" s="13">
        <f t="shared" si="16"/>
        <v>529</v>
      </c>
      <c r="D94" s="13">
        <f t="shared" si="16"/>
        <v>669</v>
      </c>
      <c r="E94" s="13">
        <f t="shared" si="16"/>
        <v>56</v>
      </c>
      <c r="F94" s="13">
        <f t="shared" si="16"/>
        <v>448</v>
      </c>
      <c r="G94" s="13">
        <f t="shared" si="16"/>
        <v>504</v>
      </c>
      <c r="H94" s="15">
        <f t="shared" si="12"/>
        <v>1173</v>
      </c>
    </row>
    <row r="95" spans="1:8" ht="15" customHeight="1" thickTop="1" thickBot="1" x14ac:dyDescent="0.3">
      <c r="A95" s="23" t="s">
        <v>86</v>
      </c>
      <c r="B95" s="24"/>
      <c r="C95" s="24"/>
      <c r="D95" s="24"/>
      <c r="E95" s="24"/>
      <c r="F95" s="24"/>
      <c r="G95" s="24"/>
      <c r="H95" s="25"/>
    </row>
    <row r="96" spans="1:8" ht="15" customHeight="1" thickTop="1" x14ac:dyDescent="0.25">
      <c r="A96" s="11" t="s">
        <v>87</v>
      </c>
      <c r="B96" s="6">
        <v>1</v>
      </c>
      <c r="C96" s="16">
        <v>6</v>
      </c>
      <c r="D96" s="5">
        <f t="shared" ref="D96:D124" si="17">B96+C96</f>
        <v>7</v>
      </c>
      <c r="E96" s="6">
        <v>1</v>
      </c>
      <c r="F96" s="16">
        <v>4</v>
      </c>
      <c r="G96" s="5">
        <f t="shared" ref="G96:G124" si="18">E96+F96</f>
        <v>5</v>
      </c>
      <c r="H96" s="7">
        <f t="shared" ref="H96:H124" si="19">G96+D96</f>
        <v>12</v>
      </c>
    </row>
    <row r="97" spans="1:8" ht="15" customHeight="1" x14ac:dyDescent="0.25">
      <c r="A97" s="11" t="s">
        <v>181</v>
      </c>
      <c r="B97" s="6">
        <v>0</v>
      </c>
      <c r="C97" s="16">
        <v>0</v>
      </c>
      <c r="D97" s="5">
        <f t="shared" si="17"/>
        <v>0</v>
      </c>
      <c r="E97" s="6">
        <v>1</v>
      </c>
      <c r="F97" s="16">
        <v>0</v>
      </c>
      <c r="G97" s="5">
        <f t="shared" si="18"/>
        <v>1</v>
      </c>
      <c r="H97" s="7">
        <f t="shared" si="19"/>
        <v>1</v>
      </c>
    </row>
    <row r="98" spans="1:8" ht="15" customHeight="1" x14ac:dyDescent="0.25">
      <c r="A98" s="11" t="s">
        <v>88</v>
      </c>
      <c r="B98" s="6">
        <v>0</v>
      </c>
      <c r="C98" s="16">
        <v>0</v>
      </c>
      <c r="D98" s="5">
        <f t="shared" si="17"/>
        <v>0</v>
      </c>
      <c r="E98" s="6">
        <v>0</v>
      </c>
      <c r="F98" s="16">
        <v>3</v>
      </c>
      <c r="G98" s="5">
        <f t="shared" si="18"/>
        <v>3</v>
      </c>
      <c r="H98" s="7">
        <f t="shared" si="19"/>
        <v>3</v>
      </c>
    </row>
    <row r="99" spans="1:8" ht="15" customHeight="1" x14ac:dyDescent="0.25">
      <c r="A99" s="11" t="s">
        <v>89</v>
      </c>
      <c r="B99" s="6">
        <v>0</v>
      </c>
      <c r="C99" s="16">
        <v>0</v>
      </c>
      <c r="D99" s="5">
        <f t="shared" si="17"/>
        <v>0</v>
      </c>
      <c r="E99" s="6">
        <v>1</v>
      </c>
      <c r="F99" s="16">
        <v>3</v>
      </c>
      <c r="G99" s="5">
        <f t="shared" si="18"/>
        <v>4</v>
      </c>
      <c r="H99" s="7">
        <f t="shared" si="19"/>
        <v>4</v>
      </c>
    </row>
    <row r="100" spans="1:8" ht="15" customHeight="1" x14ac:dyDescent="0.25">
      <c r="A100" s="11" t="s">
        <v>90</v>
      </c>
      <c r="B100" s="6">
        <v>0</v>
      </c>
      <c r="C100" s="16">
        <v>0</v>
      </c>
      <c r="D100" s="5">
        <f t="shared" si="17"/>
        <v>0</v>
      </c>
      <c r="E100" s="6">
        <v>5</v>
      </c>
      <c r="F100" s="16">
        <v>14</v>
      </c>
      <c r="G100" s="5">
        <f t="shared" si="18"/>
        <v>19</v>
      </c>
      <c r="H100" s="7">
        <f t="shared" si="19"/>
        <v>19</v>
      </c>
    </row>
    <row r="101" spans="1:8" ht="15" customHeight="1" x14ac:dyDescent="0.25">
      <c r="A101" s="11" t="s">
        <v>91</v>
      </c>
      <c r="B101" s="6">
        <v>3</v>
      </c>
      <c r="C101" s="16">
        <v>0</v>
      </c>
      <c r="D101" s="5">
        <f t="shared" si="17"/>
        <v>3</v>
      </c>
      <c r="E101" s="6">
        <v>1</v>
      </c>
      <c r="F101" s="16">
        <v>0</v>
      </c>
      <c r="G101" s="5">
        <f t="shared" si="18"/>
        <v>1</v>
      </c>
      <c r="H101" s="7">
        <f t="shared" si="19"/>
        <v>4</v>
      </c>
    </row>
    <row r="102" spans="1:8" ht="15" customHeight="1" x14ac:dyDescent="0.25">
      <c r="A102" s="11" t="s">
        <v>92</v>
      </c>
      <c r="B102" s="6">
        <v>4</v>
      </c>
      <c r="C102" s="16">
        <v>1</v>
      </c>
      <c r="D102" s="5">
        <f t="shared" si="17"/>
        <v>5</v>
      </c>
      <c r="E102" s="6">
        <v>4</v>
      </c>
      <c r="F102" s="16">
        <v>3</v>
      </c>
      <c r="G102" s="5">
        <f t="shared" si="18"/>
        <v>7</v>
      </c>
      <c r="H102" s="7">
        <f t="shared" si="19"/>
        <v>12</v>
      </c>
    </row>
    <row r="103" spans="1:8" ht="15" customHeight="1" x14ac:dyDescent="0.25">
      <c r="A103" s="11" t="s">
        <v>93</v>
      </c>
      <c r="B103" s="6">
        <v>0</v>
      </c>
      <c r="C103" s="16">
        <v>1</v>
      </c>
      <c r="D103" s="5">
        <f t="shared" si="17"/>
        <v>1</v>
      </c>
      <c r="E103" s="6">
        <v>0</v>
      </c>
      <c r="F103" s="16">
        <v>0</v>
      </c>
      <c r="G103" s="5">
        <f t="shared" si="18"/>
        <v>0</v>
      </c>
      <c r="H103" s="7">
        <f t="shared" si="19"/>
        <v>1</v>
      </c>
    </row>
    <row r="104" spans="1:8" ht="15" customHeight="1" x14ac:dyDescent="0.25">
      <c r="A104" s="11" t="s">
        <v>94</v>
      </c>
      <c r="B104" s="6">
        <v>0</v>
      </c>
      <c r="C104" s="16">
        <v>1</v>
      </c>
      <c r="D104" s="5">
        <f t="shared" si="17"/>
        <v>1</v>
      </c>
      <c r="E104" s="6">
        <v>0</v>
      </c>
      <c r="F104" s="16">
        <v>1</v>
      </c>
      <c r="G104" s="5">
        <f t="shared" si="18"/>
        <v>1</v>
      </c>
      <c r="H104" s="7">
        <f t="shared" si="19"/>
        <v>2</v>
      </c>
    </row>
    <row r="105" spans="1:8" ht="15" customHeight="1" x14ac:dyDescent="0.25">
      <c r="A105" s="11" t="s">
        <v>95</v>
      </c>
      <c r="B105" s="6">
        <v>5</v>
      </c>
      <c r="C105" s="16">
        <v>1</v>
      </c>
      <c r="D105" s="5">
        <f t="shared" si="17"/>
        <v>6</v>
      </c>
      <c r="E105" s="6">
        <v>2</v>
      </c>
      <c r="F105" s="16">
        <v>8</v>
      </c>
      <c r="G105" s="5">
        <f t="shared" si="18"/>
        <v>10</v>
      </c>
      <c r="H105" s="7">
        <f t="shared" si="19"/>
        <v>16</v>
      </c>
    </row>
    <row r="106" spans="1:8" ht="15" customHeight="1" x14ac:dyDescent="0.25">
      <c r="A106" s="11" t="s">
        <v>96</v>
      </c>
      <c r="B106" s="6">
        <v>5</v>
      </c>
      <c r="C106" s="16">
        <v>12</v>
      </c>
      <c r="D106" s="5">
        <f t="shared" si="17"/>
        <v>17</v>
      </c>
      <c r="E106" s="6">
        <v>2</v>
      </c>
      <c r="F106" s="16">
        <v>15</v>
      </c>
      <c r="G106" s="5">
        <f t="shared" si="18"/>
        <v>17</v>
      </c>
      <c r="H106" s="7">
        <f t="shared" si="19"/>
        <v>34</v>
      </c>
    </row>
    <row r="107" spans="1:8" ht="15" customHeight="1" x14ac:dyDescent="0.25">
      <c r="A107" s="11" t="s">
        <v>99</v>
      </c>
      <c r="B107" s="6">
        <v>1</v>
      </c>
      <c r="C107" s="16">
        <v>0</v>
      </c>
      <c r="D107" s="5">
        <f t="shared" si="17"/>
        <v>1</v>
      </c>
      <c r="E107" s="6">
        <v>0</v>
      </c>
      <c r="F107" s="16">
        <v>5</v>
      </c>
      <c r="G107" s="5">
        <f t="shared" si="18"/>
        <v>5</v>
      </c>
      <c r="H107" s="7">
        <f t="shared" si="19"/>
        <v>6</v>
      </c>
    </row>
    <row r="108" spans="1:8" ht="15" customHeight="1" x14ac:dyDescent="0.25">
      <c r="A108" s="11" t="s">
        <v>100</v>
      </c>
      <c r="B108" s="6">
        <v>0</v>
      </c>
      <c r="C108" s="16">
        <v>1</v>
      </c>
      <c r="D108" s="5">
        <f t="shared" si="17"/>
        <v>1</v>
      </c>
      <c r="E108" s="6">
        <v>0</v>
      </c>
      <c r="F108" s="16">
        <v>5</v>
      </c>
      <c r="G108" s="5">
        <f t="shared" si="18"/>
        <v>5</v>
      </c>
      <c r="H108" s="7">
        <f t="shared" si="19"/>
        <v>6</v>
      </c>
    </row>
    <row r="109" spans="1:8" ht="15" customHeight="1" x14ac:dyDescent="0.25">
      <c r="A109" s="11" t="s">
        <v>208</v>
      </c>
      <c r="B109" s="6">
        <v>0</v>
      </c>
      <c r="C109" s="16">
        <v>0</v>
      </c>
      <c r="D109" s="5">
        <f t="shared" si="17"/>
        <v>0</v>
      </c>
      <c r="E109" s="6">
        <v>0</v>
      </c>
      <c r="F109" s="16">
        <v>2</v>
      </c>
      <c r="G109" s="5">
        <f t="shared" si="18"/>
        <v>2</v>
      </c>
      <c r="H109" s="7">
        <f t="shared" si="19"/>
        <v>2</v>
      </c>
    </row>
    <row r="110" spans="1:8" ht="15" customHeight="1" x14ac:dyDescent="0.25">
      <c r="A110" s="11" t="s">
        <v>101</v>
      </c>
      <c r="B110" s="6">
        <v>2</v>
      </c>
      <c r="C110" s="16">
        <v>3</v>
      </c>
      <c r="D110" s="5">
        <f t="shared" si="17"/>
        <v>5</v>
      </c>
      <c r="E110" s="6">
        <v>1</v>
      </c>
      <c r="F110" s="16">
        <v>1</v>
      </c>
      <c r="G110" s="5">
        <f t="shared" si="18"/>
        <v>2</v>
      </c>
      <c r="H110" s="7">
        <f t="shared" si="19"/>
        <v>7</v>
      </c>
    </row>
    <row r="111" spans="1:8" ht="15" customHeight="1" x14ac:dyDescent="0.25">
      <c r="A111" s="11" t="s">
        <v>102</v>
      </c>
      <c r="B111" s="6">
        <v>2</v>
      </c>
      <c r="C111" s="16">
        <v>0</v>
      </c>
      <c r="D111" s="5">
        <f t="shared" si="17"/>
        <v>2</v>
      </c>
      <c r="E111" s="6">
        <v>0</v>
      </c>
      <c r="F111" s="16">
        <v>0</v>
      </c>
      <c r="G111" s="5">
        <f t="shared" si="18"/>
        <v>0</v>
      </c>
      <c r="H111" s="7">
        <f t="shared" si="19"/>
        <v>2</v>
      </c>
    </row>
    <row r="112" spans="1:8" ht="15" customHeight="1" x14ac:dyDescent="0.25">
      <c r="A112" s="11" t="s">
        <v>103</v>
      </c>
      <c r="B112" s="6">
        <v>0</v>
      </c>
      <c r="C112" s="16">
        <v>0</v>
      </c>
      <c r="D112" s="5">
        <f t="shared" si="17"/>
        <v>0</v>
      </c>
      <c r="E112" s="6">
        <v>0</v>
      </c>
      <c r="F112" s="16">
        <v>1</v>
      </c>
      <c r="G112" s="5">
        <f t="shared" si="18"/>
        <v>1</v>
      </c>
      <c r="H112" s="7">
        <f t="shared" si="19"/>
        <v>1</v>
      </c>
    </row>
    <row r="113" spans="1:8" ht="15" customHeight="1" x14ac:dyDescent="0.25">
      <c r="A113" s="11" t="s">
        <v>153</v>
      </c>
      <c r="B113" s="6">
        <v>1</v>
      </c>
      <c r="C113" s="16">
        <v>0</v>
      </c>
      <c r="D113" s="5">
        <f t="shared" si="17"/>
        <v>1</v>
      </c>
      <c r="E113" s="6">
        <v>0</v>
      </c>
      <c r="F113" s="16">
        <v>0</v>
      </c>
      <c r="G113" s="5">
        <f t="shared" si="18"/>
        <v>0</v>
      </c>
      <c r="H113" s="7">
        <f t="shared" si="19"/>
        <v>1</v>
      </c>
    </row>
    <row r="114" spans="1:8" ht="15" customHeight="1" x14ac:dyDescent="0.25">
      <c r="A114" s="11" t="s">
        <v>104</v>
      </c>
      <c r="B114" s="6">
        <v>14</v>
      </c>
      <c r="C114" s="16">
        <v>25</v>
      </c>
      <c r="D114" s="5">
        <f t="shared" si="17"/>
        <v>39</v>
      </c>
      <c r="E114" s="6">
        <v>15</v>
      </c>
      <c r="F114" s="16">
        <v>15</v>
      </c>
      <c r="G114" s="5">
        <f t="shared" si="18"/>
        <v>30</v>
      </c>
      <c r="H114" s="7">
        <f t="shared" si="19"/>
        <v>69</v>
      </c>
    </row>
    <row r="115" spans="1:8" ht="15" customHeight="1" x14ac:dyDescent="0.25">
      <c r="A115" s="11" t="s">
        <v>105</v>
      </c>
      <c r="B115" s="6">
        <v>0</v>
      </c>
      <c r="C115" s="16">
        <v>1</v>
      </c>
      <c r="D115" s="5">
        <f t="shared" si="17"/>
        <v>1</v>
      </c>
      <c r="E115" s="6">
        <v>0</v>
      </c>
      <c r="F115" s="16">
        <v>2</v>
      </c>
      <c r="G115" s="5">
        <f t="shared" si="18"/>
        <v>2</v>
      </c>
      <c r="H115" s="7">
        <f t="shared" si="19"/>
        <v>3</v>
      </c>
    </row>
    <row r="116" spans="1:8" ht="15" customHeight="1" x14ac:dyDescent="0.25">
      <c r="A116" s="11" t="s">
        <v>106</v>
      </c>
      <c r="B116" s="6">
        <v>4</v>
      </c>
      <c r="C116" s="16">
        <v>0</v>
      </c>
      <c r="D116" s="5">
        <f t="shared" si="17"/>
        <v>4</v>
      </c>
      <c r="E116" s="6">
        <v>1</v>
      </c>
      <c r="F116" s="16">
        <v>1</v>
      </c>
      <c r="G116" s="5">
        <f t="shared" si="18"/>
        <v>2</v>
      </c>
      <c r="H116" s="7">
        <f t="shared" si="19"/>
        <v>6</v>
      </c>
    </row>
    <row r="117" spans="1:8" ht="15" customHeight="1" x14ac:dyDescent="0.25">
      <c r="A117" s="11" t="s">
        <v>107</v>
      </c>
      <c r="B117" s="6">
        <v>3</v>
      </c>
      <c r="C117" s="16">
        <v>3</v>
      </c>
      <c r="D117" s="5">
        <f t="shared" si="17"/>
        <v>6</v>
      </c>
      <c r="E117" s="6">
        <v>1</v>
      </c>
      <c r="F117" s="16">
        <v>12</v>
      </c>
      <c r="G117" s="5">
        <f t="shared" si="18"/>
        <v>13</v>
      </c>
      <c r="H117" s="7">
        <f t="shared" si="19"/>
        <v>19</v>
      </c>
    </row>
    <row r="118" spans="1:8" ht="15" customHeight="1" x14ac:dyDescent="0.25">
      <c r="A118" s="11" t="s">
        <v>108</v>
      </c>
      <c r="B118" s="6">
        <v>4</v>
      </c>
      <c r="C118" s="16">
        <v>5</v>
      </c>
      <c r="D118" s="5">
        <f t="shared" si="17"/>
        <v>9</v>
      </c>
      <c r="E118" s="6">
        <v>4</v>
      </c>
      <c r="F118" s="16">
        <v>7</v>
      </c>
      <c r="G118" s="5">
        <f t="shared" si="18"/>
        <v>11</v>
      </c>
      <c r="H118" s="7">
        <f t="shared" si="19"/>
        <v>20</v>
      </c>
    </row>
    <row r="119" spans="1:8" ht="15" customHeight="1" x14ac:dyDescent="0.25">
      <c r="A119" s="11" t="s">
        <v>110</v>
      </c>
      <c r="B119" s="6">
        <v>4</v>
      </c>
      <c r="C119" s="16">
        <v>4</v>
      </c>
      <c r="D119" s="5">
        <f t="shared" si="17"/>
        <v>8</v>
      </c>
      <c r="E119" s="6">
        <v>1</v>
      </c>
      <c r="F119" s="16">
        <v>6</v>
      </c>
      <c r="G119" s="5">
        <f t="shared" si="18"/>
        <v>7</v>
      </c>
      <c r="H119" s="7">
        <f t="shared" si="19"/>
        <v>15</v>
      </c>
    </row>
    <row r="120" spans="1:8" ht="15" customHeight="1" x14ac:dyDescent="0.25">
      <c r="A120" s="11" t="s">
        <v>155</v>
      </c>
      <c r="B120" s="6">
        <v>0</v>
      </c>
      <c r="C120" s="16">
        <v>0</v>
      </c>
      <c r="D120" s="5">
        <f t="shared" si="17"/>
        <v>0</v>
      </c>
      <c r="E120" s="6">
        <v>1</v>
      </c>
      <c r="F120" s="16">
        <v>0</v>
      </c>
      <c r="G120" s="5">
        <f t="shared" si="18"/>
        <v>1</v>
      </c>
      <c r="H120" s="7">
        <f t="shared" si="19"/>
        <v>1</v>
      </c>
    </row>
    <row r="121" spans="1:8" ht="15" customHeight="1" x14ac:dyDescent="0.25">
      <c r="A121" s="11" t="s">
        <v>111</v>
      </c>
      <c r="B121" s="6">
        <v>2</v>
      </c>
      <c r="C121" s="16">
        <v>0</v>
      </c>
      <c r="D121" s="5">
        <f t="shared" si="17"/>
        <v>2</v>
      </c>
      <c r="E121" s="6">
        <v>0</v>
      </c>
      <c r="F121" s="16">
        <v>6</v>
      </c>
      <c r="G121" s="5">
        <f t="shared" si="18"/>
        <v>6</v>
      </c>
      <c r="H121" s="7">
        <f t="shared" si="19"/>
        <v>8</v>
      </c>
    </row>
    <row r="122" spans="1:8" ht="15" customHeight="1" x14ac:dyDescent="0.25">
      <c r="A122" s="11" t="s">
        <v>112</v>
      </c>
      <c r="B122" s="6">
        <v>0</v>
      </c>
      <c r="C122" s="16">
        <v>0</v>
      </c>
      <c r="D122" s="5">
        <f t="shared" si="17"/>
        <v>0</v>
      </c>
      <c r="E122" s="6">
        <v>1</v>
      </c>
      <c r="F122" s="16">
        <v>0</v>
      </c>
      <c r="G122" s="5">
        <f t="shared" si="18"/>
        <v>1</v>
      </c>
      <c r="H122" s="7">
        <f t="shared" si="19"/>
        <v>1</v>
      </c>
    </row>
    <row r="123" spans="1:8" ht="15" customHeight="1" x14ac:dyDescent="0.25">
      <c r="A123" s="11" t="s">
        <v>113</v>
      </c>
      <c r="B123" s="6">
        <v>4</v>
      </c>
      <c r="C123" s="16">
        <v>2</v>
      </c>
      <c r="D123" s="5">
        <f t="shared" si="17"/>
        <v>6</v>
      </c>
      <c r="E123" s="6">
        <v>1</v>
      </c>
      <c r="F123" s="16">
        <v>2</v>
      </c>
      <c r="G123" s="5">
        <f t="shared" si="18"/>
        <v>3</v>
      </c>
      <c r="H123" s="7">
        <f t="shared" si="19"/>
        <v>9</v>
      </c>
    </row>
    <row r="124" spans="1:8" ht="15" customHeight="1" thickBot="1" x14ac:dyDescent="0.3">
      <c r="A124" s="11" t="s">
        <v>114</v>
      </c>
      <c r="B124" s="6">
        <v>2</v>
      </c>
      <c r="C124" s="16">
        <v>0</v>
      </c>
      <c r="D124" s="5">
        <f t="shared" si="17"/>
        <v>2</v>
      </c>
      <c r="E124" s="6">
        <v>2</v>
      </c>
      <c r="F124" s="16">
        <v>3</v>
      </c>
      <c r="G124" s="5">
        <f t="shared" si="18"/>
        <v>5</v>
      </c>
      <c r="H124" s="7">
        <f t="shared" si="19"/>
        <v>7</v>
      </c>
    </row>
    <row r="125" spans="1:8" ht="15" customHeight="1" thickTop="1" thickBot="1" x14ac:dyDescent="0.3">
      <c r="A125" s="12" t="s">
        <v>6</v>
      </c>
      <c r="B125" s="13">
        <f t="shared" ref="B125:H125" si="20">SUM(B96:B124)</f>
        <v>61</v>
      </c>
      <c r="C125" s="13">
        <f t="shared" si="20"/>
        <v>66</v>
      </c>
      <c r="D125" s="13">
        <f t="shared" si="20"/>
        <v>127</v>
      </c>
      <c r="E125" s="13">
        <f t="shared" si="20"/>
        <v>45</v>
      </c>
      <c r="F125" s="13">
        <f t="shared" si="20"/>
        <v>119</v>
      </c>
      <c r="G125" s="13">
        <f t="shared" si="20"/>
        <v>164</v>
      </c>
      <c r="H125" s="15">
        <f t="shared" si="20"/>
        <v>291</v>
      </c>
    </row>
    <row r="126" spans="1:8" ht="15" customHeight="1" thickTop="1" thickBot="1" x14ac:dyDescent="0.3">
      <c r="A126" s="23" t="s">
        <v>115</v>
      </c>
      <c r="B126" s="24"/>
      <c r="C126" s="24"/>
      <c r="D126" s="24"/>
      <c r="E126" s="24"/>
      <c r="F126" s="24"/>
      <c r="G126" s="24"/>
      <c r="H126" s="25"/>
    </row>
    <row r="127" spans="1:8" ht="15" customHeight="1" thickTop="1" x14ac:dyDescent="0.25">
      <c r="A127" s="11" t="s">
        <v>116</v>
      </c>
      <c r="B127" s="6">
        <v>8</v>
      </c>
      <c r="C127" s="16">
        <v>16</v>
      </c>
      <c r="D127" s="5">
        <f t="shared" ref="D127:D128" si="21">B127+C127</f>
        <v>24</v>
      </c>
      <c r="E127" s="6">
        <v>6</v>
      </c>
      <c r="F127" s="16">
        <v>52</v>
      </c>
      <c r="G127" s="5">
        <f t="shared" ref="G127:G128" si="22">E127+F127</f>
        <v>58</v>
      </c>
      <c r="H127" s="7">
        <f t="shared" ref="H127:H128" si="23">G127+D127</f>
        <v>82</v>
      </c>
    </row>
    <row r="128" spans="1:8" ht="15" customHeight="1" thickBot="1" x14ac:dyDescent="0.3">
      <c r="A128" s="11" t="s">
        <v>117</v>
      </c>
      <c r="B128" s="6">
        <v>21</v>
      </c>
      <c r="C128" s="16">
        <v>225</v>
      </c>
      <c r="D128" s="5">
        <f t="shared" si="21"/>
        <v>246</v>
      </c>
      <c r="E128" s="6">
        <v>20</v>
      </c>
      <c r="F128" s="16">
        <v>140</v>
      </c>
      <c r="G128" s="5">
        <f t="shared" si="22"/>
        <v>160</v>
      </c>
      <c r="H128" s="7">
        <f t="shared" si="23"/>
        <v>406</v>
      </c>
    </row>
    <row r="129" spans="1:8" ht="15" customHeight="1" thickTop="1" thickBot="1" x14ac:dyDescent="0.3">
      <c r="A129" s="12" t="s">
        <v>6</v>
      </c>
      <c r="B129" s="13">
        <f>SUM(B127:B128)</f>
        <v>29</v>
      </c>
      <c r="C129" s="13">
        <f t="shared" ref="C129:H129" si="24">SUM(C127:C128)</f>
        <v>241</v>
      </c>
      <c r="D129" s="13">
        <f t="shared" si="24"/>
        <v>270</v>
      </c>
      <c r="E129" s="13">
        <f t="shared" si="24"/>
        <v>26</v>
      </c>
      <c r="F129" s="13">
        <f t="shared" si="24"/>
        <v>192</v>
      </c>
      <c r="G129" s="13">
        <f t="shared" si="24"/>
        <v>218</v>
      </c>
      <c r="H129" s="15">
        <f t="shared" si="24"/>
        <v>488</v>
      </c>
    </row>
    <row r="130" spans="1:8" ht="15" customHeight="1" thickTop="1" thickBot="1" x14ac:dyDescent="0.3">
      <c r="A130" s="23" t="s">
        <v>145</v>
      </c>
      <c r="B130" s="24"/>
      <c r="C130" s="24"/>
      <c r="D130" s="24"/>
      <c r="E130" s="24"/>
      <c r="F130" s="24"/>
      <c r="G130" s="24"/>
      <c r="H130" s="25"/>
    </row>
    <row r="131" spans="1:8" ht="15" customHeight="1" thickTop="1" x14ac:dyDescent="0.25">
      <c r="A131" s="11" t="s">
        <v>118</v>
      </c>
      <c r="B131" s="6">
        <v>0</v>
      </c>
      <c r="C131" s="16">
        <v>0</v>
      </c>
      <c r="D131" s="5">
        <f t="shared" ref="D131:D141" si="25">B131+C131</f>
        <v>0</v>
      </c>
      <c r="E131" s="6">
        <v>0</v>
      </c>
      <c r="F131" s="16">
        <v>3</v>
      </c>
      <c r="G131" s="5">
        <f t="shared" ref="G131:G141" si="26">E131+F131</f>
        <v>3</v>
      </c>
      <c r="H131" s="7">
        <f t="shared" ref="H131:H141" si="27">G131+D131</f>
        <v>3</v>
      </c>
    </row>
    <row r="132" spans="1:8" ht="15" customHeight="1" x14ac:dyDescent="0.25">
      <c r="A132" s="11" t="s">
        <v>119</v>
      </c>
      <c r="B132" s="6">
        <v>0</v>
      </c>
      <c r="C132" s="16">
        <v>1</v>
      </c>
      <c r="D132" s="5">
        <f t="shared" si="25"/>
        <v>1</v>
      </c>
      <c r="E132" s="6">
        <v>0</v>
      </c>
      <c r="F132" s="16">
        <v>1</v>
      </c>
      <c r="G132" s="5">
        <f t="shared" si="26"/>
        <v>1</v>
      </c>
      <c r="H132" s="7">
        <f t="shared" si="27"/>
        <v>2</v>
      </c>
    </row>
    <row r="133" spans="1:8" ht="15" customHeight="1" x14ac:dyDescent="0.25">
      <c r="A133" s="11" t="s">
        <v>120</v>
      </c>
      <c r="B133" s="6">
        <v>0</v>
      </c>
      <c r="C133" s="16">
        <v>1</v>
      </c>
      <c r="D133" s="5">
        <f t="shared" si="25"/>
        <v>1</v>
      </c>
      <c r="E133" s="6">
        <v>0</v>
      </c>
      <c r="F133" s="16">
        <v>0</v>
      </c>
      <c r="G133" s="5">
        <f t="shared" si="26"/>
        <v>0</v>
      </c>
      <c r="H133" s="7">
        <f t="shared" si="27"/>
        <v>1</v>
      </c>
    </row>
    <row r="134" spans="1:8" ht="15" customHeight="1" x14ac:dyDescent="0.25">
      <c r="A134" s="11" t="s">
        <v>121</v>
      </c>
      <c r="B134" s="6">
        <v>0</v>
      </c>
      <c r="C134" s="16">
        <v>0</v>
      </c>
      <c r="D134" s="5">
        <f t="shared" si="25"/>
        <v>0</v>
      </c>
      <c r="E134" s="6">
        <v>0</v>
      </c>
      <c r="F134" s="16">
        <v>1</v>
      </c>
      <c r="G134" s="5">
        <f t="shared" si="26"/>
        <v>1</v>
      </c>
      <c r="H134" s="7">
        <f t="shared" si="27"/>
        <v>1</v>
      </c>
    </row>
    <row r="135" spans="1:8" ht="15" customHeight="1" x14ac:dyDescent="0.25">
      <c r="A135" s="11" t="s">
        <v>156</v>
      </c>
      <c r="B135" s="6">
        <v>0</v>
      </c>
      <c r="C135" s="16">
        <v>0</v>
      </c>
      <c r="D135" s="5">
        <f t="shared" si="25"/>
        <v>0</v>
      </c>
      <c r="E135" s="6">
        <v>0</v>
      </c>
      <c r="F135" s="16">
        <v>1</v>
      </c>
      <c r="G135" s="5">
        <f t="shared" si="26"/>
        <v>1</v>
      </c>
      <c r="H135" s="7">
        <f t="shared" si="27"/>
        <v>1</v>
      </c>
    </row>
    <row r="136" spans="1:8" ht="15" customHeight="1" x14ac:dyDescent="0.25">
      <c r="A136" s="11" t="s">
        <v>189</v>
      </c>
      <c r="B136" s="6">
        <v>0</v>
      </c>
      <c r="C136" s="16">
        <v>0</v>
      </c>
      <c r="D136" s="5">
        <f t="shared" si="25"/>
        <v>0</v>
      </c>
      <c r="E136" s="6">
        <v>0</v>
      </c>
      <c r="F136" s="16">
        <v>1</v>
      </c>
      <c r="G136" s="5">
        <f t="shared" si="26"/>
        <v>1</v>
      </c>
      <c r="H136" s="7">
        <f t="shared" si="27"/>
        <v>1</v>
      </c>
    </row>
    <row r="137" spans="1:8" ht="15" customHeight="1" x14ac:dyDescent="0.25">
      <c r="A137" s="11" t="s">
        <v>157</v>
      </c>
      <c r="B137" s="6">
        <v>0</v>
      </c>
      <c r="C137" s="16">
        <v>0</v>
      </c>
      <c r="D137" s="5">
        <f t="shared" si="25"/>
        <v>0</v>
      </c>
      <c r="E137" s="6">
        <v>0</v>
      </c>
      <c r="F137" s="16">
        <v>1</v>
      </c>
      <c r="G137" s="5">
        <f t="shared" si="26"/>
        <v>1</v>
      </c>
      <c r="H137" s="7">
        <f t="shared" si="27"/>
        <v>1</v>
      </c>
    </row>
    <row r="138" spans="1:8" ht="15" customHeight="1" x14ac:dyDescent="0.25">
      <c r="A138" s="11" t="s">
        <v>123</v>
      </c>
      <c r="B138" s="6">
        <v>1</v>
      </c>
      <c r="C138" s="16">
        <v>2</v>
      </c>
      <c r="D138" s="5">
        <f t="shared" si="25"/>
        <v>3</v>
      </c>
      <c r="E138" s="6">
        <v>0</v>
      </c>
      <c r="F138" s="16">
        <v>5</v>
      </c>
      <c r="G138" s="5">
        <f t="shared" si="26"/>
        <v>5</v>
      </c>
      <c r="H138" s="7">
        <f t="shared" si="27"/>
        <v>8</v>
      </c>
    </row>
    <row r="139" spans="1:8" ht="15" customHeight="1" x14ac:dyDescent="0.25">
      <c r="A139" s="11" t="s">
        <v>238</v>
      </c>
      <c r="B139" s="6">
        <v>0</v>
      </c>
      <c r="C139" s="16">
        <v>0</v>
      </c>
      <c r="D139" s="5">
        <f t="shared" si="25"/>
        <v>0</v>
      </c>
      <c r="E139" s="6">
        <v>0</v>
      </c>
      <c r="F139" s="16">
        <v>1</v>
      </c>
      <c r="G139" s="5">
        <f t="shared" si="26"/>
        <v>1</v>
      </c>
      <c r="H139" s="7">
        <f t="shared" si="27"/>
        <v>1</v>
      </c>
    </row>
    <row r="140" spans="1:8" ht="15" customHeight="1" x14ac:dyDescent="0.25">
      <c r="A140" s="11" t="s">
        <v>124</v>
      </c>
      <c r="B140" s="6">
        <v>0</v>
      </c>
      <c r="C140" s="16">
        <v>2</v>
      </c>
      <c r="D140" s="5">
        <f t="shared" si="25"/>
        <v>2</v>
      </c>
      <c r="E140" s="6">
        <v>0</v>
      </c>
      <c r="F140" s="16">
        <v>0</v>
      </c>
      <c r="G140" s="5">
        <f t="shared" si="26"/>
        <v>0</v>
      </c>
      <c r="H140" s="7">
        <f t="shared" si="27"/>
        <v>2</v>
      </c>
    </row>
    <row r="141" spans="1:8" ht="15" customHeight="1" thickBot="1" x14ac:dyDescent="0.3">
      <c r="A141" s="11" t="s">
        <v>126</v>
      </c>
      <c r="B141" s="6">
        <v>0</v>
      </c>
      <c r="C141" s="16">
        <v>1</v>
      </c>
      <c r="D141" s="5">
        <f t="shared" si="25"/>
        <v>1</v>
      </c>
      <c r="E141" s="6">
        <v>1</v>
      </c>
      <c r="F141" s="16">
        <v>0</v>
      </c>
      <c r="G141" s="5">
        <f t="shared" si="26"/>
        <v>1</v>
      </c>
      <c r="H141" s="7">
        <f t="shared" si="27"/>
        <v>2</v>
      </c>
    </row>
    <row r="142" spans="1:8" ht="15" customHeight="1" thickTop="1" thickBot="1" x14ac:dyDescent="0.3">
      <c r="A142" s="12" t="s">
        <v>6</v>
      </c>
      <c r="B142" s="13">
        <f>SUM(B131:B141)</f>
        <v>1</v>
      </c>
      <c r="C142" s="13">
        <f t="shared" ref="C142:H142" si="28">SUM(C131:C141)</f>
        <v>7</v>
      </c>
      <c r="D142" s="13">
        <f t="shared" si="28"/>
        <v>8</v>
      </c>
      <c r="E142" s="13">
        <f t="shared" si="28"/>
        <v>1</v>
      </c>
      <c r="F142" s="13">
        <f t="shared" si="28"/>
        <v>14</v>
      </c>
      <c r="G142" s="13">
        <f t="shared" si="28"/>
        <v>15</v>
      </c>
      <c r="H142" s="15">
        <f t="shared" si="28"/>
        <v>23</v>
      </c>
    </row>
    <row r="143" spans="1:8" ht="15" customHeight="1" thickTop="1" thickBot="1" x14ac:dyDescent="0.3">
      <c r="A143" s="23" t="s">
        <v>127</v>
      </c>
      <c r="B143" s="24"/>
      <c r="C143" s="24"/>
      <c r="D143" s="24"/>
      <c r="E143" s="24"/>
      <c r="F143" s="24"/>
      <c r="G143" s="24"/>
      <c r="H143" s="25"/>
    </row>
    <row r="144" spans="1:8" ht="15" customHeight="1" thickTop="1" x14ac:dyDescent="0.25">
      <c r="A144" s="11" t="s">
        <v>128</v>
      </c>
      <c r="B144" s="6">
        <v>1</v>
      </c>
      <c r="C144" s="16">
        <v>1</v>
      </c>
      <c r="D144" s="5">
        <f t="shared" ref="D144:D158" si="29">B144+C144</f>
        <v>2</v>
      </c>
      <c r="E144" s="6">
        <v>0</v>
      </c>
      <c r="F144" s="16">
        <v>9</v>
      </c>
      <c r="G144" s="5">
        <f t="shared" ref="G144:G158" si="30">E144+F144</f>
        <v>9</v>
      </c>
      <c r="H144" s="7">
        <f t="shared" ref="H144:H159" si="31">G144+D144</f>
        <v>11</v>
      </c>
    </row>
    <row r="145" spans="1:8" ht="15" customHeight="1" x14ac:dyDescent="0.25">
      <c r="A145" s="11" t="s">
        <v>129</v>
      </c>
      <c r="B145" s="6">
        <v>0</v>
      </c>
      <c r="C145" s="16">
        <v>0</v>
      </c>
      <c r="D145" s="5">
        <f t="shared" si="29"/>
        <v>0</v>
      </c>
      <c r="E145" s="6">
        <v>0</v>
      </c>
      <c r="F145" s="16">
        <v>1</v>
      </c>
      <c r="G145" s="5">
        <f t="shared" si="30"/>
        <v>1</v>
      </c>
      <c r="H145" s="7">
        <f t="shared" si="31"/>
        <v>1</v>
      </c>
    </row>
    <row r="146" spans="1:8" ht="15" customHeight="1" x14ac:dyDescent="0.25">
      <c r="A146" s="11" t="s">
        <v>215</v>
      </c>
      <c r="B146" s="6">
        <v>1</v>
      </c>
      <c r="C146" s="16">
        <v>0</v>
      </c>
      <c r="D146" s="5">
        <f t="shared" si="29"/>
        <v>1</v>
      </c>
      <c r="E146" s="6">
        <v>0</v>
      </c>
      <c r="F146" s="16">
        <v>0</v>
      </c>
      <c r="G146" s="5">
        <f t="shared" si="30"/>
        <v>0</v>
      </c>
      <c r="H146" s="7">
        <f t="shared" si="31"/>
        <v>1</v>
      </c>
    </row>
    <row r="147" spans="1:8" ht="15" customHeight="1" x14ac:dyDescent="0.25">
      <c r="A147" s="11" t="s">
        <v>130</v>
      </c>
      <c r="B147" s="6">
        <v>3</v>
      </c>
      <c r="C147" s="16">
        <v>5</v>
      </c>
      <c r="D147" s="5">
        <f t="shared" si="29"/>
        <v>8</v>
      </c>
      <c r="E147" s="6">
        <v>6</v>
      </c>
      <c r="F147" s="16">
        <v>24</v>
      </c>
      <c r="G147" s="5">
        <f t="shared" si="30"/>
        <v>30</v>
      </c>
      <c r="H147" s="7">
        <f t="shared" si="31"/>
        <v>38</v>
      </c>
    </row>
    <row r="148" spans="1:8" ht="15" customHeight="1" x14ac:dyDescent="0.25">
      <c r="A148" s="11" t="s">
        <v>131</v>
      </c>
      <c r="B148" s="6">
        <v>1</v>
      </c>
      <c r="C148" s="16">
        <v>2</v>
      </c>
      <c r="D148" s="5">
        <f t="shared" si="29"/>
        <v>3</v>
      </c>
      <c r="E148" s="6">
        <v>1</v>
      </c>
      <c r="F148" s="16">
        <v>4</v>
      </c>
      <c r="G148" s="5">
        <f t="shared" si="30"/>
        <v>5</v>
      </c>
      <c r="H148" s="7">
        <f t="shared" si="31"/>
        <v>8</v>
      </c>
    </row>
    <row r="149" spans="1:8" ht="15" customHeight="1" x14ac:dyDescent="0.25">
      <c r="A149" s="11" t="s">
        <v>132</v>
      </c>
      <c r="B149" s="6">
        <v>1</v>
      </c>
      <c r="C149" s="16">
        <v>1</v>
      </c>
      <c r="D149" s="5">
        <f t="shared" si="29"/>
        <v>2</v>
      </c>
      <c r="E149" s="6">
        <v>2</v>
      </c>
      <c r="F149" s="16">
        <v>9</v>
      </c>
      <c r="G149" s="5">
        <f t="shared" si="30"/>
        <v>11</v>
      </c>
      <c r="H149" s="7">
        <f t="shared" si="31"/>
        <v>13</v>
      </c>
    </row>
    <row r="150" spans="1:8" ht="15" customHeight="1" x14ac:dyDescent="0.25">
      <c r="A150" s="11" t="s">
        <v>197</v>
      </c>
      <c r="B150" s="6">
        <v>0</v>
      </c>
      <c r="C150" s="16">
        <v>1</v>
      </c>
      <c r="D150" s="5">
        <f t="shared" ref="D150:D154" si="32">B150+C150</f>
        <v>1</v>
      </c>
      <c r="E150" s="6">
        <v>0</v>
      </c>
      <c r="F150" s="16">
        <v>0</v>
      </c>
      <c r="G150" s="5">
        <f t="shared" ref="G150:G154" si="33">E150+F150</f>
        <v>0</v>
      </c>
      <c r="H150" s="7">
        <f t="shared" ref="H150:H154" si="34">G150+D150</f>
        <v>1</v>
      </c>
    </row>
    <row r="151" spans="1:8" ht="15" customHeight="1" x14ac:dyDescent="0.25">
      <c r="A151" s="11" t="s">
        <v>216</v>
      </c>
      <c r="B151" s="6">
        <v>0</v>
      </c>
      <c r="C151" s="16">
        <v>0</v>
      </c>
      <c r="D151" s="5">
        <f t="shared" si="32"/>
        <v>0</v>
      </c>
      <c r="E151" s="6">
        <v>0</v>
      </c>
      <c r="F151" s="16">
        <v>1</v>
      </c>
      <c r="G151" s="5">
        <f t="shared" si="33"/>
        <v>1</v>
      </c>
      <c r="H151" s="7">
        <f t="shared" si="34"/>
        <v>1</v>
      </c>
    </row>
    <row r="152" spans="1:8" ht="15" customHeight="1" x14ac:dyDescent="0.25">
      <c r="A152" s="11" t="s">
        <v>133</v>
      </c>
      <c r="B152" s="6">
        <v>0</v>
      </c>
      <c r="C152" s="16">
        <v>0</v>
      </c>
      <c r="D152" s="5">
        <f t="shared" si="32"/>
        <v>0</v>
      </c>
      <c r="E152" s="6">
        <v>0</v>
      </c>
      <c r="F152" s="16">
        <v>1</v>
      </c>
      <c r="G152" s="5">
        <f t="shared" si="33"/>
        <v>1</v>
      </c>
      <c r="H152" s="7">
        <f t="shared" si="34"/>
        <v>1</v>
      </c>
    </row>
    <row r="153" spans="1:8" ht="15" customHeight="1" x14ac:dyDescent="0.25">
      <c r="A153" s="11" t="s">
        <v>134</v>
      </c>
      <c r="B153" s="6">
        <v>0</v>
      </c>
      <c r="C153" s="16">
        <v>3</v>
      </c>
      <c r="D153" s="5">
        <f t="shared" si="32"/>
        <v>3</v>
      </c>
      <c r="E153" s="6">
        <v>1</v>
      </c>
      <c r="F153" s="16">
        <v>0</v>
      </c>
      <c r="G153" s="5">
        <f t="shared" si="33"/>
        <v>1</v>
      </c>
      <c r="H153" s="7">
        <f t="shared" si="34"/>
        <v>4</v>
      </c>
    </row>
    <row r="154" spans="1:8" ht="15" customHeight="1" x14ac:dyDescent="0.25">
      <c r="A154" s="11" t="s">
        <v>135</v>
      </c>
      <c r="B154" s="6">
        <v>0</v>
      </c>
      <c r="C154" s="16">
        <v>2</v>
      </c>
      <c r="D154" s="5">
        <f t="shared" si="32"/>
        <v>2</v>
      </c>
      <c r="E154" s="6">
        <v>0</v>
      </c>
      <c r="F154" s="16">
        <v>27</v>
      </c>
      <c r="G154" s="5">
        <f t="shared" si="33"/>
        <v>27</v>
      </c>
      <c r="H154" s="7">
        <f t="shared" si="34"/>
        <v>29</v>
      </c>
    </row>
    <row r="155" spans="1:8" ht="15" customHeight="1" x14ac:dyDescent="0.25">
      <c r="A155" s="11" t="s">
        <v>201</v>
      </c>
      <c r="B155" s="6">
        <v>0</v>
      </c>
      <c r="C155" s="16">
        <v>0</v>
      </c>
      <c r="D155" s="5">
        <f t="shared" si="29"/>
        <v>0</v>
      </c>
      <c r="E155" s="6">
        <v>0</v>
      </c>
      <c r="F155" s="16">
        <v>2</v>
      </c>
      <c r="G155" s="5">
        <f t="shared" si="30"/>
        <v>2</v>
      </c>
      <c r="H155" s="7">
        <f t="shared" si="31"/>
        <v>2</v>
      </c>
    </row>
    <row r="156" spans="1:8" ht="15" customHeight="1" x14ac:dyDescent="0.25">
      <c r="A156" s="11" t="s">
        <v>136</v>
      </c>
      <c r="B156" s="6">
        <v>0</v>
      </c>
      <c r="C156" s="16">
        <v>3</v>
      </c>
      <c r="D156" s="5">
        <f t="shared" si="29"/>
        <v>3</v>
      </c>
      <c r="E156" s="6">
        <v>0</v>
      </c>
      <c r="F156" s="16">
        <v>4</v>
      </c>
      <c r="G156" s="5">
        <f t="shared" si="30"/>
        <v>4</v>
      </c>
      <c r="H156" s="7">
        <f t="shared" si="31"/>
        <v>7</v>
      </c>
    </row>
    <row r="157" spans="1:8" ht="15" customHeight="1" x14ac:dyDescent="0.25">
      <c r="A157" s="11" t="s">
        <v>233</v>
      </c>
      <c r="B157" s="6">
        <v>1</v>
      </c>
      <c r="C157" s="16">
        <v>1</v>
      </c>
      <c r="D157" s="5">
        <f t="shared" si="29"/>
        <v>2</v>
      </c>
      <c r="E157" s="6">
        <v>0</v>
      </c>
      <c r="F157" s="16">
        <v>0</v>
      </c>
      <c r="G157" s="5">
        <f t="shared" si="30"/>
        <v>0</v>
      </c>
      <c r="H157" s="7">
        <f t="shared" si="31"/>
        <v>2</v>
      </c>
    </row>
    <row r="158" spans="1:8" ht="15" customHeight="1" thickBot="1" x14ac:dyDescent="0.3">
      <c r="A158" s="11" t="s">
        <v>203</v>
      </c>
      <c r="B158" s="6">
        <v>0</v>
      </c>
      <c r="C158" s="16">
        <v>3</v>
      </c>
      <c r="D158" s="5">
        <f t="shared" si="29"/>
        <v>3</v>
      </c>
      <c r="E158" s="6">
        <v>0</v>
      </c>
      <c r="F158" s="16">
        <v>7</v>
      </c>
      <c r="G158" s="5">
        <f t="shared" si="30"/>
        <v>7</v>
      </c>
      <c r="H158" s="7">
        <f t="shared" si="31"/>
        <v>10</v>
      </c>
    </row>
    <row r="159" spans="1:8" ht="15" customHeight="1" thickTop="1" thickBot="1" x14ac:dyDescent="0.3">
      <c r="A159" s="12" t="s">
        <v>6</v>
      </c>
      <c r="B159" s="14">
        <f>SUM(B144:B158)</f>
        <v>8</v>
      </c>
      <c r="C159" s="14">
        <f t="shared" ref="C159:H159" si="35">SUM(C144:C158)</f>
        <v>22</v>
      </c>
      <c r="D159" s="14">
        <f t="shared" si="35"/>
        <v>30</v>
      </c>
      <c r="E159" s="14">
        <f t="shared" si="35"/>
        <v>10</v>
      </c>
      <c r="F159" s="14">
        <f t="shared" si="35"/>
        <v>89</v>
      </c>
      <c r="G159" s="14">
        <f t="shared" si="35"/>
        <v>99</v>
      </c>
      <c r="H159" s="46">
        <f t="shared" si="35"/>
        <v>129</v>
      </c>
    </row>
    <row r="160" spans="1:8" ht="15" customHeight="1" thickTop="1" thickBot="1" x14ac:dyDescent="0.3">
      <c r="A160" s="23" t="s">
        <v>138</v>
      </c>
      <c r="B160" s="24"/>
      <c r="C160" s="24"/>
      <c r="D160" s="24"/>
      <c r="E160" s="24"/>
      <c r="F160" s="24"/>
      <c r="G160" s="24"/>
      <c r="H160" s="25"/>
    </row>
    <row r="161" spans="1:8" ht="15" customHeight="1" thickTop="1" x14ac:dyDescent="0.25">
      <c r="A161" s="11" t="s">
        <v>139</v>
      </c>
      <c r="B161" s="6">
        <v>16</v>
      </c>
      <c r="C161" s="16">
        <v>10</v>
      </c>
      <c r="D161" s="5">
        <f t="shared" ref="D161:D162" si="36">B161+C161</f>
        <v>26</v>
      </c>
      <c r="E161" s="6">
        <v>14</v>
      </c>
      <c r="F161" s="16">
        <v>15</v>
      </c>
      <c r="G161" s="5">
        <f t="shared" ref="G161:G162" si="37">E161+F161</f>
        <v>29</v>
      </c>
      <c r="H161" s="7">
        <f t="shared" ref="H161:H162" si="38">G161+D161</f>
        <v>55</v>
      </c>
    </row>
    <row r="162" spans="1:8" ht="15" customHeight="1" thickBot="1" x14ac:dyDescent="0.3">
      <c r="A162" s="11" t="s">
        <v>141</v>
      </c>
      <c r="B162" s="6">
        <v>3</v>
      </c>
      <c r="C162" s="16">
        <v>1</v>
      </c>
      <c r="D162" s="5">
        <f t="shared" si="36"/>
        <v>4</v>
      </c>
      <c r="E162" s="6">
        <v>5</v>
      </c>
      <c r="F162" s="16">
        <v>10</v>
      </c>
      <c r="G162" s="5">
        <f t="shared" si="37"/>
        <v>15</v>
      </c>
      <c r="H162" s="7">
        <f t="shared" si="38"/>
        <v>19</v>
      </c>
    </row>
    <row r="163" spans="1:8" ht="15" customHeight="1" thickTop="1" thickBot="1" x14ac:dyDescent="0.3">
      <c r="A163" s="12" t="s">
        <v>6</v>
      </c>
      <c r="B163" s="13">
        <f t="shared" ref="B163:H163" si="39">SUM(B161:B162)</f>
        <v>19</v>
      </c>
      <c r="C163" s="13">
        <f t="shared" si="39"/>
        <v>11</v>
      </c>
      <c r="D163" s="13">
        <f t="shared" si="39"/>
        <v>30</v>
      </c>
      <c r="E163" s="13">
        <f t="shared" si="39"/>
        <v>19</v>
      </c>
      <c r="F163" s="13">
        <f t="shared" si="39"/>
        <v>25</v>
      </c>
      <c r="G163" s="13">
        <f t="shared" si="39"/>
        <v>44</v>
      </c>
      <c r="H163" s="15">
        <f t="shared" si="39"/>
        <v>74</v>
      </c>
    </row>
    <row r="164" spans="1:8" ht="15" customHeight="1" thickTop="1" thickBot="1" x14ac:dyDescent="0.3">
      <c r="A164" s="23" t="s">
        <v>146</v>
      </c>
      <c r="B164" s="24"/>
      <c r="C164" s="24"/>
      <c r="D164" s="24"/>
      <c r="E164" s="24"/>
      <c r="F164" s="24"/>
      <c r="G164" s="24"/>
      <c r="H164" s="25"/>
    </row>
    <row r="165" spans="1:8" ht="15" customHeight="1" thickTop="1" x14ac:dyDescent="0.25">
      <c r="A165" s="11" t="s">
        <v>206</v>
      </c>
      <c r="B165" s="6">
        <v>5</v>
      </c>
      <c r="C165" s="16">
        <v>1</v>
      </c>
      <c r="D165" s="5">
        <f t="shared" ref="D165:D166" si="40">B165+C165</f>
        <v>6</v>
      </c>
      <c r="E165" s="6">
        <v>87</v>
      </c>
      <c r="F165" s="16">
        <v>3</v>
      </c>
      <c r="G165" s="5">
        <f t="shared" ref="G165:G166" si="41">E165+F165</f>
        <v>90</v>
      </c>
      <c r="H165" s="7">
        <f t="shared" ref="H165:H166" si="42">G165+D165</f>
        <v>96</v>
      </c>
    </row>
    <row r="166" spans="1:8" ht="15" customHeight="1" thickBot="1" x14ac:dyDescent="0.3">
      <c r="A166" s="11" t="s">
        <v>205</v>
      </c>
      <c r="B166" s="6">
        <v>0</v>
      </c>
      <c r="C166" s="16">
        <v>0</v>
      </c>
      <c r="D166" s="5">
        <f t="shared" si="40"/>
        <v>0</v>
      </c>
      <c r="E166" s="6">
        <v>0</v>
      </c>
      <c r="F166" s="16">
        <v>0</v>
      </c>
      <c r="G166" s="5">
        <f t="shared" si="41"/>
        <v>0</v>
      </c>
      <c r="H166" s="7">
        <f t="shared" si="42"/>
        <v>0</v>
      </c>
    </row>
    <row r="167" spans="1:8" ht="15" customHeight="1" thickTop="1" thickBot="1" x14ac:dyDescent="0.3">
      <c r="A167" s="12" t="s">
        <v>6</v>
      </c>
      <c r="B167" s="13">
        <f>SUM(B165:B166)</f>
        <v>5</v>
      </c>
      <c r="C167" s="13">
        <f t="shared" ref="C167:H167" si="43">SUM(C165:C166)</f>
        <v>1</v>
      </c>
      <c r="D167" s="13">
        <f t="shared" si="43"/>
        <v>6</v>
      </c>
      <c r="E167" s="13">
        <f t="shared" si="43"/>
        <v>87</v>
      </c>
      <c r="F167" s="13">
        <f t="shared" si="43"/>
        <v>3</v>
      </c>
      <c r="G167" s="13">
        <f t="shared" si="43"/>
        <v>90</v>
      </c>
      <c r="H167" s="15">
        <f t="shared" si="43"/>
        <v>96</v>
      </c>
    </row>
    <row r="168" spans="1:8" ht="15" customHeight="1" thickTop="1" thickBot="1" x14ac:dyDescent="0.3">
      <c r="A168" s="23"/>
      <c r="B168" s="24"/>
      <c r="C168" s="24"/>
      <c r="D168" s="24"/>
      <c r="E168" s="24"/>
      <c r="F168" s="24"/>
      <c r="G168" s="24"/>
      <c r="H168" s="25"/>
    </row>
    <row r="169" spans="1:8" ht="15" customHeight="1" thickTop="1" thickBot="1" x14ac:dyDescent="0.3">
      <c r="A169" s="43" t="s">
        <v>0</v>
      </c>
      <c r="B169" s="44">
        <f>B22+B49+B64+B94+B125+B129+B142+B159+B163+B167</f>
        <v>1286</v>
      </c>
      <c r="C169" s="44">
        <f t="shared" ref="C169:H169" si="44">C22+C49+C64+C94+C125+C129+C142+C159+C163+C167</f>
        <v>1069</v>
      </c>
      <c r="D169" s="44">
        <f t="shared" si="44"/>
        <v>2355</v>
      </c>
      <c r="E169" s="44">
        <f t="shared" si="44"/>
        <v>1250</v>
      </c>
      <c r="F169" s="44">
        <f t="shared" si="44"/>
        <v>1089</v>
      </c>
      <c r="G169" s="44">
        <f t="shared" si="44"/>
        <v>2339</v>
      </c>
      <c r="H169" s="45">
        <f t="shared" si="44"/>
        <v>4694</v>
      </c>
    </row>
    <row r="171" spans="1:8" ht="15" customHeight="1" x14ac:dyDescent="0.25">
      <c r="A171" s="47" t="s">
        <v>147</v>
      </c>
      <c r="B171" s="47"/>
      <c r="C171" s="47"/>
      <c r="D171" s="47"/>
      <c r="E171" s="47"/>
      <c r="F171" s="47"/>
      <c r="G171" s="47"/>
      <c r="H171" s="47"/>
    </row>
    <row r="172" spans="1:8" ht="15" customHeight="1" x14ac:dyDescent="0.25">
      <c r="A172" s="47" t="s">
        <v>218</v>
      </c>
      <c r="B172" s="47"/>
      <c r="C172" s="47"/>
      <c r="D172" s="47"/>
      <c r="E172" s="47"/>
      <c r="F172" s="47"/>
      <c r="G172" s="47"/>
      <c r="H172" s="47"/>
    </row>
    <row r="175" spans="1:8" ht="25.5" customHeight="1" x14ac:dyDescent="0.25"/>
    <row r="176" spans="1:8" ht="25.5" customHeight="1" x14ac:dyDescent="0.25"/>
  </sheetData>
  <mergeCells count="18">
    <mergeCell ref="A171:H171"/>
    <mergeCell ref="A172:H172"/>
    <mergeCell ref="H5:H6"/>
    <mergeCell ref="A2:H2"/>
    <mergeCell ref="B5:D5"/>
    <mergeCell ref="E5:G5"/>
    <mergeCell ref="A7:H7"/>
    <mergeCell ref="A23:H23"/>
    <mergeCell ref="A164:H164"/>
    <mergeCell ref="A5:A6"/>
    <mergeCell ref="A65:H65"/>
    <mergeCell ref="A95:H95"/>
    <mergeCell ref="A126:H126"/>
    <mergeCell ref="A130:H130"/>
    <mergeCell ref="A143:H143"/>
    <mergeCell ref="A160:H160"/>
    <mergeCell ref="A50:H50"/>
    <mergeCell ref="A168:H168"/>
  </mergeCells>
  <pageMargins left="0.7" right="0.7" top="0.75" bottom="0.75" header="0.3" footer="0.3"/>
  <pageSetup paperSize="9" orientation="portrait" r:id="rId1"/>
  <headerFooter>
    <oddHeader>&amp;CUCL Student Data Statistics</oddHeader>
    <oddFooter>&amp;L&amp;F - &amp;A&amp;RPage &amp;P of &amp;N</oddFooter>
  </headerFooter>
  <rowBreaks count="2" manualBreakCount="2">
    <brk id="49" max="16383" man="1"/>
    <brk id="94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6"/>
  <sheetViews>
    <sheetView view="pageLayout" topLeftCell="A111" zoomScale="85" zoomScaleNormal="100" zoomScalePageLayoutView="85" workbookViewId="0">
      <selection activeCell="A178" sqref="A178"/>
    </sheetView>
  </sheetViews>
  <sheetFormatPr defaultColWidth="9.140625" defaultRowHeight="15" customHeight="1" x14ac:dyDescent="0.25"/>
  <cols>
    <col min="1" max="1" width="27.42578125" bestFit="1" customWidth="1"/>
    <col min="2" max="8" width="6" customWidth="1"/>
    <col min="9" max="11" width="5.5703125" customWidth="1"/>
  </cols>
  <sheetData>
    <row r="1" spans="1:9" ht="15" customHeight="1" x14ac:dyDescent="0.25">
      <c r="A1" s="1" t="s">
        <v>7</v>
      </c>
      <c r="B1" s="3"/>
    </row>
    <row r="2" spans="1:9" ht="15" customHeight="1" x14ac:dyDescent="0.25">
      <c r="A2" s="31" t="s">
        <v>8</v>
      </c>
      <c r="B2" s="31"/>
      <c r="C2" s="31"/>
      <c r="D2" s="31"/>
      <c r="E2" s="31"/>
      <c r="F2" s="31"/>
      <c r="G2" s="31"/>
      <c r="H2" s="31"/>
    </row>
    <row r="3" spans="1:9" ht="15" customHeight="1" x14ac:dyDescent="0.25">
      <c r="A3" s="2" t="str">
        <f ca="1">RIGHT(CELL("filename",A1),LEN(CELL("filename",A1))-FIND("]",CELL("filename",A1)))</f>
        <v>1997-98</v>
      </c>
      <c r="B3" s="3"/>
    </row>
    <row r="4" spans="1:9" ht="15" customHeight="1" thickBot="1" x14ac:dyDescent="0.3">
      <c r="A4" s="3"/>
      <c r="B4" s="3"/>
    </row>
    <row r="5" spans="1:9" ht="15" customHeight="1" x14ac:dyDescent="0.25">
      <c r="A5" s="29" t="s">
        <v>3</v>
      </c>
      <c r="B5" s="26" t="s">
        <v>1</v>
      </c>
      <c r="C5" s="27"/>
      <c r="D5" s="27"/>
      <c r="E5" s="26" t="s">
        <v>2</v>
      </c>
      <c r="F5" s="27"/>
      <c r="G5" s="27"/>
      <c r="H5" s="62" t="s">
        <v>0</v>
      </c>
    </row>
    <row r="6" spans="1:9" ht="15" customHeight="1" x14ac:dyDescent="0.25">
      <c r="A6" s="30"/>
      <c r="B6" s="59" t="s">
        <v>4</v>
      </c>
      <c r="C6" s="60" t="s">
        <v>5</v>
      </c>
      <c r="D6" s="61" t="s">
        <v>0</v>
      </c>
      <c r="E6" s="59" t="s">
        <v>4</v>
      </c>
      <c r="F6" s="60" t="s">
        <v>5</v>
      </c>
      <c r="G6" s="61" t="s">
        <v>0</v>
      </c>
      <c r="H6" s="63"/>
      <c r="I6" s="22"/>
    </row>
    <row r="7" spans="1:9" ht="15" customHeight="1" thickBot="1" x14ac:dyDescent="0.3">
      <c r="A7" s="32" t="s">
        <v>9</v>
      </c>
      <c r="B7" s="33"/>
      <c r="C7" s="33"/>
      <c r="D7" s="33"/>
      <c r="E7" s="33"/>
      <c r="F7" s="33"/>
      <c r="G7" s="33"/>
      <c r="H7" s="34"/>
    </row>
    <row r="8" spans="1:9" ht="15" customHeight="1" thickTop="1" x14ac:dyDescent="0.25">
      <c r="A8" s="11" t="s">
        <v>10</v>
      </c>
      <c r="B8" s="6">
        <v>21</v>
      </c>
      <c r="C8" s="4">
        <v>0</v>
      </c>
      <c r="D8" s="5">
        <f t="shared" ref="D8:D45" si="0">B8+C8</f>
        <v>21</v>
      </c>
      <c r="E8" s="6">
        <v>12</v>
      </c>
      <c r="F8" s="4">
        <v>1</v>
      </c>
      <c r="G8" s="5">
        <f t="shared" ref="G8:G46" si="1">E8+F8</f>
        <v>13</v>
      </c>
      <c r="H8" s="7">
        <f t="shared" ref="H8:H10" si="2">G8+D8</f>
        <v>34</v>
      </c>
    </row>
    <row r="9" spans="1:9" ht="15" customHeight="1" x14ac:dyDescent="0.25">
      <c r="A9" s="11" t="s">
        <v>11</v>
      </c>
      <c r="B9" s="6">
        <v>23</v>
      </c>
      <c r="C9" s="4">
        <v>1</v>
      </c>
      <c r="D9" s="5">
        <f t="shared" si="0"/>
        <v>24</v>
      </c>
      <c r="E9" s="6">
        <v>18</v>
      </c>
      <c r="F9" s="4">
        <v>1</v>
      </c>
      <c r="G9" s="5">
        <f t="shared" si="1"/>
        <v>19</v>
      </c>
      <c r="H9" s="7">
        <f t="shared" si="2"/>
        <v>43</v>
      </c>
    </row>
    <row r="10" spans="1:9" ht="15" customHeight="1" x14ac:dyDescent="0.25">
      <c r="A10" s="11" t="s">
        <v>12</v>
      </c>
      <c r="B10" s="6">
        <v>31</v>
      </c>
      <c r="C10" s="4">
        <v>1</v>
      </c>
      <c r="D10" s="5">
        <f t="shared" si="0"/>
        <v>32</v>
      </c>
      <c r="E10" s="6">
        <v>16</v>
      </c>
      <c r="F10" s="4">
        <v>0</v>
      </c>
      <c r="G10" s="5">
        <f t="shared" si="1"/>
        <v>16</v>
      </c>
      <c r="H10" s="7">
        <f t="shared" si="2"/>
        <v>48</v>
      </c>
    </row>
    <row r="11" spans="1:9" ht="15" customHeight="1" x14ac:dyDescent="0.25">
      <c r="A11" s="11" t="s">
        <v>13</v>
      </c>
      <c r="B11" s="6">
        <v>60</v>
      </c>
      <c r="C11" s="4">
        <v>2</v>
      </c>
      <c r="D11" s="5">
        <f t="shared" si="0"/>
        <v>62</v>
      </c>
      <c r="E11" s="6">
        <v>87</v>
      </c>
      <c r="F11" s="4">
        <v>0</v>
      </c>
      <c r="G11" s="5">
        <f t="shared" si="1"/>
        <v>87</v>
      </c>
      <c r="H11" s="7">
        <f t="shared" ref="H11:H46" si="3">G11+D11</f>
        <v>149</v>
      </c>
    </row>
    <row r="12" spans="1:9" ht="15" customHeight="1" x14ac:dyDescent="0.25">
      <c r="A12" s="11" t="s">
        <v>14</v>
      </c>
      <c r="B12" s="6">
        <v>39</v>
      </c>
      <c r="C12" s="4">
        <v>1</v>
      </c>
      <c r="D12" s="5">
        <f t="shared" si="0"/>
        <v>40</v>
      </c>
      <c r="E12" s="6">
        <v>8</v>
      </c>
      <c r="F12" s="4">
        <v>0</v>
      </c>
      <c r="G12" s="5">
        <f t="shared" si="1"/>
        <v>8</v>
      </c>
      <c r="H12" s="7">
        <f t="shared" si="3"/>
        <v>48</v>
      </c>
    </row>
    <row r="13" spans="1:9" ht="15" customHeight="1" x14ac:dyDescent="0.25">
      <c r="A13" s="11" t="s">
        <v>15</v>
      </c>
      <c r="B13" s="6">
        <v>83</v>
      </c>
      <c r="C13" s="4">
        <v>4</v>
      </c>
      <c r="D13" s="5">
        <f t="shared" si="0"/>
        <v>87</v>
      </c>
      <c r="E13" s="6">
        <v>85</v>
      </c>
      <c r="F13" s="4">
        <v>1</v>
      </c>
      <c r="G13" s="5">
        <f t="shared" si="1"/>
        <v>86</v>
      </c>
      <c r="H13" s="7">
        <f t="shared" si="3"/>
        <v>173</v>
      </c>
    </row>
    <row r="14" spans="1:9" ht="15" customHeight="1" x14ac:dyDescent="0.25">
      <c r="A14" s="11" t="s">
        <v>16</v>
      </c>
      <c r="B14" s="6">
        <v>190</v>
      </c>
      <c r="C14" s="4">
        <v>5</v>
      </c>
      <c r="D14" s="5">
        <f t="shared" si="0"/>
        <v>195</v>
      </c>
      <c r="E14" s="6">
        <v>168</v>
      </c>
      <c r="F14" s="4">
        <v>1</v>
      </c>
      <c r="G14" s="5">
        <f t="shared" si="1"/>
        <v>169</v>
      </c>
      <c r="H14" s="7">
        <f t="shared" si="3"/>
        <v>364</v>
      </c>
    </row>
    <row r="15" spans="1:9" ht="15" customHeight="1" x14ac:dyDescent="0.25">
      <c r="A15" s="11" t="s">
        <v>17</v>
      </c>
      <c r="B15" s="6">
        <v>123</v>
      </c>
      <c r="C15" s="4">
        <v>0</v>
      </c>
      <c r="D15" s="5">
        <f t="shared" si="0"/>
        <v>123</v>
      </c>
      <c r="E15" s="6">
        <v>240</v>
      </c>
      <c r="F15" s="4">
        <v>1</v>
      </c>
      <c r="G15" s="5">
        <f t="shared" si="1"/>
        <v>241</v>
      </c>
      <c r="H15" s="7">
        <f t="shared" si="3"/>
        <v>364</v>
      </c>
    </row>
    <row r="16" spans="1:9" ht="15" customHeight="1" x14ac:dyDescent="0.25">
      <c r="A16" s="11" t="s">
        <v>18</v>
      </c>
      <c r="B16" s="6">
        <v>151</v>
      </c>
      <c r="C16" s="4">
        <v>3</v>
      </c>
      <c r="D16" s="5">
        <f t="shared" si="0"/>
        <v>154</v>
      </c>
      <c r="E16" s="6">
        <v>104</v>
      </c>
      <c r="F16" s="4">
        <v>3</v>
      </c>
      <c r="G16" s="5">
        <f t="shared" si="1"/>
        <v>107</v>
      </c>
      <c r="H16" s="7">
        <f t="shared" si="3"/>
        <v>261</v>
      </c>
    </row>
    <row r="17" spans="1:8" ht="15" customHeight="1" x14ac:dyDescent="0.25">
      <c r="A17" s="11" t="s">
        <v>19</v>
      </c>
      <c r="B17" s="6">
        <v>4</v>
      </c>
      <c r="C17" s="4">
        <v>0</v>
      </c>
      <c r="D17" s="5">
        <f t="shared" si="0"/>
        <v>4</v>
      </c>
      <c r="E17" s="6">
        <v>3</v>
      </c>
      <c r="F17" s="4">
        <v>0</v>
      </c>
      <c r="G17" s="5">
        <f t="shared" si="1"/>
        <v>3</v>
      </c>
      <c r="H17" s="7">
        <f t="shared" si="3"/>
        <v>7</v>
      </c>
    </row>
    <row r="18" spans="1:8" ht="15" customHeight="1" x14ac:dyDescent="0.25">
      <c r="A18" s="11" t="s">
        <v>20</v>
      </c>
      <c r="B18" s="6">
        <v>34</v>
      </c>
      <c r="C18" s="4">
        <v>1</v>
      </c>
      <c r="D18" s="5">
        <f t="shared" si="0"/>
        <v>35</v>
      </c>
      <c r="E18" s="6">
        <v>27</v>
      </c>
      <c r="F18" s="4">
        <v>0</v>
      </c>
      <c r="G18" s="5">
        <f t="shared" si="1"/>
        <v>27</v>
      </c>
      <c r="H18" s="7">
        <f t="shared" si="3"/>
        <v>62</v>
      </c>
    </row>
    <row r="19" spans="1:8" ht="15" customHeight="1" x14ac:dyDescent="0.25">
      <c r="A19" s="11" t="s">
        <v>21</v>
      </c>
      <c r="B19" s="6">
        <v>18</v>
      </c>
      <c r="C19" s="4">
        <v>5</v>
      </c>
      <c r="D19" s="5">
        <f t="shared" si="0"/>
        <v>23</v>
      </c>
      <c r="E19" s="6">
        <v>47</v>
      </c>
      <c r="F19" s="4">
        <v>0</v>
      </c>
      <c r="G19" s="5">
        <f t="shared" si="1"/>
        <v>47</v>
      </c>
      <c r="H19" s="7">
        <f t="shared" si="3"/>
        <v>70</v>
      </c>
    </row>
    <row r="20" spans="1:8" ht="15" customHeight="1" x14ac:dyDescent="0.25">
      <c r="A20" s="11" t="s">
        <v>22</v>
      </c>
      <c r="B20" s="6">
        <v>51</v>
      </c>
      <c r="C20" s="4">
        <v>0</v>
      </c>
      <c r="D20" s="5">
        <f t="shared" si="0"/>
        <v>51</v>
      </c>
      <c r="E20" s="6">
        <v>54</v>
      </c>
      <c r="F20" s="4">
        <v>0</v>
      </c>
      <c r="G20" s="5">
        <f t="shared" si="1"/>
        <v>54</v>
      </c>
      <c r="H20" s="7">
        <f t="shared" si="3"/>
        <v>105</v>
      </c>
    </row>
    <row r="21" spans="1:8" ht="15" customHeight="1" thickBot="1" x14ac:dyDescent="0.3">
      <c r="A21" s="11" t="s">
        <v>23</v>
      </c>
      <c r="B21" s="8">
        <v>54</v>
      </c>
      <c r="C21" s="9">
        <v>1</v>
      </c>
      <c r="D21" s="10">
        <f t="shared" si="0"/>
        <v>55</v>
      </c>
      <c r="E21" s="8">
        <v>28</v>
      </c>
      <c r="F21" s="9">
        <v>1</v>
      </c>
      <c r="G21" s="5">
        <f t="shared" si="1"/>
        <v>29</v>
      </c>
      <c r="H21" s="7">
        <f t="shared" si="3"/>
        <v>84</v>
      </c>
    </row>
    <row r="22" spans="1:8" ht="15" customHeight="1" thickTop="1" thickBot="1" x14ac:dyDescent="0.3">
      <c r="A22" s="12" t="s">
        <v>6</v>
      </c>
      <c r="B22" s="13">
        <f t="shared" ref="B22:H22" si="4">SUM(B8:B21)</f>
        <v>882</v>
      </c>
      <c r="C22" s="13">
        <f t="shared" si="4"/>
        <v>24</v>
      </c>
      <c r="D22" s="13">
        <f t="shared" si="4"/>
        <v>906</v>
      </c>
      <c r="E22" s="13">
        <f t="shared" si="4"/>
        <v>897</v>
      </c>
      <c r="F22" s="13">
        <f t="shared" si="4"/>
        <v>9</v>
      </c>
      <c r="G22" s="13">
        <f t="shared" si="4"/>
        <v>906</v>
      </c>
      <c r="H22" s="15">
        <f t="shared" si="4"/>
        <v>1812</v>
      </c>
    </row>
    <row r="23" spans="1:8" ht="15" customHeight="1" thickTop="1" thickBot="1" x14ac:dyDescent="0.3">
      <c r="A23" s="23" t="s">
        <v>24</v>
      </c>
      <c r="B23" s="24"/>
      <c r="C23" s="24"/>
      <c r="D23" s="24"/>
      <c r="E23" s="24"/>
      <c r="F23" s="24"/>
      <c r="G23" s="24"/>
      <c r="H23" s="25"/>
    </row>
    <row r="24" spans="1:8" ht="15" customHeight="1" thickTop="1" x14ac:dyDescent="0.25">
      <c r="A24" s="11" t="s">
        <v>25</v>
      </c>
      <c r="B24" s="6">
        <v>5</v>
      </c>
      <c r="C24" s="16">
        <v>0</v>
      </c>
      <c r="D24" s="5">
        <f t="shared" si="0"/>
        <v>5</v>
      </c>
      <c r="E24" s="6">
        <v>0</v>
      </c>
      <c r="F24" s="16">
        <v>0</v>
      </c>
      <c r="G24" s="5">
        <f t="shared" si="1"/>
        <v>0</v>
      </c>
      <c r="H24" s="7">
        <f t="shared" si="3"/>
        <v>5</v>
      </c>
    </row>
    <row r="25" spans="1:8" ht="15" customHeight="1" x14ac:dyDescent="0.25">
      <c r="A25" s="11" t="s">
        <v>26</v>
      </c>
      <c r="B25" s="6">
        <v>2</v>
      </c>
      <c r="C25" s="16">
        <v>0</v>
      </c>
      <c r="D25" s="5">
        <f t="shared" si="0"/>
        <v>2</v>
      </c>
      <c r="E25" s="6">
        <v>0</v>
      </c>
      <c r="F25" s="16">
        <v>0</v>
      </c>
      <c r="G25" s="5">
        <f t="shared" si="1"/>
        <v>0</v>
      </c>
      <c r="H25" s="7">
        <f t="shared" si="3"/>
        <v>2</v>
      </c>
    </row>
    <row r="26" spans="1:8" ht="15" customHeight="1" x14ac:dyDescent="0.25">
      <c r="A26" s="11" t="s">
        <v>161</v>
      </c>
      <c r="B26" s="6">
        <v>0</v>
      </c>
      <c r="C26" s="16">
        <v>0</v>
      </c>
      <c r="D26" s="5">
        <f t="shared" si="0"/>
        <v>0</v>
      </c>
      <c r="E26" s="6">
        <v>0</v>
      </c>
      <c r="F26" s="16">
        <v>1</v>
      </c>
      <c r="G26" s="5">
        <f t="shared" si="1"/>
        <v>1</v>
      </c>
      <c r="H26" s="7">
        <f t="shared" si="3"/>
        <v>1</v>
      </c>
    </row>
    <row r="27" spans="1:8" ht="15" customHeight="1" x14ac:dyDescent="0.25">
      <c r="A27" s="11" t="s">
        <v>148</v>
      </c>
      <c r="B27" s="6">
        <v>0</v>
      </c>
      <c r="C27" s="16">
        <v>1</v>
      </c>
      <c r="D27" s="5">
        <f t="shared" si="0"/>
        <v>1</v>
      </c>
      <c r="E27" s="6">
        <v>0</v>
      </c>
      <c r="F27" s="16">
        <v>0</v>
      </c>
      <c r="G27" s="5">
        <f t="shared" si="1"/>
        <v>0</v>
      </c>
      <c r="H27" s="7">
        <f t="shared" si="3"/>
        <v>1</v>
      </c>
    </row>
    <row r="28" spans="1:8" ht="15" customHeight="1" x14ac:dyDescent="0.25">
      <c r="A28" s="11" t="s">
        <v>27</v>
      </c>
      <c r="B28" s="6">
        <v>10</v>
      </c>
      <c r="C28" s="16">
        <v>0</v>
      </c>
      <c r="D28" s="5">
        <f t="shared" si="0"/>
        <v>10</v>
      </c>
      <c r="E28" s="6">
        <v>3</v>
      </c>
      <c r="F28" s="16">
        <v>2</v>
      </c>
      <c r="G28" s="5">
        <f t="shared" si="1"/>
        <v>5</v>
      </c>
      <c r="H28" s="7">
        <f t="shared" si="3"/>
        <v>15</v>
      </c>
    </row>
    <row r="29" spans="1:8" ht="15" customHeight="1" x14ac:dyDescent="0.25">
      <c r="A29" s="11" t="s">
        <v>28</v>
      </c>
      <c r="B29" s="6">
        <v>2</v>
      </c>
      <c r="C29" s="16">
        <v>2</v>
      </c>
      <c r="D29" s="5">
        <f t="shared" si="0"/>
        <v>4</v>
      </c>
      <c r="E29" s="6">
        <v>1</v>
      </c>
      <c r="F29" s="16">
        <v>3</v>
      </c>
      <c r="G29" s="5">
        <f t="shared" si="1"/>
        <v>4</v>
      </c>
      <c r="H29" s="7">
        <f t="shared" si="3"/>
        <v>8</v>
      </c>
    </row>
    <row r="30" spans="1:8" ht="15" customHeight="1" x14ac:dyDescent="0.25">
      <c r="A30" s="11" t="s">
        <v>29</v>
      </c>
      <c r="B30" s="6">
        <v>5</v>
      </c>
      <c r="C30" s="16">
        <v>3</v>
      </c>
      <c r="D30" s="5">
        <f t="shared" si="0"/>
        <v>8</v>
      </c>
      <c r="E30" s="6">
        <v>4</v>
      </c>
      <c r="F30" s="16">
        <v>1</v>
      </c>
      <c r="G30" s="5">
        <f t="shared" si="1"/>
        <v>5</v>
      </c>
      <c r="H30" s="7">
        <f t="shared" si="3"/>
        <v>13</v>
      </c>
    </row>
    <row r="31" spans="1:8" ht="15" customHeight="1" x14ac:dyDescent="0.25">
      <c r="A31" s="11" t="s">
        <v>30</v>
      </c>
      <c r="B31" s="6">
        <v>1</v>
      </c>
      <c r="C31" s="16">
        <v>54</v>
      </c>
      <c r="D31" s="5">
        <f t="shared" si="0"/>
        <v>55</v>
      </c>
      <c r="E31" s="6">
        <v>2</v>
      </c>
      <c r="F31" s="16">
        <v>20</v>
      </c>
      <c r="G31" s="5">
        <f t="shared" si="1"/>
        <v>22</v>
      </c>
      <c r="H31" s="7">
        <f t="shared" si="3"/>
        <v>77</v>
      </c>
    </row>
    <row r="32" spans="1:8" ht="15" customHeight="1" x14ac:dyDescent="0.25">
      <c r="A32" s="11" t="s">
        <v>31</v>
      </c>
      <c r="B32" s="6">
        <v>0</v>
      </c>
      <c r="C32" s="16">
        <v>1</v>
      </c>
      <c r="D32" s="5">
        <f t="shared" si="0"/>
        <v>1</v>
      </c>
      <c r="E32" s="6">
        <v>0</v>
      </c>
      <c r="F32" s="16">
        <v>3</v>
      </c>
      <c r="G32" s="5">
        <f t="shared" si="1"/>
        <v>3</v>
      </c>
      <c r="H32" s="7">
        <f t="shared" si="3"/>
        <v>4</v>
      </c>
    </row>
    <row r="33" spans="1:8" ht="15" customHeight="1" x14ac:dyDescent="0.25">
      <c r="A33" s="11" t="s">
        <v>34</v>
      </c>
      <c r="B33" s="6">
        <v>0</v>
      </c>
      <c r="C33" s="16">
        <v>2</v>
      </c>
      <c r="D33" s="5">
        <f t="shared" si="0"/>
        <v>2</v>
      </c>
      <c r="E33" s="6">
        <v>1</v>
      </c>
      <c r="F33" s="16">
        <v>3</v>
      </c>
      <c r="G33" s="5">
        <f t="shared" si="1"/>
        <v>4</v>
      </c>
      <c r="H33" s="7">
        <f t="shared" si="3"/>
        <v>6</v>
      </c>
    </row>
    <row r="34" spans="1:8" ht="15" customHeight="1" x14ac:dyDescent="0.25">
      <c r="A34" s="11" t="s">
        <v>35</v>
      </c>
      <c r="B34" s="6">
        <v>1</v>
      </c>
      <c r="C34" s="16">
        <v>1</v>
      </c>
      <c r="D34" s="5">
        <f t="shared" si="0"/>
        <v>2</v>
      </c>
      <c r="E34" s="6">
        <v>0</v>
      </c>
      <c r="F34" s="16">
        <v>7</v>
      </c>
      <c r="G34" s="5">
        <f t="shared" si="1"/>
        <v>7</v>
      </c>
      <c r="H34" s="7">
        <f t="shared" si="3"/>
        <v>9</v>
      </c>
    </row>
    <row r="35" spans="1:8" ht="15" customHeight="1" x14ac:dyDescent="0.25">
      <c r="A35" s="11" t="s">
        <v>149</v>
      </c>
      <c r="B35" s="6">
        <v>1</v>
      </c>
      <c r="C35" s="16">
        <v>0</v>
      </c>
      <c r="D35" s="5">
        <f t="shared" si="0"/>
        <v>1</v>
      </c>
      <c r="E35" s="6">
        <v>0</v>
      </c>
      <c r="F35" s="16">
        <v>1</v>
      </c>
      <c r="G35" s="5">
        <f t="shared" si="1"/>
        <v>1</v>
      </c>
      <c r="H35" s="7">
        <f t="shared" si="3"/>
        <v>2</v>
      </c>
    </row>
    <row r="36" spans="1:8" ht="15" customHeight="1" x14ac:dyDescent="0.25">
      <c r="A36" s="11" t="s">
        <v>38</v>
      </c>
      <c r="B36" s="6">
        <v>4</v>
      </c>
      <c r="C36" s="16">
        <v>0</v>
      </c>
      <c r="D36" s="5">
        <f t="shared" si="0"/>
        <v>4</v>
      </c>
      <c r="E36" s="6">
        <v>1</v>
      </c>
      <c r="F36" s="16">
        <v>3</v>
      </c>
      <c r="G36" s="5">
        <f t="shared" si="1"/>
        <v>4</v>
      </c>
      <c r="H36" s="7">
        <f t="shared" si="3"/>
        <v>8</v>
      </c>
    </row>
    <row r="37" spans="1:8" ht="15" customHeight="1" x14ac:dyDescent="0.25">
      <c r="A37" s="11" t="s">
        <v>39</v>
      </c>
      <c r="B37" s="6">
        <v>3</v>
      </c>
      <c r="C37" s="16">
        <v>12</v>
      </c>
      <c r="D37" s="5">
        <f t="shared" si="0"/>
        <v>15</v>
      </c>
      <c r="E37" s="6">
        <v>1</v>
      </c>
      <c r="F37" s="16">
        <v>7</v>
      </c>
      <c r="G37" s="5">
        <f t="shared" si="1"/>
        <v>8</v>
      </c>
      <c r="H37" s="7">
        <f t="shared" si="3"/>
        <v>23</v>
      </c>
    </row>
    <row r="38" spans="1:8" ht="15" customHeight="1" x14ac:dyDescent="0.25">
      <c r="A38" s="11" t="s">
        <v>40</v>
      </c>
      <c r="B38" s="6">
        <v>6</v>
      </c>
      <c r="C38" s="16">
        <v>8</v>
      </c>
      <c r="D38" s="5">
        <f t="shared" si="0"/>
        <v>14</v>
      </c>
      <c r="E38" s="6">
        <v>2</v>
      </c>
      <c r="F38" s="16">
        <v>3</v>
      </c>
      <c r="G38" s="5">
        <f t="shared" si="1"/>
        <v>5</v>
      </c>
      <c r="H38" s="7">
        <f t="shared" si="3"/>
        <v>19</v>
      </c>
    </row>
    <row r="39" spans="1:8" ht="15" customHeight="1" x14ac:dyDescent="0.25">
      <c r="A39" s="11" t="s">
        <v>41</v>
      </c>
      <c r="B39" s="6">
        <v>1</v>
      </c>
      <c r="C39" s="16">
        <v>2</v>
      </c>
      <c r="D39" s="5">
        <f t="shared" si="0"/>
        <v>3</v>
      </c>
      <c r="E39" s="6">
        <v>1</v>
      </c>
      <c r="F39" s="16">
        <v>0</v>
      </c>
      <c r="G39" s="5">
        <f t="shared" si="1"/>
        <v>1</v>
      </c>
      <c r="H39" s="7">
        <f t="shared" si="3"/>
        <v>4</v>
      </c>
    </row>
    <row r="40" spans="1:8" ht="15" customHeight="1" x14ac:dyDescent="0.25">
      <c r="A40" s="11" t="s">
        <v>42</v>
      </c>
      <c r="B40" s="6">
        <v>9</v>
      </c>
      <c r="C40" s="16">
        <v>9</v>
      </c>
      <c r="D40" s="5">
        <f t="shared" si="0"/>
        <v>18</v>
      </c>
      <c r="E40" s="6">
        <v>4</v>
      </c>
      <c r="F40" s="16">
        <v>3</v>
      </c>
      <c r="G40" s="5">
        <f t="shared" si="1"/>
        <v>7</v>
      </c>
      <c r="H40" s="7">
        <f t="shared" si="3"/>
        <v>25</v>
      </c>
    </row>
    <row r="41" spans="1:8" ht="15" customHeight="1" x14ac:dyDescent="0.25">
      <c r="A41" s="11" t="s">
        <v>43</v>
      </c>
      <c r="B41" s="6">
        <v>1</v>
      </c>
      <c r="C41" s="16">
        <v>0</v>
      </c>
      <c r="D41" s="5">
        <f t="shared" si="0"/>
        <v>1</v>
      </c>
      <c r="E41" s="6">
        <v>0</v>
      </c>
      <c r="F41" s="16">
        <v>3</v>
      </c>
      <c r="G41" s="5">
        <f t="shared" si="1"/>
        <v>3</v>
      </c>
      <c r="H41" s="7">
        <f t="shared" si="3"/>
        <v>4</v>
      </c>
    </row>
    <row r="42" spans="1:8" ht="15" customHeight="1" x14ac:dyDescent="0.25">
      <c r="A42" s="11" t="s">
        <v>45</v>
      </c>
      <c r="B42" s="6">
        <v>7</v>
      </c>
      <c r="C42" s="16">
        <v>6</v>
      </c>
      <c r="D42" s="5">
        <f t="shared" si="0"/>
        <v>13</v>
      </c>
      <c r="E42" s="6">
        <v>1</v>
      </c>
      <c r="F42" s="16">
        <v>19</v>
      </c>
      <c r="G42" s="5">
        <f t="shared" si="1"/>
        <v>20</v>
      </c>
      <c r="H42" s="7">
        <f t="shared" si="3"/>
        <v>33</v>
      </c>
    </row>
    <row r="43" spans="1:8" ht="15" customHeight="1" x14ac:dyDescent="0.25">
      <c r="A43" s="11" t="s">
        <v>46</v>
      </c>
      <c r="B43" s="6">
        <v>5</v>
      </c>
      <c r="C43" s="16">
        <v>6</v>
      </c>
      <c r="D43" s="5">
        <f t="shared" si="0"/>
        <v>11</v>
      </c>
      <c r="E43" s="6">
        <v>5</v>
      </c>
      <c r="F43" s="16">
        <v>10</v>
      </c>
      <c r="G43" s="5">
        <f t="shared" si="1"/>
        <v>15</v>
      </c>
      <c r="H43" s="7">
        <f t="shared" si="3"/>
        <v>26</v>
      </c>
    </row>
    <row r="44" spans="1:8" ht="15" customHeight="1" x14ac:dyDescent="0.25">
      <c r="A44" s="11" t="s">
        <v>48</v>
      </c>
      <c r="B44" s="6">
        <v>0</v>
      </c>
      <c r="C44" s="16">
        <v>1</v>
      </c>
      <c r="D44" s="5">
        <f t="shared" si="0"/>
        <v>1</v>
      </c>
      <c r="E44" s="6">
        <v>0</v>
      </c>
      <c r="F44" s="16">
        <v>0</v>
      </c>
      <c r="G44" s="5">
        <f t="shared" si="1"/>
        <v>0</v>
      </c>
      <c r="H44" s="7">
        <f t="shared" si="3"/>
        <v>1</v>
      </c>
    </row>
    <row r="45" spans="1:8" ht="15" customHeight="1" thickBot="1" x14ac:dyDescent="0.3">
      <c r="A45" s="11" t="s">
        <v>150</v>
      </c>
      <c r="B45" s="6">
        <v>18</v>
      </c>
      <c r="C45" s="16">
        <v>6</v>
      </c>
      <c r="D45" s="5">
        <f t="shared" si="0"/>
        <v>24</v>
      </c>
      <c r="E45" s="6">
        <v>3</v>
      </c>
      <c r="F45" s="16">
        <v>3</v>
      </c>
      <c r="G45" s="5">
        <f t="shared" si="1"/>
        <v>6</v>
      </c>
      <c r="H45" s="7">
        <f t="shared" si="3"/>
        <v>30</v>
      </c>
    </row>
    <row r="46" spans="1:8" ht="15" customHeight="1" thickTop="1" thickBot="1" x14ac:dyDescent="0.3">
      <c r="A46" s="12" t="s">
        <v>6</v>
      </c>
      <c r="B46" s="13">
        <f>SUM(B24:B45)</f>
        <v>81</v>
      </c>
      <c r="C46" s="13">
        <f>SUM(C24:C45)</f>
        <v>114</v>
      </c>
      <c r="D46" s="13">
        <f>SUM(D24:D45)</f>
        <v>195</v>
      </c>
      <c r="E46" s="13">
        <f>SUM(E24:E45)</f>
        <v>29</v>
      </c>
      <c r="F46" s="13">
        <f>SUM(F24:F45)</f>
        <v>92</v>
      </c>
      <c r="G46" s="14">
        <f t="shared" si="1"/>
        <v>121</v>
      </c>
      <c r="H46" s="15">
        <f t="shared" si="3"/>
        <v>316</v>
      </c>
    </row>
    <row r="47" spans="1:8" ht="15" customHeight="1" thickTop="1" thickBot="1" x14ac:dyDescent="0.3">
      <c r="A47" s="23" t="s">
        <v>49</v>
      </c>
      <c r="B47" s="24"/>
      <c r="C47" s="24"/>
      <c r="D47" s="24"/>
      <c r="E47" s="24"/>
      <c r="F47" s="24"/>
      <c r="G47" s="24"/>
      <c r="H47" s="25"/>
    </row>
    <row r="48" spans="1:8" ht="15" customHeight="1" thickTop="1" x14ac:dyDescent="0.25">
      <c r="A48" s="11" t="s">
        <v>50</v>
      </c>
      <c r="B48" s="6">
        <v>0</v>
      </c>
      <c r="C48" s="16">
        <v>0</v>
      </c>
      <c r="D48" s="5">
        <f t="shared" ref="D48:D60" si="5">B48+C48</f>
        <v>0</v>
      </c>
      <c r="E48" s="6">
        <v>0</v>
      </c>
      <c r="F48" s="16">
        <v>1</v>
      </c>
      <c r="G48" s="5">
        <f t="shared" ref="G48:G60" si="6">E48+F48</f>
        <v>1</v>
      </c>
      <c r="H48" s="7">
        <f t="shared" ref="H48:H60" si="7">G48+D48</f>
        <v>1</v>
      </c>
    </row>
    <row r="49" spans="1:8" ht="15" customHeight="1" x14ac:dyDescent="0.25">
      <c r="A49" s="11" t="s">
        <v>51</v>
      </c>
      <c r="B49" s="6">
        <v>21</v>
      </c>
      <c r="C49" s="16">
        <v>1</v>
      </c>
      <c r="D49" s="5">
        <f t="shared" ref="D49:D61" si="8">B48+C49</f>
        <v>1</v>
      </c>
      <c r="E49" s="6">
        <v>15</v>
      </c>
      <c r="F49" s="16">
        <v>9</v>
      </c>
      <c r="G49" s="5">
        <f t="shared" si="6"/>
        <v>24</v>
      </c>
      <c r="H49" s="7">
        <f t="shared" si="7"/>
        <v>25</v>
      </c>
    </row>
    <row r="50" spans="1:8" ht="15" customHeight="1" x14ac:dyDescent="0.25">
      <c r="A50" s="11" t="s">
        <v>52</v>
      </c>
      <c r="B50" s="6">
        <v>10</v>
      </c>
      <c r="C50" s="16">
        <v>1</v>
      </c>
      <c r="D50" s="5">
        <f t="shared" si="8"/>
        <v>22</v>
      </c>
      <c r="E50" s="6">
        <v>8</v>
      </c>
      <c r="F50" s="16">
        <v>1</v>
      </c>
      <c r="G50" s="5">
        <f t="shared" si="6"/>
        <v>9</v>
      </c>
      <c r="H50" s="7">
        <f t="shared" si="7"/>
        <v>31</v>
      </c>
    </row>
    <row r="51" spans="1:8" ht="15" customHeight="1" x14ac:dyDescent="0.25">
      <c r="A51" s="11" t="s">
        <v>53</v>
      </c>
      <c r="B51" s="6">
        <v>7</v>
      </c>
      <c r="C51" s="16">
        <v>14</v>
      </c>
      <c r="D51" s="5">
        <f t="shared" si="8"/>
        <v>24</v>
      </c>
      <c r="E51" s="6">
        <v>6</v>
      </c>
      <c r="F51" s="16">
        <v>16</v>
      </c>
      <c r="G51" s="5">
        <f t="shared" si="6"/>
        <v>22</v>
      </c>
      <c r="H51" s="7">
        <f t="shared" si="7"/>
        <v>46</v>
      </c>
    </row>
    <row r="52" spans="1:8" ht="15" customHeight="1" x14ac:dyDescent="0.25">
      <c r="A52" s="11" t="s">
        <v>54</v>
      </c>
      <c r="B52" s="6">
        <v>1</v>
      </c>
      <c r="C52" s="16">
        <v>11</v>
      </c>
      <c r="D52" s="5">
        <f t="shared" si="8"/>
        <v>18</v>
      </c>
      <c r="E52" s="6">
        <v>0</v>
      </c>
      <c r="F52" s="16">
        <v>8</v>
      </c>
      <c r="G52" s="5">
        <f t="shared" si="6"/>
        <v>8</v>
      </c>
      <c r="H52" s="7">
        <f t="shared" si="7"/>
        <v>26</v>
      </c>
    </row>
    <row r="53" spans="1:8" ht="15" customHeight="1" x14ac:dyDescent="0.25">
      <c r="A53" s="11" t="s">
        <v>55</v>
      </c>
      <c r="B53" s="6">
        <v>0</v>
      </c>
      <c r="C53" s="16">
        <v>2</v>
      </c>
      <c r="D53" s="5">
        <f t="shared" si="8"/>
        <v>3</v>
      </c>
      <c r="E53" s="6">
        <v>0</v>
      </c>
      <c r="F53" s="16">
        <v>5</v>
      </c>
      <c r="G53" s="5">
        <f t="shared" si="6"/>
        <v>5</v>
      </c>
      <c r="H53" s="7">
        <f t="shared" si="7"/>
        <v>8</v>
      </c>
    </row>
    <row r="54" spans="1:8" ht="15" customHeight="1" x14ac:dyDescent="0.25">
      <c r="A54" s="11" t="s">
        <v>56</v>
      </c>
      <c r="B54" s="6">
        <v>4</v>
      </c>
      <c r="C54" s="16">
        <v>5</v>
      </c>
      <c r="D54" s="5">
        <f t="shared" si="8"/>
        <v>5</v>
      </c>
      <c r="E54" s="6">
        <v>3</v>
      </c>
      <c r="F54" s="16">
        <v>4</v>
      </c>
      <c r="G54" s="5">
        <f t="shared" si="6"/>
        <v>7</v>
      </c>
      <c r="H54" s="7">
        <f t="shared" si="7"/>
        <v>12</v>
      </c>
    </row>
    <row r="55" spans="1:8" ht="15" customHeight="1" x14ac:dyDescent="0.25">
      <c r="A55" s="11" t="s">
        <v>57</v>
      </c>
      <c r="B55" s="6">
        <v>0</v>
      </c>
      <c r="C55" s="16">
        <v>1</v>
      </c>
      <c r="D55" s="5">
        <f t="shared" si="8"/>
        <v>5</v>
      </c>
      <c r="E55" s="6">
        <v>0</v>
      </c>
      <c r="F55" s="16">
        <v>1</v>
      </c>
      <c r="G55" s="5">
        <f t="shared" si="6"/>
        <v>1</v>
      </c>
      <c r="H55" s="7">
        <f t="shared" si="7"/>
        <v>6</v>
      </c>
    </row>
    <row r="56" spans="1:8" ht="15" customHeight="1" x14ac:dyDescent="0.25">
      <c r="A56" s="11" t="s">
        <v>171</v>
      </c>
      <c r="B56" s="6">
        <v>0</v>
      </c>
      <c r="C56" s="16">
        <v>0</v>
      </c>
      <c r="D56" s="5">
        <f t="shared" si="8"/>
        <v>0</v>
      </c>
      <c r="E56" s="6">
        <v>0</v>
      </c>
      <c r="F56" s="16">
        <v>1</v>
      </c>
      <c r="G56" s="5">
        <f t="shared" si="6"/>
        <v>1</v>
      </c>
      <c r="H56" s="7">
        <f t="shared" si="7"/>
        <v>1</v>
      </c>
    </row>
    <row r="57" spans="1:8" ht="15" customHeight="1" x14ac:dyDescent="0.25">
      <c r="A57" s="11" t="s">
        <v>58</v>
      </c>
      <c r="B57" s="6">
        <v>1</v>
      </c>
      <c r="C57" s="16">
        <v>1</v>
      </c>
      <c r="D57" s="5">
        <f t="shared" si="8"/>
        <v>1</v>
      </c>
      <c r="E57" s="6">
        <v>0</v>
      </c>
      <c r="F57" s="16">
        <v>12</v>
      </c>
      <c r="G57" s="5">
        <f t="shared" si="6"/>
        <v>12</v>
      </c>
      <c r="H57" s="7">
        <f t="shared" si="7"/>
        <v>13</v>
      </c>
    </row>
    <row r="58" spans="1:8" ht="15" customHeight="1" x14ac:dyDescent="0.25">
      <c r="A58" s="11" t="s">
        <v>59</v>
      </c>
      <c r="B58" s="6">
        <v>0</v>
      </c>
      <c r="C58" s="16">
        <v>0</v>
      </c>
      <c r="D58" s="5">
        <f t="shared" si="8"/>
        <v>1</v>
      </c>
      <c r="E58" s="6">
        <v>0</v>
      </c>
      <c r="F58" s="16">
        <v>1</v>
      </c>
      <c r="G58" s="5">
        <f t="shared" si="6"/>
        <v>1</v>
      </c>
      <c r="H58" s="7">
        <f t="shared" si="7"/>
        <v>2</v>
      </c>
    </row>
    <row r="59" spans="1:8" ht="15" customHeight="1" x14ac:dyDescent="0.25">
      <c r="A59" s="11" t="s">
        <v>60</v>
      </c>
      <c r="B59" s="6">
        <v>1</v>
      </c>
      <c r="C59" s="16">
        <v>0</v>
      </c>
      <c r="D59" s="5">
        <f t="shared" si="8"/>
        <v>0</v>
      </c>
      <c r="E59" s="6">
        <v>0</v>
      </c>
      <c r="F59" s="16">
        <v>0</v>
      </c>
      <c r="G59" s="5">
        <f t="shared" si="6"/>
        <v>0</v>
      </c>
      <c r="H59" s="7">
        <f t="shared" si="7"/>
        <v>0</v>
      </c>
    </row>
    <row r="60" spans="1:8" ht="15" customHeight="1" x14ac:dyDescent="0.25">
      <c r="A60" s="11" t="s">
        <v>61</v>
      </c>
      <c r="B60" s="6">
        <v>0</v>
      </c>
      <c r="C60" s="16">
        <v>3</v>
      </c>
      <c r="D60" s="5">
        <f t="shared" si="8"/>
        <v>4</v>
      </c>
      <c r="E60" s="6">
        <v>0</v>
      </c>
      <c r="F60" s="16">
        <v>2</v>
      </c>
      <c r="G60" s="5">
        <f t="shared" si="6"/>
        <v>2</v>
      </c>
      <c r="H60" s="7">
        <f t="shared" si="7"/>
        <v>6</v>
      </c>
    </row>
    <row r="61" spans="1:8" ht="15" customHeight="1" thickBot="1" x14ac:dyDescent="0.3">
      <c r="A61" s="11" t="s">
        <v>151</v>
      </c>
      <c r="B61" s="6">
        <v>0</v>
      </c>
      <c r="C61" s="16">
        <v>0</v>
      </c>
      <c r="D61" s="5">
        <f t="shared" si="8"/>
        <v>0</v>
      </c>
      <c r="E61" s="6">
        <v>0</v>
      </c>
      <c r="F61" s="16">
        <v>2</v>
      </c>
      <c r="G61" s="5">
        <f>E61+F61</f>
        <v>2</v>
      </c>
      <c r="H61" s="7">
        <f>G61+D61</f>
        <v>2</v>
      </c>
    </row>
    <row r="62" spans="1:8" ht="15" customHeight="1" thickTop="1" thickBot="1" x14ac:dyDescent="0.3">
      <c r="A62" s="12" t="s">
        <v>6</v>
      </c>
      <c r="B62" s="13">
        <f t="shared" ref="B62:H62" si="9">SUM(B48:B61)</f>
        <v>45</v>
      </c>
      <c r="C62" s="13">
        <f t="shared" si="9"/>
        <v>39</v>
      </c>
      <c r="D62" s="13">
        <f t="shared" si="9"/>
        <v>84</v>
      </c>
      <c r="E62" s="13">
        <f t="shared" si="9"/>
        <v>32</v>
      </c>
      <c r="F62" s="13">
        <f t="shared" si="9"/>
        <v>63</v>
      </c>
      <c r="G62" s="13">
        <f t="shared" si="9"/>
        <v>95</v>
      </c>
      <c r="H62" s="15">
        <f t="shared" si="9"/>
        <v>179</v>
      </c>
    </row>
    <row r="63" spans="1:8" ht="15" customHeight="1" thickTop="1" thickBot="1" x14ac:dyDescent="0.3">
      <c r="A63" s="23" t="s">
        <v>62</v>
      </c>
      <c r="B63" s="24"/>
      <c r="C63" s="24"/>
      <c r="D63" s="24"/>
      <c r="E63" s="24"/>
      <c r="F63" s="24"/>
      <c r="G63" s="24"/>
      <c r="H63" s="25"/>
    </row>
    <row r="64" spans="1:8" ht="15" customHeight="1" thickTop="1" x14ac:dyDescent="0.25">
      <c r="A64" s="11" t="s">
        <v>63</v>
      </c>
      <c r="B64" s="6">
        <v>1</v>
      </c>
      <c r="C64" s="16">
        <v>0</v>
      </c>
      <c r="D64" s="5">
        <f t="shared" ref="D64:D89" si="10">B64+C64</f>
        <v>1</v>
      </c>
      <c r="E64" s="6">
        <v>1</v>
      </c>
      <c r="F64" s="16">
        <v>0</v>
      </c>
      <c r="G64" s="5">
        <f t="shared" ref="G64:G89" si="11">E64+F64</f>
        <v>1</v>
      </c>
      <c r="H64" s="7">
        <f t="shared" ref="H64:H90" si="12">G64+D64</f>
        <v>2</v>
      </c>
    </row>
    <row r="65" spans="1:8" ht="15" customHeight="1" x14ac:dyDescent="0.25">
      <c r="A65" s="11" t="s">
        <v>64</v>
      </c>
      <c r="B65" s="6">
        <v>5</v>
      </c>
      <c r="C65" s="16">
        <v>1</v>
      </c>
      <c r="D65" s="5">
        <f t="shared" si="10"/>
        <v>6</v>
      </c>
      <c r="E65" s="6">
        <v>0</v>
      </c>
      <c r="F65" s="16">
        <v>12</v>
      </c>
      <c r="G65" s="5">
        <f t="shared" si="11"/>
        <v>12</v>
      </c>
      <c r="H65" s="7">
        <f t="shared" si="12"/>
        <v>18</v>
      </c>
    </row>
    <row r="66" spans="1:8" ht="15" customHeight="1" x14ac:dyDescent="0.25">
      <c r="A66" s="11" t="s">
        <v>65</v>
      </c>
      <c r="B66" s="6">
        <v>0</v>
      </c>
      <c r="C66" s="16">
        <v>8</v>
      </c>
      <c r="D66" s="5">
        <f t="shared" si="10"/>
        <v>8</v>
      </c>
      <c r="E66" s="6">
        <v>0</v>
      </c>
      <c r="F66" s="16">
        <v>2</v>
      </c>
      <c r="G66" s="5">
        <f t="shared" si="11"/>
        <v>2</v>
      </c>
      <c r="H66" s="7">
        <f t="shared" si="12"/>
        <v>10</v>
      </c>
    </row>
    <row r="67" spans="1:8" ht="15" customHeight="1" x14ac:dyDescent="0.25">
      <c r="A67" s="11" t="s">
        <v>66</v>
      </c>
      <c r="B67" s="6">
        <v>1</v>
      </c>
      <c r="C67" s="16">
        <v>1</v>
      </c>
      <c r="D67" s="5">
        <f t="shared" si="10"/>
        <v>2</v>
      </c>
      <c r="E67" s="6">
        <v>3</v>
      </c>
      <c r="F67" s="16">
        <v>1</v>
      </c>
      <c r="G67" s="5">
        <f t="shared" si="11"/>
        <v>4</v>
      </c>
      <c r="H67" s="7">
        <f t="shared" si="12"/>
        <v>6</v>
      </c>
    </row>
    <row r="68" spans="1:8" ht="15" customHeight="1" x14ac:dyDescent="0.25">
      <c r="A68" s="11" t="s">
        <v>67</v>
      </c>
      <c r="B68" s="6">
        <v>0</v>
      </c>
      <c r="C68" s="16">
        <v>0</v>
      </c>
      <c r="D68" s="5">
        <f t="shared" si="10"/>
        <v>0</v>
      </c>
      <c r="E68" s="6">
        <v>0</v>
      </c>
      <c r="F68" s="16">
        <v>1</v>
      </c>
      <c r="G68" s="5">
        <f t="shared" si="11"/>
        <v>1</v>
      </c>
      <c r="H68" s="7">
        <f t="shared" si="12"/>
        <v>1</v>
      </c>
    </row>
    <row r="69" spans="1:8" ht="15" customHeight="1" x14ac:dyDescent="0.25">
      <c r="A69" s="11" t="s">
        <v>174</v>
      </c>
      <c r="B69" s="6">
        <v>10</v>
      </c>
      <c r="C69" s="16">
        <v>13</v>
      </c>
      <c r="D69" s="5">
        <f t="shared" si="10"/>
        <v>23</v>
      </c>
      <c r="E69" s="6">
        <v>8</v>
      </c>
      <c r="F69" s="16">
        <v>24</v>
      </c>
      <c r="G69" s="5">
        <f t="shared" si="11"/>
        <v>32</v>
      </c>
      <c r="H69" s="7">
        <f t="shared" si="12"/>
        <v>55</v>
      </c>
    </row>
    <row r="70" spans="1:8" ht="15" customHeight="1" x14ac:dyDescent="0.25">
      <c r="A70" s="11" t="s">
        <v>69</v>
      </c>
      <c r="B70" s="6">
        <v>2</v>
      </c>
      <c r="C70" s="16">
        <v>11</v>
      </c>
      <c r="D70" s="5">
        <f t="shared" si="10"/>
        <v>13</v>
      </c>
      <c r="E70" s="6">
        <v>1</v>
      </c>
      <c r="F70" s="16">
        <v>21</v>
      </c>
      <c r="G70" s="5">
        <f t="shared" si="11"/>
        <v>22</v>
      </c>
      <c r="H70" s="7">
        <f t="shared" si="12"/>
        <v>35</v>
      </c>
    </row>
    <row r="71" spans="1:8" ht="15" customHeight="1" x14ac:dyDescent="0.25">
      <c r="A71" s="11" t="s">
        <v>70</v>
      </c>
      <c r="B71" s="6">
        <v>26</v>
      </c>
      <c r="C71" s="16">
        <v>12</v>
      </c>
      <c r="D71" s="5">
        <f t="shared" si="10"/>
        <v>38</v>
      </c>
      <c r="E71" s="6">
        <v>27</v>
      </c>
      <c r="F71" s="16">
        <v>24</v>
      </c>
      <c r="G71" s="5">
        <f t="shared" si="11"/>
        <v>51</v>
      </c>
      <c r="H71" s="7">
        <f t="shared" si="12"/>
        <v>89</v>
      </c>
    </row>
    <row r="72" spans="1:8" ht="15" customHeight="1" x14ac:dyDescent="0.25">
      <c r="A72" s="11" t="s">
        <v>71</v>
      </c>
      <c r="B72" s="6">
        <v>0</v>
      </c>
      <c r="C72" s="16">
        <v>8</v>
      </c>
      <c r="D72" s="5">
        <f t="shared" si="10"/>
        <v>8</v>
      </c>
      <c r="E72" s="6">
        <v>3</v>
      </c>
      <c r="F72" s="16">
        <v>7</v>
      </c>
      <c r="G72" s="5">
        <f t="shared" si="11"/>
        <v>10</v>
      </c>
      <c r="H72" s="7">
        <f t="shared" si="12"/>
        <v>18</v>
      </c>
    </row>
    <row r="73" spans="1:8" ht="15" customHeight="1" x14ac:dyDescent="0.25">
      <c r="A73" s="11" t="s">
        <v>212</v>
      </c>
      <c r="B73" s="6">
        <v>1</v>
      </c>
      <c r="C73" s="16">
        <v>0</v>
      </c>
      <c r="D73" s="5">
        <f t="shared" si="10"/>
        <v>1</v>
      </c>
      <c r="E73" s="6">
        <v>1</v>
      </c>
      <c r="F73" s="16">
        <v>0</v>
      </c>
      <c r="G73" s="5">
        <f t="shared" si="11"/>
        <v>1</v>
      </c>
      <c r="H73" s="7">
        <f t="shared" si="12"/>
        <v>2</v>
      </c>
    </row>
    <row r="74" spans="1:8" ht="15" customHeight="1" x14ac:dyDescent="0.25">
      <c r="A74" s="11" t="s">
        <v>72</v>
      </c>
      <c r="B74" s="6">
        <v>9</v>
      </c>
      <c r="C74" s="16">
        <v>70</v>
      </c>
      <c r="D74" s="5">
        <f t="shared" si="10"/>
        <v>79</v>
      </c>
      <c r="E74" s="6">
        <v>5</v>
      </c>
      <c r="F74" s="16">
        <v>70</v>
      </c>
      <c r="G74" s="5">
        <f t="shared" si="11"/>
        <v>75</v>
      </c>
      <c r="H74" s="7">
        <f t="shared" si="12"/>
        <v>154</v>
      </c>
    </row>
    <row r="75" spans="1:8" ht="15" customHeight="1" x14ac:dyDescent="0.25">
      <c r="A75" s="11" t="s">
        <v>73</v>
      </c>
      <c r="B75" s="6">
        <v>0</v>
      </c>
      <c r="C75" s="16">
        <v>1</v>
      </c>
      <c r="D75" s="5">
        <f t="shared" si="10"/>
        <v>1</v>
      </c>
      <c r="E75" s="6">
        <v>0</v>
      </c>
      <c r="F75" s="16">
        <v>0</v>
      </c>
      <c r="G75" s="5">
        <f t="shared" si="11"/>
        <v>0</v>
      </c>
      <c r="H75" s="7">
        <f t="shared" si="12"/>
        <v>1</v>
      </c>
    </row>
    <row r="76" spans="1:8" ht="15" customHeight="1" x14ac:dyDescent="0.25">
      <c r="A76" s="11" t="s">
        <v>74</v>
      </c>
      <c r="B76" s="6">
        <v>7</v>
      </c>
      <c r="C76" s="16">
        <v>167</v>
      </c>
      <c r="D76" s="5">
        <f t="shared" si="10"/>
        <v>174</v>
      </c>
      <c r="E76" s="6">
        <v>10</v>
      </c>
      <c r="F76" s="16">
        <v>29</v>
      </c>
      <c r="G76" s="5">
        <f t="shared" si="11"/>
        <v>39</v>
      </c>
      <c r="H76" s="7">
        <f t="shared" si="12"/>
        <v>213</v>
      </c>
    </row>
    <row r="77" spans="1:8" ht="15" customHeight="1" x14ac:dyDescent="0.25">
      <c r="A77" s="11" t="s">
        <v>75</v>
      </c>
      <c r="B77" s="6">
        <v>0</v>
      </c>
      <c r="C77" s="16">
        <v>3</v>
      </c>
      <c r="D77" s="5">
        <f t="shared" si="10"/>
        <v>3</v>
      </c>
      <c r="E77" s="6">
        <v>0</v>
      </c>
      <c r="F77" s="16">
        <v>1</v>
      </c>
      <c r="G77" s="5">
        <f t="shared" si="11"/>
        <v>1</v>
      </c>
      <c r="H77" s="7">
        <f t="shared" si="12"/>
        <v>4</v>
      </c>
    </row>
    <row r="78" spans="1:8" ht="15" customHeight="1" x14ac:dyDescent="0.25">
      <c r="A78" s="11" t="s">
        <v>76</v>
      </c>
      <c r="B78" s="6">
        <v>2</v>
      </c>
      <c r="C78" s="16">
        <v>1</v>
      </c>
      <c r="D78" s="5">
        <f t="shared" si="10"/>
        <v>3</v>
      </c>
      <c r="E78" s="6">
        <v>1</v>
      </c>
      <c r="F78" s="16">
        <v>2</v>
      </c>
      <c r="G78" s="5">
        <f t="shared" si="11"/>
        <v>3</v>
      </c>
      <c r="H78" s="7">
        <f t="shared" si="12"/>
        <v>6</v>
      </c>
    </row>
    <row r="79" spans="1:8" ht="15" customHeight="1" x14ac:dyDescent="0.25">
      <c r="A79" s="11" t="s">
        <v>241</v>
      </c>
      <c r="B79" s="6">
        <v>0</v>
      </c>
      <c r="C79" s="16">
        <v>1</v>
      </c>
      <c r="D79" s="5">
        <f t="shared" si="10"/>
        <v>1</v>
      </c>
      <c r="E79" s="6">
        <v>0</v>
      </c>
      <c r="F79" s="16">
        <v>0</v>
      </c>
      <c r="G79" s="5">
        <f t="shared" si="11"/>
        <v>0</v>
      </c>
      <c r="H79" s="7">
        <f t="shared" si="12"/>
        <v>1</v>
      </c>
    </row>
    <row r="80" spans="1:8" ht="15" customHeight="1" x14ac:dyDescent="0.25">
      <c r="A80" s="11" t="s">
        <v>224</v>
      </c>
      <c r="B80" s="6">
        <v>0</v>
      </c>
      <c r="C80" s="16">
        <v>0</v>
      </c>
      <c r="D80" s="5">
        <f t="shared" si="10"/>
        <v>0</v>
      </c>
      <c r="E80" s="6">
        <v>0</v>
      </c>
      <c r="F80" s="16">
        <v>2</v>
      </c>
      <c r="G80" s="5">
        <f t="shared" si="11"/>
        <v>2</v>
      </c>
      <c r="H80" s="7">
        <f t="shared" si="12"/>
        <v>2</v>
      </c>
    </row>
    <row r="81" spans="1:8" ht="15" customHeight="1" x14ac:dyDescent="0.25">
      <c r="A81" s="11" t="s">
        <v>77</v>
      </c>
      <c r="B81" s="6">
        <v>13</v>
      </c>
      <c r="C81" s="16">
        <v>22</v>
      </c>
      <c r="D81" s="5">
        <f t="shared" si="10"/>
        <v>35</v>
      </c>
      <c r="E81" s="6">
        <v>13</v>
      </c>
      <c r="F81" s="16">
        <v>22</v>
      </c>
      <c r="G81" s="5">
        <f t="shared" si="11"/>
        <v>35</v>
      </c>
      <c r="H81" s="7">
        <f t="shared" si="12"/>
        <v>70</v>
      </c>
    </row>
    <row r="82" spans="1:8" ht="15" customHeight="1" x14ac:dyDescent="0.25">
      <c r="A82" s="11" t="s">
        <v>79</v>
      </c>
      <c r="B82" s="6">
        <v>0</v>
      </c>
      <c r="C82" s="16">
        <v>1</v>
      </c>
      <c r="D82" s="5">
        <f t="shared" si="10"/>
        <v>1</v>
      </c>
      <c r="E82" s="6">
        <v>1</v>
      </c>
      <c r="F82" s="16">
        <v>5</v>
      </c>
      <c r="G82" s="5">
        <f t="shared" si="11"/>
        <v>6</v>
      </c>
      <c r="H82" s="7">
        <f t="shared" si="12"/>
        <v>7</v>
      </c>
    </row>
    <row r="83" spans="1:8" ht="15" customHeight="1" x14ac:dyDescent="0.25">
      <c r="A83" s="11" t="s">
        <v>80</v>
      </c>
      <c r="B83" s="6">
        <v>1</v>
      </c>
      <c r="C83" s="16">
        <v>132</v>
      </c>
      <c r="D83" s="5">
        <f t="shared" si="10"/>
        <v>133</v>
      </c>
      <c r="E83" s="6">
        <v>2</v>
      </c>
      <c r="F83" s="16">
        <v>52</v>
      </c>
      <c r="G83" s="5">
        <f t="shared" si="11"/>
        <v>54</v>
      </c>
      <c r="H83" s="7">
        <f t="shared" si="12"/>
        <v>187</v>
      </c>
    </row>
    <row r="84" spans="1:8" ht="15" customHeight="1" x14ac:dyDescent="0.25">
      <c r="A84" s="11" t="s">
        <v>81</v>
      </c>
      <c r="B84" s="6">
        <v>9</v>
      </c>
      <c r="C84" s="16">
        <v>17</v>
      </c>
      <c r="D84" s="5">
        <f t="shared" si="10"/>
        <v>26</v>
      </c>
      <c r="E84" s="6">
        <v>2</v>
      </c>
      <c r="F84" s="16">
        <v>54</v>
      </c>
      <c r="G84" s="5">
        <f t="shared" si="11"/>
        <v>56</v>
      </c>
      <c r="H84" s="7">
        <f t="shared" si="12"/>
        <v>82</v>
      </c>
    </row>
    <row r="85" spans="1:8" ht="15" customHeight="1" x14ac:dyDescent="0.25">
      <c r="A85" s="11" t="s">
        <v>82</v>
      </c>
      <c r="B85" s="6">
        <v>19</v>
      </c>
      <c r="C85" s="16">
        <v>14</v>
      </c>
      <c r="D85" s="5">
        <f t="shared" si="10"/>
        <v>33</v>
      </c>
      <c r="E85" s="6">
        <v>6</v>
      </c>
      <c r="F85" s="16">
        <v>7</v>
      </c>
      <c r="G85" s="5">
        <f t="shared" si="11"/>
        <v>13</v>
      </c>
      <c r="H85" s="7">
        <f t="shared" si="12"/>
        <v>46</v>
      </c>
    </row>
    <row r="86" spans="1:8" ht="15" customHeight="1" x14ac:dyDescent="0.25">
      <c r="A86" s="11" t="s">
        <v>83</v>
      </c>
      <c r="B86" s="6">
        <v>2</v>
      </c>
      <c r="C86" s="16">
        <v>21</v>
      </c>
      <c r="D86" s="5">
        <f t="shared" si="10"/>
        <v>23</v>
      </c>
      <c r="E86" s="6">
        <v>1</v>
      </c>
      <c r="F86" s="16">
        <v>51</v>
      </c>
      <c r="G86" s="5">
        <f t="shared" si="11"/>
        <v>52</v>
      </c>
      <c r="H86" s="7">
        <f t="shared" si="12"/>
        <v>75</v>
      </c>
    </row>
    <row r="87" spans="1:8" ht="15" customHeight="1" x14ac:dyDescent="0.25">
      <c r="A87" s="11" t="s">
        <v>84</v>
      </c>
      <c r="B87" s="6">
        <v>1</v>
      </c>
      <c r="C87" s="16">
        <v>25</v>
      </c>
      <c r="D87" s="5">
        <f t="shared" si="10"/>
        <v>26</v>
      </c>
      <c r="E87" s="6">
        <v>1</v>
      </c>
      <c r="F87" s="16">
        <v>48</v>
      </c>
      <c r="G87" s="5">
        <f t="shared" si="11"/>
        <v>49</v>
      </c>
      <c r="H87" s="7">
        <f t="shared" si="12"/>
        <v>75</v>
      </c>
    </row>
    <row r="88" spans="1:8" ht="15" customHeight="1" x14ac:dyDescent="0.25">
      <c r="A88" s="11" t="s">
        <v>179</v>
      </c>
      <c r="B88" s="6">
        <v>0</v>
      </c>
      <c r="C88" s="16">
        <v>1</v>
      </c>
      <c r="D88" s="5">
        <f t="shared" si="10"/>
        <v>1</v>
      </c>
      <c r="E88" s="6">
        <v>0</v>
      </c>
      <c r="F88" s="16">
        <v>0</v>
      </c>
      <c r="G88" s="5">
        <f t="shared" si="11"/>
        <v>0</v>
      </c>
      <c r="H88" s="7">
        <f t="shared" si="12"/>
        <v>1</v>
      </c>
    </row>
    <row r="89" spans="1:8" ht="15" customHeight="1" thickBot="1" x14ac:dyDescent="0.3">
      <c r="A89" s="11" t="s">
        <v>85</v>
      </c>
      <c r="B89" s="6">
        <v>4</v>
      </c>
      <c r="C89" s="16">
        <v>1</v>
      </c>
      <c r="D89" s="5">
        <f t="shared" si="10"/>
        <v>5</v>
      </c>
      <c r="E89" s="6">
        <v>0</v>
      </c>
      <c r="F89" s="16">
        <v>0</v>
      </c>
      <c r="G89" s="5">
        <f t="shared" si="11"/>
        <v>0</v>
      </c>
      <c r="H89" s="7">
        <f t="shared" si="12"/>
        <v>5</v>
      </c>
    </row>
    <row r="90" spans="1:8" ht="15" customHeight="1" thickTop="1" thickBot="1" x14ac:dyDescent="0.3">
      <c r="A90" s="12" t="s">
        <v>6</v>
      </c>
      <c r="B90" s="13">
        <f t="shared" ref="B90:G90" si="13">SUM(B64:B89)</f>
        <v>113</v>
      </c>
      <c r="C90" s="13">
        <f t="shared" si="13"/>
        <v>531</v>
      </c>
      <c r="D90" s="13">
        <f t="shared" si="13"/>
        <v>644</v>
      </c>
      <c r="E90" s="13">
        <f t="shared" si="13"/>
        <v>86</v>
      </c>
      <c r="F90" s="13">
        <f t="shared" si="13"/>
        <v>435</v>
      </c>
      <c r="G90" s="13">
        <f t="shared" si="13"/>
        <v>521</v>
      </c>
      <c r="H90" s="15">
        <f t="shared" si="12"/>
        <v>1165</v>
      </c>
    </row>
    <row r="91" spans="1:8" ht="15" customHeight="1" thickTop="1" thickBot="1" x14ac:dyDescent="0.3">
      <c r="A91" s="23" t="s">
        <v>86</v>
      </c>
      <c r="B91" s="24"/>
      <c r="C91" s="24"/>
      <c r="D91" s="24"/>
      <c r="E91" s="24"/>
      <c r="F91" s="24"/>
      <c r="G91" s="24"/>
      <c r="H91" s="25"/>
    </row>
    <row r="92" spans="1:8" ht="15" customHeight="1" thickTop="1" x14ac:dyDescent="0.25">
      <c r="A92" s="11" t="s">
        <v>87</v>
      </c>
      <c r="B92" s="6">
        <v>1</v>
      </c>
      <c r="C92" s="16">
        <v>0</v>
      </c>
      <c r="D92" s="5">
        <f t="shared" ref="D92:D119" si="14">B92+C92</f>
        <v>1</v>
      </c>
      <c r="E92" s="6">
        <v>0</v>
      </c>
      <c r="F92" s="16">
        <v>2</v>
      </c>
      <c r="G92" s="5">
        <f t="shared" ref="G92:G119" si="15">E92+F92</f>
        <v>2</v>
      </c>
      <c r="H92" s="7">
        <f t="shared" ref="H92:H119" si="16">G92+D92</f>
        <v>3</v>
      </c>
    </row>
    <row r="93" spans="1:8" ht="15" customHeight="1" x14ac:dyDescent="0.25">
      <c r="A93" s="11" t="s">
        <v>181</v>
      </c>
      <c r="B93" s="6">
        <v>0</v>
      </c>
      <c r="C93" s="16">
        <v>0</v>
      </c>
      <c r="D93" s="5">
        <f t="shared" si="14"/>
        <v>0</v>
      </c>
      <c r="E93" s="6">
        <v>0</v>
      </c>
      <c r="F93" s="16">
        <v>1</v>
      </c>
      <c r="G93" s="5">
        <f t="shared" si="15"/>
        <v>1</v>
      </c>
      <c r="H93" s="7">
        <f t="shared" si="16"/>
        <v>1</v>
      </c>
    </row>
    <row r="94" spans="1:8" ht="15" customHeight="1" x14ac:dyDescent="0.25">
      <c r="A94" s="11" t="s">
        <v>88</v>
      </c>
      <c r="B94" s="6">
        <v>0</v>
      </c>
      <c r="C94" s="16">
        <v>0</v>
      </c>
      <c r="D94" s="5">
        <f t="shared" si="14"/>
        <v>0</v>
      </c>
      <c r="E94" s="6">
        <v>0</v>
      </c>
      <c r="F94" s="16">
        <v>4</v>
      </c>
      <c r="G94" s="5">
        <f t="shared" si="15"/>
        <v>4</v>
      </c>
      <c r="H94" s="7">
        <f t="shared" si="16"/>
        <v>4</v>
      </c>
    </row>
    <row r="95" spans="1:8" ht="15" customHeight="1" x14ac:dyDescent="0.25">
      <c r="A95" s="11" t="s">
        <v>89</v>
      </c>
      <c r="B95" s="6">
        <v>0</v>
      </c>
      <c r="C95" s="16">
        <v>0</v>
      </c>
      <c r="D95" s="5">
        <f t="shared" si="14"/>
        <v>0</v>
      </c>
      <c r="E95" s="6">
        <v>1</v>
      </c>
      <c r="F95" s="16">
        <v>1</v>
      </c>
      <c r="G95" s="5">
        <f t="shared" si="15"/>
        <v>2</v>
      </c>
      <c r="H95" s="7">
        <f t="shared" si="16"/>
        <v>2</v>
      </c>
    </row>
    <row r="96" spans="1:8" ht="15" customHeight="1" x14ac:dyDescent="0.25">
      <c r="A96" s="11" t="s">
        <v>90</v>
      </c>
      <c r="B96" s="6">
        <v>1</v>
      </c>
      <c r="C96" s="16">
        <v>2</v>
      </c>
      <c r="D96" s="5">
        <f t="shared" si="14"/>
        <v>3</v>
      </c>
      <c r="E96" s="6">
        <v>4</v>
      </c>
      <c r="F96" s="16">
        <v>12</v>
      </c>
      <c r="G96" s="5">
        <f t="shared" si="15"/>
        <v>16</v>
      </c>
      <c r="H96" s="7">
        <f t="shared" si="16"/>
        <v>19</v>
      </c>
    </row>
    <row r="97" spans="1:8" ht="15" customHeight="1" x14ac:dyDescent="0.25">
      <c r="A97" s="11" t="s">
        <v>91</v>
      </c>
      <c r="B97" s="6">
        <v>5</v>
      </c>
      <c r="C97" s="16">
        <v>1</v>
      </c>
      <c r="D97" s="5">
        <f t="shared" si="14"/>
        <v>6</v>
      </c>
      <c r="E97" s="6">
        <v>2</v>
      </c>
      <c r="F97" s="16">
        <v>0</v>
      </c>
      <c r="G97" s="5">
        <f t="shared" si="15"/>
        <v>2</v>
      </c>
      <c r="H97" s="7">
        <f t="shared" si="16"/>
        <v>8</v>
      </c>
    </row>
    <row r="98" spans="1:8" ht="15" customHeight="1" x14ac:dyDescent="0.25">
      <c r="A98" s="11" t="s">
        <v>92</v>
      </c>
      <c r="B98" s="6">
        <v>6</v>
      </c>
      <c r="C98" s="16">
        <v>1</v>
      </c>
      <c r="D98" s="5">
        <f t="shared" si="14"/>
        <v>7</v>
      </c>
      <c r="E98" s="6">
        <v>2</v>
      </c>
      <c r="F98" s="16">
        <v>4</v>
      </c>
      <c r="G98" s="5">
        <f t="shared" si="15"/>
        <v>6</v>
      </c>
      <c r="H98" s="7">
        <f t="shared" si="16"/>
        <v>13</v>
      </c>
    </row>
    <row r="99" spans="1:8" ht="15" customHeight="1" x14ac:dyDescent="0.25">
      <c r="A99" s="11" t="s">
        <v>94</v>
      </c>
      <c r="B99" s="6">
        <v>0</v>
      </c>
      <c r="C99" s="16">
        <v>0</v>
      </c>
      <c r="D99" s="5">
        <f t="shared" si="14"/>
        <v>0</v>
      </c>
      <c r="E99" s="6">
        <v>0</v>
      </c>
      <c r="F99" s="16">
        <v>2</v>
      </c>
      <c r="G99" s="5">
        <f t="shared" si="15"/>
        <v>2</v>
      </c>
      <c r="H99" s="7">
        <f t="shared" si="16"/>
        <v>2</v>
      </c>
    </row>
    <row r="100" spans="1:8" ht="15" customHeight="1" x14ac:dyDescent="0.25">
      <c r="A100" s="11" t="s">
        <v>95</v>
      </c>
      <c r="B100" s="6">
        <v>4</v>
      </c>
      <c r="C100" s="16">
        <v>2</v>
      </c>
      <c r="D100" s="5">
        <f t="shared" si="14"/>
        <v>6</v>
      </c>
      <c r="E100" s="6">
        <v>3</v>
      </c>
      <c r="F100" s="16">
        <v>12</v>
      </c>
      <c r="G100" s="5">
        <f t="shared" si="15"/>
        <v>15</v>
      </c>
      <c r="H100" s="7">
        <f t="shared" si="16"/>
        <v>21</v>
      </c>
    </row>
    <row r="101" spans="1:8" ht="15" customHeight="1" x14ac:dyDescent="0.25">
      <c r="A101" s="11" t="s">
        <v>96</v>
      </c>
      <c r="B101" s="6">
        <v>5</v>
      </c>
      <c r="C101" s="16">
        <v>11</v>
      </c>
      <c r="D101" s="5">
        <f t="shared" si="14"/>
        <v>16</v>
      </c>
      <c r="E101" s="6">
        <v>3</v>
      </c>
      <c r="F101" s="16">
        <v>9</v>
      </c>
      <c r="G101" s="5">
        <f t="shared" si="15"/>
        <v>12</v>
      </c>
      <c r="H101" s="7">
        <f t="shared" si="16"/>
        <v>28</v>
      </c>
    </row>
    <row r="102" spans="1:8" ht="15" customHeight="1" x14ac:dyDescent="0.25">
      <c r="A102" s="11" t="s">
        <v>99</v>
      </c>
      <c r="B102" s="6">
        <v>1</v>
      </c>
      <c r="C102" s="16">
        <v>0</v>
      </c>
      <c r="D102" s="5">
        <f t="shared" si="14"/>
        <v>1</v>
      </c>
      <c r="E102" s="6">
        <v>1</v>
      </c>
      <c r="F102" s="16">
        <v>2</v>
      </c>
      <c r="G102" s="5">
        <f t="shared" si="15"/>
        <v>3</v>
      </c>
      <c r="H102" s="7">
        <f t="shared" si="16"/>
        <v>4</v>
      </c>
    </row>
    <row r="103" spans="1:8" ht="15" customHeight="1" x14ac:dyDescent="0.25">
      <c r="A103" s="11" t="s">
        <v>100</v>
      </c>
      <c r="B103" s="6">
        <v>0</v>
      </c>
      <c r="C103" s="16">
        <v>0</v>
      </c>
      <c r="D103" s="5">
        <f t="shared" si="14"/>
        <v>0</v>
      </c>
      <c r="E103" s="6">
        <v>0</v>
      </c>
      <c r="F103" s="16">
        <v>3</v>
      </c>
      <c r="G103" s="5">
        <f t="shared" si="15"/>
        <v>3</v>
      </c>
      <c r="H103" s="7">
        <f t="shared" si="16"/>
        <v>3</v>
      </c>
    </row>
    <row r="104" spans="1:8" ht="15" customHeight="1" x14ac:dyDescent="0.25">
      <c r="A104" s="11" t="s">
        <v>101</v>
      </c>
      <c r="B104" s="6">
        <v>1</v>
      </c>
      <c r="C104" s="16">
        <v>3</v>
      </c>
      <c r="D104" s="5">
        <f t="shared" si="14"/>
        <v>4</v>
      </c>
      <c r="E104" s="6">
        <v>2</v>
      </c>
      <c r="F104" s="16">
        <v>1</v>
      </c>
      <c r="G104" s="5">
        <f t="shared" si="15"/>
        <v>3</v>
      </c>
      <c r="H104" s="7">
        <f t="shared" si="16"/>
        <v>7</v>
      </c>
    </row>
    <row r="105" spans="1:8" ht="15" customHeight="1" x14ac:dyDescent="0.25">
      <c r="A105" s="11" t="s">
        <v>102</v>
      </c>
      <c r="B105" s="6">
        <v>1</v>
      </c>
      <c r="C105" s="16">
        <v>0</v>
      </c>
      <c r="D105" s="5">
        <f t="shared" si="14"/>
        <v>1</v>
      </c>
      <c r="E105" s="6">
        <v>0</v>
      </c>
      <c r="F105" s="16">
        <v>1</v>
      </c>
      <c r="G105" s="5">
        <f t="shared" si="15"/>
        <v>1</v>
      </c>
      <c r="H105" s="7">
        <f t="shared" si="16"/>
        <v>2</v>
      </c>
    </row>
    <row r="106" spans="1:8" ht="15" customHeight="1" x14ac:dyDescent="0.25">
      <c r="A106" s="11" t="s">
        <v>103</v>
      </c>
      <c r="B106" s="6">
        <v>0</v>
      </c>
      <c r="C106" s="16">
        <v>0</v>
      </c>
      <c r="D106" s="5">
        <f t="shared" si="14"/>
        <v>0</v>
      </c>
      <c r="E106" s="6">
        <v>0</v>
      </c>
      <c r="F106" s="16">
        <v>2</v>
      </c>
      <c r="G106" s="5">
        <f t="shared" si="15"/>
        <v>2</v>
      </c>
      <c r="H106" s="7">
        <f t="shared" si="16"/>
        <v>2</v>
      </c>
    </row>
    <row r="107" spans="1:8" ht="15" customHeight="1" x14ac:dyDescent="0.25">
      <c r="A107" s="11" t="s">
        <v>153</v>
      </c>
      <c r="B107" s="6">
        <v>1</v>
      </c>
      <c r="C107" s="16">
        <v>0</v>
      </c>
      <c r="D107" s="5">
        <f t="shared" si="14"/>
        <v>1</v>
      </c>
      <c r="E107" s="6">
        <v>0</v>
      </c>
      <c r="F107" s="16">
        <v>0</v>
      </c>
      <c r="G107" s="5">
        <f t="shared" si="15"/>
        <v>0</v>
      </c>
      <c r="H107" s="7">
        <f t="shared" si="16"/>
        <v>1</v>
      </c>
    </row>
    <row r="108" spans="1:8" ht="15" customHeight="1" x14ac:dyDescent="0.25">
      <c r="A108" s="11" t="s">
        <v>104</v>
      </c>
      <c r="B108" s="6">
        <v>13</v>
      </c>
      <c r="C108" s="16">
        <v>23</v>
      </c>
      <c r="D108" s="5">
        <f t="shared" si="14"/>
        <v>36</v>
      </c>
      <c r="E108" s="6">
        <v>10</v>
      </c>
      <c r="F108" s="16">
        <v>18</v>
      </c>
      <c r="G108" s="5">
        <f t="shared" si="15"/>
        <v>28</v>
      </c>
      <c r="H108" s="7">
        <f t="shared" si="16"/>
        <v>64</v>
      </c>
    </row>
    <row r="109" spans="1:8" ht="15" customHeight="1" x14ac:dyDescent="0.25">
      <c r="A109" s="11" t="s">
        <v>105</v>
      </c>
      <c r="B109" s="6">
        <v>0</v>
      </c>
      <c r="C109" s="16">
        <v>1</v>
      </c>
      <c r="D109" s="5">
        <f t="shared" si="14"/>
        <v>1</v>
      </c>
      <c r="E109" s="6">
        <v>0</v>
      </c>
      <c r="F109" s="16">
        <v>1</v>
      </c>
      <c r="G109" s="5">
        <f t="shared" si="15"/>
        <v>1</v>
      </c>
      <c r="H109" s="7">
        <f t="shared" si="16"/>
        <v>2</v>
      </c>
    </row>
    <row r="110" spans="1:8" ht="15" customHeight="1" x14ac:dyDescent="0.25">
      <c r="A110" s="11" t="s">
        <v>106</v>
      </c>
      <c r="B110" s="6">
        <v>4</v>
      </c>
      <c r="C110" s="16">
        <v>0</v>
      </c>
      <c r="D110" s="5">
        <f t="shared" si="14"/>
        <v>4</v>
      </c>
      <c r="E110" s="6">
        <v>1</v>
      </c>
      <c r="F110" s="16">
        <v>0</v>
      </c>
      <c r="G110" s="5">
        <f t="shared" si="15"/>
        <v>1</v>
      </c>
      <c r="H110" s="7">
        <f t="shared" si="16"/>
        <v>5</v>
      </c>
    </row>
    <row r="111" spans="1:8" ht="15" customHeight="1" x14ac:dyDescent="0.25">
      <c r="A111" s="11" t="s">
        <v>107</v>
      </c>
      <c r="B111" s="6">
        <v>3</v>
      </c>
      <c r="C111" s="16">
        <v>1</v>
      </c>
      <c r="D111" s="5">
        <f t="shared" si="14"/>
        <v>4</v>
      </c>
      <c r="E111" s="6">
        <v>4</v>
      </c>
      <c r="F111" s="16">
        <v>10</v>
      </c>
      <c r="G111" s="5">
        <f t="shared" si="15"/>
        <v>14</v>
      </c>
      <c r="H111" s="7">
        <f t="shared" si="16"/>
        <v>18</v>
      </c>
    </row>
    <row r="112" spans="1:8" ht="15" customHeight="1" x14ac:dyDescent="0.25">
      <c r="A112" s="11" t="s">
        <v>108</v>
      </c>
      <c r="B112" s="6">
        <v>4</v>
      </c>
      <c r="C112" s="16">
        <v>4</v>
      </c>
      <c r="D112" s="5">
        <f t="shared" si="14"/>
        <v>8</v>
      </c>
      <c r="E112" s="6">
        <v>5</v>
      </c>
      <c r="F112" s="16">
        <v>4</v>
      </c>
      <c r="G112" s="5">
        <f t="shared" si="15"/>
        <v>9</v>
      </c>
      <c r="H112" s="7">
        <f t="shared" si="16"/>
        <v>17</v>
      </c>
    </row>
    <row r="113" spans="1:8" ht="15" customHeight="1" x14ac:dyDescent="0.25">
      <c r="A113" s="11" t="s">
        <v>154</v>
      </c>
      <c r="B113" s="6">
        <v>0</v>
      </c>
      <c r="C113" s="16">
        <v>0</v>
      </c>
      <c r="D113" s="5">
        <f t="shared" si="14"/>
        <v>0</v>
      </c>
      <c r="E113" s="6">
        <v>0</v>
      </c>
      <c r="F113" s="16">
        <v>1</v>
      </c>
      <c r="G113" s="5">
        <f t="shared" si="15"/>
        <v>1</v>
      </c>
      <c r="H113" s="7">
        <f t="shared" si="16"/>
        <v>1</v>
      </c>
    </row>
    <row r="114" spans="1:8" ht="15" customHeight="1" x14ac:dyDescent="0.25">
      <c r="A114" s="11" t="s">
        <v>110</v>
      </c>
      <c r="B114" s="6">
        <v>4</v>
      </c>
      <c r="C114" s="16">
        <v>5</v>
      </c>
      <c r="D114" s="5">
        <f t="shared" si="14"/>
        <v>9</v>
      </c>
      <c r="E114" s="6">
        <v>0</v>
      </c>
      <c r="F114" s="16">
        <v>3</v>
      </c>
      <c r="G114" s="5">
        <f t="shared" si="15"/>
        <v>3</v>
      </c>
      <c r="H114" s="7">
        <f t="shared" si="16"/>
        <v>12</v>
      </c>
    </row>
    <row r="115" spans="1:8" ht="15" customHeight="1" x14ac:dyDescent="0.25">
      <c r="A115" s="11" t="s">
        <v>155</v>
      </c>
      <c r="B115" s="6">
        <v>0</v>
      </c>
      <c r="C115" s="16">
        <v>0</v>
      </c>
      <c r="D115" s="5">
        <f t="shared" si="14"/>
        <v>0</v>
      </c>
      <c r="E115" s="6">
        <v>1</v>
      </c>
      <c r="F115" s="16">
        <v>0</v>
      </c>
      <c r="G115" s="5">
        <f t="shared" si="15"/>
        <v>1</v>
      </c>
      <c r="H115" s="7">
        <f t="shared" si="16"/>
        <v>1</v>
      </c>
    </row>
    <row r="116" spans="1:8" ht="15" customHeight="1" x14ac:dyDescent="0.25">
      <c r="A116" s="11" t="s">
        <v>111</v>
      </c>
      <c r="B116" s="6">
        <v>2</v>
      </c>
      <c r="C116" s="16">
        <v>0</v>
      </c>
      <c r="D116" s="5">
        <f t="shared" si="14"/>
        <v>2</v>
      </c>
      <c r="E116" s="6">
        <v>0</v>
      </c>
      <c r="F116" s="16">
        <v>4</v>
      </c>
      <c r="G116" s="5">
        <f t="shared" si="15"/>
        <v>4</v>
      </c>
      <c r="H116" s="7">
        <f t="shared" si="16"/>
        <v>6</v>
      </c>
    </row>
    <row r="117" spans="1:8" ht="15" customHeight="1" x14ac:dyDescent="0.25">
      <c r="A117" s="11" t="s">
        <v>112</v>
      </c>
      <c r="B117" s="6">
        <v>1</v>
      </c>
      <c r="C117" s="16">
        <v>0</v>
      </c>
      <c r="D117" s="5">
        <f t="shared" si="14"/>
        <v>1</v>
      </c>
      <c r="E117" s="6">
        <v>1</v>
      </c>
      <c r="F117" s="16">
        <v>0</v>
      </c>
      <c r="G117" s="5">
        <f t="shared" si="15"/>
        <v>1</v>
      </c>
      <c r="H117" s="7">
        <f t="shared" si="16"/>
        <v>2</v>
      </c>
    </row>
    <row r="118" spans="1:8" ht="15" customHeight="1" x14ac:dyDescent="0.25">
      <c r="A118" s="11" t="s">
        <v>113</v>
      </c>
      <c r="B118" s="6">
        <v>2</v>
      </c>
      <c r="C118" s="16">
        <v>2</v>
      </c>
      <c r="D118" s="5">
        <f t="shared" si="14"/>
        <v>4</v>
      </c>
      <c r="E118" s="6">
        <v>0</v>
      </c>
      <c r="F118" s="16">
        <v>4</v>
      </c>
      <c r="G118" s="5">
        <f t="shared" si="15"/>
        <v>4</v>
      </c>
      <c r="H118" s="7">
        <f t="shared" si="16"/>
        <v>8</v>
      </c>
    </row>
    <row r="119" spans="1:8" ht="15" customHeight="1" thickBot="1" x14ac:dyDescent="0.3">
      <c r="A119" s="11" t="s">
        <v>114</v>
      </c>
      <c r="B119" s="6">
        <v>3</v>
      </c>
      <c r="C119" s="16">
        <v>1</v>
      </c>
      <c r="D119" s="5">
        <f t="shared" si="14"/>
        <v>4</v>
      </c>
      <c r="E119" s="6">
        <v>2</v>
      </c>
      <c r="F119" s="16">
        <v>4</v>
      </c>
      <c r="G119" s="5">
        <f t="shared" si="15"/>
        <v>6</v>
      </c>
      <c r="H119" s="7">
        <f t="shared" si="16"/>
        <v>10</v>
      </c>
    </row>
    <row r="120" spans="1:8" ht="15" customHeight="1" thickTop="1" thickBot="1" x14ac:dyDescent="0.3">
      <c r="A120" s="12" t="s">
        <v>6</v>
      </c>
      <c r="B120" s="13">
        <f t="shared" ref="B120:H120" si="17">SUM(B92:B119)</f>
        <v>62</v>
      </c>
      <c r="C120" s="13">
        <f t="shared" si="17"/>
        <v>57</v>
      </c>
      <c r="D120" s="13">
        <f t="shared" si="17"/>
        <v>119</v>
      </c>
      <c r="E120" s="13">
        <f t="shared" si="17"/>
        <v>42</v>
      </c>
      <c r="F120" s="13">
        <f t="shared" si="17"/>
        <v>105</v>
      </c>
      <c r="G120" s="13">
        <f t="shared" si="17"/>
        <v>147</v>
      </c>
      <c r="H120" s="15">
        <f t="shared" si="17"/>
        <v>266</v>
      </c>
    </row>
    <row r="121" spans="1:8" ht="15" customHeight="1" thickTop="1" thickBot="1" x14ac:dyDescent="0.3">
      <c r="A121" s="23" t="s">
        <v>115</v>
      </c>
      <c r="B121" s="24"/>
      <c r="C121" s="24"/>
      <c r="D121" s="24"/>
      <c r="E121" s="24"/>
      <c r="F121" s="24"/>
      <c r="G121" s="24"/>
      <c r="H121" s="25"/>
    </row>
    <row r="122" spans="1:8" ht="15" customHeight="1" thickTop="1" x14ac:dyDescent="0.25">
      <c r="A122" s="11" t="s">
        <v>116</v>
      </c>
      <c r="B122" s="6">
        <v>10</v>
      </c>
      <c r="C122" s="16">
        <v>9</v>
      </c>
      <c r="D122" s="5">
        <f t="shared" ref="D122:D123" si="18">B122+C122</f>
        <v>19</v>
      </c>
      <c r="E122" s="6">
        <v>9</v>
      </c>
      <c r="F122" s="16">
        <v>38</v>
      </c>
      <c r="G122" s="5">
        <f t="shared" ref="G122:G123" si="19">E122+F122</f>
        <v>47</v>
      </c>
      <c r="H122" s="7">
        <f t="shared" ref="H122:H123" si="20">G122+D122</f>
        <v>66</v>
      </c>
    </row>
    <row r="123" spans="1:8" ht="15" customHeight="1" thickBot="1" x14ac:dyDescent="0.3">
      <c r="A123" s="11" t="s">
        <v>117</v>
      </c>
      <c r="B123" s="6">
        <v>27</v>
      </c>
      <c r="C123" s="16">
        <v>237</v>
      </c>
      <c r="D123" s="5">
        <f t="shared" si="18"/>
        <v>264</v>
      </c>
      <c r="E123" s="6">
        <v>24</v>
      </c>
      <c r="F123" s="16">
        <v>123</v>
      </c>
      <c r="G123" s="5">
        <f t="shared" si="19"/>
        <v>147</v>
      </c>
      <c r="H123" s="7">
        <f t="shared" si="20"/>
        <v>411</v>
      </c>
    </row>
    <row r="124" spans="1:8" ht="15" customHeight="1" thickTop="1" thickBot="1" x14ac:dyDescent="0.3">
      <c r="A124" s="12" t="s">
        <v>6</v>
      </c>
      <c r="B124" s="13">
        <f>SUM(B122:B123)</f>
        <v>37</v>
      </c>
      <c r="C124" s="13">
        <f t="shared" ref="C124:H124" si="21">SUM(C122:C123)</f>
        <v>246</v>
      </c>
      <c r="D124" s="13">
        <f t="shared" si="21"/>
        <v>283</v>
      </c>
      <c r="E124" s="13">
        <f t="shared" si="21"/>
        <v>33</v>
      </c>
      <c r="F124" s="13">
        <f t="shared" si="21"/>
        <v>161</v>
      </c>
      <c r="G124" s="13">
        <f t="shared" si="21"/>
        <v>194</v>
      </c>
      <c r="H124" s="15">
        <f t="shared" si="21"/>
        <v>477</v>
      </c>
    </row>
    <row r="125" spans="1:8" ht="15" customHeight="1" thickTop="1" thickBot="1" x14ac:dyDescent="0.3">
      <c r="A125" s="23" t="s">
        <v>145</v>
      </c>
      <c r="B125" s="24"/>
      <c r="C125" s="24"/>
      <c r="D125" s="24"/>
      <c r="E125" s="24"/>
      <c r="F125" s="24"/>
      <c r="G125" s="24"/>
      <c r="H125" s="25"/>
    </row>
    <row r="126" spans="1:8" ht="15" customHeight="1" thickTop="1" x14ac:dyDescent="0.25">
      <c r="A126" s="11" t="s">
        <v>248</v>
      </c>
      <c r="B126" s="6">
        <v>0</v>
      </c>
      <c r="C126" s="16">
        <v>0</v>
      </c>
      <c r="D126" s="5">
        <f t="shared" ref="D126:D136" si="22">B126+C126</f>
        <v>0</v>
      </c>
      <c r="E126" s="6">
        <v>0</v>
      </c>
      <c r="F126" s="16">
        <v>1</v>
      </c>
      <c r="G126" s="5">
        <f t="shared" ref="G126:G136" si="23">E126+F126</f>
        <v>1</v>
      </c>
      <c r="H126" s="7">
        <f t="shared" ref="H126:H136" si="24">G126+D126</f>
        <v>1</v>
      </c>
    </row>
    <row r="127" spans="1:8" ht="15" customHeight="1" x14ac:dyDescent="0.25">
      <c r="A127" s="11" t="s">
        <v>118</v>
      </c>
      <c r="B127" s="6">
        <v>0</v>
      </c>
      <c r="C127" s="16">
        <v>1</v>
      </c>
      <c r="D127" s="5">
        <f t="shared" si="22"/>
        <v>1</v>
      </c>
      <c r="E127" s="6">
        <v>0</v>
      </c>
      <c r="F127" s="16">
        <v>1</v>
      </c>
      <c r="G127" s="5">
        <f t="shared" si="23"/>
        <v>1</v>
      </c>
      <c r="H127" s="7">
        <f t="shared" si="24"/>
        <v>2</v>
      </c>
    </row>
    <row r="128" spans="1:8" ht="15" customHeight="1" x14ac:dyDescent="0.25">
      <c r="A128" s="11" t="s">
        <v>119</v>
      </c>
      <c r="B128" s="6">
        <v>0</v>
      </c>
      <c r="C128" s="16">
        <v>1</v>
      </c>
      <c r="D128" s="5">
        <f t="shared" si="22"/>
        <v>1</v>
      </c>
      <c r="E128" s="6">
        <v>1</v>
      </c>
      <c r="F128" s="16">
        <v>1</v>
      </c>
      <c r="G128" s="5">
        <f t="shared" si="23"/>
        <v>2</v>
      </c>
      <c r="H128" s="7">
        <f t="shared" si="24"/>
        <v>3</v>
      </c>
    </row>
    <row r="129" spans="1:8" ht="15" customHeight="1" x14ac:dyDescent="0.25">
      <c r="A129" s="11" t="s">
        <v>120</v>
      </c>
      <c r="B129" s="6">
        <v>0</v>
      </c>
      <c r="C129" s="16">
        <v>1</v>
      </c>
      <c r="D129" s="5">
        <f t="shared" si="22"/>
        <v>1</v>
      </c>
      <c r="E129" s="6">
        <v>0</v>
      </c>
      <c r="F129" s="16">
        <v>1</v>
      </c>
      <c r="G129" s="5">
        <f t="shared" si="23"/>
        <v>1</v>
      </c>
      <c r="H129" s="7">
        <f t="shared" si="24"/>
        <v>2</v>
      </c>
    </row>
    <row r="130" spans="1:8" ht="15" customHeight="1" x14ac:dyDescent="0.25">
      <c r="A130" s="11" t="s">
        <v>122</v>
      </c>
      <c r="B130" s="6">
        <v>1</v>
      </c>
      <c r="C130" s="16">
        <v>0</v>
      </c>
      <c r="D130" s="5">
        <f t="shared" si="22"/>
        <v>1</v>
      </c>
      <c r="E130" s="6">
        <v>0</v>
      </c>
      <c r="F130" s="16">
        <v>0</v>
      </c>
      <c r="G130" s="5">
        <f t="shared" si="23"/>
        <v>0</v>
      </c>
      <c r="H130" s="7">
        <f t="shared" si="24"/>
        <v>1</v>
      </c>
    </row>
    <row r="131" spans="1:8" ht="15" customHeight="1" x14ac:dyDescent="0.25">
      <c r="A131" s="11" t="s">
        <v>157</v>
      </c>
      <c r="B131" s="6">
        <v>1</v>
      </c>
      <c r="C131" s="16">
        <v>0</v>
      </c>
      <c r="D131" s="5">
        <f t="shared" si="22"/>
        <v>1</v>
      </c>
      <c r="E131" s="6">
        <v>0</v>
      </c>
      <c r="F131" s="16">
        <v>0</v>
      </c>
      <c r="G131" s="5">
        <f t="shared" si="23"/>
        <v>0</v>
      </c>
      <c r="H131" s="7">
        <f t="shared" si="24"/>
        <v>1</v>
      </c>
    </row>
    <row r="132" spans="1:8" ht="15" customHeight="1" x14ac:dyDescent="0.25">
      <c r="A132" s="11" t="s">
        <v>123</v>
      </c>
      <c r="B132" s="6">
        <v>1</v>
      </c>
      <c r="C132" s="16">
        <v>0</v>
      </c>
      <c r="D132" s="5">
        <f t="shared" si="22"/>
        <v>1</v>
      </c>
      <c r="E132" s="6">
        <v>1</v>
      </c>
      <c r="F132" s="16">
        <v>4</v>
      </c>
      <c r="G132" s="5">
        <f t="shared" si="23"/>
        <v>5</v>
      </c>
      <c r="H132" s="7">
        <f t="shared" si="24"/>
        <v>6</v>
      </c>
    </row>
    <row r="133" spans="1:8" ht="15" customHeight="1" x14ac:dyDescent="0.25">
      <c r="A133" s="11" t="s">
        <v>228</v>
      </c>
      <c r="B133" s="6">
        <v>0</v>
      </c>
      <c r="C133" s="16">
        <v>0</v>
      </c>
      <c r="D133" s="5">
        <f t="shared" si="22"/>
        <v>0</v>
      </c>
      <c r="E133" s="6">
        <v>0</v>
      </c>
      <c r="F133" s="16">
        <v>1</v>
      </c>
      <c r="G133" s="5">
        <f t="shared" si="23"/>
        <v>1</v>
      </c>
      <c r="H133" s="7">
        <f t="shared" si="24"/>
        <v>1</v>
      </c>
    </row>
    <row r="134" spans="1:8" ht="15" customHeight="1" x14ac:dyDescent="0.25">
      <c r="A134" s="11" t="s">
        <v>124</v>
      </c>
      <c r="B134" s="6">
        <v>0</v>
      </c>
      <c r="C134" s="16">
        <v>1</v>
      </c>
      <c r="D134" s="5">
        <f t="shared" si="22"/>
        <v>1</v>
      </c>
      <c r="E134" s="6">
        <v>0</v>
      </c>
      <c r="F134" s="16">
        <v>0</v>
      </c>
      <c r="G134" s="5">
        <f t="shared" si="23"/>
        <v>0</v>
      </c>
      <c r="H134" s="7">
        <f t="shared" si="24"/>
        <v>1</v>
      </c>
    </row>
    <row r="135" spans="1:8" ht="15" customHeight="1" x14ac:dyDescent="0.25">
      <c r="A135" s="11" t="s">
        <v>125</v>
      </c>
      <c r="B135" s="6">
        <v>0</v>
      </c>
      <c r="C135" s="16">
        <v>1</v>
      </c>
      <c r="D135" s="5">
        <f t="shared" si="22"/>
        <v>1</v>
      </c>
      <c r="E135" s="6">
        <v>0</v>
      </c>
      <c r="F135" s="16">
        <v>1</v>
      </c>
      <c r="G135" s="5">
        <f t="shared" si="23"/>
        <v>1</v>
      </c>
      <c r="H135" s="7">
        <f t="shared" si="24"/>
        <v>2</v>
      </c>
    </row>
    <row r="136" spans="1:8" ht="15" customHeight="1" thickBot="1" x14ac:dyDescent="0.3">
      <c r="A136" s="11" t="s">
        <v>126</v>
      </c>
      <c r="B136" s="6">
        <v>1</v>
      </c>
      <c r="C136" s="16">
        <v>2</v>
      </c>
      <c r="D136" s="5">
        <f t="shared" si="22"/>
        <v>3</v>
      </c>
      <c r="E136" s="6">
        <v>2</v>
      </c>
      <c r="F136" s="16">
        <v>0</v>
      </c>
      <c r="G136" s="5">
        <f t="shared" si="23"/>
        <v>2</v>
      </c>
      <c r="H136" s="7">
        <f t="shared" si="24"/>
        <v>5</v>
      </c>
    </row>
    <row r="137" spans="1:8" ht="15" customHeight="1" thickTop="1" thickBot="1" x14ac:dyDescent="0.3">
      <c r="A137" s="12" t="s">
        <v>6</v>
      </c>
      <c r="B137" s="13">
        <f>SUM(B126:B136)</f>
        <v>4</v>
      </c>
      <c r="C137" s="13">
        <f t="shared" ref="C137:H137" si="25">SUM(C126:C136)</f>
        <v>7</v>
      </c>
      <c r="D137" s="13">
        <f t="shared" si="25"/>
        <v>11</v>
      </c>
      <c r="E137" s="13">
        <f t="shared" si="25"/>
        <v>4</v>
      </c>
      <c r="F137" s="13">
        <f t="shared" si="25"/>
        <v>10</v>
      </c>
      <c r="G137" s="13">
        <f t="shared" si="25"/>
        <v>14</v>
      </c>
      <c r="H137" s="15">
        <f t="shared" si="25"/>
        <v>25</v>
      </c>
    </row>
    <row r="138" spans="1:8" ht="15" customHeight="1" thickTop="1" thickBot="1" x14ac:dyDescent="0.3">
      <c r="A138" s="23" t="s">
        <v>127</v>
      </c>
      <c r="B138" s="24"/>
      <c r="C138" s="24"/>
      <c r="D138" s="24"/>
      <c r="E138" s="24"/>
      <c r="F138" s="24"/>
      <c r="G138" s="24"/>
      <c r="H138" s="25"/>
    </row>
    <row r="139" spans="1:8" ht="15" customHeight="1" thickTop="1" x14ac:dyDescent="0.25">
      <c r="A139" s="11" t="s">
        <v>128</v>
      </c>
      <c r="B139" s="6">
        <v>2</v>
      </c>
      <c r="C139" s="16">
        <v>0</v>
      </c>
      <c r="D139" s="5">
        <f t="shared" ref="D139:D150" si="26">B139+C139</f>
        <v>2</v>
      </c>
      <c r="E139" s="6">
        <v>1</v>
      </c>
      <c r="F139" s="16">
        <v>4</v>
      </c>
      <c r="G139" s="5">
        <f t="shared" ref="G139:G150" si="27">E139+F139</f>
        <v>5</v>
      </c>
      <c r="H139" s="7">
        <f t="shared" ref="H139:H151" si="28">G139+D139</f>
        <v>7</v>
      </c>
    </row>
    <row r="140" spans="1:8" ht="15" customHeight="1" x14ac:dyDescent="0.25">
      <c r="A140" s="11" t="s">
        <v>129</v>
      </c>
      <c r="B140" s="6">
        <v>0</v>
      </c>
      <c r="C140" s="16">
        <v>0</v>
      </c>
      <c r="D140" s="5">
        <f t="shared" si="26"/>
        <v>0</v>
      </c>
      <c r="E140" s="6">
        <v>0</v>
      </c>
      <c r="F140" s="16">
        <v>1</v>
      </c>
      <c r="G140" s="5">
        <f t="shared" si="27"/>
        <v>1</v>
      </c>
      <c r="H140" s="7">
        <f t="shared" si="28"/>
        <v>1</v>
      </c>
    </row>
    <row r="141" spans="1:8" ht="15" customHeight="1" x14ac:dyDescent="0.25">
      <c r="A141" s="11" t="s">
        <v>130</v>
      </c>
      <c r="B141" s="6">
        <v>2</v>
      </c>
      <c r="C141" s="16">
        <v>3</v>
      </c>
      <c r="D141" s="5">
        <f t="shared" si="26"/>
        <v>5</v>
      </c>
      <c r="E141" s="6">
        <v>4</v>
      </c>
      <c r="F141" s="16">
        <v>36</v>
      </c>
      <c r="G141" s="5">
        <f t="shared" si="27"/>
        <v>40</v>
      </c>
      <c r="H141" s="7">
        <f t="shared" si="28"/>
        <v>45</v>
      </c>
    </row>
    <row r="142" spans="1:8" ht="15" customHeight="1" x14ac:dyDescent="0.25">
      <c r="A142" s="11" t="s">
        <v>131</v>
      </c>
      <c r="B142" s="6">
        <v>1</v>
      </c>
      <c r="C142" s="16">
        <v>2</v>
      </c>
      <c r="D142" s="5">
        <f t="shared" si="26"/>
        <v>3</v>
      </c>
      <c r="E142" s="6">
        <v>1</v>
      </c>
      <c r="F142" s="16">
        <v>5</v>
      </c>
      <c r="G142" s="5">
        <f t="shared" si="27"/>
        <v>6</v>
      </c>
      <c r="H142" s="7">
        <f t="shared" si="28"/>
        <v>9</v>
      </c>
    </row>
    <row r="143" spans="1:8" ht="15" customHeight="1" x14ac:dyDescent="0.25">
      <c r="A143" s="11" t="s">
        <v>132</v>
      </c>
      <c r="B143" s="6">
        <v>2</v>
      </c>
      <c r="C143" s="16">
        <v>2</v>
      </c>
      <c r="D143" s="5">
        <f t="shared" si="26"/>
        <v>4</v>
      </c>
      <c r="E143" s="6">
        <v>3</v>
      </c>
      <c r="F143" s="16">
        <v>7</v>
      </c>
      <c r="G143" s="5">
        <f t="shared" si="27"/>
        <v>10</v>
      </c>
      <c r="H143" s="7">
        <f t="shared" si="28"/>
        <v>14</v>
      </c>
    </row>
    <row r="144" spans="1:8" ht="15" customHeight="1" x14ac:dyDescent="0.25">
      <c r="A144" s="11" t="s">
        <v>216</v>
      </c>
      <c r="B144" s="6">
        <v>0</v>
      </c>
      <c r="C144" s="16">
        <v>0</v>
      </c>
      <c r="D144" s="5">
        <f t="shared" si="26"/>
        <v>0</v>
      </c>
      <c r="E144" s="6">
        <v>0</v>
      </c>
      <c r="F144" s="16">
        <v>1</v>
      </c>
      <c r="G144" s="5">
        <f t="shared" si="27"/>
        <v>1</v>
      </c>
      <c r="H144" s="7">
        <f t="shared" si="28"/>
        <v>1</v>
      </c>
    </row>
    <row r="145" spans="1:8" ht="15" customHeight="1" x14ac:dyDescent="0.25">
      <c r="A145" s="11" t="s">
        <v>134</v>
      </c>
      <c r="B145" s="6">
        <v>0</v>
      </c>
      <c r="C145" s="16">
        <v>2</v>
      </c>
      <c r="D145" s="5">
        <f t="shared" si="26"/>
        <v>2</v>
      </c>
      <c r="E145" s="6">
        <v>1</v>
      </c>
      <c r="F145" s="16">
        <v>0</v>
      </c>
      <c r="G145" s="5">
        <f t="shared" si="27"/>
        <v>1</v>
      </c>
      <c r="H145" s="7">
        <f t="shared" si="28"/>
        <v>3</v>
      </c>
    </row>
    <row r="146" spans="1:8" ht="15" customHeight="1" x14ac:dyDescent="0.25">
      <c r="A146" s="11" t="s">
        <v>135</v>
      </c>
      <c r="B146" s="6">
        <v>0</v>
      </c>
      <c r="C146" s="16">
        <v>0</v>
      </c>
      <c r="D146" s="5">
        <f t="shared" si="26"/>
        <v>0</v>
      </c>
      <c r="E146" s="6">
        <v>0</v>
      </c>
      <c r="F146" s="16">
        <v>28</v>
      </c>
      <c r="G146" s="5">
        <f t="shared" si="27"/>
        <v>28</v>
      </c>
      <c r="H146" s="7">
        <f t="shared" si="28"/>
        <v>28</v>
      </c>
    </row>
    <row r="147" spans="1:8" ht="15" customHeight="1" x14ac:dyDescent="0.25">
      <c r="A147" s="11" t="s">
        <v>200</v>
      </c>
      <c r="B147" s="6">
        <v>0</v>
      </c>
      <c r="C147" s="16">
        <v>0</v>
      </c>
      <c r="D147" s="5">
        <f t="shared" si="26"/>
        <v>0</v>
      </c>
      <c r="E147" s="6">
        <v>0</v>
      </c>
      <c r="F147" s="16">
        <v>1</v>
      </c>
      <c r="G147" s="5">
        <f t="shared" si="27"/>
        <v>1</v>
      </c>
      <c r="H147" s="7">
        <f t="shared" si="28"/>
        <v>1</v>
      </c>
    </row>
    <row r="148" spans="1:8" ht="15" customHeight="1" x14ac:dyDescent="0.25">
      <c r="A148" s="11" t="s">
        <v>136</v>
      </c>
      <c r="B148" s="6">
        <v>0</v>
      </c>
      <c r="C148" s="16">
        <v>0</v>
      </c>
      <c r="D148" s="5">
        <f t="shared" si="26"/>
        <v>0</v>
      </c>
      <c r="E148" s="6">
        <v>0</v>
      </c>
      <c r="F148" s="16">
        <v>2</v>
      </c>
      <c r="G148" s="5">
        <f t="shared" si="27"/>
        <v>2</v>
      </c>
      <c r="H148" s="7">
        <f t="shared" si="28"/>
        <v>2</v>
      </c>
    </row>
    <row r="149" spans="1:8" ht="15" customHeight="1" x14ac:dyDescent="0.25">
      <c r="A149" s="11" t="s">
        <v>233</v>
      </c>
      <c r="B149" s="6">
        <v>1</v>
      </c>
      <c r="C149" s="16">
        <v>0</v>
      </c>
      <c r="D149" s="5">
        <f t="shared" si="26"/>
        <v>1</v>
      </c>
      <c r="E149" s="6">
        <v>0</v>
      </c>
      <c r="F149" s="16">
        <v>0</v>
      </c>
      <c r="G149" s="5">
        <f t="shared" si="27"/>
        <v>0</v>
      </c>
      <c r="H149" s="7">
        <f t="shared" si="28"/>
        <v>1</v>
      </c>
    </row>
    <row r="150" spans="1:8" ht="15" customHeight="1" thickBot="1" x14ac:dyDescent="0.3">
      <c r="A150" s="11" t="s">
        <v>203</v>
      </c>
      <c r="B150" s="6">
        <v>1</v>
      </c>
      <c r="C150" s="16">
        <v>3</v>
      </c>
      <c r="D150" s="5">
        <f t="shared" si="26"/>
        <v>4</v>
      </c>
      <c r="E150" s="6">
        <v>0</v>
      </c>
      <c r="F150" s="16">
        <v>5</v>
      </c>
      <c r="G150" s="5">
        <f t="shared" si="27"/>
        <v>5</v>
      </c>
      <c r="H150" s="7">
        <f t="shared" si="28"/>
        <v>9</v>
      </c>
    </row>
    <row r="151" spans="1:8" ht="15" customHeight="1" thickTop="1" thickBot="1" x14ac:dyDescent="0.3">
      <c r="A151" s="12" t="s">
        <v>6</v>
      </c>
      <c r="B151" s="14">
        <f>SUM(B139:B150)</f>
        <v>9</v>
      </c>
      <c r="C151" s="14">
        <f t="shared" ref="C151:H151" si="29">SUM(C139:C150)</f>
        <v>12</v>
      </c>
      <c r="D151" s="14">
        <f t="shared" si="29"/>
        <v>21</v>
      </c>
      <c r="E151" s="14">
        <f t="shared" si="29"/>
        <v>10</v>
      </c>
      <c r="F151" s="14">
        <f t="shared" si="29"/>
        <v>90</v>
      </c>
      <c r="G151" s="14">
        <f t="shared" si="29"/>
        <v>100</v>
      </c>
      <c r="H151" s="46">
        <f t="shared" si="29"/>
        <v>121</v>
      </c>
    </row>
    <row r="152" spans="1:8" ht="15" customHeight="1" thickTop="1" thickBot="1" x14ac:dyDescent="0.3">
      <c r="A152" s="23" t="s">
        <v>138</v>
      </c>
      <c r="B152" s="24"/>
      <c r="C152" s="24"/>
      <c r="D152" s="24"/>
      <c r="E152" s="24"/>
      <c r="F152" s="24"/>
      <c r="G152" s="24"/>
      <c r="H152" s="25"/>
    </row>
    <row r="153" spans="1:8" ht="15" customHeight="1" thickTop="1" x14ac:dyDescent="0.25">
      <c r="A153" s="11" t="s">
        <v>139</v>
      </c>
      <c r="B153" s="6">
        <v>18</v>
      </c>
      <c r="C153" s="16">
        <v>9</v>
      </c>
      <c r="D153" s="5">
        <f t="shared" ref="D153:D155" si="30">B153+C153</f>
        <v>27</v>
      </c>
      <c r="E153" s="6">
        <v>18</v>
      </c>
      <c r="F153" s="16">
        <v>23</v>
      </c>
      <c r="G153" s="5">
        <f t="shared" ref="G153:G155" si="31">E153+F153</f>
        <v>41</v>
      </c>
      <c r="H153" s="7">
        <f t="shared" ref="H153:H155" si="32">G153+D153</f>
        <v>68</v>
      </c>
    </row>
    <row r="154" spans="1:8" ht="15" customHeight="1" x14ac:dyDescent="0.25">
      <c r="A154" s="11" t="s">
        <v>140</v>
      </c>
      <c r="B154" s="6">
        <v>0</v>
      </c>
      <c r="C154" s="16">
        <v>0</v>
      </c>
      <c r="D154" s="5">
        <f t="shared" si="30"/>
        <v>0</v>
      </c>
      <c r="E154" s="6">
        <v>0</v>
      </c>
      <c r="F154" s="16">
        <v>1</v>
      </c>
      <c r="G154" s="5">
        <f t="shared" si="31"/>
        <v>1</v>
      </c>
      <c r="H154" s="7">
        <f t="shared" si="32"/>
        <v>1</v>
      </c>
    </row>
    <row r="155" spans="1:8" ht="15" customHeight="1" thickBot="1" x14ac:dyDescent="0.3">
      <c r="A155" s="11" t="s">
        <v>141</v>
      </c>
      <c r="B155" s="6">
        <v>5</v>
      </c>
      <c r="C155" s="16">
        <v>1</v>
      </c>
      <c r="D155" s="5">
        <f t="shared" si="30"/>
        <v>6</v>
      </c>
      <c r="E155" s="6">
        <v>7</v>
      </c>
      <c r="F155" s="16">
        <v>3</v>
      </c>
      <c r="G155" s="5">
        <f t="shared" si="31"/>
        <v>10</v>
      </c>
      <c r="H155" s="7">
        <f t="shared" si="32"/>
        <v>16</v>
      </c>
    </row>
    <row r="156" spans="1:8" ht="15" customHeight="1" thickTop="1" thickBot="1" x14ac:dyDescent="0.3">
      <c r="A156" s="12" t="s">
        <v>6</v>
      </c>
      <c r="B156" s="13">
        <f t="shared" ref="B156:H156" si="33">SUM(B153:B155)</f>
        <v>23</v>
      </c>
      <c r="C156" s="13">
        <f t="shared" si="33"/>
        <v>10</v>
      </c>
      <c r="D156" s="13">
        <f t="shared" si="33"/>
        <v>33</v>
      </c>
      <c r="E156" s="13">
        <f t="shared" si="33"/>
        <v>25</v>
      </c>
      <c r="F156" s="13">
        <f t="shared" si="33"/>
        <v>27</v>
      </c>
      <c r="G156" s="13">
        <f t="shared" si="33"/>
        <v>52</v>
      </c>
      <c r="H156" s="15">
        <f t="shared" si="33"/>
        <v>85</v>
      </c>
    </row>
    <row r="157" spans="1:8" ht="15" customHeight="1" thickTop="1" thickBot="1" x14ac:dyDescent="0.3">
      <c r="A157" s="23" t="s">
        <v>146</v>
      </c>
      <c r="B157" s="24"/>
      <c r="C157" s="24"/>
      <c r="D157" s="24"/>
      <c r="E157" s="24"/>
      <c r="F157" s="24"/>
      <c r="G157" s="24"/>
      <c r="H157" s="25"/>
    </row>
    <row r="158" spans="1:8" ht="15" customHeight="1" thickTop="1" x14ac:dyDescent="0.25">
      <c r="A158" s="11" t="s">
        <v>206</v>
      </c>
      <c r="B158" s="6">
        <v>16</v>
      </c>
      <c r="C158" s="16">
        <v>1</v>
      </c>
      <c r="D158" s="5">
        <f t="shared" ref="D158:D159" si="34">B158+C158</f>
        <v>17</v>
      </c>
      <c r="E158" s="6">
        <v>84</v>
      </c>
      <c r="F158" s="16">
        <v>9</v>
      </c>
      <c r="G158" s="5">
        <f t="shared" ref="G158:G159" si="35">E158+F158</f>
        <v>93</v>
      </c>
      <c r="H158" s="7">
        <f t="shared" ref="H158:H159" si="36">G158+D158</f>
        <v>110</v>
      </c>
    </row>
    <row r="159" spans="1:8" ht="15" customHeight="1" thickBot="1" x14ac:dyDescent="0.3">
      <c r="A159" s="11" t="s">
        <v>205</v>
      </c>
      <c r="B159" s="6">
        <v>0</v>
      </c>
      <c r="C159" s="16">
        <v>0</v>
      </c>
      <c r="D159" s="5">
        <f t="shared" si="34"/>
        <v>0</v>
      </c>
      <c r="E159" s="6">
        <v>0</v>
      </c>
      <c r="F159" s="16">
        <v>0</v>
      </c>
      <c r="G159" s="5">
        <f t="shared" si="35"/>
        <v>0</v>
      </c>
      <c r="H159" s="7">
        <f t="shared" si="36"/>
        <v>0</v>
      </c>
    </row>
    <row r="160" spans="1:8" ht="15" customHeight="1" thickTop="1" thickBot="1" x14ac:dyDescent="0.3">
      <c r="A160" s="12" t="s">
        <v>6</v>
      </c>
      <c r="B160" s="13">
        <f>SUM(B158:B159)</f>
        <v>16</v>
      </c>
      <c r="C160" s="13">
        <f t="shared" ref="C160:H160" si="37">SUM(C158:C159)</f>
        <v>1</v>
      </c>
      <c r="D160" s="13">
        <f t="shared" si="37"/>
        <v>17</v>
      </c>
      <c r="E160" s="13">
        <f t="shared" si="37"/>
        <v>84</v>
      </c>
      <c r="F160" s="13">
        <f t="shared" si="37"/>
        <v>9</v>
      </c>
      <c r="G160" s="13">
        <f t="shared" si="37"/>
        <v>93</v>
      </c>
      <c r="H160" s="15">
        <f t="shared" si="37"/>
        <v>110</v>
      </c>
    </row>
    <row r="161" spans="1:8" ht="15" customHeight="1" thickTop="1" thickBot="1" x14ac:dyDescent="0.3">
      <c r="A161" s="23"/>
      <c r="B161" s="24"/>
      <c r="C161" s="24"/>
      <c r="D161" s="24"/>
      <c r="E161" s="24"/>
      <c r="F161" s="24"/>
      <c r="G161" s="24"/>
      <c r="H161" s="25"/>
    </row>
    <row r="162" spans="1:8" ht="15" customHeight="1" thickTop="1" thickBot="1" x14ac:dyDescent="0.3">
      <c r="A162" s="43" t="s">
        <v>0</v>
      </c>
      <c r="B162" s="44">
        <f>B22+B46+B62+B90+B120+B124+B137+B151+B156+B160</f>
        <v>1272</v>
      </c>
      <c r="C162" s="44">
        <f t="shared" ref="C162:H162" si="38">C22+C46+C62+C90+C120+C124+C137+C151+C156+C160</f>
        <v>1041</v>
      </c>
      <c r="D162" s="44">
        <f t="shared" si="38"/>
        <v>2313</v>
      </c>
      <c r="E162" s="44">
        <f t="shared" si="38"/>
        <v>1242</v>
      </c>
      <c r="F162" s="44">
        <f t="shared" si="38"/>
        <v>1001</v>
      </c>
      <c r="G162" s="44">
        <f t="shared" si="38"/>
        <v>2243</v>
      </c>
      <c r="H162" s="45">
        <f t="shared" si="38"/>
        <v>4556</v>
      </c>
    </row>
    <row r="164" spans="1:8" ht="15" customHeight="1" x14ac:dyDescent="0.25">
      <c r="A164" s="47" t="s">
        <v>147</v>
      </c>
      <c r="B164" s="47"/>
      <c r="C164" s="47"/>
      <c r="D164" s="47"/>
      <c r="E164" s="47"/>
      <c r="F164" s="47"/>
      <c r="G164" s="47"/>
      <c r="H164" s="47"/>
    </row>
    <row r="165" spans="1:8" ht="15" customHeight="1" x14ac:dyDescent="0.25">
      <c r="A165" s="47" t="s">
        <v>218</v>
      </c>
      <c r="B165" s="47"/>
      <c r="C165" s="47"/>
      <c r="D165" s="47"/>
      <c r="E165" s="47"/>
      <c r="F165" s="47"/>
      <c r="G165" s="47"/>
      <c r="H165" s="47"/>
    </row>
    <row r="175" spans="1:8" ht="25.5" customHeight="1" x14ac:dyDescent="0.25"/>
    <row r="176" spans="1:8" ht="25.5" customHeight="1" x14ac:dyDescent="0.25"/>
  </sheetData>
  <mergeCells count="18">
    <mergeCell ref="A164:H164"/>
    <mergeCell ref="A165:H165"/>
    <mergeCell ref="H5:H6"/>
    <mergeCell ref="A2:H2"/>
    <mergeCell ref="B5:D5"/>
    <mergeCell ref="E5:G5"/>
    <mergeCell ref="A7:H7"/>
    <mergeCell ref="A23:H23"/>
    <mergeCell ref="A157:H157"/>
    <mergeCell ref="A5:A6"/>
    <mergeCell ref="A63:H63"/>
    <mergeCell ref="A91:H91"/>
    <mergeCell ref="A121:H121"/>
    <mergeCell ref="A125:H125"/>
    <mergeCell ref="A138:H138"/>
    <mergeCell ref="A152:H152"/>
    <mergeCell ref="A47:H47"/>
    <mergeCell ref="A161:H161"/>
  </mergeCells>
  <pageMargins left="0.7" right="0.7" top="0.75" bottom="0.75" header="0.3" footer="0.3"/>
  <pageSetup paperSize="9" orientation="portrait" r:id="rId1"/>
  <headerFooter>
    <oddHeader>&amp;CUCL Student Data Statistics</oddHeader>
    <oddFooter>&amp;L&amp;F - &amp;A&amp;RPage &amp;P of &amp;N</oddFooter>
  </headerFooter>
  <rowBreaks count="3" manualBreakCount="3">
    <brk id="46" max="16383" man="1"/>
    <brk id="90" max="16383" man="1"/>
    <brk id="137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176"/>
  <sheetViews>
    <sheetView view="pageLayout" zoomScale="85" zoomScaleNormal="100" zoomScalePageLayoutView="85" workbookViewId="0">
      <selection activeCell="A178" sqref="A178"/>
    </sheetView>
  </sheetViews>
  <sheetFormatPr defaultColWidth="9.140625" defaultRowHeight="15" customHeight="1" x14ac:dyDescent="0.25"/>
  <cols>
    <col min="1" max="1" width="27.42578125" bestFit="1" customWidth="1"/>
    <col min="2" max="8" width="6" customWidth="1"/>
    <col min="9" max="11" width="5.5703125" customWidth="1"/>
  </cols>
  <sheetData>
    <row r="1" spans="1:9" ht="15" customHeight="1" x14ac:dyDescent="0.25">
      <c r="A1" s="1" t="s">
        <v>7</v>
      </c>
      <c r="B1" s="3"/>
    </row>
    <row r="2" spans="1:9" ht="15" customHeight="1" x14ac:dyDescent="0.25">
      <c r="A2" s="31" t="s">
        <v>8</v>
      </c>
      <c r="B2" s="31"/>
      <c r="C2" s="31"/>
      <c r="D2" s="31"/>
      <c r="E2" s="31"/>
      <c r="F2" s="31"/>
      <c r="G2" s="31"/>
      <c r="H2" s="31"/>
    </row>
    <row r="3" spans="1:9" ht="15" customHeight="1" x14ac:dyDescent="0.25">
      <c r="A3" s="2" t="str">
        <f ca="1">RIGHT(CELL("filename",A1),LEN(CELL("filename",A1))-FIND("]",CELL("filename",A1)))</f>
        <v>1996-97</v>
      </c>
      <c r="B3" s="3"/>
    </row>
    <row r="4" spans="1:9" ht="15" customHeight="1" thickBot="1" x14ac:dyDescent="0.3">
      <c r="A4" s="3"/>
      <c r="B4" s="3"/>
    </row>
    <row r="5" spans="1:9" ht="15" customHeight="1" x14ac:dyDescent="0.25">
      <c r="A5" s="29" t="s">
        <v>3</v>
      </c>
      <c r="B5" s="26" t="s">
        <v>1</v>
      </c>
      <c r="C5" s="27"/>
      <c r="D5" s="27"/>
      <c r="E5" s="26" t="s">
        <v>2</v>
      </c>
      <c r="F5" s="27"/>
      <c r="G5" s="27"/>
      <c r="H5" s="62" t="s">
        <v>0</v>
      </c>
    </row>
    <row r="6" spans="1:9" ht="15" customHeight="1" x14ac:dyDescent="0.25">
      <c r="A6" s="30"/>
      <c r="B6" s="59" t="s">
        <v>4</v>
      </c>
      <c r="C6" s="60" t="s">
        <v>5</v>
      </c>
      <c r="D6" s="61" t="s">
        <v>0</v>
      </c>
      <c r="E6" s="59" t="s">
        <v>4</v>
      </c>
      <c r="F6" s="60" t="s">
        <v>5</v>
      </c>
      <c r="G6" s="61" t="s">
        <v>0</v>
      </c>
      <c r="H6" s="63"/>
      <c r="I6" s="22"/>
    </row>
    <row r="7" spans="1:9" ht="15" customHeight="1" thickBot="1" x14ac:dyDescent="0.3">
      <c r="A7" s="32" t="s">
        <v>9</v>
      </c>
      <c r="B7" s="33"/>
      <c r="C7" s="33"/>
      <c r="D7" s="33"/>
      <c r="E7" s="33"/>
      <c r="F7" s="33"/>
      <c r="G7" s="33"/>
      <c r="H7" s="34"/>
    </row>
    <row r="8" spans="1:9" ht="15" customHeight="1" thickTop="1" x14ac:dyDescent="0.25">
      <c r="A8" s="11" t="s">
        <v>10</v>
      </c>
      <c r="B8" s="6">
        <v>13</v>
      </c>
      <c r="C8" s="4">
        <v>0</v>
      </c>
      <c r="D8" s="5">
        <f t="shared" ref="D8:D46" si="0">B8+C8</f>
        <v>13</v>
      </c>
      <c r="E8" s="6">
        <v>11</v>
      </c>
      <c r="F8" s="4">
        <v>1</v>
      </c>
      <c r="G8" s="5">
        <f t="shared" ref="G8:G47" si="1">E8+F8</f>
        <v>12</v>
      </c>
      <c r="H8" s="7">
        <f>G8+D8</f>
        <v>25</v>
      </c>
    </row>
    <row r="9" spans="1:9" ht="15" customHeight="1" x14ac:dyDescent="0.25">
      <c r="A9" s="11" t="s">
        <v>11</v>
      </c>
      <c r="B9" s="6">
        <v>17</v>
      </c>
      <c r="C9" s="4">
        <v>1</v>
      </c>
      <c r="D9" s="5">
        <f t="shared" si="0"/>
        <v>18</v>
      </c>
      <c r="E9" s="6">
        <v>17</v>
      </c>
      <c r="F9" s="4">
        <v>1</v>
      </c>
      <c r="G9" s="5">
        <f t="shared" si="1"/>
        <v>18</v>
      </c>
      <c r="H9" s="7">
        <f t="shared" ref="H9:H47" si="2">G9+D9</f>
        <v>36</v>
      </c>
    </row>
    <row r="10" spans="1:9" ht="15" customHeight="1" x14ac:dyDescent="0.25">
      <c r="A10" s="11" t="s">
        <v>12</v>
      </c>
      <c r="B10" s="6">
        <v>23</v>
      </c>
      <c r="C10" s="4">
        <v>1</v>
      </c>
      <c r="D10" s="5">
        <f t="shared" si="0"/>
        <v>24</v>
      </c>
      <c r="E10" s="6">
        <v>17</v>
      </c>
      <c r="F10" s="4">
        <v>0</v>
      </c>
      <c r="G10" s="5">
        <f t="shared" si="1"/>
        <v>17</v>
      </c>
      <c r="H10" s="7">
        <f t="shared" si="2"/>
        <v>41</v>
      </c>
    </row>
    <row r="11" spans="1:9" ht="15" customHeight="1" x14ac:dyDescent="0.25">
      <c r="A11" s="11" t="s">
        <v>13</v>
      </c>
      <c r="B11" s="6">
        <v>59</v>
      </c>
      <c r="C11" s="4">
        <v>4</v>
      </c>
      <c r="D11" s="5">
        <f t="shared" si="0"/>
        <v>63</v>
      </c>
      <c r="E11" s="6">
        <v>71</v>
      </c>
      <c r="F11" s="4">
        <v>0</v>
      </c>
      <c r="G11" s="5">
        <f t="shared" si="1"/>
        <v>71</v>
      </c>
      <c r="H11" s="7">
        <f t="shared" si="2"/>
        <v>134</v>
      </c>
    </row>
    <row r="12" spans="1:9" ht="15" customHeight="1" x14ac:dyDescent="0.25">
      <c r="A12" s="11" t="s">
        <v>14</v>
      </c>
      <c r="B12" s="6">
        <v>30</v>
      </c>
      <c r="C12" s="4">
        <v>1</v>
      </c>
      <c r="D12" s="5">
        <f t="shared" si="0"/>
        <v>31</v>
      </c>
      <c r="E12" s="6">
        <v>8</v>
      </c>
      <c r="F12" s="4">
        <v>1</v>
      </c>
      <c r="G12" s="5">
        <f t="shared" si="1"/>
        <v>9</v>
      </c>
      <c r="H12" s="7">
        <f t="shared" si="2"/>
        <v>40</v>
      </c>
    </row>
    <row r="13" spans="1:9" ht="15" customHeight="1" x14ac:dyDescent="0.25">
      <c r="A13" s="11" t="s">
        <v>15</v>
      </c>
      <c r="B13" s="6">
        <v>78</v>
      </c>
      <c r="C13" s="4">
        <v>2</v>
      </c>
      <c r="D13" s="5">
        <f t="shared" si="0"/>
        <v>80</v>
      </c>
      <c r="E13" s="6">
        <v>60</v>
      </c>
      <c r="F13" s="4">
        <v>1</v>
      </c>
      <c r="G13" s="5">
        <f t="shared" si="1"/>
        <v>61</v>
      </c>
      <c r="H13" s="7">
        <f t="shared" si="2"/>
        <v>141</v>
      </c>
    </row>
    <row r="14" spans="1:9" ht="15" customHeight="1" x14ac:dyDescent="0.25">
      <c r="A14" s="11" t="s">
        <v>16</v>
      </c>
      <c r="B14" s="6">
        <v>182</v>
      </c>
      <c r="C14" s="4">
        <v>4</v>
      </c>
      <c r="D14" s="5">
        <f t="shared" si="0"/>
        <v>186</v>
      </c>
      <c r="E14" s="6">
        <v>144</v>
      </c>
      <c r="F14" s="4">
        <v>3</v>
      </c>
      <c r="G14" s="5">
        <f t="shared" si="1"/>
        <v>147</v>
      </c>
      <c r="H14" s="7">
        <f t="shared" si="2"/>
        <v>333</v>
      </c>
    </row>
    <row r="15" spans="1:9" ht="15" customHeight="1" x14ac:dyDescent="0.25">
      <c r="A15" s="11" t="s">
        <v>17</v>
      </c>
      <c r="B15" s="6">
        <v>125</v>
      </c>
      <c r="C15" s="4">
        <v>1</v>
      </c>
      <c r="D15" s="5">
        <f t="shared" si="0"/>
        <v>126</v>
      </c>
      <c r="E15" s="6">
        <v>197</v>
      </c>
      <c r="F15" s="4">
        <v>2</v>
      </c>
      <c r="G15" s="5">
        <f t="shared" si="1"/>
        <v>199</v>
      </c>
      <c r="H15" s="7">
        <f t="shared" si="2"/>
        <v>325</v>
      </c>
    </row>
    <row r="16" spans="1:9" ht="15" customHeight="1" x14ac:dyDescent="0.25">
      <c r="A16" s="11" t="s">
        <v>18</v>
      </c>
      <c r="B16" s="6">
        <v>150</v>
      </c>
      <c r="C16" s="4">
        <v>4</v>
      </c>
      <c r="D16" s="5">
        <f t="shared" si="0"/>
        <v>154</v>
      </c>
      <c r="E16" s="6">
        <v>89</v>
      </c>
      <c r="F16" s="4">
        <v>3</v>
      </c>
      <c r="G16" s="5">
        <f t="shared" si="1"/>
        <v>92</v>
      </c>
      <c r="H16" s="7">
        <f t="shared" si="2"/>
        <v>246</v>
      </c>
    </row>
    <row r="17" spans="1:8" ht="15" customHeight="1" x14ac:dyDescent="0.25">
      <c r="A17" s="11" t="s">
        <v>19</v>
      </c>
      <c r="B17" s="6">
        <v>4</v>
      </c>
      <c r="C17" s="4">
        <v>0</v>
      </c>
      <c r="D17" s="5">
        <f t="shared" si="0"/>
        <v>4</v>
      </c>
      <c r="E17" s="6">
        <v>2</v>
      </c>
      <c r="F17" s="4">
        <v>0</v>
      </c>
      <c r="G17" s="5">
        <f t="shared" si="1"/>
        <v>2</v>
      </c>
      <c r="H17" s="7">
        <f t="shared" si="2"/>
        <v>6</v>
      </c>
    </row>
    <row r="18" spans="1:8" ht="15" customHeight="1" x14ac:dyDescent="0.25">
      <c r="A18" s="11" t="s">
        <v>20</v>
      </c>
      <c r="B18" s="6">
        <v>41</v>
      </c>
      <c r="C18" s="4">
        <v>1</v>
      </c>
      <c r="D18" s="5">
        <f t="shared" si="0"/>
        <v>42</v>
      </c>
      <c r="E18" s="6">
        <v>25</v>
      </c>
      <c r="F18" s="4">
        <v>0</v>
      </c>
      <c r="G18" s="5">
        <f t="shared" si="1"/>
        <v>25</v>
      </c>
      <c r="H18" s="7">
        <f t="shared" si="2"/>
        <v>67</v>
      </c>
    </row>
    <row r="19" spans="1:8" ht="15" customHeight="1" x14ac:dyDescent="0.25">
      <c r="A19" s="11" t="s">
        <v>21</v>
      </c>
      <c r="B19" s="6">
        <v>22</v>
      </c>
      <c r="C19" s="4">
        <v>3</v>
      </c>
      <c r="D19" s="5">
        <f t="shared" si="0"/>
        <v>25</v>
      </c>
      <c r="E19" s="6">
        <v>39</v>
      </c>
      <c r="F19" s="4">
        <v>2</v>
      </c>
      <c r="G19" s="5">
        <f t="shared" si="1"/>
        <v>41</v>
      </c>
      <c r="H19" s="7">
        <f t="shared" si="2"/>
        <v>66</v>
      </c>
    </row>
    <row r="20" spans="1:8" ht="15" customHeight="1" x14ac:dyDescent="0.25">
      <c r="A20" s="11" t="s">
        <v>22</v>
      </c>
      <c r="B20" s="6">
        <v>59</v>
      </c>
      <c r="C20" s="4">
        <v>0</v>
      </c>
      <c r="D20" s="5">
        <f t="shared" si="0"/>
        <v>59</v>
      </c>
      <c r="E20" s="6">
        <v>51</v>
      </c>
      <c r="F20" s="4">
        <v>1</v>
      </c>
      <c r="G20" s="5">
        <f t="shared" si="1"/>
        <v>52</v>
      </c>
      <c r="H20" s="7">
        <f t="shared" si="2"/>
        <v>111</v>
      </c>
    </row>
    <row r="21" spans="1:8" ht="15" customHeight="1" thickBot="1" x14ac:dyDescent="0.3">
      <c r="A21" s="11" t="s">
        <v>23</v>
      </c>
      <c r="B21" s="8">
        <v>49</v>
      </c>
      <c r="C21" s="9">
        <v>1</v>
      </c>
      <c r="D21" s="10">
        <f t="shared" si="0"/>
        <v>50</v>
      </c>
      <c r="E21" s="8">
        <v>15</v>
      </c>
      <c r="F21" s="9">
        <v>1</v>
      </c>
      <c r="G21" s="5">
        <f t="shared" si="1"/>
        <v>16</v>
      </c>
      <c r="H21" s="7">
        <f t="shared" si="2"/>
        <v>66</v>
      </c>
    </row>
    <row r="22" spans="1:8" ht="15" customHeight="1" thickTop="1" thickBot="1" x14ac:dyDescent="0.3">
      <c r="A22" s="12" t="s">
        <v>6</v>
      </c>
      <c r="B22" s="13">
        <f>SUM(B8:B21)</f>
        <v>852</v>
      </c>
      <c r="C22" s="13">
        <f>SUM(C8:C21)</f>
        <v>23</v>
      </c>
      <c r="D22" s="13">
        <f>SUM(D8:D21)</f>
        <v>875</v>
      </c>
      <c r="E22" s="13">
        <f>SUM(E8:E21)</f>
        <v>746</v>
      </c>
      <c r="F22" s="13">
        <f>SUM(F8:F21)</f>
        <v>16</v>
      </c>
      <c r="G22" s="14">
        <f t="shared" si="1"/>
        <v>762</v>
      </c>
      <c r="H22" s="15">
        <f t="shared" si="2"/>
        <v>1637</v>
      </c>
    </row>
    <row r="23" spans="1:8" ht="15" customHeight="1" thickTop="1" thickBot="1" x14ac:dyDescent="0.3">
      <c r="A23" s="23" t="s">
        <v>24</v>
      </c>
      <c r="B23" s="24"/>
      <c r="C23" s="24"/>
      <c r="D23" s="24"/>
      <c r="E23" s="24"/>
      <c r="F23" s="24"/>
      <c r="G23" s="24"/>
      <c r="H23" s="25"/>
    </row>
    <row r="24" spans="1:8" ht="15" customHeight="1" thickTop="1" x14ac:dyDescent="0.25">
      <c r="A24" s="11" t="s">
        <v>25</v>
      </c>
      <c r="B24" s="6">
        <v>3</v>
      </c>
      <c r="C24" s="16">
        <v>0</v>
      </c>
      <c r="D24" s="5">
        <f t="shared" si="0"/>
        <v>3</v>
      </c>
      <c r="E24" s="6">
        <v>0</v>
      </c>
      <c r="F24" s="16">
        <v>0</v>
      </c>
      <c r="G24" s="5">
        <f t="shared" si="1"/>
        <v>0</v>
      </c>
      <c r="H24" s="7">
        <f t="shared" si="2"/>
        <v>3</v>
      </c>
    </row>
    <row r="25" spans="1:8" ht="15" customHeight="1" x14ac:dyDescent="0.25">
      <c r="A25" s="11" t="s">
        <v>26</v>
      </c>
      <c r="B25" s="6">
        <v>2</v>
      </c>
      <c r="C25" s="16">
        <v>0</v>
      </c>
      <c r="D25" s="5">
        <f t="shared" si="0"/>
        <v>2</v>
      </c>
      <c r="E25" s="6">
        <v>0</v>
      </c>
      <c r="F25" s="16">
        <v>0</v>
      </c>
      <c r="G25" s="5">
        <f t="shared" si="1"/>
        <v>0</v>
      </c>
      <c r="H25" s="7">
        <f t="shared" si="2"/>
        <v>2</v>
      </c>
    </row>
    <row r="26" spans="1:8" ht="15" customHeight="1" x14ac:dyDescent="0.25">
      <c r="A26" s="11" t="s">
        <v>148</v>
      </c>
      <c r="B26" s="6">
        <v>0</v>
      </c>
      <c r="C26" s="16">
        <v>1</v>
      </c>
      <c r="D26" s="5">
        <f t="shared" si="0"/>
        <v>1</v>
      </c>
      <c r="E26" s="6">
        <v>0</v>
      </c>
      <c r="F26" s="16">
        <v>1</v>
      </c>
      <c r="G26" s="5">
        <f t="shared" ref="G26:G28" si="3">E26+F26</f>
        <v>1</v>
      </c>
      <c r="H26" s="7">
        <f t="shared" ref="H26:H28" si="4">G26+D26</f>
        <v>2</v>
      </c>
    </row>
    <row r="27" spans="1:8" ht="15" customHeight="1" x14ac:dyDescent="0.25">
      <c r="A27" s="11" t="s">
        <v>27</v>
      </c>
      <c r="B27" s="6">
        <v>8</v>
      </c>
      <c r="C27" s="16">
        <v>0</v>
      </c>
      <c r="D27" s="5">
        <f t="shared" si="0"/>
        <v>8</v>
      </c>
      <c r="E27" s="6">
        <v>4</v>
      </c>
      <c r="F27" s="16">
        <v>1</v>
      </c>
      <c r="G27" s="5">
        <f t="shared" si="3"/>
        <v>5</v>
      </c>
      <c r="H27" s="7">
        <f t="shared" si="4"/>
        <v>13</v>
      </c>
    </row>
    <row r="28" spans="1:8" ht="15" customHeight="1" x14ac:dyDescent="0.25">
      <c r="A28" s="11" t="s">
        <v>28</v>
      </c>
      <c r="B28" s="6">
        <v>3</v>
      </c>
      <c r="C28" s="16">
        <v>2</v>
      </c>
      <c r="D28" s="5">
        <f t="shared" si="0"/>
        <v>5</v>
      </c>
      <c r="E28" s="6">
        <v>1</v>
      </c>
      <c r="F28" s="16">
        <v>4</v>
      </c>
      <c r="G28" s="5">
        <f t="shared" si="3"/>
        <v>5</v>
      </c>
      <c r="H28" s="7">
        <f t="shared" si="4"/>
        <v>10</v>
      </c>
    </row>
    <row r="29" spans="1:8" ht="15" customHeight="1" x14ac:dyDescent="0.25">
      <c r="A29" s="11" t="s">
        <v>29</v>
      </c>
      <c r="B29" s="6">
        <v>5</v>
      </c>
      <c r="C29" s="16">
        <v>2</v>
      </c>
      <c r="D29" s="5">
        <f t="shared" si="0"/>
        <v>7</v>
      </c>
      <c r="E29" s="6">
        <v>2</v>
      </c>
      <c r="F29" s="16">
        <v>0</v>
      </c>
      <c r="G29" s="5">
        <f t="shared" si="1"/>
        <v>2</v>
      </c>
      <c r="H29" s="7">
        <f t="shared" si="2"/>
        <v>9</v>
      </c>
    </row>
    <row r="30" spans="1:8" ht="15" customHeight="1" x14ac:dyDescent="0.25">
      <c r="A30" s="11" t="s">
        <v>30</v>
      </c>
      <c r="B30" s="6">
        <v>2</v>
      </c>
      <c r="C30" s="16">
        <v>45</v>
      </c>
      <c r="D30" s="5">
        <f t="shared" si="0"/>
        <v>47</v>
      </c>
      <c r="E30" s="6">
        <v>3</v>
      </c>
      <c r="F30" s="16">
        <v>18</v>
      </c>
      <c r="G30" s="5">
        <f t="shared" si="1"/>
        <v>21</v>
      </c>
      <c r="H30" s="7">
        <f t="shared" si="2"/>
        <v>68</v>
      </c>
    </row>
    <row r="31" spans="1:8" ht="15" customHeight="1" x14ac:dyDescent="0.25">
      <c r="A31" s="11" t="s">
        <v>31</v>
      </c>
      <c r="B31" s="6">
        <v>0</v>
      </c>
      <c r="C31" s="16">
        <v>0</v>
      </c>
      <c r="D31" s="5">
        <f t="shared" si="0"/>
        <v>0</v>
      </c>
      <c r="E31" s="6">
        <v>0</v>
      </c>
      <c r="F31" s="16">
        <v>2</v>
      </c>
      <c r="G31" s="5">
        <f t="shared" si="1"/>
        <v>2</v>
      </c>
      <c r="H31" s="7">
        <f t="shared" si="2"/>
        <v>2</v>
      </c>
    </row>
    <row r="32" spans="1:8" ht="15" customHeight="1" x14ac:dyDescent="0.25">
      <c r="A32" s="11" t="s">
        <v>32</v>
      </c>
      <c r="B32" s="6">
        <v>1</v>
      </c>
      <c r="C32" s="16">
        <v>0</v>
      </c>
      <c r="D32" s="5">
        <f t="shared" si="0"/>
        <v>1</v>
      </c>
      <c r="E32" s="6">
        <v>1</v>
      </c>
      <c r="F32" s="16">
        <v>0</v>
      </c>
      <c r="G32" s="5">
        <f t="shared" si="1"/>
        <v>1</v>
      </c>
      <c r="H32" s="7">
        <f t="shared" si="2"/>
        <v>2</v>
      </c>
    </row>
    <row r="33" spans="1:8" ht="15" customHeight="1" x14ac:dyDescent="0.25">
      <c r="A33" s="11" t="s">
        <v>33</v>
      </c>
      <c r="B33" s="6">
        <v>0</v>
      </c>
      <c r="C33" s="16">
        <v>0</v>
      </c>
      <c r="D33" s="5">
        <f t="shared" si="0"/>
        <v>0</v>
      </c>
      <c r="E33" s="6">
        <v>1</v>
      </c>
      <c r="F33" s="16">
        <v>1</v>
      </c>
      <c r="G33" s="5">
        <f t="shared" si="1"/>
        <v>2</v>
      </c>
      <c r="H33" s="7">
        <f t="shared" si="2"/>
        <v>2</v>
      </c>
    </row>
    <row r="34" spans="1:8" ht="15" customHeight="1" x14ac:dyDescent="0.25">
      <c r="A34" s="11" t="s">
        <v>34</v>
      </c>
      <c r="B34" s="6">
        <v>0</v>
      </c>
      <c r="C34" s="16">
        <v>2</v>
      </c>
      <c r="D34" s="5">
        <f t="shared" si="0"/>
        <v>2</v>
      </c>
      <c r="E34" s="6">
        <v>2</v>
      </c>
      <c r="F34" s="16">
        <v>4</v>
      </c>
      <c r="G34" s="5">
        <f t="shared" si="1"/>
        <v>6</v>
      </c>
      <c r="H34" s="7">
        <f t="shared" si="2"/>
        <v>8</v>
      </c>
    </row>
    <row r="35" spans="1:8" ht="15" customHeight="1" x14ac:dyDescent="0.25">
      <c r="A35" s="11" t="s">
        <v>35</v>
      </c>
      <c r="B35" s="6">
        <v>1</v>
      </c>
      <c r="C35" s="16">
        <v>1</v>
      </c>
      <c r="D35" s="5">
        <f t="shared" si="0"/>
        <v>2</v>
      </c>
      <c r="E35" s="6">
        <v>0</v>
      </c>
      <c r="F35" s="16">
        <v>4</v>
      </c>
      <c r="G35" s="5">
        <f t="shared" si="1"/>
        <v>4</v>
      </c>
      <c r="H35" s="7">
        <f t="shared" si="2"/>
        <v>6</v>
      </c>
    </row>
    <row r="36" spans="1:8" ht="15" customHeight="1" x14ac:dyDescent="0.25">
      <c r="A36" s="11" t="s">
        <v>149</v>
      </c>
      <c r="B36" s="6">
        <v>0</v>
      </c>
      <c r="C36" s="16">
        <v>0</v>
      </c>
      <c r="D36" s="5">
        <f t="shared" si="0"/>
        <v>0</v>
      </c>
      <c r="E36" s="6">
        <v>0</v>
      </c>
      <c r="F36" s="16">
        <v>1</v>
      </c>
      <c r="G36" s="5">
        <f t="shared" si="1"/>
        <v>1</v>
      </c>
      <c r="H36" s="7">
        <f t="shared" si="2"/>
        <v>1</v>
      </c>
    </row>
    <row r="37" spans="1:8" ht="15" customHeight="1" x14ac:dyDescent="0.25">
      <c r="A37" s="11" t="s">
        <v>38</v>
      </c>
      <c r="B37" s="6">
        <v>3</v>
      </c>
      <c r="C37" s="16">
        <v>0</v>
      </c>
      <c r="D37" s="5">
        <f t="shared" si="0"/>
        <v>3</v>
      </c>
      <c r="E37" s="6">
        <v>2</v>
      </c>
      <c r="F37" s="16">
        <v>1</v>
      </c>
      <c r="G37" s="5">
        <f t="shared" si="1"/>
        <v>3</v>
      </c>
      <c r="H37" s="7">
        <f t="shared" si="2"/>
        <v>6</v>
      </c>
    </row>
    <row r="38" spans="1:8" ht="15" customHeight="1" x14ac:dyDescent="0.25">
      <c r="A38" s="11" t="s">
        <v>39</v>
      </c>
      <c r="B38" s="6">
        <v>3</v>
      </c>
      <c r="C38" s="16">
        <v>5</v>
      </c>
      <c r="D38" s="5">
        <f t="shared" si="0"/>
        <v>8</v>
      </c>
      <c r="E38" s="6">
        <v>2</v>
      </c>
      <c r="F38" s="16">
        <v>6</v>
      </c>
      <c r="G38" s="5">
        <f t="shared" si="1"/>
        <v>8</v>
      </c>
      <c r="H38" s="7">
        <f t="shared" si="2"/>
        <v>16</v>
      </c>
    </row>
    <row r="39" spans="1:8" ht="15" customHeight="1" x14ac:dyDescent="0.25">
      <c r="A39" s="11" t="s">
        <v>40</v>
      </c>
      <c r="B39" s="6">
        <v>10</v>
      </c>
      <c r="C39" s="16">
        <v>2</v>
      </c>
      <c r="D39" s="5">
        <f t="shared" si="0"/>
        <v>12</v>
      </c>
      <c r="E39" s="6">
        <v>1</v>
      </c>
      <c r="F39" s="16">
        <v>4</v>
      </c>
      <c r="G39" s="5">
        <f t="shared" si="1"/>
        <v>5</v>
      </c>
      <c r="H39" s="7">
        <f t="shared" si="2"/>
        <v>17</v>
      </c>
    </row>
    <row r="40" spans="1:8" ht="15" customHeight="1" x14ac:dyDescent="0.25">
      <c r="A40" s="11" t="s">
        <v>41</v>
      </c>
      <c r="B40" s="6">
        <v>1</v>
      </c>
      <c r="C40" s="16">
        <v>0</v>
      </c>
      <c r="D40" s="5">
        <f t="shared" si="0"/>
        <v>1</v>
      </c>
      <c r="E40" s="6">
        <v>0</v>
      </c>
      <c r="F40" s="16">
        <v>2</v>
      </c>
      <c r="G40" s="5">
        <f t="shared" si="1"/>
        <v>2</v>
      </c>
      <c r="H40" s="7">
        <f t="shared" si="2"/>
        <v>3</v>
      </c>
    </row>
    <row r="41" spans="1:8" ht="15" customHeight="1" x14ac:dyDescent="0.25">
      <c r="A41" s="11" t="s">
        <v>42</v>
      </c>
      <c r="B41" s="6">
        <v>5</v>
      </c>
      <c r="C41" s="16">
        <v>7</v>
      </c>
      <c r="D41" s="5">
        <f t="shared" si="0"/>
        <v>12</v>
      </c>
      <c r="E41" s="6">
        <v>3</v>
      </c>
      <c r="F41" s="16">
        <v>3</v>
      </c>
      <c r="G41" s="5">
        <f t="shared" si="1"/>
        <v>6</v>
      </c>
      <c r="H41" s="7">
        <f t="shared" si="2"/>
        <v>18</v>
      </c>
    </row>
    <row r="42" spans="1:8" ht="15" customHeight="1" x14ac:dyDescent="0.25">
      <c r="A42" s="11" t="s">
        <v>43</v>
      </c>
      <c r="B42" s="6">
        <v>0</v>
      </c>
      <c r="C42" s="16">
        <v>0</v>
      </c>
      <c r="D42" s="5">
        <f t="shared" si="0"/>
        <v>0</v>
      </c>
      <c r="E42" s="6">
        <v>0</v>
      </c>
      <c r="F42" s="16">
        <v>2</v>
      </c>
      <c r="G42" s="5">
        <f t="shared" si="1"/>
        <v>2</v>
      </c>
      <c r="H42" s="7">
        <f t="shared" si="2"/>
        <v>2</v>
      </c>
    </row>
    <row r="43" spans="1:8" ht="15" customHeight="1" x14ac:dyDescent="0.25">
      <c r="A43" s="11" t="s">
        <v>45</v>
      </c>
      <c r="B43" s="6">
        <v>4</v>
      </c>
      <c r="C43" s="16">
        <v>9</v>
      </c>
      <c r="D43" s="5">
        <f t="shared" si="0"/>
        <v>13</v>
      </c>
      <c r="E43" s="6">
        <v>1</v>
      </c>
      <c r="F43" s="16">
        <v>6</v>
      </c>
      <c r="G43" s="5">
        <f t="shared" si="1"/>
        <v>7</v>
      </c>
      <c r="H43" s="7">
        <f t="shared" si="2"/>
        <v>20</v>
      </c>
    </row>
    <row r="44" spans="1:8" ht="15" customHeight="1" x14ac:dyDescent="0.25">
      <c r="A44" s="11" t="s">
        <v>46</v>
      </c>
      <c r="B44" s="6">
        <v>8</v>
      </c>
      <c r="C44" s="16">
        <v>6</v>
      </c>
      <c r="D44" s="5">
        <f t="shared" si="0"/>
        <v>14</v>
      </c>
      <c r="E44" s="6">
        <v>3</v>
      </c>
      <c r="F44" s="16">
        <v>13</v>
      </c>
      <c r="G44" s="5">
        <f t="shared" si="1"/>
        <v>16</v>
      </c>
      <c r="H44" s="7">
        <f t="shared" si="2"/>
        <v>30</v>
      </c>
    </row>
    <row r="45" spans="1:8" ht="15" customHeight="1" x14ac:dyDescent="0.25">
      <c r="A45" s="11" t="s">
        <v>48</v>
      </c>
      <c r="B45" s="6">
        <v>0</v>
      </c>
      <c r="C45" s="16">
        <v>1</v>
      </c>
      <c r="D45" s="5">
        <f t="shared" si="0"/>
        <v>1</v>
      </c>
      <c r="E45" s="6">
        <v>0</v>
      </c>
      <c r="F45" s="16">
        <v>0</v>
      </c>
      <c r="G45" s="5">
        <f t="shared" si="1"/>
        <v>0</v>
      </c>
      <c r="H45" s="7">
        <f t="shared" si="2"/>
        <v>1</v>
      </c>
    </row>
    <row r="46" spans="1:8" ht="15" customHeight="1" thickBot="1" x14ac:dyDescent="0.3">
      <c r="A46" s="11" t="s">
        <v>150</v>
      </c>
      <c r="B46" s="6">
        <v>20</v>
      </c>
      <c r="C46" s="16">
        <v>6</v>
      </c>
      <c r="D46" s="5">
        <f t="shared" si="0"/>
        <v>26</v>
      </c>
      <c r="E46" s="6">
        <v>4</v>
      </c>
      <c r="F46" s="16">
        <v>4</v>
      </c>
      <c r="G46" s="5">
        <f t="shared" si="1"/>
        <v>8</v>
      </c>
      <c r="H46" s="7">
        <f t="shared" si="2"/>
        <v>34</v>
      </c>
    </row>
    <row r="47" spans="1:8" ht="15" customHeight="1" thickTop="1" thickBot="1" x14ac:dyDescent="0.3">
      <c r="A47" s="12" t="s">
        <v>6</v>
      </c>
      <c r="B47" s="13">
        <f>SUM(B24:B46)</f>
        <v>79</v>
      </c>
      <c r="C47" s="13">
        <f>SUM(C24:C46)</f>
        <v>89</v>
      </c>
      <c r="D47" s="13">
        <f>SUM(D24:D46)</f>
        <v>168</v>
      </c>
      <c r="E47" s="13">
        <f>SUM(E24:E46)</f>
        <v>30</v>
      </c>
      <c r="F47" s="13">
        <f>SUM(F24:F46)</f>
        <v>77</v>
      </c>
      <c r="G47" s="14">
        <f t="shared" si="1"/>
        <v>107</v>
      </c>
      <c r="H47" s="15">
        <f t="shared" si="2"/>
        <v>275</v>
      </c>
    </row>
    <row r="48" spans="1:8" ht="15" customHeight="1" thickTop="1" thickBot="1" x14ac:dyDescent="0.3">
      <c r="A48" s="23" t="s">
        <v>49</v>
      </c>
      <c r="B48" s="24"/>
      <c r="C48" s="24"/>
      <c r="D48" s="24"/>
      <c r="E48" s="24"/>
      <c r="F48" s="24"/>
      <c r="G48" s="24"/>
      <c r="H48" s="25"/>
    </row>
    <row r="49" spans="1:8" ht="15" customHeight="1" thickTop="1" x14ac:dyDescent="0.25">
      <c r="A49" s="11" t="s">
        <v>50</v>
      </c>
      <c r="B49" s="6">
        <v>0</v>
      </c>
      <c r="C49" s="16">
        <v>0</v>
      </c>
      <c r="D49" s="5">
        <f t="shared" ref="D49:D60" si="5">B49+C49</f>
        <v>0</v>
      </c>
      <c r="E49" s="6">
        <v>0</v>
      </c>
      <c r="F49" s="16">
        <v>1</v>
      </c>
      <c r="G49" s="5">
        <f t="shared" ref="G49:G60" si="6">E49+F49</f>
        <v>1</v>
      </c>
      <c r="H49" s="7">
        <f t="shared" ref="H49:H60" si="7">G49+D49</f>
        <v>1</v>
      </c>
    </row>
    <row r="50" spans="1:8" ht="15" customHeight="1" x14ac:dyDescent="0.25">
      <c r="A50" s="11" t="s">
        <v>51</v>
      </c>
      <c r="B50" s="6">
        <v>21</v>
      </c>
      <c r="C50" s="16">
        <v>4</v>
      </c>
      <c r="D50" s="5">
        <f t="shared" si="5"/>
        <v>25</v>
      </c>
      <c r="E50" s="6">
        <v>12</v>
      </c>
      <c r="F50" s="16">
        <v>17</v>
      </c>
      <c r="G50" s="5">
        <f t="shared" si="6"/>
        <v>29</v>
      </c>
      <c r="H50" s="7">
        <f t="shared" si="7"/>
        <v>54</v>
      </c>
    </row>
    <row r="51" spans="1:8" ht="15" customHeight="1" x14ac:dyDescent="0.25">
      <c r="A51" s="11" t="s">
        <v>52</v>
      </c>
      <c r="B51" s="6">
        <v>11</v>
      </c>
      <c r="C51" s="16">
        <v>1</v>
      </c>
      <c r="D51" s="5">
        <f t="shared" si="5"/>
        <v>12</v>
      </c>
      <c r="E51" s="6">
        <v>6</v>
      </c>
      <c r="F51" s="16">
        <v>1</v>
      </c>
      <c r="G51" s="5">
        <f t="shared" si="6"/>
        <v>7</v>
      </c>
      <c r="H51" s="7">
        <f t="shared" si="7"/>
        <v>19</v>
      </c>
    </row>
    <row r="52" spans="1:8" ht="15" customHeight="1" x14ac:dyDescent="0.25">
      <c r="A52" s="11" t="s">
        <v>53</v>
      </c>
      <c r="B52" s="6">
        <v>6</v>
      </c>
      <c r="C52" s="16">
        <v>10</v>
      </c>
      <c r="D52" s="5">
        <f t="shared" si="5"/>
        <v>16</v>
      </c>
      <c r="E52" s="6">
        <v>3</v>
      </c>
      <c r="F52" s="16">
        <v>15</v>
      </c>
      <c r="G52" s="5">
        <f t="shared" si="6"/>
        <v>18</v>
      </c>
      <c r="H52" s="7">
        <f t="shared" si="7"/>
        <v>34</v>
      </c>
    </row>
    <row r="53" spans="1:8" ht="15" customHeight="1" x14ac:dyDescent="0.25">
      <c r="A53" s="11" t="s">
        <v>54</v>
      </c>
      <c r="B53" s="6">
        <v>1</v>
      </c>
      <c r="C53" s="16">
        <v>8</v>
      </c>
      <c r="D53" s="5">
        <f t="shared" si="5"/>
        <v>9</v>
      </c>
      <c r="E53" s="6">
        <v>1</v>
      </c>
      <c r="F53" s="16">
        <v>6</v>
      </c>
      <c r="G53" s="5">
        <f t="shared" si="6"/>
        <v>7</v>
      </c>
      <c r="H53" s="7">
        <f t="shared" si="7"/>
        <v>16</v>
      </c>
    </row>
    <row r="54" spans="1:8" ht="15" customHeight="1" x14ac:dyDescent="0.25">
      <c r="A54" s="11" t="s">
        <v>55</v>
      </c>
      <c r="B54" s="6">
        <v>0</v>
      </c>
      <c r="C54" s="16">
        <v>4</v>
      </c>
      <c r="D54" s="5">
        <f t="shared" ref="D54" si="8">B54+C54</f>
        <v>4</v>
      </c>
      <c r="E54" s="6">
        <v>0</v>
      </c>
      <c r="F54" s="16">
        <v>6</v>
      </c>
      <c r="G54" s="5">
        <f t="shared" ref="G54" si="9">E54+F54</f>
        <v>6</v>
      </c>
      <c r="H54" s="7">
        <f t="shared" ref="H54" si="10">G54+D54</f>
        <v>10</v>
      </c>
    </row>
    <row r="55" spans="1:8" ht="15" customHeight="1" x14ac:dyDescent="0.25">
      <c r="A55" s="11" t="s">
        <v>56</v>
      </c>
      <c r="B55" s="6">
        <v>3</v>
      </c>
      <c r="C55" s="16">
        <v>5</v>
      </c>
      <c r="D55" s="5">
        <f t="shared" si="5"/>
        <v>8</v>
      </c>
      <c r="E55" s="6">
        <v>3</v>
      </c>
      <c r="F55" s="16">
        <v>4</v>
      </c>
      <c r="G55" s="5">
        <f t="shared" si="6"/>
        <v>7</v>
      </c>
      <c r="H55" s="7">
        <f t="shared" si="7"/>
        <v>15</v>
      </c>
    </row>
    <row r="56" spans="1:8" ht="15" customHeight="1" x14ac:dyDescent="0.25">
      <c r="A56" s="11" t="s">
        <v>57</v>
      </c>
      <c r="B56" s="6">
        <v>0</v>
      </c>
      <c r="C56" s="16">
        <v>1</v>
      </c>
      <c r="D56" s="5">
        <f t="shared" si="5"/>
        <v>1</v>
      </c>
      <c r="E56" s="6">
        <v>0</v>
      </c>
      <c r="F56" s="16">
        <v>1</v>
      </c>
      <c r="G56" s="5">
        <f t="shared" si="6"/>
        <v>1</v>
      </c>
      <c r="H56" s="7">
        <f t="shared" si="7"/>
        <v>2</v>
      </c>
    </row>
    <row r="57" spans="1:8" ht="15" customHeight="1" x14ac:dyDescent="0.25">
      <c r="A57" s="11" t="s">
        <v>58</v>
      </c>
      <c r="B57" s="6">
        <v>1</v>
      </c>
      <c r="C57" s="16">
        <v>3</v>
      </c>
      <c r="D57" s="5">
        <f t="shared" si="5"/>
        <v>4</v>
      </c>
      <c r="E57" s="6">
        <v>0</v>
      </c>
      <c r="F57" s="16">
        <v>15</v>
      </c>
      <c r="G57" s="5">
        <f t="shared" si="6"/>
        <v>15</v>
      </c>
      <c r="H57" s="7">
        <f t="shared" si="7"/>
        <v>19</v>
      </c>
    </row>
    <row r="58" spans="1:8" ht="15" customHeight="1" x14ac:dyDescent="0.25">
      <c r="A58" s="11" t="s">
        <v>59</v>
      </c>
      <c r="B58" s="6">
        <v>0</v>
      </c>
      <c r="C58" s="16">
        <v>1</v>
      </c>
      <c r="D58" s="5">
        <f t="shared" si="5"/>
        <v>1</v>
      </c>
      <c r="E58" s="6">
        <v>1</v>
      </c>
      <c r="F58" s="16">
        <v>1</v>
      </c>
      <c r="G58" s="5">
        <f t="shared" si="6"/>
        <v>2</v>
      </c>
      <c r="H58" s="7">
        <f t="shared" si="7"/>
        <v>3</v>
      </c>
    </row>
    <row r="59" spans="1:8" ht="15" customHeight="1" x14ac:dyDescent="0.25">
      <c r="A59" s="11" t="s">
        <v>60</v>
      </c>
      <c r="B59" s="6">
        <v>1</v>
      </c>
      <c r="C59" s="16">
        <v>0</v>
      </c>
      <c r="D59" s="5">
        <f t="shared" si="5"/>
        <v>1</v>
      </c>
      <c r="E59" s="6">
        <v>0</v>
      </c>
      <c r="F59" s="16">
        <v>5</v>
      </c>
      <c r="G59" s="5">
        <f t="shared" si="6"/>
        <v>5</v>
      </c>
      <c r="H59" s="7">
        <f t="shared" si="7"/>
        <v>6</v>
      </c>
    </row>
    <row r="60" spans="1:8" ht="15" customHeight="1" x14ac:dyDescent="0.25">
      <c r="A60" s="11" t="s">
        <v>61</v>
      </c>
      <c r="B60" s="6">
        <v>0</v>
      </c>
      <c r="C60" s="16">
        <v>3</v>
      </c>
      <c r="D60" s="5">
        <f t="shared" si="5"/>
        <v>3</v>
      </c>
      <c r="E60" s="6">
        <v>0</v>
      </c>
      <c r="F60" s="16">
        <v>3</v>
      </c>
      <c r="G60" s="5">
        <f t="shared" si="6"/>
        <v>3</v>
      </c>
      <c r="H60" s="7">
        <f t="shared" si="7"/>
        <v>6</v>
      </c>
    </row>
    <row r="61" spans="1:8" ht="15" customHeight="1" thickBot="1" x14ac:dyDescent="0.3">
      <c r="A61" s="11" t="s">
        <v>151</v>
      </c>
      <c r="B61" s="6">
        <v>0</v>
      </c>
      <c r="C61" s="16">
        <v>0</v>
      </c>
      <c r="D61" s="5">
        <f>B61+C61</f>
        <v>0</v>
      </c>
      <c r="E61" s="6">
        <v>0</v>
      </c>
      <c r="F61" s="16">
        <v>2</v>
      </c>
      <c r="G61" s="5">
        <f>E61+F61</f>
        <v>2</v>
      </c>
      <c r="H61" s="7">
        <f>G61+D61</f>
        <v>2</v>
      </c>
    </row>
    <row r="62" spans="1:8" ht="15" customHeight="1" thickTop="1" thickBot="1" x14ac:dyDescent="0.3">
      <c r="A62" s="12" t="s">
        <v>6</v>
      </c>
      <c r="B62" s="13">
        <f t="shared" ref="B62:H62" si="11">SUM(B49:B61)</f>
        <v>44</v>
      </c>
      <c r="C62" s="13">
        <f t="shared" si="11"/>
        <v>40</v>
      </c>
      <c r="D62" s="13">
        <f t="shared" si="11"/>
        <v>84</v>
      </c>
      <c r="E62" s="13">
        <f t="shared" si="11"/>
        <v>26</v>
      </c>
      <c r="F62" s="13">
        <f t="shared" si="11"/>
        <v>77</v>
      </c>
      <c r="G62" s="13">
        <f t="shared" si="11"/>
        <v>103</v>
      </c>
      <c r="H62" s="15">
        <f t="shared" si="11"/>
        <v>187</v>
      </c>
    </row>
    <row r="63" spans="1:8" ht="15" customHeight="1" thickTop="1" thickBot="1" x14ac:dyDescent="0.3">
      <c r="A63" s="23" t="s">
        <v>62</v>
      </c>
      <c r="B63" s="24"/>
      <c r="C63" s="24"/>
      <c r="D63" s="24"/>
      <c r="E63" s="24"/>
      <c r="F63" s="24"/>
      <c r="G63" s="24"/>
      <c r="H63" s="25"/>
    </row>
    <row r="64" spans="1:8" ht="15" customHeight="1" thickTop="1" x14ac:dyDescent="0.25">
      <c r="A64" s="11" t="s">
        <v>63</v>
      </c>
      <c r="B64" s="6">
        <v>2</v>
      </c>
      <c r="C64" s="16">
        <v>0</v>
      </c>
      <c r="D64" s="5">
        <f t="shared" ref="D64:D87" si="12">B64+C64</f>
        <v>2</v>
      </c>
      <c r="E64" s="6">
        <v>1</v>
      </c>
      <c r="F64" s="16">
        <v>1</v>
      </c>
      <c r="G64" s="5">
        <f t="shared" ref="G64:G87" si="13">E64+F64</f>
        <v>2</v>
      </c>
      <c r="H64" s="7">
        <f t="shared" ref="H64:H88" si="14">G64+D64</f>
        <v>4</v>
      </c>
    </row>
    <row r="65" spans="1:8" ht="15" customHeight="1" x14ac:dyDescent="0.25">
      <c r="A65" s="11" t="s">
        <v>64</v>
      </c>
      <c r="B65" s="6">
        <v>6</v>
      </c>
      <c r="C65" s="16">
        <v>1</v>
      </c>
      <c r="D65" s="5">
        <f t="shared" si="12"/>
        <v>7</v>
      </c>
      <c r="E65" s="6">
        <v>0</v>
      </c>
      <c r="F65" s="16">
        <v>12</v>
      </c>
      <c r="G65" s="5">
        <f t="shared" si="13"/>
        <v>12</v>
      </c>
      <c r="H65" s="7">
        <f t="shared" si="14"/>
        <v>19</v>
      </c>
    </row>
    <row r="66" spans="1:8" ht="15" customHeight="1" x14ac:dyDescent="0.25">
      <c r="A66" s="11" t="s">
        <v>65</v>
      </c>
      <c r="B66" s="6">
        <v>1</v>
      </c>
      <c r="C66" s="16">
        <v>5</v>
      </c>
      <c r="D66" s="5">
        <f t="shared" si="12"/>
        <v>6</v>
      </c>
      <c r="E66" s="6">
        <v>0</v>
      </c>
      <c r="F66" s="16">
        <v>2</v>
      </c>
      <c r="G66" s="5">
        <f t="shared" si="13"/>
        <v>2</v>
      </c>
      <c r="H66" s="7">
        <f t="shared" si="14"/>
        <v>8</v>
      </c>
    </row>
    <row r="67" spans="1:8" ht="15" customHeight="1" x14ac:dyDescent="0.25">
      <c r="A67" s="11" t="s">
        <v>66</v>
      </c>
      <c r="B67" s="6">
        <v>2</v>
      </c>
      <c r="C67" s="16">
        <v>2</v>
      </c>
      <c r="D67" s="5">
        <f t="shared" si="12"/>
        <v>4</v>
      </c>
      <c r="E67" s="6">
        <v>1</v>
      </c>
      <c r="F67" s="16">
        <v>2</v>
      </c>
      <c r="G67" s="5">
        <f t="shared" si="13"/>
        <v>3</v>
      </c>
      <c r="H67" s="7">
        <f t="shared" si="14"/>
        <v>7</v>
      </c>
    </row>
    <row r="68" spans="1:8" ht="15" customHeight="1" x14ac:dyDescent="0.25">
      <c r="A68" s="11" t="s">
        <v>67</v>
      </c>
      <c r="B68" s="6">
        <v>0</v>
      </c>
      <c r="C68" s="16">
        <v>0</v>
      </c>
      <c r="D68" s="5">
        <f t="shared" si="12"/>
        <v>0</v>
      </c>
      <c r="E68" s="6">
        <v>0</v>
      </c>
      <c r="F68" s="16">
        <v>1</v>
      </c>
      <c r="G68" s="5">
        <f t="shared" si="13"/>
        <v>1</v>
      </c>
      <c r="H68" s="7">
        <f t="shared" si="14"/>
        <v>1</v>
      </c>
    </row>
    <row r="69" spans="1:8" ht="15" customHeight="1" x14ac:dyDescent="0.25">
      <c r="A69" s="11" t="s">
        <v>68</v>
      </c>
      <c r="B69" s="6">
        <v>16</v>
      </c>
      <c r="C69" s="16">
        <v>8</v>
      </c>
      <c r="D69" s="5">
        <f t="shared" si="12"/>
        <v>24</v>
      </c>
      <c r="E69" s="6">
        <v>6</v>
      </c>
      <c r="F69" s="16">
        <v>24</v>
      </c>
      <c r="G69" s="5">
        <f t="shared" si="13"/>
        <v>30</v>
      </c>
      <c r="H69" s="7">
        <f t="shared" si="14"/>
        <v>54</v>
      </c>
    </row>
    <row r="70" spans="1:8" ht="15" customHeight="1" x14ac:dyDescent="0.25">
      <c r="A70" s="11" t="s">
        <v>69</v>
      </c>
      <c r="B70" s="6">
        <v>1</v>
      </c>
      <c r="C70" s="16">
        <v>14</v>
      </c>
      <c r="D70" s="5">
        <f t="shared" si="12"/>
        <v>15</v>
      </c>
      <c r="E70" s="6">
        <v>1</v>
      </c>
      <c r="F70" s="16">
        <v>13</v>
      </c>
      <c r="G70" s="5">
        <f t="shared" si="13"/>
        <v>14</v>
      </c>
      <c r="H70" s="7">
        <f t="shared" si="14"/>
        <v>29</v>
      </c>
    </row>
    <row r="71" spans="1:8" ht="15" customHeight="1" x14ac:dyDescent="0.25">
      <c r="A71" s="11" t="s">
        <v>70</v>
      </c>
      <c r="B71" s="6">
        <v>24</v>
      </c>
      <c r="C71" s="16">
        <v>12</v>
      </c>
      <c r="D71" s="5">
        <f t="shared" si="12"/>
        <v>36</v>
      </c>
      <c r="E71" s="6">
        <v>25</v>
      </c>
      <c r="F71" s="16">
        <v>31</v>
      </c>
      <c r="G71" s="5">
        <f t="shared" si="13"/>
        <v>56</v>
      </c>
      <c r="H71" s="7">
        <f t="shared" si="14"/>
        <v>92</v>
      </c>
    </row>
    <row r="72" spans="1:8" ht="15" customHeight="1" x14ac:dyDescent="0.25">
      <c r="A72" s="11" t="s">
        <v>71</v>
      </c>
      <c r="B72" s="6">
        <v>1</v>
      </c>
      <c r="C72" s="16">
        <v>8</v>
      </c>
      <c r="D72" s="5">
        <f t="shared" si="12"/>
        <v>9</v>
      </c>
      <c r="E72" s="6">
        <v>1</v>
      </c>
      <c r="F72" s="16">
        <v>4</v>
      </c>
      <c r="G72" s="5">
        <f t="shared" si="13"/>
        <v>5</v>
      </c>
      <c r="H72" s="7">
        <f t="shared" si="14"/>
        <v>14</v>
      </c>
    </row>
    <row r="73" spans="1:8" ht="15" customHeight="1" x14ac:dyDescent="0.25">
      <c r="A73" s="11" t="s">
        <v>72</v>
      </c>
      <c r="B73" s="6">
        <v>8</v>
      </c>
      <c r="C73" s="16">
        <v>69</v>
      </c>
      <c r="D73" s="5">
        <f t="shared" si="12"/>
        <v>77</v>
      </c>
      <c r="E73" s="6">
        <v>3</v>
      </c>
      <c r="F73" s="16">
        <v>81</v>
      </c>
      <c r="G73" s="5">
        <f t="shared" si="13"/>
        <v>84</v>
      </c>
      <c r="H73" s="7">
        <f t="shared" si="14"/>
        <v>161</v>
      </c>
    </row>
    <row r="74" spans="1:8" ht="15" customHeight="1" x14ac:dyDescent="0.25">
      <c r="A74" s="11" t="s">
        <v>73</v>
      </c>
      <c r="B74" s="6">
        <v>0</v>
      </c>
      <c r="C74" s="16">
        <v>0</v>
      </c>
      <c r="D74" s="5">
        <f t="shared" si="12"/>
        <v>0</v>
      </c>
      <c r="E74" s="6">
        <v>0</v>
      </c>
      <c r="F74" s="16">
        <v>1</v>
      </c>
      <c r="G74" s="5">
        <f t="shared" si="13"/>
        <v>1</v>
      </c>
      <c r="H74" s="7">
        <f t="shared" si="14"/>
        <v>1</v>
      </c>
    </row>
    <row r="75" spans="1:8" ht="15" customHeight="1" x14ac:dyDescent="0.25">
      <c r="A75" s="11" t="s">
        <v>74</v>
      </c>
      <c r="B75" s="6">
        <v>4</v>
      </c>
      <c r="C75" s="16">
        <v>148</v>
      </c>
      <c r="D75" s="5">
        <f t="shared" ref="D75" si="15">B75+C75</f>
        <v>152</v>
      </c>
      <c r="E75" s="6">
        <v>5</v>
      </c>
      <c r="F75" s="16">
        <v>35</v>
      </c>
      <c r="G75" s="5">
        <f t="shared" ref="G75" si="16">E75+F75</f>
        <v>40</v>
      </c>
      <c r="H75" s="7">
        <f t="shared" ref="H75" si="17">G75+D75</f>
        <v>192</v>
      </c>
    </row>
    <row r="76" spans="1:8" ht="15" customHeight="1" x14ac:dyDescent="0.25">
      <c r="A76" s="11" t="s">
        <v>75</v>
      </c>
      <c r="B76" s="6">
        <v>0</v>
      </c>
      <c r="C76" s="16">
        <v>3</v>
      </c>
      <c r="D76" s="5">
        <f t="shared" si="12"/>
        <v>3</v>
      </c>
      <c r="E76" s="6">
        <v>0</v>
      </c>
      <c r="F76" s="16">
        <v>0</v>
      </c>
      <c r="G76" s="5">
        <f t="shared" si="13"/>
        <v>0</v>
      </c>
      <c r="H76" s="7">
        <f t="shared" si="14"/>
        <v>3</v>
      </c>
    </row>
    <row r="77" spans="1:8" ht="15" customHeight="1" x14ac:dyDescent="0.25">
      <c r="A77" s="11" t="s">
        <v>152</v>
      </c>
      <c r="B77" s="6">
        <v>0</v>
      </c>
      <c r="C77" s="16">
        <v>0</v>
      </c>
      <c r="D77" s="5">
        <f t="shared" si="12"/>
        <v>0</v>
      </c>
      <c r="E77" s="6">
        <v>1</v>
      </c>
      <c r="F77" s="16">
        <v>0</v>
      </c>
      <c r="G77" s="5">
        <f t="shared" si="13"/>
        <v>1</v>
      </c>
      <c r="H77" s="7">
        <f t="shared" si="14"/>
        <v>1</v>
      </c>
    </row>
    <row r="78" spans="1:8" ht="15" customHeight="1" x14ac:dyDescent="0.25">
      <c r="A78" s="11" t="s">
        <v>76</v>
      </c>
      <c r="B78" s="6">
        <v>2</v>
      </c>
      <c r="C78" s="16">
        <v>1</v>
      </c>
      <c r="D78" s="5">
        <f t="shared" si="12"/>
        <v>3</v>
      </c>
      <c r="E78" s="6">
        <v>1</v>
      </c>
      <c r="F78" s="16">
        <v>1</v>
      </c>
      <c r="G78" s="5">
        <f t="shared" si="13"/>
        <v>2</v>
      </c>
      <c r="H78" s="7">
        <f t="shared" si="14"/>
        <v>5</v>
      </c>
    </row>
    <row r="79" spans="1:8" ht="15" customHeight="1" x14ac:dyDescent="0.25">
      <c r="A79" s="11" t="s">
        <v>77</v>
      </c>
      <c r="B79" s="6">
        <v>14</v>
      </c>
      <c r="C79" s="16">
        <v>25</v>
      </c>
      <c r="D79" s="5">
        <f t="shared" si="12"/>
        <v>39</v>
      </c>
      <c r="E79" s="6">
        <v>16</v>
      </c>
      <c r="F79" s="16">
        <v>18</v>
      </c>
      <c r="G79" s="5">
        <f t="shared" si="13"/>
        <v>34</v>
      </c>
      <c r="H79" s="7">
        <f t="shared" si="14"/>
        <v>73</v>
      </c>
    </row>
    <row r="80" spans="1:8" ht="15" customHeight="1" x14ac:dyDescent="0.25">
      <c r="A80" s="11" t="s">
        <v>78</v>
      </c>
      <c r="B80" s="6">
        <v>0</v>
      </c>
      <c r="C80" s="16">
        <v>0</v>
      </c>
      <c r="D80" s="5">
        <f t="shared" si="12"/>
        <v>0</v>
      </c>
      <c r="E80" s="6">
        <v>0</v>
      </c>
      <c r="F80" s="16">
        <v>1</v>
      </c>
      <c r="G80" s="5">
        <f t="shared" si="13"/>
        <v>1</v>
      </c>
      <c r="H80" s="7">
        <f t="shared" si="14"/>
        <v>1</v>
      </c>
    </row>
    <row r="81" spans="1:8" ht="15" customHeight="1" x14ac:dyDescent="0.25">
      <c r="A81" s="11" t="s">
        <v>79</v>
      </c>
      <c r="B81" s="6">
        <v>0</v>
      </c>
      <c r="C81" s="16">
        <v>0</v>
      </c>
      <c r="D81" s="5">
        <f t="shared" si="12"/>
        <v>0</v>
      </c>
      <c r="E81" s="6">
        <v>1</v>
      </c>
      <c r="F81" s="16">
        <v>5</v>
      </c>
      <c r="G81" s="5">
        <f t="shared" si="13"/>
        <v>6</v>
      </c>
      <c r="H81" s="7">
        <f t="shared" si="14"/>
        <v>6</v>
      </c>
    </row>
    <row r="82" spans="1:8" ht="15" customHeight="1" x14ac:dyDescent="0.25">
      <c r="A82" s="11" t="s">
        <v>80</v>
      </c>
      <c r="B82" s="6">
        <v>1</v>
      </c>
      <c r="C82" s="16">
        <v>119</v>
      </c>
      <c r="D82" s="5">
        <f t="shared" si="12"/>
        <v>120</v>
      </c>
      <c r="E82" s="6">
        <v>3</v>
      </c>
      <c r="F82" s="16">
        <v>39</v>
      </c>
      <c r="G82" s="5">
        <f t="shared" si="13"/>
        <v>42</v>
      </c>
      <c r="H82" s="7">
        <f t="shared" si="14"/>
        <v>162</v>
      </c>
    </row>
    <row r="83" spans="1:8" ht="15" customHeight="1" x14ac:dyDescent="0.25">
      <c r="A83" s="11" t="s">
        <v>81</v>
      </c>
      <c r="B83" s="6">
        <v>6</v>
      </c>
      <c r="C83" s="16">
        <v>15</v>
      </c>
      <c r="D83" s="5">
        <f t="shared" si="12"/>
        <v>21</v>
      </c>
      <c r="E83" s="6">
        <v>1</v>
      </c>
      <c r="F83" s="16">
        <v>44</v>
      </c>
      <c r="G83" s="5">
        <f t="shared" si="13"/>
        <v>45</v>
      </c>
      <c r="H83" s="7">
        <f t="shared" si="14"/>
        <v>66</v>
      </c>
    </row>
    <row r="84" spans="1:8" ht="15" customHeight="1" x14ac:dyDescent="0.25">
      <c r="A84" s="11" t="s">
        <v>82</v>
      </c>
      <c r="B84" s="6">
        <v>17</v>
      </c>
      <c r="C84" s="16">
        <v>15</v>
      </c>
      <c r="D84" s="5">
        <f t="shared" si="12"/>
        <v>32</v>
      </c>
      <c r="E84" s="6">
        <v>8</v>
      </c>
      <c r="F84" s="16">
        <v>3</v>
      </c>
      <c r="G84" s="5">
        <f t="shared" si="13"/>
        <v>11</v>
      </c>
      <c r="H84" s="7">
        <f t="shared" si="14"/>
        <v>43</v>
      </c>
    </row>
    <row r="85" spans="1:8" ht="15" customHeight="1" x14ac:dyDescent="0.25">
      <c r="A85" s="11" t="s">
        <v>83</v>
      </c>
      <c r="B85" s="6">
        <v>2</v>
      </c>
      <c r="C85" s="16">
        <v>14</v>
      </c>
      <c r="D85" s="5">
        <f t="shared" si="12"/>
        <v>16</v>
      </c>
      <c r="E85" s="6">
        <v>0</v>
      </c>
      <c r="F85" s="16">
        <v>39</v>
      </c>
      <c r="G85" s="5">
        <f t="shared" si="13"/>
        <v>39</v>
      </c>
      <c r="H85" s="7">
        <f t="shared" si="14"/>
        <v>55</v>
      </c>
    </row>
    <row r="86" spans="1:8" ht="15" customHeight="1" x14ac:dyDescent="0.25">
      <c r="A86" s="11" t="s">
        <v>84</v>
      </c>
      <c r="B86" s="6">
        <v>0</v>
      </c>
      <c r="C86" s="16">
        <v>19</v>
      </c>
      <c r="D86" s="5">
        <f t="shared" si="12"/>
        <v>19</v>
      </c>
      <c r="E86" s="6">
        <v>1</v>
      </c>
      <c r="F86" s="16">
        <v>37</v>
      </c>
      <c r="G86" s="5">
        <f t="shared" si="13"/>
        <v>38</v>
      </c>
      <c r="H86" s="7">
        <f t="shared" si="14"/>
        <v>57</v>
      </c>
    </row>
    <row r="87" spans="1:8" ht="15" customHeight="1" thickBot="1" x14ac:dyDescent="0.3">
      <c r="A87" s="11" t="s">
        <v>85</v>
      </c>
      <c r="B87" s="6">
        <v>1</v>
      </c>
      <c r="C87" s="16">
        <v>1</v>
      </c>
      <c r="D87" s="5">
        <f t="shared" si="12"/>
        <v>2</v>
      </c>
      <c r="E87" s="6">
        <v>0</v>
      </c>
      <c r="F87" s="16">
        <v>2</v>
      </c>
      <c r="G87" s="5">
        <f t="shared" si="13"/>
        <v>2</v>
      </c>
      <c r="H87" s="7">
        <f t="shared" si="14"/>
        <v>4</v>
      </c>
    </row>
    <row r="88" spans="1:8" ht="15" customHeight="1" thickTop="1" thickBot="1" x14ac:dyDescent="0.3">
      <c r="A88" s="12" t="s">
        <v>6</v>
      </c>
      <c r="B88" s="13">
        <f t="shared" ref="B88:G88" si="18">SUM(B64:B87)</f>
        <v>108</v>
      </c>
      <c r="C88" s="13">
        <f t="shared" si="18"/>
        <v>479</v>
      </c>
      <c r="D88" s="13">
        <f t="shared" si="18"/>
        <v>587</v>
      </c>
      <c r="E88" s="13">
        <f t="shared" si="18"/>
        <v>75</v>
      </c>
      <c r="F88" s="13">
        <f t="shared" si="18"/>
        <v>396</v>
      </c>
      <c r="G88" s="13">
        <f t="shared" si="18"/>
        <v>471</v>
      </c>
      <c r="H88" s="15">
        <f t="shared" si="14"/>
        <v>1058</v>
      </c>
    </row>
    <row r="89" spans="1:8" ht="15" customHeight="1" thickTop="1" thickBot="1" x14ac:dyDescent="0.3">
      <c r="A89" s="23" t="s">
        <v>86</v>
      </c>
      <c r="B89" s="24"/>
      <c r="C89" s="24"/>
      <c r="D89" s="24"/>
      <c r="E89" s="24"/>
      <c r="F89" s="24"/>
      <c r="G89" s="24"/>
      <c r="H89" s="25"/>
    </row>
    <row r="90" spans="1:8" ht="15" customHeight="1" thickTop="1" x14ac:dyDescent="0.25">
      <c r="A90" s="11" t="s">
        <v>87</v>
      </c>
      <c r="B90" s="6">
        <v>1</v>
      </c>
      <c r="C90" s="16">
        <v>0</v>
      </c>
      <c r="D90" s="5">
        <f t="shared" ref="D90:D119" si="19">B90+C90</f>
        <v>1</v>
      </c>
      <c r="E90" s="6">
        <v>0</v>
      </c>
      <c r="F90" s="16">
        <v>1</v>
      </c>
      <c r="G90" s="5">
        <f t="shared" ref="G90:G119" si="20">E90+F90</f>
        <v>1</v>
      </c>
      <c r="H90" s="7">
        <f t="shared" ref="H90:H119" si="21">G90+D90</f>
        <v>2</v>
      </c>
    </row>
    <row r="91" spans="1:8" ht="15" customHeight="1" x14ac:dyDescent="0.25">
      <c r="A91" s="11" t="s">
        <v>88</v>
      </c>
      <c r="B91" s="6">
        <v>0</v>
      </c>
      <c r="C91" s="16">
        <v>0</v>
      </c>
      <c r="D91" s="5">
        <f t="shared" si="19"/>
        <v>0</v>
      </c>
      <c r="E91" s="6">
        <v>0</v>
      </c>
      <c r="F91" s="16">
        <v>3</v>
      </c>
      <c r="G91" s="5">
        <f t="shared" si="20"/>
        <v>3</v>
      </c>
      <c r="H91" s="7">
        <f t="shared" si="21"/>
        <v>3</v>
      </c>
    </row>
    <row r="92" spans="1:8" ht="15" customHeight="1" x14ac:dyDescent="0.25">
      <c r="A92" s="11" t="s">
        <v>89</v>
      </c>
      <c r="B92" s="6">
        <v>1</v>
      </c>
      <c r="C92" s="16">
        <v>0</v>
      </c>
      <c r="D92" s="5">
        <f t="shared" si="19"/>
        <v>1</v>
      </c>
      <c r="E92" s="6">
        <v>1</v>
      </c>
      <c r="F92" s="16">
        <v>4</v>
      </c>
      <c r="G92" s="5">
        <f t="shared" si="20"/>
        <v>5</v>
      </c>
      <c r="H92" s="7">
        <f t="shared" si="21"/>
        <v>6</v>
      </c>
    </row>
    <row r="93" spans="1:8" ht="15" customHeight="1" x14ac:dyDescent="0.25">
      <c r="A93" s="11" t="s">
        <v>90</v>
      </c>
      <c r="B93" s="6">
        <v>2</v>
      </c>
      <c r="C93" s="16">
        <v>1</v>
      </c>
      <c r="D93" s="5">
        <f t="shared" si="19"/>
        <v>3</v>
      </c>
      <c r="E93" s="6">
        <v>1</v>
      </c>
      <c r="F93" s="16">
        <v>10</v>
      </c>
      <c r="G93" s="5">
        <f t="shared" si="20"/>
        <v>11</v>
      </c>
      <c r="H93" s="7">
        <f t="shared" si="21"/>
        <v>14</v>
      </c>
    </row>
    <row r="94" spans="1:8" ht="15" customHeight="1" x14ac:dyDescent="0.25">
      <c r="A94" s="11" t="s">
        <v>91</v>
      </c>
      <c r="B94" s="6">
        <v>5</v>
      </c>
      <c r="C94" s="16">
        <v>1</v>
      </c>
      <c r="D94" s="5">
        <f t="shared" si="19"/>
        <v>6</v>
      </c>
      <c r="E94" s="6">
        <v>2</v>
      </c>
      <c r="F94" s="16">
        <v>0</v>
      </c>
      <c r="G94" s="5">
        <f t="shared" si="20"/>
        <v>2</v>
      </c>
      <c r="H94" s="7">
        <f t="shared" si="21"/>
        <v>8</v>
      </c>
    </row>
    <row r="95" spans="1:8" ht="15" customHeight="1" x14ac:dyDescent="0.25">
      <c r="A95" s="11" t="s">
        <v>92</v>
      </c>
      <c r="B95" s="6">
        <v>8</v>
      </c>
      <c r="C95" s="16">
        <v>1</v>
      </c>
      <c r="D95" s="5">
        <f t="shared" si="19"/>
        <v>9</v>
      </c>
      <c r="E95" s="6">
        <v>1</v>
      </c>
      <c r="F95" s="16">
        <v>4</v>
      </c>
      <c r="G95" s="5">
        <f t="shared" si="20"/>
        <v>5</v>
      </c>
      <c r="H95" s="7">
        <f t="shared" si="21"/>
        <v>14</v>
      </c>
    </row>
    <row r="96" spans="1:8" ht="15" customHeight="1" x14ac:dyDescent="0.25">
      <c r="A96" s="11" t="s">
        <v>93</v>
      </c>
      <c r="B96" s="6">
        <v>0</v>
      </c>
      <c r="C96" s="16">
        <v>1</v>
      </c>
      <c r="D96" s="5">
        <f t="shared" si="19"/>
        <v>1</v>
      </c>
      <c r="E96" s="6">
        <v>0</v>
      </c>
      <c r="F96" s="16">
        <v>0</v>
      </c>
      <c r="G96" s="5">
        <f t="shared" si="20"/>
        <v>0</v>
      </c>
      <c r="H96" s="7">
        <f t="shared" si="21"/>
        <v>1</v>
      </c>
    </row>
    <row r="97" spans="1:8" ht="15" customHeight="1" x14ac:dyDescent="0.25">
      <c r="A97" s="11" t="s">
        <v>94</v>
      </c>
      <c r="B97" s="6">
        <v>0</v>
      </c>
      <c r="C97" s="16">
        <v>0</v>
      </c>
      <c r="D97" s="5">
        <f t="shared" si="19"/>
        <v>0</v>
      </c>
      <c r="E97" s="6">
        <v>0</v>
      </c>
      <c r="F97" s="16">
        <v>4</v>
      </c>
      <c r="G97" s="5">
        <f t="shared" si="20"/>
        <v>4</v>
      </c>
      <c r="H97" s="7">
        <f t="shared" si="21"/>
        <v>4</v>
      </c>
    </row>
    <row r="98" spans="1:8" ht="15" customHeight="1" x14ac:dyDescent="0.25">
      <c r="A98" s="11" t="s">
        <v>95</v>
      </c>
      <c r="B98" s="6">
        <v>4</v>
      </c>
      <c r="C98" s="16">
        <v>2</v>
      </c>
      <c r="D98" s="5">
        <f t="shared" si="19"/>
        <v>6</v>
      </c>
      <c r="E98" s="6">
        <v>3</v>
      </c>
      <c r="F98" s="16">
        <v>10</v>
      </c>
      <c r="G98" s="5">
        <f t="shared" si="20"/>
        <v>13</v>
      </c>
      <c r="H98" s="7">
        <f t="shared" si="21"/>
        <v>19</v>
      </c>
    </row>
    <row r="99" spans="1:8" ht="15" customHeight="1" x14ac:dyDescent="0.25">
      <c r="A99" s="11" t="s">
        <v>96</v>
      </c>
      <c r="B99" s="6">
        <v>7</v>
      </c>
      <c r="C99" s="16">
        <v>8</v>
      </c>
      <c r="D99" s="5">
        <f t="shared" si="19"/>
        <v>15</v>
      </c>
      <c r="E99" s="6">
        <v>2</v>
      </c>
      <c r="F99" s="16">
        <v>11</v>
      </c>
      <c r="G99" s="5">
        <f t="shared" si="20"/>
        <v>13</v>
      </c>
      <c r="H99" s="7">
        <f t="shared" si="21"/>
        <v>28</v>
      </c>
    </row>
    <row r="100" spans="1:8" ht="15" customHeight="1" x14ac:dyDescent="0.25">
      <c r="A100" s="11" t="s">
        <v>97</v>
      </c>
      <c r="B100" s="6">
        <v>0</v>
      </c>
      <c r="C100" s="16">
        <v>0</v>
      </c>
      <c r="D100" s="5">
        <f t="shared" si="19"/>
        <v>0</v>
      </c>
      <c r="E100" s="6">
        <v>0</v>
      </c>
      <c r="F100" s="16">
        <v>1</v>
      </c>
      <c r="G100" s="5">
        <f t="shared" si="20"/>
        <v>1</v>
      </c>
      <c r="H100" s="7">
        <f t="shared" si="21"/>
        <v>1</v>
      </c>
    </row>
    <row r="101" spans="1:8" ht="15" customHeight="1" x14ac:dyDescent="0.25">
      <c r="A101" s="11" t="s">
        <v>98</v>
      </c>
      <c r="B101" s="6">
        <v>1</v>
      </c>
      <c r="C101" s="16">
        <v>0</v>
      </c>
      <c r="D101" s="5">
        <f t="shared" si="19"/>
        <v>1</v>
      </c>
      <c r="E101" s="6">
        <v>0</v>
      </c>
      <c r="F101" s="16">
        <v>0</v>
      </c>
      <c r="G101" s="5">
        <f t="shared" si="20"/>
        <v>0</v>
      </c>
      <c r="H101" s="7">
        <f t="shared" si="21"/>
        <v>1</v>
      </c>
    </row>
    <row r="102" spans="1:8" ht="15" customHeight="1" x14ac:dyDescent="0.25">
      <c r="A102" s="11" t="s">
        <v>99</v>
      </c>
      <c r="B102" s="6">
        <v>2</v>
      </c>
      <c r="C102" s="16">
        <v>0</v>
      </c>
      <c r="D102" s="5">
        <f t="shared" si="19"/>
        <v>2</v>
      </c>
      <c r="E102" s="6">
        <v>3</v>
      </c>
      <c r="F102" s="16">
        <v>3</v>
      </c>
      <c r="G102" s="5">
        <f t="shared" si="20"/>
        <v>6</v>
      </c>
      <c r="H102" s="7">
        <f t="shared" si="21"/>
        <v>8</v>
      </c>
    </row>
    <row r="103" spans="1:8" ht="15" customHeight="1" x14ac:dyDescent="0.25">
      <c r="A103" s="11" t="s">
        <v>100</v>
      </c>
      <c r="B103" s="6">
        <v>0</v>
      </c>
      <c r="C103" s="16">
        <v>1</v>
      </c>
      <c r="D103" s="5">
        <f t="shared" si="19"/>
        <v>1</v>
      </c>
      <c r="E103" s="6">
        <v>0</v>
      </c>
      <c r="F103" s="16">
        <v>1</v>
      </c>
      <c r="G103" s="5">
        <f t="shared" si="20"/>
        <v>1</v>
      </c>
      <c r="H103" s="7">
        <f t="shared" si="21"/>
        <v>2</v>
      </c>
    </row>
    <row r="104" spans="1:8" ht="15" customHeight="1" x14ac:dyDescent="0.25">
      <c r="A104" s="11" t="s">
        <v>101</v>
      </c>
      <c r="B104" s="6">
        <v>2</v>
      </c>
      <c r="C104" s="16">
        <v>4</v>
      </c>
      <c r="D104" s="5">
        <f t="shared" si="19"/>
        <v>6</v>
      </c>
      <c r="E104" s="6">
        <v>3</v>
      </c>
      <c r="F104" s="16">
        <v>2</v>
      </c>
      <c r="G104" s="5">
        <f t="shared" si="20"/>
        <v>5</v>
      </c>
      <c r="H104" s="7">
        <f t="shared" si="21"/>
        <v>11</v>
      </c>
    </row>
    <row r="105" spans="1:8" ht="15" customHeight="1" x14ac:dyDescent="0.25">
      <c r="A105" s="11" t="s">
        <v>102</v>
      </c>
      <c r="B105" s="6">
        <v>1</v>
      </c>
      <c r="C105" s="16">
        <v>0</v>
      </c>
      <c r="D105" s="5">
        <f t="shared" si="19"/>
        <v>1</v>
      </c>
      <c r="E105" s="6">
        <v>0</v>
      </c>
      <c r="F105" s="16">
        <v>0</v>
      </c>
      <c r="G105" s="5">
        <f t="shared" si="20"/>
        <v>0</v>
      </c>
      <c r="H105" s="7">
        <f t="shared" si="21"/>
        <v>1</v>
      </c>
    </row>
    <row r="106" spans="1:8" ht="15" customHeight="1" x14ac:dyDescent="0.25">
      <c r="A106" s="11" t="s">
        <v>103</v>
      </c>
      <c r="B106" s="6">
        <v>0</v>
      </c>
      <c r="C106" s="16">
        <v>0</v>
      </c>
      <c r="D106" s="5">
        <f t="shared" si="19"/>
        <v>0</v>
      </c>
      <c r="E106" s="6">
        <v>0</v>
      </c>
      <c r="F106" s="16">
        <v>3</v>
      </c>
      <c r="G106" s="5">
        <f t="shared" si="20"/>
        <v>3</v>
      </c>
      <c r="H106" s="7">
        <f t="shared" si="21"/>
        <v>3</v>
      </c>
    </row>
    <row r="107" spans="1:8" ht="15" customHeight="1" x14ac:dyDescent="0.25">
      <c r="A107" s="11" t="s">
        <v>153</v>
      </c>
      <c r="B107" s="6">
        <v>0</v>
      </c>
      <c r="C107" s="16">
        <v>0</v>
      </c>
      <c r="D107" s="5">
        <f t="shared" si="19"/>
        <v>0</v>
      </c>
      <c r="E107" s="6">
        <v>0</v>
      </c>
      <c r="F107" s="16">
        <v>1</v>
      </c>
      <c r="G107" s="5">
        <f t="shared" si="20"/>
        <v>1</v>
      </c>
      <c r="H107" s="7">
        <f t="shared" si="21"/>
        <v>1</v>
      </c>
    </row>
    <row r="108" spans="1:8" ht="15" customHeight="1" x14ac:dyDescent="0.25">
      <c r="A108" s="11" t="s">
        <v>104</v>
      </c>
      <c r="B108" s="6">
        <v>11</v>
      </c>
      <c r="C108" s="16">
        <v>15</v>
      </c>
      <c r="D108" s="5">
        <f t="shared" si="19"/>
        <v>26</v>
      </c>
      <c r="E108" s="6">
        <v>15</v>
      </c>
      <c r="F108" s="16">
        <v>19</v>
      </c>
      <c r="G108" s="5">
        <f t="shared" si="20"/>
        <v>34</v>
      </c>
      <c r="H108" s="7">
        <f t="shared" si="21"/>
        <v>60</v>
      </c>
    </row>
    <row r="109" spans="1:8" ht="15" customHeight="1" x14ac:dyDescent="0.25">
      <c r="A109" s="11" t="s">
        <v>105</v>
      </c>
      <c r="B109" s="6">
        <v>0</v>
      </c>
      <c r="C109" s="16">
        <v>2</v>
      </c>
      <c r="D109" s="5">
        <f t="shared" ref="D109:D110" si="22">B109+C109</f>
        <v>2</v>
      </c>
      <c r="E109" s="6">
        <v>0</v>
      </c>
      <c r="F109" s="16">
        <v>3</v>
      </c>
      <c r="G109" s="5">
        <f t="shared" ref="G109:G110" si="23">E109+F109</f>
        <v>3</v>
      </c>
      <c r="H109" s="7">
        <f t="shared" ref="H109:H110" si="24">G109+D109</f>
        <v>5</v>
      </c>
    </row>
    <row r="110" spans="1:8" ht="15" customHeight="1" x14ac:dyDescent="0.25">
      <c r="A110" s="11" t="s">
        <v>106</v>
      </c>
      <c r="B110" s="6">
        <v>6</v>
      </c>
      <c r="C110" s="16">
        <v>0</v>
      </c>
      <c r="D110" s="5">
        <f t="shared" si="22"/>
        <v>6</v>
      </c>
      <c r="E110" s="6">
        <v>2</v>
      </c>
      <c r="F110" s="16">
        <v>0</v>
      </c>
      <c r="G110" s="5">
        <f t="shared" si="23"/>
        <v>2</v>
      </c>
      <c r="H110" s="7">
        <f t="shared" si="24"/>
        <v>8</v>
      </c>
    </row>
    <row r="111" spans="1:8" ht="15" customHeight="1" x14ac:dyDescent="0.25">
      <c r="A111" s="11" t="s">
        <v>107</v>
      </c>
      <c r="B111" s="6">
        <v>5</v>
      </c>
      <c r="C111" s="16">
        <v>1</v>
      </c>
      <c r="D111" s="5">
        <f t="shared" si="19"/>
        <v>6</v>
      </c>
      <c r="E111" s="6">
        <v>5</v>
      </c>
      <c r="F111" s="16">
        <v>9</v>
      </c>
      <c r="G111" s="5">
        <f t="shared" si="20"/>
        <v>14</v>
      </c>
      <c r="H111" s="7">
        <f t="shared" si="21"/>
        <v>20</v>
      </c>
    </row>
    <row r="112" spans="1:8" ht="15" customHeight="1" x14ac:dyDescent="0.25">
      <c r="A112" s="11" t="s">
        <v>108</v>
      </c>
      <c r="B112" s="6">
        <v>4</v>
      </c>
      <c r="C112" s="16">
        <v>3</v>
      </c>
      <c r="D112" s="5">
        <f t="shared" si="19"/>
        <v>7</v>
      </c>
      <c r="E112" s="6">
        <v>4</v>
      </c>
      <c r="F112" s="16">
        <v>6</v>
      </c>
      <c r="G112" s="5">
        <f t="shared" si="20"/>
        <v>10</v>
      </c>
      <c r="H112" s="7">
        <f t="shared" si="21"/>
        <v>17</v>
      </c>
    </row>
    <row r="113" spans="1:8" ht="15" customHeight="1" x14ac:dyDescent="0.25">
      <c r="A113" s="11" t="s">
        <v>154</v>
      </c>
      <c r="B113" s="6">
        <v>0</v>
      </c>
      <c r="C113" s="16">
        <v>0</v>
      </c>
      <c r="D113" s="5">
        <f t="shared" si="19"/>
        <v>0</v>
      </c>
      <c r="E113" s="6">
        <v>0</v>
      </c>
      <c r="F113" s="16">
        <v>1</v>
      </c>
      <c r="G113" s="5">
        <f t="shared" si="20"/>
        <v>1</v>
      </c>
      <c r="H113" s="7">
        <f t="shared" si="21"/>
        <v>1</v>
      </c>
    </row>
    <row r="114" spans="1:8" ht="15" customHeight="1" x14ac:dyDescent="0.25">
      <c r="A114" s="11" t="s">
        <v>110</v>
      </c>
      <c r="B114" s="6">
        <v>4</v>
      </c>
      <c r="C114" s="16">
        <v>5</v>
      </c>
      <c r="D114" s="5">
        <f t="shared" si="19"/>
        <v>9</v>
      </c>
      <c r="E114" s="6">
        <v>2</v>
      </c>
      <c r="F114" s="16">
        <v>10</v>
      </c>
      <c r="G114" s="5">
        <f t="shared" si="20"/>
        <v>12</v>
      </c>
      <c r="H114" s="7">
        <f t="shared" si="21"/>
        <v>21</v>
      </c>
    </row>
    <row r="115" spans="1:8" ht="15" customHeight="1" x14ac:dyDescent="0.25">
      <c r="A115" s="11" t="s">
        <v>155</v>
      </c>
      <c r="B115" s="6">
        <v>0</v>
      </c>
      <c r="C115" s="16">
        <v>0</v>
      </c>
      <c r="D115" s="5">
        <f t="shared" si="19"/>
        <v>0</v>
      </c>
      <c r="E115" s="6">
        <v>1</v>
      </c>
      <c r="F115" s="16">
        <v>0</v>
      </c>
      <c r="G115" s="5">
        <f t="shared" si="20"/>
        <v>1</v>
      </c>
      <c r="H115" s="7">
        <f t="shared" si="21"/>
        <v>1</v>
      </c>
    </row>
    <row r="116" spans="1:8" ht="15" customHeight="1" x14ac:dyDescent="0.25">
      <c r="A116" s="11" t="s">
        <v>111</v>
      </c>
      <c r="B116" s="6">
        <v>2</v>
      </c>
      <c r="C116" s="16">
        <v>1</v>
      </c>
      <c r="D116" s="5">
        <f t="shared" si="19"/>
        <v>3</v>
      </c>
      <c r="E116" s="6">
        <v>2</v>
      </c>
      <c r="F116" s="16">
        <v>3</v>
      </c>
      <c r="G116" s="5">
        <f t="shared" si="20"/>
        <v>5</v>
      </c>
      <c r="H116" s="7">
        <f t="shared" si="21"/>
        <v>8</v>
      </c>
    </row>
    <row r="117" spans="1:8" ht="15" customHeight="1" x14ac:dyDescent="0.25">
      <c r="A117" s="11" t="s">
        <v>112</v>
      </c>
      <c r="B117" s="6">
        <v>2</v>
      </c>
      <c r="C117" s="16">
        <v>0</v>
      </c>
      <c r="D117" s="5">
        <f t="shared" si="19"/>
        <v>2</v>
      </c>
      <c r="E117" s="6">
        <v>1</v>
      </c>
      <c r="F117" s="16">
        <v>0</v>
      </c>
      <c r="G117" s="5">
        <f t="shared" si="20"/>
        <v>1</v>
      </c>
      <c r="H117" s="7">
        <f t="shared" si="21"/>
        <v>3</v>
      </c>
    </row>
    <row r="118" spans="1:8" ht="15" customHeight="1" x14ac:dyDescent="0.25">
      <c r="A118" s="11" t="s">
        <v>113</v>
      </c>
      <c r="B118" s="6">
        <v>1</v>
      </c>
      <c r="C118" s="16">
        <v>2</v>
      </c>
      <c r="D118" s="5">
        <f t="shared" si="19"/>
        <v>3</v>
      </c>
      <c r="E118" s="6">
        <v>0</v>
      </c>
      <c r="F118" s="16">
        <v>2</v>
      </c>
      <c r="G118" s="5">
        <f t="shared" si="20"/>
        <v>2</v>
      </c>
      <c r="H118" s="7">
        <f t="shared" si="21"/>
        <v>5</v>
      </c>
    </row>
    <row r="119" spans="1:8" ht="15" customHeight="1" thickBot="1" x14ac:dyDescent="0.3">
      <c r="A119" s="11" t="s">
        <v>114</v>
      </c>
      <c r="B119" s="6">
        <v>3</v>
      </c>
      <c r="C119" s="16">
        <v>1</v>
      </c>
      <c r="D119" s="5">
        <f t="shared" si="19"/>
        <v>4</v>
      </c>
      <c r="E119" s="6">
        <v>4</v>
      </c>
      <c r="F119" s="16">
        <v>5</v>
      </c>
      <c r="G119" s="5">
        <f t="shared" si="20"/>
        <v>9</v>
      </c>
      <c r="H119" s="7">
        <f t="shared" si="21"/>
        <v>13</v>
      </c>
    </row>
    <row r="120" spans="1:8" ht="15" customHeight="1" thickTop="1" thickBot="1" x14ac:dyDescent="0.3">
      <c r="A120" s="12" t="s">
        <v>6</v>
      </c>
      <c r="B120" s="13">
        <f t="shared" ref="B120:H120" si="25">SUM(B90:B119)</f>
        <v>72</v>
      </c>
      <c r="C120" s="13">
        <f t="shared" si="25"/>
        <v>49</v>
      </c>
      <c r="D120" s="13">
        <f t="shared" si="25"/>
        <v>121</v>
      </c>
      <c r="E120" s="13">
        <f t="shared" si="25"/>
        <v>52</v>
      </c>
      <c r="F120" s="13">
        <f t="shared" si="25"/>
        <v>116</v>
      </c>
      <c r="G120" s="13">
        <f t="shared" si="25"/>
        <v>168</v>
      </c>
      <c r="H120" s="15">
        <f t="shared" si="25"/>
        <v>289</v>
      </c>
    </row>
    <row r="121" spans="1:8" ht="15" customHeight="1" thickTop="1" thickBot="1" x14ac:dyDescent="0.3">
      <c r="A121" s="23" t="s">
        <v>115</v>
      </c>
      <c r="B121" s="24"/>
      <c r="C121" s="24"/>
      <c r="D121" s="24"/>
      <c r="E121" s="24"/>
      <c r="F121" s="24"/>
      <c r="G121" s="24"/>
      <c r="H121" s="25"/>
    </row>
    <row r="122" spans="1:8" ht="15" customHeight="1" thickTop="1" x14ac:dyDescent="0.25">
      <c r="A122" s="11" t="s">
        <v>116</v>
      </c>
      <c r="B122" s="6">
        <v>14</v>
      </c>
      <c r="C122" s="16">
        <v>7</v>
      </c>
      <c r="D122" s="5">
        <f t="shared" ref="D122:D123" si="26">B122+C122</f>
        <v>21</v>
      </c>
      <c r="E122" s="6">
        <v>11</v>
      </c>
      <c r="F122" s="16">
        <v>31</v>
      </c>
      <c r="G122" s="5">
        <f t="shared" ref="G122:G123" si="27">E122+F122</f>
        <v>42</v>
      </c>
      <c r="H122" s="7">
        <f t="shared" ref="H122:H123" si="28">G122+D122</f>
        <v>63</v>
      </c>
    </row>
    <row r="123" spans="1:8" ht="15" customHeight="1" thickBot="1" x14ac:dyDescent="0.3">
      <c r="A123" s="11" t="s">
        <v>117</v>
      </c>
      <c r="B123" s="6">
        <v>31</v>
      </c>
      <c r="C123" s="16">
        <v>201</v>
      </c>
      <c r="D123" s="5">
        <f t="shared" si="26"/>
        <v>232</v>
      </c>
      <c r="E123" s="6">
        <v>25</v>
      </c>
      <c r="F123" s="16">
        <v>143</v>
      </c>
      <c r="G123" s="5">
        <f t="shared" si="27"/>
        <v>168</v>
      </c>
      <c r="H123" s="7">
        <f t="shared" si="28"/>
        <v>400</v>
      </c>
    </row>
    <row r="124" spans="1:8" ht="15" customHeight="1" thickTop="1" thickBot="1" x14ac:dyDescent="0.3">
      <c r="A124" s="12" t="s">
        <v>6</v>
      </c>
      <c r="B124" s="13">
        <f>SUM(B122:B123)</f>
        <v>45</v>
      </c>
      <c r="C124" s="13">
        <f t="shared" ref="C124:H124" si="29">SUM(C122:C123)</f>
        <v>208</v>
      </c>
      <c r="D124" s="13">
        <f t="shared" si="29"/>
        <v>253</v>
      </c>
      <c r="E124" s="13">
        <f t="shared" si="29"/>
        <v>36</v>
      </c>
      <c r="F124" s="13">
        <f t="shared" si="29"/>
        <v>174</v>
      </c>
      <c r="G124" s="13">
        <f t="shared" si="29"/>
        <v>210</v>
      </c>
      <c r="H124" s="15">
        <f t="shared" si="29"/>
        <v>463</v>
      </c>
    </row>
    <row r="125" spans="1:8" ht="15" customHeight="1" thickTop="1" thickBot="1" x14ac:dyDescent="0.3">
      <c r="A125" s="23" t="s">
        <v>145</v>
      </c>
      <c r="B125" s="24"/>
      <c r="C125" s="24"/>
      <c r="D125" s="24"/>
      <c r="E125" s="24"/>
      <c r="F125" s="24"/>
      <c r="G125" s="24"/>
      <c r="H125" s="25"/>
    </row>
    <row r="126" spans="1:8" ht="15" customHeight="1" thickTop="1" x14ac:dyDescent="0.25">
      <c r="A126" s="11" t="s">
        <v>118</v>
      </c>
      <c r="B126" s="6">
        <v>0</v>
      </c>
      <c r="C126" s="16">
        <v>1</v>
      </c>
      <c r="D126" s="5">
        <f t="shared" ref="D126:D135" si="30">B126+C126</f>
        <v>1</v>
      </c>
      <c r="E126" s="6">
        <v>0</v>
      </c>
      <c r="F126" s="16">
        <v>0</v>
      </c>
      <c r="G126" s="5">
        <f t="shared" ref="G126:G135" si="31">E126+F126</f>
        <v>0</v>
      </c>
      <c r="H126" s="7">
        <f t="shared" ref="H126:H135" si="32">G126+D126</f>
        <v>1</v>
      </c>
    </row>
    <row r="127" spans="1:8" ht="15" customHeight="1" x14ac:dyDescent="0.25">
      <c r="A127" s="11" t="s">
        <v>119</v>
      </c>
      <c r="B127" s="6">
        <v>0</v>
      </c>
      <c r="C127" s="16">
        <v>2</v>
      </c>
      <c r="D127" s="5">
        <f t="shared" si="30"/>
        <v>2</v>
      </c>
      <c r="E127" s="6">
        <v>1</v>
      </c>
      <c r="F127" s="16">
        <v>1</v>
      </c>
      <c r="G127" s="5">
        <f t="shared" si="31"/>
        <v>2</v>
      </c>
      <c r="H127" s="7">
        <f t="shared" si="32"/>
        <v>4</v>
      </c>
    </row>
    <row r="128" spans="1:8" ht="15" customHeight="1" x14ac:dyDescent="0.25">
      <c r="A128" s="11" t="s">
        <v>120</v>
      </c>
      <c r="B128" s="6">
        <v>0</v>
      </c>
      <c r="C128" s="16">
        <v>1</v>
      </c>
      <c r="D128" s="5">
        <f t="shared" ref="D128" si="33">B128+C128</f>
        <v>1</v>
      </c>
      <c r="E128" s="6">
        <v>0</v>
      </c>
      <c r="F128" s="16">
        <v>0</v>
      </c>
      <c r="G128" s="5">
        <f t="shared" ref="G128" si="34">E128+F128</f>
        <v>0</v>
      </c>
      <c r="H128" s="7">
        <f t="shared" ref="H128" si="35">G128+D128</f>
        <v>1</v>
      </c>
    </row>
    <row r="129" spans="1:8" ht="15" customHeight="1" x14ac:dyDescent="0.25">
      <c r="A129" s="11" t="s">
        <v>121</v>
      </c>
      <c r="B129" s="6">
        <v>0</v>
      </c>
      <c r="C129" s="16">
        <v>0</v>
      </c>
      <c r="D129" s="5">
        <f t="shared" si="30"/>
        <v>0</v>
      </c>
      <c r="E129" s="6">
        <v>0</v>
      </c>
      <c r="F129" s="16">
        <v>1</v>
      </c>
      <c r="G129" s="5">
        <f t="shared" si="31"/>
        <v>1</v>
      </c>
      <c r="H129" s="7">
        <f t="shared" si="32"/>
        <v>1</v>
      </c>
    </row>
    <row r="130" spans="1:8" ht="15" customHeight="1" x14ac:dyDescent="0.25">
      <c r="A130" s="11" t="s">
        <v>156</v>
      </c>
      <c r="B130" s="6">
        <v>0</v>
      </c>
      <c r="C130" s="16">
        <v>0</v>
      </c>
      <c r="D130" s="5">
        <f t="shared" si="30"/>
        <v>0</v>
      </c>
      <c r="E130" s="6">
        <v>1</v>
      </c>
      <c r="F130" s="16">
        <v>0</v>
      </c>
      <c r="G130" s="5">
        <f t="shared" si="31"/>
        <v>1</v>
      </c>
      <c r="H130" s="7">
        <f t="shared" si="32"/>
        <v>1</v>
      </c>
    </row>
    <row r="131" spans="1:8" ht="15" customHeight="1" x14ac:dyDescent="0.25">
      <c r="A131" s="11" t="s">
        <v>157</v>
      </c>
      <c r="B131" s="6">
        <v>1</v>
      </c>
      <c r="C131" s="16">
        <v>0</v>
      </c>
      <c r="D131" s="5">
        <f t="shared" si="30"/>
        <v>1</v>
      </c>
      <c r="E131" s="6">
        <v>0</v>
      </c>
      <c r="F131" s="16">
        <v>0</v>
      </c>
      <c r="G131" s="5">
        <f t="shared" si="31"/>
        <v>0</v>
      </c>
      <c r="H131" s="7">
        <f t="shared" si="32"/>
        <v>1</v>
      </c>
    </row>
    <row r="132" spans="1:8" ht="15" customHeight="1" x14ac:dyDescent="0.25">
      <c r="A132" s="11" t="s">
        <v>123</v>
      </c>
      <c r="B132" s="6">
        <v>0</v>
      </c>
      <c r="C132" s="16">
        <v>0</v>
      </c>
      <c r="D132" s="5">
        <f t="shared" si="30"/>
        <v>0</v>
      </c>
      <c r="E132" s="6">
        <v>3</v>
      </c>
      <c r="F132" s="16">
        <v>5</v>
      </c>
      <c r="G132" s="5">
        <f t="shared" si="31"/>
        <v>8</v>
      </c>
      <c r="H132" s="7">
        <f t="shared" si="32"/>
        <v>8</v>
      </c>
    </row>
    <row r="133" spans="1:8" ht="15" customHeight="1" x14ac:dyDescent="0.25">
      <c r="A133" s="11" t="s">
        <v>124</v>
      </c>
      <c r="B133" s="6">
        <v>0</v>
      </c>
      <c r="C133" s="16">
        <v>1</v>
      </c>
      <c r="D133" s="5">
        <f t="shared" si="30"/>
        <v>1</v>
      </c>
      <c r="E133" s="6">
        <v>0</v>
      </c>
      <c r="F133" s="16">
        <v>1</v>
      </c>
      <c r="G133" s="5">
        <f t="shared" si="31"/>
        <v>1</v>
      </c>
      <c r="H133" s="7">
        <f t="shared" si="32"/>
        <v>2</v>
      </c>
    </row>
    <row r="134" spans="1:8" ht="15" customHeight="1" x14ac:dyDescent="0.25">
      <c r="A134" s="11" t="s">
        <v>125</v>
      </c>
      <c r="B134" s="6">
        <v>0</v>
      </c>
      <c r="C134" s="16">
        <v>1</v>
      </c>
      <c r="D134" s="5">
        <f t="shared" si="30"/>
        <v>1</v>
      </c>
      <c r="E134" s="6">
        <v>0</v>
      </c>
      <c r="F134" s="16">
        <v>0</v>
      </c>
      <c r="G134" s="5">
        <f t="shared" si="31"/>
        <v>0</v>
      </c>
      <c r="H134" s="7">
        <f t="shared" si="32"/>
        <v>1</v>
      </c>
    </row>
    <row r="135" spans="1:8" ht="15" customHeight="1" thickBot="1" x14ac:dyDescent="0.3">
      <c r="A135" s="11" t="s">
        <v>126</v>
      </c>
      <c r="B135" s="6">
        <v>1</v>
      </c>
      <c r="C135" s="16">
        <v>2</v>
      </c>
      <c r="D135" s="5">
        <f t="shared" si="30"/>
        <v>3</v>
      </c>
      <c r="E135" s="6">
        <v>2</v>
      </c>
      <c r="F135" s="16">
        <v>1</v>
      </c>
      <c r="G135" s="5">
        <f t="shared" si="31"/>
        <v>3</v>
      </c>
      <c r="H135" s="7">
        <f t="shared" si="32"/>
        <v>6</v>
      </c>
    </row>
    <row r="136" spans="1:8" ht="15" customHeight="1" thickTop="1" thickBot="1" x14ac:dyDescent="0.3">
      <c r="A136" s="12" t="s">
        <v>6</v>
      </c>
      <c r="B136" s="13">
        <f t="shared" ref="B136:H136" si="36">SUM(B126:B135)</f>
        <v>2</v>
      </c>
      <c r="C136" s="13">
        <f t="shared" si="36"/>
        <v>8</v>
      </c>
      <c r="D136" s="13">
        <f t="shared" si="36"/>
        <v>10</v>
      </c>
      <c r="E136" s="13">
        <f t="shared" si="36"/>
        <v>7</v>
      </c>
      <c r="F136" s="13">
        <f t="shared" si="36"/>
        <v>9</v>
      </c>
      <c r="G136" s="13">
        <f t="shared" si="36"/>
        <v>16</v>
      </c>
      <c r="H136" s="15">
        <f t="shared" si="36"/>
        <v>26</v>
      </c>
    </row>
    <row r="137" spans="1:8" ht="15" customHeight="1" thickTop="1" thickBot="1" x14ac:dyDescent="0.3">
      <c r="A137" s="23" t="s">
        <v>127</v>
      </c>
      <c r="B137" s="24"/>
      <c r="C137" s="24"/>
      <c r="D137" s="24"/>
      <c r="E137" s="24"/>
      <c r="F137" s="24"/>
      <c r="G137" s="24"/>
      <c r="H137" s="25"/>
    </row>
    <row r="138" spans="1:8" ht="15" customHeight="1" thickTop="1" x14ac:dyDescent="0.25">
      <c r="A138" s="11" t="s">
        <v>128</v>
      </c>
      <c r="B138" s="6">
        <v>4</v>
      </c>
      <c r="C138" s="16">
        <v>0</v>
      </c>
      <c r="D138" s="5">
        <f t="shared" ref="D138:D147" si="37">B138+C138</f>
        <v>4</v>
      </c>
      <c r="E138" s="6">
        <v>1</v>
      </c>
      <c r="F138" s="16">
        <v>9</v>
      </c>
      <c r="G138" s="5">
        <f t="shared" ref="G138:G147" si="38">E138+F138</f>
        <v>10</v>
      </c>
      <c r="H138" s="7">
        <f t="shared" ref="H138:H148" si="39">G138+D138</f>
        <v>14</v>
      </c>
    </row>
    <row r="139" spans="1:8" ht="15" customHeight="1" x14ac:dyDescent="0.25">
      <c r="A139" s="11" t="s">
        <v>129</v>
      </c>
      <c r="B139" s="6">
        <v>0</v>
      </c>
      <c r="C139" s="16">
        <v>0</v>
      </c>
      <c r="D139" s="5">
        <f t="shared" si="37"/>
        <v>0</v>
      </c>
      <c r="E139" s="6">
        <v>0</v>
      </c>
      <c r="F139" s="16">
        <v>2</v>
      </c>
      <c r="G139" s="5">
        <f t="shared" si="38"/>
        <v>2</v>
      </c>
      <c r="H139" s="7">
        <f t="shared" si="39"/>
        <v>2</v>
      </c>
    </row>
    <row r="140" spans="1:8" ht="15" customHeight="1" x14ac:dyDescent="0.25">
      <c r="A140" s="11" t="s">
        <v>130</v>
      </c>
      <c r="B140" s="6">
        <v>4</v>
      </c>
      <c r="C140" s="16">
        <v>2</v>
      </c>
      <c r="D140" s="5">
        <f t="shared" si="37"/>
        <v>6</v>
      </c>
      <c r="E140" s="6">
        <v>6</v>
      </c>
      <c r="F140" s="16">
        <v>28</v>
      </c>
      <c r="G140" s="5">
        <f t="shared" si="38"/>
        <v>34</v>
      </c>
      <c r="H140" s="7">
        <f t="shared" si="39"/>
        <v>40</v>
      </c>
    </row>
    <row r="141" spans="1:8" ht="15" customHeight="1" x14ac:dyDescent="0.25">
      <c r="A141" s="11" t="s">
        <v>131</v>
      </c>
      <c r="B141" s="6">
        <v>2</v>
      </c>
      <c r="C141" s="16">
        <v>1</v>
      </c>
      <c r="D141" s="5">
        <f t="shared" si="37"/>
        <v>3</v>
      </c>
      <c r="E141" s="6">
        <v>2</v>
      </c>
      <c r="F141" s="16">
        <v>7</v>
      </c>
      <c r="G141" s="5">
        <f t="shared" si="38"/>
        <v>9</v>
      </c>
      <c r="H141" s="7">
        <f t="shared" si="39"/>
        <v>12</v>
      </c>
    </row>
    <row r="142" spans="1:8" ht="15" customHeight="1" x14ac:dyDescent="0.25">
      <c r="A142" s="11" t="s">
        <v>132</v>
      </c>
      <c r="B142" s="6">
        <v>1</v>
      </c>
      <c r="C142" s="16">
        <v>1</v>
      </c>
      <c r="D142" s="5">
        <f t="shared" si="37"/>
        <v>2</v>
      </c>
      <c r="E142" s="6">
        <v>3</v>
      </c>
      <c r="F142" s="16">
        <v>9</v>
      </c>
      <c r="G142" s="5">
        <f t="shared" si="38"/>
        <v>12</v>
      </c>
      <c r="H142" s="7">
        <f t="shared" si="39"/>
        <v>14</v>
      </c>
    </row>
    <row r="143" spans="1:8" ht="15" customHeight="1" x14ac:dyDescent="0.25">
      <c r="A143" s="11" t="s">
        <v>133</v>
      </c>
      <c r="B143" s="6">
        <v>0</v>
      </c>
      <c r="C143" s="16">
        <v>2</v>
      </c>
      <c r="D143" s="5">
        <f t="shared" si="37"/>
        <v>2</v>
      </c>
      <c r="E143" s="6">
        <v>1</v>
      </c>
      <c r="F143" s="16">
        <v>1</v>
      </c>
      <c r="G143" s="5">
        <f t="shared" si="38"/>
        <v>2</v>
      </c>
      <c r="H143" s="7">
        <f t="shared" si="39"/>
        <v>4</v>
      </c>
    </row>
    <row r="144" spans="1:8" ht="15" customHeight="1" x14ac:dyDescent="0.25">
      <c r="A144" s="11" t="s">
        <v>134</v>
      </c>
      <c r="B144" s="6">
        <v>0</v>
      </c>
      <c r="C144" s="16">
        <v>0</v>
      </c>
      <c r="D144" s="5">
        <f t="shared" si="37"/>
        <v>0</v>
      </c>
      <c r="E144" s="6">
        <v>0</v>
      </c>
      <c r="F144" s="16">
        <v>23</v>
      </c>
      <c r="G144" s="5">
        <f t="shared" si="38"/>
        <v>23</v>
      </c>
      <c r="H144" s="7">
        <f t="shared" si="39"/>
        <v>23</v>
      </c>
    </row>
    <row r="145" spans="1:8" ht="15" customHeight="1" x14ac:dyDescent="0.25">
      <c r="A145" s="11" t="s">
        <v>135</v>
      </c>
      <c r="B145" s="6">
        <v>0</v>
      </c>
      <c r="C145" s="16">
        <v>0</v>
      </c>
      <c r="D145" s="5">
        <f t="shared" si="37"/>
        <v>0</v>
      </c>
      <c r="E145" s="6">
        <v>0</v>
      </c>
      <c r="F145" s="16">
        <v>2</v>
      </c>
      <c r="G145" s="5">
        <f t="shared" si="38"/>
        <v>2</v>
      </c>
      <c r="H145" s="7">
        <f t="shared" si="39"/>
        <v>2</v>
      </c>
    </row>
    <row r="146" spans="1:8" ht="15" customHeight="1" x14ac:dyDescent="0.25">
      <c r="A146" s="11" t="s">
        <v>136</v>
      </c>
      <c r="B146" s="6">
        <v>1</v>
      </c>
      <c r="C146" s="16">
        <v>0</v>
      </c>
      <c r="D146" s="5">
        <f t="shared" si="37"/>
        <v>1</v>
      </c>
      <c r="E146" s="6">
        <v>0</v>
      </c>
      <c r="F146" s="16">
        <v>0</v>
      </c>
      <c r="G146" s="5">
        <f t="shared" si="38"/>
        <v>0</v>
      </c>
      <c r="H146" s="7">
        <f t="shared" si="39"/>
        <v>1</v>
      </c>
    </row>
    <row r="147" spans="1:8" ht="15" customHeight="1" thickBot="1" x14ac:dyDescent="0.3">
      <c r="A147" s="11" t="s">
        <v>137</v>
      </c>
      <c r="B147" s="6">
        <v>1</v>
      </c>
      <c r="C147" s="16">
        <v>2</v>
      </c>
      <c r="D147" s="5">
        <f t="shared" si="37"/>
        <v>3</v>
      </c>
      <c r="E147" s="6">
        <v>0</v>
      </c>
      <c r="F147" s="16">
        <v>8</v>
      </c>
      <c r="G147" s="5">
        <f t="shared" si="38"/>
        <v>8</v>
      </c>
      <c r="H147" s="7">
        <f t="shared" si="39"/>
        <v>11</v>
      </c>
    </row>
    <row r="148" spans="1:8" ht="15" customHeight="1" thickTop="1" thickBot="1" x14ac:dyDescent="0.3">
      <c r="A148" s="12" t="s">
        <v>6</v>
      </c>
      <c r="B148" s="14">
        <f t="shared" ref="B148:G148" si="40">SUM(B138:B147)</f>
        <v>13</v>
      </c>
      <c r="C148" s="14">
        <f t="shared" si="40"/>
        <v>8</v>
      </c>
      <c r="D148" s="14">
        <f t="shared" si="40"/>
        <v>21</v>
      </c>
      <c r="E148" s="14">
        <f t="shared" si="40"/>
        <v>13</v>
      </c>
      <c r="F148" s="14">
        <f t="shared" si="40"/>
        <v>89</v>
      </c>
      <c r="G148" s="14">
        <f t="shared" si="40"/>
        <v>102</v>
      </c>
      <c r="H148" s="15">
        <f t="shared" si="39"/>
        <v>123</v>
      </c>
    </row>
    <row r="149" spans="1:8" ht="15" customHeight="1" thickTop="1" thickBot="1" x14ac:dyDescent="0.3">
      <c r="A149" s="23" t="s">
        <v>138</v>
      </c>
      <c r="B149" s="24"/>
      <c r="C149" s="24"/>
      <c r="D149" s="24"/>
      <c r="E149" s="24"/>
      <c r="F149" s="24"/>
      <c r="G149" s="24"/>
      <c r="H149" s="25"/>
    </row>
    <row r="150" spans="1:8" ht="15" customHeight="1" thickTop="1" x14ac:dyDescent="0.25">
      <c r="A150" s="11" t="s">
        <v>139</v>
      </c>
      <c r="B150" s="6">
        <v>19</v>
      </c>
      <c r="C150" s="16">
        <v>9</v>
      </c>
      <c r="D150" s="5">
        <f t="shared" ref="D150:D152" si="41">B150+C150</f>
        <v>28</v>
      </c>
      <c r="E150" s="6">
        <v>13</v>
      </c>
      <c r="F150" s="16">
        <v>18</v>
      </c>
      <c r="G150" s="5">
        <f t="shared" ref="G150:G152" si="42">E150+F150</f>
        <v>31</v>
      </c>
      <c r="H150" s="7">
        <f t="shared" ref="H150:H152" si="43">G150+D150</f>
        <v>59</v>
      </c>
    </row>
    <row r="151" spans="1:8" ht="15" customHeight="1" x14ac:dyDescent="0.25">
      <c r="A151" s="11" t="s">
        <v>141</v>
      </c>
      <c r="B151" s="6">
        <v>6</v>
      </c>
      <c r="C151" s="16">
        <v>1</v>
      </c>
      <c r="D151" s="5">
        <f t="shared" si="41"/>
        <v>7</v>
      </c>
      <c r="E151" s="6">
        <v>8</v>
      </c>
      <c r="F151" s="16">
        <v>6</v>
      </c>
      <c r="G151" s="5">
        <f t="shared" si="42"/>
        <v>14</v>
      </c>
      <c r="H151" s="7">
        <f t="shared" si="43"/>
        <v>21</v>
      </c>
    </row>
    <row r="152" spans="1:8" ht="15" customHeight="1" thickBot="1" x14ac:dyDescent="0.3">
      <c r="A152" s="11" t="s">
        <v>158</v>
      </c>
      <c r="B152" s="6">
        <v>0</v>
      </c>
      <c r="C152" s="16">
        <v>0</v>
      </c>
      <c r="D152" s="5">
        <f t="shared" si="41"/>
        <v>0</v>
      </c>
      <c r="E152" s="6">
        <v>0</v>
      </c>
      <c r="F152" s="16">
        <v>1</v>
      </c>
      <c r="G152" s="5">
        <f t="shared" si="42"/>
        <v>1</v>
      </c>
      <c r="H152" s="7">
        <f t="shared" si="43"/>
        <v>1</v>
      </c>
    </row>
    <row r="153" spans="1:8" ht="15" customHeight="1" thickTop="1" thickBot="1" x14ac:dyDescent="0.3">
      <c r="A153" s="12" t="s">
        <v>6</v>
      </c>
      <c r="B153" s="13">
        <f t="shared" ref="B153:H153" si="44">SUM(B150:B152)</f>
        <v>25</v>
      </c>
      <c r="C153" s="13">
        <f t="shared" si="44"/>
        <v>10</v>
      </c>
      <c r="D153" s="13">
        <f t="shared" si="44"/>
        <v>35</v>
      </c>
      <c r="E153" s="13">
        <f t="shared" si="44"/>
        <v>21</v>
      </c>
      <c r="F153" s="13">
        <f t="shared" si="44"/>
        <v>25</v>
      </c>
      <c r="G153" s="13">
        <f t="shared" si="44"/>
        <v>46</v>
      </c>
      <c r="H153" s="15">
        <f t="shared" si="44"/>
        <v>81</v>
      </c>
    </row>
    <row r="154" spans="1:8" ht="15" customHeight="1" thickTop="1" thickBot="1" x14ac:dyDescent="0.3">
      <c r="A154" s="23" t="s">
        <v>146</v>
      </c>
      <c r="B154" s="41"/>
      <c r="C154" s="41"/>
      <c r="D154" s="41"/>
      <c r="E154" s="41"/>
      <c r="F154" s="41"/>
      <c r="G154" s="41"/>
      <c r="H154" s="42"/>
    </row>
    <row r="155" spans="1:8" ht="15" customHeight="1" thickTop="1" thickBot="1" x14ac:dyDescent="0.3">
      <c r="A155" s="11" t="s">
        <v>143</v>
      </c>
      <c r="B155" s="6">
        <v>10</v>
      </c>
      <c r="C155" s="16">
        <v>2</v>
      </c>
      <c r="D155" s="5">
        <f t="shared" ref="D155" si="45">B155+C155</f>
        <v>12</v>
      </c>
      <c r="E155" s="6">
        <v>67</v>
      </c>
      <c r="F155" s="16">
        <v>3</v>
      </c>
      <c r="G155" s="5">
        <f t="shared" ref="G155" si="46">E155+F155</f>
        <v>70</v>
      </c>
      <c r="H155" s="7">
        <f t="shared" ref="H155" si="47">G155+D155</f>
        <v>82</v>
      </c>
    </row>
    <row r="156" spans="1:8" ht="15" customHeight="1" thickTop="1" thickBot="1" x14ac:dyDescent="0.3">
      <c r="A156" s="12" t="s">
        <v>6</v>
      </c>
      <c r="B156" s="13">
        <f>B155</f>
        <v>10</v>
      </c>
      <c r="C156" s="13">
        <f t="shared" ref="C156:H156" si="48">C155</f>
        <v>2</v>
      </c>
      <c r="D156" s="13">
        <f t="shared" si="48"/>
        <v>12</v>
      </c>
      <c r="E156" s="13">
        <f t="shared" si="48"/>
        <v>67</v>
      </c>
      <c r="F156" s="13">
        <f t="shared" si="48"/>
        <v>3</v>
      </c>
      <c r="G156" s="13">
        <f t="shared" si="48"/>
        <v>70</v>
      </c>
      <c r="H156" s="15">
        <f t="shared" si="48"/>
        <v>82</v>
      </c>
    </row>
    <row r="157" spans="1:8" ht="15" customHeight="1" thickTop="1" thickBot="1" x14ac:dyDescent="0.3">
      <c r="A157" s="17"/>
      <c r="B157" s="18"/>
      <c r="C157" s="18"/>
      <c r="D157" s="18"/>
      <c r="E157" s="18"/>
      <c r="F157" s="18"/>
      <c r="G157" s="18"/>
      <c r="H157" s="19"/>
    </row>
    <row r="158" spans="1:8" ht="15" customHeight="1" thickTop="1" thickBot="1" x14ac:dyDescent="0.3">
      <c r="A158" s="43" t="s">
        <v>0</v>
      </c>
      <c r="B158" s="44">
        <f>B155+B153+B148+B136+B124+B88+B120+B62+B47+B22</f>
        <v>1250</v>
      </c>
      <c r="C158" s="44">
        <f>C155+C153+C148+C136+C124+C88+C120+C62+C47+C22</f>
        <v>916</v>
      </c>
      <c r="D158" s="44">
        <f>D155+D153+D148+D136+D124+D88+D120+D62+D47+D22</f>
        <v>2166</v>
      </c>
      <c r="E158" s="44">
        <f>E155+E153+E148+E136+E124+E88+E120+E62+E47+E22</f>
        <v>1073</v>
      </c>
      <c r="F158" s="44">
        <f>F155+F153+F148+F136+F124+F88+F120+F62+F47+F22</f>
        <v>982</v>
      </c>
      <c r="G158" s="44">
        <f>G155+G153+G148+G136+G124+G88+G120+G62+G47+G22</f>
        <v>2055</v>
      </c>
      <c r="H158" s="45">
        <f>H156+H153+H148+H136+H124+H88+H120+H62+H47+H22</f>
        <v>4221</v>
      </c>
    </row>
    <row r="160" spans="1:8" ht="15" customHeight="1" x14ac:dyDescent="0.25">
      <c r="A160" s="28"/>
      <c r="B160" s="28"/>
      <c r="C160" s="28"/>
      <c r="D160" s="28"/>
      <c r="E160" s="28"/>
      <c r="F160" s="28"/>
      <c r="G160" s="28"/>
      <c r="H160" s="28"/>
    </row>
    <row r="161" spans="1:8" ht="15" customHeight="1" x14ac:dyDescent="0.25">
      <c r="A161" s="47" t="s">
        <v>147</v>
      </c>
      <c r="B161" s="47"/>
      <c r="C161" s="47"/>
      <c r="D161" s="47"/>
      <c r="E161" s="47"/>
      <c r="F161" s="47"/>
      <c r="G161" s="47"/>
      <c r="H161" s="47"/>
    </row>
    <row r="162" spans="1:8" ht="15" customHeight="1" x14ac:dyDescent="0.25">
      <c r="A162" s="47" t="s">
        <v>218</v>
      </c>
      <c r="B162" s="47"/>
      <c r="C162" s="47"/>
      <c r="D162" s="47"/>
      <c r="E162" s="47"/>
      <c r="F162" s="47"/>
      <c r="G162" s="47"/>
      <c r="H162" s="47"/>
    </row>
    <row r="175" spans="1:8" ht="25.5" customHeight="1" x14ac:dyDescent="0.25"/>
    <row r="176" spans="1:8" ht="25.5" customHeight="1" x14ac:dyDescent="0.25"/>
  </sheetData>
  <mergeCells count="18">
    <mergeCell ref="A161:H161"/>
    <mergeCell ref="A162:H162"/>
    <mergeCell ref="H5:H6"/>
    <mergeCell ref="A154:H154"/>
    <mergeCell ref="A160:H160"/>
    <mergeCell ref="A63:H63"/>
    <mergeCell ref="A89:H89"/>
    <mergeCell ref="A121:H121"/>
    <mergeCell ref="A125:H125"/>
    <mergeCell ref="A137:H137"/>
    <mergeCell ref="A149:H149"/>
    <mergeCell ref="A48:H48"/>
    <mergeCell ref="A5:A6"/>
    <mergeCell ref="A2:H2"/>
    <mergeCell ref="B5:D5"/>
    <mergeCell ref="E5:G5"/>
    <mergeCell ref="A7:H7"/>
    <mergeCell ref="A23:H23"/>
  </mergeCells>
  <pageMargins left="0.7" right="0.7" top="0.75" bottom="0.75" header="0.3" footer="0.3"/>
  <pageSetup paperSize="9" orientation="portrait" r:id="rId1"/>
  <headerFooter>
    <oddHeader>&amp;CUCL Student Data Statistics</oddHeader>
    <oddFooter>&amp;L&amp;F - &amp;A&amp;RPage &amp;P of &amp;N</oddFooter>
  </headerFooter>
  <rowBreaks count="3" manualBreakCount="3">
    <brk id="47" max="16383" man="1"/>
    <brk id="88" max="16383" man="1"/>
    <brk id="131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176"/>
  <sheetViews>
    <sheetView view="pageLayout" topLeftCell="A163" zoomScale="85" zoomScaleNormal="100" zoomScalePageLayoutView="85" workbookViewId="0">
      <selection activeCell="A178" sqref="A178"/>
    </sheetView>
  </sheetViews>
  <sheetFormatPr defaultColWidth="9.140625" defaultRowHeight="15" customHeight="1" x14ac:dyDescent="0.25"/>
  <cols>
    <col min="1" max="1" width="20.85546875" bestFit="1" customWidth="1"/>
    <col min="2" max="8" width="6" customWidth="1"/>
    <col min="9" max="11" width="5.5703125" customWidth="1"/>
  </cols>
  <sheetData>
    <row r="1" spans="1:9" ht="15" customHeight="1" x14ac:dyDescent="0.25">
      <c r="A1" s="1" t="s">
        <v>7</v>
      </c>
      <c r="B1" s="3"/>
    </row>
    <row r="2" spans="1:9" ht="15" customHeight="1" x14ac:dyDescent="0.25">
      <c r="A2" s="31" t="s">
        <v>8</v>
      </c>
      <c r="B2" s="31"/>
      <c r="C2" s="31"/>
      <c r="D2" s="31"/>
      <c r="E2" s="31"/>
      <c r="F2" s="31"/>
      <c r="G2" s="31"/>
      <c r="H2" s="31"/>
    </row>
    <row r="3" spans="1:9" ht="15" customHeight="1" x14ac:dyDescent="0.25">
      <c r="A3" s="2" t="str">
        <f ca="1">RIGHT(CELL("filename",A1),LEN(CELL("filename",A1))-FIND("]",CELL("filename",A1)))</f>
        <v>1995-96</v>
      </c>
      <c r="B3" s="3"/>
    </row>
    <row r="4" spans="1:9" ht="15" customHeight="1" thickBot="1" x14ac:dyDescent="0.3">
      <c r="A4" s="3"/>
      <c r="B4" s="3"/>
    </row>
    <row r="5" spans="1:9" ht="15" customHeight="1" x14ac:dyDescent="0.25">
      <c r="A5" s="29" t="s">
        <v>3</v>
      </c>
      <c r="B5" s="26" t="s">
        <v>1</v>
      </c>
      <c r="C5" s="27"/>
      <c r="D5" s="27"/>
      <c r="E5" s="26" t="s">
        <v>2</v>
      </c>
      <c r="F5" s="27"/>
      <c r="G5" s="27"/>
      <c r="H5" s="62" t="s">
        <v>0</v>
      </c>
    </row>
    <row r="6" spans="1:9" ht="15" customHeight="1" x14ac:dyDescent="0.25">
      <c r="A6" s="30"/>
      <c r="B6" s="59" t="s">
        <v>4</v>
      </c>
      <c r="C6" s="60" t="s">
        <v>5</v>
      </c>
      <c r="D6" s="61" t="s">
        <v>0</v>
      </c>
      <c r="E6" s="59" t="s">
        <v>4</v>
      </c>
      <c r="F6" s="60" t="s">
        <v>5</v>
      </c>
      <c r="G6" s="61" t="s">
        <v>0</v>
      </c>
      <c r="H6" s="63"/>
      <c r="I6" s="22"/>
    </row>
    <row r="7" spans="1:9" ht="15" customHeight="1" thickBot="1" x14ac:dyDescent="0.3">
      <c r="A7" s="32" t="s">
        <v>9</v>
      </c>
      <c r="B7" s="33"/>
      <c r="C7" s="33"/>
      <c r="D7" s="33"/>
      <c r="E7" s="33"/>
      <c r="F7" s="33"/>
      <c r="G7" s="33"/>
      <c r="H7" s="34"/>
    </row>
    <row r="8" spans="1:9" ht="15" customHeight="1" thickTop="1" x14ac:dyDescent="0.25">
      <c r="A8" s="11" t="s">
        <v>10</v>
      </c>
      <c r="B8" s="6">
        <v>8</v>
      </c>
      <c r="C8" s="4">
        <v>0</v>
      </c>
      <c r="D8" s="5">
        <f t="shared" ref="D8:D48" si="0">B8+C8</f>
        <v>8</v>
      </c>
      <c r="E8" s="6">
        <v>5</v>
      </c>
      <c r="F8" s="4">
        <v>0</v>
      </c>
      <c r="G8" s="5">
        <f t="shared" ref="G8:G48" si="1">E8+F8</f>
        <v>5</v>
      </c>
      <c r="H8" s="7">
        <f>G8+D8</f>
        <v>13</v>
      </c>
    </row>
    <row r="9" spans="1:9" ht="15" customHeight="1" x14ac:dyDescent="0.25">
      <c r="A9" s="11" t="s">
        <v>11</v>
      </c>
      <c r="B9" s="6">
        <v>13</v>
      </c>
      <c r="C9" s="4">
        <v>0</v>
      </c>
      <c r="D9" s="5">
        <f t="shared" si="0"/>
        <v>13</v>
      </c>
      <c r="E9" s="6">
        <v>8</v>
      </c>
      <c r="F9" s="4">
        <v>2</v>
      </c>
      <c r="G9" s="5">
        <f t="shared" si="1"/>
        <v>10</v>
      </c>
      <c r="H9" s="7">
        <f t="shared" ref="H9:H48" si="2">G9+D9</f>
        <v>23</v>
      </c>
    </row>
    <row r="10" spans="1:9" ht="15" customHeight="1" x14ac:dyDescent="0.25">
      <c r="A10" s="11" t="s">
        <v>12</v>
      </c>
      <c r="B10" s="6">
        <v>17</v>
      </c>
      <c r="C10" s="4">
        <v>0</v>
      </c>
      <c r="D10" s="5">
        <f t="shared" si="0"/>
        <v>17</v>
      </c>
      <c r="E10" s="6">
        <v>16</v>
      </c>
      <c r="F10" s="4">
        <v>0</v>
      </c>
      <c r="G10" s="5">
        <f t="shared" si="1"/>
        <v>16</v>
      </c>
      <c r="H10" s="7">
        <f t="shared" si="2"/>
        <v>33</v>
      </c>
    </row>
    <row r="11" spans="1:9" ht="15" customHeight="1" x14ac:dyDescent="0.25">
      <c r="A11" s="11" t="s">
        <v>13</v>
      </c>
      <c r="B11" s="6">
        <v>61</v>
      </c>
      <c r="C11" s="4">
        <v>5</v>
      </c>
      <c r="D11" s="5">
        <f t="shared" si="0"/>
        <v>66</v>
      </c>
      <c r="E11" s="6">
        <v>64</v>
      </c>
      <c r="F11" s="4">
        <v>0</v>
      </c>
      <c r="G11" s="5">
        <f t="shared" si="1"/>
        <v>64</v>
      </c>
      <c r="H11" s="7">
        <f t="shared" si="2"/>
        <v>130</v>
      </c>
    </row>
    <row r="12" spans="1:9" ht="15" customHeight="1" x14ac:dyDescent="0.25">
      <c r="A12" s="11" t="s">
        <v>14</v>
      </c>
      <c r="B12" s="6">
        <v>9</v>
      </c>
      <c r="C12" s="4">
        <v>1</v>
      </c>
      <c r="D12" s="5">
        <f t="shared" si="0"/>
        <v>10</v>
      </c>
      <c r="E12" s="6">
        <v>4</v>
      </c>
      <c r="F12" s="4">
        <v>1</v>
      </c>
      <c r="G12" s="5">
        <f t="shared" si="1"/>
        <v>5</v>
      </c>
      <c r="H12" s="7">
        <f t="shared" si="2"/>
        <v>15</v>
      </c>
    </row>
    <row r="13" spans="1:9" ht="15" customHeight="1" x14ac:dyDescent="0.25">
      <c r="A13" s="11" t="s">
        <v>15</v>
      </c>
      <c r="B13" s="6">
        <v>69</v>
      </c>
      <c r="C13" s="4">
        <v>2</v>
      </c>
      <c r="D13" s="5">
        <f t="shared" si="0"/>
        <v>71</v>
      </c>
      <c r="E13" s="6">
        <v>44</v>
      </c>
      <c r="F13" s="4">
        <v>1</v>
      </c>
      <c r="G13" s="5">
        <f t="shared" si="1"/>
        <v>45</v>
      </c>
      <c r="H13" s="7">
        <f t="shared" si="2"/>
        <v>116</v>
      </c>
    </row>
    <row r="14" spans="1:9" ht="15" customHeight="1" x14ac:dyDescent="0.25">
      <c r="A14" s="11" t="s">
        <v>16</v>
      </c>
      <c r="B14" s="6">
        <v>180</v>
      </c>
      <c r="C14" s="4">
        <v>4</v>
      </c>
      <c r="D14" s="5">
        <f t="shared" si="0"/>
        <v>184</v>
      </c>
      <c r="E14" s="6">
        <v>113</v>
      </c>
      <c r="F14" s="4">
        <v>1</v>
      </c>
      <c r="G14" s="5">
        <f t="shared" si="1"/>
        <v>114</v>
      </c>
      <c r="H14" s="7">
        <f t="shared" si="2"/>
        <v>298</v>
      </c>
    </row>
    <row r="15" spans="1:9" ht="15" customHeight="1" x14ac:dyDescent="0.25">
      <c r="A15" s="11" t="s">
        <v>17</v>
      </c>
      <c r="B15" s="6">
        <v>111</v>
      </c>
      <c r="C15" s="4">
        <v>1</v>
      </c>
      <c r="D15" s="5">
        <f t="shared" si="0"/>
        <v>112</v>
      </c>
      <c r="E15" s="6">
        <v>205</v>
      </c>
      <c r="F15" s="4">
        <v>2</v>
      </c>
      <c r="G15" s="5">
        <f t="shared" si="1"/>
        <v>207</v>
      </c>
      <c r="H15" s="7">
        <f t="shared" si="2"/>
        <v>319</v>
      </c>
    </row>
    <row r="16" spans="1:9" ht="15" customHeight="1" x14ac:dyDescent="0.25">
      <c r="A16" s="11" t="s">
        <v>18</v>
      </c>
      <c r="B16" s="6">
        <v>133</v>
      </c>
      <c r="C16" s="4">
        <v>4</v>
      </c>
      <c r="D16" s="5">
        <f t="shared" si="0"/>
        <v>137</v>
      </c>
      <c r="E16" s="6">
        <v>66</v>
      </c>
      <c r="F16" s="4">
        <v>2</v>
      </c>
      <c r="G16" s="5">
        <f t="shared" si="1"/>
        <v>68</v>
      </c>
      <c r="H16" s="7">
        <f t="shared" si="2"/>
        <v>205</v>
      </c>
    </row>
    <row r="17" spans="1:8" ht="15" customHeight="1" x14ac:dyDescent="0.25">
      <c r="A17" s="11" t="s">
        <v>19</v>
      </c>
      <c r="B17" s="6">
        <v>2</v>
      </c>
      <c r="C17" s="4">
        <v>0</v>
      </c>
      <c r="D17" s="5">
        <f t="shared" si="0"/>
        <v>2</v>
      </c>
      <c r="E17" s="6">
        <v>2</v>
      </c>
      <c r="F17" s="4">
        <v>0</v>
      </c>
      <c r="G17" s="5">
        <f t="shared" si="1"/>
        <v>2</v>
      </c>
      <c r="H17" s="7">
        <f t="shared" si="2"/>
        <v>4</v>
      </c>
    </row>
    <row r="18" spans="1:8" ht="15" customHeight="1" x14ac:dyDescent="0.25">
      <c r="A18" s="11" t="s">
        <v>20</v>
      </c>
      <c r="B18" s="6">
        <v>30</v>
      </c>
      <c r="C18" s="4">
        <v>0</v>
      </c>
      <c r="D18" s="5">
        <f t="shared" si="0"/>
        <v>30</v>
      </c>
      <c r="E18" s="6">
        <v>15</v>
      </c>
      <c r="F18" s="4">
        <v>0</v>
      </c>
      <c r="G18" s="5">
        <f t="shared" si="1"/>
        <v>15</v>
      </c>
      <c r="H18" s="7">
        <f t="shared" si="2"/>
        <v>45</v>
      </c>
    </row>
    <row r="19" spans="1:8" ht="15" customHeight="1" x14ac:dyDescent="0.25">
      <c r="A19" s="11" t="s">
        <v>21</v>
      </c>
      <c r="B19" s="6">
        <v>21</v>
      </c>
      <c r="C19" s="4">
        <v>2</v>
      </c>
      <c r="D19" s="5">
        <f t="shared" si="0"/>
        <v>23</v>
      </c>
      <c r="E19" s="6">
        <v>33</v>
      </c>
      <c r="F19" s="4">
        <v>3</v>
      </c>
      <c r="G19" s="5">
        <f t="shared" si="1"/>
        <v>36</v>
      </c>
      <c r="H19" s="7">
        <f t="shared" si="2"/>
        <v>59</v>
      </c>
    </row>
    <row r="20" spans="1:8" ht="15" customHeight="1" x14ac:dyDescent="0.25">
      <c r="A20" s="11" t="s">
        <v>22</v>
      </c>
      <c r="B20" s="6">
        <v>57</v>
      </c>
      <c r="C20" s="4">
        <v>0</v>
      </c>
      <c r="D20" s="5">
        <f t="shared" si="0"/>
        <v>57</v>
      </c>
      <c r="E20" s="6">
        <v>49</v>
      </c>
      <c r="F20" s="4">
        <v>1</v>
      </c>
      <c r="G20" s="5">
        <f t="shared" si="1"/>
        <v>50</v>
      </c>
      <c r="H20" s="7">
        <f t="shared" si="2"/>
        <v>107</v>
      </c>
    </row>
    <row r="21" spans="1:8" ht="15" customHeight="1" thickBot="1" x14ac:dyDescent="0.3">
      <c r="A21" s="11" t="s">
        <v>23</v>
      </c>
      <c r="B21" s="8">
        <v>38</v>
      </c>
      <c r="C21" s="9">
        <v>1</v>
      </c>
      <c r="D21" s="10">
        <f t="shared" si="0"/>
        <v>39</v>
      </c>
      <c r="E21" s="8">
        <v>19</v>
      </c>
      <c r="F21" s="9">
        <v>0</v>
      </c>
      <c r="G21" s="5">
        <f t="shared" si="1"/>
        <v>19</v>
      </c>
      <c r="H21" s="7">
        <f t="shared" si="2"/>
        <v>58</v>
      </c>
    </row>
    <row r="22" spans="1:8" ht="15" customHeight="1" thickTop="1" thickBot="1" x14ac:dyDescent="0.3">
      <c r="A22" s="12" t="s">
        <v>6</v>
      </c>
      <c r="B22" s="13">
        <f>SUM(B8:B21)</f>
        <v>749</v>
      </c>
      <c r="C22" s="13">
        <f>SUM(C8:C21)</f>
        <v>20</v>
      </c>
      <c r="D22" s="13">
        <f>SUM(D8:D21)</f>
        <v>769</v>
      </c>
      <c r="E22" s="13">
        <f>SUM(E8:E21)</f>
        <v>643</v>
      </c>
      <c r="F22" s="13">
        <f>SUM(F8:F21)</f>
        <v>13</v>
      </c>
      <c r="G22" s="14">
        <f t="shared" si="1"/>
        <v>656</v>
      </c>
      <c r="H22" s="15">
        <f t="shared" si="2"/>
        <v>1425</v>
      </c>
    </row>
    <row r="23" spans="1:8" ht="15" customHeight="1" thickTop="1" thickBot="1" x14ac:dyDescent="0.3">
      <c r="A23" s="23" t="s">
        <v>24</v>
      </c>
      <c r="B23" s="24"/>
      <c r="C23" s="24"/>
      <c r="D23" s="24"/>
      <c r="E23" s="24"/>
      <c r="F23" s="24"/>
      <c r="G23" s="24"/>
      <c r="H23" s="25"/>
    </row>
    <row r="24" spans="1:8" ht="15" customHeight="1" thickTop="1" x14ac:dyDescent="0.25">
      <c r="A24" s="11" t="s">
        <v>25</v>
      </c>
      <c r="B24" s="6">
        <v>2</v>
      </c>
      <c r="C24" s="16">
        <v>1</v>
      </c>
      <c r="D24" s="5">
        <f t="shared" si="0"/>
        <v>3</v>
      </c>
      <c r="E24" s="6">
        <v>0</v>
      </c>
      <c r="F24" s="16">
        <v>0</v>
      </c>
      <c r="G24" s="5">
        <f t="shared" si="1"/>
        <v>0</v>
      </c>
      <c r="H24" s="7">
        <f t="shared" si="2"/>
        <v>3</v>
      </c>
    </row>
    <row r="25" spans="1:8" ht="15" customHeight="1" x14ac:dyDescent="0.25">
      <c r="A25" s="11" t="s">
        <v>26</v>
      </c>
      <c r="B25" s="6">
        <v>1</v>
      </c>
      <c r="C25" s="16">
        <v>0</v>
      </c>
      <c r="D25" s="5">
        <f t="shared" si="0"/>
        <v>1</v>
      </c>
      <c r="E25" s="6">
        <v>0</v>
      </c>
      <c r="F25" s="16">
        <v>0</v>
      </c>
      <c r="G25" s="5">
        <f t="shared" si="1"/>
        <v>0</v>
      </c>
      <c r="H25" s="7">
        <f t="shared" si="2"/>
        <v>1</v>
      </c>
    </row>
    <row r="26" spans="1:8" ht="15" customHeight="1" x14ac:dyDescent="0.25">
      <c r="A26" s="11" t="s">
        <v>27</v>
      </c>
      <c r="B26" s="6">
        <v>7</v>
      </c>
      <c r="C26" s="16">
        <v>0</v>
      </c>
      <c r="D26" s="5">
        <f t="shared" si="0"/>
        <v>7</v>
      </c>
      <c r="E26" s="6">
        <v>3</v>
      </c>
      <c r="F26" s="16">
        <v>1</v>
      </c>
      <c r="G26" s="5">
        <f t="shared" si="1"/>
        <v>4</v>
      </c>
      <c r="H26" s="7">
        <f t="shared" si="2"/>
        <v>11</v>
      </c>
    </row>
    <row r="27" spans="1:8" ht="15" customHeight="1" x14ac:dyDescent="0.25">
      <c r="A27" s="11" t="s">
        <v>28</v>
      </c>
      <c r="B27" s="6">
        <v>3</v>
      </c>
      <c r="C27" s="16">
        <v>1</v>
      </c>
      <c r="D27" s="5">
        <f t="shared" si="0"/>
        <v>4</v>
      </c>
      <c r="E27" s="6">
        <v>0</v>
      </c>
      <c r="F27" s="16">
        <v>2</v>
      </c>
      <c r="G27" s="5">
        <f t="shared" si="1"/>
        <v>2</v>
      </c>
      <c r="H27" s="7">
        <f t="shared" si="2"/>
        <v>6</v>
      </c>
    </row>
    <row r="28" spans="1:8" ht="15" customHeight="1" x14ac:dyDescent="0.25">
      <c r="A28" s="11" t="s">
        <v>29</v>
      </c>
      <c r="B28" s="6">
        <v>5</v>
      </c>
      <c r="C28" s="16">
        <v>1</v>
      </c>
      <c r="D28" s="5">
        <f t="shared" si="0"/>
        <v>6</v>
      </c>
      <c r="E28" s="6">
        <v>2</v>
      </c>
      <c r="F28" s="16">
        <v>0</v>
      </c>
      <c r="G28" s="5">
        <f t="shared" si="1"/>
        <v>2</v>
      </c>
      <c r="H28" s="7">
        <f t="shared" si="2"/>
        <v>8</v>
      </c>
    </row>
    <row r="29" spans="1:8" ht="15" customHeight="1" x14ac:dyDescent="0.25">
      <c r="A29" s="11" t="s">
        <v>30</v>
      </c>
      <c r="B29" s="6">
        <v>2</v>
      </c>
      <c r="C29" s="16">
        <v>54</v>
      </c>
      <c r="D29" s="5">
        <f t="shared" si="0"/>
        <v>56</v>
      </c>
      <c r="E29" s="6">
        <v>3</v>
      </c>
      <c r="F29" s="16">
        <v>9</v>
      </c>
      <c r="G29" s="5">
        <f t="shared" si="1"/>
        <v>12</v>
      </c>
      <c r="H29" s="7">
        <f t="shared" si="2"/>
        <v>68</v>
      </c>
    </row>
    <row r="30" spans="1:8" ht="15" customHeight="1" x14ac:dyDescent="0.25">
      <c r="A30" s="11" t="s">
        <v>31</v>
      </c>
      <c r="B30" s="6">
        <v>0</v>
      </c>
      <c r="C30" s="16">
        <v>0</v>
      </c>
      <c r="D30" s="5">
        <f t="shared" si="0"/>
        <v>0</v>
      </c>
      <c r="E30" s="6">
        <v>0</v>
      </c>
      <c r="F30" s="16">
        <v>1</v>
      </c>
      <c r="G30" s="5">
        <f t="shared" si="1"/>
        <v>1</v>
      </c>
      <c r="H30" s="7">
        <f t="shared" si="2"/>
        <v>1</v>
      </c>
    </row>
    <row r="31" spans="1:8" ht="15" customHeight="1" x14ac:dyDescent="0.25">
      <c r="A31" s="11" t="s">
        <v>32</v>
      </c>
      <c r="B31" s="6">
        <v>1</v>
      </c>
      <c r="C31" s="16">
        <v>1</v>
      </c>
      <c r="D31" s="5">
        <f t="shared" si="0"/>
        <v>2</v>
      </c>
      <c r="E31" s="6">
        <v>0</v>
      </c>
      <c r="F31" s="16">
        <v>0</v>
      </c>
      <c r="G31" s="5">
        <f t="shared" si="1"/>
        <v>0</v>
      </c>
      <c r="H31" s="7">
        <f t="shared" si="2"/>
        <v>2</v>
      </c>
    </row>
    <row r="32" spans="1:8" ht="15" customHeight="1" x14ac:dyDescent="0.25">
      <c r="A32" s="11" t="s">
        <v>33</v>
      </c>
      <c r="B32" s="6">
        <v>0</v>
      </c>
      <c r="C32" s="16">
        <v>0</v>
      </c>
      <c r="D32" s="5">
        <f t="shared" si="0"/>
        <v>0</v>
      </c>
      <c r="E32" s="6">
        <v>1</v>
      </c>
      <c r="F32" s="16">
        <v>0</v>
      </c>
      <c r="G32" s="5">
        <f t="shared" si="1"/>
        <v>1</v>
      </c>
      <c r="H32" s="7">
        <f t="shared" si="2"/>
        <v>1</v>
      </c>
    </row>
    <row r="33" spans="1:8" ht="15" customHeight="1" x14ac:dyDescent="0.25">
      <c r="A33" s="11" t="s">
        <v>34</v>
      </c>
      <c r="B33" s="6">
        <v>0</v>
      </c>
      <c r="C33" s="16">
        <v>3</v>
      </c>
      <c r="D33" s="5">
        <f t="shared" si="0"/>
        <v>3</v>
      </c>
      <c r="E33" s="6">
        <v>1</v>
      </c>
      <c r="F33" s="16">
        <v>1</v>
      </c>
      <c r="G33" s="5">
        <f t="shared" si="1"/>
        <v>2</v>
      </c>
      <c r="H33" s="7">
        <f t="shared" si="2"/>
        <v>5</v>
      </c>
    </row>
    <row r="34" spans="1:8" ht="15" customHeight="1" x14ac:dyDescent="0.25">
      <c r="A34" s="11" t="s">
        <v>35</v>
      </c>
      <c r="B34" s="6">
        <v>0</v>
      </c>
      <c r="C34" s="16">
        <v>1</v>
      </c>
      <c r="D34" s="5">
        <f t="shared" si="0"/>
        <v>1</v>
      </c>
      <c r="E34" s="6">
        <v>0</v>
      </c>
      <c r="F34" s="16">
        <v>4</v>
      </c>
      <c r="G34" s="5">
        <f t="shared" si="1"/>
        <v>4</v>
      </c>
      <c r="H34" s="7">
        <f t="shared" si="2"/>
        <v>5</v>
      </c>
    </row>
    <row r="35" spans="1:8" ht="15" customHeight="1" x14ac:dyDescent="0.25">
      <c r="A35" s="11" t="s">
        <v>36</v>
      </c>
      <c r="B35" s="6">
        <v>0</v>
      </c>
      <c r="C35" s="16">
        <v>0</v>
      </c>
      <c r="D35" s="5">
        <f t="shared" si="0"/>
        <v>0</v>
      </c>
      <c r="E35" s="6">
        <v>0</v>
      </c>
      <c r="F35" s="16">
        <v>2</v>
      </c>
      <c r="G35" s="5">
        <f t="shared" si="1"/>
        <v>2</v>
      </c>
      <c r="H35" s="7">
        <f t="shared" si="2"/>
        <v>2</v>
      </c>
    </row>
    <row r="36" spans="1:8" ht="15" customHeight="1" x14ac:dyDescent="0.25">
      <c r="A36" s="11" t="s">
        <v>37</v>
      </c>
      <c r="B36" s="6">
        <v>1</v>
      </c>
      <c r="C36" s="16">
        <v>0</v>
      </c>
      <c r="D36" s="5">
        <f t="shared" si="0"/>
        <v>1</v>
      </c>
      <c r="E36" s="6">
        <v>0</v>
      </c>
      <c r="F36" s="16">
        <v>0</v>
      </c>
      <c r="G36" s="5">
        <f t="shared" si="1"/>
        <v>0</v>
      </c>
      <c r="H36" s="7">
        <f t="shared" si="2"/>
        <v>1</v>
      </c>
    </row>
    <row r="37" spans="1:8" ht="15" customHeight="1" x14ac:dyDescent="0.25">
      <c r="A37" s="11" t="s">
        <v>38</v>
      </c>
      <c r="B37" s="6">
        <v>3</v>
      </c>
      <c r="C37" s="16">
        <v>0</v>
      </c>
      <c r="D37" s="5">
        <f t="shared" si="0"/>
        <v>3</v>
      </c>
      <c r="E37" s="6">
        <v>2</v>
      </c>
      <c r="F37" s="16">
        <v>2</v>
      </c>
      <c r="G37" s="5">
        <f t="shared" si="1"/>
        <v>4</v>
      </c>
      <c r="H37" s="7">
        <f t="shared" si="2"/>
        <v>7</v>
      </c>
    </row>
    <row r="38" spans="1:8" ht="15" customHeight="1" x14ac:dyDescent="0.25">
      <c r="A38" s="11" t="s">
        <v>39</v>
      </c>
      <c r="B38" s="6">
        <v>3</v>
      </c>
      <c r="C38" s="16">
        <v>6</v>
      </c>
      <c r="D38" s="5">
        <f t="shared" si="0"/>
        <v>9</v>
      </c>
      <c r="E38" s="6">
        <v>0</v>
      </c>
      <c r="F38" s="16">
        <v>5</v>
      </c>
      <c r="G38" s="5">
        <f t="shared" si="1"/>
        <v>5</v>
      </c>
      <c r="H38" s="7">
        <f t="shared" si="2"/>
        <v>14</v>
      </c>
    </row>
    <row r="39" spans="1:8" ht="15" customHeight="1" x14ac:dyDescent="0.25">
      <c r="A39" s="11" t="s">
        <v>40</v>
      </c>
      <c r="B39" s="6">
        <v>7</v>
      </c>
      <c r="C39" s="16">
        <v>2</v>
      </c>
      <c r="D39" s="5">
        <f t="shared" si="0"/>
        <v>9</v>
      </c>
      <c r="E39" s="6">
        <v>0</v>
      </c>
      <c r="F39" s="16">
        <v>2</v>
      </c>
      <c r="G39" s="5">
        <f t="shared" si="1"/>
        <v>2</v>
      </c>
      <c r="H39" s="7">
        <f t="shared" si="2"/>
        <v>11</v>
      </c>
    </row>
    <row r="40" spans="1:8" ht="15" customHeight="1" x14ac:dyDescent="0.25">
      <c r="A40" s="11" t="s">
        <v>41</v>
      </c>
      <c r="B40" s="6">
        <v>1</v>
      </c>
      <c r="C40" s="16">
        <v>0</v>
      </c>
      <c r="D40" s="5">
        <f t="shared" si="0"/>
        <v>1</v>
      </c>
      <c r="E40" s="6">
        <v>0</v>
      </c>
      <c r="F40" s="16">
        <v>0</v>
      </c>
      <c r="G40" s="5">
        <f t="shared" si="1"/>
        <v>0</v>
      </c>
      <c r="H40" s="7">
        <f t="shared" si="2"/>
        <v>1</v>
      </c>
    </row>
    <row r="41" spans="1:8" ht="15" customHeight="1" x14ac:dyDescent="0.25">
      <c r="A41" s="11" t="s">
        <v>42</v>
      </c>
      <c r="B41" s="6">
        <v>5</v>
      </c>
      <c r="C41" s="16">
        <v>1</v>
      </c>
      <c r="D41" s="5">
        <f t="shared" si="0"/>
        <v>6</v>
      </c>
      <c r="E41" s="6">
        <v>1</v>
      </c>
      <c r="F41" s="16">
        <v>2</v>
      </c>
      <c r="G41" s="5">
        <f t="shared" si="1"/>
        <v>3</v>
      </c>
      <c r="H41" s="7">
        <f t="shared" si="2"/>
        <v>9</v>
      </c>
    </row>
    <row r="42" spans="1:8" ht="15" customHeight="1" x14ac:dyDescent="0.25">
      <c r="A42" s="11" t="s">
        <v>43</v>
      </c>
      <c r="B42" s="6">
        <v>0</v>
      </c>
      <c r="C42" s="16">
        <v>0</v>
      </c>
      <c r="D42" s="5">
        <f t="shared" si="0"/>
        <v>0</v>
      </c>
      <c r="E42" s="6">
        <v>0</v>
      </c>
      <c r="F42" s="16">
        <v>1</v>
      </c>
      <c r="G42" s="5">
        <f t="shared" si="1"/>
        <v>1</v>
      </c>
      <c r="H42" s="7">
        <f t="shared" si="2"/>
        <v>1</v>
      </c>
    </row>
    <row r="43" spans="1:8" ht="15" customHeight="1" x14ac:dyDescent="0.25">
      <c r="A43" s="11" t="s">
        <v>44</v>
      </c>
      <c r="B43" s="6">
        <v>0</v>
      </c>
      <c r="C43" s="16">
        <v>0</v>
      </c>
      <c r="D43" s="5">
        <f t="shared" si="0"/>
        <v>0</v>
      </c>
      <c r="E43" s="6">
        <v>1</v>
      </c>
      <c r="F43" s="16">
        <v>1</v>
      </c>
      <c r="G43" s="5">
        <f t="shared" si="1"/>
        <v>2</v>
      </c>
      <c r="H43" s="7">
        <f t="shared" si="2"/>
        <v>2</v>
      </c>
    </row>
    <row r="44" spans="1:8" ht="15" customHeight="1" x14ac:dyDescent="0.25">
      <c r="A44" s="11" t="s">
        <v>45</v>
      </c>
      <c r="B44" s="6">
        <v>8</v>
      </c>
      <c r="C44" s="16">
        <v>15</v>
      </c>
      <c r="D44" s="5">
        <f t="shared" si="0"/>
        <v>23</v>
      </c>
      <c r="E44" s="6">
        <v>1</v>
      </c>
      <c r="F44" s="16">
        <v>3</v>
      </c>
      <c r="G44" s="5">
        <f t="shared" si="1"/>
        <v>4</v>
      </c>
      <c r="H44" s="7">
        <f t="shared" si="2"/>
        <v>27</v>
      </c>
    </row>
    <row r="45" spans="1:8" ht="15" customHeight="1" x14ac:dyDescent="0.25">
      <c r="A45" s="11" t="s">
        <v>46</v>
      </c>
      <c r="B45" s="6">
        <v>3</v>
      </c>
      <c r="C45" s="16">
        <v>7</v>
      </c>
      <c r="D45" s="5">
        <f t="shared" si="0"/>
        <v>10</v>
      </c>
      <c r="E45" s="6">
        <v>1</v>
      </c>
      <c r="F45" s="16">
        <v>10</v>
      </c>
      <c r="G45" s="5">
        <f t="shared" si="1"/>
        <v>11</v>
      </c>
      <c r="H45" s="7">
        <f t="shared" si="2"/>
        <v>21</v>
      </c>
    </row>
    <row r="46" spans="1:8" ht="15" customHeight="1" x14ac:dyDescent="0.25">
      <c r="A46" s="11" t="s">
        <v>47</v>
      </c>
      <c r="B46" s="6">
        <v>0</v>
      </c>
      <c r="C46" s="16">
        <v>1</v>
      </c>
      <c r="D46" s="5">
        <f t="shared" si="0"/>
        <v>1</v>
      </c>
      <c r="E46" s="6">
        <v>0</v>
      </c>
      <c r="F46" s="16">
        <v>0</v>
      </c>
      <c r="G46" s="5">
        <f t="shared" si="1"/>
        <v>0</v>
      </c>
      <c r="H46" s="7">
        <f t="shared" si="2"/>
        <v>1</v>
      </c>
    </row>
    <row r="47" spans="1:8" ht="15" customHeight="1" x14ac:dyDescent="0.25">
      <c r="A47" s="11" t="s">
        <v>48</v>
      </c>
      <c r="B47" s="6">
        <v>0</v>
      </c>
      <c r="C47" s="16">
        <v>1</v>
      </c>
      <c r="D47" s="5">
        <f t="shared" si="0"/>
        <v>1</v>
      </c>
      <c r="E47" s="6">
        <v>0</v>
      </c>
      <c r="F47" s="16">
        <v>0</v>
      </c>
      <c r="G47" s="5">
        <f t="shared" si="1"/>
        <v>0</v>
      </c>
      <c r="H47" s="7">
        <f t="shared" si="2"/>
        <v>1</v>
      </c>
    </row>
    <row r="48" spans="1:8" ht="15" customHeight="1" thickBot="1" x14ac:dyDescent="0.3">
      <c r="A48" s="11" t="s">
        <v>144</v>
      </c>
      <c r="B48" s="6">
        <v>14</v>
      </c>
      <c r="C48" s="16">
        <v>7</v>
      </c>
      <c r="D48" s="5">
        <f t="shared" si="0"/>
        <v>21</v>
      </c>
      <c r="E48" s="6">
        <v>3</v>
      </c>
      <c r="F48" s="16">
        <v>3</v>
      </c>
      <c r="G48" s="5">
        <f t="shared" si="1"/>
        <v>6</v>
      </c>
      <c r="H48" s="7">
        <f t="shared" si="2"/>
        <v>27</v>
      </c>
    </row>
    <row r="49" spans="1:8" ht="15" customHeight="1" thickTop="1" thickBot="1" x14ac:dyDescent="0.3">
      <c r="A49" s="12" t="s">
        <v>6</v>
      </c>
      <c r="B49" s="13">
        <f>SUM(B24:B48)</f>
        <v>66</v>
      </c>
      <c r="C49" s="13">
        <f>SUM(C24:C48)</f>
        <v>102</v>
      </c>
      <c r="D49" s="13">
        <f>SUM(D24:D48)</f>
        <v>168</v>
      </c>
      <c r="E49" s="13">
        <f>SUM(E24:E48)</f>
        <v>19</v>
      </c>
      <c r="F49" s="13">
        <f>SUM(F24:F48)</f>
        <v>49</v>
      </c>
      <c r="G49" s="14">
        <f t="shared" ref="G49" si="3">E49+F49</f>
        <v>68</v>
      </c>
      <c r="H49" s="15">
        <f t="shared" ref="H49" si="4">G49+D49</f>
        <v>236</v>
      </c>
    </row>
    <row r="50" spans="1:8" ht="15" customHeight="1" thickTop="1" thickBot="1" x14ac:dyDescent="0.3">
      <c r="A50" s="23" t="s">
        <v>49</v>
      </c>
      <c r="B50" s="24"/>
      <c r="C50" s="24"/>
      <c r="D50" s="24"/>
      <c r="E50" s="24"/>
      <c r="F50" s="24"/>
      <c r="G50" s="24"/>
      <c r="H50" s="25"/>
    </row>
    <row r="51" spans="1:8" ht="15" customHeight="1" thickTop="1" x14ac:dyDescent="0.25">
      <c r="A51" s="11" t="s">
        <v>50</v>
      </c>
      <c r="B51" s="6">
        <v>0</v>
      </c>
      <c r="C51" s="16">
        <v>0</v>
      </c>
      <c r="D51" s="5">
        <f t="shared" ref="D51:D61" si="5">B51+C51</f>
        <v>0</v>
      </c>
      <c r="E51" s="6">
        <v>0</v>
      </c>
      <c r="F51" s="16">
        <v>3</v>
      </c>
      <c r="G51" s="5">
        <f t="shared" ref="G51:G61" si="6">E51+F51</f>
        <v>3</v>
      </c>
      <c r="H51" s="7">
        <f t="shared" ref="H51:H61" si="7">G51+D51</f>
        <v>3</v>
      </c>
    </row>
    <row r="52" spans="1:8" ht="15" customHeight="1" x14ac:dyDescent="0.25">
      <c r="A52" s="11" t="s">
        <v>51</v>
      </c>
      <c r="B52" s="6">
        <v>28</v>
      </c>
      <c r="C52" s="16">
        <v>3</v>
      </c>
      <c r="D52" s="5">
        <f t="shared" si="5"/>
        <v>31</v>
      </c>
      <c r="E52" s="6">
        <v>10</v>
      </c>
      <c r="F52" s="16">
        <v>18</v>
      </c>
      <c r="G52" s="5">
        <f t="shared" si="6"/>
        <v>28</v>
      </c>
      <c r="H52" s="7">
        <f t="shared" si="7"/>
        <v>59</v>
      </c>
    </row>
    <row r="53" spans="1:8" ht="15" customHeight="1" x14ac:dyDescent="0.25">
      <c r="A53" s="11" t="s">
        <v>52</v>
      </c>
      <c r="B53" s="6">
        <v>12</v>
      </c>
      <c r="C53" s="16">
        <v>0</v>
      </c>
      <c r="D53" s="5">
        <f t="shared" si="5"/>
        <v>12</v>
      </c>
      <c r="E53" s="6">
        <v>3</v>
      </c>
      <c r="F53" s="16">
        <v>2</v>
      </c>
      <c r="G53" s="5">
        <f t="shared" si="6"/>
        <v>5</v>
      </c>
      <c r="H53" s="7">
        <f t="shared" si="7"/>
        <v>17</v>
      </c>
    </row>
    <row r="54" spans="1:8" ht="15" customHeight="1" x14ac:dyDescent="0.25">
      <c r="A54" s="11" t="s">
        <v>53</v>
      </c>
      <c r="B54" s="6">
        <v>6</v>
      </c>
      <c r="C54" s="16">
        <v>17</v>
      </c>
      <c r="D54" s="5">
        <f t="shared" si="5"/>
        <v>23</v>
      </c>
      <c r="E54" s="6">
        <v>6</v>
      </c>
      <c r="F54" s="16">
        <v>19</v>
      </c>
      <c r="G54" s="5">
        <f t="shared" si="6"/>
        <v>25</v>
      </c>
      <c r="H54" s="7">
        <f t="shared" si="7"/>
        <v>48</v>
      </c>
    </row>
    <row r="55" spans="1:8" ht="15" customHeight="1" x14ac:dyDescent="0.25">
      <c r="A55" s="11" t="s">
        <v>54</v>
      </c>
      <c r="B55" s="6">
        <v>2</v>
      </c>
      <c r="C55" s="16">
        <v>4</v>
      </c>
      <c r="D55" s="5">
        <f t="shared" si="5"/>
        <v>6</v>
      </c>
      <c r="E55" s="6">
        <v>1</v>
      </c>
      <c r="F55" s="16">
        <v>8</v>
      </c>
      <c r="G55" s="5">
        <f t="shared" si="6"/>
        <v>9</v>
      </c>
      <c r="H55" s="7">
        <f t="shared" si="7"/>
        <v>15</v>
      </c>
    </row>
    <row r="56" spans="1:8" ht="15" customHeight="1" x14ac:dyDescent="0.25">
      <c r="A56" s="11" t="s">
        <v>55</v>
      </c>
      <c r="B56" s="6">
        <v>0</v>
      </c>
      <c r="C56" s="16">
        <v>7</v>
      </c>
      <c r="D56" s="5">
        <f t="shared" si="5"/>
        <v>7</v>
      </c>
      <c r="E56" s="6">
        <v>0</v>
      </c>
      <c r="F56" s="16">
        <v>9</v>
      </c>
      <c r="G56" s="5">
        <f t="shared" si="6"/>
        <v>9</v>
      </c>
      <c r="H56" s="7">
        <f t="shared" si="7"/>
        <v>16</v>
      </c>
    </row>
    <row r="57" spans="1:8" ht="15" customHeight="1" x14ac:dyDescent="0.25">
      <c r="A57" s="11" t="s">
        <v>56</v>
      </c>
      <c r="B57" s="6">
        <v>3</v>
      </c>
      <c r="C57" s="16">
        <v>3</v>
      </c>
      <c r="D57" s="5">
        <f t="shared" si="5"/>
        <v>6</v>
      </c>
      <c r="E57" s="6">
        <v>2</v>
      </c>
      <c r="F57" s="16">
        <v>2</v>
      </c>
      <c r="G57" s="5">
        <f t="shared" si="6"/>
        <v>4</v>
      </c>
      <c r="H57" s="7">
        <f t="shared" si="7"/>
        <v>10</v>
      </c>
    </row>
    <row r="58" spans="1:8" ht="15" customHeight="1" x14ac:dyDescent="0.25">
      <c r="A58" s="11" t="s">
        <v>57</v>
      </c>
      <c r="B58" s="6">
        <v>0</v>
      </c>
      <c r="C58" s="16">
        <v>1</v>
      </c>
      <c r="D58" s="5">
        <f t="shared" si="5"/>
        <v>1</v>
      </c>
      <c r="E58" s="6">
        <v>0</v>
      </c>
      <c r="F58" s="16">
        <v>2</v>
      </c>
      <c r="G58" s="5">
        <f t="shared" si="6"/>
        <v>2</v>
      </c>
      <c r="H58" s="7">
        <f t="shared" si="7"/>
        <v>3</v>
      </c>
    </row>
    <row r="59" spans="1:8" ht="15" customHeight="1" x14ac:dyDescent="0.25">
      <c r="A59" s="11" t="s">
        <v>58</v>
      </c>
      <c r="B59" s="6">
        <v>1</v>
      </c>
      <c r="C59" s="16">
        <v>2</v>
      </c>
      <c r="D59" s="5">
        <f t="shared" si="5"/>
        <v>3</v>
      </c>
      <c r="E59" s="6">
        <v>0</v>
      </c>
      <c r="F59" s="16">
        <v>10</v>
      </c>
      <c r="G59" s="5">
        <f t="shared" si="6"/>
        <v>10</v>
      </c>
      <c r="H59" s="7">
        <f t="shared" si="7"/>
        <v>13</v>
      </c>
    </row>
    <row r="60" spans="1:8" ht="15" customHeight="1" x14ac:dyDescent="0.25">
      <c r="A60" s="11" t="s">
        <v>59</v>
      </c>
      <c r="B60" s="6">
        <v>0</v>
      </c>
      <c r="C60" s="16">
        <v>1</v>
      </c>
      <c r="D60" s="5">
        <f t="shared" si="5"/>
        <v>1</v>
      </c>
      <c r="E60" s="6">
        <v>0</v>
      </c>
      <c r="F60" s="16">
        <v>1</v>
      </c>
      <c r="G60" s="5">
        <f t="shared" si="6"/>
        <v>1</v>
      </c>
      <c r="H60" s="7">
        <f t="shared" si="7"/>
        <v>2</v>
      </c>
    </row>
    <row r="61" spans="1:8" ht="15" customHeight="1" x14ac:dyDescent="0.25">
      <c r="A61" s="11" t="s">
        <v>60</v>
      </c>
      <c r="B61" s="6">
        <v>0</v>
      </c>
      <c r="C61" s="16">
        <v>0</v>
      </c>
      <c r="D61" s="5">
        <f t="shared" si="5"/>
        <v>0</v>
      </c>
      <c r="E61" s="6">
        <v>1</v>
      </c>
      <c r="F61" s="16">
        <v>5</v>
      </c>
      <c r="G61" s="5">
        <f t="shared" si="6"/>
        <v>6</v>
      </c>
      <c r="H61" s="7">
        <f t="shared" si="7"/>
        <v>6</v>
      </c>
    </row>
    <row r="62" spans="1:8" ht="15" customHeight="1" thickBot="1" x14ac:dyDescent="0.3">
      <c r="A62" s="11" t="s">
        <v>61</v>
      </c>
      <c r="B62" s="6">
        <v>0</v>
      </c>
      <c r="C62" s="16">
        <v>3</v>
      </c>
      <c r="D62" s="5">
        <f>B62+C62</f>
        <v>3</v>
      </c>
      <c r="E62" s="6">
        <v>0</v>
      </c>
      <c r="F62" s="16">
        <v>1</v>
      </c>
      <c r="G62" s="5">
        <f>E62+F62</f>
        <v>1</v>
      </c>
      <c r="H62" s="7">
        <f>G62+D62</f>
        <v>4</v>
      </c>
    </row>
    <row r="63" spans="1:8" ht="15" customHeight="1" thickTop="1" thickBot="1" x14ac:dyDescent="0.3">
      <c r="A63" s="12" t="s">
        <v>6</v>
      </c>
      <c r="B63" s="13">
        <f>SUM(B51:B62)</f>
        <v>52</v>
      </c>
      <c r="C63" s="13">
        <f t="shared" ref="C63:H63" si="8">SUM(C51:C62)</f>
        <v>41</v>
      </c>
      <c r="D63" s="13">
        <f t="shared" si="8"/>
        <v>93</v>
      </c>
      <c r="E63" s="13">
        <f t="shared" si="8"/>
        <v>23</v>
      </c>
      <c r="F63" s="13">
        <f t="shared" si="8"/>
        <v>80</v>
      </c>
      <c r="G63" s="13">
        <f t="shared" si="8"/>
        <v>103</v>
      </c>
      <c r="H63" s="15">
        <f t="shared" si="8"/>
        <v>196</v>
      </c>
    </row>
    <row r="64" spans="1:8" ht="15" customHeight="1" thickTop="1" thickBot="1" x14ac:dyDescent="0.3">
      <c r="A64" s="23" t="s">
        <v>62</v>
      </c>
      <c r="B64" s="24"/>
      <c r="C64" s="24"/>
      <c r="D64" s="24"/>
      <c r="E64" s="24"/>
      <c r="F64" s="24"/>
      <c r="G64" s="24"/>
      <c r="H64" s="25"/>
    </row>
    <row r="65" spans="1:8" ht="15" customHeight="1" thickTop="1" x14ac:dyDescent="0.25">
      <c r="A65" s="11" t="s">
        <v>63</v>
      </c>
      <c r="B65" s="6">
        <v>2</v>
      </c>
      <c r="C65" s="16">
        <v>0</v>
      </c>
      <c r="D65" s="5">
        <f t="shared" ref="D65:D87" si="9">B65+C65</f>
        <v>2</v>
      </c>
      <c r="E65" s="6">
        <v>1</v>
      </c>
      <c r="F65" s="16">
        <v>0</v>
      </c>
      <c r="G65" s="5">
        <f t="shared" ref="G65:G87" si="10">E65+F65</f>
        <v>1</v>
      </c>
      <c r="H65" s="7">
        <f t="shared" ref="H65:H88" si="11">G65+D65</f>
        <v>3</v>
      </c>
    </row>
    <row r="66" spans="1:8" ht="15" customHeight="1" x14ac:dyDescent="0.25">
      <c r="A66" s="11" t="s">
        <v>64</v>
      </c>
      <c r="B66" s="6">
        <v>5</v>
      </c>
      <c r="C66" s="16">
        <v>1</v>
      </c>
      <c r="D66" s="5">
        <f t="shared" si="9"/>
        <v>6</v>
      </c>
      <c r="E66" s="6">
        <v>2</v>
      </c>
      <c r="F66" s="16">
        <v>4</v>
      </c>
      <c r="G66" s="5">
        <f t="shared" si="10"/>
        <v>6</v>
      </c>
      <c r="H66" s="7">
        <f t="shared" si="11"/>
        <v>12</v>
      </c>
    </row>
    <row r="67" spans="1:8" ht="15" customHeight="1" x14ac:dyDescent="0.25">
      <c r="A67" s="11" t="s">
        <v>65</v>
      </c>
      <c r="B67" s="6">
        <v>0</v>
      </c>
      <c r="C67" s="16">
        <v>4</v>
      </c>
      <c r="D67" s="5">
        <f t="shared" si="9"/>
        <v>4</v>
      </c>
      <c r="E67" s="6">
        <v>0</v>
      </c>
      <c r="F67" s="16">
        <v>2</v>
      </c>
      <c r="G67" s="5">
        <f t="shared" si="10"/>
        <v>2</v>
      </c>
      <c r="H67" s="7">
        <f t="shared" si="11"/>
        <v>6</v>
      </c>
    </row>
    <row r="68" spans="1:8" ht="15" customHeight="1" x14ac:dyDescent="0.25">
      <c r="A68" s="11" t="s">
        <v>66</v>
      </c>
      <c r="B68" s="6">
        <v>2</v>
      </c>
      <c r="C68" s="16">
        <v>2</v>
      </c>
      <c r="D68" s="5">
        <f t="shared" si="9"/>
        <v>4</v>
      </c>
      <c r="E68" s="6">
        <v>1</v>
      </c>
      <c r="F68" s="16">
        <v>0</v>
      </c>
      <c r="G68" s="5">
        <f t="shared" si="10"/>
        <v>1</v>
      </c>
      <c r="H68" s="7">
        <f t="shared" si="11"/>
        <v>5</v>
      </c>
    </row>
    <row r="69" spans="1:8" ht="15" customHeight="1" x14ac:dyDescent="0.25">
      <c r="A69" s="11" t="s">
        <v>67</v>
      </c>
      <c r="B69" s="6">
        <v>0</v>
      </c>
      <c r="C69" s="16">
        <v>0</v>
      </c>
      <c r="D69" s="5">
        <f t="shared" si="9"/>
        <v>0</v>
      </c>
      <c r="E69" s="6">
        <v>0</v>
      </c>
      <c r="F69" s="16">
        <v>1</v>
      </c>
      <c r="G69" s="5">
        <f t="shared" si="10"/>
        <v>1</v>
      </c>
      <c r="H69" s="7">
        <f t="shared" si="11"/>
        <v>1</v>
      </c>
    </row>
    <row r="70" spans="1:8" ht="15" customHeight="1" x14ac:dyDescent="0.25">
      <c r="A70" s="11" t="s">
        <v>68</v>
      </c>
      <c r="B70" s="6">
        <v>10</v>
      </c>
      <c r="C70" s="16">
        <v>7</v>
      </c>
      <c r="D70" s="5">
        <f t="shared" si="9"/>
        <v>17</v>
      </c>
      <c r="E70" s="6">
        <v>2</v>
      </c>
      <c r="F70" s="16">
        <v>27</v>
      </c>
      <c r="G70" s="5">
        <f t="shared" si="10"/>
        <v>29</v>
      </c>
      <c r="H70" s="7">
        <f t="shared" si="11"/>
        <v>46</v>
      </c>
    </row>
    <row r="71" spans="1:8" ht="15" customHeight="1" x14ac:dyDescent="0.25">
      <c r="A71" s="11" t="s">
        <v>69</v>
      </c>
      <c r="B71" s="6">
        <v>12</v>
      </c>
      <c r="C71" s="16">
        <v>100</v>
      </c>
      <c r="D71" s="5">
        <f t="shared" si="9"/>
        <v>112</v>
      </c>
      <c r="E71" s="6">
        <v>3</v>
      </c>
      <c r="F71" s="16">
        <v>18</v>
      </c>
      <c r="G71" s="5">
        <f t="shared" si="10"/>
        <v>21</v>
      </c>
      <c r="H71" s="7">
        <f t="shared" si="11"/>
        <v>133</v>
      </c>
    </row>
    <row r="72" spans="1:8" ht="15" customHeight="1" x14ac:dyDescent="0.25">
      <c r="A72" s="11" t="s">
        <v>70</v>
      </c>
      <c r="B72" s="6">
        <v>21</v>
      </c>
      <c r="C72" s="16">
        <v>16</v>
      </c>
      <c r="D72" s="5">
        <f t="shared" si="9"/>
        <v>37</v>
      </c>
      <c r="E72" s="6">
        <v>19</v>
      </c>
      <c r="F72" s="16">
        <v>22</v>
      </c>
      <c r="G72" s="5">
        <f t="shared" si="10"/>
        <v>41</v>
      </c>
      <c r="H72" s="7">
        <f t="shared" si="11"/>
        <v>78</v>
      </c>
    </row>
    <row r="73" spans="1:8" ht="15" customHeight="1" x14ac:dyDescent="0.25">
      <c r="A73" s="11" t="s">
        <v>71</v>
      </c>
      <c r="B73" s="6">
        <v>1</v>
      </c>
      <c r="C73" s="16">
        <v>4</v>
      </c>
      <c r="D73" s="5">
        <f t="shared" si="9"/>
        <v>5</v>
      </c>
      <c r="E73" s="6">
        <v>1</v>
      </c>
      <c r="F73" s="16">
        <v>5</v>
      </c>
      <c r="G73" s="5">
        <f t="shared" si="10"/>
        <v>6</v>
      </c>
      <c r="H73" s="7">
        <f t="shared" si="11"/>
        <v>11</v>
      </c>
    </row>
    <row r="74" spans="1:8" ht="15" customHeight="1" x14ac:dyDescent="0.25">
      <c r="A74" s="11" t="s">
        <v>72</v>
      </c>
      <c r="B74" s="6">
        <v>12</v>
      </c>
      <c r="C74" s="16">
        <v>63</v>
      </c>
      <c r="D74" s="5">
        <f t="shared" si="9"/>
        <v>75</v>
      </c>
      <c r="E74" s="6">
        <v>1</v>
      </c>
      <c r="F74" s="16">
        <v>54</v>
      </c>
      <c r="G74" s="5">
        <f t="shared" si="10"/>
        <v>55</v>
      </c>
      <c r="H74" s="7">
        <f t="shared" si="11"/>
        <v>130</v>
      </c>
    </row>
    <row r="75" spans="1:8" ht="15" customHeight="1" x14ac:dyDescent="0.25">
      <c r="A75" s="11" t="s">
        <v>73</v>
      </c>
      <c r="B75" s="6">
        <v>0</v>
      </c>
      <c r="C75" s="16">
        <v>1</v>
      </c>
      <c r="D75" s="5">
        <f t="shared" si="9"/>
        <v>1</v>
      </c>
      <c r="E75" s="6">
        <v>0</v>
      </c>
      <c r="F75" s="16">
        <v>3</v>
      </c>
      <c r="G75" s="5">
        <f t="shared" si="10"/>
        <v>3</v>
      </c>
      <c r="H75" s="7">
        <f t="shared" si="11"/>
        <v>4</v>
      </c>
    </row>
    <row r="76" spans="1:8" ht="15" customHeight="1" x14ac:dyDescent="0.25">
      <c r="A76" s="11" t="s">
        <v>74</v>
      </c>
      <c r="B76" s="6">
        <v>4</v>
      </c>
      <c r="C76" s="16">
        <v>125</v>
      </c>
      <c r="D76" s="5">
        <f t="shared" si="9"/>
        <v>129</v>
      </c>
      <c r="E76" s="6">
        <v>4</v>
      </c>
      <c r="F76" s="16">
        <v>34</v>
      </c>
      <c r="G76" s="5">
        <f t="shared" si="10"/>
        <v>38</v>
      </c>
      <c r="H76" s="7">
        <f t="shared" si="11"/>
        <v>167</v>
      </c>
    </row>
    <row r="77" spans="1:8" ht="15" customHeight="1" x14ac:dyDescent="0.25">
      <c r="A77" s="11" t="s">
        <v>75</v>
      </c>
      <c r="B77" s="6">
        <v>0</v>
      </c>
      <c r="C77" s="16">
        <v>2</v>
      </c>
      <c r="D77" s="5">
        <f t="shared" si="9"/>
        <v>2</v>
      </c>
      <c r="E77" s="6">
        <v>0</v>
      </c>
      <c r="F77" s="16">
        <v>0</v>
      </c>
      <c r="G77" s="5">
        <f t="shared" si="10"/>
        <v>0</v>
      </c>
      <c r="H77" s="7">
        <f t="shared" si="11"/>
        <v>2</v>
      </c>
    </row>
    <row r="78" spans="1:8" ht="15" customHeight="1" x14ac:dyDescent="0.25">
      <c r="A78" s="11" t="s">
        <v>76</v>
      </c>
      <c r="B78" s="6">
        <v>0</v>
      </c>
      <c r="C78" s="16">
        <v>0</v>
      </c>
      <c r="D78" s="5">
        <f t="shared" si="9"/>
        <v>0</v>
      </c>
      <c r="E78" s="6">
        <v>1</v>
      </c>
      <c r="F78" s="16">
        <v>2</v>
      </c>
      <c r="G78" s="5">
        <f t="shared" si="10"/>
        <v>3</v>
      </c>
      <c r="H78" s="7">
        <f t="shared" si="11"/>
        <v>3</v>
      </c>
    </row>
    <row r="79" spans="1:8" ht="15" customHeight="1" x14ac:dyDescent="0.25">
      <c r="A79" s="11" t="s">
        <v>77</v>
      </c>
      <c r="B79" s="6">
        <v>17</v>
      </c>
      <c r="C79" s="16">
        <v>27</v>
      </c>
      <c r="D79" s="5">
        <f t="shared" si="9"/>
        <v>44</v>
      </c>
      <c r="E79" s="6">
        <v>9</v>
      </c>
      <c r="F79" s="16">
        <v>21</v>
      </c>
      <c r="G79" s="5">
        <f t="shared" si="10"/>
        <v>30</v>
      </c>
      <c r="H79" s="7">
        <f t="shared" si="11"/>
        <v>74</v>
      </c>
    </row>
    <row r="80" spans="1:8" ht="15" customHeight="1" x14ac:dyDescent="0.25">
      <c r="A80" s="11" t="s">
        <v>78</v>
      </c>
      <c r="B80" s="6">
        <v>0</v>
      </c>
      <c r="C80" s="16">
        <v>0</v>
      </c>
      <c r="D80" s="5">
        <f t="shared" si="9"/>
        <v>0</v>
      </c>
      <c r="E80" s="6">
        <v>0</v>
      </c>
      <c r="F80" s="16">
        <v>3</v>
      </c>
      <c r="G80" s="5">
        <f t="shared" si="10"/>
        <v>3</v>
      </c>
      <c r="H80" s="7">
        <f t="shared" si="11"/>
        <v>3</v>
      </c>
    </row>
    <row r="81" spans="1:8" ht="15" customHeight="1" x14ac:dyDescent="0.25">
      <c r="A81" s="11" t="s">
        <v>79</v>
      </c>
      <c r="B81" s="6">
        <v>0</v>
      </c>
      <c r="C81" s="16">
        <v>1</v>
      </c>
      <c r="D81" s="5">
        <f t="shared" si="9"/>
        <v>1</v>
      </c>
      <c r="E81" s="6">
        <v>1</v>
      </c>
      <c r="F81" s="16">
        <v>2</v>
      </c>
      <c r="G81" s="5">
        <f t="shared" si="10"/>
        <v>3</v>
      </c>
      <c r="H81" s="7">
        <f t="shared" si="11"/>
        <v>4</v>
      </c>
    </row>
    <row r="82" spans="1:8" ht="15" customHeight="1" x14ac:dyDescent="0.25">
      <c r="A82" s="11" t="s">
        <v>80</v>
      </c>
      <c r="B82" s="6">
        <v>2</v>
      </c>
      <c r="C82" s="16">
        <v>114</v>
      </c>
      <c r="D82" s="5">
        <f t="shared" si="9"/>
        <v>116</v>
      </c>
      <c r="E82" s="6">
        <v>3</v>
      </c>
      <c r="F82" s="16">
        <v>28</v>
      </c>
      <c r="G82" s="5">
        <f t="shared" si="10"/>
        <v>31</v>
      </c>
      <c r="H82" s="7">
        <f t="shared" si="11"/>
        <v>147</v>
      </c>
    </row>
    <row r="83" spans="1:8" ht="15" customHeight="1" x14ac:dyDescent="0.25">
      <c r="A83" s="11" t="s">
        <v>81</v>
      </c>
      <c r="B83" s="6">
        <v>5</v>
      </c>
      <c r="C83" s="16">
        <v>10</v>
      </c>
      <c r="D83" s="5">
        <f t="shared" si="9"/>
        <v>15</v>
      </c>
      <c r="E83" s="6">
        <v>1</v>
      </c>
      <c r="F83" s="16">
        <v>34</v>
      </c>
      <c r="G83" s="5">
        <f t="shared" si="10"/>
        <v>35</v>
      </c>
      <c r="H83" s="7">
        <f t="shared" si="11"/>
        <v>50</v>
      </c>
    </row>
    <row r="84" spans="1:8" ht="15" customHeight="1" x14ac:dyDescent="0.25">
      <c r="A84" s="11" t="s">
        <v>82</v>
      </c>
      <c r="B84" s="6">
        <v>23</v>
      </c>
      <c r="C84" s="16">
        <v>15</v>
      </c>
      <c r="D84" s="5">
        <f t="shared" si="9"/>
        <v>38</v>
      </c>
      <c r="E84" s="6">
        <v>10</v>
      </c>
      <c r="F84" s="16">
        <v>3</v>
      </c>
      <c r="G84" s="5">
        <f t="shared" si="10"/>
        <v>13</v>
      </c>
      <c r="H84" s="7">
        <f t="shared" si="11"/>
        <v>51</v>
      </c>
    </row>
    <row r="85" spans="1:8" ht="15" customHeight="1" x14ac:dyDescent="0.25">
      <c r="A85" s="11" t="s">
        <v>83</v>
      </c>
      <c r="B85" s="6">
        <v>3</v>
      </c>
      <c r="C85" s="16">
        <v>6</v>
      </c>
      <c r="D85" s="5">
        <f t="shared" si="9"/>
        <v>9</v>
      </c>
      <c r="E85" s="6">
        <v>0</v>
      </c>
      <c r="F85" s="16">
        <v>42</v>
      </c>
      <c r="G85" s="5">
        <f t="shared" si="10"/>
        <v>42</v>
      </c>
      <c r="H85" s="7">
        <f t="shared" si="11"/>
        <v>51</v>
      </c>
    </row>
    <row r="86" spans="1:8" ht="15" customHeight="1" x14ac:dyDescent="0.25">
      <c r="A86" s="11" t="s">
        <v>84</v>
      </c>
      <c r="B86" s="6">
        <v>0</v>
      </c>
      <c r="C86" s="16">
        <v>13</v>
      </c>
      <c r="D86" s="5">
        <f t="shared" si="9"/>
        <v>13</v>
      </c>
      <c r="E86" s="6">
        <v>0</v>
      </c>
      <c r="F86" s="16">
        <v>14</v>
      </c>
      <c r="G86" s="5">
        <f t="shared" si="10"/>
        <v>14</v>
      </c>
      <c r="H86" s="7">
        <f t="shared" si="11"/>
        <v>27</v>
      </c>
    </row>
    <row r="87" spans="1:8" ht="15" customHeight="1" thickBot="1" x14ac:dyDescent="0.3">
      <c r="A87" s="11" t="s">
        <v>85</v>
      </c>
      <c r="B87" s="6">
        <v>1</v>
      </c>
      <c r="C87" s="16">
        <v>0</v>
      </c>
      <c r="D87" s="5">
        <f t="shared" si="9"/>
        <v>1</v>
      </c>
      <c r="E87" s="6">
        <v>0</v>
      </c>
      <c r="F87" s="16">
        <v>3</v>
      </c>
      <c r="G87" s="5">
        <f t="shared" si="10"/>
        <v>3</v>
      </c>
      <c r="H87" s="7">
        <f t="shared" si="11"/>
        <v>4</v>
      </c>
    </row>
    <row r="88" spans="1:8" ht="15" customHeight="1" thickTop="1" thickBot="1" x14ac:dyDescent="0.3">
      <c r="A88" s="12" t="s">
        <v>6</v>
      </c>
      <c r="B88" s="13">
        <f>SUM(B65:B87)</f>
        <v>120</v>
      </c>
      <c r="C88" s="13">
        <f t="shared" ref="C88:G88" si="12">SUM(C65:C87)</f>
        <v>511</v>
      </c>
      <c r="D88" s="13">
        <f t="shared" si="12"/>
        <v>631</v>
      </c>
      <c r="E88" s="13">
        <f t="shared" si="12"/>
        <v>59</v>
      </c>
      <c r="F88" s="13">
        <f t="shared" si="12"/>
        <v>322</v>
      </c>
      <c r="G88" s="13">
        <f t="shared" si="12"/>
        <v>381</v>
      </c>
      <c r="H88" s="15">
        <f t="shared" si="11"/>
        <v>1012</v>
      </c>
    </row>
    <row r="89" spans="1:8" ht="15" customHeight="1" thickTop="1" thickBot="1" x14ac:dyDescent="0.3">
      <c r="A89" s="23" t="s">
        <v>86</v>
      </c>
      <c r="B89" s="24"/>
      <c r="C89" s="24"/>
      <c r="D89" s="24"/>
      <c r="E89" s="24"/>
      <c r="F89" s="24"/>
      <c r="G89" s="24"/>
      <c r="H89" s="25"/>
    </row>
    <row r="90" spans="1:8" ht="15" customHeight="1" thickTop="1" x14ac:dyDescent="0.25">
      <c r="A90" s="11" t="s">
        <v>87</v>
      </c>
      <c r="B90" s="6">
        <v>0</v>
      </c>
      <c r="C90" s="16">
        <v>0</v>
      </c>
      <c r="D90" s="5">
        <f t="shared" ref="D90:D117" si="13">B90+C90</f>
        <v>0</v>
      </c>
      <c r="E90" s="6">
        <v>1</v>
      </c>
      <c r="F90" s="16">
        <v>1</v>
      </c>
      <c r="G90" s="5">
        <f t="shared" ref="G90:G117" si="14">E90+F90</f>
        <v>2</v>
      </c>
      <c r="H90" s="7">
        <f t="shared" ref="H90:H117" si="15">G90+D90</f>
        <v>2</v>
      </c>
    </row>
    <row r="91" spans="1:8" ht="15" customHeight="1" x14ac:dyDescent="0.25">
      <c r="A91" s="11" t="s">
        <v>88</v>
      </c>
      <c r="B91" s="6">
        <v>0</v>
      </c>
      <c r="C91" s="16">
        <v>0</v>
      </c>
      <c r="D91" s="5">
        <f t="shared" si="13"/>
        <v>0</v>
      </c>
      <c r="E91" s="6">
        <v>0</v>
      </c>
      <c r="F91" s="16">
        <v>7</v>
      </c>
      <c r="G91" s="5">
        <f t="shared" si="14"/>
        <v>7</v>
      </c>
      <c r="H91" s="7">
        <f t="shared" si="15"/>
        <v>7</v>
      </c>
    </row>
    <row r="92" spans="1:8" ht="15" customHeight="1" x14ac:dyDescent="0.25">
      <c r="A92" s="11" t="s">
        <v>89</v>
      </c>
      <c r="B92" s="6">
        <v>1</v>
      </c>
      <c r="C92" s="16">
        <v>0</v>
      </c>
      <c r="D92" s="5">
        <f t="shared" si="13"/>
        <v>1</v>
      </c>
      <c r="E92" s="6">
        <v>2</v>
      </c>
      <c r="F92" s="16">
        <v>3</v>
      </c>
      <c r="G92" s="5">
        <f t="shared" si="14"/>
        <v>5</v>
      </c>
      <c r="H92" s="7">
        <f t="shared" si="15"/>
        <v>6</v>
      </c>
    </row>
    <row r="93" spans="1:8" ht="15" customHeight="1" x14ac:dyDescent="0.25">
      <c r="A93" s="11" t="s">
        <v>90</v>
      </c>
      <c r="B93" s="6">
        <v>1</v>
      </c>
      <c r="C93" s="16">
        <v>2</v>
      </c>
      <c r="D93" s="5">
        <f t="shared" si="13"/>
        <v>3</v>
      </c>
      <c r="E93" s="6">
        <v>4</v>
      </c>
      <c r="F93" s="16">
        <v>6</v>
      </c>
      <c r="G93" s="5">
        <f t="shared" si="14"/>
        <v>10</v>
      </c>
      <c r="H93" s="7">
        <f t="shared" si="15"/>
        <v>13</v>
      </c>
    </row>
    <row r="94" spans="1:8" ht="15" customHeight="1" x14ac:dyDescent="0.25">
      <c r="A94" s="11" t="s">
        <v>91</v>
      </c>
      <c r="B94" s="6">
        <v>6</v>
      </c>
      <c r="C94" s="16">
        <v>0</v>
      </c>
      <c r="D94" s="5">
        <f t="shared" si="13"/>
        <v>6</v>
      </c>
      <c r="E94" s="6">
        <v>2</v>
      </c>
      <c r="F94" s="16">
        <v>0</v>
      </c>
      <c r="G94" s="5">
        <f t="shared" si="14"/>
        <v>2</v>
      </c>
      <c r="H94" s="7">
        <f t="shared" si="15"/>
        <v>8</v>
      </c>
    </row>
    <row r="95" spans="1:8" ht="15" customHeight="1" x14ac:dyDescent="0.25">
      <c r="A95" s="11" t="s">
        <v>92</v>
      </c>
      <c r="B95" s="6">
        <v>12</v>
      </c>
      <c r="C95" s="16">
        <v>0</v>
      </c>
      <c r="D95" s="5">
        <f t="shared" si="13"/>
        <v>12</v>
      </c>
      <c r="E95" s="6">
        <v>1</v>
      </c>
      <c r="F95" s="16">
        <v>2</v>
      </c>
      <c r="G95" s="5">
        <f t="shared" si="14"/>
        <v>3</v>
      </c>
      <c r="H95" s="7">
        <f t="shared" si="15"/>
        <v>15</v>
      </c>
    </row>
    <row r="96" spans="1:8" ht="15" customHeight="1" x14ac:dyDescent="0.25">
      <c r="A96" s="11" t="s">
        <v>93</v>
      </c>
      <c r="B96" s="6">
        <v>0</v>
      </c>
      <c r="C96" s="16">
        <v>1</v>
      </c>
      <c r="D96" s="5">
        <f t="shared" si="13"/>
        <v>1</v>
      </c>
      <c r="E96" s="6">
        <v>0</v>
      </c>
      <c r="F96" s="16">
        <v>0</v>
      </c>
      <c r="G96" s="5">
        <f t="shared" si="14"/>
        <v>0</v>
      </c>
      <c r="H96" s="7">
        <f t="shared" si="15"/>
        <v>1</v>
      </c>
    </row>
    <row r="97" spans="1:8" ht="15" customHeight="1" x14ac:dyDescent="0.25">
      <c r="A97" s="11" t="s">
        <v>94</v>
      </c>
      <c r="B97" s="6">
        <v>0</v>
      </c>
      <c r="C97" s="16">
        <v>1</v>
      </c>
      <c r="D97" s="5">
        <f t="shared" si="13"/>
        <v>1</v>
      </c>
      <c r="E97" s="6">
        <v>0</v>
      </c>
      <c r="F97" s="16">
        <v>2</v>
      </c>
      <c r="G97" s="5">
        <f t="shared" si="14"/>
        <v>2</v>
      </c>
      <c r="H97" s="7">
        <f t="shared" si="15"/>
        <v>3</v>
      </c>
    </row>
    <row r="98" spans="1:8" ht="15" customHeight="1" x14ac:dyDescent="0.25">
      <c r="A98" s="11" t="s">
        <v>95</v>
      </c>
      <c r="B98" s="6">
        <v>2</v>
      </c>
      <c r="C98" s="16">
        <v>1</v>
      </c>
      <c r="D98" s="5">
        <f t="shared" si="13"/>
        <v>3</v>
      </c>
      <c r="E98" s="6">
        <v>4</v>
      </c>
      <c r="F98" s="16">
        <v>17</v>
      </c>
      <c r="G98" s="5">
        <f t="shared" si="14"/>
        <v>21</v>
      </c>
      <c r="H98" s="7">
        <f t="shared" si="15"/>
        <v>24</v>
      </c>
    </row>
    <row r="99" spans="1:8" ht="15" customHeight="1" x14ac:dyDescent="0.25">
      <c r="A99" s="11" t="s">
        <v>96</v>
      </c>
      <c r="B99" s="6">
        <v>4</v>
      </c>
      <c r="C99" s="16">
        <v>4</v>
      </c>
      <c r="D99" s="5">
        <f t="shared" si="13"/>
        <v>8</v>
      </c>
      <c r="E99" s="6">
        <v>2</v>
      </c>
      <c r="F99" s="16">
        <v>10</v>
      </c>
      <c r="G99" s="5">
        <f t="shared" si="14"/>
        <v>12</v>
      </c>
      <c r="H99" s="7">
        <f t="shared" si="15"/>
        <v>20</v>
      </c>
    </row>
    <row r="100" spans="1:8" ht="15" customHeight="1" x14ac:dyDescent="0.25">
      <c r="A100" s="11" t="s">
        <v>97</v>
      </c>
      <c r="B100" s="6">
        <v>0</v>
      </c>
      <c r="C100" s="16">
        <v>1</v>
      </c>
      <c r="D100" s="5">
        <f t="shared" si="13"/>
        <v>1</v>
      </c>
      <c r="E100" s="6">
        <v>0</v>
      </c>
      <c r="F100" s="16">
        <v>1</v>
      </c>
      <c r="G100" s="5">
        <f t="shared" si="14"/>
        <v>1</v>
      </c>
      <c r="H100" s="7">
        <f t="shared" si="15"/>
        <v>2</v>
      </c>
    </row>
    <row r="101" spans="1:8" ht="15" customHeight="1" x14ac:dyDescent="0.25">
      <c r="A101" s="11" t="s">
        <v>98</v>
      </c>
      <c r="B101" s="6">
        <v>1</v>
      </c>
      <c r="C101" s="16">
        <v>0</v>
      </c>
      <c r="D101" s="5">
        <f t="shared" si="13"/>
        <v>1</v>
      </c>
      <c r="E101" s="6">
        <v>1</v>
      </c>
      <c r="F101" s="16">
        <v>0</v>
      </c>
      <c r="G101" s="5">
        <f t="shared" si="14"/>
        <v>1</v>
      </c>
      <c r="H101" s="7">
        <f t="shared" si="15"/>
        <v>2</v>
      </c>
    </row>
    <row r="102" spans="1:8" ht="15" customHeight="1" x14ac:dyDescent="0.25">
      <c r="A102" s="11" t="s">
        <v>99</v>
      </c>
      <c r="B102" s="6">
        <v>2</v>
      </c>
      <c r="C102" s="16">
        <v>0</v>
      </c>
      <c r="D102" s="5">
        <f t="shared" si="13"/>
        <v>2</v>
      </c>
      <c r="E102" s="6">
        <v>1</v>
      </c>
      <c r="F102" s="16">
        <v>3</v>
      </c>
      <c r="G102" s="5">
        <f t="shared" si="14"/>
        <v>4</v>
      </c>
      <c r="H102" s="7">
        <f t="shared" si="15"/>
        <v>6</v>
      </c>
    </row>
    <row r="103" spans="1:8" ht="15" customHeight="1" x14ac:dyDescent="0.25">
      <c r="A103" s="11" t="s">
        <v>100</v>
      </c>
      <c r="B103" s="6">
        <v>0</v>
      </c>
      <c r="C103" s="16">
        <v>0</v>
      </c>
      <c r="D103" s="5">
        <f t="shared" si="13"/>
        <v>0</v>
      </c>
      <c r="E103" s="6">
        <v>0</v>
      </c>
      <c r="F103" s="16">
        <v>1</v>
      </c>
      <c r="G103" s="5">
        <f t="shared" si="14"/>
        <v>1</v>
      </c>
      <c r="H103" s="7">
        <f t="shared" si="15"/>
        <v>1</v>
      </c>
    </row>
    <row r="104" spans="1:8" ht="15" customHeight="1" x14ac:dyDescent="0.25">
      <c r="A104" s="11" t="s">
        <v>101</v>
      </c>
      <c r="B104" s="6">
        <v>2</v>
      </c>
      <c r="C104" s="16">
        <v>5</v>
      </c>
      <c r="D104" s="5">
        <f t="shared" si="13"/>
        <v>7</v>
      </c>
      <c r="E104" s="6">
        <v>0</v>
      </c>
      <c r="F104" s="16">
        <v>1</v>
      </c>
      <c r="G104" s="5">
        <f t="shared" si="14"/>
        <v>1</v>
      </c>
      <c r="H104" s="7">
        <f t="shared" si="15"/>
        <v>8</v>
      </c>
    </row>
    <row r="105" spans="1:8" ht="15" customHeight="1" x14ac:dyDescent="0.25">
      <c r="A105" s="11" t="s">
        <v>102</v>
      </c>
      <c r="B105" s="6">
        <v>1</v>
      </c>
      <c r="C105" s="16">
        <v>0</v>
      </c>
      <c r="D105" s="5">
        <f t="shared" si="13"/>
        <v>1</v>
      </c>
      <c r="E105" s="6">
        <v>0</v>
      </c>
      <c r="F105" s="16">
        <v>0</v>
      </c>
      <c r="G105" s="5">
        <f t="shared" si="14"/>
        <v>0</v>
      </c>
      <c r="H105" s="7">
        <f t="shared" si="15"/>
        <v>1</v>
      </c>
    </row>
    <row r="106" spans="1:8" ht="15" customHeight="1" x14ac:dyDescent="0.25">
      <c r="A106" s="11" t="s">
        <v>103</v>
      </c>
      <c r="B106" s="6">
        <v>0</v>
      </c>
      <c r="C106" s="16">
        <v>0</v>
      </c>
      <c r="D106" s="5">
        <f t="shared" si="13"/>
        <v>0</v>
      </c>
      <c r="E106" s="6">
        <v>0</v>
      </c>
      <c r="F106" s="16">
        <v>1</v>
      </c>
      <c r="G106" s="5">
        <f t="shared" si="14"/>
        <v>1</v>
      </c>
      <c r="H106" s="7">
        <f t="shared" si="15"/>
        <v>1</v>
      </c>
    </row>
    <row r="107" spans="1:8" ht="15" customHeight="1" x14ac:dyDescent="0.25">
      <c r="A107" s="11" t="s">
        <v>104</v>
      </c>
      <c r="B107" s="6">
        <v>11</v>
      </c>
      <c r="C107" s="16">
        <v>13</v>
      </c>
      <c r="D107" s="5">
        <f t="shared" si="13"/>
        <v>24</v>
      </c>
      <c r="E107" s="6">
        <v>8</v>
      </c>
      <c r="F107" s="16">
        <v>18</v>
      </c>
      <c r="G107" s="5">
        <f t="shared" si="14"/>
        <v>26</v>
      </c>
      <c r="H107" s="7">
        <f t="shared" si="15"/>
        <v>50</v>
      </c>
    </row>
    <row r="108" spans="1:8" ht="15" customHeight="1" x14ac:dyDescent="0.25">
      <c r="A108" s="11" t="s">
        <v>105</v>
      </c>
      <c r="B108" s="6">
        <v>0</v>
      </c>
      <c r="C108" s="16">
        <v>1</v>
      </c>
      <c r="D108" s="5">
        <f t="shared" si="13"/>
        <v>1</v>
      </c>
      <c r="E108" s="6">
        <v>0</v>
      </c>
      <c r="F108" s="16">
        <v>2</v>
      </c>
      <c r="G108" s="5">
        <f t="shared" si="14"/>
        <v>2</v>
      </c>
      <c r="H108" s="7">
        <f t="shared" si="15"/>
        <v>3</v>
      </c>
    </row>
    <row r="109" spans="1:8" ht="15" customHeight="1" x14ac:dyDescent="0.25">
      <c r="A109" s="11" t="s">
        <v>106</v>
      </c>
      <c r="B109" s="6">
        <v>7</v>
      </c>
      <c r="C109" s="16">
        <v>0</v>
      </c>
      <c r="D109" s="5">
        <f t="shared" si="13"/>
        <v>7</v>
      </c>
      <c r="E109" s="6">
        <v>1</v>
      </c>
      <c r="F109" s="16">
        <v>0</v>
      </c>
      <c r="G109" s="5">
        <f t="shared" si="14"/>
        <v>1</v>
      </c>
      <c r="H109" s="7">
        <f t="shared" si="15"/>
        <v>8</v>
      </c>
    </row>
    <row r="110" spans="1:8" ht="15" customHeight="1" x14ac:dyDescent="0.25">
      <c r="A110" s="11" t="s">
        <v>107</v>
      </c>
      <c r="B110" s="6">
        <v>4</v>
      </c>
      <c r="C110" s="16">
        <v>4</v>
      </c>
      <c r="D110" s="5">
        <f t="shared" si="13"/>
        <v>8</v>
      </c>
      <c r="E110" s="6">
        <v>3</v>
      </c>
      <c r="F110" s="16">
        <v>10</v>
      </c>
      <c r="G110" s="5">
        <f t="shared" si="14"/>
        <v>13</v>
      </c>
      <c r="H110" s="7">
        <f t="shared" si="15"/>
        <v>21</v>
      </c>
    </row>
    <row r="111" spans="1:8" ht="15" customHeight="1" x14ac:dyDescent="0.25">
      <c r="A111" s="11" t="s">
        <v>108</v>
      </c>
      <c r="B111" s="6">
        <v>3</v>
      </c>
      <c r="C111" s="16">
        <v>5</v>
      </c>
      <c r="D111" s="5">
        <f t="shared" si="13"/>
        <v>8</v>
      </c>
      <c r="E111" s="6">
        <v>1</v>
      </c>
      <c r="F111" s="16">
        <v>4</v>
      </c>
      <c r="G111" s="5">
        <f t="shared" si="14"/>
        <v>5</v>
      </c>
      <c r="H111" s="7">
        <f t="shared" si="15"/>
        <v>13</v>
      </c>
    </row>
    <row r="112" spans="1:8" ht="15" customHeight="1" x14ac:dyDescent="0.25">
      <c r="A112" s="11" t="s">
        <v>109</v>
      </c>
      <c r="B112" s="6">
        <v>0</v>
      </c>
      <c r="C112" s="16">
        <v>0</v>
      </c>
      <c r="D112" s="5">
        <f t="shared" si="13"/>
        <v>0</v>
      </c>
      <c r="E112" s="6">
        <v>0</v>
      </c>
      <c r="F112" s="16">
        <v>1</v>
      </c>
      <c r="G112" s="5">
        <f t="shared" si="14"/>
        <v>1</v>
      </c>
      <c r="H112" s="7">
        <f t="shared" si="15"/>
        <v>1</v>
      </c>
    </row>
    <row r="113" spans="1:8" ht="15" customHeight="1" x14ac:dyDescent="0.25">
      <c r="A113" s="11" t="s">
        <v>110</v>
      </c>
      <c r="B113" s="6">
        <v>3</v>
      </c>
      <c r="C113" s="16">
        <v>5</v>
      </c>
      <c r="D113" s="5">
        <f t="shared" si="13"/>
        <v>8</v>
      </c>
      <c r="E113" s="6">
        <v>0</v>
      </c>
      <c r="F113" s="16">
        <v>9</v>
      </c>
      <c r="G113" s="5">
        <f t="shared" si="14"/>
        <v>9</v>
      </c>
      <c r="H113" s="7">
        <f t="shared" si="15"/>
        <v>17</v>
      </c>
    </row>
    <row r="114" spans="1:8" ht="15" customHeight="1" x14ac:dyDescent="0.25">
      <c r="A114" s="11" t="s">
        <v>111</v>
      </c>
      <c r="B114" s="6">
        <v>4</v>
      </c>
      <c r="C114" s="16">
        <v>2</v>
      </c>
      <c r="D114" s="5">
        <f t="shared" si="13"/>
        <v>6</v>
      </c>
      <c r="E114" s="6">
        <v>2</v>
      </c>
      <c r="F114" s="16">
        <v>4</v>
      </c>
      <c r="G114" s="5">
        <f t="shared" si="14"/>
        <v>6</v>
      </c>
      <c r="H114" s="7">
        <f t="shared" si="15"/>
        <v>12</v>
      </c>
    </row>
    <row r="115" spans="1:8" ht="15" customHeight="1" x14ac:dyDescent="0.25">
      <c r="A115" s="11" t="s">
        <v>112</v>
      </c>
      <c r="B115" s="6">
        <v>3</v>
      </c>
      <c r="C115" s="16">
        <v>0</v>
      </c>
      <c r="D115" s="5">
        <f t="shared" si="13"/>
        <v>3</v>
      </c>
      <c r="E115" s="6">
        <v>0</v>
      </c>
      <c r="F115" s="16">
        <v>0</v>
      </c>
      <c r="G115" s="5">
        <f t="shared" si="14"/>
        <v>0</v>
      </c>
      <c r="H115" s="7">
        <f t="shared" si="15"/>
        <v>3</v>
      </c>
    </row>
    <row r="116" spans="1:8" ht="15" customHeight="1" x14ac:dyDescent="0.25">
      <c r="A116" s="11" t="s">
        <v>113</v>
      </c>
      <c r="B116" s="6">
        <v>1</v>
      </c>
      <c r="C116" s="16">
        <v>1</v>
      </c>
      <c r="D116" s="5">
        <f t="shared" si="13"/>
        <v>2</v>
      </c>
      <c r="E116" s="6">
        <v>0</v>
      </c>
      <c r="F116" s="16">
        <v>3</v>
      </c>
      <c r="G116" s="5">
        <f t="shared" si="14"/>
        <v>3</v>
      </c>
      <c r="H116" s="7">
        <f t="shared" si="15"/>
        <v>5</v>
      </c>
    </row>
    <row r="117" spans="1:8" ht="15" customHeight="1" thickBot="1" x14ac:dyDescent="0.3">
      <c r="A117" s="11" t="s">
        <v>114</v>
      </c>
      <c r="B117" s="6">
        <v>1</v>
      </c>
      <c r="C117" s="16">
        <v>1</v>
      </c>
      <c r="D117" s="5">
        <f t="shared" si="13"/>
        <v>2</v>
      </c>
      <c r="E117" s="6">
        <v>2</v>
      </c>
      <c r="F117" s="16">
        <v>5</v>
      </c>
      <c r="G117" s="5">
        <f t="shared" si="14"/>
        <v>7</v>
      </c>
      <c r="H117" s="7">
        <f t="shared" si="15"/>
        <v>9</v>
      </c>
    </row>
    <row r="118" spans="1:8" ht="15" customHeight="1" thickTop="1" thickBot="1" x14ac:dyDescent="0.3">
      <c r="A118" s="12" t="s">
        <v>6</v>
      </c>
      <c r="B118" s="13">
        <f>SUM(B90:B117)</f>
        <v>69</v>
      </c>
      <c r="C118" s="13">
        <f t="shared" ref="C118:H118" si="16">SUM(C90:C117)</f>
        <v>47</v>
      </c>
      <c r="D118" s="13">
        <f t="shared" si="16"/>
        <v>116</v>
      </c>
      <c r="E118" s="13">
        <f t="shared" si="16"/>
        <v>35</v>
      </c>
      <c r="F118" s="13">
        <f t="shared" si="16"/>
        <v>111</v>
      </c>
      <c r="G118" s="13">
        <f t="shared" si="16"/>
        <v>146</v>
      </c>
      <c r="H118" s="15">
        <f t="shared" si="16"/>
        <v>262</v>
      </c>
    </row>
    <row r="119" spans="1:8" ht="15" customHeight="1" thickTop="1" thickBot="1" x14ac:dyDescent="0.3">
      <c r="A119" s="23" t="s">
        <v>115</v>
      </c>
      <c r="B119" s="24"/>
      <c r="C119" s="24"/>
      <c r="D119" s="24"/>
      <c r="E119" s="24"/>
      <c r="F119" s="24"/>
      <c r="G119" s="24"/>
      <c r="H119" s="25"/>
    </row>
    <row r="120" spans="1:8" ht="15" customHeight="1" thickTop="1" x14ac:dyDescent="0.25">
      <c r="A120" s="11" t="s">
        <v>116</v>
      </c>
      <c r="B120" s="6">
        <v>16</v>
      </c>
      <c r="C120" s="16">
        <v>14</v>
      </c>
      <c r="D120" s="5">
        <f t="shared" ref="D120:D121" si="17">B120+C120</f>
        <v>30</v>
      </c>
      <c r="E120" s="6">
        <v>10</v>
      </c>
      <c r="F120" s="16">
        <v>35</v>
      </c>
      <c r="G120" s="5">
        <f t="shared" ref="G120:G121" si="18">E120+F120</f>
        <v>45</v>
      </c>
      <c r="H120" s="7">
        <f t="shared" ref="H120:H121" si="19">G120+D120</f>
        <v>75</v>
      </c>
    </row>
    <row r="121" spans="1:8" ht="15" customHeight="1" thickBot="1" x14ac:dyDescent="0.3">
      <c r="A121" s="11" t="s">
        <v>117</v>
      </c>
      <c r="B121" s="6">
        <v>37</v>
      </c>
      <c r="C121" s="16">
        <v>171</v>
      </c>
      <c r="D121" s="5">
        <f t="shared" si="17"/>
        <v>208</v>
      </c>
      <c r="E121" s="6">
        <v>14</v>
      </c>
      <c r="F121" s="16">
        <v>114</v>
      </c>
      <c r="G121" s="5">
        <f t="shared" si="18"/>
        <v>128</v>
      </c>
      <c r="H121" s="7">
        <f t="shared" si="19"/>
        <v>336</v>
      </c>
    </row>
    <row r="122" spans="1:8" ht="15" customHeight="1" thickTop="1" thickBot="1" x14ac:dyDescent="0.3">
      <c r="A122" s="12" t="s">
        <v>6</v>
      </c>
      <c r="B122" s="13">
        <f>SUM(B120:B121)</f>
        <v>53</v>
      </c>
      <c r="C122" s="13">
        <f t="shared" ref="C122:H122" si="20">SUM(C120:C121)</f>
        <v>185</v>
      </c>
      <c r="D122" s="13">
        <f t="shared" si="20"/>
        <v>238</v>
      </c>
      <c r="E122" s="13">
        <f t="shared" si="20"/>
        <v>24</v>
      </c>
      <c r="F122" s="13">
        <f t="shared" si="20"/>
        <v>149</v>
      </c>
      <c r="G122" s="13">
        <f t="shared" si="20"/>
        <v>173</v>
      </c>
      <c r="H122" s="15">
        <f t="shared" si="20"/>
        <v>411</v>
      </c>
    </row>
    <row r="123" spans="1:8" ht="15" customHeight="1" thickTop="1" thickBot="1" x14ac:dyDescent="0.3">
      <c r="A123" s="23" t="s">
        <v>145</v>
      </c>
      <c r="B123" s="24"/>
      <c r="C123" s="24"/>
      <c r="D123" s="24"/>
      <c r="E123" s="24"/>
      <c r="F123" s="24"/>
      <c r="G123" s="24"/>
      <c r="H123" s="25"/>
    </row>
    <row r="124" spans="1:8" ht="15" customHeight="1" thickTop="1" x14ac:dyDescent="0.25">
      <c r="A124" s="11" t="s">
        <v>118</v>
      </c>
      <c r="B124" s="6">
        <v>0</v>
      </c>
      <c r="C124" s="16">
        <v>1</v>
      </c>
      <c r="D124" s="5">
        <f t="shared" ref="D124:D132" si="21">B124+C124</f>
        <v>1</v>
      </c>
      <c r="E124" s="6">
        <v>0</v>
      </c>
      <c r="F124" s="16">
        <v>0</v>
      </c>
      <c r="G124" s="5">
        <f t="shared" ref="G124:G132" si="22">E124+F124</f>
        <v>0</v>
      </c>
      <c r="H124" s="7">
        <f t="shared" ref="H124:H132" si="23">G124+D124</f>
        <v>1</v>
      </c>
    </row>
    <row r="125" spans="1:8" ht="15" customHeight="1" x14ac:dyDescent="0.25">
      <c r="A125" s="11" t="s">
        <v>119</v>
      </c>
      <c r="B125" s="6">
        <v>0</v>
      </c>
      <c r="C125" s="16">
        <v>1</v>
      </c>
      <c r="D125" s="5">
        <f t="shared" si="21"/>
        <v>1</v>
      </c>
      <c r="E125" s="6">
        <v>2</v>
      </c>
      <c r="F125" s="16">
        <v>0</v>
      </c>
      <c r="G125" s="5">
        <f t="shared" si="22"/>
        <v>2</v>
      </c>
      <c r="H125" s="7">
        <f t="shared" si="23"/>
        <v>3</v>
      </c>
    </row>
    <row r="126" spans="1:8" ht="15" customHeight="1" x14ac:dyDescent="0.25">
      <c r="A126" s="11" t="s">
        <v>120</v>
      </c>
      <c r="B126" s="6">
        <v>0</v>
      </c>
      <c r="C126" s="16">
        <v>1</v>
      </c>
      <c r="D126" s="5">
        <f t="shared" si="21"/>
        <v>1</v>
      </c>
      <c r="E126" s="6">
        <v>0</v>
      </c>
      <c r="F126" s="16">
        <v>0</v>
      </c>
      <c r="G126" s="5">
        <f t="shared" si="22"/>
        <v>0</v>
      </c>
      <c r="H126" s="7">
        <f t="shared" si="23"/>
        <v>1</v>
      </c>
    </row>
    <row r="127" spans="1:8" ht="15" customHeight="1" x14ac:dyDescent="0.25">
      <c r="A127" s="11" t="s">
        <v>121</v>
      </c>
      <c r="B127" s="6">
        <v>1</v>
      </c>
      <c r="C127" s="16">
        <v>0</v>
      </c>
      <c r="D127" s="5">
        <f t="shared" si="21"/>
        <v>1</v>
      </c>
      <c r="E127" s="6">
        <v>0</v>
      </c>
      <c r="F127" s="16">
        <v>0</v>
      </c>
      <c r="G127" s="5">
        <f t="shared" si="22"/>
        <v>0</v>
      </c>
      <c r="H127" s="7">
        <f t="shared" si="23"/>
        <v>1</v>
      </c>
    </row>
    <row r="128" spans="1:8" ht="15" customHeight="1" x14ac:dyDescent="0.25">
      <c r="A128" s="11" t="s">
        <v>122</v>
      </c>
      <c r="B128" s="6">
        <v>1</v>
      </c>
      <c r="C128" s="16">
        <v>1</v>
      </c>
      <c r="D128" s="5">
        <f t="shared" si="21"/>
        <v>2</v>
      </c>
      <c r="E128" s="6">
        <v>0</v>
      </c>
      <c r="F128" s="16">
        <v>1</v>
      </c>
      <c r="G128" s="5">
        <f t="shared" si="22"/>
        <v>1</v>
      </c>
      <c r="H128" s="7">
        <f t="shared" si="23"/>
        <v>3</v>
      </c>
    </row>
    <row r="129" spans="1:8" ht="15" customHeight="1" x14ac:dyDescent="0.25">
      <c r="A129" s="11" t="s">
        <v>123</v>
      </c>
      <c r="B129" s="6">
        <v>1</v>
      </c>
      <c r="C129" s="16">
        <v>1</v>
      </c>
      <c r="D129" s="5">
        <f t="shared" si="21"/>
        <v>2</v>
      </c>
      <c r="E129" s="6">
        <v>2</v>
      </c>
      <c r="F129" s="16">
        <v>2</v>
      </c>
      <c r="G129" s="5">
        <f t="shared" si="22"/>
        <v>4</v>
      </c>
      <c r="H129" s="7">
        <f t="shared" si="23"/>
        <v>6</v>
      </c>
    </row>
    <row r="130" spans="1:8" ht="15" customHeight="1" x14ac:dyDescent="0.25">
      <c r="A130" s="11" t="s">
        <v>124</v>
      </c>
      <c r="B130" s="6">
        <v>0</v>
      </c>
      <c r="C130" s="16">
        <v>2</v>
      </c>
      <c r="D130" s="5">
        <f t="shared" si="21"/>
        <v>2</v>
      </c>
      <c r="E130" s="6">
        <v>0</v>
      </c>
      <c r="F130" s="16">
        <v>3</v>
      </c>
      <c r="G130" s="5">
        <f t="shared" si="22"/>
        <v>3</v>
      </c>
      <c r="H130" s="7">
        <f t="shared" si="23"/>
        <v>5</v>
      </c>
    </row>
    <row r="131" spans="1:8" ht="15" customHeight="1" x14ac:dyDescent="0.25">
      <c r="A131" s="11" t="s">
        <v>125</v>
      </c>
      <c r="B131" s="6">
        <v>0</v>
      </c>
      <c r="C131" s="16">
        <v>0</v>
      </c>
      <c r="D131" s="5">
        <f t="shared" si="21"/>
        <v>0</v>
      </c>
      <c r="E131" s="6">
        <v>0</v>
      </c>
      <c r="F131" s="16">
        <v>1</v>
      </c>
      <c r="G131" s="5">
        <f t="shared" si="22"/>
        <v>1</v>
      </c>
      <c r="H131" s="7">
        <f t="shared" si="23"/>
        <v>1</v>
      </c>
    </row>
    <row r="132" spans="1:8" ht="15" customHeight="1" thickBot="1" x14ac:dyDescent="0.3">
      <c r="A132" s="11" t="s">
        <v>126</v>
      </c>
      <c r="B132" s="6">
        <v>2</v>
      </c>
      <c r="C132" s="16">
        <v>1</v>
      </c>
      <c r="D132" s="5">
        <f t="shared" si="21"/>
        <v>3</v>
      </c>
      <c r="E132" s="6">
        <v>1</v>
      </c>
      <c r="F132" s="16">
        <v>1</v>
      </c>
      <c r="G132" s="5">
        <f t="shared" si="22"/>
        <v>2</v>
      </c>
      <c r="H132" s="7">
        <f t="shared" si="23"/>
        <v>5</v>
      </c>
    </row>
    <row r="133" spans="1:8" ht="15" customHeight="1" thickTop="1" thickBot="1" x14ac:dyDescent="0.3">
      <c r="A133" s="12" t="s">
        <v>6</v>
      </c>
      <c r="B133" s="13">
        <f>SUM(B124:B132)</f>
        <v>5</v>
      </c>
      <c r="C133" s="13">
        <f t="shared" ref="C133:H133" si="24">SUM(C124:C132)</f>
        <v>8</v>
      </c>
      <c r="D133" s="13">
        <f t="shared" si="24"/>
        <v>13</v>
      </c>
      <c r="E133" s="13">
        <f t="shared" si="24"/>
        <v>5</v>
      </c>
      <c r="F133" s="13">
        <f t="shared" si="24"/>
        <v>8</v>
      </c>
      <c r="G133" s="13">
        <f t="shared" si="24"/>
        <v>13</v>
      </c>
      <c r="H133" s="15">
        <f t="shared" si="24"/>
        <v>26</v>
      </c>
    </row>
    <row r="134" spans="1:8" ht="15" customHeight="1" thickTop="1" thickBot="1" x14ac:dyDescent="0.3">
      <c r="A134" s="23" t="s">
        <v>127</v>
      </c>
      <c r="B134" s="24"/>
      <c r="C134" s="24"/>
      <c r="D134" s="24"/>
      <c r="E134" s="24"/>
      <c r="F134" s="24"/>
      <c r="G134" s="24"/>
      <c r="H134" s="25"/>
    </row>
    <row r="135" spans="1:8" ht="15" customHeight="1" thickTop="1" x14ac:dyDescent="0.25">
      <c r="A135" s="11" t="s">
        <v>128</v>
      </c>
      <c r="B135" s="6">
        <v>4</v>
      </c>
      <c r="C135" s="16">
        <v>0</v>
      </c>
      <c r="D135" s="5">
        <f t="shared" ref="D135:D144" si="25">B135+C135</f>
        <v>4</v>
      </c>
      <c r="E135" s="6">
        <v>2</v>
      </c>
      <c r="F135" s="16">
        <v>5</v>
      </c>
      <c r="G135" s="5">
        <f t="shared" ref="G135:G144" si="26">E135+F135</f>
        <v>7</v>
      </c>
      <c r="H135" s="7">
        <f t="shared" ref="H135:H145" si="27">G135+D135</f>
        <v>11</v>
      </c>
    </row>
    <row r="136" spans="1:8" ht="15" customHeight="1" x14ac:dyDescent="0.25">
      <c r="A136" s="11" t="s">
        <v>129</v>
      </c>
      <c r="B136" s="6">
        <v>0</v>
      </c>
      <c r="C136" s="16">
        <v>3</v>
      </c>
      <c r="D136" s="5">
        <f t="shared" si="25"/>
        <v>3</v>
      </c>
      <c r="E136" s="6">
        <v>0</v>
      </c>
      <c r="F136" s="16">
        <v>1</v>
      </c>
      <c r="G136" s="5">
        <f t="shared" si="26"/>
        <v>1</v>
      </c>
      <c r="H136" s="7">
        <f t="shared" si="27"/>
        <v>4</v>
      </c>
    </row>
    <row r="137" spans="1:8" ht="15" customHeight="1" x14ac:dyDescent="0.25">
      <c r="A137" s="11" t="s">
        <v>130</v>
      </c>
      <c r="B137" s="6">
        <v>4</v>
      </c>
      <c r="C137" s="16">
        <v>2</v>
      </c>
      <c r="D137" s="5">
        <f t="shared" si="25"/>
        <v>6</v>
      </c>
      <c r="E137" s="6">
        <v>3</v>
      </c>
      <c r="F137" s="16">
        <v>32</v>
      </c>
      <c r="G137" s="5">
        <f t="shared" si="26"/>
        <v>35</v>
      </c>
      <c r="H137" s="7">
        <f t="shared" si="27"/>
        <v>41</v>
      </c>
    </row>
    <row r="138" spans="1:8" ht="15" customHeight="1" x14ac:dyDescent="0.25">
      <c r="A138" s="11" t="s">
        <v>131</v>
      </c>
      <c r="B138" s="6">
        <v>5</v>
      </c>
      <c r="C138" s="16">
        <v>1</v>
      </c>
      <c r="D138" s="5">
        <f t="shared" si="25"/>
        <v>6</v>
      </c>
      <c r="E138" s="6">
        <v>2</v>
      </c>
      <c r="F138" s="16">
        <v>5</v>
      </c>
      <c r="G138" s="5">
        <f t="shared" si="26"/>
        <v>7</v>
      </c>
      <c r="H138" s="7">
        <f t="shared" si="27"/>
        <v>13</v>
      </c>
    </row>
    <row r="139" spans="1:8" ht="15" customHeight="1" x14ac:dyDescent="0.25">
      <c r="A139" s="11" t="s">
        <v>132</v>
      </c>
      <c r="B139" s="6">
        <v>2</v>
      </c>
      <c r="C139" s="16">
        <v>2</v>
      </c>
      <c r="D139" s="5">
        <f t="shared" si="25"/>
        <v>4</v>
      </c>
      <c r="E139" s="6">
        <v>1</v>
      </c>
      <c r="F139" s="16">
        <v>8</v>
      </c>
      <c r="G139" s="5">
        <f t="shared" si="26"/>
        <v>9</v>
      </c>
      <c r="H139" s="7">
        <f t="shared" si="27"/>
        <v>13</v>
      </c>
    </row>
    <row r="140" spans="1:8" ht="15" customHeight="1" x14ac:dyDescent="0.25">
      <c r="A140" s="11" t="s">
        <v>133</v>
      </c>
      <c r="B140" s="6">
        <v>0</v>
      </c>
      <c r="C140" s="16">
        <v>0</v>
      </c>
      <c r="D140" s="5">
        <f t="shared" si="25"/>
        <v>0</v>
      </c>
      <c r="E140" s="6">
        <v>0</v>
      </c>
      <c r="F140" s="16">
        <v>1</v>
      </c>
      <c r="G140" s="5">
        <f t="shared" si="26"/>
        <v>1</v>
      </c>
      <c r="H140" s="7">
        <f t="shared" si="27"/>
        <v>1</v>
      </c>
    </row>
    <row r="141" spans="1:8" ht="15" customHeight="1" x14ac:dyDescent="0.25">
      <c r="A141" s="11" t="s">
        <v>134</v>
      </c>
      <c r="B141" s="6">
        <v>3</v>
      </c>
      <c r="C141" s="16">
        <v>2</v>
      </c>
      <c r="D141" s="5">
        <f t="shared" si="25"/>
        <v>5</v>
      </c>
      <c r="E141" s="6">
        <v>2</v>
      </c>
      <c r="F141" s="16">
        <v>0</v>
      </c>
      <c r="G141" s="5">
        <f t="shared" si="26"/>
        <v>2</v>
      </c>
      <c r="H141" s="7">
        <f t="shared" si="27"/>
        <v>7</v>
      </c>
    </row>
    <row r="142" spans="1:8" ht="15" customHeight="1" x14ac:dyDescent="0.25">
      <c r="A142" s="11" t="s">
        <v>135</v>
      </c>
      <c r="B142" s="6">
        <v>1</v>
      </c>
      <c r="C142" s="16">
        <v>0</v>
      </c>
      <c r="D142" s="5">
        <f t="shared" si="25"/>
        <v>1</v>
      </c>
      <c r="E142" s="6">
        <v>0</v>
      </c>
      <c r="F142" s="16">
        <v>20</v>
      </c>
      <c r="G142" s="5">
        <f t="shared" si="26"/>
        <v>20</v>
      </c>
      <c r="H142" s="7">
        <f t="shared" si="27"/>
        <v>21</v>
      </c>
    </row>
    <row r="143" spans="1:8" ht="15" customHeight="1" x14ac:dyDescent="0.25">
      <c r="A143" s="11" t="s">
        <v>136</v>
      </c>
      <c r="B143" s="6">
        <v>0</v>
      </c>
      <c r="C143" s="16">
        <v>1</v>
      </c>
      <c r="D143" s="5">
        <f t="shared" si="25"/>
        <v>1</v>
      </c>
      <c r="E143" s="6">
        <v>0</v>
      </c>
      <c r="F143" s="16">
        <v>0</v>
      </c>
      <c r="G143" s="5">
        <f t="shared" si="26"/>
        <v>0</v>
      </c>
      <c r="H143" s="7">
        <f t="shared" si="27"/>
        <v>1</v>
      </c>
    </row>
    <row r="144" spans="1:8" ht="15" customHeight="1" thickBot="1" x14ac:dyDescent="0.3">
      <c r="A144" s="11" t="s">
        <v>137</v>
      </c>
      <c r="B144" s="6">
        <v>1</v>
      </c>
      <c r="C144" s="16">
        <v>1</v>
      </c>
      <c r="D144" s="5">
        <f t="shared" si="25"/>
        <v>2</v>
      </c>
      <c r="E144" s="6">
        <v>0</v>
      </c>
      <c r="F144" s="16">
        <v>7</v>
      </c>
      <c r="G144" s="5">
        <f t="shared" si="26"/>
        <v>7</v>
      </c>
      <c r="H144" s="7">
        <f t="shared" si="27"/>
        <v>9</v>
      </c>
    </row>
    <row r="145" spans="1:8" ht="15" customHeight="1" thickTop="1" thickBot="1" x14ac:dyDescent="0.3">
      <c r="A145" s="12" t="s">
        <v>6</v>
      </c>
      <c r="B145" s="14">
        <f t="shared" ref="B145:G145" si="28">SUM(B135:B144)</f>
        <v>20</v>
      </c>
      <c r="C145" s="14">
        <f t="shared" si="28"/>
        <v>12</v>
      </c>
      <c r="D145" s="14">
        <f t="shared" si="28"/>
        <v>32</v>
      </c>
      <c r="E145" s="14">
        <f t="shared" si="28"/>
        <v>10</v>
      </c>
      <c r="F145" s="14">
        <f t="shared" si="28"/>
        <v>79</v>
      </c>
      <c r="G145" s="14">
        <f t="shared" si="28"/>
        <v>89</v>
      </c>
      <c r="H145" s="15">
        <f t="shared" si="27"/>
        <v>121</v>
      </c>
    </row>
    <row r="146" spans="1:8" ht="15" customHeight="1" thickTop="1" thickBot="1" x14ac:dyDescent="0.3">
      <c r="A146" s="23" t="s">
        <v>138</v>
      </c>
      <c r="B146" s="24"/>
      <c r="C146" s="24"/>
      <c r="D146" s="24"/>
      <c r="E146" s="24"/>
      <c r="F146" s="24"/>
      <c r="G146" s="24"/>
      <c r="H146" s="25"/>
    </row>
    <row r="147" spans="1:8" ht="15" customHeight="1" thickTop="1" x14ac:dyDescent="0.25">
      <c r="A147" s="11" t="s">
        <v>139</v>
      </c>
      <c r="B147" s="6">
        <v>19</v>
      </c>
      <c r="C147" s="16">
        <v>10</v>
      </c>
      <c r="D147" s="5">
        <f t="shared" ref="D147:D150" si="29">B147+C147</f>
        <v>29</v>
      </c>
      <c r="E147" s="6">
        <v>12</v>
      </c>
      <c r="F147" s="16">
        <v>16</v>
      </c>
      <c r="G147" s="5">
        <f t="shared" ref="G147:G150" si="30">E147+F147</f>
        <v>28</v>
      </c>
      <c r="H147" s="7">
        <f t="shared" ref="H147:H150" si="31">G147+D147</f>
        <v>57</v>
      </c>
    </row>
    <row r="148" spans="1:8" ht="15" customHeight="1" x14ac:dyDescent="0.25">
      <c r="A148" s="11" t="s">
        <v>140</v>
      </c>
      <c r="B148" s="6">
        <v>0</v>
      </c>
      <c r="C148" s="16">
        <v>0</v>
      </c>
      <c r="D148" s="5">
        <f t="shared" si="29"/>
        <v>0</v>
      </c>
      <c r="E148" s="6">
        <v>0</v>
      </c>
      <c r="F148" s="16">
        <v>1</v>
      </c>
      <c r="G148" s="5">
        <f t="shared" si="30"/>
        <v>1</v>
      </c>
      <c r="H148" s="7">
        <f t="shared" si="31"/>
        <v>1</v>
      </c>
    </row>
    <row r="149" spans="1:8" ht="15" customHeight="1" x14ac:dyDescent="0.25">
      <c r="A149" s="11" t="s">
        <v>141</v>
      </c>
      <c r="B149" s="6">
        <v>8</v>
      </c>
      <c r="C149" s="16">
        <v>1</v>
      </c>
      <c r="D149" s="5">
        <f t="shared" si="29"/>
        <v>9</v>
      </c>
      <c r="E149" s="6">
        <v>4</v>
      </c>
      <c r="F149" s="16">
        <v>7</v>
      </c>
      <c r="G149" s="5">
        <f t="shared" si="30"/>
        <v>11</v>
      </c>
      <c r="H149" s="7">
        <f t="shared" si="31"/>
        <v>20</v>
      </c>
    </row>
    <row r="150" spans="1:8" ht="15" customHeight="1" thickBot="1" x14ac:dyDescent="0.3">
      <c r="A150" s="11" t="s">
        <v>142</v>
      </c>
      <c r="B150" s="6">
        <v>0</v>
      </c>
      <c r="C150" s="16">
        <v>0</v>
      </c>
      <c r="D150" s="5">
        <f t="shared" si="29"/>
        <v>0</v>
      </c>
      <c r="E150" s="6">
        <v>0</v>
      </c>
      <c r="F150" s="16">
        <v>1</v>
      </c>
      <c r="G150" s="5">
        <f t="shared" si="30"/>
        <v>1</v>
      </c>
      <c r="H150" s="7">
        <f t="shared" si="31"/>
        <v>1</v>
      </c>
    </row>
    <row r="151" spans="1:8" ht="15" customHeight="1" thickTop="1" thickBot="1" x14ac:dyDescent="0.3">
      <c r="A151" s="12" t="s">
        <v>6</v>
      </c>
      <c r="B151" s="13">
        <f>SUM(B147:B150)</f>
        <v>27</v>
      </c>
      <c r="C151" s="13">
        <f t="shared" ref="C151:H151" si="32">SUM(C147:C150)</f>
        <v>11</v>
      </c>
      <c r="D151" s="13">
        <f t="shared" si="32"/>
        <v>38</v>
      </c>
      <c r="E151" s="13">
        <f t="shared" si="32"/>
        <v>16</v>
      </c>
      <c r="F151" s="13">
        <f t="shared" si="32"/>
        <v>25</v>
      </c>
      <c r="G151" s="13">
        <f t="shared" si="32"/>
        <v>41</v>
      </c>
      <c r="H151" s="15">
        <f t="shared" si="32"/>
        <v>79</v>
      </c>
    </row>
    <row r="152" spans="1:8" ht="15" customHeight="1" thickTop="1" thickBot="1" x14ac:dyDescent="0.3">
      <c r="A152" s="23" t="s">
        <v>146</v>
      </c>
      <c r="B152" s="24"/>
      <c r="C152" s="24"/>
      <c r="D152" s="24"/>
      <c r="E152" s="24"/>
      <c r="F152" s="24"/>
      <c r="G152" s="24"/>
      <c r="H152" s="25"/>
    </row>
    <row r="153" spans="1:8" ht="15" customHeight="1" thickTop="1" thickBot="1" x14ac:dyDescent="0.3">
      <c r="A153" s="11" t="s">
        <v>143</v>
      </c>
      <c r="B153" s="6">
        <v>13</v>
      </c>
      <c r="C153" s="16">
        <v>1</v>
      </c>
      <c r="D153" s="5">
        <f t="shared" ref="D153" si="33">B153+C153</f>
        <v>14</v>
      </c>
      <c r="E153" s="6">
        <v>17</v>
      </c>
      <c r="F153" s="16">
        <v>1</v>
      </c>
      <c r="G153" s="5">
        <f t="shared" ref="G153" si="34">E153+F153</f>
        <v>18</v>
      </c>
      <c r="H153" s="7">
        <f t="shared" ref="H153" si="35">G153+D153</f>
        <v>32</v>
      </c>
    </row>
    <row r="154" spans="1:8" ht="15" customHeight="1" thickTop="1" thickBot="1" x14ac:dyDescent="0.3">
      <c r="A154" s="12" t="s">
        <v>6</v>
      </c>
      <c r="B154" s="13">
        <f>B153</f>
        <v>13</v>
      </c>
      <c r="C154" s="13">
        <f t="shared" ref="C154:H154" si="36">C153</f>
        <v>1</v>
      </c>
      <c r="D154" s="13">
        <f t="shared" si="36"/>
        <v>14</v>
      </c>
      <c r="E154" s="13">
        <f t="shared" si="36"/>
        <v>17</v>
      </c>
      <c r="F154" s="13">
        <f t="shared" si="36"/>
        <v>1</v>
      </c>
      <c r="G154" s="13">
        <f t="shared" si="36"/>
        <v>18</v>
      </c>
      <c r="H154" s="15">
        <f t="shared" si="36"/>
        <v>32</v>
      </c>
    </row>
    <row r="155" spans="1:8" ht="15" customHeight="1" thickTop="1" thickBot="1" x14ac:dyDescent="0.3">
      <c r="A155" s="17"/>
      <c r="B155" s="18"/>
      <c r="C155" s="18"/>
      <c r="D155" s="18"/>
      <c r="E155" s="18"/>
      <c r="F155" s="18"/>
      <c r="G155" s="18"/>
      <c r="H155" s="19"/>
    </row>
    <row r="156" spans="1:8" ht="15" customHeight="1" thickTop="1" thickBot="1" x14ac:dyDescent="0.3">
      <c r="A156" s="43" t="s">
        <v>0</v>
      </c>
      <c r="B156" s="44">
        <f t="shared" ref="B156:H156" si="37">B153+B151+B145+B133+B122+B88+B118+B63+B49+B22</f>
        <v>1174</v>
      </c>
      <c r="C156" s="44">
        <f t="shared" si="37"/>
        <v>938</v>
      </c>
      <c r="D156" s="44">
        <f t="shared" si="37"/>
        <v>2112</v>
      </c>
      <c r="E156" s="44">
        <f t="shared" si="37"/>
        <v>851</v>
      </c>
      <c r="F156" s="44">
        <f t="shared" si="37"/>
        <v>837</v>
      </c>
      <c r="G156" s="44">
        <f t="shared" si="37"/>
        <v>1688</v>
      </c>
      <c r="H156" s="45">
        <f t="shared" si="37"/>
        <v>3800</v>
      </c>
    </row>
    <row r="158" spans="1:8" ht="15" customHeight="1" x14ac:dyDescent="0.25">
      <c r="A158" s="28" t="s">
        <v>147</v>
      </c>
      <c r="B158" s="28"/>
      <c r="C158" s="28"/>
      <c r="D158" s="28"/>
      <c r="E158" s="28"/>
      <c r="F158" s="28"/>
      <c r="G158" s="28"/>
      <c r="H158" s="28"/>
    </row>
    <row r="175" ht="25.5" customHeight="1" x14ac:dyDescent="0.25"/>
    <row r="176" ht="25.5" customHeight="1" x14ac:dyDescent="0.25"/>
  </sheetData>
  <mergeCells count="16">
    <mergeCell ref="A146:H146"/>
    <mergeCell ref="A152:H152"/>
    <mergeCell ref="A158:H158"/>
    <mergeCell ref="A50:H50"/>
    <mergeCell ref="A89:H89"/>
    <mergeCell ref="A119:H119"/>
    <mergeCell ref="A123:H123"/>
    <mergeCell ref="A134:H134"/>
    <mergeCell ref="A7:H7"/>
    <mergeCell ref="A23:H23"/>
    <mergeCell ref="A64:H64"/>
    <mergeCell ref="E5:G5"/>
    <mergeCell ref="A2:H2"/>
    <mergeCell ref="B5:D5"/>
    <mergeCell ref="A5:A6"/>
    <mergeCell ref="H5:H6"/>
  </mergeCells>
  <pageMargins left="0.7" right="0.7" top="0.75" bottom="0.75" header="0.3" footer="0.3"/>
  <pageSetup paperSize="9" orientation="portrait" r:id="rId1"/>
  <headerFooter>
    <oddHeader>&amp;CUCL Student Data Statistics</oddHeader>
    <oddFooter>&amp;L&amp;F - &amp;A&amp;RPage &amp;P of &amp;N</oddFooter>
  </headerFooter>
  <rowBreaks count="3" manualBreakCount="3">
    <brk id="49" max="16383" man="1"/>
    <brk id="88" max="16383" man="1"/>
    <brk id="13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17</vt:i4>
      </vt:variant>
    </vt:vector>
  </HeadingPairs>
  <TitlesOfParts>
    <vt:vector size="34" baseType="lpstr">
      <vt:lpstr>2011-12</vt:lpstr>
      <vt:lpstr>2010-11</vt:lpstr>
      <vt:lpstr>2009-10</vt:lpstr>
      <vt:lpstr>2008-09</vt:lpstr>
      <vt:lpstr>2007-08</vt:lpstr>
      <vt:lpstr>2006-07</vt:lpstr>
      <vt:lpstr>2005-06</vt:lpstr>
      <vt:lpstr>2004-05</vt:lpstr>
      <vt:lpstr>2003-04</vt:lpstr>
      <vt:lpstr>2002-03</vt:lpstr>
      <vt:lpstr>2001-02</vt:lpstr>
      <vt:lpstr>2000-01</vt:lpstr>
      <vt:lpstr>1999-00</vt:lpstr>
      <vt:lpstr>1998-99</vt:lpstr>
      <vt:lpstr>1997-98</vt:lpstr>
      <vt:lpstr>1996-97</vt:lpstr>
      <vt:lpstr>1995-96</vt:lpstr>
      <vt:lpstr>'1995-96'!Print_Titles</vt:lpstr>
      <vt:lpstr>'1996-97'!Print_Titles</vt:lpstr>
      <vt:lpstr>'1997-98'!Print_Titles</vt:lpstr>
      <vt:lpstr>'1998-99'!Print_Titles</vt:lpstr>
      <vt:lpstr>'1999-00'!Print_Titles</vt:lpstr>
      <vt:lpstr>'2000-01'!Print_Titles</vt:lpstr>
      <vt:lpstr>'2001-02'!Print_Titles</vt:lpstr>
      <vt:lpstr>'2002-03'!Print_Titles</vt:lpstr>
      <vt:lpstr>'2003-04'!Print_Titles</vt:lpstr>
      <vt:lpstr>'2004-05'!Print_Titles</vt:lpstr>
      <vt:lpstr>'2005-06'!Print_Titles</vt:lpstr>
      <vt:lpstr>'2006-07'!Print_Titles</vt:lpstr>
      <vt:lpstr>'2007-08'!Print_Titles</vt:lpstr>
      <vt:lpstr>'2008-09'!Print_Titles</vt:lpstr>
      <vt:lpstr>'2009-10'!Print_Titles</vt:lpstr>
      <vt:lpstr>'2010-11'!Print_Titles</vt:lpstr>
      <vt:lpstr>'2011-12'!Print_Titles</vt:lpstr>
    </vt:vector>
  </TitlesOfParts>
  <Company>University College London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Meaney</dc:creator>
  <cp:lastModifiedBy>Fiona Meaney</cp:lastModifiedBy>
  <cp:lastPrinted>2013-06-20T14:18:56Z</cp:lastPrinted>
  <dcterms:created xsi:type="dcterms:W3CDTF">2013-05-17T14:02:41Z</dcterms:created>
  <dcterms:modified xsi:type="dcterms:W3CDTF">2013-06-20T14:23:12Z</dcterms:modified>
</cp:coreProperties>
</file>