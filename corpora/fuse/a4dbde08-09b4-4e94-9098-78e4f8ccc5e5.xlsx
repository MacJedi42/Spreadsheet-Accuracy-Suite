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15" windowWidth="14955" windowHeight="120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Sheet1!$A$1:$M$45</definedName>
  </definedNames>
  <calcPr calcId="125725"/>
</workbook>
</file>

<file path=xl/calcChain.xml><?xml version="1.0" encoding="utf-8"?>
<calcChain xmlns="http://schemas.openxmlformats.org/spreadsheetml/2006/main">
  <c r="G45" i="1"/>
  <c r="D45"/>
  <c r="G42"/>
  <c r="D42"/>
  <c r="G39"/>
  <c r="D39"/>
  <c r="G36"/>
  <c r="D36"/>
  <c r="G32"/>
  <c r="D32"/>
  <c r="A82"/>
  <c r="A81"/>
  <c r="A80"/>
  <c r="A79"/>
  <c r="A78"/>
  <c r="A77"/>
  <c r="A76"/>
  <c r="A75"/>
  <c r="A74"/>
  <c r="A73"/>
  <c r="A72"/>
  <c r="J45" l="1"/>
  <c r="J42"/>
  <c r="B4"/>
  <c r="K4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29"/>
  <c r="J39"/>
  <c r="J36"/>
  <c r="C32"/>
  <c r="J32"/>
</calcChain>
</file>

<file path=xl/sharedStrings.xml><?xml version="1.0" encoding="utf-8"?>
<sst xmlns="http://schemas.openxmlformats.org/spreadsheetml/2006/main" count="67" uniqueCount="42">
  <si>
    <t>PARK CITY SCHOOL DISTRICT</t>
  </si>
  <si>
    <t>SPECIAL ACTIVITIES REPORT</t>
  </si>
  <si>
    <t>TO</t>
  </si>
  <si>
    <r>
      <t xml:space="preserve">Reporting Dates </t>
    </r>
    <r>
      <rPr>
        <i/>
        <sz val="10"/>
        <rFont val="Verdana"/>
        <family val="2"/>
      </rPr>
      <t>(see payroll schedule)</t>
    </r>
  </si>
  <si>
    <t>ACCOUNT NUMBER</t>
  </si>
  <si>
    <t>DESCRIPTION</t>
  </si>
  <si>
    <t>DATE</t>
  </si>
  <si>
    <t>Pay Rate</t>
  </si>
  <si>
    <t>Stipend</t>
  </si>
  <si>
    <t xml:space="preserve"> </t>
  </si>
  <si>
    <t>Total Amount To Pay</t>
  </si>
  <si>
    <t>Employer Portion FICA</t>
  </si>
  <si>
    <t>Employer Portion URS</t>
  </si>
  <si>
    <t>Total Cost</t>
  </si>
  <si>
    <t>Check Number</t>
  </si>
  <si>
    <t>For School information when using Program 9998</t>
  </si>
  <si>
    <t>Park City Learning Center</t>
  </si>
  <si>
    <t>Park City High School</t>
  </si>
  <si>
    <t>Transportation</t>
  </si>
  <si>
    <t>District Office</t>
  </si>
  <si>
    <t>TOTALS</t>
  </si>
  <si>
    <t xml:space="preserve">    Principal/Supervisor Signature</t>
  </si>
  <si>
    <t xml:space="preserve">    District Approval</t>
  </si>
  <si>
    <t xml:space="preserve">    _________________________________________________</t>
  </si>
  <si>
    <t>Employer Portion WC</t>
  </si>
  <si>
    <t>Total Hours or Days</t>
  </si>
  <si>
    <t>Total Amount to Pay</t>
  </si>
  <si>
    <r>
      <t xml:space="preserve">NAME </t>
    </r>
    <r>
      <rPr>
        <i/>
        <sz val="10"/>
        <rFont val="Verdana"/>
        <family val="2"/>
      </rPr>
      <t>(Last, First)</t>
    </r>
  </si>
  <si>
    <t>Location #</t>
  </si>
  <si>
    <t>Location Name</t>
  </si>
  <si>
    <t>Aquatic Center</t>
  </si>
  <si>
    <t>The yellow cells are formulas</t>
  </si>
  <si>
    <t>Note:</t>
  </si>
  <si>
    <t>The blue cells are drop-down lists</t>
  </si>
  <si>
    <t>ORG</t>
  </si>
  <si>
    <t>OBJ</t>
  </si>
  <si>
    <t>Parleys Park Elementary School</t>
  </si>
  <si>
    <t>McPolin Elementary School</t>
  </si>
  <si>
    <t>Jeremy Ranch Elementary School</t>
  </si>
  <si>
    <t>Trailside Elementary School</t>
  </si>
  <si>
    <t>Treasure Mountain Int'l Middle School</t>
  </si>
  <si>
    <t>Ecker Hill Int'l Middle School</t>
  </si>
</sst>
</file>

<file path=xl/styles.xml><?xml version="1.0" encoding="utf-8"?>
<styleSheet xmlns="http://schemas.openxmlformats.org/spreadsheetml/2006/main">
  <numFmts count="5">
    <numFmt numFmtId="8" formatCode="&quot;$&quot;#,##0.00_);[Red]\(&quot;$&quot;#,##0.00\)"/>
    <numFmt numFmtId="43" formatCode="_(* #,##0.00_);_(* \(#,##0.00\);_(* &quot;-&quot;??_);_(@_)"/>
    <numFmt numFmtId="164" formatCode="[$-409]mmmm\ d\,\ yyyy;@"/>
    <numFmt numFmtId="165" formatCode="0_);[Red]\(0\)"/>
    <numFmt numFmtId="166" formatCode="m/d;@"/>
  </numFmts>
  <fonts count="22">
    <font>
      <sz val="10"/>
      <name val="Arial"/>
    </font>
    <font>
      <sz val="10"/>
      <name val="Arial"/>
    </font>
    <font>
      <b/>
      <sz val="18"/>
      <name val="MS Sans Serif"/>
      <family val="2"/>
    </font>
    <font>
      <b/>
      <sz val="13.5"/>
      <name val="MS Sans Serif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sz val="12"/>
      <name val="Verdana"/>
      <family val="2"/>
    </font>
    <font>
      <sz val="12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sz val="9"/>
      <name val="Verdana"/>
      <family val="2"/>
    </font>
    <font>
      <i/>
      <sz val="10"/>
      <name val="Verdana"/>
      <family val="2"/>
    </font>
    <font>
      <sz val="8"/>
      <name val="Arial"/>
      <family val="2"/>
    </font>
    <font>
      <sz val="11"/>
      <name val="Verdana"/>
      <family val="2"/>
    </font>
    <font>
      <sz val="11"/>
      <name val="Arial"/>
      <family val="2"/>
    </font>
    <font>
      <b/>
      <sz val="11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0" tint="-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 applyBorder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64" fontId="7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7" xfId="0" quotePrefix="1" applyFont="1" applyFill="1" applyBorder="1" applyAlignment="1">
      <alignment horizontal="center" wrapText="1"/>
    </xf>
    <xf numFmtId="165" fontId="9" fillId="2" borderId="3" xfId="0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9" fillId="2" borderId="3" xfId="0" applyFont="1" applyFill="1" applyBorder="1"/>
    <xf numFmtId="0" fontId="9" fillId="0" borderId="0" xfId="0" quotePrefix="1" applyFont="1" applyFill="1" applyBorder="1" applyAlignment="1">
      <alignment horizontal="left" vertical="center" indent="1"/>
    </xf>
    <xf numFmtId="0" fontId="10" fillId="0" borderId="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8" fillId="0" borderId="0" xfId="0" applyFont="1" applyFill="1" applyBorder="1" applyAlignment="1"/>
    <xf numFmtId="0" fontId="0" fillId="0" borderId="0" xfId="0" applyBorder="1"/>
    <xf numFmtId="0" fontId="9" fillId="0" borderId="2" xfId="0" applyFont="1" applyFill="1" applyBorder="1" applyAlignment="1">
      <alignment horizontal="right" vertical="center" indent="1"/>
    </xf>
    <xf numFmtId="43" fontId="6" fillId="2" borderId="3" xfId="1" applyFont="1" applyFill="1" applyBorder="1" applyAlignment="1">
      <alignment horizontal="center"/>
    </xf>
    <xf numFmtId="0" fontId="9" fillId="2" borderId="3" xfId="0" quotePrefix="1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/>
    </xf>
    <xf numFmtId="0" fontId="0" fillId="2" borderId="10" xfId="0" applyFill="1" applyBorder="1"/>
    <xf numFmtId="8" fontId="0" fillId="0" borderId="0" xfId="0" applyNumberFormat="1"/>
    <xf numFmtId="0" fontId="15" fillId="2" borderId="11" xfId="0" applyFont="1" applyFill="1" applyBorder="1"/>
    <xf numFmtId="0" fontId="10" fillId="0" borderId="7" xfId="0" applyFont="1" applyFill="1" applyBorder="1" applyAlignment="1">
      <alignment horizontal="center" vertical="center" wrapText="1"/>
    </xf>
    <xf numFmtId="8" fontId="1" fillId="0" borderId="0" xfId="0" applyNumberFormat="1" applyFont="1" applyFill="1" applyBorder="1"/>
    <xf numFmtId="0" fontId="5" fillId="2" borderId="7" xfId="0" applyFont="1" applyFill="1" applyBorder="1" applyAlignment="1">
      <alignment horizontal="center"/>
    </xf>
    <xf numFmtId="8" fontId="15" fillId="3" borderId="12" xfId="0" applyNumberFormat="1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8" fontId="6" fillId="0" borderId="7" xfId="1" applyNumberFormat="1" applyFont="1" applyFill="1" applyBorder="1" applyAlignment="1">
      <alignment horizontal="center"/>
    </xf>
    <xf numFmtId="0" fontId="17" fillId="0" borderId="0" xfId="0" applyFont="1"/>
    <xf numFmtId="8" fontId="14" fillId="3" borderId="14" xfId="1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4" fillId="0" borderId="0" xfId="0" applyFont="1" applyFill="1" applyAlignment="1" applyProtection="1">
      <alignment horizontal="center"/>
      <protection locked="0"/>
    </xf>
    <xf numFmtId="0" fontId="1" fillId="0" borderId="0" xfId="0" applyFont="1" applyBorder="1" applyProtection="1">
      <protection locked="0"/>
    </xf>
    <xf numFmtId="0" fontId="0" fillId="0" borderId="0" xfId="0" applyProtection="1">
      <protection locked="0"/>
    </xf>
    <xf numFmtId="8" fontId="14" fillId="3" borderId="15" xfId="1" applyNumberFormat="1" applyFont="1" applyFill="1" applyBorder="1" applyAlignment="1" applyProtection="1">
      <alignment horizontal="center" vertical="center"/>
      <protection locked="0"/>
    </xf>
    <xf numFmtId="166" fontId="7" fillId="0" borderId="16" xfId="1" applyNumberFormat="1" applyFont="1" applyFill="1" applyBorder="1" applyAlignment="1" applyProtection="1">
      <alignment horizontal="left" vertical="center" wrapText="1"/>
      <protection locked="0"/>
    </xf>
    <xf numFmtId="0" fontId="6" fillId="2" borderId="17" xfId="0" applyFont="1" applyFill="1" applyBorder="1" applyAlignment="1" applyProtection="1">
      <alignment vertical="center"/>
      <protection locked="0"/>
    </xf>
    <xf numFmtId="40" fontId="7" fillId="0" borderId="18" xfId="0" applyNumberFormat="1" applyFont="1" applyFill="1" applyBorder="1" applyAlignment="1" applyProtection="1">
      <alignment horizontal="center" vertical="center"/>
      <protection locked="0"/>
    </xf>
    <xf numFmtId="8" fontId="7" fillId="0" borderId="19" xfId="1" applyNumberFormat="1" applyFont="1" applyFill="1" applyBorder="1" applyAlignment="1" applyProtection="1">
      <alignment horizontal="center" vertical="center"/>
      <protection locked="0"/>
    </xf>
    <xf numFmtId="8" fontId="7" fillId="0" borderId="20" xfId="1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 applyProtection="1">
      <alignment vertical="center"/>
      <protection locked="0"/>
    </xf>
    <xf numFmtId="40" fontId="7" fillId="0" borderId="21" xfId="0" applyNumberFormat="1" applyFont="1" applyFill="1" applyBorder="1" applyAlignment="1" applyProtection="1">
      <alignment horizontal="center" vertical="center"/>
      <protection locked="0"/>
    </xf>
    <xf numFmtId="8" fontId="7" fillId="0" borderId="16" xfId="1" applyNumberFormat="1" applyFont="1" applyFill="1" applyBorder="1" applyAlignment="1" applyProtection="1">
      <alignment horizontal="center" vertical="center"/>
      <protection locked="0"/>
    </xf>
    <xf numFmtId="166" fontId="7" fillId="0" borderId="22" xfId="1" applyNumberFormat="1" applyFont="1" applyFill="1" applyBorder="1" applyAlignment="1" applyProtection="1">
      <alignment horizontal="left" vertical="center" wrapText="1"/>
      <protection locked="0"/>
    </xf>
    <xf numFmtId="165" fontId="7" fillId="2" borderId="22" xfId="1" applyNumberFormat="1" applyFont="1" applyFill="1" applyBorder="1" applyAlignment="1" applyProtection="1">
      <alignment vertical="center"/>
      <protection locked="0"/>
    </xf>
    <xf numFmtId="40" fontId="11" fillId="0" borderId="22" xfId="0" applyNumberFormat="1" applyFont="1" applyFill="1" applyBorder="1" applyAlignment="1" applyProtection="1">
      <alignment horizontal="center" vertical="center"/>
      <protection locked="0"/>
    </xf>
    <xf numFmtId="8" fontId="11" fillId="0" borderId="22" xfId="0" applyNumberFormat="1" applyFont="1" applyFill="1" applyBorder="1" applyAlignment="1" applyProtection="1">
      <alignment horizontal="center" vertical="center"/>
      <protection locked="0"/>
    </xf>
    <xf numFmtId="0" fontId="7" fillId="0" borderId="18" xfId="0" applyFont="1" applyFill="1" applyBorder="1" applyAlignment="1" applyProtection="1">
      <alignment horizontal="center" vertical="center" wrapText="1"/>
      <protection locked="0"/>
    </xf>
    <xf numFmtId="0" fontId="6" fillId="2" borderId="17" xfId="0" applyFont="1" applyFill="1" applyBorder="1" applyAlignment="1" applyProtection="1">
      <alignment vertical="center" wrapText="1"/>
      <protection locked="0"/>
    </xf>
    <xf numFmtId="165" fontId="7" fillId="0" borderId="19" xfId="1" applyNumberFormat="1" applyFont="1" applyFill="1" applyBorder="1" applyAlignment="1" applyProtection="1">
      <alignment horizontal="left" vertical="center" wrapText="1"/>
      <protection locked="0"/>
    </xf>
    <xf numFmtId="165" fontId="7" fillId="0" borderId="19" xfId="1" applyNumberFormat="1" applyFont="1" applyFill="1" applyBorder="1" applyAlignment="1" applyProtection="1">
      <alignment vertical="center" wrapText="1"/>
      <protection locked="0"/>
    </xf>
    <xf numFmtId="0" fontId="7" fillId="0" borderId="21" xfId="0" applyFont="1" applyFill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vertical="center" wrapText="1"/>
      <protection locked="0"/>
    </xf>
    <xf numFmtId="165" fontId="7" fillId="0" borderId="16" xfId="1" applyNumberFormat="1" applyFont="1" applyFill="1" applyBorder="1" applyAlignment="1" applyProtection="1">
      <alignment horizontal="left" vertical="center" wrapText="1"/>
      <protection locked="0"/>
    </xf>
    <xf numFmtId="165" fontId="7" fillId="0" borderId="16" xfId="1" applyNumberFormat="1" applyFont="1" applyFill="1" applyBorder="1" applyAlignment="1" applyProtection="1">
      <alignment vertical="center" wrapText="1"/>
      <protection locked="0"/>
    </xf>
    <xf numFmtId="0" fontId="9" fillId="0" borderId="23" xfId="0" applyFont="1" applyFill="1" applyBorder="1" applyAlignment="1" applyProtection="1">
      <alignment vertical="center" wrapText="1"/>
      <protection locked="0"/>
    </xf>
    <xf numFmtId="0" fontId="9" fillId="2" borderId="24" xfId="0" applyFont="1" applyFill="1" applyBorder="1" applyAlignment="1" applyProtection="1">
      <alignment vertical="center" wrapText="1"/>
      <protection locked="0"/>
    </xf>
    <xf numFmtId="0" fontId="6" fillId="0" borderId="22" xfId="0" applyFont="1" applyFill="1" applyBorder="1" applyAlignment="1" applyProtection="1">
      <alignment horizontal="left" vertical="center" wrapText="1"/>
      <protection locked="0"/>
    </xf>
    <xf numFmtId="165" fontId="7" fillId="0" borderId="22" xfId="1" applyNumberFormat="1" applyFont="1" applyFill="1" applyBorder="1" applyAlignment="1" applyProtection="1">
      <alignment vertical="center" wrapText="1"/>
      <protection locked="0"/>
    </xf>
    <xf numFmtId="38" fontId="21" fillId="0" borderId="25" xfId="0" applyNumberFormat="1" applyFont="1" applyBorder="1" applyAlignment="1">
      <alignment horizontal="center"/>
    </xf>
    <xf numFmtId="0" fontId="21" fillId="0" borderId="26" xfId="0" applyFont="1" applyBorder="1"/>
    <xf numFmtId="38" fontId="21" fillId="0" borderId="27" xfId="0" applyNumberFormat="1" applyFont="1" applyBorder="1" applyAlignment="1">
      <alignment horizontal="center"/>
    </xf>
    <xf numFmtId="0" fontId="21" fillId="0" borderId="28" xfId="0" applyFont="1" applyBorder="1"/>
    <xf numFmtId="38" fontId="21" fillId="0" borderId="29" xfId="0" applyNumberFormat="1" applyFont="1" applyBorder="1" applyAlignment="1">
      <alignment horizontal="center"/>
    </xf>
    <xf numFmtId="0" fontId="21" fillId="0" borderId="30" xfId="0" applyFont="1" applyBorder="1"/>
    <xf numFmtId="38" fontId="21" fillId="0" borderId="0" xfId="0" applyNumberFormat="1" applyFont="1"/>
    <xf numFmtId="0" fontId="21" fillId="0" borderId="0" xfId="0" applyFont="1"/>
    <xf numFmtId="164" fontId="21" fillId="0" borderId="25" xfId="0" applyNumberFormat="1" applyFont="1" applyBorder="1"/>
    <xf numFmtId="164" fontId="21" fillId="0" borderId="26" xfId="0" applyNumberFormat="1" applyFont="1" applyBorder="1" applyAlignment="1">
      <alignment horizontal="left"/>
    </xf>
    <xf numFmtId="164" fontId="21" fillId="0" borderId="27" xfId="0" applyNumberFormat="1" applyFont="1" applyBorder="1"/>
    <xf numFmtId="164" fontId="21" fillId="0" borderId="28" xfId="0" applyNumberFormat="1" applyFont="1" applyBorder="1" applyAlignment="1">
      <alignment horizontal="left"/>
    </xf>
    <xf numFmtId="164" fontId="21" fillId="0" borderId="29" xfId="0" applyNumberFormat="1" applyFont="1" applyBorder="1"/>
    <xf numFmtId="164" fontId="21" fillId="0" borderId="30" xfId="0" applyNumberFormat="1" applyFont="1" applyBorder="1" applyAlignment="1">
      <alignment horizontal="left"/>
    </xf>
    <xf numFmtId="8" fontId="16" fillId="3" borderId="15" xfId="1" applyNumberFormat="1" applyFont="1" applyFill="1" applyBorder="1" applyAlignment="1">
      <alignment horizontal="center" vertical="center"/>
    </xf>
    <xf numFmtId="8" fontId="16" fillId="3" borderId="12" xfId="1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36" xfId="0" applyFont="1" applyFill="1" applyBorder="1" applyAlignment="1" applyProtection="1">
      <alignment horizontal="center" vertical="center" wrapText="1"/>
      <protection locked="0"/>
    </xf>
    <xf numFmtId="0" fontId="16" fillId="0" borderId="40" xfId="0" applyFont="1" applyFill="1" applyBorder="1" applyAlignment="1" applyProtection="1">
      <alignment horizontal="left"/>
    </xf>
    <xf numFmtId="8" fontId="15" fillId="3" borderId="14" xfId="0" applyNumberFormat="1" applyFont="1" applyFill="1" applyBorder="1" applyAlignment="1">
      <alignment horizontal="center"/>
    </xf>
    <xf numFmtId="8" fontId="15" fillId="3" borderId="35" xfId="0" applyNumberFormat="1" applyFont="1" applyFill="1" applyBorder="1" applyAlignment="1">
      <alignment horizontal="center"/>
    </xf>
    <xf numFmtId="8" fontId="5" fillId="0" borderId="8" xfId="0" applyNumberFormat="1" applyFont="1" applyFill="1" applyBorder="1" applyAlignment="1">
      <alignment horizontal="center" vertical="center" wrapText="1"/>
    </xf>
    <xf numFmtId="8" fontId="5" fillId="0" borderId="36" xfId="0" applyNumberFormat="1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  <protection locked="0"/>
    </xf>
    <xf numFmtId="0" fontId="5" fillId="0" borderId="3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>
      <alignment horizontal="left"/>
    </xf>
    <xf numFmtId="0" fontId="4" fillId="0" borderId="14" xfId="0" applyFont="1" applyFill="1" applyBorder="1" applyAlignment="1" applyProtection="1">
      <alignment horizontal="center" vertical="center"/>
      <protection locked="0"/>
    </xf>
    <xf numFmtId="0" fontId="4" fillId="0" borderId="35" xfId="0" applyFont="1" applyFill="1" applyBorder="1" applyAlignment="1" applyProtection="1">
      <alignment horizontal="center" vertical="center"/>
      <protection locked="0"/>
    </xf>
    <xf numFmtId="0" fontId="10" fillId="0" borderId="37" xfId="0" quotePrefix="1" applyFont="1" applyFill="1" applyBorder="1" applyAlignment="1">
      <alignment horizontal="center" vertical="center"/>
    </xf>
    <xf numFmtId="0" fontId="10" fillId="0" borderId="9" xfId="0" quotePrefix="1" applyFont="1" applyFill="1" applyBorder="1" applyAlignment="1">
      <alignment horizontal="center" vertical="center"/>
    </xf>
    <xf numFmtId="0" fontId="10" fillId="0" borderId="15" xfId="0" quotePrefix="1" applyFont="1" applyFill="1" applyBorder="1" applyAlignment="1">
      <alignment horizontal="center" vertical="center"/>
    </xf>
    <xf numFmtId="0" fontId="10" fillId="0" borderId="12" xfId="0" quotePrefix="1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6" fillId="0" borderId="38" xfId="0" applyFont="1" applyFill="1" applyBorder="1" applyAlignment="1" applyProtection="1">
      <alignment horizontal="left" vertical="center" wrapText="1"/>
      <protection locked="0"/>
    </xf>
    <xf numFmtId="0" fontId="16" fillId="0" borderId="39" xfId="0" applyFont="1" applyFill="1" applyBorder="1" applyAlignment="1" applyProtection="1">
      <alignment horizontal="left" vertical="center" wrapText="1"/>
      <protection locked="0"/>
    </xf>
    <xf numFmtId="164" fontId="6" fillId="4" borderId="0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3" xfId="0" applyFont="1" applyBorder="1"/>
    <xf numFmtId="0" fontId="2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7" fillId="0" borderId="33" xfId="0" applyFont="1" applyFill="1" applyBorder="1" applyAlignment="1" applyProtection="1">
      <alignment horizontal="left" vertical="center" wrapText="1"/>
      <protection locked="0"/>
    </xf>
    <xf numFmtId="0" fontId="7" fillId="0" borderId="34" xfId="0" applyFont="1" applyFill="1" applyBorder="1" applyAlignment="1" applyProtection="1">
      <alignment horizontal="left" vertical="center" wrapText="1"/>
      <protection locked="0"/>
    </xf>
    <xf numFmtId="164" fontId="6" fillId="0" borderId="0" xfId="0" applyNumberFormat="1" applyFont="1" applyFill="1" applyBorder="1" applyAlignment="1" applyProtection="1">
      <alignment horizontal="left"/>
    </xf>
  </cellXfs>
  <cellStyles count="2">
    <cellStyle name="Comma" xfId="1" builtinId="3"/>
    <cellStyle name="Normal" xfId="0" builtinId="0"/>
  </cellStyles>
  <dxfs count="3">
    <dxf>
      <fill>
        <patternFill patternType="none">
          <bgColor indexed="65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82"/>
  <sheetViews>
    <sheetView tabSelected="1" zoomScale="90" zoomScaleNormal="90" workbookViewId="0">
      <selection activeCell="G39" sqref="G39:H39"/>
    </sheetView>
  </sheetViews>
  <sheetFormatPr defaultRowHeight="12.75"/>
  <cols>
    <col min="1" max="1" width="31.140625" customWidth="1"/>
    <col min="2" max="2" width="29.140625" customWidth="1"/>
    <col min="3" max="3" width="23.5703125" customWidth="1"/>
    <col min="4" max="4" width="14" customWidth="1"/>
    <col min="5" max="5" width="1" customWidth="1"/>
    <col min="6" max="6" width="17.7109375" customWidth="1"/>
    <col min="7" max="7" width="1.140625" customWidth="1"/>
    <col min="8" max="8" width="11" customWidth="1"/>
    <col min="9" max="9" width="1" customWidth="1"/>
    <col min="10" max="10" width="14.7109375" customWidth="1"/>
    <col min="11" max="11" width="12.5703125" customWidth="1"/>
    <col min="12" max="12" width="14" customWidth="1"/>
    <col min="13" max="13" width="17.7109375" customWidth="1"/>
    <col min="23" max="23" width="22.7109375" customWidth="1"/>
    <col min="24" max="24" width="18.5703125" customWidth="1"/>
  </cols>
  <sheetData>
    <row r="1" spans="1:25" ht="23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46" t="s">
        <v>32</v>
      </c>
      <c r="O1" s="46" t="s">
        <v>31</v>
      </c>
    </row>
    <row r="2" spans="1:25" ht="19.5">
      <c r="A2" s="126" t="s">
        <v>1</v>
      </c>
      <c r="B2" s="126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O2" t="s">
        <v>33</v>
      </c>
    </row>
    <row r="3" spans="1:25" ht="4.5" customHeight="1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5" ht="19.5" customHeight="1">
      <c r="A4" s="51"/>
      <c r="B4" s="97" t="str">
        <f>IF(+A4&lt;&gt;"",VLOOKUP(A4,A57:B68,2, FALSE),"")</f>
        <v/>
      </c>
      <c r="C4" s="97"/>
      <c r="D4" s="4"/>
      <c r="E4" s="4"/>
      <c r="F4" s="121"/>
      <c r="G4" s="121"/>
      <c r="H4" s="121"/>
      <c r="I4" s="121"/>
      <c r="J4" s="7" t="s">
        <v>2</v>
      </c>
      <c r="K4" s="132" t="str">
        <f>IF(+F4&lt;&gt;"",VLOOKUP(F4,A71:B82,2,FALSE),"")</f>
        <v/>
      </c>
      <c r="L4" s="132"/>
      <c r="M4" s="132"/>
    </row>
    <row r="5" spans="1:25" ht="13.5" customHeight="1">
      <c r="A5" s="43" t="s">
        <v>28</v>
      </c>
      <c r="B5" s="44" t="s">
        <v>29</v>
      </c>
      <c r="C5" s="30"/>
      <c r="E5" s="6"/>
      <c r="F5" s="122" t="s">
        <v>3</v>
      </c>
      <c r="G5" s="122"/>
      <c r="H5" s="122"/>
      <c r="I5" s="122"/>
      <c r="J5" s="122"/>
      <c r="K5" s="122"/>
      <c r="L5" s="122"/>
      <c r="M5" s="122"/>
    </row>
    <row r="6" spans="1:25" ht="3.75" customHeight="1" thickBot="1"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25" ht="13.5" thickBot="1">
      <c r="A7" s="10"/>
      <c r="B7" s="11"/>
      <c r="C7" s="11"/>
      <c r="D7" s="12"/>
      <c r="E7" s="13"/>
      <c r="F7" s="123" t="s">
        <v>4</v>
      </c>
      <c r="G7" s="124"/>
      <c r="H7" s="124"/>
      <c r="I7" s="41"/>
      <c r="J7" s="14"/>
      <c r="K7" s="14"/>
      <c r="L7" s="14"/>
      <c r="M7" s="15"/>
    </row>
    <row r="8" spans="1:25" ht="26.25" thickBot="1">
      <c r="A8" s="16" t="s">
        <v>27</v>
      </c>
      <c r="B8" s="128" t="s">
        <v>5</v>
      </c>
      <c r="C8" s="129"/>
      <c r="D8" s="17" t="s">
        <v>6</v>
      </c>
      <c r="E8" s="18"/>
      <c r="F8" s="19" t="s">
        <v>34</v>
      </c>
      <c r="G8" s="19"/>
      <c r="H8" s="19" t="s">
        <v>35</v>
      </c>
      <c r="I8" s="18"/>
      <c r="J8" s="20" t="s">
        <v>25</v>
      </c>
      <c r="K8" s="20" t="s">
        <v>7</v>
      </c>
      <c r="L8" s="39" t="s">
        <v>8</v>
      </c>
      <c r="M8" s="20" t="s">
        <v>26</v>
      </c>
      <c r="S8" s="48"/>
      <c r="T8" s="48"/>
      <c r="U8" s="48"/>
      <c r="V8" s="48"/>
      <c r="Y8" s="48"/>
    </row>
    <row r="9" spans="1:25" ht="18" customHeight="1">
      <c r="A9" s="67"/>
      <c r="B9" s="130"/>
      <c r="C9" s="131"/>
      <c r="D9" s="55"/>
      <c r="E9" s="68"/>
      <c r="F9" s="69"/>
      <c r="G9" s="70"/>
      <c r="H9" s="70"/>
      <c r="I9" s="56"/>
      <c r="J9" s="57"/>
      <c r="K9" s="58"/>
      <c r="L9" s="58"/>
      <c r="M9" s="59" t="str">
        <f>IF(SUM(J9:L9)&lt;&gt;0,(+J9*K9)+L9,"")</f>
        <v/>
      </c>
      <c r="S9" s="48"/>
      <c r="T9" s="48"/>
      <c r="U9" s="49"/>
      <c r="V9" s="48"/>
      <c r="Y9" s="48"/>
    </row>
    <row r="10" spans="1:25" ht="18" customHeight="1">
      <c r="A10" s="71"/>
      <c r="B10" s="118"/>
      <c r="C10" s="118"/>
      <c r="D10" s="55"/>
      <c r="E10" s="72"/>
      <c r="F10" s="73"/>
      <c r="G10" s="74"/>
      <c r="H10" s="74"/>
      <c r="I10" s="60"/>
      <c r="J10" s="61"/>
      <c r="K10" s="62"/>
      <c r="L10" s="62"/>
      <c r="M10" s="59" t="str">
        <f t="shared" ref="M10:M27" si="0">IF(SUM(J10:L10)&lt;&gt;0,(+J10*K10)+L10,"")</f>
        <v/>
      </c>
      <c r="S10" s="48"/>
      <c r="T10" s="48"/>
      <c r="U10" s="49"/>
      <c r="V10" s="48"/>
      <c r="Y10" s="48"/>
    </row>
    <row r="11" spans="1:25" ht="18" customHeight="1">
      <c r="A11" s="71"/>
      <c r="B11" s="118"/>
      <c r="C11" s="118"/>
      <c r="D11" s="55"/>
      <c r="E11" s="72"/>
      <c r="F11" s="73"/>
      <c r="G11" s="74"/>
      <c r="H11" s="74"/>
      <c r="I11" s="60"/>
      <c r="J11" s="61"/>
      <c r="K11" s="62"/>
      <c r="L11" s="62"/>
      <c r="M11" s="59" t="str">
        <f t="shared" si="0"/>
        <v/>
      </c>
      <c r="S11" s="48"/>
      <c r="T11" s="48"/>
      <c r="U11" s="49"/>
      <c r="V11" s="48"/>
      <c r="Y11" s="48"/>
    </row>
    <row r="12" spans="1:25" ht="18" customHeight="1">
      <c r="A12" s="71"/>
      <c r="B12" s="118"/>
      <c r="C12" s="118"/>
      <c r="D12" s="55"/>
      <c r="E12" s="72"/>
      <c r="F12" s="73"/>
      <c r="G12" s="74"/>
      <c r="H12" s="74"/>
      <c r="I12" s="60"/>
      <c r="J12" s="61"/>
      <c r="K12" s="62"/>
      <c r="L12" s="62"/>
      <c r="M12" s="59" t="str">
        <f t="shared" si="0"/>
        <v/>
      </c>
      <c r="S12" s="48"/>
      <c r="T12" s="48"/>
      <c r="U12" s="49"/>
      <c r="V12" s="48"/>
      <c r="Y12" s="48"/>
    </row>
    <row r="13" spans="1:25" ht="18" customHeight="1">
      <c r="A13" s="71"/>
      <c r="B13" s="118"/>
      <c r="C13" s="118"/>
      <c r="D13" s="55"/>
      <c r="E13" s="72"/>
      <c r="F13" s="73"/>
      <c r="G13" s="74"/>
      <c r="H13" s="74"/>
      <c r="I13" s="60"/>
      <c r="J13" s="61"/>
      <c r="K13" s="62"/>
      <c r="L13" s="62"/>
      <c r="M13" s="59" t="str">
        <f t="shared" si="0"/>
        <v/>
      </c>
      <c r="S13" s="48"/>
      <c r="T13" s="48"/>
      <c r="U13" s="49"/>
      <c r="V13" s="48"/>
      <c r="Y13" s="48"/>
    </row>
    <row r="14" spans="1:25" ht="18" customHeight="1">
      <c r="A14" s="71"/>
      <c r="B14" s="118"/>
      <c r="C14" s="118"/>
      <c r="D14" s="55"/>
      <c r="E14" s="72"/>
      <c r="F14" s="73"/>
      <c r="G14" s="74"/>
      <c r="H14" s="74"/>
      <c r="I14" s="60"/>
      <c r="J14" s="61"/>
      <c r="K14" s="62"/>
      <c r="L14" s="62"/>
      <c r="M14" s="59" t="str">
        <f t="shared" si="0"/>
        <v/>
      </c>
      <c r="S14" s="48"/>
      <c r="T14" s="48"/>
      <c r="U14" s="50"/>
      <c r="V14" s="48"/>
      <c r="Y14" s="48"/>
    </row>
    <row r="15" spans="1:25" ht="18" customHeight="1">
      <c r="A15" s="71"/>
      <c r="B15" s="118"/>
      <c r="C15" s="118"/>
      <c r="D15" s="55"/>
      <c r="E15" s="72"/>
      <c r="F15" s="73"/>
      <c r="G15" s="74"/>
      <c r="H15" s="74"/>
      <c r="I15" s="60"/>
      <c r="J15" s="61"/>
      <c r="K15" s="62"/>
      <c r="L15" s="62"/>
      <c r="M15" s="59" t="str">
        <f t="shared" si="0"/>
        <v/>
      </c>
      <c r="S15" s="48"/>
      <c r="T15" s="48"/>
      <c r="U15" s="50"/>
      <c r="V15" s="48"/>
      <c r="Y15" s="48"/>
    </row>
    <row r="16" spans="1:25" ht="18" customHeight="1">
      <c r="A16" s="71"/>
      <c r="B16" s="118"/>
      <c r="C16" s="118"/>
      <c r="D16" s="55"/>
      <c r="E16" s="72"/>
      <c r="F16" s="73"/>
      <c r="G16" s="74"/>
      <c r="H16" s="74"/>
      <c r="I16" s="60"/>
      <c r="J16" s="61"/>
      <c r="K16" s="62"/>
      <c r="L16" s="62"/>
      <c r="M16" s="59" t="str">
        <f t="shared" si="0"/>
        <v/>
      </c>
      <c r="S16" s="48"/>
      <c r="T16" s="48"/>
      <c r="U16" s="50"/>
      <c r="V16" s="48"/>
      <c r="Y16" s="48"/>
    </row>
    <row r="17" spans="1:25" ht="18" customHeight="1">
      <c r="A17" s="71"/>
      <c r="B17" s="118"/>
      <c r="C17" s="118"/>
      <c r="D17" s="55"/>
      <c r="E17" s="72"/>
      <c r="F17" s="73"/>
      <c r="G17" s="74"/>
      <c r="H17" s="74"/>
      <c r="I17" s="60"/>
      <c r="J17" s="61"/>
      <c r="K17" s="62"/>
      <c r="L17" s="62"/>
      <c r="M17" s="59" t="str">
        <f t="shared" si="0"/>
        <v/>
      </c>
      <c r="S17" s="48"/>
      <c r="T17" s="48"/>
      <c r="U17" s="50"/>
      <c r="V17" s="48"/>
      <c r="Y17" s="48"/>
    </row>
    <row r="18" spans="1:25" ht="18" customHeight="1">
      <c r="A18" s="71"/>
      <c r="B18" s="118"/>
      <c r="C18" s="118"/>
      <c r="D18" s="55"/>
      <c r="E18" s="72"/>
      <c r="F18" s="73"/>
      <c r="G18" s="74"/>
      <c r="H18" s="74"/>
      <c r="I18" s="60"/>
      <c r="J18" s="61"/>
      <c r="K18" s="62"/>
      <c r="L18" s="62"/>
      <c r="M18" s="59" t="str">
        <f t="shared" si="0"/>
        <v/>
      </c>
      <c r="S18" s="48"/>
      <c r="T18" s="48"/>
      <c r="U18" s="50"/>
      <c r="V18" s="48"/>
      <c r="Y18" s="48"/>
    </row>
    <row r="19" spans="1:25" ht="18" customHeight="1">
      <c r="A19" s="71"/>
      <c r="B19" s="118"/>
      <c r="C19" s="118"/>
      <c r="D19" s="55"/>
      <c r="E19" s="72"/>
      <c r="F19" s="73"/>
      <c r="G19" s="74"/>
      <c r="H19" s="74"/>
      <c r="I19" s="60"/>
      <c r="J19" s="61"/>
      <c r="K19" s="62"/>
      <c r="L19" s="62"/>
      <c r="M19" s="59" t="str">
        <f t="shared" si="0"/>
        <v/>
      </c>
      <c r="S19" s="48"/>
      <c r="T19" s="48"/>
      <c r="U19" s="48"/>
      <c r="V19" s="48"/>
      <c r="Y19" s="48"/>
    </row>
    <row r="20" spans="1:25" ht="18" customHeight="1">
      <c r="A20" s="71"/>
      <c r="B20" s="118"/>
      <c r="C20" s="118"/>
      <c r="D20" s="55"/>
      <c r="E20" s="72"/>
      <c r="F20" s="73"/>
      <c r="G20" s="74"/>
      <c r="H20" s="74"/>
      <c r="I20" s="60"/>
      <c r="J20" s="61"/>
      <c r="K20" s="62"/>
      <c r="L20" s="62"/>
      <c r="M20" s="59" t="str">
        <f t="shared" si="0"/>
        <v/>
      </c>
      <c r="S20" s="48"/>
      <c r="T20" s="48"/>
      <c r="U20" s="48"/>
      <c r="V20" s="48"/>
      <c r="W20" s="48"/>
      <c r="X20" s="48"/>
      <c r="Y20" s="48"/>
    </row>
    <row r="21" spans="1:25" ht="18" customHeight="1">
      <c r="A21" s="71"/>
      <c r="B21" s="118"/>
      <c r="C21" s="118"/>
      <c r="D21" s="55"/>
      <c r="E21" s="72"/>
      <c r="F21" s="73"/>
      <c r="G21" s="74"/>
      <c r="H21" s="74"/>
      <c r="I21" s="60"/>
      <c r="J21" s="61"/>
      <c r="K21" s="62"/>
      <c r="L21" s="62"/>
      <c r="M21" s="59" t="str">
        <f t="shared" si="0"/>
        <v/>
      </c>
    </row>
    <row r="22" spans="1:25" ht="18" customHeight="1">
      <c r="A22" s="71"/>
      <c r="B22" s="118"/>
      <c r="C22" s="118"/>
      <c r="D22" s="55"/>
      <c r="E22" s="72"/>
      <c r="F22" s="73"/>
      <c r="G22" s="74"/>
      <c r="H22" s="74"/>
      <c r="I22" s="60"/>
      <c r="J22" s="61"/>
      <c r="K22" s="62"/>
      <c r="L22" s="62"/>
      <c r="M22" s="59" t="str">
        <f t="shared" si="0"/>
        <v/>
      </c>
    </row>
    <row r="23" spans="1:25" ht="18" customHeight="1">
      <c r="A23" s="71"/>
      <c r="B23" s="118"/>
      <c r="C23" s="118"/>
      <c r="D23" s="55"/>
      <c r="E23" s="72"/>
      <c r="F23" s="73"/>
      <c r="G23" s="74"/>
      <c r="H23" s="74"/>
      <c r="I23" s="60"/>
      <c r="J23" s="61"/>
      <c r="K23" s="62"/>
      <c r="L23" s="62"/>
      <c r="M23" s="59" t="str">
        <f t="shared" si="0"/>
        <v/>
      </c>
    </row>
    <row r="24" spans="1:25" ht="18" customHeight="1">
      <c r="A24" s="71"/>
      <c r="B24" s="118"/>
      <c r="C24" s="118"/>
      <c r="D24" s="55"/>
      <c r="E24" s="72"/>
      <c r="F24" s="73"/>
      <c r="G24" s="74"/>
      <c r="H24" s="74"/>
      <c r="I24" s="60"/>
      <c r="J24" s="61"/>
      <c r="K24" s="62"/>
      <c r="L24" s="62"/>
      <c r="M24" s="59" t="str">
        <f t="shared" si="0"/>
        <v/>
      </c>
    </row>
    <row r="25" spans="1:25" ht="18" customHeight="1">
      <c r="A25" s="71"/>
      <c r="B25" s="118"/>
      <c r="C25" s="118"/>
      <c r="D25" s="55"/>
      <c r="E25" s="72"/>
      <c r="F25" s="73"/>
      <c r="G25" s="74"/>
      <c r="H25" s="74"/>
      <c r="I25" s="60"/>
      <c r="J25" s="61"/>
      <c r="K25" s="62"/>
      <c r="L25" s="62"/>
      <c r="M25" s="59" t="str">
        <f t="shared" si="0"/>
        <v/>
      </c>
    </row>
    <row r="26" spans="1:25" ht="18" customHeight="1">
      <c r="A26" s="71"/>
      <c r="B26" s="118"/>
      <c r="C26" s="118"/>
      <c r="D26" s="55"/>
      <c r="E26" s="72"/>
      <c r="F26" s="73"/>
      <c r="G26" s="74"/>
      <c r="H26" s="74"/>
      <c r="I26" s="60"/>
      <c r="J26" s="61"/>
      <c r="K26" s="62"/>
      <c r="L26" s="62"/>
      <c r="M26" s="59" t="str">
        <f t="shared" si="0"/>
        <v/>
      </c>
    </row>
    <row r="27" spans="1:25" ht="18" customHeight="1">
      <c r="A27" s="71"/>
      <c r="B27" s="118"/>
      <c r="C27" s="118"/>
      <c r="D27" s="55"/>
      <c r="E27" s="72"/>
      <c r="F27" s="73"/>
      <c r="G27" s="74"/>
      <c r="H27" s="74"/>
      <c r="I27" s="60"/>
      <c r="J27" s="61"/>
      <c r="K27" s="62"/>
      <c r="L27" s="62"/>
      <c r="M27" s="59" t="str">
        <f t="shared" si="0"/>
        <v/>
      </c>
    </row>
    <row r="28" spans="1:25" ht="18" customHeight="1" thickBot="1">
      <c r="A28" s="75"/>
      <c r="B28" s="119"/>
      <c r="C28" s="120"/>
      <c r="D28" s="63"/>
      <c r="E28" s="76"/>
      <c r="F28" s="77"/>
      <c r="G28" s="78"/>
      <c r="H28" s="78"/>
      <c r="I28" s="64"/>
      <c r="J28" s="65"/>
      <c r="K28" s="66"/>
      <c r="L28" s="66"/>
      <c r="M28" s="59" t="str">
        <f>IF(+SUM(J28:L28)&lt;&gt;0,(+J28*K28)+L28,"")</f>
        <v/>
      </c>
    </row>
    <row r="29" spans="1:25" ht="18" customHeight="1" thickBot="1">
      <c r="A29" s="31" t="s">
        <v>20</v>
      </c>
      <c r="B29" s="33"/>
      <c r="C29" s="23" t="s">
        <v>9</v>
      </c>
      <c r="D29" s="23"/>
      <c r="E29" s="23"/>
      <c r="F29" s="113"/>
      <c r="G29" s="113"/>
      <c r="H29" s="113"/>
      <c r="I29" s="21"/>
      <c r="J29" s="32"/>
      <c r="K29" s="34"/>
      <c r="L29" s="35"/>
      <c r="M29" s="45">
        <f>SUM(M9:M27)</f>
        <v>0</v>
      </c>
    </row>
    <row r="30" spans="1:25" ht="13.5" thickBot="1">
      <c r="A30" s="24"/>
      <c r="B30" s="24"/>
      <c r="C30" s="22"/>
      <c r="D30" s="22"/>
      <c r="E30" s="22"/>
      <c r="F30" s="25"/>
      <c r="G30" s="25"/>
      <c r="H30" s="25"/>
      <c r="I30" s="25"/>
      <c r="J30" s="25"/>
      <c r="K30" s="25"/>
      <c r="L30" s="25"/>
      <c r="M30" s="25"/>
      <c r="N30" s="37"/>
    </row>
    <row r="31" spans="1:25" ht="27.75" customHeight="1">
      <c r="A31" s="109" t="s">
        <v>15</v>
      </c>
      <c r="B31" s="110"/>
      <c r="C31" s="26" t="s">
        <v>10</v>
      </c>
      <c r="D31" s="26" t="s">
        <v>11</v>
      </c>
      <c r="E31" s="27"/>
      <c r="F31" s="26" t="s">
        <v>12</v>
      </c>
      <c r="G31" s="116" t="s">
        <v>24</v>
      </c>
      <c r="H31" s="117"/>
      <c r="I31" s="36"/>
      <c r="J31" s="102" t="s">
        <v>13</v>
      </c>
      <c r="K31" s="103"/>
      <c r="L31" s="114" t="s">
        <v>14</v>
      </c>
      <c r="M31" s="115"/>
    </row>
    <row r="32" spans="1:25" ht="16.5" customHeight="1" thickBot="1">
      <c r="A32" s="111"/>
      <c r="B32" s="112"/>
      <c r="C32" s="54">
        <f>+M29</f>
        <v>0</v>
      </c>
      <c r="D32" s="47">
        <f>0.0765*C32</f>
        <v>0</v>
      </c>
      <c r="E32" s="42"/>
      <c r="F32" s="47">
        <v>0</v>
      </c>
      <c r="G32" s="98">
        <f>+C32*0.00653</f>
        <v>0</v>
      </c>
      <c r="H32" s="99"/>
      <c r="I32" s="38"/>
      <c r="J32" s="93">
        <f>+C32+D32+F32+G32</f>
        <v>0</v>
      </c>
      <c r="K32" s="94"/>
      <c r="L32" s="107"/>
      <c r="M32" s="108"/>
    </row>
    <row r="33" spans="1:13" ht="5.25" customHeight="1">
      <c r="A33" s="1"/>
      <c r="B33" s="1"/>
      <c r="C33" s="1"/>
      <c r="D33" s="28"/>
      <c r="E33" s="28"/>
      <c r="F33" s="28"/>
      <c r="G33" s="40"/>
      <c r="H33" s="40"/>
      <c r="I33" s="28"/>
      <c r="J33" s="28"/>
      <c r="K33" s="28"/>
      <c r="L33" s="52"/>
      <c r="M33" s="52"/>
    </row>
    <row r="34" spans="1:13" ht="3.75" customHeight="1" thickBot="1">
      <c r="A34" s="1"/>
      <c r="B34" s="1"/>
      <c r="C34" s="1"/>
      <c r="D34" s="28"/>
      <c r="E34" s="28"/>
      <c r="F34" s="28"/>
      <c r="G34" s="40"/>
      <c r="H34" s="40"/>
      <c r="I34" s="28"/>
      <c r="J34" s="28"/>
      <c r="K34" s="28"/>
      <c r="L34" s="52"/>
      <c r="M34" s="52"/>
    </row>
    <row r="35" spans="1:13" ht="25.5" customHeight="1" thickBot="1">
      <c r="C35" s="26" t="s">
        <v>10</v>
      </c>
      <c r="D35" s="26" t="s">
        <v>11</v>
      </c>
      <c r="E35" s="27"/>
      <c r="F35" s="26" t="s">
        <v>12</v>
      </c>
      <c r="G35" s="100" t="s">
        <v>24</v>
      </c>
      <c r="H35" s="101"/>
      <c r="I35" s="36"/>
      <c r="J35" s="102" t="s">
        <v>13</v>
      </c>
      <c r="K35" s="103"/>
      <c r="L35" s="104" t="s">
        <v>14</v>
      </c>
      <c r="M35" s="105"/>
    </row>
    <row r="36" spans="1:13" ht="14.25" customHeight="1" thickBot="1">
      <c r="A36" s="106"/>
      <c r="B36" s="106"/>
      <c r="C36" s="54"/>
      <c r="D36" s="47">
        <f>0.0765*C36</f>
        <v>0</v>
      </c>
      <c r="E36" s="42"/>
      <c r="F36" s="47">
        <v>0</v>
      </c>
      <c r="G36" s="98">
        <f>+C36*0.00653</f>
        <v>0</v>
      </c>
      <c r="H36" s="99"/>
      <c r="I36" s="38"/>
      <c r="J36" s="93">
        <f>+C36+D36+F36+G36</f>
        <v>0</v>
      </c>
      <c r="K36" s="94"/>
      <c r="L36" s="95"/>
      <c r="M36" s="96"/>
    </row>
    <row r="37" spans="1:13" ht="9" customHeight="1" thickBot="1">
      <c r="A37" s="5" t="s">
        <v>23</v>
      </c>
      <c r="B37" s="29"/>
      <c r="C37" s="1"/>
      <c r="G37" s="37"/>
      <c r="H37" s="37"/>
      <c r="L37" s="53"/>
      <c r="M37" s="52"/>
    </row>
    <row r="38" spans="1:13" ht="26.25" customHeight="1" thickBot="1">
      <c r="A38" s="8" t="s">
        <v>21</v>
      </c>
      <c r="B38" s="8"/>
      <c r="C38" s="26" t="s">
        <v>10</v>
      </c>
      <c r="D38" s="26" t="s">
        <v>11</v>
      </c>
      <c r="E38" s="27"/>
      <c r="F38" s="26" t="s">
        <v>12</v>
      </c>
      <c r="G38" s="100" t="s">
        <v>24</v>
      </c>
      <c r="H38" s="101"/>
      <c r="I38" s="36"/>
      <c r="J38" s="102" t="s">
        <v>13</v>
      </c>
      <c r="K38" s="103"/>
      <c r="L38" s="104" t="s">
        <v>14</v>
      </c>
      <c r="M38" s="105"/>
    </row>
    <row r="39" spans="1:13" ht="19.5" customHeight="1" thickBot="1">
      <c r="B39" s="5"/>
      <c r="C39" s="54"/>
      <c r="D39" s="47">
        <f>0.0765*C39</f>
        <v>0</v>
      </c>
      <c r="E39" s="42"/>
      <c r="F39" s="47">
        <v>0</v>
      </c>
      <c r="G39" s="98">
        <f>+C39*0.00653</f>
        <v>0</v>
      </c>
      <c r="H39" s="99"/>
      <c r="I39" s="38"/>
      <c r="J39" s="93">
        <f>+C39+D39+F39+G39</f>
        <v>0</v>
      </c>
      <c r="K39" s="94"/>
      <c r="L39" s="95"/>
      <c r="M39" s="96"/>
    </row>
    <row r="40" spans="1:13" ht="8.25" customHeight="1" thickBot="1">
      <c r="A40" s="5" t="s">
        <v>23</v>
      </c>
      <c r="B40" s="29"/>
      <c r="C40" s="1"/>
      <c r="G40" s="37"/>
      <c r="H40" s="37"/>
      <c r="L40" s="53"/>
      <c r="M40" s="52"/>
    </row>
    <row r="41" spans="1:13" ht="26.25" customHeight="1" thickBot="1">
      <c r="A41" s="8" t="s">
        <v>22</v>
      </c>
      <c r="B41" s="1"/>
      <c r="C41" s="26" t="s">
        <v>10</v>
      </c>
      <c r="D41" s="26" t="s">
        <v>11</v>
      </c>
      <c r="E41" s="27"/>
      <c r="F41" s="26" t="s">
        <v>12</v>
      </c>
      <c r="G41" s="100" t="s">
        <v>24</v>
      </c>
      <c r="H41" s="101"/>
      <c r="I41" s="36"/>
      <c r="J41" s="102" t="s">
        <v>13</v>
      </c>
      <c r="K41" s="103"/>
      <c r="L41" s="104" t="s">
        <v>14</v>
      </c>
      <c r="M41" s="105"/>
    </row>
    <row r="42" spans="1:13" ht="16.5" thickBot="1">
      <c r="A42" s="1"/>
      <c r="B42" s="1"/>
      <c r="C42" s="54"/>
      <c r="D42" s="47">
        <f>0.0765*C42</f>
        <v>0</v>
      </c>
      <c r="E42" s="42"/>
      <c r="F42" s="47">
        <v>0</v>
      </c>
      <c r="G42" s="98">
        <f>+C42*0.00653</f>
        <v>0</v>
      </c>
      <c r="H42" s="99"/>
      <c r="I42" s="38"/>
      <c r="J42" s="93">
        <f>+C42+D42+F42+G42</f>
        <v>0</v>
      </c>
      <c r="K42" s="94"/>
      <c r="L42" s="95"/>
      <c r="M42" s="96"/>
    </row>
    <row r="43" spans="1:13" ht="8.25" customHeight="1" thickBot="1">
      <c r="A43" s="1"/>
      <c r="B43" s="1"/>
      <c r="C43" s="1"/>
      <c r="G43" s="37"/>
      <c r="H43" s="37"/>
      <c r="L43" s="53"/>
      <c r="M43" s="52"/>
    </row>
    <row r="44" spans="1:13" ht="26.25" customHeight="1" thickBot="1">
      <c r="C44" s="26" t="s">
        <v>10</v>
      </c>
      <c r="D44" s="26" t="s">
        <v>11</v>
      </c>
      <c r="E44" s="27"/>
      <c r="F44" s="26" t="s">
        <v>12</v>
      </c>
      <c r="G44" s="100" t="s">
        <v>24</v>
      </c>
      <c r="H44" s="101"/>
      <c r="I44" s="36"/>
      <c r="J44" s="102" t="s">
        <v>13</v>
      </c>
      <c r="K44" s="103"/>
      <c r="L44" s="104" t="s">
        <v>14</v>
      </c>
      <c r="M44" s="105"/>
    </row>
    <row r="45" spans="1:13" ht="16.5" thickBot="1">
      <c r="C45" s="54"/>
      <c r="D45" s="47">
        <f>0.0765*C45</f>
        <v>0</v>
      </c>
      <c r="E45" s="42"/>
      <c r="F45" s="47">
        <v>0</v>
      </c>
      <c r="G45" s="98">
        <f>+C45*0.00653</f>
        <v>0</v>
      </c>
      <c r="H45" s="99"/>
      <c r="I45" s="38"/>
      <c r="J45" s="93">
        <f>+C45+D45+F45+G45</f>
        <v>0</v>
      </c>
      <c r="K45" s="94"/>
      <c r="L45" s="95"/>
      <c r="M45" s="96"/>
    </row>
    <row r="57" spans="1:2">
      <c r="A57" s="79"/>
      <c r="B57" s="80"/>
    </row>
    <row r="58" spans="1:2">
      <c r="A58" s="81">
        <v>104</v>
      </c>
      <c r="B58" s="82" t="s">
        <v>36</v>
      </c>
    </row>
    <row r="59" spans="1:2">
      <c r="A59" s="81">
        <v>108</v>
      </c>
      <c r="B59" s="82" t="s">
        <v>37</v>
      </c>
    </row>
    <row r="60" spans="1:2">
      <c r="A60" s="81">
        <v>112</v>
      </c>
      <c r="B60" s="82" t="s">
        <v>38</v>
      </c>
    </row>
    <row r="61" spans="1:2">
      <c r="A61" s="81">
        <v>116</v>
      </c>
      <c r="B61" s="82" t="s">
        <v>39</v>
      </c>
    </row>
    <row r="62" spans="1:2">
      <c r="A62" s="81">
        <v>304</v>
      </c>
      <c r="B62" s="82" t="s">
        <v>40</v>
      </c>
    </row>
    <row r="63" spans="1:2">
      <c r="A63" s="81">
        <v>308</v>
      </c>
      <c r="B63" s="82" t="s">
        <v>41</v>
      </c>
    </row>
    <row r="64" spans="1:2">
      <c r="A64" s="81">
        <v>500</v>
      </c>
      <c r="B64" s="82" t="s">
        <v>19</v>
      </c>
    </row>
    <row r="65" spans="1:2">
      <c r="A65" s="81">
        <v>526</v>
      </c>
      <c r="B65" s="82" t="s">
        <v>30</v>
      </c>
    </row>
    <row r="66" spans="1:2">
      <c r="A66" s="81">
        <v>534</v>
      </c>
      <c r="B66" s="82" t="s">
        <v>16</v>
      </c>
    </row>
    <row r="67" spans="1:2">
      <c r="A67" s="81">
        <v>555</v>
      </c>
      <c r="B67" s="82" t="s">
        <v>18</v>
      </c>
    </row>
    <row r="68" spans="1:2">
      <c r="A68" s="83">
        <v>704</v>
      </c>
      <c r="B68" s="84" t="s">
        <v>17</v>
      </c>
    </row>
    <row r="69" spans="1:2">
      <c r="A69" s="85"/>
      <c r="B69" s="86"/>
    </row>
    <row r="70" spans="1:2">
      <c r="A70" s="85"/>
      <c r="B70" s="86"/>
    </row>
    <row r="71" spans="1:2">
      <c r="A71" s="87">
        <v>40754</v>
      </c>
      <c r="B71" s="88">
        <v>40788</v>
      </c>
    </row>
    <row r="72" spans="1:2">
      <c r="A72" s="89">
        <f t="shared" ref="A72:A82" si="1">+B71+1</f>
        <v>40789</v>
      </c>
      <c r="B72" s="90">
        <v>40816</v>
      </c>
    </row>
    <row r="73" spans="1:2">
      <c r="A73" s="89">
        <f t="shared" si="1"/>
        <v>40817</v>
      </c>
      <c r="B73" s="90">
        <v>40844</v>
      </c>
    </row>
    <row r="74" spans="1:2">
      <c r="A74" s="89">
        <f t="shared" si="1"/>
        <v>40845</v>
      </c>
      <c r="B74" s="90">
        <v>40872</v>
      </c>
    </row>
    <row r="75" spans="1:2">
      <c r="A75" s="89">
        <f t="shared" si="1"/>
        <v>40873</v>
      </c>
      <c r="B75" s="90">
        <v>40907</v>
      </c>
    </row>
    <row r="76" spans="1:2">
      <c r="A76" s="89">
        <f t="shared" si="1"/>
        <v>40908</v>
      </c>
      <c r="B76" s="90">
        <v>40935</v>
      </c>
    </row>
    <row r="77" spans="1:2">
      <c r="A77" s="89">
        <f t="shared" si="1"/>
        <v>40936</v>
      </c>
      <c r="B77" s="90">
        <v>40970</v>
      </c>
    </row>
    <row r="78" spans="1:2">
      <c r="A78" s="89">
        <f t="shared" si="1"/>
        <v>40971</v>
      </c>
      <c r="B78" s="90">
        <v>40998</v>
      </c>
    </row>
    <row r="79" spans="1:2">
      <c r="A79" s="89">
        <f t="shared" si="1"/>
        <v>40999</v>
      </c>
      <c r="B79" s="90">
        <v>41026</v>
      </c>
    </row>
    <row r="80" spans="1:2">
      <c r="A80" s="89">
        <f t="shared" si="1"/>
        <v>41027</v>
      </c>
      <c r="B80" s="90">
        <v>41061</v>
      </c>
    </row>
    <row r="81" spans="1:2">
      <c r="A81" s="89">
        <f t="shared" si="1"/>
        <v>41062</v>
      </c>
      <c r="B81" s="90">
        <v>41089</v>
      </c>
    </row>
    <row r="82" spans="1:2">
      <c r="A82" s="91">
        <f t="shared" si="1"/>
        <v>41090</v>
      </c>
      <c r="B82" s="92">
        <v>41117</v>
      </c>
    </row>
  </sheetData>
  <sheetProtection sheet="1" objects="1" scenarios="1" formatCells="0" formatColumns="0"/>
  <mergeCells count="61">
    <mergeCell ref="B19:C19"/>
    <mergeCell ref="A1:M1"/>
    <mergeCell ref="A2:M2"/>
    <mergeCell ref="B8:C8"/>
    <mergeCell ref="B9:C9"/>
    <mergeCell ref="B15:C15"/>
    <mergeCell ref="B11:C11"/>
    <mergeCell ref="K4:M4"/>
    <mergeCell ref="B28:C28"/>
    <mergeCell ref="G45:H45"/>
    <mergeCell ref="G42:H42"/>
    <mergeCell ref="G32:H32"/>
    <mergeCell ref="F4:I4"/>
    <mergeCell ref="B20:C20"/>
    <mergeCell ref="B18:C18"/>
    <mergeCell ref="B12:C12"/>
    <mergeCell ref="B13:C13"/>
    <mergeCell ref="B14:C14"/>
    <mergeCell ref="B16:C16"/>
    <mergeCell ref="B17:C17"/>
    <mergeCell ref="B23:C23"/>
    <mergeCell ref="F5:M5"/>
    <mergeCell ref="F7:H7"/>
    <mergeCell ref="B10:C10"/>
    <mergeCell ref="B27:C27"/>
    <mergeCell ref="B21:C21"/>
    <mergeCell ref="B22:C22"/>
    <mergeCell ref="B24:C24"/>
    <mergeCell ref="B25:C25"/>
    <mergeCell ref="B26:C26"/>
    <mergeCell ref="L32:M32"/>
    <mergeCell ref="J31:K31"/>
    <mergeCell ref="J32:K32"/>
    <mergeCell ref="A31:B32"/>
    <mergeCell ref="F29:H29"/>
    <mergeCell ref="L31:M31"/>
    <mergeCell ref="G31:H31"/>
    <mergeCell ref="L39:M39"/>
    <mergeCell ref="L35:M35"/>
    <mergeCell ref="J36:K36"/>
    <mergeCell ref="L36:M36"/>
    <mergeCell ref="A36:B36"/>
    <mergeCell ref="G35:H35"/>
    <mergeCell ref="J35:K35"/>
    <mergeCell ref="G36:H36"/>
    <mergeCell ref="J45:K45"/>
    <mergeCell ref="L45:M45"/>
    <mergeCell ref="B4:C4"/>
    <mergeCell ref="G39:H39"/>
    <mergeCell ref="G44:H44"/>
    <mergeCell ref="J44:K44"/>
    <mergeCell ref="L44:M44"/>
    <mergeCell ref="J41:K41"/>
    <mergeCell ref="L41:M41"/>
    <mergeCell ref="G41:H41"/>
    <mergeCell ref="J42:K42"/>
    <mergeCell ref="L42:M42"/>
    <mergeCell ref="J39:K39"/>
    <mergeCell ref="G38:H38"/>
    <mergeCell ref="J38:K38"/>
    <mergeCell ref="L38:M38"/>
  </mergeCells>
  <phoneticPr fontId="13" type="noConversion"/>
  <conditionalFormatting sqref="A4 K4:M4">
    <cfRule type="containsBlanks" dxfId="2" priority="7" stopIfTrue="1">
      <formula>LEN(TRIM(A4))=0</formula>
    </cfRule>
  </conditionalFormatting>
  <conditionalFormatting sqref="B4 M9:M29">
    <cfRule type="containsBlanks" dxfId="1" priority="6" stopIfTrue="1">
      <formula>LEN(TRIM(B4))=0</formula>
    </cfRule>
  </conditionalFormatting>
  <conditionalFormatting sqref="F4:I4">
    <cfRule type="notContainsBlanks" dxfId="0" priority="1" stopIfTrue="1">
      <formula>LEN(TRIM(F4))&gt;0</formula>
    </cfRule>
  </conditionalFormatting>
  <dataValidations count="2">
    <dataValidation type="list" allowBlank="1" showInputMessage="1" showErrorMessage="1" sqref="A4">
      <formula1>$A$57:$A$68</formula1>
    </dataValidation>
    <dataValidation type="list" allowBlank="1" showInputMessage="1" showErrorMessage="1" sqref="F4:I4">
      <formula1>$A$71:$A$82</formula1>
    </dataValidation>
  </dataValidations>
  <pageMargins left="0.16" right="0.2" top="0.51" bottom="0.39" header="0.22" footer="0.33"/>
  <pageSetup scale="7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Park City School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mgilmore</dc:creator>
  <cp:lastModifiedBy>mgilmore</cp:lastModifiedBy>
  <cp:lastPrinted>2009-07-27T18:18:28Z</cp:lastPrinted>
  <dcterms:created xsi:type="dcterms:W3CDTF">2007-08-01T22:12:40Z</dcterms:created>
  <dcterms:modified xsi:type="dcterms:W3CDTF">2011-09-02T20:38:27Z</dcterms:modified>
</cp:coreProperties>
</file>