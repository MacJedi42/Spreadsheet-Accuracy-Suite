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showPivotChartFilter="1" defaultThemeVersion="124226"/>
  <bookViews>
    <workbookView xWindow="360" yWindow="120" windowWidth="12465" windowHeight="6915" tabRatio="747"/>
  </bookViews>
  <sheets>
    <sheet name="Metadata_DailyLogger" sheetId="22" r:id="rId1"/>
    <sheet name="DailyLogger_Data" sheetId="9" r:id="rId2"/>
    <sheet name="Sites(Do NOT Edit)" sheetId="23" r:id="rId3"/>
  </sheets>
  <definedNames>
    <definedName name="_xlnm._FilterDatabase" localSheetId="2" hidden="1">'Sites(Do NOT Edit)'!$A$2:$N$638</definedName>
    <definedName name="ABSTRACT" localSheetId="0">Metadata_DailyLogger!$A$6</definedName>
    <definedName name="ABSTRACT" localSheetId="2">Metadata_DailyLogger!$A$6</definedName>
    <definedName name="Address_line_2" localSheetId="0">Metadata_DailyLogger!$A$25</definedName>
    <definedName name="Address_line_2" localSheetId="2">Metadata_DailyLogger!$A$25</definedName>
    <definedName name="Address_line_3" localSheetId="0">Metadata_DailyLogger!$A$26</definedName>
    <definedName name="Address_line_3" localSheetId="2">Metadata_DailyLogger!$A$26</definedName>
    <definedName name="Availability_Status" localSheetId="0">Metadata_DailyLogger!$A$40</definedName>
    <definedName name="Availability_Status" localSheetId="2">Metadata_DailyLogger!$A$40</definedName>
    <definedName name="Beginning_Date" localSheetId="0">Metadata_DailyLogger!$A$36</definedName>
    <definedName name="Beginning_Date" localSheetId="2">Metadata_DailyLogger!$A$36</definedName>
    <definedName name="City" localSheetId="0">Metadata_DailyLogger!$A$27</definedName>
    <definedName name="City" localSheetId="2">Metadata_DailyLogger!$A$27</definedName>
    <definedName name="Code_Information" localSheetId="0">Metadata_DailyLogger!$F$149</definedName>
    <definedName name="Code_Information" localSheetId="2">Metadata_DailyLogger!$F$149</definedName>
    <definedName name="Country" localSheetId="0">Metadata_DailyLogger!$A$30</definedName>
    <definedName name="Country" localSheetId="2">Metadata_DailyLogger!$A$30</definedName>
    <definedName name="DATA_FILE_INFORMATION" localSheetId="0">Metadata_DailyLogger!$A$33</definedName>
    <definedName name="DATA_FILE_INFORMATION" localSheetId="2">Metadata_DailyLogger!$A$33</definedName>
    <definedName name="Data_File_Name" localSheetId="0">Metadata_DailyLogger!$A$35</definedName>
    <definedName name="Data_File_Name" localSheetId="2">Metadata_DailyLogger!$A$35</definedName>
    <definedName name="Data_File_URL" localSheetId="0">Metadata_DailyLogger!$A$34</definedName>
    <definedName name="Data_File_URL" localSheetId="2">Metadata_DailyLogger!$A$34</definedName>
    <definedName name="Data_Type" localSheetId="0">Metadata_DailyLogger!$C$149</definedName>
    <definedName name="Data_Type" localSheetId="2">Metadata_DailyLogger!$C$149</definedName>
    <definedName name="DATASET_ID" localSheetId="0">Metadata_DailyLogger!$A$17</definedName>
    <definedName name="DATASET_ID" localSheetId="2">Metadata_DailyLogger!$A$17</definedName>
    <definedName name="DATASET_TITLE" localSheetId="0">Metadata_DailyLogger!$A$5</definedName>
    <definedName name="DATASET_TITLE" localSheetId="2">Metadata_DailyLogger!$A$5</definedName>
    <definedName name="DateTime_Format" localSheetId="0">Metadata_DailyLogger!$E$149</definedName>
    <definedName name="DateTime_Format" localSheetId="2">Metadata_DailyLogger!$E$149</definedName>
    <definedName name="Distribution_URL_for_file" localSheetId="0">Metadata_DailyLogger!$A$4</definedName>
    <definedName name="Distribution_URL_for_file" localSheetId="2">Metadata_DailyLogger!$A$4</definedName>
    <definedName name="East_Bounding_Coordinate" localSheetId="0">Metadata_DailyLogger!$A$53</definedName>
    <definedName name="East_Bounding_Coordinate" localSheetId="2">Metadata_DailyLogger!$A$53</definedName>
    <definedName name="Elevation" localSheetId="0">Metadata_DailyLogger!$A$59</definedName>
    <definedName name="Elevation" localSheetId="2">Metadata_DailyLogger!$A$59</definedName>
    <definedName name="Email" localSheetId="0">Metadata_DailyLogger!$A$21</definedName>
    <definedName name="Email" localSheetId="2">Metadata_DailyLogger!$A$21</definedName>
    <definedName name="End_Date" localSheetId="0">Metadata_DailyLogger!$A$37</definedName>
    <definedName name="End_Date" localSheetId="2">Metadata_DailyLogger!$A$37</definedName>
    <definedName name="First_Name" localSheetId="0">Metadata_DailyLogger!$A$22</definedName>
    <definedName name="First_Name" localSheetId="2">Metadata_DailyLogger!$A$22</definedName>
    <definedName name="Geographic_Description" localSheetId="0">Metadata_DailyLogger!$A$50</definedName>
    <definedName name="Geographic_Description" localSheetId="2">Metadata_DailyLogger!$A$50</definedName>
    <definedName name="INVESTIGATOR_INFORMATION" localSheetId="0">Metadata_DailyLogger!$A$19</definedName>
    <definedName name="INVESTIGATOR_INFORMATION" localSheetId="2">Metadata_DailyLogger!$A$19</definedName>
    <definedName name="KEYWORD_INFORMATION" localSheetId="0">Metadata_DailyLogger!$A$65</definedName>
    <definedName name="KEYWORD_INFORMATION" localSheetId="2">Metadata_DailyLogger!$A$65</definedName>
    <definedName name="KEYWORDS" localSheetId="0">Metadata_DailyLogger!$A$66</definedName>
    <definedName name="KEYWORDS" localSheetId="2">Metadata_DailyLogger!$A$66</definedName>
    <definedName name="Last_Name" localSheetId="0">Metadata_DailyLogger!$A$23</definedName>
    <definedName name="Last_Name" localSheetId="2">Metadata_DailyLogger!$A$23</definedName>
    <definedName name="Latitude" localSheetId="0">Metadata_DailyLogger!$A$57</definedName>
    <definedName name="Latitude" localSheetId="2">Metadata_DailyLogger!$A$57</definedName>
    <definedName name="Link_to_Google_Map">Metadata_DailyLogger!$A$60</definedName>
    <definedName name="Location_Bounding_Box" localSheetId="0">Metadata_DailyLogger!$A$51</definedName>
    <definedName name="Location_Bounding_Box" localSheetId="2">Metadata_DailyLogger!$A$51</definedName>
    <definedName name="Location_Name" localSheetId="0">Metadata_DailyLogger!$A$49</definedName>
    <definedName name="Location_Name" localSheetId="2">Metadata_DailyLogger!$A$49</definedName>
    <definedName name="Log_of_Changes" localSheetId="0">Metadata_DailyLogger!$A$43</definedName>
    <definedName name="Log_of_Changes" localSheetId="2">Metadata_DailyLogger!$A$43</definedName>
    <definedName name="Longitude" localSheetId="0">Metadata_DailyLogger!$A$58</definedName>
    <definedName name="Longitude" localSheetId="2">Metadata_DailyLogger!$A$58</definedName>
    <definedName name="LTER_Sites_number">'Sites(Do NOT Edit)'!$A$2:$A$638</definedName>
    <definedName name="Maintenance_Description" localSheetId="0">Metadata_DailyLogger!$A$42</definedName>
    <definedName name="Maintenance_Description" localSheetId="2">Metadata_DailyLogger!$A$42</definedName>
    <definedName name="Metacat_Package_ID" localSheetId="0">Metadata_DailyLogger!$A$2</definedName>
    <definedName name="Metacat_Package_ID" localSheetId="2">Metadata_DailyLogger!$A$2</definedName>
    <definedName name="METHODS" localSheetId="0">Metadata_DailyLogger!$A$69</definedName>
    <definedName name="METHODS" localSheetId="2">Metadata_DailyLogger!$A$69</definedName>
    <definedName name="Missing_Value_Code" localSheetId="0">Metadata_DailyLogger!$G$149</definedName>
    <definedName name="Missing_Value_Code" localSheetId="2">Metadata_DailyLogger!$G$149</definedName>
    <definedName name="North_Bounding_Coordinate" localSheetId="0">Metadata_DailyLogger!$A$54</definedName>
    <definedName name="North_Bounding_Coordinate" localSheetId="2">Metadata_DailyLogger!$A$54</definedName>
    <definedName name="Number_of_Data_Records" localSheetId="0">Metadata_DailyLogger!$A$38</definedName>
    <definedName name="Number_of_Data_Records" localSheetId="2">Metadata_DailyLogger!$A$38</definedName>
    <definedName name="OR" localSheetId="0">Metadata_DailyLogger!$A$140</definedName>
    <definedName name="OR" localSheetId="2">Metadata_DailyLogger!$A$140</definedName>
    <definedName name="OR_if_single_point_location" localSheetId="0">Metadata_DailyLogger!$A$56</definedName>
    <definedName name="OR_if_single_point_location" localSheetId="2">Metadata_DailyLogger!$A$56</definedName>
    <definedName name="Organisms_studied" localSheetId="0">Metadata_DailyLogger!$A$63</definedName>
    <definedName name="Organisms_studied" localSheetId="2">Metadata_DailyLogger!$A$63</definedName>
    <definedName name="Organization" localSheetId="0">Metadata_DailyLogger!$A$24</definedName>
    <definedName name="Organization" localSheetId="2">Metadata_DailyLogger!$A$24</definedName>
    <definedName name="Other_Files_to_Reference" localSheetId="0">Metadata_DailyLogger!$A$39</definedName>
    <definedName name="Other_Files_to_Reference" localSheetId="2">Metadata_DailyLogger!$A$39</definedName>
    <definedName name="Protocol_Document" localSheetId="0">Metadata_DailyLogger!$A$141</definedName>
    <definedName name="Protocol_Document" localSheetId="2">Metadata_DailyLogger!$A$141</definedName>
    <definedName name="Protocol_Title" localSheetId="0">Metadata_DailyLogger!$A$138</definedName>
    <definedName name="Protocol_Title" localSheetId="2">Metadata_DailyLogger!$A$138</definedName>
    <definedName name="Quality_Control_Information" localSheetId="0">Metadata_DailyLogger!$A$41</definedName>
    <definedName name="Quality_Control_Information" localSheetId="2">Metadata_DailyLogger!$A$41</definedName>
    <definedName name="RESEARCH_LOCATION" localSheetId="0">Metadata_DailyLogger!$A$48</definedName>
    <definedName name="RESEARCH_LOCATION" localSheetId="2">Metadata_DailyLogger!$A$48</definedName>
    <definedName name="Role" localSheetId="0">Metadata_DailyLogger!$A$20</definedName>
    <definedName name="Role" localSheetId="2">Metadata_DailyLogger!$A$20</definedName>
    <definedName name="Sampling_and_or_Lab_Protocols" localSheetId="0">Metadata_DailyLogger!$A$137</definedName>
    <definedName name="Sampling_and_or_Lab_Protocols" localSheetId="2">Metadata_DailyLogger!$A$137</definedName>
    <definedName name="Site_name">'Sites(Do NOT Edit)'!$B$3:$B$638</definedName>
    <definedName name="Site_name_list">'Sites(Do NOT Edit)'!$B$2:$B$638</definedName>
    <definedName name="Sites">'Sites(Do NOT Edit)'!$A$3:$M$638</definedName>
    <definedName name="South_Bounding_Coordinate" localSheetId="0">Metadata_DailyLogger!$A$55</definedName>
    <definedName name="South_Bounding_Coordinate" localSheetId="2">Metadata_DailyLogger!$A$55</definedName>
    <definedName name="State" localSheetId="0">Metadata_DailyLogger!$A$28</definedName>
    <definedName name="State" localSheetId="2">Metadata_DailyLogger!$A$28</definedName>
    <definedName name="TAXONOMIC_COVERAGE" localSheetId="0">Metadata_DailyLogger!$A$62</definedName>
    <definedName name="TAXONOMIC_COVERAGE" localSheetId="2">Metadata_DailyLogger!$A$62</definedName>
    <definedName name="Units" localSheetId="0">Metadata_DailyLogger!$D$149</definedName>
    <definedName name="Units" localSheetId="2">Metadata_DailyLogger!$D$149</definedName>
    <definedName name="URL_of_online_Protocol" localSheetId="0">Metadata_DailyLogger!$A$139</definedName>
    <definedName name="URL_of_online_Protocol" localSheetId="2">Metadata_DailyLogger!$A$139</definedName>
    <definedName name="Variable_Description" localSheetId="0">Metadata_DailyLogger!$B$149</definedName>
    <definedName name="Variable_Description" localSheetId="2">Metadata_DailyLogger!$B$149</definedName>
    <definedName name="VARIABLE_DESCRIPTIONS" localSheetId="0">Metadata_DailyLogger!$A$148</definedName>
    <definedName name="VARIABLE_DESCRIPTIONS" localSheetId="2">Metadata_DailyLogger!$A$148</definedName>
    <definedName name="Variable_Name" localSheetId="0">Metadata_DailyLogger!$A$149</definedName>
    <definedName name="Variable_Name" localSheetId="2">Metadata_DailyLogger!$A$149</definedName>
    <definedName name="West_Bounding_Coordinate" localSheetId="0">Metadata_DailyLogger!$A$52</definedName>
    <definedName name="West_Bounding_Coordinate" localSheetId="2">Metadata_DailyLogger!$A$52</definedName>
    <definedName name="Year_Released_to_Public" localSheetId="0">Metadata_DailyLogger!$A$3</definedName>
    <definedName name="Year_Released_to_Public" localSheetId="2">Metadata_DailyLogger!$A$3</definedName>
    <definedName name="Zip_Code" localSheetId="0">Metadata_DailyLogger!$A$29</definedName>
    <definedName name="Zip_Code" localSheetId="2">Metadata_DailyLogger!$A$29</definedName>
  </definedNames>
  <calcPr calcId="145621"/>
</workbook>
</file>

<file path=xl/calcChain.xml><?xml version="1.0" encoding="utf-8"?>
<calcChain xmlns="http://schemas.openxmlformats.org/spreadsheetml/2006/main">
  <c r="M638" i="23" l="1"/>
  <c r="M637" i="23"/>
  <c r="M636" i="23"/>
  <c r="M635" i="23"/>
  <c r="M634" i="23"/>
  <c r="M633" i="23"/>
  <c r="M632" i="23"/>
  <c r="M631" i="23"/>
  <c r="M630" i="23"/>
  <c r="M629" i="23"/>
  <c r="M628" i="23"/>
  <c r="M627" i="23"/>
  <c r="M626" i="23"/>
  <c r="M625" i="23"/>
  <c r="M624" i="23"/>
  <c r="M623" i="23"/>
  <c r="M622" i="23"/>
  <c r="M621" i="23"/>
  <c r="M620" i="23"/>
  <c r="M619" i="23"/>
  <c r="M618" i="23"/>
  <c r="M617" i="23"/>
  <c r="M616" i="23"/>
  <c r="M615" i="23"/>
  <c r="M614" i="23"/>
  <c r="M613" i="23"/>
  <c r="M612" i="23"/>
  <c r="M611" i="23"/>
  <c r="M610" i="23"/>
  <c r="M609" i="23"/>
  <c r="M608" i="23"/>
  <c r="M607" i="23"/>
  <c r="M606" i="23"/>
  <c r="M605" i="23"/>
  <c r="M604" i="23"/>
  <c r="M603" i="23"/>
  <c r="M602" i="23"/>
  <c r="M601" i="23"/>
  <c r="M600" i="23"/>
  <c r="M599" i="23"/>
  <c r="M598" i="23"/>
  <c r="M597" i="23"/>
  <c r="M596" i="23"/>
  <c r="M595" i="23"/>
  <c r="M594" i="23"/>
  <c r="M593" i="23"/>
  <c r="M592" i="23"/>
  <c r="M591" i="23"/>
  <c r="M590" i="23"/>
  <c r="M589" i="23"/>
  <c r="M588" i="23"/>
  <c r="M587" i="23"/>
  <c r="M586" i="23"/>
  <c r="M585" i="23"/>
  <c r="M584" i="23"/>
  <c r="M583" i="23"/>
  <c r="M582" i="23"/>
  <c r="M581" i="23"/>
  <c r="M580" i="23"/>
  <c r="M579" i="23"/>
  <c r="M578" i="23"/>
  <c r="M577" i="23"/>
  <c r="M576" i="23"/>
  <c r="M575" i="23"/>
  <c r="M574" i="23"/>
  <c r="M573" i="23"/>
  <c r="M572" i="23"/>
  <c r="M571" i="23"/>
  <c r="M570" i="23"/>
  <c r="M569" i="23"/>
  <c r="M568" i="23"/>
  <c r="M567" i="23"/>
  <c r="M566" i="23"/>
  <c r="M565" i="23"/>
  <c r="M564" i="23"/>
  <c r="M563" i="23"/>
  <c r="M562" i="23"/>
  <c r="M561" i="23"/>
  <c r="M560" i="23"/>
  <c r="M559" i="23"/>
  <c r="M558" i="23"/>
  <c r="M557" i="23"/>
  <c r="M556" i="23"/>
  <c r="M555" i="23"/>
  <c r="M554" i="23"/>
  <c r="M553" i="23"/>
  <c r="M552" i="23"/>
  <c r="M551" i="23"/>
  <c r="M550" i="23"/>
  <c r="M549" i="23"/>
  <c r="M548" i="23"/>
  <c r="M547" i="23"/>
  <c r="M546" i="23"/>
  <c r="M545" i="23"/>
  <c r="M544" i="23"/>
  <c r="M543" i="23"/>
  <c r="M542" i="23"/>
  <c r="M541" i="23"/>
  <c r="M540" i="23"/>
  <c r="M539" i="23"/>
  <c r="M538" i="23"/>
  <c r="M537" i="23"/>
  <c r="M536" i="23"/>
  <c r="M535" i="23"/>
  <c r="M534" i="23"/>
  <c r="M533" i="23"/>
  <c r="M532" i="23"/>
  <c r="M531" i="23"/>
  <c r="M530" i="23"/>
  <c r="M529" i="23"/>
  <c r="M528" i="23"/>
  <c r="M527" i="23"/>
  <c r="M526" i="23"/>
  <c r="M525" i="23"/>
  <c r="M524" i="23"/>
  <c r="M523" i="23"/>
  <c r="M522" i="23"/>
  <c r="M521" i="23"/>
  <c r="M520" i="23"/>
  <c r="M519" i="23"/>
  <c r="M518" i="23"/>
  <c r="M517" i="23"/>
  <c r="M516" i="23"/>
  <c r="M515" i="23"/>
  <c r="M514" i="23"/>
  <c r="M513" i="23"/>
  <c r="M512" i="23"/>
  <c r="M511" i="23"/>
  <c r="M510" i="23"/>
  <c r="M509" i="23"/>
  <c r="M508" i="23"/>
  <c r="M507" i="23"/>
  <c r="M506" i="23"/>
  <c r="M505" i="23"/>
  <c r="M504" i="23"/>
  <c r="M503" i="23"/>
  <c r="M502" i="23"/>
  <c r="M501" i="23"/>
  <c r="M500" i="23"/>
  <c r="M499" i="23"/>
  <c r="M498" i="23"/>
  <c r="M497" i="23"/>
  <c r="M496" i="23"/>
  <c r="M495" i="23"/>
  <c r="M494" i="23"/>
  <c r="M493" i="23"/>
  <c r="M492" i="23"/>
  <c r="M491" i="23"/>
  <c r="M490" i="23"/>
  <c r="M489" i="23"/>
  <c r="M488" i="23"/>
  <c r="M487" i="23"/>
  <c r="M486" i="23"/>
  <c r="M485" i="23"/>
  <c r="M484" i="23"/>
  <c r="M483" i="23"/>
  <c r="M482" i="23"/>
  <c r="M481" i="23"/>
  <c r="M480" i="23"/>
  <c r="M479" i="23"/>
  <c r="M478" i="23"/>
  <c r="M477" i="23"/>
  <c r="M476" i="23"/>
  <c r="M475" i="23"/>
  <c r="M474" i="23"/>
  <c r="M473" i="23"/>
  <c r="M472" i="23"/>
  <c r="M471" i="23"/>
  <c r="M470" i="23"/>
  <c r="M469" i="23"/>
  <c r="M468" i="23"/>
  <c r="M467" i="23"/>
  <c r="M466" i="23"/>
  <c r="M465" i="23"/>
  <c r="M464" i="23"/>
  <c r="M463" i="23"/>
  <c r="M462" i="23"/>
  <c r="M461" i="23"/>
  <c r="M460" i="23"/>
  <c r="M459" i="23"/>
  <c r="M458" i="23"/>
  <c r="M457" i="23"/>
  <c r="M456" i="23"/>
  <c r="M455" i="23"/>
  <c r="M454" i="23"/>
  <c r="M453" i="23"/>
  <c r="M452" i="23"/>
  <c r="M451" i="23"/>
  <c r="M450" i="23"/>
  <c r="M449" i="23"/>
  <c r="M448" i="23"/>
  <c r="M447" i="23"/>
  <c r="M446" i="23"/>
  <c r="M445" i="23"/>
  <c r="M444" i="23"/>
  <c r="M443" i="23"/>
  <c r="M442" i="23"/>
  <c r="M441" i="23"/>
  <c r="M440" i="23"/>
  <c r="M439" i="23"/>
  <c r="M438" i="23"/>
  <c r="M437" i="23"/>
  <c r="M436" i="23"/>
  <c r="M435" i="23"/>
  <c r="N434" i="23"/>
  <c r="M434" i="23"/>
  <c r="N433" i="23"/>
  <c r="M433" i="23"/>
  <c r="N432" i="23"/>
  <c r="M432" i="23"/>
  <c r="N431" i="23"/>
  <c r="M431" i="23"/>
  <c r="N430" i="23"/>
  <c r="M430" i="23"/>
  <c r="N429" i="23"/>
  <c r="M429" i="23"/>
  <c r="N428" i="23"/>
  <c r="M428" i="23"/>
  <c r="N427" i="23"/>
  <c r="M427" i="23"/>
  <c r="N426" i="23"/>
  <c r="M426" i="23"/>
  <c r="N425" i="23"/>
  <c r="M425" i="23"/>
  <c r="N424" i="23"/>
  <c r="M424" i="23"/>
  <c r="N423" i="23"/>
  <c r="M423" i="23"/>
  <c r="N422" i="23"/>
  <c r="M422" i="23"/>
  <c r="N421" i="23"/>
  <c r="M421" i="23"/>
  <c r="N420" i="23"/>
  <c r="M420" i="23"/>
  <c r="N419" i="23"/>
  <c r="M419" i="23"/>
  <c r="N418" i="23"/>
  <c r="M418" i="23"/>
  <c r="N417" i="23"/>
  <c r="M417" i="23"/>
  <c r="N416" i="23"/>
  <c r="M416" i="23"/>
  <c r="N415" i="23"/>
  <c r="M415" i="23"/>
  <c r="N414" i="23"/>
  <c r="M414" i="23"/>
  <c r="N413" i="23"/>
  <c r="M413" i="23"/>
  <c r="N412" i="23"/>
  <c r="M412" i="23"/>
  <c r="N411" i="23"/>
  <c r="M411" i="23"/>
  <c r="N410" i="23"/>
  <c r="M410" i="23"/>
  <c r="N409" i="23"/>
  <c r="M409" i="23"/>
  <c r="N408" i="23"/>
  <c r="M408" i="23"/>
  <c r="N407" i="23"/>
  <c r="M407" i="23"/>
  <c r="N406" i="23"/>
  <c r="M406" i="23"/>
  <c r="N405" i="23"/>
  <c r="M405" i="23"/>
  <c r="N404" i="23"/>
  <c r="M404" i="23"/>
  <c r="N403" i="23"/>
  <c r="M403" i="23"/>
  <c r="N402" i="23"/>
  <c r="M402" i="23"/>
  <c r="N401" i="23"/>
  <c r="M401" i="23"/>
  <c r="N400" i="23"/>
  <c r="M400" i="23"/>
  <c r="N399" i="23"/>
  <c r="M399" i="23"/>
  <c r="N398" i="23"/>
  <c r="M398" i="23"/>
  <c r="N397" i="23"/>
  <c r="M397" i="23"/>
  <c r="N396" i="23"/>
  <c r="M396" i="23"/>
  <c r="N395" i="23"/>
  <c r="M395" i="23"/>
  <c r="N394" i="23"/>
  <c r="M394" i="23"/>
  <c r="N393" i="23"/>
  <c r="M393" i="23"/>
  <c r="N392" i="23"/>
  <c r="M392" i="23"/>
  <c r="N391" i="23"/>
  <c r="M391" i="23"/>
  <c r="N390" i="23"/>
  <c r="M390" i="23"/>
  <c r="N389" i="23"/>
  <c r="M389" i="23"/>
  <c r="N388" i="23"/>
  <c r="M388" i="23"/>
  <c r="N387" i="23"/>
  <c r="M387" i="23"/>
  <c r="N386" i="23"/>
  <c r="M386" i="23"/>
  <c r="N385" i="23"/>
  <c r="M385" i="23"/>
  <c r="N384" i="23"/>
  <c r="M384" i="23"/>
  <c r="N383" i="23"/>
  <c r="M383" i="23"/>
  <c r="N382" i="23"/>
  <c r="M382" i="23"/>
  <c r="N381" i="23"/>
  <c r="M381" i="23"/>
  <c r="N380" i="23"/>
  <c r="M380" i="23"/>
  <c r="N379" i="23"/>
  <c r="M379" i="23"/>
  <c r="N378" i="23"/>
  <c r="M378" i="23"/>
  <c r="N377" i="23"/>
  <c r="M377" i="23"/>
  <c r="N376" i="23"/>
  <c r="M376" i="23"/>
  <c r="N375" i="23"/>
  <c r="M375" i="23"/>
  <c r="N374" i="23"/>
  <c r="M374" i="23"/>
  <c r="N373" i="23"/>
  <c r="M373" i="23"/>
  <c r="N372" i="23"/>
  <c r="M372" i="23"/>
  <c r="N371" i="23"/>
  <c r="M371" i="23"/>
  <c r="N370" i="23"/>
  <c r="M370" i="23"/>
  <c r="N369" i="23"/>
  <c r="M369" i="23"/>
  <c r="N368" i="23"/>
  <c r="M368" i="23"/>
  <c r="N367" i="23"/>
  <c r="M367" i="23"/>
  <c r="N366" i="23"/>
  <c r="M366" i="23"/>
  <c r="N365" i="23"/>
  <c r="M365" i="23"/>
  <c r="N364" i="23"/>
  <c r="M364" i="23"/>
  <c r="N363" i="23"/>
  <c r="M363" i="23"/>
  <c r="N362" i="23"/>
  <c r="M362" i="23"/>
  <c r="N361" i="23"/>
  <c r="M361" i="23"/>
  <c r="N360" i="23"/>
  <c r="M360" i="23"/>
  <c r="N359" i="23"/>
  <c r="M359" i="23"/>
  <c r="N358" i="23"/>
  <c r="M358" i="23"/>
  <c r="N357" i="23"/>
  <c r="M357" i="23"/>
  <c r="N356" i="23"/>
  <c r="M356" i="23"/>
  <c r="M355" i="23"/>
  <c r="M354" i="23"/>
  <c r="M353" i="23"/>
  <c r="M352" i="23"/>
  <c r="M351" i="23"/>
  <c r="M350" i="23"/>
  <c r="M349" i="23"/>
  <c r="M348" i="23"/>
  <c r="M347" i="23"/>
  <c r="M346" i="23"/>
  <c r="M345" i="23"/>
  <c r="M344" i="23"/>
  <c r="M343" i="23"/>
  <c r="M342" i="23"/>
  <c r="M341" i="23"/>
  <c r="M340" i="23"/>
  <c r="M339" i="23"/>
  <c r="M338" i="23"/>
  <c r="M337" i="23"/>
  <c r="M336" i="23"/>
  <c r="M335" i="23"/>
  <c r="M334" i="23"/>
  <c r="M333" i="23"/>
  <c r="M332" i="23"/>
  <c r="M331" i="23"/>
  <c r="M330" i="23"/>
  <c r="M329" i="23"/>
  <c r="M328" i="23"/>
  <c r="M327" i="23"/>
  <c r="M326" i="23"/>
  <c r="M325" i="23"/>
  <c r="M324" i="23"/>
  <c r="M323" i="23"/>
  <c r="M322" i="23"/>
  <c r="M321" i="23"/>
  <c r="M320" i="23"/>
  <c r="M319" i="23"/>
  <c r="M318" i="23"/>
  <c r="M317" i="23"/>
  <c r="M316" i="23"/>
  <c r="M315" i="23"/>
  <c r="M314" i="23"/>
  <c r="M313" i="23"/>
  <c r="M312" i="23"/>
  <c r="M311" i="23"/>
  <c r="M310" i="23"/>
  <c r="M309" i="23"/>
  <c r="M308" i="23"/>
  <c r="M307" i="23"/>
  <c r="M306" i="23"/>
  <c r="M305" i="23"/>
  <c r="M304" i="23"/>
  <c r="M303" i="23"/>
  <c r="M302" i="23"/>
  <c r="M301" i="23"/>
  <c r="M300" i="23"/>
  <c r="M299" i="23"/>
  <c r="M298" i="23"/>
  <c r="M297" i="23"/>
  <c r="M296" i="23"/>
  <c r="M295" i="23"/>
  <c r="M294" i="23"/>
  <c r="M293" i="23"/>
  <c r="M292" i="23"/>
  <c r="M291" i="23"/>
  <c r="M290" i="23"/>
  <c r="M289" i="23"/>
  <c r="M288" i="23"/>
  <c r="M287" i="23"/>
  <c r="M286" i="23"/>
  <c r="M285" i="23"/>
  <c r="M284" i="23"/>
  <c r="M283" i="23"/>
  <c r="M282" i="23"/>
  <c r="M281" i="23"/>
  <c r="M280" i="23"/>
  <c r="M279" i="23"/>
  <c r="M278" i="23"/>
  <c r="M277" i="23"/>
  <c r="M276" i="23"/>
  <c r="M275" i="23"/>
  <c r="M274" i="23"/>
  <c r="M273" i="23"/>
  <c r="M272" i="23"/>
  <c r="M271" i="23"/>
  <c r="M270" i="23"/>
  <c r="M269" i="23"/>
  <c r="M268" i="23"/>
  <c r="M267" i="23"/>
  <c r="M266" i="23"/>
  <c r="M265" i="23"/>
  <c r="M264" i="23"/>
  <c r="M263" i="23"/>
  <c r="M262" i="23"/>
  <c r="M261" i="23"/>
  <c r="M260" i="23"/>
  <c r="M259" i="23"/>
  <c r="M258" i="23"/>
  <c r="M257" i="23"/>
  <c r="M256" i="23"/>
  <c r="M255" i="23"/>
  <c r="M254" i="23"/>
  <c r="M253" i="23"/>
  <c r="M252" i="23"/>
  <c r="M251" i="23"/>
  <c r="M250" i="23"/>
  <c r="M249" i="23"/>
  <c r="M248" i="23"/>
  <c r="M247" i="23"/>
  <c r="M246" i="23"/>
  <c r="M245" i="23"/>
  <c r="M244" i="23"/>
  <c r="M243" i="23"/>
  <c r="M242" i="23"/>
  <c r="M241" i="23"/>
  <c r="M240" i="23"/>
  <c r="M239" i="23"/>
  <c r="M238" i="23"/>
  <c r="M237" i="23"/>
  <c r="M236" i="23"/>
  <c r="M235" i="23"/>
  <c r="M234" i="23"/>
  <c r="M233" i="23"/>
  <c r="M232" i="23"/>
  <c r="M231" i="23"/>
  <c r="M230" i="23"/>
  <c r="M229" i="23"/>
  <c r="M228" i="23"/>
  <c r="M227" i="23"/>
  <c r="M226" i="23"/>
  <c r="M225" i="23"/>
  <c r="M224" i="23"/>
  <c r="M223" i="23"/>
  <c r="M222" i="23"/>
  <c r="M221" i="23"/>
  <c r="M220" i="23"/>
  <c r="M219" i="23"/>
  <c r="M218" i="23"/>
  <c r="M217" i="23"/>
  <c r="M216" i="23"/>
  <c r="M215" i="23"/>
  <c r="M214" i="23"/>
  <c r="M213" i="23"/>
  <c r="M212" i="23"/>
  <c r="M211" i="23"/>
  <c r="M210" i="23"/>
  <c r="M209" i="23"/>
  <c r="M208" i="23"/>
  <c r="M207" i="23"/>
  <c r="M206" i="23"/>
  <c r="M205" i="23"/>
  <c r="M204" i="23"/>
  <c r="M203" i="23"/>
  <c r="M202" i="23"/>
  <c r="M201" i="23"/>
  <c r="M200" i="23"/>
  <c r="N199" i="23"/>
  <c r="M199" i="23"/>
  <c r="N198" i="23"/>
  <c r="M198" i="23"/>
  <c r="N197" i="23"/>
  <c r="M197" i="23"/>
  <c r="N196" i="23"/>
  <c r="M196" i="23"/>
  <c r="N195" i="23"/>
  <c r="M195" i="23"/>
  <c r="N194" i="23"/>
  <c r="M194" i="23"/>
  <c r="N193" i="23"/>
  <c r="M193" i="23"/>
  <c r="N192" i="23"/>
  <c r="M192" i="23"/>
  <c r="N191" i="23"/>
  <c r="M191" i="23"/>
  <c r="N190" i="23"/>
  <c r="M190" i="23"/>
  <c r="N189" i="23"/>
  <c r="M189" i="23"/>
  <c r="N188" i="23"/>
  <c r="M188" i="23"/>
  <c r="N187" i="23"/>
  <c r="M187" i="23"/>
  <c r="N186" i="23"/>
  <c r="M186" i="23"/>
  <c r="N185" i="23"/>
  <c r="M185" i="23"/>
  <c r="N184" i="23"/>
  <c r="M184" i="23"/>
  <c r="N183" i="23"/>
  <c r="M183" i="23"/>
  <c r="N182" i="23"/>
  <c r="M182" i="23"/>
  <c r="N181" i="23"/>
  <c r="M181" i="23"/>
  <c r="N180" i="23"/>
  <c r="M180" i="23"/>
  <c r="N179" i="23"/>
  <c r="M179" i="23"/>
  <c r="N178" i="23"/>
  <c r="M178" i="23"/>
  <c r="N177" i="23"/>
  <c r="M177" i="23"/>
  <c r="N176" i="23"/>
  <c r="M176" i="23"/>
  <c r="N175" i="23"/>
  <c r="M175" i="23"/>
  <c r="N174" i="23"/>
  <c r="M174" i="23"/>
  <c r="N173" i="23"/>
  <c r="M173" i="23"/>
  <c r="N172" i="23"/>
  <c r="M172" i="23"/>
  <c r="N171" i="23"/>
  <c r="M171" i="23"/>
  <c r="N170" i="23"/>
  <c r="M170" i="23"/>
  <c r="N169" i="23"/>
  <c r="M169" i="23"/>
  <c r="N168" i="23"/>
  <c r="M168" i="23"/>
  <c r="N167" i="23"/>
  <c r="M167" i="23"/>
  <c r="M166" i="23"/>
  <c r="M165" i="23"/>
  <c r="M164" i="23"/>
  <c r="M163" i="23"/>
  <c r="M162" i="23"/>
  <c r="M161" i="23"/>
  <c r="M160" i="23"/>
  <c r="M159" i="23"/>
  <c r="M158" i="23"/>
  <c r="M157" i="23"/>
  <c r="M156" i="23"/>
  <c r="M155" i="23"/>
  <c r="M154" i="23"/>
  <c r="M153" i="23"/>
  <c r="M152" i="23"/>
  <c r="M151" i="23"/>
  <c r="M150" i="23"/>
  <c r="M149" i="23"/>
  <c r="M148" i="23"/>
  <c r="M147" i="23"/>
  <c r="M146" i="23"/>
  <c r="M145" i="23"/>
  <c r="M144" i="23"/>
  <c r="M143" i="23"/>
  <c r="M142" i="23"/>
  <c r="M141" i="23"/>
  <c r="M140" i="23"/>
  <c r="M139" i="23"/>
  <c r="M138" i="23"/>
  <c r="M137" i="23"/>
  <c r="M136" i="23"/>
  <c r="M135" i="23"/>
  <c r="M134" i="23"/>
  <c r="M133" i="23"/>
  <c r="M132" i="23"/>
  <c r="M131" i="23"/>
  <c r="M130" i="23"/>
  <c r="M129" i="23"/>
  <c r="M128" i="23"/>
  <c r="M127" i="23"/>
  <c r="M126" i="23"/>
  <c r="M125" i="23"/>
  <c r="M124" i="23"/>
  <c r="M123" i="23"/>
  <c r="M122" i="23"/>
  <c r="M121" i="23"/>
  <c r="M120" i="23"/>
  <c r="M119" i="23"/>
  <c r="M118" i="23"/>
  <c r="M117" i="23"/>
  <c r="M116" i="23"/>
  <c r="M115" i="23"/>
  <c r="M114" i="23"/>
  <c r="M113" i="23"/>
  <c r="M112" i="23"/>
  <c r="M111" i="23"/>
  <c r="M110" i="23"/>
  <c r="M109" i="23"/>
  <c r="M108" i="23"/>
  <c r="M107" i="23"/>
  <c r="M106" i="23"/>
  <c r="M105" i="23"/>
  <c r="M104" i="23"/>
  <c r="M103" i="23"/>
  <c r="M102" i="23"/>
  <c r="M101" i="23"/>
  <c r="M100" i="23"/>
  <c r="M99" i="23"/>
  <c r="M98" i="23"/>
  <c r="M97" i="23"/>
  <c r="M96" i="23"/>
  <c r="M95" i="23"/>
  <c r="M94" i="23"/>
  <c r="M93" i="23"/>
  <c r="M92" i="23"/>
  <c r="M91" i="23"/>
  <c r="M90" i="23"/>
  <c r="M89" i="23"/>
  <c r="M88" i="23"/>
  <c r="M87" i="23"/>
  <c r="M86" i="23"/>
  <c r="M85" i="23"/>
  <c r="M84" i="23"/>
  <c r="M83" i="23"/>
  <c r="M82" i="23"/>
  <c r="M81" i="23"/>
  <c r="M80" i="23"/>
  <c r="M79" i="23"/>
  <c r="M78" i="23"/>
  <c r="M77" i="23"/>
  <c r="M76" i="23"/>
  <c r="M75" i="23"/>
  <c r="M74" i="23"/>
  <c r="M73" i="23"/>
  <c r="M72" i="23"/>
  <c r="M71" i="23"/>
  <c r="M70" i="23"/>
  <c r="M69" i="23"/>
  <c r="M68" i="23"/>
  <c r="M67" i="23"/>
  <c r="M66" i="23"/>
  <c r="M65" i="23"/>
  <c r="M64" i="23"/>
  <c r="M63" i="23"/>
  <c r="M62" i="23"/>
  <c r="M61" i="23"/>
  <c r="M60" i="23"/>
  <c r="M59" i="23"/>
  <c r="M58" i="23"/>
  <c r="M57" i="23"/>
  <c r="M56" i="23"/>
  <c r="M55" i="23"/>
  <c r="M54" i="23"/>
  <c r="M53" i="23"/>
  <c r="M52" i="23"/>
  <c r="M51" i="23"/>
  <c r="M50" i="23"/>
  <c r="M49" i="23"/>
  <c r="M48" i="23"/>
  <c r="M47" i="23"/>
  <c r="M46" i="23"/>
  <c r="M45" i="23"/>
  <c r="M44" i="23"/>
  <c r="M43" i="23"/>
  <c r="M42" i="23"/>
  <c r="M41" i="23"/>
  <c r="M40" i="23"/>
  <c r="M39" i="23"/>
  <c r="M38" i="23"/>
  <c r="M37" i="23"/>
  <c r="M36" i="23"/>
  <c r="M35" i="23"/>
  <c r="M34" i="23"/>
  <c r="M33" i="23"/>
  <c r="M32" i="23"/>
  <c r="M31" i="23"/>
  <c r="M30" i="23"/>
  <c r="M29" i="23"/>
  <c r="M28" i="23"/>
  <c r="M27" i="23"/>
  <c r="M26" i="23"/>
  <c r="M25" i="23"/>
  <c r="M24" i="23"/>
  <c r="M23" i="23"/>
  <c r="M22" i="23"/>
  <c r="M21" i="23"/>
  <c r="M20" i="23"/>
  <c r="M19" i="23"/>
  <c r="M18" i="23"/>
  <c r="M17" i="23"/>
  <c r="M16" i="23"/>
  <c r="M15" i="23"/>
  <c r="M14" i="23"/>
  <c r="M13" i="23"/>
  <c r="M12" i="23"/>
  <c r="M11" i="23"/>
  <c r="M10" i="23"/>
  <c r="M9" i="23"/>
  <c r="M8" i="23"/>
  <c r="M7" i="23"/>
  <c r="M6" i="23"/>
  <c r="M5" i="23"/>
  <c r="M4" i="23"/>
  <c r="M3" i="23"/>
  <c r="D50" i="22"/>
  <c r="E50" i="22"/>
  <c r="F50" i="22"/>
  <c r="G50" i="22"/>
  <c r="H50" i="22"/>
  <c r="I50" i="22"/>
  <c r="D57" i="22"/>
  <c r="E57" i="22"/>
  <c r="F57" i="22"/>
  <c r="F60" i="22" s="1"/>
  <c r="G57" i="22"/>
  <c r="G60" i="22" s="1"/>
  <c r="H57" i="22"/>
  <c r="H60" i="22" s="1"/>
  <c r="I57" i="22"/>
  <c r="I60" i="22" s="1"/>
  <c r="D58" i="22"/>
  <c r="E58" i="22"/>
  <c r="F58" i="22"/>
  <c r="G58" i="22"/>
  <c r="H58" i="22"/>
  <c r="I58" i="22"/>
  <c r="D59" i="22"/>
  <c r="E59" i="22"/>
  <c r="F59" i="22"/>
  <c r="G59" i="22"/>
  <c r="H59" i="22"/>
  <c r="I59" i="22"/>
  <c r="B60" i="22"/>
  <c r="C60" i="22"/>
  <c r="D60" i="22"/>
  <c r="E60" i="22"/>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7"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7"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9"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3"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4" authorId="1">
      <text>
        <r>
          <rPr>
            <b/>
            <sz val="8"/>
            <color indexed="81"/>
            <rFont val="Tahoma"/>
            <family val="2"/>
          </rPr>
          <t>The URL for the data file that this metadata describes.  This will be fill in by the Information Manager.  You Do NOT need to fill in.</t>
        </r>
      </text>
    </comment>
    <comment ref="A35"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5"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6" authorId="3">
      <text>
        <r>
          <rPr>
            <b/>
            <sz val="8"/>
            <color indexed="81"/>
            <rFont val="Tahoma"/>
            <family val="2"/>
          </rPr>
          <t xml:space="preserve"> The date that data collection began for the dataset.</t>
        </r>
      </text>
    </comment>
    <comment ref="B36" authorId="3">
      <text>
        <r>
          <rPr>
            <b/>
            <sz val="8"/>
            <color indexed="81"/>
            <rFont val="Tahoma"/>
            <family val="2"/>
          </rPr>
          <t xml:space="preserve"> The date that data collection began for the dataset.</t>
        </r>
      </text>
    </comment>
    <comment ref="A37" authorId="0">
      <text>
        <r>
          <rPr>
            <b/>
            <sz val="8"/>
            <color indexed="81"/>
            <rFont val="Tahoma"/>
            <family val="2"/>
          </rPr>
          <t>The ending date of data collection.</t>
        </r>
        <r>
          <rPr>
            <sz val="8"/>
            <color indexed="81"/>
            <rFont val="Tahoma"/>
            <family val="2"/>
          </rPr>
          <t xml:space="preserve">
</t>
        </r>
      </text>
    </comment>
    <comment ref="B37" authorId="0">
      <text>
        <r>
          <rPr>
            <b/>
            <sz val="8"/>
            <color indexed="81"/>
            <rFont val="Tahoma"/>
            <family val="2"/>
          </rPr>
          <t>The ending date of data collection.</t>
        </r>
        <r>
          <rPr>
            <sz val="8"/>
            <color indexed="81"/>
            <rFont val="Tahoma"/>
            <family val="2"/>
          </rPr>
          <t xml:space="preserve">
</t>
        </r>
      </text>
    </comment>
    <comment ref="A38"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8"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9"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9"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40"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40"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41" authorId="4">
      <text>
        <r>
          <rPr>
            <sz val="8"/>
            <color indexed="81"/>
            <rFont val="Tahoma"/>
            <family val="2"/>
          </rPr>
          <t xml:space="preserve">A description of the Quality Control procedures that relate to the dataset. </t>
        </r>
      </text>
    </comment>
    <comment ref="B41" authorId="4">
      <text>
        <r>
          <rPr>
            <sz val="8"/>
            <color indexed="81"/>
            <rFont val="Tahoma"/>
            <family val="2"/>
          </rPr>
          <t xml:space="preserve">A description of the Quality Control procedures that relate to the dataset. </t>
        </r>
      </text>
    </comment>
    <comment ref="A42"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2"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3"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3"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8"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9"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9" authorId="1">
      <text>
        <r>
          <rPr>
            <b/>
            <sz val="9"/>
            <color indexed="81"/>
            <rFont val="Tahoma"/>
            <family val="2"/>
          </rPr>
          <t xml:space="preserve">The name of the sampling location or site number (from the official ARC LTER site list) see the "ARC LTER sites" worksheet Or enter a new site here.
</t>
        </r>
      </text>
    </comment>
    <comment ref="A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8"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9"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60" authorId="1">
      <text>
        <r>
          <rPr>
            <b/>
            <sz val="9"/>
            <color indexed="81"/>
            <rFont val="Tahoma"/>
            <family val="2"/>
          </rPr>
          <t>This link is generated by a formula using the lat long.  It's a way oc checking the values entered.</t>
        </r>
      </text>
    </comment>
    <comment ref="A63"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3"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6"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6"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9"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38"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39" authorId="0">
      <text>
        <r>
          <rPr>
            <b/>
            <sz val="8"/>
            <color indexed="81"/>
            <rFont val="Tahoma"/>
            <family val="2"/>
          </rPr>
          <t>List the URL to an online protocol document.</t>
        </r>
      </text>
    </comment>
    <comment ref="A141" authorId="0">
      <text>
        <r>
          <rPr>
            <b/>
            <sz val="8"/>
            <color indexed="81"/>
            <rFont val="Tahoma"/>
            <family val="2"/>
          </rPr>
          <t>Describe the protocol used. Be as complete as possible.  Include any references and deviations used from references.</t>
        </r>
      </text>
    </comment>
    <comment ref="A148" authorId="3">
      <text>
        <r>
          <rPr>
            <b/>
            <sz val="8"/>
            <color indexed="81"/>
            <rFont val="Tahoma"/>
            <family val="2"/>
          </rPr>
          <t>This section describes the variables in the data set. Please be as complete as necessary.</t>
        </r>
      </text>
    </comment>
    <comment ref="A149"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49" authorId="3">
      <text>
        <r>
          <rPr>
            <b/>
            <sz val="8"/>
            <color indexed="81"/>
            <rFont val="Tahoma"/>
            <family val="2"/>
          </rPr>
          <t>Variable Description is an explanation of what the Variable represents. 
Include details about the units, e.g. microgram of NH4-N per gram of oven dried soil.</t>
        </r>
      </text>
    </comment>
    <comment ref="C149"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49"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49"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49"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49"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50"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50" authorId="3">
      <text>
        <r>
          <rPr>
            <b/>
            <sz val="8"/>
            <color indexed="81"/>
            <rFont val="Tahoma"/>
            <family val="2"/>
          </rPr>
          <t>Variable Description is an explanation of what the Variable represents. 
Include details about the units, e.g. microgram of NH4-N per gram of oven dried soil.</t>
        </r>
      </text>
    </comment>
    <comment ref="C150"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50"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50"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50"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50"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<sst xmlns="http://schemas.openxmlformats.org/spreadsheetml/2006/main" count="7553" uniqueCount="1677">
  <si>
    <t>BattV_Min</t>
  </si>
  <si>
    <t>PTemp_C_Max</t>
  </si>
  <si>
    <t>PTemp_C_TMx</t>
  </si>
  <si>
    <t>PTemp_C_Avg</t>
  </si>
  <si>
    <t>DATE</t>
  </si>
  <si>
    <t>GROUP</t>
  </si>
  <si>
    <t>Toolik</t>
  </si>
  <si>
    <t>Outlet</t>
  </si>
  <si>
    <t>Upland</t>
  </si>
  <si>
    <t>ABV</t>
  </si>
  <si>
    <t>SAL-P</t>
  </si>
  <si>
    <t>LOW</t>
  </si>
  <si>
    <t>BET</t>
  </si>
  <si>
    <t>MID</t>
  </si>
  <si>
    <t>MAX TEMP</t>
  </si>
  <si>
    <t>TIME OF MAX TEMP</t>
  </si>
  <si>
    <t>MIN TEMP</t>
  </si>
  <si>
    <t>TIME OF MIN TEMP</t>
  </si>
  <si>
    <t>MAX RH</t>
  </si>
  <si>
    <t>TIME OF MAX RH</t>
  </si>
  <si>
    <t>MAX PAR</t>
  </si>
  <si>
    <t>TIME OF MAX PAR</t>
  </si>
  <si>
    <t>DAILY TOTAL PAR</t>
  </si>
  <si>
    <t>DD-MMM-YY</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</si>
  <si>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</si>
  <si>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</si>
  <si>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</si>
  <si>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</si>
  <si>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</si>
  <si>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</si>
  <si>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</si>
  <si>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</si>
  <si>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</si>
  <si>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</si>
  <si>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</si>
  <si>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</si>
  <si>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</si>
  <si>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</si>
  <si>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</si>
  <si>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</si>
  <si>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</si>
  <si>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</si>
  <si>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</si>
  <si>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 xml:space="preserve">Data Manager </t>
  </si>
  <si>
    <t xml:space="preserve">Field Crew </t>
  </si>
  <si>
    <t>Email</t>
  </si>
  <si>
    <t>gshaver@mbl.edu</t>
  </si>
  <si>
    <t>erastetter@mbl.edu</t>
  </si>
  <si>
    <t>mat.williams@ed.ac.uk</t>
  </si>
  <si>
    <t>jlaundre@mbl.edu</t>
  </si>
  <si>
    <t>lvanderpol@mbl.edu</t>
  </si>
  <si>
    <t xml:space="preserve">First Name  </t>
  </si>
  <si>
    <t>Gaius</t>
  </si>
  <si>
    <t>Edward</t>
  </si>
  <si>
    <t>Mathew</t>
  </si>
  <si>
    <t>James</t>
  </si>
  <si>
    <t>Laura</t>
  </si>
  <si>
    <t xml:space="preserve">Last Name  </t>
  </si>
  <si>
    <t>Shaver</t>
  </si>
  <si>
    <t>Rastetter</t>
  </si>
  <si>
    <t>Williams</t>
  </si>
  <si>
    <t>Laundre</t>
  </si>
  <si>
    <t>van der Pol</t>
  </si>
  <si>
    <t>Organization</t>
  </si>
  <si>
    <t>Ecosystems Center at the Marine Biological Laboratory</t>
  </si>
  <si>
    <t>University of Edinburgh</t>
  </si>
  <si>
    <t>Address line 2</t>
  </si>
  <si>
    <t>7 MBL Street</t>
  </si>
  <si>
    <t>School of Geosciences</t>
  </si>
  <si>
    <t>Address line 3</t>
  </si>
  <si>
    <t>Darwin Building</t>
  </si>
  <si>
    <t xml:space="preserve"> City  </t>
  </si>
  <si>
    <t>Woods Hole</t>
  </si>
  <si>
    <t>Edinburgh</t>
  </si>
  <si>
    <t xml:space="preserve">State  </t>
  </si>
  <si>
    <t>MA</t>
  </si>
  <si>
    <t xml:space="preserve">Zip Code  </t>
  </si>
  <si>
    <t>02543</t>
  </si>
  <si>
    <t>EH9 EJU</t>
  </si>
  <si>
    <t>Country</t>
  </si>
  <si>
    <t>United States</t>
  </si>
  <si>
    <t>United Kingdom</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</si>
  <si>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</si>
  <si>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</si>
  <si>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</si>
  <si>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</si>
  <si>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</si>
  <si>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</si>
  <si>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</si>
  <si>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</si>
  <si>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</si>
  <si>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</si>
  <si>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</si>
  <si>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</si>
  <si>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</si>
  <si>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</si>
  <si>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</si>
  <si>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</si>
  <si>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</si>
  <si>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</si>
  <si>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</si>
  <si>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</si>
  <si>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</si>
  <si>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</si>
  <si>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</si>
  <si>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</si>
  <si>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</si>
  <si>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</si>
  <si>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</si>
  <si>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</si>
  <si>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</si>
  <si>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</si>
  <si>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</si>
  <si>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</si>
  <si>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</si>
  <si>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</si>
  <si>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</si>
  <si>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</si>
  <si>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</si>
  <si>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</si>
  <si>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</si>
  <si>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</si>
  <si>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</si>
  <si>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</si>
  <si>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</si>
  <si>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</si>
  <si>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</si>
  <si>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</si>
  <si>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 </t>
  </si>
  <si>
    <t xml:space="preserve">YEAR </t>
  </si>
  <si>
    <t xml:space="preserve"> year of measurement </t>
  </si>
  <si>
    <t>datetime</t>
  </si>
  <si>
    <t>YYYY</t>
  </si>
  <si>
    <t>text</t>
  </si>
  <si>
    <t>ampere</t>
  </si>
  <si>
    <t xml:space="preserve">  </t>
  </si>
  <si>
    <t>interval</t>
  </si>
  <si>
    <t>number</t>
  </si>
  <si>
    <t>amperePerMeter</t>
  </si>
  <si>
    <t xml:space="preserve">SITE </t>
  </si>
  <si>
    <t xml:space="preserve"> Toolik</t>
  </si>
  <si>
    <t>nominal</t>
  </si>
  <si>
    <t>amperePerMeterSquared</t>
  </si>
  <si>
    <t>ordinal</t>
  </si>
  <si>
    <t>angstrom</t>
  </si>
  <si>
    <t xml:space="preserve">Lab Crew </t>
  </si>
  <si>
    <t>ratio</t>
  </si>
  <si>
    <t>atmosphere</t>
  </si>
  <si>
    <t>bar</t>
  </si>
  <si>
    <t>becquerel</t>
  </si>
  <si>
    <t>becquerelPerGram</t>
  </si>
  <si>
    <t>becquerelPerMilligram</t>
  </si>
  <si>
    <t>becquerelPerMilliliter</t>
  </si>
  <si>
    <t>calorie</t>
  </si>
  <si>
    <t>micromolePerMeterSquaredPerSecond</t>
  </si>
  <si>
    <t>candela</t>
  </si>
  <si>
    <t>celsius</t>
  </si>
  <si>
    <t>centigram</t>
  </si>
  <si>
    <t>meterSquaredPerMeterSquared</t>
  </si>
  <si>
    <t>centimeter</t>
  </si>
  <si>
    <t>centimeterCubedPerCentimeterCubed</t>
  </si>
  <si>
    <t>centimeterPerSecond</t>
  </si>
  <si>
    <t>centimeterPerYear</t>
  </si>
  <si>
    <t>centimeterSquaredPerFourHundredthMeterSquared</t>
  </si>
  <si>
    <t>centimeterSquaredPerGram</t>
  </si>
  <si>
    <t>centimolePerKilogram</t>
  </si>
  <si>
    <t>centisecond</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</si>
  <si>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</si>
  <si>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</si>
  <si>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</si>
  <si>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</si>
  <si>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</si>
  <si>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</si>
  <si>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</si>
  <si>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</si>
  <si>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</si>
  <si>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</si>
  <si>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kilohertz</t>
  </si>
  <si>
    <t>kiloliter</t>
  </si>
  <si>
    <t>kilometer</t>
  </si>
  <si>
    <t>kilometerPerHour</t>
  </si>
  <si>
    <t>kilometerSquared</t>
  </si>
  <si>
    <t>kilopascal</t>
  </si>
  <si>
    <t>kilosecond</t>
  </si>
  <si>
    <t>kilovolt</t>
  </si>
  <si>
    <t>kilowattPerMeterSquared</t>
  </si>
  <si>
    <t>liter</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</si>
  <si>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</si>
  <si>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</si>
  <si>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</si>
  <si>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</si>
  <si>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</si>
  <si>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</si>
  <si>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</si>
  <si>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</si>
  <si>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</si>
  <si>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</si>
  <si>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</si>
  <si>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</si>
  <si>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</si>
  <si>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</si>
  <si>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</si>
  <si>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</si>
  <si>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</si>
  <si>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</si>
  <si>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</si>
  <si>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</si>
  <si>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</si>
  <si>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</si>
  <si>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</si>
  <si>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</si>
  <si>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</si>
  <si>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</si>
  <si>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</si>
  <si>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</si>
  <si>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</si>
  <si>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</si>
  <si>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</si>
  <si>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</si>
  <si>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</si>
  <si>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</si>
  <si>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</si>
  <si>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</si>
  <si>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</si>
  <si>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</si>
  <si>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</si>
  <si>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</si>
  <si>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</si>
  <si>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</si>
  <si>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</si>
  <si>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</si>
  <si>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</si>
  <si>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</si>
  <si>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</si>
  <si>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</si>
  <si>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</si>
  <si>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</si>
  <si>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</si>
  <si>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</si>
  <si>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</si>
  <si>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</si>
  <si>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</si>
  <si>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</si>
  <si>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</si>
  <si>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</si>
  <si>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</si>
  <si>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</si>
  <si>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</si>
  <si>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</si>
  <si>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</si>
  <si>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</si>
  <si>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</si>
  <si>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</si>
  <si>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</si>
  <si>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</si>
  <si>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</si>
  <si>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</si>
  <si>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</si>
  <si>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</si>
  <si>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</si>
  <si>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</si>
  <si>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</si>
  <si>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</si>
  <si>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</si>
  <si>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</si>
  <si>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</si>
  <si>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</si>
  <si>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</si>
  <si>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</si>
  <si>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</si>
  <si>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</si>
  <si>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</si>
  <si>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</si>
  <si>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</si>
  <si>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</si>
  <si>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</si>
  <si>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</si>
  <si>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</si>
  <si>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</si>
  <si>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</si>
  <si>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</si>
  <si>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</si>
  <si>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</si>
  <si>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</si>
  <si>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</si>
  <si>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</si>
  <si>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</si>
  <si>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</si>
  <si>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</si>
  <si>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</si>
  <si>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</si>
  <si>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</si>
  <si>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</si>
  <si>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</si>
  <si>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</si>
  <si>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</si>
  <si>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</si>
  <si>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</si>
  <si>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</si>
  <si>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</si>
  <si>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</si>
  <si>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</si>
  <si>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</si>
  <si>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</si>
  <si>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</si>
  <si>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</si>
  <si>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</si>
  <si>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</si>
  <si>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Measurement location in relation to Toolik Lake LTER Shrub plots; In vicinity of Block1 = Upland, IVO Block 2 = Outlet</t>
  </si>
  <si>
    <t>Sensor relative height</t>
  </si>
  <si>
    <t xml:space="preserve">Canopy sensors monitored; sensors above the canopies monitored ambient conditions for both BET and SALP vegetation </t>
  </si>
  <si>
    <t>Betula nana; Salix pulchra</t>
  </si>
  <si>
    <t>Upland site; co-located in Block 1 of the Shrub LTER sites; IVO 68° 38'18.8" N,  149° 34' 07.2" W +/- 50m. Plots are outside of the designated LTER treatments,  though are exposed to the same environmental conditions. All plots were chosen by the dominant shrub canopy (either Salix pulchraor Betula nana) and preferentially selected to be 90cm+ in height.</t>
  </si>
  <si>
    <t>Outlet site; co-located in Block 2 of the Shrub LTER sites; IVO 68° 38'008.1" N,  149° 35' 017.1" W +/- 50m. Plots are outside of the designated LTER treatments,  though are exposed to the same environmental conditions. All plots were chosen by the dominant shrub canopy (either Salix pulchraor Betula nana) and preferentially selected to be 90cm+ in height.</t>
  </si>
  <si>
    <t>CANOPY</t>
  </si>
  <si>
    <t>SENSOR POSN</t>
  </si>
  <si>
    <t>Date of measurement</t>
  </si>
  <si>
    <t>Maximum temperature (deg Celsius) measured by datalogger</t>
  </si>
  <si>
    <t>24-hour time that the maximum datalogger temperature was recorded</t>
  </si>
  <si>
    <t>Daily average temperature encountered by datalogger</t>
  </si>
  <si>
    <t>Maximum temperature (deg Celsius) measured by relative humidity sensor for given canopy / position</t>
  </si>
  <si>
    <t>24-hour time that maximum temperature was encountered</t>
  </si>
  <si>
    <t>Minimum temperature (deg Celsius) measured by relative humidity sensor for given canopy / position</t>
  </si>
  <si>
    <t>24-hour time that minimum temperature was encountered</t>
  </si>
  <si>
    <t>Maximum recorded relative humidity encountered by given sensor</t>
  </si>
  <si>
    <t>24-hour time that maximum relative humidity was encountered</t>
  </si>
  <si>
    <t>24-hour time that maximum PAR was encountered by sensor</t>
  </si>
  <si>
    <t>Temperature values &gt;30deg C were changed to "NaN"; PAR values &lt; 0 or &gt; 2500 were changed to "NaN"; relative humidity values &lt;0 or  &gt;100 were converted to "NaN".</t>
  </si>
  <si>
    <t>photosynthesis; shrub canopy, relative humidity; temperature; photosynthetica active radiation; PAR</t>
  </si>
  <si>
    <t>This was a season-long project,  though it followed similar methods to ITEX projects performed starting in 2003 that are likely to be replicated in the future for reasearch at the Toolik Field Station,  AK.</t>
  </si>
  <si>
    <t>2012_GS_ITEX_ShrubCanopy_DailyLogger</t>
  </si>
  <si>
    <t>Maximum recorded photosynthetic active radiation (PAR) for given sensor (umol PAR per square m per sec)</t>
  </si>
  <si>
    <t>micromolePerMeterSquaredPerDay</t>
  </si>
  <si>
    <t>Sum of PAR encountered by given sensor during the day (umol PAR per square m per day)</t>
  </si>
  <si>
    <t>Minimum battery voltage during the day of measurement (battery is 12v)</t>
  </si>
  <si>
    <t>Daily summaries of photosynthetically active radiation (PAR), relative humidity, and temperature  data logged above, within, and below Betula nana and Salix pulchra shrub canopies during the summer of 2012 in vicinity of Toolik Lake, Alaska.</t>
  </si>
  <si>
    <t>747 m</t>
  </si>
  <si>
    <t>730 m</t>
  </si>
  <si>
    <t>Location Name</t>
  </si>
  <si>
    <t>LTER Shrub Block 1</t>
  </si>
  <si>
    <t>LTER Shrub Block 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</si>
  <si>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</si>
  <si>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http://ecosystems.mbl.edu/ARC/meta_template.php?FileName=./terrest/tracegas/xlsfiles/2012_GS_ITEX_ShrubCanopy_DailyLogger.html</t>
  </si>
  <si>
    <t>http://metacat.lternet.edu/das/dataAccessServlet?docid=knb-lter-arc.10143&amp;amp;urlTail=terrest/tracegas/data/2012_GS_ITEX_ShrubCanopy_DailyLogger.csv</t>
  </si>
  <si>
    <t>Version 2: Updated units to current standards.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</si>
  <si>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</si>
  <si>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</si>
  <si>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</si>
  <si>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</si>
  <si>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</si>
  <si>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</si>
  <si>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</si>
  <si>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</si>
  <si>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</si>
  <si>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</si>
  <si>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</si>
  <si>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</si>
  <si>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</si>
  <si>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</si>
  <si>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</si>
  <si>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literPerHectare</t>
  </si>
  <si>
    <t>kilowatt</t>
  </si>
  <si>
    <t>kilogramPerYear</t>
  </si>
  <si>
    <t>kilogramPerSecond</t>
  </si>
  <si>
    <t>joulePerCentimeterSquaredPerDay</t>
  </si>
  <si>
    <t>joule</t>
  </si>
  <si>
    <t>hour</t>
  </si>
  <si>
    <t>hertz</t>
  </si>
  <si>
    <t>henry</t>
  </si>
  <si>
    <t>hectosecond</t>
  </si>
  <si>
    <t>hectoPascal</t>
  </si>
  <si>
    <t>hectometer</t>
  </si>
  <si>
    <t>hectogram</t>
  </si>
  <si>
    <t>hectare</t>
  </si>
  <si>
    <t>gramPerYear</t>
  </si>
  <si>
    <t>gramPerNumber</t>
  </si>
  <si>
    <t>gramPerMilliliter</t>
  </si>
  <si>
    <t>gramPerMeterSquaredPerYear</t>
  </si>
  <si>
    <t>gramPerMeterSquaredPerDay</t>
  </si>
  <si>
    <t>gramPerMeterSquared</t>
  </si>
  <si>
    <t>gramPerMeterCubed</t>
  </si>
  <si>
    <t>gramPerLiterPerDay</t>
  </si>
  <si>
    <t>gramPerLiter</t>
  </si>
  <si>
    <t>gramPerKilogram</t>
  </si>
  <si>
    <t>gramPerHectarePerDay</t>
  </si>
  <si>
    <t>gramPerGram</t>
  </si>
  <si>
    <t>gramPerFourHundredthMeterSquared</t>
  </si>
  <si>
    <t>gramPerCentimeterSquaredPerSecond</t>
  </si>
  <si>
    <t>gramPerCentimeterCubed</t>
  </si>
  <si>
    <t>gramPerCentimeter</t>
  </si>
  <si>
    <t>gram</t>
  </si>
  <si>
    <t>disintegrationPerMinute</t>
  </si>
  <si>
    <t>dimensionless</t>
  </si>
  <si>
    <t>degree</t>
  </si>
  <si>
    <t>decisecond</t>
  </si>
  <si>
    <t>decimeter</t>
  </si>
  <si>
    <t>decigram</t>
  </si>
  <si>
    <t>decibar</t>
  </si>
  <si>
    <t>coulomb</t>
  </si>
  <si>
    <t>centimeterSquared</t>
  </si>
  <si>
    <t>candelaPerMeterSquared</t>
  </si>
  <si>
    <t>Link to Google Map</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</si>
  <si>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</si>
  <si>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</si>
  <si>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</si>
  <si>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</si>
  <si>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</si>
  <si>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</si>
  <si>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</si>
  <si>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</si>
  <si>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</si>
  <si>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</si>
  <si>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</si>
  <si>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</si>
  <si>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</si>
  <si>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</si>
  <si>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</si>
  <si>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</si>
  <si>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</si>
  <si>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</si>
  <si>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</si>
  <si>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</si>
  <si>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</si>
  <si>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</si>
  <si>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</si>
  <si>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</si>
  <si>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</si>
  <si>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</si>
  <si>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</si>
  <si>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</si>
  <si>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</si>
  <si>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</si>
  <si>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</si>
  <si>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</si>
  <si>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</si>
  <si>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</si>
  <si>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</si>
  <si>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</si>
  <si>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</si>
  <si>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</si>
  <si>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</si>
  <si>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</si>
  <si>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</si>
  <si>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</si>
  <si>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</si>
  <si>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</si>
  <si>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</si>
  <si>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</si>
  <si>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</si>
  <si>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</si>
  <si>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</si>
  <si>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</si>
  <si>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</si>
  <si>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</si>
  <si>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</si>
  <si>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</si>
  <si>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</si>
  <si>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</si>
  <si>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</si>
  <si>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</si>
  <si>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</si>
  <si>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</si>
  <si>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</si>
  <si>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</si>
  <si>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</si>
  <si>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</si>
  <si>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</si>
  <si>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</si>
  <si>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</si>
  <si>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</si>
  <si>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</si>
  <si>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</si>
  <si>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</si>
  <si>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</si>
  <si>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</si>
  <si>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</si>
  <si>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</si>
  <si>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</si>
  <si>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</si>
  <si>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</si>
  <si>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</si>
  <si>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</si>
  <si>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</si>
  <si>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</si>
  <si>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</si>
  <si>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</si>
  <si>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</si>
  <si>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</si>
  <si>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</si>
  <si>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</si>
  <si>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</si>
  <si>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</si>
  <si>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</si>
  <si>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</si>
  <si>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</si>
  <si>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</si>
  <si>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</si>
  <si>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</si>
  <si>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</si>
  <si>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</si>
  <si>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</si>
  <si>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</si>
  <si>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</si>
  <si>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</si>
  <si>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</si>
  <si>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</si>
  <si>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</si>
  <si>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</si>
  <si>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</si>
  <si>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</si>
  <si>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</si>
  <si>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</si>
  <si>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</si>
  <si>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</si>
  <si>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</si>
  <si>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</si>
  <si>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</si>
  <si>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</si>
  <si>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</si>
  <si>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</si>
  <si>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</si>
  <si>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</si>
  <si>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</si>
  <si>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</si>
  <si>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</si>
  <si>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</si>
  <si>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</si>
  <si>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</si>
  <si>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</si>
  <si>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</si>
  <si>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</si>
  <si>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</si>
  <si>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</si>
  <si>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</si>
  <si>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</si>
  <si>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</si>
  <si>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</si>
  <si>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</si>
  <si>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</si>
  <si>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</si>
  <si>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</si>
  <si>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</si>
  <si>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</si>
  <si>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</si>
  <si>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</si>
  <si>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</si>
  <si>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</si>
  <si>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</si>
  <si>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</si>
  <si>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</si>
  <si>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</si>
  <si>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</si>
  <si>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</si>
  <si>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</si>
  <si>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</si>
  <si>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</si>
  <si>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</si>
  <si>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</si>
  <si>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</si>
  <si>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</si>
  <si>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</si>
  <si>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</si>
  <si>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</si>
  <si>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</si>
  <si>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</si>
  <si>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</si>
  <si>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</si>
  <si>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</si>
  <si>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</si>
  <si>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</si>
  <si>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</si>
  <si>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</si>
  <si>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</si>
  <si>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</si>
  <si>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</si>
  <si>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</si>
  <si>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</si>
  <si>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</si>
  <si>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</si>
  <si>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</si>
  <si>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</si>
  <si>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</si>
  <si>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</si>
  <si>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</si>
  <si>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</si>
  <si>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</si>
  <si>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</si>
  <si>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</si>
  <si>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</si>
  <si>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</si>
  <si>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</si>
  <si>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</si>
  <si>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</si>
  <si>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</si>
  <si>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</si>
  <si>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</si>
  <si>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</si>
  <si>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</si>
  <si>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</si>
  <si>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</si>
  <si>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</si>
  <si>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</si>
  <si>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</si>
  <si>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</si>
  <si>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</si>
  <si>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</si>
  <si>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</si>
  <si>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</si>
  <si>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</si>
  <si>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</si>
  <si>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</si>
  <si>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</si>
  <si>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</si>
  <si>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</si>
  <si>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</si>
  <si>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</si>
  <si>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</si>
  <si>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</si>
  <si>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</si>
  <si>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</si>
  <si>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</si>
  <si>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</si>
  <si>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</si>
  <si>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</si>
  <si>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</si>
  <si>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</si>
  <si>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</si>
  <si>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</si>
  <si>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</si>
  <si>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</si>
  <si>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</si>
  <si>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</si>
  <si>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</si>
  <si>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</si>
  <si>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</si>
  <si>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</si>
  <si>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</si>
  <si>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</si>
  <si>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</si>
  <si>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</si>
  <si>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</si>
  <si>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</si>
  <si>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</si>
  <si>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</si>
  <si>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</si>
  <si>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</si>
  <si>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</si>
  <si>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</si>
  <si>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</si>
  <si>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</si>
  <si>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</si>
  <si>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</si>
  <si>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</si>
  <si>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</si>
  <si>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</si>
  <si>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</si>
  <si>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</si>
  <si>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</si>
  <si>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</si>
  <si>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</si>
  <si>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</si>
  <si>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</si>
  <si>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</si>
  <si>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</si>
  <si>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</si>
  <si>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</si>
  <si>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</si>
  <si>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</si>
  <si>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</si>
  <si>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</si>
  <si>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</si>
  <si>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</si>
  <si>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</si>
  <si>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</si>
  <si>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</si>
  <si>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</si>
  <si>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</si>
  <si>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</si>
  <si>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</si>
  <si>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</si>
  <si>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</si>
  <si>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</si>
  <si>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</si>
  <si>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</si>
  <si>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</si>
  <si>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</si>
  <si>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</si>
  <si>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</si>
  <si>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</si>
  <si>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</si>
  <si>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</si>
  <si>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</si>
  <si>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</si>
  <si>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</si>
  <si>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</si>
  <si>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</si>
  <si>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</si>
  <si>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</si>
  <si>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</si>
  <si>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</si>
  <si>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</si>
  <si>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</si>
  <si>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</si>
  <si>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</si>
  <si>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</si>
  <si>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</si>
  <si>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</si>
  <si>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</si>
  <si>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</si>
  <si>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</si>
  <si>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</si>
  <si>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</si>
  <si>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</si>
  <si>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</si>
  <si>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</si>
  <si>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</si>
  <si>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</si>
  <si>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</si>
  <si>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</si>
  <si>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</si>
  <si>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</si>
  <si>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</si>
  <si>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</si>
  <si>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</si>
  <si>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</si>
  <si>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</si>
  <si>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</si>
  <si>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</si>
  <si>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</si>
  <si>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</si>
  <si>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</si>
  <si>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</si>
  <si>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</si>
  <si>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</si>
  <si>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</si>
  <si>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</si>
  <si>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</si>
  <si>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</si>
  <si>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</si>
  <si>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</si>
  <si>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</si>
  <si>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</si>
  <si>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</si>
  <si>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</si>
  <si>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</si>
  <si>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</si>
  <si>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</si>
  <si>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</si>
  <si>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</si>
  <si>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</si>
  <si>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</si>
  <si>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</si>
  <si>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</si>
  <si>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</si>
  <si>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</si>
  <si>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</si>
  <si>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</si>
  <si>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</si>
  <si>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</si>
  <si>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</si>
  <si>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</si>
  <si>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</si>
  <si>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</si>
  <si>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</si>
  <si>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</si>
  <si>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</si>
  <si>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</si>
  <si>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</si>
  <si>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</si>
  <si>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</si>
  <si>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</si>
  <si>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</si>
  <si>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</si>
  <si>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</si>
  <si>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</si>
  <si>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</si>
  <si>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</si>
  <si>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</si>
  <si>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</si>
  <si>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</si>
  <si>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</si>
  <si>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</si>
  <si>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</si>
  <si>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</si>
  <si>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</si>
  <si>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</si>
  <si>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</si>
  <si>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</si>
  <si>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</si>
  <si>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</si>
  <si>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</si>
  <si>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</si>
  <si>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</si>
  <si>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</si>
  <si>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</si>
  <si>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</si>
  <si>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</si>
  <si>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</si>
  <si>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</si>
  <si>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</si>
  <si>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</si>
  <si>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</si>
  <si>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</si>
  <si>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</si>
  <si>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</si>
  <si>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</si>
  <si>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</si>
  <si>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</si>
  <si>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</si>
  <si>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</si>
  <si>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</si>
  <si>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</si>
  <si>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</si>
  <si>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</si>
  <si>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</si>
  <si>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</si>
  <si>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</si>
  <si>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</si>
  <si>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</si>
  <si>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</si>
  <si>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</si>
  <si>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</si>
  <si>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</si>
  <si>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</si>
  <si>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</si>
  <si>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</si>
  <si>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</si>
  <si>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</si>
  <si>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</si>
  <si>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</si>
  <si>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</si>
  <si>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</si>
  <si>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</si>
  <si>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</si>
  <si>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</si>
  <si>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</si>
  <si>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</si>
  <si>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</si>
  <si>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</si>
  <si>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</si>
  <si>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</si>
  <si>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</si>
  <si>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</si>
  <si>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</si>
  <si>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</si>
  <si>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</si>
  <si>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</si>
  <si>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</si>
  <si>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</si>
  <si>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</si>
  <si>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</si>
  <si>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</si>
  <si>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</si>
  <si>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</si>
  <si>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</si>
  <si>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</si>
  <si>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</si>
  <si>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</si>
  <si>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</si>
  <si>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</si>
  <si>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</si>
  <si>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</si>
  <si>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</si>
  <si>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</si>
  <si>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</si>
  <si>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</si>
  <si>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</si>
  <si>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</si>
  <si>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</si>
  <si>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</si>
  <si>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</si>
  <si>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</si>
  <si>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</si>
  <si>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</si>
  <si>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</si>
  <si>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</si>
  <si>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</si>
  <si>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</si>
  <si>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</si>
  <si>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</si>
  <si>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</si>
  <si>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</si>
  <si>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</si>
  <si>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</si>
  <si>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</si>
  <si>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</si>
  <si>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</si>
  <si>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</si>
  <si>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</si>
  <si>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</si>
  <si>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</si>
  <si>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</si>
  <si>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</si>
  <si>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</si>
  <si>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</si>
  <si>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</si>
  <si>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</si>
  <si>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</si>
  <si>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</si>
  <si>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</si>
  <si>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</si>
  <si>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</si>
  <si>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</si>
  <si>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</si>
  <si>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</si>
  <si>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</si>
  <si>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</si>
  <si>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</si>
  <si>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</si>
  <si>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</si>
  <si>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</si>
  <si>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</si>
  <si>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</si>
  <si>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</si>
  <si>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</si>
  <si>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</si>
  <si>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</si>
  <si>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</si>
  <si>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</si>
  <si>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</si>
  <si>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</si>
  <si>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</si>
  <si>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</si>
  <si>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</si>
  <si>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</si>
  <si>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</si>
  <si>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</si>
  <si>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</si>
  <si>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</si>
  <si>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</si>
  <si>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</si>
  <si>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</si>
  <si>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</si>
  <si>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</si>
  <si>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</si>
  <si>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</si>
  <si>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</si>
  <si>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</si>
  <si>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</si>
  <si>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</si>
  <si>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</si>
  <si>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</si>
  <si>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</si>
  <si>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</si>
  <si>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</si>
  <si>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</si>
  <si>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</si>
  <si>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</si>
  <si>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</si>
  <si>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</si>
  <si>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</si>
  <si>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</si>
  <si>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</si>
  <si>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</si>
  <si>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</si>
  <si>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</si>
  <si>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</si>
  <si>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</si>
  <si>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</si>
  <si>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</si>
  <si>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</si>
  <si>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</si>
  <si>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</si>
  <si>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</si>
  <si>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</si>
  <si>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</si>
  <si>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</si>
  <si>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</si>
  <si>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</si>
  <si>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</si>
  <si>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</si>
  <si>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</si>
  <si>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</si>
  <si>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</si>
  <si>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</si>
  <si>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</si>
  <si>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</si>
  <si>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</si>
  <si>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</si>
  <si>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</si>
  <si>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</si>
  <si>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</si>
  <si>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</si>
  <si>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</si>
  <si>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</si>
  <si>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</si>
  <si>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</si>
  <si>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</si>
  <si>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</si>
  <si>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</si>
  <si>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</si>
  <si>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</si>
  <si>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</si>
  <si>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</si>
  <si>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</si>
  <si>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</si>
  <si>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</si>
  <si>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</si>
  <si>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</si>
  <si>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</si>
  <si>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</si>
  <si>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</si>
  <si>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</si>
  <si>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</si>
  <si>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</si>
  <si>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</si>
  <si>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</si>
  <si>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</si>
  <si>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</si>
  <si>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</si>
  <si>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</si>
  <si>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</si>
  <si>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</si>
  <si>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</si>
  <si>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</si>
  <si>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</si>
  <si>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</si>
  <si>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</si>
  <si>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</si>
  <si>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</si>
  <si>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</si>
  <si>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</si>
  <si>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</si>
  <si>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</si>
  <si>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</si>
  <si>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</si>
  <si>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</si>
  <si>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</si>
  <si>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</si>
  <si>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</si>
  <si>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</si>
  <si>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</si>
  <si>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</si>
  <si>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</si>
  <si>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</si>
  <si>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</si>
  <si>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</si>
  <si>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</si>
  <si>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</si>
  <si>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</si>
  <si>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</si>
  <si>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</si>
  <si>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</si>
  <si>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</si>
  <si>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</si>
  <si>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</si>
  <si>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</si>
  <si>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</si>
  <si>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</si>
  <si>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</si>
  <si>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</si>
  <si>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</si>
  <si>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</si>
  <si>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</si>
  <si>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</si>
  <si>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</si>
  <si>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</si>
  <si>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</si>
  <si>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</si>
  <si>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</si>
  <si>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</si>
  <si>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</si>
  <si>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</si>
  <si>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</si>
  <si>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</si>
  <si>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</si>
  <si>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</si>
  <si>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</si>
  <si>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</si>
  <si>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</si>
  <si>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</si>
  <si>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</si>
  <si>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</si>
  <si>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</si>
  <si>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</si>
  <si>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</si>
  <si>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</si>
  <si>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</si>
  <si>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</si>
  <si>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</si>
  <si>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</si>
  <si>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</si>
  <si>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</si>
  <si>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</si>
  <si>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</si>
  <si>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</si>
  <si>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</si>
  <si>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</si>
  <si>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</si>
  <si>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</si>
  <si>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</si>
  <si>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</si>
  <si>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</si>
  <si>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</si>
  <si>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</si>
  <si>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</si>
  <si>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</si>
  <si>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</si>
  <si>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</si>
  <si>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</si>
  <si>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</si>
  <si>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</si>
  <si>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</si>
  <si>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</si>
  <si>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</si>
  <si>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</si>
  <si>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</si>
  <si>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</si>
  <si>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</si>
  <si>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</si>
  <si>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</si>
  <si>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</si>
  <si>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</si>
  <si>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</si>
  <si>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</si>
  <si>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</si>
  <si>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</si>
  <si>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</si>
  <si>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</si>
  <si>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</si>
  <si>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</si>
  <si>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</si>
  <si>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</si>
  <si>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</si>
  <si>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</si>
  <si>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</si>
  <si>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</si>
  <si>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</si>
  <si>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</si>
  <si>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</si>
  <si>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</si>
  <si>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</si>
  <si>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</si>
  <si>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</si>
  <si>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</si>
  <si>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</si>
  <si>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</si>
  <si>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</si>
  <si>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</si>
  <si>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</si>
  <si>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</si>
  <si>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</si>
  <si>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</si>
  <si>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</si>
  <si>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</si>
  <si>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</si>
  <si>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</si>
  <si>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</si>
  <si>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</si>
  <si>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</si>
  <si>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</si>
  <si>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</si>
  <si>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</si>
  <si>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</si>
  <si>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</si>
  <si>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</si>
  <si>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</si>
  <si>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</si>
  <si>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</si>
  <si>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</si>
  <si>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</si>
  <si>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</si>
  <si>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</si>
  <si>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</si>
  <si>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</si>
  <si>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</si>
  <si>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</si>
  <si>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</si>
  <si>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</si>
  <si>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</si>
  <si>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</si>
  <si>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</si>
  <si>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</si>
  <si>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</si>
  <si>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</si>
  <si>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</si>
  <si>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</si>
  <si>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</si>
  <si>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</si>
  <si>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</si>
  <si>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</si>
  <si>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</si>
  <si>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</si>
  <si>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</si>
  <si>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</si>
  <si>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</si>
  <si>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</si>
  <si>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</si>
  <si>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</si>
  <si>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</si>
  <si>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</si>
  <si>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</si>
  <si>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</si>
  <si>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</si>
  <si>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</si>
  <si>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</si>
  <si>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</si>
  <si>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</si>
  <si>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</si>
  <si>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</si>
  <si>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</si>
  <si>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</si>
  <si>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</si>
  <si>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</si>
  <si>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</si>
  <si>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</si>
  <si>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</si>
  <si>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</si>
  <si>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</si>
  <si>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</si>
  <si>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</si>
  <si>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</si>
  <si>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</si>
  <si>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</si>
  <si>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</si>
  <si>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</si>
  <si>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</si>
  <si>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</si>
  <si>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</si>
  <si>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</si>
  <si>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</si>
  <si>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</si>
  <si>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</si>
  <si>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</si>
  <si>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</si>
  <si>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</si>
  <si>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</si>
  <si>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</si>
  <si>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</si>
  <si>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</si>
  <si>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</si>
  <si>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</si>
  <si>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</si>
  <si>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</si>
  <si>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</si>
  <si>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</si>
  <si>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</si>
  <si>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</si>
  <si>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</si>
  <si>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</si>
  <si>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</si>
  <si>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</si>
  <si>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</si>
  <si>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</si>
  <si>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</si>
  <si>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</si>
  <si>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</si>
  <si>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</si>
  <si>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</si>
  <si>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</si>
  <si>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</si>
  <si>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</si>
  <si>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</si>
  <si>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</si>
  <si>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</si>
  <si>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</si>
  <si>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</si>
  <si>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</si>
  <si>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</si>
  <si>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</si>
  <si>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</si>
  <si>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</si>
  <si>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</si>
  <si>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</si>
  <si>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</si>
  <si>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</si>
  <si>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</si>
  <si>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</si>
  <si>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</si>
  <si>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</si>
  <si>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</si>
  <si>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</si>
  <si>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</si>
  <si>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</si>
  <si>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</si>
  <si>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</si>
  <si>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</si>
  <si>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</si>
  <si>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</si>
  <si>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</si>
  <si>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</si>
  <si>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</si>
  <si>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</si>
  <si>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</si>
  <si>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</si>
  <si>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</si>
  <si>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</si>
  <si>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</si>
  <si>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</si>
  <si>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</si>
  <si>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</si>
  <si>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</si>
  <si>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</si>
  <si>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</si>
  <si>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</si>
  <si>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</si>
  <si>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</si>
  <si>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</si>
  <si>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</si>
  <si>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</si>
  <si>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</si>
  <si>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</si>
  <si>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</si>
  <si>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</si>
  <si>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</si>
  <si>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</si>
  <si>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</si>
  <si>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</si>
  <si>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</si>
  <si>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</si>
  <si>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</si>
  <si>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</si>
  <si>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</si>
  <si>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</si>
  <si>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</si>
  <si>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</si>
  <si>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</si>
  <si>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</si>
  <si>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</si>
  <si>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</si>
  <si>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</si>
  <si>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</si>
  <si>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</si>
  <si>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</si>
  <si>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</si>
  <si>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</si>
  <si>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</si>
  <si>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</si>
  <si>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</si>
  <si>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</si>
  <si>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</si>
  <si>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</si>
  <si>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</si>
  <si>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</si>
  <si>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</si>
  <si>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</si>
  <si>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</si>
  <si>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</si>
  <si>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</si>
  <si>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</si>
  <si>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</si>
  <si>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</si>
  <si>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</si>
  <si>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</si>
  <si>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</si>
  <si>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</si>
  <si>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</si>
  <si>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</si>
  <si>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</si>
  <si>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</si>
  <si>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</si>
  <si>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</si>
  <si>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</si>
  <si>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</si>
  <si>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</si>
  <si>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</si>
  <si>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</si>
  <si>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</si>
  <si>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</si>
  <si>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</si>
  <si>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</si>
  <si>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</si>
  <si>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</si>
  <si>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</si>
  <si>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</si>
  <si>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</si>
  <si>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</si>
  <si>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</si>
  <si>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</si>
  <si>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</si>
  <si>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</si>
  <si>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</si>
  <si>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</si>
  <si>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</si>
  <si>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</si>
  <si>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</si>
  <si>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</si>
  <si>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</si>
  <si>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</si>
  <si>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</si>
  <si>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</si>
  <si>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</si>
  <si>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</si>
  <si>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</si>
  <si>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</si>
  <si>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</si>
  <si>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</si>
  <si>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</si>
  <si>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</si>
  <si>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</si>
  <si>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</si>
  <si>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</si>
  <si>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</si>
  <si>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</si>
  <si>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</si>
  <si>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</si>
  <si>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</si>
  <si>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</si>
  <si>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</si>
  <si>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</si>
  <si>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</si>
  <si>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</si>
  <si>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</si>
  <si>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</si>
  <si>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</si>
  <si>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</si>
  <si>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</si>
  <si>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</si>
  <si>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</si>
  <si>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</si>
  <si>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</si>
  <si>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</si>
  <si>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</si>
  <si>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</si>
  <si>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</si>
  <si>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</si>
  <si>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</si>
  <si>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</si>
  <si>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</si>
  <si>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</si>
  <si>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</si>
  <si>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</si>
  <si>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</si>
  <si>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</si>
  <si>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</si>
  <si>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</si>
  <si>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</si>
  <si>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</si>
  <si>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</si>
  <si>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</si>
  <si>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</si>
  <si>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</si>
  <si>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</si>
  <si>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</si>
  <si>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</si>
  <si>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</si>
  <si>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</si>
  <si>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</si>
  <si>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</si>
  <si>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</si>
  <si>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</si>
  <si>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</si>
  <si>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</si>
  <si>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</si>
  <si>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</si>
  <si>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</si>
  <si>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</si>
  <si>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</si>
  <si>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</si>
  <si>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</si>
  <si>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</si>
  <si>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</si>
  <si>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</si>
  <si>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</si>
  <si>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</si>
  <si>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</si>
  <si>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</si>
  <si>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</si>
  <si>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</si>
  <si>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</si>
  <si>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</si>
  <si>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</si>
  <si>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</si>
  <si>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</si>
  <si>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</si>
  <si>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</si>
  <si>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</si>
  <si>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</si>
  <si>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</si>
  <si>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</si>
  <si>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</si>
  <si>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</si>
  <si>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</si>
  <si>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</si>
  <si>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</si>
  <si>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</si>
  <si>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</si>
  <si>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</si>
  <si>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</si>
  <si>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</si>
  <si>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</si>
  <si>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</si>
  <si>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</si>
  <si>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</si>
  <si>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</si>
  <si>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</si>
  <si>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</si>
  <si>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</si>
  <si>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</si>
  <si>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</si>
  <si>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</si>
  <si>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</si>
  <si>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</si>
  <si>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</si>
  <si>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</si>
  <si>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</si>
  <si>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</si>
  <si>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</si>
  <si>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</si>
  <si>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</si>
  <si>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</si>
  <si>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</si>
  <si>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</si>
  <si>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</si>
  <si>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</si>
  <si>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</si>
  <si>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</si>
  <si>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</si>
  <si>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</si>
  <si>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</si>
  <si>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</si>
  <si>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</si>
  <si>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</si>
  <si>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</si>
  <si>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</si>
  <si>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</si>
  <si>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</si>
  <si>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</si>
  <si>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</si>
  <si>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</si>
  <si>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</si>
  <si>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</si>
  <si>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</si>
  <si>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</si>
  <si>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</si>
  <si>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</si>
  <si>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</si>
  <si>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</si>
  <si>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</si>
  <si>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</si>
  <si>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</si>
  <si>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</si>
  <si>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</si>
  <si>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</si>
  <si>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</si>
  <si>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</si>
  <si>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</si>
  <si>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</si>
  <si>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</si>
  <si>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</si>
  <si>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</si>
  <si>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</si>
  <si>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</si>
  <si>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</si>
  <si>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</si>
  <si>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</si>
  <si>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</si>
  <si>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</si>
  <si>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</si>
  <si>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</si>
  <si>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</si>
  <si>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</si>
  <si>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</si>
  <si>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</si>
  <si>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</si>
  <si>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</si>
  <si>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</si>
  <si>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</si>
  <si>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</si>
  <si>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</si>
  <si>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</si>
  <si>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</si>
  <si>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</si>
  <si>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</si>
  <si>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</si>
  <si>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</si>
  <si>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</si>
  <si>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</si>
  <si>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</si>
  <si>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</si>
  <si>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</si>
  <si>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</si>
  <si>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</si>
  <si>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</si>
  <si>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</si>
  <si>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</si>
  <si>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</si>
  <si>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</si>
  <si>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</si>
  <si>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</si>
  <si>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</si>
  <si>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</si>
  <si>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</si>
  <si>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</si>
  <si>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</si>
  <si>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</si>
  <si>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</si>
  <si>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</si>
  <si>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</si>
  <si>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</si>
  <si>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</si>
  <si>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</si>
  <si>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</si>
  <si>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</si>
  <si>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</si>
  <si>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</si>
  <si>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</si>
  <si>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</si>
  <si>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</si>
  <si>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</si>
  <si>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</si>
  <si>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</si>
  <si>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</si>
  <si>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</si>
  <si>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</si>
  <si>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</si>
  <si>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</si>
  <si>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</si>
  <si>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</si>
  <si>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</si>
  <si>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</si>
  <si>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</si>
  <si>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</si>
  <si>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</si>
  <si>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</si>
  <si>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</si>
  <si>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</si>
  <si>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</si>
  <si>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</si>
  <si>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</si>
  <si>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</si>
  <si>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</si>
  <si>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</si>
  <si>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</si>
  <si>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</si>
  <si>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</si>
  <si>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</si>
  <si>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</si>
  <si>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</si>
  <si>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</si>
  <si>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</si>
  <si>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</si>
  <si>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</si>
  <si>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</si>
  <si>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</si>
  <si>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</si>
  <si>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</si>
  <si>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</si>
  <si>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</si>
  <si>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</si>
  <si>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</si>
  <si>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</si>
  <si>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</si>
  <si>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</si>
  <si>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</si>
  <si>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</si>
  <si>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</si>
  <si>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</si>
  <si>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</si>
  <si>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</si>
  <si>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</si>
  <si>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</si>
  <si>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</si>
  <si>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</si>
  <si>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</si>
  <si>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</si>
  <si>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</si>
  <si>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</si>
  <si>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</si>
  <si>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</si>
  <si>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</si>
  <si>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</si>
  <si>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</si>
  <si>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</si>
  <si>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</si>
  <si>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</si>
  <si>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</si>
  <si>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</si>
  <si>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</si>
  <si>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</si>
  <si>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</si>
  <si>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</si>
  <si>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Updated metadata to newer form (with sites sheet). CH April 2013. </t>
  </si>
  <si>
    <t>2012_GS_ITEX_ShrubCanopy_DailyLogger.03</t>
  </si>
  <si>
    <t>HH24:Mi</t>
  </si>
  <si>
    <t>Version 4 corrected eml exel file name JimL 16May13</t>
  </si>
  <si>
    <t>knb-lter-arc.10143.4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</si>
</sst>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numFmt numFmtId="165" formatCode="[$-409]d\-mmm\-yy;@"/>
    <numFmt numFmtId="166" formatCode="dd\-mmm\-yyyy"/>
    <numFmt numFmtId="167" formatCode="0.00000"/>
    <numFmt numFmtId="168" formatCode="0.0"/>
  </numFmts>
  <fonts count="42" x14ac:knownFonts="1">
    <font>
      <sz val="11"/>
      <color theme="1"/>
      <name val="Calibri"/>
      <family val="2"/>
      <scheme val="minor"/>
    </font>
    <font>
      <sz val="11"/>
      <color indexed="8"/>
      <name val="Calibri"/>
      <family val="2"/>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0"/>
      <color indexed="10"/>
      <name val="Arial"/>
      <family val="2"/>
    </font>
    <font>
      <b/>
      <sz val="9"/>
      <color indexed="81"/>
      <name val="Tahoma"/>
      <family val="2"/>
    </font>
    <font>
      <b/>
      <sz val="8"/>
      <color indexed="39"/>
      <name val="Tahoma"/>
      <family val="2"/>
    </font>
    <font>
      <b/>
      <sz val="8"/>
      <color indexed="12"/>
      <name val="Arial"/>
      <family val="2"/>
    </font>
    <font>
      <b/>
      <sz val="8"/>
      <color indexed="10"/>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auto="1"/>
      </left>
      <right style="medium">
        <color indexed="64"/>
      </right>
      <top style="medium">
        <color indexed="64"/>
      </top>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s>
  <cellStyleXfs count="52">
    <xf numFmtId="0" fontId="0" fillId="0" borderId="0"/>
    <xf numFmtId="0" fontId="1"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2"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3" fillId="0" borderId="0"/>
    <xf numFmtId="0" fontId="3" fillId="0" borderId="0"/>
    <xf numFmtId="0" fontId="19" fillId="0" borderId="0"/>
    <xf numFmtId="0" fontId="19" fillId="0" borderId="0"/>
    <xf numFmtId="0" fontId="3" fillId="0" borderId="0"/>
    <xf numFmtId="0" fontId="3" fillId="0" borderId="0"/>
    <xf numFmtId="0" fontId="3" fillId="8" borderId="8" applyNumberFormat="0" applyFont="0" applyAlignment="0" applyProtection="0"/>
    <xf numFmtId="0" fontId="24" fillId="0" borderId="0" applyNumberFormat="0" applyFill="0" applyBorder="0" applyAlignment="0" applyProtection="0">
      <alignment vertical="top"/>
      <protection locked="0"/>
    </xf>
    <xf numFmtId="0" fontId="3" fillId="0" borderId="0"/>
  </cellStyleXfs>
  <cellXfs count="104">
    <xf numFmtId="0" fontId="0" fillId="0" borderId="0" xfId="0"/>
    <xf numFmtId="0" fontId="0" fillId="0" borderId="0" xfId="0" applyFill="1" applyBorder="1"/>
    <xf numFmtId="0" fontId="19" fillId="0" borderId="0" xfId="45" applyFont="1" applyProtection="1">
      <protection locked="0"/>
    </xf>
    <xf numFmtId="0" fontId="19" fillId="0" borderId="0" xfId="45" applyFont="1"/>
    <xf numFmtId="0" fontId="22" fillId="0" borderId="0" xfId="45" applyFont="1" applyProtection="1">
      <protection locked="0"/>
    </xf>
    <xf numFmtId="0" fontId="21" fillId="0" borderId="0" xfId="45" applyFont="1" applyProtection="1">
      <protection locked="0"/>
    </xf>
    <xf numFmtId="0" fontId="23" fillId="0" borderId="10" xfId="45" applyFont="1" applyFill="1" applyBorder="1" applyAlignment="1" applyProtection="1"/>
    <xf numFmtId="0" fontId="23" fillId="0" borderId="10" xfId="45" applyFont="1" applyFill="1" applyBorder="1" applyAlignment="1" applyProtection="1">
      <alignment horizontal="left"/>
    </xf>
    <xf numFmtId="0" fontId="20" fillId="0" borderId="0" xfId="45" applyFont="1" applyAlignment="1" applyProtection="1">
      <alignment vertical="top"/>
    </xf>
    <xf numFmtId="0" fontId="19" fillId="0" borderId="0" xfId="45" applyFont="1" applyAlignment="1" applyProtection="1">
      <alignment horizontal="left" wrapText="1"/>
      <protection locked="0"/>
    </xf>
    <xf numFmtId="0" fontId="23" fillId="0" borderId="14" xfId="45" applyFont="1" applyBorder="1" applyAlignment="1" applyProtection="1"/>
    <xf numFmtId="0" fontId="22" fillId="34" borderId="10" xfId="45" applyFont="1" applyFill="1" applyBorder="1" applyAlignment="1" applyProtection="1">
      <alignment vertical="top"/>
    </xf>
    <xf numFmtId="0" fontId="19" fillId="0" borderId="0" xfId="45" applyFont="1" applyFill="1" applyBorder="1"/>
    <xf numFmtId="0" fontId="19" fillId="0" borderId="0" xfId="45" applyFont="1" applyAlignment="1" applyProtection="1">
      <alignment vertical="top"/>
    </xf>
    <xf numFmtId="0" fontId="19" fillId="0" borderId="0" xfId="45" applyFont="1" applyAlignment="1" applyProtection="1">
      <protection locked="0"/>
    </xf>
    <xf numFmtId="0" fontId="19" fillId="0" borderId="0" xfId="45" applyNumberFormat="1" applyFont="1" applyAlignment="1" applyProtection="1">
      <alignment horizontal="left"/>
      <protection locked="0"/>
    </xf>
    <xf numFmtId="0" fontId="25" fillId="0" borderId="0" xfId="45" applyFont="1" applyAlignment="1" applyProtection="1">
      <protection locked="0"/>
    </xf>
    <xf numFmtId="0" fontId="19" fillId="36" borderId="10" xfId="45" applyFont="1" applyFill="1" applyBorder="1" applyAlignment="1" applyProtection="1">
      <alignment horizontal="left" wrapText="1"/>
      <protection locked="0"/>
    </xf>
    <xf numFmtId="0" fontId="19" fillId="0" borderId="0" xfId="45" applyFont="1" applyAlignment="1" applyProtection="1">
      <alignment vertical="top" wrapText="1"/>
    </xf>
    <xf numFmtId="0" fontId="26" fillId="34" borderId="10" xfId="45" applyFont="1" applyFill="1" applyBorder="1" applyAlignment="1" applyProtection="1">
      <alignment vertical="top" wrapText="1"/>
    </xf>
    <xf numFmtId="0" fontId="22" fillId="34" borderId="10" xfId="45" applyFont="1" applyFill="1" applyBorder="1" applyAlignment="1" applyProtection="1">
      <alignment horizontal="left" wrapText="1"/>
    </xf>
    <xf numFmtId="49" fontId="22" fillId="33" borderId="0" xfId="45" applyNumberFormat="1" applyFont="1" applyFill="1" applyBorder="1" applyAlignment="1" applyProtection="1">
      <alignment horizontal="right" vertical="top"/>
    </xf>
    <xf numFmtId="49" fontId="19" fillId="37" borderId="10" xfId="45" applyNumberFormat="1" applyFont="1" applyFill="1" applyBorder="1" applyAlignment="1" applyProtection="1">
      <alignment horizontal="left" wrapText="1"/>
      <protection locked="0"/>
    </xf>
    <xf numFmtId="49" fontId="19" fillId="0" borderId="0" xfId="45" applyNumberFormat="1" applyFont="1"/>
    <xf numFmtId="0" fontId="19" fillId="0" borderId="0" xfId="45" applyFont="1" applyFill="1" applyBorder="1" applyAlignment="1" applyProtection="1">
      <alignment horizontal="right" vertical="top"/>
    </xf>
    <xf numFmtId="0" fontId="19" fillId="0" borderId="0" xfId="45" applyFont="1" applyFill="1" applyAlignment="1" applyProtection="1">
      <alignment horizontal="left" wrapText="1"/>
      <protection locked="0"/>
    </xf>
    <xf numFmtId="0" fontId="19" fillId="0" borderId="0" xfId="45" applyFont="1" applyFill="1" applyProtection="1">
      <protection locked="0"/>
    </xf>
    <xf numFmtId="0" fontId="19" fillId="0" borderId="0" xfId="45" applyFont="1" applyFill="1" applyAlignment="1" applyProtection="1">
      <alignment horizontal="right" vertical="top" wrapText="1"/>
    </xf>
    <xf numFmtId="0" fontId="22" fillId="34" borderId="10" xfId="45" applyNumberFormat="1" applyFont="1" applyFill="1" applyBorder="1" applyAlignment="1" applyProtection="1">
      <alignment vertical="top" wrapText="1"/>
    </xf>
    <xf numFmtId="0" fontId="19" fillId="0" borderId="0" xfId="45" applyFont="1" applyBorder="1" applyAlignment="1" applyProtection="1">
      <alignment horizontal="left" wrapText="1"/>
      <protection locked="0"/>
    </xf>
    <xf numFmtId="0" fontId="23" fillId="0" borderId="10" xfId="45" applyFont="1" applyFill="1" applyBorder="1" applyAlignment="1" applyProtection="1">
      <alignment horizontal="right"/>
    </xf>
    <xf numFmtId="0" fontId="23" fillId="0" borderId="14" xfId="45" applyFont="1" applyBorder="1" applyAlignment="1"/>
    <xf numFmtId="0" fontId="22" fillId="38" borderId="0" xfId="45" applyNumberFormat="1" applyFont="1" applyFill="1" applyAlignment="1" applyProtection="1">
      <alignment horizontal="right" vertical="top" wrapText="1"/>
    </xf>
    <xf numFmtId="0" fontId="22" fillId="38" borderId="0" xfId="45" applyFont="1" applyFill="1" applyAlignment="1" applyProtection="1">
      <alignment horizontal="right" vertical="top" wrapText="1"/>
    </xf>
    <xf numFmtId="166" fontId="19" fillId="35" borderId="10" xfId="45" applyNumberFormat="1" applyFont="1" applyFill="1" applyBorder="1" applyAlignment="1" applyProtection="1">
      <alignment horizontal="left" wrapText="1"/>
      <protection locked="0"/>
    </xf>
    <xf numFmtId="0" fontId="22" fillId="38" borderId="0" xfId="45" applyFont="1" applyFill="1" applyAlignment="1" applyProtection="1">
      <alignment horizontal="right" vertical="top"/>
    </xf>
    <xf numFmtId="0" fontId="22" fillId="38" borderId="0" xfId="45" applyFont="1" applyFill="1" applyBorder="1" applyAlignment="1" applyProtection="1">
      <alignment horizontal="right" vertical="top"/>
    </xf>
    <xf numFmtId="0" fontId="19" fillId="35" borderId="10" xfId="45" applyFont="1" applyFill="1" applyBorder="1" applyAlignment="1" applyProtection="1">
      <alignment horizontal="left" vertical="top" wrapText="1"/>
      <protection locked="0"/>
    </xf>
    <xf numFmtId="0" fontId="22" fillId="34" borderId="17" xfId="45" applyFont="1" applyFill="1" applyBorder="1" applyAlignment="1" applyProtection="1">
      <alignment horizontal="left" vertical="top"/>
    </xf>
    <xf numFmtId="0" fontId="22" fillId="38" borderId="0" xfId="45" applyFont="1" applyFill="1" applyBorder="1" applyAlignment="1" applyProtection="1">
      <alignment horizontal="left" vertical="top"/>
    </xf>
    <xf numFmtId="0" fontId="19" fillId="35" borderId="15" xfId="45" applyFont="1" applyFill="1" applyBorder="1" applyAlignment="1" applyProtection="1">
      <alignment horizontal="left" wrapText="1"/>
      <protection locked="0"/>
    </xf>
    <xf numFmtId="0" fontId="19" fillId="35" borderId="18" xfId="45" applyFont="1" applyFill="1" applyBorder="1" applyAlignment="1" applyProtection="1">
      <alignment horizontal="left" wrapText="1"/>
      <protection locked="0"/>
    </xf>
    <xf numFmtId="0" fontId="22" fillId="34" borderId="10" xfId="45" applyFont="1" applyFill="1" applyBorder="1" applyAlignment="1" applyProtection="1">
      <alignment horizontal="left" vertical="top"/>
    </xf>
    <xf numFmtId="0" fontId="19" fillId="0" borderId="10" xfId="45" applyFont="1" applyBorder="1" applyAlignment="1" applyProtection="1">
      <alignment horizontal="left" wrapText="1"/>
      <protection locked="0"/>
    </xf>
    <xf numFmtId="0" fontId="22" fillId="0" borderId="0" xfId="45" applyFont="1" applyFill="1" applyBorder="1" applyAlignment="1" applyProtection="1">
      <alignment horizontal="right" vertical="top"/>
    </xf>
    <xf numFmtId="0" fontId="19" fillId="0" borderId="0" xfId="45" applyFont="1" applyFill="1" applyBorder="1" applyAlignment="1" applyProtection="1">
      <alignment horizontal="left" wrapText="1"/>
      <protection locked="0"/>
    </xf>
    <xf numFmtId="0" fontId="22" fillId="34" borderId="10" xfId="45" applyFont="1" applyFill="1" applyBorder="1" applyAlignment="1" applyProtection="1">
      <alignment wrapText="1"/>
    </xf>
    <xf numFmtId="0" fontId="22" fillId="38" borderId="0" xfId="45" applyFont="1" applyFill="1" applyBorder="1" applyAlignment="1" applyProtection="1">
      <alignment horizontal="right" wrapText="1"/>
    </xf>
    <xf numFmtId="0" fontId="22" fillId="38" borderId="13" xfId="45" applyFont="1" applyFill="1" applyBorder="1" applyAlignment="1" applyProtection="1">
      <alignment horizontal="right" wrapText="1"/>
    </xf>
    <xf numFmtId="0" fontId="22" fillId="34" borderId="10" xfId="45" applyFont="1" applyFill="1" applyBorder="1" applyAlignment="1" applyProtection="1">
      <alignment vertical="top" wrapText="1"/>
    </xf>
    <xf numFmtId="0" fontId="25" fillId="0" borderId="0" xfId="45" applyFont="1"/>
    <xf numFmtId="0" fontId="19" fillId="0" borderId="0" xfId="45" applyFont="1" applyAlignment="1" applyProtection="1"/>
    <xf numFmtId="0" fontId="19" fillId="0" borderId="0" xfId="45" applyNumberFormat="1" applyFont="1" applyAlignment="1" applyProtection="1">
      <protection locked="0"/>
    </xf>
    <xf numFmtId="0" fontId="19" fillId="0" borderId="0" xfId="45" applyFont="1" applyFill="1" applyAlignment="1" applyProtection="1">
      <alignment vertical="center"/>
      <protection locked="0"/>
    </xf>
    <xf numFmtId="0" fontId="19" fillId="0" borderId="0" xfId="45" applyFont="1" applyAlignment="1" applyProtection="1">
      <alignment vertical="center"/>
      <protection locked="0"/>
    </xf>
    <xf numFmtId="0" fontId="22" fillId="34" borderId="19" xfId="45" applyFont="1" applyFill="1" applyBorder="1" applyAlignment="1" applyProtection="1">
      <alignment horizontal="left"/>
    </xf>
    <xf numFmtId="0" fontId="19" fillId="34" borderId="16" xfId="45" applyNumberFormat="1" applyFont="1" applyFill="1" applyBorder="1" applyAlignment="1" applyProtection="1">
      <alignment horizontal="left"/>
    </xf>
    <xf numFmtId="0" fontId="22" fillId="34" borderId="11" xfId="45" applyFont="1" applyFill="1" applyBorder="1" applyAlignment="1" applyProtection="1">
      <alignment horizontal="right" wrapText="1"/>
    </xf>
    <xf numFmtId="0" fontId="19" fillId="35" borderId="13" xfId="45" applyFont="1" applyFill="1" applyBorder="1" applyAlignment="1" applyProtection="1">
      <alignment horizontal="left"/>
      <protection locked="0"/>
    </xf>
    <xf numFmtId="0" fontId="19" fillId="37" borderId="14" xfId="45" applyFont="1" applyFill="1" applyBorder="1" applyAlignment="1" applyProtection="1">
      <protection locked="0"/>
    </xf>
    <xf numFmtId="0" fontId="22" fillId="34" borderId="13" xfId="45" applyFont="1" applyFill="1" applyBorder="1" applyAlignment="1" applyProtection="1">
      <alignment horizontal="right"/>
    </xf>
    <xf numFmtId="0" fontId="19" fillId="35" borderId="11" xfId="45" applyFont="1" applyFill="1" applyBorder="1" applyAlignment="1" applyProtection="1">
      <alignment horizontal="left"/>
      <protection locked="0"/>
    </xf>
    <xf numFmtId="0" fontId="19" fillId="37" borderId="12" xfId="45" applyFont="1" applyFill="1" applyBorder="1" applyAlignment="1" applyProtection="1">
      <protection locked="0"/>
    </xf>
    <xf numFmtId="0" fontId="22" fillId="0" borderId="0" xfId="45" applyFont="1" applyAlignment="1" applyProtection="1">
      <alignment horizontal="center" vertical="top"/>
    </xf>
    <xf numFmtId="0" fontId="22" fillId="34" borderId="10" xfId="45" applyFont="1" applyFill="1" applyBorder="1" applyAlignment="1" applyProtection="1">
      <alignment horizontal="right" vertical="top"/>
    </xf>
    <xf numFmtId="0" fontId="28" fillId="0" borderId="0" xfId="45" applyFont="1"/>
    <xf numFmtId="0" fontId="22" fillId="38" borderId="10" xfId="45" applyFont="1" applyFill="1" applyBorder="1" applyAlignment="1" applyProtection="1">
      <alignment vertical="center" wrapText="1"/>
    </xf>
    <xf numFmtId="0" fontId="22" fillId="38" borderId="10" xfId="45" applyFont="1" applyFill="1" applyBorder="1" applyAlignment="1" applyProtection="1">
      <alignment horizontal="left" vertical="center" wrapText="1"/>
    </xf>
    <xf numFmtId="0" fontId="22" fillId="0" borderId="0" xfId="45" applyFont="1" applyFill="1" applyBorder="1" applyAlignment="1" applyProtection="1">
      <alignment vertical="center" wrapText="1"/>
    </xf>
    <xf numFmtId="0" fontId="29" fillId="0" borderId="0" xfId="45" applyFont="1"/>
    <xf numFmtId="0" fontId="19" fillId="0" borderId="0" xfId="45" applyFont="1" applyAlignment="1" applyProtection="1">
      <alignment vertical="top" wrapText="1"/>
      <protection locked="0"/>
    </xf>
    <xf numFmtId="0" fontId="19" fillId="0" borderId="0" xfId="45" applyFont="1" applyAlignment="1" applyProtection="1">
      <alignment wrapText="1"/>
      <protection locked="0"/>
    </xf>
    <xf numFmtId="0" fontId="19" fillId="0" borderId="0" xfId="45" applyFont="1" applyAlignment="1">
      <alignment vertical="center" wrapText="1"/>
    </xf>
    <xf numFmtId="0" fontId="19" fillId="0" borderId="0" xfId="45" applyFont="1" applyAlignment="1">
      <alignment vertical="top"/>
    </xf>
    <xf numFmtId="0" fontId="2" fillId="0" borderId="0" xfId="0" applyFont="1" applyFill="1" applyBorder="1" applyAlignment="1">
      <alignment horizontal="center" wrapText="1"/>
    </xf>
    <xf numFmtId="165" fontId="2" fillId="0" borderId="0" xfId="0" applyNumberFormat="1" applyFont="1" applyFill="1" applyBorder="1" applyAlignment="1">
      <alignment horizontal="center" wrapText="1"/>
    </xf>
    <xf numFmtId="164" fontId="2" fillId="0" borderId="0" xfId="0" applyNumberFormat="1" applyFont="1" applyFill="1" applyBorder="1" applyAlignment="1">
      <alignment horizontal="center" wrapText="1"/>
    </xf>
    <xf numFmtId="165" fontId="0" fillId="0" borderId="0" xfId="0" applyNumberFormat="1" applyFill="1" applyBorder="1"/>
    <xf numFmtId="164" fontId="0" fillId="0" borderId="0" xfId="0" applyNumberFormat="1" applyFill="1" applyBorder="1" applyAlignment="1">
      <alignment horizontal="center"/>
    </xf>
    <xf numFmtId="0" fontId="24" fillId="0" borderId="13" xfId="50" applyFill="1" applyBorder="1" applyAlignment="1" applyProtection="1">
      <alignment horizontal="left"/>
    </xf>
    <xf numFmtId="0" fontId="22" fillId="0" borderId="0" xfId="45" applyFont="1" applyFill="1" applyBorder="1" applyAlignment="1" applyProtection="1">
      <alignment horizontal="left" wrapText="1"/>
      <protection locked="0"/>
    </xf>
    <xf numFmtId="0" fontId="19" fillId="0" borderId="0" xfId="45" applyFont="1" applyFill="1" applyBorder="1" applyAlignment="1"/>
    <xf numFmtId="0" fontId="37" fillId="0" borderId="0" xfId="45" applyFont="1"/>
    <xf numFmtId="0" fontId="19" fillId="0" borderId="0" xfId="45" applyFont="1" applyAlignment="1" applyProtection="1">
      <alignment horizontal="left"/>
      <protection locked="0"/>
    </xf>
    <xf numFmtId="0" fontId="24" fillId="35" borderId="10" xfId="50" applyFill="1" applyBorder="1" applyAlignment="1" applyProtection="1">
      <alignment horizontal="left" vertical="top" wrapText="1"/>
    </xf>
    <xf numFmtId="0" fontId="22" fillId="38" borderId="0" xfId="45" applyFont="1" applyFill="1" applyBorder="1" applyAlignment="1" applyProtection="1">
      <alignment horizontal="right" vertical="top" wrapText="1"/>
    </xf>
    <xf numFmtId="0" fontId="19" fillId="39" borderId="10" xfId="45" applyFont="1" applyFill="1" applyBorder="1" applyAlignment="1" applyProtection="1">
      <alignment horizontal="center" wrapText="1"/>
      <protection locked="0"/>
    </xf>
    <xf numFmtId="0" fontId="19" fillId="0" borderId="0" xfId="45" applyFont="1" applyAlignment="1" applyProtection="1">
      <alignment horizontal="right" vertical="top"/>
    </xf>
    <xf numFmtId="0" fontId="19" fillId="0" borderId="0" xfId="45"/>
    <xf numFmtId="0" fontId="40" fillId="0" borderId="0" xfId="45" applyFont="1" applyAlignment="1">
      <alignment horizontal="center" wrapText="1"/>
    </xf>
    <xf numFmtId="0" fontId="40" fillId="0" borderId="0" xfId="45" applyFont="1" applyAlignment="1">
      <alignment wrapText="1"/>
    </xf>
    <xf numFmtId="167" fontId="40" fillId="0" borderId="0" xfId="45" applyNumberFormat="1" applyFont="1" applyAlignment="1">
      <alignment wrapText="1"/>
    </xf>
    <xf numFmtId="1" fontId="40" fillId="0" borderId="0" xfId="45" applyNumberFormat="1" applyFont="1" applyAlignment="1">
      <alignment wrapText="1"/>
    </xf>
    <xf numFmtId="0" fontId="41" fillId="0" borderId="0" xfId="45" applyFont="1" applyAlignment="1">
      <alignment horizontal="center" wrapText="1"/>
    </xf>
    <xf numFmtId="0" fontId="24" fillId="0" borderId="0" xfId="50" applyAlignment="1" applyProtection="1"/>
    <xf numFmtId="0" fontId="19" fillId="0" borderId="0" xfId="45" applyAlignment="1"/>
    <xf numFmtId="1" fontId="19" fillId="0" borderId="0" xfId="45" applyNumberFormat="1"/>
    <xf numFmtId="168" fontId="2" fillId="0" borderId="0" xfId="0" applyNumberFormat="1" applyFont="1" applyFill="1" applyBorder="1" applyAlignment="1">
      <alignment horizontal="center" wrapText="1"/>
    </xf>
    <xf numFmtId="168" fontId="0" fillId="0" borderId="0" xfId="0" applyNumberFormat="1" applyFill="1" applyBorder="1"/>
    <xf numFmtId="168" fontId="0" fillId="0" borderId="0" xfId="0" applyNumberFormat="1" applyFont="1" applyFill="1" applyBorder="1" applyAlignment="1">
      <alignment horizontal="center"/>
    </xf>
    <xf numFmtId="0" fontId="19" fillId="35" borderId="13" xfId="45" applyFont="1" applyFill="1" applyBorder="1" applyAlignment="1" applyProtection="1">
      <alignment horizontal="left" wrapText="1"/>
      <protection locked="0"/>
    </xf>
    <xf numFmtId="0" fontId="19" fillId="0" borderId="14" xfId="45" applyFont="1" applyBorder="1" applyAlignment="1"/>
    <xf numFmtId="0" fontId="22" fillId="0" borderId="0" xfId="45" applyFont="1" applyFill="1" applyBorder="1" applyAlignment="1" applyProtection="1">
      <alignment horizontal="left" wrapText="1"/>
      <protection locked="0"/>
    </xf>
    <xf numFmtId="0" fontId="19" fillId="0" borderId="0" xfId="45" applyFont="1" applyFill="1" applyBorder="1" applyAlignment="1"/>
  </cellXfs>
  <cellStyles count="52">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50" builtinId="8"/>
    <cellStyle name="Input" xfId="10" builtinId="20" customBuiltin="1"/>
    <cellStyle name="Linked Cell" xfId="13" builtinId="24" customBuiltin="1"/>
    <cellStyle name="Neutral" xfId="9" builtinId="28" customBuiltin="1"/>
    <cellStyle name="Normal" xfId="0" builtinId="0"/>
    <cellStyle name="Normal 2" xfId="45"/>
    <cellStyle name="Normal 2 2" xfId="46"/>
    <cellStyle name="Normal 3" xfId="47"/>
    <cellStyle name="Normal 4" xfId="1"/>
    <cellStyle name="Normal 5" xfId="48"/>
    <cellStyle name="Normal 5 2" xfId="51"/>
    <cellStyle name="Normal 6" xfId="43"/>
    <cellStyle name="Normal 7" xfId="44"/>
    <cellStyle name="Note" xfId="16" builtinId="10" customBuiltin="1"/>
    <cellStyle name="Note 2" xfId="49"/>
    <cellStyle name="Output" xfId="11" builtinId="21" customBuiltin="1"/>
    <cellStyle name="Title" xfId="2" builtinId="15" customBuiltin="1"/>
    <cellStyle name="Total" xfId="18" builtinId="25" customBuiltin="1"/>
    <cellStyle name="Warning Text" xfId="15"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colors>
    <mruColors>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15</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This file contains limited daily summaries of PAR, relative humidity, and temperature data monitored above, within, and below  Betula nana and Salix pulchra shrub canopies at two locations near Toolik Lake, Alaska during the summer of 2012.  The location of the PAR sensor and dataloggers were co-located with the LTER shrub plots (block 1 and 2), also used for the chamber flux and point frame measurements taken this same year.  There were two logging sites (block 1 and 2), each of which had PAR five PAR sensors, two for each shrub canopy and one above, as well as three sensors to log relative humidity and temperature.  This file contains maximum PAR, total daily PAR, and daily average temperature data, as well as intermittant maximum and minimum values for temperature and relative humidity. Data monitored every five minutes is available in the file "ShrubCanopy_InstantLogger". </a:t>
          </a:r>
        </a:p>
      </xdr:txBody>
    </xdr:sp>
    <xdr:clientData fLocksWithSheet="0"/>
  </xdr:twoCellAnchor>
  <xdr:twoCellAnchor>
    <xdr:from>
      <xdr:col>1</xdr:col>
      <xdr:colOff>30480</xdr:colOff>
      <xdr:row>68</xdr:row>
      <xdr:rowOff>17145</xdr:rowOff>
    </xdr:from>
    <xdr:to>
      <xdr:col>6</xdr:col>
      <xdr:colOff>817247</xdr:colOff>
      <xdr:row>134</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Automated Data Logging
In order to monitor canopy conditions of the shrub species of interest--Betula nana and Salix pulchra--two CR1000 dataloggers (Campbell Scientific, 815 W. 1800, North Logan, UT, USA) were installed at the sites used for the ITEX shrub canopy studies at Toolik Field Station in Alaska the summer of 2012.  The sites (see "Group" category) are labeled as "Upland" and "Outlet"--descriptions of the sample site in relation to Toolik Lake.  The Upland site is colocated with Block 1 of the LTER shrub vegetation plots; the Outlet site is colocated with Block 2.  The dataloggers were adjacent to, rather than within, LTER plots.
Both the Upland and Outlet datalogger had the following sensors which logged every five minutes:
(5) Photosynthetically active radiation (PAR) sensors:  LI-190SB Quantum Sensor (Li-Cor Biosciences, 4647 Superior St, Lincoln, NE, USA)
     * Sensors were placed as follows: (1) Above all vegetation at a height of 2.2 meters
		        (1) Mid-way within the B. nana canopies (approximately 40 cm above the soil)
		        (1) Mid-way within the S. pulchra canopies (approximately 40 cm above the soil)
		        (1) Below the B. nana canopies (approximately 10 cm above the soil)
		        (1) Below the S. pulchra canopies (approximately 10 cm above the soil)
(3) Relative humidity (RH) and temperature sensors:  HMP50/HMP60 Probe (Campbell Scientific, North Logan, UT, USA)
     * Sensors each had either a 6- or 10-plate radiation shield (Campbell Scientific model  41303-5A or 41003-5)
     * Sensors were placed as follows: (1) Above all vegetation at a height of 2 meters
		        (1) Below the B. nana canopies (approximately 10 cm above the soil)
		        (1) Below the S. pulchra canopies (approximately 10 cm above the soil)
These instantaneous data are available in the file "Instant_Logger".  The extreme values that sensors encountered were also recorded; these are included in this file.
The temperature monitoring performed by the datalogger itself (maximum and average daily temperatures) do not represent direct air temperatures as the datalogger was housed in a sealed, white, hard-plastic box mounted approximately 1.5 meters above the ground.  
SunScan LAI and PAR Measurements: 
As with other measurments collected the summer 2012 for the ITEX project at Toolik Field Station, a Delta-T SunScan wand (Delta-T Devices Ltd, Burwell Cambridge, UK) was use to characterize the shrub canopies with the dataloggers.  These data are included in the datasets: "SunScan_LAI_Data" and "SunScan_PAR_Data".  The methods used for each are described below.
The methods used to collect PAR at many heights within each canopy were the same used to collect LAI, with the difference being the setting on the SunScan wand.  The measurements were taken near the end of the growing season when leaves were already beginning to senesce.  Additionally, while these measurements are traditionally made in conjunction with a Beam Fraction sensor (BF3), this sensor was malfunctioning when the datalogger sites were sampled , and thus it was not used.  Instead of the BF3 sensor, wand measurements above the canopy were made immediately prior to each data measurement to record the ambiant total irradiance levels.
Readings were taken by inserting the SunScan wand near to the ground as possible--typically starting at 5 centimeters from the ground (the wand rested atop the moss layer)--and then repeated every 15 cm with the last measurement being above the canopy.  Measurements were taken with the field technician opposite the direction of the sun at five locations within the canopy at each height.  Five replicates were taken at each height in the canopy immediately surrounding the datalogger sensors; this differs from the ITEX samples which had three replicate scans at each height.
The weather conditions during these measurements were almost uniform cloud cover; thus nearly all of the measurements were taken under "diffuse" light conditions (diffuse light fraction greater than 0.7).  The measurements taken with "direct" light conditions were taken on partly cloudy days.
The SunScan wand measures PAR along 64 points along a 1-m horizontal profile.  When sampling PAR within the shrub canopy, the data are from the raw output from each PAR sensor.  When sampling LAI, there is an internal calculation performed though the Delta-T software that compares the reading above the canopy to the reading within the canopy, and takes into account the percent of absorbed PAR (assumed to be 0.85), and the ellipsoidal leaf angle distribution parameter (ELADP*) (assumed to be 1.0).  
In addition to the LAI values, the Delta-T SunScan instrument gives an output of other variables including: transmitted light, spread among sensors, beam fraction, and zenith angle.  These values are further described here: 
Transmitted Light:  the fraction of incident light that passes through a given canopy. It can refer to Direct, Diffuse, or Total incident light. 
Spread: the standard deviation of the 64-PAR sensors on the SunScan wand.
Beam Fraction: the fraction of the Total incident PAR in the Direct beam. 
Zenith Angle:  the angle between the centre of the sun and the point directly overhead. 
Zenith angles are calculated from latitude, longitude, and local time using standard astronomical equations as given in Practical Astronomy.  The location used to determine the local zenith angle was: 68° 37' 39" N, Longitude 149° 35' 51" W.
*"ELADP is a way of characterizing the horizontal or vertical tendency of leaves in a canopy." p 37 of SS1 User Manual v2.0 (SunScan Canopy Analysis System, type SS1. Delta-T Devices Ltd. May 19, 2008)
 </a:t>
          </a:r>
        </a:p>
      </xdr:txBody>
    </xdr:sp>
    <xdr:clientData fLocksWithSheet="0"/>
  </xdr:twoCellAnchor>
  <xdr:twoCellAnchor>
    <xdr:from>
      <xdr:col>1</xdr:col>
      <xdr:colOff>19050</xdr:colOff>
      <xdr:row>139</xdr:row>
      <xdr:rowOff>152400</xdr:rowOff>
    </xdr:from>
    <xdr:to>
      <xdr:col>3</xdr:col>
      <xdr:colOff>2076450</xdr:colOff>
      <xdr:row>146</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For Delta-T SunScan wand used to measure PAR and LAI: 
SS1 User Manual v2.0. Delta-T Devices Ltd., May 19, 2008. </a:t>
          </a:r>
        </a:p>
      </xdr:txBody>
    </xdr:sp>
    <xdr:clientData fLocksWithSheet="0"/>
  </xdr:twoCellAnchor>
  <xdr:twoCellAnchor>
    <xdr:from>
      <xdr:col>0</xdr:col>
      <xdr:colOff>60960</xdr:colOff>
      <xdr:row>6</xdr:row>
      <xdr:rowOff>38099</xdr:rowOff>
    </xdr:from>
    <xdr:to>
      <xdr:col>0</xdr:col>
      <xdr:colOff>1590790</xdr:colOff>
      <xdr:row>14</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69</xdr:row>
      <xdr:rowOff>121920</xdr:rowOff>
    </xdr:from>
    <xdr:to>
      <xdr:col>0</xdr:col>
      <xdr:colOff>1727751</xdr:colOff>
      <xdr:row>83</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3&amp;amp;urlTail=terrest/tracegas/data/2012_GS_ITEX_ShrubCanopy_DailyLogger.csv" TargetMode="External"/><Relationship Id="rId1" Type="http://schemas.openxmlformats.org/officeDocument/2006/relationships/hyperlink" Target="http://ecosystems.mbl.edu/ARC/meta_template.php?FileName=./terrest/tracegas/xlsfiles/2012_GS_ITEX_ShrubCanopy_DailyLogger.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73"/>
  <sheetViews>
    <sheetView tabSelected="1" zoomScale="96" zoomScaleNormal="96" workbookViewId="0">
      <selection activeCell="B4" sqref="B4"/>
    </sheetView>
  </sheetViews>
  <sheetFormatPr defaultColWidth="8.85546875" defaultRowHeight="12.75" x14ac:dyDescent="0.2"/>
  <cols>
    <col min="1" max="1" width="26.140625" style="73" customWidth="1"/>
    <col min="2" max="2" width="46" style="9" bestFit="1" customWidth="1"/>
    <col min="3" max="4" width="30.7109375" style="2" customWidth="1"/>
    <col min="5" max="9" width="30.7109375" style="3" customWidth="1"/>
    <col min="10" max="16384" width="8.85546875" style="3"/>
  </cols>
  <sheetData>
    <row r="1" spans="1:6" ht="18" x14ac:dyDescent="0.25">
      <c r="A1" s="8" t="s">
        <v>24</v>
      </c>
      <c r="C1" s="5"/>
      <c r="D1" s="4"/>
    </row>
    <row r="2" spans="1:6" hidden="1" x14ac:dyDescent="0.2">
      <c r="A2" s="6" t="s">
        <v>25</v>
      </c>
      <c r="B2" s="7" t="s">
        <v>1676</v>
      </c>
    </row>
    <row r="3" spans="1:6" hidden="1" x14ac:dyDescent="0.2">
      <c r="A3" s="6" t="s">
        <v>26</v>
      </c>
      <c r="B3" s="7">
        <v>2012</v>
      </c>
    </row>
    <row r="4" spans="1:6" hidden="1" x14ac:dyDescent="0.2">
      <c r="A4" s="6" t="s">
        <v>27</v>
      </c>
      <c r="B4" s="79" t="s">
        <v>342</v>
      </c>
      <c r="C4" s="10"/>
    </row>
    <row r="5" spans="1:6" ht="22.5" customHeight="1" x14ac:dyDescent="0.2">
      <c r="A5" s="11" t="s">
        <v>28</v>
      </c>
      <c r="B5" s="100" t="s">
        <v>335</v>
      </c>
      <c r="C5" s="101"/>
      <c r="D5" s="3"/>
    </row>
    <row r="6" spans="1:6" ht="12.75" customHeight="1" x14ac:dyDescent="0.2">
      <c r="A6" s="11" t="s">
        <v>29</v>
      </c>
      <c r="B6" s="3"/>
      <c r="C6" s="3"/>
      <c r="D6" s="3"/>
      <c r="E6" s="12"/>
      <c r="F6" s="12"/>
    </row>
    <row r="7" spans="1:6" s="14" customFormat="1" x14ac:dyDescent="0.2">
      <c r="A7" s="13"/>
      <c r="B7" s="102"/>
      <c r="C7" s="103"/>
      <c r="D7" s="103"/>
    </row>
    <row r="8" spans="1:6" s="14" customFormat="1" x14ac:dyDescent="0.2">
      <c r="A8" s="13"/>
      <c r="B8" s="80"/>
      <c r="C8" s="81"/>
      <c r="D8" s="81"/>
    </row>
    <row r="9" spans="1:6" s="14" customFormat="1" x14ac:dyDescent="0.2">
      <c r="A9" s="13"/>
      <c r="B9" s="80"/>
      <c r="C9" s="81"/>
      <c r="D9" s="81"/>
    </row>
    <row r="10" spans="1:6" s="14" customFormat="1" x14ac:dyDescent="0.2">
      <c r="A10" s="13"/>
      <c r="B10" s="80"/>
      <c r="C10" s="81"/>
      <c r="D10" s="81"/>
    </row>
    <row r="11" spans="1:6" s="14" customFormat="1" x14ac:dyDescent="0.2">
      <c r="A11" s="13"/>
      <c r="B11" s="80"/>
      <c r="C11" s="81"/>
      <c r="D11" s="81"/>
    </row>
    <row r="12" spans="1:6" s="14" customFormat="1" x14ac:dyDescent="0.2">
      <c r="A12" s="13"/>
      <c r="B12" s="15"/>
    </row>
    <row r="13" spans="1:6" s="14" customFormat="1" x14ac:dyDescent="0.2">
      <c r="A13" s="13"/>
      <c r="B13" s="15"/>
    </row>
    <row r="14" spans="1:6" s="14" customFormat="1" x14ac:dyDescent="0.2">
      <c r="A14" s="13"/>
      <c r="B14" s="15"/>
    </row>
    <row r="15" spans="1:6" s="14" customFormat="1" ht="15" x14ac:dyDescent="0.2">
      <c r="A15" s="13"/>
      <c r="B15" s="16"/>
    </row>
    <row r="16" spans="1:6" s="14" customFormat="1" ht="15" x14ac:dyDescent="0.2">
      <c r="A16" s="13"/>
      <c r="B16" s="16"/>
    </row>
    <row r="17" spans="1:9" x14ac:dyDescent="0.2">
      <c r="A17" s="11" t="s">
        <v>30</v>
      </c>
      <c r="B17" s="17" t="s">
        <v>1673</v>
      </c>
    </row>
    <row r="18" spans="1:9" x14ac:dyDescent="0.2">
      <c r="A18" s="18"/>
    </row>
    <row r="19" spans="1:9" x14ac:dyDescent="0.2">
      <c r="A19" s="19" t="s">
        <v>31</v>
      </c>
      <c r="B19" s="20" t="s">
        <v>32</v>
      </c>
      <c r="C19" s="20" t="s">
        <v>33</v>
      </c>
      <c r="D19" s="20" t="s">
        <v>34</v>
      </c>
      <c r="E19" s="20" t="s">
        <v>35</v>
      </c>
      <c r="F19" s="20" t="s">
        <v>36</v>
      </c>
      <c r="G19" s="20" t="s">
        <v>37</v>
      </c>
      <c r="H19" s="20" t="s">
        <v>38</v>
      </c>
      <c r="I19" s="20" t="s">
        <v>39</v>
      </c>
    </row>
    <row r="20" spans="1:9" x14ac:dyDescent="0.2">
      <c r="A20" s="21" t="s">
        <v>40</v>
      </c>
      <c r="B20" s="22" t="s">
        <v>41</v>
      </c>
      <c r="C20" s="22" t="s">
        <v>42</v>
      </c>
      <c r="D20" s="22" t="s">
        <v>42</v>
      </c>
      <c r="E20" s="22" t="s">
        <v>43</v>
      </c>
      <c r="F20" s="22" t="s">
        <v>44</v>
      </c>
      <c r="G20" s="22"/>
      <c r="H20" s="22"/>
      <c r="I20" s="22"/>
    </row>
    <row r="21" spans="1:9" s="23" customFormat="1" x14ac:dyDescent="0.2">
      <c r="A21" s="21" t="s">
        <v>45</v>
      </c>
      <c r="B21" s="22" t="s">
        <v>46</v>
      </c>
      <c r="C21" s="22" t="s">
        <v>47</v>
      </c>
      <c r="D21" s="22" t="s">
        <v>48</v>
      </c>
      <c r="E21" s="22" t="s">
        <v>49</v>
      </c>
      <c r="F21" s="22" t="s">
        <v>50</v>
      </c>
      <c r="G21" s="22"/>
      <c r="H21" s="22"/>
      <c r="I21" s="22"/>
    </row>
    <row r="22" spans="1:9" s="23" customFormat="1" x14ac:dyDescent="0.2">
      <c r="A22" s="21" t="s">
        <v>51</v>
      </c>
      <c r="B22" s="22" t="s">
        <v>52</v>
      </c>
      <c r="C22" s="22" t="s">
        <v>53</v>
      </c>
      <c r="D22" s="22" t="s">
        <v>54</v>
      </c>
      <c r="E22" s="22" t="s">
        <v>55</v>
      </c>
      <c r="F22" s="22" t="s">
        <v>56</v>
      </c>
      <c r="G22" s="22"/>
      <c r="H22" s="22"/>
      <c r="I22" s="22"/>
    </row>
    <row r="23" spans="1:9" s="23" customFormat="1" x14ac:dyDescent="0.2">
      <c r="A23" s="21" t="s">
        <v>57</v>
      </c>
      <c r="B23" s="22" t="s">
        <v>58</v>
      </c>
      <c r="C23" s="22" t="s">
        <v>59</v>
      </c>
      <c r="D23" s="22" t="s">
        <v>60</v>
      </c>
      <c r="E23" s="22" t="s">
        <v>61</v>
      </c>
      <c r="F23" s="22" t="s">
        <v>62</v>
      </c>
      <c r="G23" s="22"/>
      <c r="H23" s="22"/>
      <c r="I23" s="22"/>
    </row>
    <row r="24" spans="1:9" s="23" customFormat="1" ht="25.5" x14ac:dyDescent="0.2">
      <c r="A24" s="21" t="s">
        <v>63</v>
      </c>
      <c r="B24" s="22" t="s">
        <v>64</v>
      </c>
      <c r="C24" s="22" t="s">
        <v>64</v>
      </c>
      <c r="D24" s="22" t="s">
        <v>65</v>
      </c>
      <c r="E24" s="22" t="s">
        <v>64</v>
      </c>
      <c r="F24" s="22" t="s">
        <v>64</v>
      </c>
      <c r="G24" s="22"/>
      <c r="H24" s="22"/>
      <c r="I24" s="22"/>
    </row>
    <row r="25" spans="1:9" s="23" customFormat="1" x14ac:dyDescent="0.2">
      <c r="A25" s="21" t="s">
        <v>66</v>
      </c>
      <c r="B25" s="22" t="s">
        <v>67</v>
      </c>
      <c r="C25" s="22" t="s">
        <v>67</v>
      </c>
      <c r="D25" s="22" t="s">
        <v>68</v>
      </c>
      <c r="E25" s="22" t="s">
        <v>67</v>
      </c>
      <c r="F25" s="22" t="s">
        <v>67</v>
      </c>
      <c r="G25" s="22"/>
      <c r="H25" s="22"/>
      <c r="I25" s="22"/>
    </row>
    <row r="26" spans="1:9" s="23" customFormat="1" x14ac:dyDescent="0.2">
      <c r="A26" s="21" t="s">
        <v>69</v>
      </c>
      <c r="B26" s="22"/>
      <c r="C26" s="22"/>
      <c r="D26" s="22" t="s">
        <v>70</v>
      </c>
      <c r="E26" s="22"/>
      <c r="F26" s="22"/>
      <c r="G26" s="22"/>
      <c r="H26" s="22"/>
      <c r="I26" s="22"/>
    </row>
    <row r="27" spans="1:9" s="23" customFormat="1" x14ac:dyDescent="0.2">
      <c r="A27" s="21" t="s">
        <v>71</v>
      </c>
      <c r="B27" s="22" t="s">
        <v>72</v>
      </c>
      <c r="C27" s="22" t="s">
        <v>72</v>
      </c>
      <c r="D27" s="22" t="s">
        <v>73</v>
      </c>
      <c r="E27" s="22" t="s">
        <v>72</v>
      </c>
      <c r="F27" s="22" t="s">
        <v>72</v>
      </c>
      <c r="G27" s="22"/>
      <c r="H27" s="22"/>
      <c r="I27" s="22"/>
    </row>
    <row r="28" spans="1:9" s="23" customFormat="1" x14ac:dyDescent="0.2">
      <c r="A28" s="21" t="s">
        <v>74</v>
      </c>
      <c r="B28" s="22" t="s">
        <v>75</v>
      </c>
      <c r="C28" s="22" t="s">
        <v>75</v>
      </c>
      <c r="D28" s="22"/>
      <c r="E28" s="22" t="s">
        <v>75</v>
      </c>
      <c r="F28" s="22" t="s">
        <v>75</v>
      </c>
      <c r="G28" s="22"/>
      <c r="H28" s="22"/>
      <c r="I28" s="22"/>
    </row>
    <row r="29" spans="1:9" s="23" customFormat="1" x14ac:dyDescent="0.2">
      <c r="A29" s="21" t="s">
        <v>76</v>
      </c>
      <c r="B29" s="22" t="s">
        <v>77</v>
      </c>
      <c r="C29" s="22" t="s">
        <v>77</v>
      </c>
      <c r="D29" s="22" t="s">
        <v>78</v>
      </c>
      <c r="E29" s="22" t="s">
        <v>77</v>
      </c>
      <c r="F29" s="22" t="s">
        <v>77</v>
      </c>
      <c r="G29" s="22"/>
      <c r="H29" s="22"/>
      <c r="I29" s="22"/>
    </row>
    <row r="30" spans="1:9" s="23" customFormat="1" x14ac:dyDescent="0.2">
      <c r="A30" s="21" t="s">
        <v>79</v>
      </c>
      <c r="B30" s="22" t="s">
        <v>80</v>
      </c>
      <c r="C30" s="22" t="s">
        <v>80</v>
      </c>
      <c r="D30" s="22" t="s">
        <v>81</v>
      </c>
      <c r="E30" s="22" t="s">
        <v>80</v>
      </c>
      <c r="F30" s="22" t="s">
        <v>80</v>
      </c>
      <c r="G30" s="22"/>
      <c r="H30" s="22"/>
      <c r="I30" s="22"/>
    </row>
    <row r="31" spans="1:9" x14ac:dyDescent="0.2">
      <c r="A31" s="24"/>
      <c r="B31" s="25"/>
      <c r="C31" s="26"/>
    </row>
    <row r="32" spans="1:9" x14ac:dyDescent="0.2">
      <c r="A32" s="27"/>
    </row>
    <row r="33" spans="1:9" x14ac:dyDescent="0.2">
      <c r="A33" s="28" t="s">
        <v>82</v>
      </c>
      <c r="B33" s="29"/>
    </row>
    <row r="34" spans="1:9" hidden="1" x14ac:dyDescent="0.2">
      <c r="A34" s="30" t="s">
        <v>83</v>
      </c>
      <c r="B34" s="79" t="s">
        <v>343</v>
      </c>
      <c r="C34" s="31"/>
    </row>
    <row r="35" spans="1:9" x14ac:dyDescent="0.2">
      <c r="A35" s="32" t="s">
        <v>84</v>
      </c>
      <c r="B35" s="17" t="s">
        <v>330</v>
      </c>
    </row>
    <row r="36" spans="1:9" x14ac:dyDescent="0.2">
      <c r="A36" s="33" t="s">
        <v>85</v>
      </c>
      <c r="B36" s="34">
        <v>41083</v>
      </c>
    </row>
    <row r="37" spans="1:9" x14ac:dyDescent="0.2">
      <c r="A37" s="33" t="s">
        <v>86</v>
      </c>
      <c r="B37" s="34">
        <v>41135</v>
      </c>
    </row>
    <row r="38" spans="1:9" x14ac:dyDescent="0.2">
      <c r="A38" s="35" t="s">
        <v>87</v>
      </c>
      <c r="B38" s="17">
        <v>435</v>
      </c>
    </row>
    <row r="39" spans="1:9" ht="267.75" x14ac:dyDescent="0.2">
      <c r="A39" s="35" t="s">
        <v>88</v>
      </c>
      <c r="B39" s="17" t="s">
        <v>341</v>
      </c>
    </row>
    <row r="40" spans="1:9" x14ac:dyDescent="0.2">
      <c r="A40" s="35" t="s">
        <v>89</v>
      </c>
      <c r="B40" s="17">
        <v>1</v>
      </c>
    </row>
    <row r="41" spans="1:9" ht="51" x14ac:dyDescent="0.2">
      <c r="A41" s="36" t="s">
        <v>90</v>
      </c>
      <c r="B41" s="17" t="s">
        <v>327</v>
      </c>
    </row>
    <row r="42" spans="1:9" ht="51" x14ac:dyDescent="0.2">
      <c r="A42" s="36" t="s">
        <v>91</v>
      </c>
      <c r="B42" s="17" t="s">
        <v>329</v>
      </c>
    </row>
    <row r="43" spans="1:9" ht="25.5" x14ac:dyDescent="0.2">
      <c r="A43" s="35" t="s">
        <v>92</v>
      </c>
      <c r="B43" s="17" t="s">
        <v>344</v>
      </c>
    </row>
    <row r="44" spans="1:9" ht="25.5" x14ac:dyDescent="0.2">
      <c r="A44" s="35"/>
      <c r="B44" s="17" t="s">
        <v>1672</v>
      </c>
    </row>
    <row r="45" spans="1:9" ht="25.5" x14ac:dyDescent="0.2">
      <c r="A45" s="35"/>
      <c r="B45" s="17" t="s">
        <v>1675</v>
      </c>
    </row>
    <row r="46" spans="1:9" x14ac:dyDescent="0.2">
      <c r="A46" s="35"/>
      <c r="B46" s="17"/>
    </row>
    <row r="47" spans="1:9" x14ac:dyDescent="0.2">
      <c r="A47" s="87"/>
      <c r="I47" s="3" t="s">
        <v>93</v>
      </c>
    </row>
    <row r="48" spans="1:9" x14ac:dyDescent="0.2">
      <c r="A48" s="28" t="s">
        <v>94</v>
      </c>
    </row>
    <row r="49" spans="1:19" x14ac:dyDescent="0.2">
      <c r="A49" s="36" t="s">
        <v>338</v>
      </c>
      <c r="B49" s="86" t="s">
        <v>339</v>
      </c>
      <c r="C49" s="86" t="s">
        <v>340</v>
      </c>
      <c r="D49" s="86" t="s">
        <v>402</v>
      </c>
      <c r="E49" s="86" t="s">
        <v>402</v>
      </c>
      <c r="F49" s="86" t="s">
        <v>402</v>
      </c>
      <c r="G49" s="86" t="s">
        <v>402</v>
      </c>
      <c r="H49" s="86" t="s">
        <v>402</v>
      </c>
      <c r="I49" s="86" t="s">
        <v>402</v>
      </c>
      <c r="J49" s="2"/>
      <c r="K49" s="2"/>
      <c r="L49" s="2"/>
      <c r="M49" s="2"/>
      <c r="N49" s="2"/>
      <c r="O49" s="2"/>
      <c r="P49" s="2"/>
      <c r="Q49" s="2"/>
    </row>
    <row r="50" spans="1:19" ht="153" x14ac:dyDescent="0.2">
      <c r="A50" s="85" t="s">
        <v>95</v>
      </c>
      <c r="B50" s="37" t="s">
        <v>312</v>
      </c>
      <c r="C50" s="37" t="s">
        <v>313</v>
      </c>
      <c r="D50" s="37" t="str">
        <f t="shared" ref="D50:I50" si="0">IF(ISNA(INDEX(Sites,MATCH(D49,Site_name,0),3)),"Enter Description", INDEX(Sites,MATCH(D49,Site_name,0),3))</f>
        <v>Enter Description</v>
      </c>
      <c r="E50" s="37" t="str">
        <f t="shared" si="0"/>
        <v>Enter Description</v>
      </c>
      <c r="F50" s="37" t="str">
        <f t="shared" si="0"/>
        <v>Enter Description</v>
      </c>
      <c r="G50" s="37" t="str">
        <f t="shared" si="0"/>
        <v>Enter Description</v>
      </c>
      <c r="H50" s="37" t="str">
        <f t="shared" si="0"/>
        <v>Enter Description</v>
      </c>
      <c r="I50" s="37" t="str">
        <f t="shared" si="0"/>
        <v>Enter Description</v>
      </c>
      <c r="J50" s="2"/>
      <c r="K50" s="2"/>
      <c r="L50" s="2"/>
      <c r="M50" s="2"/>
      <c r="N50" s="2"/>
      <c r="O50" s="2"/>
    </row>
    <row r="51" spans="1:19" x14ac:dyDescent="0.2">
      <c r="A51" s="38" t="s">
        <v>96</v>
      </c>
      <c r="C51" s="9"/>
      <c r="D51" s="9"/>
      <c r="E51" s="9"/>
      <c r="F51" s="9"/>
      <c r="G51" s="9"/>
      <c r="H51" s="9"/>
      <c r="I51" s="9"/>
    </row>
    <row r="52" spans="1:19" x14ac:dyDescent="0.2">
      <c r="A52" s="39" t="s">
        <v>97</v>
      </c>
      <c r="B52" s="17"/>
      <c r="C52" s="17"/>
      <c r="D52" s="17"/>
      <c r="E52" s="17"/>
      <c r="F52" s="17"/>
      <c r="G52" s="17"/>
      <c r="H52" s="17"/>
      <c r="I52" s="17"/>
      <c r="J52" s="2"/>
      <c r="K52" s="2"/>
      <c r="L52" s="2"/>
      <c r="M52" s="2"/>
      <c r="N52" s="2"/>
      <c r="O52" s="2"/>
      <c r="P52" s="2"/>
      <c r="Q52" s="2"/>
      <c r="R52" s="2"/>
      <c r="S52" s="2"/>
    </row>
    <row r="53" spans="1:19" x14ac:dyDescent="0.2">
      <c r="A53" s="39" t="s">
        <v>98</v>
      </c>
      <c r="B53" s="40"/>
      <c r="C53" s="40"/>
      <c r="D53" s="40"/>
      <c r="E53" s="40"/>
      <c r="F53" s="40"/>
      <c r="G53" s="40"/>
      <c r="H53" s="40"/>
      <c r="I53" s="40"/>
      <c r="J53" s="2"/>
      <c r="K53" s="2"/>
      <c r="L53" s="2"/>
      <c r="M53" s="2"/>
      <c r="N53" s="2"/>
      <c r="O53" s="2"/>
      <c r="P53" s="2"/>
      <c r="Q53" s="2"/>
      <c r="R53" s="2"/>
      <c r="S53" s="2"/>
    </row>
    <row r="54" spans="1:19" x14ac:dyDescent="0.2">
      <c r="A54" s="39" t="s">
        <v>99</v>
      </c>
      <c r="B54" s="17"/>
      <c r="C54" s="17"/>
      <c r="D54" s="17"/>
      <c r="E54" s="17"/>
      <c r="F54" s="17"/>
      <c r="G54" s="17"/>
      <c r="H54" s="17"/>
      <c r="I54" s="17"/>
      <c r="J54" s="2"/>
      <c r="K54" s="2"/>
      <c r="L54" s="2"/>
      <c r="M54" s="2"/>
      <c r="N54" s="2"/>
      <c r="O54" s="2"/>
      <c r="P54" s="2"/>
      <c r="Q54" s="2"/>
      <c r="R54" s="2"/>
      <c r="S54" s="2"/>
    </row>
    <row r="55" spans="1:19" x14ac:dyDescent="0.2">
      <c r="A55" s="39" t="s">
        <v>100</v>
      </c>
      <c r="B55" s="41"/>
      <c r="C55" s="41"/>
      <c r="D55" s="41"/>
      <c r="E55" s="41"/>
      <c r="F55" s="41"/>
      <c r="G55" s="41"/>
      <c r="H55" s="41"/>
      <c r="I55" s="41"/>
      <c r="J55" s="2"/>
      <c r="K55" s="2"/>
      <c r="L55" s="2"/>
      <c r="M55" s="2"/>
      <c r="N55" s="2"/>
      <c r="O55" s="2"/>
      <c r="P55" s="2"/>
      <c r="Q55" s="2"/>
      <c r="R55" s="2"/>
      <c r="S55" s="2"/>
    </row>
    <row r="56" spans="1:19" x14ac:dyDescent="0.2">
      <c r="A56" s="42" t="s">
        <v>101</v>
      </c>
      <c r="B56" s="43"/>
      <c r="C56" s="43"/>
      <c r="D56" s="43"/>
      <c r="E56" s="43"/>
      <c r="F56" s="43"/>
      <c r="G56" s="43"/>
      <c r="H56" s="43"/>
      <c r="I56" s="43"/>
    </row>
    <row r="57" spans="1:19" x14ac:dyDescent="0.2">
      <c r="A57" s="36" t="s">
        <v>102</v>
      </c>
      <c r="B57" s="37">
        <v>68.638555555555499</v>
      </c>
      <c r="C57" s="37">
        <v>68.635583333333301</v>
      </c>
      <c r="D57" s="37" t="str">
        <f t="shared" ref="D57:I57" si="1">IF(ISNA(INDEX(Sites,MATCH(D49,Site_name,0),4)),"In Decimal Degrees", INDEX(Sites,MATCH(D49,Site_name,0),4))</f>
        <v>In Decimal Degrees</v>
      </c>
      <c r="E57" s="37" t="str">
        <f t="shared" si="1"/>
        <v>In Decimal Degrees</v>
      </c>
      <c r="F57" s="37" t="str">
        <f t="shared" si="1"/>
        <v>In Decimal Degrees</v>
      </c>
      <c r="G57" s="37" t="str">
        <f t="shared" si="1"/>
        <v>In Decimal Degrees</v>
      </c>
      <c r="H57" s="37" t="str">
        <f t="shared" si="1"/>
        <v>In Decimal Degrees</v>
      </c>
      <c r="I57" s="37" t="str">
        <f t="shared" si="1"/>
        <v>In Decimal Degrees</v>
      </c>
      <c r="J57" s="2"/>
      <c r="K57" s="2"/>
      <c r="L57" s="2"/>
      <c r="M57" s="2"/>
      <c r="N57" s="2"/>
      <c r="O57" s="2"/>
      <c r="P57" s="2"/>
      <c r="Q57" s="2"/>
    </row>
    <row r="58" spans="1:19" x14ac:dyDescent="0.2">
      <c r="A58" s="36" t="s">
        <v>103</v>
      </c>
      <c r="B58" s="37">
        <v>-149.56866666666599</v>
      </c>
      <c r="C58" s="37">
        <v>-149.588083333333</v>
      </c>
      <c r="D58" s="37" t="str">
        <f t="shared" ref="D58:I58" si="2">IF(ISNA(INDEX(Sites,MATCH(D49,Site_name,0),5)),"In Decimal Degrees", INDEX(Sites,MATCH(D49,Site_name,0),5))</f>
        <v>In Decimal Degrees</v>
      </c>
      <c r="E58" s="37" t="str">
        <f t="shared" si="2"/>
        <v>In Decimal Degrees</v>
      </c>
      <c r="F58" s="37" t="str">
        <f t="shared" si="2"/>
        <v>In Decimal Degrees</v>
      </c>
      <c r="G58" s="37" t="str">
        <f t="shared" si="2"/>
        <v>In Decimal Degrees</v>
      </c>
      <c r="H58" s="37" t="str">
        <f t="shared" si="2"/>
        <v>In Decimal Degrees</v>
      </c>
      <c r="I58" s="37" t="str">
        <f t="shared" si="2"/>
        <v>In Decimal Degrees</v>
      </c>
      <c r="J58" s="2"/>
      <c r="K58" s="2"/>
      <c r="L58" s="2"/>
      <c r="M58" s="2"/>
      <c r="N58" s="2"/>
      <c r="O58" s="2"/>
      <c r="P58" s="2"/>
      <c r="Q58" s="2"/>
    </row>
    <row r="59" spans="1:19" x14ac:dyDescent="0.2">
      <c r="A59" s="36" t="s">
        <v>104</v>
      </c>
      <c r="B59" s="37" t="s">
        <v>336</v>
      </c>
      <c r="C59" s="37" t="s">
        <v>337</v>
      </c>
      <c r="D59" s="37" t="str">
        <f t="shared" ref="D59:I59" si="3">IF(ISNA(INDEX(Sites,MATCH(D49,Site_name,0),6)),"In Meters", INDEX(Sites,MATCH(D49,Site_name,0),6))</f>
        <v>In Meters</v>
      </c>
      <c r="E59" s="37" t="str">
        <f t="shared" si="3"/>
        <v>In Meters</v>
      </c>
      <c r="F59" s="37" t="str">
        <f t="shared" si="3"/>
        <v>In Meters</v>
      </c>
      <c r="G59" s="37" t="str">
        <f t="shared" si="3"/>
        <v>In Meters</v>
      </c>
      <c r="H59" s="37" t="str">
        <f t="shared" si="3"/>
        <v>In Meters</v>
      </c>
      <c r="I59" s="37" t="str">
        <f t="shared" si="3"/>
        <v>In Meters</v>
      </c>
      <c r="J59" s="2"/>
      <c r="K59" s="2"/>
      <c r="L59" s="2"/>
      <c r="M59" s="2"/>
      <c r="N59" s="2"/>
      <c r="O59" s="2"/>
      <c r="P59" s="2"/>
      <c r="Q59" s="2"/>
    </row>
    <row r="60" spans="1:19" x14ac:dyDescent="0.2">
      <c r="A60" s="36" t="s">
        <v>401</v>
      </c>
      <c r="B60" s="84" t="str">
        <f t="shared" ref="B60:I60" si="4">IF(ISNUMBER(B$57),HYPERLINK("http://maps.google.com/maps?q="&amp;B57&amp;","&amp;B58,"View on Google Map"),"")</f>
        <v>View on Google Map</v>
      </c>
      <c r="C60" s="84" t="str">
        <f t="shared" si="4"/>
        <v>View on Google Map</v>
      </c>
      <c r="D60" s="84" t="str">
        <f t="shared" si="4"/>
        <v/>
      </c>
      <c r="E60" s="84" t="str">
        <f t="shared" si="4"/>
        <v/>
      </c>
      <c r="F60" s="84" t="str">
        <f t="shared" si="4"/>
        <v/>
      </c>
      <c r="G60" s="84" t="str">
        <f t="shared" si="4"/>
        <v/>
      </c>
      <c r="H60" s="84" t="str">
        <f t="shared" si="4"/>
        <v/>
      </c>
      <c r="I60" s="84" t="str">
        <f t="shared" si="4"/>
        <v/>
      </c>
    </row>
    <row r="61" spans="1:19" x14ac:dyDescent="0.2">
      <c r="A61" s="44"/>
      <c r="B61" s="45"/>
      <c r="C61" s="45"/>
      <c r="D61" s="45"/>
    </row>
    <row r="62" spans="1:19" x14ac:dyDescent="0.2">
      <c r="A62" s="46" t="s">
        <v>105</v>
      </c>
      <c r="B62" s="45"/>
      <c r="C62" s="26"/>
    </row>
    <row r="63" spans="1:19" x14ac:dyDescent="0.2">
      <c r="A63" s="47" t="s">
        <v>106</v>
      </c>
      <c r="B63" s="17" t="s">
        <v>311</v>
      </c>
      <c r="C63" s="2" t="s">
        <v>107</v>
      </c>
    </row>
    <row r="64" spans="1:19" x14ac:dyDescent="0.2">
      <c r="A64" s="24"/>
    </row>
    <row r="65" spans="1:2" x14ac:dyDescent="0.2">
      <c r="A65" s="46" t="s">
        <v>108</v>
      </c>
    </row>
    <row r="66" spans="1:2" ht="25.5" x14ac:dyDescent="0.2">
      <c r="A66" s="48" t="s">
        <v>109</v>
      </c>
      <c r="B66" s="17" t="s">
        <v>328</v>
      </c>
    </row>
    <row r="67" spans="1:2" x14ac:dyDescent="0.2">
      <c r="A67" s="44"/>
      <c r="B67" s="45"/>
    </row>
    <row r="68" spans="1:2" s="14" customFormat="1" ht="15" x14ac:dyDescent="0.2">
      <c r="A68" s="13"/>
      <c r="B68" s="16"/>
    </row>
    <row r="69" spans="1:2" ht="15" x14ac:dyDescent="0.2">
      <c r="A69" s="49" t="s">
        <v>110</v>
      </c>
      <c r="B69" s="50"/>
    </row>
    <row r="70" spans="1:2" s="14" customFormat="1" x14ac:dyDescent="0.2">
      <c r="A70" s="51"/>
    </row>
    <row r="71" spans="1:2" s="14" customFormat="1" x14ac:dyDescent="0.2">
      <c r="A71" s="13"/>
      <c r="B71" s="52"/>
    </row>
    <row r="72" spans="1:2" s="14" customFormat="1" x14ac:dyDescent="0.2">
      <c r="A72" s="13"/>
    </row>
    <row r="73" spans="1:2" s="14" customFormat="1" x14ac:dyDescent="0.2">
      <c r="A73" s="13"/>
    </row>
    <row r="74" spans="1:2" s="14" customFormat="1" x14ac:dyDescent="0.2">
      <c r="A74" s="13"/>
    </row>
    <row r="75" spans="1:2" s="14" customFormat="1" x14ac:dyDescent="0.2">
      <c r="A75" s="13"/>
    </row>
    <row r="76" spans="1:2" s="14" customFormat="1" x14ac:dyDescent="0.2">
      <c r="A76" s="13"/>
    </row>
    <row r="77" spans="1:2" s="14" customFormat="1" x14ac:dyDescent="0.2">
      <c r="A77" s="13"/>
    </row>
    <row r="78" spans="1:2" s="14" customFormat="1" x14ac:dyDescent="0.2">
      <c r="A78" s="13"/>
    </row>
    <row r="79" spans="1:2" s="14" customFormat="1" x14ac:dyDescent="0.2">
      <c r="A79" s="13"/>
    </row>
    <row r="80" spans="1:2" s="14" customFormat="1" x14ac:dyDescent="0.2">
      <c r="A80" s="13"/>
    </row>
    <row r="81" spans="1:2" s="14" customFormat="1" x14ac:dyDescent="0.2">
      <c r="A81" s="13"/>
    </row>
    <row r="82" spans="1:2" s="14" customFormat="1" x14ac:dyDescent="0.2">
      <c r="A82" s="13"/>
    </row>
    <row r="83" spans="1:2" s="14" customFormat="1" x14ac:dyDescent="0.2">
      <c r="A83" s="13"/>
    </row>
    <row r="84" spans="1:2" s="14" customFormat="1" x14ac:dyDescent="0.2">
      <c r="A84" s="13"/>
    </row>
    <row r="85" spans="1:2" s="14" customFormat="1" x14ac:dyDescent="0.2">
      <c r="A85" s="13"/>
    </row>
    <row r="86" spans="1:2" s="14" customFormat="1" x14ac:dyDescent="0.2">
      <c r="A86" s="13"/>
    </row>
    <row r="87" spans="1:2" s="14" customFormat="1" x14ac:dyDescent="0.2">
      <c r="A87" s="13"/>
    </row>
    <row r="88" spans="1:2" s="14" customFormat="1" x14ac:dyDescent="0.2">
      <c r="A88" s="13"/>
    </row>
    <row r="89" spans="1:2" s="14" customFormat="1" x14ac:dyDescent="0.2">
      <c r="A89" s="13"/>
    </row>
    <row r="90" spans="1:2" s="14" customFormat="1" x14ac:dyDescent="0.2">
      <c r="A90" s="13"/>
    </row>
    <row r="91" spans="1:2" s="14" customFormat="1" x14ac:dyDescent="0.2">
      <c r="A91" s="13"/>
    </row>
    <row r="92" spans="1:2" s="14" customFormat="1" x14ac:dyDescent="0.2">
      <c r="A92" s="13"/>
    </row>
    <row r="93" spans="1:2" s="14" customFormat="1" x14ac:dyDescent="0.2">
      <c r="A93" s="13"/>
    </row>
    <row r="94" spans="1:2" s="14" customFormat="1" x14ac:dyDescent="0.2">
      <c r="A94" s="13"/>
      <c r="B94" s="15"/>
    </row>
    <row r="95" spans="1:2" s="14" customFormat="1" x14ac:dyDescent="0.2">
      <c r="A95" s="13"/>
      <c r="B95" s="15"/>
    </row>
    <row r="96" spans="1:2" s="14" customFormat="1" x14ac:dyDescent="0.2">
      <c r="A96" s="13"/>
      <c r="B96" s="15"/>
    </row>
    <row r="97" spans="1:10" s="54" customFormat="1" x14ac:dyDescent="0.2">
      <c r="A97" s="13"/>
      <c r="B97" s="15"/>
      <c r="C97" s="14"/>
      <c r="D97" s="14"/>
      <c r="E97" s="14"/>
      <c r="F97" s="14"/>
      <c r="G97" s="14"/>
      <c r="H97" s="14"/>
      <c r="I97" s="14"/>
      <c r="J97" s="53"/>
    </row>
    <row r="98" spans="1:10" s="14" customFormat="1" x14ac:dyDescent="0.2">
      <c r="A98" s="13"/>
      <c r="B98" s="15"/>
    </row>
    <row r="99" spans="1:10" s="14" customFormat="1" x14ac:dyDescent="0.2">
      <c r="A99" s="13"/>
      <c r="B99" s="15"/>
    </row>
    <row r="100" spans="1:10" s="14" customFormat="1" x14ac:dyDescent="0.2">
      <c r="A100" s="13"/>
      <c r="B100" s="15"/>
    </row>
    <row r="101" spans="1:10" s="14" customFormat="1" x14ac:dyDescent="0.2">
      <c r="A101" s="13"/>
      <c r="B101" s="15"/>
    </row>
    <row r="102" spans="1:10" s="14" customFormat="1" x14ac:dyDescent="0.2">
      <c r="A102" s="13"/>
      <c r="B102" s="15"/>
    </row>
    <row r="103" spans="1:10" s="14" customFormat="1" x14ac:dyDescent="0.2">
      <c r="A103" s="13"/>
      <c r="B103" s="15"/>
    </row>
    <row r="104" spans="1:10" s="14" customFormat="1" x14ac:dyDescent="0.2">
      <c r="A104" s="13"/>
      <c r="B104" s="15"/>
    </row>
    <row r="105" spans="1:10" s="14" customFormat="1" x14ac:dyDescent="0.2">
      <c r="A105" s="13"/>
      <c r="B105" s="15"/>
    </row>
    <row r="106" spans="1:10" s="14" customFormat="1" x14ac:dyDescent="0.2">
      <c r="A106" s="13"/>
      <c r="B106" s="15"/>
    </row>
    <row r="107" spans="1:10" s="14" customFormat="1" x14ac:dyDescent="0.2">
      <c r="A107" s="13"/>
      <c r="B107" s="15"/>
    </row>
    <row r="108" spans="1:10" s="14" customFormat="1" x14ac:dyDescent="0.2">
      <c r="A108" s="13"/>
      <c r="B108" s="15"/>
    </row>
    <row r="109" spans="1:10" s="14" customFormat="1" x14ac:dyDescent="0.2">
      <c r="A109" s="13"/>
      <c r="B109" s="15"/>
    </row>
    <row r="110" spans="1:10" s="14" customFormat="1" x14ac:dyDescent="0.2">
      <c r="A110" s="13"/>
      <c r="B110" s="15"/>
    </row>
    <row r="111" spans="1:10" s="14" customFormat="1" x14ac:dyDescent="0.2">
      <c r="A111" s="13"/>
      <c r="B111" s="15"/>
    </row>
    <row r="112" spans="1:10" s="14" customFormat="1" x14ac:dyDescent="0.2">
      <c r="A112" s="13"/>
      <c r="B112" s="15"/>
    </row>
    <row r="113" spans="1:2" s="14" customFormat="1" x14ac:dyDescent="0.2">
      <c r="A113" s="13"/>
      <c r="B113" s="15"/>
    </row>
    <row r="114" spans="1:2" s="14" customFormat="1" x14ac:dyDescent="0.2">
      <c r="A114" s="13"/>
      <c r="B114" s="15"/>
    </row>
    <row r="115" spans="1:2" s="14" customFormat="1" x14ac:dyDescent="0.2">
      <c r="A115" s="13"/>
      <c r="B115" s="15"/>
    </row>
    <row r="116" spans="1:2" s="14" customFormat="1" x14ac:dyDescent="0.2">
      <c r="A116" s="13"/>
      <c r="B116" s="15"/>
    </row>
    <row r="117" spans="1:2" s="14" customFormat="1" x14ac:dyDescent="0.2">
      <c r="A117" s="13"/>
      <c r="B117" s="15"/>
    </row>
    <row r="118" spans="1:2" s="14" customFormat="1" x14ac:dyDescent="0.2">
      <c r="A118" s="13"/>
      <c r="B118" s="15"/>
    </row>
    <row r="119" spans="1:2" s="14" customFormat="1" x14ac:dyDescent="0.2">
      <c r="A119" s="13"/>
      <c r="B119" s="15"/>
    </row>
    <row r="120" spans="1:2" s="14" customFormat="1" x14ac:dyDescent="0.2">
      <c r="A120" s="13"/>
      <c r="B120" s="15"/>
    </row>
    <row r="121" spans="1:2" s="14" customFormat="1" x14ac:dyDescent="0.2">
      <c r="A121" s="13"/>
      <c r="B121" s="15"/>
    </row>
    <row r="122" spans="1:2" s="14" customFormat="1" x14ac:dyDescent="0.2">
      <c r="A122" s="13"/>
      <c r="B122" s="15"/>
    </row>
    <row r="123" spans="1:2" s="14" customFormat="1" x14ac:dyDescent="0.2">
      <c r="A123" s="13"/>
      <c r="B123" s="15"/>
    </row>
    <row r="124" spans="1:2" s="14" customFormat="1" x14ac:dyDescent="0.2">
      <c r="A124" s="13"/>
      <c r="B124" s="15"/>
    </row>
    <row r="125" spans="1:2" s="14" customFormat="1" x14ac:dyDescent="0.2">
      <c r="A125" s="13"/>
      <c r="B125" s="15"/>
    </row>
    <row r="126" spans="1:2" s="14" customFormat="1" x14ac:dyDescent="0.2">
      <c r="A126" s="13"/>
      <c r="B126" s="15"/>
    </row>
    <row r="127" spans="1:2" s="14" customFormat="1" x14ac:dyDescent="0.2">
      <c r="A127" s="13"/>
      <c r="B127" s="15"/>
    </row>
    <row r="128" spans="1:2" s="14" customFormat="1" x14ac:dyDescent="0.2">
      <c r="A128" s="13"/>
      <c r="B128" s="15"/>
    </row>
    <row r="129" spans="1:3" s="14" customFormat="1" x14ac:dyDescent="0.2">
      <c r="A129" s="13"/>
      <c r="B129" s="15"/>
    </row>
    <row r="130" spans="1:3" s="14" customFormat="1" x14ac:dyDescent="0.2">
      <c r="A130" s="13"/>
      <c r="B130" s="15"/>
    </row>
    <row r="131" spans="1:3" s="14" customFormat="1" x14ac:dyDescent="0.2">
      <c r="A131" s="13"/>
      <c r="B131" s="15"/>
    </row>
    <row r="132" spans="1:3" s="14" customFormat="1" x14ac:dyDescent="0.2">
      <c r="A132" s="13"/>
      <c r="B132" s="15"/>
    </row>
    <row r="133" spans="1:3" s="14" customFormat="1" x14ac:dyDescent="0.2">
      <c r="A133" s="13"/>
      <c r="B133" s="15"/>
    </row>
    <row r="134" spans="1:3" s="14" customFormat="1" x14ac:dyDescent="0.2">
      <c r="A134" s="13"/>
      <c r="B134" s="15"/>
    </row>
    <row r="135" spans="1:3" s="14" customFormat="1" x14ac:dyDescent="0.2">
      <c r="A135" s="13"/>
      <c r="B135" s="83"/>
    </row>
    <row r="136" spans="1:3" s="14" customFormat="1" ht="13.5" thickBot="1" x14ac:dyDescent="0.25">
      <c r="A136" s="13"/>
      <c r="B136" s="15"/>
    </row>
    <row r="137" spans="1:3" s="14" customFormat="1" ht="13.5" thickBot="1" x14ac:dyDescent="0.25">
      <c r="A137" s="55" t="s">
        <v>111</v>
      </c>
      <c r="B137" s="56"/>
    </row>
    <row r="138" spans="1:3" s="14" customFormat="1" x14ac:dyDescent="0.2">
      <c r="A138" s="57" t="s">
        <v>112</v>
      </c>
      <c r="B138" s="58"/>
      <c r="C138" s="59"/>
    </row>
    <row r="139" spans="1:3" s="14" customFormat="1" x14ac:dyDescent="0.2">
      <c r="A139" s="60" t="s">
        <v>113</v>
      </c>
      <c r="B139" s="61"/>
      <c r="C139" s="62"/>
    </row>
    <row r="140" spans="1:3" s="14" customFormat="1" x14ac:dyDescent="0.2">
      <c r="A140" s="63" t="s">
        <v>114</v>
      </c>
      <c r="B140" s="9"/>
    </row>
    <row r="141" spans="1:3" s="14" customFormat="1" x14ac:dyDescent="0.2">
      <c r="A141" s="64" t="s">
        <v>115</v>
      </c>
      <c r="B141" s="9"/>
    </row>
    <row r="142" spans="1:3" s="14" customFormat="1" x14ac:dyDescent="0.2">
      <c r="A142" s="63"/>
      <c r="B142" s="9"/>
    </row>
    <row r="143" spans="1:3" s="14" customFormat="1" x14ac:dyDescent="0.2">
      <c r="A143" s="63"/>
      <c r="B143" s="9"/>
    </row>
    <row r="144" spans="1:3" s="14" customFormat="1" x14ac:dyDescent="0.2">
      <c r="A144" s="63"/>
      <c r="B144" s="9"/>
    </row>
    <row r="145" spans="1:14" x14ac:dyDescent="0.2">
      <c r="A145" s="13"/>
      <c r="C145" s="44"/>
      <c r="D145" s="45"/>
    </row>
    <row r="146" spans="1:14" x14ac:dyDescent="0.2">
      <c r="A146" s="13"/>
      <c r="C146" s="44"/>
      <c r="D146" s="45"/>
    </row>
    <row r="147" spans="1:14" x14ac:dyDescent="0.2">
      <c r="A147" s="13"/>
      <c r="C147" s="44"/>
      <c r="D147" s="45"/>
    </row>
    <row r="148" spans="1:14" x14ac:dyDescent="0.2">
      <c r="A148" s="49" t="s">
        <v>116</v>
      </c>
      <c r="K148" s="65" t="s">
        <v>117</v>
      </c>
    </row>
    <row r="149" spans="1:14" ht="28.15" customHeight="1" x14ac:dyDescent="0.2">
      <c r="A149" s="66" t="s">
        <v>118</v>
      </c>
      <c r="B149" s="66" t="s">
        <v>119</v>
      </c>
      <c r="C149" s="66" t="s">
        <v>120</v>
      </c>
      <c r="D149" s="67" t="s">
        <v>121</v>
      </c>
      <c r="E149" s="66" t="s">
        <v>122</v>
      </c>
      <c r="F149" s="66" t="s">
        <v>123</v>
      </c>
      <c r="G149" s="66" t="s">
        <v>124</v>
      </c>
      <c r="H149" s="68"/>
      <c r="I149" s="68"/>
      <c r="K149" s="69" t="s">
        <v>40</v>
      </c>
      <c r="L149" s="69" t="s">
        <v>125</v>
      </c>
      <c r="M149" s="69" t="s">
        <v>126</v>
      </c>
      <c r="N149" s="69" t="s">
        <v>127</v>
      </c>
    </row>
    <row r="150" spans="1:14" x14ac:dyDescent="0.2">
      <c r="A150" s="70" t="s">
        <v>129</v>
      </c>
      <c r="B150" s="71" t="s">
        <v>130</v>
      </c>
      <c r="C150" s="71" t="s">
        <v>131</v>
      </c>
      <c r="D150" s="71"/>
      <c r="E150" s="71" t="s">
        <v>132</v>
      </c>
      <c r="F150" s="71"/>
      <c r="G150" s="71" t="s">
        <v>1671</v>
      </c>
      <c r="H150" s="71"/>
      <c r="I150" s="71"/>
      <c r="L150" s="3" t="s">
        <v>128</v>
      </c>
      <c r="M150" s="82"/>
    </row>
    <row r="151" spans="1:14" x14ac:dyDescent="0.2">
      <c r="A151" s="70" t="s">
        <v>4</v>
      </c>
      <c r="B151" s="71" t="s">
        <v>316</v>
      </c>
      <c r="C151" s="71" t="s">
        <v>131</v>
      </c>
      <c r="D151" s="71"/>
      <c r="E151" s="71" t="s">
        <v>23</v>
      </c>
      <c r="F151" s="71"/>
      <c r="G151" s="71" t="s">
        <v>1671</v>
      </c>
      <c r="H151" s="71"/>
      <c r="I151" s="71"/>
      <c r="K151" s="3" t="s">
        <v>41</v>
      </c>
      <c r="L151" s="3" t="s">
        <v>131</v>
      </c>
      <c r="M151" s="3" t="s">
        <v>133</v>
      </c>
      <c r="N151" s="3" t="s">
        <v>134</v>
      </c>
    </row>
    <row r="152" spans="1:14" x14ac:dyDescent="0.2">
      <c r="A152" s="70" t="s">
        <v>139</v>
      </c>
      <c r="B152" s="71" t="s">
        <v>140</v>
      </c>
      <c r="C152" s="71" t="s">
        <v>133</v>
      </c>
      <c r="D152" s="71" t="s">
        <v>135</v>
      </c>
      <c r="E152" s="71"/>
      <c r="F152" s="71"/>
      <c r="G152" s="71" t="s">
        <v>1671</v>
      </c>
      <c r="H152" s="71"/>
      <c r="I152" s="71"/>
      <c r="K152" s="3" t="s">
        <v>42</v>
      </c>
      <c r="L152" s="3" t="s">
        <v>136</v>
      </c>
      <c r="M152" s="3" t="s">
        <v>137</v>
      </c>
      <c r="N152" s="3" t="s">
        <v>138</v>
      </c>
    </row>
    <row r="153" spans="1:14" ht="38.25" x14ac:dyDescent="0.2">
      <c r="A153" s="70" t="s">
        <v>5</v>
      </c>
      <c r="B153" s="71" t="s">
        <v>308</v>
      </c>
      <c r="C153" s="71" t="s">
        <v>133</v>
      </c>
      <c r="D153" s="71"/>
      <c r="E153" s="71"/>
      <c r="F153" s="71"/>
      <c r="G153" s="71" t="s">
        <v>1671</v>
      </c>
      <c r="H153" s="71"/>
      <c r="I153" s="71"/>
      <c r="K153" s="3" t="s">
        <v>43</v>
      </c>
      <c r="L153" s="3" t="s">
        <v>141</v>
      </c>
      <c r="M153" s="3" t="s">
        <v>131</v>
      </c>
      <c r="N153" s="3" t="s">
        <v>142</v>
      </c>
    </row>
    <row r="154" spans="1:14" ht="38.25" x14ac:dyDescent="0.2">
      <c r="A154" s="70" t="s">
        <v>314</v>
      </c>
      <c r="B154" s="71" t="s">
        <v>310</v>
      </c>
      <c r="C154" s="71" t="s">
        <v>133</v>
      </c>
      <c r="D154" s="71"/>
      <c r="E154" s="71"/>
      <c r="F154" s="71"/>
      <c r="G154" s="71" t="s">
        <v>1671</v>
      </c>
      <c r="H154" s="71"/>
      <c r="I154" s="71"/>
      <c r="K154" s="3" t="s">
        <v>44</v>
      </c>
      <c r="L154" s="3" t="s">
        <v>143</v>
      </c>
      <c r="N154" s="3" t="s">
        <v>144</v>
      </c>
    </row>
    <row r="155" spans="1:14" x14ac:dyDescent="0.2">
      <c r="A155" s="70" t="s">
        <v>315</v>
      </c>
      <c r="B155" s="71" t="s">
        <v>309</v>
      </c>
      <c r="C155" s="71" t="s">
        <v>133</v>
      </c>
      <c r="D155" s="71"/>
      <c r="E155" s="71"/>
      <c r="F155" s="71"/>
      <c r="G155" s="71" t="s">
        <v>1671</v>
      </c>
      <c r="H155" s="71"/>
      <c r="I155" s="71"/>
      <c r="K155" s="3" t="s">
        <v>145</v>
      </c>
      <c r="L155" s="3" t="s">
        <v>146</v>
      </c>
      <c r="N155" s="3" t="s">
        <v>147</v>
      </c>
    </row>
    <row r="156" spans="1:14" ht="25.5" x14ac:dyDescent="0.2">
      <c r="A156" s="70" t="s">
        <v>0</v>
      </c>
      <c r="B156" s="71" t="s">
        <v>334</v>
      </c>
      <c r="C156" s="71" t="s">
        <v>137</v>
      </c>
      <c r="D156" s="71" t="s">
        <v>303</v>
      </c>
      <c r="E156" s="71"/>
      <c r="F156" s="71"/>
      <c r="G156" s="71" t="s">
        <v>1671</v>
      </c>
      <c r="H156" s="71"/>
      <c r="I156" s="71"/>
      <c r="N156" s="3" t="s">
        <v>148</v>
      </c>
    </row>
    <row r="157" spans="1:14" ht="25.5" x14ac:dyDescent="0.2">
      <c r="A157" s="70" t="s">
        <v>1</v>
      </c>
      <c r="B157" s="71" t="s">
        <v>317</v>
      </c>
      <c r="C157" s="71" t="s">
        <v>137</v>
      </c>
      <c r="D157" s="71" t="s">
        <v>156</v>
      </c>
      <c r="E157" s="71"/>
      <c r="F157" s="71"/>
      <c r="G157" s="71" t="s">
        <v>1671</v>
      </c>
      <c r="H157" s="71"/>
      <c r="I157" s="71"/>
      <c r="N157" s="3" t="s">
        <v>149</v>
      </c>
    </row>
    <row r="158" spans="1:14" ht="25.5" x14ac:dyDescent="0.2">
      <c r="A158" s="70" t="s">
        <v>2</v>
      </c>
      <c r="B158" s="71" t="s">
        <v>318</v>
      </c>
      <c r="C158" s="71" t="s">
        <v>131</v>
      </c>
      <c r="D158" s="71"/>
      <c r="E158" s="71" t="s">
        <v>1674</v>
      </c>
      <c r="F158" s="71"/>
      <c r="G158" s="71" t="s">
        <v>1671</v>
      </c>
      <c r="H158" s="71"/>
      <c r="I158" s="71"/>
      <c r="N158" s="3" t="s">
        <v>150</v>
      </c>
    </row>
    <row r="159" spans="1:14" x14ac:dyDescent="0.2">
      <c r="A159" s="70" t="s">
        <v>3</v>
      </c>
      <c r="B159" s="71" t="s">
        <v>319</v>
      </c>
      <c r="C159" s="71" t="s">
        <v>137</v>
      </c>
      <c r="D159" s="71" t="s">
        <v>156</v>
      </c>
      <c r="E159" s="71"/>
      <c r="F159" s="71"/>
      <c r="G159" s="71" t="s">
        <v>1671</v>
      </c>
      <c r="H159" s="71"/>
      <c r="I159" s="71"/>
      <c r="N159" s="3" t="s">
        <v>151</v>
      </c>
    </row>
    <row r="160" spans="1:14" ht="25.5" x14ac:dyDescent="0.2">
      <c r="A160" s="70" t="s">
        <v>14</v>
      </c>
      <c r="B160" s="71" t="s">
        <v>320</v>
      </c>
      <c r="C160" s="71" t="s">
        <v>137</v>
      </c>
      <c r="D160" s="71" t="s">
        <v>156</v>
      </c>
      <c r="E160" s="71"/>
      <c r="F160" s="71"/>
      <c r="G160" s="71" t="s">
        <v>1671</v>
      </c>
      <c r="H160" s="71"/>
      <c r="I160" s="71"/>
      <c r="N160" s="3" t="s">
        <v>152</v>
      </c>
    </row>
    <row r="161" spans="1:14" ht="25.5" x14ac:dyDescent="0.2">
      <c r="A161" s="70" t="s">
        <v>15</v>
      </c>
      <c r="B161" s="71" t="s">
        <v>321</v>
      </c>
      <c r="C161" s="71" t="s">
        <v>131</v>
      </c>
      <c r="D161" s="71"/>
      <c r="E161" s="71" t="s">
        <v>1674</v>
      </c>
      <c r="F161" s="71"/>
      <c r="G161" s="71" t="s">
        <v>1671</v>
      </c>
      <c r="H161" s="71"/>
      <c r="I161" s="71"/>
      <c r="N161" s="3" t="s">
        <v>153</v>
      </c>
    </row>
    <row r="162" spans="1:14" ht="25.5" x14ac:dyDescent="0.2">
      <c r="A162" s="70" t="s">
        <v>16</v>
      </c>
      <c r="B162" s="71" t="s">
        <v>322</v>
      </c>
      <c r="C162" s="71" t="s">
        <v>137</v>
      </c>
      <c r="D162" s="71" t="s">
        <v>156</v>
      </c>
      <c r="E162" s="71"/>
      <c r="F162" s="71"/>
      <c r="G162" s="71" t="s">
        <v>1671</v>
      </c>
      <c r="H162" s="71"/>
      <c r="I162" s="71"/>
      <c r="N162" s="3" t="s">
        <v>155</v>
      </c>
    </row>
    <row r="163" spans="1:14" ht="25.5" x14ac:dyDescent="0.2">
      <c r="A163" s="70" t="s">
        <v>17</v>
      </c>
      <c r="B163" s="71" t="s">
        <v>323</v>
      </c>
      <c r="C163" s="71" t="s">
        <v>131</v>
      </c>
      <c r="D163" s="71"/>
      <c r="E163" s="71" t="s">
        <v>1674</v>
      </c>
      <c r="F163" s="71"/>
      <c r="G163" s="71" t="s">
        <v>1671</v>
      </c>
      <c r="H163" s="71"/>
      <c r="I163" s="71"/>
      <c r="N163" s="3" t="s">
        <v>400</v>
      </c>
    </row>
    <row r="164" spans="1:14" ht="25.5" x14ac:dyDescent="0.2">
      <c r="A164" s="70" t="s">
        <v>18</v>
      </c>
      <c r="B164" s="71" t="s">
        <v>324</v>
      </c>
      <c r="C164" s="71" t="s">
        <v>137</v>
      </c>
      <c r="D164" s="71" t="s">
        <v>292</v>
      </c>
      <c r="E164" s="71"/>
      <c r="F164" s="71"/>
      <c r="G164" s="71" t="s">
        <v>1671</v>
      </c>
      <c r="H164" s="71"/>
      <c r="I164" s="71"/>
      <c r="N164" s="3" t="s">
        <v>156</v>
      </c>
    </row>
    <row r="165" spans="1:14" ht="25.5" x14ac:dyDescent="0.2">
      <c r="A165" s="70" t="s">
        <v>19</v>
      </c>
      <c r="B165" s="71" t="s">
        <v>325</v>
      </c>
      <c r="C165" s="71" t="s">
        <v>131</v>
      </c>
      <c r="D165" s="71"/>
      <c r="E165" s="71" t="s">
        <v>1674</v>
      </c>
      <c r="F165" s="71"/>
      <c r="G165" s="71" t="s">
        <v>1671</v>
      </c>
      <c r="H165" s="71"/>
      <c r="I165" s="71"/>
      <c r="N165" s="3" t="s">
        <v>157</v>
      </c>
    </row>
    <row r="166" spans="1:14" ht="38.25" x14ac:dyDescent="0.2">
      <c r="A166" s="70" t="s">
        <v>20</v>
      </c>
      <c r="B166" s="71" t="s">
        <v>331</v>
      </c>
      <c r="C166" s="71" t="s">
        <v>137</v>
      </c>
      <c r="D166" s="71" t="s">
        <v>154</v>
      </c>
      <c r="E166" s="71"/>
      <c r="F166" s="71"/>
      <c r="G166" s="71" t="s">
        <v>1671</v>
      </c>
      <c r="H166" s="71"/>
      <c r="I166" s="71"/>
      <c r="N166" s="3" t="s">
        <v>159</v>
      </c>
    </row>
    <row r="167" spans="1:14" ht="25.5" x14ac:dyDescent="0.2">
      <c r="A167" s="70" t="s">
        <v>21</v>
      </c>
      <c r="B167" s="71" t="s">
        <v>326</v>
      </c>
      <c r="C167" s="71" t="s">
        <v>131</v>
      </c>
      <c r="D167" s="71"/>
      <c r="E167" s="71" t="s">
        <v>1674</v>
      </c>
      <c r="F167" s="71"/>
      <c r="G167" s="71" t="s">
        <v>1671</v>
      </c>
      <c r="H167" s="71"/>
      <c r="I167" s="71"/>
      <c r="N167" s="3" t="s">
        <v>160</v>
      </c>
    </row>
    <row r="168" spans="1:14" ht="25.5" x14ac:dyDescent="0.2">
      <c r="A168" s="70" t="s">
        <v>22</v>
      </c>
      <c r="B168" s="71" t="s">
        <v>333</v>
      </c>
      <c r="C168" s="71" t="s">
        <v>137</v>
      </c>
      <c r="D168" s="71" t="s">
        <v>332</v>
      </c>
      <c r="E168" s="71"/>
      <c r="F168" s="71"/>
      <c r="G168" s="71" t="s">
        <v>1671</v>
      </c>
      <c r="H168" s="71"/>
      <c r="I168" s="71"/>
      <c r="N168" s="3" t="s">
        <v>161</v>
      </c>
    </row>
    <row r="169" spans="1:14" x14ac:dyDescent="0.2">
      <c r="A169" s="70"/>
      <c r="B169" s="71"/>
      <c r="C169" s="71"/>
      <c r="D169" s="71"/>
      <c r="E169" s="71"/>
      <c r="F169" s="71"/>
      <c r="G169" s="71"/>
      <c r="H169" s="71"/>
      <c r="I169" s="71"/>
      <c r="N169" s="3" t="s">
        <v>162</v>
      </c>
    </row>
    <row r="170" spans="1:14" x14ac:dyDescent="0.2">
      <c r="A170" s="70"/>
      <c r="B170" s="71"/>
      <c r="C170" s="71"/>
      <c r="D170" s="71"/>
      <c r="E170" s="71"/>
      <c r="F170" s="71"/>
      <c r="G170" s="71"/>
      <c r="H170" s="71"/>
      <c r="I170" s="71"/>
      <c r="N170" s="3" t="s">
        <v>399</v>
      </c>
    </row>
    <row r="171" spans="1:14" x14ac:dyDescent="0.2">
      <c r="A171" s="70"/>
      <c r="B171" s="71"/>
      <c r="C171" s="71"/>
      <c r="D171" s="71"/>
      <c r="E171" s="71"/>
      <c r="F171" s="71"/>
      <c r="G171" s="71"/>
      <c r="H171" s="71"/>
      <c r="I171" s="71"/>
      <c r="N171" s="3" t="s">
        <v>163</v>
      </c>
    </row>
    <row r="172" spans="1:14" x14ac:dyDescent="0.2">
      <c r="A172" s="70"/>
      <c r="B172" s="71"/>
      <c r="C172" s="71"/>
      <c r="D172" s="71"/>
      <c r="E172" s="71"/>
      <c r="F172" s="71"/>
      <c r="G172" s="71"/>
      <c r="H172" s="71"/>
      <c r="I172" s="71"/>
      <c r="N172" s="3" t="s">
        <v>164</v>
      </c>
    </row>
    <row r="173" spans="1:14" x14ac:dyDescent="0.2">
      <c r="A173" s="70"/>
      <c r="B173" s="71"/>
      <c r="C173" s="71"/>
      <c r="D173" s="71"/>
      <c r="E173" s="71"/>
      <c r="F173" s="71"/>
      <c r="G173" s="71"/>
      <c r="H173" s="71"/>
      <c r="I173" s="71"/>
      <c r="N173" s="3" t="s">
        <v>165</v>
      </c>
    </row>
    <row r="174" spans="1:14" x14ac:dyDescent="0.2">
      <c r="A174" s="70"/>
      <c r="B174" s="71"/>
      <c r="C174" s="71"/>
      <c r="D174" s="71"/>
      <c r="E174" s="71"/>
      <c r="F174" s="71"/>
      <c r="G174" s="71"/>
      <c r="H174" s="71"/>
      <c r="I174" s="71"/>
      <c r="N174" s="3" t="s">
        <v>166</v>
      </c>
    </row>
    <row r="175" spans="1:14" x14ac:dyDescent="0.2">
      <c r="A175" s="70"/>
      <c r="B175" s="71"/>
      <c r="C175" s="71"/>
      <c r="D175" s="71"/>
      <c r="E175" s="71"/>
      <c r="F175" s="71"/>
      <c r="G175" s="71"/>
      <c r="H175" s="71"/>
      <c r="I175" s="71"/>
      <c r="N175" s="3" t="s">
        <v>398</v>
      </c>
    </row>
    <row r="176" spans="1:14" x14ac:dyDescent="0.2">
      <c r="A176" s="70"/>
      <c r="B176" s="71"/>
      <c r="C176" s="71"/>
      <c r="D176" s="71"/>
      <c r="E176" s="71"/>
      <c r="F176" s="71"/>
      <c r="G176" s="71"/>
      <c r="H176" s="71"/>
      <c r="I176" s="71"/>
      <c r="N176" s="3" t="s">
        <v>397</v>
      </c>
    </row>
    <row r="177" spans="1:14" x14ac:dyDescent="0.2">
      <c r="A177" s="70"/>
      <c r="B177" s="71"/>
      <c r="C177" s="71"/>
      <c r="D177" s="71"/>
      <c r="E177" s="71"/>
      <c r="F177" s="71"/>
      <c r="G177" s="71"/>
      <c r="H177" s="71"/>
      <c r="I177" s="71"/>
      <c r="N177" s="3" t="s">
        <v>396</v>
      </c>
    </row>
    <row r="178" spans="1:14" x14ac:dyDescent="0.2">
      <c r="A178" s="70"/>
      <c r="B178" s="71"/>
      <c r="C178" s="71"/>
      <c r="D178" s="71"/>
      <c r="E178" s="71"/>
      <c r="F178" s="71"/>
      <c r="G178" s="71"/>
      <c r="H178" s="71"/>
      <c r="I178" s="71"/>
      <c r="N178" s="3" t="s">
        <v>395</v>
      </c>
    </row>
    <row r="179" spans="1:14" x14ac:dyDescent="0.2">
      <c r="A179" s="70"/>
      <c r="B179" s="71"/>
      <c r="C179" s="71"/>
      <c r="D179" s="71"/>
      <c r="E179" s="71"/>
      <c r="F179" s="71"/>
      <c r="G179" s="71"/>
      <c r="H179" s="71"/>
      <c r="I179" s="71"/>
      <c r="N179" s="3" t="s">
        <v>394</v>
      </c>
    </row>
    <row r="180" spans="1:14" x14ac:dyDescent="0.2">
      <c r="A180" s="70"/>
      <c r="B180" s="71"/>
      <c r="C180" s="71"/>
      <c r="D180" s="71"/>
      <c r="E180" s="71"/>
      <c r="F180" s="71"/>
      <c r="G180" s="71"/>
      <c r="H180" s="71"/>
      <c r="I180" s="71"/>
      <c r="N180" s="3" t="s">
        <v>393</v>
      </c>
    </row>
    <row r="181" spans="1:14" x14ac:dyDescent="0.2">
      <c r="A181" s="70"/>
      <c r="B181" s="71"/>
      <c r="C181" s="71"/>
      <c r="D181" s="71"/>
      <c r="E181" s="71"/>
      <c r="F181" s="71"/>
      <c r="G181" s="71"/>
      <c r="H181" s="71"/>
      <c r="I181" s="71"/>
      <c r="N181" s="3" t="s">
        <v>392</v>
      </c>
    </row>
    <row r="182" spans="1:14" x14ac:dyDescent="0.2">
      <c r="A182" s="70"/>
      <c r="B182" s="71"/>
      <c r="C182" s="71"/>
      <c r="D182" s="71"/>
      <c r="E182" s="71"/>
      <c r="F182" s="71"/>
      <c r="G182" s="71"/>
      <c r="H182" s="71"/>
      <c r="I182" s="71"/>
      <c r="N182" s="3" t="s">
        <v>391</v>
      </c>
    </row>
    <row r="183" spans="1:14" x14ac:dyDescent="0.2">
      <c r="A183" s="70"/>
      <c r="B183" s="71"/>
      <c r="C183" s="71"/>
      <c r="D183" s="71"/>
      <c r="E183" s="71"/>
      <c r="F183" s="71"/>
      <c r="G183" s="71"/>
      <c r="H183" s="71"/>
      <c r="I183" s="71"/>
      <c r="N183" s="3" t="s">
        <v>390</v>
      </c>
    </row>
    <row r="184" spans="1:14" x14ac:dyDescent="0.2">
      <c r="A184" s="70"/>
      <c r="B184" s="71"/>
      <c r="C184" s="71"/>
      <c r="D184" s="71"/>
      <c r="E184" s="71"/>
      <c r="F184" s="71"/>
      <c r="G184" s="71"/>
      <c r="H184" s="71"/>
      <c r="I184" s="71"/>
      <c r="N184" s="3" t="s">
        <v>389</v>
      </c>
    </row>
    <row r="185" spans="1:14" x14ac:dyDescent="0.2">
      <c r="A185" s="70"/>
      <c r="B185" s="71"/>
      <c r="C185" s="71"/>
      <c r="D185" s="71"/>
      <c r="E185" s="71"/>
      <c r="F185" s="71"/>
      <c r="G185" s="71"/>
      <c r="H185" s="71"/>
      <c r="I185" s="71"/>
      <c r="N185" s="3" t="s">
        <v>388</v>
      </c>
    </row>
    <row r="186" spans="1:14" x14ac:dyDescent="0.2">
      <c r="A186" s="70"/>
      <c r="B186" s="71"/>
      <c r="C186" s="71"/>
      <c r="D186" s="71"/>
      <c r="E186" s="71"/>
      <c r="F186" s="71"/>
      <c r="G186" s="71"/>
      <c r="H186" s="71"/>
      <c r="I186" s="71"/>
      <c r="N186" s="3" t="s">
        <v>387</v>
      </c>
    </row>
    <row r="187" spans="1:14" x14ac:dyDescent="0.2">
      <c r="A187" s="70"/>
      <c r="B187" s="71"/>
      <c r="C187" s="71"/>
      <c r="D187" s="71"/>
      <c r="E187" s="71"/>
      <c r="F187" s="71"/>
      <c r="G187" s="71"/>
      <c r="H187" s="71"/>
      <c r="I187" s="71"/>
      <c r="N187" s="3" t="s">
        <v>386</v>
      </c>
    </row>
    <row r="188" spans="1:14" x14ac:dyDescent="0.2">
      <c r="A188" s="70"/>
      <c r="B188" s="71"/>
      <c r="C188" s="71"/>
      <c r="D188" s="71"/>
      <c r="E188" s="71"/>
      <c r="F188" s="71"/>
      <c r="G188" s="71"/>
      <c r="H188" s="71"/>
      <c r="I188" s="71"/>
      <c r="N188" s="3" t="s">
        <v>385</v>
      </c>
    </row>
    <row r="189" spans="1:14" x14ac:dyDescent="0.2">
      <c r="A189" s="70"/>
      <c r="B189" s="71"/>
      <c r="C189" s="71"/>
      <c r="D189" s="71"/>
      <c r="E189" s="71"/>
      <c r="F189" s="71"/>
      <c r="G189" s="71"/>
      <c r="H189" s="71"/>
      <c r="I189" s="71"/>
      <c r="N189" s="3" t="s">
        <v>384</v>
      </c>
    </row>
    <row r="190" spans="1:14" x14ac:dyDescent="0.2">
      <c r="A190" s="70"/>
      <c r="B190" s="71"/>
      <c r="C190" s="71"/>
      <c r="D190" s="71"/>
      <c r="E190" s="71"/>
      <c r="F190" s="71"/>
      <c r="G190" s="71"/>
      <c r="H190" s="71"/>
      <c r="I190" s="71"/>
      <c r="N190" s="3" t="s">
        <v>383</v>
      </c>
    </row>
    <row r="191" spans="1:14" x14ac:dyDescent="0.2">
      <c r="A191" s="70"/>
      <c r="B191" s="71"/>
      <c r="C191" s="71"/>
      <c r="D191" s="71"/>
      <c r="E191" s="71"/>
      <c r="F191" s="71"/>
      <c r="G191" s="71"/>
      <c r="H191" s="71"/>
      <c r="I191" s="71"/>
      <c r="N191" s="3" t="s">
        <v>382</v>
      </c>
    </row>
    <row r="192" spans="1:14" x14ac:dyDescent="0.2">
      <c r="A192" s="70"/>
      <c r="B192" s="71"/>
      <c r="C192" s="71"/>
      <c r="D192" s="71"/>
      <c r="E192" s="71"/>
      <c r="F192" s="71"/>
      <c r="G192" s="71"/>
      <c r="H192" s="71"/>
      <c r="I192" s="71"/>
      <c r="N192" s="3" t="s">
        <v>381</v>
      </c>
    </row>
    <row r="193" spans="1:14" x14ac:dyDescent="0.2">
      <c r="A193" s="70"/>
      <c r="B193" s="71"/>
      <c r="C193" s="71"/>
      <c r="D193" s="71"/>
      <c r="E193" s="71"/>
      <c r="F193" s="71"/>
      <c r="G193" s="71"/>
      <c r="H193" s="71"/>
      <c r="I193" s="71"/>
      <c r="N193" s="3" t="s">
        <v>380</v>
      </c>
    </row>
    <row r="194" spans="1:14" x14ac:dyDescent="0.2">
      <c r="A194" s="70"/>
      <c r="B194" s="71"/>
      <c r="C194" s="71"/>
      <c r="D194" s="71"/>
      <c r="E194" s="71"/>
      <c r="F194" s="71"/>
      <c r="G194" s="71"/>
      <c r="H194" s="71"/>
      <c r="I194" s="71"/>
      <c r="N194" s="3" t="s">
        <v>379</v>
      </c>
    </row>
    <row r="195" spans="1:14" x14ac:dyDescent="0.2">
      <c r="A195" s="70"/>
      <c r="B195" s="71"/>
      <c r="C195" s="71"/>
      <c r="D195" s="71"/>
      <c r="E195" s="71"/>
      <c r="F195" s="71"/>
      <c r="G195" s="71"/>
      <c r="H195" s="71"/>
      <c r="I195" s="71"/>
      <c r="N195" s="3" t="s">
        <v>378</v>
      </c>
    </row>
    <row r="196" spans="1:14" x14ac:dyDescent="0.2">
      <c r="A196" s="70"/>
      <c r="B196" s="71"/>
      <c r="C196" s="71"/>
      <c r="D196" s="71"/>
      <c r="E196" s="71"/>
      <c r="F196" s="71"/>
      <c r="G196" s="71"/>
      <c r="H196" s="71"/>
      <c r="I196" s="71"/>
      <c r="N196" s="3" t="s">
        <v>377</v>
      </c>
    </row>
    <row r="197" spans="1:14" x14ac:dyDescent="0.2">
      <c r="A197" s="70"/>
      <c r="B197" s="71"/>
      <c r="C197" s="71"/>
      <c r="D197" s="71"/>
      <c r="E197" s="71"/>
      <c r="F197" s="71"/>
      <c r="G197" s="71"/>
      <c r="H197" s="71"/>
      <c r="I197" s="71"/>
      <c r="N197" s="3" t="s">
        <v>376</v>
      </c>
    </row>
    <row r="198" spans="1:14" x14ac:dyDescent="0.2">
      <c r="A198" s="70"/>
      <c r="B198" s="71"/>
      <c r="C198" s="71"/>
      <c r="D198" s="71"/>
      <c r="E198" s="71"/>
      <c r="F198" s="71"/>
      <c r="G198" s="71"/>
      <c r="H198" s="71"/>
      <c r="I198" s="71"/>
      <c r="N198" s="3" t="s">
        <v>375</v>
      </c>
    </row>
    <row r="199" spans="1:14" x14ac:dyDescent="0.2">
      <c r="A199" s="70"/>
      <c r="B199" s="71"/>
      <c r="C199" s="71"/>
      <c r="D199" s="71"/>
      <c r="E199" s="71"/>
      <c r="F199" s="71"/>
      <c r="G199" s="71"/>
      <c r="H199" s="71"/>
      <c r="I199" s="71"/>
      <c r="N199" s="3" t="s">
        <v>374</v>
      </c>
    </row>
    <row r="200" spans="1:14" x14ac:dyDescent="0.2">
      <c r="A200" s="70"/>
      <c r="B200" s="71"/>
      <c r="C200" s="71"/>
      <c r="D200" s="71"/>
      <c r="E200" s="71"/>
      <c r="F200" s="71"/>
      <c r="G200" s="71"/>
      <c r="H200" s="71"/>
      <c r="I200" s="71"/>
      <c r="N200" s="3" t="s">
        <v>373</v>
      </c>
    </row>
    <row r="201" spans="1:14" x14ac:dyDescent="0.2">
      <c r="A201" s="70"/>
      <c r="B201" s="71"/>
      <c r="C201" s="71"/>
      <c r="D201" s="71"/>
      <c r="E201" s="71"/>
      <c r="F201" s="71"/>
      <c r="G201" s="71"/>
      <c r="H201" s="71"/>
      <c r="I201" s="71"/>
      <c r="N201" s="3" t="s">
        <v>372</v>
      </c>
    </row>
    <row r="202" spans="1:14" x14ac:dyDescent="0.2">
      <c r="A202" s="70"/>
      <c r="B202" s="71"/>
      <c r="C202" s="71"/>
      <c r="D202" s="71"/>
      <c r="E202" s="71"/>
      <c r="F202" s="71"/>
      <c r="G202" s="71"/>
      <c r="H202" s="71"/>
      <c r="I202" s="71"/>
      <c r="N202" s="3" t="s">
        <v>371</v>
      </c>
    </row>
    <row r="203" spans="1:14" x14ac:dyDescent="0.2">
      <c r="A203" s="70"/>
      <c r="B203" s="71"/>
      <c r="C203" s="71"/>
      <c r="D203" s="71"/>
      <c r="E203" s="71"/>
      <c r="F203" s="71"/>
      <c r="G203" s="71"/>
      <c r="H203" s="71"/>
      <c r="I203" s="71"/>
      <c r="N203" s="3" t="s">
        <v>370</v>
      </c>
    </row>
    <row r="204" spans="1:14" x14ac:dyDescent="0.2">
      <c r="A204" s="70"/>
      <c r="B204" s="71"/>
      <c r="C204" s="71"/>
      <c r="D204" s="71"/>
      <c r="E204" s="71"/>
      <c r="F204" s="71"/>
      <c r="G204" s="71"/>
      <c r="H204" s="71"/>
      <c r="I204" s="71"/>
      <c r="N204" s="3" t="s">
        <v>369</v>
      </c>
    </row>
    <row r="205" spans="1:14" x14ac:dyDescent="0.2">
      <c r="A205" s="70"/>
      <c r="B205" s="71"/>
      <c r="C205" s="71"/>
      <c r="D205" s="71"/>
      <c r="E205" s="71"/>
      <c r="F205" s="71"/>
      <c r="G205" s="71"/>
      <c r="H205" s="71"/>
      <c r="I205" s="71"/>
      <c r="N205" s="3" t="s">
        <v>368</v>
      </c>
    </row>
    <row r="206" spans="1:14" x14ac:dyDescent="0.2">
      <c r="A206" s="70"/>
      <c r="B206" s="71"/>
      <c r="C206" s="71"/>
      <c r="D206" s="71"/>
      <c r="E206" s="71"/>
      <c r="F206" s="71"/>
      <c r="G206" s="71"/>
      <c r="H206" s="71"/>
      <c r="I206" s="71"/>
      <c r="N206" s="3" t="s">
        <v>367</v>
      </c>
    </row>
    <row r="207" spans="1:14" x14ac:dyDescent="0.2">
      <c r="A207" s="70"/>
      <c r="B207" s="71"/>
      <c r="C207" s="71"/>
      <c r="D207" s="71"/>
      <c r="E207" s="71"/>
      <c r="F207" s="71"/>
      <c r="G207" s="71"/>
      <c r="H207" s="71"/>
      <c r="I207" s="71"/>
      <c r="N207" s="3" t="s">
        <v>366</v>
      </c>
    </row>
    <row r="208" spans="1:14" x14ac:dyDescent="0.2">
      <c r="A208" s="70"/>
      <c r="B208" s="71"/>
      <c r="C208" s="71"/>
      <c r="D208" s="71"/>
      <c r="E208" s="71"/>
      <c r="F208" s="71"/>
      <c r="G208" s="71"/>
      <c r="H208" s="71"/>
      <c r="I208" s="71"/>
      <c r="N208" s="3" t="s">
        <v>365</v>
      </c>
    </row>
    <row r="209" spans="1:14" x14ac:dyDescent="0.2">
      <c r="A209" s="70"/>
      <c r="B209" s="71"/>
      <c r="C209" s="71"/>
      <c r="D209" s="71"/>
      <c r="E209" s="71"/>
      <c r="F209" s="71"/>
      <c r="G209" s="71"/>
      <c r="H209" s="71"/>
      <c r="I209" s="71"/>
      <c r="N209" s="3" t="s">
        <v>364</v>
      </c>
    </row>
    <row r="210" spans="1:14" x14ac:dyDescent="0.2">
      <c r="A210" s="70"/>
      <c r="B210" s="71"/>
      <c r="C210" s="71"/>
      <c r="D210" s="71"/>
      <c r="E210" s="71"/>
      <c r="F210" s="71"/>
      <c r="G210" s="71"/>
      <c r="H210" s="71"/>
      <c r="I210" s="71"/>
      <c r="N210" s="3" t="s">
        <v>167</v>
      </c>
    </row>
    <row r="211" spans="1:14" x14ac:dyDescent="0.2">
      <c r="A211" s="70"/>
      <c r="B211" s="71"/>
      <c r="C211" s="71"/>
      <c r="D211" s="71"/>
      <c r="E211" s="71"/>
      <c r="F211" s="71"/>
      <c r="G211" s="71"/>
      <c r="H211" s="71"/>
      <c r="I211" s="71"/>
      <c r="N211" s="3" t="s">
        <v>168</v>
      </c>
    </row>
    <row r="212" spans="1:14" x14ac:dyDescent="0.2">
      <c r="A212" s="70"/>
      <c r="B212" s="71"/>
      <c r="C212" s="71"/>
      <c r="D212" s="71"/>
      <c r="E212" s="71"/>
      <c r="F212" s="71"/>
      <c r="G212" s="71"/>
      <c r="H212" s="71"/>
      <c r="I212" s="71"/>
      <c r="N212" s="3" t="s">
        <v>169</v>
      </c>
    </row>
    <row r="213" spans="1:14" x14ac:dyDescent="0.2">
      <c r="A213" s="70"/>
      <c r="B213" s="71"/>
      <c r="C213" s="71"/>
      <c r="D213" s="71"/>
      <c r="E213" s="71"/>
      <c r="F213" s="71"/>
      <c r="G213" s="71"/>
      <c r="H213" s="71"/>
      <c r="I213" s="71"/>
      <c r="N213" s="3" t="s">
        <v>170</v>
      </c>
    </row>
    <row r="214" spans="1:14" x14ac:dyDescent="0.2">
      <c r="A214" s="70"/>
      <c r="B214" s="71"/>
      <c r="C214" s="71"/>
      <c r="D214" s="71"/>
      <c r="E214" s="71"/>
      <c r="F214" s="71"/>
      <c r="G214" s="71"/>
      <c r="H214" s="71"/>
      <c r="I214" s="71"/>
      <c r="N214" s="3" t="s">
        <v>171</v>
      </c>
    </row>
    <row r="215" spans="1:14" x14ac:dyDescent="0.2">
      <c r="A215" s="70"/>
      <c r="B215" s="71"/>
      <c r="C215" s="71"/>
      <c r="D215" s="71"/>
      <c r="E215" s="71"/>
      <c r="F215" s="71"/>
      <c r="G215" s="71"/>
      <c r="H215" s="71"/>
      <c r="I215" s="71"/>
      <c r="N215" s="3" t="s">
        <v>172</v>
      </c>
    </row>
    <row r="216" spans="1:14" x14ac:dyDescent="0.2">
      <c r="A216" s="70"/>
      <c r="B216" s="71"/>
      <c r="C216" s="71"/>
      <c r="D216" s="71"/>
      <c r="E216" s="71"/>
      <c r="F216" s="71"/>
      <c r="G216" s="71"/>
      <c r="H216" s="71"/>
      <c r="I216" s="71"/>
      <c r="N216" s="3" t="s">
        <v>173</v>
      </c>
    </row>
    <row r="217" spans="1:14" x14ac:dyDescent="0.2">
      <c r="A217" s="70"/>
      <c r="B217" s="71"/>
      <c r="C217" s="71"/>
      <c r="D217" s="71"/>
      <c r="E217" s="71"/>
      <c r="F217" s="71"/>
      <c r="G217" s="71"/>
      <c r="H217" s="71"/>
      <c r="I217" s="71"/>
      <c r="N217" s="3" t="s">
        <v>174</v>
      </c>
    </row>
    <row r="218" spans="1:14" x14ac:dyDescent="0.2">
      <c r="A218" s="70"/>
      <c r="B218" s="71"/>
      <c r="C218" s="71"/>
      <c r="D218" s="71"/>
      <c r="E218" s="71"/>
      <c r="F218" s="71"/>
      <c r="G218" s="71"/>
      <c r="H218" s="71"/>
      <c r="I218" s="71"/>
      <c r="N218" s="3" t="s">
        <v>175</v>
      </c>
    </row>
    <row r="219" spans="1:14" x14ac:dyDescent="0.2">
      <c r="A219" s="70"/>
      <c r="B219" s="71"/>
      <c r="C219" s="71"/>
      <c r="D219" s="71"/>
      <c r="E219" s="71"/>
      <c r="F219" s="71"/>
      <c r="G219" s="71"/>
      <c r="H219" s="71"/>
      <c r="I219" s="71"/>
      <c r="N219" s="3" t="s">
        <v>176</v>
      </c>
    </row>
    <row r="220" spans="1:14" x14ac:dyDescent="0.2">
      <c r="A220" s="70"/>
      <c r="B220" s="71"/>
      <c r="C220" s="71"/>
      <c r="D220" s="71"/>
      <c r="E220" s="71"/>
      <c r="F220" s="71"/>
      <c r="G220" s="71"/>
      <c r="H220" s="71"/>
      <c r="I220" s="71"/>
      <c r="N220" s="3" t="s">
        <v>363</v>
      </c>
    </row>
    <row r="221" spans="1:14" x14ac:dyDescent="0.2">
      <c r="A221" s="70"/>
      <c r="B221" s="71"/>
      <c r="C221" s="71"/>
      <c r="D221" s="71"/>
      <c r="E221" s="71"/>
      <c r="F221" s="71"/>
      <c r="G221" s="71"/>
      <c r="H221" s="71"/>
      <c r="I221" s="71"/>
      <c r="N221" s="3" t="s">
        <v>362</v>
      </c>
    </row>
    <row r="222" spans="1:14" x14ac:dyDescent="0.2">
      <c r="A222" s="70"/>
      <c r="B222" s="71"/>
      <c r="C222" s="71"/>
      <c r="D222" s="71"/>
      <c r="E222" s="71"/>
      <c r="F222" s="71"/>
      <c r="G222" s="71"/>
      <c r="H222" s="71"/>
      <c r="I222" s="71"/>
      <c r="N222" s="3" t="s">
        <v>177</v>
      </c>
    </row>
    <row r="223" spans="1:14" x14ac:dyDescent="0.2">
      <c r="A223" s="70"/>
      <c r="B223" s="71"/>
      <c r="C223" s="71"/>
      <c r="D223" s="71"/>
      <c r="E223" s="71"/>
      <c r="F223" s="71"/>
      <c r="G223" s="71"/>
      <c r="H223" s="71"/>
      <c r="I223" s="71"/>
      <c r="N223" s="3" t="s">
        <v>178</v>
      </c>
    </row>
    <row r="224" spans="1:14" x14ac:dyDescent="0.2">
      <c r="A224" s="70"/>
      <c r="B224" s="71"/>
      <c r="C224" s="71"/>
      <c r="D224" s="71"/>
      <c r="E224" s="71"/>
      <c r="F224" s="71"/>
      <c r="G224" s="71"/>
      <c r="H224" s="71"/>
      <c r="I224" s="71"/>
      <c r="N224" s="3" t="s">
        <v>179</v>
      </c>
    </row>
    <row r="225" spans="1:14" x14ac:dyDescent="0.2">
      <c r="A225" s="70"/>
      <c r="B225" s="71"/>
      <c r="C225" s="71"/>
      <c r="D225" s="71"/>
      <c r="E225" s="71"/>
      <c r="F225" s="71"/>
      <c r="G225" s="71"/>
      <c r="H225" s="71"/>
      <c r="I225" s="71"/>
      <c r="N225" s="3" t="s">
        <v>180</v>
      </c>
    </row>
    <row r="226" spans="1:14" x14ac:dyDescent="0.2">
      <c r="A226" s="70"/>
      <c r="B226" s="71"/>
      <c r="C226" s="71"/>
      <c r="D226" s="71"/>
      <c r="E226" s="71"/>
      <c r="F226" s="71"/>
      <c r="G226" s="71"/>
      <c r="H226" s="71"/>
      <c r="I226" s="71"/>
      <c r="N226" s="3" t="s">
        <v>181</v>
      </c>
    </row>
    <row r="227" spans="1:14" x14ac:dyDescent="0.2">
      <c r="A227" s="70"/>
      <c r="B227" s="71"/>
      <c r="C227" s="71"/>
      <c r="D227" s="71"/>
      <c r="E227" s="71"/>
      <c r="F227" s="71"/>
      <c r="G227" s="71"/>
      <c r="H227" s="71"/>
      <c r="I227" s="71"/>
      <c r="N227" s="3" t="s">
        <v>182</v>
      </c>
    </row>
    <row r="228" spans="1:14" x14ac:dyDescent="0.2">
      <c r="A228" s="70"/>
      <c r="B228" s="71"/>
      <c r="C228" s="71"/>
      <c r="D228" s="71"/>
      <c r="E228" s="71"/>
      <c r="F228" s="71"/>
      <c r="G228" s="71"/>
      <c r="H228" s="71"/>
      <c r="I228" s="71"/>
      <c r="N228" s="3" t="s">
        <v>183</v>
      </c>
    </row>
    <row r="229" spans="1:14" x14ac:dyDescent="0.2">
      <c r="A229" s="70"/>
      <c r="B229" s="71"/>
      <c r="C229" s="71"/>
      <c r="D229" s="71"/>
      <c r="E229" s="71"/>
      <c r="F229" s="71"/>
      <c r="G229" s="71"/>
      <c r="H229" s="71"/>
      <c r="I229" s="71"/>
      <c r="N229" s="3" t="s">
        <v>184</v>
      </c>
    </row>
    <row r="230" spans="1:14" x14ac:dyDescent="0.2">
      <c r="A230" s="70"/>
      <c r="B230" s="71"/>
      <c r="C230" s="71"/>
      <c r="D230" s="71"/>
      <c r="E230" s="71"/>
      <c r="F230" s="71"/>
      <c r="G230" s="71"/>
      <c r="H230" s="71"/>
      <c r="I230" s="71"/>
      <c r="N230" s="3" t="s">
        <v>361</v>
      </c>
    </row>
    <row r="231" spans="1:14" x14ac:dyDescent="0.2">
      <c r="A231" s="70"/>
      <c r="B231" s="71"/>
      <c r="C231" s="71"/>
      <c r="D231" s="71"/>
      <c r="E231" s="71"/>
      <c r="F231" s="71"/>
      <c r="G231" s="71"/>
      <c r="H231" s="71"/>
      <c r="I231" s="71"/>
      <c r="L231" s="72"/>
      <c r="M231" s="72"/>
      <c r="N231" s="3" t="s">
        <v>185</v>
      </c>
    </row>
    <row r="232" spans="1:14" x14ac:dyDescent="0.2">
      <c r="A232" s="70"/>
      <c r="B232" s="71"/>
      <c r="C232" s="71"/>
      <c r="D232" s="71"/>
      <c r="E232" s="71"/>
      <c r="F232" s="71"/>
      <c r="G232" s="71"/>
      <c r="H232" s="71"/>
      <c r="I232" s="71"/>
      <c r="N232" s="3" t="s">
        <v>186</v>
      </c>
    </row>
    <row r="233" spans="1:14" x14ac:dyDescent="0.2">
      <c r="A233" s="70"/>
      <c r="B233" s="71"/>
      <c r="C233" s="71"/>
      <c r="D233" s="71"/>
      <c r="E233" s="71"/>
      <c r="F233" s="71"/>
      <c r="G233" s="71"/>
      <c r="H233" s="71"/>
      <c r="I233" s="71"/>
      <c r="N233" s="3" t="s">
        <v>360</v>
      </c>
    </row>
    <row r="234" spans="1:14" x14ac:dyDescent="0.2">
      <c r="A234" s="70"/>
      <c r="B234" s="71"/>
      <c r="C234" s="71"/>
      <c r="D234" s="71"/>
      <c r="E234" s="71"/>
      <c r="F234" s="71"/>
      <c r="G234" s="71"/>
      <c r="H234" s="71"/>
      <c r="I234" s="71"/>
      <c r="N234" s="3" t="s">
        <v>187</v>
      </c>
    </row>
    <row r="235" spans="1:14" x14ac:dyDescent="0.2">
      <c r="A235" s="70"/>
      <c r="B235" s="71"/>
      <c r="C235" s="71"/>
      <c r="D235" s="71"/>
      <c r="E235" s="71"/>
      <c r="F235" s="71"/>
      <c r="G235" s="71"/>
      <c r="H235" s="71"/>
      <c r="I235" s="71"/>
      <c r="N235" s="3" t="s">
        <v>188</v>
      </c>
    </row>
    <row r="236" spans="1:14" x14ac:dyDescent="0.2">
      <c r="A236" s="70"/>
      <c r="B236" s="71"/>
      <c r="C236" s="71"/>
      <c r="D236" s="71"/>
      <c r="E236" s="71"/>
      <c r="F236" s="71"/>
      <c r="G236" s="71"/>
      <c r="H236" s="71"/>
      <c r="I236" s="71"/>
      <c r="N236" s="3" t="s">
        <v>189</v>
      </c>
    </row>
    <row r="237" spans="1:14" x14ac:dyDescent="0.2">
      <c r="A237" s="70"/>
      <c r="B237" s="71"/>
      <c r="C237" s="71"/>
      <c r="D237" s="71"/>
      <c r="E237" s="71"/>
      <c r="F237" s="71"/>
      <c r="G237" s="71"/>
      <c r="H237" s="71"/>
      <c r="I237" s="71"/>
      <c r="N237" s="3" t="s">
        <v>190</v>
      </c>
    </row>
    <row r="238" spans="1:14" x14ac:dyDescent="0.2">
      <c r="A238" s="70"/>
      <c r="B238" s="71"/>
      <c r="C238" s="71"/>
      <c r="D238" s="71"/>
      <c r="E238" s="71"/>
      <c r="F238" s="71"/>
      <c r="G238" s="71"/>
      <c r="H238" s="71"/>
      <c r="I238" s="71"/>
      <c r="N238" s="3" t="s">
        <v>191</v>
      </c>
    </row>
    <row r="239" spans="1:14" x14ac:dyDescent="0.2">
      <c r="A239" s="70"/>
      <c r="B239" s="71"/>
      <c r="C239" s="71"/>
      <c r="D239" s="71"/>
      <c r="E239" s="71"/>
      <c r="F239" s="71"/>
      <c r="G239" s="71"/>
      <c r="H239" s="71"/>
      <c r="I239" s="71"/>
      <c r="N239" s="3" t="s">
        <v>192</v>
      </c>
    </row>
    <row r="240" spans="1:14" x14ac:dyDescent="0.2">
      <c r="A240" s="70"/>
      <c r="B240" s="71"/>
      <c r="C240" s="71"/>
      <c r="D240" s="71"/>
      <c r="E240" s="71"/>
      <c r="F240" s="71"/>
      <c r="G240" s="71"/>
      <c r="H240" s="71"/>
      <c r="I240" s="71"/>
      <c r="N240" s="3" t="s">
        <v>359</v>
      </c>
    </row>
    <row r="241" spans="1:14" x14ac:dyDescent="0.2">
      <c r="A241" s="70"/>
      <c r="B241" s="71"/>
      <c r="C241" s="71"/>
      <c r="D241" s="71"/>
      <c r="E241" s="71"/>
      <c r="F241" s="71"/>
      <c r="G241" s="71"/>
      <c r="H241" s="71"/>
      <c r="I241" s="71"/>
      <c r="N241" s="3" t="s">
        <v>193</v>
      </c>
    </row>
    <row r="242" spans="1:14" x14ac:dyDescent="0.2">
      <c r="A242" s="70"/>
      <c r="B242" s="71"/>
      <c r="C242" s="71"/>
      <c r="D242" s="71"/>
      <c r="E242" s="71"/>
      <c r="F242" s="71"/>
      <c r="G242" s="71"/>
      <c r="H242" s="71"/>
      <c r="I242" s="71"/>
      <c r="N242" s="3" t="s">
        <v>194</v>
      </c>
    </row>
    <row r="243" spans="1:14" x14ac:dyDescent="0.2">
      <c r="A243" s="70"/>
      <c r="B243" s="71"/>
      <c r="C243" s="71"/>
      <c r="D243" s="71"/>
      <c r="E243" s="71"/>
      <c r="F243" s="71"/>
      <c r="G243" s="71"/>
      <c r="H243" s="71"/>
      <c r="I243" s="71"/>
      <c r="N243" s="3" t="s">
        <v>195</v>
      </c>
    </row>
    <row r="244" spans="1:14" x14ac:dyDescent="0.2">
      <c r="A244" s="70"/>
      <c r="B244" s="71"/>
      <c r="C244" s="71"/>
      <c r="D244" s="71"/>
      <c r="E244" s="71"/>
      <c r="F244" s="71"/>
      <c r="G244" s="71"/>
      <c r="H244" s="71"/>
      <c r="I244" s="71"/>
      <c r="N244" s="3" t="s">
        <v>196</v>
      </c>
    </row>
    <row r="245" spans="1:14" x14ac:dyDescent="0.2">
      <c r="A245" s="70"/>
      <c r="B245" s="71"/>
      <c r="C245" s="71"/>
      <c r="D245" s="71"/>
      <c r="E245" s="71"/>
      <c r="F245" s="71"/>
      <c r="G245" s="71"/>
      <c r="H245" s="71"/>
      <c r="I245" s="71"/>
      <c r="N245" s="3" t="s">
        <v>197</v>
      </c>
    </row>
    <row r="246" spans="1:14" x14ac:dyDescent="0.2">
      <c r="A246" s="70"/>
      <c r="B246" s="71"/>
      <c r="C246" s="71"/>
      <c r="D246" s="71"/>
      <c r="E246" s="71"/>
      <c r="F246" s="71"/>
      <c r="G246" s="71"/>
      <c r="H246" s="71"/>
      <c r="I246" s="71"/>
      <c r="N246" s="3" t="s">
        <v>198</v>
      </c>
    </row>
    <row r="247" spans="1:14" x14ac:dyDescent="0.2">
      <c r="A247" s="70"/>
      <c r="B247" s="71"/>
      <c r="C247" s="71"/>
      <c r="D247" s="71"/>
      <c r="E247" s="71"/>
      <c r="F247" s="71"/>
      <c r="G247" s="71"/>
      <c r="H247" s="71"/>
      <c r="I247" s="71"/>
      <c r="N247" s="3" t="s">
        <v>199</v>
      </c>
    </row>
    <row r="248" spans="1:14" x14ac:dyDescent="0.2">
      <c r="A248" s="70"/>
      <c r="B248" s="71"/>
      <c r="C248" s="71"/>
      <c r="D248" s="71"/>
      <c r="E248" s="71"/>
      <c r="F248" s="71"/>
      <c r="G248" s="71"/>
      <c r="H248" s="71"/>
      <c r="I248" s="71"/>
      <c r="N248" s="3" t="s">
        <v>358</v>
      </c>
    </row>
    <row r="249" spans="1:14" x14ac:dyDescent="0.2">
      <c r="A249" s="70"/>
      <c r="B249" s="71"/>
      <c r="C249" s="71"/>
      <c r="D249" s="71"/>
      <c r="E249" s="71"/>
      <c r="F249" s="71"/>
      <c r="G249" s="71"/>
      <c r="H249" s="71"/>
      <c r="I249" s="71"/>
      <c r="N249" s="3" t="s">
        <v>200</v>
      </c>
    </row>
    <row r="250" spans="1:14" x14ac:dyDescent="0.2">
      <c r="A250" s="70"/>
      <c r="B250" s="71"/>
      <c r="C250" s="71"/>
      <c r="D250" s="71"/>
      <c r="E250" s="71"/>
      <c r="F250" s="71"/>
      <c r="G250" s="71"/>
      <c r="H250" s="71"/>
      <c r="I250" s="71"/>
      <c r="N250" s="3" t="s">
        <v>201</v>
      </c>
    </row>
    <row r="251" spans="1:14" x14ac:dyDescent="0.2">
      <c r="A251" s="70"/>
      <c r="B251" s="71"/>
      <c r="C251" s="71"/>
      <c r="D251" s="71"/>
      <c r="E251" s="71"/>
      <c r="F251" s="71"/>
      <c r="G251" s="71"/>
      <c r="H251" s="71"/>
      <c r="I251" s="71"/>
      <c r="N251" s="3" t="s">
        <v>202</v>
      </c>
    </row>
    <row r="252" spans="1:14" x14ac:dyDescent="0.2">
      <c r="A252" s="70"/>
      <c r="B252" s="71"/>
      <c r="C252" s="71"/>
      <c r="D252" s="71"/>
      <c r="E252" s="71"/>
      <c r="F252" s="71"/>
      <c r="G252" s="71"/>
      <c r="H252" s="71"/>
      <c r="I252" s="71"/>
      <c r="N252" s="3" t="s">
        <v>357</v>
      </c>
    </row>
    <row r="253" spans="1:14" x14ac:dyDescent="0.2">
      <c r="A253" s="70"/>
      <c r="B253" s="71"/>
      <c r="C253" s="71"/>
      <c r="D253" s="71"/>
      <c r="E253" s="71"/>
      <c r="F253" s="71"/>
      <c r="G253" s="71"/>
      <c r="H253" s="71"/>
      <c r="I253" s="71"/>
      <c r="N253" s="3" t="s">
        <v>203</v>
      </c>
    </row>
    <row r="254" spans="1:14" x14ac:dyDescent="0.2">
      <c r="A254" s="70"/>
      <c r="B254" s="71"/>
      <c r="C254" s="71"/>
      <c r="D254" s="71"/>
      <c r="E254" s="71"/>
      <c r="F254" s="71"/>
      <c r="G254" s="71"/>
      <c r="H254" s="71"/>
      <c r="I254" s="71"/>
      <c r="N254" s="3" t="s">
        <v>204</v>
      </c>
    </row>
    <row r="255" spans="1:14" x14ac:dyDescent="0.2">
      <c r="A255" s="70"/>
      <c r="B255" s="71"/>
      <c r="C255" s="71"/>
      <c r="D255" s="71"/>
      <c r="E255" s="71"/>
      <c r="F255" s="71"/>
      <c r="G255" s="71"/>
      <c r="H255" s="71"/>
      <c r="I255" s="71"/>
      <c r="N255" s="3" t="s">
        <v>205</v>
      </c>
    </row>
    <row r="256" spans="1:14" x14ac:dyDescent="0.2">
      <c r="A256" s="70"/>
      <c r="B256" s="71"/>
      <c r="C256" s="71"/>
      <c r="D256" s="71"/>
      <c r="E256" s="71"/>
      <c r="F256" s="71"/>
      <c r="G256" s="71"/>
      <c r="H256" s="71"/>
      <c r="I256" s="71"/>
      <c r="N256" s="3" t="s">
        <v>206</v>
      </c>
    </row>
    <row r="257" spans="1:14" x14ac:dyDescent="0.2">
      <c r="A257" s="70"/>
      <c r="B257" s="71"/>
      <c r="C257" s="71"/>
      <c r="D257" s="71"/>
      <c r="E257" s="71"/>
      <c r="F257" s="71"/>
      <c r="G257" s="71"/>
      <c r="H257" s="71"/>
      <c r="I257" s="71"/>
      <c r="N257" s="3" t="s">
        <v>207</v>
      </c>
    </row>
    <row r="258" spans="1:14" x14ac:dyDescent="0.2">
      <c r="A258" s="70"/>
      <c r="B258" s="71"/>
      <c r="C258" s="71"/>
      <c r="D258" s="71"/>
      <c r="E258" s="71"/>
      <c r="F258" s="71"/>
      <c r="G258" s="71"/>
      <c r="H258" s="71"/>
      <c r="I258" s="71"/>
      <c r="N258" s="3" t="s">
        <v>208</v>
      </c>
    </row>
    <row r="259" spans="1:14" x14ac:dyDescent="0.2">
      <c r="A259" s="70"/>
      <c r="B259" s="71"/>
      <c r="C259" s="71"/>
      <c r="D259" s="71"/>
      <c r="E259" s="71"/>
      <c r="F259" s="71"/>
      <c r="G259" s="71"/>
      <c r="H259" s="71"/>
      <c r="I259" s="71"/>
      <c r="N259" s="3" t="s">
        <v>209</v>
      </c>
    </row>
    <row r="260" spans="1:14" x14ac:dyDescent="0.2">
      <c r="A260" s="70"/>
      <c r="B260" s="71"/>
      <c r="C260" s="71"/>
      <c r="D260" s="71"/>
      <c r="E260" s="71"/>
      <c r="F260" s="71"/>
      <c r="G260" s="71"/>
      <c r="H260" s="71"/>
      <c r="I260" s="71"/>
      <c r="N260" s="3" t="s">
        <v>158</v>
      </c>
    </row>
    <row r="261" spans="1:14" x14ac:dyDescent="0.2">
      <c r="A261" s="70"/>
      <c r="B261" s="71"/>
      <c r="C261" s="71"/>
      <c r="D261" s="71"/>
      <c r="E261" s="71"/>
      <c r="F261" s="71"/>
      <c r="G261" s="71"/>
      <c r="H261" s="71"/>
      <c r="I261" s="71"/>
      <c r="N261" s="3" t="s">
        <v>210</v>
      </c>
    </row>
    <row r="262" spans="1:14" x14ac:dyDescent="0.2">
      <c r="A262" s="70"/>
      <c r="B262" s="71"/>
      <c r="C262" s="71"/>
      <c r="D262" s="71"/>
      <c r="E262" s="71"/>
      <c r="F262" s="71"/>
      <c r="G262" s="71"/>
      <c r="H262" s="71"/>
      <c r="I262" s="71"/>
      <c r="N262" s="3" t="s">
        <v>211</v>
      </c>
    </row>
    <row r="263" spans="1:14" x14ac:dyDescent="0.2">
      <c r="A263" s="70"/>
      <c r="B263" s="71"/>
      <c r="C263" s="71"/>
      <c r="D263" s="71"/>
      <c r="E263" s="71"/>
      <c r="F263" s="71"/>
      <c r="G263" s="71"/>
      <c r="H263" s="71"/>
      <c r="I263" s="71"/>
      <c r="N263" s="3" t="s">
        <v>212</v>
      </c>
    </row>
    <row r="264" spans="1:14" x14ac:dyDescent="0.2">
      <c r="A264" s="70"/>
      <c r="B264" s="71"/>
      <c r="C264" s="71"/>
      <c r="D264" s="71"/>
      <c r="E264" s="71"/>
      <c r="F264" s="71"/>
      <c r="G264" s="71"/>
      <c r="H264" s="71"/>
      <c r="I264" s="71"/>
      <c r="N264" s="3" t="s">
        <v>213</v>
      </c>
    </row>
    <row r="265" spans="1:14" x14ac:dyDescent="0.2">
      <c r="A265" s="70"/>
      <c r="B265" s="71"/>
      <c r="C265" s="71"/>
      <c r="D265" s="71"/>
      <c r="E265" s="71"/>
      <c r="F265" s="71"/>
      <c r="G265" s="71"/>
      <c r="H265" s="71"/>
      <c r="I265" s="71"/>
      <c r="N265" s="3" t="s">
        <v>214</v>
      </c>
    </row>
    <row r="266" spans="1:14" x14ac:dyDescent="0.2">
      <c r="A266" s="70"/>
      <c r="B266" s="71"/>
      <c r="C266" s="71"/>
      <c r="D266" s="71"/>
      <c r="E266" s="71"/>
      <c r="F266" s="71"/>
      <c r="G266" s="71"/>
      <c r="H266" s="71"/>
      <c r="I266" s="71"/>
      <c r="N266" s="3" t="s">
        <v>215</v>
      </c>
    </row>
    <row r="267" spans="1:14" x14ac:dyDescent="0.2">
      <c r="A267" s="70"/>
      <c r="B267" s="71"/>
      <c r="C267" s="71"/>
      <c r="D267" s="71"/>
      <c r="E267" s="71"/>
      <c r="F267" s="71"/>
      <c r="G267" s="71"/>
      <c r="H267" s="71"/>
      <c r="I267" s="71"/>
      <c r="N267" s="3" t="s">
        <v>216</v>
      </c>
    </row>
    <row r="268" spans="1:14" x14ac:dyDescent="0.2">
      <c r="A268" s="70"/>
      <c r="B268" s="71"/>
      <c r="C268" s="71"/>
      <c r="D268" s="71"/>
      <c r="E268" s="71"/>
      <c r="F268" s="71"/>
      <c r="G268" s="71"/>
      <c r="H268" s="71"/>
      <c r="I268" s="71"/>
      <c r="N268" s="3" t="s">
        <v>217</v>
      </c>
    </row>
    <row r="269" spans="1:14" x14ac:dyDescent="0.2">
      <c r="A269" s="70"/>
      <c r="B269" s="71"/>
      <c r="C269" s="71"/>
      <c r="D269" s="71"/>
      <c r="E269" s="71"/>
      <c r="F269" s="71"/>
      <c r="G269" s="71"/>
      <c r="H269" s="71"/>
      <c r="I269" s="71"/>
      <c r="N269" s="3" t="s">
        <v>218</v>
      </c>
    </row>
    <row r="270" spans="1:14" x14ac:dyDescent="0.2">
      <c r="A270" s="70"/>
      <c r="B270" s="71"/>
      <c r="C270" s="71"/>
      <c r="D270" s="71"/>
      <c r="E270" s="71"/>
      <c r="F270" s="71"/>
      <c r="G270" s="71"/>
      <c r="H270" s="71"/>
      <c r="I270" s="71"/>
      <c r="N270" s="3" t="s">
        <v>219</v>
      </c>
    </row>
    <row r="271" spans="1:14" x14ac:dyDescent="0.2">
      <c r="A271" s="70"/>
      <c r="B271" s="71"/>
      <c r="C271" s="71"/>
      <c r="D271" s="71"/>
      <c r="E271" s="71"/>
      <c r="F271" s="71"/>
      <c r="G271" s="71"/>
      <c r="H271" s="71"/>
      <c r="I271" s="71"/>
      <c r="N271" s="3" t="s">
        <v>220</v>
      </c>
    </row>
    <row r="272" spans="1:14" x14ac:dyDescent="0.2">
      <c r="A272" s="70"/>
      <c r="B272" s="71"/>
      <c r="C272" s="71"/>
      <c r="D272" s="71"/>
      <c r="E272" s="71"/>
      <c r="F272" s="71"/>
      <c r="G272" s="71"/>
      <c r="H272" s="71"/>
      <c r="I272" s="71"/>
      <c r="N272" s="3" t="s">
        <v>221</v>
      </c>
    </row>
    <row r="273" spans="1:14" x14ac:dyDescent="0.2">
      <c r="A273" s="70"/>
      <c r="B273" s="71"/>
      <c r="C273" s="71"/>
      <c r="D273" s="71"/>
      <c r="E273" s="71"/>
      <c r="F273" s="71"/>
      <c r="G273" s="71"/>
      <c r="H273" s="71"/>
      <c r="I273" s="71"/>
      <c r="N273" s="3" t="s">
        <v>221</v>
      </c>
    </row>
    <row r="274" spans="1:14" x14ac:dyDescent="0.2">
      <c r="A274" s="70"/>
      <c r="B274" s="71"/>
      <c r="C274" s="71"/>
      <c r="D274" s="71"/>
      <c r="E274" s="71"/>
      <c r="F274" s="71"/>
      <c r="G274" s="71"/>
      <c r="H274" s="71"/>
      <c r="I274" s="71"/>
      <c r="N274" s="3" t="s">
        <v>222</v>
      </c>
    </row>
    <row r="275" spans="1:14" x14ac:dyDescent="0.2">
      <c r="A275" s="70"/>
      <c r="B275" s="71"/>
      <c r="C275" s="71"/>
      <c r="D275" s="71"/>
      <c r="E275" s="71"/>
      <c r="F275" s="71"/>
      <c r="G275" s="71"/>
      <c r="H275" s="71"/>
      <c r="I275" s="71"/>
      <c r="N275" s="3" t="s">
        <v>223</v>
      </c>
    </row>
    <row r="276" spans="1:14" x14ac:dyDescent="0.2">
      <c r="A276" s="70"/>
      <c r="B276" s="71"/>
      <c r="C276" s="71"/>
      <c r="D276" s="71"/>
      <c r="E276" s="71"/>
      <c r="F276" s="71"/>
      <c r="G276" s="71"/>
      <c r="H276" s="71"/>
      <c r="I276" s="71"/>
      <c r="N276" s="3" t="s">
        <v>224</v>
      </c>
    </row>
    <row r="277" spans="1:14" x14ac:dyDescent="0.2">
      <c r="A277" s="70"/>
      <c r="B277" s="71"/>
      <c r="C277" s="71"/>
      <c r="D277" s="71"/>
      <c r="E277" s="71"/>
      <c r="F277" s="71"/>
      <c r="G277" s="71"/>
      <c r="H277" s="71"/>
      <c r="I277" s="71"/>
      <c r="N277" s="3" t="s">
        <v>225</v>
      </c>
    </row>
    <row r="278" spans="1:14" x14ac:dyDescent="0.2">
      <c r="A278" s="70"/>
      <c r="B278" s="71"/>
      <c r="C278" s="71"/>
      <c r="D278" s="71"/>
      <c r="E278" s="71"/>
      <c r="F278" s="71"/>
      <c r="G278" s="71"/>
      <c r="H278" s="71"/>
      <c r="I278" s="71"/>
      <c r="N278" s="3" t="s">
        <v>226</v>
      </c>
    </row>
    <row r="279" spans="1:14" x14ac:dyDescent="0.2">
      <c r="A279" s="70"/>
      <c r="B279" s="71"/>
      <c r="C279" s="71"/>
      <c r="D279" s="71"/>
      <c r="E279" s="71"/>
      <c r="F279" s="71"/>
      <c r="G279" s="71"/>
      <c r="H279" s="71"/>
      <c r="I279" s="71"/>
      <c r="N279" s="3" t="s">
        <v>227</v>
      </c>
    </row>
    <row r="280" spans="1:14" x14ac:dyDescent="0.2">
      <c r="A280" s="70"/>
      <c r="B280" s="71"/>
      <c r="C280" s="71"/>
      <c r="D280" s="71"/>
      <c r="E280" s="71"/>
      <c r="F280" s="71"/>
      <c r="G280" s="71"/>
      <c r="H280" s="71"/>
      <c r="I280" s="71"/>
      <c r="N280" s="3" t="s">
        <v>228</v>
      </c>
    </row>
    <row r="281" spans="1:14" x14ac:dyDescent="0.2">
      <c r="A281" s="70"/>
      <c r="B281" s="71"/>
      <c r="C281" s="71"/>
      <c r="D281" s="71"/>
      <c r="E281" s="71"/>
      <c r="F281" s="71"/>
      <c r="G281" s="71"/>
      <c r="H281" s="71"/>
      <c r="I281" s="71"/>
      <c r="N281" s="3" t="s">
        <v>356</v>
      </c>
    </row>
    <row r="282" spans="1:14" x14ac:dyDescent="0.2">
      <c r="A282" s="70"/>
      <c r="B282" s="71"/>
      <c r="C282" s="71"/>
      <c r="D282" s="71"/>
      <c r="E282" s="71"/>
      <c r="F282" s="71"/>
      <c r="G282" s="71"/>
      <c r="H282" s="71"/>
      <c r="I282" s="71"/>
      <c r="N282" s="3" t="s">
        <v>229</v>
      </c>
    </row>
    <row r="283" spans="1:14" x14ac:dyDescent="0.2">
      <c r="A283" s="70"/>
      <c r="B283" s="71"/>
      <c r="C283" s="71"/>
      <c r="D283" s="71"/>
      <c r="E283" s="71"/>
      <c r="F283" s="71"/>
      <c r="G283" s="71"/>
      <c r="H283" s="71"/>
      <c r="I283" s="71"/>
      <c r="N283" s="3" t="s">
        <v>230</v>
      </c>
    </row>
    <row r="284" spans="1:14" x14ac:dyDescent="0.2">
      <c r="A284" s="70"/>
      <c r="B284" s="71"/>
      <c r="C284" s="71"/>
      <c r="D284" s="71"/>
      <c r="E284" s="71"/>
      <c r="F284" s="71"/>
      <c r="G284" s="71"/>
      <c r="H284" s="71"/>
      <c r="I284" s="71"/>
      <c r="N284" s="3" t="s">
        <v>231</v>
      </c>
    </row>
    <row r="285" spans="1:14" x14ac:dyDescent="0.2">
      <c r="A285" s="70"/>
      <c r="B285" s="71"/>
      <c r="C285" s="71"/>
      <c r="D285" s="71"/>
      <c r="E285" s="71"/>
      <c r="F285" s="71"/>
      <c r="G285" s="71"/>
      <c r="H285" s="71"/>
      <c r="I285" s="71"/>
      <c r="N285" s="3" t="s">
        <v>232</v>
      </c>
    </row>
    <row r="286" spans="1:14" x14ac:dyDescent="0.2">
      <c r="A286" s="70"/>
      <c r="B286" s="71"/>
      <c r="C286" s="71"/>
      <c r="D286" s="71"/>
      <c r="E286" s="71"/>
      <c r="F286" s="71"/>
      <c r="G286" s="71"/>
      <c r="H286" s="71"/>
      <c r="I286" s="71"/>
      <c r="N286" s="3" t="s">
        <v>154</v>
      </c>
    </row>
    <row r="287" spans="1:14" x14ac:dyDescent="0.2">
      <c r="A287" s="70"/>
      <c r="B287" s="71"/>
      <c r="C287" s="71"/>
      <c r="D287" s="71"/>
      <c r="E287" s="71"/>
      <c r="F287" s="71"/>
      <c r="G287" s="71"/>
      <c r="H287" s="71"/>
      <c r="I287" s="71"/>
      <c r="N287" s="3" t="s">
        <v>233</v>
      </c>
    </row>
    <row r="288" spans="1:14" x14ac:dyDescent="0.2">
      <c r="A288" s="70"/>
      <c r="B288" s="71"/>
      <c r="C288" s="71"/>
      <c r="D288" s="71"/>
      <c r="E288" s="71"/>
      <c r="F288" s="71"/>
      <c r="G288" s="71"/>
      <c r="H288" s="71"/>
      <c r="I288" s="71"/>
      <c r="N288" s="3" t="s">
        <v>234</v>
      </c>
    </row>
    <row r="289" spans="1:14" x14ac:dyDescent="0.2">
      <c r="A289" s="70"/>
      <c r="B289" s="71"/>
      <c r="C289" s="71"/>
      <c r="D289" s="71"/>
      <c r="E289" s="71"/>
      <c r="F289" s="71"/>
      <c r="G289" s="71"/>
      <c r="H289" s="71"/>
      <c r="I289" s="71"/>
      <c r="N289" s="3" t="s">
        <v>235</v>
      </c>
    </row>
    <row r="290" spans="1:14" x14ac:dyDescent="0.2">
      <c r="A290" s="70"/>
      <c r="B290" s="71"/>
      <c r="C290" s="71"/>
      <c r="D290" s="71"/>
      <c r="E290" s="71"/>
      <c r="F290" s="71"/>
      <c r="G290" s="71"/>
      <c r="H290" s="71"/>
      <c r="I290" s="71"/>
      <c r="N290" s="3" t="s">
        <v>236</v>
      </c>
    </row>
    <row r="291" spans="1:14" x14ac:dyDescent="0.2">
      <c r="A291" s="70"/>
      <c r="B291" s="71"/>
      <c r="C291" s="71"/>
      <c r="D291" s="71"/>
      <c r="E291" s="71"/>
      <c r="F291" s="71"/>
      <c r="G291" s="71"/>
      <c r="H291" s="71"/>
      <c r="I291" s="71"/>
      <c r="N291" s="3" t="s">
        <v>237</v>
      </c>
    </row>
    <row r="292" spans="1:14" x14ac:dyDescent="0.2">
      <c r="A292" s="70"/>
      <c r="B292" s="71"/>
      <c r="C292" s="71"/>
      <c r="D292" s="71"/>
      <c r="E292" s="71"/>
      <c r="F292" s="71"/>
      <c r="G292" s="71"/>
      <c r="H292" s="71"/>
      <c r="I292" s="71"/>
      <c r="N292" s="3" t="s">
        <v>238</v>
      </c>
    </row>
    <row r="293" spans="1:14" x14ac:dyDescent="0.2">
      <c r="A293" s="70"/>
      <c r="B293" s="71"/>
      <c r="C293" s="71"/>
      <c r="D293" s="71"/>
      <c r="E293" s="71"/>
      <c r="F293" s="71"/>
      <c r="G293" s="71"/>
      <c r="H293" s="71"/>
      <c r="I293" s="71"/>
      <c r="N293" s="3" t="s">
        <v>239</v>
      </c>
    </row>
    <row r="294" spans="1:14" x14ac:dyDescent="0.2">
      <c r="A294" s="70"/>
      <c r="B294" s="71"/>
      <c r="C294" s="71"/>
      <c r="D294" s="71"/>
      <c r="E294" s="71"/>
      <c r="F294" s="71"/>
      <c r="G294" s="71"/>
      <c r="H294" s="71"/>
      <c r="I294" s="71"/>
      <c r="N294" s="3" t="s">
        <v>240</v>
      </c>
    </row>
    <row r="295" spans="1:14" x14ac:dyDescent="0.2">
      <c r="A295" s="70"/>
      <c r="B295" s="71"/>
      <c r="C295" s="71"/>
      <c r="D295" s="71"/>
      <c r="E295" s="71"/>
      <c r="F295" s="71"/>
      <c r="G295" s="71"/>
      <c r="H295" s="71"/>
      <c r="I295" s="71"/>
      <c r="N295" s="3" t="s">
        <v>241</v>
      </c>
    </row>
    <row r="296" spans="1:14" x14ac:dyDescent="0.2">
      <c r="A296" s="70"/>
      <c r="B296" s="71"/>
      <c r="C296" s="71"/>
      <c r="D296" s="71"/>
      <c r="E296" s="71"/>
      <c r="F296" s="71"/>
      <c r="G296" s="71"/>
      <c r="H296" s="71"/>
      <c r="I296" s="71"/>
      <c r="N296" s="3" t="s">
        <v>242</v>
      </c>
    </row>
    <row r="297" spans="1:14" x14ac:dyDescent="0.2">
      <c r="A297" s="70"/>
      <c r="B297" s="71"/>
      <c r="C297" s="71"/>
      <c r="D297" s="71"/>
      <c r="E297" s="71"/>
      <c r="F297" s="71"/>
      <c r="G297" s="71"/>
      <c r="H297" s="71"/>
      <c r="I297" s="71"/>
      <c r="N297" s="3" t="s">
        <v>243</v>
      </c>
    </row>
    <row r="298" spans="1:14" x14ac:dyDescent="0.2">
      <c r="A298" s="70"/>
      <c r="B298" s="71"/>
      <c r="C298" s="71"/>
      <c r="D298" s="71"/>
      <c r="E298" s="71"/>
      <c r="F298" s="71"/>
      <c r="G298" s="71"/>
      <c r="H298" s="71"/>
      <c r="I298" s="71"/>
      <c r="N298" s="3" t="s">
        <v>244</v>
      </c>
    </row>
    <row r="299" spans="1:14" x14ac:dyDescent="0.2">
      <c r="A299" s="70"/>
      <c r="B299" s="71"/>
      <c r="C299" s="71"/>
      <c r="D299" s="71"/>
      <c r="E299" s="71"/>
      <c r="F299" s="71"/>
      <c r="G299" s="71"/>
      <c r="H299" s="71"/>
      <c r="I299" s="71"/>
      <c r="N299" s="3" t="s">
        <v>245</v>
      </c>
    </row>
    <row r="300" spans="1:14" x14ac:dyDescent="0.2">
      <c r="A300" s="70"/>
      <c r="B300" s="71"/>
      <c r="C300" s="71"/>
      <c r="D300" s="71"/>
      <c r="E300" s="71"/>
      <c r="F300" s="71"/>
      <c r="G300" s="71"/>
      <c r="H300" s="71"/>
      <c r="I300" s="71"/>
      <c r="N300" s="3" t="s">
        <v>246</v>
      </c>
    </row>
    <row r="301" spans="1:14" x14ac:dyDescent="0.2">
      <c r="A301" s="70"/>
      <c r="B301" s="71"/>
      <c r="C301" s="71"/>
      <c r="D301" s="71"/>
      <c r="E301" s="71"/>
      <c r="F301" s="71"/>
      <c r="G301" s="71"/>
      <c r="H301" s="71"/>
      <c r="I301" s="71"/>
      <c r="N301" s="3" t="s">
        <v>247</v>
      </c>
    </row>
    <row r="302" spans="1:14" x14ac:dyDescent="0.2">
      <c r="A302" s="70"/>
      <c r="B302" s="71"/>
      <c r="C302" s="71"/>
      <c r="D302" s="71"/>
      <c r="E302" s="71"/>
      <c r="F302" s="71"/>
      <c r="G302" s="71"/>
      <c r="H302" s="71"/>
      <c r="I302" s="71"/>
      <c r="N302" s="3" t="s">
        <v>248</v>
      </c>
    </row>
    <row r="303" spans="1:14" x14ac:dyDescent="0.2">
      <c r="A303" s="70"/>
      <c r="B303" s="71"/>
      <c r="C303" s="71"/>
      <c r="D303" s="71"/>
      <c r="E303" s="71"/>
      <c r="F303" s="71"/>
      <c r="G303" s="71"/>
      <c r="H303" s="71"/>
      <c r="I303" s="71"/>
      <c r="N303" s="3" t="s">
        <v>249</v>
      </c>
    </row>
    <row r="304" spans="1:14" x14ac:dyDescent="0.2">
      <c r="A304" s="70"/>
      <c r="B304" s="71"/>
      <c r="C304" s="71"/>
      <c r="D304" s="71"/>
      <c r="E304" s="71"/>
      <c r="F304" s="71"/>
      <c r="G304" s="71"/>
      <c r="H304" s="71"/>
      <c r="I304" s="71"/>
      <c r="N304" s="3" t="s">
        <v>250</v>
      </c>
    </row>
    <row r="305" spans="1:14" x14ac:dyDescent="0.2">
      <c r="A305" s="70"/>
      <c r="B305" s="71"/>
      <c r="C305" s="71"/>
      <c r="D305" s="71"/>
      <c r="E305" s="71"/>
      <c r="F305" s="71"/>
      <c r="G305" s="71"/>
      <c r="H305" s="71"/>
      <c r="I305" s="71"/>
      <c r="N305" s="3" t="s">
        <v>251</v>
      </c>
    </row>
    <row r="306" spans="1:14" x14ac:dyDescent="0.2">
      <c r="A306" s="70"/>
      <c r="B306" s="71"/>
      <c r="C306" s="71"/>
      <c r="D306" s="71"/>
      <c r="E306" s="71"/>
      <c r="F306" s="71"/>
      <c r="G306" s="71"/>
      <c r="H306" s="71"/>
      <c r="I306" s="71"/>
      <c r="N306" s="3" t="s">
        <v>252</v>
      </c>
    </row>
    <row r="307" spans="1:14" x14ac:dyDescent="0.2">
      <c r="A307" s="70"/>
      <c r="B307" s="71"/>
      <c r="C307" s="71"/>
      <c r="D307" s="71"/>
      <c r="E307" s="71"/>
      <c r="F307" s="71"/>
      <c r="G307" s="71"/>
      <c r="H307" s="71"/>
      <c r="I307" s="71"/>
      <c r="N307" s="3" t="s">
        <v>253</v>
      </c>
    </row>
    <row r="308" spans="1:14" x14ac:dyDescent="0.2">
      <c r="A308" s="70"/>
      <c r="B308" s="71"/>
      <c r="C308" s="71"/>
      <c r="D308" s="71"/>
      <c r="E308" s="71"/>
      <c r="F308" s="71"/>
      <c r="G308" s="71"/>
      <c r="H308" s="71"/>
      <c r="I308" s="71"/>
      <c r="N308" s="3" t="s">
        <v>254</v>
      </c>
    </row>
    <row r="309" spans="1:14" x14ac:dyDescent="0.2">
      <c r="A309" s="70"/>
      <c r="B309" s="71"/>
      <c r="C309" s="71"/>
      <c r="D309" s="71"/>
      <c r="E309" s="71"/>
      <c r="F309" s="71"/>
      <c r="G309" s="71"/>
      <c r="H309" s="71"/>
      <c r="I309" s="71"/>
      <c r="N309" s="3" t="s">
        <v>255</v>
      </c>
    </row>
    <row r="310" spans="1:14" x14ac:dyDescent="0.2">
      <c r="A310" s="70"/>
      <c r="B310" s="71"/>
      <c r="C310" s="71"/>
      <c r="D310" s="71"/>
      <c r="E310" s="71"/>
      <c r="F310" s="71"/>
      <c r="G310" s="71"/>
      <c r="H310" s="71"/>
      <c r="I310" s="71"/>
      <c r="N310" s="3" t="s">
        <v>256</v>
      </c>
    </row>
    <row r="311" spans="1:14" x14ac:dyDescent="0.2">
      <c r="A311" s="70"/>
      <c r="B311" s="71"/>
      <c r="C311" s="71"/>
      <c r="D311" s="71"/>
      <c r="E311" s="71"/>
      <c r="F311" s="71"/>
      <c r="G311" s="71"/>
      <c r="H311" s="71"/>
      <c r="I311" s="71"/>
      <c r="N311" s="3" t="s">
        <v>257</v>
      </c>
    </row>
    <row r="312" spans="1:14" x14ac:dyDescent="0.2">
      <c r="A312" s="70"/>
      <c r="B312" s="71"/>
      <c r="C312" s="71"/>
      <c r="D312" s="71"/>
      <c r="E312" s="71"/>
      <c r="F312" s="71"/>
      <c r="G312" s="71"/>
      <c r="H312" s="71"/>
      <c r="I312" s="71"/>
      <c r="N312" s="3" t="s">
        <v>355</v>
      </c>
    </row>
    <row r="313" spans="1:14" x14ac:dyDescent="0.2">
      <c r="A313" s="70"/>
      <c r="B313" s="71"/>
      <c r="C313" s="71"/>
      <c r="D313" s="71"/>
      <c r="E313" s="71"/>
      <c r="F313" s="71"/>
      <c r="G313" s="71"/>
      <c r="H313" s="71"/>
      <c r="I313" s="71"/>
      <c r="N313" s="3" t="s">
        <v>258</v>
      </c>
    </row>
    <row r="314" spans="1:14" x14ac:dyDescent="0.2">
      <c r="A314" s="70"/>
      <c r="B314" s="71"/>
      <c r="C314" s="71"/>
      <c r="D314" s="71"/>
      <c r="E314" s="71"/>
      <c r="F314" s="71"/>
      <c r="G314" s="71"/>
      <c r="H314" s="71"/>
      <c r="I314" s="71"/>
      <c r="N314" s="3" t="s">
        <v>354</v>
      </c>
    </row>
    <row r="315" spans="1:14" x14ac:dyDescent="0.2">
      <c r="A315" s="70"/>
      <c r="B315" s="71"/>
      <c r="C315" s="71"/>
      <c r="D315" s="71"/>
      <c r="E315" s="71"/>
      <c r="F315" s="71"/>
      <c r="G315" s="71"/>
      <c r="H315" s="71"/>
      <c r="I315" s="71"/>
      <c r="N315" s="3" t="s">
        <v>259</v>
      </c>
    </row>
    <row r="316" spans="1:14" x14ac:dyDescent="0.2">
      <c r="A316" s="70"/>
      <c r="B316" s="71"/>
      <c r="C316" s="71"/>
      <c r="D316" s="71"/>
      <c r="E316" s="71"/>
      <c r="F316" s="71"/>
      <c r="G316" s="71"/>
      <c r="H316" s="71"/>
      <c r="I316" s="71"/>
      <c r="N316" s="3" t="s">
        <v>260</v>
      </c>
    </row>
    <row r="317" spans="1:14" x14ac:dyDescent="0.2">
      <c r="A317" s="70"/>
      <c r="B317" s="71"/>
      <c r="C317" s="71"/>
      <c r="D317" s="71"/>
      <c r="E317" s="71"/>
      <c r="F317" s="71"/>
      <c r="G317" s="71"/>
      <c r="H317" s="71"/>
      <c r="I317" s="71"/>
      <c r="N317" s="3" t="s">
        <v>261</v>
      </c>
    </row>
    <row r="318" spans="1:14" x14ac:dyDescent="0.2">
      <c r="A318" s="70"/>
      <c r="B318" s="71"/>
      <c r="C318" s="71"/>
      <c r="D318" s="71"/>
      <c r="E318" s="71"/>
      <c r="F318" s="71"/>
      <c r="G318" s="71"/>
      <c r="H318" s="71"/>
      <c r="I318" s="71"/>
      <c r="N318" s="3" t="s">
        <v>262</v>
      </c>
    </row>
    <row r="319" spans="1:14" x14ac:dyDescent="0.2">
      <c r="A319" s="70"/>
      <c r="B319" s="71"/>
      <c r="C319" s="71"/>
      <c r="D319" s="71"/>
      <c r="E319" s="71"/>
      <c r="F319" s="71"/>
      <c r="G319" s="71"/>
      <c r="H319" s="71"/>
      <c r="I319" s="71"/>
      <c r="N319" s="3" t="s">
        <v>263</v>
      </c>
    </row>
    <row r="320" spans="1:14" x14ac:dyDescent="0.2">
      <c r="A320" s="70"/>
      <c r="B320" s="71"/>
      <c r="C320" s="71"/>
      <c r="D320" s="71"/>
      <c r="E320" s="71"/>
      <c r="F320" s="71"/>
      <c r="G320" s="71"/>
      <c r="H320" s="71"/>
      <c r="I320" s="71"/>
      <c r="N320" s="3" t="s">
        <v>264</v>
      </c>
    </row>
    <row r="321" spans="1:14" x14ac:dyDescent="0.2">
      <c r="A321" s="70"/>
      <c r="B321" s="71"/>
      <c r="C321" s="71"/>
      <c r="D321" s="71"/>
      <c r="E321" s="71"/>
      <c r="F321" s="71"/>
      <c r="G321" s="71"/>
      <c r="H321" s="71"/>
      <c r="I321" s="71"/>
      <c r="N321" s="3" t="s">
        <v>265</v>
      </c>
    </row>
    <row r="322" spans="1:14" x14ac:dyDescent="0.2">
      <c r="A322" s="70"/>
      <c r="B322" s="71"/>
      <c r="C322" s="71"/>
      <c r="D322" s="71"/>
      <c r="E322" s="71"/>
      <c r="F322" s="71"/>
      <c r="G322" s="71"/>
      <c r="H322" s="71"/>
      <c r="I322" s="71"/>
      <c r="N322" s="3" t="s">
        <v>266</v>
      </c>
    </row>
    <row r="323" spans="1:14" x14ac:dyDescent="0.2">
      <c r="A323" s="70"/>
      <c r="B323" s="71"/>
      <c r="C323" s="71"/>
      <c r="D323" s="71"/>
      <c r="E323" s="71"/>
      <c r="F323" s="71"/>
      <c r="G323" s="71"/>
      <c r="H323" s="71"/>
      <c r="I323" s="71"/>
      <c r="N323" s="3" t="s">
        <v>267</v>
      </c>
    </row>
    <row r="324" spans="1:14" x14ac:dyDescent="0.2">
      <c r="A324" s="70"/>
      <c r="B324" s="71"/>
      <c r="C324" s="71"/>
      <c r="D324" s="71"/>
      <c r="E324" s="71"/>
      <c r="F324" s="71"/>
      <c r="G324" s="71"/>
      <c r="H324" s="71"/>
      <c r="I324" s="71"/>
      <c r="N324" s="3" t="s">
        <v>268</v>
      </c>
    </row>
    <row r="325" spans="1:14" x14ac:dyDescent="0.2">
      <c r="A325" s="70"/>
      <c r="B325" s="71"/>
      <c r="C325" s="71"/>
      <c r="D325" s="71"/>
      <c r="E325" s="71"/>
      <c r="F325" s="71"/>
      <c r="G325" s="71"/>
      <c r="H325" s="71"/>
      <c r="I325" s="71"/>
      <c r="N325" s="3" t="s">
        <v>269</v>
      </c>
    </row>
    <row r="326" spans="1:14" x14ac:dyDescent="0.2">
      <c r="A326" s="70"/>
      <c r="B326" s="71"/>
      <c r="C326" s="71"/>
      <c r="D326" s="71"/>
      <c r="E326" s="71"/>
      <c r="F326" s="71"/>
      <c r="G326" s="71"/>
      <c r="H326" s="71"/>
      <c r="I326" s="71"/>
      <c r="N326" s="3" t="s">
        <v>270</v>
      </c>
    </row>
    <row r="327" spans="1:14" x14ac:dyDescent="0.2">
      <c r="A327" s="70"/>
      <c r="B327" s="71"/>
      <c r="C327" s="71"/>
      <c r="D327" s="71"/>
      <c r="E327" s="71"/>
      <c r="F327" s="71"/>
      <c r="G327" s="71"/>
      <c r="H327" s="71"/>
      <c r="I327" s="71"/>
      <c r="N327" s="3" t="s">
        <v>271</v>
      </c>
    </row>
    <row r="328" spans="1:14" x14ac:dyDescent="0.2">
      <c r="A328" s="70"/>
      <c r="B328" s="71"/>
      <c r="C328" s="71"/>
      <c r="D328" s="71"/>
      <c r="E328" s="71"/>
      <c r="F328" s="71"/>
      <c r="G328" s="71"/>
      <c r="H328" s="71"/>
      <c r="I328" s="71"/>
      <c r="N328" s="3" t="s">
        <v>272</v>
      </c>
    </row>
    <row r="329" spans="1:14" x14ac:dyDescent="0.2">
      <c r="A329" s="70"/>
      <c r="B329" s="71"/>
      <c r="C329" s="71"/>
      <c r="D329" s="71"/>
      <c r="E329" s="71"/>
      <c r="F329" s="71"/>
      <c r="G329" s="71"/>
      <c r="H329" s="71"/>
      <c r="I329" s="71"/>
      <c r="N329" s="3" t="s">
        <v>273</v>
      </c>
    </row>
    <row r="330" spans="1:14" x14ac:dyDescent="0.2">
      <c r="A330" s="70"/>
      <c r="B330" s="71"/>
      <c r="C330" s="71"/>
      <c r="D330" s="71"/>
      <c r="E330" s="71"/>
      <c r="F330" s="71"/>
      <c r="G330" s="71"/>
      <c r="H330" s="71"/>
      <c r="I330" s="71"/>
      <c r="N330" s="3" t="s">
        <v>274</v>
      </c>
    </row>
    <row r="331" spans="1:14" x14ac:dyDescent="0.2">
      <c r="A331" s="70"/>
      <c r="B331" s="71"/>
      <c r="C331" s="71"/>
      <c r="D331" s="71"/>
      <c r="E331" s="71"/>
      <c r="F331" s="71"/>
      <c r="G331" s="71"/>
      <c r="H331" s="71"/>
      <c r="I331" s="71"/>
      <c r="N331" s="3" t="s">
        <v>275</v>
      </c>
    </row>
    <row r="332" spans="1:14" x14ac:dyDescent="0.2">
      <c r="A332" s="70"/>
      <c r="B332" s="71"/>
      <c r="C332" s="71"/>
      <c r="D332" s="71"/>
      <c r="E332" s="71"/>
      <c r="F332" s="71"/>
      <c r="G332" s="71"/>
      <c r="H332" s="71"/>
      <c r="I332" s="71"/>
      <c r="N332" s="3" t="s">
        <v>276</v>
      </c>
    </row>
    <row r="333" spans="1:14" x14ac:dyDescent="0.2">
      <c r="A333" s="70"/>
      <c r="B333" s="71"/>
      <c r="C333" s="71"/>
      <c r="D333" s="71"/>
      <c r="E333" s="71"/>
      <c r="F333" s="71"/>
      <c r="G333" s="71"/>
      <c r="N333" s="3" t="s">
        <v>277</v>
      </c>
    </row>
    <row r="334" spans="1:14" x14ac:dyDescent="0.2">
      <c r="A334" s="70"/>
      <c r="B334" s="71"/>
      <c r="C334" s="71"/>
      <c r="D334" s="71"/>
      <c r="E334" s="71"/>
      <c r="F334" s="71"/>
      <c r="G334" s="71"/>
      <c r="N334" s="3" t="s">
        <v>278</v>
      </c>
    </row>
    <row r="335" spans="1:14" x14ac:dyDescent="0.2">
      <c r="A335" s="70"/>
      <c r="B335" s="71"/>
      <c r="C335" s="71"/>
      <c r="D335" s="71"/>
      <c r="E335" s="71"/>
      <c r="F335" s="71"/>
      <c r="G335" s="71"/>
      <c r="N335" s="3" t="s">
        <v>279</v>
      </c>
    </row>
    <row r="336" spans="1:14" x14ac:dyDescent="0.2">
      <c r="A336" s="70"/>
      <c r="B336" s="71"/>
      <c r="C336" s="71"/>
      <c r="D336" s="71"/>
      <c r="E336" s="71"/>
      <c r="F336" s="71"/>
      <c r="G336" s="71"/>
      <c r="N336" s="3" t="s">
        <v>353</v>
      </c>
    </row>
    <row r="337" spans="1:14" x14ac:dyDescent="0.2">
      <c r="A337" s="70"/>
      <c r="B337" s="71"/>
      <c r="C337" s="71"/>
      <c r="D337" s="71"/>
      <c r="E337" s="71"/>
      <c r="F337" s="71"/>
      <c r="G337" s="71"/>
      <c r="N337" s="3" t="s">
        <v>352</v>
      </c>
    </row>
    <row r="338" spans="1:14" x14ac:dyDescent="0.2">
      <c r="A338" s="70"/>
      <c r="B338" s="71"/>
      <c r="C338" s="71"/>
      <c r="D338" s="71"/>
      <c r="E338" s="71"/>
      <c r="F338" s="71"/>
      <c r="G338" s="71"/>
      <c r="N338" s="3" t="s">
        <v>351</v>
      </c>
    </row>
    <row r="339" spans="1:14" x14ac:dyDescent="0.2">
      <c r="A339" s="70"/>
      <c r="B339" s="71"/>
      <c r="C339" s="71"/>
      <c r="D339" s="71"/>
      <c r="E339" s="71"/>
      <c r="F339" s="71"/>
      <c r="G339" s="71"/>
      <c r="N339" s="3" t="s">
        <v>350</v>
      </c>
    </row>
    <row r="340" spans="1:14" x14ac:dyDescent="0.2">
      <c r="A340" s="70"/>
      <c r="B340" s="71"/>
      <c r="C340" s="71"/>
      <c r="D340" s="71"/>
      <c r="E340" s="71"/>
      <c r="F340" s="71"/>
      <c r="G340" s="71"/>
      <c r="N340" s="3" t="s">
        <v>349</v>
      </c>
    </row>
    <row r="341" spans="1:14" x14ac:dyDescent="0.2">
      <c r="A341" s="70"/>
      <c r="B341" s="71"/>
      <c r="C341" s="71"/>
      <c r="D341" s="71"/>
      <c r="E341" s="71"/>
      <c r="F341" s="71"/>
      <c r="G341" s="71"/>
      <c r="N341" s="3" t="s">
        <v>348</v>
      </c>
    </row>
    <row r="342" spans="1:14" x14ac:dyDescent="0.2">
      <c r="A342" s="70"/>
      <c r="B342" s="71"/>
      <c r="C342" s="71"/>
      <c r="D342" s="71"/>
      <c r="E342" s="71"/>
      <c r="F342" s="71"/>
      <c r="G342" s="71"/>
      <c r="N342" s="3" t="s">
        <v>137</v>
      </c>
    </row>
    <row r="343" spans="1:14" x14ac:dyDescent="0.2">
      <c r="A343" s="70"/>
      <c r="B343" s="71"/>
      <c r="C343" s="71"/>
      <c r="D343" s="71"/>
      <c r="E343" s="71"/>
      <c r="F343" s="71"/>
      <c r="G343" s="71"/>
      <c r="N343" s="3" t="s">
        <v>280</v>
      </c>
    </row>
    <row r="344" spans="1:14" x14ac:dyDescent="0.2">
      <c r="A344" s="70"/>
      <c r="B344" s="71"/>
      <c r="C344" s="71"/>
      <c r="D344" s="71"/>
      <c r="E344" s="71"/>
      <c r="F344" s="71"/>
      <c r="G344" s="71"/>
      <c r="N344" s="3" t="s">
        <v>281</v>
      </c>
    </row>
    <row r="345" spans="1:14" x14ac:dyDescent="0.2">
      <c r="A345" s="70"/>
      <c r="B345" s="71"/>
      <c r="C345" s="71"/>
      <c r="D345" s="71"/>
      <c r="E345" s="71"/>
      <c r="F345" s="71"/>
      <c r="G345" s="71"/>
      <c r="N345" s="3" t="s">
        <v>282</v>
      </c>
    </row>
    <row r="346" spans="1:14" x14ac:dyDescent="0.2">
      <c r="A346" s="70"/>
      <c r="B346" s="71"/>
      <c r="C346" s="71"/>
      <c r="D346" s="71"/>
      <c r="E346" s="71"/>
      <c r="F346" s="71"/>
      <c r="G346" s="71"/>
      <c r="N346" s="3" t="s">
        <v>283</v>
      </c>
    </row>
    <row r="347" spans="1:14" x14ac:dyDescent="0.2">
      <c r="A347" s="70"/>
      <c r="B347" s="71"/>
      <c r="C347" s="71"/>
      <c r="D347" s="71"/>
      <c r="E347" s="71"/>
      <c r="F347" s="71"/>
      <c r="G347" s="71"/>
      <c r="N347" s="3" t="s">
        <v>284</v>
      </c>
    </row>
    <row r="348" spans="1:14" x14ac:dyDescent="0.2">
      <c r="A348" s="70"/>
      <c r="B348" s="71"/>
      <c r="C348" s="71"/>
      <c r="D348" s="71"/>
      <c r="E348" s="71"/>
      <c r="F348" s="71"/>
      <c r="G348" s="71"/>
      <c r="N348" s="3" t="s">
        <v>285</v>
      </c>
    </row>
    <row r="349" spans="1:14" x14ac:dyDescent="0.2">
      <c r="A349" s="70"/>
      <c r="B349" s="71"/>
      <c r="C349" s="71"/>
      <c r="D349" s="71"/>
      <c r="E349" s="71"/>
      <c r="F349" s="71"/>
      <c r="G349" s="71"/>
      <c r="N349" s="3" t="s">
        <v>286</v>
      </c>
    </row>
    <row r="350" spans="1:14" x14ac:dyDescent="0.2">
      <c r="A350" s="70"/>
      <c r="B350" s="71"/>
      <c r="C350" s="71"/>
      <c r="D350" s="71"/>
      <c r="E350" s="71"/>
      <c r="F350" s="71"/>
      <c r="G350" s="71"/>
      <c r="N350" s="3" t="s">
        <v>287</v>
      </c>
    </row>
    <row r="351" spans="1:14" x14ac:dyDescent="0.2">
      <c r="A351" s="70"/>
      <c r="B351" s="71"/>
      <c r="C351" s="71"/>
      <c r="D351" s="71"/>
      <c r="E351" s="71"/>
      <c r="F351" s="71"/>
      <c r="G351" s="71"/>
      <c r="N351" s="3" t="s">
        <v>288</v>
      </c>
    </row>
    <row r="352" spans="1:14" x14ac:dyDescent="0.2">
      <c r="A352" s="70"/>
      <c r="B352" s="71"/>
      <c r="C352" s="71"/>
      <c r="D352" s="71"/>
      <c r="E352" s="71"/>
      <c r="F352" s="71"/>
      <c r="G352" s="71"/>
      <c r="N352" s="3" t="s">
        <v>289</v>
      </c>
    </row>
    <row r="353" spans="1:14" x14ac:dyDescent="0.2">
      <c r="A353" s="70"/>
      <c r="B353" s="71"/>
      <c r="C353" s="71"/>
      <c r="D353" s="71"/>
      <c r="E353" s="71"/>
      <c r="F353" s="71"/>
      <c r="G353" s="71"/>
      <c r="N353" s="3" t="s">
        <v>290</v>
      </c>
    </row>
    <row r="354" spans="1:14" x14ac:dyDescent="0.2">
      <c r="A354" s="70"/>
      <c r="B354" s="71"/>
      <c r="C354" s="71"/>
      <c r="D354" s="71"/>
      <c r="E354" s="71"/>
      <c r="F354" s="71"/>
      <c r="G354" s="71"/>
      <c r="N354" s="3" t="s">
        <v>291</v>
      </c>
    </row>
    <row r="355" spans="1:14" x14ac:dyDescent="0.2">
      <c r="A355" s="70"/>
      <c r="B355" s="71"/>
      <c r="C355" s="71"/>
      <c r="D355" s="71"/>
      <c r="E355" s="71"/>
      <c r="F355" s="71"/>
      <c r="G355" s="71"/>
      <c r="N355" s="3" t="s">
        <v>292</v>
      </c>
    </row>
    <row r="356" spans="1:14" x14ac:dyDescent="0.2">
      <c r="A356" s="70"/>
      <c r="B356" s="71"/>
      <c r="C356" s="71"/>
      <c r="D356" s="71"/>
      <c r="E356" s="71"/>
      <c r="F356" s="71"/>
      <c r="G356" s="71"/>
      <c r="N356" s="3" t="s">
        <v>293</v>
      </c>
    </row>
    <row r="357" spans="1:14" x14ac:dyDescent="0.2">
      <c r="A357" s="70"/>
      <c r="B357" s="71"/>
      <c r="C357" s="71"/>
      <c r="D357" s="71"/>
      <c r="E357" s="71"/>
      <c r="F357" s="71"/>
      <c r="G357" s="71"/>
      <c r="N357" s="3" t="s">
        <v>294</v>
      </c>
    </row>
    <row r="358" spans="1:14" x14ac:dyDescent="0.2">
      <c r="A358" s="70"/>
      <c r="B358" s="71"/>
      <c r="C358" s="71"/>
      <c r="D358" s="71"/>
      <c r="E358" s="71"/>
      <c r="F358" s="71"/>
      <c r="G358" s="71"/>
      <c r="N358" s="3" t="s">
        <v>347</v>
      </c>
    </row>
    <row r="359" spans="1:14" x14ac:dyDescent="0.2">
      <c r="A359" s="70"/>
      <c r="B359" s="71"/>
      <c r="C359" s="71"/>
      <c r="D359" s="71"/>
      <c r="E359" s="71"/>
      <c r="F359" s="71"/>
      <c r="G359" s="71"/>
      <c r="N359" s="3" t="s">
        <v>295</v>
      </c>
    </row>
    <row r="360" spans="1:14" x14ac:dyDescent="0.2">
      <c r="A360" s="70"/>
      <c r="B360" s="71"/>
      <c r="C360" s="71"/>
      <c r="D360" s="71"/>
      <c r="E360" s="71"/>
      <c r="F360" s="71"/>
      <c r="G360" s="71"/>
      <c r="N360" s="3" t="s">
        <v>296</v>
      </c>
    </row>
    <row r="361" spans="1:14" x14ac:dyDescent="0.2">
      <c r="A361" s="70"/>
      <c r="B361" s="71"/>
      <c r="C361" s="71"/>
      <c r="D361" s="71"/>
      <c r="E361" s="71"/>
      <c r="F361" s="71"/>
      <c r="G361" s="71"/>
      <c r="N361" s="3" t="s">
        <v>346</v>
      </c>
    </row>
    <row r="362" spans="1:14" x14ac:dyDescent="0.2">
      <c r="C362" s="71"/>
      <c r="N362" s="3" t="s">
        <v>297</v>
      </c>
    </row>
    <row r="363" spans="1:14" x14ac:dyDescent="0.2">
      <c r="N363" s="3" t="s">
        <v>298</v>
      </c>
    </row>
    <row r="364" spans="1:14" x14ac:dyDescent="0.2">
      <c r="N364" s="3" t="s">
        <v>345</v>
      </c>
    </row>
    <row r="365" spans="1:14" x14ac:dyDescent="0.2">
      <c r="N365" s="3" t="s">
        <v>299</v>
      </c>
    </row>
    <row r="366" spans="1:14" x14ac:dyDescent="0.2">
      <c r="N366" s="3" t="s">
        <v>300</v>
      </c>
    </row>
    <row r="367" spans="1:14" x14ac:dyDescent="0.2">
      <c r="N367" s="3" t="s">
        <v>301</v>
      </c>
    </row>
    <row r="368" spans="1:14" x14ac:dyDescent="0.2">
      <c r="N368" s="3" t="s">
        <v>302</v>
      </c>
    </row>
    <row r="369" spans="14:14" x14ac:dyDescent="0.2">
      <c r="N369" s="3" t="s">
        <v>303</v>
      </c>
    </row>
    <row r="370" spans="14:14" x14ac:dyDescent="0.2">
      <c r="N370" s="3" t="s">
        <v>304</v>
      </c>
    </row>
    <row r="371" spans="14:14" x14ac:dyDescent="0.2">
      <c r="N371" s="3" t="s">
        <v>305</v>
      </c>
    </row>
    <row r="372" spans="14:14" x14ac:dyDescent="0.2">
      <c r="N372" s="3" t="s">
        <v>306</v>
      </c>
    </row>
    <row r="373" spans="14:14" x14ac:dyDescent="0.2">
      <c r="N373" s="3" t="s">
        <v>307</v>
      </c>
    </row>
  </sheetData>
  <sheetProtection sheet="1" objects="1" scenarios="1"/>
  <mergeCells count="2">
    <mergeCell ref="B5:C5"/>
    <mergeCell ref="B7:D7"/>
  </mergeCells>
  <conditionalFormatting sqref="B150:B361">
    <cfRule type="expression" dxfId="10" priority="10" stopIfTrue="1">
      <formula>A150&lt;&gt;""</formula>
    </cfRule>
  </conditionalFormatting>
  <conditionalFormatting sqref="C150:C362">
    <cfRule type="expression" dxfId="9" priority="9" stopIfTrue="1">
      <formula>A150&lt;&gt;""</formula>
    </cfRule>
  </conditionalFormatting>
  <conditionalFormatting sqref="D150:D361">
    <cfRule type="expression" dxfId="8" priority="7" stopIfTrue="1">
      <formula>OR(C150="date",C150="text")</formula>
    </cfRule>
    <cfRule type="expression" dxfId="7" priority="8" stopIfTrue="1">
      <formula>OR(C150="number")</formula>
    </cfRule>
  </conditionalFormatting>
  <conditionalFormatting sqref="E150:E361">
    <cfRule type="expression" dxfId="6" priority="5" stopIfTrue="1">
      <formula>OR(C150="number",C150="text")</formula>
    </cfRule>
    <cfRule type="expression" dxfId="5" priority="6" stopIfTrue="1">
      <formula>OR(C150="datetime")</formula>
    </cfRule>
  </conditionalFormatting>
  <conditionalFormatting sqref="F150:G361">
    <cfRule type="expression" dxfId="4" priority="3" stopIfTrue="1">
      <formula>OR($C150="number", $C150="text")</formula>
    </cfRule>
    <cfRule type="expression" dxfId="3" priority="4" stopIfTrue="1">
      <formula>OR($C150="date")</formula>
    </cfRule>
  </conditionalFormatting>
  <conditionalFormatting sqref="B50:I50">
    <cfRule type="expression" dxfId="2" priority="2" stopIfTrue="1">
      <formula>NOT(ISBLANK($B$52:$B$59))</formula>
    </cfRule>
  </conditionalFormatting>
  <conditionalFormatting sqref="B57:AO60">
    <cfRule type="expression" dxfId="1" priority="1" stopIfTrue="1">
      <formula>NOT(ISBLANK($B$52:$B$59))</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50:D361 IZ150:IZ361 SV150:SV361 ACR150:ACR361 AMN150:AMN361 AWJ150:AWJ361 BGF150:BGF361 BQB150:BQB361 BZX150:BZX361 CJT150:CJT361 CTP150:CTP361 DDL150:DDL361 DNH150:DNH361 DXD150:DXD361 EGZ150:EGZ361 EQV150:EQV361 FAR150:FAR361 FKN150:FKN361 FUJ150:FUJ361 GEF150:GEF361 GOB150:GOB361 GXX150:GXX361 HHT150:HHT361 HRP150:HRP361 IBL150:IBL361 ILH150:ILH361 IVD150:IVD361 JEZ150:JEZ361 JOV150:JOV361 JYR150:JYR361 KIN150:KIN361 KSJ150:KSJ361 LCF150:LCF361 LMB150:LMB361 LVX150:LVX361 MFT150:MFT361 MPP150:MPP361 MZL150:MZL361 NJH150:NJH361 NTD150:NTD361 OCZ150:OCZ361 OMV150:OMV361 OWR150:OWR361 PGN150:PGN361 PQJ150:PQJ361 QAF150:QAF361 QKB150:QKB361 QTX150:QTX361 RDT150:RDT361 RNP150:RNP361 RXL150:RXL361 SHH150:SHH361 SRD150:SRD361 TAZ150:TAZ361 TKV150:TKV361 TUR150:TUR361 UEN150:UEN361 UOJ150:UOJ361 UYF150:UYF361 VIB150:VIB361 VRX150:VRX361 WBT150:WBT361 WLP150:WLP361 WVL150:WVL361 D65686:D65897 IZ65686:IZ65897 SV65686:SV65897 ACR65686:ACR65897 AMN65686:AMN65897 AWJ65686:AWJ65897 BGF65686:BGF65897 BQB65686:BQB65897 BZX65686:BZX65897 CJT65686:CJT65897 CTP65686:CTP65897 DDL65686:DDL65897 DNH65686:DNH65897 DXD65686:DXD65897 EGZ65686:EGZ65897 EQV65686:EQV65897 FAR65686:FAR65897 FKN65686:FKN65897 FUJ65686:FUJ65897 GEF65686:GEF65897 GOB65686:GOB65897 GXX65686:GXX65897 HHT65686:HHT65897 HRP65686:HRP65897 IBL65686:IBL65897 ILH65686:ILH65897 IVD65686:IVD65897 JEZ65686:JEZ65897 JOV65686:JOV65897 JYR65686:JYR65897 KIN65686:KIN65897 KSJ65686:KSJ65897 LCF65686:LCF65897 LMB65686:LMB65897 LVX65686:LVX65897 MFT65686:MFT65897 MPP65686:MPP65897 MZL65686:MZL65897 NJH65686:NJH65897 NTD65686:NTD65897 OCZ65686:OCZ65897 OMV65686:OMV65897 OWR65686:OWR65897 PGN65686:PGN65897 PQJ65686:PQJ65897 QAF65686:QAF65897 QKB65686:QKB65897 QTX65686:QTX65897 RDT65686:RDT65897 RNP65686:RNP65897 RXL65686:RXL65897 SHH65686:SHH65897 SRD65686:SRD65897 TAZ65686:TAZ65897 TKV65686:TKV65897 TUR65686:TUR65897 UEN65686:UEN65897 UOJ65686:UOJ65897 UYF65686:UYF65897 VIB65686:VIB65897 VRX65686:VRX65897 WBT65686:WBT65897 WLP65686:WLP65897 WVL65686:WVL65897 D131222:D131433 IZ131222:IZ131433 SV131222:SV131433 ACR131222:ACR131433 AMN131222:AMN131433 AWJ131222:AWJ131433 BGF131222:BGF131433 BQB131222:BQB131433 BZX131222:BZX131433 CJT131222:CJT131433 CTP131222:CTP131433 DDL131222:DDL131433 DNH131222:DNH131433 DXD131222:DXD131433 EGZ131222:EGZ131433 EQV131222:EQV131433 FAR131222:FAR131433 FKN131222:FKN131433 FUJ131222:FUJ131433 GEF131222:GEF131433 GOB131222:GOB131433 GXX131222:GXX131433 HHT131222:HHT131433 HRP131222:HRP131433 IBL131222:IBL131433 ILH131222:ILH131433 IVD131222:IVD131433 JEZ131222:JEZ131433 JOV131222:JOV131433 JYR131222:JYR131433 KIN131222:KIN131433 KSJ131222:KSJ131433 LCF131222:LCF131433 LMB131222:LMB131433 LVX131222:LVX131433 MFT131222:MFT131433 MPP131222:MPP131433 MZL131222:MZL131433 NJH131222:NJH131433 NTD131222:NTD131433 OCZ131222:OCZ131433 OMV131222:OMV131433 OWR131222:OWR131433 PGN131222:PGN131433 PQJ131222:PQJ131433 QAF131222:QAF131433 QKB131222:QKB131433 QTX131222:QTX131433 RDT131222:RDT131433 RNP131222:RNP131433 RXL131222:RXL131433 SHH131222:SHH131433 SRD131222:SRD131433 TAZ131222:TAZ131433 TKV131222:TKV131433 TUR131222:TUR131433 UEN131222:UEN131433 UOJ131222:UOJ131433 UYF131222:UYF131433 VIB131222:VIB131433 VRX131222:VRX131433 WBT131222:WBT131433 WLP131222:WLP131433 WVL131222:WVL131433 D196758:D196969 IZ196758:IZ196969 SV196758:SV196969 ACR196758:ACR196969 AMN196758:AMN196969 AWJ196758:AWJ196969 BGF196758:BGF196969 BQB196758:BQB196969 BZX196758:BZX196969 CJT196758:CJT196969 CTP196758:CTP196969 DDL196758:DDL196969 DNH196758:DNH196969 DXD196758:DXD196969 EGZ196758:EGZ196969 EQV196758:EQV196969 FAR196758:FAR196969 FKN196758:FKN196969 FUJ196758:FUJ196969 GEF196758:GEF196969 GOB196758:GOB196969 GXX196758:GXX196969 HHT196758:HHT196969 HRP196758:HRP196969 IBL196758:IBL196969 ILH196758:ILH196969 IVD196758:IVD196969 JEZ196758:JEZ196969 JOV196758:JOV196969 JYR196758:JYR196969 KIN196758:KIN196969 KSJ196758:KSJ196969 LCF196758:LCF196969 LMB196758:LMB196969 LVX196758:LVX196969 MFT196758:MFT196969 MPP196758:MPP196969 MZL196758:MZL196969 NJH196758:NJH196969 NTD196758:NTD196969 OCZ196758:OCZ196969 OMV196758:OMV196969 OWR196758:OWR196969 PGN196758:PGN196969 PQJ196758:PQJ196969 QAF196758:QAF196969 QKB196758:QKB196969 QTX196758:QTX196969 RDT196758:RDT196969 RNP196758:RNP196969 RXL196758:RXL196969 SHH196758:SHH196969 SRD196758:SRD196969 TAZ196758:TAZ196969 TKV196758:TKV196969 TUR196758:TUR196969 UEN196758:UEN196969 UOJ196758:UOJ196969 UYF196758:UYF196969 VIB196758:VIB196969 VRX196758:VRX196969 WBT196758:WBT196969 WLP196758:WLP196969 WVL196758:WVL196969 D262294:D262505 IZ262294:IZ262505 SV262294:SV262505 ACR262294:ACR262505 AMN262294:AMN262505 AWJ262294:AWJ262505 BGF262294:BGF262505 BQB262294:BQB262505 BZX262294:BZX262505 CJT262294:CJT262505 CTP262294:CTP262505 DDL262294:DDL262505 DNH262294:DNH262505 DXD262294:DXD262505 EGZ262294:EGZ262505 EQV262294:EQV262505 FAR262294:FAR262505 FKN262294:FKN262505 FUJ262294:FUJ262505 GEF262294:GEF262505 GOB262294:GOB262505 GXX262294:GXX262505 HHT262294:HHT262505 HRP262294:HRP262505 IBL262294:IBL262505 ILH262294:ILH262505 IVD262294:IVD262505 JEZ262294:JEZ262505 JOV262294:JOV262505 JYR262294:JYR262505 KIN262294:KIN262505 KSJ262294:KSJ262505 LCF262294:LCF262505 LMB262294:LMB262505 LVX262294:LVX262505 MFT262294:MFT262505 MPP262294:MPP262505 MZL262294:MZL262505 NJH262294:NJH262505 NTD262294:NTD262505 OCZ262294:OCZ262505 OMV262294:OMV262505 OWR262294:OWR262505 PGN262294:PGN262505 PQJ262294:PQJ262505 QAF262294:QAF262505 QKB262294:QKB262505 QTX262294:QTX262505 RDT262294:RDT262505 RNP262294:RNP262505 RXL262294:RXL262505 SHH262294:SHH262505 SRD262294:SRD262505 TAZ262294:TAZ262505 TKV262294:TKV262505 TUR262294:TUR262505 UEN262294:UEN262505 UOJ262294:UOJ262505 UYF262294:UYF262505 VIB262294:VIB262505 VRX262294:VRX262505 WBT262294:WBT262505 WLP262294:WLP262505 WVL262294:WVL262505 D327830:D328041 IZ327830:IZ328041 SV327830:SV328041 ACR327830:ACR328041 AMN327830:AMN328041 AWJ327830:AWJ328041 BGF327830:BGF328041 BQB327830:BQB328041 BZX327830:BZX328041 CJT327830:CJT328041 CTP327830:CTP328041 DDL327830:DDL328041 DNH327830:DNH328041 DXD327830:DXD328041 EGZ327830:EGZ328041 EQV327830:EQV328041 FAR327830:FAR328041 FKN327830:FKN328041 FUJ327830:FUJ328041 GEF327830:GEF328041 GOB327830:GOB328041 GXX327830:GXX328041 HHT327830:HHT328041 HRP327830:HRP328041 IBL327830:IBL328041 ILH327830:ILH328041 IVD327830:IVD328041 JEZ327830:JEZ328041 JOV327830:JOV328041 JYR327830:JYR328041 KIN327830:KIN328041 KSJ327830:KSJ328041 LCF327830:LCF328041 LMB327830:LMB328041 LVX327830:LVX328041 MFT327830:MFT328041 MPP327830:MPP328041 MZL327830:MZL328041 NJH327830:NJH328041 NTD327830:NTD328041 OCZ327830:OCZ328041 OMV327830:OMV328041 OWR327830:OWR328041 PGN327830:PGN328041 PQJ327830:PQJ328041 QAF327830:QAF328041 QKB327830:QKB328041 QTX327830:QTX328041 RDT327830:RDT328041 RNP327830:RNP328041 RXL327830:RXL328041 SHH327830:SHH328041 SRD327830:SRD328041 TAZ327830:TAZ328041 TKV327830:TKV328041 TUR327830:TUR328041 UEN327830:UEN328041 UOJ327830:UOJ328041 UYF327830:UYF328041 VIB327830:VIB328041 VRX327830:VRX328041 WBT327830:WBT328041 WLP327830:WLP328041 WVL327830:WVL328041 D393366:D393577 IZ393366:IZ393577 SV393366:SV393577 ACR393366:ACR393577 AMN393366:AMN393577 AWJ393366:AWJ393577 BGF393366:BGF393577 BQB393366:BQB393577 BZX393366:BZX393577 CJT393366:CJT393577 CTP393366:CTP393577 DDL393366:DDL393577 DNH393366:DNH393577 DXD393366:DXD393577 EGZ393366:EGZ393577 EQV393366:EQV393577 FAR393366:FAR393577 FKN393366:FKN393577 FUJ393366:FUJ393577 GEF393366:GEF393577 GOB393366:GOB393577 GXX393366:GXX393577 HHT393366:HHT393577 HRP393366:HRP393577 IBL393366:IBL393577 ILH393366:ILH393577 IVD393366:IVD393577 JEZ393366:JEZ393577 JOV393366:JOV393577 JYR393366:JYR393577 KIN393366:KIN393577 KSJ393366:KSJ393577 LCF393366:LCF393577 LMB393366:LMB393577 LVX393366:LVX393577 MFT393366:MFT393577 MPP393366:MPP393577 MZL393366:MZL393577 NJH393366:NJH393577 NTD393366:NTD393577 OCZ393366:OCZ393577 OMV393366:OMV393577 OWR393366:OWR393577 PGN393366:PGN393577 PQJ393366:PQJ393577 QAF393366:QAF393577 QKB393366:QKB393577 QTX393366:QTX393577 RDT393366:RDT393577 RNP393366:RNP393577 RXL393366:RXL393577 SHH393366:SHH393577 SRD393366:SRD393577 TAZ393366:TAZ393577 TKV393366:TKV393577 TUR393366:TUR393577 UEN393366:UEN393577 UOJ393366:UOJ393577 UYF393366:UYF393577 VIB393366:VIB393577 VRX393366:VRX393577 WBT393366:WBT393577 WLP393366:WLP393577 WVL393366:WVL393577 D458902:D459113 IZ458902:IZ459113 SV458902:SV459113 ACR458902:ACR459113 AMN458902:AMN459113 AWJ458902:AWJ459113 BGF458902:BGF459113 BQB458902:BQB459113 BZX458902:BZX459113 CJT458902:CJT459113 CTP458902:CTP459113 DDL458902:DDL459113 DNH458902:DNH459113 DXD458902:DXD459113 EGZ458902:EGZ459113 EQV458902:EQV459113 FAR458902:FAR459113 FKN458902:FKN459113 FUJ458902:FUJ459113 GEF458902:GEF459113 GOB458902:GOB459113 GXX458902:GXX459113 HHT458902:HHT459113 HRP458902:HRP459113 IBL458902:IBL459113 ILH458902:ILH459113 IVD458902:IVD459113 JEZ458902:JEZ459113 JOV458902:JOV459113 JYR458902:JYR459113 KIN458902:KIN459113 KSJ458902:KSJ459113 LCF458902:LCF459113 LMB458902:LMB459113 LVX458902:LVX459113 MFT458902:MFT459113 MPP458902:MPP459113 MZL458902:MZL459113 NJH458902:NJH459113 NTD458902:NTD459113 OCZ458902:OCZ459113 OMV458902:OMV459113 OWR458902:OWR459113 PGN458902:PGN459113 PQJ458902:PQJ459113 QAF458902:QAF459113 QKB458902:QKB459113 QTX458902:QTX459113 RDT458902:RDT459113 RNP458902:RNP459113 RXL458902:RXL459113 SHH458902:SHH459113 SRD458902:SRD459113 TAZ458902:TAZ459113 TKV458902:TKV459113 TUR458902:TUR459113 UEN458902:UEN459113 UOJ458902:UOJ459113 UYF458902:UYF459113 VIB458902:VIB459113 VRX458902:VRX459113 WBT458902:WBT459113 WLP458902:WLP459113 WVL458902:WVL459113 D524438:D524649 IZ524438:IZ524649 SV524438:SV524649 ACR524438:ACR524649 AMN524438:AMN524649 AWJ524438:AWJ524649 BGF524438:BGF524649 BQB524438:BQB524649 BZX524438:BZX524649 CJT524438:CJT524649 CTP524438:CTP524649 DDL524438:DDL524649 DNH524438:DNH524649 DXD524438:DXD524649 EGZ524438:EGZ524649 EQV524438:EQV524649 FAR524438:FAR524649 FKN524438:FKN524649 FUJ524438:FUJ524649 GEF524438:GEF524649 GOB524438:GOB524649 GXX524438:GXX524649 HHT524438:HHT524649 HRP524438:HRP524649 IBL524438:IBL524649 ILH524438:ILH524649 IVD524438:IVD524649 JEZ524438:JEZ524649 JOV524438:JOV524649 JYR524438:JYR524649 KIN524438:KIN524649 KSJ524438:KSJ524649 LCF524438:LCF524649 LMB524438:LMB524649 LVX524438:LVX524649 MFT524438:MFT524649 MPP524438:MPP524649 MZL524438:MZL524649 NJH524438:NJH524649 NTD524438:NTD524649 OCZ524438:OCZ524649 OMV524438:OMV524649 OWR524438:OWR524649 PGN524438:PGN524649 PQJ524438:PQJ524649 QAF524438:QAF524649 QKB524438:QKB524649 QTX524438:QTX524649 RDT524438:RDT524649 RNP524438:RNP524649 RXL524438:RXL524649 SHH524438:SHH524649 SRD524438:SRD524649 TAZ524438:TAZ524649 TKV524438:TKV524649 TUR524438:TUR524649 UEN524438:UEN524649 UOJ524438:UOJ524649 UYF524438:UYF524649 VIB524438:VIB524649 VRX524438:VRX524649 WBT524438:WBT524649 WLP524438:WLP524649 WVL524438:WVL524649 D589974:D590185 IZ589974:IZ590185 SV589974:SV590185 ACR589974:ACR590185 AMN589974:AMN590185 AWJ589974:AWJ590185 BGF589974:BGF590185 BQB589974:BQB590185 BZX589974:BZX590185 CJT589974:CJT590185 CTP589974:CTP590185 DDL589974:DDL590185 DNH589974:DNH590185 DXD589974:DXD590185 EGZ589974:EGZ590185 EQV589974:EQV590185 FAR589974:FAR590185 FKN589974:FKN590185 FUJ589974:FUJ590185 GEF589974:GEF590185 GOB589974:GOB590185 GXX589974:GXX590185 HHT589974:HHT590185 HRP589974:HRP590185 IBL589974:IBL590185 ILH589974:ILH590185 IVD589974:IVD590185 JEZ589974:JEZ590185 JOV589974:JOV590185 JYR589974:JYR590185 KIN589974:KIN590185 KSJ589974:KSJ590185 LCF589974:LCF590185 LMB589974:LMB590185 LVX589974:LVX590185 MFT589974:MFT590185 MPP589974:MPP590185 MZL589974:MZL590185 NJH589974:NJH590185 NTD589974:NTD590185 OCZ589974:OCZ590185 OMV589974:OMV590185 OWR589974:OWR590185 PGN589974:PGN590185 PQJ589974:PQJ590185 QAF589974:QAF590185 QKB589974:QKB590185 QTX589974:QTX590185 RDT589974:RDT590185 RNP589974:RNP590185 RXL589974:RXL590185 SHH589974:SHH590185 SRD589974:SRD590185 TAZ589974:TAZ590185 TKV589974:TKV590185 TUR589974:TUR590185 UEN589974:UEN590185 UOJ589974:UOJ590185 UYF589974:UYF590185 VIB589974:VIB590185 VRX589974:VRX590185 WBT589974:WBT590185 WLP589974:WLP590185 WVL589974:WVL590185 D655510:D655721 IZ655510:IZ655721 SV655510:SV655721 ACR655510:ACR655721 AMN655510:AMN655721 AWJ655510:AWJ655721 BGF655510:BGF655721 BQB655510:BQB655721 BZX655510:BZX655721 CJT655510:CJT655721 CTP655510:CTP655721 DDL655510:DDL655721 DNH655510:DNH655721 DXD655510:DXD655721 EGZ655510:EGZ655721 EQV655510:EQV655721 FAR655510:FAR655721 FKN655510:FKN655721 FUJ655510:FUJ655721 GEF655510:GEF655721 GOB655510:GOB655721 GXX655510:GXX655721 HHT655510:HHT655721 HRP655510:HRP655721 IBL655510:IBL655721 ILH655510:ILH655721 IVD655510:IVD655721 JEZ655510:JEZ655721 JOV655510:JOV655721 JYR655510:JYR655721 KIN655510:KIN655721 KSJ655510:KSJ655721 LCF655510:LCF655721 LMB655510:LMB655721 LVX655510:LVX655721 MFT655510:MFT655721 MPP655510:MPP655721 MZL655510:MZL655721 NJH655510:NJH655721 NTD655510:NTD655721 OCZ655510:OCZ655721 OMV655510:OMV655721 OWR655510:OWR655721 PGN655510:PGN655721 PQJ655510:PQJ655721 QAF655510:QAF655721 QKB655510:QKB655721 QTX655510:QTX655721 RDT655510:RDT655721 RNP655510:RNP655721 RXL655510:RXL655721 SHH655510:SHH655721 SRD655510:SRD655721 TAZ655510:TAZ655721 TKV655510:TKV655721 TUR655510:TUR655721 UEN655510:UEN655721 UOJ655510:UOJ655721 UYF655510:UYF655721 VIB655510:VIB655721 VRX655510:VRX655721 WBT655510:WBT655721 WLP655510:WLP655721 WVL655510:WVL655721 D721046:D721257 IZ721046:IZ721257 SV721046:SV721257 ACR721046:ACR721257 AMN721046:AMN721257 AWJ721046:AWJ721257 BGF721046:BGF721257 BQB721046:BQB721257 BZX721046:BZX721257 CJT721046:CJT721257 CTP721046:CTP721257 DDL721046:DDL721257 DNH721046:DNH721257 DXD721046:DXD721257 EGZ721046:EGZ721257 EQV721046:EQV721257 FAR721046:FAR721257 FKN721046:FKN721257 FUJ721046:FUJ721257 GEF721046:GEF721257 GOB721046:GOB721257 GXX721046:GXX721257 HHT721046:HHT721257 HRP721046:HRP721257 IBL721046:IBL721257 ILH721046:ILH721257 IVD721046:IVD721257 JEZ721046:JEZ721257 JOV721046:JOV721257 JYR721046:JYR721257 KIN721046:KIN721257 KSJ721046:KSJ721257 LCF721046:LCF721257 LMB721046:LMB721257 LVX721046:LVX721257 MFT721046:MFT721257 MPP721046:MPP721257 MZL721046:MZL721257 NJH721046:NJH721257 NTD721046:NTD721257 OCZ721046:OCZ721257 OMV721046:OMV721257 OWR721046:OWR721257 PGN721046:PGN721257 PQJ721046:PQJ721257 QAF721046:QAF721257 QKB721046:QKB721257 QTX721046:QTX721257 RDT721046:RDT721257 RNP721046:RNP721257 RXL721046:RXL721257 SHH721046:SHH721257 SRD721046:SRD721257 TAZ721046:TAZ721257 TKV721046:TKV721257 TUR721046:TUR721257 UEN721046:UEN721257 UOJ721046:UOJ721257 UYF721046:UYF721257 VIB721046:VIB721257 VRX721046:VRX721257 WBT721046:WBT721257 WLP721046:WLP721257 WVL721046:WVL721257 D786582:D786793 IZ786582:IZ786793 SV786582:SV786793 ACR786582:ACR786793 AMN786582:AMN786793 AWJ786582:AWJ786793 BGF786582:BGF786793 BQB786582:BQB786793 BZX786582:BZX786793 CJT786582:CJT786793 CTP786582:CTP786793 DDL786582:DDL786793 DNH786582:DNH786793 DXD786582:DXD786793 EGZ786582:EGZ786793 EQV786582:EQV786793 FAR786582:FAR786793 FKN786582:FKN786793 FUJ786582:FUJ786793 GEF786582:GEF786793 GOB786582:GOB786793 GXX786582:GXX786793 HHT786582:HHT786793 HRP786582:HRP786793 IBL786582:IBL786793 ILH786582:ILH786793 IVD786582:IVD786793 JEZ786582:JEZ786793 JOV786582:JOV786793 JYR786582:JYR786793 KIN786582:KIN786793 KSJ786582:KSJ786793 LCF786582:LCF786793 LMB786582:LMB786793 LVX786582:LVX786793 MFT786582:MFT786793 MPP786582:MPP786793 MZL786582:MZL786793 NJH786582:NJH786793 NTD786582:NTD786793 OCZ786582:OCZ786793 OMV786582:OMV786793 OWR786582:OWR786793 PGN786582:PGN786793 PQJ786582:PQJ786793 QAF786582:QAF786793 QKB786582:QKB786793 QTX786582:QTX786793 RDT786582:RDT786793 RNP786582:RNP786793 RXL786582:RXL786793 SHH786582:SHH786793 SRD786582:SRD786793 TAZ786582:TAZ786793 TKV786582:TKV786793 TUR786582:TUR786793 UEN786582:UEN786793 UOJ786582:UOJ786793 UYF786582:UYF786793 VIB786582:VIB786793 VRX786582:VRX786793 WBT786582:WBT786793 WLP786582:WLP786793 WVL786582:WVL786793 D852118:D852329 IZ852118:IZ852329 SV852118:SV852329 ACR852118:ACR852329 AMN852118:AMN852329 AWJ852118:AWJ852329 BGF852118:BGF852329 BQB852118:BQB852329 BZX852118:BZX852329 CJT852118:CJT852329 CTP852118:CTP852329 DDL852118:DDL852329 DNH852118:DNH852329 DXD852118:DXD852329 EGZ852118:EGZ852329 EQV852118:EQV852329 FAR852118:FAR852329 FKN852118:FKN852329 FUJ852118:FUJ852329 GEF852118:GEF852329 GOB852118:GOB852329 GXX852118:GXX852329 HHT852118:HHT852329 HRP852118:HRP852329 IBL852118:IBL852329 ILH852118:ILH852329 IVD852118:IVD852329 JEZ852118:JEZ852329 JOV852118:JOV852329 JYR852118:JYR852329 KIN852118:KIN852329 KSJ852118:KSJ852329 LCF852118:LCF852329 LMB852118:LMB852329 LVX852118:LVX852329 MFT852118:MFT852329 MPP852118:MPP852329 MZL852118:MZL852329 NJH852118:NJH852329 NTD852118:NTD852329 OCZ852118:OCZ852329 OMV852118:OMV852329 OWR852118:OWR852329 PGN852118:PGN852329 PQJ852118:PQJ852329 QAF852118:QAF852329 QKB852118:QKB852329 QTX852118:QTX852329 RDT852118:RDT852329 RNP852118:RNP852329 RXL852118:RXL852329 SHH852118:SHH852329 SRD852118:SRD852329 TAZ852118:TAZ852329 TKV852118:TKV852329 TUR852118:TUR852329 UEN852118:UEN852329 UOJ852118:UOJ852329 UYF852118:UYF852329 VIB852118:VIB852329 VRX852118:VRX852329 WBT852118:WBT852329 WLP852118:WLP852329 WVL852118:WVL852329 D917654:D917865 IZ917654:IZ917865 SV917654:SV917865 ACR917654:ACR917865 AMN917654:AMN917865 AWJ917654:AWJ917865 BGF917654:BGF917865 BQB917654:BQB917865 BZX917654:BZX917865 CJT917654:CJT917865 CTP917654:CTP917865 DDL917654:DDL917865 DNH917654:DNH917865 DXD917654:DXD917865 EGZ917654:EGZ917865 EQV917654:EQV917865 FAR917654:FAR917865 FKN917654:FKN917865 FUJ917654:FUJ917865 GEF917654:GEF917865 GOB917654:GOB917865 GXX917654:GXX917865 HHT917654:HHT917865 HRP917654:HRP917865 IBL917654:IBL917865 ILH917654:ILH917865 IVD917654:IVD917865 JEZ917654:JEZ917865 JOV917654:JOV917865 JYR917654:JYR917865 KIN917654:KIN917865 KSJ917654:KSJ917865 LCF917654:LCF917865 LMB917654:LMB917865 LVX917654:LVX917865 MFT917654:MFT917865 MPP917654:MPP917865 MZL917654:MZL917865 NJH917654:NJH917865 NTD917654:NTD917865 OCZ917654:OCZ917865 OMV917654:OMV917865 OWR917654:OWR917865 PGN917654:PGN917865 PQJ917654:PQJ917865 QAF917654:QAF917865 QKB917654:QKB917865 QTX917654:QTX917865 RDT917654:RDT917865 RNP917654:RNP917865 RXL917654:RXL917865 SHH917654:SHH917865 SRD917654:SRD917865 TAZ917654:TAZ917865 TKV917654:TKV917865 TUR917654:TUR917865 UEN917654:UEN917865 UOJ917654:UOJ917865 UYF917654:UYF917865 VIB917654:VIB917865 VRX917654:VRX917865 WBT917654:WBT917865 WLP917654:WLP917865 WVL917654:WVL917865 D983190:D983401 IZ983190:IZ983401 SV983190:SV983401 ACR983190:ACR983401 AMN983190:AMN983401 AWJ983190:AWJ983401 BGF983190:BGF983401 BQB983190:BQB983401 BZX983190:BZX983401 CJT983190:CJT983401 CTP983190:CTP983401 DDL983190:DDL983401 DNH983190:DNH983401 DXD983190:DXD983401 EGZ983190:EGZ983401 EQV983190:EQV983401 FAR983190:FAR983401 FKN983190:FKN983401 FUJ983190:FUJ983401 GEF983190:GEF983401 GOB983190:GOB983401 GXX983190:GXX983401 HHT983190:HHT983401 HRP983190:HRP983401 IBL983190:IBL983401 ILH983190:ILH983401 IVD983190:IVD983401 JEZ983190:JEZ983401 JOV983190:JOV983401 JYR983190:JYR983401 KIN983190:KIN983401 KSJ983190:KSJ983401 LCF983190:LCF983401 LMB983190:LMB983401 LVX983190:LVX983401 MFT983190:MFT983401 MPP983190:MPP983401 MZL983190:MZL983401 NJH983190:NJH983401 NTD983190:NTD983401 OCZ983190:OCZ983401 OMV983190:OMV983401 OWR983190:OWR983401 PGN983190:PGN983401 PQJ983190:PQJ983401 QAF983190:QAF983401 QKB983190:QKB983401 QTX983190:QTX983401 RDT983190:RDT983401 RNP983190:RNP983401 RXL983190:RXL983401 SHH983190:SHH983401 SRD983190:SRD983401 TAZ983190:TAZ983401 TKV983190:TKV983401 TUR983190:TUR983401 UEN983190:UEN983401 UOJ983190:UOJ983401 UYF983190:UYF983401 VIB983190:VIB983401 VRX983190:VRX983401 WBT983190:WBT983401 WLP983190:WLP983401 WVL983190:WVL983401">
      <formula1>$N$150:$N$373</formula1>
    </dataValidation>
    <dataValidation type="list" errorStyle="information" allowBlank="1" showInputMessage="1" showErrorMessage="1" errorTitle="New Site" error="If a site is not in the list enter a new Name" prompt="Select a site name or enter a new one" sqref="WVJ983114:WVQ983114 IX49:JE49 ST49:TA49 ACP49:ACW49 AML49:AMS49 AWH49:AWO49 BGD49:BGK49 BPZ49:BQG49 BZV49:CAC49 CJR49:CJY49 CTN49:CTU49 DDJ49:DDQ49 DNF49:DNM49 DXB49:DXI49 EGX49:EHE49 EQT49:ERA49 FAP49:FAW49 FKL49:FKS49 FUH49:FUO49 GED49:GEK49 GNZ49:GOG49 GXV49:GYC49 HHR49:HHY49 HRN49:HRU49 IBJ49:IBQ49 ILF49:ILM49 IVB49:IVI49 JEX49:JFE49 JOT49:JPA49 JYP49:JYW49 KIL49:KIS49 KSH49:KSO49 LCD49:LCK49 LLZ49:LMG49 LVV49:LWC49 MFR49:MFY49 MPN49:MPU49 MZJ49:MZQ49 NJF49:NJM49 NTB49:NTI49 OCX49:ODE49 OMT49:ONA49 OWP49:OWW49 PGL49:PGS49 PQH49:PQO49 QAD49:QAK49 QJZ49:QKG49 QTV49:QUC49 RDR49:RDY49 RNN49:RNU49 RXJ49:RXQ49 SHF49:SHM49 SRB49:SRI49 TAX49:TBE49 TKT49:TLA49 TUP49:TUW49 UEL49:UES49 UOH49:UOO49 UYD49:UYK49 VHZ49:VIG49 VRV49:VSC49 WBR49:WBY49 WLN49:WLU49 WVJ49:WVQ49 B65610:I65610 IX65610:JE65610 ST65610:TA65610 ACP65610:ACW65610 AML65610:AMS65610 AWH65610:AWO65610 BGD65610:BGK65610 BPZ65610:BQG65610 BZV65610:CAC65610 CJR65610:CJY65610 CTN65610:CTU65610 DDJ65610:DDQ65610 DNF65610:DNM65610 DXB65610:DXI65610 EGX65610:EHE65610 EQT65610:ERA65610 FAP65610:FAW65610 FKL65610:FKS65610 FUH65610:FUO65610 GED65610:GEK65610 GNZ65610:GOG65610 GXV65610:GYC65610 HHR65610:HHY65610 HRN65610:HRU65610 IBJ65610:IBQ65610 ILF65610:ILM65610 IVB65610:IVI65610 JEX65610:JFE65610 JOT65610:JPA65610 JYP65610:JYW65610 KIL65610:KIS65610 KSH65610:KSO65610 LCD65610:LCK65610 LLZ65610:LMG65610 LVV65610:LWC65610 MFR65610:MFY65610 MPN65610:MPU65610 MZJ65610:MZQ65610 NJF65610:NJM65610 NTB65610:NTI65610 OCX65610:ODE65610 OMT65610:ONA65610 OWP65610:OWW65610 PGL65610:PGS65610 PQH65610:PQO65610 QAD65610:QAK65610 QJZ65610:QKG65610 QTV65610:QUC65610 RDR65610:RDY65610 RNN65610:RNU65610 RXJ65610:RXQ65610 SHF65610:SHM65610 SRB65610:SRI65610 TAX65610:TBE65610 TKT65610:TLA65610 TUP65610:TUW65610 UEL65610:UES65610 UOH65610:UOO65610 UYD65610:UYK65610 VHZ65610:VIG65610 VRV65610:VSC65610 WBR65610:WBY65610 WLN65610:WLU65610 WVJ65610:WVQ65610 B131146:I131146 IX131146:JE131146 ST131146:TA131146 ACP131146:ACW131146 AML131146:AMS131146 AWH131146:AWO131146 BGD131146:BGK131146 BPZ131146:BQG131146 BZV131146:CAC131146 CJR131146:CJY131146 CTN131146:CTU131146 DDJ131146:DDQ131146 DNF131146:DNM131146 DXB131146:DXI131146 EGX131146:EHE131146 EQT131146:ERA131146 FAP131146:FAW131146 FKL131146:FKS131146 FUH131146:FUO131146 GED131146:GEK131146 GNZ131146:GOG131146 GXV131146:GYC131146 HHR131146:HHY131146 HRN131146:HRU131146 IBJ131146:IBQ131146 ILF131146:ILM131146 IVB131146:IVI131146 JEX131146:JFE131146 JOT131146:JPA131146 JYP131146:JYW131146 KIL131146:KIS131146 KSH131146:KSO131146 LCD131146:LCK131146 LLZ131146:LMG131146 LVV131146:LWC131146 MFR131146:MFY131146 MPN131146:MPU131146 MZJ131146:MZQ131146 NJF131146:NJM131146 NTB131146:NTI131146 OCX131146:ODE131146 OMT131146:ONA131146 OWP131146:OWW131146 PGL131146:PGS131146 PQH131146:PQO131146 QAD131146:QAK131146 QJZ131146:QKG131146 QTV131146:QUC131146 RDR131146:RDY131146 RNN131146:RNU131146 RXJ131146:RXQ131146 SHF131146:SHM131146 SRB131146:SRI131146 TAX131146:TBE131146 TKT131146:TLA131146 TUP131146:TUW131146 UEL131146:UES131146 UOH131146:UOO131146 UYD131146:UYK131146 VHZ131146:VIG131146 VRV131146:VSC131146 WBR131146:WBY131146 WLN131146:WLU131146 WVJ131146:WVQ131146 B196682:I196682 IX196682:JE196682 ST196682:TA196682 ACP196682:ACW196682 AML196682:AMS196682 AWH196682:AWO196682 BGD196682:BGK196682 BPZ196682:BQG196682 BZV196682:CAC196682 CJR196682:CJY196682 CTN196682:CTU196682 DDJ196682:DDQ196682 DNF196682:DNM196682 DXB196682:DXI196682 EGX196682:EHE196682 EQT196682:ERA196682 FAP196682:FAW196682 FKL196682:FKS196682 FUH196682:FUO196682 GED196682:GEK196682 GNZ196682:GOG196682 GXV196682:GYC196682 HHR196682:HHY196682 HRN196682:HRU196682 IBJ196682:IBQ196682 ILF196682:ILM196682 IVB196682:IVI196682 JEX196682:JFE196682 JOT196682:JPA196682 JYP196682:JYW196682 KIL196682:KIS196682 KSH196682:KSO196682 LCD196682:LCK196682 LLZ196682:LMG196682 LVV196682:LWC196682 MFR196682:MFY196682 MPN196682:MPU196682 MZJ196682:MZQ196682 NJF196682:NJM196682 NTB196682:NTI196682 OCX196682:ODE196682 OMT196682:ONA196682 OWP196682:OWW196682 PGL196682:PGS196682 PQH196682:PQO196682 QAD196682:QAK196682 QJZ196682:QKG196682 QTV196682:QUC196682 RDR196682:RDY196682 RNN196682:RNU196682 RXJ196682:RXQ196682 SHF196682:SHM196682 SRB196682:SRI196682 TAX196682:TBE196682 TKT196682:TLA196682 TUP196682:TUW196682 UEL196682:UES196682 UOH196682:UOO196682 UYD196682:UYK196682 VHZ196682:VIG196682 VRV196682:VSC196682 WBR196682:WBY196682 WLN196682:WLU196682 WVJ196682:WVQ196682 B262218:I262218 IX262218:JE262218 ST262218:TA262218 ACP262218:ACW262218 AML262218:AMS262218 AWH262218:AWO262218 BGD262218:BGK262218 BPZ262218:BQG262218 BZV262218:CAC262218 CJR262218:CJY262218 CTN262218:CTU262218 DDJ262218:DDQ262218 DNF262218:DNM262218 DXB262218:DXI262218 EGX262218:EHE262218 EQT262218:ERA262218 FAP262218:FAW262218 FKL262218:FKS262218 FUH262218:FUO262218 GED262218:GEK262218 GNZ262218:GOG262218 GXV262218:GYC262218 HHR262218:HHY262218 HRN262218:HRU262218 IBJ262218:IBQ262218 ILF262218:ILM262218 IVB262218:IVI262218 JEX262218:JFE262218 JOT262218:JPA262218 JYP262218:JYW262218 KIL262218:KIS262218 KSH262218:KSO262218 LCD262218:LCK262218 LLZ262218:LMG262218 LVV262218:LWC262218 MFR262218:MFY262218 MPN262218:MPU262218 MZJ262218:MZQ262218 NJF262218:NJM262218 NTB262218:NTI262218 OCX262218:ODE262218 OMT262218:ONA262218 OWP262218:OWW262218 PGL262218:PGS262218 PQH262218:PQO262218 QAD262218:QAK262218 QJZ262218:QKG262218 QTV262218:QUC262218 RDR262218:RDY262218 RNN262218:RNU262218 RXJ262218:RXQ262218 SHF262218:SHM262218 SRB262218:SRI262218 TAX262218:TBE262218 TKT262218:TLA262218 TUP262218:TUW262218 UEL262218:UES262218 UOH262218:UOO262218 UYD262218:UYK262218 VHZ262218:VIG262218 VRV262218:VSC262218 WBR262218:WBY262218 WLN262218:WLU262218 WVJ262218:WVQ262218 B327754:I327754 IX327754:JE327754 ST327754:TA327754 ACP327754:ACW327754 AML327754:AMS327754 AWH327754:AWO327754 BGD327754:BGK327754 BPZ327754:BQG327754 BZV327754:CAC327754 CJR327754:CJY327754 CTN327754:CTU327754 DDJ327754:DDQ327754 DNF327754:DNM327754 DXB327754:DXI327754 EGX327754:EHE327754 EQT327754:ERA327754 FAP327754:FAW327754 FKL327754:FKS327754 FUH327754:FUO327754 GED327754:GEK327754 GNZ327754:GOG327754 GXV327754:GYC327754 HHR327754:HHY327754 HRN327754:HRU327754 IBJ327754:IBQ327754 ILF327754:ILM327754 IVB327754:IVI327754 JEX327754:JFE327754 JOT327754:JPA327754 JYP327754:JYW327754 KIL327754:KIS327754 KSH327754:KSO327754 LCD327754:LCK327754 LLZ327754:LMG327754 LVV327754:LWC327754 MFR327754:MFY327754 MPN327754:MPU327754 MZJ327754:MZQ327754 NJF327754:NJM327754 NTB327754:NTI327754 OCX327754:ODE327754 OMT327754:ONA327754 OWP327754:OWW327754 PGL327754:PGS327754 PQH327754:PQO327754 QAD327754:QAK327754 QJZ327754:QKG327754 QTV327754:QUC327754 RDR327754:RDY327754 RNN327754:RNU327754 RXJ327754:RXQ327754 SHF327754:SHM327754 SRB327754:SRI327754 TAX327754:TBE327754 TKT327754:TLA327754 TUP327754:TUW327754 UEL327754:UES327754 UOH327754:UOO327754 UYD327754:UYK327754 VHZ327754:VIG327754 VRV327754:VSC327754 WBR327754:WBY327754 WLN327754:WLU327754 WVJ327754:WVQ327754 B393290:I393290 IX393290:JE393290 ST393290:TA393290 ACP393290:ACW393290 AML393290:AMS393290 AWH393290:AWO393290 BGD393290:BGK393290 BPZ393290:BQG393290 BZV393290:CAC393290 CJR393290:CJY393290 CTN393290:CTU393290 DDJ393290:DDQ393290 DNF393290:DNM393290 DXB393290:DXI393290 EGX393290:EHE393290 EQT393290:ERA393290 FAP393290:FAW393290 FKL393290:FKS393290 FUH393290:FUO393290 GED393290:GEK393290 GNZ393290:GOG393290 GXV393290:GYC393290 HHR393290:HHY393290 HRN393290:HRU393290 IBJ393290:IBQ393290 ILF393290:ILM393290 IVB393290:IVI393290 JEX393290:JFE393290 JOT393290:JPA393290 JYP393290:JYW393290 KIL393290:KIS393290 KSH393290:KSO393290 LCD393290:LCK393290 LLZ393290:LMG393290 LVV393290:LWC393290 MFR393290:MFY393290 MPN393290:MPU393290 MZJ393290:MZQ393290 NJF393290:NJM393290 NTB393290:NTI393290 OCX393290:ODE393290 OMT393290:ONA393290 OWP393290:OWW393290 PGL393290:PGS393290 PQH393290:PQO393290 QAD393290:QAK393290 QJZ393290:QKG393290 QTV393290:QUC393290 RDR393290:RDY393290 RNN393290:RNU393290 RXJ393290:RXQ393290 SHF393290:SHM393290 SRB393290:SRI393290 TAX393290:TBE393290 TKT393290:TLA393290 TUP393290:TUW393290 UEL393290:UES393290 UOH393290:UOO393290 UYD393290:UYK393290 VHZ393290:VIG393290 VRV393290:VSC393290 WBR393290:WBY393290 WLN393290:WLU393290 WVJ393290:WVQ393290 B458826:I458826 IX458826:JE458826 ST458826:TA458826 ACP458826:ACW458826 AML458826:AMS458826 AWH458826:AWO458826 BGD458826:BGK458826 BPZ458826:BQG458826 BZV458826:CAC458826 CJR458826:CJY458826 CTN458826:CTU458826 DDJ458826:DDQ458826 DNF458826:DNM458826 DXB458826:DXI458826 EGX458826:EHE458826 EQT458826:ERA458826 FAP458826:FAW458826 FKL458826:FKS458826 FUH458826:FUO458826 GED458826:GEK458826 GNZ458826:GOG458826 GXV458826:GYC458826 HHR458826:HHY458826 HRN458826:HRU458826 IBJ458826:IBQ458826 ILF458826:ILM458826 IVB458826:IVI458826 JEX458826:JFE458826 JOT458826:JPA458826 JYP458826:JYW458826 KIL458826:KIS458826 KSH458826:KSO458826 LCD458826:LCK458826 LLZ458826:LMG458826 LVV458826:LWC458826 MFR458826:MFY458826 MPN458826:MPU458826 MZJ458826:MZQ458826 NJF458826:NJM458826 NTB458826:NTI458826 OCX458826:ODE458826 OMT458826:ONA458826 OWP458826:OWW458826 PGL458826:PGS458826 PQH458826:PQO458826 QAD458826:QAK458826 QJZ458826:QKG458826 QTV458826:QUC458826 RDR458826:RDY458826 RNN458826:RNU458826 RXJ458826:RXQ458826 SHF458826:SHM458826 SRB458826:SRI458826 TAX458826:TBE458826 TKT458826:TLA458826 TUP458826:TUW458826 UEL458826:UES458826 UOH458826:UOO458826 UYD458826:UYK458826 VHZ458826:VIG458826 VRV458826:VSC458826 WBR458826:WBY458826 WLN458826:WLU458826 WVJ458826:WVQ458826 B524362:I524362 IX524362:JE524362 ST524362:TA524362 ACP524362:ACW524362 AML524362:AMS524362 AWH524362:AWO524362 BGD524362:BGK524362 BPZ524362:BQG524362 BZV524362:CAC524362 CJR524362:CJY524362 CTN524362:CTU524362 DDJ524362:DDQ524362 DNF524362:DNM524362 DXB524362:DXI524362 EGX524362:EHE524362 EQT524362:ERA524362 FAP524362:FAW524362 FKL524362:FKS524362 FUH524362:FUO524362 GED524362:GEK524362 GNZ524362:GOG524362 GXV524362:GYC524362 HHR524362:HHY524362 HRN524362:HRU524362 IBJ524362:IBQ524362 ILF524362:ILM524362 IVB524362:IVI524362 JEX524362:JFE524362 JOT524362:JPA524362 JYP524362:JYW524362 KIL524362:KIS524362 KSH524362:KSO524362 LCD524362:LCK524362 LLZ524362:LMG524362 LVV524362:LWC524362 MFR524362:MFY524362 MPN524362:MPU524362 MZJ524362:MZQ524362 NJF524362:NJM524362 NTB524362:NTI524362 OCX524362:ODE524362 OMT524362:ONA524362 OWP524362:OWW524362 PGL524362:PGS524362 PQH524362:PQO524362 QAD524362:QAK524362 QJZ524362:QKG524362 QTV524362:QUC524362 RDR524362:RDY524362 RNN524362:RNU524362 RXJ524362:RXQ524362 SHF524362:SHM524362 SRB524362:SRI524362 TAX524362:TBE524362 TKT524362:TLA524362 TUP524362:TUW524362 UEL524362:UES524362 UOH524362:UOO524362 UYD524362:UYK524362 VHZ524362:VIG524362 VRV524362:VSC524362 WBR524362:WBY524362 WLN524362:WLU524362 WVJ524362:WVQ524362 B589898:I589898 IX589898:JE589898 ST589898:TA589898 ACP589898:ACW589898 AML589898:AMS589898 AWH589898:AWO589898 BGD589898:BGK589898 BPZ589898:BQG589898 BZV589898:CAC589898 CJR589898:CJY589898 CTN589898:CTU589898 DDJ589898:DDQ589898 DNF589898:DNM589898 DXB589898:DXI589898 EGX589898:EHE589898 EQT589898:ERA589898 FAP589898:FAW589898 FKL589898:FKS589898 FUH589898:FUO589898 GED589898:GEK589898 GNZ589898:GOG589898 GXV589898:GYC589898 HHR589898:HHY589898 HRN589898:HRU589898 IBJ589898:IBQ589898 ILF589898:ILM589898 IVB589898:IVI589898 JEX589898:JFE589898 JOT589898:JPA589898 JYP589898:JYW589898 KIL589898:KIS589898 KSH589898:KSO589898 LCD589898:LCK589898 LLZ589898:LMG589898 LVV589898:LWC589898 MFR589898:MFY589898 MPN589898:MPU589898 MZJ589898:MZQ589898 NJF589898:NJM589898 NTB589898:NTI589898 OCX589898:ODE589898 OMT589898:ONA589898 OWP589898:OWW589898 PGL589898:PGS589898 PQH589898:PQO589898 QAD589898:QAK589898 QJZ589898:QKG589898 QTV589898:QUC589898 RDR589898:RDY589898 RNN589898:RNU589898 RXJ589898:RXQ589898 SHF589898:SHM589898 SRB589898:SRI589898 TAX589898:TBE589898 TKT589898:TLA589898 TUP589898:TUW589898 UEL589898:UES589898 UOH589898:UOO589898 UYD589898:UYK589898 VHZ589898:VIG589898 VRV589898:VSC589898 WBR589898:WBY589898 WLN589898:WLU589898 WVJ589898:WVQ589898 B655434:I655434 IX655434:JE655434 ST655434:TA655434 ACP655434:ACW655434 AML655434:AMS655434 AWH655434:AWO655434 BGD655434:BGK655434 BPZ655434:BQG655434 BZV655434:CAC655434 CJR655434:CJY655434 CTN655434:CTU655434 DDJ655434:DDQ655434 DNF655434:DNM655434 DXB655434:DXI655434 EGX655434:EHE655434 EQT655434:ERA655434 FAP655434:FAW655434 FKL655434:FKS655434 FUH655434:FUO655434 GED655434:GEK655434 GNZ655434:GOG655434 GXV655434:GYC655434 HHR655434:HHY655434 HRN655434:HRU655434 IBJ655434:IBQ655434 ILF655434:ILM655434 IVB655434:IVI655434 JEX655434:JFE655434 JOT655434:JPA655434 JYP655434:JYW655434 KIL655434:KIS655434 KSH655434:KSO655434 LCD655434:LCK655434 LLZ655434:LMG655434 LVV655434:LWC655434 MFR655434:MFY655434 MPN655434:MPU655434 MZJ655434:MZQ655434 NJF655434:NJM655434 NTB655434:NTI655434 OCX655434:ODE655434 OMT655434:ONA655434 OWP655434:OWW655434 PGL655434:PGS655434 PQH655434:PQO655434 QAD655434:QAK655434 QJZ655434:QKG655434 QTV655434:QUC655434 RDR655434:RDY655434 RNN655434:RNU655434 RXJ655434:RXQ655434 SHF655434:SHM655434 SRB655434:SRI655434 TAX655434:TBE655434 TKT655434:TLA655434 TUP655434:TUW655434 UEL655434:UES655434 UOH655434:UOO655434 UYD655434:UYK655434 VHZ655434:VIG655434 VRV655434:VSC655434 WBR655434:WBY655434 WLN655434:WLU655434 WVJ655434:WVQ655434 B720970:I720970 IX720970:JE720970 ST720970:TA720970 ACP720970:ACW720970 AML720970:AMS720970 AWH720970:AWO720970 BGD720970:BGK720970 BPZ720970:BQG720970 BZV720970:CAC720970 CJR720970:CJY720970 CTN720970:CTU720970 DDJ720970:DDQ720970 DNF720970:DNM720970 DXB720970:DXI720970 EGX720970:EHE720970 EQT720970:ERA720970 FAP720970:FAW720970 FKL720970:FKS720970 FUH720970:FUO720970 GED720970:GEK720970 GNZ720970:GOG720970 GXV720970:GYC720970 HHR720970:HHY720970 HRN720970:HRU720970 IBJ720970:IBQ720970 ILF720970:ILM720970 IVB720970:IVI720970 JEX720970:JFE720970 JOT720970:JPA720970 JYP720970:JYW720970 KIL720970:KIS720970 KSH720970:KSO720970 LCD720970:LCK720970 LLZ720970:LMG720970 LVV720970:LWC720970 MFR720970:MFY720970 MPN720970:MPU720970 MZJ720970:MZQ720970 NJF720970:NJM720970 NTB720970:NTI720970 OCX720970:ODE720970 OMT720970:ONA720970 OWP720970:OWW720970 PGL720970:PGS720970 PQH720970:PQO720970 QAD720970:QAK720970 QJZ720970:QKG720970 QTV720970:QUC720970 RDR720970:RDY720970 RNN720970:RNU720970 RXJ720970:RXQ720970 SHF720970:SHM720970 SRB720970:SRI720970 TAX720970:TBE720970 TKT720970:TLA720970 TUP720970:TUW720970 UEL720970:UES720970 UOH720970:UOO720970 UYD720970:UYK720970 VHZ720970:VIG720970 VRV720970:VSC720970 WBR720970:WBY720970 WLN720970:WLU720970 WVJ720970:WVQ720970 B786506:I786506 IX786506:JE786506 ST786506:TA786506 ACP786506:ACW786506 AML786506:AMS786506 AWH786506:AWO786506 BGD786506:BGK786506 BPZ786506:BQG786506 BZV786506:CAC786506 CJR786506:CJY786506 CTN786506:CTU786506 DDJ786506:DDQ786506 DNF786506:DNM786506 DXB786506:DXI786506 EGX786506:EHE786506 EQT786506:ERA786506 FAP786506:FAW786506 FKL786506:FKS786506 FUH786506:FUO786506 GED786506:GEK786506 GNZ786506:GOG786506 GXV786506:GYC786506 HHR786506:HHY786506 HRN786506:HRU786506 IBJ786506:IBQ786506 ILF786506:ILM786506 IVB786506:IVI786506 JEX786506:JFE786506 JOT786506:JPA786506 JYP786506:JYW786506 KIL786506:KIS786506 KSH786506:KSO786506 LCD786506:LCK786506 LLZ786506:LMG786506 LVV786506:LWC786506 MFR786506:MFY786506 MPN786506:MPU786506 MZJ786506:MZQ786506 NJF786506:NJM786506 NTB786506:NTI786506 OCX786506:ODE786506 OMT786506:ONA786506 OWP786506:OWW786506 PGL786506:PGS786506 PQH786506:PQO786506 QAD786506:QAK786506 QJZ786506:QKG786506 QTV786506:QUC786506 RDR786506:RDY786506 RNN786506:RNU786506 RXJ786506:RXQ786506 SHF786506:SHM786506 SRB786506:SRI786506 TAX786506:TBE786506 TKT786506:TLA786506 TUP786506:TUW786506 UEL786506:UES786506 UOH786506:UOO786506 UYD786506:UYK786506 VHZ786506:VIG786506 VRV786506:VSC786506 WBR786506:WBY786506 WLN786506:WLU786506 WVJ786506:WVQ786506 B852042:I852042 IX852042:JE852042 ST852042:TA852042 ACP852042:ACW852042 AML852042:AMS852042 AWH852042:AWO852042 BGD852042:BGK852042 BPZ852042:BQG852042 BZV852042:CAC852042 CJR852042:CJY852042 CTN852042:CTU852042 DDJ852042:DDQ852042 DNF852042:DNM852042 DXB852042:DXI852042 EGX852042:EHE852042 EQT852042:ERA852042 FAP852042:FAW852042 FKL852042:FKS852042 FUH852042:FUO852042 GED852042:GEK852042 GNZ852042:GOG852042 GXV852042:GYC852042 HHR852042:HHY852042 HRN852042:HRU852042 IBJ852042:IBQ852042 ILF852042:ILM852042 IVB852042:IVI852042 JEX852042:JFE852042 JOT852042:JPA852042 JYP852042:JYW852042 KIL852042:KIS852042 KSH852042:KSO852042 LCD852042:LCK852042 LLZ852042:LMG852042 LVV852042:LWC852042 MFR852042:MFY852042 MPN852042:MPU852042 MZJ852042:MZQ852042 NJF852042:NJM852042 NTB852042:NTI852042 OCX852042:ODE852042 OMT852042:ONA852042 OWP852042:OWW852042 PGL852042:PGS852042 PQH852042:PQO852042 QAD852042:QAK852042 QJZ852042:QKG852042 QTV852042:QUC852042 RDR852042:RDY852042 RNN852042:RNU852042 RXJ852042:RXQ852042 SHF852042:SHM852042 SRB852042:SRI852042 TAX852042:TBE852042 TKT852042:TLA852042 TUP852042:TUW852042 UEL852042:UES852042 UOH852042:UOO852042 UYD852042:UYK852042 VHZ852042:VIG852042 VRV852042:VSC852042 WBR852042:WBY852042 WLN852042:WLU852042 WVJ852042:WVQ852042 B917578:I917578 IX917578:JE917578 ST917578:TA917578 ACP917578:ACW917578 AML917578:AMS917578 AWH917578:AWO917578 BGD917578:BGK917578 BPZ917578:BQG917578 BZV917578:CAC917578 CJR917578:CJY917578 CTN917578:CTU917578 DDJ917578:DDQ917578 DNF917578:DNM917578 DXB917578:DXI917578 EGX917578:EHE917578 EQT917578:ERA917578 FAP917578:FAW917578 FKL917578:FKS917578 FUH917578:FUO917578 GED917578:GEK917578 GNZ917578:GOG917578 GXV917578:GYC917578 HHR917578:HHY917578 HRN917578:HRU917578 IBJ917578:IBQ917578 ILF917578:ILM917578 IVB917578:IVI917578 JEX917578:JFE917578 JOT917578:JPA917578 JYP917578:JYW917578 KIL917578:KIS917578 KSH917578:KSO917578 LCD917578:LCK917578 LLZ917578:LMG917578 LVV917578:LWC917578 MFR917578:MFY917578 MPN917578:MPU917578 MZJ917578:MZQ917578 NJF917578:NJM917578 NTB917578:NTI917578 OCX917578:ODE917578 OMT917578:ONA917578 OWP917578:OWW917578 PGL917578:PGS917578 PQH917578:PQO917578 QAD917578:QAK917578 QJZ917578:QKG917578 QTV917578:QUC917578 RDR917578:RDY917578 RNN917578:RNU917578 RXJ917578:RXQ917578 SHF917578:SHM917578 SRB917578:SRI917578 TAX917578:TBE917578 TKT917578:TLA917578 TUP917578:TUW917578 UEL917578:UES917578 UOH917578:UOO917578 UYD917578:UYK917578 VHZ917578:VIG917578 VRV917578:VSC917578 WBR917578:WBY917578 WLN917578:WLU917578 WVJ917578:WVQ917578 B983114:I983114 IX983114:JE983114 ST983114:TA983114 ACP983114:ACW983114 AML983114:AMS983114 AWH983114:AWO983114 BGD983114:BGK983114 BPZ983114:BQG983114 BZV983114:CAC983114 CJR983114:CJY983114 CTN983114:CTU983114 DDJ983114:DDQ983114 DNF983114:DNM983114 DXB983114:DXI983114 EGX983114:EHE983114 EQT983114:ERA983114 FAP983114:FAW983114 FKL983114:FKS983114 FUH983114:FUO983114 GED983114:GEK983114 GNZ983114:GOG983114 GXV983114:GYC983114 HHR983114:HHY983114 HRN983114:HRU983114 IBJ983114:IBQ983114 ILF983114:ILM983114 IVB983114:IVI983114 JEX983114:JFE983114 JOT983114:JPA983114 JYP983114:JYW983114 KIL983114:KIS983114 KSH983114:KSO983114 LCD983114:LCK983114 LLZ983114:LMG983114 LVV983114:LWC983114 MFR983114:MFY983114 MPN983114:MPU983114 MZJ983114:MZQ983114 NJF983114:NJM983114 NTB983114:NTI983114 OCX983114:ODE983114 OMT983114:ONA983114 OWP983114:OWW983114 PGL983114:PGS983114 PQH983114:PQO983114 QAD983114:QAK983114 QJZ983114:QKG983114 QTV983114:QUC983114 RDR983114:RDY983114 RNN983114:RNU983114 RXJ983114:RXQ983114 SHF983114:SHM983114 SRB983114:SRI983114 TAX983114:TBE983114 TKT983114:TLA983114 TUP983114:TUW983114 UEL983114:UES983114 UOH983114:UOO983114 UYD983114:UYK983114 VHZ983114:VIG983114 VRV983114:VSC983114 WBR983114:WBY983114 WLN983114:WLU983114 B49:I49">
      <formula1>Site_name_list</formula1>
    </dataValidation>
    <dataValidation type="custom" allowBlank="1" showInputMessage="1" showErrorMessage="1" sqref="B21:I21 IX21:JE21 ST21:TA21 ACP21:ACW21 AML21:AMS21 AWH21:AWO21 BGD21:BGK21 BPZ21:BQG21 BZV21:CAC21 CJR21:CJY21 CTN21:CTU21 DDJ21:DDQ21 DNF21:DNM21 DXB21:DXI21 EGX21:EHE21 EQT21:ERA21 FAP21:FAW21 FKL21:FKS21 FUH21:FUO21 GED21:GEK21 GNZ21:GOG21 GXV21:GYC21 HHR21:HHY21 HRN21:HRU21 IBJ21:IBQ21 ILF21:ILM21 IVB21:IVI21 JEX21:JFE21 JOT21:JPA21 JYP21:JYW21 KIL21:KIS21 KSH21:KSO21 LCD21:LCK21 LLZ21:LMG21 LVV21:LWC21 MFR21:MFY21 MPN21:MPU21 MZJ21:MZQ21 NJF21:NJM21 NTB21:NTI21 OCX21:ODE21 OMT21:ONA21 OWP21:OWW21 PGL21:PGS21 PQH21:PQO21 QAD21:QAK21 QJZ21:QKG21 QTV21:QUC21 RDR21:RDY21 RNN21:RNU21 RXJ21:RXQ21 SHF21:SHM21 SRB21:SRI21 TAX21:TBE21 TKT21:TLA21 TUP21:TUW21 UEL21:UES21 UOH21:UOO21 UYD21:UYK21 VHZ21:VIG21 VRV21:VSC21 WBR21:WBY21 WLN21:WLU21 WVJ21:WVQ21 B65582:I65582 IX65582:JE65582 ST65582:TA65582 ACP65582:ACW65582 AML65582:AMS65582 AWH65582:AWO65582 BGD65582:BGK65582 BPZ65582:BQG65582 BZV65582:CAC65582 CJR65582:CJY65582 CTN65582:CTU65582 DDJ65582:DDQ65582 DNF65582:DNM65582 DXB65582:DXI65582 EGX65582:EHE65582 EQT65582:ERA65582 FAP65582:FAW65582 FKL65582:FKS65582 FUH65582:FUO65582 GED65582:GEK65582 GNZ65582:GOG65582 GXV65582:GYC65582 HHR65582:HHY65582 HRN65582:HRU65582 IBJ65582:IBQ65582 ILF65582:ILM65582 IVB65582:IVI65582 JEX65582:JFE65582 JOT65582:JPA65582 JYP65582:JYW65582 KIL65582:KIS65582 KSH65582:KSO65582 LCD65582:LCK65582 LLZ65582:LMG65582 LVV65582:LWC65582 MFR65582:MFY65582 MPN65582:MPU65582 MZJ65582:MZQ65582 NJF65582:NJM65582 NTB65582:NTI65582 OCX65582:ODE65582 OMT65582:ONA65582 OWP65582:OWW65582 PGL65582:PGS65582 PQH65582:PQO65582 QAD65582:QAK65582 QJZ65582:QKG65582 QTV65582:QUC65582 RDR65582:RDY65582 RNN65582:RNU65582 RXJ65582:RXQ65582 SHF65582:SHM65582 SRB65582:SRI65582 TAX65582:TBE65582 TKT65582:TLA65582 TUP65582:TUW65582 UEL65582:UES65582 UOH65582:UOO65582 UYD65582:UYK65582 VHZ65582:VIG65582 VRV65582:VSC65582 WBR65582:WBY65582 WLN65582:WLU65582 WVJ65582:WVQ65582 B131118:I131118 IX131118:JE131118 ST131118:TA131118 ACP131118:ACW131118 AML131118:AMS131118 AWH131118:AWO131118 BGD131118:BGK131118 BPZ131118:BQG131118 BZV131118:CAC131118 CJR131118:CJY131118 CTN131118:CTU131118 DDJ131118:DDQ131118 DNF131118:DNM131118 DXB131118:DXI131118 EGX131118:EHE131118 EQT131118:ERA131118 FAP131118:FAW131118 FKL131118:FKS131118 FUH131118:FUO131118 GED131118:GEK131118 GNZ131118:GOG131118 GXV131118:GYC131118 HHR131118:HHY131118 HRN131118:HRU131118 IBJ131118:IBQ131118 ILF131118:ILM131118 IVB131118:IVI131118 JEX131118:JFE131118 JOT131118:JPA131118 JYP131118:JYW131118 KIL131118:KIS131118 KSH131118:KSO131118 LCD131118:LCK131118 LLZ131118:LMG131118 LVV131118:LWC131118 MFR131118:MFY131118 MPN131118:MPU131118 MZJ131118:MZQ131118 NJF131118:NJM131118 NTB131118:NTI131118 OCX131118:ODE131118 OMT131118:ONA131118 OWP131118:OWW131118 PGL131118:PGS131118 PQH131118:PQO131118 QAD131118:QAK131118 QJZ131118:QKG131118 QTV131118:QUC131118 RDR131118:RDY131118 RNN131118:RNU131118 RXJ131118:RXQ131118 SHF131118:SHM131118 SRB131118:SRI131118 TAX131118:TBE131118 TKT131118:TLA131118 TUP131118:TUW131118 UEL131118:UES131118 UOH131118:UOO131118 UYD131118:UYK131118 VHZ131118:VIG131118 VRV131118:VSC131118 WBR131118:WBY131118 WLN131118:WLU131118 WVJ131118:WVQ131118 B196654:I196654 IX196654:JE196654 ST196654:TA196654 ACP196654:ACW196654 AML196654:AMS196654 AWH196654:AWO196654 BGD196654:BGK196654 BPZ196654:BQG196654 BZV196654:CAC196654 CJR196654:CJY196654 CTN196654:CTU196654 DDJ196654:DDQ196654 DNF196654:DNM196654 DXB196654:DXI196654 EGX196654:EHE196654 EQT196654:ERA196654 FAP196654:FAW196654 FKL196654:FKS196654 FUH196654:FUO196654 GED196654:GEK196654 GNZ196654:GOG196654 GXV196654:GYC196654 HHR196654:HHY196654 HRN196654:HRU196654 IBJ196654:IBQ196654 ILF196654:ILM196654 IVB196654:IVI196654 JEX196654:JFE196654 JOT196654:JPA196654 JYP196654:JYW196654 KIL196654:KIS196654 KSH196654:KSO196654 LCD196654:LCK196654 LLZ196654:LMG196654 LVV196654:LWC196654 MFR196654:MFY196654 MPN196654:MPU196654 MZJ196654:MZQ196654 NJF196654:NJM196654 NTB196654:NTI196654 OCX196654:ODE196654 OMT196654:ONA196654 OWP196654:OWW196654 PGL196654:PGS196654 PQH196654:PQO196654 QAD196654:QAK196654 QJZ196654:QKG196654 QTV196654:QUC196654 RDR196654:RDY196654 RNN196654:RNU196654 RXJ196654:RXQ196654 SHF196654:SHM196654 SRB196654:SRI196654 TAX196654:TBE196654 TKT196654:TLA196654 TUP196654:TUW196654 UEL196654:UES196654 UOH196654:UOO196654 UYD196654:UYK196654 VHZ196654:VIG196654 VRV196654:VSC196654 WBR196654:WBY196654 WLN196654:WLU196654 WVJ196654:WVQ196654 B262190:I262190 IX262190:JE262190 ST262190:TA262190 ACP262190:ACW262190 AML262190:AMS262190 AWH262190:AWO262190 BGD262190:BGK262190 BPZ262190:BQG262190 BZV262190:CAC262190 CJR262190:CJY262190 CTN262190:CTU262190 DDJ262190:DDQ262190 DNF262190:DNM262190 DXB262190:DXI262190 EGX262190:EHE262190 EQT262190:ERA262190 FAP262190:FAW262190 FKL262190:FKS262190 FUH262190:FUO262190 GED262190:GEK262190 GNZ262190:GOG262190 GXV262190:GYC262190 HHR262190:HHY262190 HRN262190:HRU262190 IBJ262190:IBQ262190 ILF262190:ILM262190 IVB262190:IVI262190 JEX262190:JFE262190 JOT262190:JPA262190 JYP262190:JYW262190 KIL262190:KIS262190 KSH262190:KSO262190 LCD262190:LCK262190 LLZ262190:LMG262190 LVV262190:LWC262190 MFR262190:MFY262190 MPN262190:MPU262190 MZJ262190:MZQ262190 NJF262190:NJM262190 NTB262190:NTI262190 OCX262190:ODE262190 OMT262190:ONA262190 OWP262190:OWW262190 PGL262190:PGS262190 PQH262190:PQO262190 QAD262190:QAK262190 QJZ262190:QKG262190 QTV262190:QUC262190 RDR262190:RDY262190 RNN262190:RNU262190 RXJ262190:RXQ262190 SHF262190:SHM262190 SRB262190:SRI262190 TAX262190:TBE262190 TKT262190:TLA262190 TUP262190:TUW262190 UEL262190:UES262190 UOH262190:UOO262190 UYD262190:UYK262190 VHZ262190:VIG262190 VRV262190:VSC262190 WBR262190:WBY262190 WLN262190:WLU262190 WVJ262190:WVQ262190 B327726:I327726 IX327726:JE327726 ST327726:TA327726 ACP327726:ACW327726 AML327726:AMS327726 AWH327726:AWO327726 BGD327726:BGK327726 BPZ327726:BQG327726 BZV327726:CAC327726 CJR327726:CJY327726 CTN327726:CTU327726 DDJ327726:DDQ327726 DNF327726:DNM327726 DXB327726:DXI327726 EGX327726:EHE327726 EQT327726:ERA327726 FAP327726:FAW327726 FKL327726:FKS327726 FUH327726:FUO327726 GED327726:GEK327726 GNZ327726:GOG327726 GXV327726:GYC327726 HHR327726:HHY327726 HRN327726:HRU327726 IBJ327726:IBQ327726 ILF327726:ILM327726 IVB327726:IVI327726 JEX327726:JFE327726 JOT327726:JPA327726 JYP327726:JYW327726 KIL327726:KIS327726 KSH327726:KSO327726 LCD327726:LCK327726 LLZ327726:LMG327726 LVV327726:LWC327726 MFR327726:MFY327726 MPN327726:MPU327726 MZJ327726:MZQ327726 NJF327726:NJM327726 NTB327726:NTI327726 OCX327726:ODE327726 OMT327726:ONA327726 OWP327726:OWW327726 PGL327726:PGS327726 PQH327726:PQO327726 QAD327726:QAK327726 QJZ327726:QKG327726 QTV327726:QUC327726 RDR327726:RDY327726 RNN327726:RNU327726 RXJ327726:RXQ327726 SHF327726:SHM327726 SRB327726:SRI327726 TAX327726:TBE327726 TKT327726:TLA327726 TUP327726:TUW327726 UEL327726:UES327726 UOH327726:UOO327726 UYD327726:UYK327726 VHZ327726:VIG327726 VRV327726:VSC327726 WBR327726:WBY327726 WLN327726:WLU327726 WVJ327726:WVQ327726 B393262:I393262 IX393262:JE393262 ST393262:TA393262 ACP393262:ACW393262 AML393262:AMS393262 AWH393262:AWO393262 BGD393262:BGK393262 BPZ393262:BQG393262 BZV393262:CAC393262 CJR393262:CJY393262 CTN393262:CTU393262 DDJ393262:DDQ393262 DNF393262:DNM393262 DXB393262:DXI393262 EGX393262:EHE393262 EQT393262:ERA393262 FAP393262:FAW393262 FKL393262:FKS393262 FUH393262:FUO393262 GED393262:GEK393262 GNZ393262:GOG393262 GXV393262:GYC393262 HHR393262:HHY393262 HRN393262:HRU393262 IBJ393262:IBQ393262 ILF393262:ILM393262 IVB393262:IVI393262 JEX393262:JFE393262 JOT393262:JPA393262 JYP393262:JYW393262 KIL393262:KIS393262 KSH393262:KSO393262 LCD393262:LCK393262 LLZ393262:LMG393262 LVV393262:LWC393262 MFR393262:MFY393262 MPN393262:MPU393262 MZJ393262:MZQ393262 NJF393262:NJM393262 NTB393262:NTI393262 OCX393262:ODE393262 OMT393262:ONA393262 OWP393262:OWW393262 PGL393262:PGS393262 PQH393262:PQO393262 QAD393262:QAK393262 QJZ393262:QKG393262 QTV393262:QUC393262 RDR393262:RDY393262 RNN393262:RNU393262 RXJ393262:RXQ393262 SHF393262:SHM393262 SRB393262:SRI393262 TAX393262:TBE393262 TKT393262:TLA393262 TUP393262:TUW393262 UEL393262:UES393262 UOH393262:UOO393262 UYD393262:UYK393262 VHZ393262:VIG393262 VRV393262:VSC393262 WBR393262:WBY393262 WLN393262:WLU393262 WVJ393262:WVQ393262 B458798:I458798 IX458798:JE458798 ST458798:TA458798 ACP458798:ACW458798 AML458798:AMS458798 AWH458798:AWO458798 BGD458798:BGK458798 BPZ458798:BQG458798 BZV458798:CAC458798 CJR458798:CJY458798 CTN458798:CTU458798 DDJ458798:DDQ458798 DNF458798:DNM458798 DXB458798:DXI458798 EGX458798:EHE458798 EQT458798:ERA458798 FAP458798:FAW458798 FKL458798:FKS458798 FUH458798:FUO458798 GED458798:GEK458798 GNZ458798:GOG458798 GXV458798:GYC458798 HHR458798:HHY458798 HRN458798:HRU458798 IBJ458798:IBQ458798 ILF458798:ILM458798 IVB458798:IVI458798 JEX458798:JFE458798 JOT458798:JPA458798 JYP458798:JYW458798 KIL458798:KIS458798 KSH458798:KSO458798 LCD458798:LCK458798 LLZ458798:LMG458798 LVV458798:LWC458798 MFR458798:MFY458798 MPN458798:MPU458798 MZJ458798:MZQ458798 NJF458798:NJM458798 NTB458798:NTI458798 OCX458798:ODE458798 OMT458798:ONA458798 OWP458798:OWW458798 PGL458798:PGS458798 PQH458798:PQO458798 QAD458798:QAK458798 QJZ458798:QKG458798 QTV458798:QUC458798 RDR458798:RDY458798 RNN458798:RNU458798 RXJ458798:RXQ458798 SHF458798:SHM458798 SRB458798:SRI458798 TAX458798:TBE458798 TKT458798:TLA458798 TUP458798:TUW458798 UEL458798:UES458798 UOH458798:UOO458798 UYD458798:UYK458798 VHZ458798:VIG458798 VRV458798:VSC458798 WBR458798:WBY458798 WLN458798:WLU458798 WVJ458798:WVQ458798 B524334:I524334 IX524334:JE524334 ST524334:TA524334 ACP524334:ACW524334 AML524334:AMS524334 AWH524334:AWO524334 BGD524334:BGK524334 BPZ524334:BQG524334 BZV524334:CAC524334 CJR524334:CJY524334 CTN524334:CTU524334 DDJ524334:DDQ524334 DNF524334:DNM524334 DXB524334:DXI524334 EGX524334:EHE524334 EQT524334:ERA524334 FAP524334:FAW524334 FKL524334:FKS524334 FUH524334:FUO524334 GED524334:GEK524334 GNZ524334:GOG524334 GXV524334:GYC524334 HHR524334:HHY524334 HRN524334:HRU524334 IBJ524334:IBQ524334 ILF524334:ILM524334 IVB524334:IVI524334 JEX524334:JFE524334 JOT524334:JPA524334 JYP524334:JYW524334 KIL524334:KIS524334 KSH524334:KSO524334 LCD524334:LCK524334 LLZ524334:LMG524334 LVV524334:LWC524334 MFR524334:MFY524334 MPN524334:MPU524334 MZJ524334:MZQ524334 NJF524334:NJM524334 NTB524334:NTI524334 OCX524334:ODE524334 OMT524334:ONA524334 OWP524334:OWW524334 PGL524334:PGS524334 PQH524334:PQO524334 QAD524334:QAK524334 QJZ524334:QKG524334 QTV524334:QUC524334 RDR524334:RDY524334 RNN524334:RNU524334 RXJ524334:RXQ524334 SHF524334:SHM524334 SRB524334:SRI524334 TAX524334:TBE524334 TKT524334:TLA524334 TUP524334:TUW524334 UEL524334:UES524334 UOH524334:UOO524334 UYD524334:UYK524334 VHZ524334:VIG524334 VRV524334:VSC524334 WBR524334:WBY524334 WLN524334:WLU524334 WVJ524334:WVQ524334 B589870:I589870 IX589870:JE589870 ST589870:TA589870 ACP589870:ACW589870 AML589870:AMS589870 AWH589870:AWO589870 BGD589870:BGK589870 BPZ589870:BQG589870 BZV589870:CAC589870 CJR589870:CJY589870 CTN589870:CTU589870 DDJ589870:DDQ589870 DNF589870:DNM589870 DXB589870:DXI589870 EGX589870:EHE589870 EQT589870:ERA589870 FAP589870:FAW589870 FKL589870:FKS589870 FUH589870:FUO589870 GED589870:GEK589870 GNZ589870:GOG589870 GXV589870:GYC589870 HHR589870:HHY589870 HRN589870:HRU589870 IBJ589870:IBQ589870 ILF589870:ILM589870 IVB589870:IVI589870 JEX589870:JFE589870 JOT589870:JPA589870 JYP589870:JYW589870 KIL589870:KIS589870 KSH589870:KSO589870 LCD589870:LCK589870 LLZ589870:LMG589870 LVV589870:LWC589870 MFR589870:MFY589870 MPN589870:MPU589870 MZJ589870:MZQ589870 NJF589870:NJM589870 NTB589870:NTI589870 OCX589870:ODE589870 OMT589870:ONA589870 OWP589870:OWW589870 PGL589870:PGS589870 PQH589870:PQO589870 QAD589870:QAK589870 QJZ589870:QKG589870 QTV589870:QUC589870 RDR589870:RDY589870 RNN589870:RNU589870 RXJ589870:RXQ589870 SHF589870:SHM589870 SRB589870:SRI589870 TAX589870:TBE589870 TKT589870:TLA589870 TUP589870:TUW589870 UEL589870:UES589870 UOH589870:UOO589870 UYD589870:UYK589870 VHZ589870:VIG589870 VRV589870:VSC589870 WBR589870:WBY589870 WLN589870:WLU589870 WVJ589870:WVQ589870 B655406:I655406 IX655406:JE655406 ST655406:TA655406 ACP655406:ACW655406 AML655406:AMS655406 AWH655406:AWO655406 BGD655406:BGK655406 BPZ655406:BQG655406 BZV655406:CAC655406 CJR655406:CJY655406 CTN655406:CTU655406 DDJ655406:DDQ655406 DNF655406:DNM655406 DXB655406:DXI655406 EGX655406:EHE655406 EQT655406:ERA655406 FAP655406:FAW655406 FKL655406:FKS655406 FUH655406:FUO655406 GED655406:GEK655406 GNZ655406:GOG655406 GXV655406:GYC655406 HHR655406:HHY655406 HRN655406:HRU655406 IBJ655406:IBQ655406 ILF655406:ILM655406 IVB655406:IVI655406 JEX655406:JFE655406 JOT655406:JPA655406 JYP655406:JYW655406 KIL655406:KIS655406 KSH655406:KSO655406 LCD655406:LCK655406 LLZ655406:LMG655406 LVV655406:LWC655406 MFR655406:MFY655406 MPN655406:MPU655406 MZJ655406:MZQ655406 NJF655406:NJM655406 NTB655406:NTI655406 OCX655406:ODE655406 OMT655406:ONA655406 OWP655406:OWW655406 PGL655406:PGS655406 PQH655406:PQO655406 QAD655406:QAK655406 QJZ655406:QKG655406 QTV655406:QUC655406 RDR655406:RDY655406 RNN655406:RNU655406 RXJ655406:RXQ655406 SHF655406:SHM655406 SRB655406:SRI655406 TAX655406:TBE655406 TKT655406:TLA655406 TUP655406:TUW655406 UEL655406:UES655406 UOH655406:UOO655406 UYD655406:UYK655406 VHZ655406:VIG655406 VRV655406:VSC655406 WBR655406:WBY655406 WLN655406:WLU655406 WVJ655406:WVQ655406 B720942:I720942 IX720942:JE720942 ST720942:TA720942 ACP720942:ACW720942 AML720942:AMS720942 AWH720942:AWO720942 BGD720942:BGK720942 BPZ720942:BQG720942 BZV720942:CAC720942 CJR720942:CJY720942 CTN720942:CTU720942 DDJ720942:DDQ720942 DNF720942:DNM720942 DXB720942:DXI720942 EGX720942:EHE720942 EQT720942:ERA720942 FAP720942:FAW720942 FKL720942:FKS720942 FUH720942:FUO720942 GED720942:GEK720942 GNZ720942:GOG720942 GXV720942:GYC720942 HHR720942:HHY720942 HRN720942:HRU720942 IBJ720942:IBQ720942 ILF720942:ILM720942 IVB720942:IVI720942 JEX720942:JFE720942 JOT720942:JPA720942 JYP720942:JYW720942 KIL720942:KIS720942 KSH720942:KSO720942 LCD720942:LCK720942 LLZ720942:LMG720942 LVV720942:LWC720942 MFR720942:MFY720942 MPN720942:MPU720942 MZJ720942:MZQ720942 NJF720942:NJM720942 NTB720942:NTI720942 OCX720942:ODE720942 OMT720942:ONA720942 OWP720942:OWW720942 PGL720942:PGS720942 PQH720942:PQO720942 QAD720942:QAK720942 QJZ720942:QKG720942 QTV720942:QUC720942 RDR720942:RDY720942 RNN720942:RNU720942 RXJ720942:RXQ720942 SHF720942:SHM720942 SRB720942:SRI720942 TAX720942:TBE720942 TKT720942:TLA720942 TUP720942:TUW720942 UEL720942:UES720942 UOH720942:UOO720942 UYD720942:UYK720942 VHZ720942:VIG720942 VRV720942:VSC720942 WBR720942:WBY720942 WLN720942:WLU720942 WVJ720942:WVQ720942 B786478:I786478 IX786478:JE786478 ST786478:TA786478 ACP786478:ACW786478 AML786478:AMS786478 AWH786478:AWO786478 BGD786478:BGK786478 BPZ786478:BQG786478 BZV786478:CAC786478 CJR786478:CJY786478 CTN786478:CTU786478 DDJ786478:DDQ786478 DNF786478:DNM786478 DXB786478:DXI786478 EGX786478:EHE786478 EQT786478:ERA786478 FAP786478:FAW786478 FKL786478:FKS786478 FUH786478:FUO786478 GED786478:GEK786478 GNZ786478:GOG786478 GXV786478:GYC786478 HHR786478:HHY786478 HRN786478:HRU786478 IBJ786478:IBQ786478 ILF786478:ILM786478 IVB786478:IVI786478 JEX786478:JFE786478 JOT786478:JPA786478 JYP786478:JYW786478 KIL786478:KIS786478 KSH786478:KSO786478 LCD786478:LCK786478 LLZ786478:LMG786478 LVV786478:LWC786478 MFR786478:MFY786478 MPN786478:MPU786478 MZJ786478:MZQ786478 NJF786478:NJM786478 NTB786478:NTI786478 OCX786478:ODE786478 OMT786478:ONA786478 OWP786478:OWW786478 PGL786478:PGS786478 PQH786478:PQO786478 QAD786478:QAK786478 QJZ786478:QKG786478 QTV786478:QUC786478 RDR786478:RDY786478 RNN786478:RNU786478 RXJ786478:RXQ786478 SHF786478:SHM786478 SRB786478:SRI786478 TAX786478:TBE786478 TKT786478:TLA786478 TUP786478:TUW786478 UEL786478:UES786478 UOH786478:UOO786478 UYD786478:UYK786478 VHZ786478:VIG786478 VRV786478:VSC786478 WBR786478:WBY786478 WLN786478:WLU786478 WVJ786478:WVQ786478 B852014:I852014 IX852014:JE852014 ST852014:TA852014 ACP852014:ACW852014 AML852014:AMS852014 AWH852014:AWO852014 BGD852014:BGK852014 BPZ852014:BQG852014 BZV852014:CAC852014 CJR852014:CJY852014 CTN852014:CTU852014 DDJ852014:DDQ852014 DNF852014:DNM852014 DXB852014:DXI852014 EGX852014:EHE852014 EQT852014:ERA852014 FAP852014:FAW852014 FKL852014:FKS852014 FUH852014:FUO852014 GED852014:GEK852014 GNZ852014:GOG852014 GXV852014:GYC852014 HHR852014:HHY852014 HRN852014:HRU852014 IBJ852014:IBQ852014 ILF852014:ILM852014 IVB852014:IVI852014 JEX852014:JFE852014 JOT852014:JPA852014 JYP852014:JYW852014 KIL852014:KIS852014 KSH852014:KSO852014 LCD852014:LCK852014 LLZ852014:LMG852014 LVV852014:LWC852014 MFR852014:MFY852014 MPN852014:MPU852014 MZJ852014:MZQ852014 NJF852014:NJM852014 NTB852014:NTI852014 OCX852014:ODE852014 OMT852014:ONA852014 OWP852014:OWW852014 PGL852014:PGS852014 PQH852014:PQO852014 QAD852014:QAK852014 QJZ852014:QKG852014 QTV852014:QUC852014 RDR852014:RDY852014 RNN852014:RNU852014 RXJ852014:RXQ852014 SHF852014:SHM852014 SRB852014:SRI852014 TAX852014:TBE852014 TKT852014:TLA852014 TUP852014:TUW852014 UEL852014:UES852014 UOH852014:UOO852014 UYD852014:UYK852014 VHZ852014:VIG852014 VRV852014:VSC852014 WBR852014:WBY852014 WLN852014:WLU852014 WVJ852014:WVQ852014 B917550:I917550 IX917550:JE917550 ST917550:TA917550 ACP917550:ACW917550 AML917550:AMS917550 AWH917550:AWO917550 BGD917550:BGK917550 BPZ917550:BQG917550 BZV917550:CAC917550 CJR917550:CJY917550 CTN917550:CTU917550 DDJ917550:DDQ917550 DNF917550:DNM917550 DXB917550:DXI917550 EGX917550:EHE917550 EQT917550:ERA917550 FAP917550:FAW917550 FKL917550:FKS917550 FUH917550:FUO917550 GED917550:GEK917550 GNZ917550:GOG917550 GXV917550:GYC917550 HHR917550:HHY917550 HRN917550:HRU917550 IBJ917550:IBQ917550 ILF917550:ILM917550 IVB917550:IVI917550 JEX917550:JFE917550 JOT917550:JPA917550 JYP917550:JYW917550 KIL917550:KIS917550 KSH917550:KSO917550 LCD917550:LCK917550 LLZ917550:LMG917550 LVV917550:LWC917550 MFR917550:MFY917550 MPN917550:MPU917550 MZJ917550:MZQ917550 NJF917550:NJM917550 NTB917550:NTI917550 OCX917550:ODE917550 OMT917550:ONA917550 OWP917550:OWW917550 PGL917550:PGS917550 PQH917550:PQO917550 QAD917550:QAK917550 QJZ917550:QKG917550 QTV917550:QUC917550 RDR917550:RDY917550 RNN917550:RNU917550 RXJ917550:RXQ917550 SHF917550:SHM917550 SRB917550:SRI917550 TAX917550:TBE917550 TKT917550:TLA917550 TUP917550:TUW917550 UEL917550:UES917550 UOH917550:UOO917550 UYD917550:UYK917550 VHZ917550:VIG917550 VRV917550:VSC917550 WBR917550:WBY917550 WLN917550:WLU917550 WVJ917550:WVQ917550 B983086:I983086 IX983086:JE983086 ST983086:TA983086 ACP983086:ACW983086 AML983086:AMS983086 AWH983086:AWO983086 BGD983086:BGK983086 BPZ983086:BQG983086 BZV983086:CAC983086 CJR983086:CJY983086 CTN983086:CTU983086 DDJ983086:DDQ983086 DNF983086:DNM983086 DXB983086:DXI983086 EGX983086:EHE983086 EQT983086:ERA983086 FAP983086:FAW983086 FKL983086:FKS983086 FUH983086:FUO983086 GED983086:GEK983086 GNZ983086:GOG983086 GXV983086:GYC983086 HHR983086:HHY983086 HRN983086:HRU983086 IBJ983086:IBQ983086 ILF983086:ILM983086 IVB983086:IVI983086 JEX983086:JFE983086 JOT983086:JPA983086 JYP983086:JYW983086 KIL983086:KIS983086 KSH983086:KSO983086 LCD983086:LCK983086 LLZ983086:LMG983086 LVV983086:LWC983086 MFR983086:MFY983086 MPN983086:MPU983086 MZJ983086:MZQ983086 NJF983086:NJM983086 NTB983086:NTI983086 OCX983086:ODE983086 OMT983086:ONA983086 OWP983086:OWW983086 PGL983086:PGS983086 PQH983086:PQO983086 QAD983086:QAK983086 QJZ983086:QKG983086 QTV983086:QUC983086 RDR983086:RDY983086 RNN983086:RNU983086 RXJ983086:RXQ983086 SHF983086:SHM983086 SRB983086:SRI983086 TAX983086:TBE983086 TKT983086:TLA983086 TUP983086:TUW983086 UEL983086:UES983086 UOH983086:UOO983086 UYD983086:UYK983086 VHZ983086:VIG983086 VRV983086:VSC983086 WBR983086:WBY983086 WLN983086:WLU983086 WVJ983086:WVQ983086">
      <formula1>NOT(ISERR(AND(FIND(".",B21),FIND("@",B21))))</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20:I20 IX20:JE20 ST20:TA20 ACP20:ACW20 AML20:AMS20 AWH20:AWO20 BGD20:BGK20 BPZ20:BQG20 BZV20:CAC20 CJR20:CJY20 CTN20:CTU20 DDJ20:DDQ20 DNF20:DNM20 DXB20:DXI20 EGX20:EHE20 EQT20:ERA20 FAP20:FAW20 FKL20:FKS20 FUH20:FUO20 GED20:GEK20 GNZ20:GOG20 GXV20:GYC20 HHR20:HHY20 HRN20:HRU20 IBJ20:IBQ20 ILF20:ILM20 IVB20:IVI20 JEX20:JFE20 JOT20:JPA20 JYP20:JYW20 KIL20:KIS20 KSH20:KSO20 LCD20:LCK20 LLZ20:LMG20 LVV20:LWC20 MFR20:MFY20 MPN20:MPU20 MZJ20:MZQ20 NJF20:NJM20 NTB20:NTI20 OCX20:ODE20 OMT20:ONA20 OWP20:OWW20 PGL20:PGS20 PQH20:PQO20 QAD20:QAK20 QJZ20:QKG20 QTV20:QUC20 RDR20:RDY20 RNN20:RNU20 RXJ20:RXQ20 SHF20:SHM20 SRB20:SRI20 TAX20:TBE20 TKT20:TLA20 TUP20:TUW20 UEL20:UES20 UOH20:UOO20 UYD20:UYK20 VHZ20:VIG20 VRV20:VSC20 WBR20:WBY20 WLN20:WLU20 WVJ20:WVQ20 B65581:I65581 IX65581:JE65581 ST65581:TA65581 ACP65581:ACW65581 AML65581:AMS65581 AWH65581:AWO65581 BGD65581:BGK65581 BPZ65581:BQG65581 BZV65581:CAC65581 CJR65581:CJY65581 CTN65581:CTU65581 DDJ65581:DDQ65581 DNF65581:DNM65581 DXB65581:DXI65581 EGX65581:EHE65581 EQT65581:ERA65581 FAP65581:FAW65581 FKL65581:FKS65581 FUH65581:FUO65581 GED65581:GEK65581 GNZ65581:GOG65581 GXV65581:GYC65581 HHR65581:HHY65581 HRN65581:HRU65581 IBJ65581:IBQ65581 ILF65581:ILM65581 IVB65581:IVI65581 JEX65581:JFE65581 JOT65581:JPA65581 JYP65581:JYW65581 KIL65581:KIS65581 KSH65581:KSO65581 LCD65581:LCK65581 LLZ65581:LMG65581 LVV65581:LWC65581 MFR65581:MFY65581 MPN65581:MPU65581 MZJ65581:MZQ65581 NJF65581:NJM65581 NTB65581:NTI65581 OCX65581:ODE65581 OMT65581:ONA65581 OWP65581:OWW65581 PGL65581:PGS65581 PQH65581:PQO65581 QAD65581:QAK65581 QJZ65581:QKG65581 QTV65581:QUC65581 RDR65581:RDY65581 RNN65581:RNU65581 RXJ65581:RXQ65581 SHF65581:SHM65581 SRB65581:SRI65581 TAX65581:TBE65581 TKT65581:TLA65581 TUP65581:TUW65581 UEL65581:UES65581 UOH65581:UOO65581 UYD65581:UYK65581 VHZ65581:VIG65581 VRV65581:VSC65581 WBR65581:WBY65581 WLN65581:WLU65581 WVJ65581:WVQ65581 B131117:I131117 IX131117:JE131117 ST131117:TA131117 ACP131117:ACW131117 AML131117:AMS131117 AWH131117:AWO131117 BGD131117:BGK131117 BPZ131117:BQG131117 BZV131117:CAC131117 CJR131117:CJY131117 CTN131117:CTU131117 DDJ131117:DDQ131117 DNF131117:DNM131117 DXB131117:DXI131117 EGX131117:EHE131117 EQT131117:ERA131117 FAP131117:FAW131117 FKL131117:FKS131117 FUH131117:FUO131117 GED131117:GEK131117 GNZ131117:GOG131117 GXV131117:GYC131117 HHR131117:HHY131117 HRN131117:HRU131117 IBJ131117:IBQ131117 ILF131117:ILM131117 IVB131117:IVI131117 JEX131117:JFE131117 JOT131117:JPA131117 JYP131117:JYW131117 KIL131117:KIS131117 KSH131117:KSO131117 LCD131117:LCK131117 LLZ131117:LMG131117 LVV131117:LWC131117 MFR131117:MFY131117 MPN131117:MPU131117 MZJ131117:MZQ131117 NJF131117:NJM131117 NTB131117:NTI131117 OCX131117:ODE131117 OMT131117:ONA131117 OWP131117:OWW131117 PGL131117:PGS131117 PQH131117:PQO131117 QAD131117:QAK131117 QJZ131117:QKG131117 QTV131117:QUC131117 RDR131117:RDY131117 RNN131117:RNU131117 RXJ131117:RXQ131117 SHF131117:SHM131117 SRB131117:SRI131117 TAX131117:TBE131117 TKT131117:TLA131117 TUP131117:TUW131117 UEL131117:UES131117 UOH131117:UOO131117 UYD131117:UYK131117 VHZ131117:VIG131117 VRV131117:VSC131117 WBR131117:WBY131117 WLN131117:WLU131117 WVJ131117:WVQ131117 B196653:I196653 IX196653:JE196653 ST196653:TA196653 ACP196653:ACW196653 AML196653:AMS196653 AWH196653:AWO196653 BGD196653:BGK196653 BPZ196653:BQG196653 BZV196653:CAC196653 CJR196653:CJY196653 CTN196653:CTU196653 DDJ196653:DDQ196653 DNF196653:DNM196653 DXB196653:DXI196653 EGX196653:EHE196653 EQT196653:ERA196653 FAP196653:FAW196653 FKL196653:FKS196653 FUH196653:FUO196653 GED196653:GEK196653 GNZ196653:GOG196653 GXV196653:GYC196653 HHR196653:HHY196653 HRN196653:HRU196653 IBJ196653:IBQ196653 ILF196653:ILM196653 IVB196653:IVI196653 JEX196653:JFE196653 JOT196653:JPA196653 JYP196653:JYW196653 KIL196653:KIS196653 KSH196653:KSO196653 LCD196653:LCK196653 LLZ196653:LMG196653 LVV196653:LWC196653 MFR196653:MFY196653 MPN196653:MPU196653 MZJ196653:MZQ196653 NJF196653:NJM196653 NTB196653:NTI196653 OCX196653:ODE196653 OMT196653:ONA196653 OWP196653:OWW196653 PGL196653:PGS196653 PQH196653:PQO196653 QAD196653:QAK196653 QJZ196653:QKG196653 QTV196653:QUC196653 RDR196653:RDY196653 RNN196653:RNU196653 RXJ196653:RXQ196653 SHF196653:SHM196653 SRB196653:SRI196653 TAX196653:TBE196653 TKT196653:TLA196653 TUP196653:TUW196653 UEL196653:UES196653 UOH196653:UOO196653 UYD196653:UYK196653 VHZ196653:VIG196653 VRV196653:VSC196653 WBR196653:WBY196653 WLN196653:WLU196653 WVJ196653:WVQ196653 B262189:I262189 IX262189:JE262189 ST262189:TA262189 ACP262189:ACW262189 AML262189:AMS262189 AWH262189:AWO262189 BGD262189:BGK262189 BPZ262189:BQG262189 BZV262189:CAC262189 CJR262189:CJY262189 CTN262189:CTU262189 DDJ262189:DDQ262189 DNF262189:DNM262189 DXB262189:DXI262189 EGX262189:EHE262189 EQT262189:ERA262189 FAP262189:FAW262189 FKL262189:FKS262189 FUH262189:FUO262189 GED262189:GEK262189 GNZ262189:GOG262189 GXV262189:GYC262189 HHR262189:HHY262189 HRN262189:HRU262189 IBJ262189:IBQ262189 ILF262189:ILM262189 IVB262189:IVI262189 JEX262189:JFE262189 JOT262189:JPA262189 JYP262189:JYW262189 KIL262189:KIS262189 KSH262189:KSO262189 LCD262189:LCK262189 LLZ262189:LMG262189 LVV262189:LWC262189 MFR262189:MFY262189 MPN262189:MPU262189 MZJ262189:MZQ262189 NJF262189:NJM262189 NTB262189:NTI262189 OCX262189:ODE262189 OMT262189:ONA262189 OWP262189:OWW262189 PGL262189:PGS262189 PQH262189:PQO262189 QAD262189:QAK262189 QJZ262189:QKG262189 QTV262189:QUC262189 RDR262189:RDY262189 RNN262189:RNU262189 RXJ262189:RXQ262189 SHF262189:SHM262189 SRB262189:SRI262189 TAX262189:TBE262189 TKT262189:TLA262189 TUP262189:TUW262189 UEL262189:UES262189 UOH262189:UOO262189 UYD262189:UYK262189 VHZ262189:VIG262189 VRV262189:VSC262189 WBR262189:WBY262189 WLN262189:WLU262189 WVJ262189:WVQ262189 B327725:I327725 IX327725:JE327725 ST327725:TA327725 ACP327725:ACW327725 AML327725:AMS327725 AWH327725:AWO327725 BGD327725:BGK327725 BPZ327725:BQG327725 BZV327725:CAC327725 CJR327725:CJY327725 CTN327725:CTU327725 DDJ327725:DDQ327725 DNF327725:DNM327725 DXB327725:DXI327725 EGX327725:EHE327725 EQT327725:ERA327725 FAP327725:FAW327725 FKL327725:FKS327725 FUH327725:FUO327725 GED327725:GEK327725 GNZ327725:GOG327725 GXV327725:GYC327725 HHR327725:HHY327725 HRN327725:HRU327725 IBJ327725:IBQ327725 ILF327725:ILM327725 IVB327725:IVI327725 JEX327725:JFE327725 JOT327725:JPA327725 JYP327725:JYW327725 KIL327725:KIS327725 KSH327725:KSO327725 LCD327725:LCK327725 LLZ327725:LMG327725 LVV327725:LWC327725 MFR327725:MFY327725 MPN327725:MPU327725 MZJ327725:MZQ327725 NJF327725:NJM327725 NTB327725:NTI327725 OCX327725:ODE327725 OMT327725:ONA327725 OWP327725:OWW327725 PGL327725:PGS327725 PQH327725:PQO327725 QAD327725:QAK327725 QJZ327725:QKG327725 QTV327725:QUC327725 RDR327725:RDY327725 RNN327725:RNU327725 RXJ327725:RXQ327725 SHF327725:SHM327725 SRB327725:SRI327725 TAX327725:TBE327725 TKT327725:TLA327725 TUP327725:TUW327725 UEL327725:UES327725 UOH327725:UOO327725 UYD327725:UYK327725 VHZ327725:VIG327725 VRV327725:VSC327725 WBR327725:WBY327725 WLN327725:WLU327725 WVJ327725:WVQ327725 B393261:I393261 IX393261:JE393261 ST393261:TA393261 ACP393261:ACW393261 AML393261:AMS393261 AWH393261:AWO393261 BGD393261:BGK393261 BPZ393261:BQG393261 BZV393261:CAC393261 CJR393261:CJY393261 CTN393261:CTU393261 DDJ393261:DDQ393261 DNF393261:DNM393261 DXB393261:DXI393261 EGX393261:EHE393261 EQT393261:ERA393261 FAP393261:FAW393261 FKL393261:FKS393261 FUH393261:FUO393261 GED393261:GEK393261 GNZ393261:GOG393261 GXV393261:GYC393261 HHR393261:HHY393261 HRN393261:HRU393261 IBJ393261:IBQ393261 ILF393261:ILM393261 IVB393261:IVI393261 JEX393261:JFE393261 JOT393261:JPA393261 JYP393261:JYW393261 KIL393261:KIS393261 KSH393261:KSO393261 LCD393261:LCK393261 LLZ393261:LMG393261 LVV393261:LWC393261 MFR393261:MFY393261 MPN393261:MPU393261 MZJ393261:MZQ393261 NJF393261:NJM393261 NTB393261:NTI393261 OCX393261:ODE393261 OMT393261:ONA393261 OWP393261:OWW393261 PGL393261:PGS393261 PQH393261:PQO393261 QAD393261:QAK393261 QJZ393261:QKG393261 QTV393261:QUC393261 RDR393261:RDY393261 RNN393261:RNU393261 RXJ393261:RXQ393261 SHF393261:SHM393261 SRB393261:SRI393261 TAX393261:TBE393261 TKT393261:TLA393261 TUP393261:TUW393261 UEL393261:UES393261 UOH393261:UOO393261 UYD393261:UYK393261 VHZ393261:VIG393261 VRV393261:VSC393261 WBR393261:WBY393261 WLN393261:WLU393261 WVJ393261:WVQ393261 B458797:I458797 IX458797:JE458797 ST458797:TA458797 ACP458797:ACW458797 AML458797:AMS458797 AWH458797:AWO458797 BGD458797:BGK458797 BPZ458797:BQG458797 BZV458797:CAC458797 CJR458797:CJY458797 CTN458797:CTU458797 DDJ458797:DDQ458797 DNF458797:DNM458797 DXB458797:DXI458797 EGX458797:EHE458797 EQT458797:ERA458797 FAP458797:FAW458797 FKL458797:FKS458797 FUH458797:FUO458797 GED458797:GEK458797 GNZ458797:GOG458797 GXV458797:GYC458797 HHR458797:HHY458797 HRN458797:HRU458797 IBJ458797:IBQ458797 ILF458797:ILM458797 IVB458797:IVI458797 JEX458797:JFE458797 JOT458797:JPA458797 JYP458797:JYW458797 KIL458797:KIS458797 KSH458797:KSO458797 LCD458797:LCK458797 LLZ458797:LMG458797 LVV458797:LWC458797 MFR458797:MFY458797 MPN458797:MPU458797 MZJ458797:MZQ458797 NJF458797:NJM458797 NTB458797:NTI458797 OCX458797:ODE458797 OMT458797:ONA458797 OWP458797:OWW458797 PGL458797:PGS458797 PQH458797:PQO458797 QAD458797:QAK458797 QJZ458797:QKG458797 QTV458797:QUC458797 RDR458797:RDY458797 RNN458797:RNU458797 RXJ458797:RXQ458797 SHF458797:SHM458797 SRB458797:SRI458797 TAX458797:TBE458797 TKT458797:TLA458797 TUP458797:TUW458797 UEL458797:UES458797 UOH458797:UOO458797 UYD458797:UYK458797 VHZ458797:VIG458797 VRV458797:VSC458797 WBR458797:WBY458797 WLN458797:WLU458797 WVJ458797:WVQ458797 B524333:I524333 IX524333:JE524333 ST524333:TA524333 ACP524333:ACW524333 AML524333:AMS524333 AWH524333:AWO524333 BGD524333:BGK524333 BPZ524333:BQG524333 BZV524333:CAC524333 CJR524333:CJY524333 CTN524333:CTU524333 DDJ524333:DDQ524333 DNF524333:DNM524333 DXB524333:DXI524333 EGX524333:EHE524333 EQT524333:ERA524333 FAP524333:FAW524333 FKL524333:FKS524333 FUH524333:FUO524333 GED524333:GEK524333 GNZ524333:GOG524333 GXV524333:GYC524333 HHR524333:HHY524333 HRN524333:HRU524333 IBJ524333:IBQ524333 ILF524333:ILM524333 IVB524333:IVI524333 JEX524333:JFE524333 JOT524333:JPA524333 JYP524333:JYW524333 KIL524333:KIS524333 KSH524333:KSO524333 LCD524333:LCK524333 LLZ524333:LMG524333 LVV524333:LWC524333 MFR524333:MFY524333 MPN524333:MPU524333 MZJ524333:MZQ524333 NJF524333:NJM524333 NTB524333:NTI524333 OCX524333:ODE524333 OMT524333:ONA524333 OWP524333:OWW524333 PGL524333:PGS524333 PQH524333:PQO524333 QAD524333:QAK524333 QJZ524333:QKG524333 QTV524333:QUC524333 RDR524333:RDY524333 RNN524333:RNU524333 RXJ524333:RXQ524333 SHF524333:SHM524333 SRB524333:SRI524333 TAX524333:TBE524333 TKT524333:TLA524333 TUP524333:TUW524333 UEL524333:UES524333 UOH524333:UOO524333 UYD524333:UYK524333 VHZ524333:VIG524333 VRV524333:VSC524333 WBR524333:WBY524333 WLN524333:WLU524333 WVJ524333:WVQ524333 B589869:I589869 IX589869:JE589869 ST589869:TA589869 ACP589869:ACW589869 AML589869:AMS589869 AWH589869:AWO589869 BGD589869:BGK589869 BPZ589869:BQG589869 BZV589869:CAC589869 CJR589869:CJY589869 CTN589869:CTU589869 DDJ589869:DDQ589869 DNF589869:DNM589869 DXB589869:DXI589869 EGX589869:EHE589869 EQT589869:ERA589869 FAP589869:FAW589869 FKL589869:FKS589869 FUH589869:FUO589869 GED589869:GEK589869 GNZ589869:GOG589869 GXV589869:GYC589869 HHR589869:HHY589869 HRN589869:HRU589869 IBJ589869:IBQ589869 ILF589869:ILM589869 IVB589869:IVI589869 JEX589869:JFE589869 JOT589869:JPA589869 JYP589869:JYW589869 KIL589869:KIS589869 KSH589869:KSO589869 LCD589869:LCK589869 LLZ589869:LMG589869 LVV589869:LWC589869 MFR589869:MFY589869 MPN589869:MPU589869 MZJ589869:MZQ589869 NJF589869:NJM589869 NTB589869:NTI589869 OCX589869:ODE589869 OMT589869:ONA589869 OWP589869:OWW589869 PGL589869:PGS589869 PQH589869:PQO589869 QAD589869:QAK589869 QJZ589869:QKG589869 QTV589869:QUC589869 RDR589869:RDY589869 RNN589869:RNU589869 RXJ589869:RXQ589869 SHF589869:SHM589869 SRB589869:SRI589869 TAX589869:TBE589869 TKT589869:TLA589869 TUP589869:TUW589869 UEL589869:UES589869 UOH589869:UOO589869 UYD589869:UYK589869 VHZ589869:VIG589869 VRV589869:VSC589869 WBR589869:WBY589869 WLN589869:WLU589869 WVJ589869:WVQ589869 B655405:I655405 IX655405:JE655405 ST655405:TA655405 ACP655405:ACW655405 AML655405:AMS655405 AWH655405:AWO655405 BGD655405:BGK655405 BPZ655405:BQG655405 BZV655405:CAC655405 CJR655405:CJY655405 CTN655405:CTU655405 DDJ655405:DDQ655405 DNF655405:DNM655405 DXB655405:DXI655405 EGX655405:EHE655405 EQT655405:ERA655405 FAP655405:FAW655405 FKL655405:FKS655405 FUH655405:FUO655405 GED655405:GEK655405 GNZ655405:GOG655405 GXV655405:GYC655405 HHR655405:HHY655405 HRN655405:HRU655405 IBJ655405:IBQ655405 ILF655405:ILM655405 IVB655405:IVI655405 JEX655405:JFE655405 JOT655405:JPA655405 JYP655405:JYW655405 KIL655405:KIS655405 KSH655405:KSO655405 LCD655405:LCK655405 LLZ655405:LMG655405 LVV655405:LWC655405 MFR655405:MFY655405 MPN655405:MPU655405 MZJ655405:MZQ655405 NJF655405:NJM655405 NTB655405:NTI655405 OCX655405:ODE655405 OMT655405:ONA655405 OWP655405:OWW655405 PGL655405:PGS655405 PQH655405:PQO655405 QAD655405:QAK655405 QJZ655405:QKG655405 QTV655405:QUC655405 RDR655405:RDY655405 RNN655405:RNU655405 RXJ655405:RXQ655405 SHF655405:SHM655405 SRB655405:SRI655405 TAX655405:TBE655405 TKT655405:TLA655405 TUP655405:TUW655405 UEL655405:UES655405 UOH655405:UOO655405 UYD655405:UYK655405 VHZ655405:VIG655405 VRV655405:VSC655405 WBR655405:WBY655405 WLN655405:WLU655405 WVJ655405:WVQ655405 B720941:I720941 IX720941:JE720941 ST720941:TA720941 ACP720941:ACW720941 AML720941:AMS720941 AWH720941:AWO720941 BGD720941:BGK720941 BPZ720941:BQG720941 BZV720941:CAC720941 CJR720941:CJY720941 CTN720941:CTU720941 DDJ720941:DDQ720941 DNF720941:DNM720941 DXB720941:DXI720941 EGX720941:EHE720941 EQT720941:ERA720941 FAP720941:FAW720941 FKL720941:FKS720941 FUH720941:FUO720941 GED720941:GEK720941 GNZ720941:GOG720941 GXV720941:GYC720941 HHR720941:HHY720941 HRN720941:HRU720941 IBJ720941:IBQ720941 ILF720941:ILM720941 IVB720941:IVI720941 JEX720941:JFE720941 JOT720941:JPA720941 JYP720941:JYW720941 KIL720941:KIS720941 KSH720941:KSO720941 LCD720941:LCK720941 LLZ720941:LMG720941 LVV720941:LWC720941 MFR720941:MFY720941 MPN720941:MPU720941 MZJ720941:MZQ720941 NJF720941:NJM720941 NTB720941:NTI720941 OCX720941:ODE720941 OMT720941:ONA720941 OWP720941:OWW720941 PGL720941:PGS720941 PQH720941:PQO720941 QAD720941:QAK720941 QJZ720941:QKG720941 QTV720941:QUC720941 RDR720941:RDY720941 RNN720941:RNU720941 RXJ720941:RXQ720941 SHF720941:SHM720941 SRB720941:SRI720941 TAX720941:TBE720941 TKT720941:TLA720941 TUP720941:TUW720941 UEL720941:UES720941 UOH720941:UOO720941 UYD720941:UYK720941 VHZ720941:VIG720941 VRV720941:VSC720941 WBR720941:WBY720941 WLN720941:WLU720941 WVJ720941:WVQ720941 B786477:I786477 IX786477:JE786477 ST786477:TA786477 ACP786477:ACW786477 AML786477:AMS786477 AWH786477:AWO786477 BGD786477:BGK786477 BPZ786477:BQG786477 BZV786477:CAC786477 CJR786477:CJY786477 CTN786477:CTU786477 DDJ786477:DDQ786477 DNF786477:DNM786477 DXB786477:DXI786477 EGX786477:EHE786477 EQT786477:ERA786477 FAP786477:FAW786477 FKL786477:FKS786477 FUH786477:FUO786477 GED786477:GEK786477 GNZ786477:GOG786477 GXV786477:GYC786477 HHR786477:HHY786477 HRN786477:HRU786477 IBJ786477:IBQ786477 ILF786477:ILM786477 IVB786477:IVI786477 JEX786477:JFE786477 JOT786477:JPA786477 JYP786477:JYW786477 KIL786477:KIS786477 KSH786477:KSO786477 LCD786477:LCK786477 LLZ786477:LMG786477 LVV786477:LWC786477 MFR786477:MFY786477 MPN786477:MPU786477 MZJ786477:MZQ786477 NJF786477:NJM786477 NTB786477:NTI786477 OCX786477:ODE786477 OMT786477:ONA786477 OWP786477:OWW786477 PGL786477:PGS786477 PQH786477:PQO786477 QAD786477:QAK786477 QJZ786477:QKG786477 QTV786477:QUC786477 RDR786477:RDY786477 RNN786477:RNU786477 RXJ786477:RXQ786477 SHF786477:SHM786477 SRB786477:SRI786477 TAX786477:TBE786477 TKT786477:TLA786477 TUP786477:TUW786477 UEL786477:UES786477 UOH786477:UOO786477 UYD786477:UYK786477 VHZ786477:VIG786477 VRV786477:VSC786477 WBR786477:WBY786477 WLN786477:WLU786477 WVJ786477:WVQ786477 B852013:I852013 IX852013:JE852013 ST852013:TA852013 ACP852013:ACW852013 AML852013:AMS852013 AWH852013:AWO852013 BGD852013:BGK852013 BPZ852013:BQG852013 BZV852013:CAC852013 CJR852013:CJY852013 CTN852013:CTU852013 DDJ852013:DDQ852013 DNF852013:DNM852013 DXB852013:DXI852013 EGX852013:EHE852013 EQT852013:ERA852013 FAP852013:FAW852013 FKL852013:FKS852013 FUH852013:FUO852013 GED852013:GEK852013 GNZ852013:GOG852013 GXV852013:GYC852013 HHR852013:HHY852013 HRN852013:HRU852013 IBJ852013:IBQ852013 ILF852013:ILM852013 IVB852013:IVI852013 JEX852013:JFE852013 JOT852013:JPA852013 JYP852013:JYW852013 KIL852013:KIS852013 KSH852013:KSO852013 LCD852013:LCK852013 LLZ852013:LMG852013 LVV852013:LWC852013 MFR852013:MFY852013 MPN852013:MPU852013 MZJ852013:MZQ852013 NJF852013:NJM852013 NTB852013:NTI852013 OCX852013:ODE852013 OMT852013:ONA852013 OWP852013:OWW852013 PGL852013:PGS852013 PQH852013:PQO852013 QAD852013:QAK852013 QJZ852013:QKG852013 QTV852013:QUC852013 RDR852013:RDY852013 RNN852013:RNU852013 RXJ852013:RXQ852013 SHF852013:SHM852013 SRB852013:SRI852013 TAX852013:TBE852013 TKT852013:TLA852013 TUP852013:TUW852013 UEL852013:UES852013 UOH852013:UOO852013 UYD852013:UYK852013 VHZ852013:VIG852013 VRV852013:VSC852013 WBR852013:WBY852013 WLN852013:WLU852013 WVJ852013:WVQ852013 B917549:I917549 IX917549:JE917549 ST917549:TA917549 ACP917549:ACW917549 AML917549:AMS917549 AWH917549:AWO917549 BGD917549:BGK917549 BPZ917549:BQG917549 BZV917549:CAC917549 CJR917549:CJY917549 CTN917549:CTU917549 DDJ917549:DDQ917549 DNF917549:DNM917549 DXB917549:DXI917549 EGX917549:EHE917549 EQT917549:ERA917549 FAP917549:FAW917549 FKL917549:FKS917549 FUH917549:FUO917549 GED917549:GEK917549 GNZ917549:GOG917549 GXV917549:GYC917549 HHR917549:HHY917549 HRN917549:HRU917549 IBJ917549:IBQ917549 ILF917549:ILM917549 IVB917549:IVI917549 JEX917549:JFE917549 JOT917549:JPA917549 JYP917549:JYW917549 KIL917549:KIS917549 KSH917549:KSO917549 LCD917549:LCK917549 LLZ917549:LMG917549 LVV917549:LWC917549 MFR917549:MFY917549 MPN917549:MPU917549 MZJ917549:MZQ917549 NJF917549:NJM917549 NTB917549:NTI917549 OCX917549:ODE917549 OMT917549:ONA917549 OWP917549:OWW917549 PGL917549:PGS917549 PQH917549:PQO917549 QAD917549:QAK917549 QJZ917549:QKG917549 QTV917549:QUC917549 RDR917549:RDY917549 RNN917549:RNU917549 RXJ917549:RXQ917549 SHF917549:SHM917549 SRB917549:SRI917549 TAX917549:TBE917549 TKT917549:TLA917549 TUP917549:TUW917549 UEL917549:UES917549 UOH917549:UOO917549 UYD917549:UYK917549 VHZ917549:VIG917549 VRV917549:VSC917549 WBR917549:WBY917549 WLN917549:WLU917549 WVJ917549:WVQ917549 B983085:I983085 IX983085:JE983085 ST983085:TA983085 ACP983085:ACW983085 AML983085:AMS983085 AWH983085:AWO983085 BGD983085:BGK983085 BPZ983085:BQG983085 BZV983085:CAC983085 CJR983085:CJY983085 CTN983085:CTU983085 DDJ983085:DDQ983085 DNF983085:DNM983085 DXB983085:DXI983085 EGX983085:EHE983085 EQT983085:ERA983085 FAP983085:FAW983085 FKL983085:FKS983085 FUH983085:FUO983085 GED983085:GEK983085 GNZ983085:GOG983085 GXV983085:GYC983085 HHR983085:HHY983085 HRN983085:HRU983085 IBJ983085:IBQ983085 ILF983085:ILM983085 IVB983085:IVI983085 JEX983085:JFE983085 JOT983085:JPA983085 JYP983085:JYW983085 KIL983085:KIS983085 KSH983085:KSO983085 LCD983085:LCK983085 LLZ983085:LMG983085 LVV983085:LWC983085 MFR983085:MFY983085 MPN983085:MPU983085 MZJ983085:MZQ983085 NJF983085:NJM983085 NTB983085:NTI983085 OCX983085:ODE983085 OMT983085:ONA983085 OWP983085:OWW983085 PGL983085:PGS983085 PQH983085:PQO983085 QAD983085:QAK983085 QJZ983085:QKG983085 QTV983085:QUC983085 RDR983085:RDY983085 RNN983085:RNU983085 RXJ983085:RXQ983085 SHF983085:SHM983085 SRB983085:SRI983085 TAX983085:TBE983085 TKT983085:TLA983085 TUP983085:TUW983085 UEL983085:UES983085 UOH983085:UOO983085 UYD983085:UYK983085 VHZ983085:VIG983085 VRV983085:VSC983085 WBR983085:WBY983085 WLN983085:WLU983085 WVJ983085:WVQ983085">
      <formula1>$K$150:$K$155</formula1>
    </dataValidation>
    <dataValidation type="list" allowBlank="1" showInputMessage="1" showErrorMessage="1" error="Please Select fromt he drop-down list." promptTitle="Data Type" prompt="Please select DateTime, Number or Text from the drop-down list." sqref="C150:C362 IY150:IY362 SU150:SU362 ACQ150:ACQ362 AMM150:AMM362 AWI150:AWI362 BGE150:BGE362 BQA150:BQA362 BZW150:BZW362 CJS150:CJS362 CTO150:CTO362 DDK150:DDK362 DNG150:DNG362 DXC150:DXC362 EGY150:EGY362 EQU150:EQU362 FAQ150:FAQ362 FKM150:FKM362 FUI150:FUI362 GEE150:GEE362 GOA150:GOA362 GXW150:GXW362 HHS150:HHS362 HRO150:HRO362 IBK150:IBK362 ILG150:ILG362 IVC150:IVC362 JEY150:JEY362 JOU150:JOU362 JYQ150:JYQ362 KIM150:KIM362 KSI150:KSI362 LCE150:LCE362 LMA150:LMA362 LVW150:LVW362 MFS150:MFS362 MPO150:MPO362 MZK150:MZK362 NJG150:NJG362 NTC150:NTC362 OCY150:OCY362 OMU150:OMU362 OWQ150:OWQ362 PGM150:PGM362 PQI150:PQI362 QAE150:QAE362 QKA150:QKA362 QTW150:QTW362 RDS150:RDS362 RNO150:RNO362 RXK150:RXK362 SHG150:SHG362 SRC150:SRC362 TAY150:TAY362 TKU150:TKU362 TUQ150:TUQ362 UEM150:UEM362 UOI150:UOI362 UYE150:UYE362 VIA150:VIA362 VRW150:VRW362 WBS150:WBS362 WLO150:WLO362 WVK150:WVK362 C65686:C65898 IY65686:IY65898 SU65686:SU65898 ACQ65686:ACQ65898 AMM65686:AMM65898 AWI65686:AWI65898 BGE65686:BGE65898 BQA65686:BQA65898 BZW65686:BZW65898 CJS65686:CJS65898 CTO65686:CTO65898 DDK65686:DDK65898 DNG65686:DNG65898 DXC65686:DXC65898 EGY65686:EGY65898 EQU65686:EQU65898 FAQ65686:FAQ65898 FKM65686:FKM65898 FUI65686:FUI65898 GEE65686:GEE65898 GOA65686:GOA65898 GXW65686:GXW65898 HHS65686:HHS65898 HRO65686:HRO65898 IBK65686:IBK65898 ILG65686:ILG65898 IVC65686:IVC65898 JEY65686:JEY65898 JOU65686:JOU65898 JYQ65686:JYQ65898 KIM65686:KIM65898 KSI65686:KSI65898 LCE65686:LCE65898 LMA65686:LMA65898 LVW65686:LVW65898 MFS65686:MFS65898 MPO65686:MPO65898 MZK65686:MZK65898 NJG65686:NJG65898 NTC65686:NTC65898 OCY65686:OCY65898 OMU65686:OMU65898 OWQ65686:OWQ65898 PGM65686:PGM65898 PQI65686:PQI65898 QAE65686:QAE65898 QKA65686:QKA65898 QTW65686:QTW65898 RDS65686:RDS65898 RNO65686:RNO65898 RXK65686:RXK65898 SHG65686:SHG65898 SRC65686:SRC65898 TAY65686:TAY65898 TKU65686:TKU65898 TUQ65686:TUQ65898 UEM65686:UEM65898 UOI65686:UOI65898 UYE65686:UYE65898 VIA65686:VIA65898 VRW65686:VRW65898 WBS65686:WBS65898 WLO65686:WLO65898 WVK65686:WVK65898 C131222:C131434 IY131222:IY131434 SU131222:SU131434 ACQ131222:ACQ131434 AMM131222:AMM131434 AWI131222:AWI131434 BGE131222:BGE131434 BQA131222:BQA131434 BZW131222:BZW131434 CJS131222:CJS131434 CTO131222:CTO131434 DDK131222:DDK131434 DNG131222:DNG131434 DXC131222:DXC131434 EGY131222:EGY131434 EQU131222:EQU131434 FAQ131222:FAQ131434 FKM131222:FKM131434 FUI131222:FUI131434 GEE131222:GEE131434 GOA131222:GOA131434 GXW131222:GXW131434 HHS131222:HHS131434 HRO131222:HRO131434 IBK131222:IBK131434 ILG131222:ILG131434 IVC131222:IVC131434 JEY131222:JEY131434 JOU131222:JOU131434 JYQ131222:JYQ131434 KIM131222:KIM131434 KSI131222:KSI131434 LCE131222:LCE131434 LMA131222:LMA131434 LVW131222:LVW131434 MFS131222:MFS131434 MPO131222:MPO131434 MZK131222:MZK131434 NJG131222:NJG131434 NTC131222:NTC131434 OCY131222:OCY131434 OMU131222:OMU131434 OWQ131222:OWQ131434 PGM131222:PGM131434 PQI131222:PQI131434 QAE131222:QAE131434 QKA131222:QKA131434 QTW131222:QTW131434 RDS131222:RDS131434 RNO131222:RNO131434 RXK131222:RXK131434 SHG131222:SHG131434 SRC131222:SRC131434 TAY131222:TAY131434 TKU131222:TKU131434 TUQ131222:TUQ131434 UEM131222:UEM131434 UOI131222:UOI131434 UYE131222:UYE131434 VIA131222:VIA131434 VRW131222:VRW131434 WBS131222:WBS131434 WLO131222:WLO131434 WVK131222:WVK131434 C196758:C196970 IY196758:IY196970 SU196758:SU196970 ACQ196758:ACQ196970 AMM196758:AMM196970 AWI196758:AWI196970 BGE196758:BGE196970 BQA196758:BQA196970 BZW196758:BZW196970 CJS196758:CJS196970 CTO196758:CTO196970 DDK196758:DDK196970 DNG196758:DNG196970 DXC196758:DXC196970 EGY196758:EGY196970 EQU196758:EQU196970 FAQ196758:FAQ196970 FKM196758:FKM196970 FUI196758:FUI196970 GEE196758:GEE196970 GOA196758:GOA196970 GXW196758:GXW196970 HHS196758:HHS196970 HRO196758:HRO196970 IBK196758:IBK196970 ILG196758:ILG196970 IVC196758:IVC196970 JEY196758:JEY196970 JOU196758:JOU196970 JYQ196758:JYQ196970 KIM196758:KIM196970 KSI196758:KSI196970 LCE196758:LCE196970 LMA196758:LMA196970 LVW196758:LVW196970 MFS196758:MFS196970 MPO196758:MPO196970 MZK196758:MZK196970 NJG196758:NJG196970 NTC196758:NTC196970 OCY196758:OCY196970 OMU196758:OMU196970 OWQ196758:OWQ196970 PGM196758:PGM196970 PQI196758:PQI196970 QAE196758:QAE196970 QKA196758:QKA196970 QTW196758:QTW196970 RDS196758:RDS196970 RNO196758:RNO196970 RXK196758:RXK196970 SHG196758:SHG196970 SRC196758:SRC196970 TAY196758:TAY196970 TKU196758:TKU196970 TUQ196758:TUQ196970 UEM196758:UEM196970 UOI196758:UOI196970 UYE196758:UYE196970 VIA196758:VIA196970 VRW196758:VRW196970 WBS196758:WBS196970 WLO196758:WLO196970 WVK196758:WVK196970 C262294:C262506 IY262294:IY262506 SU262294:SU262506 ACQ262294:ACQ262506 AMM262294:AMM262506 AWI262294:AWI262506 BGE262294:BGE262506 BQA262294:BQA262506 BZW262294:BZW262506 CJS262294:CJS262506 CTO262294:CTO262506 DDK262294:DDK262506 DNG262294:DNG262506 DXC262294:DXC262506 EGY262294:EGY262506 EQU262294:EQU262506 FAQ262294:FAQ262506 FKM262294:FKM262506 FUI262294:FUI262506 GEE262294:GEE262506 GOA262294:GOA262506 GXW262294:GXW262506 HHS262294:HHS262506 HRO262294:HRO262506 IBK262294:IBK262506 ILG262294:ILG262506 IVC262294:IVC262506 JEY262294:JEY262506 JOU262294:JOU262506 JYQ262294:JYQ262506 KIM262294:KIM262506 KSI262294:KSI262506 LCE262294:LCE262506 LMA262294:LMA262506 LVW262294:LVW262506 MFS262294:MFS262506 MPO262294:MPO262506 MZK262294:MZK262506 NJG262294:NJG262506 NTC262294:NTC262506 OCY262294:OCY262506 OMU262294:OMU262506 OWQ262294:OWQ262506 PGM262294:PGM262506 PQI262294:PQI262506 QAE262294:QAE262506 QKA262294:QKA262506 QTW262294:QTW262506 RDS262294:RDS262506 RNO262294:RNO262506 RXK262294:RXK262506 SHG262294:SHG262506 SRC262294:SRC262506 TAY262294:TAY262506 TKU262294:TKU262506 TUQ262294:TUQ262506 UEM262294:UEM262506 UOI262294:UOI262506 UYE262294:UYE262506 VIA262294:VIA262506 VRW262294:VRW262506 WBS262294:WBS262506 WLO262294:WLO262506 WVK262294:WVK262506 C327830:C328042 IY327830:IY328042 SU327830:SU328042 ACQ327830:ACQ328042 AMM327830:AMM328042 AWI327830:AWI328042 BGE327830:BGE328042 BQA327830:BQA328042 BZW327830:BZW328042 CJS327830:CJS328042 CTO327830:CTO328042 DDK327830:DDK328042 DNG327830:DNG328042 DXC327830:DXC328042 EGY327830:EGY328042 EQU327830:EQU328042 FAQ327830:FAQ328042 FKM327830:FKM328042 FUI327830:FUI328042 GEE327830:GEE328042 GOA327830:GOA328042 GXW327830:GXW328042 HHS327830:HHS328042 HRO327830:HRO328042 IBK327830:IBK328042 ILG327830:ILG328042 IVC327830:IVC328042 JEY327830:JEY328042 JOU327830:JOU328042 JYQ327830:JYQ328042 KIM327830:KIM328042 KSI327830:KSI328042 LCE327830:LCE328042 LMA327830:LMA328042 LVW327830:LVW328042 MFS327830:MFS328042 MPO327830:MPO328042 MZK327830:MZK328042 NJG327830:NJG328042 NTC327830:NTC328042 OCY327830:OCY328042 OMU327830:OMU328042 OWQ327830:OWQ328042 PGM327830:PGM328042 PQI327830:PQI328042 QAE327830:QAE328042 QKA327830:QKA328042 QTW327830:QTW328042 RDS327830:RDS328042 RNO327830:RNO328042 RXK327830:RXK328042 SHG327830:SHG328042 SRC327830:SRC328042 TAY327830:TAY328042 TKU327830:TKU328042 TUQ327830:TUQ328042 UEM327830:UEM328042 UOI327830:UOI328042 UYE327830:UYE328042 VIA327830:VIA328042 VRW327830:VRW328042 WBS327830:WBS328042 WLO327830:WLO328042 WVK327830:WVK328042 C393366:C393578 IY393366:IY393578 SU393366:SU393578 ACQ393366:ACQ393578 AMM393366:AMM393578 AWI393366:AWI393578 BGE393366:BGE393578 BQA393366:BQA393578 BZW393366:BZW393578 CJS393366:CJS393578 CTO393366:CTO393578 DDK393366:DDK393578 DNG393366:DNG393578 DXC393366:DXC393578 EGY393366:EGY393578 EQU393366:EQU393578 FAQ393366:FAQ393578 FKM393366:FKM393578 FUI393366:FUI393578 GEE393366:GEE393578 GOA393366:GOA393578 GXW393366:GXW393578 HHS393366:HHS393578 HRO393366:HRO393578 IBK393366:IBK393578 ILG393366:ILG393578 IVC393366:IVC393578 JEY393366:JEY393578 JOU393366:JOU393578 JYQ393366:JYQ393578 KIM393366:KIM393578 KSI393366:KSI393578 LCE393366:LCE393578 LMA393366:LMA393578 LVW393366:LVW393578 MFS393366:MFS393578 MPO393366:MPO393578 MZK393366:MZK393578 NJG393366:NJG393578 NTC393366:NTC393578 OCY393366:OCY393578 OMU393366:OMU393578 OWQ393366:OWQ393578 PGM393366:PGM393578 PQI393366:PQI393578 QAE393366:QAE393578 QKA393366:QKA393578 QTW393366:QTW393578 RDS393366:RDS393578 RNO393366:RNO393578 RXK393366:RXK393578 SHG393366:SHG393578 SRC393366:SRC393578 TAY393366:TAY393578 TKU393366:TKU393578 TUQ393366:TUQ393578 UEM393366:UEM393578 UOI393366:UOI393578 UYE393366:UYE393578 VIA393366:VIA393578 VRW393366:VRW393578 WBS393366:WBS393578 WLO393366:WLO393578 WVK393366:WVK393578 C458902:C459114 IY458902:IY459114 SU458902:SU459114 ACQ458902:ACQ459114 AMM458902:AMM459114 AWI458902:AWI459114 BGE458902:BGE459114 BQA458902:BQA459114 BZW458902:BZW459114 CJS458902:CJS459114 CTO458902:CTO459114 DDK458902:DDK459114 DNG458902:DNG459114 DXC458902:DXC459114 EGY458902:EGY459114 EQU458902:EQU459114 FAQ458902:FAQ459114 FKM458902:FKM459114 FUI458902:FUI459114 GEE458902:GEE459114 GOA458902:GOA459114 GXW458902:GXW459114 HHS458902:HHS459114 HRO458902:HRO459114 IBK458902:IBK459114 ILG458902:ILG459114 IVC458902:IVC459114 JEY458902:JEY459114 JOU458902:JOU459114 JYQ458902:JYQ459114 KIM458902:KIM459114 KSI458902:KSI459114 LCE458902:LCE459114 LMA458902:LMA459114 LVW458902:LVW459114 MFS458902:MFS459114 MPO458902:MPO459114 MZK458902:MZK459114 NJG458902:NJG459114 NTC458902:NTC459114 OCY458902:OCY459114 OMU458902:OMU459114 OWQ458902:OWQ459114 PGM458902:PGM459114 PQI458902:PQI459114 QAE458902:QAE459114 QKA458902:QKA459114 QTW458902:QTW459114 RDS458902:RDS459114 RNO458902:RNO459114 RXK458902:RXK459114 SHG458902:SHG459114 SRC458902:SRC459114 TAY458902:TAY459114 TKU458902:TKU459114 TUQ458902:TUQ459114 UEM458902:UEM459114 UOI458902:UOI459114 UYE458902:UYE459114 VIA458902:VIA459114 VRW458902:VRW459114 WBS458902:WBS459114 WLO458902:WLO459114 WVK458902:WVK459114 C524438:C524650 IY524438:IY524650 SU524438:SU524650 ACQ524438:ACQ524650 AMM524438:AMM524650 AWI524438:AWI524650 BGE524438:BGE524650 BQA524438:BQA524650 BZW524438:BZW524650 CJS524438:CJS524650 CTO524438:CTO524650 DDK524438:DDK524650 DNG524438:DNG524650 DXC524438:DXC524650 EGY524438:EGY524650 EQU524438:EQU524650 FAQ524438:FAQ524650 FKM524438:FKM524650 FUI524438:FUI524650 GEE524438:GEE524650 GOA524438:GOA524650 GXW524438:GXW524650 HHS524438:HHS524650 HRO524438:HRO524650 IBK524438:IBK524650 ILG524438:ILG524650 IVC524438:IVC524650 JEY524438:JEY524650 JOU524438:JOU524650 JYQ524438:JYQ524650 KIM524438:KIM524650 KSI524438:KSI524650 LCE524438:LCE524650 LMA524438:LMA524650 LVW524438:LVW524650 MFS524438:MFS524650 MPO524438:MPO524650 MZK524438:MZK524650 NJG524438:NJG524650 NTC524438:NTC524650 OCY524438:OCY524650 OMU524438:OMU524650 OWQ524438:OWQ524650 PGM524438:PGM524650 PQI524438:PQI524650 QAE524438:QAE524650 QKA524438:QKA524650 QTW524438:QTW524650 RDS524438:RDS524650 RNO524438:RNO524650 RXK524438:RXK524650 SHG524438:SHG524650 SRC524438:SRC524650 TAY524438:TAY524650 TKU524438:TKU524650 TUQ524438:TUQ524650 UEM524438:UEM524650 UOI524438:UOI524650 UYE524438:UYE524650 VIA524438:VIA524650 VRW524438:VRW524650 WBS524438:WBS524650 WLO524438:WLO524650 WVK524438:WVK524650 C589974:C590186 IY589974:IY590186 SU589974:SU590186 ACQ589974:ACQ590186 AMM589974:AMM590186 AWI589974:AWI590186 BGE589974:BGE590186 BQA589974:BQA590186 BZW589974:BZW590186 CJS589974:CJS590186 CTO589974:CTO590186 DDK589974:DDK590186 DNG589974:DNG590186 DXC589974:DXC590186 EGY589974:EGY590186 EQU589974:EQU590186 FAQ589974:FAQ590186 FKM589974:FKM590186 FUI589974:FUI590186 GEE589974:GEE590186 GOA589974:GOA590186 GXW589974:GXW590186 HHS589974:HHS590186 HRO589974:HRO590186 IBK589974:IBK590186 ILG589974:ILG590186 IVC589974:IVC590186 JEY589974:JEY590186 JOU589974:JOU590186 JYQ589974:JYQ590186 KIM589974:KIM590186 KSI589974:KSI590186 LCE589974:LCE590186 LMA589974:LMA590186 LVW589974:LVW590186 MFS589974:MFS590186 MPO589974:MPO590186 MZK589974:MZK590186 NJG589974:NJG590186 NTC589974:NTC590186 OCY589974:OCY590186 OMU589974:OMU590186 OWQ589974:OWQ590186 PGM589974:PGM590186 PQI589974:PQI590186 QAE589974:QAE590186 QKA589974:QKA590186 QTW589974:QTW590186 RDS589974:RDS590186 RNO589974:RNO590186 RXK589974:RXK590186 SHG589974:SHG590186 SRC589974:SRC590186 TAY589974:TAY590186 TKU589974:TKU590186 TUQ589974:TUQ590186 UEM589974:UEM590186 UOI589974:UOI590186 UYE589974:UYE590186 VIA589974:VIA590186 VRW589974:VRW590186 WBS589974:WBS590186 WLO589974:WLO590186 WVK589974:WVK590186 C655510:C655722 IY655510:IY655722 SU655510:SU655722 ACQ655510:ACQ655722 AMM655510:AMM655722 AWI655510:AWI655722 BGE655510:BGE655722 BQA655510:BQA655722 BZW655510:BZW655722 CJS655510:CJS655722 CTO655510:CTO655722 DDK655510:DDK655722 DNG655510:DNG655722 DXC655510:DXC655722 EGY655510:EGY655722 EQU655510:EQU655722 FAQ655510:FAQ655722 FKM655510:FKM655722 FUI655510:FUI655722 GEE655510:GEE655722 GOA655510:GOA655722 GXW655510:GXW655722 HHS655510:HHS655722 HRO655510:HRO655722 IBK655510:IBK655722 ILG655510:ILG655722 IVC655510:IVC655722 JEY655510:JEY655722 JOU655510:JOU655722 JYQ655510:JYQ655722 KIM655510:KIM655722 KSI655510:KSI655722 LCE655510:LCE655722 LMA655510:LMA655722 LVW655510:LVW655722 MFS655510:MFS655722 MPO655510:MPO655722 MZK655510:MZK655722 NJG655510:NJG655722 NTC655510:NTC655722 OCY655510:OCY655722 OMU655510:OMU655722 OWQ655510:OWQ655722 PGM655510:PGM655722 PQI655510:PQI655722 QAE655510:QAE655722 QKA655510:QKA655722 QTW655510:QTW655722 RDS655510:RDS655722 RNO655510:RNO655722 RXK655510:RXK655722 SHG655510:SHG655722 SRC655510:SRC655722 TAY655510:TAY655722 TKU655510:TKU655722 TUQ655510:TUQ655722 UEM655510:UEM655722 UOI655510:UOI655722 UYE655510:UYE655722 VIA655510:VIA655722 VRW655510:VRW655722 WBS655510:WBS655722 WLO655510:WLO655722 WVK655510:WVK655722 C721046:C721258 IY721046:IY721258 SU721046:SU721258 ACQ721046:ACQ721258 AMM721046:AMM721258 AWI721046:AWI721258 BGE721046:BGE721258 BQA721046:BQA721258 BZW721046:BZW721258 CJS721046:CJS721258 CTO721046:CTO721258 DDK721046:DDK721258 DNG721046:DNG721258 DXC721046:DXC721258 EGY721046:EGY721258 EQU721046:EQU721258 FAQ721046:FAQ721258 FKM721046:FKM721258 FUI721046:FUI721258 GEE721046:GEE721258 GOA721046:GOA721258 GXW721046:GXW721258 HHS721046:HHS721258 HRO721046:HRO721258 IBK721046:IBK721258 ILG721046:ILG721258 IVC721046:IVC721258 JEY721046:JEY721258 JOU721046:JOU721258 JYQ721046:JYQ721258 KIM721046:KIM721258 KSI721046:KSI721258 LCE721046:LCE721258 LMA721046:LMA721258 LVW721046:LVW721258 MFS721046:MFS721258 MPO721046:MPO721258 MZK721046:MZK721258 NJG721046:NJG721258 NTC721046:NTC721258 OCY721046:OCY721258 OMU721046:OMU721258 OWQ721046:OWQ721258 PGM721046:PGM721258 PQI721046:PQI721258 QAE721046:QAE721258 QKA721046:QKA721258 QTW721046:QTW721258 RDS721046:RDS721258 RNO721046:RNO721258 RXK721046:RXK721258 SHG721046:SHG721258 SRC721046:SRC721258 TAY721046:TAY721258 TKU721046:TKU721258 TUQ721046:TUQ721258 UEM721046:UEM721258 UOI721046:UOI721258 UYE721046:UYE721258 VIA721046:VIA721258 VRW721046:VRW721258 WBS721046:WBS721258 WLO721046:WLO721258 WVK721046:WVK721258 C786582:C786794 IY786582:IY786794 SU786582:SU786794 ACQ786582:ACQ786794 AMM786582:AMM786794 AWI786582:AWI786794 BGE786582:BGE786794 BQA786582:BQA786794 BZW786582:BZW786794 CJS786582:CJS786794 CTO786582:CTO786794 DDK786582:DDK786794 DNG786582:DNG786794 DXC786582:DXC786794 EGY786582:EGY786794 EQU786582:EQU786794 FAQ786582:FAQ786794 FKM786582:FKM786794 FUI786582:FUI786794 GEE786582:GEE786794 GOA786582:GOA786794 GXW786582:GXW786794 HHS786582:HHS786794 HRO786582:HRO786794 IBK786582:IBK786794 ILG786582:ILG786794 IVC786582:IVC786794 JEY786582:JEY786794 JOU786582:JOU786794 JYQ786582:JYQ786794 KIM786582:KIM786794 KSI786582:KSI786794 LCE786582:LCE786794 LMA786582:LMA786794 LVW786582:LVW786794 MFS786582:MFS786794 MPO786582:MPO786794 MZK786582:MZK786794 NJG786582:NJG786794 NTC786582:NTC786794 OCY786582:OCY786794 OMU786582:OMU786794 OWQ786582:OWQ786794 PGM786582:PGM786794 PQI786582:PQI786794 QAE786582:QAE786794 QKA786582:QKA786794 QTW786582:QTW786794 RDS786582:RDS786794 RNO786582:RNO786794 RXK786582:RXK786794 SHG786582:SHG786794 SRC786582:SRC786794 TAY786582:TAY786794 TKU786582:TKU786794 TUQ786582:TUQ786794 UEM786582:UEM786794 UOI786582:UOI786794 UYE786582:UYE786794 VIA786582:VIA786794 VRW786582:VRW786794 WBS786582:WBS786794 WLO786582:WLO786794 WVK786582:WVK786794 C852118:C852330 IY852118:IY852330 SU852118:SU852330 ACQ852118:ACQ852330 AMM852118:AMM852330 AWI852118:AWI852330 BGE852118:BGE852330 BQA852118:BQA852330 BZW852118:BZW852330 CJS852118:CJS852330 CTO852118:CTO852330 DDK852118:DDK852330 DNG852118:DNG852330 DXC852118:DXC852330 EGY852118:EGY852330 EQU852118:EQU852330 FAQ852118:FAQ852330 FKM852118:FKM852330 FUI852118:FUI852330 GEE852118:GEE852330 GOA852118:GOA852330 GXW852118:GXW852330 HHS852118:HHS852330 HRO852118:HRO852330 IBK852118:IBK852330 ILG852118:ILG852330 IVC852118:IVC852330 JEY852118:JEY852330 JOU852118:JOU852330 JYQ852118:JYQ852330 KIM852118:KIM852330 KSI852118:KSI852330 LCE852118:LCE852330 LMA852118:LMA852330 LVW852118:LVW852330 MFS852118:MFS852330 MPO852118:MPO852330 MZK852118:MZK852330 NJG852118:NJG852330 NTC852118:NTC852330 OCY852118:OCY852330 OMU852118:OMU852330 OWQ852118:OWQ852330 PGM852118:PGM852330 PQI852118:PQI852330 QAE852118:QAE852330 QKA852118:QKA852330 QTW852118:QTW852330 RDS852118:RDS852330 RNO852118:RNO852330 RXK852118:RXK852330 SHG852118:SHG852330 SRC852118:SRC852330 TAY852118:TAY852330 TKU852118:TKU852330 TUQ852118:TUQ852330 UEM852118:UEM852330 UOI852118:UOI852330 UYE852118:UYE852330 VIA852118:VIA852330 VRW852118:VRW852330 WBS852118:WBS852330 WLO852118:WLO852330 WVK852118:WVK852330 C917654:C917866 IY917654:IY917866 SU917654:SU917866 ACQ917654:ACQ917866 AMM917654:AMM917866 AWI917654:AWI917866 BGE917654:BGE917866 BQA917654:BQA917866 BZW917654:BZW917866 CJS917654:CJS917866 CTO917654:CTO917866 DDK917654:DDK917866 DNG917654:DNG917866 DXC917654:DXC917866 EGY917654:EGY917866 EQU917654:EQU917866 FAQ917654:FAQ917866 FKM917654:FKM917866 FUI917654:FUI917866 GEE917654:GEE917866 GOA917654:GOA917866 GXW917654:GXW917866 HHS917654:HHS917866 HRO917654:HRO917866 IBK917654:IBK917866 ILG917654:ILG917866 IVC917654:IVC917866 JEY917654:JEY917866 JOU917654:JOU917866 JYQ917654:JYQ917866 KIM917654:KIM917866 KSI917654:KSI917866 LCE917654:LCE917866 LMA917654:LMA917866 LVW917654:LVW917866 MFS917654:MFS917866 MPO917654:MPO917866 MZK917654:MZK917866 NJG917654:NJG917866 NTC917654:NTC917866 OCY917654:OCY917866 OMU917654:OMU917866 OWQ917654:OWQ917866 PGM917654:PGM917866 PQI917654:PQI917866 QAE917654:QAE917866 QKA917654:QKA917866 QTW917654:QTW917866 RDS917654:RDS917866 RNO917654:RNO917866 RXK917654:RXK917866 SHG917654:SHG917866 SRC917654:SRC917866 TAY917654:TAY917866 TKU917654:TKU917866 TUQ917654:TUQ917866 UEM917654:UEM917866 UOI917654:UOI917866 UYE917654:UYE917866 VIA917654:VIA917866 VRW917654:VRW917866 WBS917654:WBS917866 WLO917654:WLO917866 WVK917654:WVK917866 C983190:C983402 IY983190:IY983402 SU983190:SU983402 ACQ983190:ACQ983402 AMM983190:AMM983402 AWI983190:AWI983402 BGE983190:BGE983402 BQA983190:BQA983402 BZW983190:BZW983402 CJS983190:CJS983402 CTO983190:CTO983402 DDK983190:DDK983402 DNG983190:DNG983402 DXC983190:DXC983402 EGY983190:EGY983402 EQU983190:EQU983402 FAQ983190:FAQ983402 FKM983190:FKM983402 FUI983190:FUI983402 GEE983190:GEE983402 GOA983190:GOA983402 GXW983190:GXW983402 HHS983190:HHS983402 HRO983190:HRO983402 IBK983190:IBK983402 ILG983190:ILG983402 IVC983190:IVC983402 JEY983190:JEY983402 JOU983190:JOU983402 JYQ983190:JYQ983402 KIM983190:KIM983402 KSI983190:KSI983402 LCE983190:LCE983402 LMA983190:LMA983402 LVW983190:LVW983402 MFS983190:MFS983402 MPO983190:MPO983402 MZK983190:MZK983402 NJG983190:NJG983402 NTC983190:NTC983402 OCY983190:OCY983402 OMU983190:OMU983402 OWQ983190:OWQ983402 PGM983190:PGM983402 PQI983190:PQI983402 QAE983190:QAE983402 QKA983190:QKA983402 QTW983190:QTW983402 RDS983190:RDS983402 RNO983190:RNO983402 RXK983190:RXK983402 SHG983190:SHG983402 SRC983190:SRC983402 TAY983190:TAY983402 TKU983190:TKU983402 TUQ983190:TUQ983402 UEM983190:UEM983402 UOI983190:UOI983402 UYE983190:UYE983402 VIA983190:VIA983402 VRW983190:VRW983402 WBS983190:WBS983402 WLO983190:WLO983402 WVK983190:WVK983402">
      <formula1>$M$151:$M$153</formula1>
    </dataValidation>
  </dataValidations>
  <hyperlinks>
    <hyperlink ref="B4" r:id="rId1"/>
    <hyperlink ref="B34" r:id="rId2"/>
  </hyperlinks>
  <printOptions gridLines="1"/>
  <pageMargins left="0.53" right="0.38" top="0.5" bottom="0.5" header="0.5" footer="0.5"/>
  <pageSetup scale="99" fitToHeight="10" orientation="landscape" cellComments="atEnd" r:id="rId3"/>
  <headerFooter alignWithMargins="0"/>
  <rowBreaks count="1" manualBreakCount="1">
    <brk id="63"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436"/>
  <sheetViews>
    <sheetView zoomScale="60" zoomScaleNormal="60" workbookViewId="0">
      <pane ySplit="1" topLeftCell="A412" activePane="bottomLeft" state="frozen"/>
      <selection pane="bottomLeft"/>
    </sheetView>
  </sheetViews>
  <sheetFormatPr defaultRowHeight="15" x14ac:dyDescent="0.25"/>
  <cols>
    <col min="1" max="1" width="9.140625" style="1"/>
    <col min="2" max="2" width="15.42578125" style="77" bestFit="1" customWidth="1"/>
    <col min="3" max="6" width="14.140625" style="1" customWidth="1"/>
    <col min="7" max="7" width="10.28515625" style="1" customWidth="1"/>
    <col min="8" max="8" width="14.140625" style="1" customWidth="1"/>
    <col min="9" max="9" width="16.42578125" style="78" customWidth="1"/>
    <col min="10" max="11" width="16.7109375" style="1" customWidth="1"/>
    <col min="12" max="12" width="16.7109375" style="78" customWidth="1"/>
    <col min="13" max="13" width="16.7109375" style="1" customWidth="1"/>
    <col min="14" max="14" width="16.7109375" style="78" customWidth="1"/>
    <col min="15" max="15" width="16.7109375" style="1" customWidth="1"/>
    <col min="16" max="18" width="16.7109375" style="78" customWidth="1"/>
    <col min="19" max="19" width="16.7109375" style="99" customWidth="1"/>
    <col min="20" max="20" width="17.7109375" style="1" customWidth="1"/>
    <col min="21" max="16384" width="9.140625" style="1"/>
  </cols>
  <sheetData>
    <row r="1" spans="1:19" s="74" customFormat="1" ht="63" customHeight="1" x14ac:dyDescent="0.25">
      <c r="A1" s="74" t="s">
        <v>129</v>
      </c>
      <c r="B1" s="75" t="s">
        <v>4</v>
      </c>
      <c r="C1" s="74" t="s">
        <v>139</v>
      </c>
      <c r="D1" s="74" t="s">
        <v>5</v>
      </c>
      <c r="E1" s="74" t="s">
        <v>314</v>
      </c>
      <c r="F1" s="74" t="s">
        <v>315</v>
      </c>
      <c r="G1" s="74" t="s">
        <v>0</v>
      </c>
      <c r="H1" s="74" t="s">
        <v>1</v>
      </c>
      <c r="I1" s="76" t="s">
        <v>2</v>
      </c>
      <c r="J1" s="74" t="s">
        <v>3</v>
      </c>
      <c r="K1" s="74" t="s">
        <v>14</v>
      </c>
      <c r="L1" s="76" t="s">
        <v>15</v>
      </c>
      <c r="M1" s="74" t="s">
        <v>16</v>
      </c>
      <c r="N1" s="76" t="s">
        <v>17</v>
      </c>
      <c r="O1" s="74" t="s">
        <v>18</v>
      </c>
      <c r="P1" s="76" t="s">
        <v>19</v>
      </c>
      <c r="Q1" s="74" t="s">
        <v>20</v>
      </c>
      <c r="R1" s="76" t="s">
        <v>21</v>
      </c>
      <c r="S1" s="97" t="s">
        <v>22</v>
      </c>
    </row>
    <row r="2" spans="1:19" x14ac:dyDescent="0.25">
      <c r="A2" s="1">
        <v>2012</v>
      </c>
      <c r="B2" s="77">
        <v>41129</v>
      </c>
      <c r="C2" s="1" t="s">
        <v>6</v>
      </c>
      <c r="D2" s="1" t="s">
        <v>7</v>
      </c>
      <c r="E2" s="1" t="s">
        <v>9</v>
      </c>
      <c r="F2" s="1" t="s">
        <v>9</v>
      </c>
      <c r="G2" s="1">
        <v>12.65</v>
      </c>
      <c r="H2" s="1">
        <v>11.45</v>
      </c>
      <c r="I2" s="78">
        <v>41128.627083333333</v>
      </c>
      <c r="J2" s="1">
        <v>4.8529999999999998</v>
      </c>
      <c r="K2" s="1">
        <v>8.25</v>
      </c>
      <c r="L2" s="78">
        <v>41128.699999999997</v>
      </c>
      <c r="M2" s="1">
        <v>-6.8000000000000005E-2</v>
      </c>
      <c r="N2" s="78">
        <v>41128.186111111114</v>
      </c>
      <c r="O2" s="1">
        <v>100</v>
      </c>
      <c r="P2" s="78">
        <v>41128.382638888892</v>
      </c>
      <c r="Q2" s="1">
        <v>1594</v>
      </c>
      <c r="R2" s="78">
        <v>41128.573611111111</v>
      </c>
      <c r="S2" s="98">
        <v>23974.06</v>
      </c>
    </row>
    <row r="3" spans="1:19" x14ac:dyDescent="0.25">
      <c r="A3" s="1">
        <v>2012</v>
      </c>
      <c r="B3" s="77">
        <v>41129</v>
      </c>
      <c r="C3" s="1" t="s">
        <v>6</v>
      </c>
      <c r="D3" s="1" t="s">
        <v>8</v>
      </c>
      <c r="E3" s="1" t="s">
        <v>9</v>
      </c>
      <c r="F3" s="1" t="s">
        <v>9</v>
      </c>
      <c r="G3" s="1">
        <v>12.56</v>
      </c>
      <c r="H3" s="1">
        <v>12.93</v>
      </c>
      <c r="I3" s="78">
        <v>41128.730555555558</v>
      </c>
      <c r="J3" s="1">
        <v>5.0620000000000003</v>
      </c>
      <c r="K3" s="1">
        <v>9.06</v>
      </c>
      <c r="L3" s="78">
        <v>41128.753472222219</v>
      </c>
      <c r="M3" s="1">
        <v>-0.01</v>
      </c>
      <c r="N3" s="78">
        <v>41128.171527777777</v>
      </c>
      <c r="O3" s="1" t="e">
        <v>#N/A</v>
      </c>
      <c r="P3" s="1" t="e">
        <v>#N/A</v>
      </c>
      <c r="Q3" s="1">
        <v>1606</v>
      </c>
      <c r="R3" s="78">
        <v>41128.675000000003</v>
      </c>
      <c r="S3" s="98">
        <v>26106.26</v>
      </c>
    </row>
    <row r="4" spans="1:19" x14ac:dyDescent="0.25">
      <c r="A4" s="1">
        <v>2012</v>
      </c>
      <c r="B4" s="77">
        <v>41112</v>
      </c>
      <c r="C4" s="1" t="s">
        <v>6</v>
      </c>
      <c r="D4" s="1" t="s">
        <v>7</v>
      </c>
      <c r="E4" s="1" t="s">
        <v>9</v>
      </c>
      <c r="F4" s="1" t="s">
        <v>9</v>
      </c>
      <c r="G4" s="1">
        <v>12.75</v>
      </c>
      <c r="H4" s="1">
        <v>10.72</v>
      </c>
      <c r="I4" s="78">
        <v>41111.810416666667</v>
      </c>
      <c r="J4" s="1">
        <v>7.1470000000000002</v>
      </c>
      <c r="K4" s="1">
        <v>9.58</v>
      </c>
      <c r="L4" s="78">
        <v>41111.881944444445</v>
      </c>
      <c r="M4" s="1">
        <v>4.0519999999999996</v>
      </c>
      <c r="N4" s="78">
        <v>41112</v>
      </c>
      <c r="O4" s="1">
        <v>100</v>
      </c>
      <c r="P4" s="78">
        <v>41111.000694444447</v>
      </c>
      <c r="Q4" s="1">
        <v>663.9</v>
      </c>
      <c r="R4" s="78">
        <v>41111.754166666666</v>
      </c>
      <c r="S4" s="98">
        <v>15472.75</v>
      </c>
    </row>
    <row r="5" spans="1:19" x14ac:dyDescent="0.25">
      <c r="A5" s="1">
        <v>2012</v>
      </c>
      <c r="B5" s="77">
        <v>41128</v>
      </c>
      <c r="C5" s="1" t="s">
        <v>6</v>
      </c>
      <c r="D5" s="1" t="s">
        <v>7</v>
      </c>
      <c r="E5" s="1" t="s">
        <v>9</v>
      </c>
      <c r="F5" s="1" t="s">
        <v>9</v>
      </c>
      <c r="G5" s="1">
        <v>12.7</v>
      </c>
      <c r="H5" s="1">
        <v>9.91</v>
      </c>
      <c r="I5" s="78">
        <v>41127.40902777778</v>
      </c>
      <c r="J5" s="1">
        <v>6.1449999999999996</v>
      </c>
      <c r="K5" s="1">
        <v>9.76</v>
      </c>
      <c r="L5" s="78">
        <v>41127.361111111109</v>
      </c>
      <c r="M5" s="1">
        <v>2.4350000000000001</v>
      </c>
      <c r="N5" s="78">
        <v>41127.994444444441</v>
      </c>
      <c r="O5" s="1">
        <v>99.7</v>
      </c>
      <c r="P5" s="78">
        <v>41127.92291666667</v>
      </c>
      <c r="Q5" s="1">
        <v>396.6</v>
      </c>
      <c r="R5" s="78">
        <v>41127.390972222223</v>
      </c>
      <c r="S5" s="98">
        <v>5730.6949999999997</v>
      </c>
    </row>
    <row r="6" spans="1:19" x14ac:dyDescent="0.25">
      <c r="A6" s="1">
        <v>2012</v>
      </c>
      <c r="B6" s="77">
        <v>41128</v>
      </c>
      <c r="C6" s="1" t="s">
        <v>6</v>
      </c>
      <c r="D6" s="1" t="s">
        <v>8</v>
      </c>
      <c r="E6" s="1" t="s">
        <v>9</v>
      </c>
      <c r="F6" s="1" t="s">
        <v>9</v>
      </c>
      <c r="G6" s="1">
        <v>12.59</v>
      </c>
      <c r="H6" s="1">
        <v>9.7899999999999991</v>
      </c>
      <c r="I6" s="78">
        <v>41127.447222222225</v>
      </c>
      <c r="J6" s="1">
        <v>5.6289999999999996</v>
      </c>
      <c r="K6" s="1">
        <v>9.86</v>
      </c>
      <c r="L6" s="78">
        <v>41127.357638888891</v>
      </c>
      <c r="M6" s="1">
        <v>1.0269999999999999</v>
      </c>
      <c r="N6" s="78">
        <v>41127.074999999997</v>
      </c>
      <c r="O6" s="1" t="e">
        <v>#N/A</v>
      </c>
      <c r="P6" s="1" t="e">
        <v>#N/A</v>
      </c>
      <c r="Q6" s="1">
        <v>487.3</v>
      </c>
      <c r="R6" s="78">
        <v>41127.39166666667</v>
      </c>
      <c r="S6" s="98">
        <v>6893.0360000000001</v>
      </c>
    </row>
    <row r="7" spans="1:19" x14ac:dyDescent="0.25">
      <c r="A7" s="1">
        <v>2012</v>
      </c>
      <c r="B7" s="77">
        <v>41112</v>
      </c>
      <c r="C7" s="1" t="s">
        <v>6</v>
      </c>
      <c r="D7" s="1" t="s">
        <v>7</v>
      </c>
      <c r="E7" s="1" t="s">
        <v>12</v>
      </c>
      <c r="F7" s="1" t="s">
        <v>11</v>
      </c>
      <c r="G7" s="1">
        <v>12.75</v>
      </c>
      <c r="H7" s="1">
        <v>10.72</v>
      </c>
      <c r="I7" s="78">
        <v>41111.810416666667</v>
      </c>
      <c r="J7" s="1">
        <v>7.1470000000000002</v>
      </c>
      <c r="K7" s="1">
        <v>10.02</v>
      </c>
      <c r="L7" s="78">
        <v>41111.804166666669</v>
      </c>
      <c r="M7" s="1">
        <v>4.0860000000000003</v>
      </c>
      <c r="N7" s="78">
        <v>41111.999305555553</v>
      </c>
      <c r="O7" s="1">
        <v>96.4</v>
      </c>
      <c r="P7" s="78">
        <v>41111.449999999997</v>
      </c>
      <c r="Q7" s="1">
        <v>21.33</v>
      </c>
      <c r="R7" s="78">
        <v>41111.683333333334</v>
      </c>
      <c r="S7" s="98">
        <v>232.3784</v>
      </c>
    </row>
    <row r="8" spans="1:19" x14ac:dyDescent="0.25">
      <c r="A8" s="1">
        <v>2012</v>
      </c>
      <c r="B8" s="77">
        <v>41108</v>
      </c>
      <c r="C8" s="1" t="s">
        <v>6</v>
      </c>
      <c r="D8" s="1" t="s">
        <v>8</v>
      </c>
      <c r="E8" s="1" t="s">
        <v>9</v>
      </c>
      <c r="F8" s="1" t="s">
        <v>9</v>
      </c>
      <c r="G8" s="1">
        <v>12.69</v>
      </c>
      <c r="H8" s="1">
        <v>10.65</v>
      </c>
      <c r="I8" s="78">
        <v>41107.499305555553</v>
      </c>
      <c r="J8" s="1">
        <v>7.8419999999999996</v>
      </c>
      <c r="K8" s="1">
        <v>10.14</v>
      </c>
      <c r="L8" s="78">
        <v>41107.447222222225</v>
      </c>
      <c r="M8" s="1">
        <v>4.5359999999999996</v>
      </c>
      <c r="N8" s="78">
        <v>41108</v>
      </c>
      <c r="O8" s="1" t="e">
        <v>#N/A</v>
      </c>
      <c r="P8" s="1" t="e">
        <v>#N/A</v>
      </c>
      <c r="Q8" s="1">
        <v>267.5</v>
      </c>
      <c r="R8" s="78">
        <v>41107.517361111109</v>
      </c>
      <c r="S8" s="98">
        <v>6250.5339999999997</v>
      </c>
    </row>
    <row r="9" spans="1:19" x14ac:dyDescent="0.25">
      <c r="A9" s="1">
        <v>2012</v>
      </c>
      <c r="B9" s="77">
        <v>41128</v>
      </c>
      <c r="C9" s="1" t="s">
        <v>6</v>
      </c>
      <c r="D9" s="1" t="s">
        <v>7</v>
      </c>
      <c r="E9" s="1" t="s">
        <v>12</v>
      </c>
      <c r="F9" s="1" t="s">
        <v>11</v>
      </c>
      <c r="G9" s="1">
        <v>12.7</v>
      </c>
      <c r="H9" s="1">
        <v>9.91</v>
      </c>
      <c r="I9" s="78">
        <v>41127.40902777778</v>
      </c>
      <c r="J9" s="1">
        <v>6.1449999999999996</v>
      </c>
      <c r="K9" s="1">
        <v>10.32</v>
      </c>
      <c r="L9" s="78">
        <v>41127.4</v>
      </c>
      <c r="M9" s="1">
        <v>0.68</v>
      </c>
      <c r="N9" s="78">
        <v>41127.192361111112</v>
      </c>
      <c r="O9" s="1">
        <v>96.1</v>
      </c>
      <c r="P9" s="78">
        <v>41127.213194444441</v>
      </c>
      <c r="Q9" s="1">
        <v>55.99</v>
      </c>
      <c r="R9" s="78">
        <v>41127.39166666667</v>
      </c>
      <c r="S9" s="98">
        <v>853.42470000000003</v>
      </c>
    </row>
    <row r="10" spans="1:19" x14ac:dyDescent="0.25">
      <c r="A10" s="1">
        <v>2012</v>
      </c>
      <c r="B10" s="77">
        <v>41128</v>
      </c>
      <c r="C10" s="1" t="s">
        <v>6</v>
      </c>
      <c r="D10" s="1" t="s">
        <v>8</v>
      </c>
      <c r="E10" s="1" t="s">
        <v>10</v>
      </c>
      <c r="F10" s="1" t="s">
        <v>11</v>
      </c>
      <c r="G10" s="1">
        <v>12.59</v>
      </c>
      <c r="H10" s="1">
        <v>9.7899999999999991</v>
      </c>
      <c r="I10" s="78">
        <v>41127.447222222225</v>
      </c>
      <c r="J10" s="1">
        <v>5.6289999999999996</v>
      </c>
      <c r="K10" s="1">
        <v>10.36</v>
      </c>
      <c r="L10" s="78">
        <v>41127.40347222222</v>
      </c>
      <c r="M10" s="1">
        <v>0.28799999999999998</v>
      </c>
      <c r="N10" s="78">
        <v>41127.194444444445</v>
      </c>
      <c r="O10" s="1" t="e">
        <v>#N/A</v>
      </c>
      <c r="P10" s="1" t="e">
        <v>#N/A</v>
      </c>
      <c r="Q10" s="1">
        <v>78.86</v>
      </c>
      <c r="R10" s="78">
        <v>41127.39166666667</v>
      </c>
      <c r="S10" s="98">
        <v>1204.6310000000001</v>
      </c>
    </row>
    <row r="11" spans="1:19" x14ac:dyDescent="0.25">
      <c r="A11" s="1">
        <v>2012</v>
      </c>
      <c r="B11" s="77">
        <v>41112</v>
      </c>
      <c r="C11" s="1" t="s">
        <v>6</v>
      </c>
      <c r="D11" s="1" t="s">
        <v>8</v>
      </c>
      <c r="E11" s="1" t="s">
        <v>9</v>
      </c>
      <c r="F11" s="1" t="s">
        <v>9</v>
      </c>
      <c r="G11" s="1">
        <v>12.64</v>
      </c>
      <c r="H11" s="1">
        <v>10.7</v>
      </c>
      <c r="I11" s="78">
        <v>41111.901388888888</v>
      </c>
      <c r="J11" s="1">
        <v>7.34</v>
      </c>
      <c r="K11" s="1">
        <v>10.38</v>
      </c>
      <c r="L11" s="78">
        <v>41111.874305555553</v>
      </c>
      <c r="M11" s="1">
        <v>2.4700000000000002</v>
      </c>
      <c r="N11" s="78">
        <v>41112</v>
      </c>
      <c r="O11" s="1" t="e">
        <v>#N/A</v>
      </c>
      <c r="P11" s="1" t="e">
        <v>#N/A</v>
      </c>
      <c r="Q11" s="1">
        <v>764.6</v>
      </c>
      <c r="R11" s="78">
        <v>41111.753472222219</v>
      </c>
      <c r="S11" s="98">
        <v>15840.2</v>
      </c>
    </row>
    <row r="12" spans="1:19" x14ac:dyDescent="0.25">
      <c r="A12" s="1">
        <v>2012</v>
      </c>
      <c r="B12" s="77">
        <v>41112</v>
      </c>
      <c r="C12" s="1" t="s">
        <v>6</v>
      </c>
      <c r="D12" s="1" t="s">
        <v>8</v>
      </c>
      <c r="E12" s="1" t="s">
        <v>10</v>
      </c>
      <c r="F12" s="1" t="s">
        <v>11</v>
      </c>
      <c r="G12" s="1">
        <v>12.64</v>
      </c>
      <c r="H12" s="1">
        <v>10.7</v>
      </c>
      <c r="I12" s="78">
        <v>41111.901388888888</v>
      </c>
      <c r="J12" s="1">
        <v>7.34</v>
      </c>
      <c r="K12" s="1">
        <v>10.41</v>
      </c>
      <c r="L12" s="78">
        <v>41111.767361111109</v>
      </c>
      <c r="M12" s="1">
        <v>3.3940000000000001</v>
      </c>
      <c r="N12" s="78">
        <v>41112</v>
      </c>
      <c r="O12" s="1" t="e">
        <v>#N/A</v>
      </c>
      <c r="P12" s="1" t="e">
        <v>#N/A</v>
      </c>
      <c r="Q12" s="1">
        <v>108.5</v>
      </c>
      <c r="R12" s="78">
        <v>41111.757638888892</v>
      </c>
      <c r="S12" s="98">
        <v>2207.9760000000001</v>
      </c>
    </row>
    <row r="13" spans="1:19" x14ac:dyDescent="0.25">
      <c r="A13" s="1">
        <v>2012</v>
      </c>
      <c r="B13" s="77">
        <v>41132</v>
      </c>
      <c r="C13" s="1" t="s">
        <v>6</v>
      </c>
      <c r="D13" s="1" t="s">
        <v>7</v>
      </c>
      <c r="E13" s="1" t="s">
        <v>9</v>
      </c>
      <c r="F13" s="1" t="s">
        <v>9</v>
      </c>
      <c r="G13" s="1">
        <v>12.78</v>
      </c>
      <c r="H13" s="1">
        <v>11.47</v>
      </c>
      <c r="I13" s="78">
        <v>41131.771527777775</v>
      </c>
      <c r="J13" s="1">
        <v>7.891</v>
      </c>
      <c r="K13" s="1">
        <v>10.42</v>
      </c>
      <c r="L13" s="78">
        <v>41131.762499999997</v>
      </c>
      <c r="M13" s="1">
        <v>2.2989999999999999</v>
      </c>
      <c r="N13" s="78">
        <v>41131.192361111112</v>
      </c>
      <c r="O13" s="1">
        <v>95.5</v>
      </c>
      <c r="P13" s="78">
        <v>41131.195833333331</v>
      </c>
      <c r="Q13" s="1">
        <v>652.6</v>
      </c>
      <c r="R13" s="78">
        <v>41131.518055555556</v>
      </c>
      <c r="S13" s="98">
        <v>9629.3549999999996</v>
      </c>
    </row>
    <row r="14" spans="1:19" x14ac:dyDescent="0.25">
      <c r="A14" s="1">
        <v>2012</v>
      </c>
      <c r="B14" s="77">
        <v>41132</v>
      </c>
      <c r="C14" s="1" t="s">
        <v>6</v>
      </c>
      <c r="D14" s="1" t="s">
        <v>8</v>
      </c>
      <c r="E14" s="1" t="s">
        <v>9</v>
      </c>
      <c r="F14" s="1" t="s">
        <v>9</v>
      </c>
      <c r="G14" s="1">
        <v>12.62</v>
      </c>
      <c r="H14" s="1">
        <v>11.38</v>
      </c>
      <c r="I14" s="78">
        <v>41131.772222222222</v>
      </c>
      <c r="J14" s="1">
        <v>7.742</v>
      </c>
      <c r="K14" s="1">
        <v>10.44</v>
      </c>
      <c r="L14" s="78">
        <v>41131.750694444447</v>
      </c>
      <c r="M14" s="1">
        <v>2.8769999999999998</v>
      </c>
      <c r="N14" s="78">
        <v>41131.183333333334</v>
      </c>
      <c r="O14" s="1" t="e">
        <v>#N/A</v>
      </c>
      <c r="P14" s="1" t="e">
        <v>#N/A</v>
      </c>
      <c r="Q14" s="1">
        <v>715.1</v>
      </c>
      <c r="R14" s="78">
        <v>41131.518750000003</v>
      </c>
      <c r="S14" s="98">
        <v>10362.36</v>
      </c>
    </row>
    <row r="15" spans="1:19" x14ac:dyDescent="0.25">
      <c r="A15" s="1">
        <v>2012</v>
      </c>
      <c r="B15" s="77">
        <v>41108</v>
      </c>
      <c r="C15" s="1" t="s">
        <v>6</v>
      </c>
      <c r="D15" s="1" t="s">
        <v>8</v>
      </c>
      <c r="E15" s="1" t="s">
        <v>10</v>
      </c>
      <c r="F15" s="1" t="s">
        <v>11</v>
      </c>
      <c r="G15" s="1">
        <v>12.69</v>
      </c>
      <c r="H15" s="1">
        <v>10.65</v>
      </c>
      <c r="I15" s="78">
        <v>41107.499305555553</v>
      </c>
      <c r="J15" s="1">
        <v>7.8419999999999996</v>
      </c>
      <c r="K15" s="1">
        <v>10.58</v>
      </c>
      <c r="L15" s="78">
        <v>41107.452777777777</v>
      </c>
      <c r="M15" s="1">
        <v>4.6040000000000001</v>
      </c>
      <c r="N15" s="78">
        <v>41108</v>
      </c>
      <c r="O15" s="1" t="e">
        <v>#N/A</v>
      </c>
      <c r="P15" s="1" t="e">
        <v>#N/A</v>
      </c>
      <c r="Q15" s="1">
        <v>68.040000000000006</v>
      </c>
      <c r="R15" s="78">
        <v>41107.517361111109</v>
      </c>
      <c r="S15" s="98">
        <v>1514.1020000000001</v>
      </c>
    </row>
    <row r="16" spans="1:19" x14ac:dyDescent="0.25">
      <c r="A16" s="1">
        <v>2012</v>
      </c>
      <c r="B16" s="77">
        <v>41109</v>
      </c>
      <c r="C16" s="1" t="s">
        <v>6</v>
      </c>
      <c r="D16" s="1" t="s">
        <v>8</v>
      </c>
      <c r="E16" s="1" t="s">
        <v>9</v>
      </c>
      <c r="F16" s="1" t="s">
        <v>9</v>
      </c>
      <c r="G16" s="1">
        <v>12.79</v>
      </c>
      <c r="H16" s="1">
        <v>11.61</v>
      </c>
      <c r="I16" s="78">
        <v>41108.727777777778</v>
      </c>
      <c r="J16" s="1">
        <v>9.86</v>
      </c>
      <c r="K16" s="1">
        <v>10.58</v>
      </c>
      <c r="L16" s="78">
        <v>41108.591666666667</v>
      </c>
      <c r="M16" s="1">
        <v>7.149</v>
      </c>
      <c r="N16" s="78">
        <v>41108.993750000001</v>
      </c>
      <c r="O16" s="1" t="e">
        <v>#N/A</v>
      </c>
      <c r="P16" s="1" t="e">
        <v>#N/A</v>
      </c>
      <c r="Q16" s="1">
        <v>817</v>
      </c>
      <c r="R16" s="78">
        <v>41108.588888888888</v>
      </c>
      <c r="S16" s="98">
        <v>11520.73</v>
      </c>
    </row>
    <row r="17" spans="1:19" x14ac:dyDescent="0.25">
      <c r="A17" s="1">
        <v>2012</v>
      </c>
      <c r="B17" s="77">
        <v>41133</v>
      </c>
      <c r="C17" s="1" t="s">
        <v>6</v>
      </c>
      <c r="D17" s="1" t="s">
        <v>7</v>
      </c>
      <c r="E17" s="1" t="s">
        <v>9</v>
      </c>
      <c r="F17" s="1" t="s">
        <v>9</v>
      </c>
      <c r="G17" s="1">
        <v>12.75</v>
      </c>
      <c r="H17" s="1">
        <v>13.21</v>
      </c>
      <c r="I17" s="78">
        <v>41132.638888888891</v>
      </c>
      <c r="J17" s="1">
        <v>8.6</v>
      </c>
      <c r="K17" s="1">
        <v>10.61</v>
      </c>
      <c r="L17" s="78">
        <v>41132.629861111112</v>
      </c>
      <c r="M17" s="1">
        <v>2.1970000000000001</v>
      </c>
      <c r="N17" s="78">
        <v>41132.217361111114</v>
      </c>
      <c r="O17" s="1">
        <v>96.9</v>
      </c>
      <c r="P17" s="78">
        <v>41132.204861111109</v>
      </c>
      <c r="Q17" s="1">
        <v>1224</v>
      </c>
      <c r="R17" s="78">
        <v>41132.628472222219</v>
      </c>
      <c r="S17" s="98">
        <v>15699.96</v>
      </c>
    </row>
    <row r="18" spans="1:19" x14ac:dyDescent="0.25">
      <c r="A18" s="1">
        <v>2012</v>
      </c>
      <c r="B18" s="77">
        <v>41109</v>
      </c>
      <c r="C18" s="1" t="s">
        <v>6</v>
      </c>
      <c r="D18" s="1" t="s">
        <v>7</v>
      </c>
      <c r="E18" s="1" t="s">
        <v>9</v>
      </c>
      <c r="F18" s="1" t="s">
        <v>9</v>
      </c>
      <c r="G18" s="1">
        <v>12.97</v>
      </c>
      <c r="H18" s="1">
        <v>13.16</v>
      </c>
      <c r="I18" s="78">
        <v>41108.453472222223</v>
      </c>
      <c r="J18" s="1">
        <v>10.08</v>
      </c>
      <c r="K18" s="1">
        <v>10.76</v>
      </c>
      <c r="L18" s="78">
        <v>41108.60833333333</v>
      </c>
      <c r="M18" s="1">
        <v>7.383</v>
      </c>
      <c r="N18" s="78">
        <v>41109</v>
      </c>
      <c r="O18" s="1">
        <v>96.2</v>
      </c>
      <c r="P18" s="78">
        <v>41108.873611111114</v>
      </c>
      <c r="Q18" s="1">
        <v>805</v>
      </c>
      <c r="R18" s="78">
        <v>41108.588194444441</v>
      </c>
      <c r="S18" s="98">
        <v>12409.26</v>
      </c>
    </row>
    <row r="19" spans="1:19" x14ac:dyDescent="0.25">
      <c r="A19" s="1">
        <v>2012</v>
      </c>
      <c r="B19" s="77">
        <v>41128</v>
      </c>
      <c r="C19" s="1" t="s">
        <v>6</v>
      </c>
      <c r="D19" s="1" t="s">
        <v>7</v>
      </c>
      <c r="E19" s="1" t="s">
        <v>10</v>
      </c>
      <c r="F19" s="1" t="s">
        <v>11</v>
      </c>
      <c r="G19" s="1">
        <v>12.7</v>
      </c>
      <c r="H19" s="1">
        <v>9.91</v>
      </c>
      <c r="I19" s="78">
        <v>41127.40902777778</v>
      </c>
      <c r="J19" s="1">
        <v>6.1449999999999996</v>
      </c>
      <c r="K19" s="1">
        <v>10.87</v>
      </c>
      <c r="L19" s="78">
        <v>41127.398611111108</v>
      </c>
      <c r="M19" s="1">
        <v>0.54300000000000004</v>
      </c>
      <c r="N19" s="78">
        <v>41127.188194444447</v>
      </c>
      <c r="O19" s="1">
        <v>100</v>
      </c>
      <c r="P19" s="78">
        <v>41127.195138888892</v>
      </c>
      <c r="Q19" s="1">
        <v>51.99</v>
      </c>
      <c r="R19" s="78">
        <v>41127.39166666667</v>
      </c>
      <c r="S19" s="98">
        <v>875.82899999999995</v>
      </c>
    </row>
    <row r="20" spans="1:19" x14ac:dyDescent="0.25">
      <c r="A20" s="1">
        <v>2012</v>
      </c>
      <c r="B20" s="77">
        <v>41129</v>
      </c>
      <c r="C20" s="1" t="s">
        <v>6</v>
      </c>
      <c r="D20" s="1" t="s">
        <v>7</v>
      </c>
      <c r="E20" s="1" t="s">
        <v>10</v>
      </c>
      <c r="F20" s="1" t="s">
        <v>11</v>
      </c>
      <c r="G20" s="1">
        <v>12.65</v>
      </c>
      <c r="H20" s="1">
        <v>11.45</v>
      </c>
      <c r="I20" s="78">
        <v>41128.627083333333</v>
      </c>
      <c r="J20" s="1">
        <v>4.8529999999999998</v>
      </c>
      <c r="K20" s="1">
        <v>10.9</v>
      </c>
      <c r="L20" s="78">
        <v>41128.620138888888</v>
      </c>
      <c r="M20" s="1">
        <v>0.20399999999999999</v>
      </c>
      <c r="N20" s="78">
        <v>41128.160416666666</v>
      </c>
      <c r="O20" s="1">
        <v>98.5</v>
      </c>
      <c r="P20" s="78">
        <v>41128.400694444441</v>
      </c>
      <c r="Q20" s="1">
        <v>274.60000000000002</v>
      </c>
      <c r="R20" s="78">
        <v>41128.604166666664</v>
      </c>
      <c r="S20" s="98">
        <v>2391.6680000000001</v>
      </c>
    </row>
    <row r="21" spans="1:19" x14ac:dyDescent="0.25">
      <c r="A21" s="1">
        <v>2012</v>
      </c>
      <c r="B21" s="77">
        <v>41132</v>
      </c>
      <c r="C21" s="1" t="s">
        <v>6</v>
      </c>
      <c r="D21" s="1" t="s">
        <v>7</v>
      </c>
      <c r="E21" s="1" t="s">
        <v>12</v>
      </c>
      <c r="F21" s="1" t="s">
        <v>11</v>
      </c>
      <c r="G21" s="1">
        <v>12.78</v>
      </c>
      <c r="H21" s="1">
        <v>11.47</v>
      </c>
      <c r="I21" s="78">
        <v>41131.771527777775</v>
      </c>
      <c r="J21" s="1">
        <v>7.891</v>
      </c>
      <c r="K21" s="1">
        <v>10.97</v>
      </c>
      <c r="L21" s="78">
        <v>41131.768055555556</v>
      </c>
      <c r="M21" s="1">
        <v>2.6389999999999998</v>
      </c>
      <c r="N21" s="78">
        <v>41131.134027777778</v>
      </c>
      <c r="O21" s="1">
        <v>95.4</v>
      </c>
      <c r="P21" s="78">
        <v>41131.241666666669</v>
      </c>
      <c r="Q21" s="1">
        <v>77.33</v>
      </c>
      <c r="R21" s="78">
        <v>41131.517361111109</v>
      </c>
      <c r="S21" s="98">
        <v>1199.5930000000001</v>
      </c>
    </row>
    <row r="22" spans="1:19" x14ac:dyDescent="0.25">
      <c r="A22" s="1">
        <v>2012</v>
      </c>
      <c r="B22" s="77">
        <v>41130</v>
      </c>
      <c r="C22" s="1" t="s">
        <v>6</v>
      </c>
      <c r="D22" s="1" t="s">
        <v>7</v>
      </c>
      <c r="E22" s="1" t="s">
        <v>9</v>
      </c>
      <c r="F22" s="1" t="s">
        <v>9</v>
      </c>
      <c r="G22" s="1">
        <v>12.83</v>
      </c>
      <c r="H22" s="1">
        <v>12.7</v>
      </c>
      <c r="I22" s="78">
        <v>41129.607638888891</v>
      </c>
      <c r="J22" s="1">
        <v>6.9210000000000003</v>
      </c>
      <c r="K22" s="1">
        <v>11.12</v>
      </c>
      <c r="L22" s="78">
        <v>41129.75277777778</v>
      </c>
      <c r="M22" s="1">
        <v>-1.7270000000000001</v>
      </c>
      <c r="N22" s="78">
        <v>41129.115277777775</v>
      </c>
      <c r="O22" s="1">
        <v>98.6</v>
      </c>
      <c r="P22" s="78">
        <v>41129.099305555559</v>
      </c>
      <c r="Q22" s="1">
        <v>1086</v>
      </c>
      <c r="R22" s="78">
        <v>41129.587500000001</v>
      </c>
      <c r="S22" s="98">
        <v>19438.46</v>
      </c>
    </row>
    <row r="23" spans="1:19" x14ac:dyDescent="0.25">
      <c r="A23" s="1">
        <v>2012</v>
      </c>
      <c r="B23" s="77">
        <v>41112</v>
      </c>
      <c r="C23" s="1" t="s">
        <v>6</v>
      </c>
      <c r="D23" s="1" t="s">
        <v>7</v>
      </c>
      <c r="E23" s="1" t="s">
        <v>10</v>
      </c>
      <c r="F23" s="1" t="s">
        <v>11</v>
      </c>
      <c r="G23" s="1">
        <v>12.75</v>
      </c>
      <c r="H23" s="1">
        <v>10.72</v>
      </c>
      <c r="I23" s="78">
        <v>41111.810416666667</v>
      </c>
      <c r="J23" s="1">
        <v>7.1470000000000002</v>
      </c>
      <c r="K23" s="1">
        <v>11.24</v>
      </c>
      <c r="L23" s="78">
        <v>41111.761111111111</v>
      </c>
      <c r="M23" s="1">
        <v>3.3719999999999999</v>
      </c>
      <c r="N23" s="78">
        <v>41112</v>
      </c>
      <c r="O23" s="1">
        <v>99.3</v>
      </c>
      <c r="P23" s="78">
        <v>41111.505555555559</v>
      </c>
      <c r="Q23" s="1">
        <v>86</v>
      </c>
      <c r="R23" s="78">
        <v>41111.683333333334</v>
      </c>
      <c r="S23" s="98">
        <v>2023.809</v>
      </c>
    </row>
    <row r="24" spans="1:19" x14ac:dyDescent="0.25">
      <c r="A24" s="1">
        <v>2012</v>
      </c>
      <c r="B24" s="77">
        <v>41130</v>
      </c>
      <c r="C24" s="1" t="s">
        <v>6</v>
      </c>
      <c r="D24" s="1" t="s">
        <v>8</v>
      </c>
      <c r="E24" s="1" t="s">
        <v>9</v>
      </c>
      <c r="F24" s="1" t="s">
        <v>9</v>
      </c>
      <c r="G24" s="1">
        <v>12.67</v>
      </c>
      <c r="H24" s="1">
        <v>13.07</v>
      </c>
      <c r="I24" s="78">
        <v>41129.605555555558</v>
      </c>
      <c r="J24" s="1">
        <v>6.8879999999999999</v>
      </c>
      <c r="K24" s="1">
        <v>11.25</v>
      </c>
      <c r="L24" s="78">
        <v>41129.75277777778</v>
      </c>
      <c r="M24" s="1">
        <v>-1.0009999999999999</v>
      </c>
      <c r="N24" s="78">
        <v>41129.120833333334</v>
      </c>
      <c r="O24" s="1" t="e">
        <v>#N/A</v>
      </c>
      <c r="P24" s="1" t="e">
        <v>#N/A</v>
      </c>
      <c r="Q24" s="1">
        <v>1265</v>
      </c>
      <c r="R24" s="78">
        <v>41129.588194444441</v>
      </c>
      <c r="S24" s="98">
        <v>21768.3</v>
      </c>
    </row>
    <row r="25" spans="1:19" x14ac:dyDescent="0.25">
      <c r="A25" s="1">
        <v>2012</v>
      </c>
      <c r="B25" s="77">
        <v>41107</v>
      </c>
      <c r="C25" s="1" t="s">
        <v>6</v>
      </c>
      <c r="D25" s="1" t="s">
        <v>8</v>
      </c>
      <c r="E25" s="1" t="s">
        <v>9</v>
      </c>
      <c r="F25" s="1" t="s">
        <v>9</v>
      </c>
      <c r="G25" s="1">
        <v>12.7</v>
      </c>
      <c r="H25" s="1">
        <v>11.79</v>
      </c>
      <c r="I25" s="78">
        <v>41106.581944444442</v>
      </c>
      <c r="J25" s="1">
        <v>9.67</v>
      </c>
      <c r="K25" s="1">
        <v>11.32</v>
      </c>
      <c r="L25" s="78">
        <v>41106.578472222223</v>
      </c>
      <c r="M25" s="1">
        <v>7.6909999999999998</v>
      </c>
      <c r="N25" s="78">
        <v>41106.102777777778</v>
      </c>
      <c r="O25" s="1" t="e">
        <v>#N/A</v>
      </c>
      <c r="P25" s="1" t="e">
        <v>#N/A</v>
      </c>
      <c r="Q25" s="1">
        <v>340.1</v>
      </c>
      <c r="R25" s="78">
        <v>41106.570833333331</v>
      </c>
      <c r="S25" s="98">
        <v>7123.9390000000003</v>
      </c>
    </row>
    <row r="26" spans="1:19" x14ac:dyDescent="0.25">
      <c r="A26" s="1">
        <v>2012</v>
      </c>
      <c r="B26" s="77">
        <v>41133</v>
      </c>
      <c r="C26" s="1" t="s">
        <v>6</v>
      </c>
      <c r="D26" s="1" t="s">
        <v>8</v>
      </c>
      <c r="E26" s="1" t="s">
        <v>9</v>
      </c>
      <c r="F26" s="1" t="s">
        <v>9</v>
      </c>
      <c r="G26" s="1">
        <v>12.61</v>
      </c>
      <c r="H26" s="1">
        <v>14.37</v>
      </c>
      <c r="I26" s="78">
        <v>41132.634027777778</v>
      </c>
      <c r="J26" s="1">
        <v>8.48</v>
      </c>
      <c r="K26" s="1">
        <v>11.33</v>
      </c>
      <c r="L26" s="78">
        <v>41132.625</v>
      </c>
      <c r="M26" s="1">
        <v>2.089</v>
      </c>
      <c r="N26" s="78">
        <v>41132.23541666667</v>
      </c>
      <c r="O26" s="1" t="e">
        <v>#N/A</v>
      </c>
      <c r="P26" s="1" t="e">
        <v>#N/A</v>
      </c>
      <c r="Q26" s="1">
        <v>1107</v>
      </c>
      <c r="R26" s="78">
        <v>41132.625</v>
      </c>
      <c r="S26" s="98">
        <v>17008.82</v>
      </c>
    </row>
    <row r="27" spans="1:19" x14ac:dyDescent="0.25">
      <c r="A27" s="1">
        <v>2012</v>
      </c>
      <c r="B27" s="77">
        <v>41129</v>
      </c>
      <c r="C27" s="1" t="s">
        <v>6</v>
      </c>
      <c r="D27" s="1" t="s">
        <v>7</v>
      </c>
      <c r="E27" s="1" t="s">
        <v>12</v>
      </c>
      <c r="F27" s="1" t="s">
        <v>11</v>
      </c>
      <c r="G27" s="1">
        <v>12.65</v>
      </c>
      <c r="H27" s="1">
        <v>11.45</v>
      </c>
      <c r="I27" s="78">
        <v>41128.627083333333</v>
      </c>
      <c r="J27" s="1">
        <v>4.8529999999999998</v>
      </c>
      <c r="K27" s="1">
        <v>11.34</v>
      </c>
      <c r="L27" s="78">
        <v>41128.620833333334</v>
      </c>
      <c r="M27" s="1">
        <v>0.27200000000000002</v>
      </c>
      <c r="N27" s="78">
        <v>41128.163194444445</v>
      </c>
      <c r="O27" s="1">
        <v>95.9</v>
      </c>
      <c r="P27" s="78">
        <v>41128.421527777777</v>
      </c>
      <c r="Q27" s="1">
        <v>191.3</v>
      </c>
      <c r="R27" s="78">
        <v>41128.575694444444</v>
      </c>
      <c r="S27" s="98">
        <v>2374.674</v>
      </c>
    </row>
    <row r="28" spans="1:19" x14ac:dyDescent="0.25">
      <c r="A28" s="1">
        <v>2012</v>
      </c>
      <c r="B28" s="77">
        <v>41132</v>
      </c>
      <c r="C28" s="1" t="s">
        <v>6</v>
      </c>
      <c r="D28" s="1" t="s">
        <v>7</v>
      </c>
      <c r="E28" s="1" t="s">
        <v>10</v>
      </c>
      <c r="F28" s="1" t="s">
        <v>11</v>
      </c>
      <c r="G28" s="1">
        <v>12.78</v>
      </c>
      <c r="H28" s="1">
        <v>11.47</v>
      </c>
      <c r="I28" s="78">
        <v>41131.771527777775</v>
      </c>
      <c r="J28" s="1">
        <v>7.891</v>
      </c>
      <c r="K28" s="1">
        <v>11.38</v>
      </c>
      <c r="L28" s="78">
        <v>41131.762499999997</v>
      </c>
      <c r="M28" s="1">
        <v>2.4350000000000001</v>
      </c>
      <c r="N28" s="78">
        <v>41131.131944444445</v>
      </c>
      <c r="O28" s="1">
        <v>99.1</v>
      </c>
      <c r="P28" s="78">
        <v>41131.027083333334</v>
      </c>
      <c r="Q28" s="1">
        <v>79.989999999999995</v>
      </c>
      <c r="R28" s="78">
        <v>41131.522916666669</v>
      </c>
      <c r="S28" s="98">
        <v>1430.2470000000001</v>
      </c>
    </row>
    <row r="29" spans="1:19" x14ac:dyDescent="0.25">
      <c r="A29" s="1">
        <v>2012</v>
      </c>
      <c r="B29" s="77">
        <v>41132</v>
      </c>
      <c r="C29" s="1" t="s">
        <v>6</v>
      </c>
      <c r="D29" s="1" t="s">
        <v>8</v>
      </c>
      <c r="E29" s="1" t="s">
        <v>10</v>
      </c>
      <c r="F29" s="1" t="s">
        <v>11</v>
      </c>
      <c r="G29" s="1">
        <v>12.62</v>
      </c>
      <c r="H29" s="1">
        <v>11.38</v>
      </c>
      <c r="I29" s="78">
        <v>41131.772222222222</v>
      </c>
      <c r="J29" s="1">
        <v>7.742</v>
      </c>
      <c r="K29" s="1">
        <v>11.5</v>
      </c>
      <c r="L29" s="78">
        <v>41131.765972222223</v>
      </c>
      <c r="M29" s="1">
        <v>2.1579999999999999</v>
      </c>
      <c r="N29" s="78">
        <v>41131.186111111114</v>
      </c>
      <c r="O29" s="1" t="e">
        <v>#N/A</v>
      </c>
      <c r="P29" s="1" t="e">
        <v>#N/A</v>
      </c>
      <c r="Q29" s="1">
        <v>138.19999999999999</v>
      </c>
      <c r="R29" s="78">
        <v>41131.518055555556</v>
      </c>
      <c r="S29" s="98">
        <v>2084.8209999999999</v>
      </c>
    </row>
    <row r="30" spans="1:19" x14ac:dyDescent="0.25">
      <c r="A30" s="1">
        <v>2012</v>
      </c>
      <c r="B30" s="77">
        <v>41129</v>
      </c>
      <c r="C30" s="1" t="s">
        <v>6</v>
      </c>
      <c r="D30" s="1" t="s">
        <v>8</v>
      </c>
      <c r="E30" s="1" t="s">
        <v>10</v>
      </c>
      <c r="F30" s="1" t="s">
        <v>11</v>
      </c>
      <c r="G30" s="1">
        <v>12.56</v>
      </c>
      <c r="H30" s="1">
        <v>12.93</v>
      </c>
      <c r="I30" s="78">
        <v>41128.730555555558</v>
      </c>
      <c r="J30" s="1">
        <v>5.0620000000000003</v>
      </c>
      <c r="K30" s="1">
        <v>11.64</v>
      </c>
      <c r="L30" s="78">
        <v>41128.678472222222</v>
      </c>
      <c r="M30" s="1">
        <v>0.436</v>
      </c>
      <c r="N30" s="78">
        <v>41128.17083333333</v>
      </c>
      <c r="O30" s="1" t="e">
        <v>#N/A</v>
      </c>
      <c r="P30" s="1" t="e">
        <v>#N/A</v>
      </c>
      <c r="Q30" s="1">
        <v>654</v>
      </c>
      <c r="R30" s="78">
        <v>41128.570833333331</v>
      </c>
      <c r="S30" s="98">
        <v>4203.0060000000003</v>
      </c>
    </row>
    <row r="31" spans="1:19" x14ac:dyDescent="0.25">
      <c r="A31" s="1">
        <v>2012</v>
      </c>
      <c r="B31" s="77">
        <v>41125</v>
      </c>
      <c r="C31" s="1" t="s">
        <v>6</v>
      </c>
      <c r="D31" s="1" t="s">
        <v>8</v>
      </c>
      <c r="E31" s="1" t="s">
        <v>9</v>
      </c>
      <c r="F31" s="1" t="s">
        <v>9</v>
      </c>
      <c r="G31" s="1">
        <v>12.64</v>
      </c>
      <c r="H31" s="1">
        <v>12.53</v>
      </c>
      <c r="I31" s="78">
        <v>41124.707638888889</v>
      </c>
      <c r="J31" s="1">
        <v>9.5500000000000007</v>
      </c>
      <c r="K31" s="1">
        <v>11.73</v>
      </c>
      <c r="L31" s="78">
        <v>41124.665972222225</v>
      </c>
      <c r="M31" s="1">
        <v>7.8620000000000001</v>
      </c>
      <c r="N31" s="78">
        <v>41124.136805555558</v>
      </c>
      <c r="O31" s="1" t="e">
        <v>#N/A</v>
      </c>
      <c r="P31" s="1" t="e">
        <v>#N/A</v>
      </c>
      <c r="Q31" s="1">
        <v>1387</v>
      </c>
      <c r="R31" s="78">
        <v>41124.692361111112</v>
      </c>
      <c r="S31" s="98">
        <v>14360.84</v>
      </c>
    </row>
    <row r="32" spans="1:19" x14ac:dyDescent="0.25">
      <c r="A32" s="1">
        <v>2012</v>
      </c>
      <c r="B32" s="77">
        <v>41126</v>
      </c>
      <c r="C32" s="1" t="s">
        <v>6</v>
      </c>
      <c r="D32" s="1" t="s">
        <v>8</v>
      </c>
      <c r="E32" s="1" t="s">
        <v>10</v>
      </c>
      <c r="F32" s="1" t="s">
        <v>11</v>
      </c>
      <c r="G32" s="1">
        <v>12.62</v>
      </c>
      <c r="H32" s="1">
        <v>13.73</v>
      </c>
      <c r="I32" s="78">
        <v>41125.626388888886</v>
      </c>
      <c r="J32" s="1">
        <v>8.92</v>
      </c>
      <c r="K32" s="1">
        <v>11.81</v>
      </c>
      <c r="L32" s="78">
        <v>41125.623611111114</v>
      </c>
      <c r="M32" s="1">
        <v>4.7640000000000002</v>
      </c>
      <c r="N32" s="78">
        <v>41125.973611111112</v>
      </c>
      <c r="O32" s="1" t="e">
        <v>#N/A</v>
      </c>
      <c r="P32" s="1" t="e">
        <v>#N/A</v>
      </c>
      <c r="Q32" s="1">
        <v>103</v>
      </c>
      <c r="R32" s="78">
        <v>41125.577777777777</v>
      </c>
      <c r="S32" s="98">
        <v>1931.4960000000001</v>
      </c>
    </row>
    <row r="33" spans="1:19" x14ac:dyDescent="0.25">
      <c r="A33" s="1">
        <v>2012</v>
      </c>
      <c r="B33" s="77">
        <v>41125</v>
      </c>
      <c r="C33" s="1" t="s">
        <v>6</v>
      </c>
      <c r="D33" s="1" t="s">
        <v>7</v>
      </c>
      <c r="E33" s="1" t="s">
        <v>9</v>
      </c>
      <c r="F33" s="1" t="s">
        <v>9</v>
      </c>
      <c r="G33" s="1">
        <v>12.76</v>
      </c>
      <c r="H33" s="1">
        <v>12.14</v>
      </c>
      <c r="I33" s="78">
        <v>41124.604861111111</v>
      </c>
      <c r="J33" s="1">
        <v>9.77</v>
      </c>
      <c r="K33" s="1">
        <v>11.92</v>
      </c>
      <c r="L33" s="78">
        <v>41124.659722222219</v>
      </c>
      <c r="M33" s="1">
        <v>8.0500000000000007</v>
      </c>
      <c r="N33" s="78">
        <v>41124.133333333331</v>
      </c>
      <c r="O33" s="1">
        <v>97.2</v>
      </c>
      <c r="P33" s="78">
        <v>41124.449305555558</v>
      </c>
      <c r="Q33" s="1">
        <v>1187</v>
      </c>
      <c r="R33" s="78">
        <v>41124.691666666666</v>
      </c>
      <c r="S33" s="98">
        <v>12663.98</v>
      </c>
    </row>
    <row r="34" spans="1:19" x14ac:dyDescent="0.25">
      <c r="A34" s="1">
        <v>2012</v>
      </c>
      <c r="B34" s="77">
        <v>41109</v>
      </c>
      <c r="C34" s="1" t="s">
        <v>6</v>
      </c>
      <c r="D34" s="1" t="s">
        <v>7</v>
      </c>
      <c r="E34" s="1" t="s">
        <v>10</v>
      </c>
      <c r="F34" s="1" t="s">
        <v>11</v>
      </c>
      <c r="G34" s="1">
        <v>12.97</v>
      </c>
      <c r="H34" s="1">
        <v>13.16</v>
      </c>
      <c r="I34" s="78">
        <v>41108.453472222223</v>
      </c>
      <c r="J34" s="1">
        <v>10.08</v>
      </c>
      <c r="K34" s="1">
        <v>12.06</v>
      </c>
      <c r="L34" s="78">
        <v>41108.600694444445</v>
      </c>
      <c r="M34" s="1">
        <v>7.383</v>
      </c>
      <c r="N34" s="78">
        <v>41108.999305555553</v>
      </c>
      <c r="O34" s="1">
        <v>97.4</v>
      </c>
      <c r="P34" s="78">
        <v>41108.802777777775</v>
      </c>
      <c r="Q34" s="1">
        <v>103.3</v>
      </c>
      <c r="R34" s="78">
        <v>41108.597222222219</v>
      </c>
      <c r="S34" s="98">
        <v>1720.7550000000001</v>
      </c>
    </row>
    <row r="35" spans="1:19" x14ac:dyDescent="0.25">
      <c r="A35" s="1">
        <v>2012</v>
      </c>
      <c r="B35" s="77">
        <v>41109</v>
      </c>
      <c r="C35" s="1" t="s">
        <v>6</v>
      </c>
      <c r="D35" s="1" t="s">
        <v>7</v>
      </c>
      <c r="E35" s="1" t="s">
        <v>12</v>
      </c>
      <c r="F35" s="1" t="s">
        <v>11</v>
      </c>
      <c r="G35" s="1">
        <v>12.97</v>
      </c>
      <c r="H35" s="1">
        <v>13.16</v>
      </c>
      <c r="I35" s="78">
        <v>41108.453472222223</v>
      </c>
      <c r="J35" s="1">
        <v>10.08</v>
      </c>
      <c r="K35" s="1">
        <v>12.23</v>
      </c>
      <c r="L35" s="78">
        <v>41108.598611111112</v>
      </c>
      <c r="M35" s="1">
        <v>7.383</v>
      </c>
      <c r="N35" s="78">
        <v>41108.999305555553</v>
      </c>
      <c r="O35" s="1">
        <v>95.6</v>
      </c>
      <c r="P35" s="78">
        <v>41108.563194444447</v>
      </c>
      <c r="Q35" s="1" t="e">
        <v>#N/A</v>
      </c>
      <c r="R35" s="78" t="e">
        <v>#N/A</v>
      </c>
      <c r="S35" s="98" t="e">
        <v>#N/A</v>
      </c>
    </row>
    <row r="36" spans="1:19" x14ac:dyDescent="0.25">
      <c r="A36" s="1">
        <v>2012</v>
      </c>
      <c r="B36" s="77">
        <v>41126</v>
      </c>
      <c r="C36" s="1" t="s">
        <v>6</v>
      </c>
      <c r="D36" s="1" t="s">
        <v>7</v>
      </c>
      <c r="E36" s="1" t="s">
        <v>9</v>
      </c>
      <c r="F36" s="1" t="s">
        <v>9</v>
      </c>
      <c r="G36" s="1">
        <v>12.75</v>
      </c>
      <c r="H36" s="1">
        <v>14.21</v>
      </c>
      <c r="I36" s="78">
        <v>41125.620833333334</v>
      </c>
      <c r="J36" s="1">
        <v>9.17</v>
      </c>
      <c r="K36" s="1">
        <v>12.28</v>
      </c>
      <c r="L36" s="78">
        <v>41125.612500000003</v>
      </c>
      <c r="M36" s="1">
        <v>5.6829999999999998</v>
      </c>
      <c r="N36" s="78">
        <v>41125.96875</v>
      </c>
      <c r="O36" s="1">
        <v>99.9</v>
      </c>
      <c r="P36" s="78">
        <v>41125.229861111111</v>
      </c>
      <c r="Q36" s="1">
        <v>1177</v>
      </c>
      <c r="R36" s="78">
        <v>41125.556944444441</v>
      </c>
      <c r="S36" s="98">
        <v>14699.23</v>
      </c>
    </row>
    <row r="37" spans="1:19" x14ac:dyDescent="0.25">
      <c r="A37" s="1">
        <v>2012</v>
      </c>
      <c r="B37" s="77">
        <v>41126</v>
      </c>
      <c r="C37" s="1" t="s">
        <v>6</v>
      </c>
      <c r="D37" s="1" t="s">
        <v>8</v>
      </c>
      <c r="E37" s="1" t="s">
        <v>9</v>
      </c>
      <c r="F37" s="1" t="s">
        <v>9</v>
      </c>
      <c r="G37" s="1">
        <v>12.62</v>
      </c>
      <c r="H37" s="1">
        <v>13.73</v>
      </c>
      <c r="I37" s="78">
        <v>41125.626388888886</v>
      </c>
      <c r="J37" s="1">
        <v>8.92</v>
      </c>
      <c r="K37" s="1">
        <v>12.29</v>
      </c>
      <c r="L37" s="78">
        <v>41125.61041666667</v>
      </c>
      <c r="M37" s="1">
        <v>4.8289999999999997</v>
      </c>
      <c r="N37" s="78">
        <v>41125.965277777781</v>
      </c>
      <c r="O37" s="1" t="e">
        <v>#N/A</v>
      </c>
      <c r="P37" s="1" t="e">
        <v>#N/A</v>
      </c>
      <c r="Q37" s="1">
        <v>931</v>
      </c>
      <c r="R37" s="78">
        <v>41125.577777777777</v>
      </c>
      <c r="S37" s="98">
        <v>16870.490000000002</v>
      </c>
    </row>
    <row r="38" spans="1:19" x14ac:dyDescent="0.25">
      <c r="A38" s="1">
        <v>2012</v>
      </c>
      <c r="B38" s="77">
        <v>41089</v>
      </c>
      <c r="C38" s="1" t="s">
        <v>6</v>
      </c>
      <c r="D38" s="1" t="s">
        <v>8</v>
      </c>
      <c r="E38" s="1" t="s">
        <v>9</v>
      </c>
      <c r="F38" s="1" t="s">
        <v>9</v>
      </c>
      <c r="G38" s="1">
        <v>12.79</v>
      </c>
      <c r="H38" s="1">
        <v>13.75</v>
      </c>
      <c r="I38" s="78">
        <v>41088.658333333333</v>
      </c>
      <c r="J38" s="1">
        <v>11.94</v>
      </c>
      <c r="K38" s="1">
        <v>12.32</v>
      </c>
      <c r="L38" s="78">
        <v>41088.654166666667</v>
      </c>
      <c r="M38" s="1">
        <v>9.01</v>
      </c>
      <c r="N38" s="78">
        <v>41088.401388888888</v>
      </c>
      <c r="O38" s="1" t="e">
        <v>#N/A</v>
      </c>
      <c r="P38" s="1" t="e">
        <v>#N/A</v>
      </c>
      <c r="Q38" s="1">
        <v>266</v>
      </c>
      <c r="R38" s="78">
        <v>41088.592361111114</v>
      </c>
      <c r="S38" s="98">
        <v>6029.2629999999999</v>
      </c>
    </row>
    <row r="39" spans="1:19" x14ac:dyDescent="0.25">
      <c r="A39" s="1">
        <v>2012</v>
      </c>
      <c r="B39" s="77">
        <v>41109</v>
      </c>
      <c r="C39" s="1" t="s">
        <v>6</v>
      </c>
      <c r="D39" s="1" t="s">
        <v>8</v>
      </c>
      <c r="E39" s="1" t="s">
        <v>10</v>
      </c>
      <c r="F39" s="1" t="s">
        <v>11</v>
      </c>
      <c r="G39" s="1">
        <v>12.79</v>
      </c>
      <c r="H39" s="1">
        <v>11.61</v>
      </c>
      <c r="I39" s="78">
        <v>41108.727777777778</v>
      </c>
      <c r="J39" s="1">
        <v>9.86</v>
      </c>
      <c r="K39" s="1">
        <v>12.53</v>
      </c>
      <c r="L39" s="78">
        <v>41108.599305555559</v>
      </c>
      <c r="M39" s="1">
        <v>7.423</v>
      </c>
      <c r="N39" s="78">
        <v>41108.997916666667</v>
      </c>
      <c r="O39" s="1" t="e">
        <v>#N/A</v>
      </c>
      <c r="P39" s="1" t="e">
        <v>#N/A</v>
      </c>
      <c r="Q39" s="1">
        <v>142.80000000000001</v>
      </c>
      <c r="R39" s="78">
        <v>41108.572222222225</v>
      </c>
      <c r="S39" s="98">
        <v>1889.6690000000001</v>
      </c>
    </row>
    <row r="40" spans="1:19" x14ac:dyDescent="0.25">
      <c r="A40" s="1">
        <v>2012</v>
      </c>
      <c r="B40" s="77">
        <v>41110</v>
      </c>
      <c r="C40" s="1" t="s">
        <v>6</v>
      </c>
      <c r="D40" s="1" t="s">
        <v>7</v>
      </c>
      <c r="E40" s="1" t="s">
        <v>9</v>
      </c>
      <c r="F40" s="1" t="s">
        <v>9</v>
      </c>
      <c r="G40" s="1">
        <v>12.78</v>
      </c>
      <c r="H40" s="1">
        <v>15.31</v>
      </c>
      <c r="I40" s="78">
        <v>41109.568055555559</v>
      </c>
      <c r="J40" s="1">
        <v>10.43</v>
      </c>
      <c r="K40" s="1">
        <v>12.82</v>
      </c>
      <c r="L40" s="78">
        <v>41109.693749999999</v>
      </c>
      <c r="M40" s="1">
        <v>5.8529999999999998</v>
      </c>
      <c r="N40" s="78">
        <v>41109.272916666669</v>
      </c>
      <c r="O40" s="1">
        <v>100</v>
      </c>
      <c r="P40" s="78">
        <v>41109.265277777777</v>
      </c>
      <c r="Q40" s="1">
        <v>1498</v>
      </c>
      <c r="R40" s="78">
        <v>41109.546527777777</v>
      </c>
      <c r="S40" s="98">
        <v>25080.55</v>
      </c>
    </row>
    <row r="41" spans="1:19" x14ac:dyDescent="0.25">
      <c r="A41" s="1">
        <v>2012</v>
      </c>
      <c r="B41" s="77">
        <v>41125</v>
      </c>
      <c r="C41" s="1" t="s">
        <v>6</v>
      </c>
      <c r="D41" s="1" t="s">
        <v>7</v>
      </c>
      <c r="E41" s="1" t="s">
        <v>10</v>
      </c>
      <c r="F41" s="1" t="s">
        <v>11</v>
      </c>
      <c r="G41" s="1">
        <v>12.76</v>
      </c>
      <c r="H41" s="1">
        <v>12.14</v>
      </c>
      <c r="I41" s="78">
        <v>41124.604861111111</v>
      </c>
      <c r="J41" s="1">
        <v>9.77</v>
      </c>
      <c r="K41" s="1">
        <v>12.93</v>
      </c>
      <c r="L41" s="78">
        <v>41124.70208333333</v>
      </c>
      <c r="M41" s="1">
        <v>8.1199999999999992</v>
      </c>
      <c r="N41" s="78">
        <v>41124.070833333331</v>
      </c>
      <c r="O41" s="1">
        <v>99</v>
      </c>
      <c r="P41" s="78">
        <v>41124.693749999999</v>
      </c>
      <c r="Q41" s="1">
        <v>100</v>
      </c>
      <c r="R41" s="78">
        <v>41124.577777777777</v>
      </c>
      <c r="S41" s="98">
        <v>1827.1690000000001</v>
      </c>
    </row>
    <row r="42" spans="1:19" x14ac:dyDescent="0.25">
      <c r="A42" s="1">
        <v>2012</v>
      </c>
      <c r="B42" s="77">
        <v>41107</v>
      </c>
      <c r="C42" s="1" t="s">
        <v>6</v>
      </c>
      <c r="D42" s="1" t="s">
        <v>8</v>
      </c>
      <c r="E42" s="1" t="s">
        <v>10</v>
      </c>
      <c r="F42" s="1" t="s">
        <v>11</v>
      </c>
      <c r="G42" s="1">
        <v>12.7</v>
      </c>
      <c r="H42" s="1">
        <v>11.79</v>
      </c>
      <c r="I42" s="78">
        <v>41106.581944444442</v>
      </c>
      <c r="J42" s="1">
        <v>9.67</v>
      </c>
      <c r="K42" s="1">
        <v>13.03</v>
      </c>
      <c r="L42" s="78">
        <v>41106.580555555556</v>
      </c>
      <c r="M42" s="1">
        <v>7.077</v>
      </c>
      <c r="N42" s="78">
        <v>41106.122916666667</v>
      </c>
      <c r="O42" s="1" t="e">
        <v>#N/A</v>
      </c>
      <c r="P42" s="1" t="e">
        <v>#N/A</v>
      </c>
      <c r="Q42" s="1">
        <v>82.8</v>
      </c>
      <c r="R42" s="78">
        <v>41106.570833333331</v>
      </c>
      <c r="S42" s="98">
        <v>1791.616</v>
      </c>
    </row>
    <row r="43" spans="1:19" x14ac:dyDescent="0.25">
      <c r="A43" s="1">
        <v>2012</v>
      </c>
      <c r="B43" s="77">
        <v>41126</v>
      </c>
      <c r="C43" s="1" t="s">
        <v>6</v>
      </c>
      <c r="D43" s="1" t="s">
        <v>7</v>
      </c>
      <c r="E43" s="1" t="s">
        <v>12</v>
      </c>
      <c r="F43" s="1" t="s">
        <v>11</v>
      </c>
      <c r="G43" s="1">
        <v>12.75</v>
      </c>
      <c r="H43" s="1">
        <v>14.21</v>
      </c>
      <c r="I43" s="78">
        <v>41125.620833333334</v>
      </c>
      <c r="J43" s="1">
        <v>9.17</v>
      </c>
      <c r="K43" s="1">
        <v>13.09</v>
      </c>
      <c r="L43" s="78">
        <v>41125.59097222222</v>
      </c>
      <c r="M43" s="1">
        <v>5.5469999999999997</v>
      </c>
      <c r="N43" s="78">
        <v>41125.998611111114</v>
      </c>
      <c r="O43" s="1">
        <v>96.3</v>
      </c>
      <c r="P43" s="78">
        <v>41125.179861111108</v>
      </c>
      <c r="Q43" s="1">
        <v>30.65</v>
      </c>
      <c r="R43" s="78">
        <v>41125.59097222222</v>
      </c>
      <c r="S43" s="98">
        <v>664.91819999999996</v>
      </c>
    </row>
    <row r="44" spans="1:19" x14ac:dyDescent="0.25">
      <c r="A44" s="1">
        <v>2012</v>
      </c>
      <c r="B44" s="77">
        <v>41126</v>
      </c>
      <c r="C44" s="1" t="s">
        <v>6</v>
      </c>
      <c r="D44" s="1" t="s">
        <v>7</v>
      </c>
      <c r="E44" s="1" t="s">
        <v>10</v>
      </c>
      <c r="F44" s="1" t="s">
        <v>11</v>
      </c>
      <c r="G44" s="1">
        <v>12.75</v>
      </c>
      <c r="H44" s="1">
        <v>14.21</v>
      </c>
      <c r="I44" s="78">
        <v>41125.620833333334</v>
      </c>
      <c r="J44" s="1">
        <v>9.17</v>
      </c>
      <c r="K44" s="1">
        <v>13.26</v>
      </c>
      <c r="L44" s="78">
        <v>41125.620833333334</v>
      </c>
      <c r="M44" s="1">
        <v>5.343</v>
      </c>
      <c r="N44" s="78">
        <v>41125.972222222219</v>
      </c>
      <c r="O44" s="1">
        <v>99.4</v>
      </c>
      <c r="P44" s="78">
        <v>41125.168055555558</v>
      </c>
      <c r="Q44" s="1">
        <v>83.9</v>
      </c>
      <c r="R44" s="78">
        <v>41125.59097222222</v>
      </c>
      <c r="S44" s="98">
        <v>2055</v>
      </c>
    </row>
    <row r="45" spans="1:19" x14ac:dyDescent="0.25">
      <c r="A45" s="1">
        <v>2012</v>
      </c>
      <c r="B45" s="77">
        <v>41133</v>
      </c>
      <c r="C45" s="1" t="s">
        <v>6</v>
      </c>
      <c r="D45" s="1" t="s">
        <v>7</v>
      </c>
      <c r="E45" s="1" t="s">
        <v>12</v>
      </c>
      <c r="F45" s="1" t="s">
        <v>11</v>
      </c>
      <c r="G45" s="1">
        <v>12.75</v>
      </c>
      <c r="H45" s="1">
        <v>13.21</v>
      </c>
      <c r="I45" s="78">
        <v>41132.638888888891</v>
      </c>
      <c r="J45" s="1">
        <v>8.6</v>
      </c>
      <c r="K45" s="1">
        <v>13.36</v>
      </c>
      <c r="L45" s="78">
        <v>41132.630555555559</v>
      </c>
      <c r="M45" s="1">
        <v>1.9590000000000001</v>
      </c>
      <c r="N45" s="78">
        <v>41132.226388888892</v>
      </c>
      <c r="O45" s="1">
        <v>96.6</v>
      </c>
      <c r="P45" s="78">
        <v>41132.32916666667</v>
      </c>
      <c r="Q45" s="1">
        <v>106.6</v>
      </c>
      <c r="R45" s="78">
        <v>41132.628472222219</v>
      </c>
      <c r="S45" s="98">
        <v>1881.0630000000001</v>
      </c>
    </row>
    <row r="46" spans="1:19" x14ac:dyDescent="0.25">
      <c r="A46" s="1">
        <v>2012</v>
      </c>
      <c r="B46" s="77">
        <v>41130</v>
      </c>
      <c r="C46" s="1" t="s">
        <v>6</v>
      </c>
      <c r="D46" s="1" t="s">
        <v>7</v>
      </c>
      <c r="E46" s="1" t="s">
        <v>10</v>
      </c>
      <c r="F46" s="1" t="s">
        <v>11</v>
      </c>
      <c r="G46" s="1">
        <v>12.83</v>
      </c>
      <c r="H46" s="1">
        <v>12.7</v>
      </c>
      <c r="I46" s="78">
        <v>41129.607638888891</v>
      </c>
      <c r="J46" s="1">
        <v>6.9210000000000003</v>
      </c>
      <c r="K46" s="1">
        <v>13.37</v>
      </c>
      <c r="L46" s="78">
        <v>41129.602083333331</v>
      </c>
      <c r="M46" s="1">
        <v>-1.2849999999999999</v>
      </c>
      <c r="N46" s="78">
        <v>41129.119444444441</v>
      </c>
      <c r="O46" s="1">
        <v>99.4</v>
      </c>
      <c r="P46" s="78">
        <v>41129.184027777781</v>
      </c>
      <c r="Q46" s="1">
        <v>89.3</v>
      </c>
      <c r="R46" s="78">
        <v>41129.416666666664</v>
      </c>
      <c r="S46" s="98">
        <v>2359.306</v>
      </c>
    </row>
    <row r="47" spans="1:19" x14ac:dyDescent="0.25">
      <c r="A47" s="1">
        <v>2012</v>
      </c>
      <c r="B47" s="77">
        <v>41125</v>
      </c>
      <c r="C47" s="1" t="s">
        <v>6</v>
      </c>
      <c r="D47" s="1" t="s">
        <v>7</v>
      </c>
      <c r="E47" s="1" t="s">
        <v>12</v>
      </c>
      <c r="F47" s="1" t="s">
        <v>11</v>
      </c>
      <c r="G47" s="1">
        <v>12.76</v>
      </c>
      <c r="H47" s="1">
        <v>12.14</v>
      </c>
      <c r="I47" s="78">
        <v>41124.604861111111</v>
      </c>
      <c r="J47" s="1">
        <v>9.77</v>
      </c>
      <c r="K47" s="1">
        <v>13.4</v>
      </c>
      <c r="L47" s="78">
        <v>41124.600694444445</v>
      </c>
      <c r="M47" s="1">
        <v>8.09</v>
      </c>
      <c r="N47" s="78">
        <v>41124.152083333334</v>
      </c>
      <c r="O47" s="1">
        <v>97.1</v>
      </c>
      <c r="P47" s="78">
        <v>41124.65902777778</v>
      </c>
      <c r="Q47" s="1">
        <v>101.3</v>
      </c>
      <c r="R47" s="78">
        <v>41124.598611111112</v>
      </c>
      <c r="S47" s="98">
        <v>531.46209999999996</v>
      </c>
    </row>
    <row r="48" spans="1:19" x14ac:dyDescent="0.25">
      <c r="A48" s="1">
        <v>2012</v>
      </c>
      <c r="B48" s="77">
        <v>41089</v>
      </c>
      <c r="C48" s="1" t="s">
        <v>6</v>
      </c>
      <c r="D48" s="1" t="s">
        <v>7</v>
      </c>
      <c r="E48" s="1" t="s">
        <v>12</v>
      </c>
      <c r="F48" s="1" t="s">
        <v>11</v>
      </c>
      <c r="G48" s="1">
        <v>12.88</v>
      </c>
      <c r="H48" s="1">
        <v>13.47</v>
      </c>
      <c r="I48" s="78">
        <v>41088.655555555553</v>
      </c>
      <c r="J48" s="1">
        <v>10.95</v>
      </c>
      <c r="K48" s="1">
        <v>13.43</v>
      </c>
      <c r="L48" s="78">
        <v>41088.609722222223</v>
      </c>
      <c r="M48" s="1" t="e">
        <v>#N/A</v>
      </c>
      <c r="N48" s="1" t="e">
        <v>#N/A</v>
      </c>
      <c r="O48" s="1" t="e">
        <v>#N/A</v>
      </c>
      <c r="P48" s="1" t="e">
        <v>#N/A</v>
      </c>
      <c r="Q48" s="1">
        <v>52.64</v>
      </c>
      <c r="R48" s="78">
        <v>41088.597916666666</v>
      </c>
      <c r="S48" s="98">
        <v>1252.6469999999999</v>
      </c>
    </row>
    <row r="49" spans="1:19" x14ac:dyDescent="0.25">
      <c r="A49" s="1">
        <v>2012</v>
      </c>
      <c r="B49" s="77">
        <v>41110</v>
      </c>
      <c r="C49" s="1" t="s">
        <v>6</v>
      </c>
      <c r="D49" s="1" t="s">
        <v>8</v>
      </c>
      <c r="E49" s="1" t="s">
        <v>9</v>
      </c>
      <c r="F49" s="1" t="s">
        <v>9</v>
      </c>
      <c r="G49" s="1">
        <v>12.67</v>
      </c>
      <c r="H49" s="1">
        <v>16.46</v>
      </c>
      <c r="I49" s="78">
        <v>41109.566666666666</v>
      </c>
      <c r="J49" s="1">
        <v>10.77</v>
      </c>
      <c r="K49" s="1">
        <v>13.54</v>
      </c>
      <c r="L49" s="78">
        <v>41109.553472222222</v>
      </c>
      <c r="M49" s="1">
        <v>5.7910000000000004</v>
      </c>
      <c r="N49" s="78">
        <v>41109.276388888888</v>
      </c>
      <c r="O49" s="1" t="e">
        <v>#N/A</v>
      </c>
      <c r="P49" s="1" t="e">
        <v>#N/A</v>
      </c>
      <c r="Q49" s="1">
        <v>1541</v>
      </c>
      <c r="R49" s="78">
        <v>41109.547222222223</v>
      </c>
      <c r="S49" s="98">
        <v>26943.09</v>
      </c>
    </row>
    <row r="50" spans="1:19" x14ac:dyDescent="0.25">
      <c r="A50" s="1">
        <v>2012</v>
      </c>
      <c r="B50" s="77">
        <v>41125</v>
      </c>
      <c r="C50" s="1" t="s">
        <v>6</v>
      </c>
      <c r="D50" s="1" t="s">
        <v>8</v>
      </c>
      <c r="E50" s="1" t="s">
        <v>10</v>
      </c>
      <c r="F50" s="1" t="s">
        <v>11</v>
      </c>
      <c r="G50" s="1">
        <v>12.64</v>
      </c>
      <c r="H50" s="1">
        <v>12.53</v>
      </c>
      <c r="I50" s="78">
        <v>41124.707638888889</v>
      </c>
      <c r="J50" s="1">
        <v>9.5500000000000007</v>
      </c>
      <c r="K50" s="1">
        <v>13.54</v>
      </c>
      <c r="L50" s="78">
        <v>41124.601388888892</v>
      </c>
      <c r="M50" s="1">
        <v>7.8959999999999999</v>
      </c>
      <c r="N50" s="78">
        <v>41124.09652777778</v>
      </c>
      <c r="O50" s="1" t="e">
        <v>#N/A</v>
      </c>
      <c r="P50" s="1" t="e">
        <v>#N/A</v>
      </c>
      <c r="Q50" s="1">
        <v>282.89999999999998</v>
      </c>
      <c r="R50" s="78">
        <v>41124.656944444447</v>
      </c>
      <c r="S50" s="98">
        <v>2489.7689999999998</v>
      </c>
    </row>
    <row r="51" spans="1:19" x14ac:dyDescent="0.25">
      <c r="A51" s="1">
        <v>2012</v>
      </c>
      <c r="B51" s="77">
        <v>41133</v>
      </c>
      <c r="C51" s="1" t="s">
        <v>6</v>
      </c>
      <c r="D51" s="1" t="s">
        <v>8</v>
      </c>
      <c r="E51" s="1" t="s">
        <v>10</v>
      </c>
      <c r="F51" s="1" t="s">
        <v>11</v>
      </c>
      <c r="G51" s="1">
        <v>12.61</v>
      </c>
      <c r="H51" s="1">
        <v>14.37</v>
      </c>
      <c r="I51" s="78">
        <v>41132.634027777778</v>
      </c>
      <c r="J51" s="1">
        <v>8.48</v>
      </c>
      <c r="K51" s="1">
        <v>13.55</v>
      </c>
      <c r="L51" s="78">
        <v>41132.628472222219</v>
      </c>
      <c r="M51" s="1">
        <v>1.6439999999999999</v>
      </c>
      <c r="N51" s="78">
        <v>41132.238888888889</v>
      </c>
      <c r="O51" s="1" t="e">
        <v>#N/A</v>
      </c>
      <c r="P51" s="1" t="e">
        <v>#N/A</v>
      </c>
      <c r="Q51" s="1">
        <v>208</v>
      </c>
      <c r="R51" s="78">
        <v>41132.625</v>
      </c>
      <c r="S51" s="98">
        <v>3370.9090000000001</v>
      </c>
    </row>
    <row r="52" spans="1:19" x14ac:dyDescent="0.25">
      <c r="A52" s="1">
        <v>2012</v>
      </c>
      <c r="B52" s="77">
        <v>41089</v>
      </c>
      <c r="C52" s="1" t="s">
        <v>6</v>
      </c>
      <c r="D52" s="1" t="s">
        <v>8</v>
      </c>
      <c r="E52" s="1" t="s">
        <v>10</v>
      </c>
      <c r="F52" s="1" t="s">
        <v>11</v>
      </c>
      <c r="G52" s="1">
        <v>12.79</v>
      </c>
      <c r="H52" s="1">
        <v>13.75</v>
      </c>
      <c r="I52" s="78">
        <v>41088.658333333333</v>
      </c>
      <c r="J52" s="1">
        <v>11.94</v>
      </c>
      <c r="K52" s="1">
        <v>13.79</v>
      </c>
      <c r="L52" s="78">
        <v>41088.600694444445</v>
      </c>
      <c r="M52" s="1">
        <v>9.52</v>
      </c>
      <c r="N52" s="78">
        <v>41088.400000000001</v>
      </c>
      <c r="O52" s="1" t="e">
        <v>#N/A</v>
      </c>
      <c r="P52" s="1" t="e">
        <v>#N/A</v>
      </c>
      <c r="Q52" s="1">
        <v>82.8</v>
      </c>
      <c r="R52" s="78">
        <v>41088.591666666667</v>
      </c>
      <c r="S52" s="98">
        <v>1745.154</v>
      </c>
    </row>
    <row r="53" spans="1:19" x14ac:dyDescent="0.25">
      <c r="A53" s="1">
        <v>2012</v>
      </c>
      <c r="B53" s="77">
        <v>41111</v>
      </c>
      <c r="C53" s="1" t="s">
        <v>6</v>
      </c>
      <c r="D53" s="1" t="s">
        <v>7</v>
      </c>
      <c r="E53" s="1" t="s">
        <v>9</v>
      </c>
      <c r="F53" s="1" t="s">
        <v>9</v>
      </c>
      <c r="G53" s="1">
        <v>12.79</v>
      </c>
      <c r="H53" s="1">
        <v>17.16</v>
      </c>
      <c r="I53" s="78">
        <v>41110.536805555559</v>
      </c>
      <c r="J53" s="1">
        <v>10.71</v>
      </c>
      <c r="K53" s="1">
        <v>13.89</v>
      </c>
      <c r="L53" s="78">
        <v>41110.527083333334</v>
      </c>
      <c r="M53" s="1">
        <v>5.548</v>
      </c>
      <c r="N53" s="78">
        <v>41110.134027777778</v>
      </c>
      <c r="O53" s="1">
        <v>100</v>
      </c>
      <c r="P53" s="78">
        <v>41110.977083333331</v>
      </c>
      <c r="Q53" s="1">
        <v>1647</v>
      </c>
      <c r="R53" s="78">
        <v>41110.459027777775</v>
      </c>
      <c r="S53" s="98">
        <v>26419.279999999999</v>
      </c>
    </row>
    <row r="54" spans="1:19" x14ac:dyDescent="0.25">
      <c r="A54" s="1">
        <v>2012</v>
      </c>
      <c r="B54" s="77">
        <v>41111</v>
      </c>
      <c r="C54" s="1" t="s">
        <v>6</v>
      </c>
      <c r="D54" s="1" t="s">
        <v>8</v>
      </c>
      <c r="E54" s="1" t="s">
        <v>9</v>
      </c>
      <c r="F54" s="1" t="s">
        <v>9</v>
      </c>
      <c r="G54" s="1">
        <v>12.67</v>
      </c>
      <c r="H54" s="1">
        <v>17.010000000000002</v>
      </c>
      <c r="I54" s="78">
        <v>41110.539583333331</v>
      </c>
      <c r="J54" s="1">
        <v>10.67</v>
      </c>
      <c r="K54" s="1">
        <v>13.95</v>
      </c>
      <c r="L54" s="78">
        <v>41110.534722222219</v>
      </c>
      <c r="M54" s="1">
        <v>5.2409999999999997</v>
      </c>
      <c r="N54" s="78">
        <v>41110.072222222225</v>
      </c>
      <c r="O54" s="1" t="e">
        <v>#N/A</v>
      </c>
      <c r="P54" s="1" t="e">
        <v>#N/A</v>
      </c>
      <c r="Q54" s="1">
        <v>1674</v>
      </c>
      <c r="R54" s="78">
        <v>41110.465277777781</v>
      </c>
      <c r="S54" s="98">
        <v>27139.43</v>
      </c>
    </row>
    <row r="55" spans="1:19" x14ac:dyDescent="0.25">
      <c r="A55" s="1">
        <v>2012</v>
      </c>
      <c r="B55" s="77">
        <v>41130</v>
      </c>
      <c r="C55" s="1" t="s">
        <v>6</v>
      </c>
      <c r="D55" s="1" t="s">
        <v>7</v>
      </c>
      <c r="E55" s="1" t="s">
        <v>12</v>
      </c>
      <c r="F55" s="1" t="s">
        <v>11</v>
      </c>
      <c r="G55" s="1">
        <v>12.83</v>
      </c>
      <c r="H55" s="1">
        <v>12.7</v>
      </c>
      <c r="I55" s="78">
        <v>41129.607638888891</v>
      </c>
      <c r="J55" s="1">
        <v>6.9210000000000003</v>
      </c>
      <c r="K55" s="1">
        <v>13.98</v>
      </c>
      <c r="L55" s="78">
        <v>41129.601388888892</v>
      </c>
      <c r="M55" s="1">
        <v>-0.97899999999999998</v>
      </c>
      <c r="N55" s="78">
        <v>41129.118750000001</v>
      </c>
      <c r="O55" s="1">
        <v>96.5</v>
      </c>
      <c r="P55" s="78">
        <v>41129.250694444447</v>
      </c>
      <c r="Q55" s="1">
        <v>105.3</v>
      </c>
      <c r="R55" s="78">
        <v>41129.587500000001</v>
      </c>
      <c r="S55" s="98">
        <v>2395.471</v>
      </c>
    </row>
    <row r="56" spans="1:19" x14ac:dyDescent="0.25">
      <c r="A56" s="1">
        <v>2012</v>
      </c>
      <c r="B56" s="77">
        <v>41133</v>
      </c>
      <c r="C56" s="1" t="s">
        <v>6</v>
      </c>
      <c r="D56" s="1" t="s">
        <v>7</v>
      </c>
      <c r="E56" s="1" t="s">
        <v>10</v>
      </c>
      <c r="F56" s="1" t="s">
        <v>11</v>
      </c>
      <c r="G56" s="1">
        <v>12.75</v>
      </c>
      <c r="H56" s="1">
        <v>13.21</v>
      </c>
      <c r="I56" s="78">
        <v>41132.638888888891</v>
      </c>
      <c r="J56" s="1">
        <v>8.6</v>
      </c>
      <c r="K56" s="1">
        <v>14.01</v>
      </c>
      <c r="L56" s="78">
        <v>41132.632638888892</v>
      </c>
      <c r="M56" s="1">
        <v>1.891</v>
      </c>
      <c r="N56" s="78">
        <v>41132.223611111112</v>
      </c>
      <c r="O56" s="1">
        <v>98.1</v>
      </c>
      <c r="P56" s="78">
        <v>41132.29791666667</v>
      </c>
      <c r="Q56" s="1">
        <v>85.3</v>
      </c>
      <c r="R56" s="78">
        <v>41132.626388888886</v>
      </c>
      <c r="S56" s="98">
        <v>1912.3340000000001</v>
      </c>
    </row>
    <row r="57" spans="1:19" x14ac:dyDescent="0.25">
      <c r="A57" s="1">
        <v>2012</v>
      </c>
      <c r="B57" s="77">
        <v>41134</v>
      </c>
      <c r="C57" s="1" t="s">
        <v>6</v>
      </c>
      <c r="D57" s="1" t="s">
        <v>7</v>
      </c>
      <c r="E57" s="1" t="s">
        <v>9</v>
      </c>
      <c r="F57" s="1" t="s">
        <v>9</v>
      </c>
      <c r="G57" s="1">
        <v>12.77</v>
      </c>
      <c r="H57" s="1">
        <v>17.72</v>
      </c>
      <c r="I57" s="78">
        <v>41133.642361111109</v>
      </c>
      <c r="J57" s="1">
        <v>10.24</v>
      </c>
      <c r="K57" s="1">
        <v>14.18</v>
      </c>
      <c r="L57" s="78">
        <v>41133.628472222219</v>
      </c>
      <c r="M57" s="1">
        <v>0.29399999999999998</v>
      </c>
      <c r="N57" s="78">
        <v>41133.265277777777</v>
      </c>
      <c r="O57" s="1">
        <v>100</v>
      </c>
      <c r="P57" s="78">
        <v>41133.270833333336</v>
      </c>
      <c r="Q57" s="1">
        <v>1105</v>
      </c>
      <c r="R57" s="78">
        <v>41133.611111111109</v>
      </c>
      <c r="S57" s="98">
        <v>36297.61</v>
      </c>
    </row>
    <row r="58" spans="1:19" x14ac:dyDescent="0.25">
      <c r="A58" s="1">
        <v>2012</v>
      </c>
      <c r="B58" s="77">
        <v>41122</v>
      </c>
      <c r="C58" s="1" t="s">
        <v>6</v>
      </c>
      <c r="D58" s="1" t="s">
        <v>7</v>
      </c>
      <c r="E58" s="1" t="s">
        <v>9</v>
      </c>
      <c r="F58" s="1" t="s">
        <v>9</v>
      </c>
      <c r="G58" s="1">
        <v>12.76</v>
      </c>
      <c r="H58" s="1">
        <v>16.739999999999998</v>
      </c>
      <c r="I58" s="78">
        <v>41121.688194444447</v>
      </c>
      <c r="J58" s="1">
        <v>10.86</v>
      </c>
      <c r="K58" s="1">
        <v>14.33</v>
      </c>
      <c r="L58" s="78">
        <v>41121.679166666669</v>
      </c>
      <c r="M58" s="1">
        <v>7.5190000000000001</v>
      </c>
      <c r="N58" s="78">
        <v>41121.165972222225</v>
      </c>
      <c r="O58" s="1">
        <v>99.1</v>
      </c>
      <c r="P58" s="78">
        <v>41121.175694444442</v>
      </c>
      <c r="Q58" s="1">
        <v>1462</v>
      </c>
      <c r="R58" s="78">
        <v>41121.656944444447</v>
      </c>
      <c r="S58" s="98">
        <v>22896.79</v>
      </c>
    </row>
    <row r="59" spans="1:19" x14ac:dyDescent="0.25">
      <c r="A59" s="1">
        <v>2012</v>
      </c>
      <c r="B59" s="77">
        <v>41130</v>
      </c>
      <c r="C59" s="1" t="s">
        <v>6</v>
      </c>
      <c r="D59" s="1" t="s">
        <v>8</v>
      </c>
      <c r="E59" s="1" t="s">
        <v>10</v>
      </c>
      <c r="F59" s="1" t="s">
        <v>11</v>
      </c>
      <c r="G59" s="1">
        <v>12.67</v>
      </c>
      <c r="H59" s="1">
        <v>13.07</v>
      </c>
      <c r="I59" s="78">
        <v>41129.605555555558</v>
      </c>
      <c r="J59" s="1">
        <v>6.8879999999999999</v>
      </c>
      <c r="K59" s="1">
        <v>14.39</v>
      </c>
      <c r="L59" s="78">
        <v>41129.602777777778</v>
      </c>
      <c r="M59" s="1">
        <v>-0.79500000000000004</v>
      </c>
      <c r="N59" s="78">
        <v>41129.095833333333</v>
      </c>
      <c r="O59" s="1" t="e">
        <v>#N/A</v>
      </c>
      <c r="P59" s="1" t="e">
        <v>#N/A</v>
      </c>
      <c r="Q59" s="1">
        <v>189.9</v>
      </c>
      <c r="R59" s="78">
        <v>41129.588194444441</v>
      </c>
      <c r="S59" s="98">
        <v>3841.8209999999999</v>
      </c>
    </row>
    <row r="60" spans="1:19" x14ac:dyDescent="0.25">
      <c r="A60" s="1">
        <v>2012</v>
      </c>
      <c r="B60" s="77">
        <v>41110</v>
      </c>
      <c r="C60" s="1" t="s">
        <v>6</v>
      </c>
      <c r="D60" s="1" t="s">
        <v>7</v>
      </c>
      <c r="E60" s="1" t="s">
        <v>12</v>
      </c>
      <c r="F60" s="1" t="s">
        <v>11</v>
      </c>
      <c r="G60" s="1">
        <v>12.78</v>
      </c>
      <c r="H60" s="1">
        <v>15.31</v>
      </c>
      <c r="I60" s="78">
        <v>41109.568055555559</v>
      </c>
      <c r="J60" s="1">
        <v>10.43</v>
      </c>
      <c r="K60" s="1">
        <v>14.62</v>
      </c>
      <c r="L60" s="78">
        <v>41109.557638888888</v>
      </c>
      <c r="M60" s="1">
        <v>6.4649999999999999</v>
      </c>
      <c r="N60" s="78">
        <v>41109.15902777778</v>
      </c>
      <c r="O60" s="1">
        <v>96.7</v>
      </c>
      <c r="P60" s="78">
        <v>41109.42291666667</v>
      </c>
      <c r="Q60" s="1">
        <v>39.299999999999997</v>
      </c>
      <c r="R60" s="78">
        <v>41109.595833333333</v>
      </c>
      <c r="S60" s="98">
        <v>19.986329999999999</v>
      </c>
    </row>
    <row r="61" spans="1:19" x14ac:dyDescent="0.25">
      <c r="A61" s="1">
        <v>2012</v>
      </c>
      <c r="B61" s="77">
        <v>41122</v>
      </c>
      <c r="C61" s="1" t="s">
        <v>6</v>
      </c>
      <c r="D61" s="1" t="s">
        <v>8</v>
      </c>
      <c r="E61" s="1" t="s">
        <v>9</v>
      </c>
      <c r="F61" s="1" t="s">
        <v>9</v>
      </c>
      <c r="G61" s="1">
        <v>12.64</v>
      </c>
      <c r="H61" s="1">
        <v>17.72</v>
      </c>
      <c r="I61" s="78">
        <v>41121.697222222225</v>
      </c>
      <c r="J61" s="1">
        <v>11.08</v>
      </c>
      <c r="K61" s="1">
        <v>14.7</v>
      </c>
      <c r="L61" s="78">
        <v>41121.678472222222</v>
      </c>
      <c r="M61" s="1">
        <v>7.0069999999999997</v>
      </c>
      <c r="N61" s="78">
        <v>41121.156944444447</v>
      </c>
      <c r="O61" s="1" t="e">
        <v>#N/A</v>
      </c>
      <c r="P61" s="1" t="e">
        <v>#N/A</v>
      </c>
      <c r="Q61" s="1">
        <v>1868</v>
      </c>
      <c r="R61" s="78">
        <v>41121.618055555555</v>
      </c>
      <c r="S61" s="98">
        <v>25841.03</v>
      </c>
    </row>
    <row r="62" spans="1:19" x14ac:dyDescent="0.25">
      <c r="A62" s="1">
        <v>2012</v>
      </c>
      <c r="B62" s="77">
        <v>41110</v>
      </c>
      <c r="C62" s="1" t="s">
        <v>6</v>
      </c>
      <c r="D62" s="1" t="s">
        <v>8</v>
      </c>
      <c r="E62" s="1" t="s">
        <v>10</v>
      </c>
      <c r="F62" s="1" t="s">
        <v>11</v>
      </c>
      <c r="G62" s="1">
        <v>12.67</v>
      </c>
      <c r="H62" s="1">
        <v>16.46</v>
      </c>
      <c r="I62" s="78">
        <v>41109.566666666666</v>
      </c>
      <c r="J62" s="1">
        <v>10.77</v>
      </c>
      <c r="K62" s="1">
        <v>14.8</v>
      </c>
      <c r="L62" s="78">
        <v>41109.561805555553</v>
      </c>
      <c r="M62" s="1">
        <v>6.2009999999999996</v>
      </c>
      <c r="N62" s="78">
        <v>41109.155555555553</v>
      </c>
      <c r="O62" s="1" t="e">
        <v>#N/A</v>
      </c>
      <c r="P62" s="1" t="e">
        <v>#N/A</v>
      </c>
      <c r="Q62" s="1">
        <v>743.2</v>
      </c>
      <c r="R62" s="78">
        <v>41109.507638888892</v>
      </c>
      <c r="S62" s="98">
        <v>4302.902</v>
      </c>
    </row>
    <row r="63" spans="1:19" x14ac:dyDescent="0.25">
      <c r="A63" s="1">
        <v>2012</v>
      </c>
      <c r="B63" s="77">
        <v>41124</v>
      </c>
      <c r="C63" s="1" t="s">
        <v>6</v>
      </c>
      <c r="D63" s="1" t="s">
        <v>7</v>
      </c>
      <c r="E63" s="1" t="s">
        <v>9</v>
      </c>
      <c r="F63" s="1" t="s">
        <v>9</v>
      </c>
      <c r="G63" s="1">
        <v>12.76</v>
      </c>
      <c r="H63" s="1">
        <v>16.489999999999998</v>
      </c>
      <c r="I63" s="78">
        <v>41123.5625</v>
      </c>
      <c r="J63" s="1">
        <v>10.93</v>
      </c>
      <c r="K63" s="1">
        <v>14.81</v>
      </c>
      <c r="L63" s="78">
        <v>41123.554166666669</v>
      </c>
      <c r="M63" s="1">
        <v>8.1</v>
      </c>
      <c r="N63" s="78">
        <v>41123.09097222222</v>
      </c>
      <c r="O63" s="1">
        <v>96.1</v>
      </c>
      <c r="P63" s="78">
        <v>41123.917361111111</v>
      </c>
      <c r="Q63" s="1">
        <v>1046</v>
      </c>
      <c r="R63" s="78">
        <v>41123.500694444447</v>
      </c>
      <c r="S63" s="98">
        <v>13457.24</v>
      </c>
    </row>
    <row r="64" spans="1:19" x14ac:dyDescent="0.25">
      <c r="A64" s="1">
        <v>2012</v>
      </c>
      <c r="B64" s="77">
        <v>41134</v>
      </c>
      <c r="C64" s="1" t="s">
        <v>6</v>
      </c>
      <c r="D64" s="1" t="s">
        <v>8</v>
      </c>
      <c r="E64" s="1" t="s">
        <v>9</v>
      </c>
      <c r="F64" s="1" t="s">
        <v>9</v>
      </c>
      <c r="G64" s="1">
        <v>12.62</v>
      </c>
      <c r="H64" s="1">
        <v>19.55</v>
      </c>
      <c r="I64" s="78">
        <v>41133.645138888889</v>
      </c>
      <c r="J64" s="1">
        <v>10.27</v>
      </c>
      <c r="K64" s="1">
        <v>14.83</v>
      </c>
      <c r="L64" s="78">
        <v>41133.658333333333</v>
      </c>
      <c r="M64" s="1">
        <v>-0.125</v>
      </c>
      <c r="N64" s="78">
        <v>41133.250694444447</v>
      </c>
      <c r="O64" s="1" t="e">
        <v>#N/A</v>
      </c>
      <c r="P64" s="1" t="e">
        <v>#N/A</v>
      </c>
      <c r="Q64" s="1">
        <v>1104</v>
      </c>
      <c r="R64" s="78">
        <v>41133.609722222223</v>
      </c>
      <c r="S64" s="98">
        <v>36433.57</v>
      </c>
    </row>
    <row r="65" spans="1:19" x14ac:dyDescent="0.25">
      <c r="A65" s="1">
        <v>2012</v>
      </c>
      <c r="B65" s="77">
        <v>41092</v>
      </c>
      <c r="C65" s="1" t="s">
        <v>6</v>
      </c>
      <c r="D65" s="1" t="s">
        <v>8</v>
      </c>
      <c r="E65" s="1" t="s">
        <v>9</v>
      </c>
      <c r="F65" s="1" t="s">
        <v>9</v>
      </c>
      <c r="G65" s="1">
        <v>12.69</v>
      </c>
      <c r="H65" s="1">
        <v>16.61</v>
      </c>
      <c r="I65" s="78">
        <v>41091.895833333336</v>
      </c>
      <c r="J65" s="1">
        <v>11.58</v>
      </c>
      <c r="K65" s="1">
        <v>14.87</v>
      </c>
      <c r="L65" s="78">
        <v>41091.87222222222</v>
      </c>
      <c r="M65" s="1">
        <v>8.1</v>
      </c>
      <c r="N65" s="78">
        <v>41091.131249999999</v>
      </c>
      <c r="O65" s="1" t="e">
        <v>#N/A</v>
      </c>
      <c r="P65" s="1" t="e">
        <v>#N/A</v>
      </c>
      <c r="Q65" s="1">
        <v>412.6</v>
      </c>
      <c r="R65" s="78">
        <v>41091.853472222225</v>
      </c>
      <c r="S65" s="98">
        <v>10322.629999999999</v>
      </c>
    </row>
    <row r="66" spans="1:19" x14ac:dyDescent="0.25">
      <c r="A66" s="1">
        <v>2012</v>
      </c>
      <c r="B66" s="77">
        <v>41124</v>
      </c>
      <c r="C66" s="1" t="s">
        <v>6</v>
      </c>
      <c r="D66" s="1" t="s">
        <v>8</v>
      </c>
      <c r="E66" s="1" t="s">
        <v>9</v>
      </c>
      <c r="F66" s="1" t="s">
        <v>9</v>
      </c>
      <c r="G66" s="1">
        <v>12.64</v>
      </c>
      <c r="H66" s="1">
        <v>16.690000000000001</v>
      </c>
      <c r="I66" s="78">
        <v>41123.561805555553</v>
      </c>
      <c r="J66" s="1">
        <v>10.91</v>
      </c>
      <c r="K66" s="1">
        <v>14.95</v>
      </c>
      <c r="L66" s="78">
        <v>41123.499305555553</v>
      </c>
      <c r="M66" s="1">
        <v>8.1999999999999993</v>
      </c>
      <c r="N66" s="78">
        <v>41123.132638888892</v>
      </c>
      <c r="O66" s="1" t="e">
        <v>#N/A</v>
      </c>
      <c r="P66" s="1" t="e">
        <v>#N/A</v>
      </c>
      <c r="Q66" s="1">
        <v>1280</v>
      </c>
      <c r="R66" s="78">
        <v>41123.497916666667</v>
      </c>
      <c r="S66" s="98">
        <v>15519.13</v>
      </c>
    </row>
    <row r="67" spans="1:19" x14ac:dyDescent="0.25">
      <c r="A67" s="1">
        <v>2012</v>
      </c>
      <c r="B67" s="77">
        <v>41105</v>
      </c>
      <c r="C67" s="1" t="s">
        <v>6</v>
      </c>
      <c r="D67" s="1" t="s">
        <v>8</v>
      </c>
      <c r="E67" s="1" t="s">
        <v>9</v>
      </c>
      <c r="F67" s="1" t="s">
        <v>9</v>
      </c>
      <c r="G67" s="1">
        <v>12.75</v>
      </c>
      <c r="H67" s="1">
        <v>17.239999999999998</v>
      </c>
      <c r="I67" s="78">
        <v>41104.770138888889</v>
      </c>
      <c r="J67" s="1">
        <v>11.9</v>
      </c>
      <c r="K67" s="1">
        <v>15.08</v>
      </c>
      <c r="L67" s="78">
        <v>41104.722222222219</v>
      </c>
      <c r="M67" s="1">
        <v>8.51</v>
      </c>
      <c r="N67" s="78">
        <v>41104.987500000003</v>
      </c>
      <c r="O67" s="1" t="e">
        <v>#N/A</v>
      </c>
      <c r="P67" s="1" t="e">
        <v>#N/A</v>
      </c>
      <c r="Q67" s="1">
        <v>981</v>
      </c>
      <c r="R67" s="78">
        <v>41104.72152777778</v>
      </c>
      <c r="S67" s="98">
        <v>12353.94</v>
      </c>
    </row>
    <row r="68" spans="1:19" x14ac:dyDescent="0.25">
      <c r="A68" s="1">
        <v>2012</v>
      </c>
      <c r="B68" s="77">
        <v>41092</v>
      </c>
      <c r="C68" s="1" t="s">
        <v>6</v>
      </c>
      <c r="D68" s="1" t="s">
        <v>7</v>
      </c>
      <c r="E68" s="1" t="s">
        <v>12</v>
      </c>
      <c r="F68" s="1" t="s">
        <v>11</v>
      </c>
      <c r="G68" s="1">
        <v>12.85</v>
      </c>
      <c r="H68" s="1">
        <v>16.29</v>
      </c>
      <c r="I68" s="78">
        <v>41091.881249999999</v>
      </c>
      <c r="J68" s="1">
        <v>11.39</v>
      </c>
      <c r="K68" s="1">
        <v>15.25</v>
      </c>
      <c r="L68" s="78">
        <v>41091.87222222222</v>
      </c>
      <c r="M68" s="1" t="e">
        <v>#N/A</v>
      </c>
      <c r="N68" s="1" t="e">
        <v>#N/A</v>
      </c>
      <c r="O68" s="1" t="e">
        <v>#N/A</v>
      </c>
      <c r="P68" s="1" t="e">
        <v>#N/A</v>
      </c>
      <c r="Q68" s="1">
        <v>75.290000000000006</v>
      </c>
      <c r="R68" s="78">
        <v>41091.632638888892</v>
      </c>
      <c r="S68" s="98">
        <v>2077.3879999999999</v>
      </c>
    </row>
    <row r="69" spans="1:19" x14ac:dyDescent="0.25">
      <c r="A69" s="1">
        <v>2012</v>
      </c>
      <c r="B69" s="77">
        <v>41106</v>
      </c>
      <c r="C69" s="1" t="s">
        <v>6</v>
      </c>
      <c r="D69" s="1" t="s">
        <v>8</v>
      </c>
      <c r="E69" s="1" t="s">
        <v>9</v>
      </c>
      <c r="F69" s="1" t="s">
        <v>9</v>
      </c>
      <c r="G69" s="1">
        <v>12.72</v>
      </c>
      <c r="H69" s="1">
        <v>16.96</v>
      </c>
      <c r="I69" s="78">
        <v>41105.572222222225</v>
      </c>
      <c r="J69" s="1">
        <v>11.17</v>
      </c>
      <c r="K69" s="1">
        <v>15.36</v>
      </c>
      <c r="L69" s="78">
        <v>41105.55972222222</v>
      </c>
      <c r="M69" s="1">
        <v>2.6030000000000002</v>
      </c>
      <c r="N69" s="78">
        <v>41105.212500000001</v>
      </c>
      <c r="O69" s="1" t="e">
        <v>#N/A</v>
      </c>
      <c r="P69" s="1" t="e">
        <v>#N/A</v>
      </c>
      <c r="Q69" s="1">
        <v>702.3</v>
      </c>
      <c r="R69" s="78">
        <v>41105.691666666666</v>
      </c>
      <c r="S69" s="98">
        <v>14202.11</v>
      </c>
    </row>
    <row r="70" spans="1:19" x14ac:dyDescent="0.25">
      <c r="A70" s="1">
        <v>2012</v>
      </c>
      <c r="B70" s="77">
        <v>41131</v>
      </c>
      <c r="C70" s="1" t="s">
        <v>6</v>
      </c>
      <c r="D70" s="1" t="s">
        <v>7</v>
      </c>
      <c r="E70" s="1" t="s">
        <v>9</v>
      </c>
      <c r="F70" s="1" t="s">
        <v>9</v>
      </c>
      <c r="G70" s="1">
        <v>12.81</v>
      </c>
      <c r="H70" s="1">
        <v>17.89</v>
      </c>
      <c r="I70" s="78">
        <v>41130.682638888888</v>
      </c>
      <c r="J70" s="1">
        <v>9.9700000000000006</v>
      </c>
      <c r="K70" s="1">
        <v>15.55</v>
      </c>
      <c r="L70" s="78">
        <v>41130.669444444444</v>
      </c>
      <c r="M70" s="1">
        <v>0.85</v>
      </c>
      <c r="N70" s="78">
        <v>41130.06527777778</v>
      </c>
      <c r="O70" s="1">
        <v>95.2</v>
      </c>
      <c r="P70" s="78">
        <v>41130.159722222219</v>
      </c>
      <c r="Q70" s="1">
        <v>1151</v>
      </c>
      <c r="R70" s="78">
        <v>41130.568055555559</v>
      </c>
      <c r="S70" s="98">
        <v>26048.75</v>
      </c>
    </row>
    <row r="71" spans="1:19" x14ac:dyDescent="0.25">
      <c r="A71" s="1">
        <v>2012</v>
      </c>
      <c r="B71" s="77">
        <v>41091</v>
      </c>
      <c r="C71" s="1" t="s">
        <v>6</v>
      </c>
      <c r="D71" s="1" t="s">
        <v>8</v>
      </c>
      <c r="E71" s="1" t="s">
        <v>9</v>
      </c>
      <c r="F71" s="1" t="s">
        <v>9</v>
      </c>
      <c r="G71" s="1">
        <v>12.7</v>
      </c>
      <c r="H71" s="1">
        <v>17.29</v>
      </c>
      <c r="I71" s="78">
        <v>41090.634722222225</v>
      </c>
      <c r="J71" s="1">
        <v>12.49</v>
      </c>
      <c r="K71" s="1">
        <v>15.57</v>
      </c>
      <c r="L71" s="78">
        <v>41090.537499999999</v>
      </c>
      <c r="M71" s="1">
        <v>4.524</v>
      </c>
      <c r="N71" s="78">
        <v>41090.113888888889</v>
      </c>
      <c r="O71" s="1" t="e">
        <v>#N/A</v>
      </c>
      <c r="P71" s="1" t="e">
        <v>#N/A</v>
      </c>
      <c r="Q71" s="1">
        <v>1013</v>
      </c>
      <c r="R71" s="78">
        <v>41090.537499999999</v>
      </c>
      <c r="S71" s="98">
        <v>14790.03</v>
      </c>
    </row>
    <row r="72" spans="1:19" x14ac:dyDescent="0.25">
      <c r="A72" s="1">
        <v>2012</v>
      </c>
      <c r="B72" s="77">
        <v>41127</v>
      </c>
      <c r="C72" s="1" t="s">
        <v>6</v>
      </c>
      <c r="D72" s="1" t="s">
        <v>7</v>
      </c>
      <c r="E72" s="1" t="s">
        <v>9</v>
      </c>
      <c r="F72" s="1" t="s">
        <v>9</v>
      </c>
      <c r="G72" s="1">
        <v>12.75</v>
      </c>
      <c r="H72" s="1">
        <v>17.77</v>
      </c>
      <c r="I72" s="78">
        <v>41126.643055555556</v>
      </c>
      <c r="J72" s="1">
        <v>10.38</v>
      </c>
      <c r="K72" s="1">
        <v>15.69</v>
      </c>
      <c r="L72" s="78">
        <v>41126.71597222222</v>
      </c>
      <c r="M72" s="1">
        <v>1.871</v>
      </c>
      <c r="N72" s="78">
        <v>41126.15902777778</v>
      </c>
      <c r="O72" s="1">
        <v>96.5</v>
      </c>
      <c r="P72" s="78">
        <v>41126.143055555556</v>
      </c>
      <c r="Q72" s="1">
        <v>1179</v>
      </c>
      <c r="R72" s="78">
        <v>41126.63958333333</v>
      </c>
      <c r="S72" s="98">
        <v>37006.94</v>
      </c>
    </row>
    <row r="73" spans="1:19" x14ac:dyDescent="0.25">
      <c r="A73" s="1">
        <v>2012</v>
      </c>
      <c r="B73" s="77">
        <v>41131</v>
      </c>
      <c r="C73" s="1" t="s">
        <v>6</v>
      </c>
      <c r="D73" s="1" t="s">
        <v>8</v>
      </c>
      <c r="E73" s="1" t="s">
        <v>9</v>
      </c>
      <c r="F73" s="1" t="s">
        <v>9</v>
      </c>
      <c r="G73" s="1">
        <v>12.64</v>
      </c>
      <c r="H73" s="1">
        <v>18.66</v>
      </c>
      <c r="I73" s="78">
        <v>41130.689583333333</v>
      </c>
      <c r="J73" s="1">
        <v>9.9</v>
      </c>
      <c r="K73" s="1">
        <v>15.7</v>
      </c>
      <c r="L73" s="78">
        <v>41130.71875</v>
      </c>
      <c r="M73" s="1">
        <v>0.76700000000000002</v>
      </c>
      <c r="N73" s="78">
        <v>41130.06527777778</v>
      </c>
      <c r="O73" s="1" t="e">
        <v>#N/A</v>
      </c>
      <c r="P73" s="1" t="e">
        <v>#N/A</v>
      </c>
      <c r="Q73" s="1">
        <v>1183</v>
      </c>
      <c r="R73" s="78">
        <v>41130.568749999999</v>
      </c>
      <c r="S73" s="98">
        <v>27123.59</v>
      </c>
    </row>
    <row r="74" spans="1:19" x14ac:dyDescent="0.25">
      <c r="A74" s="1">
        <v>2012</v>
      </c>
      <c r="B74" s="77">
        <v>41122</v>
      </c>
      <c r="C74" s="1" t="s">
        <v>6</v>
      </c>
      <c r="D74" s="1" t="s">
        <v>7</v>
      </c>
      <c r="E74" s="1" t="s">
        <v>12</v>
      </c>
      <c r="F74" s="1" t="s">
        <v>11</v>
      </c>
      <c r="G74" s="1">
        <v>12.76</v>
      </c>
      <c r="H74" s="1">
        <v>16.739999999999998</v>
      </c>
      <c r="I74" s="78">
        <v>41121.688194444447</v>
      </c>
      <c r="J74" s="1">
        <v>10.86</v>
      </c>
      <c r="K74" s="1">
        <v>15.76</v>
      </c>
      <c r="L74" s="78">
        <v>41121.681944444441</v>
      </c>
      <c r="M74" s="1">
        <v>7.6829999999999998</v>
      </c>
      <c r="N74" s="78">
        <v>41122</v>
      </c>
      <c r="O74" s="1">
        <v>96.6</v>
      </c>
      <c r="P74" s="78">
        <v>41121.451388888891</v>
      </c>
      <c r="Q74" s="1">
        <v>43.31</v>
      </c>
      <c r="R74" s="78">
        <v>41121.522222222222</v>
      </c>
      <c r="S74" s="98">
        <v>622.88490000000002</v>
      </c>
    </row>
    <row r="75" spans="1:19" x14ac:dyDescent="0.25">
      <c r="A75" s="1">
        <v>2012</v>
      </c>
      <c r="B75" s="77">
        <v>41101</v>
      </c>
      <c r="C75" s="1" t="s">
        <v>6</v>
      </c>
      <c r="D75" s="1" t="s">
        <v>8</v>
      </c>
      <c r="E75" s="1" t="s">
        <v>9</v>
      </c>
      <c r="F75" s="1" t="s">
        <v>9</v>
      </c>
      <c r="G75" s="1">
        <v>12.64</v>
      </c>
      <c r="H75" s="1">
        <v>18.739999999999998</v>
      </c>
      <c r="I75" s="78">
        <v>41100.724305555559</v>
      </c>
      <c r="J75" s="1">
        <v>12.41</v>
      </c>
      <c r="K75" s="1">
        <v>15.77</v>
      </c>
      <c r="L75" s="78">
        <v>41100.682638888888</v>
      </c>
      <c r="M75" s="1">
        <v>8.1999999999999993</v>
      </c>
      <c r="N75" s="78">
        <v>41100.134722222225</v>
      </c>
      <c r="O75" s="1" t="e">
        <v>#N/A</v>
      </c>
      <c r="P75" s="1" t="e">
        <v>#N/A</v>
      </c>
      <c r="Q75" s="1">
        <v>1011</v>
      </c>
      <c r="R75" s="78">
        <v>41100.683333333334</v>
      </c>
      <c r="S75" s="98">
        <v>15829.99</v>
      </c>
    </row>
    <row r="76" spans="1:19" x14ac:dyDescent="0.25">
      <c r="A76" s="1">
        <v>2012</v>
      </c>
      <c r="B76" s="77">
        <v>41105</v>
      </c>
      <c r="C76" s="1" t="s">
        <v>6</v>
      </c>
      <c r="D76" s="1" t="s">
        <v>8</v>
      </c>
      <c r="E76" s="1" t="s">
        <v>10</v>
      </c>
      <c r="F76" s="1" t="s">
        <v>11</v>
      </c>
      <c r="G76" s="1">
        <v>12.75</v>
      </c>
      <c r="H76" s="1">
        <v>17.239999999999998</v>
      </c>
      <c r="I76" s="78">
        <v>41104.770138888889</v>
      </c>
      <c r="J76" s="1">
        <v>11.9</v>
      </c>
      <c r="K76" s="1">
        <v>15.94</v>
      </c>
      <c r="L76" s="78">
        <v>41104.768055555556</v>
      </c>
      <c r="M76" s="1">
        <v>8.6999999999999993</v>
      </c>
      <c r="N76" s="78">
        <v>41104.993750000001</v>
      </c>
      <c r="O76" s="1" t="e">
        <v>#N/A</v>
      </c>
      <c r="P76" s="1" t="e">
        <v>#N/A</v>
      </c>
      <c r="Q76" s="1">
        <v>644.9</v>
      </c>
      <c r="R76" s="78">
        <v>41104.678472222222</v>
      </c>
      <c r="S76" s="98">
        <v>3046.3449999999998</v>
      </c>
    </row>
    <row r="77" spans="1:19" x14ac:dyDescent="0.25">
      <c r="A77" s="1">
        <v>2012</v>
      </c>
      <c r="B77" s="77">
        <v>41127</v>
      </c>
      <c r="C77" s="1" t="s">
        <v>6</v>
      </c>
      <c r="D77" s="1" t="s">
        <v>8</v>
      </c>
      <c r="E77" s="1" t="s">
        <v>9</v>
      </c>
      <c r="F77" s="1" t="s">
        <v>9</v>
      </c>
      <c r="G77" s="1">
        <v>12.61</v>
      </c>
      <c r="H77" s="1">
        <v>18.170000000000002</v>
      </c>
      <c r="I77" s="78">
        <v>41126.642361111109</v>
      </c>
      <c r="J77" s="1">
        <v>10.14</v>
      </c>
      <c r="K77" s="1">
        <v>16.079999999999998</v>
      </c>
      <c r="L77" s="78">
        <v>41126.677777777775</v>
      </c>
      <c r="M77" s="1">
        <v>1.48</v>
      </c>
      <c r="N77" s="78">
        <v>41126.157638888886</v>
      </c>
      <c r="O77" s="1" t="e">
        <v>#N/A</v>
      </c>
      <c r="P77" s="1" t="e">
        <v>#N/A</v>
      </c>
      <c r="Q77" s="1">
        <v>1230</v>
      </c>
      <c r="R77" s="78">
        <v>41126.636805555558</v>
      </c>
      <c r="S77" s="98">
        <v>38841.11</v>
      </c>
    </row>
    <row r="78" spans="1:19" x14ac:dyDescent="0.25">
      <c r="A78" s="1">
        <v>2012</v>
      </c>
      <c r="B78" s="77">
        <v>41110</v>
      </c>
      <c r="C78" s="1" t="s">
        <v>6</v>
      </c>
      <c r="D78" s="1" t="s">
        <v>7</v>
      </c>
      <c r="E78" s="1" t="s">
        <v>10</v>
      </c>
      <c r="F78" s="1" t="s">
        <v>11</v>
      </c>
      <c r="G78" s="1">
        <v>12.78</v>
      </c>
      <c r="H78" s="1">
        <v>15.31</v>
      </c>
      <c r="I78" s="78">
        <v>41109.568055555559</v>
      </c>
      <c r="J78" s="1">
        <v>10.43</v>
      </c>
      <c r="K78" s="1">
        <v>16.18</v>
      </c>
      <c r="L78" s="78">
        <v>41109.558333333334</v>
      </c>
      <c r="M78" s="1">
        <v>6.3970000000000002</v>
      </c>
      <c r="N78" s="78">
        <v>41109.156944444447</v>
      </c>
      <c r="O78" s="1">
        <v>100</v>
      </c>
      <c r="P78" s="78">
        <v>41109.351388888892</v>
      </c>
      <c r="Q78" s="1">
        <v>220.5</v>
      </c>
      <c r="R78" s="78">
        <v>41109.481249999997</v>
      </c>
      <c r="S78" s="98">
        <v>2468.4639999999999</v>
      </c>
    </row>
    <row r="79" spans="1:19" x14ac:dyDescent="0.25">
      <c r="A79" s="1">
        <v>2012</v>
      </c>
      <c r="B79" s="77">
        <v>41122</v>
      </c>
      <c r="C79" s="1" t="s">
        <v>6</v>
      </c>
      <c r="D79" s="1" t="s">
        <v>8</v>
      </c>
      <c r="E79" s="1" t="s">
        <v>10</v>
      </c>
      <c r="F79" s="1" t="s">
        <v>11</v>
      </c>
      <c r="G79" s="1">
        <v>12.64</v>
      </c>
      <c r="H79" s="1">
        <v>17.72</v>
      </c>
      <c r="I79" s="78">
        <v>41121.697222222225</v>
      </c>
      <c r="J79" s="1">
        <v>11.08</v>
      </c>
      <c r="K79" s="1">
        <v>16.25</v>
      </c>
      <c r="L79" s="78">
        <v>41121.695138888892</v>
      </c>
      <c r="M79" s="1">
        <v>7.351</v>
      </c>
      <c r="N79" s="78">
        <v>41121.162499999999</v>
      </c>
      <c r="O79" s="1" t="e">
        <v>#N/A</v>
      </c>
      <c r="P79" s="1" t="e">
        <v>#N/A</v>
      </c>
      <c r="Q79" s="1">
        <v>610.6</v>
      </c>
      <c r="R79" s="78">
        <v>41121.618055555555</v>
      </c>
      <c r="S79" s="98">
        <v>3983.377</v>
      </c>
    </row>
    <row r="80" spans="1:19" x14ac:dyDescent="0.25">
      <c r="A80" s="1">
        <v>2012</v>
      </c>
      <c r="B80" s="77">
        <v>41115</v>
      </c>
      <c r="C80" s="1" t="s">
        <v>6</v>
      </c>
      <c r="D80" s="1" t="s">
        <v>7</v>
      </c>
      <c r="E80" s="1" t="s">
        <v>9</v>
      </c>
      <c r="F80" s="1" t="s">
        <v>9</v>
      </c>
      <c r="G80" s="1">
        <v>12.81</v>
      </c>
      <c r="H80" s="1">
        <v>18.89</v>
      </c>
      <c r="I80" s="78">
        <v>41114.458333333336</v>
      </c>
      <c r="J80" s="1">
        <v>13.62</v>
      </c>
      <c r="K80" s="1">
        <v>16.3</v>
      </c>
      <c r="L80" s="78">
        <v>41114.50277777778</v>
      </c>
      <c r="M80" s="1">
        <v>9.27</v>
      </c>
      <c r="N80" s="78">
        <v>41114.997916666667</v>
      </c>
      <c r="O80" s="1">
        <v>98.8</v>
      </c>
      <c r="P80" s="78">
        <v>41114.935416666667</v>
      </c>
      <c r="Q80" s="1">
        <v>1308</v>
      </c>
      <c r="R80" s="78">
        <v>41114.450694444444</v>
      </c>
      <c r="S80" s="98">
        <v>21870.16</v>
      </c>
    </row>
    <row r="81" spans="1:19" x14ac:dyDescent="0.25">
      <c r="A81" s="1">
        <v>2012</v>
      </c>
      <c r="B81" s="77">
        <v>41124</v>
      </c>
      <c r="C81" s="1" t="s">
        <v>6</v>
      </c>
      <c r="D81" s="1" t="s">
        <v>7</v>
      </c>
      <c r="E81" s="1" t="s">
        <v>10</v>
      </c>
      <c r="F81" s="1" t="s">
        <v>11</v>
      </c>
      <c r="G81" s="1">
        <v>12.76</v>
      </c>
      <c r="H81" s="1">
        <v>16.489999999999998</v>
      </c>
      <c r="I81" s="78">
        <v>41123.5625</v>
      </c>
      <c r="J81" s="1">
        <v>10.93</v>
      </c>
      <c r="K81" s="1">
        <v>16.3</v>
      </c>
      <c r="L81" s="78">
        <v>41123.554861111108</v>
      </c>
      <c r="M81" s="1">
        <v>7.5780000000000003</v>
      </c>
      <c r="N81" s="78">
        <v>41123.063888888886</v>
      </c>
      <c r="O81" s="1">
        <v>97</v>
      </c>
      <c r="P81" s="78">
        <v>41123.776388888888</v>
      </c>
      <c r="Q81" s="1">
        <v>141.19999999999999</v>
      </c>
      <c r="R81" s="78">
        <v>41123.496527777781</v>
      </c>
      <c r="S81" s="98">
        <v>1710.3679999999999</v>
      </c>
    </row>
    <row r="82" spans="1:19" x14ac:dyDescent="0.25">
      <c r="A82" s="1">
        <v>2012</v>
      </c>
      <c r="B82" s="77">
        <v>41099</v>
      </c>
      <c r="C82" s="1" t="s">
        <v>6</v>
      </c>
      <c r="D82" s="1" t="s">
        <v>8</v>
      </c>
      <c r="E82" s="1" t="s">
        <v>9</v>
      </c>
      <c r="F82" s="1" t="s">
        <v>9</v>
      </c>
      <c r="G82" s="1">
        <v>12.76</v>
      </c>
      <c r="H82" s="1">
        <v>17.21</v>
      </c>
      <c r="I82" s="78">
        <v>41098.645833333336</v>
      </c>
      <c r="J82" s="1">
        <v>12.78</v>
      </c>
      <c r="K82" s="1">
        <v>16.3</v>
      </c>
      <c r="L82" s="78">
        <v>41098.770833333336</v>
      </c>
      <c r="M82" s="1">
        <v>7.3840000000000003</v>
      </c>
      <c r="N82" s="78">
        <v>41098.145833333336</v>
      </c>
      <c r="O82" s="1" t="e">
        <v>#N/A</v>
      </c>
      <c r="P82" s="1" t="e">
        <v>#N/A</v>
      </c>
      <c r="Q82" s="1">
        <v>771.8</v>
      </c>
      <c r="R82" s="78">
        <v>41098.621527777781</v>
      </c>
      <c r="S82" s="98">
        <v>13874.95</v>
      </c>
    </row>
    <row r="83" spans="1:19" x14ac:dyDescent="0.25">
      <c r="A83" s="1">
        <v>2012</v>
      </c>
      <c r="B83" s="77">
        <v>41124</v>
      </c>
      <c r="C83" s="1" t="s">
        <v>6</v>
      </c>
      <c r="D83" s="1" t="s">
        <v>7</v>
      </c>
      <c r="E83" s="1" t="s">
        <v>12</v>
      </c>
      <c r="F83" s="1" t="s">
        <v>11</v>
      </c>
      <c r="G83" s="1">
        <v>12.76</v>
      </c>
      <c r="H83" s="1">
        <v>16.489999999999998</v>
      </c>
      <c r="I83" s="78">
        <v>41123.5625</v>
      </c>
      <c r="J83" s="1">
        <v>10.93</v>
      </c>
      <c r="K83" s="1">
        <v>16.329999999999998</v>
      </c>
      <c r="L83" s="78">
        <v>41123.557638888888</v>
      </c>
      <c r="M83" s="1">
        <v>7.11</v>
      </c>
      <c r="N83" s="78">
        <v>41123.095833333333</v>
      </c>
      <c r="O83" s="1">
        <v>94.9</v>
      </c>
      <c r="P83" s="78">
        <v>41123.779861111114</v>
      </c>
      <c r="Q83" s="1">
        <v>27.98</v>
      </c>
      <c r="R83" s="78">
        <v>41123.508333333331</v>
      </c>
      <c r="S83" s="98">
        <v>518.20600000000002</v>
      </c>
    </row>
    <row r="84" spans="1:19" x14ac:dyDescent="0.25">
      <c r="A84" s="1">
        <v>2012</v>
      </c>
      <c r="B84" s="77">
        <v>41111</v>
      </c>
      <c r="C84" s="1" t="s">
        <v>6</v>
      </c>
      <c r="D84" s="1" t="s">
        <v>7</v>
      </c>
      <c r="E84" s="1" t="s">
        <v>12</v>
      </c>
      <c r="F84" s="1" t="s">
        <v>11</v>
      </c>
      <c r="G84" s="1">
        <v>12.79</v>
      </c>
      <c r="H84" s="1">
        <v>17.16</v>
      </c>
      <c r="I84" s="78">
        <v>41110.536805555559</v>
      </c>
      <c r="J84" s="1">
        <v>10.71</v>
      </c>
      <c r="K84" s="1">
        <v>16.37</v>
      </c>
      <c r="L84" s="78">
        <v>41110.529861111114</v>
      </c>
      <c r="M84" s="1">
        <v>4.9349999999999996</v>
      </c>
      <c r="N84" s="78">
        <v>41110.125</v>
      </c>
      <c r="O84" s="1">
        <v>96.7</v>
      </c>
      <c r="P84" s="78">
        <v>41110.277777777781</v>
      </c>
      <c r="Q84" s="1">
        <v>47.96</v>
      </c>
      <c r="R84" s="78">
        <v>41110.581250000003</v>
      </c>
      <c r="S84" s="98">
        <v>347.02780000000001</v>
      </c>
    </row>
    <row r="85" spans="1:19" x14ac:dyDescent="0.25">
      <c r="A85" s="1">
        <v>2012</v>
      </c>
      <c r="B85" s="77">
        <v>41111</v>
      </c>
      <c r="C85" s="1" t="s">
        <v>6</v>
      </c>
      <c r="D85" s="1" t="s">
        <v>7</v>
      </c>
      <c r="E85" s="1" t="s">
        <v>10</v>
      </c>
      <c r="F85" s="1" t="s">
        <v>11</v>
      </c>
      <c r="G85" s="1">
        <v>12.79</v>
      </c>
      <c r="H85" s="1">
        <v>17.16</v>
      </c>
      <c r="I85" s="78">
        <v>41110.536805555559</v>
      </c>
      <c r="J85" s="1">
        <v>10.71</v>
      </c>
      <c r="K85" s="1">
        <v>16.440000000000001</v>
      </c>
      <c r="L85" s="78">
        <v>41110.529166666667</v>
      </c>
      <c r="M85" s="1">
        <v>5.4109999999999996</v>
      </c>
      <c r="N85" s="78">
        <v>41110.135416666664</v>
      </c>
      <c r="O85" s="1">
        <v>99.7</v>
      </c>
      <c r="P85" s="78">
        <v>41110.144444444442</v>
      </c>
      <c r="Q85" s="1">
        <v>205.2</v>
      </c>
      <c r="R85" s="78">
        <v>41110.397222222222</v>
      </c>
      <c r="S85" s="98">
        <v>2611.2640000000001</v>
      </c>
    </row>
    <row r="86" spans="1:19" x14ac:dyDescent="0.25">
      <c r="A86" s="1">
        <v>2012</v>
      </c>
      <c r="B86" s="77">
        <v>41124</v>
      </c>
      <c r="C86" s="1" t="s">
        <v>6</v>
      </c>
      <c r="D86" s="1" t="s">
        <v>8</v>
      </c>
      <c r="E86" s="1" t="s">
        <v>10</v>
      </c>
      <c r="F86" s="1" t="s">
        <v>11</v>
      </c>
      <c r="G86" s="1">
        <v>12.64</v>
      </c>
      <c r="H86" s="1">
        <v>16.690000000000001</v>
      </c>
      <c r="I86" s="78">
        <v>41123.561805555553</v>
      </c>
      <c r="J86" s="1">
        <v>10.91</v>
      </c>
      <c r="K86" s="1">
        <v>16.54</v>
      </c>
      <c r="L86" s="78">
        <v>41123.504861111112</v>
      </c>
      <c r="M86" s="1">
        <v>7.0750000000000002</v>
      </c>
      <c r="N86" s="78">
        <v>41123.15902777778</v>
      </c>
      <c r="O86" s="1" t="e">
        <v>#N/A</v>
      </c>
      <c r="P86" s="1" t="e">
        <v>#N/A</v>
      </c>
      <c r="Q86" s="1">
        <v>453</v>
      </c>
      <c r="R86" s="78">
        <v>41123.49722222222</v>
      </c>
      <c r="S86" s="98">
        <v>2683.444</v>
      </c>
    </row>
    <row r="87" spans="1:19" x14ac:dyDescent="0.25">
      <c r="A87" s="1">
        <v>2012</v>
      </c>
      <c r="B87" s="77">
        <v>41134</v>
      </c>
      <c r="C87" s="1" t="s">
        <v>6</v>
      </c>
      <c r="D87" s="1" t="s">
        <v>7</v>
      </c>
      <c r="E87" s="1" t="s">
        <v>12</v>
      </c>
      <c r="F87" s="1" t="s">
        <v>11</v>
      </c>
      <c r="G87" s="1">
        <v>12.77</v>
      </c>
      <c r="H87" s="1">
        <v>17.72</v>
      </c>
      <c r="I87" s="78">
        <v>41133.642361111109</v>
      </c>
      <c r="J87" s="1">
        <v>10.24</v>
      </c>
      <c r="K87" s="1">
        <v>16.57</v>
      </c>
      <c r="L87" s="78">
        <v>41133.614583333336</v>
      </c>
      <c r="M87" s="1">
        <v>1.3260000000000001</v>
      </c>
      <c r="N87" s="78">
        <v>41133.283333333333</v>
      </c>
      <c r="O87" s="1">
        <v>96.8</v>
      </c>
      <c r="P87" s="78">
        <v>41133.352777777778</v>
      </c>
      <c r="Q87" s="1">
        <v>290.39999999999998</v>
      </c>
      <c r="R87" s="78">
        <v>41133.542361111111</v>
      </c>
      <c r="S87" s="98">
        <v>2189.2739999999999</v>
      </c>
    </row>
    <row r="88" spans="1:19" x14ac:dyDescent="0.25">
      <c r="A88" s="1">
        <v>2012</v>
      </c>
      <c r="B88" s="77">
        <v>41092</v>
      </c>
      <c r="C88" s="1" t="s">
        <v>6</v>
      </c>
      <c r="D88" s="1" t="s">
        <v>8</v>
      </c>
      <c r="E88" s="1" t="s">
        <v>10</v>
      </c>
      <c r="F88" s="1" t="s">
        <v>11</v>
      </c>
      <c r="G88" s="1">
        <v>12.69</v>
      </c>
      <c r="H88" s="1">
        <v>16.61</v>
      </c>
      <c r="I88" s="78">
        <v>41091.895833333336</v>
      </c>
      <c r="J88" s="1">
        <v>11.58</v>
      </c>
      <c r="K88" s="1">
        <v>16.57</v>
      </c>
      <c r="L88" s="78">
        <v>41091.87777777778</v>
      </c>
      <c r="M88" s="1">
        <v>8.41</v>
      </c>
      <c r="N88" s="78">
        <v>41091.168749999997</v>
      </c>
      <c r="O88" s="1" t="e">
        <v>#N/A</v>
      </c>
      <c r="P88" s="1" t="e">
        <v>#N/A</v>
      </c>
      <c r="Q88" s="1">
        <v>105.7</v>
      </c>
      <c r="R88" s="78">
        <v>41091.634722222225</v>
      </c>
      <c r="S88" s="98">
        <v>2654.97</v>
      </c>
    </row>
    <row r="89" spans="1:19" x14ac:dyDescent="0.25">
      <c r="A89" s="1">
        <v>2012</v>
      </c>
      <c r="B89" s="77">
        <v>41111</v>
      </c>
      <c r="C89" s="1" t="s">
        <v>6</v>
      </c>
      <c r="D89" s="1" t="s">
        <v>8</v>
      </c>
      <c r="E89" s="1" t="s">
        <v>10</v>
      </c>
      <c r="F89" s="1" t="s">
        <v>11</v>
      </c>
      <c r="G89" s="1">
        <v>12.67</v>
      </c>
      <c r="H89" s="1">
        <v>17.010000000000002</v>
      </c>
      <c r="I89" s="78">
        <v>41110.539583333331</v>
      </c>
      <c r="J89" s="1">
        <v>10.67</v>
      </c>
      <c r="K89" s="1">
        <v>16.61</v>
      </c>
      <c r="L89" s="78">
        <v>41110.538888888892</v>
      </c>
      <c r="M89" s="1">
        <v>5.2770000000000001</v>
      </c>
      <c r="N89" s="78">
        <v>41110.105555555558</v>
      </c>
      <c r="O89" s="1" t="e">
        <v>#N/A</v>
      </c>
      <c r="P89" s="1" t="e">
        <v>#N/A</v>
      </c>
      <c r="Q89" s="1">
        <v>564</v>
      </c>
      <c r="R89" s="78">
        <v>41110.570138888892</v>
      </c>
      <c r="S89" s="98">
        <v>4202.3810000000003</v>
      </c>
    </row>
    <row r="90" spans="1:19" x14ac:dyDescent="0.25">
      <c r="A90" s="1">
        <v>2012</v>
      </c>
      <c r="B90" s="77">
        <v>41115</v>
      </c>
      <c r="C90" s="1" t="s">
        <v>6</v>
      </c>
      <c r="D90" s="1" t="s">
        <v>8</v>
      </c>
      <c r="E90" s="1" t="s">
        <v>9</v>
      </c>
      <c r="F90" s="1" t="s">
        <v>9</v>
      </c>
      <c r="G90" s="1">
        <v>12.69</v>
      </c>
      <c r="H90" s="1">
        <v>18.25</v>
      </c>
      <c r="I90" s="78">
        <v>41114.518750000003</v>
      </c>
      <c r="J90" s="1">
        <v>13.55</v>
      </c>
      <c r="K90" s="1">
        <v>16.690000000000001</v>
      </c>
      <c r="L90" s="78">
        <v>41114.497916666667</v>
      </c>
      <c r="M90" s="1">
        <v>8.94</v>
      </c>
      <c r="N90" s="78">
        <v>41115</v>
      </c>
      <c r="O90" s="1" t="e">
        <v>#N/A</v>
      </c>
      <c r="P90" s="1" t="e">
        <v>#N/A</v>
      </c>
      <c r="Q90" s="1">
        <v>1361</v>
      </c>
      <c r="R90" s="78">
        <v>41114.45208333333</v>
      </c>
      <c r="S90" s="98">
        <v>22515.439999999999</v>
      </c>
    </row>
    <row r="91" spans="1:19" x14ac:dyDescent="0.25">
      <c r="A91" s="1">
        <v>2012</v>
      </c>
      <c r="B91" s="77">
        <v>41091</v>
      </c>
      <c r="C91" s="1" t="s">
        <v>6</v>
      </c>
      <c r="D91" s="1" t="s">
        <v>7</v>
      </c>
      <c r="E91" s="1" t="s">
        <v>12</v>
      </c>
      <c r="F91" s="1" t="s">
        <v>11</v>
      </c>
      <c r="G91" s="1">
        <v>12.81</v>
      </c>
      <c r="H91" s="1">
        <v>16.71</v>
      </c>
      <c r="I91" s="78">
        <v>41090.629166666666</v>
      </c>
      <c r="J91" s="1">
        <v>12.49</v>
      </c>
      <c r="K91" s="1">
        <v>16.71</v>
      </c>
      <c r="L91" s="78">
        <v>41090.613888888889</v>
      </c>
      <c r="M91" s="1" t="e">
        <v>#N/A</v>
      </c>
      <c r="N91" s="1" t="e">
        <v>#N/A</v>
      </c>
      <c r="O91" s="1" t="e">
        <v>#N/A</v>
      </c>
      <c r="P91" s="1" t="e">
        <v>#N/A</v>
      </c>
      <c r="Q91" s="1">
        <v>504.8</v>
      </c>
      <c r="R91" s="78">
        <v>41090.538194444445</v>
      </c>
      <c r="S91" s="98">
        <v>3348.3339999999998</v>
      </c>
    </row>
    <row r="92" spans="1:19" x14ac:dyDescent="0.25">
      <c r="A92" s="1">
        <v>2012</v>
      </c>
      <c r="B92" s="77">
        <v>41127</v>
      </c>
      <c r="C92" s="1" t="s">
        <v>6</v>
      </c>
      <c r="D92" s="1" t="s">
        <v>8</v>
      </c>
      <c r="E92" s="1" t="s">
        <v>10</v>
      </c>
      <c r="F92" s="1" t="s">
        <v>11</v>
      </c>
      <c r="G92" s="1">
        <v>12.61</v>
      </c>
      <c r="H92" s="1">
        <v>18.170000000000002</v>
      </c>
      <c r="I92" s="78">
        <v>41126.642361111109</v>
      </c>
      <c r="J92" s="1">
        <v>10.14</v>
      </c>
      <c r="K92" s="1">
        <v>16.73</v>
      </c>
      <c r="L92" s="78">
        <v>41126.640972222223</v>
      </c>
      <c r="M92" s="1">
        <v>1.5860000000000001</v>
      </c>
      <c r="N92" s="78">
        <v>41126.161805555559</v>
      </c>
      <c r="O92" s="1" t="e">
        <v>#N/A</v>
      </c>
      <c r="P92" s="1" t="e">
        <v>#N/A</v>
      </c>
      <c r="Q92" s="1">
        <v>562</v>
      </c>
      <c r="R92" s="78">
        <v>41126.53402777778</v>
      </c>
      <c r="S92" s="98">
        <v>5138.1909999999998</v>
      </c>
    </row>
    <row r="93" spans="1:19" x14ac:dyDescent="0.25">
      <c r="A93" s="1">
        <v>2012</v>
      </c>
      <c r="B93" s="77">
        <v>41091</v>
      </c>
      <c r="C93" s="1" t="s">
        <v>6</v>
      </c>
      <c r="D93" s="1" t="s">
        <v>8</v>
      </c>
      <c r="E93" s="1" t="s">
        <v>10</v>
      </c>
      <c r="F93" s="1" t="s">
        <v>11</v>
      </c>
      <c r="G93" s="1">
        <v>12.7</v>
      </c>
      <c r="H93" s="1">
        <v>17.29</v>
      </c>
      <c r="I93" s="78">
        <v>41090.634722222225</v>
      </c>
      <c r="J93" s="1">
        <v>12.49</v>
      </c>
      <c r="K93" s="1">
        <v>16.760000000000002</v>
      </c>
      <c r="L93" s="78">
        <v>41090.541666666664</v>
      </c>
      <c r="M93" s="1">
        <v>3.8889999999999998</v>
      </c>
      <c r="N93" s="78">
        <v>41090.158333333333</v>
      </c>
      <c r="O93" s="1" t="e">
        <v>#N/A</v>
      </c>
      <c r="P93" s="1" t="e">
        <v>#N/A</v>
      </c>
      <c r="Q93" s="1">
        <v>240.3</v>
      </c>
      <c r="R93" s="78">
        <v>41090.426388888889</v>
      </c>
      <c r="S93" s="98">
        <v>3617.1320000000001</v>
      </c>
    </row>
    <row r="94" spans="1:19" x14ac:dyDescent="0.25">
      <c r="A94" s="1">
        <v>2012</v>
      </c>
      <c r="B94" s="77">
        <v>41106</v>
      </c>
      <c r="C94" s="1" t="s">
        <v>6</v>
      </c>
      <c r="D94" s="1" t="s">
        <v>8</v>
      </c>
      <c r="E94" s="1" t="s">
        <v>10</v>
      </c>
      <c r="F94" s="1" t="s">
        <v>11</v>
      </c>
      <c r="G94" s="1">
        <v>12.72</v>
      </c>
      <c r="H94" s="1">
        <v>16.96</v>
      </c>
      <c r="I94" s="78">
        <v>41105.572222222225</v>
      </c>
      <c r="J94" s="1">
        <v>11.17</v>
      </c>
      <c r="K94" s="1">
        <v>16.760000000000002</v>
      </c>
      <c r="L94" s="78">
        <v>41105.566666666666</v>
      </c>
      <c r="M94" s="1">
        <v>1.746</v>
      </c>
      <c r="N94" s="78">
        <v>41105.212500000001</v>
      </c>
      <c r="O94" s="1" t="e">
        <v>#N/A</v>
      </c>
      <c r="P94" s="1" t="e">
        <v>#N/A</v>
      </c>
      <c r="Q94" s="1">
        <v>710.2</v>
      </c>
      <c r="R94" s="78">
        <v>41105.431250000001</v>
      </c>
      <c r="S94" s="98">
        <v>3323.873</v>
      </c>
    </row>
    <row r="95" spans="1:19" x14ac:dyDescent="0.25">
      <c r="A95" s="1">
        <v>2012</v>
      </c>
      <c r="B95" s="77">
        <v>41134</v>
      </c>
      <c r="C95" s="1" t="s">
        <v>6</v>
      </c>
      <c r="D95" s="1" t="s">
        <v>7</v>
      </c>
      <c r="E95" s="1" t="s">
        <v>10</v>
      </c>
      <c r="F95" s="1" t="s">
        <v>11</v>
      </c>
      <c r="G95" s="1">
        <v>12.77</v>
      </c>
      <c r="H95" s="1">
        <v>17.72</v>
      </c>
      <c r="I95" s="78">
        <v>41133.642361111109</v>
      </c>
      <c r="J95" s="1">
        <v>10.24</v>
      </c>
      <c r="K95" s="1">
        <v>16.809999999999999</v>
      </c>
      <c r="L95" s="78">
        <v>41133.612500000003</v>
      </c>
      <c r="M95" s="1">
        <v>0.875</v>
      </c>
      <c r="N95" s="78">
        <v>41133.268750000003</v>
      </c>
      <c r="O95" s="1">
        <v>99.1</v>
      </c>
      <c r="P95" s="78">
        <v>41133.313194444447</v>
      </c>
      <c r="Q95" s="1">
        <v>105.2</v>
      </c>
      <c r="R95" s="78">
        <v>41133.786805555559</v>
      </c>
      <c r="S95" s="98">
        <v>1248.7460000000001</v>
      </c>
    </row>
    <row r="96" spans="1:19" x14ac:dyDescent="0.25">
      <c r="A96" s="1">
        <v>2012</v>
      </c>
      <c r="B96" s="77">
        <v>41099</v>
      </c>
      <c r="C96" s="1" t="s">
        <v>6</v>
      </c>
      <c r="D96" s="1" t="s">
        <v>7</v>
      </c>
      <c r="E96" s="1" t="s">
        <v>12</v>
      </c>
      <c r="F96" s="1" t="s">
        <v>11</v>
      </c>
      <c r="G96" s="1">
        <v>12.9</v>
      </c>
      <c r="H96" s="1">
        <v>16.39</v>
      </c>
      <c r="I96" s="78">
        <v>41098.644444444442</v>
      </c>
      <c r="J96" s="1">
        <v>12.75</v>
      </c>
      <c r="K96" s="1">
        <v>16.88</v>
      </c>
      <c r="L96" s="78">
        <v>41098.630555555559</v>
      </c>
      <c r="M96" s="1" t="e">
        <v>#N/A</v>
      </c>
      <c r="N96" s="1" t="e">
        <v>#N/A</v>
      </c>
      <c r="O96" s="1" t="e">
        <v>#N/A</v>
      </c>
      <c r="P96" s="1" t="e">
        <v>#N/A</v>
      </c>
      <c r="Q96" s="1">
        <v>134.6</v>
      </c>
      <c r="R96" s="78">
        <v>41098.543749999997</v>
      </c>
      <c r="S96" s="98">
        <v>2494.5410000000002</v>
      </c>
    </row>
    <row r="97" spans="1:19" x14ac:dyDescent="0.25">
      <c r="A97" s="1">
        <v>2012</v>
      </c>
      <c r="B97" s="77">
        <v>41099</v>
      </c>
      <c r="C97" s="1" t="s">
        <v>6</v>
      </c>
      <c r="D97" s="1" t="s">
        <v>8</v>
      </c>
      <c r="E97" s="1" t="s">
        <v>10</v>
      </c>
      <c r="F97" s="1" t="s">
        <v>11</v>
      </c>
      <c r="G97" s="1">
        <v>12.76</v>
      </c>
      <c r="H97" s="1">
        <v>17.21</v>
      </c>
      <c r="I97" s="78">
        <v>41098.645833333336</v>
      </c>
      <c r="J97" s="1">
        <v>12.78</v>
      </c>
      <c r="K97" s="1">
        <v>16.97</v>
      </c>
      <c r="L97" s="78">
        <v>41098.638194444444</v>
      </c>
      <c r="M97" s="1">
        <v>5.7060000000000004</v>
      </c>
      <c r="N97" s="78">
        <v>41098.145138888889</v>
      </c>
      <c r="O97" s="1" t="e">
        <v>#N/A</v>
      </c>
      <c r="P97" s="1" t="e">
        <v>#N/A</v>
      </c>
      <c r="Q97" s="1">
        <v>187.7</v>
      </c>
      <c r="R97" s="78">
        <v>41098.621527777781</v>
      </c>
      <c r="S97" s="98">
        <v>3072.5509999999999</v>
      </c>
    </row>
    <row r="98" spans="1:19" x14ac:dyDescent="0.25">
      <c r="A98" s="1">
        <v>2012</v>
      </c>
      <c r="B98" s="77">
        <v>41122</v>
      </c>
      <c r="C98" s="1" t="s">
        <v>6</v>
      </c>
      <c r="D98" s="1" t="s">
        <v>7</v>
      </c>
      <c r="E98" s="1" t="s">
        <v>10</v>
      </c>
      <c r="F98" s="1" t="s">
        <v>11</v>
      </c>
      <c r="G98" s="1">
        <v>12.76</v>
      </c>
      <c r="H98" s="1">
        <v>16.739999999999998</v>
      </c>
      <c r="I98" s="78">
        <v>41121.688194444447</v>
      </c>
      <c r="J98" s="1">
        <v>10.86</v>
      </c>
      <c r="K98" s="1">
        <v>16.98</v>
      </c>
      <c r="L98" s="78">
        <v>41121.683333333334</v>
      </c>
      <c r="M98" s="1">
        <v>7.4459999999999997</v>
      </c>
      <c r="N98" s="78">
        <v>41122</v>
      </c>
      <c r="O98" s="1">
        <v>100</v>
      </c>
      <c r="P98" s="78">
        <v>41121.593055555553</v>
      </c>
      <c r="Q98" s="1">
        <v>90.6</v>
      </c>
      <c r="R98" s="78">
        <v>41121.788194444445</v>
      </c>
      <c r="S98" s="98">
        <v>2172.9340000000002</v>
      </c>
    </row>
    <row r="99" spans="1:19" x14ac:dyDescent="0.25">
      <c r="A99" s="1">
        <v>2012</v>
      </c>
      <c r="B99" s="77">
        <v>41088</v>
      </c>
      <c r="C99" s="1" t="s">
        <v>6</v>
      </c>
      <c r="D99" s="1" t="s">
        <v>7</v>
      </c>
      <c r="E99" s="1" t="s">
        <v>12</v>
      </c>
      <c r="F99" s="1" t="s">
        <v>11</v>
      </c>
      <c r="G99" s="1">
        <v>12.84</v>
      </c>
      <c r="H99" s="1">
        <v>17.14</v>
      </c>
      <c r="I99" s="78">
        <v>41087.710416666669</v>
      </c>
      <c r="J99" s="1">
        <v>12.11</v>
      </c>
      <c r="K99" s="1">
        <v>17.079999999999998</v>
      </c>
      <c r="L99" s="78">
        <v>41087.704861111109</v>
      </c>
      <c r="M99" s="1" t="e">
        <v>#N/A</v>
      </c>
      <c r="N99" s="1" t="e">
        <v>#N/A</v>
      </c>
      <c r="O99" s="1" t="e">
        <v>#N/A</v>
      </c>
      <c r="P99" s="1" t="e">
        <v>#N/A</v>
      </c>
      <c r="Q99" s="1">
        <v>141.9</v>
      </c>
      <c r="R99" s="78">
        <v>41087.527777777781</v>
      </c>
      <c r="S99" s="98">
        <v>2706.9470000000001</v>
      </c>
    </row>
    <row r="100" spans="1:19" x14ac:dyDescent="0.25">
      <c r="A100" s="1">
        <v>2012</v>
      </c>
      <c r="B100" s="77">
        <v>41115</v>
      </c>
      <c r="C100" s="1" t="s">
        <v>6</v>
      </c>
      <c r="D100" s="1" t="s">
        <v>7</v>
      </c>
      <c r="E100" s="1" t="s">
        <v>12</v>
      </c>
      <c r="F100" s="1" t="s">
        <v>11</v>
      </c>
      <c r="G100" s="1">
        <v>12.81</v>
      </c>
      <c r="H100" s="1">
        <v>18.89</v>
      </c>
      <c r="I100" s="78">
        <v>41114.458333333336</v>
      </c>
      <c r="J100" s="1">
        <v>13.62</v>
      </c>
      <c r="K100" s="1">
        <v>17.14</v>
      </c>
      <c r="L100" s="78">
        <v>41114.506249999999</v>
      </c>
      <c r="M100" s="1">
        <v>9.61</v>
      </c>
      <c r="N100" s="78">
        <v>41115</v>
      </c>
      <c r="O100" s="1">
        <v>96.4</v>
      </c>
      <c r="P100" s="78">
        <v>41114.345833333333</v>
      </c>
      <c r="Q100" s="1">
        <v>31.98</v>
      </c>
      <c r="R100" s="78">
        <v>41114.661805555559</v>
      </c>
      <c r="S100" s="98">
        <v>673.29160000000002</v>
      </c>
    </row>
    <row r="101" spans="1:19" x14ac:dyDescent="0.25">
      <c r="A101" s="1">
        <v>2012</v>
      </c>
      <c r="B101" s="77">
        <v>41123</v>
      </c>
      <c r="C101" s="1" t="s">
        <v>6</v>
      </c>
      <c r="D101" s="1" t="s">
        <v>7</v>
      </c>
      <c r="E101" s="1" t="s">
        <v>9</v>
      </c>
      <c r="F101" s="1" t="s">
        <v>9</v>
      </c>
      <c r="G101" s="1">
        <v>12.76</v>
      </c>
      <c r="H101" s="1">
        <v>17.95</v>
      </c>
      <c r="I101" s="78">
        <v>41122.672222222223</v>
      </c>
      <c r="J101" s="1">
        <v>11.88</v>
      </c>
      <c r="K101" s="1">
        <v>17.28</v>
      </c>
      <c r="L101" s="78">
        <v>41122.661111111112</v>
      </c>
      <c r="M101" s="1">
        <v>3.7949999999999999</v>
      </c>
      <c r="N101" s="78">
        <v>41122.194444444445</v>
      </c>
      <c r="O101" s="1">
        <v>99.3</v>
      </c>
      <c r="P101" s="78">
        <v>41122.152083333334</v>
      </c>
      <c r="Q101" s="1">
        <v>1241</v>
      </c>
      <c r="R101" s="78">
        <v>41122.515277777777</v>
      </c>
      <c r="S101" s="98">
        <v>25269.07</v>
      </c>
    </row>
    <row r="102" spans="1:19" x14ac:dyDescent="0.25">
      <c r="A102" s="1">
        <v>2012</v>
      </c>
      <c r="B102" s="77">
        <v>41134</v>
      </c>
      <c r="C102" s="1" t="s">
        <v>6</v>
      </c>
      <c r="D102" s="1" t="s">
        <v>8</v>
      </c>
      <c r="E102" s="1" t="s">
        <v>10</v>
      </c>
      <c r="F102" s="1" t="s">
        <v>11</v>
      </c>
      <c r="G102" s="1">
        <v>12.62</v>
      </c>
      <c r="H102" s="1">
        <v>19.55</v>
      </c>
      <c r="I102" s="78">
        <v>41133.645138888889</v>
      </c>
      <c r="J102" s="1">
        <v>10.27</v>
      </c>
      <c r="K102" s="1">
        <v>17.37</v>
      </c>
      <c r="L102" s="78">
        <v>41133.609722222223</v>
      </c>
      <c r="M102" s="1">
        <v>-0.124</v>
      </c>
      <c r="N102" s="78">
        <v>41133.256944444445</v>
      </c>
      <c r="O102" s="1" t="e">
        <v>#N/A</v>
      </c>
      <c r="P102" s="1" t="e">
        <v>#N/A</v>
      </c>
      <c r="Q102" s="1">
        <v>622.70000000000005</v>
      </c>
      <c r="R102" s="78">
        <v>41133.65</v>
      </c>
      <c r="S102" s="98">
        <v>4624.6639999999998</v>
      </c>
    </row>
    <row r="103" spans="1:19" x14ac:dyDescent="0.25">
      <c r="A103" s="1">
        <v>2012</v>
      </c>
      <c r="B103" s="77">
        <v>41131</v>
      </c>
      <c r="C103" s="1" t="s">
        <v>6</v>
      </c>
      <c r="D103" s="1" t="s">
        <v>7</v>
      </c>
      <c r="E103" s="1" t="s">
        <v>10</v>
      </c>
      <c r="F103" s="1" t="s">
        <v>11</v>
      </c>
      <c r="G103" s="1">
        <v>12.81</v>
      </c>
      <c r="H103" s="1">
        <v>17.89</v>
      </c>
      <c r="I103" s="78">
        <v>41130.682638888888</v>
      </c>
      <c r="J103" s="1">
        <v>9.9700000000000006</v>
      </c>
      <c r="K103" s="1">
        <v>17.39</v>
      </c>
      <c r="L103" s="78">
        <v>41130.672222222223</v>
      </c>
      <c r="M103" s="1">
        <v>-0.13600000000000001</v>
      </c>
      <c r="N103" s="78">
        <v>41130.065972222219</v>
      </c>
      <c r="O103" s="1">
        <v>99.9</v>
      </c>
      <c r="P103" s="78">
        <v>41130.094444444447</v>
      </c>
      <c r="Q103" s="1">
        <v>133.19999999999999</v>
      </c>
      <c r="R103" s="78">
        <v>41130.459027777775</v>
      </c>
      <c r="S103" s="98">
        <v>2523.84</v>
      </c>
    </row>
    <row r="104" spans="1:19" x14ac:dyDescent="0.25">
      <c r="A104" s="1">
        <v>2012</v>
      </c>
      <c r="B104" s="77">
        <v>41131</v>
      </c>
      <c r="C104" s="1" t="s">
        <v>6</v>
      </c>
      <c r="D104" s="1" t="s">
        <v>7</v>
      </c>
      <c r="E104" s="1" t="s">
        <v>12</v>
      </c>
      <c r="F104" s="1" t="s">
        <v>11</v>
      </c>
      <c r="G104" s="1">
        <v>12.81</v>
      </c>
      <c r="H104" s="1">
        <v>17.89</v>
      </c>
      <c r="I104" s="78">
        <v>41130.682638888888</v>
      </c>
      <c r="J104" s="1">
        <v>9.9700000000000006</v>
      </c>
      <c r="K104" s="1">
        <v>17.489999999999998</v>
      </c>
      <c r="L104" s="78">
        <v>41130.676388888889</v>
      </c>
      <c r="M104" s="1">
        <v>0.13600000000000001</v>
      </c>
      <c r="N104" s="78">
        <v>41130.074999999997</v>
      </c>
      <c r="O104" s="1">
        <v>96.2</v>
      </c>
      <c r="P104" s="78">
        <v>41130.098611111112</v>
      </c>
      <c r="Q104" s="1">
        <v>157.19999999999999</v>
      </c>
      <c r="R104" s="78">
        <v>41130.449999999997</v>
      </c>
      <c r="S104" s="98">
        <v>2426.2199999999998</v>
      </c>
    </row>
    <row r="105" spans="1:19" x14ac:dyDescent="0.25">
      <c r="A105" s="1">
        <v>2012</v>
      </c>
      <c r="B105" s="77">
        <v>41101</v>
      </c>
      <c r="C105" s="1" t="s">
        <v>6</v>
      </c>
      <c r="D105" s="1" t="s">
        <v>8</v>
      </c>
      <c r="E105" s="1" t="s">
        <v>10</v>
      </c>
      <c r="F105" s="1" t="s">
        <v>11</v>
      </c>
      <c r="G105" s="1">
        <v>12.64</v>
      </c>
      <c r="H105" s="1">
        <v>18.739999999999998</v>
      </c>
      <c r="I105" s="78">
        <v>41100.724305555559</v>
      </c>
      <c r="J105" s="1">
        <v>12.41</v>
      </c>
      <c r="K105" s="1">
        <v>17.510000000000002</v>
      </c>
      <c r="L105" s="78">
        <v>41100.688194444447</v>
      </c>
      <c r="M105" s="1">
        <v>7.8280000000000003</v>
      </c>
      <c r="N105" s="78">
        <v>41100.140972222223</v>
      </c>
      <c r="O105" s="1" t="e">
        <v>#N/A</v>
      </c>
      <c r="P105" s="1" t="e">
        <v>#N/A</v>
      </c>
      <c r="Q105" s="1">
        <v>1128</v>
      </c>
      <c r="R105" s="78">
        <v>41100.678472222222</v>
      </c>
      <c r="S105" s="98">
        <v>3795.5129999999999</v>
      </c>
    </row>
    <row r="106" spans="1:19" x14ac:dyDescent="0.25">
      <c r="A106" s="1">
        <v>2012</v>
      </c>
      <c r="B106" s="77">
        <v>41123</v>
      </c>
      <c r="C106" s="1" t="s">
        <v>6</v>
      </c>
      <c r="D106" s="1" t="s">
        <v>8</v>
      </c>
      <c r="E106" s="1" t="s">
        <v>9</v>
      </c>
      <c r="F106" s="1" t="s">
        <v>9</v>
      </c>
      <c r="G106" s="1">
        <v>12.62</v>
      </c>
      <c r="H106" s="1">
        <v>18.28</v>
      </c>
      <c r="I106" s="78">
        <v>41122.671527777777</v>
      </c>
      <c r="J106" s="1">
        <v>11.66</v>
      </c>
      <c r="K106" s="1">
        <v>17.579999999999998</v>
      </c>
      <c r="L106" s="78">
        <v>41122.662499999999</v>
      </c>
      <c r="M106" s="1">
        <v>3.3410000000000002</v>
      </c>
      <c r="N106" s="78">
        <v>41122.160416666666</v>
      </c>
      <c r="O106" s="1" t="e">
        <v>#N/A</v>
      </c>
      <c r="P106" s="1" t="e">
        <v>#N/A</v>
      </c>
      <c r="Q106" s="1">
        <v>1433</v>
      </c>
      <c r="R106" s="78">
        <v>41122.65902777778</v>
      </c>
      <c r="S106" s="98">
        <v>27888.880000000001</v>
      </c>
    </row>
    <row r="107" spans="1:19" x14ac:dyDescent="0.25">
      <c r="A107" s="1">
        <v>2012</v>
      </c>
      <c r="B107" s="77">
        <v>41127</v>
      </c>
      <c r="C107" s="1" t="s">
        <v>6</v>
      </c>
      <c r="D107" s="1" t="s">
        <v>7</v>
      </c>
      <c r="E107" s="1" t="s">
        <v>10</v>
      </c>
      <c r="F107" s="1" t="s">
        <v>11</v>
      </c>
      <c r="G107" s="1">
        <v>12.75</v>
      </c>
      <c r="H107" s="1">
        <v>17.77</v>
      </c>
      <c r="I107" s="78">
        <v>41126.643055555556</v>
      </c>
      <c r="J107" s="1">
        <v>10.38</v>
      </c>
      <c r="K107" s="1">
        <v>17.66</v>
      </c>
      <c r="L107" s="78">
        <v>41126.636111111111</v>
      </c>
      <c r="M107" s="1">
        <v>1.631</v>
      </c>
      <c r="N107" s="78">
        <v>41126.136111111111</v>
      </c>
      <c r="O107" s="1">
        <v>99.6</v>
      </c>
      <c r="P107" s="78">
        <v>41126.174305555556</v>
      </c>
      <c r="Q107" s="1">
        <v>296.39999999999998</v>
      </c>
      <c r="R107" s="78">
        <v>41126.779861111114</v>
      </c>
      <c r="S107" s="98">
        <v>2064.64</v>
      </c>
    </row>
    <row r="108" spans="1:19" x14ac:dyDescent="0.25">
      <c r="A108" s="1">
        <v>2012</v>
      </c>
      <c r="B108" s="77">
        <v>41098</v>
      </c>
      <c r="C108" s="1" t="s">
        <v>6</v>
      </c>
      <c r="D108" s="1" t="s">
        <v>8</v>
      </c>
      <c r="E108" s="1" t="s">
        <v>9</v>
      </c>
      <c r="F108" s="1" t="s">
        <v>9</v>
      </c>
      <c r="G108" s="1">
        <v>12.63</v>
      </c>
      <c r="H108" s="1">
        <v>19.13</v>
      </c>
      <c r="I108" s="78">
        <v>41097.573611111111</v>
      </c>
      <c r="J108" s="1">
        <v>12.96</v>
      </c>
      <c r="K108" s="1">
        <v>17.670000000000002</v>
      </c>
      <c r="L108" s="78">
        <v>41097.796527777777</v>
      </c>
      <c r="M108" s="1">
        <v>3.8780000000000001</v>
      </c>
      <c r="N108" s="78">
        <v>41097.124305555553</v>
      </c>
      <c r="O108" s="1" t="e">
        <v>#N/A</v>
      </c>
      <c r="P108" s="1" t="e">
        <v>#N/A</v>
      </c>
      <c r="Q108" s="1">
        <v>922</v>
      </c>
      <c r="R108" s="78">
        <v>41097.552777777775</v>
      </c>
      <c r="S108" s="98">
        <v>17176.96</v>
      </c>
    </row>
    <row r="109" spans="1:19" x14ac:dyDescent="0.25">
      <c r="A109" s="1">
        <v>2012</v>
      </c>
      <c r="B109" s="77">
        <v>41115</v>
      </c>
      <c r="C109" s="1" t="s">
        <v>6</v>
      </c>
      <c r="D109" s="1" t="s">
        <v>7</v>
      </c>
      <c r="E109" s="1" t="s">
        <v>10</v>
      </c>
      <c r="F109" s="1" t="s">
        <v>11</v>
      </c>
      <c r="G109" s="1">
        <v>12.81</v>
      </c>
      <c r="H109" s="1">
        <v>18.89</v>
      </c>
      <c r="I109" s="78">
        <v>41114.458333333336</v>
      </c>
      <c r="J109" s="1">
        <v>13.62</v>
      </c>
      <c r="K109" s="1">
        <v>17.79</v>
      </c>
      <c r="L109" s="78">
        <v>41114.504166666666</v>
      </c>
      <c r="M109" s="1">
        <v>9.61</v>
      </c>
      <c r="N109" s="78">
        <v>41114.998611111114</v>
      </c>
      <c r="O109" s="1">
        <v>98.1</v>
      </c>
      <c r="P109" s="78">
        <v>41114.311805555553</v>
      </c>
      <c r="Q109" s="1">
        <v>137.19999999999999</v>
      </c>
      <c r="R109" s="78">
        <v>41114.491666666669</v>
      </c>
      <c r="S109" s="98">
        <v>2466.1759999999999</v>
      </c>
    </row>
    <row r="110" spans="1:19" x14ac:dyDescent="0.25">
      <c r="A110" s="1">
        <v>2012</v>
      </c>
      <c r="B110" s="77">
        <v>41115</v>
      </c>
      <c r="C110" s="1" t="s">
        <v>6</v>
      </c>
      <c r="D110" s="1" t="s">
        <v>8</v>
      </c>
      <c r="E110" s="1" t="s">
        <v>10</v>
      </c>
      <c r="F110" s="1" t="s">
        <v>11</v>
      </c>
      <c r="G110" s="1">
        <v>12.69</v>
      </c>
      <c r="H110" s="1">
        <v>18.25</v>
      </c>
      <c r="I110" s="78">
        <v>41114.518750000003</v>
      </c>
      <c r="J110" s="1">
        <v>13.55</v>
      </c>
      <c r="K110" s="1">
        <v>17.79</v>
      </c>
      <c r="L110" s="78">
        <v>41114.515277777777</v>
      </c>
      <c r="M110" s="1">
        <v>9.3800000000000008</v>
      </c>
      <c r="N110" s="78">
        <v>41114.998611111114</v>
      </c>
      <c r="O110" s="1" t="e">
        <v>#N/A</v>
      </c>
      <c r="P110" s="1" t="e">
        <v>#N/A</v>
      </c>
      <c r="Q110" s="1">
        <v>572.79999999999995</v>
      </c>
      <c r="R110" s="78">
        <v>41114.427083333336</v>
      </c>
      <c r="S110" s="98">
        <v>3517.5239999999999</v>
      </c>
    </row>
    <row r="111" spans="1:19" x14ac:dyDescent="0.25">
      <c r="A111" s="1">
        <v>2012</v>
      </c>
      <c r="B111" s="77">
        <v>41131</v>
      </c>
      <c r="C111" s="1" t="s">
        <v>6</v>
      </c>
      <c r="D111" s="1" t="s">
        <v>8</v>
      </c>
      <c r="E111" s="1" t="s">
        <v>10</v>
      </c>
      <c r="F111" s="1" t="s">
        <v>11</v>
      </c>
      <c r="G111" s="1">
        <v>12.64</v>
      </c>
      <c r="H111" s="1">
        <v>18.66</v>
      </c>
      <c r="I111" s="78">
        <v>41130.689583333333</v>
      </c>
      <c r="J111" s="1">
        <v>9.9</v>
      </c>
      <c r="K111" s="1">
        <v>17.89</v>
      </c>
      <c r="L111" s="78">
        <v>41130.669444444444</v>
      </c>
      <c r="M111" s="1">
        <v>-0.5</v>
      </c>
      <c r="N111" s="78">
        <v>41130.069444444445</v>
      </c>
      <c r="O111" s="1" t="e">
        <v>#N/A</v>
      </c>
      <c r="P111" s="1" t="e">
        <v>#N/A</v>
      </c>
      <c r="Q111" s="1">
        <v>311.60000000000002</v>
      </c>
      <c r="R111" s="78">
        <v>41130.642361111109</v>
      </c>
      <c r="S111" s="98">
        <v>4824.1809999999996</v>
      </c>
    </row>
    <row r="112" spans="1:19" x14ac:dyDescent="0.25">
      <c r="A112" s="1">
        <v>2012</v>
      </c>
      <c r="B112" s="77">
        <v>41119</v>
      </c>
      <c r="C112" s="1" t="s">
        <v>6</v>
      </c>
      <c r="D112" s="1" t="s">
        <v>7</v>
      </c>
      <c r="E112" s="1" t="s">
        <v>9</v>
      </c>
      <c r="F112" s="1" t="s">
        <v>9</v>
      </c>
      <c r="G112" s="1">
        <v>12.8</v>
      </c>
      <c r="H112" s="1">
        <v>19.78</v>
      </c>
      <c r="I112" s="78">
        <v>41118.620833333334</v>
      </c>
      <c r="J112" s="1">
        <v>14.49</v>
      </c>
      <c r="K112" s="1">
        <v>17.91</v>
      </c>
      <c r="L112" s="78">
        <v>41118.612500000003</v>
      </c>
      <c r="M112" s="1">
        <v>10.83</v>
      </c>
      <c r="N112" s="78">
        <v>41118.275694444441</v>
      </c>
      <c r="O112" s="1">
        <v>81.3</v>
      </c>
      <c r="P112" s="78">
        <v>41118.003472222219</v>
      </c>
      <c r="Q112" s="1">
        <v>1290</v>
      </c>
      <c r="R112" s="78">
        <v>41118.524305555555</v>
      </c>
      <c r="S112" s="98">
        <v>27431.34</v>
      </c>
    </row>
    <row r="113" spans="1:19" x14ac:dyDescent="0.25">
      <c r="A113" s="1">
        <v>2012</v>
      </c>
      <c r="B113" s="77">
        <v>41127</v>
      </c>
      <c r="C113" s="1" t="s">
        <v>6</v>
      </c>
      <c r="D113" s="1" t="s">
        <v>7</v>
      </c>
      <c r="E113" s="1" t="s">
        <v>12</v>
      </c>
      <c r="F113" s="1" t="s">
        <v>11</v>
      </c>
      <c r="G113" s="1">
        <v>12.75</v>
      </c>
      <c r="H113" s="1">
        <v>17.77</v>
      </c>
      <c r="I113" s="78">
        <v>41126.643055555556</v>
      </c>
      <c r="J113" s="1">
        <v>10.38</v>
      </c>
      <c r="K113" s="1">
        <v>18.13</v>
      </c>
      <c r="L113" s="78">
        <v>41126.636111111111</v>
      </c>
      <c r="M113" s="1">
        <v>1.5629999999999999</v>
      </c>
      <c r="N113" s="78">
        <v>41126.138194444444</v>
      </c>
      <c r="O113" s="1">
        <v>96.9</v>
      </c>
      <c r="P113" s="78">
        <v>41126.361805555556</v>
      </c>
      <c r="Q113" s="1">
        <v>340.3</v>
      </c>
      <c r="R113" s="78">
        <v>41126.602777777778</v>
      </c>
      <c r="S113" s="98">
        <v>1018.955</v>
      </c>
    </row>
    <row r="114" spans="1:19" x14ac:dyDescent="0.25">
      <c r="A114" s="1">
        <v>2012</v>
      </c>
      <c r="B114" s="77">
        <v>41123</v>
      </c>
      <c r="C114" s="1" t="s">
        <v>6</v>
      </c>
      <c r="D114" s="1" t="s">
        <v>7</v>
      </c>
      <c r="E114" s="1" t="s">
        <v>10</v>
      </c>
      <c r="F114" s="1" t="s">
        <v>11</v>
      </c>
      <c r="G114" s="1">
        <v>12.76</v>
      </c>
      <c r="H114" s="1">
        <v>17.95</v>
      </c>
      <c r="I114" s="78">
        <v>41122.672222222223</v>
      </c>
      <c r="J114" s="1">
        <v>11.88</v>
      </c>
      <c r="K114" s="1">
        <v>18.27</v>
      </c>
      <c r="L114" s="78">
        <v>41122.665277777778</v>
      </c>
      <c r="M114" s="1">
        <v>3.2490000000000001</v>
      </c>
      <c r="N114" s="78">
        <v>41122.179861111108</v>
      </c>
      <c r="O114" s="1">
        <v>99.9</v>
      </c>
      <c r="P114" s="78">
        <v>41122.041666666664</v>
      </c>
      <c r="Q114" s="1">
        <v>114.7</v>
      </c>
      <c r="R114" s="78">
        <v>41122.331250000003</v>
      </c>
      <c r="S114" s="98">
        <v>2512.2759999999998</v>
      </c>
    </row>
    <row r="115" spans="1:19" x14ac:dyDescent="0.25">
      <c r="A115" s="1">
        <v>2012</v>
      </c>
      <c r="B115" s="77">
        <v>41123</v>
      </c>
      <c r="C115" s="1" t="s">
        <v>6</v>
      </c>
      <c r="D115" s="1" t="s">
        <v>7</v>
      </c>
      <c r="E115" s="1" t="s">
        <v>12</v>
      </c>
      <c r="F115" s="1" t="s">
        <v>11</v>
      </c>
      <c r="G115" s="1">
        <v>12.76</v>
      </c>
      <c r="H115" s="1">
        <v>17.95</v>
      </c>
      <c r="I115" s="78">
        <v>41122.672222222223</v>
      </c>
      <c r="J115" s="1">
        <v>11.88</v>
      </c>
      <c r="K115" s="1">
        <v>18.37</v>
      </c>
      <c r="L115" s="78">
        <v>41122.666666666664</v>
      </c>
      <c r="M115" s="1">
        <v>3.3519999999999999</v>
      </c>
      <c r="N115" s="78">
        <v>41122.1875</v>
      </c>
      <c r="O115" s="1">
        <v>97</v>
      </c>
      <c r="P115" s="78">
        <v>41122.322916666664</v>
      </c>
      <c r="Q115" s="1">
        <v>47.95</v>
      </c>
      <c r="R115" s="78">
        <v>41122.605555555558</v>
      </c>
      <c r="S115" s="98">
        <v>858.34609999999998</v>
      </c>
    </row>
    <row r="116" spans="1:19" x14ac:dyDescent="0.25">
      <c r="A116" s="1">
        <v>2012</v>
      </c>
      <c r="B116" s="77">
        <v>41097</v>
      </c>
      <c r="C116" s="1" t="s">
        <v>6</v>
      </c>
      <c r="D116" s="1" t="s">
        <v>8</v>
      </c>
      <c r="E116" s="1" t="s">
        <v>9</v>
      </c>
      <c r="F116" s="1" t="s">
        <v>9</v>
      </c>
      <c r="G116" s="1">
        <v>12.66</v>
      </c>
      <c r="H116" s="1">
        <v>22.22</v>
      </c>
      <c r="I116" s="78">
        <v>41096.555555555555</v>
      </c>
      <c r="J116" s="1">
        <v>13.45</v>
      </c>
      <c r="K116" s="1">
        <v>18.399999999999999</v>
      </c>
      <c r="L116" s="78">
        <v>41096.552083333336</v>
      </c>
      <c r="M116" s="1">
        <v>6.3380000000000001</v>
      </c>
      <c r="N116" s="78">
        <v>41096.17083333333</v>
      </c>
      <c r="O116" s="1" t="e">
        <v>#N/A</v>
      </c>
      <c r="P116" s="1" t="e">
        <v>#N/A</v>
      </c>
      <c r="Q116" s="1">
        <v>1069</v>
      </c>
      <c r="R116" s="78">
        <v>41096.59652777778</v>
      </c>
      <c r="S116" s="98">
        <v>14069.3</v>
      </c>
    </row>
    <row r="117" spans="1:19" x14ac:dyDescent="0.25">
      <c r="A117" s="1">
        <v>2012</v>
      </c>
      <c r="B117" s="77">
        <v>41119</v>
      </c>
      <c r="C117" s="1" t="s">
        <v>6</v>
      </c>
      <c r="D117" s="1" t="s">
        <v>8</v>
      </c>
      <c r="E117" s="1" t="s">
        <v>9</v>
      </c>
      <c r="F117" s="1" t="s">
        <v>9</v>
      </c>
      <c r="G117" s="1">
        <v>12.67</v>
      </c>
      <c r="H117" s="1">
        <v>20.260000000000002</v>
      </c>
      <c r="I117" s="78">
        <v>41118.620833333334</v>
      </c>
      <c r="J117" s="1">
        <v>14.46</v>
      </c>
      <c r="K117" s="1">
        <v>18.43</v>
      </c>
      <c r="L117" s="78">
        <v>41118.612500000003</v>
      </c>
      <c r="M117" s="1">
        <v>10.55</v>
      </c>
      <c r="N117" s="78">
        <v>41118.287499999999</v>
      </c>
      <c r="O117" s="1" t="e">
        <v>#N/A</v>
      </c>
      <c r="P117" s="1" t="e">
        <v>#N/A</v>
      </c>
      <c r="Q117" s="1">
        <v>1352</v>
      </c>
      <c r="R117" s="78">
        <v>41118.521527777775</v>
      </c>
      <c r="S117" s="98">
        <v>29246.560000000001</v>
      </c>
    </row>
    <row r="118" spans="1:19" x14ac:dyDescent="0.25">
      <c r="A118" s="1">
        <v>2012</v>
      </c>
      <c r="B118" s="77">
        <v>41090</v>
      </c>
      <c r="C118" s="1" t="s">
        <v>6</v>
      </c>
      <c r="D118" s="1" t="s">
        <v>8</v>
      </c>
      <c r="E118" s="1" t="s">
        <v>9</v>
      </c>
      <c r="F118" s="1" t="s">
        <v>9</v>
      </c>
      <c r="G118" s="1">
        <v>12.74</v>
      </c>
      <c r="H118" s="1">
        <v>20.83</v>
      </c>
      <c r="I118" s="78">
        <v>41089.609722222223</v>
      </c>
      <c r="J118" s="1">
        <v>13.05</v>
      </c>
      <c r="K118" s="1">
        <v>18.47</v>
      </c>
      <c r="L118" s="78">
        <v>41089.711111111108</v>
      </c>
      <c r="M118" s="1">
        <v>8.1300000000000008</v>
      </c>
      <c r="N118" s="78">
        <v>41089.162499999999</v>
      </c>
      <c r="O118" s="1" t="e">
        <v>#N/A</v>
      </c>
      <c r="P118" s="1" t="e">
        <v>#N/A</v>
      </c>
      <c r="Q118" s="1">
        <v>1175</v>
      </c>
      <c r="R118" s="78">
        <v>41089.603472222225</v>
      </c>
      <c r="S118" s="98">
        <v>15047.11</v>
      </c>
    </row>
    <row r="119" spans="1:19" x14ac:dyDescent="0.25">
      <c r="A119" s="1">
        <v>2012</v>
      </c>
      <c r="B119" s="77">
        <v>41116</v>
      </c>
      <c r="C119" s="1" t="s">
        <v>6</v>
      </c>
      <c r="D119" s="1" t="s">
        <v>7</v>
      </c>
      <c r="E119" s="1" t="s">
        <v>9</v>
      </c>
      <c r="F119" s="1" t="s">
        <v>9</v>
      </c>
      <c r="G119" s="1">
        <v>12.79</v>
      </c>
      <c r="H119" s="1">
        <v>21.23</v>
      </c>
      <c r="I119" s="78">
        <v>41115.677083333336</v>
      </c>
      <c r="J119" s="1">
        <v>14.02</v>
      </c>
      <c r="K119" s="1">
        <v>18.59</v>
      </c>
      <c r="L119" s="78">
        <v>41115.716666666667</v>
      </c>
      <c r="M119" s="1">
        <v>8.26</v>
      </c>
      <c r="N119" s="78">
        <v>41115.204861111109</v>
      </c>
      <c r="O119" s="1">
        <v>97.2</v>
      </c>
      <c r="P119" s="78">
        <v>41115.007638888892</v>
      </c>
      <c r="Q119" s="1">
        <v>1378</v>
      </c>
      <c r="R119" s="78">
        <v>41115.648611111108</v>
      </c>
      <c r="S119" s="98">
        <v>29347.94</v>
      </c>
    </row>
    <row r="120" spans="1:19" x14ac:dyDescent="0.25">
      <c r="A120" s="1">
        <v>2012</v>
      </c>
      <c r="B120" s="77">
        <v>41098</v>
      </c>
      <c r="C120" s="1" t="s">
        <v>6</v>
      </c>
      <c r="D120" s="1" t="s">
        <v>8</v>
      </c>
      <c r="E120" s="1" t="s">
        <v>10</v>
      </c>
      <c r="F120" s="1" t="s">
        <v>11</v>
      </c>
      <c r="G120" s="1">
        <v>12.63</v>
      </c>
      <c r="H120" s="1">
        <v>19.13</v>
      </c>
      <c r="I120" s="78">
        <v>41097.573611111111</v>
      </c>
      <c r="J120" s="1">
        <v>12.96</v>
      </c>
      <c r="K120" s="1">
        <v>18.739999999999998</v>
      </c>
      <c r="L120" s="78">
        <v>41097.566666666666</v>
      </c>
      <c r="M120" s="1">
        <v>1.986</v>
      </c>
      <c r="N120" s="78">
        <v>41097.200694444444</v>
      </c>
      <c r="O120" s="1" t="e">
        <v>#N/A</v>
      </c>
      <c r="P120" s="1" t="e">
        <v>#N/A</v>
      </c>
      <c r="Q120" s="1">
        <v>574.6</v>
      </c>
      <c r="R120" s="78">
        <v>41097.674305555556</v>
      </c>
      <c r="S120" s="98">
        <v>3668.027</v>
      </c>
    </row>
    <row r="121" spans="1:19" x14ac:dyDescent="0.25">
      <c r="A121" s="1">
        <v>2012</v>
      </c>
      <c r="B121" s="77">
        <v>41096</v>
      </c>
      <c r="C121" s="1" t="s">
        <v>6</v>
      </c>
      <c r="D121" s="1" t="s">
        <v>8</v>
      </c>
      <c r="E121" s="1" t="s">
        <v>9</v>
      </c>
      <c r="F121" s="1" t="s">
        <v>9</v>
      </c>
      <c r="G121" s="1">
        <v>12.67</v>
      </c>
      <c r="H121" s="1">
        <v>20.66</v>
      </c>
      <c r="I121" s="78">
        <v>41095.663194444445</v>
      </c>
      <c r="J121" s="1">
        <v>14.19</v>
      </c>
      <c r="K121" s="1">
        <v>18.829999999999998</v>
      </c>
      <c r="L121" s="78">
        <v>41095.638194444444</v>
      </c>
      <c r="M121" s="1">
        <v>5.7220000000000004</v>
      </c>
      <c r="N121" s="78">
        <v>41095.207638888889</v>
      </c>
      <c r="O121" s="1" t="e">
        <v>#N/A</v>
      </c>
      <c r="P121" s="1" t="e">
        <v>#N/A</v>
      </c>
      <c r="Q121" s="1">
        <v>1226</v>
      </c>
      <c r="R121" s="78">
        <v>41095.659722222219</v>
      </c>
      <c r="S121" s="98">
        <v>15381.65</v>
      </c>
    </row>
    <row r="122" spans="1:19" x14ac:dyDescent="0.25">
      <c r="A122" s="1">
        <v>2012</v>
      </c>
      <c r="B122" s="77">
        <v>41096</v>
      </c>
      <c r="C122" s="1" t="s">
        <v>6</v>
      </c>
      <c r="D122" s="1" t="s">
        <v>7</v>
      </c>
      <c r="E122" s="1" t="s">
        <v>12</v>
      </c>
      <c r="F122" s="1" t="s">
        <v>11</v>
      </c>
      <c r="G122" s="1">
        <v>12.83</v>
      </c>
      <c r="H122" s="1">
        <v>19.02</v>
      </c>
      <c r="I122" s="78">
        <v>41095.657638888886</v>
      </c>
      <c r="J122" s="1">
        <v>14.35</v>
      </c>
      <c r="K122" s="1">
        <v>18.899999999999999</v>
      </c>
      <c r="L122" s="78">
        <v>41095.630555555559</v>
      </c>
      <c r="M122" s="1" t="e">
        <v>#N/A</v>
      </c>
      <c r="N122" s="1" t="e">
        <v>#N/A</v>
      </c>
      <c r="O122" s="1" t="e">
        <v>#N/A</v>
      </c>
      <c r="P122" s="1" t="e">
        <v>#N/A</v>
      </c>
      <c r="Q122" s="1">
        <v>294.3</v>
      </c>
      <c r="R122" s="78">
        <v>41095.561805555553</v>
      </c>
      <c r="S122" s="98">
        <v>2265.7620000000002</v>
      </c>
    </row>
    <row r="123" spans="1:19" x14ac:dyDescent="0.25">
      <c r="A123" s="1">
        <v>2012</v>
      </c>
      <c r="B123" s="77">
        <v>41123</v>
      </c>
      <c r="C123" s="1" t="s">
        <v>6</v>
      </c>
      <c r="D123" s="1" t="s">
        <v>8</v>
      </c>
      <c r="E123" s="1" t="s">
        <v>10</v>
      </c>
      <c r="F123" s="1" t="s">
        <v>11</v>
      </c>
      <c r="G123" s="1">
        <v>12.62</v>
      </c>
      <c r="H123" s="1">
        <v>18.28</v>
      </c>
      <c r="I123" s="78">
        <v>41122.671527777777</v>
      </c>
      <c r="J123" s="1">
        <v>11.66</v>
      </c>
      <c r="K123" s="1">
        <v>19.02</v>
      </c>
      <c r="L123" s="78">
        <v>41122.669444444444</v>
      </c>
      <c r="M123" s="1">
        <v>2.9359999999999999</v>
      </c>
      <c r="N123" s="78">
        <v>41122.172222222223</v>
      </c>
      <c r="O123" s="1" t="e">
        <v>#N/A</v>
      </c>
      <c r="P123" s="1" t="e">
        <v>#N/A</v>
      </c>
      <c r="Q123" s="1">
        <v>593.4</v>
      </c>
      <c r="R123" s="78">
        <v>41122.656944444447</v>
      </c>
      <c r="S123" s="98">
        <v>3962.0210000000002</v>
      </c>
    </row>
    <row r="124" spans="1:19" x14ac:dyDescent="0.25">
      <c r="A124" s="1">
        <v>2012</v>
      </c>
      <c r="B124" s="77">
        <v>41116</v>
      </c>
      <c r="C124" s="1" t="s">
        <v>6</v>
      </c>
      <c r="D124" s="1" t="s">
        <v>8</v>
      </c>
      <c r="E124" s="1" t="s">
        <v>9</v>
      </c>
      <c r="F124" s="1" t="s">
        <v>9</v>
      </c>
      <c r="G124" s="1">
        <v>12.66</v>
      </c>
      <c r="H124" s="1">
        <v>21.72</v>
      </c>
      <c r="I124" s="78">
        <v>41115.669444444444</v>
      </c>
      <c r="J124" s="1">
        <v>13.89</v>
      </c>
      <c r="K124" s="1">
        <v>19.149999999999999</v>
      </c>
      <c r="L124" s="78">
        <v>41115.723611111112</v>
      </c>
      <c r="M124" s="1">
        <v>8.1999999999999993</v>
      </c>
      <c r="N124" s="78">
        <v>41115.138194444444</v>
      </c>
      <c r="O124" s="1" t="e">
        <v>#N/A</v>
      </c>
      <c r="P124" s="1" t="e">
        <v>#N/A</v>
      </c>
      <c r="Q124" s="1">
        <v>1433</v>
      </c>
      <c r="R124" s="78">
        <v>41115.649305555555</v>
      </c>
      <c r="S124" s="98">
        <v>29344.48</v>
      </c>
    </row>
    <row r="125" spans="1:19" x14ac:dyDescent="0.25">
      <c r="A125" s="1">
        <v>2012</v>
      </c>
      <c r="B125" s="77">
        <v>41098</v>
      </c>
      <c r="C125" s="1" t="s">
        <v>6</v>
      </c>
      <c r="D125" s="1" t="s">
        <v>7</v>
      </c>
      <c r="E125" s="1" t="s">
        <v>12</v>
      </c>
      <c r="F125" s="1" t="s">
        <v>11</v>
      </c>
      <c r="G125" s="1">
        <v>12.79</v>
      </c>
      <c r="H125" s="1">
        <v>18.84</v>
      </c>
      <c r="I125" s="78">
        <v>41097.569444444445</v>
      </c>
      <c r="J125" s="1">
        <v>13.52</v>
      </c>
      <c r="K125" s="1">
        <v>19.2</v>
      </c>
      <c r="L125" s="78">
        <v>41097.566666666666</v>
      </c>
      <c r="M125" s="1" t="e">
        <v>#N/A</v>
      </c>
      <c r="N125" s="1" t="e">
        <v>#N/A</v>
      </c>
      <c r="O125" s="1" t="e">
        <v>#N/A</v>
      </c>
      <c r="P125" s="1" t="e">
        <v>#N/A</v>
      </c>
      <c r="Q125" s="1">
        <v>414.2</v>
      </c>
      <c r="R125" s="78">
        <v>41097.545138888891</v>
      </c>
      <c r="S125" s="98">
        <v>3159.65</v>
      </c>
    </row>
    <row r="126" spans="1:19" x14ac:dyDescent="0.25">
      <c r="A126" s="1">
        <v>2012</v>
      </c>
      <c r="B126" s="77">
        <v>41135</v>
      </c>
      <c r="C126" s="1" t="s">
        <v>6</v>
      </c>
      <c r="D126" s="1" t="s">
        <v>7</v>
      </c>
      <c r="E126" s="1" t="s">
        <v>9</v>
      </c>
      <c r="F126" s="1" t="s">
        <v>9</v>
      </c>
      <c r="G126" s="1">
        <v>12.73</v>
      </c>
      <c r="H126" s="1">
        <v>21.86</v>
      </c>
      <c r="I126" s="78">
        <v>41134.67291666667</v>
      </c>
      <c r="J126" s="1">
        <v>11.85</v>
      </c>
      <c r="K126" s="1">
        <v>19.36</v>
      </c>
      <c r="L126" s="78">
        <v>41134.670138888891</v>
      </c>
      <c r="M126" s="1">
        <v>1.224</v>
      </c>
      <c r="N126" s="78">
        <v>41134.194444444445</v>
      </c>
      <c r="O126" s="1">
        <v>95.1</v>
      </c>
      <c r="P126" s="78">
        <v>41134.197916666664</v>
      </c>
      <c r="Q126" s="1">
        <v>1118</v>
      </c>
      <c r="R126" s="78">
        <v>41134.616666666669</v>
      </c>
      <c r="S126" s="98">
        <v>29666.83</v>
      </c>
    </row>
    <row r="127" spans="1:19" x14ac:dyDescent="0.25">
      <c r="A127" s="1">
        <v>2012</v>
      </c>
      <c r="B127" s="77">
        <v>41100</v>
      </c>
      <c r="C127" s="1" t="s">
        <v>6</v>
      </c>
      <c r="D127" s="1" t="s">
        <v>8</v>
      </c>
      <c r="E127" s="1" t="s">
        <v>9</v>
      </c>
      <c r="F127" s="1" t="s">
        <v>9</v>
      </c>
      <c r="G127" s="1">
        <v>12.64</v>
      </c>
      <c r="H127" s="1">
        <v>24.51</v>
      </c>
      <c r="I127" s="78">
        <v>41099.649305555555</v>
      </c>
      <c r="J127" s="1">
        <v>13.78</v>
      </c>
      <c r="K127" s="1">
        <v>19.54</v>
      </c>
      <c r="L127" s="78">
        <v>41099.628472222219</v>
      </c>
      <c r="M127" s="1">
        <v>5.3609999999999998</v>
      </c>
      <c r="N127" s="78">
        <v>41099.176388888889</v>
      </c>
      <c r="O127" s="1" t="e">
        <v>#N/A</v>
      </c>
      <c r="P127" s="1" t="e">
        <v>#N/A</v>
      </c>
      <c r="Q127" s="1">
        <v>1171</v>
      </c>
      <c r="R127" s="78">
        <v>41099.640277777777</v>
      </c>
      <c r="S127" s="98">
        <v>20401.34</v>
      </c>
    </row>
    <row r="128" spans="1:19" x14ac:dyDescent="0.25">
      <c r="A128" s="1">
        <v>2012</v>
      </c>
      <c r="B128" s="77">
        <v>41104</v>
      </c>
      <c r="C128" s="1" t="s">
        <v>6</v>
      </c>
      <c r="D128" s="1" t="s">
        <v>8</v>
      </c>
      <c r="E128" s="1" t="s">
        <v>9</v>
      </c>
      <c r="F128" s="1" t="s">
        <v>9</v>
      </c>
      <c r="G128" s="1">
        <v>12.75</v>
      </c>
      <c r="H128" s="1">
        <v>22.08</v>
      </c>
      <c r="I128" s="78">
        <v>41103.521527777775</v>
      </c>
      <c r="J128" s="1">
        <v>14.86</v>
      </c>
      <c r="K128" s="1">
        <v>19.62</v>
      </c>
      <c r="L128" s="78">
        <v>41103.515277777777</v>
      </c>
      <c r="M128" s="1">
        <v>8.9700000000000006</v>
      </c>
      <c r="N128" s="78">
        <v>41103.142361111109</v>
      </c>
      <c r="O128" s="1" t="e">
        <v>#N/A</v>
      </c>
      <c r="P128" s="1" t="e">
        <v>#N/A</v>
      </c>
      <c r="Q128" s="1">
        <v>587.29999999999995</v>
      </c>
      <c r="R128" s="78">
        <v>41103.584722222222</v>
      </c>
      <c r="S128" s="98">
        <v>13912.55</v>
      </c>
    </row>
    <row r="129" spans="1:19" x14ac:dyDescent="0.25">
      <c r="A129" s="1">
        <v>2012</v>
      </c>
      <c r="B129" s="77">
        <v>41119</v>
      </c>
      <c r="C129" s="1" t="s">
        <v>6</v>
      </c>
      <c r="D129" s="1" t="s">
        <v>7</v>
      </c>
      <c r="E129" s="1" t="s">
        <v>10</v>
      </c>
      <c r="F129" s="1" t="s">
        <v>11</v>
      </c>
      <c r="G129" s="1">
        <v>12.8</v>
      </c>
      <c r="H129" s="1">
        <v>19.78</v>
      </c>
      <c r="I129" s="78">
        <v>41118.620833333334</v>
      </c>
      <c r="J129" s="1">
        <v>14.49</v>
      </c>
      <c r="K129" s="1">
        <v>19.670000000000002</v>
      </c>
      <c r="L129" s="78">
        <v>41118.571527777778</v>
      </c>
      <c r="M129" s="1">
        <v>10.02</v>
      </c>
      <c r="N129" s="78">
        <v>41118.273611111108</v>
      </c>
      <c r="O129" s="1">
        <v>86.7</v>
      </c>
      <c r="P129" s="78">
        <v>41118.008333333331</v>
      </c>
      <c r="Q129" s="1">
        <v>130.5</v>
      </c>
      <c r="R129" s="78">
        <v>41118.585416666669</v>
      </c>
      <c r="S129" s="98">
        <v>2161.4140000000002</v>
      </c>
    </row>
    <row r="130" spans="1:19" x14ac:dyDescent="0.25">
      <c r="A130" s="1">
        <v>2012</v>
      </c>
      <c r="B130" s="77">
        <v>41135</v>
      </c>
      <c r="C130" s="1" t="s">
        <v>6</v>
      </c>
      <c r="D130" s="1" t="s">
        <v>8</v>
      </c>
      <c r="E130" s="1" t="s">
        <v>9</v>
      </c>
      <c r="F130" s="1" t="s">
        <v>9</v>
      </c>
      <c r="G130" s="1">
        <v>12.59</v>
      </c>
      <c r="H130" s="1">
        <v>22.75</v>
      </c>
      <c r="I130" s="78">
        <v>41134.674305555556</v>
      </c>
      <c r="J130" s="1">
        <v>11.86</v>
      </c>
      <c r="K130" s="1">
        <v>19.73</v>
      </c>
      <c r="L130" s="78">
        <v>41134.655555555553</v>
      </c>
      <c r="M130" s="1">
        <v>0.97299999999999998</v>
      </c>
      <c r="N130" s="78">
        <v>41134.113888888889</v>
      </c>
      <c r="O130" s="1" t="e">
        <v>#N/A</v>
      </c>
      <c r="P130" s="1" t="e">
        <v>#N/A</v>
      </c>
      <c r="Q130" s="1">
        <v>1163</v>
      </c>
      <c r="R130" s="78">
        <v>41134.643750000003</v>
      </c>
      <c r="S130" s="98">
        <v>29613.86</v>
      </c>
    </row>
    <row r="131" spans="1:19" x14ac:dyDescent="0.25">
      <c r="A131" s="1">
        <v>2012</v>
      </c>
      <c r="B131" s="77">
        <v>41093</v>
      </c>
      <c r="C131" s="1" t="s">
        <v>6</v>
      </c>
      <c r="D131" s="1" t="s">
        <v>8</v>
      </c>
      <c r="E131" s="1" t="s">
        <v>9</v>
      </c>
      <c r="F131" s="1" t="s">
        <v>9</v>
      </c>
      <c r="G131" s="1">
        <v>12.79</v>
      </c>
      <c r="H131" s="1">
        <v>24.16</v>
      </c>
      <c r="I131" s="78">
        <v>41092.538888888892</v>
      </c>
      <c r="J131" s="1">
        <v>15.65</v>
      </c>
      <c r="K131" s="1">
        <v>19.809999999999999</v>
      </c>
      <c r="L131" s="78">
        <v>41092.535416666666</v>
      </c>
      <c r="M131" s="1">
        <v>7.1769999999999996</v>
      </c>
      <c r="N131" s="78">
        <v>41092.15902777778</v>
      </c>
      <c r="O131" s="1" t="e">
        <v>#N/A</v>
      </c>
      <c r="P131" s="1" t="e">
        <v>#N/A</v>
      </c>
      <c r="Q131" s="1">
        <v>1195</v>
      </c>
      <c r="R131" s="78">
        <v>41092.523611111108</v>
      </c>
      <c r="S131" s="98">
        <v>21561.4</v>
      </c>
    </row>
    <row r="132" spans="1:19" x14ac:dyDescent="0.25">
      <c r="A132" s="1">
        <v>2012</v>
      </c>
      <c r="B132" s="77">
        <v>41090</v>
      </c>
      <c r="C132" s="1" t="s">
        <v>6</v>
      </c>
      <c r="D132" s="1" t="s">
        <v>7</v>
      </c>
      <c r="E132" s="1" t="s">
        <v>12</v>
      </c>
      <c r="F132" s="1" t="s">
        <v>11</v>
      </c>
      <c r="G132" s="1">
        <v>12.85</v>
      </c>
      <c r="H132" s="1">
        <v>19.97</v>
      </c>
      <c r="I132" s="78">
        <v>41089.61041666667</v>
      </c>
      <c r="J132" s="1">
        <v>12.93</v>
      </c>
      <c r="K132" s="1">
        <v>19.84</v>
      </c>
      <c r="L132" s="78">
        <v>41089.607638888891</v>
      </c>
      <c r="M132" s="1" t="e">
        <v>#N/A</v>
      </c>
      <c r="N132" s="1" t="e">
        <v>#N/A</v>
      </c>
      <c r="O132" s="1" t="e">
        <v>#N/A</v>
      </c>
      <c r="P132" s="1" t="e">
        <v>#N/A</v>
      </c>
      <c r="Q132" s="1">
        <v>315.7</v>
      </c>
      <c r="R132" s="78">
        <v>41089.563888888886</v>
      </c>
      <c r="S132" s="98">
        <v>2760.96</v>
      </c>
    </row>
    <row r="133" spans="1:19" x14ac:dyDescent="0.25">
      <c r="A133" s="1">
        <v>2012</v>
      </c>
      <c r="B133" s="77">
        <v>41094</v>
      </c>
      <c r="C133" s="1" t="s">
        <v>6</v>
      </c>
      <c r="D133" s="1" t="s">
        <v>8</v>
      </c>
      <c r="E133" s="1" t="s">
        <v>9</v>
      </c>
      <c r="F133" s="1" t="s">
        <v>9</v>
      </c>
      <c r="G133" s="1">
        <v>12.71</v>
      </c>
      <c r="H133" s="1">
        <v>22</v>
      </c>
      <c r="I133" s="78">
        <v>41093.671527777777</v>
      </c>
      <c r="J133" s="1">
        <v>16.05</v>
      </c>
      <c r="K133" s="1">
        <v>19.88</v>
      </c>
      <c r="L133" s="78">
        <v>41093.81527777778</v>
      </c>
      <c r="M133" s="1">
        <v>8.0500000000000007</v>
      </c>
      <c r="N133" s="78">
        <v>41093.186111111114</v>
      </c>
      <c r="O133" s="1" t="e">
        <v>#N/A</v>
      </c>
      <c r="P133" s="1" t="e">
        <v>#N/A</v>
      </c>
      <c r="Q133" s="1">
        <v>1089</v>
      </c>
      <c r="R133" s="78">
        <v>41093.515972222223</v>
      </c>
      <c r="S133" s="98">
        <v>19268.490000000002</v>
      </c>
    </row>
    <row r="134" spans="1:19" x14ac:dyDescent="0.25">
      <c r="A134" s="1">
        <v>2012</v>
      </c>
      <c r="B134" s="77">
        <v>41102</v>
      </c>
      <c r="C134" s="1" t="s">
        <v>6</v>
      </c>
      <c r="D134" s="1" t="s">
        <v>8</v>
      </c>
      <c r="E134" s="1" t="s">
        <v>9</v>
      </c>
      <c r="F134" s="1" t="s">
        <v>9</v>
      </c>
      <c r="G134" s="1">
        <v>12.57</v>
      </c>
      <c r="H134" s="1">
        <v>24.87</v>
      </c>
      <c r="I134" s="78">
        <v>41101.725694444445</v>
      </c>
      <c r="J134" s="1">
        <v>20.73</v>
      </c>
      <c r="K134" s="1">
        <v>19.91</v>
      </c>
      <c r="L134" s="78">
        <v>41101.801388888889</v>
      </c>
      <c r="M134" s="1">
        <v>12.72</v>
      </c>
      <c r="N134" s="78">
        <v>41101.986805555556</v>
      </c>
      <c r="O134" s="1" t="e">
        <v>#N/A</v>
      </c>
      <c r="P134" s="1" t="e">
        <v>#N/A</v>
      </c>
      <c r="Q134" s="1">
        <v>846</v>
      </c>
      <c r="R134" s="78">
        <v>41101.688888888886</v>
      </c>
      <c r="S134" s="98">
        <v>8334.0030000000006</v>
      </c>
    </row>
    <row r="135" spans="1:19" x14ac:dyDescent="0.25">
      <c r="A135" s="1">
        <v>2012</v>
      </c>
      <c r="B135" s="77">
        <v>41116</v>
      </c>
      <c r="C135" s="1" t="s">
        <v>6</v>
      </c>
      <c r="D135" s="1" t="s">
        <v>7</v>
      </c>
      <c r="E135" s="1" t="s">
        <v>12</v>
      </c>
      <c r="F135" s="1" t="s">
        <v>11</v>
      </c>
      <c r="G135" s="1">
        <v>12.79</v>
      </c>
      <c r="H135" s="1">
        <v>21.23</v>
      </c>
      <c r="I135" s="78">
        <v>41115.677083333336</v>
      </c>
      <c r="J135" s="1">
        <v>14.02</v>
      </c>
      <c r="K135" s="1">
        <v>19.95</v>
      </c>
      <c r="L135" s="78">
        <v>41115.731249999997</v>
      </c>
      <c r="M135" s="1">
        <v>8.3000000000000007</v>
      </c>
      <c r="N135" s="78">
        <v>41115.201388888891</v>
      </c>
      <c r="O135" s="1">
        <v>96.6</v>
      </c>
      <c r="P135" s="78">
        <v>41115.32708333333</v>
      </c>
      <c r="Q135" s="1">
        <v>36.619999999999997</v>
      </c>
      <c r="R135" s="78">
        <v>41115.582638888889</v>
      </c>
      <c r="S135" s="98">
        <v>698.25689999999997</v>
      </c>
    </row>
    <row r="136" spans="1:19" x14ac:dyDescent="0.25">
      <c r="A136" s="1">
        <v>2012</v>
      </c>
      <c r="B136" s="77">
        <v>41121</v>
      </c>
      <c r="C136" s="1" t="s">
        <v>6</v>
      </c>
      <c r="D136" s="1" t="s">
        <v>7</v>
      </c>
      <c r="E136" s="1" t="s">
        <v>9</v>
      </c>
      <c r="F136" s="1" t="s">
        <v>9</v>
      </c>
      <c r="G136" s="1">
        <v>12.77</v>
      </c>
      <c r="H136" s="1">
        <v>21.62</v>
      </c>
      <c r="I136" s="78">
        <v>41120.724999999999</v>
      </c>
      <c r="J136" s="1">
        <v>14.82</v>
      </c>
      <c r="K136" s="1">
        <v>20.22</v>
      </c>
      <c r="L136" s="78">
        <v>41120.720833333333</v>
      </c>
      <c r="M136" s="1">
        <v>7.1769999999999996</v>
      </c>
      <c r="N136" s="78">
        <v>41120.188888888886</v>
      </c>
      <c r="O136" s="1">
        <v>96.9</v>
      </c>
      <c r="P136" s="78">
        <v>41120.981944444444</v>
      </c>
      <c r="Q136" s="1">
        <v>1518</v>
      </c>
      <c r="R136" s="78">
        <v>41120.595833333333</v>
      </c>
      <c r="S136" s="98">
        <v>25865.56</v>
      </c>
    </row>
    <row r="137" spans="1:19" x14ac:dyDescent="0.25">
      <c r="A137" s="1">
        <v>2012</v>
      </c>
      <c r="B137" s="77">
        <v>41113</v>
      </c>
      <c r="C137" s="1" t="s">
        <v>6</v>
      </c>
      <c r="D137" s="1" t="s">
        <v>8</v>
      </c>
      <c r="E137" s="1" t="s">
        <v>9</v>
      </c>
      <c r="F137" s="1" t="s">
        <v>9</v>
      </c>
      <c r="G137" s="1">
        <v>12.66</v>
      </c>
      <c r="H137" s="1">
        <v>22.95</v>
      </c>
      <c r="I137" s="78">
        <v>41112.658333333333</v>
      </c>
      <c r="J137" s="1">
        <v>13.18</v>
      </c>
      <c r="K137" s="1">
        <v>20.239999999999998</v>
      </c>
      <c r="L137" s="78">
        <v>41112.813888888886</v>
      </c>
      <c r="M137" s="1">
        <v>1.3839999999999999</v>
      </c>
      <c r="N137" s="78">
        <v>41112.088888888888</v>
      </c>
      <c r="O137" s="1" t="e">
        <v>#N/A</v>
      </c>
      <c r="P137" s="1" t="e">
        <v>#N/A</v>
      </c>
      <c r="Q137" s="1">
        <v>1355</v>
      </c>
      <c r="R137" s="78">
        <v>41112.584722222222</v>
      </c>
      <c r="S137" s="98">
        <v>44136.800000000003</v>
      </c>
    </row>
    <row r="138" spans="1:19" x14ac:dyDescent="0.25">
      <c r="A138" s="1">
        <v>2012</v>
      </c>
      <c r="B138" s="77">
        <v>41113</v>
      </c>
      <c r="C138" s="1" t="s">
        <v>6</v>
      </c>
      <c r="D138" s="1" t="s">
        <v>7</v>
      </c>
      <c r="E138" s="1" t="s">
        <v>9</v>
      </c>
      <c r="F138" s="1" t="s">
        <v>9</v>
      </c>
      <c r="G138" s="1">
        <v>12.78</v>
      </c>
      <c r="H138" s="1">
        <v>21.89</v>
      </c>
      <c r="I138" s="78">
        <v>41112.65902777778</v>
      </c>
      <c r="J138" s="1">
        <v>13.33</v>
      </c>
      <c r="K138" s="1">
        <v>20.45</v>
      </c>
      <c r="L138" s="78">
        <v>41112.820833333331</v>
      </c>
      <c r="M138" s="1">
        <v>1.0880000000000001</v>
      </c>
      <c r="N138" s="78">
        <v>41112.072222222225</v>
      </c>
      <c r="O138" s="1">
        <v>100</v>
      </c>
      <c r="P138" s="78">
        <v>41112.03125</v>
      </c>
      <c r="Q138" s="1">
        <v>1355</v>
      </c>
      <c r="R138" s="78">
        <v>41112.595833333333</v>
      </c>
      <c r="S138" s="98">
        <v>44141.18</v>
      </c>
    </row>
    <row r="139" spans="1:19" x14ac:dyDescent="0.25">
      <c r="A139" s="1">
        <v>2012</v>
      </c>
      <c r="B139" s="77">
        <v>41119</v>
      </c>
      <c r="C139" s="1" t="s">
        <v>6</v>
      </c>
      <c r="D139" s="1" t="s">
        <v>7</v>
      </c>
      <c r="E139" s="1" t="s">
        <v>12</v>
      </c>
      <c r="F139" s="1" t="s">
        <v>11</v>
      </c>
      <c r="G139" s="1">
        <v>12.8</v>
      </c>
      <c r="H139" s="1">
        <v>19.78</v>
      </c>
      <c r="I139" s="78">
        <v>41118.620833333334</v>
      </c>
      <c r="J139" s="1">
        <v>14.49</v>
      </c>
      <c r="K139" s="1">
        <v>20.52</v>
      </c>
      <c r="L139" s="78">
        <v>41118.613888888889</v>
      </c>
      <c r="M139" s="1">
        <v>9</v>
      </c>
      <c r="N139" s="78">
        <v>41118.28125</v>
      </c>
      <c r="O139" s="1">
        <v>89.5</v>
      </c>
      <c r="P139" s="78">
        <v>41118.05972222222</v>
      </c>
      <c r="Q139" s="1">
        <v>47.93</v>
      </c>
      <c r="R139" s="78">
        <v>41118.604166666664</v>
      </c>
      <c r="S139" s="98">
        <v>307.62610000000001</v>
      </c>
    </row>
    <row r="140" spans="1:19" x14ac:dyDescent="0.25">
      <c r="A140" s="1">
        <v>2012</v>
      </c>
      <c r="B140" s="77">
        <v>41117</v>
      </c>
      <c r="C140" s="1" t="s">
        <v>6</v>
      </c>
      <c r="D140" s="1" t="s">
        <v>7</v>
      </c>
      <c r="E140" s="1" t="s">
        <v>9</v>
      </c>
      <c r="F140" s="1" t="s">
        <v>9</v>
      </c>
      <c r="G140" s="1">
        <v>12.79</v>
      </c>
      <c r="H140" s="1">
        <v>23.67</v>
      </c>
      <c r="I140" s="78">
        <v>41116.627083333333</v>
      </c>
      <c r="J140" s="1">
        <v>15.2</v>
      </c>
      <c r="K140" s="1">
        <v>20.68</v>
      </c>
      <c r="L140" s="78">
        <v>41116.621527777781</v>
      </c>
      <c r="M140" s="1">
        <v>6.6349999999999998</v>
      </c>
      <c r="N140" s="78">
        <v>41116.194444444445</v>
      </c>
      <c r="O140" s="1">
        <v>90.6</v>
      </c>
      <c r="P140" s="78">
        <v>41116.163888888892</v>
      </c>
      <c r="Q140" s="1">
        <v>1513</v>
      </c>
      <c r="R140" s="78">
        <v>41116.6</v>
      </c>
      <c r="S140" s="98">
        <v>32451.200000000001</v>
      </c>
    </row>
    <row r="141" spans="1:19" x14ac:dyDescent="0.25">
      <c r="A141" s="1">
        <v>2012</v>
      </c>
      <c r="B141" s="77">
        <v>41090</v>
      </c>
      <c r="C141" s="1" t="s">
        <v>6</v>
      </c>
      <c r="D141" s="1" t="s">
        <v>8</v>
      </c>
      <c r="E141" s="1" t="s">
        <v>10</v>
      </c>
      <c r="F141" s="1" t="s">
        <v>11</v>
      </c>
      <c r="G141" s="1">
        <v>12.74</v>
      </c>
      <c r="H141" s="1">
        <v>20.83</v>
      </c>
      <c r="I141" s="78">
        <v>41089.609722222223</v>
      </c>
      <c r="J141" s="1">
        <v>13.05</v>
      </c>
      <c r="K141" s="1">
        <v>20.69</v>
      </c>
      <c r="L141" s="78">
        <v>41089.606944444444</v>
      </c>
      <c r="M141" s="1">
        <v>8.65</v>
      </c>
      <c r="N141" s="78">
        <v>41089.167361111111</v>
      </c>
      <c r="O141" s="1" t="e">
        <v>#N/A</v>
      </c>
      <c r="P141" s="78" t="e">
        <v>#N/A</v>
      </c>
      <c r="Q141" s="1">
        <v>479.6</v>
      </c>
      <c r="R141" s="78">
        <v>41089.55972222222</v>
      </c>
      <c r="S141" s="98">
        <v>3784.01</v>
      </c>
    </row>
    <row r="142" spans="1:19" x14ac:dyDescent="0.25">
      <c r="A142" s="1">
        <v>2012</v>
      </c>
      <c r="B142" s="77">
        <v>41116</v>
      </c>
      <c r="C142" s="1" t="s">
        <v>6</v>
      </c>
      <c r="D142" s="1" t="s">
        <v>7</v>
      </c>
      <c r="E142" s="1" t="s">
        <v>10</v>
      </c>
      <c r="F142" s="1" t="s">
        <v>11</v>
      </c>
      <c r="G142" s="1">
        <v>12.79</v>
      </c>
      <c r="H142" s="1">
        <v>21.23</v>
      </c>
      <c r="I142" s="78">
        <v>41115.677083333336</v>
      </c>
      <c r="J142" s="1">
        <v>14.02</v>
      </c>
      <c r="K142" s="1">
        <v>20.79</v>
      </c>
      <c r="L142" s="78">
        <v>41115.660416666666</v>
      </c>
      <c r="M142" s="1">
        <v>8.33</v>
      </c>
      <c r="N142" s="78">
        <v>41115.13958333333</v>
      </c>
      <c r="O142" s="1">
        <v>98.3</v>
      </c>
      <c r="P142" s="78">
        <v>41115.319444444445</v>
      </c>
      <c r="Q142" s="1">
        <v>118</v>
      </c>
      <c r="R142" s="78">
        <v>41115.32916666667</v>
      </c>
      <c r="S142" s="98">
        <v>2507.2429999999999</v>
      </c>
    </row>
    <row r="143" spans="1:19" x14ac:dyDescent="0.25">
      <c r="A143" s="1">
        <v>2012</v>
      </c>
      <c r="B143" s="77">
        <v>41117</v>
      </c>
      <c r="C143" s="1" t="s">
        <v>6</v>
      </c>
      <c r="D143" s="1" t="s">
        <v>8</v>
      </c>
      <c r="E143" s="1" t="s">
        <v>9</v>
      </c>
      <c r="F143" s="1" t="s">
        <v>9</v>
      </c>
      <c r="G143" s="1">
        <v>12.66</v>
      </c>
      <c r="H143" s="1">
        <v>24.48</v>
      </c>
      <c r="I143" s="78">
        <v>41116.62777777778</v>
      </c>
      <c r="J143" s="1">
        <v>15.32</v>
      </c>
      <c r="K143" s="1">
        <v>20.89</v>
      </c>
      <c r="L143" s="78">
        <v>41116.623611111114</v>
      </c>
      <c r="M143" s="1">
        <v>6.3719999999999999</v>
      </c>
      <c r="N143" s="78">
        <v>41116.167361111111</v>
      </c>
      <c r="O143" s="1" t="e">
        <v>#N/A</v>
      </c>
      <c r="P143" s="1" t="e">
        <v>#N/A</v>
      </c>
      <c r="Q143" s="1">
        <v>1578</v>
      </c>
      <c r="R143" s="78">
        <v>41116.601388888892</v>
      </c>
      <c r="S143" s="98">
        <v>34535.83</v>
      </c>
    </row>
    <row r="144" spans="1:19" x14ac:dyDescent="0.25">
      <c r="A144" s="1">
        <v>2012</v>
      </c>
      <c r="B144" s="77">
        <v>41094</v>
      </c>
      <c r="C144" s="1" t="s">
        <v>6</v>
      </c>
      <c r="D144" s="1" t="s">
        <v>8</v>
      </c>
      <c r="E144" s="1" t="s">
        <v>10</v>
      </c>
      <c r="F144" s="1" t="s">
        <v>11</v>
      </c>
      <c r="G144" s="1">
        <v>12.71</v>
      </c>
      <c r="H144" s="1">
        <v>22</v>
      </c>
      <c r="I144" s="78">
        <v>41093.671527777777</v>
      </c>
      <c r="J144" s="1">
        <v>16.05</v>
      </c>
      <c r="K144" s="1">
        <v>20.91</v>
      </c>
      <c r="L144" s="78">
        <v>41093.67083333333</v>
      </c>
      <c r="M144" s="1">
        <v>7.1429999999999998</v>
      </c>
      <c r="N144" s="78">
        <v>41093.21875</v>
      </c>
      <c r="O144" s="1" t="e">
        <v>#N/A</v>
      </c>
      <c r="P144" s="1" t="e">
        <v>#N/A</v>
      </c>
      <c r="Q144" s="1">
        <v>552</v>
      </c>
      <c r="R144" s="78">
        <v>41093.510416666664</v>
      </c>
      <c r="S144" s="98">
        <v>4620.5320000000002</v>
      </c>
    </row>
    <row r="145" spans="1:19" x14ac:dyDescent="0.25">
      <c r="A145" s="1">
        <v>2012</v>
      </c>
      <c r="B145" s="77">
        <v>41119</v>
      </c>
      <c r="C145" s="1" t="s">
        <v>6</v>
      </c>
      <c r="D145" s="1" t="s">
        <v>8</v>
      </c>
      <c r="E145" s="1" t="s">
        <v>10</v>
      </c>
      <c r="F145" s="1" t="s">
        <v>11</v>
      </c>
      <c r="G145" s="1">
        <v>12.67</v>
      </c>
      <c r="H145" s="1">
        <v>20.260000000000002</v>
      </c>
      <c r="I145" s="78">
        <v>41118.620833333334</v>
      </c>
      <c r="J145" s="1">
        <v>14.46</v>
      </c>
      <c r="K145" s="1">
        <v>20.91</v>
      </c>
      <c r="L145" s="78">
        <v>41118.572916666664</v>
      </c>
      <c r="M145" s="1">
        <v>9.7200000000000006</v>
      </c>
      <c r="N145" s="78">
        <v>41118.068055555559</v>
      </c>
      <c r="O145" s="1" t="e">
        <v>#N/A</v>
      </c>
      <c r="P145" s="1" t="e">
        <v>#N/A</v>
      </c>
      <c r="Q145" s="1">
        <v>641.20000000000005</v>
      </c>
      <c r="R145" s="78">
        <v>41118.531944444447</v>
      </c>
      <c r="S145" s="98">
        <v>4318.7709999999997</v>
      </c>
    </row>
    <row r="146" spans="1:19" x14ac:dyDescent="0.25">
      <c r="A146" s="1">
        <v>2012</v>
      </c>
      <c r="B146" s="77">
        <v>41121</v>
      </c>
      <c r="C146" s="1" t="s">
        <v>6</v>
      </c>
      <c r="D146" s="1" t="s">
        <v>8</v>
      </c>
      <c r="E146" s="1" t="s">
        <v>9</v>
      </c>
      <c r="F146" s="1" t="s">
        <v>9</v>
      </c>
      <c r="G146" s="1">
        <v>12.65</v>
      </c>
      <c r="H146" s="1">
        <v>22.53</v>
      </c>
      <c r="I146" s="78">
        <v>41120.71875</v>
      </c>
      <c r="J146" s="1">
        <v>14.82</v>
      </c>
      <c r="K146" s="1">
        <v>20.94</v>
      </c>
      <c r="L146" s="78">
        <v>41120.716666666667</v>
      </c>
      <c r="M146" s="1">
        <v>7.5880000000000001</v>
      </c>
      <c r="N146" s="78">
        <v>41120.183333333334</v>
      </c>
      <c r="O146" s="1" t="e">
        <v>#N/A</v>
      </c>
      <c r="P146" s="1" t="e">
        <v>#N/A</v>
      </c>
      <c r="Q146" s="1">
        <v>1732</v>
      </c>
      <c r="R146" s="78">
        <v>41120.594444444447</v>
      </c>
      <c r="S146" s="98">
        <v>26388.41</v>
      </c>
    </row>
    <row r="147" spans="1:19" x14ac:dyDescent="0.25">
      <c r="A147" s="1">
        <v>2012</v>
      </c>
      <c r="B147" s="77">
        <v>41096</v>
      </c>
      <c r="C147" s="1" t="s">
        <v>6</v>
      </c>
      <c r="D147" s="1" t="s">
        <v>8</v>
      </c>
      <c r="E147" s="1" t="s">
        <v>10</v>
      </c>
      <c r="F147" s="1" t="s">
        <v>11</v>
      </c>
      <c r="G147" s="1">
        <v>12.67</v>
      </c>
      <c r="H147" s="1">
        <v>20.66</v>
      </c>
      <c r="I147" s="78">
        <v>41095.663194444445</v>
      </c>
      <c r="J147" s="1">
        <v>14.19</v>
      </c>
      <c r="K147" s="1">
        <v>20.98</v>
      </c>
      <c r="L147" s="78">
        <v>41095.643055555556</v>
      </c>
      <c r="M147" s="1">
        <v>3.84</v>
      </c>
      <c r="N147" s="78">
        <v>41095.210416666669</v>
      </c>
      <c r="O147" s="1" t="e">
        <v>#N/A</v>
      </c>
      <c r="P147" s="1" t="e">
        <v>#N/A</v>
      </c>
      <c r="Q147" s="1">
        <v>595.9</v>
      </c>
      <c r="R147" s="78">
        <v>41095.625694444447</v>
      </c>
      <c r="S147" s="98">
        <v>3324.3009999999999</v>
      </c>
    </row>
    <row r="148" spans="1:19" x14ac:dyDescent="0.25">
      <c r="A148" s="1">
        <v>2012</v>
      </c>
      <c r="B148" s="77">
        <v>41094</v>
      </c>
      <c r="C148" s="1" t="s">
        <v>6</v>
      </c>
      <c r="D148" s="1" t="s">
        <v>7</v>
      </c>
      <c r="E148" s="1" t="s">
        <v>12</v>
      </c>
      <c r="F148" s="1" t="s">
        <v>11</v>
      </c>
      <c r="G148" s="1">
        <v>12.88</v>
      </c>
      <c r="H148" s="1">
        <v>21.97</v>
      </c>
      <c r="I148" s="78">
        <v>41093.677777777775</v>
      </c>
      <c r="J148" s="1">
        <v>16.12</v>
      </c>
      <c r="K148" s="1">
        <v>20.99</v>
      </c>
      <c r="L148" s="78">
        <v>41093.668055555558</v>
      </c>
      <c r="M148" s="1" t="e">
        <v>#N/A</v>
      </c>
      <c r="N148" s="1" t="e">
        <v>#N/A</v>
      </c>
      <c r="O148" s="1" t="e">
        <v>#N/A</v>
      </c>
      <c r="P148" s="1" t="e">
        <v>#N/A</v>
      </c>
      <c r="Q148" s="1">
        <v>460.6</v>
      </c>
      <c r="R148" s="78">
        <v>41093.544444444444</v>
      </c>
      <c r="S148" s="98">
        <v>3532.672</v>
      </c>
    </row>
    <row r="149" spans="1:19" x14ac:dyDescent="0.25">
      <c r="A149" s="1">
        <v>2012</v>
      </c>
      <c r="B149" s="77">
        <v>41114</v>
      </c>
      <c r="C149" s="1" t="s">
        <v>6</v>
      </c>
      <c r="D149" s="1" t="s">
        <v>7</v>
      </c>
      <c r="E149" s="1" t="s">
        <v>9</v>
      </c>
      <c r="F149" s="1" t="s">
        <v>9</v>
      </c>
      <c r="G149" s="1">
        <v>12.81</v>
      </c>
      <c r="H149" s="1">
        <v>24.13</v>
      </c>
      <c r="I149" s="78">
        <v>41113.629861111112</v>
      </c>
      <c r="J149" s="1">
        <v>15.18</v>
      </c>
      <c r="K149" s="1">
        <v>20.99</v>
      </c>
      <c r="L149" s="78">
        <v>41113.59375</v>
      </c>
      <c r="M149" s="1">
        <v>7.1109999999999998</v>
      </c>
      <c r="N149" s="78">
        <v>41113.106944444444</v>
      </c>
      <c r="O149" s="1">
        <v>94.9</v>
      </c>
      <c r="P149" s="78">
        <v>41113.981249999997</v>
      </c>
      <c r="Q149" s="1">
        <v>1691</v>
      </c>
      <c r="R149" s="78">
        <v>41113.567361111112</v>
      </c>
      <c r="S149" s="98">
        <v>28726.79</v>
      </c>
    </row>
    <row r="150" spans="1:19" x14ac:dyDescent="0.25">
      <c r="A150" s="1">
        <v>2012</v>
      </c>
      <c r="B150" s="77">
        <v>41113</v>
      </c>
      <c r="C150" s="1" t="s">
        <v>6</v>
      </c>
      <c r="D150" s="1" t="s">
        <v>8</v>
      </c>
      <c r="E150" s="1" t="s">
        <v>10</v>
      </c>
      <c r="F150" s="1" t="s">
        <v>11</v>
      </c>
      <c r="G150" s="1">
        <v>12.66</v>
      </c>
      <c r="H150" s="1">
        <v>22.95</v>
      </c>
      <c r="I150" s="78">
        <v>41112.658333333333</v>
      </c>
      <c r="J150" s="1">
        <v>13.18</v>
      </c>
      <c r="K150" s="1">
        <v>21.04</v>
      </c>
      <c r="L150" s="78">
        <v>41112.763194444444</v>
      </c>
      <c r="M150" s="1">
        <v>-8.8999999999999996E-2</v>
      </c>
      <c r="N150" s="78">
        <v>41112.094444444447</v>
      </c>
      <c r="O150" s="1" t="e">
        <v>#N/A</v>
      </c>
      <c r="P150" s="1" t="e">
        <v>#N/A</v>
      </c>
      <c r="Q150" s="1">
        <v>973</v>
      </c>
      <c r="R150" s="78">
        <v>41112.509722222225</v>
      </c>
      <c r="S150" s="98">
        <v>5935.2340000000004</v>
      </c>
    </row>
    <row r="151" spans="1:19" x14ac:dyDescent="0.25">
      <c r="A151" s="1">
        <v>2012</v>
      </c>
      <c r="B151" s="77">
        <v>41118</v>
      </c>
      <c r="C151" s="1" t="s">
        <v>6</v>
      </c>
      <c r="D151" s="1" t="s">
        <v>7</v>
      </c>
      <c r="E151" s="1" t="s">
        <v>9</v>
      </c>
      <c r="F151" s="1" t="s">
        <v>9</v>
      </c>
      <c r="G151" s="1">
        <v>12.77</v>
      </c>
      <c r="H151" s="1">
        <v>21.51</v>
      </c>
      <c r="I151" s="78">
        <v>41117.613888888889</v>
      </c>
      <c r="J151" s="1">
        <v>15.07</v>
      </c>
      <c r="K151" s="1">
        <v>21.24</v>
      </c>
      <c r="L151" s="78">
        <v>41117.602083333331</v>
      </c>
      <c r="M151" s="1">
        <v>7.6550000000000002</v>
      </c>
      <c r="N151" s="78">
        <v>41117.179861111108</v>
      </c>
      <c r="O151" s="1">
        <v>90.7</v>
      </c>
      <c r="P151" s="78">
        <v>41117.193749999999</v>
      </c>
      <c r="Q151" s="1">
        <v>1458</v>
      </c>
      <c r="R151" s="78">
        <v>41117.597916666666</v>
      </c>
      <c r="S151" s="98">
        <v>21631.17</v>
      </c>
    </row>
    <row r="152" spans="1:19" x14ac:dyDescent="0.25">
      <c r="A152" s="1">
        <v>2012</v>
      </c>
      <c r="B152" s="77">
        <v>41118</v>
      </c>
      <c r="C152" s="1" t="s">
        <v>6</v>
      </c>
      <c r="D152" s="1" t="s">
        <v>8</v>
      </c>
      <c r="E152" s="1" t="s">
        <v>9</v>
      </c>
      <c r="F152" s="1" t="s">
        <v>9</v>
      </c>
      <c r="G152" s="1">
        <v>12.65</v>
      </c>
      <c r="H152" s="1">
        <v>21.64</v>
      </c>
      <c r="I152" s="78">
        <v>41117.631944444445</v>
      </c>
      <c r="J152" s="1">
        <v>14.94</v>
      </c>
      <c r="K152" s="1">
        <v>21.37</v>
      </c>
      <c r="L152" s="78">
        <v>41117.607638888891</v>
      </c>
      <c r="M152" s="1">
        <v>6.5350000000000001</v>
      </c>
      <c r="N152" s="78">
        <v>41117.150694444441</v>
      </c>
      <c r="O152" s="1" t="e">
        <v>#N/A</v>
      </c>
      <c r="P152" s="1" t="e">
        <v>#N/A</v>
      </c>
      <c r="Q152" s="1">
        <v>1574</v>
      </c>
      <c r="R152" s="78">
        <v>41117.55972222222</v>
      </c>
      <c r="S152" s="98">
        <v>23934.77</v>
      </c>
    </row>
    <row r="153" spans="1:19" x14ac:dyDescent="0.25">
      <c r="A153" s="1">
        <v>2012</v>
      </c>
      <c r="B153" s="77">
        <v>41097</v>
      </c>
      <c r="C153" s="1" t="s">
        <v>6</v>
      </c>
      <c r="D153" s="1" t="s">
        <v>8</v>
      </c>
      <c r="E153" s="1" t="s">
        <v>10</v>
      </c>
      <c r="F153" s="1" t="s">
        <v>11</v>
      </c>
      <c r="G153" s="1">
        <v>12.66</v>
      </c>
      <c r="H153" s="1">
        <v>22.22</v>
      </c>
      <c r="I153" s="78">
        <v>41096.555555555555</v>
      </c>
      <c r="J153" s="1">
        <v>13.45</v>
      </c>
      <c r="K153" s="1">
        <v>21.43</v>
      </c>
      <c r="L153" s="78">
        <v>41096.552777777775</v>
      </c>
      <c r="M153" s="1">
        <v>5.7830000000000004</v>
      </c>
      <c r="N153" s="78">
        <v>41096.13958333333</v>
      </c>
      <c r="O153" s="1" t="e">
        <v>#N/A</v>
      </c>
      <c r="P153" s="1" t="e">
        <v>#N/A</v>
      </c>
      <c r="Q153" s="1">
        <v>359.2</v>
      </c>
      <c r="R153" s="78">
        <v>41096.495138888888</v>
      </c>
      <c r="S153" s="98">
        <v>2599.4580000000001</v>
      </c>
    </row>
    <row r="154" spans="1:19" x14ac:dyDescent="0.25">
      <c r="A154" s="1">
        <v>2012</v>
      </c>
      <c r="B154" s="77">
        <v>41113</v>
      </c>
      <c r="C154" s="1" t="s">
        <v>6</v>
      </c>
      <c r="D154" s="1" t="s">
        <v>7</v>
      </c>
      <c r="E154" s="1" t="s">
        <v>12</v>
      </c>
      <c r="F154" s="1" t="s">
        <v>11</v>
      </c>
      <c r="G154" s="1">
        <v>12.78</v>
      </c>
      <c r="H154" s="1">
        <v>21.89</v>
      </c>
      <c r="I154" s="78">
        <v>41112.65902777778</v>
      </c>
      <c r="J154" s="1">
        <v>13.33</v>
      </c>
      <c r="K154" s="1">
        <v>21.44</v>
      </c>
      <c r="L154" s="78">
        <v>41112.606249999997</v>
      </c>
      <c r="M154" s="1">
        <v>0.13600000000000001</v>
      </c>
      <c r="N154" s="78">
        <v>41112.097222222219</v>
      </c>
      <c r="O154" s="1">
        <v>96.7</v>
      </c>
      <c r="P154" s="78">
        <v>41112.329861111109</v>
      </c>
      <c r="Q154" s="1">
        <v>505.8</v>
      </c>
      <c r="R154" s="78">
        <v>41112.597222222219</v>
      </c>
      <c r="S154" s="98">
        <v>508.82940000000002</v>
      </c>
    </row>
    <row r="155" spans="1:19" x14ac:dyDescent="0.25">
      <c r="A155" s="1">
        <v>2012</v>
      </c>
      <c r="B155" s="77">
        <v>41135</v>
      </c>
      <c r="C155" s="1" t="s">
        <v>6</v>
      </c>
      <c r="D155" s="1" t="s">
        <v>7</v>
      </c>
      <c r="E155" s="1" t="s">
        <v>10</v>
      </c>
      <c r="F155" s="1" t="s">
        <v>11</v>
      </c>
      <c r="G155" s="1">
        <v>12.73</v>
      </c>
      <c r="H155" s="1">
        <v>21.86</v>
      </c>
      <c r="I155" s="78">
        <v>41134.67291666667</v>
      </c>
      <c r="J155" s="1">
        <v>11.85</v>
      </c>
      <c r="K155" s="1">
        <v>21.57</v>
      </c>
      <c r="L155" s="78">
        <v>41134.665277777778</v>
      </c>
      <c r="M155" s="1">
        <v>0.13600000000000001</v>
      </c>
      <c r="N155" s="78">
        <v>41134.097222222219</v>
      </c>
      <c r="O155" s="1">
        <v>99.9</v>
      </c>
      <c r="P155" s="78">
        <v>41134.104861111111</v>
      </c>
      <c r="Q155" s="1">
        <v>71.89</v>
      </c>
      <c r="R155" s="78">
        <v>41134.578472222223</v>
      </c>
      <c r="S155" s="98">
        <v>1171.7080000000001</v>
      </c>
    </row>
    <row r="156" spans="1:19" x14ac:dyDescent="0.25">
      <c r="A156" s="1">
        <v>2012</v>
      </c>
      <c r="B156" s="77">
        <v>41116</v>
      </c>
      <c r="C156" s="1" t="s">
        <v>6</v>
      </c>
      <c r="D156" s="1" t="s">
        <v>8</v>
      </c>
      <c r="E156" s="1" t="s">
        <v>10</v>
      </c>
      <c r="F156" s="1" t="s">
        <v>11</v>
      </c>
      <c r="G156" s="1">
        <v>12.66</v>
      </c>
      <c r="H156" s="1">
        <v>21.72</v>
      </c>
      <c r="I156" s="78">
        <v>41115.669444444444</v>
      </c>
      <c r="J156" s="1">
        <v>13.89</v>
      </c>
      <c r="K156" s="1">
        <v>21.6</v>
      </c>
      <c r="L156" s="78">
        <v>41115.728472222225</v>
      </c>
      <c r="M156" s="1">
        <v>8.41</v>
      </c>
      <c r="N156" s="78">
        <v>41115.149305555555</v>
      </c>
      <c r="O156" s="1" t="e">
        <v>#N/A</v>
      </c>
      <c r="P156" s="1" t="e">
        <v>#N/A</v>
      </c>
      <c r="Q156" s="1">
        <v>613.79999999999995</v>
      </c>
      <c r="R156" s="78">
        <v>41115.666666666664</v>
      </c>
      <c r="S156" s="98">
        <v>4642.1570000000002</v>
      </c>
    </row>
    <row r="157" spans="1:19" x14ac:dyDescent="0.25">
      <c r="A157" s="1">
        <v>2012</v>
      </c>
      <c r="B157" s="77">
        <v>41113</v>
      </c>
      <c r="C157" s="1" t="s">
        <v>6</v>
      </c>
      <c r="D157" s="1" t="s">
        <v>7</v>
      </c>
      <c r="E157" s="1" t="s">
        <v>10</v>
      </c>
      <c r="F157" s="1" t="s">
        <v>11</v>
      </c>
      <c r="G157" s="1">
        <v>12.78</v>
      </c>
      <c r="H157" s="1">
        <v>21.89</v>
      </c>
      <c r="I157" s="78">
        <v>41112.65902777778</v>
      </c>
      <c r="J157" s="1">
        <v>13.33</v>
      </c>
      <c r="K157" s="1">
        <v>21.68</v>
      </c>
      <c r="L157" s="78">
        <v>41112.600694444445</v>
      </c>
      <c r="M157" s="1">
        <v>0.13600000000000001</v>
      </c>
      <c r="N157" s="78">
        <v>41112.086805555555</v>
      </c>
      <c r="O157" s="1">
        <v>100</v>
      </c>
      <c r="P157" s="78">
        <v>41112.106944444444</v>
      </c>
      <c r="Q157" s="1">
        <v>383.5</v>
      </c>
      <c r="R157" s="78">
        <v>41112.481944444444</v>
      </c>
      <c r="S157" s="98">
        <v>2352.2249999999999</v>
      </c>
    </row>
    <row r="158" spans="1:19" x14ac:dyDescent="0.25">
      <c r="A158" s="1">
        <v>2012</v>
      </c>
      <c r="B158" s="77">
        <v>41135</v>
      </c>
      <c r="C158" s="1" t="s">
        <v>6</v>
      </c>
      <c r="D158" s="1" t="s">
        <v>7</v>
      </c>
      <c r="E158" s="1" t="s">
        <v>12</v>
      </c>
      <c r="F158" s="1" t="s">
        <v>11</v>
      </c>
      <c r="G158" s="1">
        <v>12.73</v>
      </c>
      <c r="H158" s="1">
        <v>21.86</v>
      </c>
      <c r="I158" s="78">
        <v>41134.67291666667</v>
      </c>
      <c r="J158" s="1">
        <v>11.85</v>
      </c>
      <c r="K158" s="1">
        <v>21.74</v>
      </c>
      <c r="L158" s="78">
        <v>41134.662499999999</v>
      </c>
      <c r="M158" s="1">
        <v>0.34</v>
      </c>
      <c r="N158" s="78">
        <v>41134.102777777778</v>
      </c>
      <c r="O158" s="1">
        <v>96</v>
      </c>
      <c r="P158" s="78">
        <v>41134.262499999997</v>
      </c>
      <c r="Q158" s="1">
        <v>308.2</v>
      </c>
      <c r="R158" s="78">
        <v>41134.613888888889</v>
      </c>
      <c r="S158" s="98">
        <v>1971.663</v>
      </c>
    </row>
    <row r="159" spans="1:19" x14ac:dyDescent="0.25">
      <c r="A159" s="1">
        <v>2012</v>
      </c>
      <c r="B159" s="77">
        <v>41102</v>
      </c>
      <c r="C159" s="1" t="s">
        <v>6</v>
      </c>
      <c r="D159" s="1" t="s">
        <v>8</v>
      </c>
      <c r="E159" s="1" t="s">
        <v>10</v>
      </c>
      <c r="F159" s="1" t="s">
        <v>11</v>
      </c>
      <c r="G159" s="1">
        <v>12.57</v>
      </c>
      <c r="H159" s="1">
        <v>24.87</v>
      </c>
      <c r="I159" s="78">
        <v>41101.725694444445</v>
      </c>
      <c r="J159" s="1">
        <v>20.73</v>
      </c>
      <c r="K159" s="1">
        <v>21.8</v>
      </c>
      <c r="L159" s="78">
        <v>41101.709722222222</v>
      </c>
      <c r="M159" s="1">
        <v>12.42</v>
      </c>
      <c r="N159" s="78">
        <v>41101.988194444442</v>
      </c>
      <c r="O159" s="1" t="e">
        <v>#N/A</v>
      </c>
      <c r="P159" s="1" t="e">
        <v>#N/A</v>
      </c>
      <c r="Q159" s="1">
        <v>945</v>
      </c>
      <c r="R159" s="78">
        <v>41101.690972222219</v>
      </c>
      <c r="S159" s="98">
        <v>1184.7460000000001</v>
      </c>
    </row>
    <row r="160" spans="1:19" x14ac:dyDescent="0.25">
      <c r="A160" s="1">
        <v>2012</v>
      </c>
      <c r="B160" s="77">
        <v>41104</v>
      </c>
      <c r="C160" s="1" t="s">
        <v>6</v>
      </c>
      <c r="D160" s="1" t="s">
        <v>8</v>
      </c>
      <c r="E160" s="1" t="s">
        <v>10</v>
      </c>
      <c r="F160" s="1" t="s">
        <v>11</v>
      </c>
      <c r="G160" s="1">
        <v>12.75</v>
      </c>
      <c r="H160" s="1">
        <v>22.08</v>
      </c>
      <c r="I160" s="78">
        <v>41103.521527777775</v>
      </c>
      <c r="J160" s="1">
        <v>14.86</v>
      </c>
      <c r="K160" s="1">
        <v>21.83</v>
      </c>
      <c r="L160" s="78">
        <v>41103.520833333336</v>
      </c>
      <c r="M160" s="1">
        <v>8.16</v>
      </c>
      <c r="N160" s="78">
        <v>41103.171527777777</v>
      </c>
      <c r="O160" s="1" t="e">
        <v>#N/A</v>
      </c>
      <c r="P160" s="1" t="e">
        <v>#N/A</v>
      </c>
      <c r="Q160" s="1">
        <v>193</v>
      </c>
      <c r="R160" s="78">
        <v>41103.468055555553</v>
      </c>
      <c r="S160" s="98">
        <v>3040.03</v>
      </c>
    </row>
    <row r="161" spans="1:19" x14ac:dyDescent="0.25">
      <c r="A161" s="1">
        <v>2012</v>
      </c>
      <c r="B161" s="77">
        <v>41114</v>
      </c>
      <c r="C161" s="1" t="s">
        <v>6</v>
      </c>
      <c r="D161" s="1" t="s">
        <v>8</v>
      </c>
      <c r="E161" s="1" t="s">
        <v>9</v>
      </c>
      <c r="F161" s="1" t="s">
        <v>9</v>
      </c>
      <c r="G161" s="1">
        <v>12.68</v>
      </c>
      <c r="H161" s="1">
        <v>24.98</v>
      </c>
      <c r="I161" s="78">
        <v>41113.674305555556</v>
      </c>
      <c r="J161" s="1">
        <v>15.06</v>
      </c>
      <c r="K161" s="1">
        <v>21.91</v>
      </c>
      <c r="L161" s="78">
        <v>41113.652083333334</v>
      </c>
      <c r="M161" s="1">
        <v>5.6020000000000003</v>
      </c>
      <c r="N161" s="78">
        <v>41113.075694444444</v>
      </c>
      <c r="O161" s="1" t="e">
        <v>#N/A</v>
      </c>
      <c r="P161" s="1" t="e">
        <v>#N/A</v>
      </c>
      <c r="Q161" s="1">
        <v>1746</v>
      </c>
      <c r="R161" s="78">
        <v>41113.669444444444</v>
      </c>
      <c r="S161" s="98">
        <v>30386.6</v>
      </c>
    </row>
    <row r="162" spans="1:19" x14ac:dyDescent="0.25">
      <c r="A162" s="1">
        <v>2012</v>
      </c>
      <c r="B162" s="77">
        <v>41097</v>
      </c>
      <c r="C162" s="1" t="s">
        <v>6</v>
      </c>
      <c r="D162" s="1" t="s">
        <v>7</v>
      </c>
      <c r="E162" s="1" t="s">
        <v>12</v>
      </c>
      <c r="F162" s="1" t="s">
        <v>11</v>
      </c>
      <c r="G162" s="1">
        <v>12.83</v>
      </c>
      <c r="H162" s="1">
        <v>23.27</v>
      </c>
      <c r="I162" s="78">
        <v>41096.565972222219</v>
      </c>
      <c r="J162" s="1">
        <v>13.68</v>
      </c>
      <c r="K162" s="1">
        <v>21.94</v>
      </c>
      <c r="L162" s="78">
        <v>41096.563194444447</v>
      </c>
      <c r="M162" s="1" t="e">
        <v>#N/A</v>
      </c>
      <c r="N162" s="1" t="e">
        <v>#N/A</v>
      </c>
      <c r="O162" s="1" t="e">
        <v>#N/A</v>
      </c>
      <c r="P162" s="1" t="e">
        <v>#N/A</v>
      </c>
      <c r="Q162" s="1">
        <v>494.5</v>
      </c>
      <c r="R162" s="78">
        <v>41096.512499999997</v>
      </c>
      <c r="S162" s="98">
        <v>3064.0210000000002</v>
      </c>
    </row>
    <row r="163" spans="1:19" x14ac:dyDescent="0.25">
      <c r="A163" s="1">
        <v>2012</v>
      </c>
      <c r="B163" s="77">
        <v>41103</v>
      </c>
      <c r="C163" s="1" t="s">
        <v>6</v>
      </c>
      <c r="D163" s="1" t="s">
        <v>8</v>
      </c>
      <c r="E163" s="1" t="s">
        <v>9</v>
      </c>
      <c r="F163" s="1" t="s">
        <v>9</v>
      </c>
      <c r="G163" s="1">
        <v>12.45</v>
      </c>
      <c r="H163" s="1">
        <v>24.42</v>
      </c>
      <c r="I163" s="78">
        <v>41102.634027777778</v>
      </c>
      <c r="J163" s="1">
        <v>16.87</v>
      </c>
      <c r="K163" s="1">
        <v>21.96</v>
      </c>
      <c r="L163" s="78">
        <v>41102.690972222219</v>
      </c>
      <c r="M163" s="1">
        <v>10.43</v>
      </c>
      <c r="N163" s="78">
        <v>41102.159722222219</v>
      </c>
      <c r="O163" s="1" t="e">
        <v>#N/A</v>
      </c>
      <c r="P163" s="1" t="e">
        <v>#N/A</v>
      </c>
      <c r="Q163" s="1">
        <v>1117</v>
      </c>
      <c r="R163" s="78">
        <v>41102.57708333333</v>
      </c>
      <c r="S163" s="98">
        <v>17489.43</v>
      </c>
    </row>
    <row r="164" spans="1:19" x14ac:dyDescent="0.25">
      <c r="A164" s="1">
        <v>2012</v>
      </c>
      <c r="B164" s="77">
        <v>41095</v>
      </c>
      <c r="C164" s="1" t="s">
        <v>6</v>
      </c>
      <c r="D164" s="1" t="s">
        <v>8</v>
      </c>
      <c r="E164" s="1" t="s">
        <v>9</v>
      </c>
      <c r="F164" s="1" t="s">
        <v>9</v>
      </c>
      <c r="G164" s="1">
        <v>12.75</v>
      </c>
      <c r="H164" s="1">
        <v>25.25</v>
      </c>
      <c r="I164" s="78">
        <v>41094.662499999999</v>
      </c>
      <c r="J164" s="1">
        <v>17.41</v>
      </c>
      <c r="K164" s="1">
        <v>21.97</v>
      </c>
      <c r="L164" s="78">
        <v>41094.656944444447</v>
      </c>
      <c r="M164" s="1">
        <v>10.29</v>
      </c>
      <c r="N164" s="78">
        <v>41094.147916666669</v>
      </c>
      <c r="O164" s="1" t="e">
        <v>#N/A</v>
      </c>
      <c r="P164" s="1" t="e">
        <v>#N/A</v>
      </c>
      <c r="Q164" s="1">
        <v>994</v>
      </c>
      <c r="R164" s="78">
        <v>41094.638194444444</v>
      </c>
      <c r="S164" s="98">
        <v>19292.349999999999</v>
      </c>
    </row>
    <row r="165" spans="1:19" x14ac:dyDescent="0.25">
      <c r="A165" s="1">
        <v>2012</v>
      </c>
      <c r="B165" s="77">
        <v>41120</v>
      </c>
      <c r="C165" s="1" t="s">
        <v>6</v>
      </c>
      <c r="D165" s="1" t="s">
        <v>7</v>
      </c>
      <c r="E165" s="1" t="s">
        <v>9</v>
      </c>
      <c r="F165" s="1" t="s">
        <v>9</v>
      </c>
      <c r="G165" s="1">
        <v>12.82</v>
      </c>
      <c r="H165" s="1">
        <v>23.9</v>
      </c>
      <c r="I165" s="78">
        <v>41119.627083333333</v>
      </c>
      <c r="J165" s="1">
        <v>17.739999999999998</v>
      </c>
      <c r="K165" s="1">
        <v>22.38</v>
      </c>
      <c r="L165" s="78">
        <v>41119.556944444441</v>
      </c>
      <c r="M165" s="1">
        <v>11.87</v>
      </c>
      <c r="N165" s="78">
        <v>41119.056944444441</v>
      </c>
      <c r="O165" s="1">
        <v>76.36</v>
      </c>
      <c r="P165" s="78">
        <v>41119.990972222222</v>
      </c>
      <c r="Q165" s="1">
        <v>1593</v>
      </c>
      <c r="R165" s="78">
        <v>41119.594444444447</v>
      </c>
      <c r="S165" s="98">
        <v>31041.48</v>
      </c>
    </row>
    <row r="166" spans="1:19" x14ac:dyDescent="0.25">
      <c r="A166" s="1">
        <v>2012</v>
      </c>
      <c r="B166" s="77">
        <v>41135</v>
      </c>
      <c r="C166" s="1" t="s">
        <v>6</v>
      </c>
      <c r="D166" s="1" t="s">
        <v>8</v>
      </c>
      <c r="E166" s="1" t="s">
        <v>10</v>
      </c>
      <c r="F166" s="1" t="s">
        <v>11</v>
      </c>
      <c r="G166" s="1">
        <v>12.59</v>
      </c>
      <c r="H166" s="1">
        <v>22.75</v>
      </c>
      <c r="I166" s="78">
        <v>41134.674305555556</v>
      </c>
      <c r="J166" s="1">
        <v>11.86</v>
      </c>
      <c r="K166" s="1">
        <v>22.48</v>
      </c>
      <c r="L166" s="78">
        <v>41134.665972222225</v>
      </c>
      <c r="M166" s="1">
        <v>-0.19400000000000001</v>
      </c>
      <c r="N166" s="78">
        <v>41134.100694444445</v>
      </c>
      <c r="O166" s="1" t="e">
        <v>#N/A</v>
      </c>
      <c r="P166" s="1" t="e">
        <v>#N/A</v>
      </c>
      <c r="Q166" s="1">
        <v>653.5</v>
      </c>
      <c r="R166" s="78">
        <v>41134.540972222225</v>
      </c>
      <c r="S166" s="98">
        <v>4207.7960000000003</v>
      </c>
    </row>
    <row r="167" spans="1:19" x14ac:dyDescent="0.25">
      <c r="A167" s="1">
        <v>2012</v>
      </c>
      <c r="B167" s="77">
        <v>41118</v>
      </c>
      <c r="C167" s="1" t="s">
        <v>6</v>
      </c>
      <c r="D167" s="1" t="s">
        <v>7</v>
      </c>
      <c r="E167" s="1" t="s">
        <v>12</v>
      </c>
      <c r="F167" s="1" t="s">
        <v>11</v>
      </c>
      <c r="G167" s="1">
        <v>12.77</v>
      </c>
      <c r="H167" s="1">
        <v>21.51</v>
      </c>
      <c r="I167" s="78">
        <v>41117.613888888889</v>
      </c>
      <c r="J167" s="1">
        <v>15.07</v>
      </c>
      <c r="K167" s="1">
        <v>22.49</v>
      </c>
      <c r="L167" s="78">
        <v>41117.606944444444</v>
      </c>
      <c r="M167" s="1">
        <v>5.2750000000000004</v>
      </c>
      <c r="N167" s="78">
        <v>41117.164583333331</v>
      </c>
      <c r="O167" s="1">
        <v>96.3</v>
      </c>
      <c r="P167" s="78">
        <v>41117.209027777775</v>
      </c>
      <c r="Q167" s="1">
        <v>37.270000000000003</v>
      </c>
      <c r="R167" s="78">
        <v>41117.603472222225</v>
      </c>
      <c r="S167" s="98">
        <v>282.02359999999999</v>
      </c>
    </row>
    <row r="168" spans="1:19" x14ac:dyDescent="0.25">
      <c r="A168" s="1">
        <v>2012</v>
      </c>
      <c r="B168" s="77">
        <v>41121</v>
      </c>
      <c r="C168" s="1" t="s">
        <v>6</v>
      </c>
      <c r="D168" s="1" t="s">
        <v>7</v>
      </c>
      <c r="E168" s="1" t="s">
        <v>12</v>
      </c>
      <c r="F168" s="1" t="s">
        <v>11</v>
      </c>
      <c r="G168" s="1">
        <v>12.77</v>
      </c>
      <c r="H168" s="1">
        <v>21.62</v>
      </c>
      <c r="I168" s="78">
        <v>41120.724999999999</v>
      </c>
      <c r="J168" s="1">
        <v>14.82</v>
      </c>
      <c r="K168" s="1">
        <v>22.53</v>
      </c>
      <c r="L168" s="78">
        <v>41120.720138888886</v>
      </c>
      <c r="M168" s="1">
        <v>6.431</v>
      </c>
      <c r="N168" s="78">
        <v>41120.229861111111</v>
      </c>
      <c r="O168" s="1">
        <v>97.1</v>
      </c>
      <c r="P168" s="78">
        <v>41120.277083333334</v>
      </c>
      <c r="Q168" s="1">
        <v>110.5</v>
      </c>
      <c r="R168" s="78">
        <v>41120.681250000001</v>
      </c>
      <c r="S168" s="98">
        <v>590.71799999999996</v>
      </c>
    </row>
    <row r="169" spans="1:19" x14ac:dyDescent="0.25">
      <c r="A169" s="1">
        <v>2012</v>
      </c>
      <c r="B169" s="77">
        <v>41093</v>
      </c>
      <c r="C169" s="1" t="s">
        <v>6</v>
      </c>
      <c r="D169" s="1" t="s">
        <v>7</v>
      </c>
      <c r="E169" s="1" t="s">
        <v>12</v>
      </c>
      <c r="F169" s="1" t="s">
        <v>11</v>
      </c>
      <c r="G169" s="1">
        <v>12.96</v>
      </c>
      <c r="H169" s="1">
        <v>23.38</v>
      </c>
      <c r="I169" s="78">
        <v>41092.542361111111</v>
      </c>
      <c r="J169" s="1">
        <v>15.91</v>
      </c>
      <c r="K169" s="1">
        <v>22.58</v>
      </c>
      <c r="L169" s="78">
        <v>41092.540972222225</v>
      </c>
      <c r="M169" s="1" t="e">
        <v>#N/A</v>
      </c>
      <c r="N169" s="1" t="e">
        <v>#N/A</v>
      </c>
      <c r="O169" s="1" t="e">
        <v>#N/A</v>
      </c>
      <c r="P169" s="1" t="e">
        <v>#N/A</v>
      </c>
      <c r="Q169" s="1">
        <v>554.4</v>
      </c>
      <c r="R169" s="78">
        <v>41092.534722222219</v>
      </c>
      <c r="S169" s="98">
        <v>3165.9119999999998</v>
      </c>
    </row>
    <row r="170" spans="1:19" x14ac:dyDescent="0.25">
      <c r="A170" s="1">
        <v>2012</v>
      </c>
      <c r="B170" s="77">
        <v>41118</v>
      </c>
      <c r="C170" s="1" t="s">
        <v>6</v>
      </c>
      <c r="D170" s="1" t="s">
        <v>7</v>
      </c>
      <c r="E170" s="1" t="s">
        <v>10</v>
      </c>
      <c r="F170" s="1" t="s">
        <v>11</v>
      </c>
      <c r="G170" s="1">
        <v>12.77</v>
      </c>
      <c r="H170" s="1">
        <v>21.51</v>
      </c>
      <c r="I170" s="78">
        <v>41117.613888888889</v>
      </c>
      <c r="J170" s="1">
        <v>15.07</v>
      </c>
      <c r="K170" s="1">
        <v>22.59</v>
      </c>
      <c r="L170" s="78">
        <v>41117.606944444444</v>
      </c>
      <c r="M170" s="1">
        <v>4.867</v>
      </c>
      <c r="N170" s="78">
        <v>41117.161111111112</v>
      </c>
      <c r="O170" s="1">
        <v>99.8</v>
      </c>
      <c r="P170" s="78">
        <v>41117.172222222223</v>
      </c>
      <c r="Q170" s="1">
        <v>88.6</v>
      </c>
      <c r="R170" s="78">
        <v>41117.459722222222</v>
      </c>
      <c r="S170" s="98">
        <v>2100.0790000000002</v>
      </c>
    </row>
    <row r="171" spans="1:19" x14ac:dyDescent="0.25">
      <c r="A171" s="1">
        <v>2012</v>
      </c>
      <c r="B171" s="77">
        <v>41121</v>
      </c>
      <c r="C171" s="1" t="s">
        <v>6</v>
      </c>
      <c r="D171" s="1" t="s">
        <v>7</v>
      </c>
      <c r="E171" s="1" t="s">
        <v>10</v>
      </c>
      <c r="F171" s="1" t="s">
        <v>11</v>
      </c>
      <c r="G171" s="1">
        <v>12.77</v>
      </c>
      <c r="H171" s="1">
        <v>21.62</v>
      </c>
      <c r="I171" s="78">
        <v>41120.724999999999</v>
      </c>
      <c r="J171" s="1">
        <v>14.82</v>
      </c>
      <c r="K171" s="1">
        <v>22.8</v>
      </c>
      <c r="L171" s="78">
        <v>41120.602083333331</v>
      </c>
      <c r="M171" s="1">
        <v>6.5670000000000002</v>
      </c>
      <c r="N171" s="78">
        <v>41120.197916666664</v>
      </c>
      <c r="O171" s="1">
        <v>99.6</v>
      </c>
      <c r="P171" s="78">
        <v>41120.261111111111</v>
      </c>
      <c r="Q171" s="1">
        <v>599.9</v>
      </c>
      <c r="R171" s="78">
        <v>41120.461805555555</v>
      </c>
      <c r="S171" s="98">
        <v>2263.4699999999998</v>
      </c>
    </row>
    <row r="172" spans="1:19" x14ac:dyDescent="0.25">
      <c r="A172" s="1">
        <v>2012</v>
      </c>
      <c r="B172" s="77">
        <v>41117</v>
      </c>
      <c r="C172" s="1" t="s">
        <v>6</v>
      </c>
      <c r="D172" s="1" t="s">
        <v>7</v>
      </c>
      <c r="E172" s="1" t="s">
        <v>10</v>
      </c>
      <c r="F172" s="1" t="s">
        <v>11</v>
      </c>
      <c r="G172" s="1">
        <v>12.79</v>
      </c>
      <c r="H172" s="1">
        <v>23.67</v>
      </c>
      <c r="I172" s="78">
        <v>41116.627083333333</v>
      </c>
      <c r="J172" s="1">
        <v>15.2</v>
      </c>
      <c r="K172" s="1">
        <v>22.92</v>
      </c>
      <c r="L172" s="78">
        <v>41116.62222222222</v>
      </c>
      <c r="M172" s="1">
        <v>6.2949999999999999</v>
      </c>
      <c r="N172" s="78">
        <v>41116.175000000003</v>
      </c>
      <c r="O172" s="1">
        <v>94.4</v>
      </c>
      <c r="P172" s="78">
        <v>41116.186805555553</v>
      </c>
      <c r="Q172" s="1">
        <v>269.7</v>
      </c>
      <c r="R172" s="78">
        <v>41116.505555555559</v>
      </c>
      <c r="S172" s="98">
        <v>2443.453</v>
      </c>
    </row>
    <row r="173" spans="1:19" x14ac:dyDescent="0.25">
      <c r="A173" s="1">
        <v>2012</v>
      </c>
      <c r="B173" s="77">
        <v>41093</v>
      </c>
      <c r="C173" s="1" t="s">
        <v>6</v>
      </c>
      <c r="D173" s="1" t="s">
        <v>8</v>
      </c>
      <c r="E173" s="1" t="s">
        <v>10</v>
      </c>
      <c r="F173" s="1" t="s">
        <v>11</v>
      </c>
      <c r="G173" s="1">
        <v>12.79</v>
      </c>
      <c r="H173" s="1">
        <v>24.16</v>
      </c>
      <c r="I173" s="78">
        <v>41092.538888888892</v>
      </c>
      <c r="J173" s="1">
        <v>15.65</v>
      </c>
      <c r="K173" s="1">
        <v>22.98</v>
      </c>
      <c r="L173" s="78">
        <v>41092.536805555559</v>
      </c>
      <c r="M173" s="1">
        <v>6.7670000000000003</v>
      </c>
      <c r="N173" s="78">
        <v>41092.163194444445</v>
      </c>
      <c r="O173" s="1" t="e">
        <v>#N/A</v>
      </c>
      <c r="P173" s="1" t="e">
        <v>#N/A</v>
      </c>
      <c r="Q173" s="1">
        <v>612</v>
      </c>
      <c r="R173" s="78">
        <v>41092.450694444444</v>
      </c>
      <c r="S173" s="98">
        <v>3446.7629999999999</v>
      </c>
    </row>
    <row r="174" spans="1:19" x14ac:dyDescent="0.25">
      <c r="A174" s="1">
        <v>2012</v>
      </c>
      <c r="B174" s="77">
        <v>41100</v>
      </c>
      <c r="C174" s="1" t="s">
        <v>6</v>
      </c>
      <c r="D174" s="1" t="s">
        <v>8</v>
      </c>
      <c r="E174" s="1" t="s">
        <v>10</v>
      </c>
      <c r="F174" s="1" t="s">
        <v>11</v>
      </c>
      <c r="G174" s="1">
        <v>12.64</v>
      </c>
      <c r="H174" s="1">
        <v>24.51</v>
      </c>
      <c r="I174" s="78">
        <v>41099.649305555555</v>
      </c>
      <c r="J174" s="1">
        <v>13.78</v>
      </c>
      <c r="K174" s="1">
        <v>23.12</v>
      </c>
      <c r="L174" s="78">
        <v>41099.626388888886</v>
      </c>
      <c r="M174" s="1">
        <v>4.5049999999999999</v>
      </c>
      <c r="N174" s="78">
        <v>41099.183333333334</v>
      </c>
      <c r="O174" s="1" t="e">
        <v>#N/A</v>
      </c>
      <c r="P174" s="1" t="e">
        <v>#N/A</v>
      </c>
      <c r="Q174" s="1">
        <v>1125</v>
      </c>
      <c r="R174" s="78">
        <v>41099.679861111108</v>
      </c>
      <c r="S174" s="98">
        <v>4565.2460000000001</v>
      </c>
    </row>
    <row r="175" spans="1:19" x14ac:dyDescent="0.25">
      <c r="A175" s="1">
        <v>2012</v>
      </c>
      <c r="B175" s="77">
        <v>41120</v>
      </c>
      <c r="C175" s="1" t="s">
        <v>6</v>
      </c>
      <c r="D175" s="1" t="s">
        <v>8</v>
      </c>
      <c r="E175" s="1" t="s">
        <v>9</v>
      </c>
      <c r="F175" s="1" t="s">
        <v>9</v>
      </c>
      <c r="G175" s="1">
        <v>12.71</v>
      </c>
      <c r="H175" s="1">
        <v>24.54</v>
      </c>
      <c r="I175" s="78">
        <v>41119.560416666667</v>
      </c>
      <c r="J175" s="1">
        <v>17.899999999999999</v>
      </c>
      <c r="K175" s="1">
        <v>23.13</v>
      </c>
      <c r="L175" s="78">
        <v>41119.556944444441</v>
      </c>
      <c r="M175" s="1">
        <v>11.08</v>
      </c>
      <c r="N175" s="78">
        <v>41119.070138888892</v>
      </c>
      <c r="O175" s="1" t="e">
        <v>#N/A</v>
      </c>
      <c r="P175" s="1" t="e">
        <v>#N/A</v>
      </c>
      <c r="Q175" s="1">
        <v>1561</v>
      </c>
      <c r="R175" s="78">
        <v>41119.597916666666</v>
      </c>
      <c r="S175" s="98">
        <v>34254.660000000003</v>
      </c>
    </row>
    <row r="176" spans="1:19" x14ac:dyDescent="0.25">
      <c r="A176" s="1">
        <v>2012</v>
      </c>
      <c r="B176" s="77">
        <v>41118</v>
      </c>
      <c r="C176" s="1" t="s">
        <v>6</v>
      </c>
      <c r="D176" s="1" t="s">
        <v>8</v>
      </c>
      <c r="E176" s="1" t="s">
        <v>10</v>
      </c>
      <c r="F176" s="1" t="s">
        <v>11</v>
      </c>
      <c r="G176" s="1">
        <v>12.65</v>
      </c>
      <c r="H176" s="1">
        <v>21.64</v>
      </c>
      <c r="I176" s="78">
        <v>41117.631944444445</v>
      </c>
      <c r="J176" s="1">
        <v>14.94</v>
      </c>
      <c r="K176" s="1">
        <v>23.14</v>
      </c>
      <c r="L176" s="78">
        <v>41117.611111111109</v>
      </c>
      <c r="M176" s="1">
        <v>4.49</v>
      </c>
      <c r="N176" s="78">
        <v>41117.17291666667</v>
      </c>
      <c r="O176" s="1" t="e">
        <v>#N/A</v>
      </c>
      <c r="P176" s="1" t="e">
        <v>#N/A</v>
      </c>
      <c r="Q176" s="1">
        <v>845</v>
      </c>
      <c r="R176" s="78">
        <v>41117.627083333333</v>
      </c>
      <c r="S176" s="98">
        <v>3637.62</v>
      </c>
    </row>
    <row r="177" spans="1:19" x14ac:dyDescent="0.25">
      <c r="A177" s="1">
        <v>2012</v>
      </c>
      <c r="B177" s="77">
        <v>41117</v>
      </c>
      <c r="C177" s="1" t="s">
        <v>6</v>
      </c>
      <c r="D177" s="1" t="s">
        <v>8</v>
      </c>
      <c r="E177" s="1" t="s">
        <v>10</v>
      </c>
      <c r="F177" s="1" t="s">
        <v>11</v>
      </c>
      <c r="G177" s="1">
        <v>12.66</v>
      </c>
      <c r="H177" s="1">
        <v>24.48</v>
      </c>
      <c r="I177" s="78">
        <v>41116.62777777778</v>
      </c>
      <c r="J177" s="1">
        <v>15.32</v>
      </c>
      <c r="K177" s="1">
        <v>23.86</v>
      </c>
      <c r="L177" s="78">
        <v>41116.623611111114</v>
      </c>
      <c r="M177" s="1">
        <v>6.0640000000000001</v>
      </c>
      <c r="N177" s="78">
        <v>41116.177083333336</v>
      </c>
      <c r="O177" s="1" t="e">
        <v>#N/A</v>
      </c>
      <c r="P177" s="1" t="e">
        <v>#N/A</v>
      </c>
      <c r="Q177" s="1">
        <v>771.3</v>
      </c>
      <c r="R177" s="78">
        <v>41116.623611111114</v>
      </c>
      <c r="S177" s="98">
        <v>5483.067</v>
      </c>
    </row>
    <row r="178" spans="1:19" x14ac:dyDescent="0.25">
      <c r="A178" s="1">
        <v>2012</v>
      </c>
      <c r="B178" s="77">
        <v>41117</v>
      </c>
      <c r="C178" s="1" t="s">
        <v>6</v>
      </c>
      <c r="D178" s="1" t="s">
        <v>7</v>
      </c>
      <c r="E178" s="1" t="s">
        <v>12</v>
      </c>
      <c r="F178" s="1" t="s">
        <v>11</v>
      </c>
      <c r="G178" s="1">
        <v>12.79</v>
      </c>
      <c r="H178" s="1">
        <v>23.67</v>
      </c>
      <c r="I178" s="78">
        <v>41116.627083333333</v>
      </c>
      <c r="J178" s="1">
        <v>15.2</v>
      </c>
      <c r="K178" s="1">
        <v>23.9</v>
      </c>
      <c r="L178" s="78">
        <v>41116.625694444447</v>
      </c>
      <c r="M178" s="1">
        <v>5.9550000000000001</v>
      </c>
      <c r="N178" s="78">
        <v>41116.177777777775</v>
      </c>
      <c r="O178" s="1">
        <v>95.7</v>
      </c>
      <c r="P178" s="78">
        <v>41116.29583333333</v>
      </c>
      <c r="Q178" s="1">
        <v>21.96</v>
      </c>
      <c r="R178" s="78">
        <v>41116.6</v>
      </c>
      <c r="S178" s="98">
        <v>321.47559999999999</v>
      </c>
    </row>
    <row r="179" spans="1:19" x14ac:dyDescent="0.25">
      <c r="A179" s="1">
        <v>2012</v>
      </c>
      <c r="B179" s="77">
        <v>41103</v>
      </c>
      <c r="C179" s="1" t="s">
        <v>6</v>
      </c>
      <c r="D179" s="1" t="s">
        <v>8</v>
      </c>
      <c r="E179" s="1" t="s">
        <v>10</v>
      </c>
      <c r="F179" s="1" t="s">
        <v>11</v>
      </c>
      <c r="G179" s="1">
        <v>12.45</v>
      </c>
      <c r="H179" s="1">
        <v>24.42</v>
      </c>
      <c r="I179" s="78">
        <v>41102.634027777778</v>
      </c>
      <c r="J179" s="1">
        <v>16.87</v>
      </c>
      <c r="K179" s="1">
        <v>24.04</v>
      </c>
      <c r="L179" s="78">
        <v>41102.695138888892</v>
      </c>
      <c r="M179" s="1">
        <v>10.19</v>
      </c>
      <c r="N179" s="78">
        <v>41102.164583333331</v>
      </c>
      <c r="O179" s="1" t="e">
        <v>#N/A</v>
      </c>
      <c r="P179" s="1" t="e">
        <v>#N/A</v>
      </c>
      <c r="Q179" s="1">
        <v>776.8</v>
      </c>
      <c r="R179" s="78">
        <v>41102.69027777778</v>
      </c>
      <c r="S179" s="98">
        <v>3313.4679999999998</v>
      </c>
    </row>
    <row r="180" spans="1:19" x14ac:dyDescent="0.25">
      <c r="A180" s="1">
        <v>2012</v>
      </c>
      <c r="B180" s="77">
        <v>41114</v>
      </c>
      <c r="C180" s="1" t="s">
        <v>6</v>
      </c>
      <c r="D180" s="1" t="s">
        <v>7</v>
      </c>
      <c r="E180" s="1" t="s">
        <v>10</v>
      </c>
      <c r="F180" s="1" t="s">
        <v>11</v>
      </c>
      <c r="G180" s="1">
        <v>12.81</v>
      </c>
      <c r="H180" s="1">
        <v>24.13</v>
      </c>
      <c r="I180" s="78">
        <v>41113.629861111112</v>
      </c>
      <c r="J180" s="1">
        <v>15.18</v>
      </c>
      <c r="K180" s="1">
        <v>24.08</v>
      </c>
      <c r="L180" s="78">
        <v>41113.599999999999</v>
      </c>
      <c r="M180" s="1">
        <v>4.7990000000000004</v>
      </c>
      <c r="N180" s="78">
        <v>41113.124305555553</v>
      </c>
      <c r="O180" s="1">
        <v>100</v>
      </c>
      <c r="P180" s="78">
        <v>41113.129166666666</v>
      </c>
      <c r="Q180" s="1">
        <v>96.5</v>
      </c>
      <c r="R180" s="78">
        <v>41113.481249999997</v>
      </c>
      <c r="S180" s="98">
        <v>2592.2910000000002</v>
      </c>
    </row>
    <row r="181" spans="1:19" x14ac:dyDescent="0.25">
      <c r="A181" s="1">
        <v>2012</v>
      </c>
      <c r="B181" s="77">
        <v>41120</v>
      </c>
      <c r="C181" s="1" t="s">
        <v>6</v>
      </c>
      <c r="D181" s="1" t="s">
        <v>7</v>
      </c>
      <c r="E181" s="1" t="s">
        <v>10</v>
      </c>
      <c r="F181" s="1" t="s">
        <v>11</v>
      </c>
      <c r="G181" s="1">
        <v>12.82</v>
      </c>
      <c r="H181" s="1">
        <v>23.9</v>
      </c>
      <c r="I181" s="78">
        <v>41119.627083333333</v>
      </c>
      <c r="J181" s="1">
        <v>17.739999999999998</v>
      </c>
      <c r="K181" s="1">
        <v>24.38</v>
      </c>
      <c r="L181" s="78">
        <v>41119.559027777781</v>
      </c>
      <c r="M181" s="1">
        <v>11.43</v>
      </c>
      <c r="N181" s="78">
        <v>41119.070138888892</v>
      </c>
      <c r="O181" s="1">
        <v>79.55</v>
      </c>
      <c r="P181" s="78">
        <v>41119.991666666669</v>
      </c>
      <c r="Q181" s="1">
        <v>606.4</v>
      </c>
      <c r="R181" s="78">
        <v>41119.461805555555</v>
      </c>
      <c r="S181" s="98">
        <v>2241.5369999999998</v>
      </c>
    </row>
    <row r="182" spans="1:19" x14ac:dyDescent="0.25">
      <c r="A182" s="1">
        <v>2012</v>
      </c>
      <c r="B182" s="77">
        <v>41121</v>
      </c>
      <c r="C182" s="1" t="s">
        <v>6</v>
      </c>
      <c r="D182" s="1" t="s">
        <v>8</v>
      </c>
      <c r="E182" s="1" t="s">
        <v>10</v>
      </c>
      <c r="F182" s="1" t="s">
        <v>11</v>
      </c>
      <c r="G182" s="1">
        <v>12.65</v>
      </c>
      <c r="H182" s="1">
        <v>22.53</v>
      </c>
      <c r="I182" s="78">
        <v>41120.71875</v>
      </c>
      <c r="J182" s="1">
        <v>14.82</v>
      </c>
      <c r="K182" s="1">
        <v>24.49</v>
      </c>
      <c r="L182" s="78">
        <v>41120.717361111114</v>
      </c>
      <c r="M182" s="1">
        <v>6.74</v>
      </c>
      <c r="N182" s="78">
        <v>41120.231249999997</v>
      </c>
      <c r="O182" s="1" t="e">
        <v>#N/A</v>
      </c>
      <c r="P182" s="1" t="e">
        <v>#N/A</v>
      </c>
      <c r="Q182" s="1">
        <v>908</v>
      </c>
      <c r="R182" s="78">
        <v>41120.555555555555</v>
      </c>
      <c r="S182" s="98">
        <v>4308.808</v>
      </c>
    </row>
    <row r="183" spans="1:19" x14ac:dyDescent="0.25">
      <c r="A183" s="1">
        <v>2012</v>
      </c>
      <c r="B183" s="77">
        <v>41095</v>
      </c>
      <c r="C183" s="1" t="s">
        <v>6</v>
      </c>
      <c r="D183" s="1" t="s">
        <v>7</v>
      </c>
      <c r="E183" s="1" t="s">
        <v>12</v>
      </c>
      <c r="F183" s="1" t="s">
        <v>11</v>
      </c>
      <c r="G183" s="1">
        <v>12.89</v>
      </c>
      <c r="H183" s="1">
        <v>24.54</v>
      </c>
      <c r="I183" s="78">
        <v>41094.646527777775</v>
      </c>
      <c r="J183" s="1">
        <v>17.21</v>
      </c>
      <c r="K183" s="1">
        <v>24.62</v>
      </c>
      <c r="L183" s="78">
        <v>41094.613194444442</v>
      </c>
      <c r="M183" s="1" t="e">
        <v>#N/A</v>
      </c>
      <c r="N183" s="1" t="e">
        <v>#N/A</v>
      </c>
      <c r="O183" s="1" t="e">
        <v>#N/A</v>
      </c>
      <c r="P183" s="1" t="e">
        <v>#N/A</v>
      </c>
      <c r="Q183" s="1">
        <v>248.9</v>
      </c>
      <c r="R183" s="78">
        <v>41094.536111111112</v>
      </c>
      <c r="S183" s="98">
        <v>2688.8110000000001</v>
      </c>
    </row>
    <row r="184" spans="1:19" x14ac:dyDescent="0.25">
      <c r="A184" s="1">
        <v>2012</v>
      </c>
      <c r="B184" s="77">
        <v>41114</v>
      </c>
      <c r="C184" s="1" t="s">
        <v>6</v>
      </c>
      <c r="D184" s="1" t="s">
        <v>7</v>
      </c>
      <c r="E184" s="1" t="s">
        <v>12</v>
      </c>
      <c r="F184" s="1" t="s">
        <v>11</v>
      </c>
      <c r="G184" s="1">
        <v>12.81</v>
      </c>
      <c r="H184" s="1">
        <v>24.13</v>
      </c>
      <c r="I184" s="78">
        <v>41113.629861111112</v>
      </c>
      <c r="J184" s="1">
        <v>15.18</v>
      </c>
      <c r="K184" s="1">
        <v>24.88</v>
      </c>
      <c r="L184" s="78">
        <v>41113.658333333333</v>
      </c>
      <c r="M184" s="1">
        <v>5.0030000000000001</v>
      </c>
      <c r="N184" s="78">
        <v>41113.127083333333</v>
      </c>
      <c r="O184" s="1">
        <v>96.2</v>
      </c>
      <c r="P184" s="78">
        <v>41113.152777777781</v>
      </c>
      <c r="Q184" s="1">
        <v>495.8</v>
      </c>
      <c r="R184" s="78">
        <v>41113.597916666666</v>
      </c>
      <c r="S184" s="98">
        <v>873.24480000000005</v>
      </c>
    </row>
    <row r="185" spans="1:19" x14ac:dyDescent="0.25">
      <c r="A185" s="1">
        <v>2012</v>
      </c>
      <c r="B185" s="77">
        <v>41120</v>
      </c>
      <c r="C185" s="1" t="s">
        <v>6</v>
      </c>
      <c r="D185" s="1" t="s">
        <v>7</v>
      </c>
      <c r="E185" s="1" t="s">
        <v>12</v>
      </c>
      <c r="F185" s="1" t="s">
        <v>11</v>
      </c>
      <c r="G185" s="1">
        <v>12.82</v>
      </c>
      <c r="H185" s="1">
        <v>23.9</v>
      </c>
      <c r="I185" s="78">
        <v>41119.627083333333</v>
      </c>
      <c r="J185" s="1">
        <v>17.739999999999998</v>
      </c>
      <c r="K185" s="1">
        <v>24.89</v>
      </c>
      <c r="L185" s="78">
        <v>41119.559027777781</v>
      </c>
      <c r="M185" s="1">
        <v>10.45</v>
      </c>
      <c r="N185" s="78">
        <v>41119.068055555559</v>
      </c>
      <c r="O185" s="1">
        <v>83.7</v>
      </c>
      <c r="P185" s="78">
        <v>41119.074305555558</v>
      </c>
      <c r="Q185" s="1">
        <v>104.5</v>
      </c>
      <c r="R185" s="78">
        <v>41119.604861111111</v>
      </c>
      <c r="S185" s="98">
        <v>269.9042</v>
      </c>
    </row>
    <row r="186" spans="1:19" x14ac:dyDescent="0.25">
      <c r="A186" s="1">
        <v>2012</v>
      </c>
      <c r="B186" s="77">
        <v>41095</v>
      </c>
      <c r="C186" s="1" t="s">
        <v>6</v>
      </c>
      <c r="D186" s="1" t="s">
        <v>8</v>
      </c>
      <c r="E186" s="1" t="s">
        <v>10</v>
      </c>
      <c r="F186" s="1" t="s">
        <v>11</v>
      </c>
      <c r="G186" s="1">
        <v>12.75</v>
      </c>
      <c r="H186" s="1">
        <v>25.25</v>
      </c>
      <c r="I186" s="78">
        <v>41094.662499999999</v>
      </c>
      <c r="J186" s="1">
        <v>17.41</v>
      </c>
      <c r="K186" s="1">
        <v>25.25</v>
      </c>
      <c r="L186" s="78">
        <v>41094.644444444442</v>
      </c>
      <c r="M186" s="1">
        <v>9.85</v>
      </c>
      <c r="N186" s="78">
        <v>41094.155555555553</v>
      </c>
      <c r="O186" s="1" t="e">
        <v>#N/A</v>
      </c>
      <c r="P186" s="1" t="e">
        <v>#N/A</v>
      </c>
      <c r="Q186" s="1">
        <v>1105</v>
      </c>
      <c r="R186" s="78">
        <v>41094.690972222219</v>
      </c>
      <c r="S186" s="98">
        <v>4744.9780000000001</v>
      </c>
    </row>
    <row r="187" spans="1:19" x14ac:dyDescent="0.25">
      <c r="A187" s="1">
        <v>2012</v>
      </c>
      <c r="B187" s="77">
        <v>41120</v>
      </c>
      <c r="C187" s="1" t="s">
        <v>6</v>
      </c>
      <c r="D187" s="1" t="s">
        <v>8</v>
      </c>
      <c r="E187" s="1" t="s">
        <v>10</v>
      </c>
      <c r="F187" s="1" t="s">
        <v>11</v>
      </c>
      <c r="G187" s="1">
        <v>12.71</v>
      </c>
      <c r="H187" s="1">
        <v>24.54</v>
      </c>
      <c r="I187" s="78">
        <v>41119.560416666667</v>
      </c>
      <c r="J187" s="1">
        <v>17.899999999999999</v>
      </c>
      <c r="K187" s="1">
        <v>25.96</v>
      </c>
      <c r="L187" s="78">
        <v>41119.558333333334</v>
      </c>
      <c r="M187" s="1">
        <v>10.220000000000001</v>
      </c>
      <c r="N187" s="78">
        <v>41119.071527777778</v>
      </c>
      <c r="O187" s="1" t="e">
        <v>#N/A</v>
      </c>
      <c r="P187" s="1" t="e">
        <v>#N/A</v>
      </c>
      <c r="Q187" s="1">
        <v>1025</v>
      </c>
      <c r="R187" s="78">
        <v>41119.531944444447</v>
      </c>
      <c r="S187" s="98">
        <v>5579.9380000000001</v>
      </c>
    </row>
    <row r="188" spans="1:19" x14ac:dyDescent="0.25">
      <c r="A188" s="1">
        <v>2012</v>
      </c>
      <c r="B188" s="77">
        <v>41114</v>
      </c>
      <c r="C188" s="1" t="s">
        <v>6</v>
      </c>
      <c r="D188" s="1" t="s">
        <v>8</v>
      </c>
      <c r="E188" s="1" t="s">
        <v>10</v>
      </c>
      <c r="F188" s="1" t="s">
        <v>11</v>
      </c>
      <c r="G188" s="1">
        <v>12.68</v>
      </c>
      <c r="H188" s="1">
        <v>24.98</v>
      </c>
      <c r="I188" s="78">
        <v>41113.674305555556</v>
      </c>
      <c r="J188" s="1">
        <v>15.06</v>
      </c>
      <c r="K188" s="1">
        <v>26.71</v>
      </c>
      <c r="L188" s="78">
        <v>41113.675000000003</v>
      </c>
      <c r="M188" s="1">
        <v>5.5140000000000002</v>
      </c>
      <c r="N188" s="78">
        <v>41113.095833333333</v>
      </c>
      <c r="O188" s="1" t="e">
        <v>#N/A</v>
      </c>
      <c r="P188" s="1" t="e">
        <v>#N/A</v>
      </c>
      <c r="Q188" s="1">
        <v>720.3</v>
      </c>
      <c r="R188" s="78">
        <v>41113.476388888892</v>
      </c>
      <c r="S188" s="98">
        <v>4610.7049999999999</v>
      </c>
    </row>
    <row r="189" spans="1:19" x14ac:dyDescent="0.25">
      <c r="A189" s="1">
        <v>2012</v>
      </c>
      <c r="B189" s="77">
        <v>41087</v>
      </c>
      <c r="C189" s="1" t="s">
        <v>6</v>
      </c>
      <c r="D189" s="1" t="s">
        <v>7</v>
      </c>
      <c r="E189" s="1" t="s">
        <v>12</v>
      </c>
      <c r="F189" s="1" t="s">
        <v>11</v>
      </c>
      <c r="G189" s="1">
        <v>12.97</v>
      </c>
      <c r="H189" s="1">
        <v>14.54</v>
      </c>
      <c r="I189" s="78">
        <v>41086.755555555559</v>
      </c>
      <c r="J189" s="1">
        <v>12.73</v>
      </c>
      <c r="K189" s="1">
        <v>28.31</v>
      </c>
      <c r="L189" s="78">
        <v>41086.705555555556</v>
      </c>
      <c r="M189" s="1" t="e">
        <v>#N/A</v>
      </c>
      <c r="N189" s="1" t="e">
        <v>#N/A</v>
      </c>
      <c r="O189" s="1" t="e">
        <v>#N/A</v>
      </c>
      <c r="P189" s="1" t="e">
        <v>#N/A</v>
      </c>
      <c r="Q189" s="1">
        <v>61.96</v>
      </c>
      <c r="R189" s="78">
        <v>41086.719444444447</v>
      </c>
      <c r="S189" s="98">
        <v>514.70809999999994</v>
      </c>
    </row>
    <row r="190" spans="1:19" x14ac:dyDescent="0.25">
      <c r="A190" s="1">
        <v>2012</v>
      </c>
      <c r="B190" s="77">
        <v>41087</v>
      </c>
      <c r="C190" s="1" t="s">
        <v>6</v>
      </c>
      <c r="D190" s="1" t="s">
        <v>7</v>
      </c>
      <c r="E190" s="1" t="s">
        <v>12</v>
      </c>
      <c r="F190" s="1" t="s">
        <v>13</v>
      </c>
      <c r="G190" s="1">
        <v>12.97</v>
      </c>
      <c r="H190" s="1">
        <v>14.54</v>
      </c>
      <c r="I190" s="78">
        <v>41086.755555555559</v>
      </c>
      <c r="J190" s="1">
        <v>12.73</v>
      </c>
      <c r="K190" s="1" t="e">
        <v>#N/A</v>
      </c>
      <c r="L190" s="1" t="e">
        <v>#N/A</v>
      </c>
      <c r="M190" s="1" t="e">
        <v>#N/A</v>
      </c>
      <c r="N190" s="1" t="e">
        <v>#N/A</v>
      </c>
      <c r="O190" s="1" t="e">
        <v>#N/A</v>
      </c>
      <c r="P190" s="1" t="e">
        <v>#N/A</v>
      </c>
      <c r="Q190" s="1" t="e">
        <v>#N/A</v>
      </c>
      <c r="R190" s="1" t="e">
        <v>#N/A</v>
      </c>
      <c r="S190" s="98">
        <v>539.73220000000003</v>
      </c>
    </row>
    <row r="191" spans="1:19" x14ac:dyDescent="0.25">
      <c r="A191" s="1">
        <v>2012</v>
      </c>
      <c r="B191" s="77">
        <v>41087</v>
      </c>
      <c r="C191" s="1" t="s">
        <v>6</v>
      </c>
      <c r="D191" s="1" t="s">
        <v>7</v>
      </c>
      <c r="E191" s="1" t="s">
        <v>10</v>
      </c>
      <c r="F191" s="1" t="s">
        <v>13</v>
      </c>
      <c r="G191" s="1">
        <v>12.97</v>
      </c>
      <c r="H191" s="1">
        <v>14.54</v>
      </c>
      <c r="I191" s="78">
        <v>41086.755555555559</v>
      </c>
      <c r="J191" s="1">
        <v>12.73</v>
      </c>
      <c r="K191" s="1" t="e">
        <v>#N/A</v>
      </c>
      <c r="L191" s="1" t="e">
        <v>#N/A</v>
      </c>
      <c r="M191" s="1" t="e">
        <v>#N/A</v>
      </c>
      <c r="N191" s="1" t="e">
        <v>#N/A</v>
      </c>
      <c r="O191" s="1" t="e">
        <v>#N/A</v>
      </c>
      <c r="P191" s="1" t="e">
        <v>#N/A</v>
      </c>
      <c r="Q191" s="1" t="e">
        <v>#N/A</v>
      </c>
      <c r="R191" s="1" t="e">
        <v>#N/A</v>
      </c>
      <c r="S191" s="98">
        <v>1182.2360000000001</v>
      </c>
    </row>
    <row r="192" spans="1:19" x14ac:dyDescent="0.25">
      <c r="A192" s="1">
        <v>2012</v>
      </c>
      <c r="B192" s="77">
        <v>41088</v>
      </c>
      <c r="C192" s="1" t="s">
        <v>6</v>
      </c>
      <c r="D192" s="1" t="s">
        <v>7</v>
      </c>
      <c r="E192" s="1" t="s">
        <v>12</v>
      </c>
      <c r="F192" s="1" t="s">
        <v>13</v>
      </c>
      <c r="G192" s="1">
        <v>12.84</v>
      </c>
      <c r="H192" s="1">
        <v>17.14</v>
      </c>
      <c r="I192" s="78">
        <v>41087.710416666669</v>
      </c>
      <c r="J192" s="1">
        <v>12.11</v>
      </c>
      <c r="K192" s="1" t="e">
        <v>#N/A</v>
      </c>
      <c r="L192" s="1" t="e">
        <v>#N/A</v>
      </c>
      <c r="M192" s="1" t="e">
        <v>#N/A</v>
      </c>
      <c r="N192" s="1" t="e">
        <v>#N/A</v>
      </c>
      <c r="O192" s="1" t="e">
        <v>#N/A</v>
      </c>
      <c r="P192" s="1" t="e">
        <v>#N/A</v>
      </c>
      <c r="Q192" s="1" t="e">
        <v>#N/A</v>
      </c>
      <c r="R192" s="1" t="e">
        <v>#N/A</v>
      </c>
      <c r="S192" s="98">
        <v>2706.9870000000001</v>
      </c>
    </row>
    <row r="193" spans="1:19" x14ac:dyDescent="0.25">
      <c r="A193" s="1">
        <v>2012</v>
      </c>
      <c r="B193" s="77">
        <v>41088</v>
      </c>
      <c r="C193" s="1" t="s">
        <v>6</v>
      </c>
      <c r="D193" s="1" t="s">
        <v>7</v>
      </c>
      <c r="E193" s="1" t="s">
        <v>10</v>
      </c>
      <c r="F193" s="1" t="s">
        <v>13</v>
      </c>
      <c r="G193" s="1">
        <v>12.84</v>
      </c>
      <c r="H193" s="1">
        <v>17.14</v>
      </c>
      <c r="I193" s="78">
        <v>41087.710416666669</v>
      </c>
      <c r="J193" s="1">
        <v>12.11</v>
      </c>
      <c r="K193" s="1" t="e">
        <v>#N/A</v>
      </c>
      <c r="L193" s="1" t="e">
        <v>#N/A</v>
      </c>
      <c r="M193" s="1" t="e">
        <v>#N/A</v>
      </c>
      <c r="N193" s="1" t="e">
        <v>#N/A</v>
      </c>
      <c r="O193" s="1" t="e">
        <v>#N/A</v>
      </c>
      <c r="P193" s="1" t="e">
        <v>#N/A</v>
      </c>
      <c r="Q193" s="1" t="e">
        <v>#N/A</v>
      </c>
      <c r="R193" s="1" t="e">
        <v>#N/A</v>
      </c>
      <c r="S193" s="98">
        <v>6440.8040000000001</v>
      </c>
    </row>
    <row r="194" spans="1:19" x14ac:dyDescent="0.25">
      <c r="A194" s="1">
        <v>2012</v>
      </c>
      <c r="B194" s="77">
        <v>41089</v>
      </c>
      <c r="C194" s="1" t="s">
        <v>6</v>
      </c>
      <c r="D194" s="1" t="s">
        <v>7</v>
      </c>
      <c r="E194" s="1" t="s">
        <v>12</v>
      </c>
      <c r="F194" s="1" t="s">
        <v>13</v>
      </c>
      <c r="G194" s="1">
        <v>12.88</v>
      </c>
      <c r="H194" s="1">
        <v>13.47</v>
      </c>
      <c r="I194" s="78">
        <v>41088.655555555553</v>
      </c>
      <c r="J194" s="1">
        <v>10.95</v>
      </c>
      <c r="K194" s="1" t="e">
        <v>#N/A</v>
      </c>
      <c r="L194" s="1" t="e">
        <v>#N/A</v>
      </c>
      <c r="M194" s="1" t="e">
        <v>#N/A</v>
      </c>
      <c r="N194" s="1" t="e">
        <v>#N/A</v>
      </c>
      <c r="O194" s="1" t="e">
        <v>#N/A</v>
      </c>
      <c r="P194" s="1" t="e">
        <v>#N/A</v>
      </c>
      <c r="Q194" s="1" t="e">
        <v>#N/A</v>
      </c>
      <c r="R194" s="1" t="e">
        <v>#N/A</v>
      </c>
      <c r="S194" s="98">
        <v>1275.479</v>
      </c>
    </row>
    <row r="195" spans="1:19" x14ac:dyDescent="0.25">
      <c r="A195" s="1">
        <v>2012</v>
      </c>
      <c r="B195" s="77">
        <v>41089</v>
      </c>
      <c r="C195" s="1" t="s">
        <v>6</v>
      </c>
      <c r="D195" s="1" t="s">
        <v>7</v>
      </c>
      <c r="E195" s="1" t="s">
        <v>10</v>
      </c>
      <c r="F195" s="1" t="s">
        <v>13</v>
      </c>
      <c r="G195" s="1">
        <v>12.88</v>
      </c>
      <c r="H195" s="1">
        <v>13.47</v>
      </c>
      <c r="I195" s="78">
        <v>41088.655555555553</v>
      </c>
      <c r="J195" s="1">
        <v>10.95</v>
      </c>
      <c r="K195" s="1" t="e">
        <v>#N/A</v>
      </c>
      <c r="L195" s="1" t="e">
        <v>#N/A</v>
      </c>
      <c r="M195" s="1" t="e">
        <v>#N/A</v>
      </c>
      <c r="N195" s="1" t="e">
        <v>#N/A</v>
      </c>
      <c r="O195" s="1" t="e">
        <v>#N/A</v>
      </c>
      <c r="P195" s="1" t="e">
        <v>#N/A</v>
      </c>
      <c r="Q195" s="1" t="e">
        <v>#N/A</v>
      </c>
      <c r="R195" s="1" t="e">
        <v>#N/A</v>
      </c>
      <c r="S195" s="98">
        <v>2870.5990000000002</v>
      </c>
    </row>
    <row r="196" spans="1:19" x14ac:dyDescent="0.25">
      <c r="A196" s="1">
        <v>2012</v>
      </c>
      <c r="B196" s="77">
        <v>41090</v>
      </c>
      <c r="C196" s="1" t="s">
        <v>6</v>
      </c>
      <c r="D196" s="1" t="s">
        <v>7</v>
      </c>
      <c r="E196" s="1" t="s">
        <v>12</v>
      </c>
      <c r="F196" s="1" t="s">
        <v>13</v>
      </c>
      <c r="G196" s="1">
        <v>12.85</v>
      </c>
      <c r="H196" s="1">
        <v>19.97</v>
      </c>
      <c r="I196" s="78">
        <v>41089.61041666667</v>
      </c>
      <c r="J196" s="1">
        <v>12.93</v>
      </c>
      <c r="K196" s="1" t="e">
        <v>#N/A</v>
      </c>
      <c r="L196" s="1" t="e">
        <v>#N/A</v>
      </c>
      <c r="M196" s="1" t="e">
        <v>#N/A</v>
      </c>
      <c r="N196" s="1" t="e">
        <v>#N/A</v>
      </c>
      <c r="O196" s="1" t="e">
        <v>#N/A</v>
      </c>
      <c r="P196" s="1" t="e">
        <v>#N/A</v>
      </c>
      <c r="Q196" s="1" t="e">
        <v>#N/A</v>
      </c>
      <c r="R196" s="1" t="e">
        <v>#N/A</v>
      </c>
      <c r="S196" s="98">
        <v>2756.3229999999999</v>
      </c>
    </row>
    <row r="197" spans="1:19" x14ac:dyDescent="0.25">
      <c r="A197" s="1">
        <v>2012</v>
      </c>
      <c r="B197" s="77">
        <v>41090</v>
      </c>
      <c r="C197" s="1" t="s">
        <v>6</v>
      </c>
      <c r="D197" s="1" t="s">
        <v>7</v>
      </c>
      <c r="E197" s="1" t="s">
        <v>10</v>
      </c>
      <c r="F197" s="1" t="s">
        <v>13</v>
      </c>
      <c r="G197" s="1">
        <v>12.85</v>
      </c>
      <c r="H197" s="1">
        <v>19.97</v>
      </c>
      <c r="I197" s="78">
        <v>41089.61041666667</v>
      </c>
      <c r="J197" s="1">
        <v>12.93</v>
      </c>
      <c r="K197" s="1" t="e">
        <v>#N/A</v>
      </c>
      <c r="L197" s="1" t="e">
        <v>#N/A</v>
      </c>
      <c r="M197" s="1" t="e">
        <v>#N/A</v>
      </c>
      <c r="N197" s="1" t="e">
        <v>#N/A</v>
      </c>
      <c r="O197" s="1" t="e">
        <v>#N/A</v>
      </c>
      <c r="P197" s="1" t="e">
        <v>#N/A</v>
      </c>
      <c r="Q197" s="1" t="e">
        <v>#N/A</v>
      </c>
      <c r="R197" s="1" t="e">
        <v>#N/A</v>
      </c>
      <c r="S197" s="98">
        <v>5479.5129999999999</v>
      </c>
    </row>
    <row r="198" spans="1:19" x14ac:dyDescent="0.25">
      <c r="A198" s="1">
        <v>2012</v>
      </c>
      <c r="B198" s="77">
        <v>41091</v>
      </c>
      <c r="C198" s="1" t="s">
        <v>6</v>
      </c>
      <c r="D198" s="1" t="s">
        <v>7</v>
      </c>
      <c r="E198" s="1" t="s">
        <v>12</v>
      </c>
      <c r="F198" s="1" t="s">
        <v>13</v>
      </c>
      <c r="G198" s="1">
        <v>12.81</v>
      </c>
      <c r="H198" s="1">
        <v>16.71</v>
      </c>
      <c r="I198" s="78">
        <v>41090.629166666666</v>
      </c>
      <c r="J198" s="1">
        <v>12.49</v>
      </c>
      <c r="K198" s="1" t="e">
        <v>#N/A</v>
      </c>
      <c r="L198" s="1" t="e">
        <v>#N/A</v>
      </c>
      <c r="M198" s="1" t="e">
        <v>#N/A</v>
      </c>
      <c r="N198" s="1" t="e">
        <v>#N/A</v>
      </c>
      <c r="O198" s="1" t="e">
        <v>#N/A</v>
      </c>
      <c r="P198" s="1" t="e">
        <v>#N/A</v>
      </c>
      <c r="Q198" s="1" t="e">
        <v>#N/A</v>
      </c>
      <c r="R198" s="1" t="e">
        <v>#N/A</v>
      </c>
      <c r="S198" s="98">
        <v>3365.0459999999998</v>
      </c>
    </row>
    <row r="199" spans="1:19" x14ac:dyDescent="0.25">
      <c r="A199" s="1">
        <v>2012</v>
      </c>
      <c r="B199" s="77">
        <v>41091</v>
      </c>
      <c r="C199" s="1" t="s">
        <v>6</v>
      </c>
      <c r="D199" s="1" t="s">
        <v>7</v>
      </c>
      <c r="E199" s="1" t="s">
        <v>10</v>
      </c>
      <c r="F199" s="1" t="s">
        <v>13</v>
      </c>
      <c r="G199" s="1">
        <v>12.81</v>
      </c>
      <c r="H199" s="1">
        <v>16.71</v>
      </c>
      <c r="I199" s="78">
        <v>41090.629166666666</v>
      </c>
      <c r="J199" s="1">
        <v>12.49</v>
      </c>
      <c r="K199" s="1" t="e">
        <v>#N/A</v>
      </c>
      <c r="L199" s="1" t="e">
        <v>#N/A</v>
      </c>
      <c r="M199" s="1" t="e">
        <v>#N/A</v>
      </c>
      <c r="N199" s="1" t="e">
        <v>#N/A</v>
      </c>
      <c r="O199" s="1" t="e">
        <v>#N/A</v>
      </c>
      <c r="P199" s="1" t="e">
        <v>#N/A</v>
      </c>
      <c r="Q199" s="1" t="e">
        <v>#N/A</v>
      </c>
      <c r="R199" s="1" t="e">
        <v>#N/A</v>
      </c>
      <c r="S199" s="98">
        <v>7496.4669999999996</v>
      </c>
    </row>
    <row r="200" spans="1:19" x14ac:dyDescent="0.25">
      <c r="A200" s="1">
        <v>2012</v>
      </c>
      <c r="B200" s="77">
        <v>41092</v>
      </c>
      <c r="C200" s="1" t="s">
        <v>6</v>
      </c>
      <c r="D200" s="1" t="s">
        <v>7</v>
      </c>
      <c r="E200" s="1" t="s">
        <v>12</v>
      </c>
      <c r="F200" s="1" t="s">
        <v>13</v>
      </c>
      <c r="G200" s="1">
        <v>12.85</v>
      </c>
      <c r="H200" s="1">
        <v>16.29</v>
      </c>
      <c r="I200" s="78">
        <v>41091.881249999999</v>
      </c>
      <c r="J200" s="1">
        <v>11.39</v>
      </c>
      <c r="K200" s="1" t="e">
        <v>#N/A</v>
      </c>
      <c r="L200" s="1" t="e">
        <v>#N/A</v>
      </c>
      <c r="M200" s="1" t="e">
        <v>#N/A</v>
      </c>
      <c r="N200" s="1" t="e">
        <v>#N/A</v>
      </c>
      <c r="O200" s="1" t="e">
        <v>#N/A</v>
      </c>
      <c r="P200" s="1" t="e">
        <v>#N/A</v>
      </c>
      <c r="Q200" s="1" t="e">
        <v>#N/A</v>
      </c>
      <c r="R200" s="1" t="e">
        <v>#N/A</v>
      </c>
      <c r="S200" s="98">
        <v>2073.75</v>
      </c>
    </row>
    <row r="201" spans="1:19" x14ac:dyDescent="0.25">
      <c r="A201" s="1">
        <v>2012</v>
      </c>
      <c r="B201" s="77">
        <v>41092</v>
      </c>
      <c r="C201" s="1" t="s">
        <v>6</v>
      </c>
      <c r="D201" s="1" t="s">
        <v>7</v>
      </c>
      <c r="E201" s="1" t="s">
        <v>10</v>
      </c>
      <c r="F201" s="1" t="s">
        <v>13</v>
      </c>
      <c r="G201" s="1">
        <v>12.85</v>
      </c>
      <c r="H201" s="1">
        <v>16.29</v>
      </c>
      <c r="I201" s="78">
        <v>41091.881249999999</v>
      </c>
      <c r="J201" s="1">
        <v>11.39</v>
      </c>
      <c r="K201" s="1" t="e">
        <v>#N/A</v>
      </c>
      <c r="L201" s="1" t="e">
        <v>#N/A</v>
      </c>
      <c r="M201" s="1" t="e">
        <v>#N/A</v>
      </c>
      <c r="N201" s="1" t="e">
        <v>#N/A</v>
      </c>
      <c r="O201" s="1" t="e">
        <v>#N/A</v>
      </c>
      <c r="P201" s="1" t="e">
        <v>#N/A</v>
      </c>
      <c r="Q201" s="1" t="e">
        <v>#N/A</v>
      </c>
      <c r="R201" s="1" t="e">
        <v>#N/A</v>
      </c>
      <c r="S201" s="98">
        <v>4446.8549999999996</v>
      </c>
    </row>
    <row r="202" spans="1:19" x14ac:dyDescent="0.25">
      <c r="A202" s="1">
        <v>2012</v>
      </c>
      <c r="B202" s="77">
        <v>41093</v>
      </c>
      <c r="C202" s="1" t="s">
        <v>6</v>
      </c>
      <c r="D202" s="1" t="s">
        <v>7</v>
      </c>
      <c r="E202" s="1" t="s">
        <v>12</v>
      </c>
      <c r="F202" s="1" t="s">
        <v>13</v>
      </c>
      <c r="G202" s="1">
        <v>12.96</v>
      </c>
      <c r="H202" s="1">
        <v>23.38</v>
      </c>
      <c r="I202" s="78">
        <v>41092.542361111111</v>
      </c>
      <c r="J202" s="1">
        <v>15.91</v>
      </c>
      <c r="K202" s="1" t="e">
        <v>#N/A</v>
      </c>
      <c r="L202" s="1" t="e">
        <v>#N/A</v>
      </c>
      <c r="M202" s="1" t="e">
        <v>#N/A</v>
      </c>
      <c r="N202" s="1" t="e">
        <v>#N/A</v>
      </c>
      <c r="O202" s="1" t="e">
        <v>#N/A</v>
      </c>
      <c r="P202" s="1" t="e">
        <v>#N/A</v>
      </c>
      <c r="Q202" s="1" t="e">
        <v>#N/A</v>
      </c>
      <c r="R202" s="1" t="e">
        <v>#N/A</v>
      </c>
      <c r="S202" s="98">
        <v>3165.317</v>
      </c>
    </row>
    <row r="203" spans="1:19" x14ac:dyDescent="0.25">
      <c r="A203" s="1">
        <v>2012</v>
      </c>
      <c r="B203" s="77">
        <v>41093</v>
      </c>
      <c r="C203" s="1" t="s">
        <v>6</v>
      </c>
      <c r="D203" s="1" t="s">
        <v>7</v>
      </c>
      <c r="E203" s="1" t="s">
        <v>10</v>
      </c>
      <c r="F203" s="1" t="s">
        <v>13</v>
      </c>
      <c r="G203" s="1">
        <v>12.96</v>
      </c>
      <c r="H203" s="1">
        <v>23.38</v>
      </c>
      <c r="I203" s="78">
        <v>41092.542361111111</v>
      </c>
      <c r="J203" s="1">
        <v>15.91</v>
      </c>
      <c r="K203" s="1" t="e">
        <v>#N/A</v>
      </c>
      <c r="L203" s="1" t="e">
        <v>#N/A</v>
      </c>
      <c r="M203" s="1" t="e">
        <v>#N/A</v>
      </c>
      <c r="N203" s="1" t="e">
        <v>#N/A</v>
      </c>
      <c r="O203" s="1" t="e">
        <v>#N/A</v>
      </c>
      <c r="P203" s="1" t="e">
        <v>#N/A</v>
      </c>
      <c r="Q203" s="1" t="e">
        <v>#N/A</v>
      </c>
      <c r="R203" s="1" t="e">
        <v>#N/A</v>
      </c>
      <c r="S203" s="98">
        <v>9220.5419999999995</v>
      </c>
    </row>
    <row r="204" spans="1:19" x14ac:dyDescent="0.25">
      <c r="A204" s="1">
        <v>2012</v>
      </c>
      <c r="B204" s="77">
        <v>41094</v>
      </c>
      <c r="C204" s="1" t="s">
        <v>6</v>
      </c>
      <c r="D204" s="1" t="s">
        <v>7</v>
      </c>
      <c r="E204" s="1" t="s">
        <v>12</v>
      </c>
      <c r="F204" s="1" t="s">
        <v>13</v>
      </c>
      <c r="G204" s="1">
        <v>12.88</v>
      </c>
      <c r="H204" s="1">
        <v>21.97</v>
      </c>
      <c r="I204" s="78">
        <v>41093.677777777775</v>
      </c>
      <c r="J204" s="1">
        <v>16.12</v>
      </c>
      <c r="K204" s="1" t="e">
        <v>#N/A</v>
      </c>
      <c r="L204" s="1" t="e">
        <v>#N/A</v>
      </c>
      <c r="M204" s="1" t="e">
        <v>#N/A</v>
      </c>
      <c r="N204" s="1" t="e">
        <v>#N/A</v>
      </c>
      <c r="O204" s="1" t="e">
        <v>#N/A</v>
      </c>
      <c r="P204" s="1" t="e">
        <v>#N/A</v>
      </c>
      <c r="Q204" s="1" t="e">
        <v>#N/A</v>
      </c>
      <c r="R204" s="1" t="e">
        <v>#N/A</v>
      </c>
      <c r="S204" s="98">
        <v>3535.511</v>
      </c>
    </row>
    <row r="205" spans="1:19" x14ac:dyDescent="0.25">
      <c r="A205" s="1">
        <v>2012</v>
      </c>
      <c r="B205" s="77">
        <v>41094</v>
      </c>
      <c r="C205" s="1" t="s">
        <v>6</v>
      </c>
      <c r="D205" s="1" t="s">
        <v>7</v>
      </c>
      <c r="E205" s="1" t="s">
        <v>10</v>
      </c>
      <c r="F205" s="1" t="s">
        <v>13</v>
      </c>
      <c r="G205" s="1">
        <v>12.88</v>
      </c>
      <c r="H205" s="1">
        <v>21.97</v>
      </c>
      <c r="I205" s="78">
        <v>41093.677777777775</v>
      </c>
      <c r="J205" s="1">
        <v>16.12</v>
      </c>
      <c r="K205" s="1" t="e">
        <v>#N/A</v>
      </c>
      <c r="L205" s="1" t="e">
        <v>#N/A</v>
      </c>
      <c r="M205" s="1" t="e">
        <v>#N/A</v>
      </c>
      <c r="N205" s="1" t="e">
        <v>#N/A</v>
      </c>
      <c r="O205" s="1" t="e">
        <v>#N/A</v>
      </c>
      <c r="P205" s="1" t="e">
        <v>#N/A</v>
      </c>
      <c r="Q205" s="1" t="e">
        <v>#N/A</v>
      </c>
      <c r="R205" s="1" t="e">
        <v>#N/A</v>
      </c>
      <c r="S205" s="98">
        <v>8229.5</v>
      </c>
    </row>
    <row r="206" spans="1:19" x14ac:dyDescent="0.25">
      <c r="A206" s="1">
        <v>2012</v>
      </c>
      <c r="B206" s="77">
        <v>41095</v>
      </c>
      <c r="C206" s="1" t="s">
        <v>6</v>
      </c>
      <c r="D206" s="1" t="s">
        <v>7</v>
      </c>
      <c r="E206" s="1" t="s">
        <v>12</v>
      </c>
      <c r="F206" s="1" t="s">
        <v>13</v>
      </c>
      <c r="G206" s="1">
        <v>12.89</v>
      </c>
      <c r="H206" s="1">
        <v>24.54</v>
      </c>
      <c r="I206" s="78">
        <v>41094.646527777775</v>
      </c>
      <c r="J206" s="1">
        <v>17.21</v>
      </c>
      <c r="K206" s="1" t="e">
        <v>#N/A</v>
      </c>
      <c r="L206" s="1" t="e">
        <v>#N/A</v>
      </c>
      <c r="M206" s="1" t="e">
        <v>#N/A</v>
      </c>
      <c r="N206" s="1" t="e">
        <v>#N/A</v>
      </c>
      <c r="O206" s="1" t="e">
        <v>#N/A</v>
      </c>
      <c r="P206" s="1" t="e">
        <v>#N/A</v>
      </c>
      <c r="Q206" s="1" t="e">
        <v>#N/A</v>
      </c>
      <c r="R206" s="1" t="e">
        <v>#N/A</v>
      </c>
      <c r="S206" s="98">
        <v>2683.297</v>
      </c>
    </row>
    <row r="207" spans="1:19" x14ac:dyDescent="0.25">
      <c r="A207" s="1">
        <v>2012</v>
      </c>
      <c r="B207" s="77">
        <v>41095</v>
      </c>
      <c r="C207" s="1" t="s">
        <v>6</v>
      </c>
      <c r="D207" s="1" t="s">
        <v>7</v>
      </c>
      <c r="E207" s="1" t="s">
        <v>10</v>
      </c>
      <c r="F207" s="1" t="s">
        <v>13</v>
      </c>
      <c r="G207" s="1">
        <v>12.89</v>
      </c>
      <c r="H207" s="1">
        <v>24.54</v>
      </c>
      <c r="I207" s="78">
        <v>41094.646527777775</v>
      </c>
      <c r="J207" s="1">
        <v>17.21</v>
      </c>
      <c r="K207" s="1" t="e">
        <v>#N/A</v>
      </c>
      <c r="L207" s="1" t="e">
        <v>#N/A</v>
      </c>
      <c r="M207" s="1" t="e">
        <v>#N/A</v>
      </c>
      <c r="N207" s="1" t="e">
        <v>#N/A</v>
      </c>
      <c r="O207" s="1" t="e">
        <v>#N/A</v>
      </c>
      <c r="P207" s="1" t="e">
        <v>#N/A</v>
      </c>
      <c r="Q207" s="1" t="e">
        <v>#N/A</v>
      </c>
      <c r="R207" s="1" t="e">
        <v>#N/A</v>
      </c>
      <c r="S207" s="98">
        <v>8328.098</v>
      </c>
    </row>
    <row r="208" spans="1:19" x14ac:dyDescent="0.25">
      <c r="A208" s="1">
        <v>2012</v>
      </c>
      <c r="B208" s="77">
        <v>41096</v>
      </c>
      <c r="C208" s="1" t="s">
        <v>6</v>
      </c>
      <c r="D208" s="1" t="s">
        <v>7</v>
      </c>
      <c r="E208" s="1" t="s">
        <v>12</v>
      </c>
      <c r="F208" s="1" t="s">
        <v>13</v>
      </c>
      <c r="G208" s="1">
        <v>12.83</v>
      </c>
      <c r="H208" s="1">
        <v>19.02</v>
      </c>
      <c r="I208" s="78">
        <v>41095.657638888886</v>
      </c>
      <c r="J208" s="1">
        <v>14.35</v>
      </c>
      <c r="K208" s="1" t="e">
        <v>#N/A</v>
      </c>
      <c r="L208" s="1" t="e">
        <v>#N/A</v>
      </c>
      <c r="M208" s="1" t="e">
        <v>#N/A</v>
      </c>
      <c r="N208" s="1" t="e">
        <v>#N/A</v>
      </c>
      <c r="O208" s="1" t="e">
        <v>#N/A</v>
      </c>
      <c r="P208" s="1" t="e">
        <v>#N/A</v>
      </c>
      <c r="Q208" s="1" t="e">
        <v>#N/A</v>
      </c>
      <c r="R208" s="1" t="e">
        <v>#N/A</v>
      </c>
      <c r="S208" s="98">
        <v>2277.4319999999998</v>
      </c>
    </row>
    <row r="209" spans="1:19" x14ac:dyDescent="0.25">
      <c r="A209" s="1">
        <v>2012</v>
      </c>
      <c r="B209" s="77">
        <v>41096</v>
      </c>
      <c r="C209" s="1" t="s">
        <v>6</v>
      </c>
      <c r="D209" s="1" t="s">
        <v>7</v>
      </c>
      <c r="E209" s="1" t="s">
        <v>10</v>
      </c>
      <c r="F209" s="1" t="s">
        <v>13</v>
      </c>
      <c r="G209" s="1">
        <v>12.83</v>
      </c>
      <c r="H209" s="1">
        <v>19.02</v>
      </c>
      <c r="I209" s="78">
        <v>41095.657638888886</v>
      </c>
      <c r="J209" s="1">
        <v>14.35</v>
      </c>
      <c r="K209" s="1" t="e">
        <v>#N/A</v>
      </c>
      <c r="L209" s="1" t="e">
        <v>#N/A</v>
      </c>
      <c r="M209" s="1" t="e">
        <v>#N/A</v>
      </c>
      <c r="N209" s="1" t="e">
        <v>#N/A</v>
      </c>
      <c r="O209" s="1" t="e">
        <v>#N/A</v>
      </c>
      <c r="P209" s="1" t="e">
        <v>#N/A</v>
      </c>
      <c r="Q209" s="1" t="e">
        <v>#N/A</v>
      </c>
      <c r="R209" s="1" t="e">
        <v>#N/A</v>
      </c>
      <c r="S209" s="98">
        <v>6403.6059999999998</v>
      </c>
    </row>
    <row r="210" spans="1:19" x14ac:dyDescent="0.25">
      <c r="A210" s="1">
        <v>2012</v>
      </c>
      <c r="B210" s="77">
        <v>41097</v>
      </c>
      <c r="C210" s="1" t="s">
        <v>6</v>
      </c>
      <c r="D210" s="1" t="s">
        <v>7</v>
      </c>
      <c r="E210" s="1" t="s">
        <v>12</v>
      </c>
      <c r="F210" s="1" t="s">
        <v>13</v>
      </c>
      <c r="G210" s="1">
        <v>12.83</v>
      </c>
      <c r="H210" s="1">
        <v>23.27</v>
      </c>
      <c r="I210" s="78">
        <v>41096.565972222219</v>
      </c>
      <c r="J210" s="1">
        <v>13.68</v>
      </c>
      <c r="K210" s="1" t="e">
        <v>#N/A</v>
      </c>
      <c r="L210" s="1" t="e">
        <v>#N/A</v>
      </c>
      <c r="M210" s="1" t="e">
        <v>#N/A</v>
      </c>
      <c r="N210" s="1" t="e">
        <v>#N/A</v>
      </c>
      <c r="O210" s="1" t="e">
        <v>#N/A</v>
      </c>
      <c r="P210" s="1" t="e">
        <v>#N/A</v>
      </c>
      <c r="Q210" s="1" t="e">
        <v>#N/A</v>
      </c>
      <c r="R210" s="1" t="e">
        <v>#N/A</v>
      </c>
      <c r="S210" s="98">
        <v>3057.2649999999999</v>
      </c>
    </row>
    <row r="211" spans="1:19" x14ac:dyDescent="0.25">
      <c r="A211" s="1">
        <v>2012</v>
      </c>
      <c r="B211" s="77">
        <v>41097</v>
      </c>
      <c r="C211" s="1" t="s">
        <v>6</v>
      </c>
      <c r="D211" s="1" t="s">
        <v>7</v>
      </c>
      <c r="E211" s="1" t="s">
        <v>10</v>
      </c>
      <c r="F211" s="1" t="s">
        <v>13</v>
      </c>
      <c r="G211" s="1">
        <v>12.83</v>
      </c>
      <c r="H211" s="1">
        <v>23.27</v>
      </c>
      <c r="I211" s="78">
        <v>41096.565972222219</v>
      </c>
      <c r="J211" s="1">
        <v>13.68</v>
      </c>
      <c r="K211" s="1" t="e">
        <v>#N/A</v>
      </c>
      <c r="L211" s="1" t="e">
        <v>#N/A</v>
      </c>
      <c r="M211" s="1" t="e">
        <v>#N/A</v>
      </c>
      <c r="N211" s="1" t="e">
        <v>#N/A</v>
      </c>
      <c r="O211" s="1" t="e">
        <v>#N/A</v>
      </c>
      <c r="P211" s="1" t="e">
        <v>#N/A</v>
      </c>
      <c r="Q211" s="1" t="e">
        <v>#N/A</v>
      </c>
      <c r="R211" s="1" t="e">
        <v>#N/A</v>
      </c>
      <c r="S211" s="98">
        <v>6047.0069999999996</v>
      </c>
    </row>
    <row r="212" spans="1:19" x14ac:dyDescent="0.25">
      <c r="A212" s="1">
        <v>2012</v>
      </c>
      <c r="B212" s="77">
        <v>41098</v>
      </c>
      <c r="C212" s="1" t="s">
        <v>6</v>
      </c>
      <c r="D212" s="1" t="s">
        <v>7</v>
      </c>
      <c r="E212" s="1" t="s">
        <v>12</v>
      </c>
      <c r="F212" s="1" t="s">
        <v>13</v>
      </c>
      <c r="G212" s="1">
        <v>12.79</v>
      </c>
      <c r="H212" s="1">
        <v>18.84</v>
      </c>
      <c r="I212" s="78">
        <v>41097.569444444445</v>
      </c>
      <c r="J212" s="1">
        <v>13.52</v>
      </c>
      <c r="K212" s="1" t="e">
        <v>#N/A</v>
      </c>
      <c r="L212" s="1" t="e">
        <v>#N/A</v>
      </c>
      <c r="M212" s="1" t="e">
        <v>#N/A</v>
      </c>
      <c r="N212" s="1" t="e">
        <v>#N/A</v>
      </c>
      <c r="O212" s="1" t="e">
        <v>#N/A</v>
      </c>
      <c r="P212" s="1" t="e">
        <v>#N/A</v>
      </c>
      <c r="Q212" s="1" t="e">
        <v>#N/A</v>
      </c>
      <c r="R212" s="1" t="e">
        <v>#N/A</v>
      </c>
      <c r="S212" s="98">
        <v>3174.0010000000002</v>
      </c>
    </row>
    <row r="213" spans="1:19" x14ac:dyDescent="0.25">
      <c r="A213" s="1">
        <v>2012</v>
      </c>
      <c r="B213" s="77">
        <v>41098</v>
      </c>
      <c r="C213" s="1" t="s">
        <v>6</v>
      </c>
      <c r="D213" s="1" t="s">
        <v>7</v>
      </c>
      <c r="E213" s="1" t="s">
        <v>10</v>
      </c>
      <c r="F213" s="1" t="s">
        <v>13</v>
      </c>
      <c r="G213" s="1">
        <v>12.79</v>
      </c>
      <c r="H213" s="1">
        <v>18.84</v>
      </c>
      <c r="I213" s="78">
        <v>41097.569444444445</v>
      </c>
      <c r="J213" s="1">
        <v>13.52</v>
      </c>
      <c r="K213" s="1" t="e">
        <v>#N/A</v>
      </c>
      <c r="L213" s="1" t="e">
        <v>#N/A</v>
      </c>
      <c r="M213" s="1" t="e">
        <v>#N/A</v>
      </c>
      <c r="N213" s="1" t="e">
        <v>#N/A</v>
      </c>
      <c r="O213" s="1" t="e">
        <v>#N/A</v>
      </c>
      <c r="P213" s="1" t="e">
        <v>#N/A</v>
      </c>
      <c r="Q213" s="1" t="e">
        <v>#N/A</v>
      </c>
      <c r="R213" s="1" t="e">
        <v>#N/A</v>
      </c>
      <c r="S213" s="98">
        <v>6723.6890000000003</v>
      </c>
    </row>
    <row r="214" spans="1:19" x14ac:dyDescent="0.25">
      <c r="A214" s="1">
        <v>2012</v>
      </c>
      <c r="B214" s="77">
        <v>41099</v>
      </c>
      <c r="C214" s="1" t="s">
        <v>6</v>
      </c>
      <c r="D214" s="1" t="s">
        <v>7</v>
      </c>
      <c r="E214" s="1" t="s">
        <v>12</v>
      </c>
      <c r="F214" s="1" t="s">
        <v>13</v>
      </c>
      <c r="G214" s="1">
        <v>12.9</v>
      </c>
      <c r="H214" s="1">
        <v>16.39</v>
      </c>
      <c r="I214" s="78">
        <v>41098.644444444442</v>
      </c>
      <c r="J214" s="1">
        <v>12.75</v>
      </c>
      <c r="K214" s="1" t="e">
        <v>#N/A</v>
      </c>
      <c r="L214" s="1" t="e">
        <v>#N/A</v>
      </c>
      <c r="M214" s="1" t="e">
        <v>#N/A</v>
      </c>
      <c r="N214" s="1" t="e">
        <v>#N/A</v>
      </c>
      <c r="O214" s="1" t="e">
        <v>#N/A</v>
      </c>
      <c r="P214" s="1" t="e">
        <v>#N/A</v>
      </c>
      <c r="Q214" s="1" t="e">
        <v>#N/A</v>
      </c>
      <c r="R214" s="1" t="e">
        <v>#N/A</v>
      </c>
      <c r="S214" s="98">
        <v>2490.6239999999998</v>
      </c>
    </row>
    <row r="215" spans="1:19" x14ac:dyDescent="0.25">
      <c r="A215" s="1">
        <v>2012</v>
      </c>
      <c r="B215" s="77">
        <v>41099</v>
      </c>
      <c r="C215" s="1" t="s">
        <v>6</v>
      </c>
      <c r="D215" s="1" t="s">
        <v>7</v>
      </c>
      <c r="E215" s="1" t="s">
        <v>10</v>
      </c>
      <c r="F215" s="1" t="s">
        <v>13</v>
      </c>
      <c r="G215" s="1">
        <v>12.9</v>
      </c>
      <c r="H215" s="1">
        <v>16.39</v>
      </c>
      <c r="I215" s="78">
        <v>41098.644444444442</v>
      </c>
      <c r="J215" s="1">
        <v>12.75</v>
      </c>
      <c r="K215" s="1" t="e">
        <v>#N/A</v>
      </c>
      <c r="L215" s="1" t="e">
        <v>#N/A</v>
      </c>
      <c r="M215" s="1" t="e">
        <v>#N/A</v>
      </c>
      <c r="N215" s="1" t="e">
        <v>#N/A</v>
      </c>
      <c r="O215" s="1" t="e">
        <v>#N/A</v>
      </c>
      <c r="P215" s="1" t="e">
        <v>#N/A</v>
      </c>
      <c r="Q215" s="1" t="e">
        <v>#N/A</v>
      </c>
      <c r="R215" s="1" t="e">
        <v>#N/A</v>
      </c>
      <c r="S215" s="98">
        <v>5744.8940000000002</v>
      </c>
    </row>
    <row r="216" spans="1:19" x14ac:dyDescent="0.25">
      <c r="A216" s="1">
        <v>2012</v>
      </c>
      <c r="B216" s="77">
        <v>41109</v>
      </c>
      <c r="C216" s="1" t="s">
        <v>6</v>
      </c>
      <c r="D216" s="1" t="s">
        <v>7</v>
      </c>
      <c r="E216" s="1" t="s">
        <v>12</v>
      </c>
      <c r="F216" s="1" t="s">
        <v>13</v>
      </c>
      <c r="G216" s="1">
        <v>12.97</v>
      </c>
      <c r="H216" s="1">
        <v>13.16</v>
      </c>
      <c r="I216" s="78">
        <v>41108.453472222223</v>
      </c>
      <c r="J216" s="1">
        <v>10.08</v>
      </c>
      <c r="K216" s="1" t="e">
        <v>#N/A</v>
      </c>
      <c r="L216" s="1" t="e">
        <v>#N/A</v>
      </c>
      <c r="M216" s="1" t="e">
        <v>#N/A</v>
      </c>
      <c r="N216" s="1" t="e">
        <v>#N/A</v>
      </c>
      <c r="O216" s="1" t="e">
        <v>#N/A</v>
      </c>
      <c r="P216" s="1" t="e">
        <v>#N/A</v>
      </c>
      <c r="Q216" s="1" t="e">
        <v>#N/A</v>
      </c>
      <c r="R216" s="1" t="e">
        <v>#N/A</v>
      </c>
      <c r="S216" s="98">
        <v>2708.0219999999999</v>
      </c>
    </row>
    <row r="217" spans="1:19" x14ac:dyDescent="0.25">
      <c r="A217" s="1">
        <v>2012</v>
      </c>
      <c r="B217" s="77">
        <v>41109</v>
      </c>
      <c r="C217" s="1" t="s">
        <v>6</v>
      </c>
      <c r="D217" s="1" t="s">
        <v>7</v>
      </c>
      <c r="E217" s="1" t="s">
        <v>10</v>
      </c>
      <c r="F217" s="1" t="s">
        <v>13</v>
      </c>
      <c r="G217" s="1">
        <v>12.97</v>
      </c>
      <c r="H217" s="1">
        <v>13.16</v>
      </c>
      <c r="I217" s="78">
        <v>41108.453472222223</v>
      </c>
      <c r="J217" s="1">
        <v>10.08</v>
      </c>
      <c r="K217" s="1" t="e">
        <v>#N/A</v>
      </c>
      <c r="L217" s="1" t="e">
        <v>#N/A</v>
      </c>
      <c r="M217" s="1" t="e">
        <v>#N/A</v>
      </c>
      <c r="N217" s="1" t="e">
        <v>#N/A</v>
      </c>
      <c r="O217" s="1" t="e">
        <v>#N/A</v>
      </c>
      <c r="P217" s="1" t="e">
        <v>#N/A</v>
      </c>
      <c r="Q217" s="1" t="e">
        <v>#N/A</v>
      </c>
      <c r="R217" s="1" t="e">
        <v>#N/A</v>
      </c>
      <c r="S217" s="98">
        <v>4103.5780000000004</v>
      </c>
    </row>
    <row r="218" spans="1:19" x14ac:dyDescent="0.25">
      <c r="A218" s="1">
        <v>2012</v>
      </c>
      <c r="B218" s="77">
        <v>41110</v>
      </c>
      <c r="C218" s="1" t="s">
        <v>6</v>
      </c>
      <c r="D218" s="1" t="s">
        <v>7</v>
      </c>
      <c r="E218" s="1" t="s">
        <v>12</v>
      </c>
      <c r="F218" s="1" t="s">
        <v>13</v>
      </c>
      <c r="G218" s="1">
        <v>12.78</v>
      </c>
      <c r="H218" s="1">
        <v>15.31</v>
      </c>
      <c r="I218" s="78">
        <v>41109.568055555559</v>
      </c>
      <c r="J218" s="1">
        <v>10.43</v>
      </c>
      <c r="K218" s="1" t="e">
        <v>#N/A</v>
      </c>
      <c r="L218" s="1" t="e">
        <v>#N/A</v>
      </c>
      <c r="M218" s="1" t="e">
        <v>#N/A</v>
      </c>
      <c r="N218" s="1" t="e">
        <v>#N/A</v>
      </c>
      <c r="O218" s="1" t="e">
        <v>#N/A</v>
      </c>
      <c r="P218" s="1" t="e">
        <v>#N/A</v>
      </c>
      <c r="Q218" s="1" t="e">
        <v>#N/A</v>
      </c>
      <c r="R218" s="1" t="e">
        <v>#N/A</v>
      </c>
      <c r="S218" s="98">
        <v>5213.9179999999997</v>
      </c>
    </row>
    <row r="219" spans="1:19" x14ac:dyDescent="0.25">
      <c r="A219" s="1">
        <v>2012</v>
      </c>
      <c r="B219" s="77">
        <v>41110</v>
      </c>
      <c r="C219" s="1" t="s">
        <v>6</v>
      </c>
      <c r="D219" s="1" t="s">
        <v>7</v>
      </c>
      <c r="E219" s="1" t="s">
        <v>10</v>
      </c>
      <c r="F219" s="1" t="s">
        <v>13</v>
      </c>
      <c r="G219" s="1">
        <v>12.78</v>
      </c>
      <c r="H219" s="1">
        <v>15.31</v>
      </c>
      <c r="I219" s="78">
        <v>41109.568055555559</v>
      </c>
      <c r="J219" s="1">
        <v>10.43</v>
      </c>
      <c r="K219" s="1" t="e">
        <v>#N/A</v>
      </c>
      <c r="L219" s="1" t="e">
        <v>#N/A</v>
      </c>
      <c r="M219" s="1" t="e">
        <v>#N/A</v>
      </c>
      <c r="N219" s="1" t="e">
        <v>#N/A</v>
      </c>
      <c r="O219" s="1" t="e">
        <v>#N/A</v>
      </c>
      <c r="P219" s="1" t="e">
        <v>#N/A</v>
      </c>
      <c r="Q219" s="1" t="e">
        <v>#N/A</v>
      </c>
      <c r="R219" s="1" t="e">
        <v>#N/A</v>
      </c>
      <c r="S219" s="98">
        <v>7048.8530000000001</v>
      </c>
    </row>
    <row r="220" spans="1:19" x14ac:dyDescent="0.25">
      <c r="A220" s="1">
        <v>2012</v>
      </c>
      <c r="B220" s="77">
        <v>41111</v>
      </c>
      <c r="C220" s="1" t="s">
        <v>6</v>
      </c>
      <c r="D220" s="1" t="s">
        <v>7</v>
      </c>
      <c r="E220" s="1" t="s">
        <v>12</v>
      </c>
      <c r="F220" s="1" t="s">
        <v>13</v>
      </c>
      <c r="G220" s="1">
        <v>12.79</v>
      </c>
      <c r="H220" s="1">
        <v>17.16</v>
      </c>
      <c r="I220" s="78">
        <v>41110.536805555559</v>
      </c>
      <c r="J220" s="1">
        <v>10.71</v>
      </c>
      <c r="K220" s="1" t="e">
        <v>#N/A</v>
      </c>
      <c r="L220" s="1" t="e">
        <v>#N/A</v>
      </c>
      <c r="M220" s="1" t="e">
        <v>#N/A</v>
      </c>
      <c r="N220" s="1" t="e">
        <v>#N/A</v>
      </c>
      <c r="O220" s="1" t="e">
        <v>#N/A</v>
      </c>
      <c r="P220" s="1" t="e">
        <v>#N/A</v>
      </c>
      <c r="Q220" s="1" t="e">
        <v>#N/A</v>
      </c>
      <c r="R220" s="1" t="e">
        <v>#N/A</v>
      </c>
      <c r="S220" s="98">
        <v>5256.442</v>
      </c>
    </row>
    <row r="221" spans="1:19" x14ac:dyDescent="0.25">
      <c r="A221" s="1">
        <v>2012</v>
      </c>
      <c r="B221" s="77">
        <v>41111</v>
      </c>
      <c r="C221" s="1" t="s">
        <v>6</v>
      </c>
      <c r="D221" s="1" t="s">
        <v>7</v>
      </c>
      <c r="E221" s="1" t="s">
        <v>10</v>
      </c>
      <c r="F221" s="1" t="s">
        <v>13</v>
      </c>
      <c r="G221" s="1">
        <v>12.79</v>
      </c>
      <c r="H221" s="1">
        <v>17.16</v>
      </c>
      <c r="I221" s="78">
        <v>41110.536805555559</v>
      </c>
      <c r="J221" s="1">
        <v>10.71</v>
      </c>
      <c r="K221" s="1" t="e">
        <v>#N/A</v>
      </c>
      <c r="L221" s="1" t="e">
        <v>#N/A</v>
      </c>
      <c r="M221" s="1" t="e">
        <v>#N/A</v>
      </c>
      <c r="N221" s="1" t="e">
        <v>#N/A</v>
      </c>
      <c r="O221" s="1" t="e">
        <v>#N/A</v>
      </c>
      <c r="P221" s="1" t="e">
        <v>#N/A</v>
      </c>
      <c r="Q221" s="1" t="e">
        <v>#N/A</v>
      </c>
      <c r="R221" s="1" t="e">
        <v>#N/A</v>
      </c>
      <c r="S221" s="98">
        <v>6871.1239999999998</v>
      </c>
    </row>
    <row r="222" spans="1:19" x14ac:dyDescent="0.25">
      <c r="A222" s="1">
        <v>2012</v>
      </c>
      <c r="B222" s="77">
        <v>41112</v>
      </c>
      <c r="C222" s="1" t="s">
        <v>6</v>
      </c>
      <c r="D222" s="1" t="s">
        <v>7</v>
      </c>
      <c r="E222" s="1" t="s">
        <v>12</v>
      </c>
      <c r="F222" s="1" t="s">
        <v>13</v>
      </c>
      <c r="G222" s="1">
        <v>12.75</v>
      </c>
      <c r="H222" s="1">
        <v>10.72</v>
      </c>
      <c r="I222" s="78">
        <v>41111.810416666667</v>
      </c>
      <c r="J222" s="1">
        <v>7.1470000000000002</v>
      </c>
      <c r="K222" s="1" t="e">
        <v>#N/A</v>
      </c>
      <c r="L222" s="1" t="e">
        <v>#N/A</v>
      </c>
      <c r="M222" s="1" t="e">
        <v>#N/A</v>
      </c>
      <c r="N222" s="1" t="e">
        <v>#N/A</v>
      </c>
      <c r="O222" s="1" t="e">
        <v>#N/A</v>
      </c>
      <c r="P222" s="1" t="e">
        <v>#N/A</v>
      </c>
      <c r="Q222" s="1" t="e">
        <v>#N/A</v>
      </c>
      <c r="R222" s="1" t="e">
        <v>#N/A</v>
      </c>
      <c r="S222" s="98">
        <v>2841.174</v>
      </c>
    </row>
    <row r="223" spans="1:19" x14ac:dyDescent="0.25">
      <c r="A223" s="1">
        <v>2012</v>
      </c>
      <c r="B223" s="77">
        <v>41112</v>
      </c>
      <c r="C223" s="1" t="s">
        <v>6</v>
      </c>
      <c r="D223" s="1" t="s">
        <v>7</v>
      </c>
      <c r="E223" s="1" t="s">
        <v>10</v>
      </c>
      <c r="F223" s="1" t="s">
        <v>13</v>
      </c>
      <c r="G223" s="1">
        <v>12.75</v>
      </c>
      <c r="H223" s="1">
        <v>10.72</v>
      </c>
      <c r="I223" s="78">
        <v>41111.810416666667</v>
      </c>
      <c r="J223" s="1">
        <v>7.1470000000000002</v>
      </c>
      <c r="K223" s="1" t="e">
        <v>#N/A</v>
      </c>
      <c r="L223" s="1" t="e">
        <v>#N/A</v>
      </c>
      <c r="M223" s="1" t="e">
        <v>#N/A</v>
      </c>
      <c r="N223" s="1" t="e">
        <v>#N/A</v>
      </c>
      <c r="O223" s="1" t="e">
        <v>#N/A</v>
      </c>
      <c r="P223" s="1" t="e">
        <v>#N/A</v>
      </c>
      <c r="Q223" s="1" t="e">
        <v>#N/A</v>
      </c>
      <c r="R223" s="1" t="e">
        <v>#N/A</v>
      </c>
      <c r="S223" s="98">
        <v>4171.835</v>
      </c>
    </row>
    <row r="224" spans="1:19" x14ac:dyDescent="0.25">
      <c r="A224" s="1">
        <v>2012</v>
      </c>
      <c r="B224" s="77">
        <v>41113</v>
      </c>
      <c r="C224" s="1" t="s">
        <v>6</v>
      </c>
      <c r="D224" s="1" t="s">
        <v>7</v>
      </c>
      <c r="E224" s="1" t="s">
        <v>12</v>
      </c>
      <c r="F224" s="1" t="s">
        <v>13</v>
      </c>
      <c r="G224" s="1">
        <v>12.78</v>
      </c>
      <c r="H224" s="1">
        <v>21.89</v>
      </c>
      <c r="I224" s="78">
        <v>41112.65902777778</v>
      </c>
      <c r="J224" s="1">
        <v>13.33</v>
      </c>
      <c r="K224" s="1" t="e">
        <v>#N/A</v>
      </c>
      <c r="L224" s="1" t="e">
        <v>#N/A</v>
      </c>
      <c r="M224" s="1" t="e">
        <v>#N/A</v>
      </c>
      <c r="N224" s="1" t="e">
        <v>#N/A</v>
      </c>
      <c r="O224" s="1" t="e">
        <v>#N/A</v>
      </c>
      <c r="P224" s="1" t="e">
        <v>#N/A</v>
      </c>
      <c r="Q224" s="1" t="e">
        <v>#N/A</v>
      </c>
      <c r="R224" s="1" t="e">
        <v>#N/A</v>
      </c>
      <c r="S224" s="98">
        <v>4604.1440000000002</v>
      </c>
    </row>
    <row r="225" spans="1:19" x14ac:dyDescent="0.25">
      <c r="A225" s="1">
        <v>2012</v>
      </c>
      <c r="B225" s="77">
        <v>41113</v>
      </c>
      <c r="C225" s="1" t="s">
        <v>6</v>
      </c>
      <c r="D225" s="1" t="s">
        <v>7</v>
      </c>
      <c r="E225" s="1" t="s">
        <v>10</v>
      </c>
      <c r="F225" s="1" t="s">
        <v>13</v>
      </c>
      <c r="G225" s="1">
        <v>12.78</v>
      </c>
      <c r="H225" s="1">
        <v>21.89</v>
      </c>
      <c r="I225" s="78">
        <v>41112.65902777778</v>
      </c>
      <c r="J225" s="1">
        <v>13.33</v>
      </c>
      <c r="K225" s="1" t="e">
        <v>#N/A</v>
      </c>
      <c r="L225" s="1" t="e">
        <v>#N/A</v>
      </c>
      <c r="M225" s="1" t="e">
        <v>#N/A</v>
      </c>
      <c r="N225" s="1" t="e">
        <v>#N/A</v>
      </c>
      <c r="O225" s="1" t="e">
        <v>#N/A</v>
      </c>
      <c r="P225" s="1" t="e">
        <v>#N/A</v>
      </c>
      <c r="Q225" s="1" t="e">
        <v>#N/A</v>
      </c>
      <c r="R225" s="1" t="e">
        <v>#N/A</v>
      </c>
      <c r="S225" s="98">
        <v>7048.6180000000004</v>
      </c>
    </row>
    <row r="226" spans="1:19" x14ac:dyDescent="0.25">
      <c r="A226" s="1">
        <v>2012</v>
      </c>
      <c r="B226" s="77">
        <v>41114</v>
      </c>
      <c r="C226" s="1" t="s">
        <v>6</v>
      </c>
      <c r="D226" s="1" t="s">
        <v>7</v>
      </c>
      <c r="E226" s="1" t="s">
        <v>12</v>
      </c>
      <c r="F226" s="1" t="s">
        <v>13</v>
      </c>
      <c r="G226" s="1">
        <v>12.81</v>
      </c>
      <c r="H226" s="1">
        <v>24.13</v>
      </c>
      <c r="I226" s="78">
        <v>41113.629861111112</v>
      </c>
      <c r="J226" s="1">
        <v>15.18</v>
      </c>
      <c r="K226" s="1" t="e">
        <v>#N/A</v>
      </c>
      <c r="L226" s="1" t="e">
        <v>#N/A</v>
      </c>
      <c r="M226" s="1" t="e">
        <v>#N/A</v>
      </c>
      <c r="N226" s="1" t="e">
        <v>#N/A</v>
      </c>
      <c r="O226" s="1" t="e">
        <v>#N/A</v>
      </c>
      <c r="P226" s="1" t="e">
        <v>#N/A</v>
      </c>
      <c r="Q226" s="1" t="e">
        <v>#N/A</v>
      </c>
      <c r="R226" s="1" t="e">
        <v>#N/A</v>
      </c>
      <c r="S226" s="98">
        <v>4819.21</v>
      </c>
    </row>
    <row r="227" spans="1:19" x14ac:dyDescent="0.25">
      <c r="A227" s="1">
        <v>2012</v>
      </c>
      <c r="B227" s="77">
        <v>41114</v>
      </c>
      <c r="C227" s="1" t="s">
        <v>6</v>
      </c>
      <c r="D227" s="1" t="s">
        <v>7</v>
      </c>
      <c r="E227" s="1" t="s">
        <v>10</v>
      </c>
      <c r="F227" s="1" t="s">
        <v>13</v>
      </c>
      <c r="G227" s="1">
        <v>12.81</v>
      </c>
      <c r="H227" s="1">
        <v>24.13</v>
      </c>
      <c r="I227" s="78">
        <v>41113.629861111112</v>
      </c>
      <c r="J227" s="1">
        <v>15.18</v>
      </c>
      <c r="K227" s="1" t="e">
        <v>#N/A</v>
      </c>
      <c r="L227" s="1" t="e">
        <v>#N/A</v>
      </c>
      <c r="M227" s="1" t="e">
        <v>#N/A</v>
      </c>
      <c r="N227" s="1" t="e">
        <v>#N/A</v>
      </c>
      <c r="O227" s="1" t="e">
        <v>#N/A</v>
      </c>
      <c r="P227" s="1" t="e">
        <v>#N/A</v>
      </c>
      <c r="Q227" s="1" t="e">
        <v>#N/A</v>
      </c>
      <c r="R227" s="1" t="e">
        <v>#N/A</v>
      </c>
      <c r="S227" s="98">
        <v>6337.4750000000004</v>
      </c>
    </row>
    <row r="228" spans="1:19" x14ac:dyDescent="0.25">
      <c r="A228" s="1">
        <v>2012</v>
      </c>
      <c r="B228" s="77">
        <v>41115</v>
      </c>
      <c r="C228" s="1" t="s">
        <v>6</v>
      </c>
      <c r="D228" s="1" t="s">
        <v>7</v>
      </c>
      <c r="E228" s="1" t="s">
        <v>12</v>
      </c>
      <c r="F228" s="1" t="s">
        <v>13</v>
      </c>
      <c r="G228" s="1">
        <v>12.81</v>
      </c>
      <c r="H228" s="1">
        <v>18.89</v>
      </c>
      <c r="I228" s="78">
        <v>41114.458333333336</v>
      </c>
      <c r="J228" s="1">
        <v>13.62</v>
      </c>
      <c r="K228" s="1" t="e">
        <v>#N/A</v>
      </c>
      <c r="L228" s="1" t="e">
        <v>#N/A</v>
      </c>
      <c r="M228" s="1" t="e">
        <v>#N/A</v>
      </c>
      <c r="N228" s="1" t="e">
        <v>#N/A</v>
      </c>
      <c r="O228" s="1" t="e">
        <v>#N/A</v>
      </c>
      <c r="P228" s="1" t="e">
        <v>#N/A</v>
      </c>
      <c r="Q228" s="1" t="e">
        <v>#N/A</v>
      </c>
      <c r="R228" s="1" t="e">
        <v>#N/A</v>
      </c>
      <c r="S228" s="98">
        <v>4116.8530000000001</v>
      </c>
    </row>
    <row r="229" spans="1:19" x14ac:dyDescent="0.25">
      <c r="A229" s="1">
        <v>2012</v>
      </c>
      <c r="B229" s="77">
        <v>41115</v>
      </c>
      <c r="C229" s="1" t="s">
        <v>6</v>
      </c>
      <c r="D229" s="1" t="s">
        <v>7</v>
      </c>
      <c r="E229" s="1" t="s">
        <v>10</v>
      </c>
      <c r="F229" s="1" t="s">
        <v>13</v>
      </c>
      <c r="G229" s="1">
        <v>12.81</v>
      </c>
      <c r="H229" s="1">
        <v>18.89</v>
      </c>
      <c r="I229" s="78">
        <v>41114.458333333336</v>
      </c>
      <c r="J229" s="1">
        <v>13.62</v>
      </c>
      <c r="K229" s="1" t="e">
        <v>#N/A</v>
      </c>
      <c r="L229" s="1" t="e">
        <v>#N/A</v>
      </c>
      <c r="M229" s="1" t="e">
        <v>#N/A</v>
      </c>
      <c r="N229" s="1" t="e">
        <v>#N/A</v>
      </c>
      <c r="O229" s="1" t="e">
        <v>#N/A</v>
      </c>
      <c r="P229" s="1" t="e">
        <v>#N/A</v>
      </c>
      <c r="Q229" s="1" t="e">
        <v>#N/A</v>
      </c>
      <c r="R229" s="1" t="e">
        <v>#N/A</v>
      </c>
      <c r="S229" s="98">
        <v>6068.2380000000003</v>
      </c>
    </row>
    <row r="230" spans="1:19" x14ac:dyDescent="0.25">
      <c r="A230" s="1">
        <v>2012</v>
      </c>
      <c r="B230" s="77">
        <v>41116</v>
      </c>
      <c r="C230" s="1" t="s">
        <v>6</v>
      </c>
      <c r="D230" s="1" t="s">
        <v>7</v>
      </c>
      <c r="E230" s="1" t="s">
        <v>12</v>
      </c>
      <c r="F230" s="1" t="s">
        <v>13</v>
      </c>
      <c r="G230" s="1">
        <v>12.79</v>
      </c>
      <c r="H230" s="1">
        <v>21.23</v>
      </c>
      <c r="I230" s="78">
        <v>41115.677083333336</v>
      </c>
      <c r="J230" s="1">
        <v>14.02</v>
      </c>
      <c r="K230" s="1" t="e">
        <v>#N/A</v>
      </c>
      <c r="L230" s="1" t="e">
        <v>#N/A</v>
      </c>
      <c r="M230" s="1" t="e">
        <v>#N/A</v>
      </c>
      <c r="N230" s="1" t="e">
        <v>#N/A</v>
      </c>
      <c r="O230" s="1" t="e">
        <v>#N/A</v>
      </c>
      <c r="P230" s="1" t="e">
        <v>#N/A</v>
      </c>
      <c r="Q230" s="1" t="e">
        <v>#N/A</v>
      </c>
      <c r="R230" s="1" t="e">
        <v>#N/A</v>
      </c>
      <c r="S230" s="98">
        <v>4237.1059999999998</v>
      </c>
    </row>
    <row r="231" spans="1:19" x14ac:dyDescent="0.25">
      <c r="A231" s="1">
        <v>2012</v>
      </c>
      <c r="B231" s="77">
        <v>41116</v>
      </c>
      <c r="C231" s="1" t="s">
        <v>6</v>
      </c>
      <c r="D231" s="1" t="s">
        <v>7</v>
      </c>
      <c r="E231" s="1" t="s">
        <v>10</v>
      </c>
      <c r="F231" s="1" t="s">
        <v>13</v>
      </c>
      <c r="G231" s="1">
        <v>12.79</v>
      </c>
      <c r="H231" s="1">
        <v>21.23</v>
      </c>
      <c r="I231" s="78">
        <v>41115.677083333336</v>
      </c>
      <c r="J231" s="1">
        <v>14.02</v>
      </c>
      <c r="K231" s="1" t="e">
        <v>#N/A</v>
      </c>
      <c r="L231" s="1" t="e">
        <v>#N/A</v>
      </c>
      <c r="M231" s="1" t="e">
        <v>#N/A</v>
      </c>
      <c r="N231" s="1" t="e">
        <v>#N/A</v>
      </c>
      <c r="O231" s="1" t="e">
        <v>#N/A</v>
      </c>
      <c r="P231" s="1" t="e">
        <v>#N/A</v>
      </c>
      <c r="Q231" s="1" t="e">
        <v>#N/A</v>
      </c>
      <c r="R231" s="1" t="e">
        <v>#N/A</v>
      </c>
      <c r="S231" s="98">
        <v>6495.7240000000002</v>
      </c>
    </row>
    <row r="232" spans="1:19" x14ac:dyDescent="0.25">
      <c r="A232" s="1">
        <v>2012</v>
      </c>
      <c r="B232" s="77">
        <v>41117</v>
      </c>
      <c r="C232" s="1" t="s">
        <v>6</v>
      </c>
      <c r="D232" s="1" t="s">
        <v>7</v>
      </c>
      <c r="E232" s="1" t="s">
        <v>12</v>
      </c>
      <c r="F232" s="1" t="s">
        <v>13</v>
      </c>
      <c r="G232" s="1">
        <v>12.79</v>
      </c>
      <c r="H232" s="1">
        <v>23.67</v>
      </c>
      <c r="I232" s="78">
        <v>41116.627083333333</v>
      </c>
      <c r="J232" s="1">
        <v>15.2</v>
      </c>
      <c r="K232" s="1" t="e">
        <v>#N/A</v>
      </c>
      <c r="L232" s="1" t="e">
        <v>#N/A</v>
      </c>
      <c r="M232" s="1" t="e">
        <v>#N/A</v>
      </c>
      <c r="N232" s="1" t="e">
        <v>#N/A</v>
      </c>
      <c r="O232" s="1" t="e">
        <v>#N/A</v>
      </c>
      <c r="P232" s="1" t="e">
        <v>#N/A</v>
      </c>
      <c r="Q232" s="1" t="e">
        <v>#N/A</v>
      </c>
      <c r="R232" s="1" t="e">
        <v>#N/A</v>
      </c>
      <c r="S232" s="98">
        <v>5028.3370000000004</v>
      </c>
    </row>
    <row r="233" spans="1:19" x14ac:dyDescent="0.25">
      <c r="A233" s="1">
        <v>2012</v>
      </c>
      <c r="B233" s="77">
        <v>41117</v>
      </c>
      <c r="C233" s="1" t="s">
        <v>6</v>
      </c>
      <c r="D233" s="1" t="s">
        <v>7</v>
      </c>
      <c r="E233" s="1" t="s">
        <v>10</v>
      </c>
      <c r="F233" s="1" t="s">
        <v>13</v>
      </c>
      <c r="G233" s="1">
        <v>12.79</v>
      </c>
      <c r="H233" s="1">
        <v>23.67</v>
      </c>
      <c r="I233" s="78">
        <v>41116.627083333333</v>
      </c>
      <c r="J233" s="1">
        <v>15.2</v>
      </c>
      <c r="K233" s="1" t="e">
        <v>#N/A</v>
      </c>
      <c r="L233" s="1" t="e">
        <v>#N/A</v>
      </c>
      <c r="M233" s="1" t="e">
        <v>#N/A</v>
      </c>
      <c r="N233" s="1" t="e">
        <v>#N/A</v>
      </c>
      <c r="O233" s="1" t="e">
        <v>#N/A</v>
      </c>
      <c r="P233" s="1" t="e">
        <v>#N/A</v>
      </c>
      <c r="Q233" s="1" t="e">
        <v>#N/A</v>
      </c>
      <c r="R233" s="1" t="e">
        <v>#N/A</v>
      </c>
      <c r="S233" s="98">
        <v>6769.777</v>
      </c>
    </row>
    <row r="234" spans="1:19" x14ac:dyDescent="0.25">
      <c r="A234" s="1">
        <v>2012</v>
      </c>
      <c r="B234" s="77">
        <v>41118</v>
      </c>
      <c r="C234" s="1" t="s">
        <v>6</v>
      </c>
      <c r="D234" s="1" t="s">
        <v>7</v>
      </c>
      <c r="E234" s="1" t="s">
        <v>12</v>
      </c>
      <c r="F234" s="1" t="s">
        <v>13</v>
      </c>
      <c r="G234" s="1">
        <v>12.77</v>
      </c>
      <c r="H234" s="1">
        <v>21.51</v>
      </c>
      <c r="I234" s="78">
        <v>41117.613888888889</v>
      </c>
      <c r="J234" s="1">
        <v>15.07</v>
      </c>
      <c r="K234" s="1" t="e">
        <v>#N/A</v>
      </c>
      <c r="L234" s="1" t="e">
        <v>#N/A</v>
      </c>
      <c r="M234" s="1" t="e">
        <v>#N/A</v>
      </c>
      <c r="N234" s="1" t="e">
        <v>#N/A</v>
      </c>
      <c r="O234" s="1" t="e">
        <v>#N/A</v>
      </c>
      <c r="P234" s="1" t="e">
        <v>#N/A</v>
      </c>
      <c r="Q234" s="1" t="e">
        <v>#N/A</v>
      </c>
      <c r="R234" s="1" t="e">
        <v>#N/A</v>
      </c>
      <c r="S234" s="98">
        <v>3619.6419999999998</v>
      </c>
    </row>
    <row r="235" spans="1:19" x14ac:dyDescent="0.25">
      <c r="A235" s="1">
        <v>2012</v>
      </c>
      <c r="B235" s="77">
        <v>41118</v>
      </c>
      <c r="C235" s="1" t="s">
        <v>6</v>
      </c>
      <c r="D235" s="1" t="s">
        <v>7</v>
      </c>
      <c r="E235" s="1" t="s">
        <v>10</v>
      </c>
      <c r="F235" s="1" t="s">
        <v>13</v>
      </c>
      <c r="G235" s="1">
        <v>12.77</v>
      </c>
      <c r="H235" s="1">
        <v>21.51</v>
      </c>
      <c r="I235" s="78">
        <v>41117.613888888889</v>
      </c>
      <c r="J235" s="1">
        <v>15.07</v>
      </c>
      <c r="K235" s="1" t="e">
        <v>#N/A</v>
      </c>
      <c r="L235" s="1" t="e">
        <v>#N/A</v>
      </c>
      <c r="M235" s="1" t="e">
        <v>#N/A</v>
      </c>
      <c r="N235" s="1" t="e">
        <v>#N/A</v>
      </c>
      <c r="O235" s="1" t="e">
        <v>#N/A</v>
      </c>
      <c r="P235" s="1" t="e">
        <v>#N/A</v>
      </c>
      <c r="Q235" s="1" t="e">
        <v>#N/A</v>
      </c>
      <c r="R235" s="1" t="e">
        <v>#N/A</v>
      </c>
      <c r="S235" s="98">
        <v>5097.7439999999997</v>
      </c>
    </row>
    <row r="236" spans="1:19" x14ac:dyDescent="0.25">
      <c r="A236" s="1">
        <v>2012</v>
      </c>
      <c r="B236" s="77">
        <v>41119</v>
      </c>
      <c r="C236" s="1" t="s">
        <v>6</v>
      </c>
      <c r="D236" s="1" t="s">
        <v>7</v>
      </c>
      <c r="E236" s="1" t="s">
        <v>12</v>
      </c>
      <c r="F236" s="1" t="s">
        <v>13</v>
      </c>
      <c r="G236" s="1">
        <v>12.8</v>
      </c>
      <c r="H236" s="1">
        <v>19.78</v>
      </c>
      <c r="I236" s="78">
        <v>41118.620833333334</v>
      </c>
      <c r="J236" s="1">
        <v>14.49</v>
      </c>
      <c r="K236" s="1" t="e">
        <v>#N/A</v>
      </c>
      <c r="L236" s="1" t="e">
        <v>#N/A</v>
      </c>
      <c r="M236" s="1" t="e">
        <v>#N/A</v>
      </c>
      <c r="N236" s="1" t="e">
        <v>#N/A</v>
      </c>
      <c r="O236" s="1" t="e">
        <v>#N/A</v>
      </c>
      <c r="P236" s="1" t="e">
        <v>#N/A</v>
      </c>
      <c r="Q236" s="1" t="e">
        <v>#N/A</v>
      </c>
      <c r="R236" s="1" t="e">
        <v>#N/A</v>
      </c>
      <c r="S236" s="98">
        <v>4466.3140000000003</v>
      </c>
    </row>
    <row r="237" spans="1:19" x14ac:dyDescent="0.25">
      <c r="A237" s="1">
        <v>2012</v>
      </c>
      <c r="B237" s="77">
        <v>41119</v>
      </c>
      <c r="C237" s="1" t="s">
        <v>6</v>
      </c>
      <c r="D237" s="1" t="s">
        <v>7</v>
      </c>
      <c r="E237" s="1" t="s">
        <v>10</v>
      </c>
      <c r="F237" s="1" t="s">
        <v>13</v>
      </c>
      <c r="G237" s="1">
        <v>12.8</v>
      </c>
      <c r="H237" s="1">
        <v>19.78</v>
      </c>
      <c r="I237" s="78">
        <v>41118.620833333334</v>
      </c>
      <c r="J237" s="1">
        <v>14.49</v>
      </c>
      <c r="K237" s="1" t="e">
        <v>#N/A</v>
      </c>
      <c r="L237" s="1" t="e">
        <v>#N/A</v>
      </c>
      <c r="M237" s="1" t="e">
        <v>#N/A</v>
      </c>
      <c r="N237" s="1" t="e">
        <v>#N/A</v>
      </c>
      <c r="O237" s="1" t="e">
        <v>#N/A</v>
      </c>
      <c r="P237" s="1" t="e">
        <v>#N/A</v>
      </c>
      <c r="Q237" s="1" t="e">
        <v>#N/A</v>
      </c>
      <c r="R237" s="1" t="e">
        <v>#N/A</v>
      </c>
      <c r="S237" s="98">
        <v>5156.2560000000003</v>
      </c>
    </row>
    <row r="238" spans="1:19" x14ac:dyDescent="0.25">
      <c r="A238" s="1">
        <v>2012</v>
      </c>
      <c r="B238" s="77">
        <v>41120</v>
      </c>
      <c r="C238" s="1" t="s">
        <v>6</v>
      </c>
      <c r="D238" s="1" t="s">
        <v>7</v>
      </c>
      <c r="E238" s="1" t="s">
        <v>12</v>
      </c>
      <c r="F238" s="1" t="s">
        <v>13</v>
      </c>
      <c r="G238" s="1">
        <v>12.82</v>
      </c>
      <c r="H238" s="1">
        <v>23.9</v>
      </c>
      <c r="I238" s="78">
        <v>41119.627083333333</v>
      </c>
      <c r="J238" s="1">
        <v>17.739999999999998</v>
      </c>
      <c r="K238" s="1" t="e">
        <v>#N/A</v>
      </c>
      <c r="L238" s="1" t="e">
        <v>#N/A</v>
      </c>
      <c r="M238" s="1" t="e">
        <v>#N/A</v>
      </c>
      <c r="N238" s="1" t="e">
        <v>#N/A</v>
      </c>
      <c r="O238" s="1" t="e">
        <v>#N/A</v>
      </c>
      <c r="P238" s="1" t="e">
        <v>#N/A</v>
      </c>
      <c r="Q238" s="1" t="e">
        <v>#N/A</v>
      </c>
      <c r="R238" s="1" t="e">
        <v>#N/A</v>
      </c>
      <c r="S238" s="98">
        <v>3883.3429999999998</v>
      </c>
    </row>
    <row r="239" spans="1:19" x14ac:dyDescent="0.25">
      <c r="A239" s="1">
        <v>2012</v>
      </c>
      <c r="B239" s="77">
        <v>41120</v>
      </c>
      <c r="C239" s="1" t="s">
        <v>6</v>
      </c>
      <c r="D239" s="1" t="s">
        <v>7</v>
      </c>
      <c r="E239" s="1" t="s">
        <v>10</v>
      </c>
      <c r="F239" s="1" t="s">
        <v>13</v>
      </c>
      <c r="G239" s="1">
        <v>12.82</v>
      </c>
      <c r="H239" s="1">
        <v>23.9</v>
      </c>
      <c r="I239" s="78">
        <v>41119.627083333333</v>
      </c>
      <c r="J239" s="1">
        <v>17.739999999999998</v>
      </c>
      <c r="K239" s="1" t="e">
        <v>#N/A</v>
      </c>
      <c r="L239" s="1" t="e">
        <v>#N/A</v>
      </c>
      <c r="M239" s="1" t="e">
        <v>#N/A</v>
      </c>
      <c r="N239" s="1" t="e">
        <v>#N/A</v>
      </c>
      <c r="O239" s="1" t="e">
        <v>#N/A</v>
      </c>
      <c r="P239" s="1" t="e">
        <v>#N/A</v>
      </c>
      <c r="Q239" s="1" t="e">
        <v>#N/A</v>
      </c>
      <c r="R239" s="1" t="e">
        <v>#N/A</v>
      </c>
      <c r="S239" s="98">
        <v>4844.5230000000001</v>
      </c>
    </row>
    <row r="240" spans="1:19" x14ac:dyDescent="0.25">
      <c r="A240" s="1">
        <v>2012</v>
      </c>
      <c r="B240" s="77">
        <v>41121</v>
      </c>
      <c r="C240" s="1" t="s">
        <v>6</v>
      </c>
      <c r="D240" s="1" t="s">
        <v>7</v>
      </c>
      <c r="E240" s="1" t="s">
        <v>12</v>
      </c>
      <c r="F240" s="1" t="s">
        <v>13</v>
      </c>
      <c r="G240" s="1">
        <v>12.77</v>
      </c>
      <c r="H240" s="1">
        <v>21.62</v>
      </c>
      <c r="I240" s="78">
        <v>41120.724999999999</v>
      </c>
      <c r="J240" s="1">
        <v>14.82</v>
      </c>
      <c r="K240" s="1" t="e">
        <v>#N/A</v>
      </c>
      <c r="L240" s="1" t="e">
        <v>#N/A</v>
      </c>
      <c r="M240" s="1" t="e">
        <v>#N/A</v>
      </c>
      <c r="N240" s="1" t="e">
        <v>#N/A</v>
      </c>
      <c r="O240" s="1" t="e">
        <v>#N/A</v>
      </c>
      <c r="P240" s="1" t="e">
        <v>#N/A</v>
      </c>
      <c r="Q240" s="1" t="e">
        <v>#N/A</v>
      </c>
      <c r="R240" s="1" t="e">
        <v>#N/A</v>
      </c>
      <c r="S240" s="98">
        <v>3625.49</v>
      </c>
    </row>
    <row r="241" spans="1:19" x14ac:dyDescent="0.25">
      <c r="A241" s="1">
        <v>2012</v>
      </c>
      <c r="B241" s="77">
        <v>41121</v>
      </c>
      <c r="C241" s="1" t="s">
        <v>6</v>
      </c>
      <c r="D241" s="1" t="s">
        <v>7</v>
      </c>
      <c r="E241" s="1" t="s">
        <v>10</v>
      </c>
      <c r="F241" s="1" t="s">
        <v>13</v>
      </c>
      <c r="G241" s="1">
        <v>12.77</v>
      </c>
      <c r="H241" s="1">
        <v>21.62</v>
      </c>
      <c r="I241" s="78">
        <v>41120.724999999999</v>
      </c>
      <c r="J241" s="1">
        <v>14.82</v>
      </c>
      <c r="K241" s="1" t="e">
        <v>#N/A</v>
      </c>
      <c r="L241" s="1" t="e">
        <v>#N/A</v>
      </c>
      <c r="M241" s="1" t="e">
        <v>#N/A</v>
      </c>
      <c r="N241" s="1" t="e">
        <v>#N/A</v>
      </c>
      <c r="O241" s="1" t="e">
        <v>#N/A</v>
      </c>
      <c r="P241" s="1" t="e">
        <v>#N/A</v>
      </c>
      <c r="Q241" s="1" t="e">
        <v>#N/A</v>
      </c>
      <c r="R241" s="1" t="e">
        <v>#N/A</v>
      </c>
      <c r="S241" s="98">
        <v>4996.6170000000002</v>
      </c>
    </row>
    <row r="242" spans="1:19" x14ac:dyDescent="0.25">
      <c r="A242" s="1">
        <v>2012</v>
      </c>
      <c r="B242" s="77">
        <v>41122</v>
      </c>
      <c r="C242" s="1" t="s">
        <v>6</v>
      </c>
      <c r="D242" s="1" t="s">
        <v>7</v>
      </c>
      <c r="E242" s="1" t="s">
        <v>12</v>
      </c>
      <c r="F242" s="1" t="s">
        <v>13</v>
      </c>
      <c r="G242" s="1">
        <v>12.76</v>
      </c>
      <c r="H242" s="1">
        <v>16.739999999999998</v>
      </c>
      <c r="I242" s="78">
        <v>41121.688194444447</v>
      </c>
      <c r="J242" s="1">
        <v>10.86</v>
      </c>
      <c r="K242" s="1" t="e">
        <v>#N/A</v>
      </c>
      <c r="L242" s="1" t="e">
        <v>#N/A</v>
      </c>
      <c r="M242" s="1" t="e">
        <v>#N/A</v>
      </c>
      <c r="N242" s="1" t="e">
        <v>#N/A</v>
      </c>
      <c r="O242" s="1" t="e">
        <v>#N/A</v>
      </c>
      <c r="P242" s="1" t="e">
        <v>#N/A</v>
      </c>
      <c r="Q242" s="1" t="e">
        <v>#N/A</v>
      </c>
      <c r="R242" s="1" t="e">
        <v>#N/A</v>
      </c>
      <c r="S242" s="98">
        <v>4490.9480000000003</v>
      </c>
    </row>
    <row r="243" spans="1:19" x14ac:dyDescent="0.25">
      <c r="A243" s="1">
        <v>2012</v>
      </c>
      <c r="B243" s="77">
        <v>41122</v>
      </c>
      <c r="C243" s="1" t="s">
        <v>6</v>
      </c>
      <c r="D243" s="1" t="s">
        <v>7</v>
      </c>
      <c r="E243" s="1" t="s">
        <v>10</v>
      </c>
      <c r="F243" s="1" t="s">
        <v>13</v>
      </c>
      <c r="G243" s="1">
        <v>12.76</v>
      </c>
      <c r="H243" s="1">
        <v>16.739999999999998</v>
      </c>
      <c r="I243" s="78">
        <v>41121.688194444447</v>
      </c>
      <c r="J243" s="1">
        <v>10.86</v>
      </c>
      <c r="K243" s="1" t="e">
        <v>#N/A</v>
      </c>
      <c r="L243" s="1" t="e">
        <v>#N/A</v>
      </c>
      <c r="M243" s="1" t="e">
        <v>#N/A</v>
      </c>
      <c r="N243" s="1" t="e">
        <v>#N/A</v>
      </c>
      <c r="O243" s="1" t="e">
        <v>#N/A</v>
      </c>
      <c r="P243" s="1" t="e">
        <v>#N/A</v>
      </c>
      <c r="Q243" s="1" t="e">
        <v>#N/A</v>
      </c>
      <c r="R243" s="1" t="e">
        <v>#N/A</v>
      </c>
      <c r="S243" s="98">
        <v>5540.9250000000002</v>
      </c>
    </row>
    <row r="244" spans="1:19" x14ac:dyDescent="0.25">
      <c r="A244" s="1">
        <v>2012</v>
      </c>
      <c r="B244" s="77">
        <v>41123</v>
      </c>
      <c r="C244" s="1" t="s">
        <v>6</v>
      </c>
      <c r="D244" s="1" t="s">
        <v>7</v>
      </c>
      <c r="E244" s="1" t="s">
        <v>12</v>
      </c>
      <c r="F244" s="1" t="s">
        <v>13</v>
      </c>
      <c r="G244" s="1">
        <v>12.76</v>
      </c>
      <c r="H244" s="1">
        <v>17.95</v>
      </c>
      <c r="I244" s="78">
        <v>41122.672222222223</v>
      </c>
      <c r="J244" s="1">
        <v>11.88</v>
      </c>
      <c r="K244" s="1" t="e">
        <v>#N/A</v>
      </c>
      <c r="L244" s="1" t="e">
        <v>#N/A</v>
      </c>
      <c r="M244" s="1" t="e">
        <v>#N/A</v>
      </c>
      <c r="N244" s="1" t="e">
        <v>#N/A</v>
      </c>
      <c r="O244" s="1" t="e">
        <v>#N/A</v>
      </c>
      <c r="P244" s="1" t="e">
        <v>#N/A</v>
      </c>
      <c r="Q244" s="1" t="e">
        <v>#N/A</v>
      </c>
      <c r="R244" s="1" t="e">
        <v>#N/A</v>
      </c>
      <c r="S244" s="98">
        <v>4636.91</v>
      </c>
    </row>
    <row r="245" spans="1:19" x14ac:dyDescent="0.25">
      <c r="A245" s="1">
        <v>2012</v>
      </c>
      <c r="B245" s="77">
        <v>41123</v>
      </c>
      <c r="C245" s="1" t="s">
        <v>6</v>
      </c>
      <c r="D245" s="1" t="s">
        <v>7</v>
      </c>
      <c r="E245" s="1" t="s">
        <v>10</v>
      </c>
      <c r="F245" s="1" t="s">
        <v>13</v>
      </c>
      <c r="G245" s="1">
        <v>12.76</v>
      </c>
      <c r="H245" s="1">
        <v>17.95</v>
      </c>
      <c r="I245" s="78">
        <v>41122.672222222223</v>
      </c>
      <c r="J245" s="1">
        <v>11.88</v>
      </c>
      <c r="K245" s="1" t="e">
        <v>#N/A</v>
      </c>
      <c r="L245" s="1" t="e">
        <v>#N/A</v>
      </c>
      <c r="M245" s="1" t="e">
        <v>#N/A</v>
      </c>
      <c r="N245" s="1" t="e">
        <v>#N/A</v>
      </c>
      <c r="O245" s="1" t="e">
        <v>#N/A</v>
      </c>
      <c r="P245" s="1" t="e">
        <v>#N/A</v>
      </c>
      <c r="Q245" s="1" t="e">
        <v>#N/A</v>
      </c>
      <c r="R245" s="1" t="e">
        <v>#N/A</v>
      </c>
      <c r="S245" s="98">
        <v>6051.9549999999999</v>
      </c>
    </row>
    <row r="246" spans="1:19" x14ac:dyDescent="0.25">
      <c r="A246" s="1">
        <v>2012</v>
      </c>
      <c r="B246" s="77">
        <v>41124</v>
      </c>
      <c r="C246" s="1" t="s">
        <v>6</v>
      </c>
      <c r="D246" s="1" t="s">
        <v>7</v>
      </c>
      <c r="E246" s="1" t="s">
        <v>12</v>
      </c>
      <c r="F246" s="1" t="s">
        <v>13</v>
      </c>
      <c r="G246" s="1">
        <v>12.76</v>
      </c>
      <c r="H246" s="1">
        <v>16.489999999999998</v>
      </c>
      <c r="I246" s="78">
        <v>41123.5625</v>
      </c>
      <c r="J246" s="1">
        <v>10.93</v>
      </c>
      <c r="K246" s="1" t="e">
        <v>#N/A</v>
      </c>
      <c r="L246" s="1" t="e">
        <v>#N/A</v>
      </c>
      <c r="M246" s="1" t="e">
        <v>#N/A</v>
      </c>
      <c r="N246" s="1" t="e">
        <v>#N/A</v>
      </c>
      <c r="O246" s="1" t="e">
        <v>#N/A</v>
      </c>
      <c r="P246" s="1" t="e">
        <v>#N/A</v>
      </c>
      <c r="Q246" s="1" t="e">
        <v>#N/A</v>
      </c>
      <c r="R246" s="1" t="e">
        <v>#N/A</v>
      </c>
      <c r="S246" s="98">
        <v>3196.431</v>
      </c>
    </row>
    <row r="247" spans="1:19" x14ac:dyDescent="0.25">
      <c r="A247" s="1">
        <v>2012</v>
      </c>
      <c r="B247" s="77">
        <v>41124</v>
      </c>
      <c r="C247" s="1" t="s">
        <v>6</v>
      </c>
      <c r="D247" s="1" t="s">
        <v>7</v>
      </c>
      <c r="E247" s="1" t="s">
        <v>10</v>
      </c>
      <c r="F247" s="1" t="s">
        <v>13</v>
      </c>
      <c r="G247" s="1">
        <v>12.76</v>
      </c>
      <c r="H247" s="1">
        <v>16.489999999999998</v>
      </c>
      <c r="I247" s="78">
        <v>41123.5625</v>
      </c>
      <c r="J247" s="1">
        <v>10.93</v>
      </c>
      <c r="K247" s="1" t="e">
        <v>#N/A</v>
      </c>
      <c r="L247" s="1" t="e">
        <v>#N/A</v>
      </c>
      <c r="M247" s="1" t="e">
        <v>#N/A</v>
      </c>
      <c r="N247" s="1" t="e">
        <v>#N/A</v>
      </c>
      <c r="O247" s="1" t="e">
        <v>#N/A</v>
      </c>
      <c r="P247" s="1" t="e">
        <v>#N/A</v>
      </c>
      <c r="Q247" s="1" t="e">
        <v>#N/A</v>
      </c>
      <c r="R247" s="1" t="e">
        <v>#N/A</v>
      </c>
      <c r="S247" s="98">
        <v>3852.9940000000001</v>
      </c>
    </row>
    <row r="248" spans="1:19" x14ac:dyDescent="0.25">
      <c r="A248" s="1">
        <v>2012</v>
      </c>
      <c r="B248" s="77">
        <v>41125</v>
      </c>
      <c r="C248" s="1" t="s">
        <v>6</v>
      </c>
      <c r="D248" s="1" t="s">
        <v>7</v>
      </c>
      <c r="E248" s="1" t="s">
        <v>12</v>
      </c>
      <c r="F248" s="1" t="s">
        <v>13</v>
      </c>
      <c r="G248" s="1">
        <v>12.76</v>
      </c>
      <c r="H248" s="1">
        <v>12.14</v>
      </c>
      <c r="I248" s="78">
        <v>41124.604861111111</v>
      </c>
      <c r="J248" s="1">
        <v>9.77</v>
      </c>
      <c r="K248" s="1" t="e">
        <v>#N/A</v>
      </c>
      <c r="L248" s="1" t="e">
        <v>#N/A</v>
      </c>
      <c r="M248" s="1" t="e">
        <v>#N/A</v>
      </c>
      <c r="N248" s="1" t="e">
        <v>#N/A</v>
      </c>
      <c r="O248" s="1" t="e">
        <v>#N/A</v>
      </c>
      <c r="P248" s="1" t="e">
        <v>#N/A</v>
      </c>
      <c r="Q248" s="1" t="e">
        <v>#N/A</v>
      </c>
      <c r="R248" s="1" t="e">
        <v>#N/A</v>
      </c>
      <c r="S248" s="98">
        <v>3147.7069999999999</v>
      </c>
    </row>
    <row r="249" spans="1:19" x14ac:dyDescent="0.25">
      <c r="A249" s="1">
        <v>2012</v>
      </c>
      <c r="B249" s="77">
        <v>41125</v>
      </c>
      <c r="C249" s="1" t="s">
        <v>6</v>
      </c>
      <c r="D249" s="1" t="s">
        <v>7</v>
      </c>
      <c r="E249" s="1" t="s">
        <v>10</v>
      </c>
      <c r="F249" s="1" t="s">
        <v>13</v>
      </c>
      <c r="G249" s="1">
        <v>12.76</v>
      </c>
      <c r="H249" s="1">
        <v>12.14</v>
      </c>
      <c r="I249" s="78">
        <v>41124.604861111111</v>
      </c>
      <c r="J249" s="1">
        <v>9.77</v>
      </c>
      <c r="K249" s="1" t="e">
        <v>#N/A</v>
      </c>
      <c r="L249" s="1" t="e">
        <v>#N/A</v>
      </c>
      <c r="M249" s="1" t="e">
        <v>#N/A</v>
      </c>
      <c r="N249" s="1" t="e">
        <v>#N/A</v>
      </c>
      <c r="O249" s="1" t="e">
        <v>#N/A</v>
      </c>
      <c r="P249" s="1" t="e">
        <v>#N/A</v>
      </c>
      <c r="Q249" s="1" t="e">
        <v>#N/A</v>
      </c>
      <c r="R249" s="1" t="e">
        <v>#N/A</v>
      </c>
      <c r="S249" s="98">
        <v>3672.4839999999999</v>
      </c>
    </row>
    <row r="250" spans="1:19" x14ac:dyDescent="0.25">
      <c r="A250" s="1">
        <v>2012</v>
      </c>
      <c r="B250" s="77">
        <v>41126</v>
      </c>
      <c r="C250" s="1" t="s">
        <v>6</v>
      </c>
      <c r="D250" s="1" t="s">
        <v>7</v>
      </c>
      <c r="E250" s="1" t="s">
        <v>12</v>
      </c>
      <c r="F250" s="1" t="s">
        <v>13</v>
      </c>
      <c r="G250" s="1">
        <v>12.75</v>
      </c>
      <c r="H250" s="1">
        <v>14.21</v>
      </c>
      <c r="I250" s="78">
        <v>41125.620833333334</v>
      </c>
      <c r="J250" s="1">
        <v>9.17</v>
      </c>
      <c r="K250" s="1" t="e">
        <v>#N/A</v>
      </c>
      <c r="L250" s="1" t="e">
        <v>#N/A</v>
      </c>
      <c r="M250" s="1" t="e">
        <v>#N/A</v>
      </c>
      <c r="N250" s="1" t="e">
        <v>#N/A</v>
      </c>
      <c r="O250" s="1" t="e">
        <v>#N/A</v>
      </c>
      <c r="P250" s="1" t="e">
        <v>#N/A</v>
      </c>
      <c r="Q250" s="1" t="e">
        <v>#N/A</v>
      </c>
      <c r="R250" s="1" t="e">
        <v>#N/A</v>
      </c>
      <c r="S250" s="98">
        <v>3575.8290000000002</v>
      </c>
    </row>
    <row r="251" spans="1:19" x14ac:dyDescent="0.25">
      <c r="A251" s="1">
        <v>2012</v>
      </c>
      <c r="B251" s="77">
        <v>41126</v>
      </c>
      <c r="C251" s="1" t="s">
        <v>6</v>
      </c>
      <c r="D251" s="1" t="s">
        <v>7</v>
      </c>
      <c r="E251" s="1" t="s">
        <v>10</v>
      </c>
      <c r="F251" s="1" t="s">
        <v>13</v>
      </c>
      <c r="G251" s="1">
        <v>12.75</v>
      </c>
      <c r="H251" s="1">
        <v>14.21</v>
      </c>
      <c r="I251" s="78">
        <v>41125.620833333334</v>
      </c>
      <c r="J251" s="1">
        <v>9.17</v>
      </c>
      <c r="K251" s="1" t="e">
        <v>#N/A</v>
      </c>
      <c r="L251" s="1" t="e">
        <v>#N/A</v>
      </c>
      <c r="M251" s="1" t="e">
        <v>#N/A</v>
      </c>
      <c r="N251" s="1" t="e">
        <v>#N/A</v>
      </c>
      <c r="O251" s="1" t="e">
        <v>#N/A</v>
      </c>
      <c r="P251" s="1" t="e">
        <v>#N/A</v>
      </c>
      <c r="Q251" s="1" t="e">
        <v>#N/A</v>
      </c>
      <c r="R251" s="1" t="e">
        <v>#N/A</v>
      </c>
      <c r="S251" s="98">
        <v>4723.6459999999997</v>
      </c>
    </row>
    <row r="252" spans="1:19" x14ac:dyDescent="0.25">
      <c r="A252" s="1">
        <v>2012</v>
      </c>
      <c r="B252" s="77">
        <v>41127</v>
      </c>
      <c r="C252" s="1" t="s">
        <v>6</v>
      </c>
      <c r="D252" s="1" t="s">
        <v>7</v>
      </c>
      <c r="E252" s="1" t="s">
        <v>12</v>
      </c>
      <c r="F252" s="1" t="s">
        <v>13</v>
      </c>
      <c r="G252" s="1">
        <v>12.75</v>
      </c>
      <c r="H252" s="1">
        <v>17.77</v>
      </c>
      <c r="I252" s="78">
        <v>41126.643055555556</v>
      </c>
      <c r="J252" s="1">
        <v>10.38</v>
      </c>
      <c r="K252" s="1" t="e">
        <v>#N/A</v>
      </c>
      <c r="L252" s="1" t="e">
        <v>#N/A</v>
      </c>
      <c r="M252" s="1" t="e">
        <v>#N/A</v>
      </c>
      <c r="N252" s="1" t="e">
        <v>#N/A</v>
      </c>
      <c r="O252" s="1" t="e">
        <v>#N/A</v>
      </c>
      <c r="P252" s="1" t="e">
        <v>#N/A</v>
      </c>
      <c r="Q252" s="1" t="e">
        <v>#N/A</v>
      </c>
      <c r="R252" s="1" t="e">
        <v>#N/A</v>
      </c>
      <c r="S252" s="98">
        <v>3522.6669999999999</v>
      </c>
    </row>
    <row r="253" spans="1:19" x14ac:dyDescent="0.25">
      <c r="A253" s="1">
        <v>2012</v>
      </c>
      <c r="B253" s="77">
        <v>41127</v>
      </c>
      <c r="C253" s="1" t="s">
        <v>6</v>
      </c>
      <c r="D253" s="1" t="s">
        <v>7</v>
      </c>
      <c r="E253" s="1" t="s">
        <v>10</v>
      </c>
      <c r="F253" s="1" t="s">
        <v>13</v>
      </c>
      <c r="G253" s="1">
        <v>12.75</v>
      </c>
      <c r="H253" s="1">
        <v>17.77</v>
      </c>
      <c r="I253" s="78">
        <v>41126.643055555556</v>
      </c>
      <c r="J253" s="1">
        <v>10.38</v>
      </c>
      <c r="K253" s="1" t="e">
        <v>#N/A</v>
      </c>
      <c r="L253" s="1" t="e">
        <v>#N/A</v>
      </c>
      <c r="M253" s="1" t="e">
        <v>#N/A</v>
      </c>
      <c r="N253" s="1" t="e">
        <v>#N/A</v>
      </c>
      <c r="O253" s="1" t="e">
        <v>#N/A</v>
      </c>
      <c r="P253" s="1" t="e">
        <v>#N/A</v>
      </c>
      <c r="Q253" s="1" t="e">
        <v>#N/A</v>
      </c>
      <c r="R253" s="1" t="e">
        <v>#N/A</v>
      </c>
      <c r="S253" s="98">
        <v>4295.4579999999996</v>
      </c>
    </row>
    <row r="254" spans="1:19" x14ac:dyDescent="0.25">
      <c r="A254" s="1">
        <v>2012</v>
      </c>
      <c r="B254" s="77">
        <v>41128</v>
      </c>
      <c r="C254" s="1" t="s">
        <v>6</v>
      </c>
      <c r="D254" s="1" t="s">
        <v>7</v>
      </c>
      <c r="E254" s="1" t="s">
        <v>12</v>
      </c>
      <c r="F254" s="1" t="s">
        <v>13</v>
      </c>
      <c r="G254" s="1">
        <v>12.7</v>
      </c>
      <c r="H254" s="1">
        <v>9.91</v>
      </c>
      <c r="I254" s="78">
        <v>41127.40902777778</v>
      </c>
      <c r="J254" s="1">
        <v>6.1449999999999996</v>
      </c>
      <c r="K254" s="1" t="e">
        <v>#N/A</v>
      </c>
      <c r="L254" s="1" t="e">
        <v>#N/A</v>
      </c>
      <c r="M254" s="1" t="e">
        <v>#N/A</v>
      </c>
      <c r="N254" s="1" t="e">
        <v>#N/A</v>
      </c>
      <c r="O254" s="1" t="e">
        <v>#N/A</v>
      </c>
      <c r="P254" s="1" t="e">
        <v>#N/A</v>
      </c>
      <c r="Q254" s="1" t="e">
        <v>#N/A</v>
      </c>
      <c r="R254" s="1" t="e">
        <v>#N/A</v>
      </c>
      <c r="S254" s="98">
        <v>851.1431</v>
      </c>
    </row>
    <row r="255" spans="1:19" x14ac:dyDescent="0.25">
      <c r="A255" s="1">
        <v>2012</v>
      </c>
      <c r="B255" s="77">
        <v>41128</v>
      </c>
      <c r="C255" s="1" t="s">
        <v>6</v>
      </c>
      <c r="D255" s="1" t="s">
        <v>7</v>
      </c>
      <c r="E255" s="1" t="s">
        <v>10</v>
      </c>
      <c r="F255" s="1" t="s">
        <v>13</v>
      </c>
      <c r="G255" s="1">
        <v>12.7</v>
      </c>
      <c r="H255" s="1">
        <v>9.91</v>
      </c>
      <c r="I255" s="78">
        <v>41127.40902777778</v>
      </c>
      <c r="J255" s="1">
        <v>6.1449999999999996</v>
      </c>
      <c r="K255" s="1" t="e">
        <v>#N/A</v>
      </c>
      <c r="L255" s="1" t="e">
        <v>#N/A</v>
      </c>
      <c r="M255" s="1" t="e">
        <v>#N/A</v>
      </c>
      <c r="N255" s="1" t="e">
        <v>#N/A</v>
      </c>
      <c r="O255" s="1" t="e">
        <v>#N/A</v>
      </c>
      <c r="P255" s="1" t="e">
        <v>#N/A</v>
      </c>
      <c r="Q255" s="1" t="e">
        <v>#N/A</v>
      </c>
      <c r="R255" s="1" t="e">
        <v>#N/A</v>
      </c>
      <c r="S255" s="98">
        <v>1758.2190000000001</v>
      </c>
    </row>
    <row r="256" spans="1:19" x14ac:dyDescent="0.25">
      <c r="A256" s="1">
        <v>2012</v>
      </c>
      <c r="B256" s="77">
        <v>41129</v>
      </c>
      <c r="C256" s="1" t="s">
        <v>6</v>
      </c>
      <c r="D256" s="1" t="s">
        <v>7</v>
      </c>
      <c r="E256" s="1" t="s">
        <v>12</v>
      </c>
      <c r="F256" s="1" t="s">
        <v>13</v>
      </c>
      <c r="G256" s="1">
        <v>12.65</v>
      </c>
      <c r="H256" s="1">
        <v>11.45</v>
      </c>
      <c r="I256" s="78">
        <v>41128.627083333333</v>
      </c>
      <c r="J256" s="1">
        <v>4.8529999999999998</v>
      </c>
      <c r="K256" s="1" t="e">
        <v>#N/A</v>
      </c>
      <c r="L256" s="1" t="e">
        <v>#N/A</v>
      </c>
      <c r="M256" s="1" t="e">
        <v>#N/A</v>
      </c>
      <c r="N256" s="1" t="e">
        <v>#N/A</v>
      </c>
      <c r="O256" s="1" t="e">
        <v>#N/A</v>
      </c>
      <c r="P256" s="1" t="e">
        <v>#N/A</v>
      </c>
      <c r="Q256" s="1" t="e">
        <v>#N/A</v>
      </c>
      <c r="R256" s="1" t="e">
        <v>#N/A</v>
      </c>
      <c r="S256" s="98">
        <v>2384.4290000000001</v>
      </c>
    </row>
    <row r="257" spans="1:19" x14ac:dyDescent="0.25">
      <c r="A257" s="1">
        <v>2012</v>
      </c>
      <c r="B257" s="77">
        <v>41129</v>
      </c>
      <c r="C257" s="1" t="s">
        <v>6</v>
      </c>
      <c r="D257" s="1" t="s">
        <v>7</v>
      </c>
      <c r="E257" s="1" t="s">
        <v>10</v>
      </c>
      <c r="F257" s="1" t="s">
        <v>13</v>
      </c>
      <c r="G257" s="1">
        <v>12.65</v>
      </c>
      <c r="H257" s="1">
        <v>11.45</v>
      </c>
      <c r="I257" s="78">
        <v>41128.627083333333</v>
      </c>
      <c r="J257" s="1">
        <v>4.8529999999999998</v>
      </c>
      <c r="K257" s="1" t="e">
        <v>#N/A</v>
      </c>
      <c r="L257" s="1" t="e">
        <v>#N/A</v>
      </c>
      <c r="M257" s="1" t="e">
        <v>#N/A</v>
      </c>
      <c r="N257" s="1" t="e">
        <v>#N/A</v>
      </c>
      <c r="O257" s="1" t="e">
        <v>#N/A</v>
      </c>
      <c r="P257" s="1" t="e">
        <v>#N/A</v>
      </c>
      <c r="Q257" s="1" t="e">
        <v>#N/A</v>
      </c>
      <c r="R257" s="1" t="e">
        <v>#N/A</v>
      </c>
      <c r="S257" s="98">
        <v>4802.1130000000003</v>
      </c>
    </row>
    <row r="258" spans="1:19" x14ac:dyDescent="0.25">
      <c r="A258" s="1">
        <v>2012</v>
      </c>
      <c r="B258" s="77">
        <v>41130</v>
      </c>
      <c r="C258" s="1" t="s">
        <v>6</v>
      </c>
      <c r="D258" s="1" t="s">
        <v>7</v>
      </c>
      <c r="E258" s="1" t="s">
        <v>12</v>
      </c>
      <c r="F258" s="1" t="s">
        <v>13</v>
      </c>
      <c r="G258" s="1">
        <v>12.83</v>
      </c>
      <c r="H258" s="1">
        <v>12.7</v>
      </c>
      <c r="I258" s="78">
        <v>41129.607638888891</v>
      </c>
      <c r="J258" s="1">
        <v>6.9210000000000003</v>
      </c>
      <c r="K258" s="1" t="e">
        <v>#N/A</v>
      </c>
      <c r="L258" s="1" t="e">
        <v>#N/A</v>
      </c>
      <c r="M258" s="1" t="e">
        <v>#N/A</v>
      </c>
      <c r="N258" s="1" t="e">
        <v>#N/A</v>
      </c>
      <c r="O258" s="1" t="e">
        <v>#N/A</v>
      </c>
      <c r="P258" s="1" t="e">
        <v>#N/A</v>
      </c>
      <c r="Q258" s="1" t="e">
        <v>#N/A</v>
      </c>
      <c r="R258" s="1" t="e">
        <v>#N/A</v>
      </c>
      <c r="S258" s="98">
        <v>2415.3000000000002</v>
      </c>
    </row>
    <row r="259" spans="1:19" x14ac:dyDescent="0.25">
      <c r="A259" s="1">
        <v>2012</v>
      </c>
      <c r="B259" s="77">
        <v>41130</v>
      </c>
      <c r="C259" s="1" t="s">
        <v>6</v>
      </c>
      <c r="D259" s="1" t="s">
        <v>7</v>
      </c>
      <c r="E259" s="1" t="s">
        <v>10</v>
      </c>
      <c r="F259" s="1" t="s">
        <v>13</v>
      </c>
      <c r="G259" s="1">
        <v>12.83</v>
      </c>
      <c r="H259" s="1">
        <v>12.7</v>
      </c>
      <c r="I259" s="78">
        <v>41129.607638888891</v>
      </c>
      <c r="J259" s="1">
        <v>6.9210000000000003</v>
      </c>
      <c r="K259" s="1" t="e">
        <v>#N/A</v>
      </c>
      <c r="L259" s="1" t="e">
        <v>#N/A</v>
      </c>
      <c r="M259" s="1" t="e">
        <v>#N/A</v>
      </c>
      <c r="N259" s="1" t="e">
        <v>#N/A</v>
      </c>
      <c r="O259" s="1" t="e">
        <v>#N/A</v>
      </c>
      <c r="P259" s="1" t="e">
        <v>#N/A</v>
      </c>
      <c r="Q259" s="1" t="e">
        <v>#N/A</v>
      </c>
      <c r="R259" s="1" t="e">
        <v>#N/A</v>
      </c>
      <c r="S259" s="98">
        <v>5343.723</v>
      </c>
    </row>
    <row r="260" spans="1:19" x14ac:dyDescent="0.25">
      <c r="A260" s="1">
        <v>2012</v>
      </c>
      <c r="B260" s="77">
        <v>41131</v>
      </c>
      <c r="C260" s="1" t="s">
        <v>6</v>
      </c>
      <c r="D260" s="1" t="s">
        <v>7</v>
      </c>
      <c r="E260" s="1" t="s">
        <v>12</v>
      </c>
      <c r="F260" s="1" t="s">
        <v>13</v>
      </c>
      <c r="G260" s="1">
        <v>12.81</v>
      </c>
      <c r="H260" s="1">
        <v>17.89</v>
      </c>
      <c r="I260" s="78">
        <v>41130.682638888888</v>
      </c>
      <c r="J260" s="1">
        <v>9.9700000000000006</v>
      </c>
      <c r="K260" s="1" t="e">
        <v>#N/A</v>
      </c>
      <c r="L260" s="1" t="e">
        <v>#N/A</v>
      </c>
      <c r="M260" s="1" t="e">
        <v>#N/A</v>
      </c>
      <c r="N260" s="1" t="e">
        <v>#N/A</v>
      </c>
      <c r="O260" s="1" t="e">
        <v>#N/A</v>
      </c>
      <c r="P260" s="1" t="e">
        <v>#N/A</v>
      </c>
      <c r="Q260" s="1" t="e">
        <v>#N/A</v>
      </c>
      <c r="R260" s="1" t="e">
        <v>#N/A</v>
      </c>
      <c r="S260" s="98">
        <v>2488.8820000000001</v>
      </c>
    </row>
    <row r="261" spans="1:19" x14ac:dyDescent="0.25">
      <c r="A261" s="1">
        <v>2012</v>
      </c>
      <c r="B261" s="77">
        <v>41131</v>
      </c>
      <c r="C261" s="1" t="s">
        <v>6</v>
      </c>
      <c r="D261" s="1" t="s">
        <v>7</v>
      </c>
      <c r="E261" s="1" t="s">
        <v>10</v>
      </c>
      <c r="F261" s="1" t="s">
        <v>13</v>
      </c>
      <c r="G261" s="1">
        <v>12.81</v>
      </c>
      <c r="H261" s="1">
        <v>17.89</v>
      </c>
      <c r="I261" s="78">
        <v>41130.682638888888</v>
      </c>
      <c r="J261" s="1">
        <v>9.9700000000000006</v>
      </c>
      <c r="K261" s="1" t="e">
        <v>#N/A</v>
      </c>
      <c r="L261" s="1" t="e">
        <v>#N/A</v>
      </c>
      <c r="M261" s="1" t="e">
        <v>#N/A</v>
      </c>
      <c r="N261" s="1" t="e">
        <v>#N/A</v>
      </c>
      <c r="O261" s="1" t="e">
        <v>#N/A</v>
      </c>
      <c r="P261" s="1" t="e">
        <v>#N/A</v>
      </c>
      <c r="Q261" s="1" t="e">
        <v>#N/A</v>
      </c>
      <c r="R261" s="1" t="e">
        <v>#N/A</v>
      </c>
      <c r="S261" s="98">
        <v>5822.39</v>
      </c>
    </row>
    <row r="262" spans="1:19" x14ac:dyDescent="0.25">
      <c r="A262" s="1">
        <v>2012</v>
      </c>
      <c r="B262" s="77">
        <v>41132</v>
      </c>
      <c r="C262" s="1" t="s">
        <v>6</v>
      </c>
      <c r="D262" s="1" t="s">
        <v>7</v>
      </c>
      <c r="E262" s="1" t="s">
        <v>12</v>
      </c>
      <c r="F262" s="1" t="s">
        <v>13</v>
      </c>
      <c r="G262" s="1">
        <v>12.78</v>
      </c>
      <c r="H262" s="1">
        <v>11.47</v>
      </c>
      <c r="I262" s="78">
        <v>41131.771527777775</v>
      </c>
      <c r="J262" s="1">
        <v>7.891</v>
      </c>
      <c r="K262" s="1" t="e">
        <v>#N/A</v>
      </c>
      <c r="L262" s="1" t="e">
        <v>#N/A</v>
      </c>
      <c r="M262" s="1" t="e">
        <v>#N/A</v>
      </c>
      <c r="N262" s="1" t="e">
        <v>#N/A</v>
      </c>
      <c r="O262" s="1" t="e">
        <v>#N/A</v>
      </c>
      <c r="P262" s="1" t="e">
        <v>#N/A</v>
      </c>
      <c r="Q262" s="1" t="e">
        <v>#N/A</v>
      </c>
      <c r="R262" s="1" t="e">
        <v>#N/A</v>
      </c>
      <c r="S262" s="98">
        <v>1206.633</v>
      </c>
    </row>
    <row r="263" spans="1:19" x14ac:dyDescent="0.25">
      <c r="A263" s="1">
        <v>2012</v>
      </c>
      <c r="B263" s="77">
        <v>41132</v>
      </c>
      <c r="C263" s="1" t="s">
        <v>6</v>
      </c>
      <c r="D263" s="1" t="s">
        <v>7</v>
      </c>
      <c r="E263" s="1" t="s">
        <v>10</v>
      </c>
      <c r="F263" s="1" t="s">
        <v>13</v>
      </c>
      <c r="G263" s="1">
        <v>12.78</v>
      </c>
      <c r="H263" s="1">
        <v>11.47</v>
      </c>
      <c r="I263" s="78">
        <v>41131.771527777775</v>
      </c>
      <c r="J263" s="1">
        <v>7.891</v>
      </c>
      <c r="K263" s="1" t="e">
        <v>#N/A</v>
      </c>
      <c r="L263" s="1" t="e">
        <v>#N/A</v>
      </c>
      <c r="M263" s="1" t="e">
        <v>#N/A</v>
      </c>
      <c r="N263" s="1" t="e">
        <v>#N/A</v>
      </c>
      <c r="O263" s="1" t="e">
        <v>#N/A</v>
      </c>
      <c r="P263" s="1" t="e">
        <v>#N/A</v>
      </c>
      <c r="Q263" s="1" t="e">
        <v>#N/A</v>
      </c>
      <c r="R263" s="1" t="e">
        <v>#N/A</v>
      </c>
      <c r="S263" s="98">
        <v>2854.1280000000002</v>
      </c>
    </row>
    <row r="264" spans="1:19" x14ac:dyDescent="0.25">
      <c r="A264" s="1">
        <v>2012</v>
      </c>
      <c r="B264" s="77">
        <v>41133</v>
      </c>
      <c r="C264" s="1" t="s">
        <v>6</v>
      </c>
      <c r="D264" s="1" t="s">
        <v>7</v>
      </c>
      <c r="E264" s="1" t="s">
        <v>12</v>
      </c>
      <c r="F264" s="1" t="s">
        <v>13</v>
      </c>
      <c r="G264" s="1">
        <v>12.75</v>
      </c>
      <c r="H264" s="1">
        <v>13.21</v>
      </c>
      <c r="I264" s="78">
        <v>41132.638888888891</v>
      </c>
      <c r="J264" s="1">
        <v>8.6</v>
      </c>
      <c r="K264" s="1" t="e">
        <v>#N/A</v>
      </c>
      <c r="L264" s="1" t="e">
        <v>#N/A</v>
      </c>
      <c r="M264" s="1" t="e">
        <v>#N/A</v>
      </c>
      <c r="N264" s="1" t="e">
        <v>#N/A</v>
      </c>
      <c r="O264" s="1" t="e">
        <v>#N/A</v>
      </c>
      <c r="P264" s="1" t="e">
        <v>#N/A</v>
      </c>
      <c r="Q264" s="1" t="e">
        <v>#N/A</v>
      </c>
      <c r="R264" s="1" t="e">
        <v>#N/A</v>
      </c>
      <c r="S264" s="98">
        <v>1887.74</v>
      </c>
    </row>
    <row r="265" spans="1:19" x14ac:dyDescent="0.25">
      <c r="A265" s="1">
        <v>2012</v>
      </c>
      <c r="B265" s="77">
        <v>41133</v>
      </c>
      <c r="C265" s="1" t="s">
        <v>6</v>
      </c>
      <c r="D265" s="1" t="s">
        <v>7</v>
      </c>
      <c r="E265" s="1" t="s">
        <v>10</v>
      </c>
      <c r="F265" s="1" t="s">
        <v>13</v>
      </c>
      <c r="G265" s="1">
        <v>12.75</v>
      </c>
      <c r="H265" s="1">
        <v>13.21</v>
      </c>
      <c r="I265" s="78">
        <v>41132.638888888891</v>
      </c>
      <c r="J265" s="1">
        <v>8.6</v>
      </c>
      <c r="K265" s="1" t="e">
        <v>#N/A</v>
      </c>
      <c r="L265" s="1" t="e">
        <v>#N/A</v>
      </c>
      <c r="M265" s="1" t="e">
        <v>#N/A</v>
      </c>
      <c r="N265" s="1" t="e">
        <v>#N/A</v>
      </c>
      <c r="O265" s="1" t="e">
        <v>#N/A</v>
      </c>
      <c r="P265" s="1" t="e">
        <v>#N/A</v>
      </c>
      <c r="Q265" s="1" t="e">
        <v>#N/A</v>
      </c>
      <c r="R265" s="1" t="e">
        <v>#N/A</v>
      </c>
      <c r="S265" s="98">
        <v>4370.8900000000003</v>
      </c>
    </row>
    <row r="266" spans="1:19" x14ac:dyDescent="0.25">
      <c r="A266" s="1">
        <v>2012</v>
      </c>
      <c r="B266" s="77">
        <v>41134</v>
      </c>
      <c r="C266" s="1" t="s">
        <v>6</v>
      </c>
      <c r="D266" s="1" t="s">
        <v>7</v>
      </c>
      <c r="E266" s="1" t="s">
        <v>12</v>
      </c>
      <c r="F266" s="1" t="s">
        <v>13</v>
      </c>
      <c r="G266" s="1">
        <v>12.77</v>
      </c>
      <c r="H266" s="1">
        <v>17.72</v>
      </c>
      <c r="I266" s="78">
        <v>41133.642361111109</v>
      </c>
      <c r="J266" s="1">
        <v>10.24</v>
      </c>
      <c r="K266" s="1" t="e">
        <v>#N/A</v>
      </c>
      <c r="L266" s="1" t="e">
        <v>#N/A</v>
      </c>
      <c r="M266" s="1" t="e">
        <v>#N/A</v>
      </c>
      <c r="N266" s="1" t="e">
        <v>#N/A</v>
      </c>
      <c r="O266" s="1" t="e">
        <v>#N/A</v>
      </c>
      <c r="P266" s="1" t="e">
        <v>#N/A</v>
      </c>
      <c r="Q266" s="1" t="e">
        <v>#N/A</v>
      </c>
      <c r="R266" s="1" t="e">
        <v>#N/A</v>
      </c>
      <c r="S266" s="98">
        <v>2225.5650000000001</v>
      </c>
    </row>
    <row r="267" spans="1:19" x14ac:dyDescent="0.25">
      <c r="A267" s="1">
        <v>2012</v>
      </c>
      <c r="B267" s="77">
        <v>41134</v>
      </c>
      <c r="C267" s="1" t="s">
        <v>6</v>
      </c>
      <c r="D267" s="1" t="s">
        <v>7</v>
      </c>
      <c r="E267" s="1" t="s">
        <v>10</v>
      </c>
      <c r="F267" s="1" t="s">
        <v>13</v>
      </c>
      <c r="G267" s="1">
        <v>12.77</v>
      </c>
      <c r="H267" s="1">
        <v>17.72</v>
      </c>
      <c r="I267" s="78">
        <v>41133.642361111109</v>
      </c>
      <c r="J267" s="1">
        <v>10.24</v>
      </c>
      <c r="K267" s="1" t="e">
        <v>#N/A</v>
      </c>
      <c r="L267" s="1" t="e">
        <v>#N/A</v>
      </c>
      <c r="M267" s="1" t="e">
        <v>#N/A</v>
      </c>
      <c r="N267" s="1" t="e">
        <v>#N/A</v>
      </c>
      <c r="O267" s="1" t="e">
        <v>#N/A</v>
      </c>
      <c r="P267" s="1" t="e">
        <v>#N/A</v>
      </c>
      <c r="Q267" s="1" t="e">
        <v>#N/A</v>
      </c>
      <c r="R267" s="1" t="e">
        <v>#N/A</v>
      </c>
      <c r="S267" s="98">
        <v>3958.3029999999999</v>
      </c>
    </row>
    <row r="268" spans="1:19" x14ac:dyDescent="0.25">
      <c r="A268" s="1">
        <v>2012</v>
      </c>
      <c r="B268" s="77">
        <v>41135</v>
      </c>
      <c r="C268" s="1" t="s">
        <v>6</v>
      </c>
      <c r="D268" s="1" t="s">
        <v>7</v>
      </c>
      <c r="E268" s="1" t="s">
        <v>12</v>
      </c>
      <c r="F268" s="1" t="s">
        <v>13</v>
      </c>
      <c r="G268" s="1">
        <v>12.73</v>
      </c>
      <c r="H268" s="1">
        <v>21.86</v>
      </c>
      <c r="I268" s="78">
        <v>41134.67291666667</v>
      </c>
      <c r="J268" s="1">
        <v>11.85</v>
      </c>
      <c r="K268" s="1" t="e">
        <v>#N/A</v>
      </c>
      <c r="L268" s="1" t="e">
        <v>#N/A</v>
      </c>
      <c r="M268" s="1" t="e">
        <v>#N/A</v>
      </c>
      <c r="N268" s="1" t="e">
        <v>#N/A</v>
      </c>
      <c r="O268" s="1" t="e">
        <v>#N/A</v>
      </c>
      <c r="P268" s="1" t="e">
        <v>#N/A</v>
      </c>
      <c r="Q268" s="1" t="e">
        <v>#N/A</v>
      </c>
      <c r="R268" s="1" t="e">
        <v>#N/A</v>
      </c>
      <c r="S268" s="98">
        <v>1980.365</v>
      </c>
    </row>
    <row r="269" spans="1:19" x14ac:dyDescent="0.25">
      <c r="A269" s="1">
        <v>2012</v>
      </c>
      <c r="B269" s="77">
        <v>41135</v>
      </c>
      <c r="C269" s="1" t="s">
        <v>6</v>
      </c>
      <c r="D269" s="1" t="s">
        <v>7</v>
      </c>
      <c r="E269" s="1" t="s">
        <v>10</v>
      </c>
      <c r="F269" s="1" t="s">
        <v>13</v>
      </c>
      <c r="G269" s="1">
        <v>12.73</v>
      </c>
      <c r="H269" s="1">
        <v>21.86</v>
      </c>
      <c r="I269" s="78">
        <v>41134.67291666667</v>
      </c>
      <c r="J269" s="1">
        <v>11.85</v>
      </c>
      <c r="K269" s="1" t="e">
        <v>#N/A</v>
      </c>
      <c r="L269" s="1" t="e">
        <v>#N/A</v>
      </c>
      <c r="M269" s="1" t="e">
        <v>#N/A</v>
      </c>
      <c r="N269" s="1" t="e">
        <v>#N/A</v>
      </c>
      <c r="O269" s="1" t="e">
        <v>#N/A</v>
      </c>
      <c r="P269" s="1" t="e">
        <v>#N/A</v>
      </c>
      <c r="Q269" s="1" t="e">
        <v>#N/A</v>
      </c>
      <c r="R269" s="1" t="e">
        <v>#N/A</v>
      </c>
      <c r="S269" s="98">
        <v>3853.6729999999998</v>
      </c>
    </row>
    <row r="270" spans="1:19" x14ac:dyDescent="0.25">
      <c r="A270" s="1">
        <v>2012</v>
      </c>
      <c r="B270" s="77">
        <v>41089</v>
      </c>
      <c r="C270" s="1" t="s">
        <v>6</v>
      </c>
      <c r="D270" s="1" t="s">
        <v>8</v>
      </c>
      <c r="E270" s="1" t="s">
        <v>12</v>
      </c>
      <c r="F270" s="1" t="s">
        <v>13</v>
      </c>
      <c r="G270" s="1">
        <v>12.79</v>
      </c>
      <c r="H270" s="1">
        <v>13.75</v>
      </c>
      <c r="I270" s="78">
        <v>41088.658333333333</v>
      </c>
      <c r="J270" s="1">
        <v>11.94</v>
      </c>
      <c r="K270" s="1" t="e">
        <v>#N/A</v>
      </c>
      <c r="L270" s="1" t="e">
        <v>#N/A</v>
      </c>
      <c r="M270" s="1" t="e">
        <v>#N/A</v>
      </c>
      <c r="N270" s="1" t="e">
        <v>#N/A</v>
      </c>
      <c r="O270" s="1" t="e">
        <v>#N/A</v>
      </c>
      <c r="P270" s="1" t="e">
        <v>#N/A</v>
      </c>
      <c r="Q270" s="1" t="e">
        <v>#N/A</v>
      </c>
      <c r="R270" s="1" t="e">
        <v>#N/A</v>
      </c>
      <c r="S270" s="98">
        <v>6026.3130000000001</v>
      </c>
    </row>
    <row r="271" spans="1:19" x14ac:dyDescent="0.25">
      <c r="A271" s="1">
        <v>2012</v>
      </c>
      <c r="B271" s="77">
        <v>41089</v>
      </c>
      <c r="C271" s="1" t="s">
        <v>6</v>
      </c>
      <c r="D271" s="1" t="s">
        <v>8</v>
      </c>
      <c r="E271" s="1" t="s">
        <v>10</v>
      </c>
      <c r="F271" s="1" t="s">
        <v>13</v>
      </c>
      <c r="G271" s="1">
        <v>12.79</v>
      </c>
      <c r="H271" s="1">
        <v>13.75</v>
      </c>
      <c r="I271" s="78">
        <v>41088.658333333333</v>
      </c>
      <c r="J271" s="1">
        <v>11.94</v>
      </c>
      <c r="K271" s="1" t="e">
        <v>#N/A</v>
      </c>
      <c r="L271" s="1" t="e">
        <v>#N/A</v>
      </c>
      <c r="M271" s="1" t="e">
        <v>#N/A</v>
      </c>
      <c r="N271" s="1" t="e">
        <v>#N/A</v>
      </c>
      <c r="O271" s="1" t="e">
        <v>#N/A</v>
      </c>
      <c r="P271" s="1" t="e">
        <v>#N/A</v>
      </c>
      <c r="Q271" s="1" t="e">
        <v>#N/A</v>
      </c>
      <c r="R271" s="1" t="e">
        <v>#N/A</v>
      </c>
      <c r="S271" s="98">
        <v>6026.4750000000004</v>
      </c>
    </row>
    <row r="272" spans="1:19" x14ac:dyDescent="0.25">
      <c r="A272" s="1">
        <v>2012</v>
      </c>
      <c r="B272" s="77">
        <v>41090</v>
      </c>
      <c r="C272" s="1" t="s">
        <v>6</v>
      </c>
      <c r="D272" s="1" t="s">
        <v>8</v>
      </c>
      <c r="E272" s="1" t="s">
        <v>12</v>
      </c>
      <c r="F272" s="1" t="s">
        <v>13</v>
      </c>
      <c r="G272" s="1">
        <v>12.74</v>
      </c>
      <c r="H272" s="1">
        <v>20.83</v>
      </c>
      <c r="I272" s="78">
        <v>41089.609722222223</v>
      </c>
      <c r="J272" s="1">
        <v>13.05</v>
      </c>
      <c r="K272" s="1" t="e">
        <v>#N/A</v>
      </c>
      <c r="L272" s="1" t="e">
        <v>#N/A</v>
      </c>
      <c r="M272" s="1" t="e">
        <v>#N/A</v>
      </c>
      <c r="N272" s="1" t="e">
        <v>#N/A</v>
      </c>
      <c r="O272" s="1" t="e">
        <v>#N/A</v>
      </c>
      <c r="P272" s="1" t="e">
        <v>#N/A</v>
      </c>
      <c r="Q272" s="1" t="e">
        <v>#N/A</v>
      </c>
      <c r="R272" s="1" t="e">
        <v>#N/A</v>
      </c>
      <c r="S272" s="98">
        <v>15046.02</v>
      </c>
    </row>
    <row r="273" spans="1:19" x14ac:dyDescent="0.25">
      <c r="A273" s="1">
        <v>2012</v>
      </c>
      <c r="B273" s="77">
        <v>41090</v>
      </c>
      <c r="C273" s="1" t="s">
        <v>6</v>
      </c>
      <c r="D273" s="1" t="s">
        <v>8</v>
      </c>
      <c r="E273" s="1" t="s">
        <v>10</v>
      </c>
      <c r="F273" s="1" t="s">
        <v>13</v>
      </c>
      <c r="G273" s="1">
        <v>12.74</v>
      </c>
      <c r="H273" s="1">
        <v>20.83</v>
      </c>
      <c r="I273" s="78">
        <v>41089.609722222223</v>
      </c>
      <c r="J273" s="1">
        <v>13.05</v>
      </c>
      <c r="K273" s="1" t="e">
        <v>#N/A</v>
      </c>
      <c r="L273" s="1" t="e">
        <v>#N/A</v>
      </c>
      <c r="M273" s="1" t="e">
        <v>#N/A</v>
      </c>
      <c r="N273" s="1" t="e">
        <v>#N/A</v>
      </c>
      <c r="O273" s="1" t="e">
        <v>#N/A</v>
      </c>
      <c r="P273" s="1" t="e">
        <v>#N/A</v>
      </c>
      <c r="Q273" s="1" t="e">
        <v>#N/A</v>
      </c>
      <c r="R273" s="1" t="e">
        <v>#N/A</v>
      </c>
      <c r="S273" s="98">
        <v>15049.38</v>
      </c>
    </row>
    <row r="274" spans="1:19" x14ac:dyDescent="0.25">
      <c r="A274" s="1">
        <v>2012</v>
      </c>
      <c r="B274" s="77">
        <v>41091</v>
      </c>
      <c r="C274" s="1" t="s">
        <v>6</v>
      </c>
      <c r="D274" s="1" t="s">
        <v>8</v>
      </c>
      <c r="E274" s="1" t="s">
        <v>12</v>
      </c>
      <c r="F274" s="1" t="s">
        <v>13</v>
      </c>
      <c r="G274" s="1">
        <v>12.7</v>
      </c>
      <c r="H274" s="1">
        <v>17.29</v>
      </c>
      <c r="I274" s="78">
        <v>41090.634722222225</v>
      </c>
      <c r="J274" s="1">
        <v>12.49</v>
      </c>
      <c r="K274" s="1" t="e">
        <v>#N/A</v>
      </c>
      <c r="L274" s="1" t="e">
        <v>#N/A</v>
      </c>
      <c r="M274" s="1" t="e">
        <v>#N/A</v>
      </c>
      <c r="N274" s="1" t="e">
        <v>#N/A</v>
      </c>
      <c r="O274" s="1" t="e">
        <v>#N/A</v>
      </c>
      <c r="P274" s="1" t="e">
        <v>#N/A</v>
      </c>
      <c r="Q274" s="1" t="e">
        <v>#N/A</v>
      </c>
      <c r="R274" s="1" t="e">
        <v>#N/A</v>
      </c>
      <c r="S274" s="98">
        <v>14793.94</v>
      </c>
    </row>
    <row r="275" spans="1:19" x14ac:dyDescent="0.25">
      <c r="A275" s="1">
        <v>2012</v>
      </c>
      <c r="B275" s="77">
        <v>41091</v>
      </c>
      <c r="C275" s="1" t="s">
        <v>6</v>
      </c>
      <c r="D275" s="1" t="s">
        <v>8</v>
      </c>
      <c r="E275" s="1" t="s">
        <v>10</v>
      </c>
      <c r="F275" s="1" t="s">
        <v>13</v>
      </c>
      <c r="G275" s="1">
        <v>12.7</v>
      </c>
      <c r="H275" s="1">
        <v>17.29</v>
      </c>
      <c r="I275" s="78">
        <v>41090.634722222225</v>
      </c>
      <c r="J275" s="1">
        <v>12.49</v>
      </c>
      <c r="K275" s="1" t="e">
        <v>#N/A</v>
      </c>
      <c r="L275" s="1" t="e">
        <v>#N/A</v>
      </c>
      <c r="M275" s="1" t="e">
        <v>#N/A</v>
      </c>
      <c r="N275" s="1" t="e">
        <v>#N/A</v>
      </c>
      <c r="O275" s="1" t="e">
        <v>#N/A</v>
      </c>
      <c r="P275" s="1" t="e">
        <v>#N/A</v>
      </c>
      <c r="Q275" s="1" t="e">
        <v>#N/A</v>
      </c>
      <c r="R275" s="1" t="e">
        <v>#N/A</v>
      </c>
      <c r="S275" s="98">
        <v>14802.57</v>
      </c>
    </row>
    <row r="276" spans="1:19" x14ac:dyDescent="0.25">
      <c r="A276" s="1">
        <v>2012</v>
      </c>
      <c r="B276" s="77">
        <v>41092</v>
      </c>
      <c r="C276" s="1" t="s">
        <v>6</v>
      </c>
      <c r="D276" s="1" t="s">
        <v>8</v>
      </c>
      <c r="E276" s="1" t="s">
        <v>12</v>
      </c>
      <c r="F276" s="1" t="s">
        <v>13</v>
      </c>
      <c r="G276" s="1">
        <v>12.69</v>
      </c>
      <c r="H276" s="1">
        <v>16.61</v>
      </c>
      <c r="I276" s="78">
        <v>41091.895833333336</v>
      </c>
      <c r="J276" s="1">
        <v>11.58</v>
      </c>
      <c r="K276" s="1" t="e">
        <v>#N/A</v>
      </c>
      <c r="L276" s="1" t="e">
        <v>#N/A</v>
      </c>
      <c r="M276" s="1" t="e">
        <v>#N/A</v>
      </c>
      <c r="N276" s="1" t="e">
        <v>#N/A</v>
      </c>
      <c r="O276" s="1" t="e">
        <v>#N/A</v>
      </c>
      <c r="P276" s="1" t="e">
        <v>#N/A</v>
      </c>
      <c r="Q276" s="1" t="e">
        <v>#N/A</v>
      </c>
      <c r="R276" s="1" t="e">
        <v>#N/A</v>
      </c>
      <c r="S276" s="98">
        <v>10321.86</v>
      </c>
    </row>
    <row r="277" spans="1:19" x14ac:dyDescent="0.25">
      <c r="A277" s="1">
        <v>2012</v>
      </c>
      <c r="B277" s="77">
        <v>41092</v>
      </c>
      <c r="C277" s="1" t="s">
        <v>6</v>
      </c>
      <c r="D277" s="1" t="s">
        <v>8</v>
      </c>
      <c r="E277" s="1" t="s">
        <v>10</v>
      </c>
      <c r="F277" s="1" t="s">
        <v>13</v>
      </c>
      <c r="G277" s="1">
        <v>12.69</v>
      </c>
      <c r="H277" s="1">
        <v>16.61</v>
      </c>
      <c r="I277" s="78">
        <v>41091.895833333336</v>
      </c>
      <c r="J277" s="1">
        <v>11.58</v>
      </c>
      <c r="K277" s="1" t="e">
        <v>#N/A</v>
      </c>
      <c r="L277" s="1" t="e">
        <v>#N/A</v>
      </c>
      <c r="M277" s="1" t="e">
        <v>#N/A</v>
      </c>
      <c r="N277" s="1" t="e">
        <v>#N/A</v>
      </c>
      <c r="O277" s="1" t="e">
        <v>#N/A</v>
      </c>
      <c r="P277" s="1" t="e">
        <v>#N/A</v>
      </c>
      <c r="Q277" s="1" t="e">
        <v>#N/A</v>
      </c>
      <c r="R277" s="1" t="e">
        <v>#N/A</v>
      </c>
      <c r="S277" s="98">
        <v>10324.84</v>
      </c>
    </row>
    <row r="278" spans="1:19" x14ac:dyDescent="0.25">
      <c r="A278" s="1">
        <v>2012</v>
      </c>
      <c r="B278" s="77">
        <v>41093</v>
      </c>
      <c r="C278" s="1" t="s">
        <v>6</v>
      </c>
      <c r="D278" s="1" t="s">
        <v>8</v>
      </c>
      <c r="E278" s="1" t="s">
        <v>12</v>
      </c>
      <c r="F278" s="1" t="s">
        <v>13</v>
      </c>
      <c r="G278" s="1">
        <v>12.79</v>
      </c>
      <c r="H278" s="1">
        <v>24.16</v>
      </c>
      <c r="I278" s="78">
        <v>41092.538888888892</v>
      </c>
      <c r="J278" s="1">
        <v>15.65</v>
      </c>
      <c r="K278" s="1" t="e">
        <v>#N/A</v>
      </c>
      <c r="L278" s="1" t="e">
        <v>#N/A</v>
      </c>
      <c r="M278" s="1" t="e">
        <v>#N/A</v>
      </c>
      <c r="N278" s="1" t="e">
        <v>#N/A</v>
      </c>
      <c r="O278" s="1" t="e">
        <v>#N/A</v>
      </c>
      <c r="P278" s="1" t="e">
        <v>#N/A</v>
      </c>
      <c r="Q278" s="1" t="e">
        <v>#N/A</v>
      </c>
      <c r="R278" s="1" t="e">
        <v>#N/A</v>
      </c>
      <c r="S278" s="98">
        <v>21574.95</v>
      </c>
    </row>
    <row r="279" spans="1:19" x14ac:dyDescent="0.25">
      <c r="A279" s="1">
        <v>2012</v>
      </c>
      <c r="B279" s="77">
        <v>41093</v>
      </c>
      <c r="C279" s="1" t="s">
        <v>6</v>
      </c>
      <c r="D279" s="1" t="s">
        <v>8</v>
      </c>
      <c r="E279" s="1" t="s">
        <v>10</v>
      </c>
      <c r="F279" s="1" t="s">
        <v>13</v>
      </c>
      <c r="G279" s="1">
        <v>12.79</v>
      </c>
      <c r="H279" s="1">
        <v>24.16</v>
      </c>
      <c r="I279" s="78">
        <v>41092.538888888892</v>
      </c>
      <c r="J279" s="1">
        <v>15.65</v>
      </c>
      <c r="K279" s="1" t="e">
        <v>#N/A</v>
      </c>
      <c r="L279" s="1" t="e">
        <v>#N/A</v>
      </c>
      <c r="M279" s="1" t="e">
        <v>#N/A</v>
      </c>
      <c r="N279" s="1" t="e">
        <v>#N/A</v>
      </c>
      <c r="O279" s="1" t="e">
        <v>#N/A</v>
      </c>
      <c r="P279" s="1" t="e">
        <v>#N/A</v>
      </c>
      <c r="Q279" s="1" t="e">
        <v>#N/A</v>
      </c>
      <c r="R279" s="1" t="e">
        <v>#N/A</v>
      </c>
      <c r="S279" s="98">
        <v>21583.38</v>
      </c>
    </row>
    <row r="280" spans="1:19" x14ac:dyDescent="0.25">
      <c r="A280" s="1">
        <v>2012</v>
      </c>
      <c r="B280" s="77">
        <v>41094</v>
      </c>
      <c r="C280" s="1" t="s">
        <v>6</v>
      </c>
      <c r="D280" s="1" t="s">
        <v>8</v>
      </c>
      <c r="E280" s="1" t="s">
        <v>12</v>
      </c>
      <c r="F280" s="1" t="s">
        <v>13</v>
      </c>
      <c r="G280" s="1">
        <v>12.71</v>
      </c>
      <c r="H280" s="1">
        <v>22</v>
      </c>
      <c r="I280" s="78">
        <v>41093.671527777777</v>
      </c>
      <c r="J280" s="1">
        <v>16.05</v>
      </c>
      <c r="K280" s="1" t="e">
        <v>#N/A</v>
      </c>
      <c r="L280" s="1" t="e">
        <v>#N/A</v>
      </c>
      <c r="M280" s="1" t="e">
        <v>#N/A</v>
      </c>
      <c r="N280" s="1" t="e">
        <v>#N/A</v>
      </c>
      <c r="O280" s="1" t="e">
        <v>#N/A</v>
      </c>
      <c r="P280" s="1" t="e">
        <v>#N/A</v>
      </c>
      <c r="Q280" s="1" t="e">
        <v>#N/A</v>
      </c>
      <c r="R280" s="1" t="e">
        <v>#N/A</v>
      </c>
      <c r="S280" s="98">
        <v>19249.439999999999</v>
      </c>
    </row>
    <row r="281" spans="1:19" x14ac:dyDescent="0.25">
      <c r="A281" s="1">
        <v>2012</v>
      </c>
      <c r="B281" s="77">
        <v>41094</v>
      </c>
      <c r="C281" s="1" t="s">
        <v>6</v>
      </c>
      <c r="D281" s="1" t="s">
        <v>8</v>
      </c>
      <c r="E281" s="1" t="s">
        <v>10</v>
      </c>
      <c r="F281" s="1" t="s">
        <v>13</v>
      </c>
      <c r="G281" s="1">
        <v>12.71</v>
      </c>
      <c r="H281" s="1">
        <v>22</v>
      </c>
      <c r="I281" s="78">
        <v>41093.671527777777</v>
      </c>
      <c r="J281" s="1">
        <v>16.05</v>
      </c>
      <c r="K281" s="1" t="e">
        <v>#N/A</v>
      </c>
      <c r="L281" s="1" t="e">
        <v>#N/A</v>
      </c>
      <c r="M281" s="1" t="e">
        <v>#N/A</v>
      </c>
      <c r="N281" s="1" t="e">
        <v>#N/A</v>
      </c>
      <c r="O281" s="1" t="e">
        <v>#N/A</v>
      </c>
      <c r="P281" s="1" t="e">
        <v>#N/A</v>
      </c>
      <c r="Q281" s="1" t="e">
        <v>#N/A</v>
      </c>
      <c r="R281" s="1" t="e">
        <v>#N/A</v>
      </c>
      <c r="S281" s="98">
        <v>19243.07</v>
      </c>
    </row>
    <row r="282" spans="1:19" x14ac:dyDescent="0.25">
      <c r="A282" s="1">
        <v>2012</v>
      </c>
      <c r="B282" s="77">
        <v>41095</v>
      </c>
      <c r="C282" s="1" t="s">
        <v>6</v>
      </c>
      <c r="D282" s="1" t="s">
        <v>8</v>
      </c>
      <c r="E282" s="1" t="s">
        <v>12</v>
      </c>
      <c r="F282" s="1" t="s">
        <v>13</v>
      </c>
      <c r="G282" s="1">
        <v>12.75</v>
      </c>
      <c r="H282" s="1">
        <v>25.25</v>
      </c>
      <c r="I282" s="78">
        <v>41094.662499999999</v>
      </c>
      <c r="J282" s="1">
        <v>17.41</v>
      </c>
      <c r="K282" s="1" t="e">
        <v>#N/A</v>
      </c>
      <c r="L282" s="1" t="e">
        <v>#N/A</v>
      </c>
      <c r="M282" s="1" t="e">
        <v>#N/A</v>
      </c>
      <c r="N282" s="1" t="e">
        <v>#N/A</v>
      </c>
      <c r="O282" s="1" t="e">
        <v>#N/A</v>
      </c>
      <c r="P282" s="1" t="e">
        <v>#N/A</v>
      </c>
      <c r="Q282" s="1" t="e">
        <v>#N/A</v>
      </c>
      <c r="R282" s="1" t="e">
        <v>#N/A</v>
      </c>
      <c r="S282" s="98">
        <v>19283.32</v>
      </c>
    </row>
    <row r="283" spans="1:19" x14ac:dyDescent="0.25">
      <c r="A283" s="1">
        <v>2012</v>
      </c>
      <c r="B283" s="77">
        <v>41095</v>
      </c>
      <c r="C283" s="1" t="s">
        <v>6</v>
      </c>
      <c r="D283" s="1" t="s">
        <v>8</v>
      </c>
      <c r="E283" s="1" t="s">
        <v>10</v>
      </c>
      <c r="F283" s="1" t="s">
        <v>13</v>
      </c>
      <c r="G283" s="1">
        <v>12.75</v>
      </c>
      <c r="H283" s="1">
        <v>25.25</v>
      </c>
      <c r="I283" s="78">
        <v>41094.662499999999</v>
      </c>
      <c r="J283" s="1">
        <v>17.41</v>
      </c>
      <c r="K283" s="1" t="e">
        <v>#N/A</v>
      </c>
      <c r="L283" s="1" t="e">
        <v>#N/A</v>
      </c>
      <c r="M283" s="1" t="e">
        <v>#N/A</v>
      </c>
      <c r="N283" s="1" t="e">
        <v>#N/A</v>
      </c>
      <c r="O283" s="1" t="e">
        <v>#N/A</v>
      </c>
      <c r="P283" s="1" t="e">
        <v>#N/A</v>
      </c>
      <c r="Q283" s="1" t="e">
        <v>#N/A</v>
      </c>
      <c r="R283" s="1" t="e">
        <v>#N/A</v>
      </c>
      <c r="S283" s="98">
        <v>19266.75</v>
      </c>
    </row>
    <row r="284" spans="1:19" x14ac:dyDescent="0.25">
      <c r="A284" s="1">
        <v>2012</v>
      </c>
      <c r="B284" s="77">
        <v>41096</v>
      </c>
      <c r="C284" s="1" t="s">
        <v>6</v>
      </c>
      <c r="D284" s="1" t="s">
        <v>8</v>
      </c>
      <c r="E284" s="1" t="s">
        <v>12</v>
      </c>
      <c r="F284" s="1" t="s">
        <v>13</v>
      </c>
      <c r="G284" s="1">
        <v>12.67</v>
      </c>
      <c r="H284" s="1">
        <v>20.66</v>
      </c>
      <c r="I284" s="78">
        <v>41095.663194444445</v>
      </c>
      <c r="J284" s="1">
        <v>14.19</v>
      </c>
      <c r="K284" s="1" t="e">
        <v>#N/A</v>
      </c>
      <c r="L284" s="1" t="e">
        <v>#N/A</v>
      </c>
      <c r="M284" s="1" t="e">
        <v>#N/A</v>
      </c>
      <c r="N284" s="1" t="e">
        <v>#N/A</v>
      </c>
      <c r="O284" s="1" t="e">
        <v>#N/A</v>
      </c>
      <c r="P284" s="1" t="e">
        <v>#N/A</v>
      </c>
      <c r="Q284" s="1" t="e">
        <v>#N/A</v>
      </c>
      <c r="R284" s="1" t="e">
        <v>#N/A</v>
      </c>
      <c r="S284" s="98">
        <v>15359.65</v>
      </c>
    </row>
    <row r="285" spans="1:19" x14ac:dyDescent="0.25">
      <c r="A285" s="1">
        <v>2012</v>
      </c>
      <c r="B285" s="77">
        <v>41096</v>
      </c>
      <c r="C285" s="1" t="s">
        <v>6</v>
      </c>
      <c r="D285" s="1" t="s">
        <v>8</v>
      </c>
      <c r="E285" s="1" t="s">
        <v>10</v>
      </c>
      <c r="F285" s="1" t="s">
        <v>13</v>
      </c>
      <c r="G285" s="1">
        <v>12.67</v>
      </c>
      <c r="H285" s="1">
        <v>20.66</v>
      </c>
      <c r="I285" s="78">
        <v>41095.663194444445</v>
      </c>
      <c r="J285" s="1">
        <v>14.19</v>
      </c>
      <c r="K285" s="1" t="e">
        <v>#N/A</v>
      </c>
      <c r="L285" s="1" t="e">
        <v>#N/A</v>
      </c>
      <c r="M285" s="1" t="e">
        <v>#N/A</v>
      </c>
      <c r="N285" s="1" t="e">
        <v>#N/A</v>
      </c>
      <c r="O285" s="1" t="e">
        <v>#N/A</v>
      </c>
      <c r="P285" s="1" t="e">
        <v>#N/A</v>
      </c>
      <c r="Q285" s="1" t="e">
        <v>#N/A</v>
      </c>
      <c r="R285" s="1" t="e">
        <v>#N/A</v>
      </c>
      <c r="S285" s="98">
        <v>15335.48</v>
      </c>
    </row>
    <row r="286" spans="1:19" x14ac:dyDescent="0.25">
      <c r="A286" s="1">
        <v>2012</v>
      </c>
      <c r="B286" s="77">
        <v>41097</v>
      </c>
      <c r="C286" s="1" t="s">
        <v>6</v>
      </c>
      <c r="D286" s="1" t="s">
        <v>8</v>
      </c>
      <c r="E286" s="1" t="s">
        <v>12</v>
      </c>
      <c r="F286" s="1" t="s">
        <v>13</v>
      </c>
      <c r="G286" s="1">
        <v>12.66</v>
      </c>
      <c r="H286" s="1">
        <v>22.22</v>
      </c>
      <c r="I286" s="78">
        <v>41096.555555555555</v>
      </c>
      <c r="J286" s="1">
        <v>13.45</v>
      </c>
      <c r="K286" s="1" t="e">
        <v>#N/A</v>
      </c>
      <c r="L286" s="1" t="e">
        <v>#N/A</v>
      </c>
      <c r="M286" s="1" t="e">
        <v>#N/A</v>
      </c>
      <c r="N286" s="1" t="e">
        <v>#N/A</v>
      </c>
      <c r="O286" s="1" t="e">
        <v>#N/A</v>
      </c>
      <c r="P286" s="1" t="e">
        <v>#N/A</v>
      </c>
      <c r="Q286" s="1" t="e">
        <v>#N/A</v>
      </c>
      <c r="R286" s="1" t="e">
        <v>#N/A</v>
      </c>
      <c r="S286" s="98">
        <v>14073.38</v>
      </c>
    </row>
    <row r="287" spans="1:19" x14ac:dyDescent="0.25">
      <c r="A287" s="1">
        <v>2012</v>
      </c>
      <c r="B287" s="77">
        <v>41097</v>
      </c>
      <c r="C287" s="1" t="s">
        <v>6</v>
      </c>
      <c r="D287" s="1" t="s">
        <v>8</v>
      </c>
      <c r="E287" s="1" t="s">
        <v>10</v>
      </c>
      <c r="F287" s="1" t="s">
        <v>13</v>
      </c>
      <c r="G287" s="1">
        <v>12.66</v>
      </c>
      <c r="H287" s="1">
        <v>22.22</v>
      </c>
      <c r="I287" s="78">
        <v>41096.555555555555</v>
      </c>
      <c r="J287" s="1">
        <v>13.45</v>
      </c>
      <c r="K287" s="1" t="e">
        <v>#N/A</v>
      </c>
      <c r="L287" s="1" t="e">
        <v>#N/A</v>
      </c>
      <c r="M287" s="1" t="e">
        <v>#N/A</v>
      </c>
      <c r="N287" s="1" t="e">
        <v>#N/A</v>
      </c>
      <c r="O287" s="1" t="e">
        <v>#N/A</v>
      </c>
      <c r="P287" s="1" t="e">
        <v>#N/A</v>
      </c>
      <c r="Q287" s="1" t="e">
        <v>#N/A</v>
      </c>
      <c r="R287" s="1" t="e">
        <v>#N/A</v>
      </c>
      <c r="S287" s="98">
        <v>14080.08</v>
      </c>
    </row>
    <row r="288" spans="1:19" x14ac:dyDescent="0.25">
      <c r="A288" s="1">
        <v>2012</v>
      </c>
      <c r="B288" s="77">
        <v>41098</v>
      </c>
      <c r="C288" s="1" t="s">
        <v>6</v>
      </c>
      <c r="D288" s="1" t="s">
        <v>8</v>
      </c>
      <c r="E288" s="1" t="s">
        <v>12</v>
      </c>
      <c r="F288" s="1" t="s">
        <v>13</v>
      </c>
      <c r="G288" s="1">
        <v>12.63</v>
      </c>
      <c r="H288" s="1">
        <v>19.13</v>
      </c>
      <c r="I288" s="78">
        <v>41097.573611111111</v>
      </c>
      <c r="J288" s="1">
        <v>12.96</v>
      </c>
      <c r="K288" s="1" t="e">
        <v>#N/A</v>
      </c>
      <c r="L288" s="1" t="e">
        <v>#N/A</v>
      </c>
      <c r="M288" s="1" t="e">
        <v>#N/A</v>
      </c>
      <c r="N288" s="1" t="e">
        <v>#N/A</v>
      </c>
      <c r="O288" s="1" t="e">
        <v>#N/A</v>
      </c>
      <c r="P288" s="1" t="e">
        <v>#N/A</v>
      </c>
      <c r="Q288" s="1" t="e">
        <v>#N/A</v>
      </c>
      <c r="R288" s="1" t="e">
        <v>#N/A</v>
      </c>
      <c r="S288" s="98">
        <v>17174.330000000002</v>
      </c>
    </row>
    <row r="289" spans="1:19" x14ac:dyDescent="0.25">
      <c r="A289" s="1">
        <v>2012</v>
      </c>
      <c r="B289" s="77">
        <v>41098</v>
      </c>
      <c r="C289" s="1" t="s">
        <v>6</v>
      </c>
      <c r="D289" s="1" t="s">
        <v>8</v>
      </c>
      <c r="E289" s="1" t="s">
        <v>10</v>
      </c>
      <c r="F289" s="1" t="s">
        <v>13</v>
      </c>
      <c r="G289" s="1">
        <v>12.63</v>
      </c>
      <c r="H289" s="1">
        <v>19.13</v>
      </c>
      <c r="I289" s="78">
        <v>41097.573611111111</v>
      </c>
      <c r="J289" s="1">
        <v>12.96</v>
      </c>
      <c r="K289" s="1" t="e">
        <v>#N/A</v>
      </c>
      <c r="L289" s="1" t="e">
        <v>#N/A</v>
      </c>
      <c r="M289" s="1" t="e">
        <v>#N/A</v>
      </c>
      <c r="N289" s="1" t="e">
        <v>#N/A</v>
      </c>
      <c r="O289" s="1" t="e">
        <v>#N/A</v>
      </c>
      <c r="P289" s="1" t="e">
        <v>#N/A</v>
      </c>
      <c r="Q289" s="1" t="e">
        <v>#N/A</v>
      </c>
      <c r="R289" s="1" t="e">
        <v>#N/A</v>
      </c>
      <c r="S289" s="98">
        <v>17163.54</v>
      </c>
    </row>
    <row r="290" spans="1:19" x14ac:dyDescent="0.25">
      <c r="A290" s="1">
        <v>2012</v>
      </c>
      <c r="B290" s="77">
        <v>41099</v>
      </c>
      <c r="C290" s="1" t="s">
        <v>6</v>
      </c>
      <c r="D290" s="1" t="s">
        <v>8</v>
      </c>
      <c r="E290" s="1" t="s">
        <v>12</v>
      </c>
      <c r="F290" s="1" t="s">
        <v>13</v>
      </c>
      <c r="G290" s="1">
        <v>12.76</v>
      </c>
      <c r="H290" s="1">
        <v>17.21</v>
      </c>
      <c r="I290" s="78">
        <v>41098.645833333336</v>
      </c>
      <c r="J290" s="1">
        <v>12.78</v>
      </c>
      <c r="K290" s="1" t="e">
        <v>#N/A</v>
      </c>
      <c r="L290" s="1" t="e">
        <v>#N/A</v>
      </c>
      <c r="M290" s="1" t="e">
        <v>#N/A</v>
      </c>
      <c r="N290" s="1" t="e">
        <v>#N/A</v>
      </c>
      <c r="O290" s="1" t="e">
        <v>#N/A</v>
      </c>
      <c r="P290" s="1" t="e">
        <v>#N/A</v>
      </c>
      <c r="Q290" s="1" t="e">
        <v>#N/A</v>
      </c>
      <c r="R290" s="1" t="e">
        <v>#N/A</v>
      </c>
      <c r="S290" s="98">
        <v>13872.64</v>
      </c>
    </row>
    <row r="291" spans="1:19" x14ac:dyDescent="0.25">
      <c r="A291" s="1">
        <v>2012</v>
      </c>
      <c r="B291" s="77">
        <v>41099</v>
      </c>
      <c r="C291" s="1" t="s">
        <v>6</v>
      </c>
      <c r="D291" s="1" t="s">
        <v>8</v>
      </c>
      <c r="E291" s="1" t="s">
        <v>10</v>
      </c>
      <c r="F291" s="1" t="s">
        <v>13</v>
      </c>
      <c r="G291" s="1">
        <v>12.76</v>
      </c>
      <c r="H291" s="1">
        <v>17.21</v>
      </c>
      <c r="I291" s="78">
        <v>41098.645833333336</v>
      </c>
      <c r="J291" s="1">
        <v>12.78</v>
      </c>
      <c r="K291" s="1" t="e">
        <v>#N/A</v>
      </c>
      <c r="L291" s="1" t="e">
        <v>#N/A</v>
      </c>
      <c r="M291" s="1" t="e">
        <v>#N/A</v>
      </c>
      <c r="N291" s="1" t="e">
        <v>#N/A</v>
      </c>
      <c r="O291" s="1" t="e">
        <v>#N/A</v>
      </c>
      <c r="P291" s="1" t="e">
        <v>#N/A</v>
      </c>
      <c r="Q291" s="1" t="e">
        <v>#N/A</v>
      </c>
      <c r="R291" s="1" t="e">
        <v>#N/A</v>
      </c>
      <c r="S291" s="98">
        <v>13873</v>
      </c>
    </row>
    <row r="292" spans="1:19" x14ac:dyDescent="0.25">
      <c r="A292" s="1">
        <v>2012</v>
      </c>
      <c r="B292" s="77">
        <v>41100</v>
      </c>
      <c r="C292" s="1" t="s">
        <v>6</v>
      </c>
      <c r="D292" s="1" t="s">
        <v>8</v>
      </c>
      <c r="E292" s="1" t="s">
        <v>12</v>
      </c>
      <c r="F292" s="1" t="s">
        <v>13</v>
      </c>
      <c r="G292" s="1">
        <v>12.64</v>
      </c>
      <c r="H292" s="1">
        <v>24.51</v>
      </c>
      <c r="I292" s="78">
        <v>41099.649305555555</v>
      </c>
      <c r="J292" s="1">
        <v>13.78</v>
      </c>
      <c r="K292" s="1" t="e">
        <v>#N/A</v>
      </c>
      <c r="L292" s="1" t="e">
        <v>#N/A</v>
      </c>
      <c r="M292" s="1" t="e">
        <v>#N/A</v>
      </c>
      <c r="N292" s="1" t="e">
        <v>#N/A</v>
      </c>
      <c r="O292" s="1" t="e">
        <v>#N/A</v>
      </c>
      <c r="P292" s="1" t="e">
        <v>#N/A</v>
      </c>
      <c r="Q292" s="1" t="e">
        <v>#N/A</v>
      </c>
      <c r="R292" s="1" t="e">
        <v>#N/A</v>
      </c>
      <c r="S292" s="98">
        <v>20388.13</v>
      </c>
    </row>
    <row r="293" spans="1:19" x14ac:dyDescent="0.25">
      <c r="A293" s="1">
        <v>2012</v>
      </c>
      <c r="B293" s="77">
        <v>41100</v>
      </c>
      <c r="C293" s="1" t="s">
        <v>6</v>
      </c>
      <c r="D293" s="1" t="s">
        <v>8</v>
      </c>
      <c r="E293" s="1" t="s">
        <v>10</v>
      </c>
      <c r="F293" s="1" t="s">
        <v>13</v>
      </c>
      <c r="G293" s="1">
        <v>12.64</v>
      </c>
      <c r="H293" s="1">
        <v>24.51</v>
      </c>
      <c r="I293" s="78">
        <v>41099.649305555555</v>
      </c>
      <c r="J293" s="1">
        <v>13.78</v>
      </c>
      <c r="K293" s="1" t="e">
        <v>#N/A</v>
      </c>
      <c r="L293" s="1" t="e">
        <v>#N/A</v>
      </c>
      <c r="M293" s="1" t="e">
        <v>#N/A</v>
      </c>
      <c r="N293" s="1" t="e">
        <v>#N/A</v>
      </c>
      <c r="O293" s="1" t="e">
        <v>#N/A</v>
      </c>
      <c r="P293" s="1" t="e">
        <v>#N/A</v>
      </c>
      <c r="Q293" s="1" t="e">
        <v>#N/A</v>
      </c>
      <c r="R293" s="1" t="e">
        <v>#N/A</v>
      </c>
      <c r="S293" s="98">
        <v>20368.189999999999</v>
      </c>
    </row>
    <row r="294" spans="1:19" x14ac:dyDescent="0.25">
      <c r="A294" s="1">
        <v>2012</v>
      </c>
      <c r="B294" s="77">
        <v>41101</v>
      </c>
      <c r="C294" s="1" t="s">
        <v>6</v>
      </c>
      <c r="D294" s="1" t="s">
        <v>8</v>
      </c>
      <c r="E294" s="1" t="s">
        <v>12</v>
      </c>
      <c r="F294" s="1" t="s">
        <v>13</v>
      </c>
      <c r="G294" s="1">
        <v>12.64</v>
      </c>
      <c r="H294" s="1">
        <v>18.739999999999998</v>
      </c>
      <c r="I294" s="78">
        <v>41100.724305555559</v>
      </c>
      <c r="J294" s="1">
        <v>12.41</v>
      </c>
      <c r="K294" s="1" t="e">
        <v>#N/A</v>
      </c>
      <c r="L294" s="1" t="e">
        <v>#N/A</v>
      </c>
      <c r="M294" s="1" t="e">
        <v>#N/A</v>
      </c>
      <c r="N294" s="1" t="e">
        <v>#N/A</v>
      </c>
      <c r="O294" s="1" t="e">
        <v>#N/A</v>
      </c>
      <c r="P294" s="1" t="e">
        <v>#N/A</v>
      </c>
      <c r="Q294" s="1" t="e">
        <v>#N/A</v>
      </c>
      <c r="R294" s="1" t="e">
        <v>#N/A</v>
      </c>
      <c r="S294" s="98">
        <v>15832.89</v>
      </c>
    </row>
    <row r="295" spans="1:19" x14ac:dyDescent="0.25">
      <c r="A295" s="1">
        <v>2012</v>
      </c>
      <c r="B295" s="77">
        <v>41101</v>
      </c>
      <c r="C295" s="1" t="s">
        <v>6</v>
      </c>
      <c r="D295" s="1" t="s">
        <v>8</v>
      </c>
      <c r="E295" s="1" t="s">
        <v>10</v>
      </c>
      <c r="F295" s="1" t="s">
        <v>13</v>
      </c>
      <c r="G295" s="1">
        <v>12.64</v>
      </c>
      <c r="H295" s="1">
        <v>18.739999999999998</v>
      </c>
      <c r="I295" s="78">
        <v>41100.724305555559</v>
      </c>
      <c r="J295" s="1">
        <v>12.41</v>
      </c>
      <c r="K295" s="1" t="e">
        <v>#N/A</v>
      </c>
      <c r="L295" s="1" t="e">
        <v>#N/A</v>
      </c>
      <c r="M295" s="1" t="e">
        <v>#N/A</v>
      </c>
      <c r="N295" s="1" t="e">
        <v>#N/A</v>
      </c>
      <c r="O295" s="1" t="e">
        <v>#N/A</v>
      </c>
      <c r="P295" s="1" t="e">
        <v>#N/A</v>
      </c>
      <c r="Q295" s="1" t="e">
        <v>#N/A</v>
      </c>
      <c r="R295" s="1" t="e">
        <v>#N/A</v>
      </c>
      <c r="S295" s="98">
        <v>15850.01</v>
      </c>
    </row>
    <row r="296" spans="1:19" x14ac:dyDescent="0.25">
      <c r="A296" s="1">
        <v>2012</v>
      </c>
      <c r="B296" s="77">
        <v>41102</v>
      </c>
      <c r="C296" s="1" t="s">
        <v>6</v>
      </c>
      <c r="D296" s="1" t="s">
        <v>8</v>
      </c>
      <c r="E296" s="1" t="s">
        <v>12</v>
      </c>
      <c r="F296" s="1" t="s">
        <v>13</v>
      </c>
      <c r="G296" s="1">
        <v>12.57</v>
      </c>
      <c r="H296" s="1">
        <v>24.87</v>
      </c>
      <c r="I296" s="78">
        <v>41101.725694444445</v>
      </c>
      <c r="J296" s="1">
        <v>20.73</v>
      </c>
      <c r="K296" s="1" t="e">
        <v>#N/A</v>
      </c>
      <c r="L296" s="1" t="e">
        <v>#N/A</v>
      </c>
      <c r="M296" s="1" t="e">
        <v>#N/A</v>
      </c>
      <c r="N296" s="1" t="e">
        <v>#N/A</v>
      </c>
      <c r="O296" s="1" t="e">
        <v>#N/A</v>
      </c>
      <c r="P296" s="1" t="e">
        <v>#N/A</v>
      </c>
      <c r="Q296" s="1" t="e">
        <v>#N/A</v>
      </c>
      <c r="R296" s="1" t="e">
        <v>#N/A</v>
      </c>
      <c r="S296" s="98">
        <v>8366.2980000000007</v>
      </c>
    </row>
    <row r="297" spans="1:19" x14ac:dyDescent="0.25">
      <c r="A297" s="1">
        <v>2012</v>
      </c>
      <c r="B297" s="77">
        <v>41102</v>
      </c>
      <c r="C297" s="1" t="s">
        <v>6</v>
      </c>
      <c r="D297" s="1" t="s">
        <v>8</v>
      </c>
      <c r="E297" s="1" t="s">
        <v>10</v>
      </c>
      <c r="F297" s="1" t="s">
        <v>13</v>
      </c>
      <c r="G297" s="1">
        <v>12.57</v>
      </c>
      <c r="H297" s="1">
        <v>24.87</v>
      </c>
      <c r="I297" s="78">
        <v>41101.725694444445</v>
      </c>
      <c r="J297" s="1">
        <v>20.73</v>
      </c>
      <c r="K297" s="1" t="e">
        <v>#N/A</v>
      </c>
      <c r="L297" s="1" t="e">
        <v>#N/A</v>
      </c>
      <c r="M297" s="1" t="e">
        <v>#N/A</v>
      </c>
      <c r="N297" s="1" t="e">
        <v>#N/A</v>
      </c>
      <c r="O297" s="1" t="e">
        <v>#N/A</v>
      </c>
      <c r="P297" s="1" t="e">
        <v>#N/A</v>
      </c>
      <c r="Q297" s="1" t="e">
        <v>#N/A</v>
      </c>
      <c r="R297" s="1" t="e">
        <v>#N/A</v>
      </c>
      <c r="S297" s="98">
        <v>8386.94</v>
      </c>
    </row>
    <row r="298" spans="1:19" x14ac:dyDescent="0.25">
      <c r="A298" s="1">
        <v>2012</v>
      </c>
      <c r="B298" s="77">
        <v>41103</v>
      </c>
      <c r="C298" s="1" t="s">
        <v>6</v>
      </c>
      <c r="D298" s="1" t="s">
        <v>8</v>
      </c>
      <c r="E298" s="1" t="s">
        <v>12</v>
      </c>
      <c r="F298" s="1" t="s">
        <v>13</v>
      </c>
      <c r="G298" s="1">
        <v>12.45</v>
      </c>
      <c r="H298" s="1">
        <v>24.42</v>
      </c>
      <c r="I298" s="78">
        <v>41102.634027777778</v>
      </c>
      <c r="J298" s="1">
        <v>16.87</v>
      </c>
      <c r="K298" s="1" t="e">
        <v>#N/A</v>
      </c>
      <c r="L298" s="1" t="e">
        <v>#N/A</v>
      </c>
      <c r="M298" s="1" t="e">
        <v>#N/A</v>
      </c>
      <c r="N298" s="1" t="e">
        <v>#N/A</v>
      </c>
      <c r="O298" s="1" t="e">
        <v>#N/A</v>
      </c>
      <c r="P298" s="1" t="e">
        <v>#N/A</v>
      </c>
      <c r="Q298" s="1" t="e">
        <v>#N/A</v>
      </c>
      <c r="R298" s="1" t="e">
        <v>#N/A</v>
      </c>
      <c r="S298" s="98">
        <v>17491.349999999999</v>
      </c>
    </row>
    <row r="299" spans="1:19" x14ac:dyDescent="0.25">
      <c r="A299" s="1">
        <v>2012</v>
      </c>
      <c r="B299" s="77">
        <v>41103</v>
      </c>
      <c r="C299" s="1" t="s">
        <v>6</v>
      </c>
      <c r="D299" s="1" t="s">
        <v>8</v>
      </c>
      <c r="E299" s="1" t="s">
        <v>10</v>
      </c>
      <c r="F299" s="1" t="s">
        <v>13</v>
      </c>
      <c r="G299" s="1">
        <v>12.45</v>
      </c>
      <c r="H299" s="1">
        <v>24.42</v>
      </c>
      <c r="I299" s="78">
        <v>41102.634027777778</v>
      </c>
      <c r="J299" s="1">
        <v>16.87</v>
      </c>
      <c r="K299" s="1" t="e">
        <v>#N/A</v>
      </c>
      <c r="L299" s="1" t="e">
        <v>#N/A</v>
      </c>
      <c r="M299" s="1" t="e">
        <v>#N/A</v>
      </c>
      <c r="N299" s="1" t="e">
        <v>#N/A</v>
      </c>
      <c r="O299" s="1" t="e">
        <v>#N/A</v>
      </c>
      <c r="P299" s="1" t="e">
        <v>#N/A</v>
      </c>
      <c r="Q299" s="1" t="e">
        <v>#N/A</v>
      </c>
      <c r="R299" s="1" t="e">
        <v>#N/A</v>
      </c>
      <c r="S299" s="98">
        <v>17491.84</v>
      </c>
    </row>
    <row r="300" spans="1:19" x14ac:dyDescent="0.25">
      <c r="A300" s="1">
        <v>2012</v>
      </c>
      <c r="B300" s="77">
        <v>41104</v>
      </c>
      <c r="C300" s="1" t="s">
        <v>6</v>
      </c>
      <c r="D300" s="1" t="s">
        <v>8</v>
      </c>
      <c r="E300" s="1" t="s">
        <v>12</v>
      </c>
      <c r="F300" s="1" t="s">
        <v>13</v>
      </c>
      <c r="G300" s="1">
        <v>12.75</v>
      </c>
      <c r="H300" s="1">
        <v>22.08</v>
      </c>
      <c r="I300" s="78">
        <v>41103.521527777775</v>
      </c>
      <c r="J300" s="1">
        <v>14.86</v>
      </c>
      <c r="K300" s="1" t="e">
        <v>#N/A</v>
      </c>
      <c r="L300" s="1" t="e">
        <v>#N/A</v>
      </c>
      <c r="M300" s="1" t="e">
        <v>#N/A</v>
      </c>
      <c r="N300" s="1" t="e">
        <v>#N/A</v>
      </c>
      <c r="O300" s="1" t="e">
        <v>#N/A</v>
      </c>
      <c r="P300" s="1" t="e">
        <v>#N/A</v>
      </c>
      <c r="Q300" s="1" t="e">
        <v>#N/A</v>
      </c>
      <c r="R300" s="1" t="e">
        <v>#N/A</v>
      </c>
      <c r="S300" s="98">
        <v>13903.95</v>
      </c>
    </row>
    <row r="301" spans="1:19" x14ac:dyDescent="0.25">
      <c r="A301" s="1">
        <v>2012</v>
      </c>
      <c r="B301" s="77">
        <v>41104</v>
      </c>
      <c r="C301" s="1" t="s">
        <v>6</v>
      </c>
      <c r="D301" s="1" t="s">
        <v>8</v>
      </c>
      <c r="E301" s="1" t="s">
        <v>10</v>
      </c>
      <c r="F301" s="1" t="s">
        <v>13</v>
      </c>
      <c r="G301" s="1">
        <v>12.75</v>
      </c>
      <c r="H301" s="1">
        <v>22.08</v>
      </c>
      <c r="I301" s="78">
        <v>41103.521527777775</v>
      </c>
      <c r="J301" s="1">
        <v>14.86</v>
      </c>
      <c r="K301" s="1" t="e">
        <v>#N/A</v>
      </c>
      <c r="L301" s="1" t="e">
        <v>#N/A</v>
      </c>
      <c r="M301" s="1" t="e">
        <v>#N/A</v>
      </c>
      <c r="N301" s="1" t="e">
        <v>#N/A</v>
      </c>
      <c r="O301" s="1" t="e">
        <v>#N/A</v>
      </c>
      <c r="P301" s="1" t="e">
        <v>#N/A</v>
      </c>
      <c r="Q301" s="1" t="e">
        <v>#N/A</v>
      </c>
      <c r="R301" s="1" t="e">
        <v>#N/A</v>
      </c>
      <c r="S301" s="98">
        <v>13901.13</v>
      </c>
    </row>
    <row r="302" spans="1:19" x14ac:dyDescent="0.25">
      <c r="A302" s="1">
        <v>2012</v>
      </c>
      <c r="B302" s="77">
        <v>41105</v>
      </c>
      <c r="C302" s="1" t="s">
        <v>6</v>
      </c>
      <c r="D302" s="1" t="s">
        <v>8</v>
      </c>
      <c r="E302" s="1" t="s">
        <v>12</v>
      </c>
      <c r="F302" s="1" t="s">
        <v>13</v>
      </c>
      <c r="G302" s="1">
        <v>12.75</v>
      </c>
      <c r="H302" s="1">
        <v>17.239999999999998</v>
      </c>
      <c r="I302" s="78">
        <v>41104.770138888889</v>
      </c>
      <c r="J302" s="1">
        <v>11.9</v>
      </c>
      <c r="K302" s="1" t="e">
        <v>#N/A</v>
      </c>
      <c r="L302" s="1" t="e">
        <v>#N/A</v>
      </c>
      <c r="M302" s="1" t="e">
        <v>#N/A</v>
      </c>
      <c r="N302" s="1" t="e">
        <v>#N/A</v>
      </c>
      <c r="O302" s="1" t="e">
        <v>#N/A</v>
      </c>
      <c r="P302" s="1" t="e">
        <v>#N/A</v>
      </c>
      <c r="Q302" s="1" t="e">
        <v>#N/A</v>
      </c>
      <c r="R302" s="1" t="e">
        <v>#N/A</v>
      </c>
      <c r="S302" s="98">
        <v>12358.29</v>
      </c>
    </row>
    <row r="303" spans="1:19" x14ac:dyDescent="0.25">
      <c r="A303" s="1">
        <v>2012</v>
      </c>
      <c r="B303" s="77">
        <v>41105</v>
      </c>
      <c r="C303" s="1" t="s">
        <v>6</v>
      </c>
      <c r="D303" s="1" t="s">
        <v>8</v>
      </c>
      <c r="E303" s="1" t="s">
        <v>10</v>
      </c>
      <c r="F303" s="1" t="s">
        <v>13</v>
      </c>
      <c r="G303" s="1">
        <v>12.75</v>
      </c>
      <c r="H303" s="1">
        <v>17.239999999999998</v>
      </c>
      <c r="I303" s="78">
        <v>41104.770138888889</v>
      </c>
      <c r="J303" s="1">
        <v>11.9</v>
      </c>
      <c r="K303" s="1" t="e">
        <v>#N/A</v>
      </c>
      <c r="L303" s="1" t="e">
        <v>#N/A</v>
      </c>
      <c r="M303" s="1" t="e">
        <v>#N/A</v>
      </c>
      <c r="N303" s="1" t="e">
        <v>#N/A</v>
      </c>
      <c r="O303" s="1" t="e">
        <v>#N/A</v>
      </c>
      <c r="P303" s="1" t="e">
        <v>#N/A</v>
      </c>
      <c r="Q303" s="1" t="e">
        <v>#N/A</v>
      </c>
      <c r="R303" s="1" t="e">
        <v>#N/A</v>
      </c>
      <c r="S303" s="98">
        <v>12361.45</v>
      </c>
    </row>
    <row r="304" spans="1:19" x14ac:dyDescent="0.25">
      <c r="A304" s="1">
        <v>2012</v>
      </c>
      <c r="B304" s="77">
        <v>41106</v>
      </c>
      <c r="C304" s="1" t="s">
        <v>6</v>
      </c>
      <c r="D304" s="1" t="s">
        <v>8</v>
      </c>
      <c r="E304" s="1" t="s">
        <v>12</v>
      </c>
      <c r="F304" s="1" t="s">
        <v>13</v>
      </c>
      <c r="G304" s="1">
        <v>12.72</v>
      </c>
      <c r="H304" s="1">
        <v>16.96</v>
      </c>
      <c r="I304" s="78">
        <v>41105.572222222225</v>
      </c>
      <c r="J304" s="1">
        <v>11.17</v>
      </c>
      <c r="K304" s="1" t="e">
        <v>#N/A</v>
      </c>
      <c r="L304" s="1" t="e">
        <v>#N/A</v>
      </c>
      <c r="M304" s="1" t="e">
        <v>#N/A</v>
      </c>
      <c r="N304" s="1" t="e">
        <v>#N/A</v>
      </c>
      <c r="O304" s="1" t="e">
        <v>#N/A</v>
      </c>
      <c r="P304" s="1" t="e">
        <v>#N/A</v>
      </c>
      <c r="Q304" s="1" t="e">
        <v>#N/A</v>
      </c>
      <c r="R304" s="1" t="e">
        <v>#N/A</v>
      </c>
      <c r="S304" s="98">
        <v>14189.54</v>
      </c>
    </row>
    <row r="305" spans="1:19" x14ac:dyDescent="0.25">
      <c r="A305" s="1">
        <v>2012</v>
      </c>
      <c r="B305" s="77">
        <v>41106</v>
      </c>
      <c r="C305" s="1" t="s">
        <v>6</v>
      </c>
      <c r="D305" s="1" t="s">
        <v>8</v>
      </c>
      <c r="E305" s="1" t="s">
        <v>10</v>
      </c>
      <c r="F305" s="1" t="s">
        <v>13</v>
      </c>
      <c r="G305" s="1">
        <v>12.72</v>
      </c>
      <c r="H305" s="1">
        <v>16.96</v>
      </c>
      <c r="I305" s="78">
        <v>41105.572222222225</v>
      </c>
      <c r="J305" s="1">
        <v>11.17</v>
      </c>
      <c r="K305" s="1" t="e">
        <v>#N/A</v>
      </c>
      <c r="L305" s="1" t="e">
        <v>#N/A</v>
      </c>
      <c r="M305" s="1" t="e">
        <v>#N/A</v>
      </c>
      <c r="N305" s="1" t="e">
        <v>#N/A</v>
      </c>
      <c r="O305" s="1" t="e">
        <v>#N/A</v>
      </c>
      <c r="P305" s="1" t="e">
        <v>#N/A</v>
      </c>
      <c r="Q305" s="1" t="e">
        <v>#N/A</v>
      </c>
      <c r="R305" s="1" t="e">
        <v>#N/A</v>
      </c>
      <c r="S305" s="98">
        <v>14181.87</v>
      </c>
    </row>
    <row r="306" spans="1:19" x14ac:dyDescent="0.25">
      <c r="A306" s="1">
        <v>2012</v>
      </c>
      <c r="B306" s="77">
        <v>41107</v>
      </c>
      <c r="C306" s="1" t="s">
        <v>6</v>
      </c>
      <c r="D306" s="1" t="s">
        <v>8</v>
      </c>
      <c r="E306" s="1" t="s">
        <v>12</v>
      </c>
      <c r="F306" s="1" t="s">
        <v>13</v>
      </c>
      <c r="G306" s="1">
        <v>12.7</v>
      </c>
      <c r="H306" s="1">
        <v>11.79</v>
      </c>
      <c r="I306" s="78">
        <v>41106.581944444442</v>
      </c>
      <c r="J306" s="1">
        <v>9.67</v>
      </c>
      <c r="K306" s="1" t="e">
        <v>#N/A</v>
      </c>
      <c r="L306" s="1" t="e">
        <v>#N/A</v>
      </c>
      <c r="M306" s="1" t="e">
        <v>#N/A</v>
      </c>
      <c r="N306" s="1" t="e">
        <v>#N/A</v>
      </c>
      <c r="O306" s="1" t="e">
        <v>#N/A</v>
      </c>
      <c r="P306" s="1" t="e">
        <v>#N/A</v>
      </c>
      <c r="Q306" s="1" t="e">
        <v>#N/A</v>
      </c>
      <c r="R306" s="1" t="e">
        <v>#N/A</v>
      </c>
      <c r="S306" s="98">
        <v>7115.7730000000001</v>
      </c>
    </row>
    <row r="307" spans="1:19" x14ac:dyDescent="0.25">
      <c r="A307" s="1">
        <v>2012</v>
      </c>
      <c r="B307" s="77">
        <v>41107</v>
      </c>
      <c r="C307" s="1" t="s">
        <v>6</v>
      </c>
      <c r="D307" s="1" t="s">
        <v>8</v>
      </c>
      <c r="E307" s="1" t="s">
        <v>10</v>
      </c>
      <c r="F307" s="1" t="s">
        <v>13</v>
      </c>
      <c r="G307" s="1">
        <v>12.7</v>
      </c>
      <c r="H307" s="1">
        <v>11.79</v>
      </c>
      <c r="I307" s="78">
        <v>41106.581944444442</v>
      </c>
      <c r="J307" s="1">
        <v>9.67</v>
      </c>
      <c r="K307" s="1" t="e">
        <v>#N/A</v>
      </c>
      <c r="L307" s="1" t="e">
        <v>#N/A</v>
      </c>
      <c r="M307" s="1" t="e">
        <v>#N/A</v>
      </c>
      <c r="N307" s="1" t="e">
        <v>#N/A</v>
      </c>
      <c r="O307" s="1" t="e">
        <v>#N/A</v>
      </c>
      <c r="P307" s="1" t="e">
        <v>#N/A</v>
      </c>
      <c r="Q307" s="1" t="e">
        <v>#N/A</v>
      </c>
      <c r="R307" s="1" t="e">
        <v>#N/A</v>
      </c>
      <c r="S307" s="98">
        <v>7114.1170000000002</v>
      </c>
    </row>
    <row r="308" spans="1:19" x14ac:dyDescent="0.25">
      <c r="A308" s="1">
        <v>2012</v>
      </c>
      <c r="B308" s="77">
        <v>41108</v>
      </c>
      <c r="C308" s="1" t="s">
        <v>6</v>
      </c>
      <c r="D308" s="1" t="s">
        <v>8</v>
      </c>
      <c r="E308" s="1" t="s">
        <v>12</v>
      </c>
      <c r="F308" s="1" t="s">
        <v>13</v>
      </c>
      <c r="G308" s="1">
        <v>12.69</v>
      </c>
      <c r="H308" s="1">
        <v>10.65</v>
      </c>
      <c r="I308" s="78">
        <v>41107.499305555553</v>
      </c>
      <c r="J308" s="1">
        <v>7.8419999999999996</v>
      </c>
      <c r="K308" s="1" t="e">
        <v>#N/A</v>
      </c>
      <c r="L308" s="1" t="e">
        <v>#N/A</v>
      </c>
      <c r="M308" s="1" t="e">
        <v>#N/A</v>
      </c>
      <c r="N308" s="1" t="e">
        <v>#N/A</v>
      </c>
      <c r="O308" s="1" t="e">
        <v>#N/A</v>
      </c>
      <c r="P308" s="1" t="e">
        <v>#N/A</v>
      </c>
      <c r="Q308" s="1" t="e">
        <v>#N/A</v>
      </c>
      <c r="R308" s="1" t="e">
        <v>#N/A</v>
      </c>
      <c r="S308" s="98">
        <v>6243.1729999999998</v>
      </c>
    </row>
    <row r="309" spans="1:19" x14ac:dyDescent="0.25">
      <c r="A309" s="1">
        <v>2012</v>
      </c>
      <c r="B309" s="77">
        <v>41108</v>
      </c>
      <c r="C309" s="1" t="s">
        <v>6</v>
      </c>
      <c r="D309" s="1" t="s">
        <v>8</v>
      </c>
      <c r="E309" s="1" t="s">
        <v>10</v>
      </c>
      <c r="F309" s="1" t="s">
        <v>13</v>
      </c>
      <c r="G309" s="1">
        <v>12.69</v>
      </c>
      <c r="H309" s="1">
        <v>10.65</v>
      </c>
      <c r="I309" s="78">
        <v>41107.499305555553</v>
      </c>
      <c r="J309" s="1">
        <v>7.8419999999999996</v>
      </c>
      <c r="K309" s="1" t="e">
        <v>#N/A</v>
      </c>
      <c r="L309" s="1" t="e">
        <v>#N/A</v>
      </c>
      <c r="M309" s="1" t="e">
        <v>#N/A</v>
      </c>
      <c r="N309" s="1" t="e">
        <v>#N/A</v>
      </c>
      <c r="O309" s="1" t="e">
        <v>#N/A</v>
      </c>
      <c r="P309" s="1" t="e">
        <v>#N/A</v>
      </c>
      <c r="Q309" s="1" t="e">
        <v>#N/A</v>
      </c>
      <c r="R309" s="1" t="e">
        <v>#N/A</v>
      </c>
      <c r="S309" s="98">
        <v>6242.3639999999996</v>
      </c>
    </row>
    <row r="310" spans="1:19" x14ac:dyDescent="0.25">
      <c r="A310" s="1">
        <v>2012</v>
      </c>
      <c r="B310" s="77">
        <v>41109</v>
      </c>
      <c r="C310" s="1" t="s">
        <v>6</v>
      </c>
      <c r="D310" s="1" t="s">
        <v>8</v>
      </c>
      <c r="E310" s="1" t="s">
        <v>12</v>
      </c>
      <c r="F310" s="1" t="s">
        <v>13</v>
      </c>
      <c r="G310" s="1">
        <v>12.79</v>
      </c>
      <c r="H310" s="1">
        <v>11.61</v>
      </c>
      <c r="I310" s="78">
        <v>41108.727777777778</v>
      </c>
      <c r="J310" s="1">
        <v>9.86</v>
      </c>
      <c r="K310" s="1" t="e">
        <v>#N/A</v>
      </c>
      <c r="L310" s="1" t="e">
        <v>#N/A</v>
      </c>
      <c r="M310" s="1" t="e">
        <v>#N/A</v>
      </c>
      <c r="N310" s="1" t="e">
        <v>#N/A</v>
      </c>
      <c r="O310" s="1" t="e">
        <v>#N/A</v>
      </c>
      <c r="P310" s="1" t="e">
        <v>#N/A</v>
      </c>
      <c r="Q310" s="1" t="e">
        <v>#N/A</v>
      </c>
      <c r="R310" s="1" t="e">
        <v>#N/A</v>
      </c>
      <c r="S310" s="98">
        <v>3810.2260000000001</v>
      </c>
    </row>
    <row r="311" spans="1:19" x14ac:dyDescent="0.25">
      <c r="A311" s="1">
        <v>2012</v>
      </c>
      <c r="B311" s="77">
        <v>41109</v>
      </c>
      <c r="C311" s="1" t="s">
        <v>6</v>
      </c>
      <c r="D311" s="1" t="s">
        <v>8</v>
      </c>
      <c r="E311" s="1" t="s">
        <v>10</v>
      </c>
      <c r="F311" s="1" t="s">
        <v>13</v>
      </c>
      <c r="G311" s="1">
        <v>12.79</v>
      </c>
      <c r="H311" s="1">
        <v>11.61</v>
      </c>
      <c r="I311" s="78">
        <v>41108.727777777778</v>
      </c>
      <c r="J311" s="1">
        <v>9.86</v>
      </c>
      <c r="K311" s="1" t="e">
        <v>#N/A</v>
      </c>
      <c r="L311" s="1" t="e">
        <v>#N/A</v>
      </c>
      <c r="M311" s="1" t="e">
        <v>#N/A</v>
      </c>
      <c r="N311" s="1" t="e">
        <v>#N/A</v>
      </c>
      <c r="O311" s="1" t="e">
        <v>#N/A</v>
      </c>
      <c r="P311" s="1" t="e">
        <v>#N/A</v>
      </c>
      <c r="Q311" s="1" t="e">
        <v>#N/A</v>
      </c>
      <c r="R311" s="1" t="e">
        <v>#N/A</v>
      </c>
      <c r="S311" s="98">
        <v>3808.165</v>
      </c>
    </row>
    <row r="312" spans="1:19" x14ac:dyDescent="0.25">
      <c r="A312" s="1">
        <v>2012</v>
      </c>
      <c r="B312" s="77">
        <v>41110</v>
      </c>
      <c r="C312" s="1" t="s">
        <v>6</v>
      </c>
      <c r="D312" s="1" t="s">
        <v>8</v>
      </c>
      <c r="E312" s="1" t="s">
        <v>12</v>
      </c>
      <c r="F312" s="1" t="s">
        <v>13</v>
      </c>
      <c r="G312" s="1">
        <v>12.67</v>
      </c>
      <c r="H312" s="1">
        <v>16.46</v>
      </c>
      <c r="I312" s="78">
        <v>41109.566666666666</v>
      </c>
      <c r="J312" s="1">
        <v>10.77</v>
      </c>
      <c r="K312" s="1" t="e">
        <v>#N/A</v>
      </c>
      <c r="L312" s="1" t="e">
        <v>#N/A</v>
      </c>
      <c r="M312" s="1" t="e">
        <v>#N/A</v>
      </c>
      <c r="N312" s="1" t="e">
        <v>#N/A</v>
      </c>
      <c r="O312" s="1" t="e">
        <v>#N/A</v>
      </c>
      <c r="P312" s="1" t="e">
        <v>#N/A</v>
      </c>
      <c r="Q312" s="1" t="e">
        <v>#N/A</v>
      </c>
      <c r="R312" s="1" t="e">
        <v>#N/A</v>
      </c>
      <c r="S312" s="98">
        <v>7988.643</v>
      </c>
    </row>
    <row r="313" spans="1:19" x14ac:dyDescent="0.25">
      <c r="A313" s="1">
        <v>2012</v>
      </c>
      <c r="B313" s="77">
        <v>41110</v>
      </c>
      <c r="C313" s="1" t="s">
        <v>6</v>
      </c>
      <c r="D313" s="1" t="s">
        <v>8</v>
      </c>
      <c r="E313" s="1" t="s">
        <v>10</v>
      </c>
      <c r="F313" s="1" t="s">
        <v>13</v>
      </c>
      <c r="G313" s="1">
        <v>12.67</v>
      </c>
      <c r="H313" s="1">
        <v>16.46</v>
      </c>
      <c r="I313" s="78">
        <v>41109.566666666666</v>
      </c>
      <c r="J313" s="1">
        <v>10.77</v>
      </c>
      <c r="K313" s="1" t="e">
        <v>#N/A</v>
      </c>
      <c r="L313" s="1" t="e">
        <v>#N/A</v>
      </c>
      <c r="M313" s="1" t="e">
        <v>#N/A</v>
      </c>
      <c r="N313" s="1" t="e">
        <v>#N/A</v>
      </c>
      <c r="O313" s="1" t="e">
        <v>#N/A</v>
      </c>
      <c r="P313" s="1" t="e">
        <v>#N/A</v>
      </c>
      <c r="Q313" s="1" t="e">
        <v>#N/A</v>
      </c>
      <c r="R313" s="1" t="e">
        <v>#N/A</v>
      </c>
      <c r="S313" s="98">
        <v>7991.268</v>
      </c>
    </row>
    <row r="314" spans="1:19" x14ac:dyDescent="0.25">
      <c r="A314" s="1">
        <v>2012</v>
      </c>
      <c r="B314" s="77">
        <v>41111</v>
      </c>
      <c r="C314" s="1" t="s">
        <v>6</v>
      </c>
      <c r="D314" s="1" t="s">
        <v>8</v>
      </c>
      <c r="E314" s="1" t="s">
        <v>12</v>
      </c>
      <c r="F314" s="1" t="s">
        <v>13</v>
      </c>
      <c r="G314" s="1">
        <v>12.67</v>
      </c>
      <c r="H314" s="1">
        <v>17.010000000000002</v>
      </c>
      <c r="I314" s="78">
        <v>41110.539583333331</v>
      </c>
      <c r="J314" s="1">
        <v>10.67</v>
      </c>
      <c r="K314" s="1" t="e">
        <v>#N/A</v>
      </c>
      <c r="L314" s="1" t="e">
        <v>#N/A</v>
      </c>
      <c r="M314" s="1" t="e">
        <v>#N/A</v>
      </c>
      <c r="N314" s="1" t="e">
        <v>#N/A</v>
      </c>
      <c r="O314" s="1" t="e">
        <v>#N/A</v>
      </c>
      <c r="P314" s="1" t="e">
        <v>#N/A</v>
      </c>
      <c r="Q314" s="1" t="e">
        <v>#N/A</v>
      </c>
      <c r="R314" s="1" t="e">
        <v>#N/A</v>
      </c>
      <c r="S314" s="98">
        <v>8036.9040000000005</v>
      </c>
    </row>
    <row r="315" spans="1:19" x14ac:dyDescent="0.25">
      <c r="A315" s="1">
        <v>2012</v>
      </c>
      <c r="B315" s="77">
        <v>41111</v>
      </c>
      <c r="C315" s="1" t="s">
        <v>6</v>
      </c>
      <c r="D315" s="1" t="s">
        <v>8</v>
      </c>
      <c r="E315" s="1" t="s">
        <v>10</v>
      </c>
      <c r="F315" s="1" t="s">
        <v>13</v>
      </c>
      <c r="G315" s="1">
        <v>12.67</v>
      </c>
      <c r="H315" s="1">
        <v>17.010000000000002</v>
      </c>
      <c r="I315" s="78">
        <v>41110.539583333331</v>
      </c>
      <c r="J315" s="1">
        <v>10.67</v>
      </c>
      <c r="K315" s="1" t="e">
        <v>#N/A</v>
      </c>
      <c r="L315" s="1" t="e">
        <v>#N/A</v>
      </c>
      <c r="M315" s="1" t="e">
        <v>#N/A</v>
      </c>
      <c r="N315" s="1" t="e">
        <v>#N/A</v>
      </c>
      <c r="O315" s="1" t="e">
        <v>#N/A</v>
      </c>
      <c r="P315" s="1" t="e">
        <v>#N/A</v>
      </c>
      <c r="Q315" s="1" t="e">
        <v>#N/A</v>
      </c>
      <c r="R315" s="1" t="e">
        <v>#N/A</v>
      </c>
      <c r="S315" s="98">
        <v>8032.9440000000004</v>
      </c>
    </row>
    <row r="316" spans="1:19" x14ac:dyDescent="0.25">
      <c r="A316" s="1">
        <v>2012</v>
      </c>
      <c r="B316" s="77">
        <v>41112</v>
      </c>
      <c r="C316" s="1" t="s">
        <v>6</v>
      </c>
      <c r="D316" s="1" t="s">
        <v>8</v>
      </c>
      <c r="E316" s="1" t="s">
        <v>12</v>
      </c>
      <c r="F316" s="1" t="s">
        <v>13</v>
      </c>
      <c r="G316" s="1">
        <v>12.64</v>
      </c>
      <c r="H316" s="1">
        <v>10.7</v>
      </c>
      <c r="I316" s="78">
        <v>41111.901388888888</v>
      </c>
      <c r="J316" s="1">
        <v>7.34</v>
      </c>
      <c r="K316" s="1" t="e">
        <v>#N/A</v>
      </c>
      <c r="L316" s="1" t="e">
        <v>#N/A</v>
      </c>
      <c r="M316" s="1" t="e">
        <v>#N/A</v>
      </c>
      <c r="N316" s="1" t="e">
        <v>#N/A</v>
      </c>
      <c r="O316" s="1" t="e">
        <v>#N/A</v>
      </c>
      <c r="P316" s="1" t="e">
        <v>#N/A</v>
      </c>
      <c r="Q316" s="1" t="e">
        <v>#N/A</v>
      </c>
      <c r="R316" s="1" t="e">
        <v>#N/A</v>
      </c>
      <c r="S316" s="98">
        <v>4412.5630000000001</v>
      </c>
    </row>
    <row r="317" spans="1:19" x14ac:dyDescent="0.25">
      <c r="A317" s="1">
        <v>2012</v>
      </c>
      <c r="B317" s="77">
        <v>41112</v>
      </c>
      <c r="C317" s="1" t="s">
        <v>6</v>
      </c>
      <c r="D317" s="1" t="s">
        <v>8</v>
      </c>
      <c r="E317" s="1" t="s">
        <v>10</v>
      </c>
      <c r="F317" s="1" t="s">
        <v>13</v>
      </c>
      <c r="G317" s="1">
        <v>12.64</v>
      </c>
      <c r="H317" s="1">
        <v>10.7</v>
      </c>
      <c r="I317" s="78">
        <v>41111.901388888888</v>
      </c>
      <c r="J317" s="1">
        <v>7.34</v>
      </c>
      <c r="K317" s="1" t="e">
        <v>#N/A</v>
      </c>
      <c r="L317" s="1" t="e">
        <v>#N/A</v>
      </c>
      <c r="M317" s="1" t="e">
        <v>#N/A</v>
      </c>
      <c r="N317" s="1" t="e">
        <v>#N/A</v>
      </c>
      <c r="O317" s="1" t="e">
        <v>#N/A</v>
      </c>
      <c r="P317" s="1" t="e">
        <v>#N/A</v>
      </c>
      <c r="Q317" s="1" t="e">
        <v>#N/A</v>
      </c>
      <c r="R317" s="1" t="e">
        <v>#N/A</v>
      </c>
      <c r="S317" s="98">
        <v>4418.3440000000001</v>
      </c>
    </row>
    <row r="318" spans="1:19" x14ac:dyDescent="0.25">
      <c r="A318" s="1">
        <v>2012</v>
      </c>
      <c r="B318" s="77">
        <v>41113</v>
      </c>
      <c r="C318" s="1" t="s">
        <v>6</v>
      </c>
      <c r="D318" s="1" t="s">
        <v>8</v>
      </c>
      <c r="E318" s="1" t="s">
        <v>12</v>
      </c>
      <c r="F318" s="1" t="s">
        <v>13</v>
      </c>
      <c r="G318" s="1">
        <v>12.66</v>
      </c>
      <c r="H318" s="1">
        <v>22.95</v>
      </c>
      <c r="I318" s="78">
        <v>41112.658333333333</v>
      </c>
      <c r="J318" s="1">
        <v>13.18</v>
      </c>
      <c r="K318" s="1" t="e">
        <v>#N/A</v>
      </c>
      <c r="L318" s="1" t="e">
        <v>#N/A</v>
      </c>
      <c r="M318" s="1" t="e">
        <v>#N/A</v>
      </c>
      <c r="N318" s="1" t="e">
        <v>#N/A</v>
      </c>
      <c r="O318" s="1" t="e">
        <v>#N/A</v>
      </c>
      <c r="P318" s="1" t="e">
        <v>#N/A</v>
      </c>
      <c r="Q318" s="1" t="e">
        <v>#N/A</v>
      </c>
      <c r="R318" s="1" t="e">
        <v>#N/A</v>
      </c>
      <c r="S318" s="98">
        <v>12851.96</v>
      </c>
    </row>
    <row r="319" spans="1:19" x14ac:dyDescent="0.25">
      <c r="A319" s="1">
        <v>2012</v>
      </c>
      <c r="B319" s="77">
        <v>41113</v>
      </c>
      <c r="C319" s="1" t="s">
        <v>6</v>
      </c>
      <c r="D319" s="1" t="s">
        <v>8</v>
      </c>
      <c r="E319" s="1" t="s">
        <v>10</v>
      </c>
      <c r="F319" s="1" t="s">
        <v>13</v>
      </c>
      <c r="G319" s="1">
        <v>12.66</v>
      </c>
      <c r="H319" s="1">
        <v>22.95</v>
      </c>
      <c r="I319" s="78">
        <v>41112.658333333333</v>
      </c>
      <c r="J319" s="1">
        <v>13.18</v>
      </c>
      <c r="K319" s="1" t="e">
        <v>#N/A</v>
      </c>
      <c r="L319" s="1" t="e">
        <v>#N/A</v>
      </c>
      <c r="M319" s="1" t="e">
        <v>#N/A</v>
      </c>
      <c r="N319" s="1" t="e">
        <v>#N/A</v>
      </c>
      <c r="O319" s="1" t="e">
        <v>#N/A</v>
      </c>
      <c r="P319" s="1" t="e">
        <v>#N/A</v>
      </c>
      <c r="Q319" s="1" t="e">
        <v>#N/A</v>
      </c>
      <c r="R319" s="1" t="e">
        <v>#N/A</v>
      </c>
      <c r="S319" s="98">
        <v>12853.63</v>
      </c>
    </row>
    <row r="320" spans="1:19" x14ac:dyDescent="0.25">
      <c r="A320" s="1">
        <v>2012</v>
      </c>
      <c r="B320" s="77">
        <v>41114</v>
      </c>
      <c r="C320" s="1" t="s">
        <v>6</v>
      </c>
      <c r="D320" s="1" t="s">
        <v>8</v>
      </c>
      <c r="E320" s="1" t="s">
        <v>12</v>
      </c>
      <c r="F320" s="1" t="s">
        <v>13</v>
      </c>
      <c r="G320" s="1">
        <v>12.68</v>
      </c>
      <c r="H320" s="1">
        <v>24.98</v>
      </c>
      <c r="I320" s="78">
        <v>41113.674305555556</v>
      </c>
      <c r="J320" s="1">
        <v>15.06</v>
      </c>
      <c r="K320" s="1" t="e">
        <v>#N/A</v>
      </c>
      <c r="L320" s="1" t="e">
        <v>#N/A</v>
      </c>
      <c r="M320" s="1" t="e">
        <v>#N/A</v>
      </c>
      <c r="N320" s="1" t="e">
        <v>#N/A</v>
      </c>
      <c r="O320" s="1" t="e">
        <v>#N/A</v>
      </c>
      <c r="P320" s="1" t="e">
        <v>#N/A</v>
      </c>
      <c r="Q320" s="1" t="e">
        <v>#N/A</v>
      </c>
      <c r="R320" s="1" t="e">
        <v>#N/A</v>
      </c>
      <c r="S320" s="98">
        <v>10701.76</v>
      </c>
    </row>
    <row r="321" spans="1:19" x14ac:dyDescent="0.25">
      <c r="A321" s="1">
        <v>2012</v>
      </c>
      <c r="B321" s="77">
        <v>41114</v>
      </c>
      <c r="C321" s="1" t="s">
        <v>6</v>
      </c>
      <c r="D321" s="1" t="s">
        <v>8</v>
      </c>
      <c r="E321" s="1" t="s">
        <v>10</v>
      </c>
      <c r="F321" s="1" t="s">
        <v>13</v>
      </c>
      <c r="G321" s="1">
        <v>12.68</v>
      </c>
      <c r="H321" s="1">
        <v>24.98</v>
      </c>
      <c r="I321" s="78">
        <v>41113.674305555556</v>
      </c>
      <c r="J321" s="1">
        <v>15.06</v>
      </c>
      <c r="K321" s="1" t="e">
        <v>#N/A</v>
      </c>
      <c r="L321" s="1" t="e">
        <v>#N/A</v>
      </c>
      <c r="M321" s="1" t="e">
        <v>#N/A</v>
      </c>
      <c r="N321" s="1" t="e">
        <v>#N/A</v>
      </c>
      <c r="O321" s="1" t="e">
        <v>#N/A</v>
      </c>
      <c r="P321" s="1" t="e">
        <v>#N/A</v>
      </c>
      <c r="Q321" s="1" t="e">
        <v>#N/A</v>
      </c>
      <c r="R321" s="1" t="e">
        <v>#N/A</v>
      </c>
      <c r="S321" s="98">
        <v>10698.46</v>
      </c>
    </row>
    <row r="322" spans="1:19" x14ac:dyDescent="0.25">
      <c r="A322" s="1">
        <v>2012</v>
      </c>
      <c r="B322" s="77">
        <v>41115</v>
      </c>
      <c r="C322" s="1" t="s">
        <v>6</v>
      </c>
      <c r="D322" s="1" t="s">
        <v>8</v>
      </c>
      <c r="E322" s="1" t="s">
        <v>12</v>
      </c>
      <c r="F322" s="1" t="s">
        <v>13</v>
      </c>
      <c r="G322" s="1">
        <v>12.69</v>
      </c>
      <c r="H322" s="1">
        <v>18.25</v>
      </c>
      <c r="I322" s="78">
        <v>41114.518750000003</v>
      </c>
      <c r="J322" s="1">
        <v>13.55</v>
      </c>
      <c r="K322" s="1" t="e">
        <v>#N/A</v>
      </c>
      <c r="L322" s="1" t="e">
        <v>#N/A</v>
      </c>
      <c r="M322" s="1" t="e">
        <v>#N/A</v>
      </c>
      <c r="N322" s="1" t="e">
        <v>#N/A</v>
      </c>
      <c r="O322" s="1" t="e">
        <v>#N/A</v>
      </c>
      <c r="P322" s="1" t="e">
        <v>#N/A</v>
      </c>
      <c r="Q322" s="1" t="e">
        <v>#N/A</v>
      </c>
      <c r="R322" s="1" t="e">
        <v>#N/A</v>
      </c>
      <c r="S322" s="98">
        <v>6142.5469999999996</v>
      </c>
    </row>
    <row r="323" spans="1:19" x14ac:dyDescent="0.25">
      <c r="A323" s="1">
        <v>2012</v>
      </c>
      <c r="B323" s="77">
        <v>41115</v>
      </c>
      <c r="C323" s="1" t="s">
        <v>6</v>
      </c>
      <c r="D323" s="1" t="s">
        <v>8</v>
      </c>
      <c r="E323" s="1" t="s">
        <v>10</v>
      </c>
      <c r="F323" s="1" t="s">
        <v>13</v>
      </c>
      <c r="G323" s="1">
        <v>12.69</v>
      </c>
      <c r="H323" s="1">
        <v>18.25</v>
      </c>
      <c r="I323" s="78">
        <v>41114.518750000003</v>
      </c>
      <c r="J323" s="1">
        <v>13.55</v>
      </c>
      <c r="K323" s="1" t="e">
        <v>#N/A</v>
      </c>
      <c r="L323" s="1" t="e">
        <v>#N/A</v>
      </c>
      <c r="M323" s="1" t="e">
        <v>#N/A</v>
      </c>
      <c r="N323" s="1" t="e">
        <v>#N/A</v>
      </c>
      <c r="O323" s="1" t="e">
        <v>#N/A</v>
      </c>
      <c r="P323" s="1" t="e">
        <v>#N/A</v>
      </c>
      <c r="Q323" s="1" t="e">
        <v>#N/A</v>
      </c>
      <c r="R323" s="1" t="e">
        <v>#N/A</v>
      </c>
      <c r="S323" s="98">
        <v>6142.3440000000001</v>
      </c>
    </row>
    <row r="324" spans="1:19" x14ac:dyDescent="0.25">
      <c r="A324" s="1">
        <v>2012</v>
      </c>
      <c r="B324" s="77">
        <v>41116</v>
      </c>
      <c r="C324" s="1" t="s">
        <v>6</v>
      </c>
      <c r="D324" s="1" t="s">
        <v>8</v>
      </c>
      <c r="E324" s="1" t="s">
        <v>12</v>
      </c>
      <c r="F324" s="1" t="s">
        <v>13</v>
      </c>
      <c r="G324" s="1">
        <v>12.66</v>
      </c>
      <c r="H324" s="1">
        <v>21.72</v>
      </c>
      <c r="I324" s="78">
        <v>41115.669444444444</v>
      </c>
      <c r="J324" s="1">
        <v>13.89</v>
      </c>
      <c r="K324" s="1" t="e">
        <v>#N/A</v>
      </c>
      <c r="L324" s="1" t="e">
        <v>#N/A</v>
      </c>
      <c r="M324" s="1" t="e">
        <v>#N/A</v>
      </c>
      <c r="N324" s="1" t="e">
        <v>#N/A</v>
      </c>
      <c r="O324" s="1" t="e">
        <v>#N/A</v>
      </c>
      <c r="P324" s="1" t="e">
        <v>#N/A</v>
      </c>
      <c r="Q324" s="1" t="e">
        <v>#N/A</v>
      </c>
      <c r="R324" s="1" t="e">
        <v>#N/A</v>
      </c>
      <c r="S324" s="98">
        <v>8472.8369999999995</v>
      </c>
    </row>
    <row r="325" spans="1:19" x14ac:dyDescent="0.25">
      <c r="A325" s="1">
        <v>2012</v>
      </c>
      <c r="B325" s="77">
        <v>41116</v>
      </c>
      <c r="C325" s="1" t="s">
        <v>6</v>
      </c>
      <c r="D325" s="1" t="s">
        <v>8</v>
      </c>
      <c r="E325" s="1" t="s">
        <v>10</v>
      </c>
      <c r="F325" s="1" t="s">
        <v>13</v>
      </c>
      <c r="G325" s="1">
        <v>12.66</v>
      </c>
      <c r="H325" s="1">
        <v>21.72</v>
      </c>
      <c r="I325" s="78">
        <v>41115.669444444444</v>
      </c>
      <c r="J325" s="1">
        <v>13.89</v>
      </c>
      <c r="K325" s="1" t="e">
        <v>#N/A</v>
      </c>
      <c r="L325" s="1" t="e">
        <v>#N/A</v>
      </c>
      <c r="M325" s="1" t="e">
        <v>#N/A</v>
      </c>
      <c r="N325" s="1" t="e">
        <v>#N/A</v>
      </c>
      <c r="O325" s="1" t="e">
        <v>#N/A</v>
      </c>
      <c r="P325" s="1" t="e">
        <v>#N/A</v>
      </c>
      <c r="Q325" s="1" t="e">
        <v>#N/A</v>
      </c>
      <c r="R325" s="1" t="e">
        <v>#N/A</v>
      </c>
      <c r="S325" s="98">
        <v>8477.5529999999999</v>
      </c>
    </row>
    <row r="326" spans="1:19" x14ac:dyDescent="0.25">
      <c r="A326" s="1">
        <v>2012</v>
      </c>
      <c r="B326" s="77">
        <v>41117</v>
      </c>
      <c r="C326" s="1" t="s">
        <v>6</v>
      </c>
      <c r="D326" s="1" t="s">
        <v>8</v>
      </c>
      <c r="E326" s="1" t="s">
        <v>12</v>
      </c>
      <c r="F326" s="1" t="s">
        <v>13</v>
      </c>
      <c r="G326" s="1">
        <v>12.66</v>
      </c>
      <c r="H326" s="1">
        <v>24.48</v>
      </c>
      <c r="I326" s="78">
        <v>41116.62777777778</v>
      </c>
      <c r="J326" s="1">
        <v>15.32</v>
      </c>
      <c r="K326" s="1" t="e">
        <v>#N/A</v>
      </c>
      <c r="L326" s="1" t="e">
        <v>#N/A</v>
      </c>
      <c r="M326" s="1" t="e">
        <v>#N/A</v>
      </c>
      <c r="N326" s="1" t="e">
        <v>#N/A</v>
      </c>
      <c r="O326" s="1" t="e">
        <v>#N/A</v>
      </c>
      <c r="P326" s="1" t="e">
        <v>#N/A</v>
      </c>
      <c r="Q326" s="1" t="e">
        <v>#N/A</v>
      </c>
      <c r="R326" s="1" t="e">
        <v>#N/A</v>
      </c>
      <c r="S326" s="98">
        <v>10675.64</v>
      </c>
    </row>
    <row r="327" spans="1:19" x14ac:dyDescent="0.25">
      <c r="A327" s="1">
        <v>2012</v>
      </c>
      <c r="B327" s="77">
        <v>41117</v>
      </c>
      <c r="C327" s="1" t="s">
        <v>6</v>
      </c>
      <c r="D327" s="1" t="s">
        <v>8</v>
      </c>
      <c r="E327" s="1" t="s">
        <v>10</v>
      </c>
      <c r="F327" s="1" t="s">
        <v>13</v>
      </c>
      <c r="G327" s="1">
        <v>12.66</v>
      </c>
      <c r="H327" s="1">
        <v>24.48</v>
      </c>
      <c r="I327" s="78">
        <v>41116.62777777778</v>
      </c>
      <c r="J327" s="1">
        <v>15.32</v>
      </c>
      <c r="K327" s="1" t="e">
        <v>#N/A</v>
      </c>
      <c r="L327" s="1" t="e">
        <v>#N/A</v>
      </c>
      <c r="M327" s="1" t="e">
        <v>#N/A</v>
      </c>
      <c r="N327" s="1" t="e">
        <v>#N/A</v>
      </c>
      <c r="O327" s="1" t="e">
        <v>#N/A</v>
      </c>
      <c r="P327" s="1" t="e">
        <v>#N/A</v>
      </c>
      <c r="Q327" s="1" t="e">
        <v>#N/A</v>
      </c>
      <c r="R327" s="1" t="e">
        <v>#N/A</v>
      </c>
      <c r="S327" s="98">
        <v>10675.23</v>
      </c>
    </row>
    <row r="328" spans="1:19" x14ac:dyDescent="0.25">
      <c r="A328" s="1">
        <v>2012</v>
      </c>
      <c r="B328" s="77">
        <v>41118</v>
      </c>
      <c r="C328" s="1" t="s">
        <v>6</v>
      </c>
      <c r="D328" s="1" t="s">
        <v>8</v>
      </c>
      <c r="E328" s="1" t="s">
        <v>12</v>
      </c>
      <c r="F328" s="1" t="s">
        <v>13</v>
      </c>
      <c r="G328" s="1">
        <v>12.65</v>
      </c>
      <c r="H328" s="1">
        <v>21.64</v>
      </c>
      <c r="I328" s="78">
        <v>41117.631944444445</v>
      </c>
      <c r="J328" s="1">
        <v>14.94</v>
      </c>
      <c r="K328" s="1" t="e">
        <v>#N/A</v>
      </c>
      <c r="L328" s="1" t="e">
        <v>#N/A</v>
      </c>
      <c r="M328" s="1" t="e">
        <v>#N/A</v>
      </c>
      <c r="N328" s="1" t="e">
        <v>#N/A</v>
      </c>
      <c r="O328" s="1" t="e">
        <v>#N/A</v>
      </c>
      <c r="P328" s="1" t="e">
        <v>#N/A</v>
      </c>
      <c r="Q328" s="1" t="e">
        <v>#N/A</v>
      </c>
      <c r="R328" s="1" t="e">
        <v>#N/A</v>
      </c>
      <c r="S328" s="98">
        <v>7478.0839999999998</v>
      </c>
    </row>
    <row r="329" spans="1:19" x14ac:dyDescent="0.25">
      <c r="A329" s="1">
        <v>2012</v>
      </c>
      <c r="B329" s="77">
        <v>41118</v>
      </c>
      <c r="C329" s="1" t="s">
        <v>6</v>
      </c>
      <c r="D329" s="1" t="s">
        <v>8</v>
      </c>
      <c r="E329" s="1" t="s">
        <v>10</v>
      </c>
      <c r="F329" s="1" t="s">
        <v>13</v>
      </c>
      <c r="G329" s="1">
        <v>12.65</v>
      </c>
      <c r="H329" s="1">
        <v>21.64</v>
      </c>
      <c r="I329" s="78">
        <v>41117.631944444445</v>
      </c>
      <c r="J329" s="1">
        <v>14.94</v>
      </c>
      <c r="K329" s="1" t="e">
        <v>#N/A</v>
      </c>
      <c r="L329" s="1" t="e">
        <v>#N/A</v>
      </c>
      <c r="M329" s="1" t="e">
        <v>#N/A</v>
      </c>
      <c r="N329" s="1" t="e">
        <v>#N/A</v>
      </c>
      <c r="O329" s="1" t="e">
        <v>#N/A</v>
      </c>
      <c r="P329" s="1" t="e">
        <v>#N/A</v>
      </c>
      <c r="Q329" s="1" t="e">
        <v>#N/A</v>
      </c>
      <c r="R329" s="1" t="e">
        <v>#N/A</v>
      </c>
      <c r="S329" s="98">
        <v>7498.5739999999996</v>
      </c>
    </row>
    <row r="330" spans="1:19" x14ac:dyDescent="0.25">
      <c r="A330" s="1">
        <v>2012</v>
      </c>
      <c r="B330" s="77">
        <v>41119</v>
      </c>
      <c r="C330" s="1" t="s">
        <v>6</v>
      </c>
      <c r="D330" s="1" t="s">
        <v>8</v>
      </c>
      <c r="E330" s="1" t="s">
        <v>12</v>
      </c>
      <c r="F330" s="1" t="s">
        <v>13</v>
      </c>
      <c r="G330" s="1">
        <v>12.67</v>
      </c>
      <c r="H330" s="1">
        <v>20.260000000000002</v>
      </c>
      <c r="I330" s="78">
        <v>41118.620833333334</v>
      </c>
      <c r="J330" s="1">
        <v>14.46</v>
      </c>
      <c r="K330" s="1" t="e">
        <v>#N/A</v>
      </c>
      <c r="L330" s="1" t="e">
        <v>#N/A</v>
      </c>
      <c r="M330" s="1" t="e">
        <v>#N/A</v>
      </c>
      <c r="N330" s="1" t="e">
        <v>#N/A</v>
      </c>
      <c r="O330" s="1" t="e">
        <v>#N/A</v>
      </c>
      <c r="P330" s="1" t="e">
        <v>#N/A</v>
      </c>
      <c r="Q330" s="1" t="e">
        <v>#N/A</v>
      </c>
      <c r="R330" s="1" t="e">
        <v>#N/A</v>
      </c>
      <c r="S330" s="98">
        <v>9891.3320000000003</v>
      </c>
    </row>
    <row r="331" spans="1:19" x14ac:dyDescent="0.25">
      <c r="A331" s="1">
        <v>2012</v>
      </c>
      <c r="B331" s="77">
        <v>41119</v>
      </c>
      <c r="C331" s="1" t="s">
        <v>6</v>
      </c>
      <c r="D331" s="1" t="s">
        <v>8</v>
      </c>
      <c r="E331" s="1" t="s">
        <v>10</v>
      </c>
      <c r="F331" s="1" t="s">
        <v>13</v>
      </c>
      <c r="G331" s="1">
        <v>12.67</v>
      </c>
      <c r="H331" s="1">
        <v>20.260000000000002</v>
      </c>
      <c r="I331" s="78">
        <v>41118.620833333334</v>
      </c>
      <c r="J331" s="1">
        <v>14.46</v>
      </c>
      <c r="K331" s="1" t="e">
        <v>#N/A</v>
      </c>
      <c r="L331" s="1" t="e">
        <v>#N/A</v>
      </c>
      <c r="M331" s="1" t="e">
        <v>#N/A</v>
      </c>
      <c r="N331" s="1" t="e">
        <v>#N/A</v>
      </c>
      <c r="O331" s="1" t="e">
        <v>#N/A</v>
      </c>
      <c r="P331" s="1" t="e">
        <v>#N/A</v>
      </c>
      <c r="Q331" s="1" t="e">
        <v>#N/A</v>
      </c>
      <c r="R331" s="1" t="e">
        <v>#N/A</v>
      </c>
      <c r="S331" s="98">
        <v>9871.3269999999993</v>
      </c>
    </row>
    <row r="332" spans="1:19" x14ac:dyDescent="0.25">
      <c r="A332" s="1">
        <v>2012</v>
      </c>
      <c r="B332" s="77">
        <v>41120</v>
      </c>
      <c r="C332" s="1" t="s">
        <v>6</v>
      </c>
      <c r="D332" s="1" t="s">
        <v>8</v>
      </c>
      <c r="E332" s="1" t="s">
        <v>12</v>
      </c>
      <c r="F332" s="1" t="s">
        <v>13</v>
      </c>
      <c r="G332" s="1">
        <v>12.71</v>
      </c>
      <c r="H332" s="1">
        <v>24.54</v>
      </c>
      <c r="I332" s="78">
        <v>41119.560416666667</v>
      </c>
      <c r="J332" s="1">
        <v>17.899999999999999</v>
      </c>
      <c r="K332" s="1" t="e">
        <v>#N/A</v>
      </c>
      <c r="L332" s="1" t="e">
        <v>#N/A</v>
      </c>
      <c r="M332" s="1" t="e">
        <v>#N/A</v>
      </c>
      <c r="N332" s="1" t="e">
        <v>#N/A</v>
      </c>
      <c r="O332" s="1" t="e">
        <v>#N/A</v>
      </c>
      <c r="P332" s="1" t="e">
        <v>#N/A</v>
      </c>
      <c r="Q332" s="1" t="e">
        <v>#N/A</v>
      </c>
      <c r="R332" s="1" t="e">
        <v>#N/A</v>
      </c>
      <c r="S332" s="98">
        <v>11445.89</v>
      </c>
    </row>
    <row r="333" spans="1:19" x14ac:dyDescent="0.25">
      <c r="A333" s="1">
        <v>2012</v>
      </c>
      <c r="B333" s="77">
        <v>41120</v>
      </c>
      <c r="C333" s="1" t="s">
        <v>6</v>
      </c>
      <c r="D333" s="1" t="s">
        <v>8</v>
      </c>
      <c r="E333" s="1" t="s">
        <v>10</v>
      </c>
      <c r="F333" s="1" t="s">
        <v>13</v>
      </c>
      <c r="G333" s="1">
        <v>12.71</v>
      </c>
      <c r="H333" s="1">
        <v>24.54</v>
      </c>
      <c r="I333" s="78">
        <v>41119.560416666667</v>
      </c>
      <c r="J333" s="1">
        <v>17.899999999999999</v>
      </c>
      <c r="K333" s="1" t="e">
        <v>#N/A</v>
      </c>
      <c r="L333" s="1" t="e">
        <v>#N/A</v>
      </c>
      <c r="M333" s="1" t="e">
        <v>#N/A</v>
      </c>
      <c r="N333" s="1" t="e">
        <v>#N/A</v>
      </c>
      <c r="O333" s="1" t="e">
        <v>#N/A</v>
      </c>
      <c r="P333" s="1" t="e">
        <v>#N/A</v>
      </c>
      <c r="Q333" s="1" t="e">
        <v>#N/A</v>
      </c>
      <c r="R333" s="1" t="e">
        <v>#N/A</v>
      </c>
      <c r="S333" s="98">
        <v>11425.87</v>
      </c>
    </row>
    <row r="334" spans="1:19" x14ac:dyDescent="0.25">
      <c r="A334" s="1">
        <v>2012</v>
      </c>
      <c r="B334" s="77">
        <v>41121</v>
      </c>
      <c r="C334" s="1" t="s">
        <v>6</v>
      </c>
      <c r="D334" s="1" t="s">
        <v>8</v>
      </c>
      <c r="E334" s="1" t="s">
        <v>12</v>
      </c>
      <c r="F334" s="1" t="s">
        <v>13</v>
      </c>
      <c r="G334" s="1">
        <v>12.65</v>
      </c>
      <c r="H334" s="1">
        <v>22.53</v>
      </c>
      <c r="I334" s="78">
        <v>41120.71875</v>
      </c>
      <c r="J334" s="1">
        <v>14.82</v>
      </c>
      <c r="K334" s="1" t="e">
        <v>#N/A</v>
      </c>
      <c r="L334" s="1" t="e">
        <v>#N/A</v>
      </c>
      <c r="M334" s="1" t="e">
        <v>#N/A</v>
      </c>
      <c r="N334" s="1" t="e">
        <v>#N/A</v>
      </c>
      <c r="O334" s="1" t="e">
        <v>#N/A</v>
      </c>
      <c r="P334" s="1" t="e">
        <v>#N/A</v>
      </c>
      <c r="Q334" s="1" t="e">
        <v>#N/A</v>
      </c>
      <c r="R334" s="1" t="e">
        <v>#N/A</v>
      </c>
      <c r="S334" s="98">
        <v>8606.23</v>
      </c>
    </row>
    <row r="335" spans="1:19" x14ac:dyDescent="0.25">
      <c r="A335" s="1">
        <v>2012</v>
      </c>
      <c r="B335" s="77">
        <v>41121</v>
      </c>
      <c r="C335" s="1" t="s">
        <v>6</v>
      </c>
      <c r="D335" s="1" t="s">
        <v>8</v>
      </c>
      <c r="E335" s="1" t="s">
        <v>10</v>
      </c>
      <c r="F335" s="1" t="s">
        <v>13</v>
      </c>
      <c r="G335" s="1">
        <v>12.65</v>
      </c>
      <c r="H335" s="1">
        <v>22.53</v>
      </c>
      <c r="I335" s="78">
        <v>41120.71875</v>
      </c>
      <c r="J335" s="1">
        <v>14.82</v>
      </c>
      <c r="K335" s="1" t="e">
        <v>#N/A</v>
      </c>
      <c r="L335" s="1" t="e">
        <v>#N/A</v>
      </c>
      <c r="M335" s="1" t="e">
        <v>#N/A</v>
      </c>
      <c r="N335" s="1" t="e">
        <v>#N/A</v>
      </c>
      <c r="O335" s="1" t="e">
        <v>#N/A</v>
      </c>
      <c r="P335" s="1" t="e">
        <v>#N/A</v>
      </c>
      <c r="Q335" s="1" t="e">
        <v>#N/A</v>
      </c>
      <c r="R335" s="1" t="e">
        <v>#N/A</v>
      </c>
      <c r="S335" s="98">
        <v>8600.7029999999995</v>
      </c>
    </row>
    <row r="336" spans="1:19" x14ac:dyDescent="0.25">
      <c r="A336" s="1">
        <v>2012</v>
      </c>
      <c r="B336" s="77">
        <v>41122</v>
      </c>
      <c r="C336" s="1" t="s">
        <v>6</v>
      </c>
      <c r="D336" s="1" t="s">
        <v>8</v>
      </c>
      <c r="E336" s="1" t="s">
        <v>12</v>
      </c>
      <c r="F336" s="1" t="s">
        <v>13</v>
      </c>
      <c r="G336" s="1">
        <v>12.64</v>
      </c>
      <c r="H336" s="1">
        <v>17.72</v>
      </c>
      <c r="I336" s="78">
        <v>41121.697222222225</v>
      </c>
      <c r="J336" s="1">
        <v>11.08</v>
      </c>
      <c r="K336" s="1" t="e">
        <v>#N/A</v>
      </c>
      <c r="L336" s="1" t="e">
        <v>#N/A</v>
      </c>
      <c r="M336" s="1" t="e">
        <v>#N/A</v>
      </c>
      <c r="N336" s="1" t="e">
        <v>#N/A</v>
      </c>
      <c r="O336" s="1" t="e">
        <v>#N/A</v>
      </c>
      <c r="P336" s="1" t="e">
        <v>#N/A</v>
      </c>
      <c r="Q336" s="1" t="e">
        <v>#N/A</v>
      </c>
      <c r="R336" s="1" t="e">
        <v>#N/A</v>
      </c>
      <c r="S336" s="98">
        <v>8547.0429999999997</v>
      </c>
    </row>
    <row r="337" spans="1:19" x14ac:dyDescent="0.25">
      <c r="A337" s="1">
        <v>2012</v>
      </c>
      <c r="B337" s="77">
        <v>41122</v>
      </c>
      <c r="C337" s="1" t="s">
        <v>6</v>
      </c>
      <c r="D337" s="1" t="s">
        <v>8</v>
      </c>
      <c r="E337" s="1" t="s">
        <v>10</v>
      </c>
      <c r="F337" s="1" t="s">
        <v>13</v>
      </c>
      <c r="G337" s="1">
        <v>12.64</v>
      </c>
      <c r="H337" s="1">
        <v>17.72</v>
      </c>
      <c r="I337" s="78">
        <v>41121.697222222225</v>
      </c>
      <c r="J337" s="1">
        <v>11.08</v>
      </c>
      <c r="K337" s="1" t="e">
        <v>#N/A</v>
      </c>
      <c r="L337" s="1" t="e">
        <v>#N/A</v>
      </c>
      <c r="M337" s="1" t="e">
        <v>#N/A</v>
      </c>
      <c r="N337" s="1" t="e">
        <v>#N/A</v>
      </c>
      <c r="O337" s="1" t="e">
        <v>#N/A</v>
      </c>
      <c r="P337" s="1" t="e">
        <v>#N/A</v>
      </c>
      <c r="Q337" s="1" t="e">
        <v>#N/A</v>
      </c>
      <c r="R337" s="1" t="e">
        <v>#N/A</v>
      </c>
      <c r="S337" s="98">
        <v>8532.8209999999999</v>
      </c>
    </row>
    <row r="338" spans="1:19" x14ac:dyDescent="0.25">
      <c r="A338" s="1">
        <v>2012</v>
      </c>
      <c r="B338" s="77">
        <v>41123</v>
      </c>
      <c r="C338" s="1" t="s">
        <v>6</v>
      </c>
      <c r="D338" s="1" t="s">
        <v>8</v>
      </c>
      <c r="E338" s="1" t="s">
        <v>12</v>
      </c>
      <c r="F338" s="1" t="s">
        <v>13</v>
      </c>
      <c r="G338" s="1">
        <v>12.62</v>
      </c>
      <c r="H338" s="1">
        <v>18.28</v>
      </c>
      <c r="I338" s="78">
        <v>41122.671527777777</v>
      </c>
      <c r="J338" s="1">
        <v>11.66</v>
      </c>
      <c r="K338" s="1" t="e">
        <v>#N/A</v>
      </c>
      <c r="L338" s="1" t="e">
        <v>#N/A</v>
      </c>
      <c r="M338" s="1" t="e">
        <v>#N/A</v>
      </c>
      <c r="N338" s="1" t="e">
        <v>#N/A</v>
      </c>
      <c r="O338" s="1" t="e">
        <v>#N/A</v>
      </c>
      <c r="P338" s="1" t="e">
        <v>#N/A</v>
      </c>
      <c r="Q338" s="1" t="e">
        <v>#N/A</v>
      </c>
      <c r="R338" s="1" t="e">
        <v>#N/A</v>
      </c>
      <c r="S338" s="98">
        <v>8274.7639999999992</v>
      </c>
    </row>
    <row r="339" spans="1:19" x14ac:dyDescent="0.25">
      <c r="A339" s="1">
        <v>2012</v>
      </c>
      <c r="B339" s="77">
        <v>41123</v>
      </c>
      <c r="C339" s="1" t="s">
        <v>6</v>
      </c>
      <c r="D339" s="1" t="s">
        <v>8</v>
      </c>
      <c r="E339" s="1" t="s">
        <v>10</v>
      </c>
      <c r="F339" s="1" t="s">
        <v>13</v>
      </c>
      <c r="G339" s="1">
        <v>12.62</v>
      </c>
      <c r="H339" s="1">
        <v>18.28</v>
      </c>
      <c r="I339" s="78">
        <v>41122.671527777777</v>
      </c>
      <c r="J339" s="1">
        <v>11.66</v>
      </c>
      <c r="K339" s="1" t="e">
        <v>#N/A</v>
      </c>
      <c r="L339" s="1" t="e">
        <v>#N/A</v>
      </c>
      <c r="M339" s="1" t="e">
        <v>#N/A</v>
      </c>
      <c r="N339" s="1" t="e">
        <v>#N/A</v>
      </c>
      <c r="O339" s="1" t="e">
        <v>#N/A</v>
      </c>
      <c r="P339" s="1" t="e">
        <v>#N/A</v>
      </c>
      <c r="Q339" s="1" t="e">
        <v>#N/A</v>
      </c>
      <c r="R339" s="1" t="e">
        <v>#N/A</v>
      </c>
      <c r="S339" s="98">
        <v>8273.9509999999991</v>
      </c>
    </row>
    <row r="340" spans="1:19" x14ac:dyDescent="0.25">
      <c r="A340" s="1">
        <v>2012</v>
      </c>
      <c r="B340" s="77">
        <v>41124</v>
      </c>
      <c r="C340" s="1" t="s">
        <v>6</v>
      </c>
      <c r="D340" s="1" t="s">
        <v>8</v>
      </c>
      <c r="E340" s="1" t="s">
        <v>12</v>
      </c>
      <c r="F340" s="1" t="s">
        <v>13</v>
      </c>
      <c r="G340" s="1">
        <v>12.64</v>
      </c>
      <c r="H340" s="1">
        <v>16.690000000000001</v>
      </c>
      <c r="I340" s="78">
        <v>41123.561805555553</v>
      </c>
      <c r="J340" s="1">
        <v>10.91</v>
      </c>
      <c r="K340" s="1" t="e">
        <v>#N/A</v>
      </c>
      <c r="L340" s="1" t="e">
        <v>#N/A</v>
      </c>
      <c r="M340" s="1" t="e">
        <v>#N/A</v>
      </c>
      <c r="N340" s="1" t="e">
        <v>#N/A</v>
      </c>
      <c r="O340" s="1" t="e">
        <v>#N/A</v>
      </c>
      <c r="P340" s="1" t="e">
        <v>#N/A</v>
      </c>
      <c r="Q340" s="1" t="e">
        <v>#N/A</v>
      </c>
      <c r="R340" s="1" t="e">
        <v>#N/A</v>
      </c>
      <c r="S340" s="98">
        <v>5124.9129999999996</v>
      </c>
    </row>
    <row r="341" spans="1:19" x14ac:dyDescent="0.25">
      <c r="A341" s="1">
        <v>2012</v>
      </c>
      <c r="B341" s="77">
        <v>41124</v>
      </c>
      <c r="C341" s="1" t="s">
        <v>6</v>
      </c>
      <c r="D341" s="1" t="s">
        <v>8</v>
      </c>
      <c r="E341" s="1" t="s">
        <v>10</v>
      </c>
      <c r="F341" s="1" t="s">
        <v>13</v>
      </c>
      <c r="G341" s="1">
        <v>12.64</v>
      </c>
      <c r="H341" s="1">
        <v>16.690000000000001</v>
      </c>
      <c r="I341" s="78">
        <v>41123.561805555553</v>
      </c>
      <c r="J341" s="1">
        <v>10.91</v>
      </c>
      <c r="K341" s="1" t="e">
        <v>#N/A</v>
      </c>
      <c r="L341" s="1" t="e">
        <v>#N/A</v>
      </c>
      <c r="M341" s="1" t="e">
        <v>#N/A</v>
      </c>
      <c r="N341" s="1" t="e">
        <v>#N/A</v>
      </c>
      <c r="O341" s="1" t="e">
        <v>#N/A</v>
      </c>
      <c r="P341" s="1" t="e">
        <v>#N/A</v>
      </c>
      <c r="Q341" s="1" t="e">
        <v>#N/A</v>
      </c>
      <c r="R341" s="1" t="e">
        <v>#N/A</v>
      </c>
      <c r="S341" s="98">
        <v>5118.7740000000003</v>
      </c>
    </row>
    <row r="342" spans="1:19" x14ac:dyDescent="0.25">
      <c r="A342" s="1">
        <v>2012</v>
      </c>
      <c r="B342" s="77">
        <v>41125</v>
      </c>
      <c r="C342" s="1" t="s">
        <v>6</v>
      </c>
      <c r="D342" s="1" t="s">
        <v>8</v>
      </c>
      <c r="E342" s="1" t="s">
        <v>12</v>
      </c>
      <c r="F342" s="1" t="s">
        <v>13</v>
      </c>
      <c r="G342" s="1">
        <v>12.64</v>
      </c>
      <c r="H342" s="1">
        <v>12.53</v>
      </c>
      <c r="I342" s="78">
        <v>41124.707638888889</v>
      </c>
      <c r="J342" s="1">
        <v>9.5500000000000007</v>
      </c>
      <c r="K342" s="1" t="e">
        <v>#N/A</v>
      </c>
      <c r="L342" s="1" t="e">
        <v>#N/A</v>
      </c>
      <c r="M342" s="1" t="e">
        <v>#N/A</v>
      </c>
      <c r="N342" s="1" t="e">
        <v>#N/A</v>
      </c>
      <c r="O342" s="1" t="e">
        <v>#N/A</v>
      </c>
      <c r="P342" s="1" t="e">
        <v>#N/A</v>
      </c>
      <c r="Q342" s="1" t="e">
        <v>#N/A</v>
      </c>
      <c r="R342" s="1" t="e">
        <v>#N/A</v>
      </c>
      <c r="S342" s="98">
        <v>5256.1409999999996</v>
      </c>
    </row>
    <row r="343" spans="1:19" x14ac:dyDescent="0.25">
      <c r="A343" s="1">
        <v>2012</v>
      </c>
      <c r="B343" s="77">
        <v>41125</v>
      </c>
      <c r="C343" s="1" t="s">
        <v>6</v>
      </c>
      <c r="D343" s="1" t="s">
        <v>8</v>
      </c>
      <c r="E343" s="1" t="s">
        <v>10</v>
      </c>
      <c r="F343" s="1" t="s">
        <v>13</v>
      </c>
      <c r="G343" s="1">
        <v>12.64</v>
      </c>
      <c r="H343" s="1">
        <v>12.53</v>
      </c>
      <c r="I343" s="78">
        <v>41124.707638888889</v>
      </c>
      <c r="J343" s="1">
        <v>9.5500000000000007</v>
      </c>
      <c r="K343" s="1" t="e">
        <v>#N/A</v>
      </c>
      <c r="L343" s="1" t="e">
        <v>#N/A</v>
      </c>
      <c r="M343" s="1" t="e">
        <v>#N/A</v>
      </c>
      <c r="N343" s="1" t="e">
        <v>#N/A</v>
      </c>
      <c r="O343" s="1" t="e">
        <v>#N/A</v>
      </c>
      <c r="P343" s="1" t="e">
        <v>#N/A</v>
      </c>
      <c r="Q343" s="1" t="e">
        <v>#N/A</v>
      </c>
      <c r="R343" s="1" t="e">
        <v>#N/A</v>
      </c>
      <c r="S343" s="98">
        <v>5255.777</v>
      </c>
    </row>
    <row r="344" spans="1:19" x14ac:dyDescent="0.25">
      <c r="A344" s="1">
        <v>2012</v>
      </c>
      <c r="B344" s="77">
        <v>41126</v>
      </c>
      <c r="C344" s="1" t="s">
        <v>6</v>
      </c>
      <c r="D344" s="1" t="s">
        <v>8</v>
      </c>
      <c r="E344" s="1" t="s">
        <v>12</v>
      </c>
      <c r="F344" s="1" t="s">
        <v>13</v>
      </c>
      <c r="G344" s="1">
        <v>12.62</v>
      </c>
      <c r="H344" s="1">
        <v>13.73</v>
      </c>
      <c r="I344" s="78">
        <v>41125.626388888886</v>
      </c>
      <c r="J344" s="1">
        <v>8.92</v>
      </c>
      <c r="K344" s="1" t="e">
        <v>#N/A</v>
      </c>
      <c r="L344" s="1" t="e">
        <v>#N/A</v>
      </c>
      <c r="M344" s="1" t="e">
        <v>#N/A</v>
      </c>
      <c r="N344" s="1" t="e">
        <v>#N/A</v>
      </c>
      <c r="O344" s="1" t="e">
        <v>#N/A</v>
      </c>
      <c r="P344" s="1" t="e">
        <v>#N/A</v>
      </c>
      <c r="Q344" s="1" t="e">
        <v>#N/A</v>
      </c>
      <c r="R344" s="1" t="e">
        <v>#N/A</v>
      </c>
      <c r="S344" s="98">
        <v>5790.7079999999996</v>
      </c>
    </row>
    <row r="345" spans="1:19" x14ac:dyDescent="0.25">
      <c r="A345" s="1">
        <v>2012</v>
      </c>
      <c r="B345" s="77">
        <v>41126</v>
      </c>
      <c r="C345" s="1" t="s">
        <v>6</v>
      </c>
      <c r="D345" s="1" t="s">
        <v>8</v>
      </c>
      <c r="E345" s="1" t="s">
        <v>10</v>
      </c>
      <c r="F345" s="1" t="s">
        <v>13</v>
      </c>
      <c r="G345" s="1">
        <v>12.62</v>
      </c>
      <c r="H345" s="1">
        <v>13.73</v>
      </c>
      <c r="I345" s="78">
        <v>41125.626388888886</v>
      </c>
      <c r="J345" s="1">
        <v>8.92</v>
      </c>
      <c r="K345" s="1" t="e">
        <v>#N/A</v>
      </c>
      <c r="L345" s="1" t="e">
        <v>#N/A</v>
      </c>
      <c r="M345" s="1" t="e">
        <v>#N/A</v>
      </c>
      <c r="N345" s="1" t="e">
        <v>#N/A</v>
      </c>
      <c r="O345" s="1" t="e">
        <v>#N/A</v>
      </c>
      <c r="P345" s="1" t="e">
        <v>#N/A</v>
      </c>
      <c r="Q345" s="1" t="e">
        <v>#N/A</v>
      </c>
      <c r="R345" s="1" t="e">
        <v>#N/A</v>
      </c>
      <c r="S345" s="98">
        <v>5790.5860000000002</v>
      </c>
    </row>
    <row r="346" spans="1:19" x14ac:dyDescent="0.25">
      <c r="A346" s="1">
        <v>2012</v>
      </c>
      <c r="B346" s="77">
        <v>41127</v>
      </c>
      <c r="C346" s="1" t="s">
        <v>6</v>
      </c>
      <c r="D346" s="1" t="s">
        <v>8</v>
      </c>
      <c r="E346" s="1" t="s">
        <v>12</v>
      </c>
      <c r="F346" s="1" t="s">
        <v>13</v>
      </c>
      <c r="G346" s="1">
        <v>12.61</v>
      </c>
      <c r="H346" s="1">
        <v>18.170000000000002</v>
      </c>
      <c r="I346" s="78">
        <v>41126.642361111109</v>
      </c>
      <c r="J346" s="1">
        <v>10.14</v>
      </c>
      <c r="K346" s="1" t="e">
        <v>#N/A</v>
      </c>
      <c r="L346" s="1" t="e">
        <v>#N/A</v>
      </c>
      <c r="M346" s="1" t="e">
        <v>#N/A</v>
      </c>
      <c r="N346" s="1" t="e">
        <v>#N/A</v>
      </c>
      <c r="O346" s="1" t="e">
        <v>#N/A</v>
      </c>
      <c r="P346" s="1" t="e">
        <v>#N/A</v>
      </c>
      <c r="Q346" s="1" t="e">
        <v>#N/A</v>
      </c>
      <c r="R346" s="1" t="e">
        <v>#N/A</v>
      </c>
      <c r="S346" s="98">
        <v>13557.07</v>
      </c>
    </row>
    <row r="347" spans="1:19" x14ac:dyDescent="0.25">
      <c r="A347" s="1">
        <v>2012</v>
      </c>
      <c r="B347" s="77">
        <v>41127</v>
      </c>
      <c r="C347" s="1" t="s">
        <v>6</v>
      </c>
      <c r="D347" s="1" t="s">
        <v>8</v>
      </c>
      <c r="E347" s="1" t="s">
        <v>10</v>
      </c>
      <c r="F347" s="1" t="s">
        <v>13</v>
      </c>
      <c r="G347" s="1">
        <v>12.61</v>
      </c>
      <c r="H347" s="1">
        <v>18.170000000000002</v>
      </c>
      <c r="I347" s="78">
        <v>41126.642361111109</v>
      </c>
      <c r="J347" s="1">
        <v>10.14</v>
      </c>
      <c r="K347" s="1" t="e">
        <v>#N/A</v>
      </c>
      <c r="L347" s="1" t="e">
        <v>#N/A</v>
      </c>
      <c r="M347" s="1" t="e">
        <v>#N/A</v>
      </c>
      <c r="N347" s="1" t="e">
        <v>#N/A</v>
      </c>
      <c r="O347" s="1" t="e">
        <v>#N/A</v>
      </c>
      <c r="P347" s="1" t="e">
        <v>#N/A</v>
      </c>
      <c r="Q347" s="1" t="e">
        <v>#N/A</v>
      </c>
      <c r="R347" s="1" t="e">
        <v>#N/A</v>
      </c>
      <c r="S347" s="98">
        <v>13629.87</v>
      </c>
    </row>
    <row r="348" spans="1:19" x14ac:dyDescent="0.25">
      <c r="A348" s="1">
        <v>2012</v>
      </c>
      <c r="B348" s="77">
        <v>41128</v>
      </c>
      <c r="C348" s="1" t="s">
        <v>6</v>
      </c>
      <c r="D348" s="1" t="s">
        <v>8</v>
      </c>
      <c r="E348" s="1" t="s">
        <v>12</v>
      </c>
      <c r="F348" s="1" t="s">
        <v>13</v>
      </c>
      <c r="G348" s="1">
        <v>12.59</v>
      </c>
      <c r="H348" s="1">
        <v>9.7899999999999991</v>
      </c>
      <c r="I348" s="78">
        <v>41127.447222222225</v>
      </c>
      <c r="J348" s="1">
        <v>5.6289999999999996</v>
      </c>
      <c r="K348" s="1" t="e">
        <v>#N/A</v>
      </c>
      <c r="L348" s="1" t="e">
        <v>#N/A</v>
      </c>
      <c r="M348" s="1" t="e">
        <v>#N/A</v>
      </c>
      <c r="N348" s="1" t="e">
        <v>#N/A</v>
      </c>
      <c r="O348" s="1" t="e">
        <v>#N/A</v>
      </c>
      <c r="P348" s="1" t="e">
        <v>#N/A</v>
      </c>
      <c r="Q348" s="1" t="e">
        <v>#N/A</v>
      </c>
      <c r="R348" s="1" t="e">
        <v>#N/A</v>
      </c>
      <c r="S348" s="98">
        <v>2300.181</v>
      </c>
    </row>
    <row r="349" spans="1:19" x14ac:dyDescent="0.25">
      <c r="A349" s="1">
        <v>2012</v>
      </c>
      <c r="B349" s="77">
        <v>41128</v>
      </c>
      <c r="C349" s="1" t="s">
        <v>6</v>
      </c>
      <c r="D349" s="1" t="s">
        <v>8</v>
      </c>
      <c r="E349" s="1" t="s">
        <v>10</v>
      </c>
      <c r="F349" s="1" t="s">
        <v>13</v>
      </c>
      <c r="G349" s="1">
        <v>12.59</v>
      </c>
      <c r="H349" s="1">
        <v>9.7899999999999991</v>
      </c>
      <c r="I349" s="78">
        <v>41127.447222222225</v>
      </c>
      <c r="J349" s="1">
        <v>5.6289999999999996</v>
      </c>
      <c r="K349" s="1" t="e">
        <v>#N/A</v>
      </c>
      <c r="L349" s="1" t="e">
        <v>#N/A</v>
      </c>
      <c r="M349" s="1" t="e">
        <v>#N/A</v>
      </c>
      <c r="N349" s="1" t="e">
        <v>#N/A</v>
      </c>
      <c r="O349" s="1" t="e">
        <v>#N/A</v>
      </c>
      <c r="P349" s="1" t="e">
        <v>#N/A</v>
      </c>
      <c r="Q349" s="1" t="e">
        <v>#N/A</v>
      </c>
      <c r="R349" s="1" t="e">
        <v>#N/A</v>
      </c>
      <c r="S349" s="98">
        <v>2296.8629999999998</v>
      </c>
    </row>
    <row r="350" spans="1:19" x14ac:dyDescent="0.25">
      <c r="A350" s="1">
        <v>2012</v>
      </c>
      <c r="B350" s="77">
        <v>41129</v>
      </c>
      <c r="C350" s="1" t="s">
        <v>6</v>
      </c>
      <c r="D350" s="1" t="s">
        <v>8</v>
      </c>
      <c r="E350" s="1" t="s">
        <v>12</v>
      </c>
      <c r="F350" s="1" t="s">
        <v>13</v>
      </c>
      <c r="G350" s="1">
        <v>12.56</v>
      </c>
      <c r="H350" s="1">
        <v>12.93</v>
      </c>
      <c r="I350" s="78">
        <v>41128.730555555558</v>
      </c>
      <c r="J350" s="1">
        <v>5.0620000000000003</v>
      </c>
      <c r="K350" s="1" t="e">
        <v>#N/A</v>
      </c>
      <c r="L350" s="1" t="e">
        <v>#N/A</v>
      </c>
      <c r="M350" s="1" t="e">
        <v>#N/A</v>
      </c>
      <c r="N350" s="1" t="e">
        <v>#N/A</v>
      </c>
      <c r="O350" s="1" t="e">
        <v>#N/A</v>
      </c>
      <c r="P350" s="1" t="e">
        <v>#N/A</v>
      </c>
      <c r="Q350" s="1" t="e">
        <v>#N/A</v>
      </c>
      <c r="R350" s="1" t="e">
        <v>#N/A</v>
      </c>
      <c r="S350" s="98">
        <v>10375.629999999999</v>
      </c>
    </row>
    <row r="351" spans="1:19" x14ac:dyDescent="0.25">
      <c r="A351" s="1">
        <v>2012</v>
      </c>
      <c r="B351" s="77">
        <v>41129</v>
      </c>
      <c r="C351" s="1" t="s">
        <v>6</v>
      </c>
      <c r="D351" s="1" t="s">
        <v>8</v>
      </c>
      <c r="E351" s="1" t="s">
        <v>10</v>
      </c>
      <c r="F351" s="1" t="s">
        <v>13</v>
      </c>
      <c r="G351" s="1">
        <v>12.56</v>
      </c>
      <c r="H351" s="1">
        <v>12.93</v>
      </c>
      <c r="I351" s="78">
        <v>41128.730555555558</v>
      </c>
      <c r="J351" s="1">
        <v>5.0620000000000003</v>
      </c>
      <c r="K351" s="1" t="e">
        <v>#N/A</v>
      </c>
      <c r="L351" s="1" t="e">
        <v>#N/A</v>
      </c>
      <c r="M351" s="1" t="e">
        <v>#N/A</v>
      </c>
      <c r="N351" s="1" t="e">
        <v>#N/A</v>
      </c>
      <c r="O351" s="1" t="e">
        <v>#N/A</v>
      </c>
      <c r="P351" s="1" t="e">
        <v>#N/A</v>
      </c>
      <c r="Q351" s="1" t="e">
        <v>#N/A</v>
      </c>
      <c r="R351" s="1" t="e">
        <v>#N/A</v>
      </c>
      <c r="S351" s="98">
        <v>10383.67</v>
      </c>
    </row>
    <row r="352" spans="1:19" x14ac:dyDescent="0.25">
      <c r="A352" s="1">
        <v>2012</v>
      </c>
      <c r="B352" s="77">
        <v>41130</v>
      </c>
      <c r="C352" s="1" t="s">
        <v>6</v>
      </c>
      <c r="D352" s="1" t="s">
        <v>8</v>
      </c>
      <c r="E352" s="1" t="s">
        <v>12</v>
      </c>
      <c r="F352" s="1" t="s">
        <v>13</v>
      </c>
      <c r="G352" s="1">
        <v>12.67</v>
      </c>
      <c r="H352" s="1">
        <v>13.07</v>
      </c>
      <c r="I352" s="78">
        <v>41129.605555555558</v>
      </c>
      <c r="J352" s="1">
        <v>6.8879999999999999</v>
      </c>
      <c r="K352" s="1" t="e">
        <v>#N/A</v>
      </c>
      <c r="L352" s="1" t="e">
        <v>#N/A</v>
      </c>
      <c r="M352" s="1" t="e">
        <v>#N/A</v>
      </c>
      <c r="N352" s="1" t="e">
        <v>#N/A</v>
      </c>
      <c r="O352" s="1" t="e">
        <v>#N/A</v>
      </c>
      <c r="P352" s="1" t="e">
        <v>#N/A</v>
      </c>
      <c r="Q352" s="1" t="e">
        <v>#N/A</v>
      </c>
      <c r="R352" s="1" t="e">
        <v>#N/A</v>
      </c>
      <c r="S352" s="98">
        <v>7448.8050000000003</v>
      </c>
    </row>
    <row r="353" spans="1:19" x14ac:dyDescent="0.25">
      <c r="A353" s="1">
        <v>2012</v>
      </c>
      <c r="B353" s="77">
        <v>41130</v>
      </c>
      <c r="C353" s="1" t="s">
        <v>6</v>
      </c>
      <c r="D353" s="1" t="s">
        <v>8</v>
      </c>
      <c r="E353" s="1" t="s">
        <v>10</v>
      </c>
      <c r="F353" s="1" t="s">
        <v>13</v>
      </c>
      <c r="G353" s="1">
        <v>12.67</v>
      </c>
      <c r="H353" s="1">
        <v>13.07</v>
      </c>
      <c r="I353" s="78">
        <v>41129.605555555558</v>
      </c>
      <c r="J353" s="1">
        <v>6.8879999999999999</v>
      </c>
      <c r="K353" s="1" t="e">
        <v>#N/A</v>
      </c>
      <c r="L353" s="1" t="e">
        <v>#N/A</v>
      </c>
      <c r="M353" s="1" t="e">
        <v>#N/A</v>
      </c>
      <c r="N353" s="1" t="e">
        <v>#N/A</v>
      </c>
      <c r="O353" s="1" t="e">
        <v>#N/A</v>
      </c>
      <c r="P353" s="1" t="e">
        <v>#N/A</v>
      </c>
      <c r="Q353" s="1" t="e">
        <v>#N/A</v>
      </c>
      <c r="R353" s="1" t="e">
        <v>#N/A</v>
      </c>
      <c r="S353" s="98">
        <v>7446.4610000000002</v>
      </c>
    </row>
    <row r="354" spans="1:19" x14ac:dyDescent="0.25">
      <c r="A354" s="1">
        <v>2012</v>
      </c>
      <c r="B354" s="77">
        <v>41131</v>
      </c>
      <c r="C354" s="1" t="s">
        <v>6</v>
      </c>
      <c r="D354" s="1" t="s">
        <v>8</v>
      </c>
      <c r="E354" s="1" t="s">
        <v>12</v>
      </c>
      <c r="F354" s="1" t="s">
        <v>13</v>
      </c>
      <c r="G354" s="1">
        <v>12.64</v>
      </c>
      <c r="H354" s="1">
        <v>18.66</v>
      </c>
      <c r="I354" s="78">
        <v>41130.689583333333</v>
      </c>
      <c r="J354" s="1">
        <v>9.9</v>
      </c>
      <c r="K354" s="1" t="e">
        <v>#N/A</v>
      </c>
      <c r="L354" s="1" t="e">
        <v>#N/A</v>
      </c>
      <c r="M354" s="1" t="e">
        <v>#N/A</v>
      </c>
      <c r="N354" s="1" t="e">
        <v>#N/A</v>
      </c>
      <c r="O354" s="1" t="e">
        <v>#N/A</v>
      </c>
      <c r="P354" s="1" t="e">
        <v>#N/A</v>
      </c>
      <c r="Q354" s="1" t="e">
        <v>#N/A</v>
      </c>
      <c r="R354" s="1" t="e">
        <v>#N/A</v>
      </c>
      <c r="S354" s="98">
        <v>9676.6730000000007</v>
      </c>
    </row>
    <row r="355" spans="1:19" x14ac:dyDescent="0.25">
      <c r="A355" s="1">
        <v>2012</v>
      </c>
      <c r="B355" s="77">
        <v>41131</v>
      </c>
      <c r="C355" s="1" t="s">
        <v>6</v>
      </c>
      <c r="D355" s="1" t="s">
        <v>8</v>
      </c>
      <c r="E355" s="1" t="s">
        <v>10</v>
      </c>
      <c r="F355" s="1" t="s">
        <v>13</v>
      </c>
      <c r="G355" s="1">
        <v>12.64</v>
      </c>
      <c r="H355" s="1">
        <v>18.66</v>
      </c>
      <c r="I355" s="78">
        <v>41130.689583333333</v>
      </c>
      <c r="J355" s="1">
        <v>9.9</v>
      </c>
      <c r="K355" s="1" t="e">
        <v>#N/A</v>
      </c>
      <c r="L355" s="1" t="e">
        <v>#N/A</v>
      </c>
      <c r="M355" s="1" t="e">
        <v>#N/A</v>
      </c>
      <c r="N355" s="1" t="e">
        <v>#N/A</v>
      </c>
      <c r="O355" s="1" t="e">
        <v>#N/A</v>
      </c>
      <c r="P355" s="1" t="e">
        <v>#N/A</v>
      </c>
      <c r="Q355" s="1" t="e">
        <v>#N/A</v>
      </c>
      <c r="R355" s="1" t="e">
        <v>#N/A</v>
      </c>
      <c r="S355" s="98">
        <v>9677.7990000000009</v>
      </c>
    </row>
    <row r="356" spans="1:19" x14ac:dyDescent="0.25">
      <c r="A356" s="1">
        <v>2012</v>
      </c>
      <c r="B356" s="77">
        <v>41132</v>
      </c>
      <c r="C356" s="1" t="s">
        <v>6</v>
      </c>
      <c r="D356" s="1" t="s">
        <v>8</v>
      </c>
      <c r="E356" s="1" t="s">
        <v>12</v>
      </c>
      <c r="F356" s="1" t="s">
        <v>13</v>
      </c>
      <c r="G356" s="1">
        <v>12.62</v>
      </c>
      <c r="H356" s="1">
        <v>11.38</v>
      </c>
      <c r="I356" s="78">
        <v>41131.772222222222</v>
      </c>
      <c r="J356" s="1">
        <v>7.742</v>
      </c>
      <c r="K356" s="1" t="e">
        <v>#N/A</v>
      </c>
      <c r="L356" s="1" t="e">
        <v>#N/A</v>
      </c>
      <c r="M356" s="1" t="e">
        <v>#N/A</v>
      </c>
      <c r="N356" s="1" t="e">
        <v>#N/A</v>
      </c>
      <c r="O356" s="1" t="e">
        <v>#N/A</v>
      </c>
      <c r="P356" s="1" t="e">
        <v>#N/A</v>
      </c>
      <c r="Q356" s="1" t="e">
        <v>#N/A</v>
      </c>
      <c r="R356" s="1" t="e">
        <v>#N/A</v>
      </c>
      <c r="S356" s="98">
        <v>3714.692</v>
      </c>
    </row>
    <row r="357" spans="1:19" x14ac:dyDescent="0.25">
      <c r="A357" s="1">
        <v>2012</v>
      </c>
      <c r="B357" s="77">
        <v>41132</v>
      </c>
      <c r="C357" s="1" t="s">
        <v>6</v>
      </c>
      <c r="D357" s="1" t="s">
        <v>8</v>
      </c>
      <c r="E357" s="1" t="s">
        <v>10</v>
      </c>
      <c r="F357" s="1" t="s">
        <v>13</v>
      </c>
      <c r="G357" s="1">
        <v>12.62</v>
      </c>
      <c r="H357" s="1">
        <v>11.38</v>
      </c>
      <c r="I357" s="78">
        <v>41131.772222222222</v>
      </c>
      <c r="J357" s="1">
        <v>7.742</v>
      </c>
      <c r="K357" s="1" t="e">
        <v>#N/A</v>
      </c>
      <c r="L357" s="1" t="e">
        <v>#N/A</v>
      </c>
      <c r="M357" s="1" t="e">
        <v>#N/A</v>
      </c>
      <c r="N357" s="1" t="e">
        <v>#N/A</v>
      </c>
      <c r="O357" s="1" t="e">
        <v>#N/A</v>
      </c>
      <c r="P357" s="1" t="e">
        <v>#N/A</v>
      </c>
      <c r="Q357" s="1" t="e">
        <v>#N/A</v>
      </c>
      <c r="R357" s="1" t="e">
        <v>#N/A</v>
      </c>
      <c r="S357" s="98">
        <v>3715.1370000000002</v>
      </c>
    </row>
    <row r="358" spans="1:19" x14ac:dyDescent="0.25">
      <c r="A358" s="1">
        <v>2012</v>
      </c>
      <c r="B358" s="77">
        <v>41133</v>
      </c>
      <c r="C358" s="1" t="s">
        <v>6</v>
      </c>
      <c r="D358" s="1" t="s">
        <v>8</v>
      </c>
      <c r="E358" s="1" t="s">
        <v>12</v>
      </c>
      <c r="F358" s="1" t="s">
        <v>13</v>
      </c>
      <c r="G358" s="1">
        <v>12.61</v>
      </c>
      <c r="H358" s="1">
        <v>14.37</v>
      </c>
      <c r="I358" s="78">
        <v>41132.634027777778</v>
      </c>
      <c r="J358" s="1">
        <v>8.48</v>
      </c>
      <c r="K358" s="1" t="e">
        <v>#N/A</v>
      </c>
      <c r="L358" s="1" t="e">
        <v>#N/A</v>
      </c>
      <c r="M358" s="1" t="e">
        <v>#N/A</v>
      </c>
      <c r="N358" s="1" t="e">
        <v>#N/A</v>
      </c>
      <c r="O358" s="1" t="e">
        <v>#N/A</v>
      </c>
      <c r="P358" s="1" t="e">
        <v>#N/A</v>
      </c>
      <c r="Q358" s="1" t="e">
        <v>#N/A</v>
      </c>
      <c r="R358" s="1" t="e">
        <v>#N/A</v>
      </c>
      <c r="S358" s="98">
        <v>6248.732</v>
      </c>
    </row>
    <row r="359" spans="1:19" x14ac:dyDescent="0.25">
      <c r="A359" s="1">
        <v>2012</v>
      </c>
      <c r="B359" s="77">
        <v>41133</v>
      </c>
      <c r="C359" s="1" t="s">
        <v>6</v>
      </c>
      <c r="D359" s="1" t="s">
        <v>8</v>
      </c>
      <c r="E359" s="1" t="s">
        <v>10</v>
      </c>
      <c r="F359" s="1" t="s">
        <v>13</v>
      </c>
      <c r="G359" s="1">
        <v>12.61</v>
      </c>
      <c r="H359" s="1">
        <v>14.37</v>
      </c>
      <c r="I359" s="78">
        <v>41132.634027777778</v>
      </c>
      <c r="J359" s="1">
        <v>8.48</v>
      </c>
      <c r="K359" s="1" t="e">
        <v>#N/A</v>
      </c>
      <c r="L359" s="1" t="e">
        <v>#N/A</v>
      </c>
      <c r="M359" s="1" t="e">
        <v>#N/A</v>
      </c>
      <c r="N359" s="1" t="e">
        <v>#N/A</v>
      </c>
      <c r="O359" s="1" t="e">
        <v>#N/A</v>
      </c>
      <c r="P359" s="1" t="e">
        <v>#N/A</v>
      </c>
      <c r="Q359" s="1" t="e">
        <v>#N/A</v>
      </c>
      <c r="R359" s="1" t="e">
        <v>#N/A</v>
      </c>
      <c r="S359" s="98">
        <v>6246.4290000000001</v>
      </c>
    </row>
    <row r="360" spans="1:19" x14ac:dyDescent="0.25">
      <c r="A360" s="1">
        <v>2012</v>
      </c>
      <c r="B360" s="77">
        <v>41134</v>
      </c>
      <c r="C360" s="1" t="s">
        <v>6</v>
      </c>
      <c r="D360" s="1" t="s">
        <v>8</v>
      </c>
      <c r="E360" s="1" t="s">
        <v>12</v>
      </c>
      <c r="F360" s="1" t="s">
        <v>13</v>
      </c>
      <c r="G360" s="1">
        <v>12.62</v>
      </c>
      <c r="H360" s="1">
        <v>19.55</v>
      </c>
      <c r="I360" s="78">
        <v>41133.645138888889</v>
      </c>
      <c r="J360" s="1">
        <v>10.27</v>
      </c>
      <c r="K360" s="1" t="e">
        <v>#N/A</v>
      </c>
      <c r="L360" s="1" t="e">
        <v>#N/A</v>
      </c>
      <c r="M360" s="1" t="e">
        <v>#N/A</v>
      </c>
      <c r="N360" s="1" t="e">
        <v>#N/A</v>
      </c>
      <c r="O360" s="1" t="e">
        <v>#N/A</v>
      </c>
      <c r="P360" s="1" t="e">
        <v>#N/A</v>
      </c>
      <c r="Q360" s="1" t="e">
        <v>#N/A</v>
      </c>
      <c r="R360" s="1" t="e">
        <v>#N/A</v>
      </c>
      <c r="S360" s="98">
        <v>12216.8</v>
      </c>
    </row>
    <row r="361" spans="1:19" x14ac:dyDescent="0.25">
      <c r="A361" s="1">
        <v>2012</v>
      </c>
      <c r="B361" s="77">
        <v>41134</v>
      </c>
      <c r="C361" s="1" t="s">
        <v>6</v>
      </c>
      <c r="D361" s="1" t="s">
        <v>8</v>
      </c>
      <c r="E361" s="1" t="s">
        <v>10</v>
      </c>
      <c r="F361" s="1" t="s">
        <v>13</v>
      </c>
      <c r="G361" s="1">
        <v>12.62</v>
      </c>
      <c r="H361" s="1">
        <v>19.55</v>
      </c>
      <c r="I361" s="78">
        <v>41133.645138888889</v>
      </c>
      <c r="J361" s="1">
        <v>10.27</v>
      </c>
      <c r="K361" s="1" t="e">
        <v>#N/A</v>
      </c>
      <c r="L361" s="1" t="e">
        <v>#N/A</v>
      </c>
      <c r="M361" s="1" t="e">
        <v>#N/A</v>
      </c>
      <c r="N361" s="1" t="e">
        <v>#N/A</v>
      </c>
      <c r="O361" s="1" t="e">
        <v>#N/A</v>
      </c>
      <c r="P361" s="1" t="e">
        <v>#N/A</v>
      </c>
      <c r="Q361" s="1" t="e">
        <v>#N/A</v>
      </c>
      <c r="R361" s="1" t="e">
        <v>#N/A</v>
      </c>
      <c r="S361" s="98">
        <v>12212.11</v>
      </c>
    </row>
    <row r="362" spans="1:19" x14ac:dyDescent="0.25">
      <c r="A362" s="1">
        <v>2012</v>
      </c>
      <c r="B362" s="77">
        <v>41135</v>
      </c>
      <c r="C362" s="1" t="s">
        <v>6</v>
      </c>
      <c r="D362" s="1" t="s">
        <v>8</v>
      </c>
      <c r="E362" s="1" t="s">
        <v>12</v>
      </c>
      <c r="F362" s="1" t="s">
        <v>13</v>
      </c>
      <c r="G362" s="1">
        <v>12.59</v>
      </c>
      <c r="H362" s="1">
        <v>22.75</v>
      </c>
      <c r="I362" s="78">
        <v>41134.674305555556</v>
      </c>
      <c r="J362" s="1">
        <v>11.86</v>
      </c>
      <c r="K362" s="1" t="e">
        <v>#N/A</v>
      </c>
      <c r="L362" s="1" t="e">
        <v>#N/A</v>
      </c>
      <c r="M362" s="1" t="e">
        <v>#N/A</v>
      </c>
      <c r="N362" s="1" t="e">
        <v>#N/A</v>
      </c>
      <c r="O362" s="1" t="e">
        <v>#N/A</v>
      </c>
      <c r="P362" s="1" t="e">
        <v>#N/A</v>
      </c>
      <c r="Q362" s="1" t="e">
        <v>#N/A</v>
      </c>
      <c r="R362" s="1" t="e">
        <v>#N/A</v>
      </c>
      <c r="S362" s="98">
        <v>9795.8729999999996</v>
      </c>
    </row>
    <row r="363" spans="1:19" x14ac:dyDescent="0.25">
      <c r="A363" s="1">
        <v>2012</v>
      </c>
      <c r="B363" s="77">
        <v>41135</v>
      </c>
      <c r="C363" s="1" t="s">
        <v>6</v>
      </c>
      <c r="D363" s="1" t="s">
        <v>8</v>
      </c>
      <c r="E363" s="1" t="s">
        <v>10</v>
      </c>
      <c r="F363" s="1" t="s">
        <v>13</v>
      </c>
      <c r="G363" s="1">
        <v>12.59</v>
      </c>
      <c r="H363" s="1">
        <v>22.75</v>
      </c>
      <c r="I363" s="78">
        <v>41134.674305555556</v>
      </c>
      <c r="J363" s="1">
        <v>11.86</v>
      </c>
      <c r="K363" s="1" t="e">
        <v>#N/A</v>
      </c>
      <c r="L363" s="1" t="e">
        <v>#N/A</v>
      </c>
      <c r="M363" s="1" t="e">
        <v>#N/A</v>
      </c>
      <c r="N363" s="1" t="e">
        <v>#N/A</v>
      </c>
      <c r="O363" s="1" t="e">
        <v>#N/A</v>
      </c>
      <c r="P363" s="1" t="e">
        <v>#N/A</v>
      </c>
      <c r="Q363" s="1" t="e">
        <v>#N/A</v>
      </c>
      <c r="R363" s="1" t="e">
        <v>#N/A</v>
      </c>
      <c r="S363" s="98">
        <v>9790.1790000000001</v>
      </c>
    </row>
    <row r="364" spans="1:19" x14ac:dyDescent="0.25">
      <c r="A364" s="1">
        <v>2012</v>
      </c>
      <c r="B364" s="77">
        <v>41087</v>
      </c>
      <c r="C364" s="1" t="s">
        <v>6</v>
      </c>
      <c r="D364" s="1" t="s">
        <v>7</v>
      </c>
      <c r="E364" s="1" t="s">
        <v>9</v>
      </c>
      <c r="F364" s="1" t="s">
        <v>9</v>
      </c>
      <c r="G364" s="1">
        <v>12.97</v>
      </c>
      <c r="H364" s="1">
        <v>14.54</v>
      </c>
      <c r="I364" s="78">
        <v>41086.755555555559</v>
      </c>
      <c r="J364" s="1">
        <v>12.73</v>
      </c>
      <c r="K364" s="1" t="e">
        <v>#N/A</v>
      </c>
      <c r="L364" s="1" t="e">
        <v>#N/A</v>
      </c>
      <c r="M364" s="1" t="e">
        <v>#N/A</v>
      </c>
      <c r="N364" s="1" t="e">
        <v>#N/A</v>
      </c>
      <c r="O364" s="1" t="e">
        <v>#N/A</v>
      </c>
      <c r="P364" s="1" t="e">
        <v>#N/A</v>
      </c>
      <c r="Q364" s="1">
        <v>938</v>
      </c>
      <c r="R364" s="78">
        <v>41086.715277777781</v>
      </c>
      <c r="S364" s="98">
        <v>5620.2889999999998</v>
      </c>
    </row>
    <row r="365" spans="1:19" x14ac:dyDescent="0.25">
      <c r="A365" s="1">
        <v>2012</v>
      </c>
      <c r="B365" s="77">
        <v>41087</v>
      </c>
      <c r="C365" s="1" t="s">
        <v>6</v>
      </c>
      <c r="D365" s="1" t="s">
        <v>7</v>
      </c>
      <c r="E365" s="1" t="s">
        <v>10</v>
      </c>
      <c r="F365" s="1" t="s">
        <v>11</v>
      </c>
      <c r="G365" s="1">
        <v>12.97</v>
      </c>
      <c r="H365" s="1">
        <v>14.54</v>
      </c>
      <c r="I365" s="78">
        <v>41086.755555555559</v>
      </c>
      <c r="J365" s="1">
        <v>12.73</v>
      </c>
      <c r="K365" s="1" t="e">
        <v>#N/A</v>
      </c>
      <c r="L365" s="1" t="e">
        <v>#N/A</v>
      </c>
      <c r="M365" s="1" t="e">
        <v>#N/A</v>
      </c>
      <c r="N365" s="1" t="e">
        <v>#N/A</v>
      </c>
      <c r="O365" s="1" t="e">
        <v>#N/A</v>
      </c>
      <c r="P365" s="1" t="e">
        <v>#N/A</v>
      </c>
      <c r="Q365" s="1">
        <v>173.9</v>
      </c>
      <c r="R365" s="78">
        <v>41086.717361111114</v>
      </c>
      <c r="S365" s="98">
        <v>1194.1890000000001</v>
      </c>
    </row>
    <row r="366" spans="1:19" x14ac:dyDescent="0.25">
      <c r="A366" s="1">
        <v>2012</v>
      </c>
      <c r="B366" s="77">
        <v>41088</v>
      </c>
      <c r="C366" s="1" t="s">
        <v>6</v>
      </c>
      <c r="D366" s="1" t="s">
        <v>7</v>
      </c>
      <c r="E366" s="1" t="s">
        <v>9</v>
      </c>
      <c r="F366" s="1" t="s">
        <v>9</v>
      </c>
      <c r="G366" s="1">
        <v>12.84</v>
      </c>
      <c r="H366" s="1">
        <v>17.14</v>
      </c>
      <c r="I366" s="78">
        <v>41087.710416666669</v>
      </c>
      <c r="J366" s="1">
        <v>12.11</v>
      </c>
      <c r="K366" s="1" t="e">
        <v>#N/A</v>
      </c>
      <c r="L366" s="1" t="e">
        <v>#N/A</v>
      </c>
      <c r="M366" s="1" t="e">
        <v>#N/A</v>
      </c>
      <c r="N366" s="1" t="e">
        <v>#N/A</v>
      </c>
      <c r="O366" s="1" t="e">
        <v>#N/A</v>
      </c>
      <c r="P366" s="1" t="e">
        <v>#N/A</v>
      </c>
      <c r="Q366" s="1">
        <v>1411</v>
      </c>
      <c r="R366" s="78">
        <v>41087.685416666667</v>
      </c>
      <c r="S366" s="98">
        <v>29004.43</v>
      </c>
    </row>
    <row r="367" spans="1:19" x14ac:dyDescent="0.25">
      <c r="A367" s="1">
        <v>2012</v>
      </c>
      <c r="B367" s="77">
        <v>41088</v>
      </c>
      <c r="C367" s="1" t="s">
        <v>6</v>
      </c>
      <c r="D367" s="1" t="s">
        <v>7</v>
      </c>
      <c r="E367" s="1" t="s">
        <v>10</v>
      </c>
      <c r="F367" s="1" t="s">
        <v>11</v>
      </c>
      <c r="G367" s="1">
        <v>12.84</v>
      </c>
      <c r="H367" s="1">
        <v>17.14</v>
      </c>
      <c r="I367" s="78">
        <v>41087.710416666669</v>
      </c>
      <c r="J367" s="1">
        <v>12.11</v>
      </c>
      <c r="K367" s="1" t="e">
        <v>#N/A</v>
      </c>
      <c r="L367" s="1" t="e">
        <v>#N/A</v>
      </c>
      <c r="M367" s="1" t="e">
        <v>#N/A</v>
      </c>
      <c r="N367" s="1" t="e">
        <v>#N/A</v>
      </c>
      <c r="O367" s="1" t="e">
        <v>#N/A</v>
      </c>
      <c r="P367" s="1" t="e">
        <v>#N/A</v>
      </c>
      <c r="Q367" s="1">
        <v>367.6</v>
      </c>
      <c r="R367" s="78">
        <v>41087.703472222223</v>
      </c>
      <c r="S367" s="98">
        <v>5695.8019999999997</v>
      </c>
    </row>
    <row r="368" spans="1:19" x14ac:dyDescent="0.25">
      <c r="A368" s="1">
        <v>2012</v>
      </c>
      <c r="B368" s="77">
        <v>41089</v>
      </c>
      <c r="C368" s="1" t="s">
        <v>6</v>
      </c>
      <c r="D368" s="1" t="s">
        <v>7</v>
      </c>
      <c r="E368" s="1" t="s">
        <v>9</v>
      </c>
      <c r="F368" s="1" t="s">
        <v>9</v>
      </c>
      <c r="G368" s="1">
        <v>12.88</v>
      </c>
      <c r="H368" s="1">
        <v>13.47</v>
      </c>
      <c r="I368" s="78">
        <v>41088.655555555553</v>
      </c>
      <c r="J368" s="1">
        <v>10.95</v>
      </c>
      <c r="K368" s="1" t="e">
        <v>#N/A</v>
      </c>
      <c r="L368" s="1" t="e">
        <v>#N/A</v>
      </c>
      <c r="M368" s="1" t="e">
        <v>#N/A</v>
      </c>
      <c r="N368" s="1" t="e">
        <v>#N/A</v>
      </c>
      <c r="O368" s="1" t="e">
        <v>#N/A</v>
      </c>
      <c r="P368" s="1" t="e">
        <v>#N/A</v>
      </c>
      <c r="Q368" s="1">
        <v>505.7</v>
      </c>
      <c r="R368" s="78">
        <v>41088.548611111109</v>
      </c>
      <c r="S368" s="98">
        <v>13030.32</v>
      </c>
    </row>
    <row r="369" spans="1:19" x14ac:dyDescent="0.25">
      <c r="A369" s="1">
        <v>2012</v>
      </c>
      <c r="B369" s="77">
        <v>41089</v>
      </c>
      <c r="C369" s="1" t="s">
        <v>6</v>
      </c>
      <c r="D369" s="1" t="s">
        <v>7</v>
      </c>
      <c r="E369" s="1" t="s">
        <v>10</v>
      </c>
      <c r="F369" s="1" t="s">
        <v>11</v>
      </c>
      <c r="G369" s="1">
        <v>12.88</v>
      </c>
      <c r="H369" s="1">
        <v>13.47</v>
      </c>
      <c r="I369" s="78">
        <v>41088.655555555553</v>
      </c>
      <c r="J369" s="1">
        <v>10.95</v>
      </c>
      <c r="K369" s="1" t="e">
        <v>#N/A</v>
      </c>
      <c r="L369" s="1" t="e">
        <v>#N/A</v>
      </c>
      <c r="M369" s="1" t="e">
        <v>#N/A</v>
      </c>
      <c r="N369" s="1" t="e">
        <v>#N/A</v>
      </c>
      <c r="O369" s="1" t="e">
        <v>#N/A</v>
      </c>
      <c r="P369" s="1" t="e">
        <v>#N/A</v>
      </c>
      <c r="Q369" s="1">
        <v>120.6</v>
      </c>
      <c r="R369" s="78">
        <v>41088.550000000003</v>
      </c>
      <c r="S369" s="98">
        <v>2754.5709999999999</v>
      </c>
    </row>
    <row r="370" spans="1:19" x14ac:dyDescent="0.25">
      <c r="A370" s="1">
        <v>2012</v>
      </c>
      <c r="B370" s="77">
        <v>41090</v>
      </c>
      <c r="C370" s="1" t="s">
        <v>6</v>
      </c>
      <c r="D370" s="1" t="s">
        <v>7</v>
      </c>
      <c r="E370" s="1" t="s">
        <v>9</v>
      </c>
      <c r="F370" s="1" t="s">
        <v>9</v>
      </c>
      <c r="G370" s="1">
        <v>12.85</v>
      </c>
      <c r="H370" s="1">
        <v>19.97</v>
      </c>
      <c r="I370" s="78">
        <v>41089.61041666667</v>
      </c>
      <c r="J370" s="1">
        <v>12.93</v>
      </c>
      <c r="K370" s="1" t="e">
        <v>#N/A</v>
      </c>
      <c r="L370" s="1" t="e">
        <v>#N/A</v>
      </c>
      <c r="M370" s="1" t="e">
        <v>#N/A</v>
      </c>
      <c r="N370" s="1" t="e">
        <v>#N/A</v>
      </c>
      <c r="O370" s="1" t="e">
        <v>#N/A</v>
      </c>
      <c r="P370" s="1" t="e">
        <v>#N/A</v>
      </c>
      <c r="Q370" s="1">
        <v>1826</v>
      </c>
      <c r="R370" s="78">
        <v>41089.511805555558</v>
      </c>
      <c r="S370" s="98">
        <v>30169.46</v>
      </c>
    </row>
    <row r="371" spans="1:19" x14ac:dyDescent="0.25">
      <c r="A371" s="1">
        <v>2012</v>
      </c>
      <c r="B371" s="77">
        <v>41090</v>
      </c>
      <c r="C371" s="1" t="s">
        <v>6</v>
      </c>
      <c r="D371" s="1" t="s">
        <v>7</v>
      </c>
      <c r="E371" s="1" t="s">
        <v>10</v>
      </c>
      <c r="F371" s="1" t="s">
        <v>11</v>
      </c>
      <c r="G371" s="1">
        <v>12.85</v>
      </c>
      <c r="H371" s="1">
        <v>19.97</v>
      </c>
      <c r="I371" s="78">
        <v>41089.61041666667</v>
      </c>
      <c r="J371" s="1">
        <v>12.93</v>
      </c>
      <c r="K371" s="1" t="e">
        <v>#N/A</v>
      </c>
      <c r="L371" s="1" t="e">
        <v>#N/A</v>
      </c>
      <c r="M371" s="1" t="e">
        <v>#N/A</v>
      </c>
      <c r="N371" s="1" t="e">
        <v>#N/A</v>
      </c>
      <c r="O371" s="1" t="e">
        <v>#N/A</v>
      </c>
      <c r="P371" s="1" t="e">
        <v>#N/A</v>
      </c>
      <c r="Q371" s="1">
        <v>437.6</v>
      </c>
      <c r="R371" s="78">
        <v>41089.512499999997</v>
      </c>
      <c r="S371" s="98">
        <v>4417.2299999999996</v>
      </c>
    </row>
    <row r="372" spans="1:19" x14ac:dyDescent="0.25">
      <c r="A372" s="1">
        <v>2012</v>
      </c>
      <c r="B372" s="77">
        <v>41091</v>
      </c>
      <c r="C372" s="1" t="s">
        <v>6</v>
      </c>
      <c r="D372" s="1" t="s">
        <v>7</v>
      </c>
      <c r="E372" s="1" t="s">
        <v>9</v>
      </c>
      <c r="F372" s="1" t="s">
        <v>9</v>
      </c>
      <c r="G372" s="1">
        <v>12.81</v>
      </c>
      <c r="H372" s="1">
        <v>16.71</v>
      </c>
      <c r="I372" s="78">
        <v>41090.629166666666</v>
      </c>
      <c r="J372" s="1">
        <v>12.49</v>
      </c>
      <c r="K372" s="1" t="e">
        <v>#N/A</v>
      </c>
      <c r="L372" s="1" t="e">
        <v>#N/A</v>
      </c>
      <c r="M372" s="1" t="e">
        <v>#N/A</v>
      </c>
      <c r="N372" s="1" t="e">
        <v>#N/A</v>
      </c>
      <c r="O372" s="1" t="e">
        <v>#N/A</v>
      </c>
      <c r="P372" s="1" t="e">
        <v>#N/A</v>
      </c>
      <c r="Q372" s="1">
        <v>1872</v>
      </c>
      <c r="R372" s="78">
        <v>41090.538194444445</v>
      </c>
      <c r="S372" s="98">
        <v>30852.98</v>
      </c>
    </row>
    <row r="373" spans="1:19" x14ac:dyDescent="0.25">
      <c r="A373" s="1">
        <v>2012</v>
      </c>
      <c r="B373" s="77">
        <v>41091</v>
      </c>
      <c r="C373" s="1" t="s">
        <v>6</v>
      </c>
      <c r="D373" s="1" t="s">
        <v>7</v>
      </c>
      <c r="E373" s="1" t="s">
        <v>10</v>
      </c>
      <c r="F373" s="1" t="s">
        <v>11</v>
      </c>
      <c r="G373" s="1">
        <v>12.81</v>
      </c>
      <c r="H373" s="1">
        <v>16.71</v>
      </c>
      <c r="I373" s="78">
        <v>41090.629166666666</v>
      </c>
      <c r="J373" s="1">
        <v>12.49</v>
      </c>
      <c r="K373" s="1" t="e">
        <v>#N/A</v>
      </c>
      <c r="L373" s="1" t="e">
        <v>#N/A</v>
      </c>
      <c r="M373" s="1" t="e">
        <v>#N/A</v>
      </c>
      <c r="N373" s="1" t="e">
        <v>#N/A</v>
      </c>
      <c r="O373" s="1" t="e">
        <v>#N/A</v>
      </c>
      <c r="P373" s="1" t="e">
        <v>#N/A</v>
      </c>
      <c r="Q373" s="1">
        <v>309.7</v>
      </c>
      <c r="R373" s="78">
        <v>41090.415972222225</v>
      </c>
      <c r="S373" s="98">
        <v>4444.1289999999999</v>
      </c>
    </row>
    <row r="374" spans="1:19" x14ac:dyDescent="0.25">
      <c r="A374" s="1">
        <v>2012</v>
      </c>
      <c r="B374" s="77">
        <v>41092</v>
      </c>
      <c r="C374" s="1" t="s">
        <v>6</v>
      </c>
      <c r="D374" s="1" t="s">
        <v>7</v>
      </c>
      <c r="E374" s="1" t="s">
        <v>9</v>
      </c>
      <c r="F374" s="1" t="s">
        <v>9</v>
      </c>
      <c r="G374" s="1">
        <v>12.85</v>
      </c>
      <c r="H374" s="1">
        <v>16.29</v>
      </c>
      <c r="I374" s="78">
        <v>41091.881249999999</v>
      </c>
      <c r="J374" s="1">
        <v>11.39</v>
      </c>
      <c r="K374" s="1" t="e">
        <v>#N/A</v>
      </c>
      <c r="L374" s="1" t="e">
        <v>#N/A</v>
      </c>
      <c r="M374" s="1" t="e">
        <v>#N/A</v>
      </c>
      <c r="N374" s="1" t="e">
        <v>#N/A</v>
      </c>
      <c r="O374" s="1" t="e">
        <v>#N/A</v>
      </c>
      <c r="P374" s="1" t="e">
        <v>#N/A</v>
      </c>
      <c r="Q374" s="1">
        <v>877</v>
      </c>
      <c r="R374" s="78">
        <v>41091.850694444445</v>
      </c>
      <c r="S374" s="98">
        <v>20148.98</v>
      </c>
    </row>
    <row r="375" spans="1:19" x14ac:dyDescent="0.25">
      <c r="A375" s="1">
        <v>2012</v>
      </c>
      <c r="B375" s="77">
        <v>41092</v>
      </c>
      <c r="C375" s="1" t="s">
        <v>6</v>
      </c>
      <c r="D375" s="1" t="s">
        <v>7</v>
      </c>
      <c r="E375" s="1" t="s">
        <v>10</v>
      </c>
      <c r="F375" s="1" t="s">
        <v>11</v>
      </c>
      <c r="G375" s="1">
        <v>12.85</v>
      </c>
      <c r="H375" s="1">
        <v>16.29</v>
      </c>
      <c r="I375" s="78">
        <v>41091.881249999999</v>
      </c>
      <c r="J375" s="1">
        <v>11.39</v>
      </c>
      <c r="K375" s="1" t="e">
        <v>#N/A</v>
      </c>
      <c r="L375" s="1" t="e">
        <v>#N/A</v>
      </c>
      <c r="M375" s="1" t="e">
        <v>#N/A</v>
      </c>
      <c r="N375" s="1" t="e">
        <v>#N/A</v>
      </c>
      <c r="O375" s="1" t="e">
        <v>#N/A</v>
      </c>
      <c r="P375" s="1" t="e">
        <v>#N/A</v>
      </c>
      <c r="Q375" s="1">
        <v>115.3</v>
      </c>
      <c r="R375" s="78">
        <v>41091.631944444445</v>
      </c>
      <c r="S375" s="98">
        <v>3733.518</v>
      </c>
    </row>
    <row r="376" spans="1:19" x14ac:dyDescent="0.25">
      <c r="A376" s="1">
        <v>2012</v>
      </c>
      <c r="B376" s="77">
        <v>41093</v>
      </c>
      <c r="C376" s="1" t="s">
        <v>6</v>
      </c>
      <c r="D376" s="1" t="s">
        <v>7</v>
      </c>
      <c r="E376" s="1" t="s">
        <v>9</v>
      </c>
      <c r="F376" s="1" t="s">
        <v>9</v>
      </c>
      <c r="G376" s="1">
        <v>12.96</v>
      </c>
      <c r="H376" s="1">
        <v>23.38</v>
      </c>
      <c r="I376" s="78">
        <v>41092.542361111111</v>
      </c>
      <c r="J376" s="1">
        <v>15.91</v>
      </c>
      <c r="K376" s="1" t="e">
        <v>#N/A</v>
      </c>
      <c r="L376" s="1" t="e">
        <v>#N/A</v>
      </c>
      <c r="M376" s="1" t="e">
        <v>#N/A</v>
      </c>
      <c r="N376" s="1" t="e">
        <v>#N/A</v>
      </c>
      <c r="O376" s="1" t="e">
        <v>#N/A</v>
      </c>
      <c r="P376" s="1" t="e">
        <v>#N/A</v>
      </c>
      <c r="Q376" s="1">
        <v>1978</v>
      </c>
      <c r="R376" s="78">
        <v>41092.560416666667</v>
      </c>
      <c r="S376" s="98">
        <v>48590.16</v>
      </c>
    </row>
    <row r="377" spans="1:19" x14ac:dyDescent="0.25">
      <c r="A377" s="1">
        <v>2012</v>
      </c>
      <c r="B377" s="77">
        <v>41093</v>
      </c>
      <c r="C377" s="1" t="s">
        <v>6</v>
      </c>
      <c r="D377" s="1" t="s">
        <v>7</v>
      </c>
      <c r="E377" s="1" t="s">
        <v>10</v>
      </c>
      <c r="F377" s="1" t="s">
        <v>11</v>
      </c>
      <c r="G377" s="1">
        <v>12.96</v>
      </c>
      <c r="H377" s="1">
        <v>23.38</v>
      </c>
      <c r="I377" s="78">
        <v>41092.542361111111</v>
      </c>
      <c r="J377" s="1">
        <v>15.91</v>
      </c>
      <c r="K377" s="1" t="e">
        <v>#N/A</v>
      </c>
      <c r="L377" s="1" t="e">
        <v>#N/A</v>
      </c>
      <c r="M377" s="1" t="e">
        <v>#N/A</v>
      </c>
      <c r="N377" s="1" t="e">
        <v>#N/A</v>
      </c>
      <c r="O377" s="1" t="e">
        <v>#N/A</v>
      </c>
      <c r="P377" s="1" t="e">
        <v>#N/A</v>
      </c>
      <c r="Q377" s="1">
        <v>784.7</v>
      </c>
      <c r="R377" s="78">
        <v>41092.525000000001</v>
      </c>
      <c r="S377" s="98">
        <v>4192.6419999999998</v>
      </c>
    </row>
    <row r="378" spans="1:19" x14ac:dyDescent="0.25">
      <c r="A378" s="1">
        <v>2012</v>
      </c>
      <c r="B378" s="77">
        <v>41094</v>
      </c>
      <c r="C378" s="1" t="s">
        <v>6</v>
      </c>
      <c r="D378" s="1" t="s">
        <v>7</v>
      </c>
      <c r="E378" s="1" t="s">
        <v>9</v>
      </c>
      <c r="F378" s="1" t="s">
        <v>9</v>
      </c>
      <c r="G378" s="1">
        <v>12.88</v>
      </c>
      <c r="H378" s="1">
        <v>21.97</v>
      </c>
      <c r="I378" s="78">
        <v>41093.677777777775</v>
      </c>
      <c r="J378" s="1">
        <v>16.12</v>
      </c>
      <c r="K378" s="1" t="e">
        <v>#N/A</v>
      </c>
      <c r="L378" s="1" t="e">
        <v>#N/A</v>
      </c>
      <c r="M378" s="1" t="e">
        <v>#N/A</v>
      </c>
      <c r="N378" s="1" t="e">
        <v>#N/A</v>
      </c>
      <c r="O378" s="1" t="e">
        <v>#N/A</v>
      </c>
      <c r="P378" s="1" t="e">
        <v>#N/A</v>
      </c>
      <c r="Q378" s="1">
        <v>1771</v>
      </c>
      <c r="R378" s="78">
        <v>41093.529166666667</v>
      </c>
      <c r="S378" s="98">
        <v>41052.19</v>
      </c>
    </row>
    <row r="379" spans="1:19" x14ac:dyDescent="0.25">
      <c r="A379" s="1">
        <v>2012</v>
      </c>
      <c r="B379" s="77">
        <v>41094</v>
      </c>
      <c r="C379" s="1" t="s">
        <v>6</v>
      </c>
      <c r="D379" s="1" t="s">
        <v>7</v>
      </c>
      <c r="E379" s="1" t="s">
        <v>10</v>
      </c>
      <c r="F379" s="1" t="s">
        <v>11</v>
      </c>
      <c r="G379" s="1">
        <v>12.88</v>
      </c>
      <c r="H379" s="1">
        <v>21.97</v>
      </c>
      <c r="I379" s="78">
        <v>41093.677777777775</v>
      </c>
      <c r="J379" s="1">
        <v>16.12</v>
      </c>
      <c r="K379" s="1" t="e">
        <v>#N/A</v>
      </c>
      <c r="L379" s="1" t="e">
        <v>#N/A</v>
      </c>
      <c r="M379" s="1" t="e">
        <v>#N/A</v>
      </c>
      <c r="N379" s="1" t="e">
        <v>#N/A</v>
      </c>
      <c r="O379" s="1" t="e">
        <v>#N/A</v>
      </c>
      <c r="P379" s="1" t="e">
        <v>#N/A</v>
      </c>
      <c r="Q379" s="1">
        <v>622.4</v>
      </c>
      <c r="R379" s="78">
        <v>41093.527083333334</v>
      </c>
      <c r="S379" s="98">
        <v>5076.25</v>
      </c>
    </row>
    <row r="380" spans="1:19" x14ac:dyDescent="0.25">
      <c r="A380" s="1">
        <v>2012</v>
      </c>
      <c r="B380" s="77">
        <v>41095</v>
      </c>
      <c r="C380" s="1" t="s">
        <v>6</v>
      </c>
      <c r="D380" s="1" t="s">
        <v>7</v>
      </c>
      <c r="E380" s="1" t="s">
        <v>9</v>
      </c>
      <c r="F380" s="1" t="s">
        <v>9</v>
      </c>
      <c r="G380" s="1">
        <v>12.89</v>
      </c>
      <c r="H380" s="1">
        <v>24.54</v>
      </c>
      <c r="I380" s="78">
        <v>41094.646527777775</v>
      </c>
      <c r="J380" s="1">
        <v>17.21</v>
      </c>
      <c r="K380" s="1" t="e">
        <v>#N/A</v>
      </c>
      <c r="L380" s="1" t="e">
        <v>#N/A</v>
      </c>
      <c r="M380" s="1" t="e">
        <v>#N/A</v>
      </c>
      <c r="N380" s="1" t="e">
        <v>#N/A</v>
      </c>
      <c r="O380" s="1" t="e">
        <v>#N/A</v>
      </c>
      <c r="P380" s="1" t="e">
        <v>#N/A</v>
      </c>
      <c r="Q380" s="1">
        <v>1931</v>
      </c>
      <c r="R380" s="78">
        <v>41094.589583333334</v>
      </c>
      <c r="S380" s="98">
        <v>40404.71</v>
      </c>
    </row>
    <row r="381" spans="1:19" x14ac:dyDescent="0.25">
      <c r="A381" s="1">
        <v>2012</v>
      </c>
      <c r="B381" s="77">
        <v>41095</v>
      </c>
      <c r="C381" s="1" t="s">
        <v>6</v>
      </c>
      <c r="D381" s="1" t="s">
        <v>7</v>
      </c>
      <c r="E381" s="1" t="s">
        <v>10</v>
      </c>
      <c r="F381" s="1" t="s">
        <v>11</v>
      </c>
      <c r="G381" s="1">
        <v>12.89</v>
      </c>
      <c r="H381" s="1">
        <v>24.54</v>
      </c>
      <c r="I381" s="78">
        <v>41094.646527777775</v>
      </c>
      <c r="J381" s="1">
        <v>17.21</v>
      </c>
      <c r="K381" s="1" t="e">
        <v>#N/A</v>
      </c>
      <c r="L381" s="1" t="e">
        <v>#N/A</v>
      </c>
      <c r="M381" s="1" t="e">
        <v>#N/A</v>
      </c>
      <c r="N381" s="1" t="e">
        <v>#N/A</v>
      </c>
      <c r="O381" s="1" t="e">
        <v>#N/A</v>
      </c>
      <c r="P381" s="1" t="e">
        <v>#N/A</v>
      </c>
      <c r="Q381" s="1">
        <v>519.1</v>
      </c>
      <c r="R381" s="78">
        <v>41094.691666666666</v>
      </c>
      <c r="S381" s="98">
        <v>4823.1080000000002</v>
      </c>
    </row>
    <row r="382" spans="1:19" x14ac:dyDescent="0.25">
      <c r="A382" s="1">
        <v>2012</v>
      </c>
      <c r="B382" s="77">
        <v>41096</v>
      </c>
      <c r="C382" s="1" t="s">
        <v>6</v>
      </c>
      <c r="D382" s="1" t="s">
        <v>7</v>
      </c>
      <c r="E382" s="1" t="s">
        <v>9</v>
      </c>
      <c r="F382" s="1" t="s">
        <v>9</v>
      </c>
      <c r="G382" s="1">
        <v>12.83</v>
      </c>
      <c r="H382" s="1">
        <v>19.02</v>
      </c>
      <c r="I382" s="78">
        <v>41095.657638888886</v>
      </c>
      <c r="J382" s="1">
        <v>14.35</v>
      </c>
      <c r="K382" s="1" t="e">
        <v>#N/A</v>
      </c>
      <c r="L382" s="1" t="e">
        <v>#N/A</v>
      </c>
      <c r="M382" s="1" t="e">
        <v>#N/A</v>
      </c>
      <c r="N382" s="1" t="e">
        <v>#N/A</v>
      </c>
      <c r="O382" s="1" t="e">
        <v>#N/A</v>
      </c>
      <c r="P382" s="1" t="e">
        <v>#N/A</v>
      </c>
      <c r="Q382" s="1">
        <v>2008</v>
      </c>
      <c r="R382" s="78">
        <v>41095.638888888891</v>
      </c>
      <c r="S382" s="98">
        <v>32965.980000000003</v>
      </c>
    </row>
    <row r="383" spans="1:19" x14ac:dyDescent="0.25">
      <c r="A383" s="1">
        <v>2012</v>
      </c>
      <c r="B383" s="77">
        <v>41096</v>
      </c>
      <c r="C383" s="1" t="s">
        <v>6</v>
      </c>
      <c r="D383" s="1" t="s">
        <v>7</v>
      </c>
      <c r="E383" s="1" t="s">
        <v>10</v>
      </c>
      <c r="F383" s="1" t="s">
        <v>11</v>
      </c>
      <c r="G383" s="1">
        <v>12.83</v>
      </c>
      <c r="H383" s="1">
        <v>19.02</v>
      </c>
      <c r="I383" s="78">
        <v>41095.657638888886</v>
      </c>
      <c r="J383" s="1">
        <v>14.35</v>
      </c>
      <c r="K383" s="1" t="e">
        <v>#N/A</v>
      </c>
      <c r="L383" s="1" t="e">
        <v>#N/A</v>
      </c>
      <c r="M383" s="1" t="e">
        <v>#N/A</v>
      </c>
      <c r="N383" s="1" t="e">
        <v>#N/A</v>
      </c>
      <c r="O383" s="1" t="e">
        <v>#N/A</v>
      </c>
      <c r="P383" s="1" t="e">
        <v>#N/A</v>
      </c>
      <c r="Q383" s="1">
        <v>454.8</v>
      </c>
      <c r="R383" s="78">
        <v>41095.634722222225</v>
      </c>
      <c r="S383" s="98">
        <v>3936.241</v>
      </c>
    </row>
    <row r="384" spans="1:19" x14ac:dyDescent="0.25">
      <c r="A384" s="1">
        <v>2012</v>
      </c>
      <c r="B384" s="77">
        <v>41097</v>
      </c>
      <c r="C384" s="1" t="s">
        <v>6</v>
      </c>
      <c r="D384" s="1" t="s">
        <v>7</v>
      </c>
      <c r="E384" s="1" t="s">
        <v>9</v>
      </c>
      <c r="F384" s="1" t="s">
        <v>9</v>
      </c>
      <c r="G384" s="1">
        <v>12.83</v>
      </c>
      <c r="H384" s="1">
        <v>23.27</v>
      </c>
      <c r="I384" s="78">
        <v>41096.565972222219</v>
      </c>
      <c r="J384" s="1">
        <v>13.68</v>
      </c>
      <c r="K384" s="1" t="e">
        <v>#N/A</v>
      </c>
      <c r="L384" s="1" t="e">
        <v>#N/A</v>
      </c>
      <c r="M384" s="1" t="e">
        <v>#N/A</v>
      </c>
      <c r="N384" s="1" t="e">
        <v>#N/A</v>
      </c>
      <c r="O384" s="1" t="e">
        <v>#N/A</v>
      </c>
      <c r="P384" s="1" t="e">
        <v>#N/A</v>
      </c>
      <c r="Q384" s="1">
        <v>1911</v>
      </c>
      <c r="R384" s="78">
        <v>41096.588194444441</v>
      </c>
      <c r="S384" s="98">
        <v>32148.799999999999</v>
      </c>
    </row>
    <row r="385" spans="1:19" x14ac:dyDescent="0.25">
      <c r="A385" s="1">
        <v>2012</v>
      </c>
      <c r="B385" s="77">
        <v>41097</v>
      </c>
      <c r="C385" s="1" t="s">
        <v>6</v>
      </c>
      <c r="D385" s="1" t="s">
        <v>7</v>
      </c>
      <c r="E385" s="1" t="s">
        <v>10</v>
      </c>
      <c r="F385" s="1" t="s">
        <v>11</v>
      </c>
      <c r="G385" s="1">
        <v>12.83</v>
      </c>
      <c r="H385" s="1">
        <v>23.27</v>
      </c>
      <c r="I385" s="78">
        <v>41096.565972222219</v>
      </c>
      <c r="J385" s="1">
        <v>13.68</v>
      </c>
      <c r="K385" s="1" t="e">
        <v>#N/A</v>
      </c>
      <c r="L385" s="1" t="e">
        <v>#N/A</v>
      </c>
      <c r="M385" s="1" t="e">
        <v>#N/A</v>
      </c>
      <c r="N385" s="1" t="e">
        <v>#N/A</v>
      </c>
      <c r="O385" s="1" t="e">
        <v>#N/A</v>
      </c>
      <c r="P385" s="1" t="e">
        <v>#N/A</v>
      </c>
      <c r="Q385" s="1">
        <v>504</v>
      </c>
      <c r="R385" s="78">
        <v>41096.5</v>
      </c>
      <c r="S385" s="98">
        <v>3227.9929999999999</v>
      </c>
    </row>
    <row r="386" spans="1:19" x14ac:dyDescent="0.25">
      <c r="A386" s="1">
        <v>2012</v>
      </c>
      <c r="B386" s="77">
        <v>41098</v>
      </c>
      <c r="C386" s="1" t="s">
        <v>6</v>
      </c>
      <c r="D386" s="1" t="s">
        <v>7</v>
      </c>
      <c r="E386" s="1" t="s">
        <v>9</v>
      </c>
      <c r="F386" s="1" t="s">
        <v>9</v>
      </c>
      <c r="G386" s="1">
        <v>12.79</v>
      </c>
      <c r="H386" s="1">
        <v>18.84</v>
      </c>
      <c r="I386" s="78">
        <v>41097.569444444445</v>
      </c>
      <c r="J386" s="1">
        <v>13.52</v>
      </c>
      <c r="K386" s="1" t="e">
        <v>#N/A</v>
      </c>
      <c r="L386" s="1" t="e">
        <v>#N/A</v>
      </c>
      <c r="M386" s="1" t="e">
        <v>#N/A</v>
      </c>
      <c r="N386" s="1" t="e">
        <v>#N/A</v>
      </c>
      <c r="O386" s="1" t="e">
        <v>#N/A</v>
      </c>
      <c r="P386" s="1" t="e">
        <v>#N/A</v>
      </c>
      <c r="Q386" s="1">
        <v>1901</v>
      </c>
      <c r="R386" s="78">
        <v>41097.560416666667</v>
      </c>
      <c r="S386" s="98">
        <v>39708.410000000003</v>
      </c>
    </row>
    <row r="387" spans="1:19" x14ac:dyDescent="0.25">
      <c r="A387" s="1">
        <v>2012</v>
      </c>
      <c r="B387" s="77">
        <v>41098</v>
      </c>
      <c r="C387" s="1" t="s">
        <v>6</v>
      </c>
      <c r="D387" s="1" t="s">
        <v>7</v>
      </c>
      <c r="E387" s="1" t="s">
        <v>10</v>
      </c>
      <c r="F387" s="1" t="s">
        <v>11</v>
      </c>
      <c r="G387" s="1">
        <v>12.79</v>
      </c>
      <c r="H387" s="1">
        <v>18.84</v>
      </c>
      <c r="I387" s="78">
        <v>41097.569444444445</v>
      </c>
      <c r="J387" s="1">
        <v>13.52</v>
      </c>
      <c r="K387" s="1" t="e">
        <v>#N/A</v>
      </c>
      <c r="L387" s="1" t="e">
        <v>#N/A</v>
      </c>
      <c r="M387" s="1" t="e">
        <v>#N/A</v>
      </c>
      <c r="N387" s="1" t="e">
        <v>#N/A</v>
      </c>
      <c r="O387" s="1" t="e">
        <v>#N/A</v>
      </c>
      <c r="P387" s="1" t="e">
        <v>#N/A</v>
      </c>
      <c r="Q387" s="1">
        <v>393.6</v>
      </c>
      <c r="R387" s="78">
        <v>41097.559027777781</v>
      </c>
      <c r="S387" s="98">
        <v>3820.0859999999998</v>
      </c>
    </row>
    <row r="388" spans="1:19" x14ac:dyDescent="0.25">
      <c r="A388" s="1">
        <v>2012</v>
      </c>
      <c r="B388" s="77">
        <v>41099</v>
      </c>
      <c r="C388" s="1" t="s">
        <v>6</v>
      </c>
      <c r="D388" s="1" t="s">
        <v>7</v>
      </c>
      <c r="E388" s="1" t="s">
        <v>9</v>
      </c>
      <c r="F388" s="1" t="s">
        <v>9</v>
      </c>
      <c r="G388" s="1">
        <v>12.9</v>
      </c>
      <c r="H388" s="1">
        <v>16.39</v>
      </c>
      <c r="I388" s="78">
        <v>41098.644444444442</v>
      </c>
      <c r="J388" s="1">
        <v>12.75</v>
      </c>
      <c r="K388" s="1" t="e">
        <v>#N/A</v>
      </c>
      <c r="L388" s="1" t="e">
        <v>#N/A</v>
      </c>
      <c r="M388" s="1" t="e">
        <v>#N/A</v>
      </c>
      <c r="N388" s="1" t="e">
        <v>#N/A</v>
      </c>
      <c r="O388" s="1" t="e">
        <v>#N/A</v>
      </c>
      <c r="P388" s="1" t="e">
        <v>#N/A</v>
      </c>
      <c r="Q388" s="1">
        <v>1535</v>
      </c>
      <c r="R388" s="78">
        <v>41098.624305555553</v>
      </c>
      <c r="S388" s="98">
        <v>27281.74</v>
      </c>
    </row>
    <row r="389" spans="1:19" x14ac:dyDescent="0.25">
      <c r="A389" s="1">
        <v>2012</v>
      </c>
      <c r="B389" s="77">
        <v>41099</v>
      </c>
      <c r="C389" s="1" t="s">
        <v>6</v>
      </c>
      <c r="D389" s="1" t="s">
        <v>7</v>
      </c>
      <c r="E389" s="1" t="s">
        <v>10</v>
      </c>
      <c r="F389" s="1" t="s">
        <v>11</v>
      </c>
      <c r="G389" s="1">
        <v>12.9</v>
      </c>
      <c r="H389" s="1">
        <v>16.39</v>
      </c>
      <c r="I389" s="78">
        <v>41098.644444444442</v>
      </c>
      <c r="J389" s="1">
        <v>12.75</v>
      </c>
      <c r="K389" s="1" t="e">
        <v>#N/A</v>
      </c>
      <c r="L389" s="1" t="e">
        <v>#N/A</v>
      </c>
      <c r="M389" s="1" t="e">
        <v>#N/A</v>
      </c>
      <c r="N389" s="1" t="e">
        <v>#N/A</v>
      </c>
      <c r="O389" s="1" t="e">
        <v>#N/A</v>
      </c>
      <c r="P389" s="1" t="e">
        <v>#N/A</v>
      </c>
      <c r="Q389" s="1">
        <v>212.5</v>
      </c>
      <c r="R389" s="78">
        <v>41098.771527777775</v>
      </c>
      <c r="S389" s="98">
        <v>3790.2</v>
      </c>
    </row>
    <row r="390" spans="1:19" x14ac:dyDescent="0.25">
      <c r="A390" s="1">
        <v>2012</v>
      </c>
      <c r="B390" s="77">
        <v>41089</v>
      </c>
      <c r="C390" s="1" t="s">
        <v>6</v>
      </c>
      <c r="D390" s="1" t="s">
        <v>8</v>
      </c>
      <c r="E390" s="1" t="s">
        <v>12</v>
      </c>
      <c r="F390" s="1" t="s">
        <v>11</v>
      </c>
      <c r="G390" s="1">
        <v>12.79</v>
      </c>
      <c r="H390" s="1">
        <v>13.75</v>
      </c>
      <c r="I390" s="78">
        <v>41088.658333333333</v>
      </c>
      <c r="J390" s="1">
        <v>11.94</v>
      </c>
      <c r="K390" s="1" t="e">
        <v>#N/A</v>
      </c>
      <c r="L390" s="1" t="e">
        <v>#N/A</v>
      </c>
      <c r="M390" s="1" t="e">
        <v>#N/A</v>
      </c>
      <c r="N390" s="1" t="e">
        <v>#N/A</v>
      </c>
      <c r="O390" s="1" t="e">
        <v>#N/A</v>
      </c>
      <c r="P390" s="1" t="e">
        <v>#N/A</v>
      </c>
      <c r="Q390" s="1">
        <v>77.430000000000007</v>
      </c>
      <c r="R390" s="78">
        <v>41088.592361111114</v>
      </c>
      <c r="S390" s="98">
        <v>1697.3920000000001</v>
      </c>
    </row>
    <row r="391" spans="1:19" x14ac:dyDescent="0.25">
      <c r="A391" s="1">
        <v>2012</v>
      </c>
      <c r="B391" s="77">
        <v>41090</v>
      </c>
      <c r="C391" s="1" t="s">
        <v>6</v>
      </c>
      <c r="D391" s="1" t="s">
        <v>8</v>
      </c>
      <c r="E391" s="1" t="s">
        <v>12</v>
      </c>
      <c r="F391" s="1" t="s">
        <v>11</v>
      </c>
      <c r="G391" s="1">
        <v>12.74</v>
      </c>
      <c r="H391" s="1">
        <v>20.83</v>
      </c>
      <c r="I391" s="78">
        <v>41089.609722222223</v>
      </c>
      <c r="J391" s="1">
        <v>13.05</v>
      </c>
      <c r="K391" s="1" t="e">
        <v>#N/A</v>
      </c>
      <c r="L391" s="1" t="e">
        <v>#N/A</v>
      </c>
      <c r="M391" s="1" t="e">
        <v>#N/A</v>
      </c>
      <c r="N391" s="1" t="e">
        <v>#N/A</v>
      </c>
      <c r="O391" s="1" t="e">
        <v>#N/A</v>
      </c>
      <c r="P391" s="1" t="e">
        <v>#N/A</v>
      </c>
      <c r="Q391" s="1">
        <v>617.20000000000005</v>
      </c>
      <c r="R391" s="78">
        <v>41089.605555555558</v>
      </c>
      <c r="S391" s="98">
        <v>3174.3809999999999</v>
      </c>
    </row>
    <row r="392" spans="1:19" x14ac:dyDescent="0.25">
      <c r="A392" s="1">
        <v>2012</v>
      </c>
      <c r="B392" s="77">
        <v>41091</v>
      </c>
      <c r="C392" s="1" t="s">
        <v>6</v>
      </c>
      <c r="D392" s="1" t="s">
        <v>8</v>
      </c>
      <c r="E392" s="1" t="s">
        <v>12</v>
      </c>
      <c r="F392" s="1" t="s">
        <v>11</v>
      </c>
      <c r="G392" s="1">
        <v>12.7</v>
      </c>
      <c r="H392" s="1">
        <v>17.29</v>
      </c>
      <c r="I392" s="78">
        <v>41090.634722222225</v>
      </c>
      <c r="J392" s="1">
        <v>12.49</v>
      </c>
      <c r="K392" s="1" t="e">
        <v>#N/A</v>
      </c>
      <c r="L392" s="1" t="e">
        <v>#N/A</v>
      </c>
      <c r="M392" s="1" t="e">
        <v>#N/A</v>
      </c>
      <c r="N392" s="1" t="e">
        <v>#N/A</v>
      </c>
      <c r="O392" s="1" t="e">
        <v>#N/A</v>
      </c>
      <c r="P392" s="1" t="e">
        <v>#N/A</v>
      </c>
      <c r="Q392" s="1">
        <v>678</v>
      </c>
      <c r="R392" s="78">
        <v>41090.384027777778</v>
      </c>
      <c r="S392" s="98">
        <v>3593.71</v>
      </c>
    </row>
    <row r="393" spans="1:19" x14ac:dyDescent="0.25">
      <c r="A393" s="1">
        <v>2012</v>
      </c>
      <c r="B393" s="77">
        <v>41092</v>
      </c>
      <c r="C393" s="1" t="s">
        <v>6</v>
      </c>
      <c r="D393" s="1" t="s">
        <v>8</v>
      </c>
      <c r="E393" s="1" t="s">
        <v>12</v>
      </c>
      <c r="F393" s="1" t="s">
        <v>11</v>
      </c>
      <c r="G393" s="1">
        <v>12.69</v>
      </c>
      <c r="H393" s="1">
        <v>16.61</v>
      </c>
      <c r="I393" s="78">
        <v>41091.895833333336</v>
      </c>
      <c r="J393" s="1">
        <v>11.58</v>
      </c>
      <c r="K393" s="1" t="e">
        <v>#N/A</v>
      </c>
      <c r="L393" s="1" t="e">
        <v>#N/A</v>
      </c>
      <c r="M393" s="1" t="e">
        <v>#N/A</v>
      </c>
      <c r="N393" s="1" t="e">
        <v>#N/A</v>
      </c>
      <c r="O393" s="1" t="e">
        <v>#N/A</v>
      </c>
      <c r="P393" s="1" t="e">
        <v>#N/A</v>
      </c>
      <c r="Q393" s="1">
        <v>95</v>
      </c>
      <c r="R393" s="78">
        <v>41091.634722222225</v>
      </c>
      <c r="S393" s="98">
        <v>2698.922</v>
      </c>
    </row>
    <row r="394" spans="1:19" x14ac:dyDescent="0.25">
      <c r="A394" s="1">
        <v>2012</v>
      </c>
      <c r="B394" s="77">
        <v>41093</v>
      </c>
      <c r="C394" s="1" t="s">
        <v>6</v>
      </c>
      <c r="D394" s="1" t="s">
        <v>8</v>
      </c>
      <c r="E394" s="1" t="s">
        <v>12</v>
      </c>
      <c r="F394" s="1" t="s">
        <v>11</v>
      </c>
      <c r="G394" s="1">
        <v>12.79</v>
      </c>
      <c r="H394" s="1">
        <v>24.16</v>
      </c>
      <c r="I394" s="78">
        <v>41092.538888888892</v>
      </c>
      <c r="J394" s="1">
        <v>15.65</v>
      </c>
      <c r="K394" s="1" t="e">
        <v>#N/A</v>
      </c>
      <c r="L394" s="1" t="e">
        <v>#N/A</v>
      </c>
      <c r="M394" s="1" t="e">
        <v>#N/A</v>
      </c>
      <c r="N394" s="1" t="e">
        <v>#N/A</v>
      </c>
      <c r="O394" s="1" t="e">
        <v>#N/A</v>
      </c>
      <c r="P394" s="1" t="e">
        <v>#N/A</v>
      </c>
      <c r="Q394" s="1">
        <v>1184</v>
      </c>
      <c r="R394" s="78">
        <v>41092.530555555553</v>
      </c>
      <c r="S394" s="98">
        <v>5515.8459999999995</v>
      </c>
    </row>
    <row r="395" spans="1:19" x14ac:dyDescent="0.25">
      <c r="A395" s="1">
        <v>2012</v>
      </c>
      <c r="B395" s="77">
        <v>41094</v>
      </c>
      <c r="C395" s="1" t="s">
        <v>6</v>
      </c>
      <c r="D395" s="1" t="s">
        <v>8</v>
      </c>
      <c r="E395" s="1" t="s">
        <v>12</v>
      </c>
      <c r="F395" s="1" t="s">
        <v>11</v>
      </c>
      <c r="G395" s="1">
        <v>12.71</v>
      </c>
      <c r="H395" s="1">
        <v>22</v>
      </c>
      <c r="I395" s="78">
        <v>41093.671527777777</v>
      </c>
      <c r="J395" s="1">
        <v>16.05</v>
      </c>
      <c r="K395" s="1" t="e">
        <v>#N/A</v>
      </c>
      <c r="L395" s="1" t="e">
        <v>#N/A</v>
      </c>
      <c r="M395" s="1" t="e">
        <v>#N/A</v>
      </c>
      <c r="N395" s="1" t="e">
        <v>#N/A</v>
      </c>
      <c r="O395" s="1" t="e">
        <v>#N/A</v>
      </c>
      <c r="P395" s="1" t="e">
        <v>#N/A</v>
      </c>
      <c r="Q395" s="1">
        <v>696.2</v>
      </c>
      <c r="R395" s="78">
        <v>41093.472222222219</v>
      </c>
      <c r="S395" s="98">
        <v>4712.0619999999999</v>
      </c>
    </row>
    <row r="396" spans="1:19" x14ac:dyDescent="0.25">
      <c r="A396" s="1">
        <v>2012</v>
      </c>
      <c r="B396" s="77">
        <v>41095</v>
      </c>
      <c r="C396" s="1" t="s">
        <v>6</v>
      </c>
      <c r="D396" s="1" t="s">
        <v>8</v>
      </c>
      <c r="E396" s="1" t="s">
        <v>12</v>
      </c>
      <c r="F396" s="1" t="s">
        <v>11</v>
      </c>
      <c r="G396" s="1">
        <v>12.75</v>
      </c>
      <c r="H396" s="1">
        <v>25.25</v>
      </c>
      <c r="I396" s="78">
        <v>41094.662499999999</v>
      </c>
      <c r="J396" s="1">
        <v>17.41</v>
      </c>
      <c r="K396" s="1" t="e">
        <v>#N/A</v>
      </c>
      <c r="L396" s="1" t="e">
        <v>#N/A</v>
      </c>
      <c r="M396" s="1" t="e">
        <v>#N/A</v>
      </c>
      <c r="N396" s="1" t="e">
        <v>#N/A</v>
      </c>
      <c r="O396" s="1" t="e">
        <v>#N/A</v>
      </c>
      <c r="P396" s="1" t="e">
        <v>#N/A</v>
      </c>
      <c r="Q396" s="1">
        <v>810</v>
      </c>
      <c r="R396" s="78">
        <v>41094.635416666664</v>
      </c>
      <c r="S396" s="98">
        <v>4965.8370000000004</v>
      </c>
    </row>
    <row r="397" spans="1:19" x14ac:dyDescent="0.25">
      <c r="A397" s="1">
        <v>2012</v>
      </c>
      <c r="B397" s="77">
        <v>41096</v>
      </c>
      <c r="C397" s="1" t="s">
        <v>6</v>
      </c>
      <c r="D397" s="1" t="s">
        <v>8</v>
      </c>
      <c r="E397" s="1" t="s">
        <v>12</v>
      </c>
      <c r="F397" s="1" t="s">
        <v>11</v>
      </c>
      <c r="G397" s="1">
        <v>12.67</v>
      </c>
      <c r="H397" s="1">
        <v>20.66</v>
      </c>
      <c r="I397" s="78">
        <v>41095.663194444445</v>
      </c>
      <c r="J397" s="1">
        <v>14.19</v>
      </c>
      <c r="K397" s="1" t="e">
        <v>#N/A</v>
      </c>
      <c r="L397" s="1" t="e">
        <v>#N/A</v>
      </c>
      <c r="M397" s="1" t="e">
        <v>#N/A</v>
      </c>
      <c r="N397" s="1" t="e">
        <v>#N/A</v>
      </c>
      <c r="O397" s="1" t="e">
        <v>#N/A</v>
      </c>
      <c r="P397" s="1" t="e">
        <v>#N/A</v>
      </c>
      <c r="Q397" s="1">
        <v>487.6</v>
      </c>
      <c r="R397" s="78">
        <v>41095.461111111108</v>
      </c>
      <c r="S397" s="98">
        <v>4462.9189999999999</v>
      </c>
    </row>
    <row r="398" spans="1:19" x14ac:dyDescent="0.25">
      <c r="A398" s="1">
        <v>2012</v>
      </c>
      <c r="B398" s="77">
        <v>41097</v>
      </c>
      <c r="C398" s="1" t="s">
        <v>6</v>
      </c>
      <c r="D398" s="1" t="s">
        <v>8</v>
      </c>
      <c r="E398" s="1" t="s">
        <v>12</v>
      </c>
      <c r="F398" s="1" t="s">
        <v>11</v>
      </c>
      <c r="G398" s="1">
        <v>12.66</v>
      </c>
      <c r="H398" s="1">
        <v>22.22</v>
      </c>
      <c r="I398" s="78">
        <v>41096.555555555555</v>
      </c>
      <c r="J398" s="1">
        <v>13.45</v>
      </c>
      <c r="K398" s="1" t="e">
        <v>#N/A</v>
      </c>
      <c r="L398" s="1" t="e">
        <v>#N/A</v>
      </c>
      <c r="M398" s="1" t="e">
        <v>#N/A</v>
      </c>
      <c r="N398" s="1" t="e">
        <v>#N/A</v>
      </c>
      <c r="O398" s="1" t="e">
        <v>#N/A</v>
      </c>
      <c r="P398" s="1" t="e">
        <v>#N/A</v>
      </c>
      <c r="Q398" s="1">
        <v>653.5</v>
      </c>
      <c r="R398" s="78">
        <v>41096.538194444445</v>
      </c>
      <c r="S398" s="98">
        <v>3596.4749999999999</v>
      </c>
    </row>
    <row r="399" spans="1:19" x14ac:dyDescent="0.25">
      <c r="A399" s="1">
        <v>2012</v>
      </c>
      <c r="B399" s="77">
        <v>41098</v>
      </c>
      <c r="C399" s="1" t="s">
        <v>6</v>
      </c>
      <c r="D399" s="1" t="s">
        <v>8</v>
      </c>
      <c r="E399" s="1" t="s">
        <v>12</v>
      </c>
      <c r="F399" s="1" t="s">
        <v>11</v>
      </c>
      <c r="G399" s="1">
        <v>12.63</v>
      </c>
      <c r="H399" s="1">
        <v>19.13</v>
      </c>
      <c r="I399" s="78">
        <v>41097.573611111111</v>
      </c>
      <c r="J399" s="1">
        <v>12.96</v>
      </c>
      <c r="K399" s="1" t="e">
        <v>#N/A</v>
      </c>
      <c r="L399" s="1" t="e">
        <v>#N/A</v>
      </c>
      <c r="M399" s="1" t="e">
        <v>#N/A</v>
      </c>
      <c r="N399" s="1" t="e">
        <v>#N/A</v>
      </c>
      <c r="O399" s="1" t="e">
        <v>#N/A</v>
      </c>
      <c r="P399" s="1" t="e">
        <v>#N/A</v>
      </c>
      <c r="Q399" s="1">
        <v>502.7</v>
      </c>
      <c r="R399" s="78">
        <v>41097.800694444442</v>
      </c>
      <c r="S399" s="98">
        <v>4485.7280000000001</v>
      </c>
    </row>
    <row r="400" spans="1:19" x14ac:dyDescent="0.25">
      <c r="A400" s="1">
        <v>2012</v>
      </c>
      <c r="B400" s="77">
        <v>41099</v>
      </c>
      <c r="C400" s="1" t="s">
        <v>6</v>
      </c>
      <c r="D400" s="1" t="s">
        <v>8</v>
      </c>
      <c r="E400" s="1" t="s">
        <v>12</v>
      </c>
      <c r="F400" s="1" t="s">
        <v>11</v>
      </c>
      <c r="G400" s="1">
        <v>12.76</v>
      </c>
      <c r="H400" s="1">
        <v>17.21</v>
      </c>
      <c r="I400" s="78">
        <v>41098.645833333336</v>
      </c>
      <c r="J400" s="1">
        <v>12.78</v>
      </c>
      <c r="K400" s="1" t="e">
        <v>#N/A</v>
      </c>
      <c r="L400" s="1" t="e">
        <v>#N/A</v>
      </c>
      <c r="M400" s="1" t="e">
        <v>#N/A</v>
      </c>
      <c r="N400" s="1" t="e">
        <v>#N/A</v>
      </c>
      <c r="O400" s="1" t="e">
        <v>#N/A</v>
      </c>
      <c r="P400" s="1" t="e">
        <v>#N/A</v>
      </c>
      <c r="Q400" s="1">
        <v>504.7</v>
      </c>
      <c r="R400" s="78">
        <v>41098.76666666667</v>
      </c>
      <c r="S400" s="98">
        <v>4520.4570000000003</v>
      </c>
    </row>
    <row r="401" spans="1:19" x14ac:dyDescent="0.25">
      <c r="A401" s="1">
        <v>2012</v>
      </c>
      <c r="B401" s="77">
        <v>41100</v>
      </c>
      <c r="C401" s="1" t="s">
        <v>6</v>
      </c>
      <c r="D401" s="1" t="s">
        <v>8</v>
      </c>
      <c r="E401" s="1" t="s">
        <v>12</v>
      </c>
      <c r="F401" s="1" t="s">
        <v>11</v>
      </c>
      <c r="G401" s="1">
        <v>12.64</v>
      </c>
      <c r="H401" s="1">
        <v>24.51</v>
      </c>
      <c r="I401" s="78">
        <v>41099.649305555555</v>
      </c>
      <c r="J401" s="1">
        <v>13.78</v>
      </c>
      <c r="K401" s="1" t="e">
        <v>#N/A</v>
      </c>
      <c r="L401" s="1" t="e">
        <v>#N/A</v>
      </c>
      <c r="M401" s="1" t="e">
        <v>#N/A</v>
      </c>
      <c r="N401" s="1" t="e">
        <v>#N/A</v>
      </c>
      <c r="O401" s="1" t="e">
        <v>#N/A</v>
      </c>
      <c r="P401" s="1" t="e">
        <v>#N/A</v>
      </c>
      <c r="Q401" s="1">
        <v>694.1</v>
      </c>
      <c r="R401" s="78">
        <v>41099.634027777778</v>
      </c>
      <c r="S401" s="98">
        <v>3985.07</v>
      </c>
    </row>
    <row r="402" spans="1:19" x14ac:dyDescent="0.25">
      <c r="A402" s="1">
        <v>2012</v>
      </c>
      <c r="B402" s="77">
        <v>41101</v>
      </c>
      <c r="C402" s="1" t="s">
        <v>6</v>
      </c>
      <c r="D402" s="1" t="s">
        <v>8</v>
      </c>
      <c r="E402" s="1" t="s">
        <v>12</v>
      </c>
      <c r="F402" s="1" t="s">
        <v>11</v>
      </c>
      <c r="G402" s="1">
        <v>12.64</v>
      </c>
      <c r="H402" s="1">
        <v>18.739999999999998</v>
      </c>
      <c r="I402" s="78">
        <v>41100.724305555559</v>
      </c>
      <c r="J402" s="1">
        <v>12.41</v>
      </c>
      <c r="K402" s="1" t="e">
        <v>#N/A</v>
      </c>
      <c r="L402" s="1" t="e">
        <v>#N/A</v>
      </c>
      <c r="M402" s="1" t="e">
        <v>#N/A</v>
      </c>
      <c r="N402" s="1" t="e">
        <v>#N/A</v>
      </c>
      <c r="O402" s="1" t="e">
        <v>#N/A</v>
      </c>
      <c r="P402" s="1" t="e">
        <v>#N/A</v>
      </c>
      <c r="Q402" s="1">
        <v>658.7</v>
      </c>
      <c r="R402" s="78">
        <v>41100.670138888891</v>
      </c>
      <c r="S402" s="98">
        <v>4144.2730000000001</v>
      </c>
    </row>
    <row r="403" spans="1:19" x14ac:dyDescent="0.25">
      <c r="A403" s="1">
        <v>2012</v>
      </c>
      <c r="B403" s="77">
        <v>41102</v>
      </c>
      <c r="C403" s="1" t="s">
        <v>6</v>
      </c>
      <c r="D403" s="1" t="s">
        <v>8</v>
      </c>
      <c r="E403" s="1" t="s">
        <v>12</v>
      </c>
      <c r="F403" s="1" t="s">
        <v>11</v>
      </c>
      <c r="G403" s="1">
        <v>12.57</v>
      </c>
      <c r="H403" s="1">
        <v>24.87</v>
      </c>
      <c r="I403" s="78">
        <v>41101.725694444445</v>
      </c>
      <c r="J403" s="1">
        <v>20.73</v>
      </c>
      <c r="K403" s="1" t="e">
        <v>#N/A</v>
      </c>
      <c r="L403" s="1" t="e">
        <v>#N/A</v>
      </c>
      <c r="M403" s="1" t="e">
        <v>#N/A</v>
      </c>
      <c r="N403" s="1" t="e">
        <v>#N/A</v>
      </c>
      <c r="O403" s="1" t="e">
        <v>#N/A</v>
      </c>
      <c r="P403" s="1" t="e">
        <v>#N/A</v>
      </c>
      <c r="Q403" s="1">
        <v>801</v>
      </c>
      <c r="R403" s="78">
        <v>41101.754861111112</v>
      </c>
      <c r="S403" s="98">
        <v>3142.8389999999999</v>
      </c>
    </row>
    <row r="404" spans="1:19" x14ac:dyDescent="0.25">
      <c r="A404" s="1">
        <v>2012</v>
      </c>
      <c r="B404" s="77">
        <v>41103</v>
      </c>
      <c r="C404" s="1" t="s">
        <v>6</v>
      </c>
      <c r="D404" s="1" t="s">
        <v>8</v>
      </c>
      <c r="E404" s="1" t="s">
        <v>12</v>
      </c>
      <c r="F404" s="1" t="s">
        <v>11</v>
      </c>
      <c r="G404" s="1">
        <v>12.45</v>
      </c>
      <c r="H404" s="1">
        <v>24.42</v>
      </c>
      <c r="I404" s="78">
        <v>41102.634027777778</v>
      </c>
      <c r="J404" s="1">
        <v>16.87</v>
      </c>
      <c r="K404" s="1" t="e">
        <v>#N/A</v>
      </c>
      <c r="L404" s="1" t="e">
        <v>#N/A</v>
      </c>
      <c r="M404" s="1" t="e">
        <v>#N/A</v>
      </c>
      <c r="N404" s="1" t="e">
        <v>#N/A</v>
      </c>
      <c r="O404" s="1" t="e">
        <v>#N/A</v>
      </c>
      <c r="P404" s="1" t="e">
        <v>#N/A</v>
      </c>
      <c r="Q404" s="1">
        <v>736.1</v>
      </c>
      <c r="R404" s="78">
        <v>41102.784722222219</v>
      </c>
      <c r="S404" s="98">
        <v>4978.7269999999999</v>
      </c>
    </row>
    <row r="405" spans="1:19" x14ac:dyDescent="0.25">
      <c r="A405" s="1">
        <v>2012</v>
      </c>
      <c r="B405" s="77">
        <v>41104</v>
      </c>
      <c r="C405" s="1" t="s">
        <v>6</v>
      </c>
      <c r="D405" s="1" t="s">
        <v>8</v>
      </c>
      <c r="E405" s="1" t="s">
        <v>12</v>
      </c>
      <c r="F405" s="1" t="s">
        <v>11</v>
      </c>
      <c r="G405" s="1">
        <v>12.75</v>
      </c>
      <c r="H405" s="1">
        <v>22.08</v>
      </c>
      <c r="I405" s="78">
        <v>41103.521527777775</v>
      </c>
      <c r="J405" s="1">
        <v>14.86</v>
      </c>
      <c r="K405" s="1" t="e">
        <v>#N/A</v>
      </c>
      <c r="L405" s="1" t="e">
        <v>#N/A</v>
      </c>
      <c r="M405" s="1" t="e">
        <v>#N/A</v>
      </c>
      <c r="N405" s="1" t="e">
        <v>#N/A</v>
      </c>
      <c r="O405" s="1" t="e">
        <v>#N/A</v>
      </c>
      <c r="P405" s="1" t="e">
        <v>#N/A</v>
      </c>
      <c r="Q405" s="1">
        <v>207.9</v>
      </c>
      <c r="R405" s="78">
        <v>41103.581944444442</v>
      </c>
      <c r="S405" s="98">
        <v>3461.652</v>
      </c>
    </row>
    <row r="406" spans="1:19" x14ac:dyDescent="0.25">
      <c r="A406" s="1">
        <v>2012</v>
      </c>
      <c r="B406" s="77">
        <v>41105</v>
      </c>
      <c r="C406" s="1" t="s">
        <v>6</v>
      </c>
      <c r="D406" s="1" t="s">
        <v>8</v>
      </c>
      <c r="E406" s="1" t="s">
        <v>12</v>
      </c>
      <c r="F406" s="1" t="s">
        <v>11</v>
      </c>
      <c r="G406" s="1">
        <v>12.75</v>
      </c>
      <c r="H406" s="1">
        <v>17.239999999999998</v>
      </c>
      <c r="I406" s="78">
        <v>41104.770138888889</v>
      </c>
      <c r="J406" s="1">
        <v>11.9</v>
      </c>
      <c r="K406" s="1" t="e">
        <v>#N/A</v>
      </c>
      <c r="L406" s="1" t="e">
        <v>#N/A</v>
      </c>
      <c r="M406" s="1" t="e">
        <v>#N/A</v>
      </c>
      <c r="N406" s="1" t="e">
        <v>#N/A</v>
      </c>
      <c r="O406" s="1" t="e">
        <v>#N/A</v>
      </c>
      <c r="P406" s="1" t="e">
        <v>#N/A</v>
      </c>
      <c r="Q406" s="1">
        <v>800</v>
      </c>
      <c r="R406" s="78">
        <v>41104.759722222225</v>
      </c>
      <c r="S406" s="98">
        <v>3771.85</v>
      </c>
    </row>
    <row r="407" spans="1:19" x14ac:dyDescent="0.25">
      <c r="A407" s="1">
        <v>2012</v>
      </c>
      <c r="B407" s="77">
        <v>41106</v>
      </c>
      <c r="C407" s="1" t="s">
        <v>6</v>
      </c>
      <c r="D407" s="1" t="s">
        <v>8</v>
      </c>
      <c r="E407" s="1" t="s">
        <v>12</v>
      </c>
      <c r="F407" s="1" t="s">
        <v>11</v>
      </c>
      <c r="G407" s="1">
        <v>12.72</v>
      </c>
      <c r="H407" s="1">
        <v>16.96</v>
      </c>
      <c r="I407" s="78">
        <v>41105.572222222225</v>
      </c>
      <c r="J407" s="1">
        <v>11.17</v>
      </c>
      <c r="K407" s="1" t="e">
        <v>#N/A</v>
      </c>
      <c r="L407" s="1" t="e">
        <v>#N/A</v>
      </c>
      <c r="M407" s="1" t="e">
        <v>#N/A</v>
      </c>
      <c r="N407" s="1" t="e">
        <v>#N/A</v>
      </c>
      <c r="O407" s="1" t="e">
        <v>#N/A</v>
      </c>
      <c r="P407" s="1" t="e">
        <v>#N/A</v>
      </c>
      <c r="Q407" s="1">
        <v>558</v>
      </c>
      <c r="R407" s="78">
        <v>41105.76666666667</v>
      </c>
      <c r="S407" s="98">
        <v>3381.9189999999999</v>
      </c>
    </row>
    <row r="408" spans="1:19" x14ac:dyDescent="0.25">
      <c r="A408" s="1">
        <v>2012</v>
      </c>
      <c r="B408" s="77">
        <v>41107</v>
      </c>
      <c r="C408" s="1" t="s">
        <v>6</v>
      </c>
      <c r="D408" s="1" t="s">
        <v>8</v>
      </c>
      <c r="E408" s="1" t="s">
        <v>12</v>
      </c>
      <c r="F408" s="1" t="s">
        <v>11</v>
      </c>
      <c r="G408" s="1">
        <v>12.7</v>
      </c>
      <c r="H408" s="1">
        <v>11.79</v>
      </c>
      <c r="I408" s="78">
        <v>41106.581944444442</v>
      </c>
      <c r="J408" s="1">
        <v>9.67</v>
      </c>
      <c r="K408" s="1" t="e">
        <v>#N/A</v>
      </c>
      <c r="L408" s="1" t="e">
        <v>#N/A</v>
      </c>
      <c r="M408" s="1" t="e">
        <v>#N/A</v>
      </c>
      <c r="N408" s="1" t="e">
        <v>#N/A</v>
      </c>
      <c r="O408" s="1" t="e">
        <v>#N/A</v>
      </c>
      <c r="P408" s="1" t="e">
        <v>#N/A</v>
      </c>
      <c r="Q408" s="1">
        <v>103.7</v>
      </c>
      <c r="R408" s="78">
        <v>41106.736111111109</v>
      </c>
      <c r="S408" s="98">
        <v>2137.5300000000002</v>
      </c>
    </row>
    <row r="409" spans="1:19" x14ac:dyDescent="0.25">
      <c r="A409" s="1">
        <v>2012</v>
      </c>
      <c r="B409" s="77">
        <v>41108</v>
      </c>
      <c r="C409" s="1" t="s">
        <v>6</v>
      </c>
      <c r="D409" s="1" t="s">
        <v>8</v>
      </c>
      <c r="E409" s="1" t="s">
        <v>12</v>
      </c>
      <c r="F409" s="1" t="s">
        <v>11</v>
      </c>
      <c r="G409" s="1">
        <v>12.69</v>
      </c>
      <c r="H409" s="1">
        <v>10.65</v>
      </c>
      <c r="I409" s="78">
        <v>41107.499305555553</v>
      </c>
      <c r="J409" s="1">
        <v>7.8419999999999996</v>
      </c>
      <c r="K409" s="1" t="e">
        <v>#N/A</v>
      </c>
      <c r="L409" s="1" t="e">
        <v>#N/A</v>
      </c>
      <c r="M409" s="1" t="e">
        <v>#N/A</v>
      </c>
      <c r="N409" s="1" t="e">
        <v>#N/A</v>
      </c>
      <c r="O409" s="1" t="e">
        <v>#N/A</v>
      </c>
      <c r="P409" s="1" t="e">
        <v>#N/A</v>
      </c>
      <c r="Q409" s="1">
        <v>85.6</v>
      </c>
      <c r="R409" s="78">
        <v>41107.517361111109</v>
      </c>
      <c r="S409" s="98">
        <v>1825.1790000000001</v>
      </c>
    </row>
    <row r="410" spans="1:19" x14ac:dyDescent="0.25">
      <c r="A410" s="1">
        <v>2012</v>
      </c>
      <c r="B410" s="77">
        <v>41109</v>
      </c>
      <c r="C410" s="1" t="s">
        <v>6</v>
      </c>
      <c r="D410" s="1" t="s">
        <v>8</v>
      </c>
      <c r="E410" s="1" t="s">
        <v>12</v>
      </c>
      <c r="F410" s="1" t="s">
        <v>11</v>
      </c>
      <c r="G410" s="1">
        <v>12.79</v>
      </c>
      <c r="H410" s="1">
        <v>11.61</v>
      </c>
      <c r="I410" s="78">
        <v>41108.727777777778</v>
      </c>
      <c r="J410" s="1">
        <v>9.86</v>
      </c>
      <c r="K410" s="1" t="e">
        <v>#N/A</v>
      </c>
      <c r="L410" s="1" t="e">
        <v>#N/A</v>
      </c>
      <c r="M410" s="1" t="e">
        <v>#N/A</v>
      </c>
      <c r="N410" s="1" t="e">
        <v>#N/A</v>
      </c>
      <c r="O410" s="1" t="e">
        <v>#N/A</v>
      </c>
      <c r="P410" s="1" t="e">
        <v>#N/A</v>
      </c>
      <c r="Q410" s="1">
        <v>78.819999999999993</v>
      </c>
      <c r="R410" s="78">
        <v>41108.565972222219</v>
      </c>
      <c r="S410" s="98">
        <v>1152.2460000000001</v>
      </c>
    </row>
    <row r="411" spans="1:19" x14ac:dyDescent="0.25">
      <c r="A411" s="1">
        <v>2012</v>
      </c>
      <c r="B411" s="77">
        <v>41110</v>
      </c>
      <c r="C411" s="1" t="s">
        <v>6</v>
      </c>
      <c r="D411" s="1" t="s">
        <v>8</v>
      </c>
      <c r="E411" s="1" t="s">
        <v>12</v>
      </c>
      <c r="F411" s="1" t="s">
        <v>11</v>
      </c>
      <c r="G411" s="1">
        <v>12.67</v>
      </c>
      <c r="H411" s="1">
        <v>16.46</v>
      </c>
      <c r="I411" s="78">
        <v>41109.566666666666</v>
      </c>
      <c r="J411" s="1">
        <v>10.77</v>
      </c>
      <c r="K411" s="1" t="e">
        <v>#N/A</v>
      </c>
      <c r="L411" s="1" t="e">
        <v>#N/A</v>
      </c>
      <c r="M411" s="1" t="e">
        <v>#N/A</v>
      </c>
      <c r="N411" s="1" t="e">
        <v>#N/A</v>
      </c>
      <c r="O411" s="1" t="e">
        <v>#N/A</v>
      </c>
      <c r="P411" s="1" t="e">
        <v>#N/A</v>
      </c>
      <c r="Q411" s="1">
        <v>473.2</v>
      </c>
      <c r="R411" s="78">
        <v>41109.552777777775</v>
      </c>
      <c r="S411" s="98">
        <v>2485.1080000000002</v>
      </c>
    </row>
    <row r="412" spans="1:19" x14ac:dyDescent="0.25">
      <c r="A412" s="1">
        <v>2012</v>
      </c>
      <c r="B412" s="77">
        <v>41111</v>
      </c>
      <c r="C412" s="1" t="s">
        <v>6</v>
      </c>
      <c r="D412" s="1" t="s">
        <v>8</v>
      </c>
      <c r="E412" s="1" t="s">
        <v>12</v>
      </c>
      <c r="F412" s="1" t="s">
        <v>11</v>
      </c>
      <c r="G412" s="1">
        <v>12.67</v>
      </c>
      <c r="H412" s="1">
        <v>17.010000000000002</v>
      </c>
      <c r="I412" s="78">
        <v>41110.539583333331</v>
      </c>
      <c r="J412" s="1">
        <v>10.67</v>
      </c>
      <c r="K412" s="1" t="e">
        <v>#N/A</v>
      </c>
      <c r="L412" s="1" t="e">
        <v>#N/A</v>
      </c>
      <c r="M412" s="1" t="e">
        <v>#N/A</v>
      </c>
      <c r="N412" s="1" t="e">
        <v>#N/A</v>
      </c>
      <c r="O412" s="1" t="e">
        <v>#N/A</v>
      </c>
      <c r="P412" s="1" t="e">
        <v>#N/A</v>
      </c>
      <c r="Q412" s="1">
        <v>297.60000000000002</v>
      </c>
      <c r="R412" s="78">
        <v>41110.427777777775</v>
      </c>
      <c r="S412" s="98">
        <v>2408.3519999999999</v>
      </c>
    </row>
    <row r="413" spans="1:19" x14ac:dyDescent="0.25">
      <c r="A413" s="1">
        <v>2012</v>
      </c>
      <c r="B413" s="77">
        <v>41112</v>
      </c>
      <c r="C413" s="1" t="s">
        <v>6</v>
      </c>
      <c r="D413" s="1" t="s">
        <v>8</v>
      </c>
      <c r="E413" s="1" t="s">
        <v>12</v>
      </c>
      <c r="F413" s="1" t="s">
        <v>11</v>
      </c>
      <c r="G413" s="1">
        <v>12.64</v>
      </c>
      <c r="H413" s="1">
        <v>10.7</v>
      </c>
      <c r="I413" s="78">
        <v>41111.901388888888</v>
      </c>
      <c r="J413" s="1">
        <v>7.34</v>
      </c>
      <c r="K413" s="1" t="e">
        <v>#N/A</v>
      </c>
      <c r="L413" s="1" t="e">
        <v>#N/A</v>
      </c>
      <c r="M413" s="1" t="e">
        <v>#N/A</v>
      </c>
      <c r="N413" s="1" t="e">
        <v>#N/A</v>
      </c>
      <c r="O413" s="1" t="e">
        <v>#N/A</v>
      </c>
      <c r="P413" s="1" t="e">
        <v>#N/A</v>
      </c>
      <c r="Q413" s="1">
        <v>105.8</v>
      </c>
      <c r="R413" s="78">
        <v>41111.884027777778</v>
      </c>
      <c r="S413" s="98">
        <v>1437.2449999999999</v>
      </c>
    </row>
    <row r="414" spans="1:19" x14ac:dyDescent="0.25">
      <c r="A414" s="1">
        <v>2012</v>
      </c>
      <c r="B414" s="77">
        <v>41113</v>
      </c>
      <c r="C414" s="1" t="s">
        <v>6</v>
      </c>
      <c r="D414" s="1" t="s">
        <v>8</v>
      </c>
      <c r="E414" s="1" t="s">
        <v>12</v>
      </c>
      <c r="F414" s="1" t="s">
        <v>11</v>
      </c>
      <c r="G414" s="1">
        <v>12.66</v>
      </c>
      <c r="H414" s="1">
        <v>22.95</v>
      </c>
      <c r="I414" s="78">
        <v>41112.658333333333</v>
      </c>
      <c r="J414" s="1">
        <v>13.18</v>
      </c>
      <c r="K414" s="1" t="e">
        <v>#N/A</v>
      </c>
      <c r="L414" s="1" t="e">
        <v>#N/A</v>
      </c>
      <c r="M414" s="1" t="e">
        <v>#N/A</v>
      </c>
      <c r="N414" s="1" t="e">
        <v>#N/A</v>
      </c>
      <c r="O414" s="1" t="e">
        <v>#N/A</v>
      </c>
      <c r="P414" s="1" t="e">
        <v>#N/A</v>
      </c>
      <c r="Q414" s="1">
        <v>589.5</v>
      </c>
      <c r="R414" s="78">
        <v>41112.609027777777</v>
      </c>
      <c r="S414" s="98">
        <v>2932.1489999999999</v>
      </c>
    </row>
    <row r="415" spans="1:19" x14ac:dyDescent="0.25">
      <c r="A415" s="1">
        <v>2012</v>
      </c>
      <c r="B415" s="77">
        <v>41114</v>
      </c>
      <c r="C415" s="1" t="s">
        <v>6</v>
      </c>
      <c r="D415" s="1" t="s">
        <v>8</v>
      </c>
      <c r="E415" s="1" t="s">
        <v>12</v>
      </c>
      <c r="F415" s="1" t="s">
        <v>11</v>
      </c>
      <c r="G415" s="1">
        <v>12.68</v>
      </c>
      <c r="H415" s="1">
        <v>24.98</v>
      </c>
      <c r="I415" s="78">
        <v>41113.674305555556</v>
      </c>
      <c r="J415" s="1">
        <v>15.06</v>
      </c>
      <c r="K415" s="1" t="e">
        <v>#N/A</v>
      </c>
      <c r="L415" s="1" t="e">
        <v>#N/A</v>
      </c>
      <c r="M415" s="1" t="e">
        <v>#N/A</v>
      </c>
      <c r="N415" s="1" t="e">
        <v>#N/A</v>
      </c>
      <c r="O415" s="1" t="e">
        <v>#N/A</v>
      </c>
      <c r="P415" s="1" t="e">
        <v>#N/A</v>
      </c>
      <c r="Q415" s="1">
        <v>538.9</v>
      </c>
      <c r="R415" s="78">
        <v>41113.720138888886</v>
      </c>
      <c r="S415" s="98">
        <v>2848.5549999999998</v>
      </c>
    </row>
    <row r="416" spans="1:19" x14ac:dyDescent="0.25">
      <c r="A416" s="1">
        <v>2012</v>
      </c>
      <c r="B416" s="77">
        <v>41115</v>
      </c>
      <c r="C416" s="1" t="s">
        <v>6</v>
      </c>
      <c r="D416" s="1" t="s">
        <v>8</v>
      </c>
      <c r="E416" s="1" t="s">
        <v>12</v>
      </c>
      <c r="F416" s="1" t="s">
        <v>11</v>
      </c>
      <c r="G416" s="1">
        <v>12.69</v>
      </c>
      <c r="H416" s="1">
        <v>18.25</v>
      </c>
      <c r="I416" s="78">
        <v>41114.518750000003</v>
      </c>
      <c r="J416" s="1">
        <v>13.55</v>
      </c>
      <c r="K416" s="1" t="e">
        <v>#N/A</v>
      </c>
      <c r="L416" s="1" t="e">
        <v>#N/A</v>
      </c>
      <c r="M416" s="1" t="e">
        <v>#N/A</v>
      </c>
      <c r="N416" s="1" t="e">
        <v>#N/A</v>
      </c>
      <c r="O416" s="1" t="e">
        <v>#N/A</v>
      </c>
      <c r="P416" s="1" t="e">
        <v>#N/A</v>
      </c>
      <c r="Q416" s="1">
        <v>189.1</v>
      </c>
      <c r="R416" s="78">
        <v>41114.442361111112</v>
      </c>
      <c r="S416" s="98">
        <v>2203.5459999999998</v>
      </c>
    </row>
    <row r="417" spans="1:19" x14ac:dyDescent="0.25">
      <c r="A417" s="1">
        <v>2012</v>
      </c>
      <c r="B417" s="77">
        <v>41116</v>
      </c>
      <c r="C417" s="1" t="s">
        <v>6</v>
      </c>
      <c r="D417" s="1" t="s">
        <v>8</v>
      </c>
      <c r="E417" s="1" t="s">
        <v>12</v>
      </c>
      <c r="F417" s="1" t="s">
        <v>11</v>
      </c>
      <c r="G417" s="1">
        <v>12.66</v>
      </c>
      <c r="H417" s="1">
        <v>21.72</v>
      </c>
      <c r="I417" s="78">
        <v>41115.669444444444</v>
      </c>
      <c r="J417" s="1">
        <v>13.89</v>
      </c>
      <c r="K417" s="1" t="e">
        <v>#N/A</v>
      </c>
      <c r="L417" s="1" t="e">
        <v>#N/A</v>
      </c>
      <c r="M417" s="1" t="e">
        <v>#N/A</v>
      </c>
      <c r="N417" s="1" t="e">
        <v>#N/A</v>
      </c>
      <c r="O417" s="1" t="e">
        <v>#N/A</v>
      </c>
      <c r="P417" s="1" t="e">
        <v>#N/A</v>
      </c>
      <c r="Q417" s="1">
        <v>237.3</v>
      </c>
      <c r="R417" s="78">
        <v>41115.660416666666</v>
      </c>
      <c r="S417" s="98">
        <v>2492.9050000000002</v>
      </c>
    </row>
    <row r="418" spans="1:19" x14ac:dyDescent="0.25">
      <c r="A418" s="1">
        <v>2012</v>
      </c>
      <c r="B418" s="77">
        <v>41117</v>
      </c>
      <c r="C418" s="1" t="s">
        <v>6</v>
      </c>
      <c r="D418" s="1" t="s">
        <v>8</v>
      </c>
      <c r="E418" s="1" t="s">
        <v>12</v>
      </c>
      <c r="F418" s="1" t="s">
        <v>11</v>
      </c>
      <c r="G418" s="1">
        <v>12.66</v>
      </c>
      <c r="H418" s="1">
        <v>24.48</v>
      </c>
      <c r="I418" s="78">
        <v>41116.62777777778</v>
      </c>
      <c r="J418" s="1">
        <v>15.32</v>
      </c>
      <c r="K418" s="1" t="e">
        <v>#N/A</v>
      </c>
      <c r="L418" s="1" t="e">
        <v>#N/A</v>
      </c>
      <c r="M418" s="1" t="e">
        <v>#N/A</v>
      </c>
      <c r="N418" s="1" t="e">
        <v>#N/A</v>
      </c>
      <c r="O418" s="1" t="e">
        <v>#N/A</v>
      </c>
      <c r="P418" s="1" t="e">
        <v>#N/A</v>
      </c>
      <c r="Q418" s="1">
        <v>301.10000000000002</v>
      </c>
      <c r="R418" s="78">
        <v>41116.553472222222</v>
      </c>
      <c r="S418" s="98">
        <v>2626.9349999999999</v>
      </c>
    </row>
    <row r="419" spans="1:19" x14ac:dyDescent="0.25">
      <c r="A419" s="1">
        <v>2012</v>
      </c>
      <c r="B419" s="77">
        <v>41118</v>
      </c>
      <c r="C419" s="1" t="s">
        <v>6</v>
      </c>
      <c r="D419" s="1" t="s">
        <v>8</v>
      </c>
      <c r="E419" s="1" t="s">
        <v>12</v>
      </c>
      <c r="F419" s="1" t="s">
        <v>11</v>
      </c>
      <c r="G419" s="1">
        <v>12.65</v>
      </c>
      <c r="H419" s="1">
        <v>21.64</v>
      </c>
      <c r="I419" s="78">
        <v>41117.631944444445</v>
      </c>
      <c r="J419" s="1">
        <v>14.94</v>
      </c>
      <c r="K419" s="1" t="e">
        <v>#N/A</v>
      </c>
      <c r="L419" s="1" t="e">
        <v>#N/A</v>
      </c>
      <c r="M419" s="1" t="e">
        <v>#N/A</v>
      </c>
      <c r="N419" s="1" t="e">
        <v>#N/A</v>
      </c>
      <c r="O419" s="1" t="e">
        <v>#N/A</v>
      </c>
      <c r="P419" s="1" t="e">
        <v>#N/A</v>
      </c>
      <c r="Q419" s="1">
        <v>327.39999999999998</v>
      </c>
      <c r="R419" s="78">
        <v>41117.724999999999</v>
      </c>
      <c r="S419" s="98">
        <v>1981.8779999999999</v>
      </c>
    </row>
    <row r="420" spans="1:19" x14ac:dyDescent="0.25">
      <c r="A420" s="1">
        <v>2012</v>
      </c>
      <c r="B420" s="77">
        <v>41119</v>
      </c>
      <c r="C420" s="1" t="s">
        <v>6</v>
      </c>
      <c r="D420" s="1" t="s">
        <v>8</v>
      </c>
      <c r="E420" s="1" t="s">
        <v>12</v>
      </c>
      <c r="F420" s="1" t="s">
        <v>11</v>
      </c>
      <c r="G420" s="1">
        <v>12.67</v>
      </c>
      <c r="H420" s="1">
        <v>20.260000000000002</v>
      </c>
      <c r="I420" s="78">
        <v>41118.620833333334</v>
      </c>
      <c r="J420" s="1">
        <v>14.46</v>
      </c>
      <c r="K420" s="1" t="e">
        <v>#N/A</v>
      </c>
      <c r="L420" s="1" t="e">
        <v>#N/A</v>
      </c>
      <c r="M420" s="1" t="e">
        <v>#N/A</v>
      </c>
      <c r="N420" s="1" t="e">
        <v>#N/A</v>
      </c>
      <c r="O420" s="1" t="e">
        <v>#N/A</v>
      </c>
      <c r="P420" s="1" t="e">
        <v>#N/A</v>
      </c>
      <c r="Q420" s="1">
        <v>221.3</v>
      </c>
      <c r="R420" s="78">
        <v>41118.564583333333</v>
      </c>
      <c r="S420" s="98">
        <v>1910.5070000000001</v>
      </c>
    </row>
    <row r="421" spans="1:19" x14ac:dyDescent="0.25">
      <c r="A421" s="1">
        <v>2012</v>
      </c>
      <c r="B421" s="77">
        <v>41120</v>
      </c>
      <c r="C421" s="1" t="s">
        <v>6</v>
      </c>
      <c r="D421" s="1" t="s">
        <v>8</v>
      </c>
      <c r="E421" s="1" t="s">
        <v>12</v>
      </c>
      <c r="F421" s="1" t="s">
        <v>11</v>
      </c>
      <c r="G421" s="1">
        <v>12.71</v>
      </c>
      <c r="H421" s="1">
        <v>24.54</v>
      </c>
      <c r="I421" s="78">
        <v>41119.560416666667</v>
      </c>
      <c r="J421" s="1">
        <v>17.899999999999999</v>
      </c>
      <c r="K421" s="1" t="e">
        <v>#N/A</v>
      </c>
      <c r="L421" s="1" t="e">
        <v>#N/A</v>
      </c>
      <c r="M421" s="1" t="e">
        <v>#N/A</v>
      </c>
      <c r="N421" s="1" t="e">
        <v>#N/A</v>
      </c>
      <c r="O421" s="1" t="e">
        <v>#N/A</v>
      </c>
      <c r="P421" s="1" t="e">
        <v>#N/A</v>
      </c>
      <c r="Q421" s="1">
        <v>271</v>
      </c>
      <c r="R421" s="78">
        <v>41119.447222222225</v>
      </c>
      <c r="S421" s="98">
        <v>1936.201</v>
      </c>
    </row>
    <row r="422" spans="1:19" x14ac:dyDescent="0.25">
      <c r="A422" s="1">
        <v>2012</v>
      </c>
      <c r="B422" s="77">
        <v>41121</v>
      </c>
      <c r="C422" s="1" t="s">
        <v>6</v>
      </c>
      <c r="D422" s="1" t="s">
        <v>8</v>
      </c>
      <c r="E422" s="1" t="s">
        <v>12</v>
      </c>
      <c r="F422" s="1" t="s">
        <v>11</v>
      </c>
      <c r="G422" s="1">
        <v>12.65</v>
      </c>
      <c r="H422" s="1">
        <v>22.53</v>
      </c>
      <c r="I422" s="78">
        <v>41120.71875</v>
      </c>
      <c r="J422" s="1">
        <v>14.82</v>
      </c>
      <c r="K422" s="1" t="e">
        <v>#N/A</v>
      </c>
      <c r="L422" s="1" t="e">
        <v>#N/A</v>
      </c>
      <c r="M422" s="1" t="e">
        <v>#N/A</v>
      </c>
      <c r="N422" s="1" t="e">
        <v>#N/A</v>
      </c>
      <c r="O422" s="1" t="e">
        <v>#N/A</v>
      </c>
      <c r="P422" s="1" t="e">
        <v>#N/A</v>
      </c>
      <c r="Q422" s="1">
        <v>225.4</v>
      </c>
      <c r="R422" s="78">
        <v>41120.443055555559</v>
      </c>
      <c r="S422" s="98">
        <v>1836.587</v>
      </c>
    </row>
    <row r="423" spans="1:19" x14ac:dyDescent="0.25">
      <c r="A423" s="1">
        <v>2012</v>
      </c>
      <c r="B423" s="77">
        <v>41122</v>
      </c>
      <c r="C423" s="1" t="s">
        <v>6</v>
      </c>
      <c r="D423" s="1" t="s">
        <v>8</v>
      </c>
      <c r="E423" s="1" t="s">
        <v>12</v>
      </c>
      <c r="F423" s="1" t="s">
        <v>11</v>
      </c>
      <c r="G423" s="1">
        <v>12.64</v>
      </c>
      <c r="H423" s="1">
        <v>17.72</v>
      </c>
      <c r="I423" s="78">
        <v>41121.697222222225</v>
      </c>
      <c r="J423" s="1">
        <v>11.08</v>
      </c>
      <c r="K423" s="1" t="e">
        <v>#N/A</v>
      </c>
      <c r="L423" s="1" t="e">
        <v>#N/A</v>
      </c>
      <c r="M423" s="1" t="e">
        <v>#N/A</v>
      </c>
      <c r="N423" s="1" t="e">
        <v>#N/A</v>
      </c>
      <c r="O423" s="1" t="e">
        <v>#N/A</v>
      </c>
      <c r="P423" s="1" t="e">
        <v>#N/A</v>
      </c>
      <c r="Q423" s="1">
        <v>484.5</v>
      </c>
      <c r="R423" s="78">
        <v>41121.669444444444</v>
      </c>
      <c r="S423" s="98">
        <v>1925.336</v>
      </c>
    </row>
    <row r="424" spans="1:19" x14ac:dyDescent="0.25">
      <c r="A424" s="1">
        <v>2012</v>
      </c>
      <c r="B424" s="77">
        <v>41123</v>
      </c>
      <c r="C424" s="1" t="s">
        <v>6</v>
      </c>
      <c r="D424" s="1" t="s">
        <v>8</v>
      </c>
      <c r="E424" s="1" t="s">
        <v>12</v>
      </c>
      <c r="F424" s="1" t="s">
        <v>11</v>
      </c>
      <c r="G424" s="1">
        <v>12.62</v>
      </c>
      <c r="H424" s="1">
        <v>18.28</v>
      </c>
      <c r="I424" s="78">
        <v>41122.671527777777</v>
      </c>
      <c r="J424" s="1">
        <v>11.66</v>
      </c>
      <c r="K424" s="1" t="e">
        <v>#N/A</v>
      </c>
      <c r="L424" s="1" t="e">
        <v>#N/A</v>
      </c>
      <c r="M424" s="1" t="e">
        <v>#N/A</v>
      </c>
      <c r="N424" s="1" t="e">
        <v>#N/A</v>
      </c>
      <c r="O424" s="1" t="e">
        <v>#N/A</v>
      </c>
      <c r="P424" s="1" t="e">
        <v>#N/A</v>
      </c>
      <c r="Q424" s="1">
        <v>132</v>
      </c>
      <c r="R424" s="78">
        <v>41122.398611111108</v>
      </c>
      <c r="S424" s="98">
        <v>1915.9069999999999</v>
      </c>
    </row>
    <row r="425" spans="1:19" x14ac:dyDescent="0.25">
      <c r="A425" s="1">
        <v>2012</v>
      </c>
      <c r="B425" s="77">
        <v>41124</v>
      </c>
      <c r="C425" s="1" t="s">
        <v>6</v>
      </c>
      <c r="D425" s="1" t="s">
        <v>8</v>
      </c>
      <c r="E425" s="1" t="s">
        <v>12</v>
      </c>
      <c r="F425" s="1" t="s">
        <v>11</v>
      </c>
      <c r="G425" s="1">
        <v>12.64</v>
      </c>
      <c r="H425" s="1">
        <v>16.690000000000001</v>
      </c>
      <c r="I425" s="78">
        <v>41123.561805555553</v>
      </c>
      <c r="J425" s="1">
        <v>10.91</v>
      </c>
      <c r="K425" s="1" t="e">
        <v>#N/A</v>
      </c>
      <c r="L425" s="1" t="e">
        <v>#N/A</v>
      </c>
      <c r="M425" s="1" t="e">
        <v>#N/A</v>
      </c>
      <c r="N425" s="1" t="e">
        <v>#N/A</v>
      </c>
      <c r="O425" s="1" t="e">
        <v>#N/A</v>
      </c>
      <c r="P425" s="1" t="e">
        <v>#N/A</v>
      </c>
      <c r="Q425" s="1">
        <v>67.989999999999995</v>
      </c>
      <c r="R425" s="78">
        <v>41123.497916666667</v>
      </c>
      <c r="S425" s="98">
        <v>1292.473</v>
      </c>
    </row>
    <row r="426" spans="1:19" x14ac:dyDescent="0.25">
      <c r="A426" s="1">
        <v>2012</v>
      </c>
      <c r="B426" s="77">
        <v>41125</v>
      </c>
      <c r="C426" s="1" t="s">
        <v>6</v>
      </c>
      <c r="D426" s="1" t="s">
        <v>8</v>
      </c>
      <c r="E426" s="1" t="s">
        <v>12</v>
      </c>
      <c r="F426" s="1" t="s">
        <v>11</v>
      </c>
      <c r="G426" s="1">
        <v>12.64</v>
      </c>
      <c r="H426" s="1">
        <v>12.53</v>
      </c>
      <c r="I426" s="78">
        <v>41124.707638888889</v>
      </c>
      <c r="J426" s="1">
        <v>9.5500000000000007</v>
      </c>
      <c r="K426" s="1" t="e">
        <v>#N/A</v>
      </c>
      <c r="L426" s="1" t="e">
        <v>#N/A</v>
      </c>
      <c r="M426" s="1" t="e">
        <v>#N/A</v>
      </c>
      <c r="N426" s="1" t="e">
        <v>#N/A</v>
      </c>
      <c r="O426" s="1" t="e">
        <v>#N/A</v>
      </c>
      <c r="P426" s="1" t="e">
        <v>#N/A</v>
      </c>
      <c r="Q426" s="1">
        <v>74.78</v>
      </c>
      <c r="R426" s="78">
        <v>41124.581250000003</v>
      </c>
      <c r="S426" s="98">
        <v>1126.337</v>
      </c>
    </row>
    <row r="427" spans="1:19" x14ac:dyDescent="0.25">
      <c r="A427" s="1">
        <v>2012</v>
      </c>
      <c r="B427" s="77">
        <v>41126</v>
      </c>
      <c r="C427" s="1" t="s">
        <v>6</v>
      </c>
      <c r="D427" s="1" t="s">
        <v>8</v>
      </c>
      <c r="E427" s="1" t="s">
        <v>12</v>
      </c>
      <c r="F427" s="1" t="s">
        <v>11</v>
      </c>
      <c r="G427" s="1">
        <v>12.62</v>
      </c>
      <c r="H427" s="1">
        <v>13.73</v>
      </c>
      <c r="I427" s="78">
        <v>41125.626388888886</v>
      </c>
      <c r="J427" s="1">
        <v>8.92</v>
      </c>
      <c r="K427" s="1" t="e">
        <v>#N/A</v>
      </c>
      <c r="L427" s="1" t="e">
        <v>#N/A</v>
      </c>
      <c r="M427" s="1" t="e">
        <v>#N/A</v>
      </c>
      <c r="N427" s="1" t="e">
        <v>#N/A</v>
      </c>
      <c r="O427" s="1" t="e">
        <v>#N/A</v>
      </c>
      <c r="P427" s="1" t="e">
        <v>#N/A</v>
      </c>
      <c r="Q427" s="1">
        <v>78.13</v>
      </c>
      <c r="R427" s="78">
        <v>41125.578472222223</v>
      </c>
      <c r="S427" s="98">
        <v>1281.8810000000001</v>
      </c>
    </row>
    <row r="428" spans="1:19" x14ac:dyDescent="0.25">
      <c r="A428" s="1">
        <v>2012</v>
      </c>
      <c r="B428" s="77">
        <v>41127</v>
      </c>
      <c r="C428" s="1" t="s">
        <v>6</v>
      </c>
      <c r="D428" s="1" t="s">
        <v>8</v>
      </c>
      <c r="E428" s="1" t="s">
        <v>12</v>
      </c>
      <c r="F428" s="1" t="s">
        <v>11</v>
      </c>
      <c r="G428" s="1">
        <v>12.61</v>
      </c>
      <c r="H428" s="1">
        <v>18.170000000000002</v>
      </c>
      <c r="I428" s="78">
        <v>41126.642361111109</v>
      </c>
      <c r="J428" s="1">
        <v>10.14</v>
      </c>
      <c r="K428" s="1" t="e">
        <v>#N/A</v>
      </c>
      <c r="L428" s="1" t="e">
        <v>#N/A</v>
      </c>
      <c r="M428" s="1" t="e">
        <v>#N/A</v>
      </c>
      <c r="N428" s="1" t="e">
        <v>#N/A</v>
      </c>
      <c r="O428" s="1" t="e">
        <v>#N/A</v>
      </c>
      <c r="P428" s="1" t="e">
        <v>#N/A</v>
      </c>
      <c r="Q428" s="1">
        <v>338.9</v>
      </c>
      <c r="R428" s="78">
        <v>41126.426388888889</v>
      </c>
      <c r="S428" s="98">
        <v>1984.9359999999999</v>
      </c>
    </row>
    <row r="429" spans="1:19" x14ac:dyDescent="0.25">
      <c r="A429" s="1">
        <v>2012</v>
      </c>
      <c r="B429" s="77">
        <v>41128</v>
      </c>
      <c r="C429" s="1" t="s">
        <v>6</v>
      </c>
      <c r="D429" s="1" t="s">
        <v>8</v>
      </c>
      <c r="E429" s="1" t="s">
        <v>12</v>
      </c>
      <c r="F429" s="1" t="s">
        <v>11</v>
      </c>
      <c r="G429" s="1">
        <v>12.59</v>
      </c>
      <c r="H429" s="1">
        <v>9.7899999999999991</v>
      </c>
      <c r="I429" s="78">
        <v>41127.447222222225</v>
      </c>
      <c r="J429" s="1">
        <v>5.6289999999999996</v>
      </c>
      <c r="K429" s="1" t="e">
        <v>#N/A</v>
      </c>
      <c r="L429" s="1" t="e">
        <v>#N/A</v>
      </c>
      <c r="M429" s="1" t="e">
        <v>#N/A</v>
      </c>
      <c r="N429" s="1" t="e">
        <v>#N/A</v>
      </c>
      <c r="O429" s="1" t="e">
        <v>#N/A</v>
      </c>
      <c r="P429" s="1" t="e">
        <v>#N/A</v>
      </c>
      <c r="Q429" s="1">
        <v>43.81</v>
      </c>
      <c r="R429" s="78">
        <v>41127.39166666667</v>
      </c>
      <c r="S429" s="98">
        <v>638.71460000000002</v>
      </c>
    </row>
    <row r="430" spans="1:19" x14ac:dyDescent="0.25">
      <c r="A430" s="1">
        <v>2012</v>
      </c>
      <c r="B430" s="77">
        <v>41129</v>
      </c>
      <c r="C430" s="1" t="s">
        <v>6</v>
      </c>
      <c r="D430" s="1" t="s">
        <v>8</v>
      </c>
      <c r="E430" s="1" t="s">
        <v>12</v>
      </c>
      <c r="F430" s="1" t="s">
        <v>11</v>
      </c>
      <c r="G430" s="1">
        <v>12.56</v>
      </c>
      <c r="H430" s="1">
        <v>12.93</v>
      </c>
      <c r="I430" s="78">
        <v>41128.730555555558</v>
      </c>
      <c r="J430" s="1">
        <v>5.0620000000000003</v>
      </c>
      <c r="K430" s="1" t="e">
        <v>#N/A</v>
      </c>
      <c r="L430" s="1" t="e">
        <v>#N/A</v>
      </c>
      <c r="M430" s="1" t="e">
        <v>#N/A</v>
      </c>
      <c r="N430" s="1" t="e">
        <v>#N/A</v>
      </c>
      <c r="O430" s="1" t="e">
        <v>#N/A</v>
      </c>
      <c r="P430" s="1" t="e">
        <v>#N/A</v>
      </c>
      <c r="Q430" s="1">
        <v>363.8</v>
      </c>
      <c r="R430" s="78">
        <v>41128.640277777777</v>
      </c>
      <c r="S430" s="98">
        <v>1968.7090000000001</v>
      </c>
    </row>
    <row r="431" spans="1:19" x14ac:dyDescent="0.25">
      <c r="A431" s="1">
        <v>2012</v>
      </c>
      <c r="B431" s="77">
        <v>41130</v>
      </c>
      <c r="C431" s="1" t="s">
        <v>6</v>
      </c>
      <c r="D431" s="1" t="s">
        <v>8</v>
      </c>
      <c r="E431" s="1" t="s">
        <v>12</v>
      </c>
      <c r="F431" s="1" t="s">
        <v>11</v>
      </c>
      <c r="G431" s="1">
        <v>12.67</v>
      </c>
      <c r="H431" s="1">
        <v>13.07</v>
      </c>
      <c r="I431" s="78">
        <v>41129.605555555558</v>
      </c>
      <c r="J431" s="1">
        <v>6.8879999999999999</v>
      </c>
      <c r="K431" s="1" t="e">
        <v>#N/A</v>
      </c>
      <c r="L431" s="1" t="e">
        <v>#N/A</v>
      </c>
      <c r="M431" s="1" t="e">
        <v>#N/A</v>
      </c>
      <c r="N431" s="1" t="e">
        <v>#N/A</v>
      </c>
      <c r="O431" s="1" t="e">
        <v>#N/A</v>
      </c>
      <c r="P431" s="1" t="e">
        <v>#N/A</v>
      </c>
      <c r="Q431" s="1">
        <v>87</v>
      </c>
      <c r="R431" s="78">
        <v>41129.436805555553</v>
      </c>
      <c r="S431" s="98">
        <v>1862.587</v>
      </c>
    </row>
    <row r="432" spans="1:19" x14ac:dyDescent="0.25">
      <c r="A432" s="1">
        <v>2012</v>
      </c>
      <c r="B432" s="77">
        <v>41131</v>
      </c>
      <c r="C432" s="1" t="s">
        <v>6</v>
      </c>
      <c r="D432" s="1" t="s">
        <v>8</v>
      </c>
      <c r="E432" s="1" t="s">
        <v>12</v>
      </c>
      <c r="F432" s="1" t="s">
        <v>11</v>
      </c>
      <c r="G432" s="1">
        <v>12.64</v>
      </c>
      <c r="H432" s="1">
        <v>18.66</v>
      </c>
      <c r="I432" s="78">
        <v>41130.689583333333</v>
      </c>
      <c r="J432" s="1">
        <v>9.9</v>
      </c>
      <c r="K432" s="1" t="e">
        <v>#N/A</v>
      </c>
      <c r="L432" s="1" t="e">
        <v>#N/A</v>
      </c>
      <c r="M432" s="1" t="e">
        <v>#N/A</v>
      </c>
      <c r="N432" s="1" t="e">
        <v>#N/A</v>
      </c>
      <c r="O432" s="1" t="e">
        <v>#N/A</v>
      </c>
      <c r="P432" s="1" t="e">
        <v>#N/A</v>
      </c>
      <c r="Q432" s="1">
        <v>167.6</v>
      </c>
      <c r="R432" s="78">
        <v>41130.480555555558</v>
      </c>
      <c r="S432" s="98">
        <v>2238.857</v>
      </c>
    </row>
    <row r="433" spans="1:19" x14ac:dyDescent="0.25">
      <c r="A433" s="1">
        <v>2012</v>
      </c>
      <c r="B433" s="77">
        <v>41132</v>
      </c>
      <c r="C433" s="1" t="s">
        <v>6</v>
      </c>
      <c r="D433" s="1" t="s">
        <v>8</v>
      </c>
      <c r="E433" s="1" t="s">
        <v>12</v>
      </c>
      <c r="F433" s="1" t="s">
        <v>11</v>
      </c>
      <c r="G433" s="1">
        <v>12.62</v>
      </c>
      <c r="H433" s="1">
        <v>11.38</v>
      </c>
      <c r="I433" s="78">
        <v>41131.772222222222</v>
      </c>
      <c r="J433" s="1">
        <v>7.742</v>
      </c>
      <c r="K433" s="1" t="e">
        <v>#N/A</v>
      </c>
      <c r="L433" s="1" t="e">
        <v>#N/A</v>
      </c>
      <c r="M433" s="1" t="e">
        <v>#N/A</v>
      </c>
      <c r="N433" s="1" t="e">
        <v>#N/A</v>
      </c>
      <c r="O433" s="1" t="e">
        <v>#N/A</v>
      </c>
      <c r="P433" s="1" t="e">
        <v>#N/A</v>
      </c>
      <c r="Q433" s="1">
        <v>59.99</v>
      </c>
      <c r="R433" s="78">
        <v>41131.518055555556</v>
      </c>
      <c r="S433" s="98">
        <v>965.03660000000002</v>
      </c>
    </row>
    <row r="434" spans="1:19" x14ac:dyDescent="0.25">
      <c r="A434" s="1">
        <v>2012</v>
      </c>
      <c r="B434" s="77">
        <v>41133</v>
      </c>
      <c r="C434" s="1" t="s">
        <v>6</v>
      </c>
      <c r="D434" s="1" t="s">
        <v>8</v>
      </c>
      <c r="E434" s="1" t="s">
        <v>12</v>
      </c>
      <c r="F434" s="1" t="s">
        <v>11</v>
      </c>
      <c r="G434" s="1">
        <v>12.61</v>
      </c>
      <c r="H434" s="1">
        <v>14.37</v>
      </c>
      <c r="I434" s="78">
        <v>41132.634027777778</v>
      </c>
      <c r="J434" s="1">
        <v>8.48</v>
      </c>
      <c r="K434" s="1" t="e">
        <v>#N/A</v>
      </c>
      <c r="L434" s="1" t="e">
        <v>#N/A</v>
      </c>
      <c r="M434" s="1" t="e">
        <v>#N/A</v>
      </c>
      <c r="N434" s="1" t="e">
        <v>#N/A</v>
      </c>
      <c r="O434" s="1" t="e">
        <v>#N/A</v>
      </c>
      <c r="P434" s="1" t="e">
        <v>#N/A</v>
      </c>
      <c r="Q434" s="1">
        <v>66.650000000000006</v>
      </c>
      <c r="R434" s="78">
        <v>41132.624305555553</v>
      </c>
      <c r="S434" s="98">
        <v>1499.972</v>
      </c>
    </row>
    <row r="435" spans="1:19" x14ac:dyDescent="0.25">
      <c r="A435" s="1">
        <v>2012</v>
      </c>
      <c r="B435" s="77">
        <v>41134</v>
      </c>
      <c r="C435" s="1" t="s">
        <v>6</v>
      </c>
      <c r="D435" s="1" t="s">
        <v>8</v>
      </c>
      <c r="E435" s="1" t="s">
        <v>12</v>
      </c>
      <c r="F435" s="1" t="s">
        <v>11</v>
      </c>
      <c r="G435" s="1">
        <v>12.62</v>
      </c>
      <c r="H435" s="1">
        <v>19.55</v>
      </c>
      <c r="I435" s="78">
        <v>41133.645138888889</v>
      </c>
      <c r="J435" s="1">
        <v>10.27</v>
      </c>
      <c r="K435" s="1" t="e">
        <v>#N/A</v>
      </c>
      <c r="L435" s="1" t="e">
        <v>#N/A</v>
      </c>
      <c r="M435" s="1" t="e">
        <v>#N/A</v>
      </c>
      <c r="N435" s="1" t="e">
        <v>#N/A</v>
      </c>
      <c r="O435" s="1" t="e">
        <v>#N/A</v>
      </c>
      <c r="P435" s="1" t="e">
        <v>#N/A</v>
      </c>
      <c r="Q435" s="1">
        <v>569.9</v>
      </c>
      <c r="R435" s="78">
        <v>41133.563888888886</v>
      </c>
      <c r="S435" s="98">
        <v>2170.9050000000002</v>
      </c>
    </row>
    <row r="436" spans="1:19" x14ac:dyDescent="0.25">
      <c r="A436" s="1">
        <v>2012</v>
      </c>
      <c r="B436" s="77">
        <v>41135</v>
      </c>
      <c r="C436" s="1" t="s">
        <v>6</v>
      </c>
      <c r="D436" s="1" t="s">
        <v>8</v>
      </c>
      <c r="E436" s="1" t="s">
        <v>12</v>
      </c>
      <c r="F436" s="1" t="s">
        <v>11</v>
      </c>
      <c r="G436" s="1">
        <v>12.59</v>
      </c>
      <c r="H436" s="1">
        <v>22.75</v>
      </c>
      <c r="I436" s="78">
        <v>41134.674305555556</v>
      </c>
      <c r="J436" s="1">
        <v>11.86</v>
      </c>
      <c r="K436" s="1" t="e">
        <v>#N/A</v>
      </c>
      <c r="L436" s="1" t="e">
        <v>#N/A</v>
      </c>
      <c r="M436" s="1" t="e">
        <v>#N/A</v>
      </c>
      <c r="N436" s="1" t="e">
        <v>#N/A</v>
      </c>
      <c r="O436" s="1" t="e">
        <v>#N/A</v>
      </c>
      <c r="P436" s="1" t="e">
        <v>#N/A</v>
      </c>
      <c r="Q436" s="1">
        <v>333.6</v>
      </c>
      <c r="R436" s="78">
        <v>41134.496527777781</v>
      </c>
      <c r="S436" s="98">
        <v>1745.9559999999999</v>
      </c>
    </row>
  </sheetData>
  <sortState ref="A2:S436">
    <sortCondition ref="K2:K436"/>
    <sortCondition ref="D2:D436"/>
    <sortCondition ref="B2:B436"/>
    <sortCondition ref="E2:E43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638"/>
  <sheetViews>
    <sheetView topLeftCell="A539" zoomScale="96" zoomScaleNormal="96" workbookViewId="0">
      <selection activeCell="B587" sqref="B587"/>
    </sheetView>
  </sheetViews>
  <sheetFormatPr defaultRowHeight="12.75" x14ac:dyDescent="0.2"/>
  <cols>
    <col min="1" max="1" width="9.140625" style="88"/>
    <col min="2" max="2" width="26.5703125" style="88" customWidth="1"/>
    <col min="3" max="3" width="51.85546875" style="88" customWidth="1"/>
    <col min="4" max="4" width="11.7109375" style="88" customWidth="1"/>
    <col min="5" max="5" width="13.85546875" style="88" customWidth="1"/>
    <col min="6" max="257" width="9.140625" style="88"/>
    <col min="258" max="258" width="26.5703125" style="88" customWidth="1"/>
    <col min="259" max="259" width="51.85546875" style="88" customWidth="1"/>
    <col min="260" max="260" width="11.7109375" style="88" customWidth="1"/>
    <col min="261" max="261" width="13.85546875" style="88" customWidth="1"/>
    <col min="262" max="513" width="9.140625" style="88"/>
    <col min="514" max="514" width="26.5703125" style="88" customWidth="1"/>
    <col min="515" max="515" width="51.85546875" style="88" customWidth="1"/>
    <col min="516" max="516" width="11.7109375" style="88" customWidth="1"/>
    <col min="517" max="517" width="13.85546875" style="88" customWidth="1"/>
    <col min="518" max="769" width="9.140625" style="88"/>
    <col min="770" max="770" width="26.5703125" style="88" customWidth="1"/>
    <col min="771" max="771" width="51.85546875" style="88" customWidth="1"/>
    <col min="772" max="772" width="11.7109375" style="88" customWidth="1"/>
    <col min="773" max="773" width="13.85546875" style="88" customWidth="1"/>
    <col min="774" max="1025" width="9.140625" style="88"/>
    <col min="1026" max="1026" width="26.5703125" style="88" customWidth="1"/>
    <col min="1027" max="1027" width="51.85546875" style="88" customWidth="1"/>
    <col min="1028" max="1028" width="11.7109375" style="88" customWidth="1"/>
    <col min="1029" max="1029" width="13.85546875" style="88" customWidth="1"/>
    <col min="1030" max="1281" width="9.140625" style="88"/>
    <col min="1282" max="1282" width="26.5703125" style="88" customWidth="1"/>
    <col min="1283" max="1283" width="51.85546875" style="88" customWidth="1"/>
    <col min="1284" max="1284" width="11.7109375" style="88" customWidth="1"/>
    <col min="1285" max="1285" width="13.85546875" style="88" customWidth="1"/>
    <col min="1286" max="1537" width="9.140625" style="88"/>
    <col min="1538" max="1538" width="26.5703125" style="88" customWidth="1"/>
    <col min="1539" max="1539" width="51.85546875" style="88" customWidth="1"/>
    <col min="1540" max="1540" width="11.7109375" style="88" customWidth="1"/>
    <col min="1541" max="1541" width="13.85546875" style="88" customWidth="1"/>
    <col min="1542" max="1793" width="9.140625" style="88"/>
    <col min="1794" max="1794" width="26.5703125" style="88" customWidth="1"/>
    <col min="1795" max="1795" width="51.85546875" style="88" customWidth="1"/>
    <col min="1796" max="1796" width="11.7109375" style="88" customWidth="1"/>
    <col min="1797" max="1797" width="13.85546875" style="88" customWidth="1"/>
    <col min="1798" max="2049" width="9.140625" style="88"/>
    <col min="2050" max="2050" width="26.5703125" style="88" customWidth="1"/>
    <col min="2051" max="2051" width="51.85546875" style="88" customWidth="1"/>
    <col min="2052" max="2052" width="11.7109375" style="88" customWidth="1"/>
    <col min="2053" max="2053" width="13.85546875" style="88" customWidth="1"/>
    <col min="2054" max="2305" width="9.140625" style="88"/>
    <col min="2306" max="2306" width="26.5703125" style="88" customWidth="1"/>
    <col min="2307" max="2307" width="51.85546875" style="88" customWidth="1"/>
    <col min="2308" max="2308" width="11.7109375" style="88" customWidth="1"/>
    <col min="2309" max="2309" width="13.85546875" style="88" customWidth="1"/>
    <col min="2310" max="2561" width="9.140625" style="88"/>
    <col min="2562" max="2562" width="26.5703125" style="88" customWidth="1"/>
    <col min="2563" max="2563" width="51.85546875" style="88" customWidth="1"/>
    <col min="2564" max="2564" width="11.7109375" style="88" customWidth="1"/>
    <col min="2565" max="2565" width="13.85546875" style="88" customWidth="1"/>
    <col min="2566" max="2817" width="9.140625" style="88"/>
    <col min="2818" max="2818" width="26.5703125" style="88" customWidth="1"/>
    <col min="2819" max="2819" width="51.85546875" style="88" customWidth="1"/>
    <col min="2820" max="2820" width="11.7109375" style="88" customWidth="1"/>
    <col min="2821" max="2821" width="13.85546875" style="88" customWidth="1"/>
    <col min="2822" max="3073" width="9.140625" style="88"/>
    <col min="3074" max="3074" width="26.5703125" style="88" customWidth="1"/>
    <col min="3075" max="3075" width="51.85546875" style="88" customWidth="1"/>
    <col min="3076" max="3076" width="11.7109375" style="88" customWidth="1"/>
    <col min="3077" max="3077" width="13.85546875" style="88" customWidth="1"/>
    <col min="3078" max="3329" width="9.140625" style="88"/>
    <col min="3330" max="3330" width="26.5703125" style="88" customWidth="1"/>
    <col min="3331" max="3331" width="51.85546875" style="88" customWidth="1"/>
    <col min="3332" max="3332" width="11.7109375" style="88" customWidth="1"/>
    <col min="3333" max="3333" width="13.85546875" style="88" customWidth="1"/>
    <col min="3334" max="3585" width="9.140625" style="88"/>
    <col min="3586" max="3586" width="26.5703125" style="88" customWidth="1"/>
    <col min="3587" max="3587" width="51.85546875" style="88" customWidth="1"/>
    <col min="3588" max="3588" width="11.7109375" style="88" customWidth="1"/>
    <col min="3589" max="3589" width="13.85546875" style="88" customWidth="1"/>
    <col min="3590" max="3841" width="9.140625" style="88"/>
    <col min="3842" max="3842" width="26.5703125" style="88" customWidth="1"/>
    <col min="3843" max="3843" width="51.85546875" style="88" customWidth="1"/>
    <col min="3844" max="3844" width="11.7109375" style="88" customWidth="1"/>
    <col min="3845" max="3845" width="13.85546875" style="88" customWidth="1"/>
    <col min="3846" max="4097" width="9.140625" style="88"/>
    <col min="4098" max="4098" width="26.5703125" style="88" customWidth="1"/>
    <col min="4099" max="4099" width="51.85546875" style="88" customWidth="1"/>
    <col min="4100" max="4100" width="11.7109375" style="88" customWidth="1"/>
    <col min="4101" max="4101" width="13.85546875" style="88" customWidth="1"/>
    <col min="4102" max="4353" width="9.140625" style="88"/>
    <col min="4354" max="4354" width="26.5703125" style="88" customWidth="1"/>
    <col min="4355" max="4355" width="51.85546875" style="88" customWidth="1"/>
    <col min="4356" max="4356" width="11.7109375" style="88" customWidth="1"/>
    <col min="4357" max="4357" width="13.85546875" style="88" customWidth="1"/>
    <col min="4358" max="4609" width="9.140625" style="88"/>
    <col min="4610" max="4610" width="26.5703125" style="88" customWidth="1"/>
    <col min="4611" max="4611" width="51.85546875" style="88" customWidth="1"/>
    <col min="4612" max="4612" width="11.7109375" style="88" customWidth="1"/>
    <col min="4613" max="4613" width="13.85546875" style="88" customWidth="1"/>
    <col min="4614" max="4865" width="9.140625" style="88"/>
    <col min="4866" max="4866" width="26.5703125" style="88" customWidth="1"/>
    <col min="4867" max="4867" width="51.85546875" style="88" customWidth="1"/>
    <col min="4868" max="4868" width="11.7109375" style="88" customWidth="1"/>
    <col min="4869" max="4869" width="13.85546875" style="88" customWidth="1"/>
    <col min="4870" max="5121" width="9.140625" style="88"/>
    <col min="5122" max="5122" width="26.5703125" style="88" customWidth="1"/>
    <col min="5123" max="5123" width="51.85546875" style="88" customWidth="1"/>
    <col min="5124" max="5124" width="11.7109375" style="88" customWidth="1"/>
    <col min="5125" max="5125" width="13.85546875" style="88" customWidth="1"/>
    <col min="5126" max="5377" width="9.140625" style="88"/>
    <col min="5378" max="5378" width="26.5703125" style="88" customWidth="1"/>
    <col min="5379" max="5379" width="51.85546875" style="88" customWidth="1"/>
    <col min="5380" max="5380" width="11.7109375" style="88" customWidth="1"/>
    <col min="5381" max="5381" width="13.85546875" style="88" customWidth="1"/>
    <col min="5382" max="5633" width="9.140625" style="88"/>
    <col min="5634" max="5634" width="26.5703125" style="88" customWidth="1"/>
    <col min="5635" max="5635" width="51.85546875" style="88" customWidth="1"/>
    <col min="5636" max="5636" width="11.7109375" style="88" customWidth="1"/>
    <col min="5637" max="5637" width="13.85546875" style="88" customWidth="1"/>
    <col min="5638" max="5889" width="9.140625" style="88"/>
    <col min="5890" max="5890" width="26.5703125" style="88" customWidth="1"/>
    <col min="5891" max="5891" width="51.85546875" style="88" customWidth="1"/>
    <col min="5892" max="5892" width="11.7109375" style="88" customWidth="1"/>
    <col min="5893" max="5893" width="13.85546875" style="88" customWidth="1"/>
    <col min="5894" max="6145" width="9.140625" style="88"/>
    <col min="6146" max="6146" width="26.5703125" style="88" customWidth="1"/>
    <col min="6147" max="6147" width="51.85546875" style="88" customWidth="1"/>
    <col min="6148" max="6148" width="11.7109375" style="88" customWidth="1"/>
    <col min="6149" max="6149" width="13.85546875" style="88" customWidth="1"/>
    <col min="6150" max="6401" width="9.140625" style="88"/>
    <col min="6402" max="6402" width="26.5703125" style="88" customWidth="1"/>
    <col min="6403" max="6403" width="51.85546875" style="88" customWidth="1"/>
    <col min="6404" max="6404" width="11.7109375" style="88" customWidth="1"/>
    <col min="6405" max="6405" width="13.85546875" style="88" customWidth="1"/>
    <col min="6406" max="6657" width="9.140625" style="88"/>
    <col min="6658" max="6658" width="26.5703125" style="88" customWidth="1"/>
    <col min="6659" max="6659" width="51.85546875" style="88" customWidth="1"/>
    <col min="6660" max="6660" width="11.7109375" style="88" customWidth="1"/>
    <col min="6661" max="6661" width="13.85546875" style="88" customWidth="1"/>
    <col min="6662" max="6913" width="9.140625" style="88"/>
    <col min="6914" max="6914" width="26.5703125" style="88" customWidth="1"/>
    <col min="6915" max="6915" width="51.85546875" style="88" customWidth="1"/>
    <col min="6916" max="6916" width="11.7109375" style="88" customWidth="1"/>
    <col min="6917" max="6917" width="13.85546875" style="88" customWidth="1"/>
    <col min="6918" max="7169" width="9.140625" style="88"/>
    <col min="7170" max="7170" width="26.5703125" style="88" customWidth="1"/>
    <col min="7171" max="7171" width="51.85546875" style="88" customWidth="1"/>
    <col min="7172" max="7172" width="11.7109375" style="88" customWidth="1"/>
    <col min="7173" max="7173" width="13.85546875" style="88" customWidth="1"/>
    <col min="7174" max="7425" width="9.140625" style="88"/>
    <col min="7426" max="7426" width="26.5703125" style="88" customWidth="1"/>
    <col min="7427" max="7427" width="51.85546875" style="88" customWidth="1"/>
    <col min="7428" max="7428" width="11.7109375" style="88" customWidth="1"/>
    <col min="7429" max="7429" width="13.85546875" style="88" customWidth="1"/>
    <col min="7430" max="7681" width="9.140625" style="88"/>
    <col min="7682" max="7682" width="26.5703125" style="88" customWidth="1"/>
    <col min="7683" max="7683" width="51.85546875" style="88" customWidth="1"/>
    <col min="7684" max="7684" width="11.7109375" style="88" customWidth="1"/>
    <col min="7685" max="7685" width="13.85546875" style="88" customWidth="1"/>
    <col min="7686" max="7937" width="9.140625" style="88"/>
    <col min="7938" max="7938" width="26.5703125" style="88" customWidth="1"/>
    <col min="7939" max="7939" width="51.85546875" style="88" customWidth="1"/>
    <col min="7940" max="7940" width="11.7109375" style="88" customWidth="1"/>
    <col min="7941" max="7941" width="13.85546875" style="88" customWidth="1"/>
    <col min="7942" max="8193" width="9.140625" style="88"/>
    <col min="8194" max="8194" width="26.5703125" style="88" customWidth="1"/>
    <col min="8195" max="8195" width="51.85546875" style="88" customWidth="1"/>
    <col min="8196" max="8196" width="11.7109375" style="88" customWidth="1"/>
    <col min="8197" max="8197" width="13.85546875" style="88" customWidth="1"/>
    <col min="8198" max="8449" width="9.140625" style="88"/>
    <col min="8450" max="8450" width="26.5703125" style="88" customWidth="1"/>
    <col min="8451" max="8451" width="51.85546875" style="88" customWidth="1"/>
    <col min="8452" max="8452" width="11.7109375" style="88" customWidth="1"/>
    <col min="8453" max="8453" width="13.85546875" style="88" customWidth="1"/>
    <col min="8454" max="8705" width="9.140625" style="88"/>
    <col min="8706" max="8706" width="26.5703125" style="88" customWidth="1"/>
    <col min="8707" max="8707" width="51.85546875" style="88" customWidth="1"/>
    <col min="8708" max="8708" width="11.7109375" style="88" customWidth="1"/>
    <col min="8709" max="8709" width="13.85546875" style="88" customWidth="1"/>
    <col min="8710" max="8961" width="9.140625" style="88"/>
    <col min="8962" max="8962" width="26.5703125" style="88" customWidth="1"/>
    <col min="8963" max="8963" width="51.85546875" style="88" customWidth="1"/>
    <col min="8964" max="8964" width="11.7109375" style="88" customWidth="1"/>
    <col min="8965" max="8965" width="13.85546875" style="88" customWidth="1"/>
    <col min="8966" max="9217" width="9.140625" style="88"/>
    <col min="9218" max="9218" width="26.5703125" style="88" customWidth="1"/>
    <col min="9219" max="9219" width="51.85546875" style="88" customWidth="1"/>
    <col min="9220" max="9220" width="11.7109375" style="88" customWidth="1"/>
    <col min="9221" max="9221" width="13.85546875" style="88" customWidth="1"/>
    <col min="9222" max="9473" width="9.140625" style="88"/>
    <col min="9474" max="9474" width="26.5703125" style="88" customWidth="1"/>
    <col min="9475" max="9475" width="51.85546875" style="88" customWidth="1"/>
    <col min="9476" max="9476" width="11.7109375" style="88" customWidth="1"/>
    <col min="9477" max="9477" width="13.85546875" style="88" customWidth="1"/>
    <col min="9478" max="9729" width="9.140625" style="88"/>
    <col min="9730" max="9730" width="26.5703125" style="88" customWidth="1"/>
    <col min="9731" max="9731" width="51.85546875" style="88" customWidth="1"/>
    <col min="9732" max="9732" width="11.7109375" style="88" customWidth="1"/>
    <col min="9733" max="9733" width="13.85546875" style="88" customWidth="1"/>
    <col min="9734" max="9985" width="9.140625" style="88"/>
    <col min="9986" max="9986" width="26.5703125" style="88" customWidth="1"/>
    <col min="9987" max="9987" width="51.85546875" style="88" customWidth="1"/>
    <col min="9988" max="9988" width="11.7109375" style="88" customWidth="1"/>
    <col min="9989" max="9989" width="13.85546875" style="88" customWidth="1"/>
    <col min="9990" max="10241" width="9.140625" style="88"/>
    <col min="10242" max="10242" width="26.5703125" style="88" customWidth="1"/>
    <col min="10243" max="10243" width="51.85546875" style="88" customWidth="1"/>
    <col min="10244" max="10244" width="11.7109375" style="88" customWidth="1"/>
    <col min="10245" max="10245" width="13.85546875" style="88" customWidth="1"/>
    <col min="10246" max="10497" width="9.140625" style="88"/>
    <col min="10498" max="10498" width="26.5703125" style="88" customWidth="1"/>
    <col min="10499" max="10499" width="51.85546875" style="88" customWidth="1"/>
    <col min="10500" max="10500" width="11.7109375" style="88" customWidth="1"/>
    <col min="10501" max="10501" width="13.85546875" style="88" customWidth="1"/>
    <col min="10502" max="10753" width="9.140625" style="88"/>
    <col min="10754" max="10754" width="26.5703125" style="88" customWidth="1"/>
    <col min="10755" max="10755" width="51.85546875" style="88" customWidth="1"/>
    <col min="10756" max="10756" width="11.7109375" style="88" customWidth="1"/>
    <col min="10757" max="10757" width="13.85546875" style="88" customWidth="1"/>
    <col min="10758" max="11009" width="9.140625" style="88"/>
    <col min="11010" max="11010" width="26.5703125" style="88" customWidth="1"/>
    <col min="11011" max="11011" width="51.85546875" style="88" customWidth="1"/>
    <col min="11012" max="11012" width="11.7109375" style="88" customWidth="1"/>
    <col min="11013" max="11013" width="13.85546875" style="88" customWidth="1"/>
    <col min="11014" max="11265" width="9.140625" style="88"/>
    <col min="11266" max="11266" width="26.5703125" style="88" customWidth="1"/>
    <col min="11267" max="11267" width="51.85546875" style="88" customWidth="1"/>
    <col min="11268" max="11268" width="11.7109375" style="88" customWidth="1"/>
    <col min="11269" max="11269" width="13.85546875" style="88" customWidth="1"/>
    <col min="11270" max="11521" width="9.140625" style="88"/>
    <col min="11522" max="11522" width="26.5703125" style="88" customWidth="1"/>
    <col min="11523" max="11523" width="51.85546875" style="88" customWidth="1"/>
    <col min="11524" max="11524" width="11.7109375" style="88" customWidth="1"/>
    <col min="11525" max="11525" width="13.85546875" style="88" customWidth="1"/>
    <col min="11526" max="11777" width="9.140625" style="88"/>
    <col min="11778" max="11778" width="26.5703125" style="88" customWidth="1"/>
    <col min="11779" max="11779" width="51.85546875" style="88" customWidth="1"/>
    <col min="11780" max="11780" width="11.7109375" style="88" customWidth="1"/>
    <col min="11781" max="11781" width="13.85546875" style="88" customWidth="1"/>
    <col min="11782" max="12033" width="9.140625" style="88"/>
    <col min="12034" max="12034" width="26.5703125" style="88" customWidth="1"/>
    <col min="12035" max="12035" width="51.85546875" style="88" customWidth="1"/>
    <col min="12036" max="12036" width="11.7109375" style="88" customWidth="1"/>
    <col min="12037" max="12037" width="13.85546875" style="88" customWidth="1"/>
    <col min="12038" max="12289" width="9.140625" style="88"/>
    <col min="12290" max="12290" width="26.5703125" style="88" customWidth="1"/>
    <col min="12291" max="12291" width="51.85546875" style="88" customWidth="1"/>
    <col min="12292" max="12292" width="11.7109375" style="88" customWidth="1"/>
    <col min="12293" max="12293" width="13.85546875" style="88" customWidth="1"/>
    <col min="12294" max="12545" width="9.140625" style="88"/>
    <col min="12546" max="12546" width="26.5703125" style="88" customWidth="1"/>
    <col min="12547" max="12547" width="51.85546875" style="88" customWidth="1"/>
    <col min="12548" max="12548" width="11.7109375" style="88" customWidth="1"/>
    <col min="12549" max="12549" width="13.85546875" style="88" customWidth="1"/>
    <col min="12550" max="12801" width="9.140625" style="88"/>
    <col min="12802" max="12802" width="26.5703125" style="88" customWidth="1"/>
    <col min="12803" max="12803" width="51.85546875" style="88" customWidth="1"/>
    <col min="12804" max="12804" width="11.7109375" style="88" customWidth="1"/>
    <col min="12805" max="12805" width="13.85546875" style="88" customWidth="1"/>
    <col min="12806" max="13057" width="9.140625" style="88"/>
    <col min="13058" max="13058" width="26.5703125" style="88" customWidth="1"/>
    <col min="13059" max="13059" width="51.85546875" style="88" customWidth="1"/>
    <col min="13060" max="13060" width="11.7109375" style="88" customWidth="1"/>
    <col min="13061" max="13061" width="13.85546875" style="88" customWidth="1"/>
    <col min="13062" max="13313" width="9.140625" style="88"/>
    <col min="13314" max="13314" width="26.5703125" style="88" customWidth="1"/>
    <col min="13315" max="13315" width="51.85546875" style="88" customWidth="1"/>
    <col min="13316" max="13316" width="11.7109375" style="88" customWidth="1"/>
    <col min="13317" max="13317" width="13.85546875" style="88" customWidth="1"/>
    <col min="13318" max="13569" width="9.140625" style="88"/>
    <col min="13570" max="13570" width="26.5703125" style="88" customWidth="1"/>
    <col min="13571" max="13571" width="51.85546875" style="88" customWidth="1"/>
    <col min="13572" max="13572" width="11.7109375" style="88" customWidth="1"/>
    <col min="13573" max="13573" width="13.85546875" style="88" customWidth="1"/>
    <col min="13574" max="13825" width="9.140625" style="88"/>
    <col min="13826" max="13826" width="26.5703125" style="88" customWidth="1"/>
    <col min="13827" max="13827" width="51.85546875" style="88" customWidth="1"/>
    <col min="13828" max="13828" width="11.7109375" style="88" customWidth="1"/>
    <col min="13829" max="13829" width="13.85546875" style="88" customWidth="1"/>
    <col min="13830" max="14081" width="9.140625" style="88"/>
    <col min="14082" max="14082" width="26.5703125" style="88" customWidth="1"/>
    <col min="14083" max="14083" width="51.85546875" style="88" customWidth="1"/>
    <col min="14084" max="14084" width="11.7109375" style="88" customWidth="1"/>
    <col min="14085" max="14085" width="13.85546875" style="88" customWidth="1"/>
    <col min="14086" max="14337" width="9.140625" style="88"/>
    <col min="14338" max="14338" width="26.5703125" style="88" customWidth="1"/>
    <col min="14339" max="14339" width="51.85546875" style="88" customWidth="1"/>
    <col min="14340" max="14340" width="11.7109375" style="88" customWidth="1"/>
    <col min="14341" max="14341" width="13.85546875" style="88" customWidth="1"/>
    <col min="14342" max="14593" width="9.140625" style="88"/>
    <col min="14594" max="14594" width="26.5703125" style="88" customWidth="1"/>
    <col min="14595" max="14595" width="51.85546875" style="88" customWidth="1"/>
    <col min="14596" max="14596" width="11.7109375" style="88" customWidth="1"/>
    <col min="14597" max="14597" width="13.85546875" style="88" customWidth="1"/>
    <col min="14598" max="14849" width="9.140625" style="88"/>
    <col min="14850" max="14850" width="26.5703125" style="88" customWidth="1"/>
    <col min="14851" max="14851" width="51.85546875" style="88" customWidth="1"/>
    <col min="14852" max="14852" width="11.7109375" style="88" customWidth="1"/>
    <col min="14853" max="14853" width="13.85546875" style="88" customWidth="1"/>
    <col min="14854" max="15105" width="9.140625" style="88"/>
    <col min="15106" max="15106" width="26.5703125" style="88" customWidth="1"/>
    <col min="15107" max="15107" width="51.85546875" style="88" customWidth="1"/>
    <col min="15108" max="15108" width="11.7109375" style="88" customWidth="1"/>
    <col min="15109" max="15109" width="13.85546875" style="88" customWidth="1"/>
    <col min="15110" max="15361" width="9.140625" style="88"/>
    <col min="15362" max="15362" width="26.5703125" style="88" customWidth="1"/>
    <col min="15363" max="15363" width="51.85546875" style="88" customWidth="1"/>
    <col min="15364" max="15364" width="11.7109375" style="88" customWidth="1"/>
    <col min="15365" max="15365" width="13.85546875" style="88" customWidth="1"/>
    <col min="15366" max="15617" width="9.140625" style="88"/>
    <col min="15618" max="15618" width="26.5703125" style="88" customWidth="1"/>
    <col min="15619" max="15619" width="51.85546875" style="88" customWidth="1"/>
    <col min="15620" max="15620" width="11.7109375" style="88" customWidth="1"/>
    <col min="15621" max="15621" width="13.85546875" style="88" customWidth="1"/>
    <col min="15622" max="15873" width="9.140625" style="88"/>
    <col min="15874" max="15874" width="26.5703125" style="88" customWidth="1"/>
    <col min="15875" max="15875" width="51.85546875" style="88" customWidth="1"/>
    <col min="15876" max="15876" width="11.7109375" style="88" customWidth="1"/>
    <col min="15877" max="15877" width="13.85546875" style="88" customWidth="1"/>
    <col min="15878" max="16129" width="9.140625" style="88"/>
    <col min="16130" max="16130" width="26.5703125" style="88" customWidth="1"/>
    <col min="16131" max="16131" width="51.85546875" style="88" customWidth="1"/>
    <col min="16132" max="16132" width="11.7109375" style="88" customWidth="1"/>
    <col min="16133" max="16133" width="13.85546875" style="88" customWidth="1"/>
    <col min="16134" max="16384" width="9.140625" style="88"/>
  </cols>
  <sheetData>
    <row r="1" spans="1:14" x14ac:dyDescent="0.2">
      <c r="B1" s="3"/>
    </row>
    <row r="2" spans="1:14" ht="45" x14ac:dyDescent="0.2">
      <c r="A2" s="89" t="s">
        <v>403</v>
      </c>
      <c r="B2" s="90" t="s">
        <v>402</v>
      </c>
      <c r="C2" s="90" t="s">
        <v>404</v>
      </c>
      <c r="D2" s="91" t="s">
        <v>405</v>
      </c>
      <c r="E2" s="91" t="s">
        <v>406</v>
      </c>
      <c r="F2" s="92" t="s">
        <v>407</v>
      </c>
      <c r="G2" s="90" t="s">
        <v>408</v>
      </c>
      <c r="H2" s="90" t="s">
        <v>409</v>
      </c>
      <c r="I2" s="90" t="s">
        <v>410</v>
      </c>
      <c r="J2" s="90" t="s">
        <v>411</v>
      </c>
      <c r="K2" s="93" t="s">
        <v>412</v>
      </c>
      <c r="L2" s="90" t="s">
        <v>413</v>
      </c>
      <c r="M2" s="90" t="s">
        <v>414</v>
      </c>
      <c r="N2" s="90" t="s">
        <v>415</v>
      </c>
    </row>
    <row r="3" spans="1:14" x14ac:dyDescent="0.2">
      <c r="A3" s="88">
        <v>1169</v>
      </c>
      <c r="B3" s="3" t="s">
        <v>416</v>
      </c>
      <c r="C3" s="3" t="s">
        <v>417</v>
      </c>
      <c r="D3" s="88">
        <v>68.99666666666667</v>
      </c>
      <c r="E3" s="88">
        <v>-150.28100000000001</v>
      </c>
      <c r="F3" s="88" t="s">
        <v>418</v>
      </c>
      <c r="G3" s="88" t="s">
        <v>419</v>
      </c>
      <c r="H3" s="88" t="s">
        <v>418</v>
      </c>
      <c r="I3" s="88" t="s">
        <v>418</v>
      </c>
      <c r="J3" s="88" t="s">
        <v>420</v>
      </c>
      <c r="K3" s="88" t="s">
        <v>418</v>
      </c>
      <c r="L3" s="88" t="s">
        <v>418</v>
      </c>
      <c r="M3" s="94" t="str">
        <f t="shared" ref="M3:M66" si="0">HYPERLINK("http://maps.google.com/maps?q="&amp;D3&amp;","&amp;E3,"View on Google Map")</f>
        <v>View on Google Map</v>
      </c>
    </row>
    <row r="4" spans="1:14" x14ac:dyDescent="0.2">
      <c r="A4" s="88">
        <v>1170</v>
      </c>
      <c r="B4" s="3" t="s">
        <v>421</v>
      </c>
      <c r="C4" s="3" t="s">
        <v>422</v>
      </c>
      <c r="D4" s="88">
        <v>68.952222222222218</v>
      </c>
      <c r="E4" s="88">
        <v>-150.21249999999998</v>
      </c>
      <c r="F4" s="88" t="s">
        <v>418</v>
      </c>
      <c r="G4" s="88" t="s">
        <v>419</v>
      </c>
      <c r="H4" s="88" t="s">
        <v>418</v>
      </c>
      <c r="I4" s="88" t="s">
        <v>418</v>
      </c>
      <c r="J4" s="88" t="s">
        <v>420</v>
      </c>
      <c r="K4" s="88" t="s">
        <v>418</v>
      </c>
      <c r="L4" s="88" t="s">
        <v>418</v>
      </c>
      <c r="M4" s="94" t="str">
        <f t="shared" si="0"/>
        <v>View on Google Map</v>
      </c>
    </row>
    <row r="5" spans="1:14" x14ac:dyDescent="0.2">
      <c r="A5" s="88">
        <v>1171</v>
      </c>
      <c r="B5" s="3" t="s">
        <v>423</v>
      </c>
      <c r="C5" s="3" t="s">
        <v>424</v>
      </c>
      <c r="D5" s="88">
        <v>68.934444444444452</v>
      </c>
      <c r="E5" s="88">
        <v>-150.2727777777778</v>
      </c>
      <c r="F5" s="88" t="s">
        <v>418</v>
      </c>
      <c r="G5" s="88" t="s">
        <v>419</v>
      </c>
      <c r="H5" s="88" t="s">
        <v>418</v>
      </c>
      <c r="I5" s="88" t="s">
        <v>418</v>
      </c>
      <c r="J5" s="88" t="s">
        <v>425</v>
      </c>
      <c r="K5" s="88" t="s">
        <v>418</v>
      </c>
      <c r="L5" s="88" t="s">
        <v>426</v>
      </c>
      <c r="M5" s="94" t="str">
        <f t="shared" si="0"/>
        <v>View on Google Map</v>
      </c>
    </row>
    <row r="6" spans="1:14" x14ac:dyDescent="0.2">
      <c r="A6" s="88">
        <v>518</v>
      </c>
      <c r="B6" s="88" t="s">
        <v>427</v>
      </c>
      <c r="C6" s="88" t="s">
        <v>428</v>
      </c>
      <c r="D6" s="88">
        <v>68.900986000000003</v>
      </c>
      <c r="E6" s="88">
        <v>-151.308469</v>
      </c>
      <c r="F6" s="88">
        <v>350</v>
      </c>
      <c r="G6" s="88" t="s">
        <v>429</v>
      </c>
      <c r="H6" s="88" t="s">
        <v>418</v>
      </c>
      <c r="I6" s="88" t="s">
        <v>418</v>
      </c>
      <c r="J6" s="88" t="s">
        <v>430</v>
      </c>
      <c r="K6" s="88" t="s">
        <v>418</v>
      </c>
      <c r="L6" s="88" t="s">
        <v>431</v>
      </c>
      <c r="M6" s="94" t="str">
        <f t="shared" si="0"/>
        <v>View on Google Map</v>
      </c>
    </row>
    <row r="7" spans="1:14" x14ac:dyDescent="0.2">
      <c r="A7" s="88">
        <v>478</v>
      </c>
      <c r="B7" s="88" t="s">
        <v>432</v>
      </c>
      <c r="C7" s="88" t="s">
        <v>418</v>
      </c>
      <c r="D7" s="88">
        <v>68.510069999999999</v>
      </c>
      <c r="E7" s="88">
        <v>-149.62691000000001</v>
      </c>
      <c r="F7" s="88">
        <v>996</v>
      </c>
      <c r="G7" s="88" t="s">
        <v>429</v>
      </c>
      <c r="H7" s="88" t="s">
        <v>418</v>
      </c>
      <c r="I7" s="88" t="s">
        <v>418</v>
      </c>
      <c r="J7" s="88" t="s">
        <v>430</v>
      </c>
      <c r="K7" s="88" t="s">
        <v>418</v>
      </c>
      <c r="L7" s="88" t="s">
        <v>418</v>
      </c>
      <c r="M7" s="94" t="str">
        <f t="shared" si="0"/>
        <v>View on Google Map</v>
      </c>
    </row>
    <row r="8" spans="1:14" x14ac:dyDescent="0.2">
      <c r="A8" s="88">
        <v>479</v>
      </c>
      <c r="B8" s="88" t="s">
        <v>433</v>
      </c>
      <c r="C8" s="88" t="s">
        <v>418</v>
      </c>
      <c r="D8" s="88">
        <v>68.505080000000007</v>
      </c>
      <c r="E8" s="88">
        <v>-149.62766999999999</v>
      </c>
      <c r="F8" s="88">
        <v>986</v>
      </c>
      <c r="G8" s="88" t="s">
        <v>429</v>
      </c>
      <c r="H8" s="88" t="s">
        <v>418</v>
      </c>
      <c r="I8" s="88" t="s">
        <v>418</v>
      </c>
      <c r="J8" s="88" t="s">
        <v>430</v>
      </c>
      <c r="K8" s="88" t="s">
        <v>418</v>
      </c>
      <c r="L8" s="88" t="s">
        <v>418</v>
      </c>
      <c r="M8" s="94" t="str">
        <f t="shared" si="0"/>
        <v>View on Google Map</v>
      </c>
    </row>
    <row r="9" spans="1:14" x14ac:dyDescent="0.2">
      <c r="A9" s="88">
        <v>480</v>
      </c>
      <c r="B9" s="88" t="s">
        <v>434</v>
      </c>
      <c r="C9" s="88" t="s">
        <v>418</v>
      </c>
      <c r="D9" s="88">
        <v>68.502449999999996</v>
      </c>
      <c r="E9" s="88">
        <v>-149.63137</v>
      </c>
      <c r="F9" s="88">
        <v>982</v>
      </c>
      <c r="G9" s="88" t="s">
        <v>429</v>
      </c>
      <c r="H9" s="88" t="s">
        <v>418</v>
      </c>
      <c r="I9" s="88" t="s">
        <v>418</v>
      </c>
      <c r="J9" s="88" t="s">
        <v>430</v>
      </c>
      <c r="K9" s="88" t="s">
        <v>418</v>
      </c>
      <c r="L9" s="88" t="s">
        <v>418</v>
      </c>
      <c r="M9" s="94" t="str">
        <f t="shared" si="0"/>
        <v>View on Google Map</v>
      </c>
    </row>
    <row r="10" spans="1:14" x14ac:dyDescent="0.2">
      <c r="B10" s="88" t="s">
        <v>435</v>
      </c>
      <c r="C10" s="88" t="s">
        <v>436</v>
      </c>
      <c r="D10" s="88">
        <v>69.375833333333333</v>
      </c>
      <c r="E10" s="88">
        <v>-150.68138888888899</v>
      </c>
      <c r="G10" s="88" t="s">
        <v>437</v>
      </c>
      <c r="J10" s="88" t="s">
        <v>425</v>
      </c>
      <c r="L10" s="88" t="s">
        <v>426</v>
      </c>
      <c r="M10" s="94" t="str">
        <f t="shared" si="0"/>
        <v>View on Google Map</v>
      </c>
    </row>
    <row r="11" spans="1:14" x14ac:dyDescent="0.2">
      <c r="B11" s="88" t="s">
        <v>438</v>
      </c>
      <c r="C11" s="88" t="s">
        <v>436</v>
      </c>
      <c r="D11" s="88">
        <v>69.322777777777773</v>
      </c>
      <c r="E11" s="88">
        <v>-150.95055555555601</v>
      </c>
      <c r="G11" s="88" t="s">
        <v>437</v>
      </c>
      <c r="J11" s="88" t="s">
        <v>425</v>
      </c>
      <c r="L11" s="88" t="s">
        <v>426</v>
      </c>
      <c r="M11" s="94" t="str">
        <f t="shared" si="0"/>
        <v>View on Google Map</v>
      </c>
    </row>
    <row r="12" spans="1:14" x14ac:dyDescent="0.2">
      <c r="B12" s="88" t="s">
        <v>439</v>
      </c>
      <c r="C12" s="88" t="s">
        <v>436</v>
      </c>
      <c r="D12" s="88">
        <v>69.328055555555565</v>
      </c>
      <c r="E12" s="88">
        <v>-150.238055555556</v>
      </c>
      <c r="G12" s="88" t="s">
        <v>437</v>
      </c>
      <c r="J12" s="88" t="s">
        <v>425</v>
      </c>
      <c r="L12" s="88" t="s">
        <v>426</v>
      </c>
      <c r="M12" s="94" t="str">
        <f t="shared" si="0"/>
        <v>View on Google Map</v>
      </c>
    </row>
    <row r="13" spans="1:14" x14ac:dyDescent="0.2">
      <c r="B13" s="88" t="s">
        <v>440</v>
      </c>
      <c r="C13" s="88" t="s">
        <v>436</v>
      </c>
      <c r="D13" s="88">
        <v>69.30361111111111</v>
      </c>
      <c r="E13" s="88">
        <v>-149.56083333333299</v>
      </c>
      <c r="G13" s="88" t="s">
        <v>437</v>
      </c>
      <c r="J13" s="88" t="s">
        <v>425</v>
      </c>
      <c r="L13" s="88" t="s">
        <v>426</v>
      </c>
      <c r="M13" s="94" t="str">
        <f t="shared" si="0"/>
        <v>View on Google Map</v>
      </c>
    </row>
    <row r="14" spans="1:14" x14ac:dyDescent="0.2">
      <c r="A14" s="88">
        <v>7</v>
      </c>
      <c r="B14" s="88" t="s">
        <v>441</v>
      </c>
      <c r="C14" s="88" t="s">
        <v>442</v>
      </c>
      <c r="D14" s="88">
        <v>68.95</v>
      </c>
      <c r="E14" s="88">
        <v>-148.86666666666667</v>
      </c>
      <c r="F14" s="88">
        <v>360</v>
      </c>
      <c r="G14" s="88" t="s">
        <v>443</v>
      </c>
      <c r="H14" s="88" t="s">
        <v>418</v>
      </c>
      <c r="I14" s="88" t="s">
        <v>418</v>
      </c>
      <c r="J14" s="88" t="s">
        <v>444</v>
      </c>
      <c r="K14" s="88" t="s">
        <v>418</v>
      </c>
      <c r="L14" s="88" t="s">
        <v>445</v>
      </c>
      <c r="M14" s="94" t="str">
        <f t="shared" si="0"/>
        <v>View on Google Map</v>
      </c>
    </row>
    <row r="15" spans="1:14" x14ac:dyDescent="0.2">
      <c r="A15" s="88">
        <v>517</v>
      </c>
      <c r="B15" s="88" t="s">
        <v>446</v>
      </c>
      <c r="C15" s="88" t="s">
        <v>428</v>
      </c>
      <c r="D15" s="88">
        <v>68.467832999999999</v>
      </c>
      <c r="E15" s="88">
        <v>-151.47916699999999</v>
      </c>
      <c r="F15" s="88">
        <v>732</v>
      </c>
      <c r="G15" s="88" t="s">
        <v>429</v>
      </c>
      <c r="H15" s="88" t="s">
        <v>418</v>
      </c>
      <c r="I15" s="88" t="s">
        <v>418</v>
      </c>
      <c r="J15" s="88" t="s">
        <v>430</v>
      </c>
      <c r="K15" s="88" t="s">
        <v>418</v>
      </c>
      <c r="L15" s="88" t="s">
        <v>431</v>
      </c>
      <c r="M15" s="94" t="str">
        <f t="shared" si="0"/>
        <v>View on Google Map</v>
      </c>
    </row>
    <row r="16" spans="1:14" x14ac:dyDescent="0.2">
      <c r="A16" s="88">
        <v>516</v>
      </c>
      <c r="B16" s="88" t="s">
        <v>447</v>
      </c>
      <c r="C16" s="88" t="s">
        <v>428</v>
      </c>
      <c r="D16" s="88">
        <v>68.467500000000001</v>
      </c>
      <c r="E16" s="88">
        <v>-151.49433300000001</v>
      </c>
      <c r="F16" s="88">
        <v>769</v>
      </c>
      <c r="G16" s="88" t="s">
        <v>429</v>
      </c>
      <c r="H16" s="88" t="s">
        <v>418</v>
      </c>
      <c r="I16" s="88" t="s">
        <v>418</v>
      </c>
      <c r="J16" s="88" t="s">
        <v>430</v>
      </c>
      <c r="K16" s="88" t="s">
        <v>418</v>
      </c>
      <c r="L16" s="88" t="s">
        <v>431</v>
      </c>
      <c r="M16" s="94" t="str">
        <f t="shared" si="0"/>
        <v>View on Google Map</v>
      </c>
    </row>
    <row r="17" spans="1:13" x14ac:dyDescent="0.2">
      <c r="A17" s="88">
        <v>515</v>
      </c>
      <c r="B17" s="88" t="s">
        <v>448</v>
      </c>
      <c r="C17" s="88" t="s">
        <v>428</v>
      </c>
      <c r="D17" s="88">
        <v>68.463999999999999</v>
      </c>
      <c r="E17" s="88">
        <v>-151.51516699999999</v>
      </c>
      <c r="F17" s="88">
        <v>809</v>
      </c>
      <c r="G17" s="88" t="s">
        <v>429</v>
      </c>
      <c r="H17" s="88" t="s">
        <v>418</v>
      </c>
      <c r="I17" s="88" t="s">
        <v>418</v>
      </c>
      <c r="J17" s="88" t="s">
        <v>430</v>
      </c>
      <c r="K17" s="88" t="s">
        <v>418</v>
      </c>
      <c r="L17" s="88" t="s">
        <v>431</v>
      </c>
      <c r="M17" s="94" t="str">
        <f t="shared" si="0"/>
        <v>View on Google Map</v>
      </c>
    </row>
    <row r="18" spans="1:13" x14ac:dyDescent="0.2">
      <c r="A18" s="88">
        <v>1177</v>
      </c>
      <c r="B18" s="88" t="s">
        <v>449</v>
      </c>
      <c r="C18" s="88" t="s">
        <v>450</v>
      </c>
      <c r="D18" s="88">
        <v>68.99539</v>
      </c>
      <c r="E18" s="88">
        <v>-150.28278</v>
      </c>
      <c r="F18" s="88" t="s">
        <v>418</v>
      </c>
      <c r="G18" s="88" t="s">
        <v>419</v>
      </c>
      <c r="H18" s="88" t="s">
        <v>418</v>
      </c>
      <c r="I18" s="88" t="s">
        <v>418</v>
      </c>
      <c r="J18" s="88" t="s">
        <v>425</v>
      </c>
      <c r="K18" s="88" t="s">
        <v>418</v>
      </c>
      <c r="L18" s="88" t="s">
        <v>426</v>
      </c>
      <c r="M18" s="94" t="str">
        <f t="shared" si="0"/>
        <v>View on Google Map</v>
      </c>
    </row>
    <row r="19" spans="1:13" x14ac:dyDescent="0.2">
      <c r="A19" s="88">
        <v>1178</v>
      </c>
      <c r="B19" s="88" t="s">
        <v>451</v>
      </c>
      <c r="C19" s="88" t="s">
        <v>450</v>
      </c>
      <c r="D19" s="88">
        <v>68.996089999999995</v>
      </c>
      <c r="E19" s="88">
        <v>-150.29223999999999</v>
      </c>
      <c r="F19" s="88" t="s">
        <v>418</v>
      </c>
      <c r="G19" s="88" t="s">
        <v>419</v>
      </c>
      <c r="H19" s="88" t="s">
        <v>418</v>
      </c>
      <c r="I19" s="88" t="s">
        <v>418</v>
      </c>
      <c r="J19" s="88" t="s">
        <v>425</v>
      </c>
      <c r="K19" s="88" t="s">
        <v>418</v>
      </c>
      <c r="L19" s="88" t="s">
        <v>426</v>
      </c>
      <c r="M19" s="94" t="str">
        <f t="shared" si="0"/>
        <v>View on Google Map</v>
      </c>
    </row>
    <row r="20" spans="1:13" x14ac:dyDescent="0.2">
      <c r="A20" s="88">
        <v>1179</v>
      </c>
      <c r="B20" s="88" t="s">
        <v>452</v>
      </c>
      <c r="C20" s="88" t="s">
        <v>453</v>
      </c>
      <c r="D20" s="88">
        <v>68.953829999999996</v>
      </c>
      <c r="E20" s="88">
        <v>-150.20697000000001</v>
      </c>
      <c r="F20" s="88" t="s">
        <v>418</v>
      </c>
      <c r="G20" s="88" t="s">
        <v>419</v>
      </c>
      <c r="H20" s="88" t="s">
        <v>418</v>
      </c>
      <c r="I20" s="88" t="s">
        <v>418</v>
      </c>
      <c r="J20" s="88" t="s">
        <v>425</v>
      </c>
      <c r="K20" s="88" t="s">
        <v>418</v>
      </c>
      <c r="L20" s="88" t="s">
        <v>426</v>
      </c>
      <c r="M20" s="94" t="str">
        <f t="shared" si="0"/>
        <v>View on Google Map</v>
      </c>
    </row>
    <row r="21" spans="1:13" x14ac:dyDescent="0.2">
      <c r="A21" s="88">
        <v>1180</v>
      </c>
      <c r="B21" s="3" t="s">
        <v>454</v>
      </c>
      <c r="C21" s="88" t="s">
        <v>453</v>
      </c>
      <c r="D21" s="88">
        <v>68.951099999999997</v>
      </c>
      <c r="E21" s="88">
        <v>-150.20966000000001</v>
      </c>
      <c r="F21" s="88" t="s">
        <v>418</v>
      </c>
      <c r="G21" s="88" t="s">
        <v>419</v>
      </c>
      <c r="H21" s="88" t="s">
        <v>418</v>
      </c>
      <c r="I21" s="88" t="s">
        <v>418</v>
      </c>
      <c r="J21" s="88" t="s">
        <v>425</v>
      </c>
      <c r="K21" s="88" t="s">
        <v>418</v>
      </c>
      <c r="L21" s="88" t="s">
        <v>426</v>
      </c>
      <c r="M21" s="94" t="str">
        <f t="shared" si="0"/>
        <v>View on Google Map</v>
      </c>
    </row>
    <row r="22" spans="1:13" x14ac:dyDescent="0.2">
      <c r="A22" s="88">
        <v>1181</v>
      </c>
      <c r="B22" s="3" t="s">
        <v>455</v>
      </c>
      <c r="C22" s="88" t="s">
        <v>453</v>
      </c>
      <c r="D22" s="88">
        <v>68.950720000000004</v>
      </c>
      <c r="E22" s="88">
        <v>-150.19745</v>
      </c>
      <c r="F22" s="88" t="s">
        <v>418</v>
      </c>
      <c r="G22" s="88" t="s">
        <v>419</v>
      </c>
      <c r="H22" s="88" t="s">
        <v>418</v>
      </c>
      <c r="I22" s="88" t="s">
        <v>418</v>
      </c>
      <c r="J22" s="88" t="s">
        <v>425</v>
      </c>
      <c r="K22" s="88" t="s">
        <v>418</v>
      </c>
      <c r="L22" s="88" t="s">
        <v>426</v>
      </c>
      <c r="M22" s="94" t="str">
        <f t="shared" si="0"/>
        <v>View on Google Map</v>
      </c>
    </row>
    <row r="23" spans="1:13" x14ac:dyDescent="0.2">
      <c r="A23" s="88">
        <v>1182</v>
      </c>
      <c r="B23" s="3" t="s">
        <v>456</v>
      </c>
      <c r="C23" s="88" t="s">
        <v>453</v>
      </c>
      <c r="D23" s="88">
        <v>68.950149999999994</v>
      </c>
      <c r="E23" s="88">
        <v>-150.19701000000001</v>
      </c>
      <c r="F23" s="88" t="s">
        <v>418</v>
      </c>
      <c r="G23" s="88" t="s">
        <v>419</v>
      </c>
      <c r="H23" s="88" t="s">
        <v>418</v>
      </c>
      <c r="I23" s="88" t="s">
        <v>418</v>
      </c>
      <c r="J23" s="88" t="s">
        <v>425</v>
      </c>
      <c r="K23" s="88" t="s">
        <v>418</v>
      </c>
      <c r="L23" s="88" t="s">
        <v>426</v>
      </c>
      <c r="M23" s="94" t="str">
        <f t="shared" si="0"/>
        <v>View on Google Map</v>
      </c>
    </row>
    <row r="24" spans="1:13" x14ac:dyDescent="0.2">
      <c r="A24" s="88">
        <v>1183</v>
      </c>
      <c r="B24" s="3" t="s">
        <v>457</v>
      </c>
      <c r="C24" s="88" t="s">
        <v>453</v>
      </c>
      <c r="D24" s="88">
        <v>68.949629999999999</v>
      </c>
      <c r="E24" s="88">
        <v>-150.19672</v>
      </c>
      <c r="F24" s="88" t="s">
        <v>418</v>
      </c>
      <c r="G24" s="88" t="s">
        <v>419</v>
      </c>
      <c r="H24" s="88" t="s">
        <v>418</v>
      </c>
      <c r="I24" s="88" t="s">
        <v>418</v>
      </c>
      <c r="J24" s="88" t="s">
        <v>425</v>
      </c>
      <c r="K24" s="88" t="s">
        <v>418</v>
      </c>
      <c r="L24" s="88" t="s">
        <v>426</v>
      </c>
      <c r="M24" s="94" t="str">
        <f t="shared" si="0"/>
        <v>View on Google Map</v>
      </c>
    </row>
    <row r="25" spans="1:13" x14ac:dyDescent="0.2">
      <c r="A25" s="88">
        <v>1184</v>
      </c>
      <c r="B25" s="3" t="s">
        <v>458</v>
      </c>
      <c r="C25" s="88" t="s">
        <v>453</v>
      </c>
      <c r="D25" s="88">
        <v>68.952349999999996</v>
      </c>
      <c r="E25" s="88">
        <v>-150.20769999999999</v>
      </c>
      <c r="F25" s="88" t="s">
        <v>418</v>
      </c>
      <c r="G25" s="88" t="s">
        <v>419</v>
      </c>
      <c r="H25" s="88" t="s">
        <v>418</v>
      </c>
      <c r="I25" s="88" t="s">
        <v>418</v>
      </c>
      <c r="J25" s="88" t="s">
        <v>425</v>
      </c>
      <c r="K25" s="88" t="s">
        <v>418</v>
      </c>
      <c r="L25" s="88" t="s">
        <v>426</v>
      </c>
      <c r="M25" s="94" t="str">
        <f t="shared" si="0"/>
        <v>View on Google Map</v>
      </c>
    </row>
    <row r="26" spans="1:13" x14ac:dyDescent="0.2">
      <c r="A26" s="88">
        <v>1185</v>
      </c>
      <c r="B26" s="3" t="s">
        <v>459</v>
      </c>
      <c r="C26" s="88" t="s">
        <v>453</v>
      </c>
      <c r="D26" s="88">
        <v>68.933340000000001</v>
      </c>
      <c r="E26" s="88">
        <v>-150.27288999999999</v>
      </c>
      <c r="F26" s="88" t="s">
        <v>418</v>
      </c>
      <c r="G26" s="88" t="s">
        <v>419</v>
      </c>
      <c r="H26" s="88" t="s">
        <v>418</v>
      </c>
      <c r="I26" s="88" t="s">
        <v>418</v>
      </c>
      <c r="J26" s="88" t="s">
        <v>425</v>
      </c>
      <c r="K26" s="88" t="s">
        <v>418</v>
      </c>
      <c r="L26" s="88" t="s">
        <v>426</v>
      </c>
      <c r="M26" s="94" t="str">
        <f t="shared" si="0"/>
        <v>View on Google Map</v>
      </c>
    </row>
    <row r="27" spans="1:13" x14ac:dyDescent="0.2">
      <c r="A27" s="88">
        <v>1186</v>
      </c>
      <c r="B27" s="88" t="s">
        <v>460</v>
      </c>
      <c r="C27" s="88" t="s">
        <v>453</v>
      </c>
      <c r="D27" s="88">
        <v>68.935190000000006</v>
      </c>
      <c r="E27" s="88">
        <v>-150.26884000000001</v>
      </c>
      <c r="F27" s="88" t="s">
        <v>418</v>
      </c>
      <c r="G27" s="88" t="s">
        <v>419</v>
      </c>
      <c r="H27" s="88" t="s">
        <v>418</v>
      </c>
      <c r="I27" s="88" t="s">
        <v>418</v>
      </c>
      <c r="J27" s="88" t="s">
        <v>425</v>
      </c>
      <c r="K27" s="88" t="s">
        <v>418</v>
      </c>
      <c r="L27" s="88" t="s">
        <v>426</v>
      </c>
      <c r="M27" s="94" t="str">
        <f t="shared" si="0"/>
        <v>View on Google Map</v>
      </c>
    </row>
    <row r="28" spans="1:13" x14ac:dyDescent="0.2">
      <c r="A28" s="88">
        <v>1187</v>
      </c>
      <c r="B28" s="3" t="s">
        <v>461</v>
      </c>
      <c r="C28" s="88" t="s">
        <v>453</v>
      </c>
      <c r="D28" s="88">
        <v>68.997339999999994</v>
      </c>
      <c r="E28" s="88">
        <v>-150.30745999999999</v>
      </c>
      <c r="F28" s="88" t="s">
        <v>418</v>
      </c>
      <c r="G28" s="88" t="s">
        <v>419</v>
      </c>
      <c r="H28" s="88" t="s">
        <v>418</v>
      </c>
      <c r="I28" s="88" t="s">
        <v>418</v>
      </c>
      <c r="J28" s="88" t="s">
        <v>425</v>
      </c>
      <c r="K28" s="88" t="s">
        <v>418</v>
      </c>
      <c r="L28" s="88" t="s">
        <v>426</v>
      </c>
      <c r="M28" s="94" t="str">
        <f t="shared" si="0"/>
        <v>View on Google Map</v>
      </c>
    </row>
    <row r="29" spans="1:13" x14ac:dyDescent="0.2">
      <c r="A29" s="88">
        <v>1188</v>
      </c>
      <c r="B29" s="3" t="s">
        <v>462</v>
      </c>
      <c r="C29" s="88" t="s">
        <v>453</v>
      </c>
      <c r="D29" s="88">
        <v>68.950779999999995</v>
      </c>
      <c r="E29" s="88">
        <v>-150.19788</v>
      </c>
      <c r="F29" s="88" t="s">
        <v>418</v>
      </c>
      <c r="G29" s="88" t="s">
        <v>419</v>
      </c>
      <c r="H29" s="88" t="s">
        <v>418</v>
      </c>
      <c r="I29" s="88" t="s">
        <v>418</v>
      </c>
      <c r="J29" s="88" t="s">
        <v>425</v>
      </c>
      <c r="K29" s="88" t="s">
        <v>418</v>
      </c>
      <c r="L29" s="88" t="s">
        <v>426</v>
      </c>
      <c r="M29" s="94" t="str">
        <f t="shared" si="0"/>
        <v>View on Google Map</v>
      </c>
    </row>
    <row r="30" spans="1:13" x14ac:dyDescent="0.2">
      <c r="A30" s="88">
        <v>1189</v>
      </c>
      <c r="B30" s="3" t="s">
        <v>463</v>
      </c>
      <c r="C30" s="88" t="s">
        <v>453</v>
      </c>
      <c r="D30" s="88">
        <v>68.954440000000005</v>
      </c>
      <c r="E30" s="88">
        <v>-150.20644999999999</v>
      </c>
      <c r="F30" s="88" t="s">
        <v>418</v>
      </c>
      <c r="G30" s="88" t="s">
        <v>419</v>
      </c>
      <c r="H30" s="88" t="s">
        <v>418</v>
      </c>
      <c r="I30" s="88" t="s">
        <v>418</v>
      </c>
      <c r="J30" s="88" t="s">
        <v>425</v>
      </c>
      <c r="K30" s="88" t="s">
        <v>418</v>
      </c>
      <c r="L30" s="88" t="s">
        <v>426</v>
      </c>
      <c r="M30" s="94" t="str">
        <f t="shared" si="0"/>
        <v>View on Google Map</v>
      </c>
    </row>
    <row r="31" spans="1:13" x14ac:dyDescent="0.2">
      <c r="A31" s="88">
        <v>1190</v>
      </c>
      <c r="B31" s="3" t="s">
        <v>464</v>
      </c>
      <c r="C31" s="88" t="s">
        <v>453</v>
      </c>
      <c r="D31" s="88">
        <v>69.116330000000005</v>
      </c>
      <c r="E31" s="88">
        <v>-150.79077000000001</v>
      </c>
      <c r="F31" s="88" t="s">
        <v>418</v>
      </c>
      <c r="G31" s="88" t="s">
        <v>419</v>
      </c>
      <c r="H31" s="88" t="s">
        <v>418</v>
      </c>
      <c r="I31" s="88" t="s">
        <v>418</v>
      </c>
      <c r="J31" s="88" t="s">
        <v>425</v>
      </c>
      <c r="K31" s="88" t="s">
        <v>418</v>
      </c>
      <c r="L31" s="88" t="s">
        <v>426</v>
      </c>
      <c r="M31" s="94" t="str">
        <f t="shared" si="0"/>
        <v>View on Google Map</v>
      </c>
    </row>
    <row r="32" spans="1:13" x14ac:dyDescent="0.2">
      <c r="A32" s="88">
        <v>1191</v>
      </c>
      <c r="B32" s="3" t="s">
        <v>465</v>
      </c>
      <c r="C32" s="88" t="s">
        <v>453</v>
      </c>
      <c r="D32" s="88">
        <v>69.116150000000005</v>
      </c>
      <c r="E32" s="88">
        <v>-150.79553999999999</v>
      </c>
      <c r="F32" s="88" t="s">
        <v>418</v>
      </c>
      <c r="G32" s="88" t="s">
        <v>419</v>
      </c>
      <c r="H32" s="88" t="s">
        <v>418</v>
      </c>
      <c r="I32" s="88" t="s">
        <v>418</v>
      </c>
      <c r="J32" s="88" t="s">
        <v>425</v>
      </c>
      <c r="K32" s="88" t="s">
        <v>418</v>
      </c>
      <c r="L32" s="88" t="s">
        <v>426</v>
      </c>
      <c r="M32" s="94" t="str">
        <f t="shared" si="0"/>
        <v>View on Google Map</v>
      </c>
    </row>
    <row r="33" spans="1:14" x14ac:dyDescent="0.2">
      <c r="A33" s="88">
        <v>3</v>
      </c>
      <c r="B33" s="88" t="s">
        <v>466</v>
      </c>
      <c r="C33" s="88" t="s">
        <v>467</v>
      </c>
      <c r="D33" s="88">
        <v>68.266666666666666</v>
      </c>
      <c r="E33" s="88">
        <v>-149.44999999999999</v>
      </c>
      <c r="F33" s="88">
        <v>914</v>
      </c>
      <c r="G33" s="88" t="s">
        <v>443</v>
      </c>
      <c r="H33" s="88" t="s">
        <v>418</v>
      </c>
      <c r="I33" s="88" t="s">
        <v>418</v>
      </c>
      <c r="J33" s="88" t="s">
        <v>444</v>
      </c>
      <c r="K33" s="88" t="s">
        <v>418</v>
      </c>
      <c r="L33" s="88" t="s">
        <v>445</v>
      </c>
      <c r="M33" s="94" t="str">
        <f t="shared" si="0"/>
        <v>View on Google Map</v>
      </c>
    </row>
    <row r="34" spans="1:14" x14ac:dyDescent="0.2">
      <c r="A34" s="88">
        <v>2</v>
      </c>
      <c r="B34" s="88" t="s">
        <v>468</v>
      </c>
      <c r="C34" s="88" t="s">
        <v>469</v>
      </c>
      <c r="D34" s="88">
        <v>68.266666666666666</v>
      </c>
      <c r="E34" s="88">
        <v>-149.46666666666667</v>
      </c>
      <c r="F34" s="88">
        <v>914</v>
      </c>
      <c r="G34" s="88" t="s">
        <v>443</v>
      </c>
      <c r="H34" s="88" t="s">
        <v>418</v>
      </c>
      <c r="I34" s="88" t="s">
        <v>418</v>
      </c>
      <c r="J34" s="88" t="s">
        <v>444</v>
      </c>
      <c r="K34" s="88" t="s">
        <v>418</v>
      </c>
      <c r="L34" s="88" t="s">
        <v>445</v>
      </c>
      <c r="M34" s="94" t="str">
        <f t="shared" si="0"/>
        <v>View on Google Map</v>
      </c>
    </row>
    <row r="35" spans="1:14" x14ac:dyDescent="0.2">
      <c r="A35" s="88">
        <v>25</v>
      </c>
      <c r="B35" s="88" t="s">
        <v>470</v>
      </c>
      <c r="C35" s="88" t="s">
        <v>418</v>
      </c>
      <c r="D35" s="88" t="s">
        <v>418</v>
      </c>
      <c r="E35" s="88" t="s">
        <v>418</v>
      </c>
      <c r="F35" s="88">
        <v>1097</v>
      </c>
      <c r="G35" s="88" t="s">
        <v>443</v>
      </c>
      <c r="H35" s="88" t="s">
        <v>471</v>
      </c>
      <c r="I35" s="88" t="s">
        <v>418</v>
      </c>
      <c r="J35" s="88" t="s">
        <v>444</v>
      </c>
      <c r="K35" s="88" t="s">
        <v>418</v>
      </c>
      <c r="L35" s="88" t="s">
        <v>418</v>
      </c>
      <c r="M35" s="94" t="str">
        <f t="shared" si="0"/>
        <v>View on Google Map</v>
      </c>
    </row>
    <row r="36" spans="1:14" x14ac:dyDescent="0.2">
      <c r="A36" s="88">
        <v>26</v>
      </c>
      <c r="B36" s="88" t="s">
        <v>472</v>
      </c>
      <c r="C36" s="88" t="s">
        <v>418</v>
      </c>
      <c r="D36" s="88" t="s">
        <v>418</v>
      </c>
      <c r="E36" s="88" t="s">
        <v>418</v>
      </c>
      <c r="F36" s="88">
        <v>1280</v>
      </c>
      <c r="G36" s="88" t="s">
        <v>443</v>
      </c>
      <c r="H36" s="88" t="s">
        <v>473</v>
      </c>
      <c r="I36" s="88" t="s">
        <v>418</v>
      </c>
      <c r="J36" s="88" t="s">
        <v>444</v>
      </c>
      <c r="K36" s="88" t="s">
        <v>418</v>
      </c>
      <c r="L36" s="88" t="s">
        <v>418</v>
      </c>
      <c r="M36" s="94" t="str">
        <f t="shared" si="0"/>
        <v>View on Google Map</v>
      </c>
    </row>
    <row r="37" spans="1:14" x14ac:dyDescent="0.2">
      <c r="A37" s="88">
        <v>27</v>
      </c>
      <c r="B37" s="88" t="s">
        <v>474</v>
      </c>
      <c r="C37" s="88" t="s">
        <v>418</v>
      </c>
      <c r="D37" s="88" t="s">
        <v>418</v>
      </c>
      <c r="E37" s="88" t="s">
        <v>418</v>
      </c>
      <c r="F37" s="88">
        <v>1555</v>
      </c>
      <c r="G37" s="88" t="s">
        <v>443</v>
      </c>
      <c r="H37" s="88" t="s">
        <v>475</v>
      </c>
      <c r="I37" s="88" t="s">
        <v>418</v>
      </c>
      <c r="J37" s="88" t="s">
        <v>444</v>
      </c>
      <c r="K37" s="88" t="s">
        <v>418</v>
      </c>
      <c r="L37" s="88" t="s">
        <v>418</v>
      </c>
      <c r="M37" s="94" t="str">
        <f t="shared" si="0"/>
        <v>View on Google Map</v>
      </c>
    </row>
    <row r="38" spans="1:14" ht="12.75" customHeight="1" x14ac:dyDescent="0.2">
      <c r="A38" s="88">
        <v>138</v>
      </c>
      <c r="B38" s="88" t="s">
        <v>476</v>
      </c>
      <c r="C38" s="88" t="s">
        <v>418</v>
      </c>
      <c r="D38" s="88">
        <v>70.283333333333331</v>
      </c>
      <c r="E38" s="88">
        <v>-148.30000000000001</v>
      </c>
      <c r="F38" s="88">
        <v>6</v>
      </c>
      <c r="G38" s="88" t="s">
        <v>429</v>
      </c>
      <c r="H38" s="88" t="s">
        <v>477</v>
      </c>
      <c r="I38" s="88" t="s">
        <v>418</v>
      </c>
      <c r="J38" s="88" t="s">
        <v>444</v>
      </c>
      <c r="K38" s="88" t="s">
        <v>418</v>
      </c>
      <c r="L38" s="88" t="s">
        <v>445</v>
      </c>
      <c r="M38" s="94" t="str">
        <f t="shared" si="0"/>
        <v>View on Google Map</v>
      </c>
    </row>
    <row r="39" spans="1:14" ht="12.75" customHeight="1" x14ac:dyDescent="0.2">
      <c r="A39" s="88">
        <v>31</v>
      </c>
      <c r="B39" s="88" t="s">
        <v>478</v>
      </c>
      <c r="C39" s="88" t="s">
        <v>418</v>
      </c>
      <c r="D39" s="88">
        <v>68.957566666999995</v>
      </c>
      <c r="E39" s="88">
        <v>-150.236266667</v>
      </c>
      <c r="F39" s="88">
        <v>386.18</v>
      </c>
      <c r="G39" s="88" t="s">
        <v>443</v>
      </c>
      <c r="H39" s="88" t="s">
        <v>418</v>
      </c>
      <c r="I39" s="88" t="s">
        <v>418</v>
      </c>
      <c r="J39" s="88" t="s">
        <v>479</v>
      </c>
      <c r="K39" s="88" t="s">
        <v>418</v>
      </c>
      <c r="L39" s="88" t="s">
        <v>426</v>
      </c>
      <c r="M39" s="94" t="str">
        <f t="shared" si="0"/>
        <v>View on Google Map</v>
      </c>
    </row>
    <row r="40" spans="1:14" ht="12.75" customHeight="1" x14ac:dyDescent="0.2">
      <c r="A40" s="88">
        <v>131</v>
      </c>
      <c r="B40" s="88" t="s">
        <v>480</v>
      </c>
      <c r="C40" s="88" t="s">
        <v>418</v>
      </c>
      <c r="D40" s="88">
        <v>70.333333333333329</v>
      </c>
      <c r="E40" s="88">
        <v>-148.93333333333334</v>
      </c>
      <c r="F40" s="88">
        <v>3</v>
      </c>
      <c r="G40" s="88" t="s">
        <v>429</v>
      </c>
      <c r="H40" s="88" t="s">
        <v>481</v>
      </c>
      <c r="I40" s="88" t="s">
        <v>418</v>
      </c>
      <c r="J40" s="88" t="s">
        <v>444</v>
      </c>
      <c r="K40" s="88" t="s">
        <v>418</v>
      </c>
      <c r="L40" s="88" t="s">
        <v>445</v>
      </c>
      <c r="M40" s="94" t="str">
        <f t="shared" si="0"/>
        <v>View on Google Map</v>
      </c>
    </row>
    <row r="41" spans="1:14" s="95" customFormat="1" ht="12.75" customHeight="1" x14ac:dyDescent="0.2">
      <c r="A41" s="88">
        <v>132</v>
      </c>
      <c r="B41" s="88" t="s">
        <v>482</v>
      </c>
      <c r="C41" s="88" t="s">
        <v>418</v>
      </c>
      <c r="D41" s="88">
        <v>70.333333333333329</v>
      </c>
      <c r="E41" s="88">
        <v>-148.93333333333334</v>
      </c>
      <c r="F41" s="88">
        <v>3</v>
      </c>
      <c r="G41" s="88" t="s">
        <v>429</v>
      </c>
      <c r="H41" s="88" t="s">
        <v>483</v>
      </c>
      <c r="I41" s="88" t="s">
        <v>418</v>
      </c>
      <c r="J41" s="88" t="s">
        <v>444</v>
      </c>
      <c r="K41" s="88" t="s">
        <v>418</v>
      </c>
      <c r="L41" s="88" t="s">
        <v>445</v>
      </c>
      <c r="M41" s="94" t="str">
        <f t="shared" si="0"/>
        <v>View on Google Map</v>
      </c>
      <c r="N41" s="88"/>
    </row>
    <row r="42" spans="1:14" ht="12.75" customHeight="1" x14ac:dyDescent="0.2">
      <c r="A42" s="88">
        <v>141</v>
      </c>
      <c r="B42" s="88" t="s">
        <v>484</v>
      </c>
      <c r="C42" s="88" t="s">
        <v>485</v>
      </c>
      <c r="D42" s="88">
        <v>68.63333333333334</v>
      </c>
      <c r="E42" s="88">
        <v>-149.6</v>
      </c>
      <c r="F42" s="88">
        <v>720</v>
      </c>
      <c r="G42" s="88" t="s">
        <v>429</v>
      </c>
      <c r="H42" s="88" t="s">
        <v>486</v>
      </c>
      <c r="I42" s="88" t="s">
        <v>487</v>
      </c>
      <c r="J42" s="88" t="s">
        <v>444</v>
      </c>
      <c r="K42" s="88" t="s">
        <v>418</v>
      </c>
      <c r="L42" s="88" t="s">
        <v>445</v>
      </c>
      <c r="M42" s="94" t="str">
        <f t="shared" si="0"/>
        <v>View on Google Map</v>
      </c>
    </row>
    <row r="43" spans="1:14" ht="12.75" customHeight="1" x14ac:dyDescent="0.2">
      <c r="A43" s="88">
        <v>160</v>
      </c>
      <c r="B43" s="88" t="s">
        <v>488</v>
      </c>
      <c r="C43" s="88" t="s">
        <v>418</v>
      </c>
      <c r="D43" s="88">
        <v>68.599999999999994</v>
      </c>
      <c r="E43" s="88">
        <v>-149.18333333333334</v>
      </c>
      <c r="F43" s="88">
        <v>864</v>
      </c>
      <c r="G43" s="88" t="s">
        <v>429</v>
      </c>
      <c r="H43" s="88" t="s">
        <v>489</v>
      </c>
      <c r="I43" s="88" t="s">
        <v>490</v>
      </c>
      <c r="J43" s="88" t="s">
        <v>444</v>
      </c>
      <c r="K43" s="88">
        <v>246</v>
      </c>
      <c r="L43" s="88" t="s">
        <v>445</v>
      </c>
      <c r="M43" s="94" t="str">
        <f t="shared" si="0"/>
        <v>View on Google Map</v>
      </c>
    </row>
    <row r="44" spans="1:14" ht="12.75" customHeight="1" x14ac:dyDescent="0.2">
      <c r="A44" s="88">
        <v>481</v>
      </c>
      <c r="B44" s="88" t="s">
        <v>491</v>
      </c>
      <c r="C44" s="88" t="s">
        <v>418</v>
      </c>
      <c r="D44" s="88">
        <v>68.976716667000005</v>
      </c>
      <c r="E44" s="88">
        <v>-150.20383333300001</v>
      </c>
      <c r="F44" s="88">
        <v>362</v>
      </c>
      <c r="G44" s="88" t="s">
        <v>429</v>
      </c>
      <c r="H44" s="88" t="s">
        <v>418</v>
      </c>
      <c r="I44" s="88" t="s">
        <v>418</v>
      </c>
      <c r="J44" s="88" t="s">
        <v>479</v>
      </c>
      <c r="K44" s="88" t="s">
        <v>418</v>
      </c>
      <c r="L44" s="88" t="s">
        <v>426</v>
      </c>
      <c r="M44" s="94" t="str">
        <f t="shared" si="0"/>
        <v>View on Google Map</v>
      </c>
    </row>
    <row r="45" spans="1:14" x14ac:dyDescent="0.2">
      <c r="A45" s="88">
        <v>21</v>
      </c>
      <c r="B45" s="88" t="s">
        <v>492</v>
      </c>
      <c r="C45" s="88" t="s">
        <v>418</v>
      </c>
      <c r="D45" s="88" t="s">
        <v>418</v>
      </c>
      <c r="E45" s="88" t="s">
        <v>418</v>
      </c>
      <c r="F45" s="88" t="s">
        <v>418</v>
      </c>
      <c r="G45" s="88" t="s">
        <v>443</v>
      </c>
      <c r="H45" s="88" t="s">
        <v>418</v>
      </c>
      <c r="I45" s="88" t="s">
        <v>418</v>
      </c>
      <c r="J45" s="88" t="s">
        <v>444</v>
      </c>
      <c r="K45" s="88" t="s">
        <v>418</v>
      </c>
      <c r="L45" s="88" t="s">
        <v>418</v>
      </c>
      <c r="M45" s="94" t="str">
        <f t="shared" si="0"/>
        <v>View on Google Map</v>
      </c>
      <c r="N45" s="95"/>
    </row>
    <row r="46" spans="1:14" x14ac:dyDescent="0.2">
      <c r="A46" s="88">
        <v>470</v>
      </c>
      <c r="B46" s="88" t="s">
        <v>493</v>
      </c>
      <c r="C46" s="88" t="s">
        <v>418</v>
      </c>
      <c r="D46" s="88">
        <v>68.829459999999997</v>
      </c>
      <c r="E46" s="88">
        <v>-149.77891</v>
      </c>
      <c r="F46" s="88">
        <v>634</v>
      </c>
      <c r="G46" s="88" t="s">
        <v>429</v>
      </c>
      <c r="H46" s="88" t="s">
        <v>418</v>
      </c>
      <c r="I46" s="88" t="s">
        <v>418</v>
      </c>
      <c r="J46" s="88" t="s">
        <v>430</v>
      </c>
      <c r="K46" s="88" t="s">
        <v>418</v>
      </c>
      <c r="L46" s="88" t="s">
        <v>418</v>
      </c>
      <c r="M46" s="94" t="str">
        <f t="shared" si="0"/>
        <v>View on Google Map</v>
      </c>
    </row>
    <row r="47" spans="1:14" x14ac:dyDescent="0.2">
      <c r="A47" s="88">
        <v>471</v>
      </c>
      <c r="B47" s="88" t="s">
        <v>494</v>
      </c>
      <c r="C47" s="88" t="s">
        <v>418</v>
      </c>
      <c r="D47" s="88">
        <v>68.832939999999994</v>
      </c>
      <c r="E47" s="88">
        <v>-149.76775000000001</v>
      </c>
      <c r="F47" s="88">
        <v>624</v>
      </c>
      <c r="G47" s="88" t="s">
        <v>429</v>
      </c>
      <c r="H47" s="88" t="s">
        <v>418</v>
      </c>
      <c r="I47" s="88" t="s">
        <v>418</v>
      </c>
      <c r="J47" s="88" t="s">
        <v>430</v>
      </c>
      <c r="K47" s="88" t="s">
        <v>418</v>
      </c>
      <c r="L47" s="88" t="s">
        <v>418</v>
      </c>
      <c r="M47" s="94" t="str">
        <f t="shared" si="0"/>
        <v>View on Google Map</v>
      </c>
    </row>
    <row r="48" spans="1:14" x14ac:dyDescent="0.2">
      <c r="A48" s="88">
        <v>472</v>
      </c>
      <c r="B48" s="88" t="s">
        <v>495</v>
      </c>
      <c r="C48" s="88" t="s">
        <v>418</v>
      </c>
      <c r="D48" s="88">
        <v>68.828059999999994</v>
      </c>
      <c r="E48" s="88">
        <v>-149.76449</v>
      </c>
      <c r="F48" s="88">
        <v>624</v>
      </c>
      <c r="G48" s="88" t="s">
        <v>429</v>
      </c>
      <c r="H48" s="88" t="s">
        <v>418</v>
      </c>
      <c r="I48" s="88" t="s">
        <v>418</v>
      </c>
      <c r="J48" s="88" t="s">
        <v>430</v>
      </c>
      <c r="K48" s="88" t="s">
        <v>418</v>
      </c>
      <c r="L48" s="88" t="s">
        <v>418</v>
      </c>
      <c r="M48" s="94" t="str">
        <f t="shared" si="0"/>
        <v>View on Google Map</v>
      </c>
    </row>
    <row r="49" spans="1:13" x14ac:dyDescent="0.2">
      <c r="A49" s="88">
        <v>473</v>
      </c>
      <c r="B49" s="88" t="s">
        <v>496</v>
      </c>
      <c r="C49" s="88" t="s">
        <v>418</v>
      </c>
      <c r="D49" s="88">
        <v>68.826400000000007</v>
      </c>
      <c r="E49" s="88">
        <v>-149.7585</v>
      </c>
      <c r="F49" s="88">
        <v>592</v>
      </c>
      <c r="G49" s="88" t="s">
        <v>429</v>
      </c>
      <c r="H49" s="88" t="s">
        <v>418</v>
      </c>
      <c r="I49" s="88" t="s">
        <v>418</v>
      </c>
      <c r="J49" s="88" t="s">
        <v>430</v>
      </c>
      <c r="K49" s="88" t="s">
        <v>418</v>
      </c>
      <c r="L49" s="88" t="s">
        <v>418</v>
      </c>
      <c r="M49" s="94" t="str">
        <f t="shared" si="0"/>
        <v>View on Google Map</v>
      </c>
    </row>
    <row r="50" spans="1:13" x14ac:dyDescent="0.2">
      <c r="A50" s="88">
        <v>474</v>
      </c>
      <c r="B50" s="88" t="s">
        <v>497</v>
      </c>
      <c r="C50" s="88" t="s">
        <v>418</v>
      </c>
      <c r="D50" s="88">
        <v>68.827349999999996</v>
      </c>
      <c r="E50" s="88">
        <v>-149.74993000000001</v>
      </c>
      <c r="F50" s="88">
        <v>592</v>
      </c>
      <c r="G50" s="88" t="s">
        <v>429</v>
      </c>
      <c r="H50" s="88" t="s">
        <v>418</v>
      </c>
      <c r="I50" s="88" t="s">
        <v>418</v>
      </c>
      <c r="J50" s="88" t="s">
        <v>430</v>
      </c>
      <c r="K50" s="88" t="s">
        <v>418</v>
      </c>
      <c r="L50" s="88" t="s">
        <v>418</v>
      </c>
      <c r="M50" s="94" t="str">
        <f t="shared" si="0"/>
        <v>View on Google Map</v>
      </c>
    </row>
    <row r="51" spans="1:13" x14ac:dyDescent="0.2">
      <c r="A51" s="88">
        <v>475</v>
      </c>
      <c r="B51" s="88" t="s">
        <v>498</v>
      </c>
      <c r="C51" s="88" t="s">
        <v>418</v>
      </c>
      <c r="D51" s="88">
        <v>68.831180000000003</v>
      </c>
      <c r="E51" s="88">
        <v>-149.74606</v>
      </c>
      <c r="F51" s="88">
        <v>593</v>
      </c>
      <c r="G51" s="88" t="s">
        <v>429</v>
      </c>
      <c r="H51" s="88" t="s">
        <v>499</v>
      </c>
      <c r="I51" s="88" t="s">
        <v>418</v>
      </c>
      <c r="J51" s="88" t="s">
        <v>430</v>
      </c>
      <c r="K51" s="88" t="s">
        <v>418</v>
      </c>
      <c r="L51" s="88" t="s">
        <v>418</v>
      </c>
      <c r="M51" s="94" t="str">
        <f t="shared" si="0"/>
        <v>View on Google Map</v>
      </c>
    </row>
    <row r="52" spans="1:13" x14ac:dyDescent="0.2">
      <c r="A52" s="88">
        <v>476</v>
      </c>
      <c r="B52" s="88" t="s">
        <v>500</v>
      </c>
      <c r="C52" s="88" t="s">
        <v>418</v>
      </c>
      <c r="D52" s="88">
        <v>68.825339999999997</v>
      </c>
      <c r="E52" s="88">
        <v>-149.76837</v>
      </c>
      <c r="F52" s="88">
        <v>621</v>
      </c>
      <c r="G52" s="88" t="s">
        <v>429</v>
      </c>
      <c r="H52" s="88" t="s">
        <v>418</v>
      </c>
      <c r="I52" s="88" t="s">
        <v>418</v>
      </c>
      <c r="J52" s="88" t="s">
        <v>430</v>
      </c>
      <c r="K52" s="88" t="s">
        <v>418</v>
      </c>
      <c r="L52" s="88" t="s">
        <v>418</v>
      </c>
      <c r="M52" s="94" t="str">
        <f t="shared" si="0"/>
        <v>View on Google Map</v>
      </c>
    </row>
    <row r="53" spans="1:13" x14ac:dyDescent="0.2">
      <c r="A53" s="88">
        <v>477</v>
      </c>
      <c r="B53" s="88" t="s">
        <v>501</v>
      </c>
      <c r="C53" s="88" t="s">
        <v>418</v>
      </c>
      <c r="D53" s="88">
        <v>68.821740000000005</v>
      </c>
      <c r="E53" s="88">
        <v>-149.76378</v>
      </c>
      <c r="F53" s="88">
        <v>605</v>
      </c>
      <c r="G53" s="88" t="s">
        <v>429</v>
      </c>
      <c r="H53" s="88" t="s">
        <v>418</v>
      </c>
      <c r="I53" s="88" t="s">
        <v>418</v>
      </c>
      <c r="J53" s="88" t="s">
        <v>430</v>
      </c>
      <c r="K53" s="88" t="s">
        <v>418</v>
      </c>
      <c r="L53" s="88" t="s">
        <v>418</v>
      </c>
      <c r="M53" s="94" t="str">
        <f t="shared" si="0"/>
        <v>View on Google Map</v>
      </c>
    </row>
    <row r="54" spans="1:13" x14ac:dyDescent="0.2">
      <c r="A54" s="88">
        <v>1174</v>
      </c>
      <c r="B54" s="88" t="s">
        <v>502</v>
      </c>
      <c r="C54" s="88" t="s">
        <v>418</v>
      </c>
      <c r="D54" s="88">
        <v>68.933938330000004</v>
      </c>
      <c r="E54" s="88">
        <v>-150.27111830000001</v>
      </c>
      <c r="F54" s="88" t="s">
        <v>418</v>
      </c>
      <c r="G54" s="88" t="s">
        <v>419</v>
      </c>
      <c r="H54" s="88" t="s">
        <v>418</v>
      </c>
      <c r="I54" s="88" t="s">
        <v>418</v>
      </c>
      <c r="J54" s="88" t="s">
        <v>425</v>
      </c>
      <c r="K54" s="88" t="s">
        <v>418</v>
      </c>
      <c r="L54" s="88" t="s">
        <v>426</v>
      </c>
      <c r="M54" s="94" t="str">
        <f t="shared" si="0"/>
        <v>View on Google Map</v>
      </c>
    </row>
    <row r="55" spans="1:13" x14ac:dyDescent="0.2">
      <c r="A55" s="88">
        <v>242</v>
      </c>
      <c r="B55" s="88" t="s">
        <v>503</v>
      </c>
      <c r="C55" s="88" t="s">
        <v>418</v>
      </c>
      <c r="D55" s="88" t="s">
        <v>418</v>
      </c>
      <c r="E55" s="88" t="s">
        <v>418</v>
      </c>
      <c r="F55" s="88">
        <v>390.2439024390244</v>
      </c>
      <c r="G55" s="88" t="s">
        <v>429</v>
      </c>
      <c r="H55" s="88" t="s">
        <v>418</v>
      </c>
      <c r="I55" s="88" t="s">
        <v>418</v>
      </c>
      <c r="J55" s="88" t="s">
        <v>444</v>
      </c>
      <c r="K55" s="88" t="s">
        <v>418</v>
      </c>
      <c r="L55" s="88" t="s">
        <v>504</v>
      </c>
      <c r="M55" s="94" t="str">
        <f t="shared" si="0"/>
        <v>View on Google Map</v>
      </c>
    </row>
    <row r="56" spans="1:13" x14ac:dyDescent="0.2">
      <c r="A56" s="88">
        <v>192</v>
      </c>
      <c r="B56" s="88" t="s">
        <v>505</v>
      </c>
      <c r="C56" s="88" t="s">
        <v>418</v>
      </c>
      <c r="D56" s="88">
        <v>69.233333333333334</v>
      </c>
      <c r="E56" s="88">
        <v>-148.94999999999999</v>
      </c>
      <c r="F56" s="88">
        <v>325</v>
      </c>
      <c r="G56" s="88" t="s">
        <v>429</v>
      </c>
      <c r="H56" s="88" t="s">
        <v>506</v>
      </c>
      <c r="I56" s="88" t="s">
        <v>418</v>
      </c>
      <c r="J56" s="88" t="s">
        <v>444</v>
      </c>
      <c r="K56" s="88" t="s">
        <v>418</v>
      </c>
      <c r="L56" s="88" t="s">
        <v>507</v>
      </c>
      <c r="M56" s="94" t="str">
        <f t="shared" si="0"/>
        <v>View on Google Map</v>
      </c>
    </row>
    <row r="57" spans="1:13" x14ac:dyDescent="0.2">
      <c r="A57" s="88">
        <v>277</v>
      </c>
      <c r="B57" s="88" t="s">
        <v>505</v>
      </c>
      <c r="C57" s="88" t="s">
        <v>418</v>
      </c>
      <c r="D57" s="88">
        <v>70.374600000000001</v>
      </c>
      <c r="E57" s="88">
        <v>-149.06383333333332</v>
      </c>
      <c r="F57" s="88">
        <v>6</v>
      </c>
      <c r="G57" s="88" t="s">
        <v>429</v>
      </c>
      <c r="H57" s="88" t="s">
        <v>508</v>
      </c>
      <c r="I57" s="88" t="s">
        <v>418</v>
      </c>
      <c r="J57" s="88" t="s">
        <v>444</v>
      </c>
      <c r="K57" s="88" t="s">
        <v>418</v>
      </c>
      <c r="L57" s="88" t="s">
        <v>509</v>
      </c>
      <c r="M57" s="94" t="str">
        <f t="shared" si="0"/>
        <v>View on Google Map</v>
      </c>
    </row>
    <row r="58" spans="1:13" x14ac:dyDescent="0.2">
      <c r="A58" s="88">
        <v>193</v>
      </c>
      <c r="B58" s="88" t="s">
        <v>510</v>
      </c>
      <c r="C58" s="88" t="s">
        <v>418</v>
      </c>
      <c r="D58" s="88">
        <v>69.283333333333331</v>
      </c>
      <c r="E58" s="88">
        <v>-148.9</v>
      </c>
      <c r="F58" s="88">
        <v>346</v>
      </c>
      <c r="G58" s="88" t="s">
        <v>429</v>
      </c>
      <c r="H58" s="88" t="s">
        <v>511</v>
      </c>
      <c r="I58" s="88" t="s">
        <v>418</v>
      </c>
      <c r="J58" s="88" t="s">
        <v>444</v>
      </c>
      <c r="K58" s="88" t="s">
        <v>418</v>
      </c>
      <c r="L58" s="88" t="s">
        <v>507</v>
      </c>
      <c r="M58" s="94" t="str">
        <f t="shared" si="0"/>
        <v>View on Google Map</v>
      </c>
    </row>
    <row r="59" spans="1:13" x14ac:dyDescent="0.2">
      <c r="A59" s="88">
        <v>278</v>
      </c>
      <c r="B59" s="88" t="s">
        <v>510</v>
      </c>
      <c r="C59" s="88" t="s">
        <v>418</v>
      </c>
      <c r="D59" s="88">
        <v>70.374600000000001</v>
      </c>
      <c r="E59" s="88">
        <v>-149.06383333333332</v>
      </c>
      <c r="F59" s="88">
        <v>6</v>
      </c>
      <c r="G59" s="88" t="s">
        <v>429</v>
      </c>
      <c r="H59" s="88" t="s">
        <v>512</v>
      </c>
      <c r="I59" s="88" t="s">
        <v>418</v>
      </c>
      <c r="J59" s="88" t="s">
        <v>444</v>
      </c>
      <c r="K59" s="88" t="s">
        <v>418</v>
      </c>
      <c r="L59" s="88" t="s">
        <v>509</v>
      </c>
      <c r="M59" s="94" t="str">
        <f t="shared" si="0"/>
        <v>View on Google Map</v>
      </c>
    </row>
    <row r="60" spans="1:13" x14ac:dyDescent="0.2">
      <c r="A60" s="88">
        <v>194</v>
      </c>
      <c r="B60" s="88" t="s">
        <v>513</v>
      </c>
      <c r="C60" s="88" t="s">
        <v>418</v>
      </c>
      <c r="D60" s="88">
        <v>69.716666666666669</v>
      </c>
      <c r="E60" s="88">
        <v>-149.44999999999999</v>
      </c>
      <c r="F60" s="88">
        <v>91</v>
      </c>
      <c r="G60" s="88" t="s">
        <v>429</v>
      </c>
      <c r="H60" s="88" t="s">
        <v>514</v>
      </c>
      <c r="I60" s="88" t="s">
        <v>418</v>
      </c>
      <c r="J60" s="88" t="s">
        <v>444</v>
      </c>
      <c r="K60" s="88" t="s">
        <v>418</v>
      </c>
      <c r="L60" s="88" t="s">
        <v>507</v>
      </c>
      <c r="M60" s="94" t="str">
        <f t="shared" si="0"/>
        <v>View on Google Map</v>
      </c>
    </row>
    <row r="61" spans="1:13" x14ac:dyDescent="0.2">
      <c r="A61" s="88">
        <v>279</v>
      </c>
      <c r="B61" s="88" t="s">
        <v>513</v>
      </c>
      <c r="C61" s="88" t="s">
        <v>418</v>
      </c>
      <c r="D61" s="88">
        <v>70.367750000000001</v>
      </c>
      <c r="E61" s="88">
        <v>-148.8357</v>
      </c>
      <c r="F61" s="88">
        <v>6</v>
      </c>
      <c r="G61" s="88" t="s">
        <v>429</v>
      </c>
      <c r="H61" s="88" t="s">
        <v>515</v>
      </c>
      <c r="I61" s="88" t="s">
        <v>418</v>
      </c>
      <c r="J61" s="88" t="s">
        <v>444</v>
      </c>
      <c r="K61" s="88" t="s">
        <v>418</v>
      </c>
      <c r="L61" s="88" t="s">
        <v>509</v>
      </c>
      <c r="M61" s="94" t="str">
        <f t="shared" si="0"/>
        <v>View on Google Map</v>
      </c>
    </row>
    <row r="62" spans="1:13" x14ac:dyDescent="0.2">
      <c r="A62" s="88">
        <v>195</v>
      </c>
      <c r="B62" s="88" t="s">
        <v>516</v>
      </c>
      <c r="C62" s="88" t="s">
        <v>418</v>
      </c>
      <c r="D62" s="88">
        <v>69.716666666666669</v>
      </c>
      <c r="E62" s="88">
        <v>-149.44999999999999</v>
      </c>
      <c r="F62" s="88">
        <v>91</v>
      </c>
      <c r="G62" s="88" t="s">
        <v>429</v>
      </c>
      <c r="H62" s="88" t="s">
        <v>517</v>
      </c>
      <c r="I62" s="88" t="s">
        <v>418</v>
      </c>
      <c r="J62" s="88" t="s">
        <v>444</v>
      </c>
      <c r="K62" s="88" t="s">
        <v>418</v>
      </c>
      <c r="L62" s="88" t="s">
        <v>507</v>
      </c>
      <c r="M62" s="94" t="str">
        <f t="shared" si="0"/>
        <v>View on Google Map</v>
      </c>
    </row>
    <row r="63" spans="1:13" x14ac:dyDescent="0.2">
      <c r="A63" s="88">
        <v>280</v>
      </c>
      <c r="B63" s="88" t="s">
        <v>516</v>
      </c>
      <c r="C63" s="88" t="s">
        <v>418</v>
      </c>
      <c r="D63" s="88">
        <v>70.367750000000001</v>
      </c>
      <c r="E63" s="88">
        <v>-148.8357</v>
      </c>
      <c r="F63" s="88">
        <v>6</v>
      </c>
      <c r="G63" s="88" t="s">
        <v>429</v>
      </c>
      <c r="H63" s="88" t="s">
        <v>518</v>
      </c>
      <c r="I63" s="88" t="s">
        <v>418</v>
      </c>
      <c r="J63" s="88" t="s">
        <v>444</v>
      </c>
      <c r="K63" s="88" t="s">
        <v>418</v>
      </c>
      <c r="L63" s="88" t="s">
        <v>509</v>
      </c>
      <c r="M63" s="94" t="str">
        <f t="shared" si="0"/>
        <v>View on Google Map</v>
      </c>
    </row>
    <row r="64" spans="1:13" x14ac:dyDescent="0.2">
      <c r="A64" s="88">
        <v>196</v>
      </c>
      <c r="B64" s="88" t="s">
        <v>519</v>
      </c>
      <c r="C64" s="88" t="s">
        <v>418</v>
      </c>
      <c r="D64" s="88">
        <v>69.833333333333329</v>
      </c>
      <c r="E64" s="88">
        <v>-149.75</v>
      </c>
      <c r="F64" s="88">
        <v>80</v>
      </c>
      <c r="G64" s="88" t="s">
        <v>429</v>
      </c>
      <c r="H64" s="88" t="s">
        <v>520</v>
      </c>
      <c r="I64" s="88" t="s">
        <v>418</v>
      </c>
      <c r="J64" s="88" t="s">
        <v>444</v>
      </c>
      <c r="K64" s="88" t="s">
        <v>418</v>
      </c>
      <c r="L64" s="88" t="s">
        <v>507</v>
      </c>
      <c r="M64" s="94" t="str">
        <f t="shared" si="0"/>
        <v>View on Google Map</v>
      </c>
    </row>
    <row r="65" spans="1:13" x14ac:dyDescent="0.2">
      <c r="A65" s="88">
        <v>281</v>
      </c>
      <c r="B65" s="88" t="s">
        <v>519</v>
      </c>
      <c r="C65" s="88" t="s">
        <v>418</v>
      </c>
      <c r="D65" s="88">
        <v>70.26821666666666</v>
      </c>
      <c r="E65" s="88">
        <v>-149.20859999999999</v>
      </c>
      <c r="F65" s="88">
        <v>15</v>
      </c>
      <c r="G65" s="88" t="s">
        <v>429</v>
      </c>
      <c r="H65" s="88" t="s">
        <v>521</v>
      </c>
      <c r="I65" s="88" t="s">
        <v>418</v>
      </c>
      <c r="J65" s="88" t="s">
        <v>444</v>
      </c>
      <c r="K65" s="88" t="s">
        <v>418</v>
      </c>
      <c r="L65" s="88" t="s">
        <v>509</v>
      </c>
      <c r="M65" s="94" t="str">
        <f t="shared" si="0"/>
        <v>View on Google Map</v>
      </c>
    </row>
    <row r="66" spans="1:13" x14ac:dyDescent="0.2">
      <c r="A66" s="88">
        <v>197</v>
      </c>
      <c r="B66" s="88" t="s">
        <v>522</v>
      </c>
      <c r="C66" s="88" t="s">
        <v>418</v>
      </c>
      <c r="D66" s="88">
        <v>70.283333333333331</v>
      </c>
      <c r="E66" s="88">
        <v>-150.19999999999999</v>
      </c>
      <c r="F66" s="88">
        <v>12</v>
      </c>
      <c r="G66" s="88" t="s">
        <v>429</v>
      </c>
      <c r="H66" s="88" t="s">
        <v>523</v>
      </c>
      <c r="I66" s="88" t="s">
        <v>418</v>
      </c>
      <c r="J66" s="88" t="s">
        <v>444</v>
      </c>
      <c r="K66" s="88" t="s">
        <v>418</v>
      </c>
      <c r="L66" s="88" t="s">
        <v>507</v>
      </c>
      <c r="M66" s="94" t="str">
        <f t="shared" si="0"/>
        <v>View on Google Map</v>
      </c>
    </row>
    <row r="67" spans="1:13" x14ac:dyDescent="0.2">
      <c r="A67" s="88">
        <v>282</v>
      </c>
      <c r="B67" s="88" t="s">
        <v>522</v>
      </c>
      <c r="C67" s="88" t="s">
        <v>418</v>
      </c>
      <c r="D67" s="88">
        <v>70.26821666666666</v>
      </c>
      <c r="E67" s="88">
        <v>-149.20859999999999</v>
      </c>
      <c r="F67" s="88">
        <v>15</v>
      </c>
      <c r="G67" s="88" t="s">
        <v>429</v>
      </c>
      <c r="H67" s="88" t="s">
        <v>524</v>
      </c>
      <c r="I67" s="88" t="s">
        <v>418</v>
      </c>
      <c r="J67" s="88" t="s">
        <v>444</v>
      </c>
      <c r="K67" s="88" t="s">
        <v>418</v>
      </c>
      <c r="L67" s="88" t="s">
        <v>509</v>
      </c>
      <c r="M67" s="94" t="str">
        <f t="shared" ref="M67:M130" si="1">HYPERLINK("http://maps.google.com/maps?q="&amp;D67&amp;","&amp;E67,"View on Google Map")</f>
        <v>View on Google Map</v>
      </c>
    </row>
    <row r="68" spans="1:13" x14ac:dyDescent="0.2">
      <c r="A68" s="88">
        <v>198</v>
      </c>
      <c r="B68" s="88" t="s">
        <v>525</v>
      </c>
      <c r="C68" s="88" t="s">
        <v>418</v>
      </c>
      <c r="D68" s="88">
        <v>70.283333333333331</v>
      </c>
      <c r="E68" s="88">
        <v>-150.19999999999999</v>
      </c>
      <c r="F68" s="88">
        <v>12</v>
      </c>
      <c r="G68" s="88" t="s">
        <v>429</v>
      </c>
      <c r="H68" s="88" t="s">
        <v>526</v>
      </c>
      <c r="I68" s="88" t="s">
        <v>418</v>
      </c>
      <c r="J68" s="88" t="s">
        <v>444</v>
      </c>
      <c r="K68" s="88" t="s">
        <v>418</v>
      </c>
      <c r="L68" s="88" t="s">
        <v>507</v>
      </c>
      <c r="M68" s="94" t="str">
        <f t="shared" si="1"/>
        <v>View on Google Map</v>
      </c>
    </row>
    <row r="69" spans="1:13" x14ac:dyDescent="0.2">
      <c r="A69" s="88">
        <v>283</v>
      </c>
      <c r="B69" s="88" t="s">
        <v>525</v>
      </c>
      <c r="C69" s="88" t="s">
        <v>418</v>
      </c>
      <c r="D69" s="88">
        <v>70.184266666666673</v>
      </c>
      <c r="E69" s="88">
        <v>-149.15443333333334</v>
      </c>
      <c r="F69" s="88">
        <v>15</v>
      </c>
      <c r="G69" s="88" t="s">
        <v>429</v>
      </c>
      <c r="H69" s="88" t="s">
        <v>527</v>
      </c>
      <c r="I69" s="88" t="s">
        <v>418</v>
      </c>
      <c r="J69" s="88" t="s">
        <v>444</v>
      </c>
      <c r="K69" s="88" t="s">
        <v>418</v>
      </c>
      <c r="L69" s="88" t="s">
        <v>509</v>
      </c>
      <c r="M69" s="94" t="str">
        <f t="shared" si="1"/>
        <v>View on Google Map</v>
      </c>
    </row>
    <row r="70" spans="1:13" x14ac:dyDescent="0.2">
      <c r="A70" s="88">
        <v>199</v>
      </c>
      <c r="B70" s="88" t="s">
        <v>528</v>
      </c>
      <c r="C70" s="88" t="s">
        <v>418</v>
      </c>
      <c r="D70" s="88">
        <v>70.416666666666671</v>
      </c>
      <c r="E70" s="88">
        <v>-150.19999999999999</v>
      </c>
      <c r="F70" s="88">
        <v>4</v>
      </c>
      <c r="G70" s="88" t="s">
        <v>429</v>
      </c>
      <c r="H70" s="88" t="s">
        <v>529</v>
      </c>
      <c r="I70" s="88" t="s">
        <v>418</v>
      </c>
      <c r="J70" s="88" t="s">
        <v>444</v>
      </c>
      <c r="K70" s="88" t="s">
        <v>418</v>
      </c>
      <c r="L70" s="88" t="s">
        <v>507</v>
      </c>
      <c r="M70" s="94" t="str">
        <f t="shared" si="1"/>
        <v>View on Google Map</v>
      </c>
    </row>
    <row r="71" spans="1:13" x14ac:dyDescent="0.2">
      <c r="A71" s="88">
        <v>284</v>
      </c>
      <c r="B71" s="88" t="s">
        <v>528</v>
      </c>
      <c r="C71" s="88" t="s">
        <v>418</v>
      </c>
      <c r="D71" s="88">
        <v>70.184266666666673</v>
      </c>
      <c r="E71" s="88">
        <v>-149.15443333333334</v>
      </c>
      <c r="F71" s="88">
        <v>15</v>
      </c>
      <c r="G71" s="88" t="s">
        <v>429</v>
      </c>
      <c r="H71" s="88" t="s">
        <v>530</v>
      </c>
      <c r="I71" s="88" t="s">
        <v>418</v>
      </c>
      <c r="J71" s="88" t="s">
        <v>444</v>
      </c>
      <c r="K71" s="88" t="s">
        <v>418</v>
      </c>
      <c r="L71" s="88" t="s">
        <v>509</v>
      </c>
      <c r="M71" s="94" t="str">
        <f t="shared" si="1"/>
        <v>View on Google Map</v>
      </c>
    </row>
    <row r="72" spans="1:13" x14ac:dyDescent="0.2">
      <c r="A72" s="88">
        <v>200</v>
      </c>
      <c r="B72" s="88" t="s">
        <v>531</v>
      </c>
      <c r="C72" s="88" t="s">
        <v>418</v>
      </c>
      <c r="D72" s="88">
        <v>70.283333333333331</v>
      </c>
      <c r="E72" s="88">
        <v>-149.81666666666666</v>
      </c>
      <c r="F72" s="88">
        <v>28.963414634146343</v>
      </c>
      <c r="G72" s="88" t="s">
        <v>429</v>
      </c>
      <c r="H72" s="88" t="s">
        <v>532</v>
      </c>
      <c r="I72" s="88" t="s">
        <v>418</v>
      </c>
      <c r="J72" s="88" t="s">
        <v>444</v>
      </c>
      <c r="K72" s="88" t="s">
        <v>418</v>
      </c>
      <c r="L72" s="88" t="s">
        <v>507</v>
      </c>
      <c r="M72" s="94" t="str">
        <f t="shared" si="1"/>
        <v>View on Google Map</v>
      </c>
    </row>
    <row r="73" spans="1:13" x14ac:dyDescent="0.2">
      <c r="A73" s="88">
        <v>285</v>
      </c>
      <c r="B73" s="88" t="s">
        <v>531</v>
      </c>
      <c r="C73" s="88" t="s">
        <v>418</v>
      </c>
      <c r="D73" s="88">
        <v>70.126099999999994</v>
      </c>
      <c r="E73" s="88">
        <v>-149.33773333333335</v>
      </c>
      <c r="F73" s="88">
        <v>30</v>
      </c>
      <c r="G73" s="88" t="s">
        <v>429</v>
      </c>
      <c r="H73" s="88" t="s">
        <v>533</v>
      </c>
      <c r="I73" s="88" t="s">
        <v>418</v>
      </c>
      <c r="J73" s="88" t="s">
        <v>444</v>
      </c>
      <c r="K73" s="88" t="s">
        <v>418</v>
      </c>
      <c r="L73" s="88" t="s">
        <v>509</v>
      </c>
      <c r="M73" s="94" t="str">
        <f t="shared" si="1"/>
        <v>View on Google Map</v>
      </c>
    </row>
    <row r="74" spans="1:13" x14ac:dyDescent="0.2">
      <c r="A74" s="88">
        <v>201</v>
      </c>
      <c r="B74" s="88" t="s">
        <v>534</v>
      </c>
      <c r="C74" s="88" t="s">
        <v>418</v>
      </c>
      <c r="D74" s="88">
        <v>70.283333333333331</v>
      </c>
      <c r="E74" s="88">
        <v>-149.81666666666666</v>
      </c>
      <c r="F74" s="88">
        <v>28.963414634146343</v>
      </c>
      <c r="G74" s="88" t="s">
        <v>429</v>
      </c>
      <c r="H74" s="88" t="s">
        <v>535</v>
      </c>
      <c r="I74" s="88" t="s">
        <v>418</v>
      </c>
      <c r="J74" s="88" t="s">
        <v>444</v>
      </c>
      <c r="K74" s="88" t="s">
        <v>418</v>
      </c>
      <c r="L74" s="88" t="s">
        <v>507</v>
      </c>
      <c r="M74" s="94" t="str">
        <f t="shared" si="1"/>
        <v>View on Google Map</v>
      </c>
    </row>
    <row r="75" spans="1:13" x14ac:dyDescent="0.2">
      <c r="A75" s="88">
        <v>286</v>
      </c>
      <c r="B75" s="88" t="s">
        <v>534</v>
      </c>
      <c r="C75" s="88" t="s">
        <v>418</v>
      </c>
      <c r="D75" s="88">
        <v>70.126099999999994</v>
      </c>
      <c r="E75" s="88">
        <v>-149.33773333333335</v>
      </c>
      <c r="F75" s="88">
        <v>30</v>
      </c>
      <c r="G75" s="88" t="s">
        <v>429</v>
      </c>
      <c r="H75" s="88" t="s">
        <v>536</v>
      </c>
      <c r="I75" s="88" t="s">
        <v>418</v>
      </c>
      <c r="J75" s="88" t="s">
        <v>444</v>
      </c>
      <c r="K75" s="88" t="s">
        <v>418</v>
      </c>
      <c r="L75" s="88" t="s">
        <v>509</v>
      </c>
      <c r="M75" s="94" t="str">
        <f t="shared" si="1"/>
        <v>View on Google Map</v>
      </c>
    </row>
    <row r="76" spans="1:13" x14ac:dyDescent="0.2">
      <c r="A76" s="88">
        <v>202</v>
      </c>
      <c r="B76" s="88" t="s">
        <v>537</v>
      </c>
      <c r="C76" s="88" t="s">
        <v>418</v>
      </c>
      <c r="D76" s="88">
        <v>70.45</v>
      </c>
      <c r="E76" s="88">
        <v>-149.16666666666666</v>
      </c>
      <c r="F76" s="88">
        <v>4.8780487804878048</v>
      </c>
      <c r="G76" s="88" t="s">
        <v>429</v>
      </c>
      <c r="H76" s="88" t="s">
        <v>538</v>
      </c>
      <c r="I76" s="88" t="s">
        <v>418</v>
      </c>
      <c r="J76" s="88" t="s">
        <v>444</v>
      </c>
      <c r="K76" s="88" t="s">
        <v>418</v>
      </c>
      <c r="L76" s="88" t="s">
        <v>507</v>
      </c>
      <c r="M76" s="94" t="str">
        <f t="shared" si="1"/>
        <v>View on Google Map</v>
      </c>
    </row>
    <row r="77" spans="1:13" x14ac:dyDescent="0.2">
      <c r="A77" s="88">
        <v>287</v>
      </c>
      <c r="B77" s="88" t="s">
        <v>537</v>
      </c>
      <c r="C77" s="88" t="s">
        <v>418</v>
      </c>
      <c r="D77" s="88">
        <v>69.9221</v>
      </c>
      <c r="E77" s="88">
        <v>-149.34523333333334</v>
      </c>
      <c r="F77" s="88">
        <v>61</v>
      </c>
      <c r="G77" s="88" t="s">
        <v>429</v>
      </c>
      <c r="H77" s="88" t="s">
        <v>539</v>
      </c>
      <c r="I77" s="88" t="s">
        <v>418</v>
      </c>
      <c r="J77" s="88" t="s">
        <v>444</v>
      </c>
      <c r="K77" s="88" t="s">
        <v>418</v>
      </c>
      <c r="L77" s="88" t="s">
        <v>509</v>
      </c>
      <c r="M77" s="94" t="str">
        <f t="shared" si="1"/>
        <v>View on Google Map</v>
      </c>
    </row>
    <row r="78" spans="1:13" x14ac:dyDescent="0.2">
      <c r="A78" s="88">
        <v>203</v>
      </c>
      <c r="B78" s="88" t="s">
        <v>540</v>
      </c>
      <c r="C78" s="88" t="s">
        <v>418</v>
      </c>
      <c r="D78" s="88">
        <v>70.233333333333334</v>
      </c>
      <c r="E78" s="88">
        <v>-148.88333333333333</v>
      </c>
      <c r="F78" s="88">
        <v>17.682926829268293</v>
      </c>
      <c r="G78" s="88" t="s">
        <v>429</v>
      </c>
      <c r="H78" s="88" t="s">
        <v>541</v>
      </c>
      <c r="I78" s="88" t="s">
        <v>418</v>
      </c>
      <c r="J78" s="88" t="s">
        <v>444</v>
      </c>
      <c r="K78" s="88" t="s">
        <v>418</v>
      </c>
      <c r="L78" s="88" t="s">
        <v>507</v>
      </c>
      <c r="M78" s="94" t="str">
        <f t="shared" si="1"/>
        <v>View on Google Map</v>
      </c>
    </row>
    <row r="79" spans="1:13" x14ac:dyDescent="0.2">
      <c r="A79" s="88">
        <v>288</v>
      </c>
      <c r="B79" s="88" t="s">
        <v>540</v>
      </c>
      <c r="C79" s="88" t="s">
        <v>418</v>
      </c>
      <c r="D79" s="88">
        <v>69.9221</v>
      </c>
      <c r="E79" s="88">
        <v>-149.34523333333334</v>
      </c>
      <c r="F79" s="88">
        <v>61</v>
      </c>
      <c r="G79" s="88" t="s">
        <v>429</v>
      </c>
      <c r="H79" s="88" t="s">
        <v>542</v>
      </c>
      <c r="I79" s="88" t="s">
        <v>418</v>
      </c>
      <c r="J79" s="88" t="s">
        <v>444</v>
      </c>
      <c r="K79" s="88" t="s">
        <v>418</v>
      </c>
      <c r="L79" s="88" t="s">
        <v>509</v>
      </c>
      <c r="M79" s="94" t="str">
        <f t="shared" si="1"/>
        <v>View on Google Map</v>
      </c>
    </row>
    <row r="80" spans="1:13" x14ac:dyDescent="0.2">
      <c r="A80" s="88">
        <v>204</v>
      </c>
      <c r="B80" s="88" t="s">
        <v>543</v>
      </c>
      <c r="C80" s="88" t="s">
        <v>418</v>
      </c>
      <c r="D80" s="88">
        <v>70.233333333333334</v>
      </c>
      <c r="E80" s="88">
        <v>-148.88333333333333</v>
      </c>
      <c r="F80" s="88">
        <v>17.682926829268293</v>
      </c>
      <c r="G80" s="88" t="s">
        <v>429</v>
      </c>
      <c r="H80" s="88" t="s">
        <v>544</v>
      </c>
      <c r="I80" s="88" t="s">
        <v>418</v>
      </c>
      <c r="J80" s="88" t="s">
        <v>444</v>
      </c>
      <c r="K80" s="88" t="s">
        <v>418</v>
      </c>
      <c r="L80" s="88" t="s">
        <v>507</v>
      </c>
      <c r="M80" s="94" t="str">
        <f t="shared" si="1"/>
        <v>View on Google Map</v>
      </c>
    </row>
    <row r="81" spans="1:13" x14ac:dyDescent="0.2">
      <c r="A81" s="88">
        <v>289</v>
      </c>
      <c r="B81" s="88" t="s">
        <v>543</v>
      </c>
      <c r="C81" s="88" t="s">
        <v>418</v>
      </c>
      <c r="D81" s="88">
        <v>69.986533333333327</v>
      </c>
      <c r="E81" s="88">
        <v>-150.08543333333333</v>
      </c>
      <c r="F81" s="88">
        <v>125</v>
      </c>
      <c r="G81" s="88" t="s">
        <v>429</v>
      </c>
      <c r="H81" s="88" t="s">
        <v>545</v>
      </c>
      <c r="I81" s="88" t="s">
        <v>418</v>
      </c>
      <c r="J81" s="88" t="s">
        <v>444</v>
      </c>
      <c r="K81" s="88" t="s">
        <v>418</v>
      </c>
      <c r="L81" s="88" t="s">
        <v>509</v>
      </c>
      <c r="M81" s="94" t="str">
        <f t="shared" si="1"/>
        <v>View on Google Map</v>
      </c>
    </row>
    <row r="82" spans="1:13" x14ac:dyDescent="0.2">
      <c r="A82" s="88">
        <v>205</v>
      </c>
      <c r="B82" s="88" t="s">
        <v>546</v>
      </c>
      <c r="C82" s="88" t="s">
        <v>418</v>
      </c>
      <c r="D82" s="88">
        <v>70.13333333333334</v>
      </c>
      <c r="E82" s="88">
        <v>-148.6</v>
      </c>
      <c r="F82" s="88">
        <v>24.390243902439025</v>
      </c>
      <c r="G82" s="88" t="s">
        <v>429</v>
      </c>
      <c r="H82" s="88" t="s">
        <v>547</v>
      </c>
      <c r="I82" s="88" t="s">
        <v>418</v>
      </c>
      <c r="J82" s="88" t="s">
        <v>444</v>
      </c>
      <c r="K82" s="88" t="s">
        <v>418</v>
      </c>
      <c r="L82" s="88" t="s">
        <v>507</v>
      </c>
      <c r="M82" s="94" t="str">
        <f t="shared" si="1"/>
        <v>View on Google Map</v>
      </c>
    </row>
    <row r="83" spans="1:13" x14ac:dyDescent="0.2">
      <c r="A83" s="88">
        <v>290</v>
      </c>
      <c r="B83" s="88" t="s">
        <v>546</v>
      </c>
      <c r="C83" s="88" t="s">
        <v>418</v>
      </c>
      <c r="D83" s="88">
        <v>69.986533333333327</v>
      </c>
      <c r="E83" s="88">
        <v>-150.08543333333333</v>
      </c>
      <c r="F83" s="88">
        <v>125</v>
      </c>
      <c r="G83" s="88" t="s">
        <v>429</v>
      </c>
      <c r="H83" s="88" t="s">
        <v>548</v>
      </c>
      <c r="I83" s="88" t="s">
        <v>418</v>
      </c>
      <c r="J83" s="88" t="s">
        <v>444</v>
      </c>
      <c r="K83" s="88" t="s">
        <v>418</v>
      </c>
      <c r="L83" s="88" t="s">
        <v>509</v>
      </c>
      <c r="M83" s="94" t="str">
        <f t="shared" si="1"/>
        <v>View on Google Map</v>
      </c>
    </row>
    <row r="84" spans="1:13" x14ac:dyDescent="0.2">
      <c r="A84" s="88">
        <v>291</v>
      </c>
      <c r="B84" s="88" t="s">
        <v>549</v>
      </c>
      <c r="C84" s="88" t="s">
        <v>418</v>
      </c>
      <c r="D84" s="88">
        <v>69.639166666666668</v>
      </c>
      <c r="E84" s="88">
        <v>-149.73946666666666</v>
      </c>
      <c r="F84" s="88">
        <v>91</v>
      </c>
      <c r="G84" s="88" t="s">
        <v>429</v>
      </c>
      <c r="H84" s="88" t="s">
        <v>550</v>
      </c>
      <c r="I84" s="88" t="s">
        <v>418</v>
      </c>
      <c r="J84" s="88" t="s">
        <v>444</v>
      </c>
      <c r="K84" s="88" t="s">
        <v>418</v>
      </c>
      <c r="L84" s="88" t="s">
        <v>509</v>
      </c>
      <c r="M84" s="94" t="str">
        <f t="shared" si="1"/>
        <v>View on Google Map</v>
      </c>
    </row>
    <row r="85" spans="1:13" x14ac:dyDescent="0.2">
      <c r="A85" s="88">
        <v>206</v>
      </c>
      <c r="B85" s="88" t="s">
        <v>551</v>
      </c>
      <c r="C85" s="88" t="s">
        <v>418</v>
      </c>
      <c r="D85" s="88">
        <v>70.11666666666666</v>
      </c>
      <c r="E85" s="88">
        <v>-146.16666666666666</v>
      </c>
      <c r="F85" s="88">
        <v>3.0487804878048781</v>
      </c>
      <c r="G85" s="88" t="s">
        <v>429</v>
      </c>
      <c r="H85" s="88" t="s">
        <v>552</v>
      </c>
      <c r="I85" s="88" t="s">
        <v>418</v>
      </c>
      <c r="J85" s="88" t="s">
        <v>444</v>
      </c>
      <c r="K85" s="88" t="s">
        <v>418</v>
      </c>
      <c r="L85" s="88" t="s">
        <v>507</v>
      </c>
      <c r="M85" s="94" t="str">
        <f t="shared" si="1"/>
        <v>View on Google Map</v>
      </c>
    </row>
    <row r="86" spans="1:13" x14ac:dyDescent="0.2">
      <c r="A86" s="88">
        <v>292</v>
      </c>
      <c r="B86" s="88" t="s">
        <v>551</v>
      </c>
      <c r="C86" s="88" t="s">
        <v>418</v>
      </c>
      <c r="D86" s="88">
        <v>69.639166666666668</v>
      </c>
      <c r="E86" s="88">
        <v>-149.73946666666666</v>
      </c>
      <c r="F86" s="88">
        <v>91</v>
      </c>
      <c r="G86" s="88" t="s">
        <v>429</v>
      </c>
      <c r="H86" s="88" t="s">
        <v>553</v>
      </c>
      <c r="I86" s="88" t="s">
        <v>418</v>
      </c>
      <c r="J86" s="88" t="s">
        <v>444</v>
      </c>
      <c r="K86" s="88" t="s">
        <v>418</v>
      </c>
      <c r="L86" s="88" t="s">
        <v>509</v>
      </c>
      <c r="M86" s="94" t="str">
        <f t="shared" si="1"/>
        <v>View on Google Map</v>
      </c>
    </row>
    <row r="87" spans="1:13" x14ac:dyDescent="0.2">
      <c r="A87" s="88">
        <v>207</v>
      </c>
      <c r="B87" s="88" t="s">
        <v>554</v>
      </c>
      <c r="C87" s="88" t="s">
        <v>418</v>
      </c>
      <c r="D87" s="88">
        <v>70.099999999999994</v>
      </c>
      <c r="E87" s="88">
        <v>-146.26666666666668</v>
      </c>
      <c r="F87" s="88">
        <v>9.1463414634146343</v>
      </c>
      <c r="G87" s="88" t="s">
        <v>429</v>
      </c>
      <c r="H87" s="88" t="s">
        <v>555</v>
      </c>
      <c r="I87" s="88" t="s">
        <v>418</v>
      </c>
      <c r="J87" s="88" t="s">
        <v>444</v>
      </c>
      <c r="K87" s="88" t="s">
        <v>418</v>
      </c>
      <c r="L87" s="88" t="s">
        <v>507</v>
      </c>
      <c r="M87" s="94" t="str">
        <f t="shared" si="1"/>
        <v>View on Google Map</v>
      </c>
    </row>
    <row r="88" spans="1:13" x14ac:dyDescent="0.2">
      <c r="A88" s="88">
        <v>293</v>
      </c>
      <c r="B88" s="88" t="s">
        <v>554</v>
      </c>
      <c r="C88" s="88" t="s">
        <v>418</v>
      </c>
      <c r="D88" s="88">
        <v>68.820783333333338</v>
      </c>
      <c r="E88" s="88">
        <v>-149.7646</v>
      </c>
      <c r="F88" s="88">
        <v>579</v>
      </c>
      <c r="G88" s="88" t="s">
        <v>429</v>
      </c>
      <c r="H88" s="88" t="s">
        <v>556</v>
      </c>
      <c r="I88" s="88" t="s">
        <v>418</v>
      </c>
      <c r="J88" s="88" t="s">
        <v>444</v>
      </c>
      <c r="K88" s="88" t="s">
        <v>418</v>
      </c>
      <c r="L88" s="88" t="s">
        <v>509</v>
      </c>
      <c r="M88" s="94" t="str">
        <f t="shared" si="1"/>
        <v>View on Google Map</v>
      </c>
    </row>
    <row r="89" spans="1:13" x14ac:dyDescent="0.2">
      <c r="A89" s="88">
        <v>208</v>
      </c>
      <c r="B89" s="88" t="s">
        <v>557</v>
      </c>
      <c r="C89" s="88" t="s">
        <v>418</v>
      </c>
      <c r="D89" s="88">
        <v>70.05</v>
      </c>
      <c r="E89" s="88">
        <v>-146.98333333333332</v>
      </c>
      <c r="F89" s="88">
        <v>24.390243902439025</v>
      </c>
      <c r="G89" s="88" t="s">
        <v>429</v>
      </c>
      <c r="H89" s="88" t="s">
        <v>558</v>
      </c>
      <c r="I89" s="88" t="s">
        <v>418</v>
      </c>
      <c r="J89" s="88" t="s">
        <v>444</v>
      </c>
      <c r="K89" s="88" t="s">
        <v>418</v>
      </c>
      <c r="L89" s="88" t="s">
        <v>507</v>
      </c>
      <c r="M89" s="94" t="str">
        <f t="shared" si="1"/>
        <v>View on Google Map</v>
      </c>
    </row>
    <row r="90" spans="1:13" x14ac:dyDescent="0.2">
      <c r="A90" s="88">
        <v>294</v>
      </c>
      <c r="B90" s="88" t="s">
        <v>557</v>
      </c>
      <c r="C90" s="88" t="s">
        <v>418</v>
      </c>
      <c r="D90" s="88">
        <v>68.820616666666666</v>
      </c>
      <c r="E90" s="88">
        <v>-149.74383333333333</v>
      </c>
      <c r="F90" s="88">
        <v>579</v>
      </c>
      <c r="G90" s="88" t="s">
        <v>429</v>
      </c>
      <c r="H90" s="88" t="s">
        <v>559</v>
      </c>
      <c r="I90" s="88" t="s">
        <v>418</v>
      </c>
      <c r="J90" s="88" t="s">
        <v>444</v>
      </c>
      <c r="K90" s="88" t="s">
        <v>418</v>
      </c>
      <c r="L90" s="88" t="s">
        <v>509</v>
      </c>
      <c r="M90" s="94" t="str">
        <f t="shared" si="1"/>
        <v>View on Google Map</v>
      </c>
    </row>
    <row r="91" spans="1:13" x14ac:dyDescent="0.2">
      <c r="A91" s="88">
        <v>209</v>
      </c>
      <c r="B91" s="88" t="s">
        <v>560</v>
      </c>
      <c r="C91" s="88" t="s">
        <v>418</v>
      </c>
      <c r="D91" s="88">
        <v>70.05</v>
      </c>
      <c r="E91" s="88">
        <v>-146.98333333333332</v>
      </c>
      <c r="F91" s="88">
        <v>24.390243902439025</v>
      </c>
      <c r="G91" s="88" t="s">
        <v>429</v>
      </c>
      <c r="H91" s="88" t="s">
        <v>561</v>
      </c>
      <c r="I91" s="88" t="s">
        <v>418</v>
      </c>
      <c r="J91" s="88" t="s">
        <v>444</v>
      </c>
      <c r="K91" s="88" t="s">
        <v>418</v>
      </c>
      <c r="L91" s="88" t="s">
        <v>507</v>
      </c>
      <c r="M91" s="94" t="str">
        <f t="shared" si="1"/>
        <v>View on Google Map</v>
      </c>
    </row>
    <row r="92" spans="1:13" x14ac:dyDescent="0.2">
      <c r="A92" s="88">
        <v>295</v>
      </c>
      <c r="B92" s="88" t="s">
        <v>560</v>
      </c>
      <c r="C92" s="88" t="s">
        <v>418</v>
      </c>
      <c r="D92" s="88">
        <v>68.821529999999996</v>
      </c>
      <c r="E92" s="88">
        <v>-149.05867000000001</v>
      </c>
      <c r="F92" s="88">
        <v>518</v>
      </c>
      <c r="G92" s="88" t="s">
        <v>429</v>
      </c>
      <c r="H92" s="88" t="s">
        <v>562</v>
      </c>
      <c r="I92" s="88" t="s">
        <v>418</v>
      </c>
      <c r="J92" s="88" t="s">
        <v>444</v>
      </c>
      <c r="K92" s="88" t="s">
        <v>418</v>
      </c>
      <c r="L92" s="88" t="s">
        <v>509</v>
      </c>
      <c r="M92" s="94" t="str">
        <f t="shared" si="1"/>
        <v>View on Google Map</v>
      </c>
    </row>
    <row r="93" spans="1:13" x14ac:dyDescent="0.2">
      <c r="A93" s="88">
        <v>210</v>
      </c>
      <c r="B93" s="88" t="s">
        <v>563</v>
      </c>
      <c r="C93" s="88" t="s">
        <v>418</v>
      </c>
      <c r="D93" s="88">
        <v>70.150000000000006</v>
      </c>
      <c r="E93" s="88">
        <v>-147.36666666666667</v>
      </c>
      <c r="F93" s="88">
        <v>6.7073170731707323</v>
      </c>
      <c r="G93" s="88" t="s">
        <v>429</v>
      </c>
      <c r="H93" s="88" t="s">
        <v>564</v>
      </c>
      <c r="I93" s="88" t="s">
        <v>418</v>
      </c>
      <c r="J93" s="88" t="s">
        <v>444</v>
      </c>
      <c r="K93" s="88" t="s">
        <v>418</v>
      </c>
      <c r="L93" s="88" t="s">
        <v>507</v>
      </c>
      <c r="M93" s="94" t="str">
        <f t="shared" si="1"/>
        <v>View on Google Map</v>
      </c>
    </row>
    <row r="94" spans="1:13" x14ac:dyDescent="0.2">
      <c r="A94" s="88">
        <v>296</v>
      </c>
      <c r="B94" s="88" t="s">
        <v>563</v>
      </c>
      <c r="C94" s="88" t="s">
        <v>418</v>
      </c>
      <c r="D94" s="88">
        <v>68.817116666666664</v>
      </c>
      <c r="E94" s="88">
        <v>-149.05956666666665</v>
      </c>
      <c r="F94" s="88">
        <v>518</v>
      </c>
      <c r="G94" s="88" t="s">
        <v>429</v>
      </c>
      <c r="H94" s="88" t="s">
        <v>565</v>
      </c>
      <c r="I94" s="88" t="s">
        <v>418</v>
      </c>
      <c r="J94" s="88" t="s">
        <v>444</v>
      </c>
      <c r="K94" s="88" t="s">
        <v>418</v>
      </c>
      <c r="L94" s="88" t="s">
        <v>509</v>
      </c>
      <c r="M94" s="94" t="str">
        <f t="shared" si="1"/>
        <v>View on Google Map</v>
      </c>
    </row>
    <row r="95" spans="1:13" x14ac:dyDescent="0.2">
      <c r="A95" s="88">
        <v>211</v>
      </c>
      <c r="B95" s="88" t="s">
        <v>566</v>
      </c>
      <c r="C95" s="88" t="s">
        <v>418</v>
      </c>
      <c r="D95" s="88">
        <v>70.150000000000006</v>
      </c>
      <c r="E95" s="88">
        <v>-147.36666666666667</v>
      </c>
      <c r="F95" s="88">
        <v>6.7073170731707323</v>
      </c>
      <c r="G95" s="88" t="s">
        <v>429</v>
      </c>
      <c r="H95" s="88" t="s">
        <v>567</v>
      </c>
      <c r="I95" s="88" t="s">
        <v>418</v>
      </c>
      <c r="J95" s="88" t="s">
        <v>444</v>
      </c>
      <c r="K95" s="88" t="s">
        <v>418</v>
      </c>
      <c r="L95" s="88" t="s">
        <v>507</v>
      </c>
      <c r="M95" s="94" t="str">
        <f t="shared" si="1"/>
        <v>View on Google Map</v>
      </c>
    </row>
    <row r="96" spans="1:13" x14ac:dyDescent="0.2">
      <c r="A96" s="88">
        <v>297</v>
      </c>
      <c r="B96" s="88" t="s">
        <v>566</v>
      </c>
      <c r="C96" s="88" t="s">
        <v>418</v>
      </c>
      <c r="D96" s="88">
        <v>69.356183333333334</v>
      </c>
      <c r="E96" s="88">
        <v>-150.21899999999999</v>
      </c>
      <c r="F96" s="88">
        <v>168</v>
      </c>
      <c r="G96" s="88" t="s">
        <v>429</v>
      </c>
      <c r="H96" s="88" t="s">
        <v>568</v>
      </c>
      <c r="I96" s="88" t="s">
        <v>418</v>
      </c>
      <c r="J96" s="88" t="s">
        <v>444</v>
      </c>
      <c r="K96" s="88" t="s">
        <v>418</v>
      </c>
      <c r="L96" s="88" t="s">
        <v>509</v>
      </c>
      <c r="M96" s="94" t="str">
        <f t="shared" si="1"/>
        <v>View on Google Map</v>
      </c>
    </row>
    <row r="97" spans="1:13" x14ac:dyDescent="0.2">
      <c r="A97" s="88">
        <v>212</v>
      </c>
      <c r="B97" s="88" t="s">
        <v>569</v>
      </c>
      <c r="C97" s="88" t="s">
        <v>418</v>
      </c>
      <c r="D97" s="88">
        <v>70.033333333333331</v>
      </c>
      <c r="E97" s="88">
        <v>-147.65</v>
      </c>
      <c r="F97" s="88">
        <v>28.04878048780488</v>
      </c>
      <c r="G97" s="88" t="s">
        <v>429</v>
      </c>
      <c r="H97" s="88" t="s">
        <v>570</v>
      </c>
      <c r="I97" s="88" t="s">
        <v>418</v>
      </c>
      <c r="J97" s="88" t="s">
        <v>444</v>
      </c>
      <c r="K97" s="88" t="s">
        <v>418</v>
      </c>
      <c r="L97" s="88" t="s">
        <v>507</v>
      </c>
      <c r="M97" s="94" t="str">
        <f t="shared" si="1"/>
        <v>View on Google Map</v>
      </c>
    </row>
    <row r="98" spans="1:13" x14ac:dyDescent="0.2">
      <c r="A98" s="88">
        <v>298</v>
      </c>
      <c r="B98" s="88" t="s">
        <v>569</v>
      </c>
      <c r="C98" s="88" t="s">
        <v>418</v>
      </c>
      <c r="D98" s="88">
        <v>69.356183333333334</v>
      </c>
      <c r="E98" s="88">
        <v>-150.21899999999999</v>
      </c>
      <c r="F98" s="88">
        <v>168</v>
      </c>
      <c r="G98" s="88" t="s">
        <v>429</v>
      </c>
      <c r="H98" s="88" t="s">
        <v>571</v>
      </c>
      <c r="I98" s="88" t="s">
        <v>418</v>
      </c>
      <c r="J98" s="88" t="s">
        <v>444</v>
      </c>
      <c r="K98" s="88" t="s">
        <v>418</v>
      </c>
      <c r="L98" s="88" t="s">
        <v>509</v>
      </c>
      <c r="M98" s="94" t="str">
        <f t="shared" si="1"/>
        <v>View on Google Map</v>
      </c>
    </row>
    <row r="99" spans="1:13" x14ac:dyDescent="0.2">
      <c r="A99" s="88">
        <v>213</v>
      </c>
      <c r="B99" s="88" t="s">
        <v>572</v>
      </c>
      <c r="C99" s="88" t="s">
        <v>418</v>
      </c>
      <c r="D99" s="88">
        <v>70.033333333333331</v>
      </c>
      <c r="E99" s="88">
        <v>-147.65</v>
      </c>
      <c r="F99" s="88">
        <v>28.04878048780488</v>
      </c>
      <c r="G99" s="88" t="s">
        <v>429</v>
      </c>
      <c r="H99" s="88" t="s">
        <v>573</v>
      </c>
      <c r="I99" s="88" t="s">
        <v>418</v>
      </c>
      <c r="J99" s="88" t="s">
        <v>444</v>
      </c>
      <c r="K99" s="88" t="s">
        <v>418</v>
      </c>
      <c r="L99" s="88" t="s">
        <v>507</v>
      </c>
      <c r="M99" s="94" t="str">
        <f t="shared" si="1"/>
        <v>View on Google Map</v>
      </c>
    </row>
    <row r="100" spans="1:13" x14ac:dyDescent="0.2">
      <c r="A100" s="88">
        <v>299</v>
      </c>
      <c r="B100" s="88" t="s">
        <v>572</v>
      </c>
      <c r="C100" s="88" t="s">
        <v>418</v>
      </c>
      <c r="D100" s="88">
        <v>69.5458</v>
      </c>
      <c r="E100" s="88">
        <v>-150.37883333333335</v>
      </c>
      <c r="F100" s="88">
        <v>107</v>
      </c>
      <c r="G100" s="88" t="s">
        <v>429</v>
      </c>
      <c r="H100" s="88" t="s">
        <v>574</v>
      </c>
      <c r="I100" s="88" t="s">
        <v>418</v>
      </c>
      <c r="J100" s="88" t="s">
        <v>444</v>
      </c>
      <c r="K100" s="88" t="s">
        <v>418</v>
      </c>
      <c r="L100" s="88" t="s">
        <v>509</v>
      </c>
      <c r="M100" s="94" t="str">
        <f t="shared" si="1"/>
        <v>View on Google Map</v>
      </c>
    </row>
    <row r="101" spans="1:13" x14ac:dyDescent="0.2">
      <c r="A101" s="88">
        <v>214</v>
      </c>
      <c r="B101" s="88" t="s">
        <v>575</v>
      </c>
      <c r="C101" s="88" t="s">
        <v>418</v>
      </c>
      <c r="D101" s="88">
        <v>69.833333333333329</v>
      </c>
      <c r="E101" s="88">
        <v>-147.93333333333334</v>
      </c>
      <c r="F101" s="88">
        <v>92.987804878048792</v>
      </c>
      <c r="G101" s="88" t="s">
        <v>429</v>
      </c>
      <c r="H101" s="88" t="s">
        <v>576</v>
      </c>
      <c r="I101" s="88" t="s">
        <v>418</v>
      </c>
      <c r="J101" s="88" t="s">
        <v>444</v>
      </c>
      <c r="K101" s="88" t="s">
        <v>418</v>
      </c>
      <c r="L101" s="88" t="s">
        <v>507</v>
      </c>
      <c r="M101" s="94" t="str">
        <f t="shared" si="1"/>
        <v>View on Google Map</v>
      </c>
    </row>
    <row r="102" spans="1:13" x14ac:dyDescent="0.2">
      <c r="A102" s="88">
        <v>300</v>
      </c>
      <c r="B102" s="88" t="s">
        <v>575</v>
      </c>
      <c r="C102" s="88" t="s">
        <v>418</v>
      </c>
      <c r="D102" s="88">
        <v>69.5458</v>
      </c>
      <c r="E102" s="88">
        <v>-150.37883333333335</v>
      </c>
      <c r="F102" s="88">
        <v>107</v>
      </c>
      <c r="G102" s="88" t="s">
        <v>429</v>
      </c>
      <c r="H102" s="88" t="s">
        <v>577</v>
      </c>
      <c r="I102" s="88" t="s">
        <v>418</v>
      </c>
      <c r="J102" s="88" t="s">
        <v>444</v>
      </c>
      <c r="K102" s="88" t="s">
        <v>418</v>
      </c>
      <c r="L102" s="88" t="s">
        <v>509</v>
      </c>
      <c r="M102" s="94" t="str">
        <f t="shared" si="1"/>
        <v>View on Google Map</v>
      </c>
    </row>
    <row r="103" spans="1:13" x14ac:dyDescent="0.2">
      <c r="A103" s="88">
        <v>215</v>
      </c>
      <c r="B103" s="88" t="s">
        <v>578</v>
      </c>
      <c r="C103" s="88" t="s">
        <v>418</v>
      </c>
      <c r="D103" s="88">
        <v>69.833333333333329</v>
      </c>
      <c r="E103" s="88">
        <v>-147.93333333333334</v>
      </c>
      <c r="F103" s="88">
        <v>92.987804878048792</v>
      </c>
      <c r="G103" s="88" t="s">
        <v>429</v>
      </c>
      <c r="H103" s="88" t="s">
        <v>579</v>
      </c>
      <c r="I103" s="88" t="s">
        <v>418</v>
      </c>
      <c r="J103" s="88" t="s">
        <v>444</v>
      </c>
      <c r="K103" s="88" t="s">
        <v>418</v>
      </c>
      <c r="L103" s="88" t="s">
        <v>507</v>
      </c>
      <c r="M103" s="94" t="str">
        <f t="shared" si="1"/>
        <v>View on Google Map</v>
      </c>
    </row>
    <row r="104" spans="1:13" x14ac:dyDescent="0.2">
      <c r="A104" s="88">
        <v>301</v>
      </c>
      <c r="B104" s="88" t="s">
        <v>578</v>
      </c>
      <c r="C104" s="88" t="s">
        <v>418</v>
      </c>
      <c r="D104" s="88">
        <v>69.523700000000005</v>
      </c>
      <c r="E104" s="88">
        <v>-150.55269999999999</v>
      </c>
      <c r="F104" s="88">
        <v>107</v>
      </c>
      <c r="G104" s="88" t="s">
        <v>429</v>
      </c>
      <c r="H104" s="88" t="s">
        <v>580</v>
      </c>
      <c r="I104" s="88" t="s">
        <v>418</v>
      </c>
      <c r="J104" s="88" t="s">
        <v>444</v>
      </c>
      <c r="K104" s="88" t="s">
        <v>418</v>
      </c>
      <c r="L104" s="88" t="s">
        <v>509</v>
      </c>
      <c r="M104" s="94" t="str">
        <f t="shared" si="1"/>
        <v>View on Google Map</v>
      </c>
    </row>
    <row r="105" spans="1:13" x14ac:dyDescent="0.2">
      <c r="A105" s="88">
        <v>216</v>
      </c>
      <c r="B105" s="88" t="s">
        <v>581</v>
      </c>
      <c r="C105" s="88" t="s">
        <v>418</v>
      </c>
      <c r="D105" s="88">
        <v>69.88333333333334</v>
      </c>
      <c r="E105" s="88">
        <v>-148.63333333333333</v>
      </c>
      <c r="F105" s="88">
        <v>118.90243902439025</v>
      </c>
      <c r="G105" s="88" t="s">
        <v>429</v>
      </c>
      <c r="H105" s="88" t="s">
        <v>582</v>
      </c>
      <c r="I105" s="88" t="s">
        <v>418</v>
      </c>
      <c r="J105" s="88" t="s">
        <v>444</v>
      </c>
      <c r="K105" s="88" t="s">
        <v>418</v>
      </c>
      <c r="L105" s="88" t="s">
        <v>507</v>
      </c>
      <c r="M105" s="94" t="str">
        <f t="shared" si="1"/>
        <v>View on Google Map</v>
      </c>
    </row>
    <row r="106" spans="1:13" x14ac:dyDescent="0.2">
      <c r="A106" s="88">
        <v>302</v>
      </c>
      <c r="B106" s="88" t="s">
        <v>581</v>
      </c>
      <c r="C106" s="88" t="s">
        <v>418</v>
      </c>
      <c r="D106" s="88">
        <v>69.523700000000005</v>
      </c>
      <c r="E106" s="88">
        <v>-150.55269999999999</v>
      </c>
      <c r="F106" s="88">
        <v>107</v>
      </c>
      <c r="G106" s="88" t="s">
        <v>429</v>
      </c>
      <c r="H106" s="88" t="s">
        <v>583</v>
      </c>
      <c r="I106" s="88" t="s">
        <v>418</v>
      </c>
      <c r="J106" s="88" t="s">
        <v>444</v>
      </c>
      <c r="K106" s="88" t="s">
        <v>418</v>
      </c>
      <c r="L106" s="88" t="s">
        <v>509</v>
      </c>
      <c r="M106" s="94" t="str">
        <f t="shared" si="1"/>
        <v>View on Google Map</v>
      </c>
    </row>
    <row r="107" spans="1:13" x14ac:dyDescent="0.2">
      <c r="A107" s="88">
        <v>217</v>
      </c>
      <c r="B107" s="88" t="s">
        <v>584</v>
      </c>
      <c r="C107" s="88" t="s">
        <v>418</v>
      </c>
      <c r="D107" s="88">
        <v>69.7</v>
      </c>
      <c r="E107" s="88">
        <v>-148.48333333333332</v>
      </c>
      <c r="F107" s="88">
        <v>125</v>
      </c>
      <c r="G107" s="88" t="s">
        <v>429</v>
      </c>
      <c r="H107" s="88" t="s">
        <v>585</v>
      </c>
      <c r="I107" s="88" t="s">
        <v>418</v>
      </c>
      <c r="J107" s="88" t="s">
        <v>444</v>
      </c>
      <c r="K107" s="88" t="s">
        <v>418</v>
      </c>
      <c r="L107" s="88" t="s">
        <v>507</v>
      </c>
      <c r="M107" s="94" t="str">
        <f t="shared" si="1"/>
        <v>View on Google Map</v>
      </c>
    </row>
    <row r="108" spans="1:13" x14ac:dyDescent="0.2">
      <c r="A108" s="88">
        <v>303</v>
      </c>
      <c r="B108" s="88" t="s">
        <v>584</v>
      </c>
      <c r="C108" s="88" t="s">
        <v>418</v>
      </c>
      <c r="D108" s="88">
        <v>69.610399999999998</v>
      </c>
      <c r="E108" s="88">
        <v>-148.82113333333334</v>
      </c>
      <c r="F108" s="88">
        <v>107</v>
      </c>
      <c r="G108" s="88" t="s">
        <v>429</v>
      </c>
      <c r="H108" s="88" t="s">
        <v>586</v>
      </c>
      <c r="I108" s="88" t="s">
        <v>418</v>
      </c>
      <c r="J108" s="88" t="s">
        <v>444</v>
      </c>
      <c r="K108" s="88" t="s">
        <v>418</v>
      </c>
      <c r="L108" s="88" t="s">
        <v>509</v>
      </c>
      <c r="M108" s="94" t="str">
        <f t="shared" si="1"/>
        <v>View on Google Map</v>
      </c>
    </row>
    <row r="109" spans="1:13" x14ac:dyDescent="0.2">
      <c r="A109" s="88">
        <v>218</v>
      </c>
      <c r="B109" s="88" t="s">
        <v>587</v>
      </c>
      <c r="C109" s="88" t="s">
        <v>418</v>
      </c>
      <c r="D109" s="88">
        <v>69.7</v>
      </c>
      <c r="E109" s="88">
        <v>-148.48333333333332</v>
      </c>
      <c r="F109" s="88">
        <v>125</v>
      </c>
      <c r="G109" s="88" t="s">
        <v>429</v>
      </c>
      <c r="H109" s="88" t="s">
        <v>588</v>
      </c>
      <c r="I109" s="88" t="s">
        <v>418</v>
      </c>
      <c r="J109" s="88" t="s">
        <v>444</v>
      </c>
      <c r="K109" s="88" t="s">
        <v>418</v>
      </c>
      <c r="L109" s="88" t="s">
        <v>507</v>
      </c>
      <c r="M109" s="94" t="str">
        <f t="shared" si="1"/>
        <v>View on Google Map</v>
      </c>
    </row>
    <row r="110" spans="1:13" x14ac:dyDescent="0.2">
      <c r="A110" s="88">
        <v>304</v>
      </c>
      <c r="B110" s="88" t="s">
        <v>587</v>
      </c>
      <c r="C110" s="88" t="s">
        <v>418</v>
      </c>
      <c r="D110" s="88">
        <v>69.610399999999998</v>
      </c>
      <c r="E110" s="88">
        <v>-148.82113333333334</v>
      </c>
      <c r="F110" s="88">
        <v>107</v>
      </c>
      <c r="G110" s="88" t="s">
        <v>429</v>
      </c>
      <c r="H110" s="88" t="s">
        <v>589</v>
      </c>
      <c r="I110" s="88" t="s">
        <v>418</v>
      </c>
      <c r="J110" s="88" t="s">
        <v>444</v>
      </c>
      <c r="K110" s="88" t="s">
        <v>418</v>
      </c>
      <c r="L110" s="88" t="s">
        <v>509</v>
      </c>
      <c r="M110" s="94" t="str">
        <f t="shared" si="1"/>
        <v>View on Google Map</v>
      </c>
    </row>
    <row r="111" spans="1:13" x14ac:dyDescent="0.2">
      <c r="A111" s="88">
        <v>232</v>
      </c>
      <c r="B111" s="88" t="s">
        <v>590</v>
      </c>
      <c r="C111" s="88" t="s">
        <v>418</v>
      </c>
      <c r="D111" s="88">
        <v>69.266666666666666</v>
      </c>
      <c r="E111" s="88">
        <v>-148.46666666666667</v>
      </c>
      <c r="F111" s="88">
        <v>338.71951219512198</v>
      </c>
      <c r="G111" s="88" t="s">
        <v>429</v>
      </c>
      <c r="H111" s="88" t="s">
        <v>591</v>
      </c>
      <c r="I111" s="88" t="s">
        <v>418</v>
      </c>
      <c r="J111" s="88" t="s">
        <v>444</v>
      </c>
      <c r="K111" s="88" t="s">
        <v>418</v>
      </c>
      <c r="L111" s="88" t="s">
        <v>507</v>
      </c>
      <c r="M111" s="94" t="str">
        <f t="shared" si="1"/>
        <v>View on Google Map</v>
      </c>
    </row>
    <row r="112" spans="1:13" x14ac:dyDescent="0.2">
      <c r="A112" s="88">
        <v>239</v>
      </c>
      <c r="B112" s="88" t="s">
        <v>592</v>
      </c>
      <c r="C112" s="88" t="s">
        <v>593</v>
      </c>
      <c r="D112" s="88" t="s">
        <v>418</v>
      </c>
      <c r="E112" s="88" t="s">
        <v>418</v>
      </c>
      <c r="F112" s="88" t="s">
        <v>418</v>
      </c>
      <c r="G112" s="88" t="s">
        <v>429</v>
      </c>
      <c r="H112" s="88" t="s">
        <v>418</v>
      </c>
      <c r="I112" s="88" t="s">
        <v>418</v>
      </c>
      <c r="J112" s="88" t="s">
        <v>444</v>
      </c>
      <c r="K112" s="88" t="s">
        <v>418</v>
      </c>
      <c r="L112" s="88" t="s">
        <v>594</v>
      </c>
      <c r="M112" s="94" t="str">
        <f t="shared" si="1"/>
        <v>View on Google Map</v>
      </c>
    </row>
    <row r="113" spans="1:13" x14ac:dyDescent="0.2">
      <c r="A113" s="88">
        <v>144</v>
      </c>
      <c r="B113" s="88" t="s">
        <v>595</v>
      </c>
      <c r="C113" s="88" t="s">
        <v>596</v>
      </c>
      <c r="D113" s="88">
        <v>68.63333333333334</v>
      </c>
      <c r="E113" s="88">
        <v>-149.6</v>
      </c>
      <c r="F113" s="88">
        <v>719</v>
      </c>
      <c r="G113" s="88" t="s">
        <v>429</v>
      </c>
      <c r="H113" s="88" t="s">
        <v>418</v>
      </c>
      <c r="I113" s="88" t="s">
        <v>418</v>
      </c>
      <c r="J113" s="88" t="s">
        <v>444</v>
      </c>
      <c r="K113" s="88" t="s">
        <v>418</v>
      </c>
      <c r="L113" s="88" t="s">
        <v>445</v>
      </c>
      <c r="M113" s="94" t="str">
        <f t="shared" si="1"/>
        <v>View on Google Map</v>
      </c>
    </row>
    <row r="114" spans="1:13" x14ac:dyDescent="0.2">
      <c r="A114" s="88">
        <v>401</v>
      </c>
      <c r="B114" s="88" t="s">
        <v>597</v>
      </c>
      <c r="C114" s="88" t="s">
        <v>418</v>
      </c>
      <c r="D114" s="88" t="s">
        <v>418</v>
      </c>
      <c r="E114" s="88" t="s">
        <v>418</v>
      </c>
      <c r="F114" s="88" t="s">
        <v>418</v>
      </c>
      <c r="G114" s="88" t="s">
        <v>429</v>
      </c>
      <c r="H114" s="88" t="s">
        <v>418</v>
      </c>
      <c r="I114" s="88" t="s">
        <v>418</v>
      </c>
      <c r="J114" s="88" t="s">
        <v>444</v>
      </c>
      <c r="K114" s="88" t="s">
        <v>418</v>
      </c>
      <c r="L114" s="88" t="s">
        <v>598</v>
      </c>
      <c r="M114" s="94" t="str">
        <f t="shared" si="1"/>
        <v>View on Google Map</v>
      </c>
    </row>
    <row r="115" spans="1:13" x14ac:dyDescent="0.2">
      <c r="A115" s="88">
        <v>403</v>
      </c>
      <c r="B115" s="88" t="s">
        <v>599</v>
      </c>
      <c r="C115" s="88" t="s">
        <v>418</v>
      </c>
      <c r="D115" s="88" t="s">
        <v>418</v>
      </c>
      <c r="E115" s="88" t="s">
        <v>418</v>
      </c>
      <c r="F115" s="88" t="s">
        <v>418</v>
      </c>
      <c r="G115" s="88" t="s">
        <v>429</v>
      </c>
      <c r="H115" s="88" t="s">
        <v>418</v>
      </c>
      <c r="I115" s="88" t="s">
        <v>418</v>
      </c>
      <c r="J115" s="88" t="s">
        <v>444</v>
      </c>
      <c r="K115" s="88" t="s">
        <v>418</v>
      </c>
      <c r="L115" s="88" t="s">
        <v>600</v>
      </c>
      <c r="M115" s="94" t="str">
        <f t="shared" si="1"/>
        <v>View on Google Map</v>
      </c>
    </row>
    <row r="116" spans="1:13" x14ac:dyDescent="0.2">
      <c r="A116" s="88">
        <v>403</v>
      </c>
      <c r="B116" s="88" t="s">
        <v>599</v>
      </c>
      <c r="C116" s="88" t="s">
        <v>418</v>
      </c>
      <c r="D116" s="88" t="s">
        <v>418</v>
      </c>
      <c r="E116" s="88" t="s">
        <v>418</v>
      </c>
      <c r="F116" s="88" t="s">
        <v>418</v>
      </c>
      <c r="G116" s="88" t="s">
        <v>429</v>
      </c>
      <c r="H116" s="88" t="s">
        <v>418</v>
      </c>
      <c r="I116" s="88" t="s">
        <v>418</v>
      </c>
      <c r="J116" s="88" t="s">
        <v>444</v>
      </c>
      <c r="K116" s="88" t="s">
        <v>418</v>
      </c>
      <c r="L116" s="88" t="s">
        <v>600</v>
      </c>
      <c r="M116" s="94" t="str">
        <f t="shared" si="1"/>
        <v>View on Google Map</v>
      </c>
    </row>
    <row r="117" spans="1:13" x14ac:dyDescent="0.2">
      <c r="A117" s="88">
        <v>1209</v>
      </c>
      <c r="B117" s="88" t="s">
        <v>601</v>
      </c>
      <c r="C117" s="88" t="s">
        <v>602</v>
      </c>
      <c r="D117" s="88">
        <v>68.934420000000003</v>
      </c>
      <c r="E117" s="88">
        <v>-150.21242000000001</v>
      </c>
      <c r="F117" s="88" t="s">
        <v>418</v>
      </c>
      <c r="G117" s="88" t="s">
        <v>419</v>
      </c>
      <c r="H117" s="88" t="s">
        <v>418</v>
      </c>
      <c r="I117" s="88" t="s">
        <v>418</v>
      </c>
      <c r="J117" s="88" t="s">
        <v>425</v>
      </c>
      <c r="K117" s="88" t="s">
        <v>418</v>
      </c>
      <c r="L117" s="88" t="s">
        <v>426</v>
      </c>
      <c r="M117" s="94" t="str">
        <f t="shared" si="1"/>
        <v>View on Google Map</v>
      </c>
    </row>
    <row r="118" spans="1:13" x14ac:dyDescent="0.2">
      <c r="A118" s="88">
        <v>482</v>
      </c>
      <c r="B118" s="88" t="s">
        <v>603</v>
      </c>
      <c r="C118" s="88" t="s">
        <v>418</v>
      </c>
      <c r="D118" s="88">
        <v>68.951483332999999</v>
      </c>
      <c r="E118" s="88">
        <v>-150.194333333</v>
      </c>
      <c r="F118" s="88">
        <v>399</v>
      </c>
      <c r="G118" s="88" t="s">
        <v>429</v>
      </c>
      <c r="H118" s="88" t="s">
        <v>418</v>
      </c>
      <c r="I118" s="88" t="s">
        <v>418</v>
      </c>
      <c r="J118" s="88" t="s">
        <v>479</v>
      </c>
      <c r="K118" s="88" t="s">
        <v>418</v>
      </c>
      <c r="L118" s="88" t="s">
        <v>426</v>
      </c>
      <c r="M118" s="94" t="str">
        <f t="shared" si="1"/>
        <v>View on Google Map</v>
      </c>
    </row>
    <row r="119" spans="1:13" x14ac:dyDescent="0.2">
      <c r="A119" s="88">
        <v>483</v>
      </c>
      <c r="B119" s="88" t="s">
        <v>604</v>
      </c>
      <c r="C119" s="88" t="s">
        <v>418</v>
      </c>
      <c r="D119" s="88">
        <v>68.950783333000004</v>
      </c>
      <c r="E119" s="88">
        <v>-150.19835</v>
      </c>
      <c r="F119" s="88">
        <v>399</v>
      </c>
      <c r="G119" s="88" t="s">
        <v>443</v>
      </c>
      <c r="H119" s="88" t="s">
        <v>605</v>
      </c>
      <c r="I119" s="88" t="s">
        <v>418</v>
      </c>
      <c r="J119" s="88" t="s">
        <v>479</v>
      </c>
      <c r="K119" s="88" t="s">
        <v>418</v>
      </c>
      <c r="L119" s="88" t="s">
        <v>426</v>
      </c>
      <c r="M119" s="94" t="str">
        <f t="shared" si="1"/>
        <v>View on Google Map</v>
      </c>
    </row>
    <row r="120" spans="1:13" x14ac:dyDescent="0.2">
      <c r="A120" s="88">
        <v>484</v>
      </c>
      <c r="B120" s="88" t="s">
        <v>606</v>
      </c>
      <c r="C120" s="88" t="s">
        <v>418</v>
      </c>
      <c r="D120" s="88">
        <v>68.957549999999998</v>
      </c>
      <c r="E120" s="88">
        <v>-150.200916667</v>
      </c>
      <c r="F120" s="88">
        <v>399</v>
      </c>
      <c r="G120" s="88" t="s">
        <v>429</v>
      </c>
      <c r="H120" s="88" t="s">
        <v>607</v>
      </c>
      <c r="I120" s="88" t="s">
        <v>608</v>
      </c>
      <c r="J120" s="88" t="s">
        <v>479</v>
      </c>
      <c r="K120" s="88" t="s">
        <v>418</v>
      </c>
      <c r="L120" s="88" t="s">
        <v>426</v>
      </c>
      <c r="M120" s="94" t="str">
        <f t="shared" si="1"/>
        <v>View on Google Map</v>
      </c>
    </row>
    <row r="121" spans="1:13" x14ac:dyDescent="0.2">
      <c r="A121" s="88">
        <v>485</v>
      </c>
      <c r="B121" s="88" t="s">
        <v>609</v>
      </c>
      <c r="C121" s="88" t="s">
        <v>418</v>
      </c>
      <c r="D121" s="88">
        <v>68.95675</v>
      </c>
      <c r="E121" s="88">
        <v>-150.19700833300001</v>
      </c>
      <c r="F121" s="88">
        <v>399</v>
      </c>
      <c r="G121" s="88" t="s">
        <v>429</v>
      </c>
      <c r="H121" s="88" t="s">
        <v>610</v>
      </c>
      <c r="I121" s="88" t="s">
        <v>418</v>
      </c>
      <c r="J121" s="88" t="s">
        <v>479</v>
      </c>
      <c r="K121" s="88" t="s">
        <v>418</v>
      </c>
      <c r="L121" s="88" t="s">
        <v>426</v>
      </c>
      <c r="M121" s="94" t="str">
        <f t="shared" si="1"/>
        <v>View on Google Map</v>
      </c>
    </row>
    <row r="122" spans="1:13" x14ac:dyDescent="0.2">
      <c r="A122" s="88">
        <v>514</v>
      </c>
      <c r="B122" s="88" t="s">
        <v>611</v>
      </c>
      <c r="C122" s="88" t="s">
        <v>428</v>
      </c>
      <c r="D122" s="88">
        <v>68.418130000000005</v>
      </c>
      <c r="E122" s="88">
        <v>-151.58454</v>
      </c>
      <c r="F122" s="88">
        <v>876</v>
      </c>
      <c r="G122" s="88" t="s">
        <v>429</v>
      </c>
      <c r="H122" s="88" t="s">
        <v>418</v>
      </c>
      <c r="I122" s="88" t="s">
        <v>418</v>
      </c>
      <c r="J122" s="88" t="s">
        <v>430</v>
      </c>
      <c r="K122" s="88" t="s">
        <v>418</v>
      </c>
      <c r="L122" s="88" t="s">
        <v>431</v>
      </c>
      <c r="M122" s="94" t="str">
        <f t="shared" si="1"/>
        <v>View on Google Map</v>
      </c>
    </row>
    <row r="123" spans="1:13" x14ac:dyDescent="0.2">
      <c r="A123" s="88">
        <v>400</v>
      </c>
      <c r="B123" s="88" t="s">
        <v>612</v>
      </c>
      <c r="C123" s="88" t="s">
        <v>418</v>
      </c>
      <c r="D123" s="88" t="s">
        <v>418</v>
      </c>
      <c r="E123" s="88" t="s">
        <v>418</v>
      </c>
      <c r="F123" s="88" t="s">
        <v>418</v>
      </c>
      <c r="G123" s="88" t="s">
        <v>429</v>
      </c>
      <c r="H123" s="88" t="s">
        <v>418</v>
      </c>
      <c r="I123" s="88" t="s">
        <v>418</v>
      </c>
      <c r="J123" s="88" t="s">
        <v>444</v>
      </c>
      <c r="K123" s="88" t="s">
        <v>418</v>
      </c>
      <c r="L123" s="88" t="s">
        <v>598</v>
      </c>
      <c r="M123" s="94" t="str">
        <f t="shared" si="1"/>
        <v>View on Google Map</v>
      </c>
    </row>
    <row r="124" spans="1:13" x14ac:dyDescent="0.2">
      <c r="A124" s="88">
        <v>137</v>
      </c>
      <c r="B124" s="88" t="s">
        <v>613</v>
      </c>
      <c r="C124" s="88" t="s">
        <v>418</v>
      </c>
      <c r="D124" s="88">
        <v>70.3</v>
      </c>
      <c r="E124" s="88">
        <v>-148.28333333333333</v>
      </c>
      <c r="F124" s="88">
        <v>6</v>
      </c>
      <c r="G124" s="88" t="s">
        <v>429</v>
      </c>
      <c r="H124" s="88" t="s">
        <v>614</v>
      </c>
      <c r="I124" s="88" t="s">
        <v>418</v>
      </c>
      <c r="J124" s="88" t="s">
        <v>444</v>
      </c>
      <c r="K124" s="88" t="s">
        <v>418</v>
      </c>
      <c r="L124" s="88" t="s">
        <v>445</v>
      </c>
      <c r="M124" s="94" t="str">
        <f t="shared" si="1"/>
        <v>View on Google Map</v>
      </c>
    </row>
    <row r="125" spans="1:13" x14ac:dyDescent="0.2">
      <c r="A125" s="88">
        <v>146</v>
      </c>
      <c r="B125" s="88" t="s">
        <v>615</v>
      </c>
      <c r="C125" s="88" t="s">
        <v>418</v>
      </c>
      <c r="D125" s="88">
        <v>68.626195602799996</v>
      </c>
      <c r="E125" s="88">
        <v>-149.55534770599999</v>
      </c>
      <c r="F125" s="88">
        <v>762</v>
      </c>
      <c r="G125" s="88" t="s">
        <v>429</v>
      </c>
      <c r="H125" s="88" t="s">
        <v>616</v>
      </c>
      <c r="I125" s="88" t="s">
        <v>617</v>
      </c>
      <c r="J125" s="88" t="s">
        <v>444</v>
      </c>
      <c r="K125" s="88" t="s">
        <v>418</v>
      </c>
      <c r="L125" s="88" t="s">
        <v>418</v>
      </c>
      <c r="M125" s="94" t="str">
        <f t="shared" si="1"/>
        <v>View on Google Map</v>
      </c>
    </row>
    <row r="126" spans="1:13" x14ac:dyDescent="0.2">
      <c r="A126" s="88">
        <v>18</v>
      </c>
      <c r="B126" s="88" t="s">
        <v>618</v>
      </c>
      <c r="C126" s="88" t="s">
        <v>418</v>
      </c>
      <c r="D126" s="88" t="s">
        <v>418</v>
      </c>
      <c r="E126" s="88" t="s">
        <v>418</v>
      </c>
      <c r="F126" s="88">
        <v>762</v>
      </c>
      <c r="G126" s="88" t="s">
        <v>443</v>
      </c>
      <c r="H126" s="88" t="s">
        <v>619</v>
      </c>
      <c r="I126" s="88" t="s">
        <v>620</v>
      </c>
      <c r="J126" s="88" t="s">
        <v>444</v>
      </c>
      <c r="K126" s="88" t="s">
        <v>418</v>
      </c>
      <c r="L126" s="88" t="s">
        <v>418</v>
      </c>
      <c r="M126" s="94" t="str">
        <f t="shared" si="1"/>
        <v>View on Google Map</v>
      </c>
    </row>
    <row r="127" spans="1:13" x14ac:dyDescent="0.2">
      <c r="A127" s="88">
        <v>310</v>
      </c>
      <c r="B127" s="88" t="s">
        <v>621</v>
      </c>
      <c r="C127" s="88" t="s">
        <v>418</v>
      </c>
      <c r="D127" s="88">
        <v>68.622894947099994</v>
      </c>
      <c r="E127" s="88">
        <v>-149.54328383999999</v>
      </c>
      <c r="F127" s="88" t="s">
        <v>418</v>
      </c>
      <c r="G127" s="88" t="s">
        <v>429</v>
      </c>
      <c r="H127" s="88" t="s">
        <v>622</v>
      </c>
      <c r="I127" s="88" t="s">
        <v>623</v>
      </c>
      <c r="J127" s="88" t="s">
        <v>444</v>
      </c>
      <c r="K127" s="88" t="s">
        <v>418</v>
      </c>
      <c r="L127" s="88" t="s">
        <v>418</v>
      </c>
      <c r="M127" s="94" t="str">
        <f t="shared" si="1"/>
        <v>View on Google Map</v>
      </c>
    </row>
    <row r="128" spans="1:13" x14ac:dyDescent="0.2">
      <c r="A128" s="88">
        <v>311</v>
      </c>
      <c r="B128" s="88" t="s">
        <v>624</v>
      </c>
      <c r="C128" s="88" t="s">
        <v>418</v>
      </c>
      <c r="D128" s="88">
        <v>68.623910828999996</v>
      </c>
      <c r="E128" s="88">
        <v>-149.53118563999999</v>
      </c>
      <c r="F128" s="88" t="s">
        <v>418</v>
      </c>
      <c r="G128" s="88" t="s">
        <v>429</v>
      </c>
      <c r="H128" s="88" t="s">
        <v>625</v>
      </c>
      <c r="I128" s="88" t="s">
        <v>626</v>
      </c>
      <c r="J128" s="88" t="s">
        <v>444</v>
      </c>
      <c r="K128" s="88" t="s">
        <v>418</v>
      </c>
      <c r="L128" s="88" t="s">
        <v>418</v>
      </c>
      <c r="M128" s="94" t="str">
        <f t="shared" si="1"/>
        <v>View on Google Map</v>
      </c>
    </row>
    <row r="129" spans="1:13" x14ac:dyDescent="0.2">
      <c r="A129" s="88">
        <v>312</v>
      </c>
      <c r="B129" s="88" t="s">
        <v>627</v>
      </c>
      <c r="C129" s="88" t="s">
        <v>418</v>
      </c>
      <c r="D129" s="88">
        <v>68.6277698106</v>
      </c>
      <c r="E129" s="88">
        <v>-149.497737003</v>
      </c>
      <c r="F129" s="88" t="s">
        <v>418</v>
      </c>
      <c r="G129" s="88" t="s">
        <v>429</v>
      </c>
      <c r="H129" s="88" t="s">
        <v>628</v>
      </c>
      <c r="I129" s="88" t="s">
        <v>629</v>
      </c>
      <c r="J129" s="88" t="s">
        <v>444</v>
      </c>
      <c r="K129" s="88" t="s">
        <v>418</v>
      </c>
      <c r="L129" s="88" t="s">
        <v>418</v>
      </c>
      <c r="M129" s="94" t="str">
        <f t="shared" si="1"/>
        <v>View on Google Map</v>
      </c>
    </row>
    <row r="130" spans="1:13" x14ac:dyDescent="0.2">
      <c r="A130" s="88">
        <v>145</v>
      </c>
      <c r="B130" s="88" t="s">
        <v>630</v>
      </c>
      <c r="C130" s="88" t="s">
        <v>418</v>
      </c>
      <c r="D130" s="88">
        <v>68.642611000000002</v>
      </c>
      <c r="E130" s="88">
        <v>-149.458079</v>
      </c>
      <c r="F130" s="88">
        <v>800</v>
      </c>
      <c r="G130" s="88" t="s">
        <v>429</v>
      </c>
      <c r="H130" s="88" t="s">
        <v>631</v>
      </c>
      <c r="I130" s="88" t="s">
        <v>632</v>
      </c>
      <c r="J130" s="88" t="s">
        <v>444</v>
      </c>
      <c r="K130" s="88" t="s">
        <v>418</v>
      </c>
      <c r="L130" s="88" t="s">
        <v>418</v>
      </c>
      <c r="M130" s="94" t="str">
        <f t="shared" si="1"/>
        <v>View on Google Map</v>
      </c>
    </row>
    <row r="131" spans="1:13" x14ac:dyDescent="0.2">
      <c r="A131" s="88">
        <v>399</v>
      </c>
      <c r="B131" s="88" t="s">
        <v>633</v>
      </c>
      <c r="C131" s="88" t="s">
        <v>418</v>
      </c>
      <c r="D131" s="88">
        <v>68.643427058300006</v>
      </c>
      <c r="E131" s="88">
        <v>-149.44056459199999</v>
      </c>
      <c r="F131" s="88">
        <v>792</v>
      </c>
      <c r="G131" s="88" t="s">
        <v>429</v>
      </c>
      <c r="H131" s="88" t="s">
        <v>634</v>
      </c>
      <c r="I131" s="88" t="s">
        <v>635</v>
      </c>
      <c r="J131" s="88" t="s">
        <v>444</v>
      </c>
      <c r="K131" s="88" t="s">
        <v>418</v>
      </c>
      <c r="L131" s="88" t="s">
        <v>418</v>
      </c>
      <c r="M131" s="94" t="str">
        <f t="shared" ref="M131:M194" si="2">HYPERLINK("http://maps.google.com/maps?q="&amp;D131&amp;","&amp;E131,"View on Google Map")</f>
        <v>View on Google Map</v>
      </c>
    </row>
    <row r="132" spans="1:13" x14ac:dyDescent="0.2">
      <c r="A132" s="88">
        <v>1605</v>
      </c>
      <c r="B132" s="88" t="s">
        <v>636</v>
      </c>
      <c r="C132" s="88" t="s">
        <v>418</v>
      </c>
      <c r="D132" s="88" t="s">
        <v>418</v>
      </c>
      <c r="E132" s="88" t="s">
        <v>418</v>
      </c>
      <c r="F132" s="88" t="s">
        <v>418</v>
      </c>
      <c r="G132" s="88" t="s">
        <v>443</v>
      </c>
      <c r="H132" s="88" t="s">
        <v>637</v>
      </c>
      <c r="I132" s="88" t="s">
        <v>638</v>
      </c>
      <c r="J132" s="88" t="s">
        <v>444</v>
      </c>
      <c r="K132" s="88" t="s">
        <v>418</v>
      </c>
      <c r="L132" s="88" t="s">
        <v>418</v>
      </c>
      <c r="M132" s="94" t="str">
        <f t="shared" si="2"/>
        <v>View on Google Map</v>
      </c>
    </row>
    <row r="133" spans="1:13" x14ac:dyDescent="0.2">
      <c r="A133" s="88">
        <v>1606</v>
      </c>
      <c r="B133" s="88" t="s">
        <v>639</v>
      </c>
      <c r="C133" s="88" t="s">
        <v>418</v>
      </c>
      <c r="D133" s="88" t="s">
        <v>418</v>
      </c>
      <c r="E133" s="88" t="s">
        <v>418</v>
      </c>
      <c r="F133" s="88" t="s">
        <v>418</v>
      </c>
      <c r="G133" s="88" t="s">
        <v>443</v>
      </c>
      <c r="H133" s="88" t="s">
        <v>640</v>
      </c>
      <c r="I133" s="88" t="s">
        <v>641</v>
      </c>
      <c r="J133" s="88" t="s">
        <v>444</v>
      </c>
      <c r="K133" s="88" t="s">
        <v>418</v>
      </c>
      <c r="L133" s="88" t="s">
        <v>418</v>
      </c>
      <c r="M133" s="94" t="str">
        <f t="shared" si="2"/>
        <v>View on Google Map</v>
      </c>
    </row>
    <row r="134" spans="1:13" x14ac:dyDescent="0.2">
      <c r="A134" s="88">
        <v>1604</v>
      </c>
      <c r="B134" s="88" t="s">
        <v>642</v>
      </c>
      <c r="C134" s="88" t="s">
        <v>418</v>
      </c>
      <c r="D134" s="88" t="s">
        <v>418</v>
      </c>
      <c r="E134" s="88" t="s">
        <v>418</v>
      </c>
      <c r="F134" s="88" t="s">
        <v>418</v>
      </c>
      <c r="G134" s="88" t="s">
        <v>443</v>
      </c>
      <c r="H134" s="88" t="s">
        <v>643</v>
      </c>
      <c r="I134" s="88" t="s">
        <v>644</v>
      </c>
      <c r="J134" s="88" t="s">
        <v>444</v>
      </c>
      <c r="K134" s="88" t="s">
        <v>418</v>
      </c>
      <c r="L134" s="88" t="s">
        <v>418</v>
      </c>
      <c r="M134" s="94" t="str">
        <f t="shared" si="2"/>
        <v>View on Google Map</v>
      </c>
    </row>
    <row r="135" spans="1:13" x14ac:dyDescent="0.2">
      <c r="A135" s="88">
        <v>24</v>
      </c>
      <c r="B135" s="88" t="s">
        <v>645</v>
      </c>
      <c r="C135" s="88" t="s">
        <v>418</v>
      </c>
      <c r="D135" s="88" t="s">
        <v>418</v>
      </c>
      <c r="E135" s="88" t="s">
        <v>418</v>
      </c>
      <c r="F135" s="88" t="s">
        <v>418</v>
      </c>
      <c r="G135" s="88" t="s">
        <v>443</v>
      </c>
      <c r="H135" s="88" t="s">
        <v>418</v>
      </c>
      <c r="I135" s="88" t="s">
        <v>418</v>
      </c>
      <c r="J135" s="88" t="s">
        <v>444</v>
      </c>
      <c r="K135" s="88" t="s">
        <v>418</v>
      </c>
      <c r="L135" s="88" t="s">
        <v>418</v>
      </c>
      <c r="M135" s="94" t="str">
        <f t="shared" si="2"/>
        <v>View on Google Map</v>
      </c>
    </row>
    <row r="136" spans="1:13" x14ac:dyDescent="0.2">
      <c r="A136" s="88">
        <v>143</v>
      </c>
      <c r="B136" s="88" t="s">
        <v>646</v>
      </c>
      <c r="C136" s="88" t="s">
        <v>647</v>
      </c>
      <c r="D136" s="88">
        <v>68.650000000000006</v>
      </c>
      <c r="E136" s="88">
        <v>-148.5</v>
      </c>
      <c r="F136" s="88">
        <v>525</v>
      </c>
      <c r="G136" s="88" t="s">
        <v>429</v>
      </c>
      <c r="H136" s="88" t="s">
        <v>418</v>
      </c>
      <c r="I136" s="88" t="s">
        <v>418</v>
      </c>
      <c r="J136" s="88" t="s">
        <v>444</v>
      </c>
      <c r="K136" s="88" t="s">
        <v>418</v>
      </c>
      <c r="L136" s="88" t="s">
        <v>445</v>
      </c>
      <c r="M136" s="94" t="str">
        <f t="shared" si="2"/>
        <v>View on Google Map</v>
      </c>
    </row>
    <row r="137" spans="1:13" x14ac:dyDescent="0.2">
      <c r="A137" s="88">
        <v>464</v>
      </c>
      <c r="B137" s="88" t="s">
        <v>648</v>
      </c>
      <c r="C137" s="88" t="s">
        <v>418</v>
      </c>
      <c r="D137" s="88">
        <v>68.793719999999993</v>
      </c>
      <c r="E137" s="88">
        <v>-149.47560999999999</v>
      </c>
      <c r="F137" s="88">
        <v>702</v>
      </c>
      <c r="G137" s="88" t="s">
        <v>429</v>
      </c>
      <c r="H137" s="88" t="s">
        <v>418</v>
      </c>
      <c r="I137" s="88" t="s">
        <v>418</v>
      </c>
      <c r="J137" s="88" t="s">
        <v>430</v>
      </c>
      <c r="K137" s="88" t="s">
        <v>418</v>
      </c>
      <c r="L137" s="88" t="s">
        <v>418</v>
      </c>
      <c r="M137" s="94" t="str">
        <f t="shared" si="2"/>
        <v>View on Google Map</v>
      </c>
    </row>
    <row r="138" spans="1:13" x14ac:dyDescent="0.2">
      <c r="A138" s="88">
        <v>465</v>
      </c>
      <c r="B138" s="88" t="s">
        <v>649</v>
      </c>
      <c r="C138" s="88" t="s">
        <v>418</v>
      </c>
      <c r="D138" s="88">
        <v>68.796220000000005</v>
      </c>
      <c r="E138" s="88">
        <v>-149.48222000000001</v>
      </c>
      <c r="F138" s="88">
        <v>698</v>
      </c>
      <c r="G138" s="88" t="s">
        <v>429</v>
      </c>
      <c r="H138" s="88" t="s">
        <v>418</v>
      </c>
      <c r="I138" s="88" t="s">
        <v>418</v>
      </c>
      <c r="J138" s="88" t="s">
        <v>430</v>
      </c>
      <c r="K138" s="88" t="s">
        <v>418</v>
      </c>
      <c r="L138" s="88" t="s">
        <v>418</v>
      </c>
      <c r="M138" s="94" t="str">
        <f t="shared" si="2"/>
        <v>View on Google Map</v>
      </c>
    </row>
    <row r="139" spans="1:13" x14ac:dyDescent="0.2">
      <c r="A139" s="88">
        <v>466</v>
      </c>
      <c r="B139" s="88" t="s">
        <v>650</v>
      </c>
      <c r="C139" s="88" t="s">
        <v>418</v>
      </c>
      <c r="D139" s="88">
        <v>68.798249999999996</v>
      </c>
      <c r="E139" s="88">
        <v>-149.47832</v>
      </c>
      <c r="F139" s="88">
        <v>697</v>
      </c>
      <c r="G139" s="88" t="s">
        <v>429</v>
      </c>
      <c r="H139" s="88" t="s">
        <v>418</v>
      </c>
      <c r="I139" s="88" t="s">
        <v>418</v>
      </c>
      <c r="J139" s="88" t="s">
        <v>430</v>
      </c>
      <c r="K139" s="88" t="s">
        <v>418</v>
      </c>
      <c r="L139" s="88" t="s">
        <v>418</v>
      </c>
      <c r="M139" s="94" t="str">
        <f t="shared" si="2"/>
        <v>View on Google Map</v>
      </c>
    </row>
    <row r="140" spans="1:13" x14ac:dyDescent="0.2">
      <c r="A140" s="88">
        <v>467</v>
      </c>
      <c r="B140" s="88" t="s">
        <v>651</v>
      </c>
      <c r="C140" s="88" t="s">
        <v>418</v>
      </c>
      <c r="D140" s="88">
        <v>68.794659999999993</v>
      </c>
      <c r="E140" s="88">
        <v>-149.46985000000001</v>
      </c>
      <c r="F140" s="88">
        <v>702</v>
      </c>
      <c r="G140" s="88" t="s">
        <v>429</v>
      </c>
      <c r="H140" s="88" t="s">
        <v>418</v>
      </c>
      <c r="I140" s="88" t="s">
        <v>418</v>
      </c>
      <c r="J140" s="88" t="s">
        <v>430</v>
      </c>
      <c r="K140" s="88" t="s">
        <v>418</v>
      </c>
      <c r="L140" s="88" t="s">
        <v>418</v>
      </c>
      <c r="M140" s="94" t="str">
        <f t="shared" si="2"/>
        <v>View on Google Map</v>
      </c>
    </row>
    <row r="141" spans="1:13" x14ac:dyDescent="0.2">
      <c r="A141" s="88">
        <v>468</v>
      </c>
      <c r="B141" s="88" t="s">
        <v>652</v>
      </c>
      <c r="C141" s="88" t="s">
        <v>418</v>
      </c>
      <c r="D141" s="88">
        <v>68.797669999999997</v>
      </c>
      <c r="E141" s="88">
        <v>-149.46574000000001</v>
      </c>
      <c r="F141" s="88">
        <v>692</v>
      </c>
      <c r="G141" s="88" t="s">
        <v>429</v>
      </c>
      <c r="H141" s="88" t="s">
        <v>418</v>
      </c>
      <c r="I141" s="88" t="s">
        <v>418</v>
      </c>
      <c r="J141" s="88" t="s">
        <v>430</v>
      </c>
      <c r="K141" s="88" t="s">
        <v>418</v>
      </c>
      <c r="L141" s="88" t="s">
        <v>418</v>
      </c>
      <c r="M141" s="94" t="str">
        <f t="shared" si="2"/>
        <v>View on Google Map</v>
      </c>
    </row>
    <row r="142" spans="1:13" x14ac:dyDescent="0.2">
      <c r="A142" s="88">
        <v>469</v>
      </c>
      <c r="B142" s="88" t="s">
        <v>653</v>
      </c>
      <c r="C142" s="88" t="s">
        <v>418</v>
      </c>
      <c r="D142" s="88">
        <v>68.802390000000003</v>
      </c>
      <c r="E142" s="88">
        <v>-149.46473</v>
      </c>
      <c r="F142" s="88">
        <v>683</v>
      </c>
      <c r="G142" s="88" t="s">
        <v>429</v>
      </c>
      <c r="H142" s="88" t="s">
        <v>418</v>
      </c>
      <c r="I142" s="88" t="s">
        <v>418</v>
      </c>
      <c r="J142" s="88" t="s">
        <v>430</v>
      </c>
      <c r="K142" s="88" t="s">
        <v>418</v>
      </c>
      <c r="L142" s="88" t="s">
        <v>418</v>
      </c>
      <c r="M142" s="94" t="str">
        <f t="shared" si="2"/>
        <v>View on Google Map</v>
      </c>
    </row>
    <row r="143" spans="1:13" x14ac:dyDescent="0.2">
      <c r="A143" s="88">
        <v>406</v>
      </c>
      <c r="B143" s="88" t="s">
        <v>654</v>
      </c>
      <c r="C143" s="88" t="s">
        <v>418</v>
      </c>
      <c r="D143" s="88" t="s">
        <v>418</v>
      </c>
      <c r="E143" s="88" t="s">
        <v>418</v>
      </c>
      <c r="F143" s="88" t="s">
        <v>418</v>
      </c>
      <c r="G143" s="88" t="s">
        <v>429</v>
      </c>
      <c r="H143" s="88" t="s">
        <v>418</v>
      </c>
      <c r="I143" s="88" t="s">
        <v>418</v>
      </c>
      <c r="J143" s="88" t="s">
        <v>444</v>
      </c>
      <c r="K143" s="88" t="s">
        <v>418</v>
      </c>
      <c r="L143" s="88" t="s">
        <v>600</v>
      </c>
      <c r="M143" s="94" t="str">
        <f t="shared" si="2"/>
        <v>View on Google Map</v>
      </c>
    </row>
    <row r="144" spans="1:13" x14ac:dyDescent="0.2">
      <c r="A144" s="88">
        <v>407</v>
      </c>
      <c r="B144" s="88" t="s">
        <v>655</v>
      </c>
      <c r="C144" s="88" t="s">
        <v>418</v>
      </c>
      <c r="D144" s="88" t="s">
        <v>418</v>
      </c>
      <c r="E144" s="88" t="s">
        <v>418</v>
      </c>
      <c r="F144" s="88" t="s">
        <v>418</v>
      </c>
      <c r="G144" s="88" t="s">
        <v>429</v>
      </c>
      <c r="H144" s="88" t="s">
        <v>418</v>
      </c>
      <c r="I144" s="88" t="s">
        <v>418</v>
      </c>
      <c r="J144" s="88" t="s">
        <v>444</v>
      </c>
      <c r="K144" s="88" t="s">
        <v>418</v>
      </c>
      <c r="L144" s="88" t="s">
        <v>600</v>
      </c>
      <c r="M144" s="94" t="str">
        <f t="shared" si="2"/>
        <v>View on Google Map</v>
      </c>
    </row>
    <row r="145" spans="1:13" x14ac:dyDescent="0.2">
      <c r="A145" s="88">
        <v>164</v>
      </c>
      <c r="B145" s="88" t="s">
        <v>656</v>
      </c>
      <c r="C145" s="88" t="s">
        <v>418</v>
      </c>
      <c r="D145" s="88">
        <v>68.683333333333337</v>
      </c>
      <c r="E145" s="88">
        <v>-149.07666666666699</v>
      </c>
      <c r="F145" s="88">
        <v>770</v>
      </c>
      <c r="G145" s="88" t="s">
        <v>429</v>
      </c>
      <c r="H145" s="88" t="s">
        <v>657</v>
      </c>
      <c r="I145" s="88" t="s">
        <v>658</v>
      </c>
      <c r="J145" s="88" t="s">
        <v>444</v>
      </c>
      <c r="K145" s="88">
        <v>274</v>
      </c>
      <c r="L145" s="88" t="s">
        <v>418</v>
      </c>
      <c r="M145" s="94" t="str">
        <f t="shared" si="2"/>
        <v>View on Google Map</v>
      </c>
    </row>
    <row r="146" spans="1:13" x14ac:dyDescent="0.2">
      <c r="A146" s="88">
        <v>165</v>
      </c>
      <c r="B146" s="88" t="s">
        <v>659</v>
      </c>
      <c r="C146" s="88" t="s">
        <v>418</v>
      </c>
      <c r="D146" s="88">
        <v>68.683333333333337</v>
      </c>
      <c r="E146" s="88">
        <v>-149.1</v>
      </c>
      <c r="F146" s="88">
        <v>785</v>
      </c>
      <c r="G146" s="88" t="s">
        <v>429</v>
      </c>
      <c r="H146" s="88" t="s">
        <v>660</v>
      </c>
      <c r="I146" s="88" t="s">
        <v>661</v>
      </c>
      <c r="J146" s="88" t="s">
        <v>444</v>
      </c>
      <c r="K146" s="88">
        <v>275</v>
      </c>
      <c r="L146" s="88" t="s">
        <v>418</v>
      </c>
      <c r="M146" s="94" t="str">
        <f t="shared" si="2"/>
        <v>View on Google Map</v>
      </c>
    </row>
    <row r="147" spans="1:13" x14ac:dyDescent="0.2">
      <c r="A147" s="88">
        <v>166</v>
      </c>
      <c r="B147" s="88" t="s">
        <v>662</v>
      </c>
      <c r="C147" s="88" t="s">
        <v>418</v>
      </c>
      <c r="D147" s="88">
        <v>68.666666666666671</v>
      </c>
      <c r="E147" s="88">
        <v>-149.1</v>
      </c>
      <c r="F147" s="88">
        <v>792</v>
      </c>
      <c r="G147" s="88" t="s">
        <v>429</v>
      </c>
      <c r="H147" s="88" t="s">
        <v>663</v>
      </c>
      <c r="I147" s="88" t="s">
        <v>664</v>
      </c>
      <c r="J147" s="88" t="s">
        <v>444</v>
      </c>
      <c r="K147" s="88">
        <v>276</v>
      </c>
      <c r="L147" s="88" t="s">
        <v>418</v>
      </c>
      <c r="M147" s="94" t="str">
        <f t="shared" si="2"/>
        <v>View on Google Map</v>
      </c>
    </row>
    <row r="148" spans="1:13" x14ac:dyDescent="0.2">
      <c r="A148" s="88">
        <v>167</v>
      </c>
      <c r="B148" s="88" t="s">
        <v>665</v>
      </c>
      <c r="C148" s="88" t="s">
        <v>418</v>
      </c>
      <c r="D148" s="88">
        <v>68.680000000000007</v>
      </c>
      <c r="E148" s="88">
        <v>-149.071666666667</v>
      </c>
      <c r="F148" s="88">
        <v>754</v>
      </c>
      <c r="G148" s="88" t="s">
        <v>429</v>
      </c>
      <c r="H148" s="88" t="s">
        <v>666</v>
      </c>
      <c r="I148" s="88" t="s">
        <v>667</v>
      </c>
      <c r="J148" s="88" t="s">
        <v>444</v>
      </c>
      <c r="K148" s="88" t="s">
        <v>418</v>
      </c>
      <c r="L148" s="88" t="s">
        <v>418</v>
      </c>
      <c r="M148" s="94" t="str">
        <f t="shared" si="2"/>
        <v>View on Google Map</v>
      </c>
    </row>
    <row r="149" spans="1:13" x14ac:dyDescent="0.2">
      <c r="A149" s="88">
        <v>168</v>
      </c>
      <c r="B149" s="88" t="s">
        <v>668</v>
      </c>
      <c r="C149" s="88" t="s">
        <v>418</v>
      </c>
      <c r="D149" s="88">
        <v>68.674999999999997</v>
      </c>
      <c r="E149" s="88">
        <v>-149.06</v>
      </c>
      <c r="F149" s="88" t="s">
        <v>418</v>
      </c>
      <c r="G149" s="88" t="s">
        <v>429</v>
      </c>
      <c r="H149" s="88" t="s">
        <v>669</v>
      </c>
      <c r="I149" s="88" t="s">
        <v>670</v>
      </c>
      <c r="J149" s="88" t="s">
        <v>444</v>
      </c>
      <c r="K149" s="88" t="s">
        <v>418</v>
      </c>
      <c r="L149" s="88" t="s">
        <v>418</v>
      </c>
      <c r="M149" s="94" t="str">
        <f t="shared" si="2"/>
        <v>View on Google Map</v>
      </c>
    </row>
    <row r="150" spans="1:13" x14ac:dyDescent="0.2">
      <c r="A150" s="88">
        <v>124</v>
      </c>
      <c r="B150" s="88" t="s">
        <v>671</v>
      </c>
      <c r="C150" s="88" t="s">
        <v>418</v>
      </c>
      <c r="D150" s="88">
        <v>68.466666666666669</v>
      </c>
      <c r="E150" s="88">
        <v>-149.5</v>
      </c>
      <c r="F150" s="88">
        <v>802</v>
      </c>
      <c r="G150" s="88" t="s">
        <v>429</v>
      </c>
      <c r="H150" s="88" t="s">
        <v>672</v>
      </c>
      <c r="I150" s="88" t="s">
        <v>418</v>
      </c>
      <c r="J150" s="88" t="s">
        <v>444</v>
      </c>
      <c r="K150" s="88" t="s">
        <v>418</v>
      </c>
      <c r="L150" s="88" t="s">
        <v>445</v>
      </c>
      <c r="M150" s="94" t="str">
        <f t="shared" si="2"/>
        <v>View on Google Map</v>
      </c>
    </row>
    <row r="151" spans="1:13" x14ac:dyDescent="0.2">
      <c r="A151" s="88">
        <v>432</v>
      </c>
      <c r="B151" s="88" t="s">
        <v>673</v>
      </c>
      <c r="C151" s="88" t="s">
        <v>418</v>
      </c>
      <c r="D151" s="88" t="s">
        <v>418</v>
      </c>
      <c r="E151" s="88" t="s">
        <v>418</v>
      </c>
      <c r="F151" s="88">
        <v>800</v>
      </c>
      <c r="G151" s="88" t="s">
        <v>429</v>
      </c>
      <c r="H151" s="88" t="s">
        <v>674</v>
      </c>
      <c r="I151" s="88" t="s">
        <v>418</v>
      </c>
      <c r="J151" s="88" t="s">
        <v>444</v>
      </c>
      <c r="K151" s="88" t="s">
        <v>418</v>
      </c>
      <c r="L151" s="88" t="s">
        <v>675</v>
      </c>
      <c r="M151" s="94" t="str">
        <f t="shared" si="2"/>
        <v>View on Google Map</v>
      </c>
    </row>
    <row r="152" spans="1:13" x14ac:dyDescent="0.2">
      <c r="A152" s="88">
        <v>433</v>
      </c>
      <c r="B152" s="88" t="s">
        <v>676</v>
      </c>
      <c r="C152" s="88" t="s">
        <v>418</v>
      </c>
      <c r="D152" s="88" t="s">
        <v>418</v>
      </c>
      <c r="E152" s="88" t="s">
        <v>418</v>
      </c>
      <c r="F152" s="88">
        <v>800</v>
      </c>
      <c r="G152" s="88" t="s">
        <v>429</v>
      </c>
      <c r="H152" s="88" t="s">
        <v>677</v>
      </c>
      <c r="I152" s="88" t="s">
        <v>418</v>
      </c>
      <c r="J152" s="88" t="s">
        <v>444</v>
      </c>
      <c r="K152" s="88" t="s">
        <v>418</v>
      </c>
      <c r="L152" s="88" t="s">
        <v>675</v>
      </c>
      <c r="M152" s="94" t="str">
        <f t="shared" si="2"/>
        <v>View on Google Map</v>
      </c>
    </row>
    <row r="153" spans="1:13" x14ac:dyDescent="0.2">
      <c r="A153" s="88">
        <v>434</v>
      </c>
      <c r="B153" s="88" t="s">
        <v>678</v>
      </c>
      <c r="C153" s="88" t="s">
        <v>418</v>
      </c>
      <c r="D153" s="88" t="s">
        <v>418</v>
      </c>
      <c r="E153" s="88" t="s">
        <v>418</v>
      </c>
      <c r="F153" s="88">
        <v>801</v>
      </c>
      <c r="G153" s="88" t="s">
        <v>429</v>
      </c>
      <c r="H153" s="88" t="s">
        <v>679</v>
      </c>
      <c r="I153" s="88" t="s">
        <v>418</v>
      </c>
      <c r="J153" s="88" t="s">
        <v>444</v>
      </c>
      <c r="K153" s="88" t="s">
        <v>418</v>
      </c>
      <c r="L153" s="88" t="s">
        <v>675</v>
      </c>
      <c r="M153" s="94" t="str">
        <f t="shared" si="2"/>
        <v>View on Google Map</v>
      </c>
    </row>
    <row r="154" spans="1:13" x14ac:dyDescent="0.2">
      <c r="A154" s="88">
        <v>435</v>
      </c>
      <c r="B154" s="88" t="s">
        <v>680</v>
      </c>
      <c r="C154" s="88" t="s">
        <v>418</v>
      </c>
      <c r="D154" s="88" t="s">
        <v>418</v>
      </c>
      <c r="E154" s="88" t="s">
        <v>418</v>
      </c>
      <c r="F154" s="88">
        <v>802</v>
      </c>
      <c r="G154" s="88" t="s">
        <v>429</v>
      </c>
      <c r="H154" s="88" t="s">
        <v>681</v>
      </c>
      <c r="I154" s="88" t="s">
        <v>418</v>
      </c>
      <c r="J154" s="88" t="s">
        <v>444</v>
      </c>
      <c r="K154" s="88" t="s">
        <v>418</v>
      </c>
      <c r="L154" s="88" t="s">
        <v>675</v>
      </c>
      <c r="M154" s="94" t="str">
        <f t="shared" si="2"/>
        <v>View on Google Map</v>
      </c>
    </row>
    <row r="155" spans="1:13" x14ac:dyDescent="0.2">
      <c r="A155" s="88">
        <v>436</v>
      </c>
      <c r="B155" s="88" t="s">
        <v>682</v>
      </c>
      <c r="C155" s="88" t="s">
        <v>418</v>
      </c>
      <c r="D155" s="88" t="s">
        <v>418</v>
      </c>
      <c r="E155" s="88" t="s">
        <v>418</v>
      </c>
      <c r="F155" s="88">
        <v>803</v>
      </c>
      <c r="G155" s="88" t="s">
        <v>429</v>
      </c>
      <c r="H155" s="88" t="s">
        <v>683</v>
      </c>
      <c r="I155" s="88" t="s">
        <v>418</v>
      </c>
      <c r="J155" s="88" t="s">
        <v>444</v>
      </c>
      <c r="K155" s="88" t="s">
        <v>418</v>
      </c>
      <c r="L155" s="88" t="s">
        <v>675</v>
      </c>
      <c r="M155" s="94" t="str">
        <f t="shared" si="2"/>
        <v>View on Google Map</v>
      </c>
    </row>
    <row r="156" spans="1:13" x14ac:dyDescent="0.2">
      <c r="A156" s="88">
        <v>437</v>
      </c>
      <c r="B156" s="88" t="s">
        <v>684</v>
      </c>
      <c r="C156" s="88" t="s">
        <v>418</v>
      </c>
      <c r="D156" s="88" t="s">
        <v>418</v>
      </c>
      <c r="E156" s="88" t="s">
        <v>418</v>
      </c>
      <c r="F156" s="88">
        <v>804</v>
      </c>
      <c r="G156" s="88" t="s">
        <v>429</v>
      </c>
      <c r="H156" s="88" t="s">
        <v>685</v>
      </c>
      <c r="I156" s="88" t="s">
        <v>418</v>
      </c>
      <c r="J156" s="88" t="s">
        <v>444</v>
      </c>
      <c r="K156" s="88" t="s">
        <v>418</v>
      </c>
      <c r="L156" s="88" t="s">
        <v>675</v>
      </c>
      <c r="M156" s="94" t="str">
        <f t="shared" si="2"/>
        <v>View on Google Map</v>
      </c>
    </row>
    <row r="157" spans="1:13" x14ac:dyDescent="0.2">
      <c r="A157" s="88">
        <v>438</v>
      </c>
      <c r="B157" s="88" t="s">
        <v>686</v>
      </c>
      <c r="C157" s="88" t="s">
        <v>418</v>
      </c>
      <c r="D157" s="88" t="s">
        <v>418</v>
      </c>
      <c r="E157" s="88" t="s">
        <v>418</v>
      </c>
      <c r="F157" s="88">
        <v>805</v>
      </c>
      <c r="G157" s="88" t="s">
        <v>429</v>
      </c>
      <c r="H157" s="88" t="s">
        <v>687</v>
      </c>
      <c r="I157" s="88" t="s">
        <v>418</v>
      </c>
      <c r="J157" s="88" t="s">
        <v>444</v>
      </c>
      <c r="K157" s="88" t="s">
        <v>418</v>
      </c>
      <c r="L157" s="88" t="s">
        <v>675</v>
      </c>
      <c r="M157" s="94" t="str">
        <f t="shared" si="2"/>
        <v>View on Google Map</v>
      </c>
    </row>
    <row r="158" spans="1:13" x14ac:dyDescent="0.2">
      <c r="A158" s="88">
        <v>439</v>
      </c>
      <c r="B158" s="88" t="s">
        <v>688</v>
      </c>
      <c r="C158" s="88" t="s">
        <v>418</v>
      </c>
      <c r="D158" s="88" t="s">
        <v>418</v>
      </c>
      <c r="E158" s="88" t="s">
        <v>418</v>
      </c>
      <c r="F158" s="88">
        <v>807</v>
      </c>
      <c r="G158" s="88" t="s">
        <v>429</v>
      </c>
      <c r="H158" s="88" t="s">
        <v>689</v>
      </c>
      <c r="I158" s="88" t="s">
        <v>418</v>
      </c>
      <c r="J158" s="88" t="s">
        <v>444</v>
      </c>
      <c r="K158" s="88" t="s">
        <v>418</v>
      </c>
      <c r="L158" s="88" t="s">
        <v>675</v>
      </c>
      <c r="M158" s="94" t="str">
        <f t="shared" si="2"/>
        <v>View on Google Map</v>
      </c>
    </row>
    <row r="159" spans="1:13" x14ac:dyDescent="0.2">
      <c r="A159" s="88">
        <v>440</v>
      </c>
      <c r="B159" s="88" t="s">
        <v>690</v>
      </c>
      <c r="C159" s="88" t="s">
        <v>418</v>
      </c>
      <c r="D159" s="88" t="s">
        <v>418</v>
      </c>
      <c r="E159" s="88" t="s">
        <v>418</v>
      </c>
      <c r="F159" s="88">
        <v>805</v>
      </c>
      <c r="G159" s="88" t="s">
        <v>429</v>
      </c>
      <c r="H159" s="88" t="s">
        <v>691</v>
      </c>
      <c r="I159" s="88" t="s">
        <v>418</v>
      </c>
      <c r="J159" s="88" t="s">
        <v>444</v>
      </c>
      <c r="K159" s="88" t="s">
        <v>418</v>
      </c>
      <c r="L159" s="88" t="s">
        <v>675</v>
      </c>
      <c r="M159" s="94" t="str">
        <f t="shared" si="2"/>
        <v>View on Google Map</v>
      </c>
    </row>
    <row r="160" spans="1:13" x14ac:dyDescent="0.2">
      <c r="A160" s="88">
        <v>441</v>
      </c>
      <c r="B160" s="88" t="s">
        <v>692</v>
      </c>
      <c r="C160" s="88" t="s">
        <v>418</v>
      </c>
      <c r="D160" s="88" t="s">
        <v>418</v>
      </c>
      <c r="E160" s="88" t="s">
        <v>418</v>
      </c>
      <c r="F160" s="88">
        <v>805</v>
      </c>
      <c r="G160" s="88" t="s">
        <v>429</v>
      </c>
      <c r="H160" s="88" t="s">
        <v>693</v>
      </c>
      <c r="I160" s="88" t="s">
        <v>418</v>
      </c>
      <c r="J160" s="88" t="s">
        <v>444</v>
      </c>
      <c r="K160" s="88" t="s">
        <v>418</v>
      </c>
      <c r="L160" s="88" t="s">
        <v>675</v>
      </c>
      <c r="M160" s="94" t="str">
        <f t="shared" si="2"/>
        <v>View on Google Map</v>
      </c>
    </row>
    <row r="161" spans="1:14" x14ac:dyDescent="0.2">
      <c r="A161" s="88">
        <v>442</v>
      </c>
      <c r="B161" s="88" t="s">
        <v>694</v>
      </c>
      <c r="C161" s="88" t="s">
        <v>418</v>
      </c>
      <c r="D161" s="88" t="s">
        <v>418</v>
      </c>
      <c r="E161" s="88" t="s">
        <v>418</v>
      </c>
      <c r="F161" s="88">
        <v>805</v>
      </c>
      <c r="G161" s="88" t="s">
        <v>429</v>
      </c>
      <c r="H161" s="88" t="s">
        <v>695</v>
      </c>
      <c r="I161" s="88" t="s">
        <v>418</v>
      </c>
      <c r="J161" s="88" t="s">
        <v>444</v>
      </c>
      <c r="K161" s="88" t="s">
        <v>418</v>
      </c>
      <c r="L161" s="88" t="s">
        <v>675</v>
      </c>
      <c r="M161" s="94" t="str">
        <f t="shared" si="2"/>
        <v>View on Google Map</v>
      </c>
    </row>
    <row r="162" spans="1:14" x14ac:dyDescent="0.2">
      <c r="A162" s="88">
        <v>443</v>
      </c>
      <c r="B162" s="88" t="s">
        <v>696</v>
      </c>
      <c r="C162" s="88" t="s">
        <v>418</v>
      </c>
      <c r="D162" s="88" t="s">
        <v>418</v>
      </c>
      <c r="E162" s="88" t="s">
        <v>418</v>
      </c>
      <c r="F162" s="88">
        <v>812</v>
      </c>
      <c r="G162" s="88" t="s">
        <v>429</v>
      </c>
      <c r="H162" s="88" t="s">
        <v>697</v>
      </c>
      <c r="I162" s="88" t="s">
        <v>418</v>
      </c>
      <c r="J162" s="88" t="s">
        <v>444</v>
      </c>
      <c r="K162" s="88" t="s">
        <v>418</v>
      </c>
      <c r="L162" s="88" t="s">
        <v>675</v>
      </c>
      <c r="M162" s="94" t="str">
        <f t="shared" si="2"/>
        <v>View on Google Map</v>
      </c>
    </row>
    <row r="163" spans="1:14" x14ac:dyDescent="0.2">
      <c r="A163" s="88">
        <v>28</v>
      </c>
      <c r="B163" s="88" t="s">
        <v>698</v>
      </c>
      <c r="C163" s="88" t="s">
        <v>418</v>
      </c>
      <c r="D163" s="88" t="s">
        <v>418</v>
      </c>
      <c r="E163" s="88" t="s">
        <v>418</v>
      </c>
      <c r="F163" s="88">
        <v>1189</v>
      </c>
      <c r="G163" s="88" t="s">
        <v>443</v>
      </c>
      <c r="H163" s="88" t="s">
        <v>699</v>
      </c>
      <c r="I163" s="88" t="s">
        <v>418</v>
      </c>
      <c r="J163" s="88" t="s">
        <v>444</v>
      </c>
      <c r="K163" s="88" t="s">
        <v>418</v>
      </c>
      <c r="L163" s="88" t="s">
        <v>418</v>
      </c>
      <c r="M163" s="94" t="str">
        <f t="shared" si="2"/>
        <v>View on Google Map</v>
      </c>
    </row>
    <row r="164" spans="1:14" x14ac:dyDescent="0.2">
      <c r="A164" s="88">
        <v>29</v>
      </c>
      <c r="B164" s="88" t="s">
        <v>700</v>
      </c>
      <c r="C164" s="88" t="s">
        <v>418</v>
      </c>
      <c r="D164" s="88" t="s">
        <v>418</v>
      </c>
      <c r="E164" s="88" t="s">
        <v>418</v>
      </c>
      <c r="F164" s="88">
        <v>1372</v>
      </c>
      <c r="G164" s="88" t="s">
        <v>443</v>
      </c>
      <c r="H164" s="88" t="s">
        <v>701</v>
      </c>
      <c r="I164" s="88" t="s">
        <v>418</v>
      </c>
      <c r="J164" s="88" t="s">
        <v>444</v>
      </c>
      <c r="K164" s="88" t="s">
        <v>418</v>
      </c>
      <c r="L164" s="88" t="s">
        <v>418</v>
      </c>
      <c r="M164" s="94" t="str">
        <f t="shared" si="2"/>
        <v>View on Google Map</v>
      </c>
    </row>
    <row r="165" spans="1:14" x14ac:dyDescent="0.2">
      <c r="A165" s="88">
        <v>30</v>
      </c>
      <c r="B165" s="88" t="s">
        <v>702</v>
      </c>
      <c r="C165" s="88" t="s">
        <v>418</v>
      </c>
      <c r="D165" s="88" t="s">
        <v>418</v>
      </c>
      <c r="E165" s="88" t="s">
        <v>418</v>
      </c>
      <c r="F165" s="88">
        <v>1463</v>
      </c>
      <c r="G165" s="88" t="s">
        <v>443</v>
      </c>
      <c r="H165" s="88" t="s">
        <v>703</v>
      </c>
      <c r="I165" s="88" t="s">
        <v>418</v>
      </c>
      <c r="J165" s="88" t="s">
        <v>444</v>
      </c>
      <c r="K165" s="88" t="s">
        <v>418</v>
      </c>
      <c r="L165" s="88" t="s">
        <v>418</v>
      </c>
      <c r="M165" s="94" t="str">
        <f t="shared" si="2"/>
        <v>View on Google Map</v>
      </c>
    </row>
    <row r="166" spans="1:14" x14ac:dyDescent="0.2">
      <c r="A166" s="88">
        <v>142</v>
      </c>
      <c r="B166" s="88" t="s">
        <v>704</v>
      </c>
      <c r="C166" s="88" t="s">
        <v>705</v>
      </c>
      <c r="D166" s="88">
        <v>68.53698</v>
      </c>
      <c r="E166" s="88">
        <v>-149.23740000000001</v>
      </c>
      <c r="F166" s="88">
        <v>883</v>
      </c>
      <c r="G166" s="88" t="s">
        <v>429</v>
      </c>
      <c r="H166" s="88" t="s">
        <v>706</v>
      </c>
      <c r="I166" s="88" t="s">
        <v>707</v>
      </c>
      <c r="J166" s="88" t="s">
        <v>444</v>
      </c>
      <c r="K166" s="88" t="s">
        <v>418</v>
      </c>
      <c r="L166" s="88" t="s">
        <v>445</v>
      </c>
      <c r="M166" s="94" t="str">
        <f t="shared" si="2"/>
        <v>View on Google Map</v>
      </c>
    </row>
    <row r="167" spans="1:14" x14ac:dyDescent="0.2">
      <c r="A167" s="88">
        <v>416</v>
      </c>
      <c r="B167" s="88" t="s">
        <v>708</v>
      </c>
      <c r="C167" s="88" t="s">
        <v>709</v>
      </c>
      <c r="D167" s="88">
        <v>68.496079978500006</v>
      </c>
      <c r="E167" s="88">
        <v>-149.60215567200001</v>
      </c>
      <c r="F167" s="88">
        <v>938</v>
      </c>
      <c r="G167" s="88" t="s">
        <v>429</v>
      </c>
      <c r="H167" s="88" t="s">
        <v>710</v>
      </c>
      <c r="I167" s="88" t="s">
        <v>418</v>
      </c>
      <c r="J167" s="88" t="s">
        <v>711</v>
      </c>
      <c r="K167" s="88" t="s">
        <v>418</v>
      </c>
      <c r="L167" s="88" t="s">
        <v>712</v>
      </c>
      <c r="M167" s="94" t="str">
        <f t="shared" si="2"/>
        <v>View on Google Map</v>
      </c>
      <c r="N167" s="88">
        <f>VALUE(MID(B167,5,3))</f>
        <v>100</v>
      </c>
    </row>
    <row r="168" spans="1:14" x14ac:dyDescent="0.2">
      <c r="A168" s="88">
        <v>417</v>
      </c>
      <c r="B168" s="88" t="s">
        <v>713</v>
      </c>
      <c r="C168" s="88" t="s">
        <v>714</v>
      </c>
      <c r="D168" s="88">
        <v>68.491641939700003</v>
      </c>
      <c r="E168" s="88">
        <v>-149.60743984699999</v>
      </c>
      <c r="F168" s="88">
        <v>937</v>
      </c>
      <c r="G168" s="88" t="s">
        <v>429</v>
      </c>
      <c r="H168" s="88" t="s">
        <v>715</v>
      </c>
      <c r="I168" s="88" t="s">
        <v>418</v>
      </c>
      <c r="J168" s="88" t="s">
        <v>711</v>
      </c>
      <c r="K168" s="88" t="s">
        <v>418</v>
      </c>
      <c r="L168" s="88" t="s">
        <v>712</v>
      </c>
      <c r="M168" s="94" t="str">
        <f t="shared" si="2"/>
        <v>View on Google Map</v>
      </c>
      <c r="N168" s="88">
        <f>VALUE(MID(B168,5,3))</f>
        <v>101</v>
      </c>
    </row>
    <row r="169" spans="1:14" x14ac:dyDescent="0.2">
      <c r="A169" s="88">
        <v>418</v>
      </c>
      <c r="B169" s="88" t="s">
        <v>716</v>
      </c>
      <c r="C169" s="88" t="s">
        <v>717</v>
      </c>
      <c r="D169" s="88">
        <v>68.485971524799993</v>
      </c>
      <c r="E169" s="88">
        <v>-149.611957343</v>
      </c>
      <c r="F169" s="88">
        <v>936</v>
      </c>
      <c r="G169" s="88" t="s">
        <v>429</v>
      </c>
      <c r="H169" s="88" t="s">
        <v>418</v>
      </c>
      <c r="I169" s="88" t="s">
        <v>418</v>
      </c>
      <c r="J169" s="88" t="s">
        <v>711</v>
      </c>
      <c r="K169" s="88" t="s">
        <v>418</v>
      </c>
      <c r="L169" s="88" t="s">
        <v>712</v>
      </c>
      <c r="M169" s="94" t="str">
        <f t="shared" si="2"/>
        <v>View on Google Map</v>
      </c>
      <c r="N169" s="88">
        <f>VALUE(MID(B169,5,3))</f>
        <v>102</v>
      </c>
    </row>
    <row r="170" spans="1:14" x14ac:dyDescent="0.2">
      <c r="A170" s="88">
        <v>419</v>
      </c>
      <c r="B170" s="88" t="s">
        <v>718</v>
      </c>
      <c r="C170" s="88" t="s">
        <v>719</v>
      </c>
      <c r="D170" s="88">
        <v>68.486418246300005</v>
      </c>
      <c r="E170" s="88">
        <v>-149.623539768</v>
      </c>
      <c r="F170" s="88">
        <v>934</v>
      </c>
      <c r="G170" s="88" t="s">
        <v>429</v>
      </c>
      <c r="H170" s="88" t="s">
        <v>720</v>
      </c>
      <c r="I170" s="88" t="s">
        <v>418</v>
      </c>
      <c r="J170" s="88" t="s">
        <v>711</v>
      </c>
      <c r="K170" s="88" t="s">
        <v>418</v>
      </c>
      <c r="L170" s="88" t="s">
        <v>712</v>
      </c>
      <c r="M170" s="94" t="str">
        <f t="shared" si="2"/>
        <v>View on Google Map</v>
      </c>
      <c r="N170" s="88">
        <f>VALUE(MID(B170,5,3))</f>
        <v>103</v>
      </c>
    </row>
    <row r="171" spans="1:14" x14ac:dyDescent="0.2">
      <c r="A171" s="88">
        <v>420</v>
      </c>
      <c r="B171" s="88" t="s">
        <v>721</v>
      </c>
      <c r="C171" s="88" t="s">
        <v>722</v>
      </c>
      <c r="D171" s="88">
        <v>68.480358182399996</v>
      </c>
      <c r="E171" s="88">
        <v>-149.621808276</v>
      </c>
      <c r="F171" s="88" t="s">
        <v>418</v>
      </c>
      <c r="G171" s="88" t="s">
        <v>429</v>
      </c>
      <c r="H171" s="88" t="s">
        <v>721</v>
      </c>
      <c r="I171" s="88" t="s">
        <v>418</v>
      </c>
      <c r="J171" s="88" t="s">
        <v>711</v>
      </c>
      <c r="K171" s="88" t="s">
        <v>418</v>
      </c>
      <c r="L171" s="88" t="s">
        <v>712</v>
      </c>
      <c r="M171" s="94" t="str">
        <f t="shared" si="2"/>
        <v>View on Google Map</v>
      </c>
      <c r="N171" s="88">
        <f t="shared" ref="N171:N198" si="3">VALUE(MID(H171,5,3))</f>
        <v>104</v>
      </c>
    </row>
    <row r="172" spans="1:14" x14ac:dyDescent="0.2">
      <c r="A172" s="88">
        <v>421</v>
      </c>
      <c r="B172" s="88" t="s">
        <v>723</v>
      </c>
      <c r="C172" s="88" t="s">
        <v>724</v>
      </c>
      <c r="D172" s="88">
        <v>68.487163894299997</v>
      </c>
      <c r="E172" s="88">
        <v>-149.57470926400001</v>
      </c>
      <c r="F172" s="88" t="s">
        <v>418</v>
      </c>
      <c r="G172" s="88" t="s">
        <v>429</v>
      </c>
      <c r="H172" s="88" t="s">
        <v>723</v>
      </c>
      <c r="I172" s="88" t="s">
        <v>418</v>
      </c>
      <c r="J172" s="88" t="s">
        <v>711</v>
      </c>
      <c r="K172" s="88" t="s">
        <v>418</v>
      </c>
      <c r="L172" s="88" t="s">
        <v>712</v>
      </c>
      <c r="M172" s="94" t="str">
        <f t="shared" si="2"/>
        <v>View on Google Map</v>
      </c>
      <c r="N172" s="88">
        <f t="shared" si="3"/>
        <v>105</v>
      </c>
    </row>
    <row r="173" spans="1:14" x14ac:dyDescent="0.2">
      <c r="A173" s="88">
        <v>422</v>
      </c>
      <c r="B173" s="88" t="s">
        <v>725</v>
      </c>
      <c r="C173" s="88" t="s">
        <v>726</v>
      </c>
      <c r="D173" s="88">
        <v>68.482007853900001</v>
      </c>
      <c r="E173" s="88">
        <v>-149.57357543099999</v>
      </c>
      <c r="F173" s="88" t="s">
        <v>418</v>
      </c>
      <c r="G173" s="88" t="s">
        <v>429</v>
      </c>
      <c r="H173" s="88" t="s">
        <v>725</v>
      </c>
      <c r="I173" s="88" t="s">
        <v>418</v>
      </c>
      <c r="J173" s="88" t="s">
        <v>711</v>
      </c>
      <c r="K173" s="88" t="s">
        <v>418</v>
      </c>
      <c r="L173" s="88" t="s">
        <v>712</v>
      </c>
      <c r="M173" s="94" t="str">
        <f t="shared" si="2"/>
        <v>View on Google Map</v>
      </c>
      <c r="N173" s="88">
        <f t="shared" si="3"/>
        <v>106</v>
      </c>
    </row>
    <row r="174" spans="1:14" x14ac:dyDescent="0.2">
      <c r="A174" s="88">
        <v>423</v>
      </c>
      <c r="B174" s="88" t="s">
        <v>727</v>
      </c>
      <c r="C174" s="88" t="s">
        <v>728</v>
      </c>
      <c r="D174" s="88">
        <v>68.480117783099999</v>
      </c>
      <c r="E174" s="88">
        <v>-149.553733964</v>
      </c>
      <c r="F174" s="88" t="s">
        <v>418</v>
      </c>
      <c r="G174" s="88" t="s">
        <v>429</v>
      </c>
      <c r="H174" s="88" t="s">
        <v>727</v>
      </c>
      <c r="I174" s="88" t="s">
        <v>418</v>
      </c>
      <c r="J174" s="88" t="s">
        <v>711</v>
      </c>
      <c r="K174" s="88" t="s">
        <v>418</v>
      </c>
      <c r="L174" s="88" t="s">
        <v>712</v>
      </c>
      <c r="M174" s="94" t="str">
        <f t="shared" si="2"/>
        <v>View on Google Map</v>
      </c>
      <c r="N174" s="88">
        <f t="shared" si="3"/>
        <v>107</v>
      </c>
    </row>
    <row r="175" spans="1:14" x14ac:dyDescent="0.2">
      <c r="A175" s="88">
        <v>424</v>
      </c>
      <c r="B175" s="88" t="s">
        <v>729</v>
      </c>
      <c r="C175" s="88" t="s">
        <v>730</v>
      </c>
      <c r="D175" s="88">
        <v>68.553470657600002</v>
      </c>
      <c r="E175" s="88">
        <v>-149.16702515599999</v>
      </c>
      <c r="F175" s="88" t="s">
        <v>418</v>
      </c>
      <c r="G175" s="88" t="s">
        <v>429</v>
      </c>
      <c r="H175" s="88" t="s">
        <v>729</v>
      </c>
      <c r="I175" s="88" t="s">
        <v>418</v>
      </c>
      <c r="J175" s="88" t="s">
        <v>711</v>
      </c>
      <c r="K175" s="88" t="s">
        <v>418</v>
      </c>
      <c r="L175" s="88" t="s">
        <v>712</v>
      </c>
      <c r="M175" s="94" t="str">
        <f t="shared" si="2"/>
        <v>View on Google Map</v>
      </c>
      <c r="N175" s="88">
        <f t="shared" si="3"/>
        <v>108</v>
      </c>
    </row>
    <row r="176" spans="1:14" x14ac:dyDescent="0.2">
      <c r="A176" s="88">
        <v>425</v>
      </c>
      <c r="B176" s="88" t="s">
        <v>731</v>
      </c>
      <c r="C176" s="88" t="s">
        <v>732</v>
      </c>
      <c r="D176" s="88">
        <v>68.557082457700005</v>
      </c>
      <c r="E176" s="88">
        <v>-149.154445686</v>
      </c>
      <c r="F176" s="88" t="s">
        <v>418</v>
      </c>
      <c r="G176" s="88" t="s">
        <v>429</v>
      </c>
      <c r="H176" s="88" t="s">
        <v>731</v>
      </c>
      <c r="I176" s="88" t="s">
        <v>418</v>
      </c>
      <c r="J176" s="88" t="s">
        <v>711</v>
      </c>
      <c r="K176" s="88" t="s">
        <v>418</v>
      </c>
      <c r="L176" s="88" t="s">
        <v>712</v>
      </c>
      <c r="M176" s="94" t="str">
        <f t="shared" si="2"/>
        <v>View on Google Map</v>
      </c>
      <c r="N176" s="88">
        <f t="shared" si="3"/>
        <v>109</v>
      </c>
    </row>
    <row r="177" spans="1:14" x14ac:dyDescent="0.2">
      <c r="A177" s="88">
        <v>426</v>
      </c>
      <c r="B177" s="88" t="s">
        <v>733</v>
      </c>
      <c r="C177" s="88" t="s">
        <v>734</v>
      </c>
      <c r="D177" s="88">
        <v>68.732874005799999</v>
      </c>
      <c r="E177" s="88">
        <v>-149.401461627</v>
      </c>
      <c r="F177" s="88" t="s">
        <v>418</v>
      </c>
      <c r="G177" s="88" t="s">
        <v>429</v>
      </c>
      <c r="H177" s="88" t="s">
        <v>733</v>
      </c>
      <c r="I177" s="88" t="s">
        <v>418</v>
      </c>
      <c r="J177" s="88" t="s">
        <v>711</v>
      </c>
      <c r="K177" s="88" t="s">
        <v>418</v>
      </c>
      <c r="L177" s="88" t="s">
        <v>712</v>
      </c>
      <c r="M177" s="94" t="str">
        <f t="shared" si="2"/>
        <v>View on Google Map</v>
      </c>
      <c r="N177" s="88">
        <f t="shared" si="3"/>
        <v>110</v>
      </c>
    </row>
    <row r="178" spans="1:14" x14ac:dyDescent="0.2">
      <c r="A178" s="88">
        <v>427</v>
      </c>
      <c r="B178" s="88" t="s">
        <v>735</v>
      </c>
      <c r="C178" s="88" t="s">
        <v>736</v>
      </c>
      <c r="D178" s="88">
        <v>68.728437910899999</v>
      </c>
      <c r="E178" s="88">
        <v>-149.39298449200001</v>
      </c>
      <c r="F178" s="88" t="s">
        <v>418</v>
      </c>
      <c r="G178" s="88" t="s">
        <v>429</v>
      </c>
      <c r="H178" s="88" t="s">
        <v>735</v>
      </c>
      <c r="I178" s="88" t="s">
        <v>418</v>
      </c>
      <c r="J178" s="88" t="s">
        <v>711</v>
      </c>
      <c r="K178" s="88" t="s">
        <v>418</v>
      </c>
      <c r="L178" s="88" t="s">
        <v>712</v>
      </c>
      <c r="M178" s="94" t="str">
        <f t="shared" si="2"/>
        <v>View on Google Map</v>
      </c>
      <c r="N178" s="88">
        <f t="shared" si="3"/>
        <v>111</v>
      </c>
    </row>
    <row r="179" spans="1:14" x14ac:dyDescent="0.2">
      <c r="A179" s="88">
        <v>428</v>
      </c>
      <c r="B179" s="88" t="s">
        <v>737</v>
      </c>
      <c r="C179" s="88" t="s">
        <v>738</v>
      </c>
      <c r="D179" s="88">
        <v>68.671908805499996</v>
      </c>
      <c r="E179" s="88">
        <v>-149.24817348299999</v>
      </c>
      <c r="F179" s="88" t="s">
        <v>418</v>
      </c>
      <c r="G179" s="88" t="s">
        <v>429</v>
      </c>
      <c r="H179" s="88" t="s">
        <v>737</v>
      </c>
      <c r="I179" s="88" t="s">
        <v>418</v>
      </c>
      <c r="J179" s="88" t="s">
        <v>711</v>
      </c>
      <c r="K179" s="88" t="s">
        <v>418</v>
      </c>
      <c r="L179" s="88" t="s">
        <v>712</v>
      </c>
      <c r="M179" s="94" t="str">
        <f t="shared" si="2"/>
        <v>View on Google Map</v>
      </c>
      <c r="N179" s="88">
        <f t="shared" si="3"/>
        <v>112</v>
      </c>
    </row>
    <row r="180" spans="1:14" x14ac:dyDescent="0.2">
      <c r="A180" s="88">
        <v>429</v>
      </c>
      <c r="B180" s="88" t="s">
        <v>739</v>
      </c>
      <c r="C180" s="88" t="s">
        <v>740</v>
      </c>
      <c r="D180" s="88">
        <v>68.679427639400004</v>
      </c>
      <c r="E180" s="88">
        <v>-149.23947084900001</v>
      </c>
      <c r="F180" s="88" t="s">
        <v>418</v>
      </c>
      <c r="G180" s="88" t="s">
        <v>429</v>
      </c>
      <c r="H180" s="88" t="s">
        <v>739</v>
      </c>
      <c r="I180" s="88" t="s">
        <v>418</v>
      </c>
      <c r="J180" s="88" t="s">
        <v>711</v>
      </c>
      <c r="K180" s="88" t="s">
        <v>418</v>
      </c>
      <c r="L180" s="88" t="s">
        <v>712</v>
      </c>
      <c r="M180" s="94" t="str">
        <f t="shared" si="2"/>
        <v>View on Google Map</v>
      </c>
      <c r="N180" s="88">
        <f t="shared" si="3"/>
        <v>113</v>
      </c>
    </row>
    <row r="181" spans="1:14" x14ac:dyDescent="0.2">
      <c r="A181" s="88">
        <v>430</v>
      </c>
      <c r="B181" s="88" t="s">
        <v>741</v>
      </c>
      <c r="C181" s="88" t="s">
        <v>742</v>
      </c>
      <c r="D181" s="88">
        <v>68.679424428600001</v>
      </c>
      <c r="E181" s="88">
        <v>-149.22969695099999</v>
      </c>
      <c r="F181" s="88" t="s">
        <v>418</v>
      </c>
      <c r="G181" s="88" t="s">
        <v>429</v>
      </c>
      <c r="H181" s="88" t="s">
        <v>741</v>
      </c>
      <c r="I181" s="88" t="s">
        <v>418</v>
      </c>
      <c r="J181" s="88" t="s">
        <v>711</v>
      </c>
      <c r="K181" s="88" t="s">
        <v>418</v>
      </c>
      <c r="L181" s="88" t="s">
        <v>712</v>
      </c>
      <c r="M181" s="94" t="str">
        <f t="shared" si="2"/>
        <v>View on Google Map</v>
      </c>
      <c r="N181" s="88">
        <f t="shared" si="3"/>
        <v>114</v>
      </c>
    </row>
    <row r="182" spans="1:14" x14ac:dyDescent="0.2">
      <c r="A182" s="88">
        <v>398</v>
      </c>
      <c r="B182" s="88" t="s">
        <v>743</v>
      </c>
      <c r="C182" s="88" t="s">
        <v>744</v>
      </c>
      <c r="D182" s="88">
        <v>68.569791782099998</v>
      </c>
      <c r="E182" s="88">
        <v>-149.43938491</v>
      </c>
      <c r="F182" s="88" t="s">
        <v>418</v>
      </c>
      <c r="G182" s="88" t="s">
        <v>429</v>
      </c>
      <c r="H182" s="88" t="s">
        <v>743</v>
      </c>
      <c r="I182" s="88" t="s">
        <v>418</v>
      </c>
      <c r="J182" s="88" t="s">
        <v>711</v>
      </c>
      <c r="K182" s="88" t="s">
        <v>418</v>
      </c>
      <c r="L182" s="88" t="s">
        <v>712</v>
      </c>
      <c r="M182" s="94" t="str">
        <f t="shared" si="2"/>
        <v>View on Google Map</v>
      </c>
      <c r="N182" s="88">
        <f t="shared" si="3"/>
        <v>82</v>
      </c>
    </row>
    <row r="183" spans="1:14" x14ac:dyDescent="0.2">
      <c r="A183" s="88">
        <v>389</v>
      </c>
      <c r="B183" s="88" t="s">
        <v>745</v>
      </c>
      <c r="C183" s="88" t="s">
        <v>746</v>
      </c>
      <c r="D183" s="88">
        <v>68.568883214500005</v>
      </c>
      <c r="E183" s="88">
        <v>-149.432996798</v>
      </c>
      <c r="F183" s="88" t="s">
        <v>418</v>
      </c>
      <c r="G183" s="88" t="s">
        <v>429</v>
      </c>
      <c r="H183" s="88" t="s">
        <v>745</v>
      </c>
      <c r="I183" s="88" t="s">
        <v>418</v>
      </c>
      <c r="J183" s="88" t="s">
        <v>711</v>
      </c>
      <c r="K183" s="88" t="s">
        <v>418</v>
      </c>
      <c r="L183" s="88" t="s">
        <v>712</v>
      </c>
      <c r="M183" s="94" t="str">
        <f t="shared" si="2"/>
        <v>View on Google Map</v>
      </c>
      <c r="N183" s="88">
        <f t="shared" si="3"/>
        <v>83</v>
      </c>
    </row>
    <row r="184" spans="1:14" x14ac:dyDescent="0.2">
      <c r="A184" s="88">
        <v>390</v>
      </c>
      <c r="B184" s="88" t="s">
        <v>747</v>
      </c>
      <c r="C184" s="88" t="s">
        <v>748</v>
      </c>
      <c r="D184" s="88">
        <v>68.571446755099998</v>
      </c>
      <c r="E184" s="88">
        <v>-149.43614776499999</v>
      </c>
      <c r="F184" s="88" t="s">
        <v>418</v>
      </c>
      <c r="G184" s="88" t="s">
        <v>429</v>
      </c>
      <c r="H184" s="88" t="s">
        <v>747</v>
      </c>
      <c r="I184" s="88" t="s">
        <v>418</v>
      </c>
      <c r="J184" s="88" t="s">
        <v>711</v>
      </c>
      <c r="K184" s="88" t="s">
        <v>418</v>
      </c>
      <c r="L184" s="88" t="s">
        <v>712</v>
      </c>
      <c r="M184" s="94" t="str">
        <f t="shared" si="2"/>
        <v>View on Google Map</v>
      </c>
      <c r="N184" s="88">
        <f t="shared" si="3"/>
        <v>84</v>
      </c>
    </row>
    <row r="185" spans="1:14" x14ac:dyDescent="0.2">
      <c r="A185" s="88">
        <v>391</v>
      </c>
      <c r="B185" s="88" t="s">
        <v>749</v>
      </c>
      <c r="C185" s="88" t="s">
        <v>750</v>
      </c>
      <c r="D185" s="88">
        <v>68.600419015400007</v>
      </c>
      <c r="E185" s="88">
        <v>-149.438677388</v>
      </c>
      <c r="F185" s="88" t="s">
        <v>418</v>
      </c>
      <c r="G185" s="88" t="s">
        <v>429</v>
      </c>
      <c r="H185" s="88" t="s">
        <v>749</v>
      </c>
      <c r="I185" s="88" t="s">
        <v>418</v>
      </c>
      <c r="J185" s="88" t="s">
        <v>711</v>
      </c>
      <c r="K185" s="88" t="s">
        <v>418</v>
      </c>
      <c r="L185" s="88" t="s">
        <v>712</v>
      </c>
      <c r="M185" s="94" t="str">
        <f t="shared" si="2"/>
        <v>View on Google Map</v>
      </c>
      <c r="N185" s="88">
        <f t="shared" si="3"/>
        <v>85</v>
      </c>
    </row>
    <row r="186" spans="1:14" x14ac:dyDescent="0.2">
      <c r="A186" s="88">
        <v>392</v>
      </c>
      <c r="B186" s="88" t="s">
        <v>751</v>
      </c>
      <c r="C186" s="88" t="s">
        <v>752</v>
      </c>
      <c r="D186" s="88">
        <v>68.632424610200005</v>
      </c>
      <c r="E186" s="88">
        <v>-149.41874062799999</v>
      </c>
      <c r="F186" s="88" t="s">
        <v>418</v>
      </c>
      <c r="G186" s="88" t="s">
        <v>429</v>
      </c>
      <c r="H186" s="88" t="s">
        <v>751</v>
      </c>
      <c r="I186" s="88" t="s">
        <v>418</v>
      </c>
      <c r="J186" s="88" t="s">
        <v>711</v>
      </c>
      <c r="K186" s="88" t="s">
        <v>418</v>
      </c>
      <c r="L186" s="88" t="s">
        <v>712</v>
      </c>
      <c r="M186" s="94" t="str">
        <f t="shared" si="2"/>
        <v>View on Google Map</v>
      </c>
      <c r="N186" s="88">
        <f t="shared" si="3"/>
        <v>86</v>
      </c>
    </row>
    <row r="187" spans="1:14" x14ac:dyDescent="0.2">
      <c r="A187" s="88">
        <v>393</v>
      </c>
      <c r="B187" s="88" t="s">
        <v>753</v>
      </c>
      <c r="C187" s="88" t="s">
        <v>754</v>
      </c>
      <c r="D187" s="88">
        <v>68.505704965899994</v>
      </c>
      <c r="E187" s="88">
        <v>-149.516276081</v>
      </c>
      <c r="F187" s="88" t="s">
        <v>418</v>
      </c>
      <c r="G187" s="88" t="s">
        <v>429</v>
      </c>
      <c r="H187" s="88" t="s">
        <v>753</v>
      </c>
      <c r="I187" s="88" t="s">
        <v>418</v>
      </c>
      <c r="J187" s="88" t="s">
        <v>711</v>
      </c>
      <c r="K187" s="88" t="s">
        <v>418</v>
      </c>
      <c r="L187" s="88" t="s">
        <v>712</v>
      </c>
      <c r="M187" s="94" t="str">
        <f t="shared" si="2"/>
        <v>View on Google Map</v>
      </c>
      <c r="N187" s="88">
        <f t="shared" si="3"/>
        <v>87</v>
      </c>
    </row>
    <row r="188" spans="1:14" x14ac:dyDescent="0.2">
      <c r="A188" s="88">
        <v>394</v>
      </c>
      <c r="B188" s="88" t="s">
        <v>755</v>
      </c>
      <c r="C188" s="88" t="s">
        <v>756</v>
      </c>
      <c r="D188" s="88">
        <v>68.509234808599999</v>
      </c>
      <c r="E188" s="88">
        <v>-149.58917678500001</v>
      </c>
      <c r="F188" s="88" t="s">
        <v>418</v>
      </c>
      <c r="G188" s="88" t="s">
        <v>429</v>
      </c>
      <c r="H188" s="88" t="s">
        <v>755</v>
      </c>
      <c r="I188" s="88" t="s">
        <v>418</v>
      </c>
      <c r="J188" s="88" t="s">
        <v>711</v>
      </c>
      <c r="K188" s="88" t="s">
        <v>418</v>
      </c>
      <c r="L188" s="88" t="s">
        <v>712</v>
      </c>
      <c r="M188" s="94" t="str">
        <f t="shared" si="2"/>
        <v>View on Google Map</v>
      </c>
      <c r="N188" s="88">
        <f t="shared" si="3"/>
        <v>88</v>
      </c>
    </row>
    <row r="189" spans="1:14" x14ac:dyDescent="0.2">
      <c r="A189" s="88">
        <v>395</v>
      </c>
      <c r="B189" s="88" t="s">
        <v>757</v>
      </c>
      <c r="C189" s="88" t="s">
        <v>758</v>
      </c>
      <c r="D189" s="88">
        <v>68.525650531300002</v>
      </c>
      <c r="E189" s="88">
        <v>-149.54161982299999</v>
      </c>
      <c r="F189" s="88" t="s">
        <v>418</v>
      </c>
      <c r="G189" s="88" t="s">
        <v>429</v>
      </c>
      <c r="H189" s="88" t="s">
        <v>757</v>
      </c>
      <c r="I189" s="88" t="s">
        <v>418</v>
      </c>
      <c r="J189" s="88" t="s">
        <v>711</v>
      </c>
      <c r="K189" s="88" t="s">
        <v>418</v>
      </c>
      <c r="L189" s="88" t="s">
        <v>712</v>
      </c>
      <c r="M189" s="94" t="str">
        <f t="shared" si="2"/>
        <v>View on Google Map</v>
      </c>
      <c r="N189" s="88">
        <f t="shared" si="3"/>
        <v>89</v>
      </c>
    </row>
    <row r="190" spans="1:14" x14ac:dyDescent="0.2">
      <c r="A190" s="88">
        <v>396</v>
      </c>
      <c r="B190" s="88" t="s">
        <v>759</v>
      </c>
      <c r="C190" s="88" t="s">
        <v>760</v>
      </c>
      <c r="D190" s="88">
        <v>68.531020060399996</v>
      </c>
      <c r="E190" s="88">
        <v>-149.54062336999999</v>
      </c>
      <c r="F190" s="88" t="s">
        <v>418</v>
      </c>
      <c r="G190" s="88" t="s">
        <v>429</v>
      </c>
      <c r="H190" s="88" t="s">
        <v>759</v>
      </c>
      <c r="I190" s="88" t="s">
        <v>418</v>
      </c>
      <c r="J190" s="88" t="s">
        <v>711</v>
      </c>
      <c r="K190" s="88" t="s">
        <v>418</v>
      </c>
      <c r="L190" s="88" t="s">
        <v>712</v>
      </c>
      <c r="M190" s="94" t="str">
        <f t="shared" si="2"/>
        <v>View on Google Map</v>
      </c>
      <c r="N190" s="88">
        <f t="shared" si="3"/>
        <v>90</v>
      </c>
    </row>
    <row r="191" spans="1:14" x14ac:dyDescent="0.2">
      <c r="A191" s="88">
        <v>397</v>
      </c>
      <c r="B191" s="88" t="s">
        <v>761</v>
      </c>
      <c r="C191" s="88" t="s">
        <v>762</v>
      </c>
      <c r="D191" s="88">
        <v>68.623892844400004</v>
      </c>
      <c r="E191" s="88">
        <v>-149.46955988600001</v>
      </c>
      <c r="F191" s="88" t="s">
        <v>418</v>
      </c>
      <c r="G191" s="88" t="s">
        <v>429</v>
      </c>
      <c r="H191" s="88" t="s">
        <v>761</v>
      </c>
      <c r="I191" s="88" t="s">
        <v>418</v>
      </c>
      <c r="J191" s="88" t="s">
        <v>711</v>
      </c>
      <c r="K191" s="88" t="s">
        <v>418</v>
      </c>
      <c r="L191" s="88" t="s">
        <v>712</v>
      </c>
      <c r="M191" s="94" t="str">
        <f t="shared" si="2"/>
        <v>View on Google Map</v>
      </c>
      <c r="N191" s="88">
        <f t="shared" si="3"/>
        <v>91</v>
      </c>
    </row>
    <row r="192" spans="1:14" x14ac:dyDescent="0.2">
      <c r="A192" s="88">
        <v>408</v>
      </c>
      <c r="B192" s="88" t="s">
        <v>763</v>
      </c>
      <c r="C192" s="88" t="s">
        <v>764</v>
      </c>
      <c r="D192" s="88">
        <v>68.606945965400001</v>
      </c>
      <c r="E192" s="88">
        <v>-149.195806014</v>
      </c>
      <c r="F192" s="88" t="s">
        <v>418</v>
      </c>
      <c r="G192" s="88" t="s">
        <v>429</v>
      </c>
      <c r="H192" s="88" t="s">
        <v>763</v>
      </c>
      <c r="I192" s="88" t="s">
        <v>418</v>
      </c>
      <c r="J192" s="88" t="s">
        <v>711</v>
      </c>
      <c r="K192" s="88" t="s">
        <v>418</v>
      </c>
      <c r="L192" s="88" t="s">
        <v>712</v>
      </c>
      <c r="M192" s="94" t="str">
        <f t="shared" si="2"/>
        <v>View on Google Map</v>
      </c>
      <c r="N192" s="88">
        <f t="shared" si="3"/>
        <v>92</v>
      </c>
    </row>
    <row r="193" spans="1:14" x14ac:dyDescent="0.2">
      <c r="A193" s="88">
        <v>409</v>
      </c>
      <c r="B193" s="88" t="s">
        <v>765</v>
      </c>
      <c r="C193" s="88" t="s">
        <v>766</v>
      </c>
      <c r="D193" s="88">
        <v>68.613688053999994</v>
      </c>
      <c r="E193" s="88">
        <v>-149.20287565500001</v>
      </c>
      <c r="F193" s="88" t="s">
        <v>418</v>
      </c>
      <c r="G193" s="88" t="s">
        <v>429</v>
      </c>
      <c r="H193" s="88" t="s">
        <v>765</v>
      </c>
      <c r="I193" s="88" t="s">
        <v>418</v>
      </c>
      <c r="J193" s="88" t="s">
        <v>711</v>
      </c>
      <c r="K193" s="88" t="s">
        <v>418</v>
      </c>
      <c r="L193" s="88" t="s">
        <v>712</v>
      </c>
      <c r="M193" s="94" t="str">
        <f t="shared" si="2"/>
        <v>View on Google Map</v>
      </c>
      <c r="N193" s="88">
        <f t="shared" si="3"/>
        <v>93</v>
      </c>
    </row>
    <row r="194" spans="1:14" x14ac:dyDescent="0.2">
      <c r="A194" s="88">
        <v>410</v>
      </c>
      <c r="B194" s="88" t="s">
        <v>767</v>
      </c>
      <c r="C194" s="88" t="s">
        <v>768</v>
      </c>
      <c r="D194" s="88">
        <v>68.617322837200007</v>
      </c>
      <c r="E194" s="88">
        <v>-149.21640989900001</v>
      </c>
      <c r="F194" s="88" t="s">
        <v>418</v>
      </c>
      <c r="G194" s="88" t="s">
        <v>429</v>
      </c>
      <c r="H194" s="88" t="s">
        <v>767</v>
      </c>
      <c r="I194" s="88" t="s">
        <v>418</v>
      </c>
      <c r="J194" s="88" t="s">
        <v>711</v>
      </c>
      <c r="K194" s="88" t="s">
        <v>418</v>
      </c>
      <c r="L194" s="88" t="s">
        <v>712</v>
      </c>
      <c r="M194" s="94" t="str">
        <f t="shared" si="2"/>
        <v>View on Google Map</v>
      </c>
      <c r="N194" s="88">
        <f t="shared" si="3"/>
        <v>94</v>
      </c>
    </row>
    <row r="195" spans="1:14" x14ac:dyDescent="0.2">
      <c r="A195" s="88">
        <v>411</v>
      </c>
      <c r="B195" s="88" t="s">
        <v>769</v>
      </c>
      <c r="C195" s="88" t="s">
        <v>770</v>
      </c>
      <c r="D195" s="88">
        <v>68.613551663999999</v>
      </c>
      <c r="E195" s="88">
        <v>-149.21844056</v>
      </c>
      <c r="F195" s="88" t="s">
        <v>418</v>
      </c>
      <c r="G195" s="88" t="s">
        <v>429</v>
      </c>
      <c r="H195" s="88" t="s">
        <v>769</v>
      </c>
      <c r="I195" s="88" t="s">
        <v>418</v>
      </c>
      <c r="J195" s="88" t="s">
        <v>711</v>
      </c>
      <c r="K195" s="88" t="s">
        <v>418</v>
      </c>
      <c r="L195" s="88" t="s">
        <v>712</v>
      </c>
      <c r="M195" s="94" t="str">
        <f t="shared" ref="M195:M258" si="4">HYPERLINK("http://maps.google.com/maps?q="&amp;D195&amp;","&amp;E195,"View on Google Map")</f>
        <v>View on Google Map</v>
      </c>
      <c r="N195" s="88">
        <f t="shared" si="3"/>
        <v>95</v>
      </c>
    </row>
    <row r="196" spans="1:14" x14ac:dyDescent="0.2">
      <c r="A196" s="88">
        <v>412</v>
      </c>
      <c r="B196" s="88" t="s">
        <v>771</v>
      </c>
      <c r="C196" s="88" t="s">
        <v>772</v>
      </c>
      <c r="D196" s="88">
        <v>68.609572079800003</v>
      </c>
      <c r="E196" s="88">
        <v>-149.20865205600001</v>
      </c>
      <c r="F196" s="88" t="s">
        <v>418</v>
      </c>
      <c r="G196" s="88" t="s">
        <v>429</v>
      </c>
      <c r="H196" s="88" t="s">
        <v>771</v>
      </c>
      <c r="I196" s="88" t="s">
        <v>418</v>
      </c>
      <c r="J196" s="88" t="s">
        <v>711</v>
      </c>
      <c r="K196" s="88" t="s">
        <v>418</v>
      </c>
      <c r="L196" s="88" t="s">
        <v>712</v>
      </c>
      <c r="M196" s="94" t="str">
        <f t="shared" si="4"/>
        <v>View on Google Map</v>
      </c>
      <c r="N196" s="88">
        <f t="shared" si="3"/>
        <v>96</v>
      </c>
    </row>
    <row r="197" spans="1:14" x14ac:dyDescent="0.2">
      <c r="A197" s="88">
        <v>413</v>
      </c>
      <c r="B197" s="88" t="s">
        <v>773</v>
      </c>
      <c r="C197" s="88" t="s">
        <v>774</v>
      </c>
      <c r="D197" s="88">
        <v>68.607097540200002</v>
      </c>
      <c r="E197" s="88">
        <v>-149.21482030499999</v>
      </c>
      <c r="F197" s="88" t="s">
        <v>418</v>
      </c>
      <c r="G197" s="88" t="s">
        <v>429</v>
      </c>
      <c r="H197" s="88" t="s">
        <v>773</v>
      </c>
      <c r="I197" s="88" t="s">
        <v>418</v>
      </c>
      <c r="J197" s="88" t="s">
        <v>711</v>
      </c>
      <c r="K197" s="88" t="s">
        <v>418</v>
      </c>
      <c r="L197" s="88" t="s">
        <v>712</v>
      </c>
      <c r="M197" s="94" t="str">
        <f t="shared" si="4"/>
        <v>View on Google Map</v>
      </c>
      <c r="N197" s="88">
        <f t="shared" si="3"/>
        <v>97</v>
      </c>
    </row>
    <row r="198" spans="1:14" x14ac:dyDescent="0.2">
      <c r="A198" s="88">
        <v>414</v>
      </c>
      <c r="B198" s="88" t="s">
        <v>775</v>
      </c>
      <c r="C198" s="88" t="s">
        <v>776</v>
      </c>
      <c r="D198" s="88">
        <v>68.605198711400007</v>
      </c>
      <c r="E198" s="88">
        <v>-149.27215046800001</v>
      </c>
      <c r="F198" s="88" t="s">
        <v>418</v>
      </c>
      <c r="G198" s="88" t="s">
        <v>429</v>
      </c>
      <c r="H198" s="88" t="s">
        <v>775</v>
      </c>
      <c r="I198" s="88" t="s">
        <v>418</v>
      </c>
      <c r="J198" s="88" t="s">
        <v>711</v>
      </c>
      <c r="K198" s="88" t="s">
        <v>418</v>
      </c>
      <c r="L198" s="88" t="s">
        <v>712</v>
      </c>
      <c r="M198" s="94" t="str">
        <f t="shared" si="4"/>
        <v>View on Google Map</v>
      </c>
      <c r="N198" s="88">
        <f t="shared" si="3"/>
        <v>98</v>
      </c>
    </row>
    <row r="199" spans="1:14" x14ac:dyDescent="0.2">
      <c r="A199" s="88">
        <v>415</v>
      </c>
      <c r="B199" s="88" t="s">
        <v>777</v>
      </c>
      <c r="C199" s="88" t="s">
        <v>778</v>
      </c>
      <c r="D199" s="88">
        <v>68.498375922400001</v>
      </c>
      <c r="E199" s="88">
        <v>-149.59842284699999</v>
      </c>
      <c r="F199" s="88">
        <v>947</v>
      </c>
      <c r="G199" s="88" t="s">
        <v>429</v>
      </c>
      <c r="H199" s="88" t="s">
        <v>779</v>
      </c>
      <c r="I199" s="88" t="s">
        <v>418</v>
      </c>
      <c r="J199" s="88" t="s">
        <v>711</v>
      </c>
      <c r="K199" s="88" t="s">
        <v>418</v>
      </c>
      <c r="L199" s="88" t="s">
        <v>712</v>
      </c>
      <c r="M199" s="94" t="str">
        <f t="shared" si="4"/>
        <v>View on Google Map</v>
      </c>
      <c r="N199" s="88">
        <f>VALUE(MID(B199,5,3))</f>
        <v>99</v>
      </c>
    </row>
    <row r="200" spans="1:14" x14ac:dyDescent="0.2">
      <c r="A200" s="88">
        <v>402</v>
      </c>
      <c r="B200" s="88" t="s">
        <v>780</v>
      </c>
      <c r="C200" s="88" t="s">
        <v>418</v>
      </c>
      <c r="D200" s="88" t="s">
        <v>418</v>
      </c>
      <c r="E200" s="88" t="s">
        <v>418</v>
      </c>
      <c r="F200" s="88" t="s">
        <v>418</v>
      </c>
      <c r="G200" s="88" t="s">
        <v>429</v>
      </c>
      <c r="H200" s="88" t="s">
        <v>418</v>
      </c>
      <c r="I200" s="88" t="s">
        <v>418</v>
      </c>
      <c r="J200" s="88" t="s">
        <v>444</v>
      </c>
      <c r="K200" s="88" t="s">
        <v>418</v>
      </c>
      <c r="L200" s="88" t="s">
        <v>598</v>
      </c>
      <c r="M200" s="94" t="str">
        <f t="shared" si="4"/>
        <v>View on Google Map</v>
      </c>
    </row>
    <row r="201" spans="1:14" x14ac:dyDescent="0.2">
      <c r="A201" s="88">
        <v>8</v>
      </c>
      <c r="B201" s="88" t="s">
        <v>781</v>
      </c>
      <c r="C201" s="88" t="s">
        <v>442</v>
      </c>
      <c r="D201" s="88">
        <v>69.150000000000006</v>
      </c>
      <c r="E201" s="88">
        <v>-148.83333333333334</v>
      </c>
      <c r="F201" s="88">
        <v>290</v>
      </c>
      <c r="G201" s="88" t="s">
        <v>443</v>
      </c>
      <c r="H201" s="88" t="s">
        <v>418</v>
      </c>
      <c r="I201" s="88" t="s">
        <v>418</v>
      </c>
      <c r="J201" s="88" t="s">
        <v>444</v>
      </c>
      <c r="K201" s="88" t="s">
        <v>418</v>
      </c>
      <c r="L201" s="88" t="s">
        <v>445</v>
      </c>
      <c r="M201" s="94" t="str">
        <f t="shared" si="4"/>
        <v>View on Google Map</v>
      </c>
    </row>
    <row r="202" spans="1:14" x14ac:dyDescent="0.2">
      <c r="A202" s="88">
        <v>219</v>
      </c>
      <c r="B202" s="88" t="s">
        <v>782</v>
      </c>
      <c r="C202" s="88" t="s">
        <v>418</v>
      </c>
      <c r="D202" s="88">
        <v>69.8</v>
      </c>
      <c r="E202" s="88">
        <v>-151.83333333333334</v>
      </c>
      <c r="F202" s="88">
        <v>60.365853658536601</v>
      </c>
      <c r="G202" s="88" t="s">
        <v>429</v>
      </c>
      <c r="H202" s="88" t="s">
        <v>783</v>
      </c>
      <c r="I202" s="88" t="s">
        <v>418</v>
      </c>
      <c r="J202" s="88" t="s">
        <v>444</v>
      </c>
      <c r="K202" s="88" t="s">
        <v>418</v>
      </c>
      <c r="L202" s="88" t="s">
        <v>784</v>
      </c>
      <c r="M202" s="94" t="str">
        <f t="shared" si="4"/>
        <v>View on Google Map</v>
      </c>
    </row>
    <row r="203" spans="1:14" x14ac:dyDescent="0.2">
      <c r="A203" s="88">
        <v>220</v>
      </c>
      <c r="B203" s="88" t="s">
        <v>785</v>
      </c>
      <c r="C203" s="88" t="s">
        <v>418</v>
      </c>
      <c r="D203" s="88">
        <v>69.75</v>
      </c>
      <c r="E203" s="88">
        <v>-151.5</v>
      </c>
      <c r="F203" s="88">
        <v>60.365853658536587</v>
      </c>
      <c r="G203" s="88" t="s">
        <v>429</v>
      </c>
      <c r="H203" s="88" t="s">
        <v>786</v>
      </c>
      <c r="I203" s="88" t="s">
        <v>418</v>
      </c>
      <c r="J203" s="88" t="s">
        <v>444</v>
      </c>
      <c r="K203" s="88" t="s">
        <v>418</v>
      </c>
      <c r="L203" s="88" t="s">
        <v>784</v>
      </c>
      <c r="M203" s="94" t="str">
        <f t="shared" si="4"/>
        <v>View on Google Map</v>
      </c>
    </row>
    <row r="204" spans="1:14" x14ac:dyDescent="0.2">
      <c r="A204" s="88">
        <v>221</v>
      </c>
      <c r="B204" s="88" t="s">
        <v>787</v>
      </c>
      <c r="C204" s="88" t="s">
        <v>418</v>
      </c>
      <c r="D204" s="88">
        <v>69.75</v>
      </c>
      <c r="E204" s="88">
        <v>-151.5</v>
      </c>
      <c r="F204" s="88">
        <v>30.487804878048781</v>
      </c>
      <c r="G204" s="88" t="s">
        <v>429</v>
      </c>
      <c r="H204" s="88" t="s">
        <v>788</v>
      </c>
      <c r="I204" s="88" t="s">
        <v>418</v>
      </c>
      <c r="J204" s="88" t="s">
        <v>444</v>
      </c>
      <c r="K204" s="88" t="s">
        <v>418</v>
      </c>
      <c r="L204" s="88" t="s">
        <v>784</v>
      </c>
      <c r="M204" s="94" t="str">
        <f t="shared" si="4"/>
        <v>View on Google Map</v>
      </c>
    </row>
    <row r="205" spans="1:14" x14ac:dyDescent="0.2">
      <c r="A205" s="88">
        <v>222</v>
      </c>
      <c r="B205" s="88" t="s">
        <v>789</v>
      </c>
      <c r="C205" s="88" t="s">
        <v>418</v>
      </c>
      <c r="D205" s="88">
        <v>69.7</v>
      </c>
      <c r="E205" s="88">
        <v>-151.16666666666666</v>
      </c>
      <c r="F205" s="88">
        <v>42.682926829268297</v>
      </c>
      <c r="G205" s="88" t="s">
        <v>429</v>
      </c>
      <c r="H205" s="88" t="s">
        <v>790</v>
      </c>
      <c r="I205" s="88" t="s">
        <v>418</v>
      </c>
      <c r="J205" s="88" t="s">
        <v>444</v>
      </c>
      <c r="K205" s="88" t="s">
        <v>418</v>
      </c>
      <c r="L205" s="88" t="s">
        <v>784</v>
      </c>
      <c r="M205" s="94" t="str">
        <f t="shared" si="4"/>
        <v>View on Google Map</v>
      </c>
    </row>
    <row r="206" spans="1:14" x14ac:dyDescent="0.2">
      <c r="A206" s="88">
        <v>223</v>
      </c>
      <c r="B206" s="88" t="s">
        <v>791</v>
      </c>
      <c r="C206" s="88" t="s">
        <v>418</v>
      </c>
      <c r="D206" s="88">
        <v>69.7</v>
      </c>
      <c r="E206" s="88">
        <v>-151.16666666666666</v>
      </c>
      <c r="F206" s="88">
        <v>42.682926829268297</v>
      </c>
      <c r="G206" s="88" t="s">
        <v>429</v>
      </c>
      <c r="H206" s="88" t="s">
        <v>792</v>
      </c>
      <c r="I206" s="88" t="s">
        <v>418</v>
      </c>
      <c r="J206" s="88" t="s">
        <v>444</v>
      </c>
      <c r="K206" s="88" t="s">
        <v>418</v>
      </c>
      <c r="L206" s="88" t="s">
        <v>784</v>
      </c>
      <c r="M206" s="94" t="str">
        <f t="shared" si="4"/>
        <v>View on Google Map</v>
      </c>
    </row>
    <row r="207" spans="1:14" x14ac:dyDescent="0.2">
      <c r="A207" s="88">
        <v>224</v>
      </c>
      <c r="B207" s="88" t="s">
        <v>793</v>
      </c>
      <c r="C207" s="88" t="s">
        <v>418</v>
      </c>
      <c r="D207" s="88">
        <v>69.516666666666666</v>
      </c>
      <c r="E207" s="88">
        <v>-150.86666666666667</v>
      </c>
      <c r="F207" s="88">
        <v>60.975609756097562</v>
      </c>
      <c r="G207" s="88" t="s">
        <v>429</v>
      </c>
      <c r="H207" s="88" t="s">
        <v>794</v>
      </c>
      <c r="I207" s="88" t="s">
        <v>418</v>
      </c>
      <c r="J207" s="88" t="s">
        <v>444</v>
      </c>
      <c r="K207" s="88" t="s">
        <v>418</v>
      </c>
      <c r="L207" s="88" t="s">
        <v>784</v>
      </c>
      <c r="M207" s="94" t="str">
        <f t="shared" si="4"/>
        <v>View on Google Map</v>
      </c>
    </row>
    <row r="208" spans="1:14" x14ac:dyDescent="0.2">
      <c r="A208" s="88">
        <v>225</v>
      </c>
      <c r="B208" s="88" t="s">
        <v>795</v>
      </c>
      <c r="C208" s="88" t="s">
        <v>418</v>
      </c>
      <c r="D208" s="88">
        <v>69.516666666666666</v>
      </c>
      <c r="E208" s="88">
        <v>-150.86666666666667</v>
      </c>
      <c r="F208" s="88">
        <v>60.975609756097562</v>
      </c>
      <c r="G208" s="88" t="s">
        <v>429</v>
      </c>
      <c r="H208" s="88" t="s">
        <v>796</v>
      </c>
      <c r="I208" s="88" t="s">
        <v>418</v>
      </c>
      <c r="J208" s="88" t="s">
        <v>444</v>
      </c>
      <c r="K208" s="88" t="s">
        <v>418</v>
      </c>
      <c r="L208" s="88" t="s">
        <v>784</v>
      </c>
      <c r="M208" s="94" t="str">
        <f t="shared" si="4"/>
        <v>View on Google Map</v>
      </c>
    </row>
    <row r="209" spans="1:13" x14ac:dyDescent="0.2">
      <c r="A209" s="88">
        <v>226</v>
      </c>
      <c r="B209" s="88" t="s">
        <v>797</v>
      </c>
      <c r="C209" s="88" t="s">
        <v>418</v>
      </c>
      <c r="D209" s="88">
        <v>69.25</v>
      </c>
      <c r="E209" s="88">
        <v>-150.43333333333334</v>
      </c>
      <c r="F209" s="88">
        <v>182.92682926829269</v>
      </c>
      <c r="G209" s="88" t="s">
        <v>429</v>
      </c>
      <c r="H209" s="88" t="s">
        <v>798</v>
      </c>
      <c r="I209" s="88" t="s">
        <v>418</v>
      </c>
      <c r="J209" s="88" t="s">
        <v>444</v>
      </c>
      <c r="K209" s="88" t="s">
        <v>418</v>
      </c>
      <c r="L209" s="88" t="s">
        <v>784</v>
      </c>
      <c r="M209" s="94" t="str">
        <f t="shared" si="4"/>
        <v>View on Google Map</v>
      </c>
    </row>
    <row r="210" spans="1:13" x14ac:dyDescent="0.2">
      <c r="A210" s="88">
        <v>227</v>
      </c>
      <c r="B210" s="88" t="s">
        <v>799</v>
      </c>
      <c r="C210" s="88" t="s">
        <v>418</v>
      </c>
      <c r="D210" s="88">
        <v>69.25</v>
      </c>
      <c r="E210" s="88">
        <v>-150.43333333333334</v>
      </c>
      <c r="F210" s="88">
        <v>182.92682926829269</v>
      </c>
      <c r="G210" s="88" t="s">
        <v>429</v>
      </c>
      <c r="H210" s="88" t="s">
        <v>800</v>
      </c>
      <c r="I210" s="88" t="s">
        <v>418</v>
      </c>
      <c r="J210" s="88" t="s">
        <v>444</v>
      </c>
      <c r="K210" s="88" t="s">
        <v>418</v>
      </c>
      <c r="L210" s="88" t="s">
        <v>784</v>
      </c>
      <c r="M210" s="94" t="str">
        <f t="shared" si="4"/>
        <v>View on Google Map</v>
      </c>
    </row>
    <row r="211" spans="1:13" x14ac:dyDescent="0.2">
      <c r="A211" s="88">
        <v>228</v>
      </c>
      <c r="B211" s="88" t="s">
        <v>801</v>
      </c>
      <c r="C211" s="88" t="s">
        <v>418</v>
      </c>
      <c r="D211" s="88">
        <v>69.25</v>
      </c>
      <c r="E211" s="88">
        <v>-151.16666666666666</v>
      </c>
      <c r="F211" s="88">
        <v>182.92682926829269</v>
      </c>
      <c r="G211" s="88" t="s">
        <v>429</v>
      </c>
      <c r="H211" s="88" t="s">
        <v>802</v>
      </c>
      <c r="I211" s="88" t="s">
        <v>418</v>
      </c>
      <c r="J211" s="88" t="s">
        <v>444</v>
      </c>
      <c r="K211" s="88" t="s">
        <v>418</v>
      </c>
      <c r="L211" s="88" t="s">
        <v>784</v>
      </c>
      <c r="M211" s="94" t="str">
        <f t="shared" si="4"/>
        <v>View on Google Map</v>
      </c>
    </row>
    <row r="212" spans="1:13" x14ac:dyDescent="0.2">
      <c r="A212" s="88">
        <v>229</v>
      </c>
      <c r="B212" s="88" t="s">
        <v>803</v>
      </c>
      <c r="C212" s="88" t="s">
        <v>418</v>
      </c>
      <c r="D212" s="88">
        <v>69.233333333333334</v>
      </c>
      <c r="E212" s="88">
        <v>-151.63333333333333</v>
      </c>
      <c r="F212" s="88">
        <v>178.35365853658539</v>
      </c>
      <c r="G212" s="88" t="s">
        <v>429</v>
      </c>
      <c r="H212" s="88" t="s">
        <v>804</v>
      </c>
      <c r="I212" s="88" t="s">
        <v>418</v>
      </c>
      <c r="J212" s="88" t="s">
        <v>444</v>
      </c>
      <c r="K212" s="88" t="s">
        <v>418</v>
      </c>
      <c r="L212" s="88" t="s">
        <v>784</v>
      </c>
      <c r="M212" s="94" t="str">
        <f t="shared" si="4"/>
        <v>View on Google Map</v>
      </c>
    </row>
    <row r="213" spans="1:13" x14ac:dyDescent="0.2">
      <c r="A213" s="88">
        <v>230</v>
      </c>
      <c r="B213" s="88" t="s">
        <v>805</v>
      </c>
      <c r="C213" s="88" t="s">
        <v>418</v>
      </c>
      <c r="D213" s="88">
        <v>68.900000000000006</v>
      </c>
      <c r="E213" s="88">
        <v>-151.28333333333333</v>
      </c>
      <c r="F213" s="88">
        <v>335.36585365853659</v>
      </c>
      <c r="G213" s="88" t="s">
        <v>429</v>
      </c>
      <c r="H213" s="88" t="s">
        <v>806</v>
      </c>
      <c r="I213" s="88" t="s">
        <v>418</v>
      </c>
      <c r="J213" s="88" t="s">
        <v>444</v>
      </c>
      <c r="K213" s="88" t="s">
        <v>418</v>
      </c>
      <c r="L213" s="88" t="s">
        <v>784</v>
      </c>
      <c r="M213" s="94" t="str">
        <f t="shared" si="4"/>
        <v>View on Google Map</v>
      </c>
    </row>
    <row r="214" spans="1:13" x14ac:dyDescent="0.2">
      <c r="A214" s="88">
        <v>231</v>
      </c>
      <c r="B214" s="88" t="s">
        <v>807</v>
      </c>
      <c r="C214" s="88" t="s">
        <v>418</v>
      </c>
      <c r="D214" s="88">
        <v>68.8</v>
      </c>
      <c r="E214" s="88">
        <v>-150.80000000000001</v>
      </c>
      <c r="F214" s="88">
        <v>411.58536585365857</v>
      </c>
      <c r="G214" s="88" t="s">
        <v>429</v>
      </c>
      <c r="H214" s="88" t="s">
        <v>808</v>
      </c>
      <c r="I214" s="88" t="s">
        <v>418</v>
      </c>
      <c r="J214" s="88" t="s">
        <v>444</v>
      </c>
      <c r="K214" s="88" t="s">
        <v>418</v>
      </c>
      <c r="L214" s="88" t="s">
        <v>784</v>
      </c>
      <c r="M214" s="94" t="str">
        <f t="shared" si="4"/>
        <v>View on Google Map</v>
      </c>
    </row>
    <row r="215" spans="1:13" x14ac:dyDescent="0.2">
      <c r="A215" s="88">
        <v>237</v>
      </c>
      <c r="B215" s="88" t="s">
        <v>809</v>
      </c>
      <c r="C215" s="88" t="s">
        <v>418</v>
      </c>
      <c r="D215" s="88">
        <v>68.783333333333331</v>
      </c>
      <c r="E215" s="88" t="s">
        <v>418</v>
      </c>
      <c r="F215" s="88">
        <v>681.40243902439033</v>
      </c>
      <c r="G215" s="88" t="s">
        <v>429</v>
      </c>
      <c r="H215" s="88" t="s">
        <v>810</v>
      </c>
      <c r="I215" s="88" t="s">
        <v>811</v>
      </c>
      <c r="J215" s="88" t="s">
        <v>444</v>
      </c>
      <c r="K215" s="88" t="s">
        <v>418</v>
      </c>
      <c r="L215" s="88" t="s">
        <v>784</v>
      </c>
      <c r="M215" s="94" t="str">
        <f t="shared" si="4"/>
        <v>View on Google Map</v>
      </c>
    </row>
    <row r="216" spans="1:13" x14ac:dyDescent="0.2">
      <c r="A216" s="88">
        <v>238</v>
      </c>
      <c r="B216" s="88" t="s">
        <v>812</v>
      </c>
      <c r="C216" s="88" t="s">
        <v>418</v>
      </c>
      <c r="D216" s="88">
        <v>68.783333333333331</v>
      </c>
      <c r="E216" s="88" t="s">
        <v>418</v>
      </c>
      <c r="F216" s="88">
        <v>681.40243902439033</v>
      </c>
      <c r="G216" s="88" t="s">
        <v>429</v>
      </c>
      <c r="H216" s="88" t="s">
        <v>813</v>
      </c>
      <c r="I216" s="88" t="s">
        <v>811</v>
      </c>
      <c r="J216" s="88" t="s">
        <v>444</v>
      </c>
      <c r="K216" s="88" t="s">
        <v>418</v>
      </c>
      <c r="L216" s="88" t="s">
        <v>784</v>
      </c>
      <c r="M216" s="94" t="str">
        <f t="shared" si="4"/>
        <v>View on Google Map</v>
      </c>
    </row>
    <row r="217" spans="1:13" x14ac:dyDescent="0.2">
      <c r="A217" s="88">
        <v>10</v>
      </c>
      <c r="B217" s="88" t="s">
        <v>814</v>
      </c>
      <c r="C217" s="88" t="s">
        <v>815</v>
      </c>
      <c r="D217" s="88">
        <v>68.644702925000004</v>
      </c>
      <c r="E217" s="88">
        <v>-149.41200613611099</v>
      </c>
      <c r="F217" s="88">
        <v>751.33799999999997</v>
      </c>
      <c r="G217" s="88" t="s">
        <v>443</v>
      </c>
      <c r="H217" s="88" t="s">
        <v>418</v>
      </c>
      <c r="I217" s="88" t="s">
        <v>418</v>
      </c>
      <c r="J217" s="88" t="s">
        <v>444</v>
      </c>
      <c r="K217" s="88" t="s">
        <v>418</v>
      </c>
      <c r="L217" s="88" t="s">
        <v>418</v>
      </c>
      <c r="M217" s="94" t="str">
        <f t="shared" si="4"/>
        <v>View on Google Map</v>
      </c>
    </row>
    <row r="218" spans="1:13" x14ac:dyDescent="0.2">
      <c r="A218" s="88">
        <v>486</v>
      </c>
      <c r="B218" s="88" t="s">
        <v>816</v>
      </c>
      <c r="C218" s="88" t="s">
        <v>418</v>
      </c>
      <c r="D218" s="88">
        <v>68.958333332999999</v>
      </c>
      <c r="E218" s="88">
        <v>-150.302016667</v>
      </c>
      <c r="F218" s="88">
        <v>382</v>
      </c>
      <c r="G218" s="88" t="s">
        <v>429</v>
      </c>
      <c r="H218" s="88" t="s">
        <v>418</v>
      </c>
      <c r="I218" s="88" t="s">
        <v>418</v>
      </c>
      <c r="J218" s="88" t="s">
        <v>479</v>
      </c>
      <c r="K218" s="88" t="s">
        <v>418</v>
      </c>
      <c r="L218" s="88" t="s">
        <v>426</v>
      </c>
      <c r="M218" s="94" t="str">
        <f t="shared" si="4"/>
        <v>View on Google Map</v>
      </c>
    </row>
    <row r="219" spans="1:13" x14ac:dyDescent="0.2">
      <c r="A219" s="88">
        <v>388</v>
      </c>
      <c r="B219" s="88" t="s">
        <v>817</v>
      </c>
      <c r="C219" s="88" t="s">
        <v>418</v>
      </c>
      <c r="D219" s="88">
        <v>68.556340000000006</v>
      </c>
      <c r="E219" s="88">
        <v>-149.56628000000001</v>
      </c>
      <c r="F219" s="88">
        <v>801</v>
      </c>
      <c r="G219" s="88" t="s">
        <v>429</v>
      </c>
      <c r="H219" s="88" t="s">
        <v>418</v>
      </c>
      <c r="I219" s="88" t="s">
        <v>418</v>
      </c>
      <c r="J219" s="88" t="s">
        <v>444</v>
      </c>
      <c r="K219" s="88" t="s">
        <v>418</v>
      </c>
      <c r="L219" s="88" t="s">
        <v>818</v>
      </c>
      <c r="M219" s="94" t="str">
        <f t="shared" si="4"/>
        <v>View on Google Map</v>
      </c>
    </row>
    <row r="220" spans="1:13" x14ac:dyDescent="0.2">
      <c r="A220" s="88">
        <v>450</v>
      </c>
      <c r="B220" s="88" t="s">
        <v>819</v>
      </c>
      <c r="C220" s="88" t="s">
        <v>418</v>
      </c>
      <c r="D220" s="88">
        <v>68.553610000000006</v>
      </c>
      <c r="E220" s="88">
        <v>-149.53397000000001</v>
      </c>
      <c r="F220" s="88">
        <v>820</v>
      </c>
      <c r="G220" s="88" t="s">
        <v>429</v>
      </c>
      <c r="H220" s="88" t="s">
        <v>820</v>
      </c>
      <c r="I220" s="88" t="s">
        <v>418</v>
      </c>
      <c r="J220" s="88" t="s">
        <v>430</v>
      </c>
      <c r="K220" s="88" t="s">
        <v>418</v>
      </c>
      <c r="L220" s="88" t="s">
        <v>418</v>
      </c>
      <c r="M220" s="94" t="str">
        <f t="shared" si="4"/>
        <v>View on Google Map</v>
      </c>
    </row>
    <row r="221" spans="1:13" x14ac:dyDescent="0.2">
      <c r="A221" s="88">
        <v>451</v>
      </c>
      <c r="B221" s="88" t="s">
        <v>821</v>
      </c>
      <c r="C221" s="88" t="s">
        <v>418</v>
      </c>
      <c r="D221" s="88">
        <v>68.545929999999998</v>
      </c>
      <c r="E221" s="88">
        <v>-149.54213999999999</v>
      </c>
      <c r="F221" s="88">
        <v>852</v>
      </c>
      <c r="G221" s="88" t="s">
        <v>429</v>
      </c>
      <c r="H221" s="88" t="s">
        <v>822</v>
      </c>
      <c r="I221" s="88" t="s">
        <v>418</v>
      </c>
      <c r="J221" s="88" t="s">
        <v>430</v>
      </c>
      <c r="K221" s="88" t="s">
        <v>418</v>
      </c>
      <c r="L221" s="88" t="s">
        <v>418</v>
      </c>
      <c r="M221" s="94" t="str">
        <f t="shared" si="4"/>
        <v>View on Google Map</v>
      </c>
    </row>
    <row r="222" spans="1:13" x14ac:dyDescent="0.2">
      <c r="A222" s="88">
        <v>531</v>
      </c>
      <c r="B222" s="88" t="s">
        <v>823</v>
      </c>
      <c r="C222" s="88" t="s">
        <v>824</v>
      </c>
      <c r="D222" s="88">
        <v>68.556769000000003</v>
      </c>
      <c r="E222" s="88">
        <v>-149.555385</v>
      </c>
      <c r="F222" s="88">
        <v>805</v>
      </c>
      <c r="G222" s="88" t="s">
        <v>443</v>
      </c>
      <c r="H222" s="88" t="s">
        <v>418</v>
      </c>
      <c r="I222" s="88" t="s">
        <v>418</v>
      </c>
      <c r="J222" s="88" t="s">
        <v>430</v>
      </c>
      <c r="K222" s="88" t="s">
        <v>418</v>
      </c>
      <c r="L222" s="88" t="s">
        <v>825</v>
      </c>
      <c r="M222" s="94" t="str">
        <f t="shared" si="4"/>
        <v>View on Google Map</v>
      </c>
    </row>
    <row r="223" spans="1:13" x14ac:dyDescent="0.2">
      <c r="A223" s="88">
        <v>532</v>
      </c>
      <c r="B223" s="88" t="s">
        <v>826</v>
      </c>
      <c r="C223" s="88" t="s">
        <v>824</v>
      </c>
      <c r="D223" s="88">
        <v>68.556635999999997</v>
      </c>
      <c r="E223" s="88">
        <v>-149.574457</v>
      </c>
      <c r="F223" s="88">
        <v>803</v>
      </c>
      <c r="G223" s="88" t="s">
        <v>443</v>
      </c>
      <c r="H223" s="88" t="s">
        <v>418</v>
      </c>
      <c r="I223" s="88" t="s">
        <v>418</v>
      </c>
      <c r="J223" s="88" t="s">
        <v>430</v>
      </c>
      <c r="K223" s="88" t="s">
        <v>418</v>
      </c>
      <c r="L223" s="88" t="s">
        <v>825</v>
      </c>
      <c r="M223" s="94" t="str">
        <f t="shared" si="4"/>
        <v>View on Google Map</v>
      </c>
    </row>
    <row r="224" spans="1:13" x14ac:dyDescent="0.2">
      <c r="A224" s="88">
        <v>120</v>
      </c>
      <c r="B224" s="88" t="s">
        <v>827</v>
      </c>
      <c r="C224" s="88" t="s">
        <v>418</v>
      </c>
      <c r="D224" s="88">
        <v>68.610781000000003</v>
      </c>
      <c r="E224" s="88">
        <v>-149.600742</v>
      </c>
      <c r="F224" s="88">
        <v>736</v>
      </c>
      <c r="G224" s="88" t="s">
        <v>429</v>
      </c>
      <c r="H224" s="88" t="s">
        <v>828</v>
      </c>
      <c r="I224" s="88" t="s">
        <v>418</v>
      </c>
      <c r="J224" s="88" t="s">
        <v>444</v>
      </c>
      <c r="K224" s="88">
        <v>313</v>
      </c>
      <c r="L224" s="88" t="s">
        <v>818</v>
      </c>
      <c r="M224" s="94" t="str">
        <f t="shared" si="4"/>
        <v>View on Google Map</v>
      </c>
    </row>
    <row r="225" spans="1:13" x14ac:dyDescent="0.2">
      <c r="A225" s="88">
        <v>191</v>
      </c>
      <c r="B225" s="88" t="s">
        <v>829</v>
      </c>
      <c r="C225" s="88" t="s">
        <v>830</v>
      </c>
      <c r="D225" s="88">
        <v>68.610349999999997</v>
      </c>
      <c r="E225" s="88">
        <v>-149.59976599999999</v>
      </c>
      <c r="F225" s="88">
        <v>736</v>
      </c>
      <c r="G225" s="88" t="s">
        <v>443</v>
      </c>
      <c r="H225" s="88" t="s">
        <v>831</v>
      </c>
      <c r="I225" s="88" t="s">
        <v>832</v>
      </c>
      <c r="J225" s="88" t="s">
        <v>444</v>
      </c>
      <c r="K225" s="88" t="s">
        <v>418</v>
      </c>
      <c r="L225" s="88" t="s">
        <v>833</v>
      </c>
      <c r="M225" s="94" t="str">
        <f t="shared" si="4"/>
        <v>View on Google Map</v>
      </c>
    </row>
    <row r="226" spans="1:13" x14ac:dyDescent="0.2">
      <c r="A226" s="88">
        <v>243</v>
      </c>
      <c r="B226" s="88" t="s">
        <v>834</v>
      </c>
      <c r="C226" s="88" t="s">
        <v>418</v>
      </c>
      <c r="D226" s="88">
        <v>68.611682999999999</v>
      </c>
      <c r="E226" s="88">
        <v>-149.599254</v>
      </c>
      <c r="F226" s="88">
        <v>736</v>
      </c>
      <c r="G226" s="88" t="s">
        <v>443</v>
      </c>
      <c r="H226" s="88" t="s">
        <v>835</v>
      </c>
      <c r="I226" s="88" t="s">
        <v>836</v>
      </c>
      <c r="J226" s="88" t="s">
        <v>444</v>
      </c>
      <c r="K226" s="88" t="s">
        <v>418</v>
      </c>
      <c r="L226" s="88" t="s">
        <v>833</v>
      </c>
      <c r="M226" s="94" t="str">
        <f t="shared" si="4"/>
        <v>View on Google Map</v>
      </c>
    </row>
    <row r="227" spans="1:13" x14ac:dyDescent="0.2">
      <c r="A227" s="88">
        <v>111</v>
      </c>
      <c r="B227" s="88" t="s">
        <v>837</v>
      </c>
      <c r="C227" s="88" t="s">
        <v>418</v>
      </c>
      <c r="D227" s="88">
        <v>68.568713078900004</v>
      </c>
      <c r="E227" s="88">
        <v>-149.58807625</v>
      </c>
      <c r="F227" s="88">
        <v>785</v>
      </c>
      <c r="G227" s="88" t="s">
        <v>429</v>
      </c>
      <c r="H227" s="88" t="s">
        <v>838</v>
      </c>
      <c r="I227" s="88" t="s">
        <v>839</v>
      </c>
      <c r="J227" s="88" t="s">
        <v>444</v>
      </c>
      <c r="K227" s="88" t="s">
        <v>418</v>
      </c>
      <c r="L227" s="88" t="s">
        <v>818</v>
      </c>
      <c r="M227" s="94" t="str">
        <f t="shared" si="4"/>
        <v>View on Google Map</v>
      </c>
    </row>
    <row r="228" spans="1:13" x14ac:dyDescent="0.2">
      <c r="A228" s="88">
        <v>175</v>
      </c>
      <c r="B228" s="88" t="s">
        <v>840</v>
      </c>
      <c r="C228" s="88" t="s">
        <v>418</v>
      </c>
      <c r="D228" s="88">
        <v>68.573999999999998</v>
      </c>
      <c r="E228" s="88">
        <v>-149.58356599999999</v>
      </c>
      <c r="F228" s="88">
        <v>774</v>
      </c>
      <c r="G228" s="88" t="s">
        <v>443</v>
      </c>
      <c r="H228" s="88" t="s">
        <v>841</v>
      </c>
      <c r="I228" s="88" t="s">
        <v>842</v>
      </c>
      <c r="J228" s="88" t="s">
        <v>444</v>
      </c>
      <c r="K228" s="88" t="s">
        <v>418</v>
      </c>
      <c r="L228" s="88" t="s">
        <v>833</v>
      </c>
      <c r="M228" s="94" t="str">
        <f t="shared" si="4"/>
        <v>View on Google Map</v>
      </c>
    </row>
    <row r="229" spans="1:13" x14ac:dyDescent="0.2">
      <c r="A229" s="88">
        <v>174</v>
      </c>
      <c r="B229" s="88" t="s">
        <v>843</v>
      </c>
      <c r="C229" s="88" t="s">
        <v>418</v>
      </c>
      <c r="D229" s="88">
        <v>68.572295999999994</v>
      </c>
      <c r="E229" s="88">
        <v>-149.58101400000001</v>
      </c>
      <c r="F229" s="88">
        <v>785</v>
      </c>
      <c r="G229" s="88" t="s">
        <v>443</v>
      </c>
      <c r="H229" s="88" t="s">
        <v>844</v>
      </c>
      <c r="I229" s="88" t="s">
        <v>845</v>
      </c>
      <c r="J229" s="88" t="s">
        <v>444</v>
      </c>
      <c r="K229" s="88" t="s">
        <v>418</v>
      </c>
      <c r="L229" s="88" t="s">
        <v>833</v>
      </c>
      <c r="M229" s="94" t="str">
        <f t="shared" si="4"/>
        <v>View on Google Map</v>
      </c>
    </row>
    <row r="230" spans="1:13" x14ac:dyDescent="0.2">
      <c r="A230" s="88">
        <v>112</v>
      </c>
      <c r="B230" s="88" t="s">
        <v>846</v>
      </c>
      <c r="C230" s="88" t="s">
        <v>418</v>
      </c>
      <c r="D230" s="88">
        <v>68.571319563299994</v>
      </c>
      <c r="E230" s="88">
        <v>-149.56588161799999</v>
      </c>
      <c r="F230" s="88">
        <v>785</v>
      </c>
      <c r="G230" s="88" t="s">
        <v>429</v>
      </c>
      <c r="H230" s="88" t="s">
        <v>847</v>
      </c>
      <c r="I230" s="88" t="s">
        <v>848</v>
      </c>
      <c r="J230" s="88" t="s">
        <v>444</v>
      </c>
      <c r="K230" s="88" t="s">
        <v>418</v>
      </c>
      <c r="L230" s="88" t="s">
        <v>818</v>
      </c>
      <c r="M230" s="94" t="str">
        <f t="shared" si="4"/>
        <v>View on Google Map</v>
      </c>
    </row>
    <row r="231" spans="1:13" x14ac:dyDescent="0.2">
      <c r="A231" s="88">
        <v>176</v>
      </c>
      <c r="B231" s="88" t="s">
        <v>849</v>
      </c>
      <c r="C231" s="88" t="s">
        <v>418</v>
      </c>
      <c r="D231" s="88">
        <v>68.574783330000002</v>
      </c>
      <c r="E231" s="88">
        <v>-149.58205000000001</v>
      </c>
      <c r="F231" s="88">
        <v>774</v>
      </c>
      <c r="G231" s="88" t="s">
        <v>443</v>
      </c>
      <c r="H231" s="88" t="s">
        <v>850</v>
      </c>
      <c r="I231" s="88" t="s">
        <v>851</v>
      </c>
      <c r="J231" s="88" t="s">
        <v>444</v>
      </c>
      <c r="K231" s="88" t="s">
        <v>418</v>
      </c>
      <c r="L231" s="88" t="s">
        <v>833</v>
      </c>
      <c r="M231" s="94" t="str">
        <f t="shared" si="4"/>
        <v>View on Google Map</v>
      </c>
    </row>
    <row r="232" spans="1:13" x14ac:dyDescent="0.2">
      <c r="A232" s="88">
        <v>173</v>
      </c>
      <c r="B232" s="88" t="s">
        <v>852</v>
      </c>
      <c r="C232" s="88" t="s">
        <v>418</v>
      </c>
      <c r="D232" s="88">
        <v>68.572546000000003</v>
      </c>
      <c r="E232" s="88">
        <v>-149.570268</v>
      </c>
      <c r="F232" s="88">
        <v>785</v>
      </c>
      <c r="G232" s="88" t="s">
        <v>443</v>
      </c>
      <c r="H232" s="88" t="s">
        <v>853</v>
      </c>
      <c r="I232" s="88" t="s">
        <v>854</v>
      </c>
      <c r="J232" s="88" t="s">
        <v>444</v>
      </c>
      <c r="K232" s="88" t="s">
        <v>418</v>
      </c>
      <c r="L232" s="88" t="s">
        <v>833</v>
      </c>
      <c r="M232" s="94" t="str">
        <f t="shared" si="4"/>
        <v>View on Google Map</v>
      </c>
    </row>
    <row r="233" spans="1:13" x14ac:dyDescent="0.2">
      <c r="A233" s="88">
        <v>113</v>
      </c>
      <c r="B233" s="88" t="s">
        <v>855</v>
      </c>
      <c r="C233" s="88" t="s">
        <v>418</v>
      </c>
      <c r="D233" s="88">
        <v>68.575536630100004</v>
      </c>
      <c r="E233" s="88">
        <v>-149.583644456</v>
      </c>
      <c r="F233" s="88">
        <v>774</v>
      </c>
      <c r="G233" s="88" t="s">
        <v>429</v>
      </c>
      <c r="H233" s="88" t="s">
        <v>856</v>
      </c>
      <c r="I233" s="88" t="s">
        <v>857</v>
      </c>
      <c r="J233" s="88" t="s">
        <v>444</v>
      </c>
      <c r="K233" s="88" t="s">
        <v>418</v>
      </c>
      <c r="L233" s="88" t="s">
        <v>818</v>
      </c>
      <c r="M233" s="94" t="str">
        <f t="shared" si="4"/>
        <v>View on Google Map</v>
      </c>
    </row>
    <row r="234" spans="1:13" x14ac:dyDescent="0.2">
      <c r="A234" s="88">
        <v>177</v>
      </c>
      <c r="B234" s="88" t="s">
        <v>858</v>
      </c>
      <c r="C234" s="88" t="s">
        <v>418</v>
      </c>
      <c r="D234" s="88">
        <v>68.577539999999999</v>
      </c>
      <c r="E234" s="88">
        <v>-149.58200299999999</v>
      </c>
      <c r="F234" s="88">
        <v>774</v>
      </c>
      <c r="G234" s="88" t="s">
        <v>443</v>
      </c>
      <c r="H234" s="88" t="s">
        <v>859</v>
      </c>
      <c r="I234" s="88" t="s">
        <v>860</v>
      </c>
      <c r="J234" s="88" t="s">
        <v>444</v>
      </c>
      <c r="K234" s="88" t="s">
        <v>418</v>
      </c>
      <c r="L234" s="88" t="s">
        <v>833</v>
      </c>
      <c r="M234" s="94" t="str">
        <f t="shared" si="4"/>
        <v>View on Google Map</v>
      </c>
    </row>
    <row r="235" spans="1:13" x14ac:dyDescent="0.2">
      <c r="A235" s="88">
        <v>114</v>
      </c>
      <c r="B235" s="88" t="s">
        <v>861</v>
      </c>
      <c r="C235" s="88" t="s">
        <v>418</v>
      </c>
      <c r="D235" s="88">
        <v>68.579567150000003</v>
      </c>
      <c r="E235" s="88">
        <v>-149.58405938000001</v>
      </c>
      <c r="F235" s="88">
        <v>770</v>
      </c>
      <c r="G235" s="88" t="s">
        <v>429</v>
      </c>
      <c r="H235" s="88" t="s">
        <v>862</v>
      </c>
      <c r="I235" s="88" t="s">
        <v>863</v>
      </c>
      <c r="J235" s="88" t="s">
        <v>444</v>
      </c>
      <c r="K235" s="88" t="s">
        <v>418</v>
      </c>
      <c r="L235" s="88" t="s">
        <v>818</v>
      </c>
      <c r="M235" s="94" t="str">
        <f t="shared" si="4"/>
        <v>View on Google Map</v>
      </c>
    </row>
    <row r="236" spans="1:13" x14ac:dyDescent="0.2">
      <c r="A236" s="88">
        <v>179</v>
      </c>
      <c r="B236" s="88" t="s">
        <v>864</v>
      </c>
      <c r="C236" s="88" t="s">
        <v>418</v>
      </c>
      <c r="D236" s="88">
        <v>68.584233330000004</v>
      </c>
      <c r="E236" s="88">
        <v>-149.58359999999999</v>
      </c>
      <c r="F236" s="88">
        <v>770</v>
      </c>
      <c r="G236" s="88" t="s">
        <v>443</v>
      </c>
      <c r="H236" s="88" t="s">
        <v>865</v>
      </c>
      <c r="I236" s="88" t="s">
        <v>866</v>
      </c>
      <c r="J236" s="88" t="s">
        <v>444</v>
      </c>
      <c r="K236" s="88" t="s">
        <v>418</v>
      </c>
      <c r="L236" s="88" t="s">
        <v>833</v>
      </c>
      <c r="M236" s="94" t="str">
        <f t="shared" si="4"/>
        <v>View on Google Map</v>
      </c>
    </row>
    <row r="237" spans="1:13" x14ac:dyDescent="0.2">
      <c r="A237" s="88">
        <v>178</v>
      </c>
      <c r="B237" s="88" t="s">
        <v>867</v>
      </c>
      <c r="C237" s="88" t="s">
        <v>418</v>
      </c>
      <c r="D237" s="88">
        <v>68.581429999999997</v>
      </c>
      <c r="E237" s="88">
        <v>-149.58609999999999</v>
      </c>
      <c r="F237" s="88">
        <v>770</v>
      </c>
      <c r="G237" s="88" t="s">
        <v>443</v>
      </c>
      <c r="H237" s="88" t="s">
        <v>868</v>
      </c>
      <c r="I237" s="88" t="s">
        <v>869</v>
      </c>
      <c r="J237" s="88" t="s">
        <v>444</v>
      </c>
      <c r="K237" s="88" t="s">
        <v>418</v>
      </c>
      <c r="L237" s="88" t="s">
        <v>833</v>
      </c>
      <c r="M237" s="94" t="str">
        <f t="shared" si="4"/>
        <v>View on Google Map</v>
      </c>
    </row>
    <row r="238" spans="1:13" x14ac:dyDescent="0.2">
      <c r="A238" s="88">
        <v>115</v>
      </c>
      <c r="B238" s="88" t="s">
        <v>870</v>
      </c>
      <c r="C238" s="88" t="s">
        <v>418</v>
      </c>
      <c r="D238" s="88">
        <v>68.587387439099999</v>
      </c>
      <c r="E238" s="88">
        <v>-149.589625877</v>
      </c>
      <c r="F238" s="88">
        <v>767</v>
      </c>
      <c r="G238" s="88" t="s">
        <v>429</v>
      </c>
      <c r="H238" s="88" t="s">
        <v>871</v>
      </c>
      <c r="I238" s="88" t="s">
        <v>872</v>
      </c>
      <c r="J238" s="88" t="s">
        <v>444</v>
      </c>
      <c r="K238" s="88" t="s">
        <v>418</v>
      </c>
      <c r="L238" s="88" t="s">
        <v>818</v>
      </c>
      <c r="M238" s="94" t="str">
        <f t="shared" si="4"/>
        <v>View on Google Map</v>
      </c>
    </row>
    <row r="239" spans="1:13" x14ac:dyDescent="0.2">
      <c r="A239" s="88">
        <v>181</v>
      </c>
      <c r="B239" s="88" t="s">
        <v>873</v>
      </c>
      <c r="C239" s="88" t="s">
        <v>418</v>
      </c>
      <c r="D239" s="88">
        <v>68.594916670000003</v>
      </c>
      <c r="E239" s="88">
        <v>-149.58631600000001</v>
      </c>
      <c r="F239" s="88">
        <v>754</v>
      </c>
      <c r="G239" s="88" t="s">
        <v>443</v>
      </c>
      <c r="H239" s="88" t="s">
        <v>874</v>
      </c>
      <c r="I239" s="88" t="s">
        <v>875</v>
      </c>
      <c r="J239" s="88" t="s">
        <v>444</v>
      </c>
      <c r="K239" s="88" t="s">
        <v>418</v>
      </c>
      <c r="L239" s="88" t="s">
        <v>833</v>
      </c>
      <c r="M239" s="94" t="str">
        <f t="shared" si="4"/>
        <v>View on Google Map</v>
      </c>
    </row>
    <row r="240" spans="1:13" x14ac:dyDescent="0.2">
      <c r="A240" s="88">
        <v>180</v>
      </c>
      <c r="B240" s="88" t="s">
        <v>876</v>
      </c>
      <c r="C240" s="88" t="s">
        <v>418</v>
      </c>
      <c r="D240" s="88">
        <v>68.589087000000006</v>
      </c>
      <c r="E240" s="88">
        <v>-149.58921900000001</v>
      </c>
      <c r="F240" s="88">
        <v>767</v>
      </c>
      <c r="G240" s="88" t="s">
        <v>443</v>
      </c>
      <c r="H240" s="88" t="s">
        <v>877</v>
      </c>
      <c r="I240" s="88" t="s">
        <v>878</v>
      </c>
      <c r="J240" s="88" t="s">
        <v>444</v>
      </c>
      <c r="K240" s="88" t="s">
        <v>418</v>
      </c>
      <c r="L240" s="88" t="s">
        <v>833</v>
      </c>
      <c r="M240" s="94" t="str">
        <f t="shared" si="4"/>
        <v>View on Google Map</v>
      </c>
    </row>
    <row r="241" spans="1:13" x14ac:dyDescent="0.2">
      <c r="A241" s="88">
        <v>116</v>
      </c>
      <c r="B241" s="88" t="s">
        <v>879</v>
      </c>
      <c r="C241" s="88" t="s">
        <v>418</v>
      </c>
      <c r="D241" s="88">
        <v>68.596592403900004</v>
      </c>
      <c r="E241" s="88">
        <v>-149.59264335</v>
      </c>
      <c r="F241" s="88">
        <v>754</v>
      </c>
      <c r="G241" s="88" t="s">
        <v>429</v>
      </c>
      <c r="H241" s="88" t="s">
        <v>880</v>
      </c>
      <c r="I241" s="88" t="s">
        <v>881</v>
      </c>
      <c r="J241" s="88" t="s">
        <v>444</v>
      </c>
      <c r="K241" s="88" t="s">
        <v>418</v>
      </c>
      <c r="L241" s="88" t="s">
        <v>818</v>
      </c>
      <c r="M241" s="94" t="str">
        <f t="shared" si="4"/>
        <v>View on Google Map</v>
      </c>
    </row>
    <row r="242" spans="1:13" x14ac:dyDescent="0.2">
      <c r="A242" s="88">
        <v>431</v>
      </c>
      <c r="B242" s="88" t="s">
        <v>882</v>
      </c>
      <c r="C242" s="88" t="s">
        <v>418</v>
      </c>
      <c r="D242" s="88">
        <v>68.582061999999993</v>
      </c>
      <c r="E242" s="88">
        <v>-149.62293199999999</v>
      </c>
      <c r="F242" s="88">
        <v>806</v>
      </c>
      <c r="G242" s="88" t="s">
        <v>429</v>
      </c>
      <c r="H242" s="88" t="s">
        <v>883</v>
      </c>
      <c r="I242" s="88" t="s">
        <v>884</v>
      </c>
      <c r="J242" s="88" t="s">
        <v>444</v>
      </c>
      <c r="K242" s="88" t="s">
        <v>418</v>
      </c>
      <c r="L242" s="88" t="s">
        <v>818</v>
      </c>
      <c r="M242" s="94" t="str">
        <f t="shared" si="4"/>
        <v>View on Google Map</v>
      </c>
    </row>
    <row r="243" spans="1:13" x14ac:dyDescent="0.2">
      <c r="A243" s="88">
        <v>444</v>
      </c>
      <c r="B243" s="88" t="s">
        <v>885</v>
      </c>
      <c r="C243" s="88" t="s">
        <v>418</v>
      </c>
      <c r="D243" s="88">
        <v>68.578643</v>
      </c>
      <c r="E243" s="88">
        <v>-149.62110200000001</v>
      </c>
      <c r="F243" s="88">
        <v>808</v>
      </c>
      <c r="G243" s="88" t="s">
        <v>443</v>
      </c>
      <c r="H243" s="88" t="s">
        <v>886</v>
      </c>
      <c r="I243" s="88" t="s">
        <v>887</v>
      </c>
      <c r="J243" s="88" t="s">
        <v>444</v>
      </c>
      <c r="K243" s="88" t="s">
        <v>418</v>
      </c>
      <c r="L243" s="88" t="s">
        <v>833</v>
      </c>
      <c r="M243" s="94" t="str">
        <f t="shared" si="4"/>
        <v>View on Google Map</v>
      </c>
    </row>
    <row r="244" spans="1:13" x14ac:dyDescent="0.2">
      <c r="A244" s="88">
        <v>535</v>
      </c>
      <c r="B244" s="88" t="s">
        <v>888</v>
      </c>
      <c r="C244" s="88" t="s">
        <v>889</v>
      </c>
      <c r="D244" s="88">
        <v>68.585839000000007</v>
      </c>
      <c r="E244" s="88">
        <v>-149.62222299999999</v>
      </c>
      <c r="F244" s="88">
        <v>805</v>
      </c>
      <c r="G244" s="88" t="s">
        <v>443</v>
      </c>
      <c r="H244" s="88" t="s">
        <v>418</v>
      </c>
      <c r="I244" s="88" t="s">
        <v>418</v>
      </c>
      <c r="J244" s="88" t="s">
        <v>430</v>
      </c>
      <c r="K244" s="88" t="s">
        <v>418</v>
      </c>
      <c r="L244" s="88" t="s">
        <v>890</v>
      </c>
      <c r="M244" s="94" t="str">
        <f t="shared" si="4"/>
        <v>View on Google Map</v>
      </c>
    </row>
    <row r="245" spans="1:13" x14ac:dyDescent="0.2">
      <c r="A245" s="88">
        <v>536</v>
      </c>
      <c r="B245" s="88" t="s">
        <v>891</v>
      </c>
      <c r="C245" s="88" t="s">
        <v>889</v>
      </c>
      <c r="D245" s="88">
        <v>68.591329999999999</v>
      </c>
      <c r="E245" s="88">
        <v>-149.61154199999999</v>
      </c>
      <c r="F245" s="88">
        <v>775</v>
      </c>
      <c r="G245" s="88" t="s">
        <v>443</v>
      </c>
      <c r="H245" s="88" t="s">
        <v>418</v>
      </c>
      <c r="I245" s="88" t="s">
        <v>418</v>
      </c>
      <c r="J245" s="88" t="s">
        <v>430</v>
      </c>
      <c r="K245" s="88" t="s">
        <v>418</v>
      </c>
      <c r="L245" s="88" t="s">
        <v>890</v>
      </c>
      <c r="M245" s="94" t="str">
        <f t="shared" si="4"/>
        <v>View on Google Map</v>
      </c>
    </row>
    <row r="246" spans="1:13" x14ac:dyDescent="0.2">
      <c r="A246" s="88">
        <v>445</v>
      </c>
      <c r="B246" s="88" t="s">
        <v>892</v>
      </c>
      <c r="C246" s="88" t="s">
        <v>418</v>
      </c>
      <c r="D246" s="88">
        <v>68.583569999999995</v>
      </c>
      <c r="E246" s="88">
        <v>-149.62384</v>
      </c>
      <c r="F246" s="88">
        <v>808</v>
      </c>
      <c r="G246" s="88" t="s">
        <v>443</v>
      </c>
      <c r="H246" s="88" t="s">
        <v>893</v>
      </c>
      <c r="I246" s="88" t="s">
        <v>894</v>
      </c>
      <c r="J246" s="88" t="s">
        <v>444</v>
      </c>
      <c r="K246" s="88" t="s">
        <v>418</v>
      </c>
      <c r="L246" s="88" t="s">
        <v>833</v>
      </c>
      <c r="M246" s="94" t="str">
        <f t="shared" si="4"/>
        <v>View on Google Map</v>
      </c>
    </row>
    <row r="247" spans="1:13" x14ac:dyDescent="0.2">
      <c r="A247" s="88">
        <v>182</v>
      </c>
      <c r="B247" s="88" t="s">
        <v>895</v>
      </c>
      <c r="C247" s="88" t="s">
        <v>418</v>
      </c>
      <c r="D247" s="88">
        <v>68.596883329999997</v>
      </c>
      <c r="E247" s="88">
        <v>-149.60124999999999</v>
      </c>
      <c r="F247" s="88">
        <v>754</v>
      </c>
      <c r="G247" s="88" t="s">
        <v>443</v>
      </c>
      <c r="H247" s="88" t="s">
        <v>896</v>
      </c>
      <c r="I247" s="88" t="s">
        <v>897</v>
      </c>
      <c r="J247" s="88" t="s">
        <v>444</v>
      </c>
      <c r="K247" s="88" t="s">
        <v>418</v>
      </c>
      <c r="L247" s="88" t="s">
        <v>833</v>
      </c>
      <c r="M247" s="94" t="str">
        <f t="shared" si="4"/>
        <v>View on Google Map</v>
      </c>
    </row>
    <row r="248" spans="1:13" x14ac:dyDescent="0.2">
      <c r="A248" s="88">
        <v>183</v>
      </c>
      <c r="B248" s="88" t="s">
        <v>898</v>
      </c>
      <c r="C248" s="88" t="s">
        <v>418</v>
      </c>
      <c r="D248" s="88">
        <v>68.598684000000006</v>
      </c>
      <c r="E248" s="88">
        <v>-149.599853</v>
      </c>
      <c r="F248" s="88">
        <v>754</v>
      </c>
      <c r="G248" s="88" t="s">
        <v>443</v>
      </c>
      <c r="H248" s="88" t="s">
        <v>899</v>
      </c>
      <c r="I248" s="88" t="s">
        <v>900</v>
      </c>
      <c r="J248" s="88" t="s">
        <v>444</v>
      </c>
      <c r="K248" s="88" t="s">
        <v>418</v>
      </c>
      <c r="L248" s="88" t="s">
        <v>833</v>
      </c>
      <c r="M248" s="94" t="str">
        <f t="shared" si="4"/>
        <v>View on Google Map</v>
      </c>
    </row>
    <row r="249" spans="1:13" x14ac:dyDescent="0.2">
      <c r="A249" s="88">
        <v>117</v>
      </c>
      <c r="B249" s="88" t="s">
        <v>901</v>
      </c>
      <c r="C249" s="88" t="s">
        <v>418</v>
      </c>
      <c r="D249" s="88">
        <v>68.600874798199996</v>
      </c>
      <c r="E249" s="88">
        <v>-149.596582063</v>
      </c>
      <c r="F249" s="88">
        <v>742</v>
      </c>
      <c r="G249" s="88" t="s">
        <v>429</v>
      </c>
      <c r="H249" s="88" t="s">
        <v>902</v>
      </c>
      <c r="I249" s="88" t="s">
        <v>903</v>
      </c>
      <c r="J249" s="88" t="s">
        <v>444</v>
      </c>
      <c r="K249" s="88" t="s">
        <v>418</v>
      </c>
      <c r="L249" s="88" t="s">
        <v>818</v>
      </c>
      <c r="M249" s="94" t="str">
        <f t="shared" si="4"/>
        <v>View on Google Map</v>
      </c>
    </row>
    <row r="250" spans="1:13" x14ac:dyDescent="0.2">
      <c r="A250" s="88">
        <v>187</v>
      </c>
      <c r="B250" s="88" t="s">
        <v>904</v>
      </c>
      <c r="C250" s="88" t="s">
        <v>418</v>
      </c>
      <c r="D250" s="88">
        <v>68.618183329999994</v>
      </c>
      <c r="E250" s="88">
        <v>-149.596766</v>
      </c>
      <c r="F250" s="88">
        <v>728</v>
      </c>
      <c r="G250" s="88" t="s">
        <v>443</v>
      </c>
      <c r="H250" s="88" t="s">
        <v>905</v>
      </c>
      <c r="I250" s="88" t="s">
        <v>906</v>
      </c>
      <c r="J250" s="88" t="s">
        <v>444</v>
      </c>
      <c r="K250" s="88" t="s">
        <v>418</v>
      </c>
      <c r="L250" s="88" t="s">
        <v>833</v>
      </c>
      <c r="M250" s="94" t="str">
        <f t="shared" si="4"/>
        <v>View on Google Map</v>
      </c>
    </row>
    <row r="251" spans="1:13" x14ac:dyDescent="0.2">
      <c r="A251" s="88">
        <v>184</v>
      </c>
      <c r="B251" s="88" t="s">
        <v>907</v>
      </c>
      <c r="C251" s="88" t="s">
        <v>418</v>
      </c>
      <c r="D251" s="88">
        <v>68.601830000000007</v>
      </c>
      <c r="E251" s="88">
        <v>-149.59671299999999</v>
      </c>
      <c r="F251" s="88">
        <v>742</v>
      </c>
      <c r="G251" s="88" t="s">
        <v>443</v>
      </c>
      <c r="H251" s="88" t="s">
        <v>908</v>
      </c>
      <c r="I251" s="88" t="s">
        <v>909</v>
      </c>
      <c r="J251" s="88" t="s">
        <v>444</v>
      </c>
      <c r="K251" s="88" t="s">
        <v>418</v>
      </c>
      <c r="L251" s="88" t="s">
        <v>833</v>
      </c>
      <c r="M251" s="94" t="str">
        <f t="shared" si="4"/>
        <v>View on Google Map</v>
      </c>
    </row>
    <row r="252" spans="1:13" x14ac:dyDescent="0.2">
      <c r="A252" s="88">
        <v>118</v>
      </c>
      <c r="B252" s="88" t="s">
        <v>910</v>
      </c>
      <c r="C252" s="88" t="s">
        <v>418</v>
      </c>
      <c r="D252" s="88">
        <v>68.6101575207</v>
      </c>
      <c r="E252" s="88">
        <v>-149.582211513</v>
      </c>
      <c r="F252" s="88">
        <v>744</v>
      </c>
      <c r="G252" s="88" t="s">
        <v>429</v>
      </c>
      <c r="H252" s="88" t="s">
        <v>911</v>
      </c>
      <c r="I252" s="88" t="s">
        <v>912</v>
      </c>
      <c r="J252" s="88" t="s">
        <v>444</v>
      </c>
      <c r="K252" s="88" t="s">
        <v>418</v>
      </c>
      <c r="L252" s="88" t="s">
        <v>818</v>
      </c>
      <c r="M252" s="94" t="str">
        <f t="shared" si="4"/>
        <v>View on Google Map</v>
      </c>
    </row>
    <row r="253" spans="1:13" x14ac:dyDescent="0.2">
      <c r="A253" s="88">
        <v>172</v>
      </c>
      <c r="B253" s="88" t="s">
        <v>913</v>
      </c>
      <c r="C253" s="88" t="s">
        <v>418</v>
      </c>
      <c r="D253" s="88">
        <v>68.573666666666668</v>
      </c>
      <c r="E253" s="88">
        <v>-149.53716666666699</v>
      </c>
      <c r="F253" s="88">
        <v>808</v>
      </c>
      <c r="G253" s="88" t="s">
        <v>443</v>
      </c>
      <c r="H253" s="88" t="s">
        <v>914</v>
      </c>
      <c r="I253" s="88" t="s">
        <v>915</v>
      </c>
      <c r="J253" s="88" t="s">
        <v>444</v>
      </c>
      <c r="K253" s="88" t="s">
        <v>418</v>
      </c>
      <c r="L253" s="88" t="s">
        <v>833</v>
      </c>
      <c r="M253" s="94" t="str">
        <f t="shared" si="4"/>
        <v>View on Google Map</v>
      </c>
    </row>
    <row r="254" spans="1:13" x14ac:dyDescent="0.2">
      <c r="A254" s="88">
        <v>533</v>
      </c>
      <c r="B254" s="88" t="s">
        <v>916</v>
      </c>
      <c r="C254" s="88" t="s">
        <v>889</v>
      </c>
      <c r="D254" s="88">
        <v>68.599999999999994</v>
      </c>
      <c r="E254" s="88">
        <v>-149.57599999999999</v>
      </c>
      <c r="F254" s="88">
        <v>762</v>
      </c>
      <c r="G254" s="88" t="s">
        <v>443</v>
      </c>
      <c r="H254" s="88" t="s">
        <v>418</v>
      </c>
      <c r="I254" s="88" t="s">
        <v>418</v>
      </c>
      <c r="J254" s="88" t="s">
        <v>430</v>
      </c>
      <c r="K254" s="88" t="s">
        <v>418</v>
      </c>
      <c r="L254" s="88" t="s">
        <v>890</v>
      </c>
      <c r="M254" s="94" t="str">
        <f t="shared" si="4"/>
        <v>View on Google Map</v>
      </c>
    </row>
    <row r="255" spans="1:13" x14ac:dyDescent="0.2">
      <c r="A255" s="88">
        <v>534</v>
      </c>
      <c r="B255" s="88" t="s">
        <v>917</v>
      </c>
      <c r="C255" s="88" t="s">
        <v>889</v>
      </c>
      <c r="D255" s="88">
        <v>68.601493000000005</v>
      </c>
      <c r="E255" s="88">
        <v>-149.579071</v>
      </c>
      <c r="F255" s="88">
        <v>760</v>
      </c>
      <c r="G255" s="88" t="s">
        <v>443</v>
      </c>
      <c r="H255" s="88" t="s">
        <v>418</v>
      </c>
      <c r="I255" s="88" t="s">
        <v>418</v>
      </c>
      <c r="J255" s="88" t="s">
        <v>430</v>
      </c>
      <c r="K255" s="88" t="s">
        <v>418</v>
      </c>
      <c r="L255" s="88" t="s">
        <v>890</v>
      </c>
      <c r="M255" s="94" t="str">
        <f t="shared" si="4"/>
        <v>View on Google Map</v>
      </c>
    </row>
    <row r="256" spans="1:13" x14ac:dyDescent="0.2">
      <c r="A256" s="88">
        <v>185</v>
      </c>
      <c r="B256" s="88" t="s">
        <v>918</v>
      </c>
      <c r="C256" s="88" t="s">
        <v>418</v>
      </c>
      <c r="D256" s="88">
        <v>68.60853333</v>
      </c>
      <c r="E256" s="88">
        <v>-149.58763300000001</v>
      </c>
      <c r="F256" s="88">
        <v>744</v>
      </c>
      <c r="G256" s="88" t="s">
        <v>443</v>
      </c>
      <c r="H256" s="88" t="s">
        <v>919</v>
      </c>
      <c r="I256" s="88" t="s">
        <v>920</v>
      </c>
      <c r="J256" s="88" t="s">
        <v>444</v>
      </c>
      <c r="K256" s="88" t="s">
        <v>418</v>
      </c>
      <c r="L256" s="88" t="s">
        <v>833</v>
      </c>
      <c r="M256" s="94" t="str">
        <f t="shared" si="4"/>
        <v>View on Google Map</v>
      </c>
    </row>
    <row r="257" spans="1:13" x14ac:dyDescent="0.2">
      <c r="A257" s="88">
        <v>547</v>
      </c>
      <c r="B257" s="88" t="s">
        <v>921</v>
      </c>
      <c r="C257" s="88" t="s">
        <v>922</v>
      </c>
      <c r="D257" s="88">
        <v>68.611012000000002</v>
      </c>
      <c r="E257" s="88">
        <v>-149.57365200000001</v>
      </c>
      <c r="F257" s="88">
        <v>744</v>
      </c>
      <c r="G257" s="88" t="s">
        <v>443</v>
      </c>
      <c r="H257" s="88" t="s">
        <v>418</v>
      </c>
      <c r="I257" s="88" t="s">
        <v>418</v>
      </c>
      <c r="J257" s="88" t="s">
        <v>923</v>
      </c>
      <c r="K257" s="88" t="s">
        <v>418</v>
      </c>
      <c r="L257" s="88" t="s">
        <v>924</v>
      </c>
      <c r="M257" s="94" t="str">
        <f t="shared" si="4"/>
        <v>View on Google Map</v>
      </c>
    </row>
    <row r="258" spans="1:13" x14ac:dyDescent="0.2">
      <c r="A258" s="88">
        <v>548</v>
      </c>
      <c r="B258" s="88" t="s">
        <v>925</v>
      </c>
      <c r="C258" s="88" t="s">
        <v>922</v>
      </c>
      <c r="D258" s="88">
        <v>68.612117999999995</v>
      </c>
      <c r="E258" s="88">
        <v>-149.576359</v>
      </c>
      <c r="F258" s="88">
        <v>744</v>
      </c>
      <c r="G258" s="88" t="s">
        <v>443</v>
      </c>
      <c r="H258" s="88" t="s">
        <v>418</v>
      </c>
      <c r="I258" s="88" t="s">
        <v>418</v>
      </c>
      <c r="J258" s="88" t="s">
        <v>923</v>
      </c>
      <c r="K258" s="88" t="s">
        <v>418</v>
      </c>
      <c r="L258" s="88" t="s">
        <v>924</v>
      </c>
      <c r="M258" s="94" t="str">
        <f t="shared" si="4"/>
        <v>View on Google Map</v>
      </c>
    </row>
    <row r="259" spans="1:13" x14ac:dyDescent="0.2">
      <c r="A259" s="88">
        <v>546</v>
      </c>
      <c r="B259" s="88" t="s">
        <v>926</v>
      </c>
      <c r="C259" s="88" t="s">
        <v>922</v>
      </c>
      <c r="D259" s="88">
        <v>68.608949999999993</v>
      </c>
      <c r="E259" s="88">
        <v>-149.57907399999999</v>
      </c>
      <c r="F259" s="88">
        <v>744</v>
      </c>
      <c r="G259" s="88" t="s">
        <v>443</v>
      </c>
      <c r="H259" s="88" t="s">
        <v>418</v>
      </c>
      <c r="I259" s="88" t="s">
        <v>418</v>
      </c>
      <c r="J259" s="88" t="s">
        <v>923</v>
      </c>
      <c r="K259" s="88" t="s">
        <v>418</v>
      </c>
      <c r="L259" s="88" t="s">
        <v>924</v>
      </c>
      <c r="M259" s="94" t="str">
        <f t="shared" ref="M259:M322" si="5">HYPERLINK("http://maps.google.com/maps?q="&amp;D259&amp;","&amp;E259,"View on Google Map")</f>
        <v>View on Google Map</v>
      </c>
    </row>
    <row r="260" spans="1:13" x14ac:dyDescent="0.2">
      <c r="A260" s="88">
        <v>545</v>
      </c>
      <c r="B260" s="88" t="s">
        <v>927</v>
      </c>
      <c r="C260" s="88" t="s">
        <v>922</v>
      </c>
      <c r="D260" s="88">
        <v>68.609307999999999</v>
      </c>
      <c r="E260" s="88">
        <v>-149.57375200000001</v>
      </c>
      <c r="F260" s="88">
        <v>744</v>
      </c>
      <c r="G260" s="88" t="s">
        <v>443</v>
      </c>
      <c r="H260" s="88" t="s">
        <v>418</v>
      </c>
      <c r="I260" s="88" t="s">
        <v>418</v>
      </c>
      <c r="J260" s="88" t="s">
        <v>923</v>
      </c>
      <c r="K260" s="88" t="s">
        <v>418</v>
      </c>
      <c r="L260" s="88" t="s">
        <v>924</v>
      </c>
      <c r="M260" s="94" t="str">
        <f t="shared" si="5"/>
        <v>View on Google Map</v>
      </c>
    </row>
    <row r="261" spans="1:13" x14ac:dyDescent="0.2">
      <c r="A261" s="88">
        <v>549</v>
      </c>
      <c r="B261" s="88" t="s">
        <v>928</v>
      </c>
      <c r="C261" s="88" t="s">
        <v>418</v>
      </c>
      <c r="D261" s="88" t="s">
        <v>418</v>
      </c>
      <c r="E261" s="88" t="s">
        <v>418</v>
      </c>
      <c r="F261" s="88" t="s">
        <v>418</v>
      </c>
      <c r="G261" s="88" t="s">
        <v>443</v>
      </c>
      <c r="H261" s="88" t="s">
        <v>418</v>
      </c>
      <c r="I261" s="88" t="s">
        <v>418</v>
      </c>
      <c r="J261" s="88" t="s">
        <v>430</v>
      </c>
      <c r="K261" s="88" t="s">
        <v>418</v>
      </c>
      <c r="L261" s="88" t="s">
        <v>929</v>
      </c>
      <c r="M261" s="94" t="str">
        <f t="shared" si="5"/>
        <v>View on Google Map</v>
      </c>
    </row>
    <row r="262" spans="1:13" x14ac:dyDescent="0.2">
      <c r="A262" s="88">
        <v>188</v>
      </c>
      <c r="B262" s="88" t="s">
        <v>930</v>
      </c>
      <c r="C262" s="88" t="s">
        <v>418</v>
      </c>
      <c r="D262" s="88">
        <v>68.61838333</v>
      </c>
      <c r="E262" s="88">
        <v>-149.59649999999999</v>
      </c>
      <c r="F262" s="88">
        <v>728</v>
      </c>
      <c r="G262" s="88" t="s">
        <v>443</v>
      </c>
      <c r="H262" s="88" t="s">
        <v>931</v>
      </c>
      <c r="I262" s="88" t="s">
        <v>932</v>
      </c>
      <c r="J262" s="88" t="s">
        <v>444</v>
      </c>
      <c r="K262" s="88" t="s">
        <v>418</v>
      </c>
      <c r="L262" s="88" t="s">
        <v>833</v>
      </c>
      <c r="M262" s="94" t="str">
        <f t="shared" si="5"/>
        <v>View on Google Map</v>
      </c>
    </row>
    <row r="263" spans="1:13" x14ac:dyDescent="0.2">
      <c r="A263" s="88">
        <v>541</v>
      </c>
      <c r="B263" s="88" t="s">
        <v>933</v>
      </c>
      <c r="C263" s="88" t="s">
        <v>922</v>
      </c>
      <c r="D263" s="88">
        <v>68.609846000000005</v>
      </c>
      <c r="E263" s="88">
        <v>-149.58295100000001</v>
      </c>
      <c r="F263" s="88">
        <v>744</v>
      </c>
      <c r="G263" s="88" t="s">
        <v>429</v>
      </c>
      <c r="H263" s="88" t="s">
        <v>418</v>
      </c>
      <c r="I263" s="88" t="s">
        <v>418</v>
      </c>
      <c r="J263" s="88" t="s">
        <v>923</v>
      </c>
      <c r="K263" s="88" t="s">
        <v>418</v>
      </c>
      <c r="L263" s="88" t="s">
        <v>924</v>
      </c>
      <c r="M263" s="94" t="str">
        <f t="shared" si="5"/>
        <v>View on Google Map</v>
      </c>
    </row>
    <row r="264" spans="1:13" x14ac:dyDescent="0.2">
      <c r="A264" s="88">
        <v>539</v>
      </c>
      <c r="B264" s="88" t="s">
        <v>934</v>
      </c>
      <c r="C264" s="88" t="s">
        <v>922</v>
      </c>
      <c r="D264" s="88">
        <v>68.610575999999995</v>
      </c>
      <c r="E264" s="88">
        <v>-149.576018</v>
      </c>
      <c r="F264" s="88">
        <v>744</v>
      </c>
      <c r="G264" s="88" t="s">
        <v>429</v>
      </c>
      <c r="H264" s="88" t="s">
        <v>418</v>
      </c>
      <c r="I264" s="88" t="s">
        <v>418</v>
      </c>
      <c r="J264" s="88" t="s">
        <v>923</v>
      </c>
      <c r="K264" s="88" t="s">
        <v>418</v>
      </c>
      <c r="L264" s="88" t="s">
        <v>924</v>
      </c>
      <c r="M264" s="94" t="str">
        <f t="shared" si="5"/>
        <v>View on Google Map</v>
      </c>
    </row>
    <row r="265" spans="1:13" x14ac:dyDescent="0.2">
      <c r="A265" s="88">
        <v>538</v>
      </c>
      <c r="B265" s="88" t="s">
        <v>935</v>
      </c>
      <c r="C265" s="88" t="s">
        <v>922</v>
      </c>
      <c r="D265" s="88">
        <v>68.610889</v>
      </c>
      <c r="E265" s="88">
        <v>-149.576108</v>
      </c>
      <c r="F265" s="88">
        <v>744</v>
      </c>
      <c r="G265" s="88" t="s">
        <v>443</v>
      </c>
      <c r="H265" s="88" t="s">
        <v>418</v>
      </c>
      <c r="I265" s="88" t="s">
        <v>418</v>
      </c>
      <c r="J265" s="88" t="s">
        <v>923</v>
      </c>
      <c r="K265" s="88" t="s">
        <v>418</v>
      </c>
      <c r="L265" s="88" t="s">
        <v>924</v>
      </c>
      <c r="M265" s="94" t="str">
        <f t="shared" si="5"/>
        <v>View on Google Map</v>
      </c>
    </row>
    <row r="266" spans="1:13" x14ac:dyDescent="0.2">
      <c r="A266" s="88">
        <v>544</v>
      </c>
      <c r="B266" s="88" t="s">
        <v>936</v>
      </c>
      <c r="C266" s="88" t="s">
        <v>922</v>
      </c>
      <c r="D266" s="88">
        <v>68.610529</v>
      </c>
      <c r="E266" s="88">
        <v>-149.58864199999999</v>
      </c>
      <c r="F266" s="88">
        <v>744</v>
      </c>
      <c r="G266" s="88" t="s">
        <v>429</v>
      </c>
      <c r="H266" s="88" t="s">
        <v>418</v>
      </c>
      <c r="I266" s="88" t="s">
        <v>418</v>
      </c>
      <c r="J266" s="88" t="s">
        <v>923</v>
      </c>
      <c r="K266" s="88" t="s">
        <v>418</v>
      </c>
      <c r="L266" s="88" t="s">
        <v>924</v>
      </c>
      <c r="M266" s="94" t="str">
        <f t="shared" si="5"/>
        <v>View on Google Map</v>
      </c>
    </row>
    <row r="267" spans="1:13" x14ac:dyDescent="0.2">
      <c r="A267" s="88">
        <v>540</v>
      </c>
      <c r="B267" s="88" t="s">
        <v>937</v>
      </c>
      <c r="C267" s="88" t="s">
        <v>922</v>
      </c>
      <c r="D267" s="88">
        <v>68.609842</v>
      </c>
      <c r="E267" s="88">
        <v>-149.575346</v>
      </c>
      <c r="F267" s="88">
        <v>744</v>
      </c>
      <c r="G267" s="88" t="s">
        <v>429</v>
      </c>
      <c r="H267" s="88" t="s">
        <v>418</v>
      </c>
      <c r="I267" s="88" t="s">
        <v>418</v>
      </c>
      <c r="J267" s="88" t="s">
        <v>923</v>
      </c>
      <c r="K267" s="88" t="s">
        <v>418</v>
      </c>
      <c r="L267" s="88" t="s">
        <v>924</v>
      </c>
      <c r="M267" s="94" t="str">
        <f t="shared" si="5"/>
        <v>View on Google Map</v>
      </c>
    </row>
    <row r="268" spans="1:13" x14ac:dyDescent="0.2">
      <c r="A268" s="88">
        <v>542</v>
      </c>
      <c r="B268" s="88" t="s">
        <v>938</v>
      </c>
      <c r="C268" s="88" t="s">
        <v>922</v>
      </c>
      <c r="D268" s="88">
        <v>68.609202999999994</v>
      </c>
      <c r="E268" s="88">
        <v>-149.588257</v>
      </c>
      <c r="F268" s="88">
        <v>744</v>
      </c>
      <c r="G268" s="88" t="s">
        <v>429</v>
      </c>
      <c r="H268" s="88" t="s">
        <v>418</v>
      </c>
      <c r="I268" s="88" t="s">
        <v>418</v>
      </c>
      <c r="J268" s="88" t="s">
        <v>923</v>
      </c>
      <c r="K268" s="88" t="s">
        <v>418</v>
      </c>
      <c r="L268" s="88" t="s">
        <v>924</v>
      </c>
      <c r="M268" s="94" t="str">
        <f t="shared" si="5"/>
        <v>View on Google Map</v>
      </c>
    </row>
    <row r="269" spans="1:13" x14ac:dyDescent="0.2">
      <c r="A269" s="88">
        <v>543</v>
      </c>
      <c r="B269" s="88" t="s">
        <v>939</v>
      </c>
      <c r="C269" s="88" t="s">
        <v>922</v>
      </c>
      <c r="D269" s="88">
        <v>68.610028</v>
      </c>
      <c r="E269" s="88">
        <v>-149.588391</v>
      </c>
      <c r="F269" s="88">
        <v>744</v>
      </c>
      <c r="G269" s="88" t="s">
        <v>429</v>
      </c>
      <c r="H269" s="88" t="s">
        <v>418</v>
      </c>
      <c r="I269" s="88" t="s">
        <v>418</v>
      </c>
      <c r="J269" s="88" t="s">
        <v>923</v>
      </c>
      <c r="K269" s="88" t="s">
        <v>418</v>
      </c>
      <c r="L269" s="88" t="s">
        <v>924</v>
      </c>
      <c r="M269" s="94" t="str">
        <f t="shared" si="5"/>
        <v>View on Google Map</v>
      </c>
    </row>
    <row r="270" spans="1:13" x14ac:dyDescent="0.2">
      <c r="A270" s="88">
        <v>537</v>
      </c>
      <c r="B270" s="88" t="s">
        <v>940</v>
      </c>
      <c r="C270" s="88" t="s">
        <v>922</v>
      </c>
      <c r="D270" s="88">
        <v>68.611514</v>
      </c>
      <c r="E270" s="88">
        <v>-149.577617</v>
      </c>
      <c r="F270" s="88">
        <v>744</v>
      </c>
      <c r="G270" s="88" t="s">
        <v>443</v>
      </c>
      <c r="H270" s="88" t="s">
        <v>418</v>
      </c>
      <c r="I270" s="88" t="s">
        <v>418</v>
      </c>
      <c r="J270" s="88" t="s">
        <v>923</v>
      </c>
      <c r="K270" s="88" t="s">
        <v>418</v>
      </c>
      <c r="L270" s="88" t="s">
        <v>924</v>
      </c>
      <c r="M270" s="94" t="str">
        <f t="shared" si="5"/>
        <v>View on Google Map</v>
      </c>
    </row>
    <row r="271" spans="1:13" x14ac:dyDescent="0.2">
      <c r="A271" s="88">
        <v>15</v>
      </c>
      <c r="B271" s="88" t="s">
        <v>941</v>
      </c>
      <c r="C271" s="88" t="s">
        <v>418</v>
      </c>
      <c r="D271" s="88" t="s">
        <v>418</v>
      </c>
      <c r="E271" s="88" t="s">
        <v>418</v>
      </c>
      <c r="F271" s="88">
        <v>744</v>
      </c>
      <c r="G271" s="88" t="s">
        <v>443</v>
      </c>
      <c r="H271" s="88" t="s">
        <v>942</v>
      </c>
      <c r="I271" s="88" t="s">
        <v>943</v>
      </c>
      <c r="J271" s="88" t="s">
        <v>444</v>
      </c>
      <c r="K271" s="88">
        <v>186</v>
      </c>
      <c r="L271" s="88" t="s">
        <v>418</v>
      </c>
      <c r="M271" s="94" t="str">
        <f t="shared" si="5"/>
        <v>View on Google Map</v>
      </c>
    </row>
    <row r="272" spans="1:13" x14ac:dyDescent="0.2">
      <c r="A272" s="88">
        <v>305</v>
      </c>
      <c r="B272" s="88" t="s">
        <v>944</v>
      </c>
      <c r="C272" s="88" t="s">
        <v>945</v>
      </c>
      <c r="D272" s="88" t="s">
        <v>418</v>
      </c>
      <c r="E272" s="88" t="s">
        <v>418</v>
      </c>
      <c r="F272" s="88" t="s">
        <v>418</v>
      </c>
      <c r="G272" s="88" t="s">
        <v>443</v>
      </c>
      <c r="H272" s="88" t="s">
        <v>946</v>
      </c>
      <c r="I272" s="88" t="s">
        <v>947</v>
      </c>
      <c r="J272" s="88" t="s">
        <v>444</v>
      </c>
      <c r="K272" s="88" t="s">
        <v>418</v>
      </c>
      <c r="L272" s="88" t="s">
        <v>833</v>
      </c>
      <c r="M272" s="94" t="str">
        <f t="shared" si="5"/>
        <v>View on Google Map</v>
      </c>
    </row>
    <row r="273" spans="1:13" x14ac:dyDescent="0.2">
      <c r="A273" s="88">
        <v>119</v>
      </c>
      <c r="B273" s="88" t="s">
        <v>948</v>
      </c>
      <c r="C273" s="88" t="s">
        <v>418</v>
      </c>
      <c r="D273" s="88">
        <v>68.618964513199998</v>
      </c>
      <c r="E273" s="88">
        <v>-149.59549733099999</v>
      </c>
      <c r="F273" s="88">
        <v>728</v>
      </c>
      <c r="G273" s="88" t="s">
        <v>429</v>
      </c>
      <c r="H273" s="88" t="s">
        <v>949</v>
      </c>
      <c r="I273" s="88" t="s">
        <v>950</v>
      </c>
      <c r="J273" s="88" t="s">
        <v>444</v>
      </c>
      <c r="K273" s="88" t="s">
        <v>418</v>
      </c>
      <c r="L273" s="88" t="s">
        <v>818</v>
      </c>
      <c r="M273" s="94" t="str">
        <f t="shared" si="5"/>
        <v>View on Google Map</v>
      </c>
    </row>
    <row r="274" spans="1:13" x14ac:dyDescent="0.2">
      <c r="A274" s="88">
        <v>244</v>
      </c>
      <c r="B274" s="88" t="s">
        <v>951</v>
      </c>
      <c r="C274" s="88" t="s">
        <v>418</v>
      </c>
      <c r="D274" s="88">
        <v>68.619383330000005</v>
      </c>
      <c r="E274" s="88">
        <v>-149.59528299999999</v>
      </c>
      <c r="F274" s="88">
        <v>728</v>
      </c>
      <c r="G274" s="88" t="s">
        <v>443</v>
      </c>
      <c r="H274" s="88" t="s">
        <v>952</v>
      </c>
      <c r="I274" s="88" t="s">
        <v>953</v>
      </c>
      <c r="J274" s="88" t="s">
        <v>444</v>
      </c>
      <c r="K274" s="88" t="s">
        <v>418</v>
      </c>
      <c r="L274" s="88" t="s">
        <v>833</v>
      </c>
      <c r="M274" s="94" t="str">
        <f t="shared" si="5"/>
        <v>View on Google Map</v>
      </c>
    </row>
    <row r="275" spans="1:13" x14ac:dyDescent="0.2">
      <c r="B275" s="88" t="s">
        <v>954</v>
      </c>
      <c r="C275" s="88" t="s">
        <v>815</v>
      </c>
      <c r="D275" s="88">
        <v>68.544377999999995</v>
      </c>
      <c r="E275" s="88">
        <v>-149.521467</v>
      </c>
      <c r="G275" s="88" t="s">
        <v>955</v>
      </c>
      <c r="J275" s="3" t="s">
        <v>444</v>
      </c>
      <c r="M275" s="94" t="str">
        <f t="shared" si="5"/>
        <v>View on Google Map</v>
      </c>
    </row>
    <row r="276" spans="1:13" x14ac:dyDescent="0.2">
      <c r="B276" s="88" t="s">
        <v>956</v>
      </c>
      <c r="C276" s="88" t="s">
        <v>815</v>
      </c>
      <c r="D276" s="88">
        <v>68.548204999999996</v>
      </c>
      <c r="E276" s="88">
        <v>-149.52195</v>
      </c>
      <c r="G276" s="88" t="s">
        <v>955</v>
      </c>
      <c r="J276" s="3" t="s">
        <v>444</v>
      </c>
      <c r="M276" s="94" t="str">
        <f t="shared" si="5"/>
        <v>View on Google Map</v>
      </c>
    </row>
    <row r="277" spans="1:13" x14ac:dyDescent="0.2">
      <c r="B277" s="88" t="s">
        <v>957</v>
      </c>
      <c r="C277" s="88" t="s">
        <v>815</v>
      </c>
      <c r="D277" s="88">
        <v>68.548062999999999</v>
      </c>
      <c r="E277" s="88">
        <v>-149.521309</v>
      </c>
      <c r="G277" s="88" t="s">
        <v>955</v>
      </c>
      <c r="J277" s="3" t="s">
        <v>444</v>
      </c>
      <c r="M277" s="94" t="str">
        <f t="shared" si="5"/>
        <v>View on Google Map</v>
      </c>
    </row>
    <row r="278" spans="1:13" x14ac:dyDescent="0.2">
      <c r="B278" s="88" t="s">
        <v>958</v>
      </c>
      <c r="C278" s="88" t="s">
        <v>815</v>
      </c>
      <c r="D278" s="88">
        <v>68.544113999999993</v>
      </c>
      <c r="E278" s="88">
        <v>-149.52220800000001</v>
      </c>
      <c r="G278" s="88" t="s">
        <v>955</v>
      </c>
      <c r="J278" s="3" t="s">
        <v>444</v>
      </c>
      <c r="M278" s="94" t="str">
        <f t="shared" si="5"/>
        <v>View on Google Map</v>
      </c>
    </row>
    <row r="279" spans="1:13" x14ac:dyDescent="0.2">
      <c r="B279" s="88" t="s">
        <v>959</v>
      </c>
      <c r="C279" s="88" t="s">
        <v>815</v>
      </c>
      <c r="D279" s="88">
        <v>68.547873999999993</v>
      </c>
      <c r="E279" s="88">
        <v>-149.52158900000001</v>
      </c>
      <c r="G279" s="88" t="s">
        <v>955</v>
      </c>
      <c r="J279" s="3" t="s">
        <v>444</v>
      </c>
      <c r="M279" s="94" t="str">
        <f t="shared" si="5"/>
        <v>View on Google Map</v>
      </c>
    </row>
    <row r="280" spans="1:13" x14ac:dyDescent="0.2">
      <c r="B280" s="88" t="s">
        <v>960</v>
      </c>
      <c r="C280" s="88" t="s">
        <v>815</v>
      </c>
      <c r="D280" s="88">
        <v>68.616620304999998</v>
      </c>
      <c r="E280" s="88">
        <v>-149.31797396100001</v>
      </c>
      <c r="F280" s="88">
        <v>880.55700000000002</v>
      </c>
      <c r="G280" s="88" t="s">
        <v>955</v>
      </c>
      <c r="J280" s="3" t="s">
        <v>444</v>
      </c>
      <c r="M280" s="94" t="str">
        <f t="shared" si="5"/>
        <v>View on Google Map</v>
      </c>
    </row>
    <row r="281" spans="1:13" x14ac:dyDescent="0.2">
      <c r="B281" s="88" t="s">
        <v>961</v>
      </c>
      <c r="C281" s="88" t="s">
        <v>815</v>
      </c>
      <c r="D281" s="88">
        <v>68.618287679000005</v>
      </c>
      <c r="E281" s="88">
        <v>-149.318578011</v>
      </c>
      <c r="F281" s="88">
        <v>877.59500000000003</v>
      </c>
      <c r="G281" s="88" t="s">
        <v>955</v>
      </c>
      <c r="J281" s="3" t="s">
        <v>444</v>
      </c>
      <c r="M281" s="94" t="str">
        <f t="shared" si="5"/>
        <v>View on Google Map</v>
      </c>
    </row>
    <row r="282" spans="1:13" x14ac:dyDescent="0.2">
      <c r="B282" s="88" t="s">
        <v>962</v>
      </c>
      <c r="C282" s="88" t="s">
        <v>815</v>
      </c>
      <c r="D282" s="88">
        <v>68.619548409999993</v>
      </c>
      <c r="E282" s="88">
        <v>-149.31832187699999</v>
      </c>
      <c r="F282" s="88">
        <v>875.59299999999996</v>
      </c>
      <c r="G282" s="88" t="s">
        <v>955</v>
      </c>
      <c r="J282" s="3" t="s">
        <v>444</v>
      </c>
      <c r="M282" s="94" t="str">
        <f t="shared" si="5"/>
        <v>View on Google Map</v>
      </c>
    </row>
    <row r="283" spans="1:13" x14ac:dyDescent="0.2">
      <c r="B283" s="88" t="s">
        <v>963</v>
      </c>
      <c r="C283" s="88" t="s">
        <v>815</v>
      </c>
      <c r="D283" s="88">
        <v>68.621317497999996</v>
      </c>
      <c r="E283" s="88">
        <v>-149.31921364300001</v>
      </c>
      <c r="F283" s="88">
        <v>874.15200000000004</v>
      </c>
      <c r="G283" s="88" t="s">
        <v>955</v>
      </c>
      <c r="J283" s="3" t="s">
        <v>444</v>
      </c>
      <c r="M283" s="94" t="str">
        <f t="shared" si="5"/>
        <v>View on Google Map</v>
      </c>
    </row>
    <row r="284" spans="1:13" x14ac:dyDescent="0.2">
      <c r="A284" s="88">
        <v>11</v>
      </c>
      <c r="B284" s="88" t="s">
        <v>964</v>
      </c>
      <c r="C284" s="88" t="s">
        <v>418</v>
      </c>
      <c r="D284" s="88" t="s">
        <v>418</v>
      </c>
      <c r="E284" s="88" t="s">
        <v>418</v>
      </c>
      <c r="F284" s="88">
        <v>884</v>
      </c>
      <c r="G284" s="88" t="s">
        <v>443</v>
      </c>
      <c r="H284" s="88" t="s">
        <v>965</v>
      </c>
      <c r="I284" s="88" t="s">
        <v>966</v>
      </c>
      <c r="J284" s="88" t="s">
        <v>444</v>
      </c>
      <c r="K284" s="88" t="s">
        <v>418</v>
      </c>
      <c r="L284" s="88" t="s">
        <v>418</v>
      </c>
      <c r="M284" s="94" t="str">
        <f t="shared" si="5"/>
        <v>View on Google Map</v>
      </c>
    </row>
    <row r="285" spans="1:13" x14ac:dyDescent="0.2">
      <c r="B285" s="88" t="s">
        <v>967</v>
      </c>
      <c r="C285" s="88" t="s">
        <v>815</v>
      </c>
      <c r="D285" s="88">
        <v>68.625256622999999</v>
      </c>
      <c r="E285" s="88">
        <v>-149.32463380199999</v>
      </c>
      <c r="F285" s="88">
        <v>862.80799999999999</v>
      </c>
      <c r="G285" s="88" t="s">
        <v>955</v>
      </c>
      <c r="J285" s="3" t="s">
        <v>444</v>
      </c>
      <c r="M285" s="94" t="str">
        <f t="shared" si="5"/>
        <v>View on Google Map</v>
      </c>
    </row>
    <row r="286" spans="1:13" x14ac:dyDescent="0.2">
      <c r="B286" s="88" t="s">
        <v>968</v>
      </c>
      <c r="C286" s="88" t="s">
        <v>815</v>
      </c>
      <c r="D286" s="88">
        <v>68.641922837999999</v>
      </c>
      <c r="E286" s="88">
        <v>-149.342972559</v>
      </c>
      <c r="F286" s="88">
        <v>834.62599999999998</v>
      </c>
      <c r="G286" s="88" t="s">
        <v>955</v>
      </c>
      <c r="J286" s="3" t="s">
        <v>444</v>
      </c>
      <c r="M286" s="94" t="str">
        <f t="shared" si="5"/>
        <v>View on Google Map</v>
      </c>
    </row>
    <row r="287" spans="1:13" x14ac:dyDescent="0.2">
      <c r="A287" s="88">
        <v>1141</v>
      </c>
      <c r="B287" s="88" t="s">
        <v>969</v>
      </c>
      <c r="C287" s="88" t="s">
        <v>418</v>
      </c>
      <c r="D287" s="88" t="s">
        <v>418</v>
      </c>
      <c r="E287" s="88" t="s">
        <v>418</v>
      </c>
      <c r="F287" s="88" t="s">
        <v>418</v>
      </c>
      <c r="G287" s="88" t="s">
        <v>419</v>
      </c>
      <c r="H287" s="88" t="s">
        <v>970</v>
      </c>
      <c r="I287" s="88" t="s">
        <v>418</v>
      </c>
      <c r="J287" s="88" t="s">
        <v>444</v>
      </c>
      <c r="K287" s="88" t="s">
        <v>418</v>
      </c>
      <c r="L287" s="88" t="s">
        <v>418</v>
      </c>
      <c r="M287" s="94" t="str">
        <f t="shared" si="5"/>
        <v>View on Google Map</v>
      </c>
    </row>
    <row r="288" spans="1:13" x14ac:dyDescent="0.2">
      <c r="A288" s="88">
        <v>1142</v>
      </c>
      <c r="B288" s="88" t="s">
        <v>971</v>
      </c>
      <c r="C288" s="88" t="s">
        <v>418</v>
      </c>
      <c r="D288" s="88" t="s">
        <v>418</v>
      </c>
      <c r="E288" s="88" t="s">
        <v>418</v>
      </c>
      <c r="F288" s="88" t="s">
        <v>418</v>
      </c>
      <c r="G288" s="88" t="s">
        <v>443</v>
      </c>
      <c r="H288" s="88" t="s">
        <v>972</v>
      </c>
      <c r="I288" s="88" t="s">
        <v>418</v>
      </c>
      <c r="J288" s="88" t="s">
        <v>973</v>
      </c>
      <c r="K288" s="88" t="s">
        <v>418</v>
      </c>
      <c r="L288" s="88" t="s">
        <v>418</v>
      </c>
      <c r="M288" s="94" t="str">
        <f t="shared" si="5"/>
        <v>View on Google Map</v>
      </c>
    </row>
    <row r="289" spans="1:13" x14ac:dyDescent="0.2">
      <c r="A289" s="88">
        <v>1143</v>
      </c>
      <c r="B289" s="88" t="s">
        <v>974</v>
      </c>
      <c r="C289" s="88" t="s">
        <v>418</v>
      </c>
      <c r="D289" s="88" t="s">
        <v>418</v>
      </c>
      <c r="E289" s="88" t="s">
        <v>418</v>
      </c>
      <c r="F289" s="88" t="s">
        <v>418</v>
      </c>
      <c r="G289" s="88" t="s">
        <v>443</v>
      </c>
      <c r="H289" s="88" t="s">
        <v>418</v>
      </c>
      <c r="I289" s="88" t="s">
        <v>418</v>
      </c>
      <c r="J289" s="88" t="s">
        <v>973</v>
      </c>
      <c r="K289" s="88" t="s">
        <v>418</v>
      </c>
      <c r="L289" s="88" t="s">
        <v>418</v>
      </c>
      <c r="M289" s="94" t="str">
        <f t="shared" si="5"/>
        <v>View on Google Map</v>
      </c>
    </row>
    <row r="290" spans="1:13" x14ac:dyDescent="0.2">
      <c r="A290" s="88">
        <v>1140</v>
      </c>
      <c r="B290" s="88" t="s">
        <v>975</v>
      </c>
      <c r="C290" s="88" t="s">
        <v>418</v>
      </c>
      <c r="D290" s="88" t="s">
        <v>418</v>
      </c>
      <c r="E290" s="88" t="s">
        <v>418</v>
      </c>
      <c r="F290" s="88" t="s">
        <v>418</v>
      </c>
      <c r="G290" s="88" t="s">
        <v>419</v>
      </c>
      <c r="H290" s="88" t="s">
        <v>976</v>
      </c>
      <c r="I290" s="88" t="s">
        <v>977</v>
      </c>
      <c r="J290" s="88" t="s">
        <v>444</v>
      </c>
      <c r="K290" s="88" t="s">
        <v>418</v>
      </c>
      <c r="L290" s="88" t="s">
        <v>418</v>
      </c>
      <c r="M290" s="94" t="str">
        <f t="shared" si="5"/>
        <v>View on Google Map</v>
      </c>
    </row>
    <row r="291" spans="1:13" x14ac:dyDescent="0.2">
      <c r="A291" s="88">
        <v>1173</v>
      </c>
      <c r="B291" s="88" t="s">
        <v>978</v>
      </c>
      <c r="C291" s="88" t="s">
        <v>418</v>
      </c>
      <c r="D291" s="88" t="s">
        <v>418</v>
      </c>
      <c r="E291" s="88" t="s">
        <v>418</v>
      </c>
      <c r="F291" s="88" t="s">
        <v>418</v>
      </c>
      <c r="G291" s="88" t="s">
        <v>419</v>
      </c>
      <c r="H291" s="88" t="s">
        <v>979</v>
      </c>
      <c r="I291" s="88" t="s">
        <v>418</v>
      </c>
      <c r="J291" s="88" t="s">
        <v>425</v>
      </c>
      <c r="K291" s="88" t="s">
        <v>418</v>
      </c>
      <c r="L291" s="88" t="s">
        <v>426</v>
      </c>
      <c r="M291" s="94" t="str">
        <f t="shared" si="5"/>
        <v>View on Google Map</v>
      </c>
    </row>
    <row r="292" spans="1:13" x14ac:dyDescent="0.2">
      <c r="A292" s="88">
        <v>1144</v>
      </c>
      <c r="B292" s="88" t="s">
        <v>980</v>
      </c>
      <c r="C292" s="88" t="s">
        <v>418</v>
      </c>
      <c r="D292" s="88" t="s">
        <v>418</v>
      </c>
      <c r="E292" s="88" t="s">
        <v>418</v>
      </c>
      <c r="F292" s="88" t="s">
        <v>418</v>
      </c>
      <c r="G292" s="88" t="s">
        <v>443</v>
      </c>
      <c r="H292" s="88" t="s">
        <v>980</v>
      </c>
      <c r="I292" s="88" t="s">
        <v>418</v>
      </c>
      <c r="J292" s="88" t="s">
        <v>973</v>
      </c>
      <c r="K292" s="88" t="s">
        <v>418</v>
      </c>
      <c r="L292" s="88" t="s">
        <v>418</v>
      </c>
      <c r="M292" s="94" t="str">
        <f t="shared" si="5"/>
        <v>View on Google Map</v>
      </c>
    </row>
    <row r="293" spans="1:13" x14ac:dyDescent="0.2">
      <c r="A293" s="88">
        <v>1145</v>
      </c>
      <c r="B293" s="88" t="s">
        <v>981</v>
      </c>
      <c r="C293" s="88" t="s">
        <v>418</v>
      </c>
      <c r="D293" s="88" t="s">
        <v>418</v>
      </c>
      <c r="E293" s="88" t="s">
        <v>418</v>
      </c>
      <c r="F293" s="88" t="s">
        <v>418</v>
      </c>
      <c r="G293" s="88" t="s">
        <v>443</v>
      </c>
      <c r="H293" s="88" t="s">
        <v>981</v>
      </c>
      <c r="I293" s="88" t="s">
        <v>418</v>
      </c>
      <c r="J293" s="88" t="s">
        <v>973</v>
      </c>
      <c r="K293" s="88" t="s">
        <v>418</v>
      </c>
      <c r="L293" s="88" t="s">
        <v>418</v>
      </c>
      <c r="M293" s="94" t="str">
        <f t="shared" si="5"/>
        <v>View on Google Map</v>
      </c>
    </row>
    <row r="294" spans="1:13" x14ac:dyDescent="0.2">
      <c r="A294" s="88">
        <v>1146</v>
      </c>
      <c r="B294" s="88" t="s">
        <v>982</v>
      </c>
      <c r="C294" s="88" t="s">
        <v>418</v>
      </c>
      <c r="D294" s="88" t="s">
        <v>418</v>
      </c>
      <c r="E294" s="88" t="s">
        <v>418</v>
      </c>
      <c r="F294" s="88" t="s">
        <v>418</v>
      </c>
      <c r="G294" s="88" t="s">
        <v>419</v>
      </c>
      <c r="H294" s="88" t="s">
        <v>982</v>
      </c>
      <c r="I294" s="88" t="s">
        <v>418</v>
      </c>
      <c r="J294" s="88" t="s">
        <v>973</v>
      </c>
      <c r="K294" s="88" t="s">
        <v>418</v>
      </c>
      <c r="L294" s="88" t="s">
        <v>418</v>
      </c>
      <c r="M294" s="94" t="str">
        <f t="shared" si="5"/>
        <v>View on Google Map</v>
      </c>
    </row>
    <row r="295" spans="1:13" x14ac:dyDescent="0.2">
      <c r="A295" s="88">
        <v>1147</v>
      </c>
      <c r="B295" s="88" t="s">
        <v>983</v>
      </c>
      <c r="C295" s="88" t="s">
        <v>418</v>
      </c>
      <c r="D295" s="88" t="s">
        <v>418</v>
      </c>
      <c r="E295" s="88" t="s">
        <v>418</v>
      </c>
      <c r="F295" s="88" t="s">
        <v>418</v>
      </c>
      <c r="G295" s="88" t="s">
        <v>419</v>
      </c>
      <c r="H295" s="88" t="s">
        <v>983</v>
      </c>
      <c r="I295" s="88" t="s">
        <v>418</v>
      </c>
      <c r="J295" s="88" t="s">
        <v>973</v>
      </c>
      <c r="K295" s="88" t="s">
        <v>418</v>
      </c>
      <c r="L295" s="88" t="s">
        <v>418</v>
      </c>
      <c r="M295" s="94" t="str">
        <f t="shared" si="5"/>
        <v>View on Google Map</v>
      </c>
    </row>
    <row r="296" spans="1:13" x14ac:dyDescent="0.2">
      <c r="A296" s="88">
        <v>1148</v>
      </c>
      <c r="B296" s="88" t="s">
        <v>984</v>
      </c>
      <c r="C296" s="88" t="s">
        <v>418</v>
      </c>
      <c r="D296" s="88" t="s">
        <v>418</v>
      </c>
      <c r="E296" s="88" t="s">
        <v>418</v>
      </c>
      <c r="F296" s="88" t="s">
        <v>418</v>
      </c>
      <c r="G296" s="88" t="s">
        <v>419</v>
      </c>
      <c r="H296" s="88" t="s">
        <v>984</v>
      </c>
      <c r="I296" s="88" t="s">
        <v>985</v>
      </c>
      <c r="J296" s="88" t="s">
        <v>973</v>
      </c>
      <c r="K296" s="88" t="s">
        <v>418</v>
      </c>
      <c r="L296" s="88" t="s">
        <v>418</v>
      </c>
      <c r="M296" s="94" t="str">
        <f t="shared" si="5"/>
        <v>View on Google Map</v>
      </c>
    </row>
    <row r="297" spans="1:13" x14ac:dyDescent="0.2">
      <c r="A297" s="88">
        <v>1149</v>
      </c>
      <c r="B297" s="88" t="s">
        <v>986</v>
      </c>
      <c r="C297" s="88" t="s">
        <v>418</v>
      </c>
      <c r="D297" s="88" t="s">
        <v>418</v>
      </c>
      <c r="E297" s="88" t="s">
        <v>418</v>
      </c>
      <c r="F297" s="88" t="s">
        <v>418</v>
      </c>
      <c r="G297" s="88" t="s">
        <v>419</v>
      </c>
      <c r="H297" s="88" t="s">
        <v>986</v>
      </c>
      <c r="I297" s="88" t="s">
        <v>987</v>
      </c>
      <c r="J297" s="88" t="s">
        <v>973</v>
      </c>
      <c r="K297" s="88" t="s">
        <v>418</v>
      </c>
      <c r="L297" s="88" t="s">
        <v>418</v>
      </c>
      <c r="M297" s="94" t="str">
        <f t="shared" si="5"/>
        <v>View on Google Map</v>
      </c>
    </row>
    <row r="298" spans="1:13" x14ac:dyDescent="0.2">
      <c r="A298" s="88">
        <v>1150</v>
      </c>
      <c r="B298" s="88" t="s">
        <v>988</v>
      </c>
      <c r="C298" s="88" t="s">
        <v>418</v>
      </c>
      <c r="D298" s="88" t="s">
        <v>418</v>
      </c>
      <c r="E298" s="88" t="s">
        <v>418</v>
      </c>
      <c r="F298" s="88" t="s">
        <v>418</v>
      </c>
      <c r="G298" s="88" t="s">
        <v>419</v>
      </c>
      <c r="H298" s="88" t="s">
        <v>988</v>
      </c>
      <c r="I298" s="88" t="s">
        <v>989</v>
      </c>
      <c r="J298" s="88" t="s">
        <v>973</v>
      </c>
      <c r="K298" s="88" t="s">
        <v>418</v>
      </c>
      <c r="L298" s="88" t="s">
        <v>418</v>
      </c>
      <c r="M298" s="94" t="str">
        <f t="shared" si="5"/>
        <v>View on Google Map</v>
      </c>
    </row>
    <row r="299" spans="1:13" x14ac:dyDescent="0.2">
      <c r="A299" s="88">
        <v>1151</v>
      </c>
      <c r="B299" s="88" t="s">
        <v>990</v>
      </c>
      <c r="C299" s="88" t="s">
        <v>418</v>
      </c>
      <c r="D299" s="88" t="s">
        <v>418</v>
      </c>
      <c r="E299" s="88" t="s">
        <v>418</v>
      </c>
      <c r="F299" s="88" t="s">
        <v>418</v>
      </c>
      <c r="G299" s="88" t="s">
        <v>419</v>
      </c>
      <c r="H299" s="88" t="s">
        <v>990</v>
      </c>
      <c r="I299" s="88" t="s">
        <v>991</v>
      </c>
      <c r="J299" s="88" t="s">
        <v>973</v>
      </c>
      <c r="K299" s="88" t="s">
        <v>418</v>
      </c>
      <c r="L299" s="88" t="s">
        <v>418</v>
      </c>
      <c r="M299" s="94" t="str">
        <f t="shared" si="5"/>
        <v>View on Google Map</v>
      </c>
    </row>
    <row r="300" spans="1:13" x14ac:dyDescent="0.2">
      <c r="A300" s="88">
        <v>1152</v>
      </c>
      <c r="B300" s="88" t="s">
        <v>992</v>
      </c>
      <c r="C300" s="88" t="s">
        <v>418</v>
      </c>
      <c r="D300" s="88" t="s">
        <v>418</v>
      </c>
      <c r="E300" s="88" t="s">
        <v>418</v>
      </c>
      <c r="F300" s="88" t="s">
        <v>418</v>
      </c>
      <c r="G300" s="88" t="s">
        <v>419</v>
      </c>
      <c r="H300" s="88" t="s">
        <v>992</v>
      </c>
      <c r="I300" s="88" t="s">
        <v>993</v>
      </c>
      <c r="J300" s="88" t="s">
        <v>973</v>
      </c>
      <c r="K300" s="88" t="s">
        <v>418</v>
      </c>
      <c r="L300" s="88" t="s">
        <v>418</v>
      </c>
      <c r="M300" s="94" t="str">
        <f t="shared" si="5"/>
        <v>View on Google Map</v>
      </c>
    </row>
    <row r="301" spans="1:13" x14ac:dyDescent="0.2">
      <c r="A301" s="88">
        <v>1153</v>
      </c>
      <c r="B301" s="88" t="s">
        <v>994</v>
      </c>
      <c r="C301" s="88" t="s">
        <v>418</v>
      </c>
      <c r="D301" s="88" t="s">
        <v>418</v>
      </c>
      <c r="E301" s="88" t="s">
        <v>418</v>
      </c>
      <c r="F301" s="88" t="s">
        <v>418</v>
      </c>
      <c r="G301" s="88" t="s">
        <v>419</v>
      </c>
      <c r="H301" s="88" t="s">
        <v>994</v>
      </c>
      <c r="I301" s="88" t="s">
        <v>995</v>
      </c>
      <c r="J301" s="88" t="s">
        <v>973</v>
      </c>
      <c r="K301" s="88" t="s">
        <v>418</v>
      </c>
      <c r="L301" s="88" t="s">
        <v>418</v>
      </c>
      <c r="M301" s="94" t="str">
        <f t="shared" si="5"/>
        <v>View on Google Map</v>
      </c>
    </row>
    <row r="302" spans="1:13" x14ac:dyDescent="0.2">
      <c r="A302" s="88">
        <v>1154</v>
      </c>
      <c r="B302" s="88" t="s">
        <v>996</v>
      </c>
      <c r="C302" s="88" t="s">
        <v>418</v>
      </c>
      <c r="D302" s="88" t="s">
        <v>418</v>
      </c>
      <c r="E302" s="88" t="s">
        <v>418</v>
      </c>
      <c r="F302" s="88" t="s">
        <v>418</v>
      </c>
      <c r="G302" s="88" t="s">
        <v>419</v>
      </c>
      <c r="H302" s="88" t="s">
        <v>996</v>
      </c>
      <c r="I302" s="88" t="s">
        <v>997</v>
      </c>
      <c r="J302" s="88" t="s">
        <v>973</v>
      </c>
      <c r="K302" s="88" t="s">
        <v>418</v>
      </c>
      <c r="L302" s="88" t="s">
        <v>418</v>
      </c>
      <c r="M302" s="94" t="str">
        <f t="shared" si="5"/>
        <v>View on Google Map</v>
      </c>
    </row>
    <row r="303" spans="1:13" x14ac:dyDescent="0.2">
      <c r="A303" s="88">
        <v>1155</v>
      </c>
      <c r="B303" s="88" t="s">
        <v>998</v>
      </c>
      <c r="C303" s="88" t="s">
        <v>418</v>
      </c>
      <c r="D303" s="88" t="s">
        <v>418</v>
      </c>
      <c r="E303" s="88" t="s">
        <v>418</v>
      </c>
      <c r="F303" s="88" t="s">
        <v>418</v>
      </c>
      <c r="G303" s="88" t="s">
        <v>419</v>
      </c>
      <c r="H303" s="88" t="s">
        <v>998</v>
      </c>
      <c r="I303" s="88" t="s">
        <v>999</v>
      </c>
      <c r="J303" s="88" t="s">
        <v>973</v>
      </c>
      <c r="K303" s="88" t="s">
        <v>418</v>
      </c>
      <c r="L303" s="88" t="s">
        <v>418</v>
      </c>
      <c r="M303" s="94" t="str">
        <f t="shared" si="5"/>
        <v>View on Google Map</v>
      </c>
    </row>
    <row r="304" spans="1:13" x14ac:dyDescent="0.2">
      <c r="A304" s="88">
        <v>1156</v>
      </c>
      <c r="B304" s="88" t="s">
        <v>1000</v>
      </c>
      <c r="C304" s="88" t="s">
        <v>418</v>
      </c>
      <c r="D304" s="88" t="s">
        <v>418</v>
      </c>
      <c r="E304" s="88" t="s">
        <v>418</v>
      </c>
      <c r="F304" s="88" t="s">
        <v>418</v>
      </c>
      <c r="G304" s="88" t="s">
        <v>419</v>
      </c>
      <c r="H304" s="88" t="s">
        <v>1000</v>
      </c>
      <c r="I304" s="88" t="s">
        <v>1001</v>
      </c>
      <c r="J304" s="88" t="s">
        <v>973</v>
      </c>
      <c r="K304" s="88" t="s">
        <v>418</v>
      </c>
      <c r="L304" s="88" t="s">
        <v>418</v>
      </c>
      <c r="M304" s="94" t="str">
        <f t="shared" si="5"/>
        <v>View on Google Map</v>
      </c>
    </row>
    <row r="305" spans="1:13" x14ac:dyDescent="0.2">
      <c r="A305" s="88">
        <v>1157</v>
      </c>
      <c r="B305" s="88" t="s">
        <v>1002</v>
      </c>
      <c r="C305" s="88" t="s">
        <v>418</v>
      </c>
      <c r="D305" s="88" t="s">
        <v>418</v>
      </c>
      <c r="E305" s="88" t="s">
        <v>418</v>
      </c>
      <c r="F305" s="88" t="s">
        <v>418</v>
      </c>
      <c r="G305" s="88" t="s">
        <v>419</v>
      </c>
      <c r="H305" s="88" t="s">
        <v>1002</v>
      </c>
      <c r="I305" s="88" t="s">
        <v>1003</v>
      </c>
      <c r="J305" s="88" t="s">
        <v>973</v>
      </c>
      <c r="K305" s="88" t="s">
        <v>418</v>
      </c>
      <c r="L305" s="88" t="s">
        <v>418</v>
      </c>
      <c r="M305" s="94" t="str">
        <f t="shared" si="5"/>
        <v>View on Google Map</v>
      </c>
    </row>
    <row r="306" spans="1:13" x14ac:dyDescent="0.2">
      <c r="A306" s="88">
        <v>1158</v>
      </c>
      <c r="B306" s="88" t="s">
        <v>1004</v>
      </c>
      <c r="C306" s="88" t="s">
        <v>418</v>
      </c>
      <c r="D306" s="88" t="s">
        <v>418</v>
      </c>
      <c r="E306" s="88" t="s">
        <v>418</v>
      </c>
      <c r="F306" s="88" t="s">
        <v>418</v>
      </c>
      <c r="G306" s="88" t="s">
        <v>419</v>
      </c>
      <c r="H306" s="88" t="s">
        <v>1004</v>
      </c>
      <c r="I306" s="88" t="s">
        <v>1005</v>
      </c>
      <c r="J306" s="88" t="s">
        <v>973</v>
      </c>
      <c r="K306" s="88" t="s">
        <v>418</v>
      </c>
      <c r="L306" s="88" t="s">
        <v>418</v>
      </c>
      <c r="M306" s="94" t="str">
        <f t="shared" si="5"/>
        <v>View on Google Map</v>
      </c>
    </row>
    <row r="307" spans="1:13" x14ac:dyDescent="0.2">
      <c r="A307" s="88">
        <v>1159</v>
      </c>
      <c r="B307" s="88" t="s">
        <v>1006</v>
      </c>
      <c r="C307" s="88" t="s">
        <v>418</v>
      </c>
      <c r="D307" s="88" t="s">
        <v>418</v>
      </c>
      <c r="E307" s="88" t="s">
        <v>418</v>
      </c>
      <c r="F307" s="88" t="s">
        <v>418</v>
      </c>
      <c r="G307" s="88" t="s">
        <v>419</v>
      </c>
      <c r="H307" s="88" t="s">
        <v>1006</v>
      </c>
      <c r="I307" s="88" t="s">
        <v>1007</v>
      </c>
      <c r="J307" s="88" t="s">
        <v>973</v>
      </c>
      <c r="K307" s="88" t="s">
        <v>418</v>
      </c>
      <c r="L307" s="88" t="s">
        <v>418</v>
      </c>
      <c r="M307" s="94" t="str">
        <f t="shared" si="5"/>
        <v>View on Google Map</v>
      </c>
    </row>
    <row r="308" spans="1:13" x14ac:dyDescent="0.2">
      <c r="A308" s="88">
        <v>1160</v>
      </c>
      <c r="B308" s="88" t="s">
        <v>1008</v>
      </c>
      <c r="C308" s="88" t="s">
        <v>418</v>
      </c>
      <c r="D308" s="88" t="s">
        <v>418</v>
      </c>
      <c r="E308" s="88" t="s">
        <v>418</v>
      </c>
      <c r="F308" s="88" t="s">
        <v>418</v>
      </c>
      <c r="G308" s="88" t="s">
        <v>419</v>
      </c>
      <c r="H308" s="88" t="s">
        <v>1008</v>
      </c>
      <c r="I308" s="88" t="s">
        <v>1009</v>
      </c>
      <c r="J308" s="88" t="s">
        <v>973</v>
      </c>
      <c r="K308" s="88" t="s">
        <v>418</v>
      </c>
      <c r="L308" s="88" t="s">
        <v>418</v>
      </c>
      <c r="M308" s="94" t="str">
        <f t="shared" si="5"/>
        <v>View on Google Map</v>
      </c>
    </row>
    <row r="309" spans="1:13" x14ac:dyDescent="0.2">
      <c r="A309" s="88">
        <v>1161</v>
      </c>
      <c r="B309" s="88" t="s">
        <v>1010</v>
      </c>
      <c r="C309" s="88" t="s">
        <v>418</v>
      </c>
      <c r="D309" s="88" t="s">
        <v>418</v>
      </c>
      <c r="E309" s="88" t="s">
        <v>418</v>
      </c>
      <c r="F309" s="88" t="s">
        <v>418</v>
      </c>
      <c r="G309" s="88" t="s">
        <v>419</v>
      </c>
      <c r="H309" s="88" t="s">
        <v>1010</v>
      </c>
      <c r="I309" s="88" t="s">
        <v>1011</v>
      </c>
      <c r="J309" s="88" t="s">
        <v>973</v>
      </c>
      <c r="K309" s="88" t="s">
        <v>418</v>
      </c>
      <c r="L309" s="88" t="s">
        <v>418</v>
      </c>
      <c r="M309" s="94" t="str">
        <f t="shared" si="5"/>
        <v>View on Google Map</v>
      </c>
    </row>
    <row r="310" spans="1:13" x14ac:dyDescent="0.2">
      <c r="A310" s="88">
        <v>1162</v>
      </c>
      <c r="B310" s="88" t="s">
        <v>1012</v>
      </c>
      <c r="C310" s="88" t="s">
        <v>418</v>
      </c>
      <c r="D310" s="88" t="s">
        <v>418</v>
      </c>
      <c r="E310" s="88" t="s">
        <v>418</v>
      </c>
      <c r="F310" s="88" t="s">
        <v>418</v>
      </c>
      <c r="G310" s="88" t="s">
        <v>419</v>
      </c>
      <c r="H310" s="88" t="s">
        <v>1012</v>
      </c>
      <c r="I310" s="88" t="s">
        <v>1013</v>
      </c>
      <c r="J310" s="88" t="s">
        <v>973</v>
      </c>
      <c r="K310" s="88" t="s">
        <v>418</v>
      </c>
      <c r="L310" s="88" t="s">
        <v>418</v>
      </c>
      <c r="M310" s="94" t="str">
        <f t="shared" si="5"/>
        <v>View on Google Map</v>
      </c>
    </row>
    <row r="311" spans="1:13" x14ac:dyDescent="0.2">
      <c r="A311" s="88">
        <v>1163</v>
      </c>
      <c r="B311" s="88" t="s">
        <v>1014</v>
      </c>
      <c r="C311" s="88" t="s">
        <v>418</v>
      </c>
      <c r="D311" s="88" t="s">
        <v>418</v>
      </c>
      <c r="E311" s="88" t="s">
        <v>418</v>
      </c>
      <c r="F311" s="88" t="s">
        <v>418</v>
      </c>
      <c r="G311" s="88" t="s">
        <v>419</v>
      </c>
      <c r="H311" s="88" t="s">
        <v>1014</v>
      </c>
      <c r="I311" s="88" t="s">
        <v>1015</v>
      </c>
      <c r="J311" s="88" t="s">
        <v>973</v>
      </c>
      <c r="K311" s="88" t="s">
        <v>418</v>
      </c>
      <c r="L311" s="88" t="s">
        <v>418</v>
      </c>
      <c r="M311" s="94" t="str">
        <f t="shared" si="5"/>
        <v>View on Google Map</v>
      </c>
    </row>
    <row r="312" spans="1:13" x14ac:dyDescent="0.2">
      <c r="A312" s="88">
        <v>1164</v>
      </c>
      <c r="B312" s="88" t="s">
        <v>1016</v>
      </c>
      <c r="C312" s="88" t="s">
        <v>418</v>
      </c>
      <c r="D312" s="88" t="s">
        <v>418</v>
      </c>
      <c r="E312" s="88" t="s">
        <v>418</v>
      </c>
      <c r="F312" s="88" t="s">
        <v>418</v>
      </c>
      <c r="G312" s="88" t="s">
        <v>419</v>
      </c>
      <c r="H312" s="88" t="s">
        <v>1016</v>
      </c>
      <c r="I312" s="88" t="s">
        <v>1017</v>
      </c>
      <c r="J312" s="88" t="s">
        <v>973</v>
      </c>
      <c r="K312" s="88" t="s">
        <v>418</v>
      </c>
      <c r="L312" s="88" t="s">
        <v>418</v>
      </c>
      <c r="M312" s="94" t="str">
        <f t="shared" si="5"/>
        <v>View on Google Map</v>
      </c>
    </row>
    <row r="313" spans="1:13" x14ac:dyDescent="0.2">
      <c r="A313" s="88">
        <v>1165</v>
      </c>
      <c r="B313" s="88" t="s">
        <v>1018</v>
      </c>
      <c r="C313" s="88" t="s">
        <v>418</v>
      </c>
      <c r="D313" s="88" t="s">
        <v>418</v>
      </c>
      <c r="E313" s="88" t="s">
        <v>418</v>
      </c>
      <c r="F313" s="88" t="s">
        <v>418</v>
      </c>
      <c r="G313" s="88" t="s">
        <v>419</v>
      </c>
      <c r="H313" s="88" t="s">
        <v>1018</v>
      </c>
      <c r="I313" s="88" t="s">
        <v>418</v>
      </c>
      <c r="J313" s="88" t="s">
        <v>973</v>
      </c>
      <c r="K313" s="88" t="s">
        <v>418</v>
      </c>
      <c r="L313" s="88" t="s">
        <v>418</v>
      </c>
      <c r="M313" s="94" t="str">
        <f t="shared" si="5"/>
        <v>View on Google Map</v>
      </c>
    </row>
    <row r="314" spans="1:13" x14ac:dyDescent="0.2">
      <c r="A314" s="88">
        <v>1166</v>
      </c>
      <c r="B314" s="88" t="s">
        <v>1019</v>
      </c>
      <c r="C314" s="88" t="s">
        <v>418</v>
      </c>
      <c r="D314" s="88" t="s">
        <v>418</v>
      </c>
      <c r="E314" s="88" t="s">
        <v>418</v>
      </c>
      <c r="F314" s="88" t="s">
        <v>418</v>
      </c>
      <c r="G314" s="88" t="s">
        <v>419</v>
      </c>
      <c r="H314" s="88" t="s">
        <v>1019</v>
      </c>
      <c r="I314" s="88" t="s">
        <v>418</v>
      </c>
      <c r="J314" s="88" t="s">
        <v>973</v>
      </c>
      <c r="K314" s="88" t="s">
        <v>418</v>
      </c>
      <c r="L314" s="88" t="s">
        <v>418</v>
      </c>
      <c r="M314" s="94" t="str">
        <f t="shared" si="5"/>
        <v>View on Google Map</v>
      </c>
    </row>
    <row r="315" spans="1:13" x14ac:dyDescent="0.2">
      <c r="A315" s="88">
        <v>1167</v>
      </c>
      <c r="B315" s="88" t="s">
        <v>1020</v>
      </c>
      <c r="C315" s="88" t="s">
        <v>1021</v>
      </c>
      <c r="D315" s="88" t="s">
        <v>418</v>
      </c>
      <c r="E315" s="88" t="s">
        <v>418</v>
      </c>
      <c r="F315" s="88" t="s">
        <v>418</v>
      </c>
      <c r="G315" s="88" t="s">
        <v>419</v>
      </c>
      <c r="H315" s="88" t="s">
        <v>1020</v>
      </c>
      <c r="I315" s="88" t="s">
        <v>418</v>
      </c>
      <c r="J315" s="88" t="s">
        <v>420</v>
      </c>
      <c r="K315" s="88" t="s">
        <v>418</v>
      </c>
      <c r="L315" s="88" t="s">
        <v>418</v>
      </c>
      <c r="M315" s="94" t="str">
        <f t="shared" si="5"/>
        <v>View on Google Map</v>
      </c>
    </row>
    <row r="316" spans="1:13" x14ac:dyDescent="0.2">
      <c r="A316" s="88">
        <v>1168</v>
      </c>
      <c r="B316" s="88" t="s">
        <v>1022</v>
      </c>
      <c r="C316" s="88" t="s">
        <v>1021</v>
      </c>
      <c r="D316" s="88" t="s">
        <v>418</v>
      </c>
      <c r="E316" s="88" t="s">
        <v>418</v>
      </c>
      <c r="F316" s="88" t="s">
        <v>418</v>
      </c>
      <c r="G316" s="88" t="s">
        <v>419</v>
      </c>
      <c r="H316" s="88" t="s">
        <v>1022</v>
      </c>
      <c r="I316" s="88" t="s">
        <v>418</v>
      </c>
      <c r="J316" s="88" t="s">
        <v>420</v>
      </c>
      <c r="K316" s="88" t="s">
        <v>418</v>
      </c>
      <c r="L316" s="88" t="s">
        <v>418</v>
      </c>
      <c r="M316" s="94" t="str">
        <f t="shared" si="5"/>
        <v>View on Google Map</v>
      </c>
    </row>
    <row r="317" spans="1:13" x14ac:dyDescent="0.2">
      <c r="A317" s="88">
        <v>125</v>
      </c>
      <c r="B317" s="88" t="s">
        <v>1023</v>
      </c>
      <c r="C317" s="88" t="s">
        <v>418</v>
      </c>
      <c r="D317" s="88">
        <v>68.52364</v>
      </c>
      <c r="E317" s="88">
        <v>-149.48141000000001</v>
      </c>
      <c r="F317" s="88">
        <v>881</v>
      </c>
      <c r="G317" s="88" t="s">
        <v>429</v>
      </c>
      <c r="H317" s="88" t="s">
        <v>1024</v>
      </c>
      <c r="I317" s="88" t="s">
        <v>418</v>
      </c>
      <c r="J317" s="88" t="s">
        <v>444</v>
      </c>
      <c r="K317" s="88" t="s">
        <v>418</v>
      </c>
      <c r="L317" s="88" t="s">
        <v>445</v>
      </c>
      <c r="M317" s="94" t="str">
        <f t="shared" si="5"/>
        <v>View on Google Map</v>
      </c>
    </row>
    <row r="318" spans="1:13" x14ac:dyDescent="0.2">
      <c r="A318" s="88">
        <v>110</v>
      </c>
      <c r="B318" s="88" t="s">
        <v>1025</v>
      </c>
      <c r="C318" s="88" t="s">
        <v>418</v>
      </c>
      <c r="D318" s="88">
        <v>68.687380000000005</v>
      </c>
      <c r="E318" s="88">
        <v>-149.67458999999999</v>
      </c>
      <c r="F318" s="88">
        <v>747</v>
      </c>
      <c r="G318" s="88" t="s">
        <v>429</v>
      </c>
      <c r="H318" s="88" t="s">
        <v>1026</v>
      </c>
      <c r="I318" s="88" t="s">
        <v>418</v>
      </c>
      <c r="J318" s="88" t="s">
        <v>444</v>
      </c>
      <c r="K318" s="88" t="s">
        <v>418</v>
      </c>
      <c r="L318" s="88" t="s">
        <v>418</v>
      </c>
      <c r="M318" s="94" t="str">
        <f t="shared" si="5"/>
        <v>View on Google Map</v>
      </c>
    </row>
    <row r="319" spans="1:13" x14ac:dyDescent="0.2">
      <c r="A319" s="88">
        <v>159</v>
      </c>
      <c r="B319" s="88" t="s">
        <v>1027</v>
      </c>
      <c r="C319" s="88" t="s">
        <v>418</v>
      </c>
      <c r="D319" s="88">
        <v>68.38333333333334</v>
      </c>
      <c r="E319" s="88">
        <v>-149.91666666666666</v>
      </c>
      <c r="F319" s="88">
        <v>681</v>
      </c>
      <c r="G319" s="88" t="s">
        <v>429</v>
      </c>
      <c r="H319" s="88" t="s">
        <v>1028</v>
      </c>
      <c r="I319" s="88" t="s">
        <v>418</v>
      </c>
      <c r="J319" s="88" t="s">
        <v>444</v>
      </c>
      <c r="K319" s="88" t="s">
        <v>418</v>
      </c>
      <c r="L319" s="88" t="s">
        <v>445</v>
      </c>
      <c r="M319" s="94" t="str">
        <f t="shared" si="5"/>
        <v>View on Google Map</v>
      </c>
    </row>
    <row r="320" spans="1:13" x14ac:dyDescent="0.2">
      <c r="B320" s="88" t="s">
        <v>1029</v>
      </c>
      <c r="C320" s="88" t="s">
        <v>1030</v>
      </c>
      <c r="D320" s="88">
        <v>68.590049999999991</v>
      </c>
      <c r="E320" s="88">
        <v>-149.72444166666699</v>
      </c>
      <c r="G320" s="88" t="s">
        <v>955</v>
      </c>
      <c r="J320" s="3" t="s">
        <v>444</v>
      </c>
      <c r="M320" s="94" t="str">
        <f t="shared" si="5"/>
        <v>View on Google Map</v>
      </c>
    </row>
    <row r="321" spans="1:13" x14ac:dyDescent="0.2">
      <c r="B321" s="88" t="s">
        <v>1031</v>
      </c>
      <c r="C321" s="88" t="s">
        <v>1030</v>
      </c>
      <c r="D321" s="88">
        <v>68.590219444444443</v>
      </c>
      <c r="E321" s="88">
        <v>-149.725272222222</v>
      </c>
      <c r="G321" s="88" t="s">
        <v>955</v>
      </c>
      <c r="J321" s="3" t="s">
        <v>444</v>
      </c>
      <c r="M321" s="94" t="str">
        <f t="shared" si="5"/>
        <v>View on Google Map</v>
      </c>
    </row>
    <row r="322" spans="1:13" x14ac:dyDescent="0.2">
      <c r="A322" s="88">
        <v>32</v>
      </c>
      <c r="B322" s="88" t="s">
        <v>1032</v>
      </c>
      <c r="C322" s="88" t="s">
        <v>418</v>
      </c>
      <c r="D322" s="88">
        <v>68.933499999999995</v>
      </c>
      <c r="E322" s="88">
        <v>-150.30600000000001</v>
      </c>
      <c r="F322" s="88" t="s">
        <v>418</v>
      </c>
      <c r="G322" s="88" t="s">
        <v>443</v>
      </c>
      <c r="H322" s="88" t="s">
        <v>1033</v>
      </c>
      <c r="I322" s="88" t="s">
        <v>418</v>
      </c>
      <c r="J322" s="88" t="s">
        <v>479</v>
      </c>
      <c r="K322" s="88" t="s">
        <v>418</v>
      </c>
      <c r="L322" s="88" t="s">
        <v>426</v>
      </c>
      <c r="M322" s="94" t="str">
        <f t="shared" si="5"/>
        <v>View on Google Map</v>
      </c>
    </row>
    <row r="323" spans="1:13" x14ac:dyDescent="0.2">
      <c r="A323" s="88">
        <v>33</v>
      </c>
      <c r="B323" s="88" t="s">
        <v>1034</v>
      </c>
      <c r="C323" s="88" t="s">
        <v>418</v>
      </c>
      <c r="D323" s="88">
        <v>68.908000000000001</v>
      </c>
      <c r="E323" s="88">
        <v>-150.114</v>
      </c>
      <c r="F323" s="88" t="s">
        <v>418</v>
      </c>
      <c r="G323" s="88" t="s">
        <v>443</v>
      </c>
      <c r="H323" s="88" t="s">
        <v>1035</v>
      </c>
      <c r="I323" s="88" t="s">
        <v>418</v>
      </c>
      <c r="J323" s="88" t="s">
        <v>479</v>
      </c>
      <c r="K323" s="88" t="s">
        <v>418</v>
      </c>
      <c r="L323" s="88" t="s">
        <v>426</v>
      </c>
      <c r="M323" s="94" t="str">
        <f t="shared" ref="M323:M386" si="6">HYPERLINK("http://maps.google.com/maps?q="&amp;D323&amp;","&amp;E323,"View on Google Map")</f>
        <v>View on Google Map</v>
      </c>
    </row>
    <row r="324" spans="1:13" x14ac:dyDescent="0.2">
      <c r="A324" s="88">
        <v>1</v>
      </c>
      <c r="B324" s="88" t="s">
        <v>1036</v>
      </c>
      <c r="C324" s="88" t="s">
        <v>1037</v>
      </c>
      <c r="D324" s="88">
        <v>68.639103747222222</v>
      </c>
      <c r="E324" s="88">
        <v>-149.39432556944399</v>
      </c>
      <c r="F324" s="88">
        <v>750.56600000000003</v>
      </c>
      <c r="G324" s="88" t="s">
        <v>955</v>
      </c>
      <c r="J324" s="3" t="s">
        <v>444</v>
      </c>
      <c r="M324" s="94" t="str">
        <f t="shared" si="6"/>
        <v>View on Google Map</v>
      </c>
    </row>
    <row r="325" spans="1:13" x14ac:dyDescent="0.2">
      <c r="A325" s="88">
        <v>1</v>
      </c>
      <c r="B325" s="88" t="s">
        <v>1038</v>
      </c>
      <c r="C325" s="88" t="s">
        <v>1030</v>
      </c>
      <c r="D325" s="88">
        <v>68.638060455555561</v>
      </c>
      <c r="E325" s="88">
        <v>-149.391843363889</v>
      </c>
      <c r="F325" s="88">
        <v>750.601</v>
      </c>
      <c r="G325" s="88" t="s">
        <v>955</v>
      </c>
      <c r="J325" s="3" t="s">
        <v>444</v>
      </c>
      <c r="M325" s="94" t="str">
        <f t="shared" si="6"/>
        <v>View on Google Map</v>
      </c>
    </row>
    <row r="326" spans="1:13" x14ac:dyDescent="0.2">
      <c r="A326" s="88">
        <v>1</v>
      </c>
      <c r="B326" s="88" t="s">
        <v>1039</v>
      </c>
      <c r="C326" s="88" t="s">
        <v>1040</v>
      </c>
      <c r="D326" s="88">
        <v>68.640747866666672</v>
      </c>
      <c r="E326" s="88">
        <v>-149.40056111111099</v>
      </c>
      <c r="F326" s="88">
        <v>747.74400000000003</v>
      </c>
      <c r="G326" s="88" t="s">
        <v>955</v>
      </c>
      <c r="J326" s="3" t="s">
        <v>444</v>
      </c>
      <c r="M326" s="94" t="str">
        <f t="shared" si="6"/>
        <v>View on Google Map</v>
      </c>
    </row>
    <row r="327" spans="1:13" x14ac:dyDescent="0.2">
      <c r="A327" s="88">
        <v>1</v>
      </c>
      <c r="B327" s="88" t="s">
        <v>1041</v>
      </c>
      <c r="C327" s="88" t="s">
        <v>1030</v>
      </c>
      <c r="D327" s="88">
        <v>68.638399647222229</v>
      </c>
      <c r="E327" s="88">
        <v>-149.38922950555599</v>
      </c>
      <c r="F327" s="88">
        <v>752.79899999999998</v>
      </c>
      <c r="G327" s="88" t="s">
        <v>955</v>
      </c>
      <c r="J327" s="3" t="s">
        <v>444</v>
      </c>
      <c r="M327" s="94" t="str">
        <f t="shared" si="6"/>
        <v>View on Google Map</v>
      </c>
    </row>
    <row r="328" spans="1:13" x14ac:dyDescent="0.2">
      <c r="A328" s="88">
        <v>1</v>
      </c>
      <c r="B328" s="88" t="s">
        <v>1042</v>
      </c>
      <c r="C328" s="88" t="s">
        <v>1030</v>
      </c>
      <c r="D328" s="88">
        <v>68.637445127777781</v>
      </c>
      <c r="E328" s="88">
        <v>-149.386685694444</v>
      </c>
      <c r="F328" s="88">
        <v>753.32</v>
      </c>
      <c r="G328" s="88" t="s">
        <v>955</v>
      </c>
      <c r="J328" s="3" t="s">
        <v>444</v>
      </c>
      <c r="M328" s="94" t="str">
        <f t="shared" si="6"/>
        <v>View on Google Map</v>
      </c>
    </row>
    <row r="329" spans="1:13" x14ac:dyDescent="0.2">
      <c r="A329" s="88">
        <v>1</v>
      </c>
      <c r="B329" s="88" t="s">
        <v>1043</v>
      </c>
      <c r="C329" s="88" t="s">
        <v>815</v>
      </c>
      <c r="D329" s="88">
        <v>68.642054250000001</v>
      </c>
      <c r="E329" s="88">
        <v>-149.40350056666699</v>
      </c>
      <c r="F329" s="88">
        <v>746.26800000000003</v>
      </c>
      <c r="G329" s="88" t="s">
        <v>955</v>
      </c>
      <c r="J329" s="3" t="s">
        <v>444</v>
      </c>
      <c r="M329" s="94" t="str">
        <f t="shared" si="6"/>
        <v>View on Google Map</v>
      </c>
    </row>
    <row r="330" spans="1:13" x14ac:dyDescent="0.2">
      <c r="A330" s="88">
        <v>1</v>
      </c>
      <c r="B330" s="88" t="s">
        <v>1044</v>
      </c>
      <c r="C330" s="88" t="s">
        <v>1045</v>
      </c>
      <c r="D330" s="88">
        <v>68.641460652777781</v>
      </c>
      <c r="E330" s="88">
        <v>-149.40187098888899</v>
      </c>
      <c r="F330" s="88">
        <v>747.17499999999995</v>
      </c>
      <c r="G330" s="88" t="s">
        <v>955</v>
      </c>
      <c r="J330" s="3" t="s">
        <v>444</v>
      </c>
      <c r="M330" s="94" t="str">
        <f t="shared" si="6"/>
        <v>View on Google Map</v>
      </c>
    </row>
    <row r="331" spans="1:13" x14ac:dyDescent="0.2">
      <c r="A331" s="88">
        <v>1</v>
      </c>
      <c r="B331" s="88" t="s">
        <v>1046</v>
      </c>
      <c r="C331" s="88" t="s">
        <v>815</v>
      </c>
      <c r="D331" s="88">
        <v>68.643159841666673</v>
      </c>
      <c r="E331" s="88">
        <v>-149.40326701388901</v>
      </c>
      <c r="F331" s="88">
        <v>746.55200000000002</v>
      </c>
      <c r="G331" s="88" t="s">
        <v>955</v>
      </c>
      <c r="J331" s="3" t="s">
        <v>444</v>
      </c>
      <c r="M331" s="94" t="str">
        <f t="shared" si="6"/>
        <v>View on Google Map</v>
      </c>
    </row>
    <row r="332" spans="1:13" x14ac:dyDescent="0.2">
      <c r="A332" s="88">
        <v>1</v>
      </c>
      <c r="B332" s="88" t="s">
        <v>1047</v>
      </c>
      <c r="C332" s="88" t="s">
        <v>1040</v>
      </c>
      <c r="D332" s="88">
        <v>68.636731430555557</v>
      </c>
      <c r="E332" s="88">
        <v>-149.38318683611101</v>
      </c>
      <c r="F332" s="88">
        <v>755.19299999999998</v>
      </c>
      <c r="G332" s="88" t="s">
        <v>955</v>
      </c>
      <c r="J332" s="3" t="s">
        <v>444</v>
      </c>
      <c r="M332" s="94" t="str">
        <f t="shared" si="6"/>
        <v>View on Google Map</v>
      </c>
    </row>
    <row r="333" spans="1:13" x14ac:dyDescent="0.2">
      <c r="A333" s="88">
        <v>1</v>
      </c>
      <c r="B333" s="88" t="s">
        <v>1048</v>
      </c>
      <c r="C333" s="88" t="s">
        <v>1040</v>
      </c>
      <c r="D333" s="88">
        <v>68.643629936111111</v>
      </c>
      <c r="E333" s="88">
        <v>-149.40249773333301</v>
      </c>
      <c r="F333" s="88">
        <v>745.85199999999998</v>
      </c>
      <c r="G333" s="88" t="s">
        <v>955</v>
      </c>
      <c r="J333" s="3" t="s">
        <v>444</v>
      </c>
      <c r="M333" s="94" t="str">
        <f t="shared" si="6"/>
        <v>View on Google Map</v>
      </c>
    </row>
    <row r="334" spans="1:13" x14ac:dyDescent="0.2">
      <c r="A334" s="88">
        <v>1</v>
      </c>
      <c r="B334" s="88" t="s">
        <v>1049</v>
      </c>
      <c r="C334" s="88" t="s">
        <v>1030</v>
      </c>
      <c r="D334" s="88">
        <v>68.644659113888892</v>
      </c>
      <c r="E334" s="88">
        <v>-149.405160461111</v>
      </c>
      <c r="F334" s="88">
        <v>744.06100000000004</v>
      </c>
      <c r="G334" s="88" t="s">
        <v>955</v>
      </c>
      <c r="J334" s="3" t="s">
        <v>444</v>
      </c>
      <c r="M334" s="94" t="str">
        <f t="shared" si="6"/>
        <v>View on Google Map</v>
      </c>
    </row>
    <row r="335" spans="1:13" x14ac:dyDescent="0.2">
      <c r="A335" s="88">
        <v>1</v>
      </c>
      <c r="B335" s="88" t="s">
        <v>1050</v>
      </c>
      <c r="C335" s="88" t="s">
        <v>815</v>
      </c>
      <c r="D335" s="88">
        <v>68.646338200000002</v>
      </c>
      <c r="E335" s="88">
        <v>-149.41002641666699</v>
      </c>
      <c r="F335" s="88">
        <v>741.68899999999996</v>
      </c>
      <c r="G335" s="88" t="s">
        <v>955</v>
      </c>
      <c r="J335" s="3" t="s">
        <v>444</v>
      </c>
      <c r="M335" s="94" t="str">
        <f t="shared" si="6"/>
        <v>View on Google Map</v>
      </c>
    </row>
    <row r="336" spans="1:13" x14ac:dyDescent="0.2">
      <c r="A336" s="88">
        <v>1</v>
      </c>
      <c r="B336" s="88" t="s">
        <v>1051</v>
      </c>
      <c r="C336" s="88" t="s">
        <v>1052</v>
      </c>
      <c r="D336" s="88">
        <v>68.646228841666669</v>
      </c>
      <c r="E336" s="88">
        <v>-149.40909021388899</v>
      </c>
      <c r="F336" s="88">
        <v>742.04</v>
      </c>
      <c r="G336" s="88" t="s">
        <v>955</v>
      </c>
      <c r="J336" s="3" t="s">
        <v>444</v>
      </c>
      <c r="M336" s="94" t="str">
        <f t="shared" si="6"/>
        <v>View on Google Map</v>
      </c>
    </row>
    <row r="337" spans="1:13" x14ac:dyDescent="0.2">
      <c r="A337" s="88">
        <v>1</v>
      </c>
      <c r="B337" s="88" t="s">
        <v>1053</v>
      </c>
      <c r="C337" s="88" t="s">
        <v>1030</v>
      </c>
      <c r="D337" s="88">
        <v>68.647812641666675</v>
      </c>
      <c r="E337" s="88">
        <v>-149.41565431111101</v>
      </c>
      <c r="F337" s="88">
        <v>738.87300000000005</v>
      </c>
      <c r="G337" s="88" t="s">
        <v>955</v>
      </c>
      <c r="J337" s="3" t="s">
        <v>444</v>
      </c>
      <c r="M337" s="94" t="str">
        <f t="shared" si="6"/>
        <v>View on Google Map</v>
      </c>
    </row>
    <row r="338" spans="1:13" x14ac:dyDescent="0.2">
      <c r="A338" s="88">
        <v>1</v>
      </c>
      <c r="B338" s="88" t="s">
        <v>1054</v>
      </c>
      <c r="C338" s="88" t="s">
        <v>815</v>
      </c>
      <c r="D338" s="88">
        <v>68.649547222222225</v>
      </c>
      <c r="E338" s="88">
        <v>-149.41615246388901</v>
      </c>
      <c r="F338" s="88">
        <v>737.07399999999996</v>
      </c>
      <c r="G338" s="88" t="s">
        <v>955</v>
      </c>
      <c r="J338" s="3" t="s">
        <v>444</v>
      </c>
      <c r="M338" s="94" t="str">
        <f t="shared" si="6"/>
        <v>View on Google Map</v>
      </c>
    </row>
    <row r="339" spans="1:13" x14ac:dyDescent="0.2">
      <c r="A339" s="88">
        <v>1</v>
      </c>
      <c r="B339" s="88" t="s">
        <v>1055</v>
      </c>
      <c r="C339" s="88" t="s">
        <v>1040</v>
      </c>
      <c r="D339" s="88">
        <v>68.65164966388889</v>
      </c>
      <c r="E339" s="88">
        <v>-149.41647778611099</v>
      </c>
      <c r="F339" s="88">
        <v>735.41800000000001</v>
      </c>
      <c r="G339" s="88" t="s">
        <v>955</v>
      </c>
      <c r="J339" s="3" t="s">
        <v>444</v>
      </c>
      <c r="M339" s="94" t="str">
        <f t="shared" si="6"/>
        <v>View on Google Map</v>
      </c>
    </row>
    <row r="340" spans="1:13" x14ac:dyDescent="0.2">
      <c r="A340" s="88">
        <v>1</v>
      </c>
      <c r="B340" s="88" t="s">
        <v>1056</v>
      </c>
      <c r="C340" s="88" t="s">
        <v>815</v>
      </c>
      <c r="D340" s="88">
        <v>68.652284541666674</v>
      </c>
      <c r="E340" s="88">
        <v>-149.41517665000001</v>
      </c>
      <c r="F340" s="88">
        <v>734.78499999999997</v>
      </c>
      <c r="G340" s="88" t="s">
        <v>955</v>
      </c>
      <c r="J340" s="3" t="s">
        <v>444</v>
      </c>
      <c r="M340" s="94" t="str">
        <f t="shared" si="6"/>
        <v>View on Google Map</v>
      </c>
    </row>
    <row r="341" spans="1:13" x14ac:dyDescent="0.2">
      <c r="A341" s="88">
        <v>1</v>
      </c>
      <c r="B341" s="88" t="s">
        <v>1057</v>
      </c>
      <c r="C341" s="88" t="s">
        <v>1030</v>
      </c>
      <c r="D341" s="88">
        <v>68.653667241666668</v>
      </c>
      <c r="E341" s="88">
        <v>-149.420855111111</v>
      </c>
      <c r="F341" s="88">
        <v>732.173</v>
      </c>
      <c r="G341" s="88" t="s">
        <v>955</v>
      </c>
      <c r="J341" s="3" t="s">
        <v>444</v>
      </c>
      <c r="M341" s="94" t="str">
        <f t="shared" si="6"/>
        <v>View on Google Map</v>
      </c>
    </row>
    <row r="342" spans="1:13" x14ac:dyDescent="0.2">
      <c r="A342" s="88">
        <v>1</v>
      </c>
      <c r="B342" s="88" t="s">
        <v>1058</v>
      </c>
      <c r="C342" s="88" t="s">
        <v>815</v>
      </c>
      <c r="D342" s="88">
        <v>68.658785577777778</v>
      </c>
      <c r="E342" s="88">
        <v>-149.42446433055599</v>
      </c>
      <c r="F342" s="88">
        <v>726.91899999999998</v>
      </c>
      <c r="G342" s="88" t="s">
        <v>955</v>
      </c>
      <c r="J342" s="3" t="s">
        <v>444</v>
      </c>
      <c r="M342" s="94" t="str">
        <f t="shared" si="6"/>
        <v>View on Google Map</v>
      </c>
    </row>
    <row r="343" spans="1:13" x14ac:dyDescent="0.2">
      <c r="A343" s="88">
        <v>1</v>
      </c>
      <c r="B343" s="88" t="s">
        <v>1059</v>
      </c>
      <c r="C343" s="88" t="s">
        <v>1060</v>
      </c>
      <c r="D343" s="88">
        <v>68.638340663999998</v>
      </c>
      <c r="E343" s="88">
        <v>-149.39350505600001</v>
      </c>
      <c r="G343" s="88" t="s">
        <v>955</v>
      </c>
      <c r="J343" s="3" t="s">
        <v>444</v>
      </c>
      <c r="M343" s="94" t="str">
        <f t="shared" si="6"/>
        <v>View on Google Map</v>
      </c>
    </row>
    <row r="344" spans="1:13" x14ac:dyDescent="0.2">
      <c r="A344" s="88">
        <v>1</v>
      </c>
      <c r="B344" s="3" t="s">
        <v>1061</v>
      </c>
      <c r="C344" s="3" t="s">
        <v>1061</v>
      </c>
      <c r="D344" s="88">
        <v>68.647525999999999</v>
      </c>
      <c r="E344" s="88">
        <v>-149.411416</v>
      </c>
      <c r="F344" s="88">
        <v>731</v>
      </c>
      <c r="G344" s="88" t="s">
        <v>443</v>
      </c>
      <c r="H344" s="88" t="s">
        <v>1062</v>
      </c>
      <c r="I344" s="88" t="s">
        <v>418</v>
      </c>
      <c r="J344" s="88" t="s">
        <v>444</v>
      </c>
      <c r="K344" s="88" t="s">
        <v>418</v>
      </c>
      <c r="L344" s="88" t="s">
        <v>418</v>
      </c>
      <c r="M344" s="94" t="str">
        <f t="shared" si="6"/>
        <v>View on Google Map</v>
      </c>
    </row>
    <row r="345" spans="1:13" x14ac:dyDescent="0.2">
      <c r="A345" s="88">
        <v>19</v>
      </c>
      <c r="B345" s="88" t="s">
        <v>1063</v>
      </c>
      <c r="C345" s="88" t="s">
        <v>418</v>
      </c>
      <c r="D345" s="88">
        <v>68.967611000000005</v>
      </c>
      <c r="E345" s="88">
        <v>-149.705342</v>
      </c>
      <c r="F345" s="88">
        <v>411</v>
      </c>
      <c r="G345" s="88" t="s">
        <v>443</v>
      </c>
      <c r="H345" s="88" t="s">
        <v>1064</v>
      </c>
      <c r="I345" s="88" t="s">
        <v>418</v>
      </c>
      <c r="J345" s="88" t="s">
        <v>444</v>
      </c>
      <c r="K345" s="88" t="s">
        <v>418</v>
      </c>
      <c r="L345" s="88" t="s">
        <v>418</v>
      </c>
      <c r="M345" s="94" t="str">
        <f t="shared" si="6"/>
        <v>View on Google Map</v>
      </c>
    </row>
    <row r="346" spans="1:13" x14ac:dyDescent="0.2">
      <c r="A346" s="88">
        <v>16</v>
      </c>
      <c r="B346" s="88" t="s">
        <v>1065</v>
      </c>
      <c r="C346" s="88" t="s">
        <v>418</v>
      </c>
      <c r="D346" s="88" t="s">
        <v>418</v>
      </c>
      <c r="E346" s="88" t="s">
        <v>418</v>
      </c>
      <c r="F346" s="88" t="s">
        <v>418</v>
      </c>
      <c r="G346" s="88" t="s">
        <v>443</v>
      </c>
      <c r="H346" s="88" t="s">
        <v>418</v>
      </c>
      <c r="I346" s="88" t="s">
        <v>418</v>
      </c>
      <c r="J346" s="88" t="s">
        <v>444</v>
      </c>
      <c r="K346" s="88" t="s">
        <v>418</v>
      </c>
      <c r="L346" s="88" t="s">
        <v>418</v>
      </c>
      <c r="M346" s="94" t="str">
        <f t="shared" si="6"/>
        <v>View on Google Map</v>
      </c>
    </row>
    <row r="347" spans="1:13" x14ac:dyDescent="0.2">
      <c r="A347" s="88">
        <v>1198</v>
      </c>
      <c r="B347" s="88" t="s">
        <v>1066</v>
      </c>
      <c r="C347" s="88" t="s">
        <v>602</v>
      </c>
      <c r="D347" s="88">
        <v>69.297460909999998</v>
      </c>
      <c r="E347" s="88">
        <v>-150.32340117999999</v>
      </c>
      <c r="F347" s="88" t="s">
        <v>418</v>
      </c>
      <c r="G347" s="88" t="s">
        <v>419</v>
      </c>
      <c r="H347" s="88" t="s">
        <v>418</v>
      </c>
      <c r="I347" s="88" t="s">
        <v>418</v>
      </c>
      <c r="J347" s="88" t="s">
        <v>425</v>
      </c>
      <c r="K347" s="88" t="s">
        <v>418</v>
      </c>
      <c r="L347" s="88" t="s">
        <v>426</v>
      </c>
      <c r="M347" s="94" t="str">
        <f t="shared" si="6"/>
        <v>View on Google Map</v>
      </c>
    </row>
    <row r="348" spans="1:13" x14ac:dyDescent="0.2">
      <c r="A348" s="88">
        <v>135</v>
      </c>
      <c r="B348" s="88" t="s">
        <v>1067</v>
      </c>
      <c r="C348" s="88" t="s">
        <v>418</v>
      </c>
      <c r="D348" s="88">
        <v>70.333333333333329</v>
      </c>
      <c r="E348" s="88">
        <v>-148.80000000000001</v>
      </c>
      <c r="F348" s="88">
        <v>4</v>
      </c>
      <c r="G348" s="88" t="s">
        <v>429</v>
      </c>
      <c r="H348" s="88" t="s">
        <v>1068</v>
      </c>
      <c r="I348" s="88" t="s">
        <v>418</v>
      </c>
      <c r="J348" s="88" t="s">
        <v>444</v>
      </c>
      <c r="K348" s="88" t="s">
        <v>418</v>
      </c>
      <c r="L348" s="88" t="s">
        <v>445</v>
      </c>
      <c r="M348" s="94" t="str">
        <f t="shared" si="6"/>
        <v>View on Google Map</v>
      </c>
    </row>
    <row r="349" spans="1:13" x14ac:dyDescent="0.2">
      <c r="A349" s="88">
        <v>126</v>
      </c>
      <c r="B349" s="88" t="s">
        <v>1069</v>
      </c>
      <c r="C349" s="88" t="s">
        <v>418</v>
      </c>
      <c r="D349" s="88">
        <v>68.733333333333334</v>
      </c>
      <c r="E349" s="88">
        <v>-148.93333333333334</v>
      </c>
      <c r="F349" s="88">
        <v>556</v>
      </c>
      <c r="G349" s="88" t="s">
        <v>429</v>
      </c>
      <c r="H349" s="88" t="s">
        <v>1070</v>
      </c>
      <c r="I349" s="88" t="s">
        <v>418</v>
      </c>
      <c r="J349" s="88" t="s">
        <v>444</v>
      </c>
      <c r="K349" s="88" t="s">
        <v>418</v>
      </c>
      <c r="L349" s="88" t="s">
        <v>445</v>
      </c>
      <c r="M349" s="94" t="str">
        <f t="shared" si="6"/>
        <v>View on Google Map</v>
      </c>
    </row>
    <row r="350" spans="1:13" x14ac:dyDescent="0.2">
      <c r="A350" s="88">
        <v>134</v>
      </c>
      <c r="B350" s="88" t="s">
        <v>1071</v>
      </c>
      <c r="C350" s="88" t="s">
        <v>418</v>
      </c>
      <c r="D350" s="88">
        <v>70.349999999999994</v>
      </c>
      <c r="E350" s="88">
        <v>-148.58333333333334</v>
      </c>
      <c r="F350" s="88">
        <v>2</v>
      </c>
      <c r="G350" s="88" t="s">
        <v>429</v>
      </c>
      <c r="H350" s="88" t="s">
        <v>1072</v>
      </c>
      <c r="I350" s="88" t="s">
        <v>418</v>
      </c>
      <c r="J350" s="88" t="s">
        <v>444</v>
      </c>
      <c r="K350" s="88" t="s">
        <v>418</v>
      </c>
      <c r="L350" s="88" t="s">
        <v>445</v>
      </c>
      <c r="M350" s="94" t="str">
        <f t="shared" si="6"/>
        <v>View on Google Map</v>
      </c>
    </row>
    <row r="351" spans="1:13" x14ac:dyDescent="0.2">
      <c r="A351" s="88">
        <v>128</v>
      </c>
      <c r="B351" s="88" t="s">
        <v>1073</v>
      </c>
      <c r="C351" s="88" t="s">
        <v>418</v>
      </c>
      <c r="D351" s="88">
        <v>69.033333333333331</v>
      </c>
      <c r="E351" s="88">
        <v>-148.85</v>
      </c>
      <c r="F351" s="88">
        <v>319</v>
      </c>
      <c r="G351" s="88" t="s">
        <v>429</v>
      </c>
      <c r="H351" s="88" t="s">
        <v>1074</v>
      </c>
      <c r="I351" s="88" t="s">
        <v>418</v>
      </c>
      <c r="J351" s="88" t="s">
        <v>444</v>
      </c>
      <c r="K351" s="88" t="s">
        <v>418</v>
      </c>
      <c r="L351" s="88" t="s">
        <v>445</v>
      </c>
      <c r="M351" s="94" t="str">
        <f t="shared" si="6"/>
        <v>View on Google Map</v>
      </c>
    </row>
    <row r="352" spans="1:13" x14ac:dyDescent="0.2">
      <c r="A352" s="88">
        <v>139</v>
      </c>
      <c r="B352" s="88" t="s">
        <v>1075</v>
      </c>
      <c r="C352" s="88" t="s">
        <v>418</v>
      </c>
      <c r="D352" s="88">
        <v>70.216666666666669</v>
      </c>
      <c r="E352" s="88">
        <v>-142.46666666666701</v>
      </c>
      <c r="F352" s="88">
        <v>15</v>
      </c>
      <c r="G352" s="88" t="s">
        <v>429</v>
      </c>
      <c r="H352" s="88" t="s">
        <v>1076</v>
      </c>
      <c r="I352" s="88" t="s">
        <v>1077</v>
      </c>
      <c r="J352" s="88" t="s">
        <v>444</v>
      </c>
      <c r="K352" s="88" t="s">
        <v>418</v>
      </c>
      <c r="L352" s="88" t="s">
        <v>445</v>
      </c>
      <c r="M352" s="94" t="str">
        <f t="shared" si="6"/>
        <v>View on Google Map</v>
      </c>
    </row>
    <row r="353" spans="1:14" x14ac:dyDescent="0.2">
      <c r="A353" s="88">
        <v>127</v>
      </c>
      <c r="B353" s="88" t="s">
        <v>1078</v>
      </c>
      <c r="C353" s="88" t="s">
        <v>418</v>
      </c>
      <c r="D353" s="88">
        <v>68.733333333333334</v>
      </c>
      <c r="E353" s="88">
        <v>-148.96666666666667</v>
      </c>
      <c r="F353" s="88">
        <v>597</v>
      </c>
      <c r="G353" s="88" t="s">
        <v>429</v>
      </c>
      <c r="H353" s="88" t="s">
        <v>1079</v>
      </c>
      <c r="I353" s="88" t="s">
        <v>418</v>
      </c>
      <c r="J353" s="88" t="s">
        <v>444</v>
      </c>
      <c r="K353" s="88" t="s">
        <v>418</v>
      </c>
      <c r="L353" s="88" t="s">
        <v>445</v>
      </c>
      <c r="M353" s="94" t="str">
        <f t="shared" si="6"/>
        <v>View on Google Map</v>
      </c>
    </row>
    <row r="354" spans="1:14" x14ac:dyDescent="0.2">
      <c r="A354" s="88">
        <v>133</v>
      </c>
      <c r="B354" s="88" t="s">
        <v>1080</v>
      </c>
      <c r="C354" s="88" t="s">
        <v>418</v>
      </c>
      <c r="D354" s="88">
        <v>70.36666666666666</v>
      </c>
      <c r="E354" s="88">
        <v>-148.5</v>
      </c>
      <c r="F354" s="88">
        <v>2</v>
      </c>
      <c r="G354" s="88" t="s">
        <v>429</v>
      </c>
      <c r="H354" s="88" t="s">
        <v>1081</v>
      </c>
      <c r="I354" s="88" t="s">
        <v>418</v>
      </c>
      <c r="J354" s="88" t="s">
        <v>444</v>
      </c>
      <c r="K354" s="88" t="s">
        <v>418</v>
      </c>
      <c r="L354" s="88" t="s">
        <v>445</v>
      </c>
      <c r="M354" s="94" t="str">
        <f t="shared" si="6"/>
        <v>View on Google Map</v>
      </c>
    </row>
    <row r="355" spans="1:14" x14ac:dyDescent="0.2">
      <c r="A355" s="88">
        <v>140</v>
      </c>
      <c r="B355" s="88" t="s">
        <v>1082</v>
      </c>
      <c r="C355" s="88" t="s">
        <v>418</v>
      </c>
      <c r="D355" s="88">
        <v>69.583333333333329</v>
      </c>
      <c r="E355" s="88">
        <v>-148.63333333333301</v>
      </c>
      <c r="F355" s="88">
        <v>145</v>
      </c>
      <c r="G355" s="88" t="s">
        <v>429</v>
      </c>
      <c r="H355" s="88" t="s">
        <v>1083</v>
      </c>
      <c r="I355" s="88" t="s">
        <v>1084</v>
      </c>
      <c r="J355" s="88" t="s">
        <v>444</v>
      </c>
      <c r="K355" s="88" t="s">
        <v>418</v>
      </c>
      <c r="L355" s="88" t="s">
        <v>445</v>
      </c>
      <c r="M355" s="94" t="str">
        <f t="shared" si="6"/>
        <v>View on Google Map</v>
      </c>
    </row>
    <row r="356" spans="1:14" x14ac:dyDescent="0.2">
      <c r="A356" s="88">
        <v>247</v>
      </c>
      <c r="B356" s="88" t="s">
        <v>1085</v>
      </c>
      <c r="C356" s="88" t="s">
        <v>1086</v>
      </c>
      <c r="D356" s="88">
        <v>68.687318124800001</v>
      </c>
      <c r="E356" s="88">
        <v>-150.043661294</v>
      </c>
      <c r="F356" s="88">
        <v>670</v>
      </c>
      <c r="G356" s="88" t="s">
        <v>429</v>
      </c>
      <c r="H356" s="88" t="s">
        <v>1087</v>
      </c>
      <c r="I356" s="88" t="s">
        <v>418</v>
      </c>
      <c r="J356" s="88" t="s">
        <v>711</v>
      </c>
      <c r="K356" s="88" t="s">
        <v>418</v>
      </c>
      <c r="L356" s="88" t="s">
        <v>712</v>
      </c>
      <c r="M356" s="94" t="str">
        <f t="shared" si="6"/>
        <v>View on Google Map</v>
      </c>
      <c r="N356" s="88">
        <f t="shared" ref="N356:N419" si="7">VALUE(MID(H356,5,3))</f>
        <v>1</v>
      </c>
    </row>
    <row r="357" spans="1:14" x14ac:dyDescent="0.2">
      <c r="A357" s="88">
        <v>248</v>
      </c>
      <c r="B357" s="88" t="s">
        <v>1088</v>
      </c>
      <c r="C357" s="88" t="s">
        <v>1089</v>
      </c>
      <c r="D357" s="88">
        <v>68.691799913400004</v>
      </c>
      <c r="E357" s="88">
        <v>-150.04995633499999</v>
      </c>
      <c r="F357" s="88">
        <v>670</v>
      </c>
      <c r="G357" s="88" t="s">
        <v>429</v>
      </c>
      <c r="H357" s="88" t="s">
        <v>1090</v>
      </c>
      <c r="I357" s="88" t="s">
        <v>418</v>
      </c>
      <c r="J357" s="88" t="s">
        <v>711</v>
      </c>
      <c r="K357" s="88" t="s">
        <v>418</v>
      </c>
      <c r="L357" s="88" t="s">
        <v>712</v>
      </c>
      <c r="M357" s="94" t="str">
        <f t="shared" si="6"/>
        <v>View on Google Map</v>
      </c>
      <c r="N357" s="88">
        <f t="shared" si="7"/>
        <v>2</v>
      </c>
    </row>
    <row r="358" spans="1:14" x14ac:dyDescent="0.2">
      <c r="A358" s="88">
        <v>249</v>
      </c>
      <c r="B358" s="88" t="s">
        <v>1091</v>
      </c>
      <c r="C358" s="88" t="s">
        <v>1092</v>
      </c>
      <c r="D358" s="88">
        <v>68.692272706200001</v>
      </c>
      <c r="E358" s="88">
        <v>-150.05393183499999</v>
      </c>
      <c r="F358" s="88">
        <v>670</v>
      </c>
      <c r="G358" s="88" t="s">
        <v>429</v>
      </c>
      <c r="H358" s="88" t="s">
        <v>1093</v>
      </c>
      <c r="I358" s="88" t="s">
        <v>418</v>
      </c>
      <c r="J358" s="88" t="s">
        <v>711</v>
      </c>
      <c r="K358" s="88" t="s">
        <v>418</v>
      </c>
      <c r="L358" s="88" t="s">
        <v>712</v>
      </c>
      <c r="M358" s="94" t="str">
        <f t="shared" si="6"/>
        <v>View on Google Map</v>
      </c>
      <c r="N358" s="88">
        <f t="shared" si="7"/>
        <v>3</v>
      </c>
    </row>
    <row r="359" spans="1:14" x14ac:dyDescent="0.2">
      <c r="A359" s="88">
        <v>250</v>
      </c>
      <c r="B359" s="88" t="s">
        <v>1094</v>
      </c>
      <c r="C359" s="88" t="s">
        <v>1095</v>
      </c>
      <c r="D359" s="88">
        <v>68.694180615799993</v>
      </c>
      <c r="E359" s="88">
        <v>-150.05828837300001</v>
      </c>
      <c r="F359" s="88">
        <v>670</v>
      </c>
      <c r="G359" s="88" t="s">
        <v>429</v>
      </c>
      <c r="H359" s="88" t="s">
        <v>1096</v>
      </c>
      <c r="I359" s="88" t="s">
        <v>418</v>
      </c>
      <c r="J359" s="88" t="s">
        <v>711</v>
      </c>
      <c r="K359" s="88" t="s">
        <v>418</v>
      </c>
      <c r="L359" s="88" t="s">
        <v>712</v>
      </c>
      <c r="M359" s="94" t="str">
        <f t="shared" si="6"/>
        <v>View on Google Map</v>
      </c>
      <c r="N359" s="88">
        <f t="shared" si="7"/>
        <v>4</v>
      </c>
    </row>
    <row r="360" spans="1:14" x14ac:dyDescent="0.2">
      <c r="A360" s="88">
        <v>251</v>
      </c>
      <c r="B360" s="88" t="s">
        <v>1097</v>
      </c>
      <c r="C360" s="88" t="s">
        <v>1098</v>
      </c>
      <c r="D360" s="88">
        <v>68.7077131315</v>
      </c>
      <c r="E360" s="88">
        <v>-150.04654580600001</v>
      </c>
      <c r="F360" s="88">
        <v>580</v>
      </c>
      <c r="G360" s="88" t="s">
        <v>429</v>
      </c>
      <c r="H360" s="88" t="s">
        <v>1099</v>
      </c>
      <c r="I360" s="88" t="s">
        <v>418</v>
      </c>
      <c r="J360" s="88" t="s">
        <v>711</v>
      </c>
      <c r="K360" s="88" t="s">
        <v>418</v>
      </c>
      <c r="L360" s="88" t="s">
        <v>712</v>
      </c>
      <c r="M360" s="94" t="str">
        <f t="shared" si="6"/>
        <v>View on Google Map</v>
      </c>
      <c r="N360" s="88">
        <f t="shared" si="7"/>
        <v>5</v>
      </c>
    </row>
    <row r="361" spans="1:14" x14ac:dyDescent="0.2">
      <c r="A361" s="88">
        <v>252</v>
      </c>
      <c r="B361" s="88" t="s">
        <v>1100</v>
      </c>
      <c r="C361" s="88" t="s">
        <v>1101</v>
      </c>
      <c r="D361" s="88">
        <v>68.713583961699996</v>
      </c>
      <c r="E361" s="88">
        <v>-150.03096474</v>
      </c>
      <c r="F361" s="88">
        <v>550</v>
      </c>
      <c r="G361" s="88" t="s">
        <v>429</v>
      </c>
      <c r="H361" s="88" t="s">
        <v>1102</v>
      </c>
      <c r="I361" s="88" t="s">
        <v>418</v>
      </c>
      <c r="J361" s="88" t="s">
        <v>711</v>
      </c>
      <c r="K361" s="88" t="s">
        <v>418</v>
      </c>
      <c r="L361" s="88" t="s">
        <v>712</v>
      </c>
      <c r="M361" s="94" t="str">
        <f t="shared" si="6"/>
        <v>View on Google Map</v>
      </c>
      <c r="N361" s="88">
        <f t="shared" si="7"/>
        <v>6</v>
      </c>
    </row>
    <row r="362" spans="1:14" x14ac:dyDescent="0.2">
      <c r="A362" s="88">
        <v>253</v>
      </c>
      <c r="B362" s="88" t="s">
        <v>1103</v>
      </c>
      <c r="C362" s="88" t="s">
        <v>1104</v>
      </c>
      <c r="D362" s="88">
        <v>68.717696468200003</v>
      </c>
      <c r="E362" s="88">
        <v>-150.03558023400001</v>
      </c>
      <c r="F362" s="88">
        <v>550</v>
      </c>
      <c r="G362" s="88" t="s">
        <v>429</v>
      </c>
      <c r="H362" s="88" t="s">
        <v>1105</v>
      </c>
      <c r="I362" s="88" t="s">
        <v>418</v>
      </c>
      <c r="J362" s="88" t="s">
        <v>711</v>
      </c>
      <c r="K362" s="88" t="s">
        <v>418</v>
      </c>
      <c r="L362" s="88" t="s">
        <v>712</v>
      </c>
      <c r="M362" s="94" t="str">
        <f t="shared" si="6"/>
        <v>View on Google Map</v>
      </c>
      <c r="N362" s="88">
        <f t="shared" si="7"/>
        <v>7</v>
      </c>
    </row>
    <row r="363" spans="1:14" x14ac:dyDescent="0.2">
      <c r="A363" s="88">
        <v>254</v>
      </c>
      <c r="B363" s="88" t="s">
        <v>1106</v>
      </c>
      <c r="C363" s="88" t="s">
        <v>1107</v>
      </c>
      <c r="D363" s="88">
        <v>68.724625849299997</v>
      </c>
      <c r="E363" s="88">
        <v>-150.02664640699999</v>
      </c>
      <c r="F363" s="88">
        <v>520</v>
      </c>
      <c r="G363" s="88" t="s">
        <v>429</v>
      </c>
      <c r="H363" s="88" t="s">
        <v>1108</v>
      </c>
      <c r="I363" s="88" t="s">
        <v>418</v>
      </c>
      <c r="J363" s="88" t="s">
        <v>711</v>
      </c>
      <c r="K363" s="88" t="s">
        <v>418</v>
      </c>
      <c r="L363" s="88" t="s">
        <v>712</v>
      </c>
      <c r="M363" s="94" t="str">
        <f t="shared" si="6"/>
        <v>View on Google Map</v>
      </c>
      <c r="N363" s="88">
        <f t="shared" si="7"/>
        <v>8</v>
      </c>
    </row>
    <row r="364" spans="1:14" x14ac:dyDescent="0.2">
      <c r="A364" s="88">
        <v>255</v>
      </c>
      <c r="B364" s="88" t="s">
        <v>1109</v>
      </c>
      <c r="C364" s="88" t="s">
        <v>1110</v>
      </c>
      <c r="D364" s="88">
        <v>68.728073916699998</v>
      </c>
      <c r="E364" s="88">
        <v>-150.03359923599999</v>
      </c>
      <c r="F364" s="88">
        <v>520</v>
      </c>
      <c r="G364" s="88" t="s">
        <v>429</v>
      </c>
      <c r="H364" s="88" t="s">
        <v>1111</v>
      </c>
      <c r="I364" s="88" t="s">
        <v>418</v>
      </c>
      <c r="J364" s="88" t="s">
        <v>711</v>
      </c>
      <c r="K364" s="88" t="s">
        <v>418</v>
      </c>
      <c r="L364" s="88" t="s">
        <v>712</v>
      </c>
      <c r="M364" s="94" t="str">
        <f t="shared" si="6"/>
        <v>View on Google Map</v>
      </c>
      <c r="N364" s="88">
        <f t="shared" si="7"/>
        <v>9</v>
      </c>
    </row>
    <row r="365" spans="1:14" x14ac:dyDescent="0.2">
      <c r="A365" s="88">
        <v>256</v>
      </c>
      <c r="B365" s="88" t="s">
        <v>1112</v>
      </c>
      <c r="C365" s="88" t="s">
        <v>1113</v>
      </c>
      <c r="D365" s="88">
        <v>68.701700654700005</v>
      </c>
      <c r="E365" s="88">
        <v>-149.74902999599999</v>
      </c>
      <c r="F365" s="88">
        <v>760</v>
      </c>
      <c r="G365" s="88" t="s">
        <v>429</v>
      </c>
      <c r="H365" s="88" t="s">
        <v>1114</v>
      </c>
      <c r="I365" s="88" t="s">
        <v>418</v>
      </c>
      <c r="J365" s="88" t="s">
        <v>711</v>
      </c>
      <c r="K365" s="88" t="s">
        <v>418</v>
      </c>
      <c r="L365" s="88" t="s">
        <v>712</v>
      </c>
      <c r="M365" s="94" t="str">
        <f t="shared" si="6"/>
        <v>View on Google Map</v>
      </c>
      <c r="N365" s="88">
        <f t="shared" si="7"/>
        <v>10</v>
      </c>
    </row>
    <row r="366" spans="1:14" x14ac:dyDescent="0.2">
      <c r="A366" s="88">
        <v>257</v>
      </c>
      <c r="B366" s="88" t="s">
        <v>1115</v>
      </c>
      <c r="C366" s="88" t="s">
        <v>1116</v>
      </c>
      <c r="D366" s="88">
        <v>68.701945515000006</v>
      </c>
      <c r="E366" s="88">
        <v>-149.745520981</v>
      </c>
      <c r="F366" s="88">
        <v>760</v>
      </c>
      <c r="G366" s="88" t="s">
        <v>429</v>
      </c>
      <c r="H366" s="88" t="s">
        <v>1117</v>
      </c>
      <c r="I366" s="88" t="s">
        <v>418</v>
      </c>
      <c r="J366" s="88" t="s">
        <v>711</v>
      </c>
      <c r="K366" s="88" t="s">
        <v>418</v>
      </c>
      <c r="L366" s="88" t="s">
        <v>712</v>
      </c>
      <c r="M366" s="94" t="str">
        <f t="shared" si="6"/>
        <v>View on Google Map</v>
      </c>
      <c r="N366" s="88">
        <f t="shared" si="7"/>
        <v>11</v>
      </c>
    </row>
    <row r="367" spans="1:14" x14ac:dyDescent="0.2">
      <c r="A367" s="88">
        <v>258</v>
      </c>
      <c r="B367" s="88" t="s">
        <v>1118</v>
      </c>
      <c r="C367" s="88" t="s">
        <v>1119</v>
      </c>
      <c r="D367" s="88">
        <v>68.704802601699996</v>
      </c>
      <c r="E367" s="88">
        <v>-149.73409678600001</v>
      </c>
      <c r="F367" s="88">
        <v>730</v>
      </c>
      <c r="G367" s="88" t="s">
        <v>429</v>
      </c>
      <c r="H367" s="88" t="s">
        <v>1120</v>
      </c>
      <c r="I367" s="88" t="s">
        <v>418</v>
      </c>
      <c r="J367" s="88" t="s">
        <v>711</v>
      </c>
      <c r="K367" s="88" t="s">
        <v>418</v>
      </c>
      <c r="L367" s="88" t="s">
        <v>712</v>
      </c>
      <c r="M367" s="94" t="str">
        <f t="shared" si="6"/>
        <v>View on Google Map</v>
      </c>
      <c r="N367" s="88">
        <f t="shared" si="7"/>
        <v>12</v>
      </c>
    </row>
    <row r="368" spans="1:14" x14ac:dyDescent="0.2">
      <c r="A368" s="88">
        <v>259</v>
      </c>
      <c r="B368" s="88" t="s">
        <v>1121</v>
      </c>
      <c r="C368" s="88" t="s">
        <v>1122</v>
      </c>
      <c r="D368" s="88">
        <v>68.703579720799993</v>
      </c>
      <c r="E368" s="88">
        <v>-149.717697128</v>
      </c>
      <c r="F368" s="88">
        <v>690</v>
      </c>
      <c r="G368" s="88" t="s">
        <v>429</v>
      </c>
      <c r="H368" s="88" t="s">
        <v>1123</v>
      </c>
      <c r="I368" s="88" t="s">
        <v>418</v>
      </c>
      <c r="J368" s="88" t="s">
        <v>711</v>
      </c>
      <c r="K368" s="88" t="s">
        <v>418</v>
      </c>
      <c r="L368" s="88" t="s">
        <v>712</v>
      </c>
      <c r="M368" s="94" t="str">
        <f t="shared" si="6"/>
        <v>View on Google Map</v>
      </c>
      <c r="N368" s="88">
        <f t="shared" si="7"/>
        <v>13</v>
      </c>
    </row>
    <row r="369" spans="1:14" x14ac:dyDescent="0.2">
      <c r="A369" s="88">
        <v>260</v>
      </c>
      <c r="B369" s="88" t="s">
        <v>1124</v>
      </c>
      <c r="C369" s="88" t="s">
        <v>1125</v>
      </c>
      <c r="D369" s="88">
        <v>68.702004088500004</v>
      </c>
      <c r="E369" s="88">
        <v>-149.71011160800001</v>
      </c>
      <c r="F369" s="88">
        <v>650</v>
      </c>
      <c r="G369" s="88" t="s">
        <v>429</v>
      </c>
      <c r="H369" s="88" t="s">
        <v>1126</v>
      </c>
      <c r="I369" s="88" t="s">
        <v>418</v>
      </c>
      <c r="J369" s="88" t="s">
        <v>711</v>
      </c>
      <c r="K369" s="88" t="s">
        <v>418</v>
      </c>
      <c r="L369" s="88" t="s">
        <v>712</v>
      </c>
      <c r="M369" s="94" t="str">
        <f t="shared" si="6"/>
        <v>View on Google Map</v>
      </c>
      <c r="N369" s="88">
        <f t="shared" si="7"/>
        <v>14</v>
      </c>
    </row>
    <row r="370" spans="1:14" x14ac:dyDescent="0.2">
      <c r="A370" s="88">
        <v>261</v>
      </c>
      <c r="B370" s="88" t="s">
        <v>1127</v>
      </c>
      <c r="C370" s="88" t="s">
        <v>1128</v>
      </c>
      <c r="D370" s="88">
        <v>68.707978848899998</v>
      </c>
      <c r="E370" s="88">
        <v>-149.715105897</v>
      </c>
      <c r="F370" s="88">
        <v>650</v>
      </c>
      <c r="G370" s="88" t="s">
        <v>429</v>
      </c>
      <c r="H370" s="88" t="s">
        <v>1129</v>
      </c>
      <c r="I370" s="88" t="s">
        <v>418</v>
      </c>
      <c r="J370" s="88" t="s">
        <v>711</v>
      </c>
      <c r="K370" s="88" t="s">
        <v>418</v>
      </c>
      <c r="L370" s="88" t="s">
        <v>712</v>
      </c>
      <c r="M370" s="94" t="str">
        <f t="shared" si="6"/>
        <v>View on Google Map</v>
      </c>
      <c r="N370" s="88">
        <f t="shared" si="7"/>
        <v>15</v>
      </c>
    </row>
    <row r="371" spans="1:14" x14ac:dyDescent="0.2">
      <c r="A371" s="88">
        <v>262</v>
      </c>
      <c r="B371" s="88" t="s">
        <v>1130</v>
      </c>
      <c r="C371" s="88" t="s">
        <v>1131</v>
      </c>
      <c r="D371" s="88">
        <v>68.707847844300005</v>
      </c>
      <c r="E371" s="88">
        <v>-149.69962200099999</v>
      </c>
      <c r="F371" s="88">
        <v>650</v>
      </c>
      <c r="G371" s="88" t="s">
        <v>429</v>
      </c>
      <c r="H371" s="88" t="s">
        <v>1132</v>
      </c>
      <c r="I371" s="88" t="s">
        <v>418</v>
      </c>
      <c r="J371" s="88" t="s">
        <v>711</v>
      </c>
      <c r="K371" s="88" t="s">
        <v>418</v>
      </c>
      <c r="L371" s="88" t="s">
        <v>712</v>
      </c>
      <c r="M371" s="94" t="str">
        <f t="shared" si="6"/>
        <v>View on Google Map</v>
      </c>
      <c r="N371" s="88">
        <f t="shared" si="7"/>
        <v>16</v>
      </c>
    </row>
    <row r="372" spans="1:14" x14ac:dyDescent="0.2">
      <c r="A372" s="88">
        <v>263</v>
      </c>
      <c r="B372" s="88" t="s">
        <v>1133</v>
      </c>
      <c r="C372" s="88" t="s">
        <v>1134</v>
      </c>
      <c r="D372" s="88">
        <v>68.7041606871</v>
      </c>
      <c r="E372" s="88">
        <v>-149.68743035400001</v>
      </c>
      <c r="F372" s="88">
        <v>650</v>
      </c>
      <c r="G372" s="88" t="s">
        <v>429</v>
      </c>
      <c r="H372" s="88" t="s">
        <v>1135</v>
      </c>
      <c r="I372" s="88" t="s">
        <v>418</v>
      </c>
      <c r="J372" s="88" t="s">
        <v>711</v>
      </c>
      <c r="K372" s="88" t="s">
        <v>418</v>
      </c>
      <c r="L372" s="88" t="s">
        <v>712</v>
      </c>
      <c r="M372" s="94" t="str">
        <f t="shared" si="6"/>
        <v>View on Google Map</v>
      </c>
      <c r="N372" s="88">
        <f t="shared" si="7"/>
        <v>17</v>
      </c>
    </row>
    <row r="373" spans="1:14" x14ac:dyDescent="0.2">
      <c r="A373" s="88">
        <v>264</v>
      </c>
      <c r="B373" s="88" t="s">
        <v>1136</v>
      </c>
      <c r="C373" s="88" t="s">
        <v>1137</v>
      </c>
      <c r="D373" s="88">
        <v>68.699385523999993</v>
      </c>
      <c r="E373" s="88">
        <v>-149.69396666399999</v>
      </c>
      <c r="F373" s="88">
        <v>650</v>
      </c>
      <c r="G373" s="88" t="s">
        <v>429</v>
      </c>
      <c r="H373" s="88" t="s">
        <v>1138</v>
      </c>
      <c r="I373" s="88" t="s">
        <v>418</v>
      </c>
      <c r="J373" s="88" t="s">
        <v>711</v>
      </c>
      <c r="K373" s="88" t="s">
        <v>418</v>
      </c>
      <c r="L373" s="88" t="s">
        <v>712</v>
      </c>
      <c r="M373" s="94" t="str">
        <f t="shared" si="6"/>
        <v>View on Google Map</v>
      </c>
      <c r="N373" s="88">
        <f t="shared" si="7"/>
        <v>18</v>
      </c>
    </row>
    <row r="374" spans="1:14" x14ac:dyDescent="0.2">
      <c r="A374" s="88">
        <v>265</v>
      </c>
      <c r="B374" s="88" t="s">
        <v>1139</v>
      </c>
      <c r="C374" s="88" t="s">
        <v>1140</v>
      </c>
      <c r="D374" s="88">
        <v>68.7022801743</v>
      </c>
      <c r="E374" s="88">
        <v>-149.70382138400001</v>
      </c>
      <c r="F374" s="88">
        <v>650</v>
      </c>
      <c r="G374" s="88" t="s">
        <v>429</v>
      </c>
      <c r="H374" s="88" t="s">
        <v>1141</v>
      </c>
      <c r="I374" s="88" t="s">
        <v>418</v>
      </c>
      <c r="J374" s="88" t="s">
        <v>711</v>
      </c>
      <c r="K374" s="88" t="s">
        <v>418</v>
      </c>
      <c r="L374" s="88" t="s">
        <v>712</v>
      </c>
      <c r="M374" s="94" t="str">
        <f t="shared" si="6"/>
        <v>View on Google Map</v>
      </c>
      <c r="N374" s="88">
        <f t="shared" si="7"/>
        <v>19</v>
      </c>
    </row>
    <row r="375" spans="1:14" x14ac:dyDescent="0.2">
      <c r="A375" s="88">
        <v>266</v>
      </c>
      <c r="B375" s="88" t="s">
        <v>1142</v>
      </c>
      <c r="C375" s="88" t="s">
        <v>1143</v>
      </c>
      <c r="D375" s="88">
        <v>68.691324054399999</v>
      </c>
      <c r="E375" s="88">
        <v>-149.78520674699999</v>
      </c>
      <c r="F375" s="88">
        <v>650</v>
      </c>
      <c r="G375" s="88" t="s">
        <v>429</v>
      </c>
      <c r="H375" s="88" t="s">
        <v>1144</v>
      </c>
      <c r="I375" s="88" t="s">
        <v>418</v>
      </c>
      <c r="J375" s="88" t="s">
        <v>711</v>
      </c>
      <c r="K375" s="88" t="s">
        <v>418</v>
      </c>
      <c r="L375" s="88" t="s">
        <v>712</v>
      </c>
      <c r="M375" s="94" t="str">
        <f t="shared" si="6"/>
        <v>View on Google Map</v>
      </c>
      <c r="N375" s="88">
        <f t="shared" si="7"/>
        <v>20</v>
      </c>
    </row>
    <row r="376" spans="1:14" x14ac:dyDescent="0.2">
      <c r="A376" s="88">
        <v>267</v>
      </c>
      <c r="B376" s="88" t="s">
        <v>1145</v>
      </c>
      <c r="C376" s="88" t="s">
        <v>1146</v>
      </c>
      <c r="D376" s="88">
        <v>68.682528721799997</v>
      </c>
      <c r="E376" s="88">
        <v>-149.77156908800001</v>
      </c>
      <c r="F376" s="88">
        <v>630</v>
      </c>
      <c r="G376" s="88" t="s">
        <v>429</v>
      </c>
      <c r="H376" s="88" t="s">
        <v>1147</v>
      </c>
      <c r="I376" s="88" t="s">
        <v>418</v>
      </c>
      <c r="J376" s="88" t="s">
        <v>711</v>
      </c>
      <c r="K376" s="88" t="s">
        <v>418</v>
      </c>
      <c r="L376" s="88" t="s">
        <v>712</v>
      </c>
      <c r="M376" s="94" t="str">
        <f t="shared" si="6"/>
        <v>View on Google Map</v>
      </c>
      <c r="N376" s="88">
        <f t="shared" si="7"/>
        <v>21</v>
      </c>
    </row>
    <row r="377" spans="1:14" x14ac:dyDescent="0.2">
      <c r="A377" s="88">
        <v>268</v>
      </c>
      <c r="B377" s="88" t="s">
        <v>1148</v>
      </c>
      <c r="C377" s="88" t="s">
        <v>1149</v>
      </c>
      <c r="D377" s="88">
        <v>68.6833666064</v>
      </c>
      <c r="E377" s="88">
        <v>-149.78602037900001</v>
      </c>
      <c r="F377" s="88">
        <v>620</v>
      </c>
      <c r="G377" s="88" t="s">
        <v>429</v>
      </c>
      <c r="H377" s="88" t="s">
        <v>1150</v>
      </c>
      <c r="I377" s="88" t="s">
        <v>418</v>
      </c>
      <c r="J377" s="88" t="s">
        <v>711</v>
      </c>
      <c r="K377" s="88" t="s">
        <v>418</v>
      </c>
      <c r="L377" s="88" t="s">
        <v>712</v>
      </c>
      <c r="M377" s="94" t="str">
        <f t="shared" si="6"/>
        <v>View on Google Map</v>
      </c>
      <c r="N377" s="88">
        <f t="shared" si="7"/>
        <v>22</v>
      </c>
    </row>
    <row r="378" spans="1:14" x14ac:dyDescent="0.2">
      <c r="A378" s="88">
        <v>269</v>
      </c>
      <c r="B378" s="88" t="s">
        <v>1151</v>
      </c>
      <c r="C378" s="88" t="s">
        <v>1152</v>
      </c>
      <c r="D378" s="88">
        <v>68.685049484000004</v>
      </c>
      <c r="E378" s="88">
        <v>-149.801322572</v>
      </c>
      <c r="F378" s="88">
        <v>590</v>
      </c>
      <c r="G378" s="88" t="s">
        <v>429</v>
      </c>
      <c r="H378" s="88" t="s">
        <v>1153</v>
      </c>
      <c r="I378" s="88" t="s">
        <v>418</v>
      </c>
      <c r="J378" s="88" t="s">
        <v>711</v>
      </c>
      <c r="K378" s="88" t="s">
        <v>418</v>
      </c>
      <c r="L378" s="88" t="s">
        <v>712</v>
      </c>
      <c r="M378" s="94" t="str">
        <f t="shared" si="6"/>
        <v>View on Google Map</v>
      </c>
      <c r="N378" s="88">
        <f t="shared" si="7"/>
        <v>23</v>
      </c>
    </row>
    <row r="379" spans="1:14" x14ac:dyDescent="0.2">
      <c r="A379" s="88">
        <v>270</v>
      </c>
      <c r="B379" s="88" t="s">
        <v>1154</v>
      </c>
      <c r="C379" s="88" t="s">
        <v>1155</v>
      </c>
      <c r="D379" s="88">
        <v>68.6853960145</v>
      </c>
      <c r="E379" s="88">
        <v>-149.80798693200001</v>
      </c>
      <c r="F379" s="88">
        <v>590</v>
      </c>
      <c r="G379" s="88" t="s">
        <v>429</v>
      </c>
      <c r="H379" s="88" t="s">
        <v>1156</v>
      </c>
      <c r="I379" s="88" t="s">
        <v>418</v>
      </c>
      <c r="J379" s="88" t="s">
        <v>711</v>
      </c>
      <c r="K379" s="88" t="s">
        <v>418</v>
      </c>
      <c r="L379" s="88" t="s">
        <v>712</v>
      </c>
      <c r="M379" s="94" t="str">
        <f t="shared" si="6"/>
        <v>View on Google Map</v>
      </c>
      <c r="N379" s="88">
        <f t="shared" si="7"/>
        <v>24</v>
      </c>
    </row>
    <row r="380" spans="1:14" x14ac:dyDescent="0.2">
      <c r="A380" s="88">
        <v>271</v>
      </c>
      <c r="B380" s="88" t="s">
        <v>1157</v>
      </c>
      <c r="C380" s="88" t="s">
        <v>1158</v>
      </c>
      <c r="D380" s="88">
        <v>68.682885549900007</v>
      </c>
      <c r="E380" s="88">
        <v>-149.809163652</v>
      </c>
      <c r="F380" s="88">
        <v>590</v>
      </c>
      <c r="G380" s="88" t="s">
        <v>429</v>
      </c>
      <c r="H380" s="88" t="s">
        <v>1159</v>
      </c>
      <c r="I380" s="88" t="s">
        <v>418</v>
      </c>
      <c r="J380" s="88" t="s">
        <v>711</v>
      </c>
      <c r="K380" s="88" t="s">
        <v>418</v>
      </c>
      <c r="L380" s="88" t="s">
        <v>712</v>
      </c>
      <c r="M380" s="94" t="str">
        <f t="shared" si="6"/>
        <v>View on Google Map</v>
      </c>
      <c r="N380" s="88">
        <f t="shared" si="7"/>
        <v>25</v>
      </c>
    </row>
    <row r="381" spans="1:14" x14ac:dyDescent="0.2">
      <c r="A381" s="88">
        <v>272</v>
      </c>
      <c r="B381" s="88" t="s">
        <v>1160</v>
      </c>
      <c r="C381" s="88" t="s">
        <v>1161</v>
      </c>
      <c r="D381" s="88">
        <v>68.682270906200003</v>
      </c>
      <c r="E381" s="88">
        <v>-149.81202356599999</v>
      </c>
      <c r="F381" s="88" t="s">
        <v>418</v>
      </c>
      <c r="G381" s="88" t="s">
        <v>429</v>
      </c>
      <c r="H381" s="88" t="s">
        <v>1162</v>
      </c>
      <c r="I381" s="88" t="s">
        <v>418</v>
      </c>
      <c r="J381" s="88" t="s">
        <v>711</v>
      </c>
      <c r="K381" s="88" t="s">
        <v>418</v>
      </c>
      <c r="L381" s="88" t="s">
        <v>712</v>
      </c>
      <c r="M381" s="94" t="str">
        <f t="shared" si="6"/>
        <v>View on Google Map</v>
      </c>
      <c r="N381" s="88">
        <f t="shared" si="7"/>
        <v>26</v>
      </c>
    </row>
    <row r="382" spans="1:14" x14ac:dyDescent="0.2">
      <c r="A382" s="88">
        <v>315</v>
      </c>
      <c r="B382" s="88" t="s">
        <v>1163</v>
      </c>
      <c r="C382" s="88" t="s">
        <v>1164</v>
      </c>
      <c r="D382" s="88">
        <v>68.568206306199997</v>
      </c>
      <c r="E382" s="88">
        <v>-149.167395043</v>
      </c>
      <c r="F382" s="88" t="s">
        <v>418</v>
      </c>
      <c r="G382" s="88" t="s">
        <v>429</v>
      </c>
      <c r="H382" s="88" t="s">
        <v>1165</v>
      </c>
      <c r="I382" s="88" t="s">
        <v>418</v>
      </c>
      <c r="J382" s="88" t="s">
        <v>711</v>
      </c>
      <c r="K382" s="88" t="s">
        <v>418</v>
      </c>
      <c r="L382" s="88" t="s">
        <v>712</v>
      </c>
      <c r="M382" s="94" t="str">
        <f t="shared" si="6"/>
        <v>View on Google Map</v>
      </c>
      <c r="N382" s="88">
        <f t="shared" si="7"/>
        <v>27</v>
      </c>
    </row>
    <row r="383" spans="1:14" x14ac:dyDescent="0.2">
      <c r="A383" s="88">
        <v>316</v>
      </c>
      <c r="B383" s="88" t="s">
        <v>1166</v>
      </c>
      <c r="C383" s="88" t="s">
        <v>1167</v>
      </c>
      <c r="D383" s="88">
        <v>68.563566134699997</v>
      </c>
      <c r="E383" s="88">
        <v>-149.17548626199999</v>
      </c>
      <c r="F383" s="88" t="s">
        <v>418</v>
      </c>
      <c r="G383" s="88" t="s">
        <v>429</v>
      </c>
      <c r="H383" s="88" t="s">
        <v>1168</v>
      </c>
      <c r="I383" s="88" t="s">
        <v>418</v>
      </c>
      <c r="J383" s="88" t="s">
        <v>711</v>
      </c>
      <c r="K383" s="88" t="s">
        <v>418</v>
      </c>
      <c r="L383" s="88" t="s">
        <v>712</v>
      </c>
      <c r="M383" s="94" t="str">
        <f t="shared" si="6"/>
        <v>View on Google Map</v>
      </c>
      <c r="N383" s="88">
        <f t="shared" si="7"/>
        <v>28</v>
      </c>
    </row>
    <row r="384" spans="1:14" x14ac:dyDescent="0.2">
      <c r="A384" s="88">
        <v>317</v>
      </c>
      <c r="B384" s="88" t="s">
        <v>1169</v>
      </c>
      <c r="C384" s="88" t="s">
        <v>1170</v>
      </c>
      <c r="D384" s="88">
        <v>68.567753827800004</v>
      </c>
      <c r="E384" s="88">
        <v>-149.18255546</v>
      </c>
      <c r="F384" s="88" t="s">
        <v>418</v>
      </c>
      <c r="G384" s="88" t="s">
        <v>429</v>
      </c>
      <c r="H384" s="88" t="s">
        <v>1171</v>
      </c>
      <c r="I384" s="88" t="s">
        <v>418</v>
      </c>
      <c r="J384" s="88" t="s">
        <v>711</v>
      </c>
      <c r="K384" s="88" t="s">
        <v>418</v>
      </c>
      <c r="L384" s="88" t="s">
        <v>712</v>
      </c>
      <c r="M384" s="94" t="str">
        <f t="shared" si="6"/>
        <v>View on Google Map</v>
      </c>
      <c r="N384" s="88">
        <f t="shared" si="7"/>
        <v>29</v>
      </c>
    </row>
    <row r="385" spans="1:14" x14ac:dyDescent="0.2">
      <c r="A385" s="88">
        <v>318</v>
      </c>
      <c r="B385" s="88" t="s">
        <v>1172</v>
      </c>
      <c r="C385" s="88" t="s">
        <v>1173</v>
      </c>
      <c r="D385" s="88">
        <v>68.575143231300004</v>
      </c>
      <c r="E385" s="88">
        <v>-149.187493434</v>
      </c>
      <c r="F385" s="88">
        <v>899</v>
      </c>
      <c r="G385" s="88" t="s">
        <v>429</v>
      </c>
      <c r="H385" s="88" t="s">
        <v>1174</v>
      </c>
      <c r="I385" s="88" t="s">
        <v>418</v>
      </c>
      <c r="J385" s="88" t="s">
        <v>711</v>
      </c>
      <c r="K385" s="88" t="s">
        <v>418</v>
      </c>
      <c r="L385" s="88" t="s">
        <v>712</v>
      </c>
      <c r="M385" s="94" t="str">
        <f t="shared" si="6"/>
        <v>View on Google Map</v>
      </c>
      <c r="N385" s="88">
        <f t="shared" si="7"/>
        <v>30</v>
      </c>
    </row>
    <row r="386" spans="1:14" x14ac:dyDescent="0.2">
      <c r="A386" s="88">
        <v>319</v>
      </c>
      <c r="B386" s="88" t="s">
        <v>1175</v>
      </c>
      <c r="C386" s="88" t="s">
        <v>1176</v>
      </c>
      <c r="D386" s="88">
        <v>68.575979722100001</v>
      </c>
      <c r="E386" s="88">
        <v>-149.19939190100001</v>
      </c>
      <c r="F386" s="88" t="s">
        <v>418</v>
      </c>
      <c r="G386" s="88" t="s">
        <v>429</v>
      </c>
      <c r="H386" s="88" t="s">
        <v>1177</v>
      </c>
      <c r="I386" s="88" t="s">
        <v>418</v>
      </c>
      <c r="J386" s="88" t="s">
        <v>711</v>
      </c>
      <c r="K386" s="88" t="s">
        <v>418</v>
      </c>
      <c r="L386" s="88" t="s">
        <v>712</v>
      </c>
      <c r="M386" s="94" t="str">
        <f t="shared" si="6"/>
        <v>View on Google Map</v>
      </c>
      <c r="N386" s="88">
        <f t="shared" si="7"/>
        <v>31</v>
      </c>
    </row>
    <row r="387" spans="1:14" x14ac:dyDescent="0.2">
      <c r="A387" s="88">
        <v>320</v>
      </c>
      <c r="B387" s="88" t="s">
        <v>1178</v>
      </c>
      <c r="C387" s="88" t="s">
        <v>1179</v>
      </c>
      <c r="D387" s="88">
        <v>68.576887217199996</v>
      </c>
      <c r="E387" s="88">
        <v>-149.17782305899999</v>
      </c>
      <c r="F387" s="88">
        <v>891</v>
      </c>
      <c r="G387" s="88" t="s">
        <v>429</v>
      </c>
      <c r="H387" s="88" t="s">
        <v>1180</v>
      </c>
      <c r="I387" s="88" t="s">
        <v>418</v>
      </c>
      <c r="J387" s="88" t="s">
        <v>711</v>
      </c>
      <c r="K387" s="88" t="s">
        <v>418</v>
      </c>
      <c r="L387" s="88" t="s">
        <v>712</v>
      </c>
      <c r="M387" s="94" t="str">
        <f t="shared" ref="M387:M450" si="8">HYPERLINK("http://maps.google.com/maps?q="&amp;D387&amp;","&amp;E387,"View on Google Map")</f>
        <v>View on Google Map</v>
      </c>
      <c r="N387" s="88">
        <f t="shared" si="7"/>
        <v>32</v>
      </c>
    </row>
    <row r="388" spans="1:14" x14ac:dyDescent="0.2">
      <c r="A388" s="88">
        <v>321</v>
      </c>
      <c r="B388" s="88" t="s">
        <v>1181</v>
      </c>
      <c r="C388" s="88" t="s">
        <v>1182</v>
      </c>
      <c r="D388" s="88">
        <v>68.581215404199995</v>
      </c>
      <c r="E388" s="88">
        <v>-149.17874205800001</v>
      </c>
      <c r="F388" s="88">
        <v>891</v>
      </c>
      <c r="G388" s="88" t="s">
        <v>429</v>
      </c>
      <c r="H388" s="88" t="s">
        <v>1183</v>
      </c>
      <c r="I388" s="88" t="s">
        <v>418</v>
      </c>
      <c r="J388" s="88" t="s">
        <v>711</v>
      </c>
      <c r="K388" s="88" t="s">
        <v>418</v>
      </c>
      <c r="L388" s="88" t="s">
        <v>712</v>
      </c>
      <c r="M388" s="94" t="str">
        <f t="shared" si="8"/>
        <v>View on Google Map</v>
      </c>
      <c r="N388" s="88">
        <f t="shared" si="7"/>
        <v>33</v>
      </c>
    </row>
    <row r="389" spans="1:14" x14ac:dyDescent="0.2">
      <c r="A389" s="88">
        <v>322</v>
      </c>
      <c r="B389" s="88" t="s">
        <v>1184</v>
      </c>
      <c r="C389" s="88" t="s">
        <v>1185</v>
      </c>
      <c r="D389" s="88">
        <v>68.587382761699999</v>
      </c>
      <c r="E389" s="88">
        <v>-149.144248847</v>
      </c>
      <c r="F389" s="88" t="s">
        <v>418</v>
      </c>
      <c r="G389" s="88" t="s">
        <v>429</v>
      </c>
      <c r="H389" s="88" t="s">
        <v>1186</v>
      </c>
      <c r="I389" s="88" t="s">
        <v>418</v>
      </c>
      <c r="J389" s="88" t="s">
        <v>711</v>
      </c>
      <c r="K389" s="88" t="s">
        <v>418</v>
      </c>
      <c r="L389" s="88" t="s">
        <v>712</v>
      </c>
      <c r="M389" s="94" t="str">
        <f t="shared" si="8"/>
        <v>View on Google Map</v>
      </c>
      <c r="N389" s="88">
        <f t="shared" si="7"/>
        <v>34</v>
      </c>
    </row>
    <row r="390" spans="1:14" x14ac:dyDescent="0.2">
      <c r="A390" s="88">
        <v>323</v>
      </c>
      <c r="B390" s="88" t="s">
        <v>1187</v>
      </c>
      <c r="C390" s="88" t="s">
        <v>1188</v>
      </c>
      <c r="D390" s="88">
        <v>68.548407480700007</v>
      </c>
      <c r="E390" s="88">
        <v>-150.03700547700001</v>
      </c>
      <c r="F390" s="88" t="s">
        <v>418</v>
      </c>
      <c r="G390" s="88" t="s">
        <v>429</v>
      </c>
      <c r="H390" s="88" t="s">
        <v>1189</v>
      </c>
      <c r="I390" s="88" t="s">
        <v>418</v>
      </c>
      <c r="J390" s="88" t="s">
        <v>711</v>
      </c>
      <c r="K390" s="88" t="s">
        <v>418</v>
      </c>
      <c r="L390" s="88" t="s">
        <v>712</v>
      </c>
      <c r="M390" s="94" t="str">
        <f t="shared" si="8"/>
        <v>View on Google Map</v>
      </c>
      <c r="N390" s="88">
        <f t="shared" si="7"/>
        <v>35</v>
      </c>
    </row>
    <row r="391" spans="1:14" x14ac:dyDescent="0.2">
      <c r="A391" s="88">
        <v>324</v>
      </c>
      <c r="B391" s="88" t="s">
        <v>1190</v>
      </c>
      <c r="C391" s="88" t="s">
        <v>1191</v>
      </c>
      <c r="D391" s="88">
        <v>68.550052273099993</v>
      </c>
      <c r="E391" s="88">
        <v>-150.02948327199999</v>
      </c>
      <c r="F391" s="88" t="s">
        <v>418</v>
      </c>
      <c r="G391" s="88" t="s">
        <v>429</v>
      </c>
      <c r="H391" s="88" t="s">
        <v>1192</v>
      </c>
      <c r="I391" s="88" t="s">
        <v>418</v>
      </c>
      <c r="J391" s="88" t="s">
        <v>711</v>
      </c>
      <c r="K391" s="88" t="s">
        <v>418</v>
      </c>
      <c r="L391" s="88" t="s">
        <v>712</v>
      </c>
      <c r="M391" s="94" t="str">
        <f t="shared" si="8"/>
        <v>View on Google Map</v>
      </c>
      <c r="N391" s="88">
        <f t="shared" si="7"/>
        <v>36</v>
      </c>
    </row>
    <row r="392" spans="1:14" x14ac:dyDescent="0.2">
      <c r="A392" s="88">
        <v>325</v>
      </c>
      <c r="B392" s="88" t="s">
        <v>1193</v>
      </c>
      <c r="C392" s="88" t="s">
        <v>1194</v>
      </c>
      <c r="D392" s="88">
        <v>68.5460242857</v>
      </c>
      <c r="E392" s="88">
        <v>-150.02463014</v>
      </c>
      <c r="F392" s="88" t="s">
        <v>418</v>
      </c>
      <c r="G392" s="88" t="s">
        <v>429</v>
      </c>
      <c r="H392" s="88" t="s">
        <v>1195</v>
      </c>
      <c r="I392" s="88" t="s">
        <v>418</v>
      </c>
      <c r="J392" s="88" t="s">
        <v>711</v>
      </c>
      <c r="K392" s="88" t="s">
        <v>418</v>
      </c>
      <c r="L392" s="88" t="s">
        <v>712</v>
      </c>
      <c r="M392" s="94" t="str">
        <f t="shared" si="8"/>
        <v>View on Google Map</v>
      </c>
      <c r="N392" s="88">
        <f t="shared" si="7"/>
        <v>37</v>
      </c>
    </row>
    <row r="393" spans="1:14" x14ac:dyDescent="0.2">
      <c r="A393" s="88">
        <v>326</v>
      </c>
      <c r="B393" s="88" t="s">
        <v>1196</v>
      </c>
      <c r="C393" s="88" t="s">
        <v>1197</v>
      </c>
      <c r="D393" s="88">
        <v>68.550135830100004</v>
      </c>
      <c r="E393" s="88">
        <v>-150.01499602000001</v>
      </c>
      <c r="F393" s="88" t="s">
        <v>418</v>
      </c>
      <c r="G393" s="88" t="s">
        <v>429</v>
      </c>
      <c r="H393" s="88" t="s">
        <v>1198</v>
      </c>
      <c r="I393" s="88" t="s">
        <v>418</v>
      </c>
      <c r="J393" s="88" t="s">
        <v>711</v>
      </c>
      <c r="K393" s="88" t="s">
        <v>418</v>
      </c>
      <c r="L393" s="88" t="s">
        <v>712</v>
      </c>
      <c r="M393" s="94" t="str">
        <f t="shared" si="8"/>
        <v>View on Google Map</v>
      </c>
      <c r="N393" s="88">
        <f t="shared" si="7"/>
        <v>38</v>
      </c>
    </row>
    <row r="394" spans="1:14" x14ac:dyDescent="0.2">
      <c r="A394" s="88">
        <v>327</v>
      </c>
      <c r="B394" s="88" t="s">
        <v>1199</v>
      </c>
      <c r="C394" s="88" t="s">
        <v>1200</v>
      </c>
      <c r="D394" s="88">
        <v>68.556356553000001</v>
      </c>
      <c r="E394" s="88">
        <v>-150.01283142599999</v>
      </c>
      <c r="F394" s="88" t="s">
        <v>418</v>
      </c>
      <c r="G394" s="88" t="s">
        <v>429</v>
      </c>
      <c r="H394" s="88" t="s">
        <v>1201</v>
      </c>
      <c r="I394" s="88" t="s">
        <v>418</v>
      </c>
      <c r="J394" s="88" t="s">
        <v>711</v>
      </c>
      <c r="K394" s="88" t="s">
        <v>418</v>
      </c>
      <c r="L394" s="88" t="s">
        <v>712</v>
      </c>
      <c r="M394" s="94" t="str">
        <f t="shared" si="8"/>
        <v>View on Google Map</v>
      </c>
      <c r="N394" s="88">
        <f t="shared" si="7"/>
        <v>39</v>
      </c>
    </row>
    <row r="395" spans="1:14" x14ac:dyDescent="0.2">
      <c r="A395" s="88">
        <v>328</v>
      </c>
      <c r="B395" s="88" t="s">
        <v>1202</v>
      </c>
      <c r="C395" s="88" t="s">
        <v>1203</v>
      </c>
      <c r="D395" s="88">
        <v>68.565564884200001</v>
      </c>
      <c r="E395" s="88">
        <v>-150.00164362699999</v>
      </c>
      <c r="F395" s="88" t="s">
        <v>418</v>
      </c>
      <c r="G395" s="88" t="s">
        <v>429</v>
      </c>
      <c r="H395" s="88" t="s">
        <v>1204</v>
      </c>
      <c r="I395" s="88" t="s">
        <v>418</v>
      </c>
      <c r="J395" s="88" t="s">
        <v>711</v>
      </c>
      <c r="K395" s="88" t="s">
        <v>418</v>
      </c>
      <c r="L395" s="88" t="s">
        <v>712</v>
      </c>
      <c r="M395" s="94" t="str">
        <f t="shared" si="8"/>
        <v>View on Google Map</v>
      </c>
      <c r="N395" s="88">
        <f t="shared" si="7"/>
        <v>40</v>
      </c>
    </row>
    <row r="396" spans="1:14" x14ac:dyDescent="0.2">
      <c r="A396" s="88">
        <v>329</v>
      </c>
      <c r="B396" s="88" t="s">
        <v>1205</v>
      </c>
      <c r="C396" s="88" t="s">
        <v>1206</v>
      </c>
      <c r="D396" s="88">
        <v>68.567838099200003</v>
      </c>
      <c r="E396" s="88">
        <v>-149.99849875500001</v>
      </c>
      <c r="F396" s="88" t="s">
        <v>418</v>
      </c>
      <c r="G396" s="88" t="s">
        <v>429</v>
      </c>
      <c r="H396" s="88" t="s">
        <v>1207</v>
      </c>
      <c r="I396" s="88" t="s">
        <v>418</v>
      </c>
      <c r="J396" s="88" t="s">
        <v>711</v>
      </c>
      <c r="K396" s="88" t="s">
        <v>418</v>
      </c>
      <c r="L396" s="88" t="s">
        <v>712</v>
      </c>
      <c r="M396" s="94" t="str">
        <f t="shared" si="8"/>
        <v>View on Google Map</v>
      </c>
      <c r="N396" s="88">
        <f t="shared" si="7"/>
        <v>41</v>
      </c>
    </row>
    <row r="397" spans="1:14" x14ac:dyDescent="0.2">
      <c r="A397" s="88">
        <v>330</v>
      </c>
      <c r="B397" s="88" t="s">
        <v>1208</v>
      </c>
      <c r="C397" s="88" t="s">
        <v>1209</v>
      </c>
      <c r="D397" s="88">
        <v>68.5855663241</v>
      </c>
      <c r="E397" s="88">
        <v>-149.98167511</v>
      </c>
      <c r="F397" s="88" t="s">
        <v>418</v>
      </c>
      <c r="G397" s="88" t="s">
        <v>429</v>
      </c>
      <c r="H397" s="88" t="s">
        <v>1210</v>
      </c>
      <c r="I397" s="88" t="s">
        <v>418</v>
      </c>
      <c r="J397" s="88" t="s">
        <v>711</v>
      </c>
      <c r="K397" s="88" t="s">
        <v>418</v>
      </c>
      <c r="L397" s="88" t="s">
        <v>712</v>
      </c>
      <c r="M397" s="94" t="str">
        <f t="shared" si="8"/>
        <v>View on Google Map</v>
      </c>
      <c r="N397" s="88">
        <f t="shared" si="7"/>
        <v>42</v>
      </c>
    </row>
    <row r="398" spans="1:14" x14ac:dyDescent="0.2">
      <c r="A398" s="88">
        <v>331</v>
      </c>
      <c r="B398" s="88" t="s">
        <v>1211</v>
      </c>
      <c r="C398" s="88" t="s">
        <v>1212</v>
      </c>
      <c r="D398" s="88">
        <v>68.534049837699996</v>
      </c>
      <c r="E398" s="88">
        <v>-149.157309078</v>
      </c>
      <c r="F398" s="88">
        <v>926</v>
      </c>
      <c r="G398" s="88" t="s">
        <v>429</v>
      </c>
      <c r="H398" s="88" t="s">
        <v>1213</v>
      </c>
      <c r="I398" s="88" t="s">
        <v>418</v>
      </c>
      <c r="J398" s="88" t="s">
        <v>711</v>
      </c>
      <c r="K398" s="88" t="s">
        <v>418</v>
      </c>
      <c r="L398" s="88" t="s">
        <v>712</v>
      </c>
      <c r="M398" s="94" t="str">
        <f t="shared" si="8"/>
        <v>View on Google Map</v>
      </c>
      <c r="N398" s="88">
        <f t="shared" si="7"/>
        <v>43</v>
      </c>
    </row>
    <row r="399" spans="1:14" x14ac:dyDescent="0.2">
      <c r="A399" s="88">
        <v>332</v>
      </c>
      <c r="B399" s="88" t="s">
        <v>1214</v>
      </c>
      <c r="C399" s="88" t="s">
        <v>1215</v>
      </c>
      <c r="D399" s="88">
        <v>68.533584622000006</v>
      </c>
      <c r="E399" s="88">
        <v>-149.16705049699999</v>
      </c>
      <c r="F399" s="88" t="s">
        <v>418</v>
      </c>
      <c r="G399" s="88" t="s">
        <v>429</v>
      </c>
      <c r="H399" s="88" t="s">
        <v>1216</v>
      </c>
      <c r="I399" s="88" t="s">
        <v>418</v>
      </c>
      <c r="J399" s="88" t="s">
        <v>711</v>
      </c>
      <c r="K399" s="88" t="s">
        <v>418</v>
      </c>
      <c r="L399" s="88" t="s">
        <v>712</v>
      </c>
      <c r="M399" s="94" t="str">
        <f t="shared" si="8"/>
        <v>View on Google Map</v>
      </c>
      <c r="N399" s="88">
        <f t="shared" si="7"/>
        <v>44</v>
      </c>
    </row>
    <row r="400" spans="1:14" x14ac:dyDescent="0.2">
      <c r="A400" s="88">
        <v>333</v>
      </c>
      <c r="B400" s="88" t="s">
        <v>1217</v>
      </c>
      <c r="C400" s="88" t="s">
        <v>1218</v>
      </c>
      <c r="D400" s="88">
        <v>68.533269411600003</v>
      </c>
      <c r="E400" s="88">
        <v>-149.19565723900001</v>
      </c>
      <c r="F400" s="88">
        <v>899</v>
      </c>
      <c r="G400" s="88" t="s">
        <v>429</v>
      </c>
      <c r="H400" s="88" t="s">
        <v>1219</v>
      </c>
      <c r="I400" s="88" t="s">
        <v>418</v>
      </c>
      <c r="J400" s="88" t="s">
        <v>711</v>
      </c>
      <c r="K400" s="88" t="s">
        <v>418</v>
      </c>
      <c r="L400" s="88" t="s">
        <v>712</v>
      </c>
      <c r="M400" s="94" t="str">
        <f t="shared" si="8"/>
        <v>View on Google Map</v>
      </c>
      <c r="N400" s="88">
        <f t="shared" si="7"/>
        <v>45</v>
      </c>
    </row>
    <row r="401" spans="1:14" x14ac:dyDescent="0.2">
      <c r="A401" s="88">
        <v>335</v>
      </c>
      <c r="B401" s="88" t="s">
        <v>1220</v>
      </c>
      <c r="C401" s="88" t="s">
        <v>1221</v>
      </c>
      <c r="D401" s="88">
        <v>68.516771954500001</v>
      </c>
      <c r="E401" s="88">
        <v>-150.05742084799999</v>
      </c>
      <c r="F401" s="88" t="s">
        <v>418</v>
      </c>
      <c r="G401" s="88" t="s">
        <v>429</v>
      </c>
      <c r="H401" s="88" t="s">
        <v>1222</v>
      </c>
      <c r="I401" s="88" t="s">
        <v>418</v>
      </c>
      <c r="J401" s="88" t="s">
        <v>711</v>
      </c>
      <c r="K401" s="88" t="s">
        <v>418</v>
      </c>
      <c r="L401" s="88" t="s">
        <v>712</v>
      </c>
      <c r="M401" s="94" t="str">
        <f t="shared" si="8"/>
        <v>View on Google Map</v>
      </c>
      <c r="N401" s="88">
        <f t="shared" si="7"/>
        <v>47</v>
      </c>
    </row>
    <row r="402" spans="1:14" x14ac:dyDescent="0.2">
      <c r="A402" s="88">
        <v>336</v>
      </c>
      <c r="B402" s="88" t="s">
        <v>1223</v>
      </c>
      <c r="C402" s="88" t="s">
        <v>1224</v>
      </c>
      <c r="D402" s="88">
        <v>68.531484729400006</v>
      </c>
      <c r="E402" s="88">
        <v>-150.04821666999999</v>
      </c>
      <c r="F402" s="88" t="s">
        <v>418</v>
      </c>
      <c r="G402" s="88" t="s">
        <v>429</v>
      </c>
      <c r="H402" s="88" t="s">
        <v>1225</v>
      </c>
      <c r="I402" s="88" t="s">
        <v>418</v>
      </c>
      <c r="J402" s="88" t="s">
        <v>711</v>
      </c>
      <c r="K402" s="88" t="s">
        <v>418</v>
      </c>
      <c r="L402" s="88" t="s">
        <v>712</v>
      </c>
      <c r="M402" s="94" t="str">
        <f t="shared" si="8"/>
        <v>View on Google Map</v>
      </c>
      <c r="N402" s="88">
        <f t="shared" si="7"/>
        <v>48</v>
      </c>
    </row>
    <row r="403" spans="1:14" x14ac:dyDescent="0.2">
      <c r="A403" s="88">
        <v>337</v>
      </c>
      <c r="B403" s="88" t="s">
        <v>1226</v>
      </c>
      <c r="C403" s="88" t="s">
        <v>1227</v>
      </c>
      <c r="D403" s="88">
        <v>68.525496449800002</v>
      </c>
      <c r="E403" s="88">
        <v>-150.03164010200001</v>
      </c>
      <c r="F403" s="88" t="s">
        <v>418</v>
      </c>
      <c r="G403" s="88" t="s">
        <v>429</v>
      </c>
      <c r="H403" s="88" t="s">
        <v>1228</v>
      </c>
      <c r="I403" s="88" t="s">
        <v>418</v>
      </c>
      <c r="J403" s="88" t="s">
        <v>711</v>
      </c>
      <c r="K403" s="88" t="s">
        <v>418</v>
      </c>
      <c r="L403" s="88" t="s">
        <v>712</v>
      </c>
      <c r="M403" s="94" t="str">
        <f t="shared" si="8"/>
        <v>View on Google Map</v>
      </c>
      <c r="N403" s="88">
        <f t="shared" si="7"/>
        <v>49</v>
      </c>
    </row>
    <row r="404" spans="1:14" x14ac:dyDescent="0.2">
      <c r="A404" s="88">
        <v>338</v>
      </c>
      <c r="B404" s="88" t="s">
        <v>1229</v>
      </c>
      <c r="C404" s="88" t="s">
        <v>1230</v>
      </c>
      <c r="D404" s="88">
        <v>68.522395926599998</v>
      </c>
      <c r="E404" s="88">
        <v>-150.02260567299999</v>
      </c>
      <c r="F404" s="88" t="s">
        <v>418</v>
      </c>
      <c r="G404" s="88" t="s">
        <v>429</v>
      </c>
      <c r="H404" s="88" t="s">
        <v>1231</v>
      </c>
      <c r="I404" s="88" t="s">
        <v>418</v>
      </c>
      <c r="J404" s="88" t="s">
        <v>711</v>
      </c>
      <c r="K404" s="88" t="s">
        <v>418</v>
      </c>
      <c r="L404" s="88" t="s">
        <v>712</v>
      </c>
      <c r="M404" s="94" t="str">
        <f t="shared" si="8"/>
        <v>View on Google Map</v>
      </c>
      <c r="N404" s="88">
        <f t="shared" si="7"/>
        <v>50</v>
      </c>
    </row>
    <row r="405" spans="1:14" x14ac:dyDescent="0.2">
      <c r="A405" s="88">
        <v>339</v>
      </c>
      <c r="B405" s="88" t="s">
        <v>1232</v>
      </c>
      <c r="C405" s="88" t="s">
        <v>1233</v>
      </c>
      <c r="D405" s="88">
        <v>68.574095052399997</v>
      </c>
      <c r="E405" s="88">
        <v>-149.97662969199999</v>
      </c>
      <c r="F405" s="88" t="s">
        <v>418</v>
      </c>
      <c r="G405" s="88" t="s">
        <v>429</v>
      </c>
      <c r="H405" s="88" t="s">
        <v>1234</v>
      </c>
      <c r="I405" s="88" t="s">
        <v>418</v>
      </c>
      <c r="J405" s="88" t="s">
        <v>711</v>
      </c>
      <c r="K405" s="88" t="s">
        <v>418</v>
      </c>
      <c r="L405" s="88" t="s">
        <v>712</v>
      </c>
      <c r="M405" s="94" t="str">
        <f t="shared" si="8"/>
        <v>View on Google Map</v>
      </c>
      <c r="N405" s="88">
        <f t="shared" si="7"/>
        <v>51</v>
      </c>
    </row>
    <row r="406" spans="1:14" x14ac:dyDescent="0.2">
      <c r="A406" s="88">
        <v>340</v>
      </c>
      <c r="B406" s="88" t="s">
        <v>1235</v>
      </c>
      <c r="C406" s="88" t="s">
        <v>1236</v>
      </c>
      <c r="D406" s="88">
        <v>68.571671305899997</v>
      </c>
      <c r="E406" s="88">
        <v>-149.972667672</v>
      </c>
      <c r="F406" s="88" t="s">
        <v>418</v>
      </c>
      <c r="G406" s="88" t="s">
        <v>429</v>
      </c>
      <c r="H406" s="88" t="s">
        <v>1237</v>
      </c>
      <c r="I406" s="88" t="s">
        <v>418</v>
      </c>
      <c r="J406" s="88" t="s">
        <v>711</v>
      </c>
      <c r="K406" s="88" t="s">
        <v>418</v>
      </c>
      <c r="L406" s="88" t="s">
        <v>712</v>
      </c>
      <c r="M406" s="94" t="str">
        <f t="shared" si="8"/>
        <v>View on Google Map</v>
      </c>
      <c r="N406" s="88">
        <f t="shared" si="7"/>
        <v>52</v>
      </c>
    </row>
    <row r="407" spans="1:14" x14ac:dyDescent="0.2">
      <c r="A407" s="88">
        <v>341</v>
      </c>
      <c r="B407" s="88" t="s">
        <v>1238</v>
      </c>
      <c r="C407" s="88" t="s">
        <v>1239</v>
      </c>
      <c r="D407" s="88">
        <v>68.562791718200003</v>
      </c>
      <c r="E407" s="88">
        <v>-149.977791473</v>
      </c>
      <c r="F407" s="88" t="s">
        <v>418</v>
      </c>
      <c r="G407" s="88" t="s">
        <v>429</v>
      </c>
      <c r="H407" s="88" t="s">
        <v>1240</v>
      </c>
      <c r="I407" s="88" t="s">
        <v>418</v>
      </c>
      <c r="J407" s="88" t="s">
        <v>711</v>
      </c>
      <c r="K407" s="88" t="s">
        <v>418</v>
      </c>
      <c r="L407" s="88" t="s">
        <v>712</v>
      </c>
      <c r="M407" s="94" t="str">
        <f t="shared" si="8"/>
        <v>View on Google Map</v>
      </c>
      <c r="N407" s="88">
        <f t="shared" si="7"/>
        <v>53</v>
      </c>
    </row>
    <row r="408" spans="1:14" x14ac:dyDescent="0.2">
      <c r="A408" s="88">
        <v>342</v>
      </c>
      <c r="B408" s="88" t="s">
        <v>1241</v>
      </c>
      <c r="C408" s="88" t="s">
        <v>1242</v>
      </c>
      <c r="D408" s="88">
        <v>68.556077412199997</v>
      </c>
      <c r="E408" s="88">
        <v>-149.93361884199999</v>
      </c>
      <c r="F408" s="88" t="s">
        <v>418</v>
      </c>
      <c r="G408" s="88" t="s">
        <v>429</v>
      </c>
      <c r="H408" s="88" t="s">
        <v>1243</v>
      </c>
      <c r="I408" s="88" t="s">
        <v>418</v>
      </c>
      <c r="J408" s="88" t="s">
        <v>711</v>
      </c>
      <c r="K408" s="88" t="s">
        <v>418</v>
      </c>
      <c r="L408" s="88" t="s">
        <v>712</v>
      </c>
      <c r="M408" s="94" t="str">
        <f t="shared" si="8"/>
        <v>View on Google Map</v>
      </c>
      <c r="N408" s="88">
        <f t="shared" si="7"/>
        <v>54</v>
      </c>
    </row>
    <row r="409" spans="1:14" x14ac:dyDescent="0.2">
      <c r="A409" s="88">
        <v>343</v>
      </c>
      <c r="B409" s="88" t="s">
        <v>1244</v>
      </c>
      <c r="C409" s="88" t="s">
        <v>1245</v>
      </c>
      <c r="D409" s="88">
        <v>68.567959712100006</v>
      </c>
      <c r="E409" s="88">
        <v>-149.89938475599999</v>
      </c>
      <c r="F409" s="88" t="s">
        <v>418</v>
      </c>
      <c r="G409" s="88" t="s">
        <v>429</v>
      </c>
      <c r="H409" s="88" t="s">
        <v>1246</v>
      </c>
      <c r="I409" s="88" t="s">
        <v>418</v>
      </c>
      <c r="J409" s="88" t="s">
        <v>711</v>
      </c>
      <c r="K409" s="88" t="s">
        <v>418</v>
      </c>
      <c r="L409" s="88" t="s">
        <v>712</v>
      </c>
      <c r="M409" s="94" t="str">
        <f t="shared" si="8"/>
        <v>View on Google Map</v>
      </c>
      <c r="N409" s="88">
        <f t="shared" si="7"/>
        <v>55</v>
      </c>
    </row>
    <row r="410" spans="1:14" x14ac:dyDescent="0.2">
      <c r="A410" s="88">
        <v>344</v>
      </c>
      <c r="B410" s="88" t="s">
        <v>1247</v>
      </c>
      <c r="C410" s="88" t="s">
        <v>1248</v>
      </c>
      <c r="D410" s="88">
        <v>68.615854386999999</v>
      </c>
      <c r="E410" s="88">
        <v>-149.123111674</v>
      </c>
      <c r="F410" s="88" t="s">
        <v>418</v>
      </c>
      <c r="G410" s="88" t="s">
        <v>429</v>
      </c>
      <c r="H410" s="88" t="s">
        <v>1249</v>
      </c>
      <c r="I410" s="88" t="s">
        <v>418</v>
      </c>
      <c r="J410" s="88" t="s">
        <v>711</v>
      </c>
      <c r="K410" s="88" t="s">
        <v>418</v>
      </c>
      <c r="L410" s="88" t="s">
        <v>712</v>
      </c>
      <c r="M410" s="94" t="str">
        <f t="shared" si="8"/>
        <v>View on Google Map</v>
      </c>
      <c r="N410" s="88">
        <f t="shared" si="7"/>
        <v>56</v>
      </c>
    </row>
    <row r="411" spans="1:14" x14ac:dyDescent="0.2">
      <c r="A411" s="88">
        <v>345</v>
      </c>
      <c r="B411" s="88" t="s">
        <v>1250</v>
      </c>
      <c r="C411" s="88" t="s">
        <v>1251</v>
      </c>
      <c r="D411" s="88">
        <v>68.622759303600006</v>
      </c>
      <c r="E411" s="88">
        <v>-149.15087640600001</v>
      </c>
      <c r="F411" s="88">
        <v>861</v>
      </c>
      <c r="G411" s="88" t="s">
        <v>429</v>
      </c>
      <c r="H411" s="88" t="s">
        <v>1252</v>
      </c>
      <c r="I411" s="88" t="s">
        <v>418</v>
      </c>
      <c r="J411" s="88" t="s">
        <v>711</v>
      </c>
      <c r="K411" s="88" t="s">
        <v>418</v>
      </c>
      <c r="L411" s="88" t="s">
        <v>712</v>
      </c>
      <c r="M411" s="94" t="str">
        <f t="shared" si="8"/>
        <v>View on Google Map</v>
      </c>
      <c r="N411" s="88">
        <f t="shared" si="7"/>
        <v>57</v>
      </c>
    </row>
    <row r="412" spans="1:14" x14ac:dyDescent="0.2">
      <c r="A412" s="88">
        <v>346</v>
      </c>
      <c r="B412" s="88" t="s">
        <v>1253</v>
      </c>
      <c r="C412" s="88" t="s">
        <v>1254</v>
      </c>
      <c r="D412" s="88">
        <v>68.625381351599998</v>
      </c>
      <c r="E412" s="88">
        <v>-149.13918719200001</v>
      </c>
      <c r="F412" s="88">
        <v>877</v>
      </c>
      <c r="G412" s="88" t="s">
        <v>429</v>
      </c>
      <c r="H412" s="88" t="s">
        <v>1255</v>
      </c>
      <c r="I412" s="88" t="s">
        <v>418</v>
      </c>
      <c r="J412" s="88" t="s">
        <v>711</v>
      </c>
      <c r="K412" s="88" t="s">
        <v>418</v>
      </c>
      <c r="L412" s="88" t="s">
        <v>712</v>
      </c>
      <c r="M412" s="94" t="str">
        <f t="shared" si="8"/>
        <v>View on Google Map</v>
      </c>
      <c r="N412" s="88">
        <f t="shared" si="7"/>
        <v>58</v>
      </c>
    </row>
    <row r="413" spans="1:14" x14ac:dyDescent="0.2">
      <c r="A413" s="88">
        <v>347</v>
      </c>
      <c r="B413" s="88" t="s">
        <v>1256</v>
      </c>
      <c r="C413" s="88" t="s">
        <v>1257</v>
      </c>
      <c r="D413" s="88">
        <v>68.630955107899993</v>
      </c>
      <c r="E413" s="88">
        <v>-149.161535972</v>
      </c>
      <c r="F413" s="88">
        <v>858</v>
      </c>
      <c r="G413" s="88" t="s">
        <v>429</v>
      </c>
      <c r="H413" s="88" t="s">
        <v>1258</v>
      </c>
      <c r="I413" s="88" t="s">
        <v>418</v>
      </c>
      <c r="J413" s="88" t="s">
        <v>711</v>
      </c>
      <c r="K413" s="88" t="s">
        <v>418</v>
      </c>
      <c r="L413" s="88" t="s">
        <v>712</v>
      </c>
      <c r="M413" s="94" t="str">
        <f t="shared" si="8"/>
        <v>View on Google Map</v>
      </c>
      <c r="N413" s="88">
        <f t="shared" si="7"/>
        <v>59</v>
      </c>
    </row>
    <row r="414" spans="1:14" x14ac:dyDescent="0.2">
      <c r="A414" s="88">
        <v>348</v>
      </c>
      <c r="B414" s="88" t="s">
        <v>1259</v>
      </c>
      <c r="C414" s="88" t="s">
        <v>1260</v>
      </c>
      <c r="D414" s="88">
        <v>68.636431312400006</v>
      </c>
      <c r="E414" s="88">
        <v>-149.14390222200001</v>
      </c>
      <c r="F414" s="88" t="s">
        <v>418</v>
      </c>
      <c r="G414" s="88" t="s">
        <v>429</v>
      </c>
      <c r="H414" s="88" t="s">
        <v>1261</v>
      </c>
      <c r="I414" s="88" t="s">
        <v>418</v>
      </c>
      <c r="J414" s="88" t="s">
        <v>711</v>
      </c>
      <c r="K414" s="88" t="s">
        <v>418</v>
      </c>
      <c r="L414" s="88" t="s">
        <v>712</v>
      </c>
      <c r="M414" s="94" t="str">
        <f t="shared" si="8"/>
        <v>View on Google Map</v>
      </c>
      <c r="N414" s="88">
        <f t="shared" si="7"/>
        <v>60</v>
      </c>
    </row>
    <row r="415" spans="1:14" x14ac:dyDescent="0.2">
      <c r="A415" s="88">
        <v>349</v>
      </c>
      <c r="B415" s="88" t="s">
        <v>1262</v>
      </c>
      <c r="C415" s="88" t="s">
        <v>1263</v>
      </c>
      <c r="D415" s="88">
        <v>68.638723598300004</v>
      </c>
      <c r="E415" s="88">
        <v>-149.17862426400001</v>
      </c>
      <c r="F415" s="88" t="s">
        <v>418</v>
      </c>
      <c r="G415" s="88" t="s">
        <v>429</v>
      </c>
      <c r="H415" s="88" t="s">
        <v>1264</v>
      </c>
      <c r="I415" s="88" t="s">
        <v>418</v>
      </c>
      <c r="J415" s="88" t="s">
        <v>711</v>
      </c>
      <c r="K415" s="88" t="s">
        <v>418</v>
      </c>
      <c r="L415" s="88" t="s">
        <v>712</v>
      </c>
      <c r="M415" s="94" t="str">
        <f t="shared" si="8"/>
        <v>View on Google Map</v>
      </c>
      <c r="N415" s="88">
        <f t="shared" si="7"/>
        <v>61</v>
      </c>
    </row>
    <row r="416" spans="1:14" x14ac:dyDescent="0.2">
      <c r="A416" s="88">
        <v>350</v>
      </c>
      <c r="B416" s="88" t="s">
        <v>1265</v>
      </c>
      <c r="C416" s="88" t="s">
        <v>1266</v>
      </c>
      <c r="D416" s="88">
        <v>68.634874735899999</v>
      </c>
      <c r="E416" s="88">
        <v>-149.193728236</v>
      </c>
      <c r="F416" s="88" t="s">
        <v>418</v>
      </c>
      <c r="G416" s="88" t="s">
        <v>429</v>
      </c>
      <c r="H416" s="88" t="s">
        <v>1267</v>
      </c>
      <c r="I416" s="88" t="s">
        <v>418</v>
      </c>
      <c r="J416" s="88" t="s">
        <v>711</v>
      </c>
      <c r="K416" s="88" t="s">
        <v>418</v>
      </c>
      <c r="L416" s="88" t="s">
        <v>712</v>
      </c>
      <c r="M416" s="94" t="str">
        <f t="shared" si="8"/>
        <v>View on Google Map</v>
      </c>
      <c r="N416" s="88">
        <f t="shared" si="7"/>
        <v>62</v>
      </c>
    </row>
    <row r="417" spans="1:14" x14ac:dyDescent="0.2">
      <c r="A417" s="88">
        <v>351</v>
      </c>
      <c r="B417" s="88" t="s">
        <v>1268</v>
      </c>
      <c r="C417" s="88" t="s">
        <v>1269</v>
      </c>
      <c r="D417" s="88">
        <v>68.630921065799996</v>
      </c>
      <c r="E417" s="88">
        <v>-149.19135200100001</v>
      </c>
      <c r="F417" s="88" t="s">
        <v>418</v>
      </c>
      <c r="G417" s="88" t="s">
        <v>429</v>
      </c>
      <c r="H417" s="88" t="s">
        <v>1270</v>
      </c>
      <c r="I417" s="88" t="s">
        <v>418</v>
      </c>
      <c r="J417" s="88" t="s">
        <v>711</v>
      </c>
      <c r="K417" s="88" t="s">
        <v>418</v>
      </c>
      <c r="L417" s="88" t="s">
        <v>712</v>
      </c>
      <c r="M417" s="94" t="str">
        <f t="shared" si="8"/>
        <v>View on Google Map</v>
      </c>
      <c r="N417" s="88">
        <f t="shared" si="7"/>
        <v>63</v>
      </c>
    </row>
    <row r="418" spans="1:14" x14ac:dyDescent="0.2">
      <c r="A418" s="88">
        <v>352</v>
      </c>
      <c r="B418" s="88" t="s">
        <v>1271</v>
      </c>
      <c r="C418" s="88" t="s">
        <v>1272</v>
      </c>
      <c r="D418" s="88">
        <v>68.635774522800006</v>
      </c>
      <c r="E418" s="88">
        <v>-149.20688041899999</v>
      </c>
      <c r="F418" s="88" t="s">
        <v>418</v>
      </c>
      <c r="G418" s="88" t="s">
        <v>429</v>
      </c>
      <c r="H418" s="88" t="s">
        <v>1273</v>
      </c>
      <c r="I418" s="88" t="s">
        <v>418</v>
      </c>
      <c r="J418" s="88" t="s">
        <v>711</v>
      </c>
      <c r="K418" s="88" t="s">
        <v>418</v>
      </c>
      <c r="L418" s="88" t="s">
        <v>712</v>
      </c>
      <c r="M418" s="94" t="str">
        <f t="shared" si="8"/>
        <v>View on Google Map</v>
      </c>
      <c r="N418" s="88">
        <f t="shared" si="7"/>
        <v>64</v>
      </c>
    </row>
    <row r="419" spans="1:14" x14ac:dyDescent="0.2">
      <c r="A419" s="88">
        <v>353</v>
      </c>
      <c r="B419" s="88" t="s">
        <v>1274</v>
      </c>
      <c r="C419" s="88" t="s">
        <v>1275</v>
      </c>
      <c r="D419" s="88">
        <v>68.585080002200002</v>
      </c>
      <c r="E419" s="88">
        <v>-149.208359645</v>
      </c>
      <c r="F419" s="88">
        <v>898</v>
      </c>
      <c r="G419" s="88" t="s">
        <v>429</v>
      </c>
      <c r="H419" s="88" t="s">
        <v>1276</v>
      </c>
      <c r="I419" s="88" t="s">
        <v>418</v>
      </c>
      <c r="J419" s="88" t="s">
        <v>711</v>
      </c>
      <c r="K419" s="88" t="s">
        <v>418</v>
      </c>
      <c r="L419" s="88" t="s">
        <v>712</v>
      </c>
      <c r="M419" s="94" t="str">
        <f t="shared" si="8"/>
        <v>View on Google Map</v>
      </c>
      <c r="N419" s="88">
        <f t="shared" si="7"/>
        <v>65</v>
      </c>
    </row>
    <row r="420" spans="1:14" x14ac:dyDescent="0.2">
      <c r="A420" s="88">
        <v>354</v>
      </c>
      <c r="B420" s="88" t="s">
        <v>1277</v>
      </c>
      <c r="C420" s="88" t="s">
        <v>1278</v>
      </c>
      <c r="D420" s="88">
        <v>68.583148055099997</v>
      </c>
      <c r="E420" s="88">
        <v>-149.19950362399999</v>
      </c>
      <c r="F420" s="88">
        <v>896</v>
      </c>
      <c r="G420" s="88" t="s">
        <v>429</v>
      </c>
      <c r="H420" s="88" t="s">
        <v>1279</v>
      </c>
      <c r="I420" s="88" t="s">
        <v>418</v>
      </c>
      <c r="J420" s="88" t="s">
        <v>711</v>
      </c>
      <c r="K420" s="88" t="s">
        <v>418</v>
      </c>
      <c r="L420" s="88" t="s">
        <v>712</v>
      </c>
      <c r="M420" s="94" t="str">
        <f t="shared" si="8"/>
        <v>View on Google Map</v>
      </c>
      <c r="N420" s="88">
        <f t="shared" ref="N420:N434" si="9">VALUE(MID(H420,5,3))</f>
        <v>66</v>
      </c>
    </row>
    <row r="421" spans="1:14" x14ac:dyDescent="0.2">
      <c r="A421" s="88">
        <v>355</v>
      </c>
      <c r="B421" s="88" t="s">
        <v>1280</v>
      </c>
      <c r="C421" s="88" t="s">
        <v>1281</v>
      </c>
      <c r="D421" s="88">
        <v>68.589302268899999</v>
      </c>
      <c r="E421" s="88">
        <v>-149.18432651699999</v>
      </c>
      <c r="F421" s="88">
        <v>880</v>
      </c>
      <c r="G421" s="88" t="s">
        <v>429</v>
      </c>
      <c r="H421" s="88" t="s">
        <v>1282</v>
      </c>
      <c r="I421" s="88" t="s">
        <v>418</v>
      </c>
      <c r="J421" s="88" t="s">
        <v>711</v>
      </c>
      <c r="K421" s="88" t="s">
        <v>418</v>
      </c>
      <c r="L421" s="88" t="s">
        <v>712</v>
      </c>
      <c r="M421" s="94" t="str">
        <f t="shared" si="8"/>
        <v>View on Google Map</v>
      </c>
      <c r="N421" s="88">
        <f t="shared" si="9"/>
        <v>67</v>
      </c>
    </row>
    <row r="422" spans="1:14" x14ac:dyDescent="0.2">
      <c r="A422" s="88">
        <v>357</v>
      </c>
      <c r="B422" s="88" t="s">
        <v>1283</v>
      </c>
      <c r="C422" s="88" t="s">
        <v>1284</v>
      </c>
      <c r="D422" s="88">
        <v>68.595953562800005</v>
      </c>
      <c r="E422" s="88">
        <v>-149.161045868</v>
      </c>
      <c r="F422" s="88" t="s">
        <v>418</v>
      </c>
      <c r="G422" s="88" t="s">
        <v>429</v>
      </c>
      <c r="H422" s="88" t="s">
        <v>1285</v>
      </c>
      <c r="I422" s="88" t="s">
        <v>418</v>
      </c>
      <c r="J422" s="88" t="s">
        <v>711</v>
      </c>
      <c r="K422" s="88" t="s">
        <v>418</v>
      </c>
      <c r="L422" s="88" t="s">
        <v>712</v>
      </c>
      <c r="M422" s="94" t="str">
        <f t="shared" si="8"/>
        <v>View on Google Map</v>
      </c>
      <c r="N422" s="88">
        <f t="shared" si="9"/>
        <v>69</v>
      </c>
    </row>
    <row r="423" spans="1:14" x14ac:dyDescent="0.2">
      <c r="A423" s="88">
        <v>358</v>
      </c>
      <c r="B423" s="88" t="s">
        <v>1286</v>
      </c>
      <c r="C423" s="88" t="s">
        <v>1287</v>
      </c>
      <c r="D423" s="88">
        <v>68.590721600400002</v>
      </c>
      <c r="E423" s="88">
        <v>-149.17612158099999</v>
      </c>
      <c r="F423" s="88" t="s">
        <v>418</v>
      </c>
      <c r="G423" s="88" t="s">
        <v>429</v>
      </c>
      <c r="H423" s="88" t="s">
        <v>1288</v>
      </c>
      <c r="I423" s="88" t="s">
        <v>418</v>
      </c>
      <c r="J423" s="88" t="s">
        <v>711</v>
      </c>
      <c r="K423" s="88" t="s">
        <v>418</v>
      </c>
      <c r="L423" s="88" t="s">
        <v>712</v>
      </c>
      <c r="M423" s="94" t="str">
        <f t="shared" si="8"/>
        <v>View on Google Map</v>
      </c>
      <c r="N423" s="88">
        <f t="shared" si="9"/>
        <v>70</v>
      </c>
    </row>
    <row r="424" spans="1:14" x14ac:dyDescent="0.2">
      <c r="A424" s="88">
        <v>359</v>
      </c>
      <c r="B424" s="88" t="s">
        <v>1289</v>
      </c>
      <c r="C424" s="88" t="s">
        <v>1290</v>
      </c>
      <c r="D424" s="88">
        <v>68.600362864999994</v>
      </c>
      <c r="E424" s="88">
        <v>-149.14055367099999</v>
      </c>
      <c r="F424" s="88" t="s">
        <v>418</v>
      </c>
      <c r="G424" s="88" t="s">
        <v>429</v>
      </c>
      <c r="H424" s="88" t="s">
        <v>1291</v>
      </c>
      <c r="I424" s="88" t="s">
        <v>418</v>
      </c>
      <c r="J424" s="88" t="s">
        <v>711</v>
      </c>
      <c r="K424" s="88" t="s">
        <v>418</v>
      </c>
      <c r="L424" s="88" t="s">
        <v>712</v>
      </c>
      <c r="M424" s="94" t="str">
        <f t="shared" si="8"/>
        <v>View on Google Map</v>
      </c>
      <c r="N424" s="88">
        <f t="shared" si="9"/>
        <v>71</v>
      </c>
    </row>
    <row r="425" spans="1:14" x14ac:dyDescent="0.2">
      <c r="A425" s="88">
        <v>360</v>
      </c>
      <c r="B425" s="88" t="s">
        <v>1292</v>
      </c>
      <c r="C425" s="88" t="s">
        <v>1293</v>
      </c>
      <c r="D425" s="88">
        <v>68.610380375800005</v>
      </c>
      <c r="E425" s="88">
        <v>-149.15074315300001</v>
      </c>
      <c r="F425" s="88" t="s">
        <v>418</v>
      </c>
      <c r="G425" s="88" t="s">
        <v>429</v>
      </c>
      <c r="H425" s="88" t="s">
        <v>1294</v>
      </c>
      <c r="I425" s="88" t="s">
        <v>418</v>
      </c>
      <c r="J425" s="88" t="s">
        <v>711</v>
      </c>
      <c r="K425" s="88" t="s">
        <v>418</v>
      </c>
      <c r="L425" s="88" t="s">
        <v>712</v>
      </c>
      <c r="M425" s="94" t="str">
        <f t="shared" si="8"/>
        <v>View on Google Map</v>
      </c>
      <c r="N425" s="88">
        <f t="shared" si="9"/>
        <v>72</v>
      </c>
    </row>
    <row r="426" spans="1:14" x14ac:dyDescent="0.2">
      <c r="A426" s="88">
        <v>361</v>
      </c>
      <c r="B426" s="88" t="s">
        <v>1295</v>
      </c>
      <c r="C426" s="88" t="s">
        <v>1296</v>
      </c>
      <c r="D426" s="88">
        <v>68.6163784405</v>
      </c>
      <c r="E426" s="88">
        <v>-149.16060521700001</v>
      </c>
      <c r="F426" s="88" t="s">
        <v>418</v>
      </c>
      <c r="G426" s="88" t="s">
        <v>429</v>
      </c>
      <c r="H426" s="88" t="s">
        <v>1297</v>
      </c>
      <c r="I426" s="88" t="s">
        <v>418</v>
      </c>
      <c r="J426" s="88" t="s">
        <v>711</v>
      </c>
      <c r="K426" s="88" t="s">
        <v>418</v>
      </c>
      <c r="L426" s="88" t="s">
        <v>712</v>
      </c>
      <c r="M426" s="94" t="str">
        <f t="shared" si="8"/>
        <v>View on Google Map</v>
      </c>
      <c r="N426" s="88">
        <f t="shared" si="9"/>
        <v>73</v>
      </c>
    </row>
    <row r="427" spans="1:14" x14ac:dyDescent="0.2">
      <c r="A427" s="88">
        <v>362</v>
      </c>
      <c r="B427" s="88" t="s">
        <v>1298</v>
      </c>
      <c r="C427" s="88" t="s">
        <v>1299</v>
      </c>
      <c r="D427" s="88">
        <v>68.617934232500005</v>
      </c>
      <c r="E427" s="88">
        <v>-149.18594585299999</v>
      </c>
      <c r="F427" s="88" t="s">
        <v>418</v>
      </c>
      <c r="G427" s="88" t="s">
        <v>429</v>
      </c>
      <c r="H427" s="88" t="s">
        <v>1300</v>
      </c>
      <c r="I427" s="88" t="s">
        <v>418</v>
      </c>
      <c r="J427" s="88" t="s">
        <v>711</v>
      </c>
      <c r="K427" s="88" t="s">
        <v>418</v>
      </c>
      <c r="L427" s="88" t="s">
        <v>712</v>
      </c>
      <c r="M427" s="94" t="str">
        <f t="shared" si="8"/>
        <v>View on Google Map</v>
      </c>
      <c r="N427" s="88">
        <f t="shared" si="9"/>
        <v>74</v>
      </c>
    </row>
    <row r="428" spans="1:14" x14ac:dyDescent="0.2">
      <c r="A428" s="88">
        <v>363</v>
      </c>
      <c r="B428" s="88" t="s">
        <v>1301</v>
      </c>
      <c r="C428" s="88" t="s">
        <v>1302</v>
      </c>
      <c r="D428" s="88">
        <v>68.614396448299999</v>
      </c>
      <c r="E428" s="88">
        <v>-149.19403818800001</v>
      </c>
      <c r="F428" s="88" t="s">
        <v>418</v>
      </c>
      <c r="G428" s="88" t="s">
        <v>429</v>
      </c>
      <c r="H428" s="88" t="s">
        <v>1303</v>
      </c>
      <c r="I428" s="88" t="s">
        <v>418</v>
      </c>
      <c r="J428" s="88" t="s">
        <v>711</v>
      </c>
      <c r="K428" s="88" t="s">
        <v>418</v>
      </c>
      <c r="L428" s="88" t="s">
        <v>712</v>
      </c>
      <c r="M428" s="94" t="str">
        <f t="shared" si="8"/>
        <v>View on Google Map</v>
      </c>
      <c r="N428" s="88">
        <f t="shared" si="9"/>
        <v>75</v>
      </c>
    </row>
    <row r="429" spans="1:14" x14ac:dyDescent="0.2">
      <c r="A429" s="88">
        <v>364</v>
      </c>
      <c r="B429" s="88" t="s">
        <v>1304</v>
      </c>
      <c r="C429" s="88" t="s">
        <v>1305</v>
      </c>
      <c r="D429" s="88">
        <v>68.694256581000005</v>
      </c>
      <c r="E429" s="88">
        <v>-149.73679655699999</v>
      </c>
      <c r="F429" s="88" t="s">
        <v>418</v>
      </c>
      <c r="G429" s="88" t="s">
        <v>429</v>
      </c>
      <c r="H429" s="88" t="s">
        <v>1306</v>
      </c>
      <c r="I429" s="88" t="s">
        <v>418</v>
      </c>
      <c r="J429" s="88" t="s">
        <v>711</v>
      </c>
      <c r="K429" s="88" t="s">
        <v>418</v>
      </c>
      <c r="L429" s="88" t="s">
        <v>712</v>
      </c>
      <c r="M429" s="94" t="str">
        <f t="shared" si="8"/>
        <v>View on Google Map</v>
      </c>
      <c r="N429" s="88">
        <f t="shared" si="9"/>
        <v>76</v>
      </c>
    </row>
    <row r="430" spans="1:14" x14ac:dyDescent="0.2">
      <c r="A430" s="88">
        <v>365</v>
      </c>
      <c r="B430" s="88" t="s">
        <v>1307</v>
      </c>
      <c r="C430" s="88" t="s">
        <v>1308</v>
      </c>
      <c r="D430" s="88">
        <v>68.696056827099994</v>
      </c>
      <c r="E430" s="88">
        <v>-149.73131395300001</v>
      </c>
      <c r="F430" s="88" t="s">
        <v>418</v>
      </c>
      <c r="G430" s="88" t="s">
        <v>429</v>
      </c>
      <c r="H430" s="88" t="s">
        <v>1309</v>
      </c>
      <c r="I430" s="88" t="s">
        <v>418</v>
      </c>
      <c r="J430" s="88" t="s">
        <v>711</v>
      </c>
      <c r="K430" s="88" t="s">
        <v>418</v>
      </c>
      <c r="L430" s="88" t="s">
        <v>712</v>
      </c>
      <c r="M430" s="94" t="str">
        <f t="shared" si="8"/>
        <v>View on Google Map</v>
      </c>
      <c r="N430" s="88">
        <f t="shared" si="9"/>
        <v>77</v>
      </c>
    </row>
    <row r="431" spans="1:14" x14ac:dyDescent="0.2">
      <c r="A431" s="88">
        <v>366</v>
      </c>
      <c r="B431" s="88" t="s">
        <v>1310</v>
      </c>
      <c r="C431" s="88" t="s">
        <v>1311</v>
      </c>
      <c r="D431" s="88">
        <v>68.696468206399999</v>
      </c>
      <c r="E431" s="88">
        <v>-149.708828248</v>
      </c>
      <c r="F431" s="88" t="s">
        <v>418</v>
      </c>
      <c r="G431" s="88" t="s">
        <v>429</v>
      </c>
      <c r="H431" s="88" t="s">
        <v>1312</v>
      </c>
      <c r="I431" s="88" t="s">
        <v>418</v>
      </c>
      <c r="J431" s="88" t="s">
        <v>711</v>
      </c>
      <c r="K431" s="88" t="s">
        <v>418</v>
      </c>
      <c r="L431" s="88" t="s">
        <v>712</v>
      </c>
      <c r="M431" s="94" t="str">
        <f t="shared" si="8"/>
        <v>View on Google Map</v>
      </c>
      <c r="N431" s="88">
        <f t="shared" si="9"/>
        <v>78</v>
      </c>
    </row>
    <row r="432" spans="1:14" x14ac:dyDescent="0.2">
      <c r="A432" s="88">
        <v>367</v>
      </c>
      <c r="B432" s="88" t="s">
        <v>1313</v>
      </c>
      <c r="C432" s="88" t="s">
        <v>1314</v>
      </c>
      <c r="D432" s="88">
        <v>68.688141157800004</v>
      </c>
      <c r="E432" s="88">
        <v>-149.73555264800001</v>
      </c>
      <c r="F432" s="88" t="s">
        <v>418</v>
      </c>
      <c r="G432" s="88" t="s">
        <v>429</v>
      </c>
      <c r="H432" s="88" t="s">
        <v>1315</v>
      </c>
      <c r="I432" s="88" t="s">
        <v>418</v>
      </c>
      <c r="J432" s="88" t="s">
        <v>711</v>
      </c>
      <c r="K432" s="88" t="s">
        <v>418</v>
      </c>
      <c r="L432" s="88" t="s">
        <v>712</v>
      </c>
      <c r="M432" s="94" t="str">
        <f t="shared" si="8"/>
        <v>View on Google Map</v>
      </c>
      <c r="N432" s="88">
        <f t="shared" si="9"/>
        <v>79</v>
      </c>
    </row>
    <row r="433" spans="1:14" x14ac:dyDescent="0.2">
      <c r="A433" s="88">
        <v>368</v>
      </c>
      <c r="B433" s="88" t="s">
        <v>1316</v>
      </c>
      <c r="C433" s="88" t="s">
        <v>1317</v>
      </c>
      <c r="D433" s="88">
        <v>68.682810930000002</v>
      </c>
      <c r="E433" s="88">
        <v>-149.73974315500001</v>
      </c>
      <c r="F433" s="88" t="s">
        <v>418</v>
      </c>
      <c r="G433" s="88" t="s">
        <v>429</v>
      </c>
      <c r="H433" s="88" t="s">
        <v>1318</v>
      </c>
      <c r="I433" s="88" t="s">
        <v>418</v>
      </c>
      <c r="J433" s="88" t="s">
        <v>711</v>
      </c>
      <c r="K433" s="88" t="s">
        <v>418</v>
      </c>
      <c r="L433" s="88" t="s">
        <v>712</v>
      </c>
      <c r="M433" s="94" t="str">
        <f t="shared" si="8"/>
        <v>View on Google Map</v>
      </c>
      <c r="N433" s="88">
        <f t="shared" si="9"/>
        <v>80</v>
      </c>
    </row>
    <row r="434" spans="1:14" x14ac:dyDescent="0.2">
      <c r="A434" s="88">
        <v>369</v>
      </c>
      <c r="B434" s="88" t="s">
        <v>1319</v>
      </c>
      <c r="C434" s="88" t="s">
        <v>1320</v>
      </c>
      <c r="D434" s="88">
        <v>68.682815967099998</v>
      </c>
      <c r="E434" s="88">
        <v>-149.759701116</v>
      </c>
      <c r="F434" s="88" t="s">
        <v>418</v>
      </c>
      <c r="G434" s="88" t="s">
        <v>429</v>
      </c>
      <c r="H434" s="88" t="s">
        <v>1321</v>
      </c>
      <c r="I434" s="88" t="s">
        <v>418</v>
      </c>
      <c r="J434" s="88" t="s">
        <v>711</v>
      </c>
      <c r="K434" s="88" t="s">
        <v>418</v>
      </c>
      <c r="L434" s="88" t="s">
        <v>712</v>
      </c>
      <c r="M434" s="94" t="str">
        <f t="shared" si="8"/>
        <v>View on Google Map</v>
      </c>
      <c r="N434" s="88">
        <f t="shared" si="9"/>
        <v>81</v>
      </c>
    </row>
    <row r="435" spans="1:14" x14ac:dyDescent="0.2">
      <c r="A435" s="88">
        <v>1225</v>
      </c>
      <c r="B435" s="88" t="s">
        <v>1322</v>
      </c>
      <c r="C435" s="3" t="s">
        <v>1323</v>
      </c>
      <c r="D435" s="88">
        <v>68.641727000000003</v>
      </c>
      <c r="E435" s="88">
        <v>-149.58665300000001</v>
      </c>
      <c r="F435" s="88">
        <v>724</v>
      </c>
      <c r="G435" s="88" t="s">
        <v>419</v>
      </c>
      <c r="H435" s="88" t="s">
        <v>418</v>
      </c>
      <c r="I435" s="88" t="s">
        <v>418</v>
      </c>
      <c r="J435" s="88" t="s">
        <v>444</v>
      </c>
      <c r="K435" s="88" t="s">
        <v>418</v>
      </c>
      <c r="L435" s="88" t="s">
        <v>418</v>
      </c>
      <c r="M435" s="94" t="str">
        <f t="shared" si="8"/>
        <v>View on Google Map</v>
      </c>
    </row>
    <row r="436" spans="1:14" x14ac:dyDescent="0.2">
      <c r="B436" s="88" t="s">
        <v>1324</v>
      </c>
      <c r="C436" s="96" t="s">
        <v>1325</v>
      </c>
      <c r="D436" s="88">
        <v>68.622865000000004</v>
      </c>
      <c r="E436" s="88">
        <v>-149.60854499999999</v>
      </c>
      <c r="F436" s="88">
        <v>758</v>
      </c>
      <c r="G436" s="88" t="s">
        <v>419</v>
      </c>
      <c r="J436" s="88" t="s">
        <v>444</v>
      </c>
      <c r="M436" s="94" t="str">
        <f t="shared" si="8"/>
        <v>View on Google Map</v>
      </c>
    </row>
    <row r="437" spans="1:14" x14ac:dyDescent="0.2">
      <c r="A437" s="88">
        <v>1220</v>
      </c>
      <c r="B437" s="88" t="s">
        <v>1326</v>
      </c>
      <c r="C437" s="3" t="s">
        <v>1327</v>
      </c>
      <c r="D437" s="88">
        <v>68.624410999999995</v>
      </c>
      <c r="E437" s="88">
        <v>-149.609589</v>
      </c>
      <c r="F437" s="88">
        <v>750</v>
      </c>
      <c r="G437" s="88" t="s">
        <v>419</v>
      </c>
      <c r="H437" s="88" t="s">
        <v>418</v>
      </c>
      <c r="I437" s="88" t="s">
        <v>418</v>
      </c>
      <c r="J437" s="88" t="s">
        <v>444</v>
      </c>
      <c r="K437" s="88" t="s">
        <v>418</v>
      </c>
      <c r="L437" s="88" t="s">
        <v>418</v>
      </c>
      <c r="M437" s="94" t="str">
        <f t="shared" si="8"/>
        <v>View on Google Map</v>
      </c>
    </row>
    <row r="438" spans="1:14" x14ac:dyDescent="0.2">
      <c r="A438" s="88">
        <v>1222</v>
      </c>
      <c r="B438" s="88" t="s">
        <v>1328</v>
      </c>
      <c r="C438" s="3" t="s">
        <v>1329</v>
      </c>
      <c r="D438" s="88">
        <v>68.629636000000005</v>
      </c>
      <c r="E438" s="88">
        <v>-149.57565600000001</v>
      </c>
      <c r="F438" s="88">
        <v>755</v>
      </c>
      <c r="G438" s="88" t="s">
        <v>419</v>
      </c>
      <c r="H438" s="88" t="s">
        <v>418</v>
      </c>
      <c r="I438" s="88" t="s">
        <v>418</v>
      </c>
      <c r="J438" s="88" t="s">
        <v>444</v>
      </c>
      <c r="K438" s="88" t="s">
        <v>418</v>
      </c>
      <c r="L438" s="88" t="s">
        <v>418</v>
      </c>
      <c r="M438" s="94" t="str">
        <f t="shared" si="8"/>
        <v>View on Google Map</v>
      </c>
    </row>
    <row r="439" spans="1:14" x14ac:dyDescent="0.2">
      <c r="A439" s="88">
        <v>1228</v>
      </c>
      <c r="B439" s="88" t="s">
        <v>1330</v>
      </c>
      <c r="C439" s="3" t="s">
        <v>1331</v>
      </c>
      <c r="D439" s="88">
        <v>68.634530999999996</v>
      </c>
      <c r="E439" s="88">
        <v>-149.64205799999999</v>
      </c>
      <c r="F439" s="88">
        <v>748</v>
      </c>
      <c r="G439" s="88" t="s">
        <v>419</v>
      </c>
      <c r="H439" s="88" t="s">
        <v>418</v>
      </c>
      <c r="I439" s="88" t="s">
        <v>418</v>
      </c>
      <c r="J439" s="88" t="s">
        <v>444</v>
      </c>
      <c r="K439" s="88" t="s">
        <v>418</v>
      </c>
      <c r="L439" s="88" t="s">
        <v>418</v>
      </c>
      <c r="M439" s="94" t="str">
        <f t="shared" si="8"/>
        <v>View on Google Map</v>
      </c>
    </row>
    <row r="440" spans="1:14" x14ac:dyDescent="0.2">
      <c r="A440" s="88">
        <v>1227</v>
      </c>
      <c r="B440" s="88" t="s">
        <v>1332</v>
      </c>
      <c r="C440" s="3" t="s">
        <v>1333</v>
      </c>
      <c r="D440" s="88">
        <v>68.634039000000001</v>
      </c>
      <c r="E440" s="88">
        <v>-149.63704899999999</v>
      </c>
      <c r="F440" s="88">
        <v>750</v>
      </c>
      <c r="G440" s="88" t="s">
        <v>419</v>
      </c>
      <c r="H440" s="88" t="s">
        <v>418</v>
      </c>
      <c r="I440" s="88" t="s">
        <v>418</v>
      </c>
      <c r="J440" s="88" t="s">
        <v>444</v>
      </c>
      <c r="K440" s="88" t="s">
        <v>418</v>
      </c>
      <c r="L440" s="88" t="s">
        <v>418</v>
      </c>
      <c r="M440" s="94" t="str">
        <f t="shared" si="8"/>
        <v>View on Google Map</v>
      </c>
    </row>
    <row r="441" spans="1:14" x14ac:dyDescent="0.2">
      <c r="A441" s="88">
        <v>1223</v>
      </c>
      <c r="B441" s="88" t="s">
        <v>1334</v>
      </c>
      <c r="C441" s="3" t="s">
        <v>1335</v>
      </c>
      <c r="D441" s="88">
        <v>68.635624000000007</v>
      </c>
      <c r="E441" s="88">
        <v>-149.587064</v>
      </c>
      <c r="F441" s="88">
        <v>745</v>
      </c>
      <c r="G441" s="88" t="s">
        <v>419</v>
      </c>
      <c r="H441" s="88" t="s">
        <v>418</v>
      </c>
      <c r="I441" s="88" t="s">
        <v>418</v>
      </c>
      <c r="J441" s="88" t="s">
        <v>444</v>
      </c>
      <c r="K441" s="88" t="s">
        <v>418</v>
      </c>
      <c r="L441" s="88" t="s">
        <v>418</v>
      </c>
      <c r="M441" s="94" t="str">
        <f t="shared" si="8"/>
        <v>View on Google Map</v>
      </c>
    </row>
    <row r="442" spans="1:14" x14ac:dyDescent="0.2">
      <c r="A442" s="88">
        <v>1224</v>
      </c>
      <c r="B442" s="88" t="s">
        <v>1336</v>
      </c>
      <c r="C442" s="3" t="s">
        <v>1337</v>
      </c>
      <c r="D442" s="88">
        <v>68.638692000000006</v>
      </c>
      <c r="E442" s="88">
        <v>-149.567789</v>
      </c>
      <c r="F442" s="88">
        <v>731</v>
      </c>
      <c r="G442" s="88" t="s">
        <v>419</v>
      </c>
      <c r="H442" s="88" t="s">
        <v>418</v>
      </c>
      <c r="I442" s="88" t="s">
        <v>418</v>
      </c>
      <c r="J442" s="88" t="s">
        <v>444</v>
      </c>
      <c r="K442" s="88" t="s">
        <v>418</v>
      </c>
      <c r="L442" s="88" t="s">
        <v>418</v>
      </c>
      <c r="M442" s="94" t="str">
        <f t="shared" si="8"/>
        <v>View on Google Map</v>
      </c>
    </row>
    <row r="443" spans="1:14" x14ac:dyDescent="0.2">
      <c r="A443" s="88">
        <v>1221</v>
      </c>
      <c r="B443" s="88" t="s">
        <v>1338</v>
      </c>
      <c r="C443" s="3" t="s">
        <v>1339</v>
      </c>
      <c r="D443" s="88">
        <v>68.625440999999995</v>
      </c>
      <c r="E443" s="88">
        <v>-149.60287299999999</v>
      </c>
      <c r="F443" s="88">
        <v>717</v>
      </c>
      <c r="G443" s="88" t="s">
        <v>419</v>
      </c>
      <c r="H443" s="88" t="s">
        <v>418</v>
      </c>
      <c r="I443" s="88" t="s">
        <v>418</v>
      </c>
      <c r="J443" s="88" t="s">
        <v>444</v>
      </c>
      <c r="K443" s="88" t="s">
        <v>418</v>
      </c>
      <c r="L443" s="88" t="s">
        <v>418</v>
      </c>
      <c r="M443" s="94" t="str">
        <f t="shared" si="8"/>
        <v>View on Google Map</v>
      </c>
    </row>
    <row r="444" spans="1:14" x14ac:dyDescent="0.2">
      <c r="A444" s="88">
        <v>1226</v>
      </c>
      <c r="B444" s="3" t="s">
        <v>1340</v>
      </c>
      <c r="C444" s="3" t="s">
        <v>1341</v>
      </c>
      <c r="D444" s="88">
        <v>68.647621999999998</v>
      </c>
      <c r="E444" s="88">
        <v>-149.57729800000001</v>
      </c>
      <c r="F444" s="88">
        <v>719</v>
      </c>
      <c r="G444" s="88" t="s">
        <v>419</v>
      </c>
      <c r="H444" s="88" t="s">
        <v>418</v>
      </c>
      <c r="I444" s="88" t="s">
        <v>418</v>
      </c>
      <c r="J444" s="88" t="s">
        <v>444</v>
      </c>
      <c r="K444" s="88" t="s">
        <v>418</v>
      </c>
      <c r="L444" s="88" t="s">
        <v>418</v>
      </c>
      <c r="M444" s="94" t="str">
        <f t="shared" si="8"/>
        <v>View on Google Map</v>
      </c>
    </row>
    <row r="445" spans="1:14" x14ac:dyDescent="0.2">
      <c r="A445" s="88">
        <v>487</v>
      </c>
      <c r="B445" s="88" t="s">
        <v>1342</v>
      </c>
      <c r="C445" s="88" t="s">
        <v>418</v>
      </c>
      <c r="D445" s="88">
        <v>68.961583332999993</v>
      </c>
      <c r="E445" s="88">
        <v>-150.20961666700001</v>
      </c>
      <c r="F445" s="88">
        <v>380</v>
      </c>
      <c r="G445" s="88" t="s">
        <v>429</v>
      </c>
      <c r="H445" s="88" t="s">
        <v>418</v>
      </c>
      <c r="I445" s="88" t="s">
        <v>418</v>
      </c>
      <c r="J445" s="88" t="s">
        <v>479</v>
      </c>
      <c r="K445" s="88" t="s">
        <v>418</v>
      </c>
      <c r="L445" s="88" t="s">
        <v>426</v>
      </c>
      <c r="M445" s="94" t="str">
        <f t="shared" si="8"/>
        <v>View on Google Map</v>
      </c>
    </row>
    <row r="446" spans="1:14" x14ac:dyDescent="0.2">
      <c r="A446" s="88">
        <v>23</v>
      </c>
      <c r="B446" s="88" t="s">
        <v>1343</v>
      </c>
      <c r="C446" s="88" t="s">
        <v>418</v>
      </c>
      <c r="D446" s="88" t="s">
        <v>418</v>
      </c>
      <c r="E446" s="88" t="s">
        <v>418</v>
      </c>
      <c r="F446" s="88" t="s">
        <v>418</v>
      </c>
      <c r="G446" s="88" t="s">
        <v>443</v>
      </c>
      <c r="H446" s="88" t="s">
        <v>418</v>
      </c>
      <c r="I446" s="88" t="s">
        <v>418</v>
      </c>
      <c r="J446" s="88" t="s">
        <v>444</v>
      </c>
      <c r="K446" s="88" t="s">
        <v>418</v>
      </c>
      <c r="L446" s="88" t="s">
        <v>418</v>
      </c>
      <c r="M446" s="94" t="str">
        <f t="shared" si="8"/>
        <v>View on Google Map</v>
      </c>
    </row>
    <row r="447" spans="1:14" x14ac:dyDescent="0.2">
      <c r="A447" s="88">
        <v>529</v>
      </c>
      <c r="B447" s="88" t="s">
        <v>1344</v>
      </c>
      <c r="C447" s="88" t="s">
        <v>824</v>
      </c>
      <c r="D447" s="88">
        <v>68.672934999999995</v>
      </c>
      <c r="E447" s="88">
        <v>-149.61752300000001</v>
      </c>
      <c r="F447" s="88">
        <v>708</v>
      </c>
      <c r="G447" s="88" t="s">
        <v>429</v>
      </c>
      <c r="H447" s="88" t="s">
        <v>418</v>
      </c>
      <c r="I447" s="88" t="s">
        <v>418</v>
      </c>
      <c r="J447" s="88" t="s">
        <v>430</v>
      </c>
      <c r="K447" s="88" t="s">
        <v>418</v>
      </c>
      <c r="L447" s="88" t="s">
        <v>825</v>
      </c>
      <c r="M447" s="94" t="str">
        <f t="shared" si="8"/>
        <v>View on Google Map</v>
      </c>
    </row>
    <row r="448" spans="1:14" x14ac:dyDescent="0.2">
      <c r="A448" s="88">
        <v>494</v>
      </c>
      <c r="B448" s="88" t="s">
        <v>1345</v>
      </c>
      <c r="C448" s="88" t="s">
        <v>418</v>
      </c>
      <c r="D448" s="88">
        <v>68.673756999999995</v>
      </c>
      <c r="E448" s="88">
        <v>-149.618268</v>
      </c>
      <c r="F448" s="88">
        <v>701</v>
      </c>
      <c r="G448" s="88" t="s">
        <v>443</v>
      </c>
      <c r="H448" s="88" t="s">
        <v>418</v>
      </c>
      <c r="I448" s="88" t="s">
        <v>418</v>
      </c>
      <c r="J448" s="88" t="s">
        <v>1346</v>
      </c>
      <c r="K448" s="88" t="s">
        <v>418</v>
      </c>
      <c r="L448" s="88" t="s">
        <v>825</v>
      </c>
      <c r="M448" s="94" t="str">
        <f t="shared" si="8"/>
        <v>View on Google Map</v>
      </c>
    </row>
    <row r="449" spans="1:13" x14ac:dyDescent="0.2">
      <c r="A449" s="88">
        <v>189</v>
      </c>
      <c r="B449" s="88" t="s">
        <v>1347</v>
      </c>
      <c r="C449" s="88" t="s">
        <v>418</v>
      </c>
      <c r="D449" s="88">
        <v>68.622</v>
      </c>
      <c r="E449" s="88">
        <v>-149.590666</v>
      </c>
      <c r="F449" s="88">
        <v>725</v>
      </c>
      <c r="G449" s="88" t="s">
        <v>443</v>
      </c>
      <c r="H449" s="88" t="s">
        <v>1348</v>
      </c>
      <c r="I449" s="88" t="s">
        <v>1349</v>
      </c>
      <c r="J449" s="88" t="s">
        <v>444</v>
      </c>
      <c r="K449" s="88" t="s">
        <v>418</v>
      </c>
      <c r="L449" s="88" t="s">
        <v>833</v>
      </c>
      <c r="M449" s="94" t="str">
        <f t="shared" si="8"/>
        <v>View on Google Map</v>
      </c>
    </row>
    <row r="450" spans="1:13" x14ac:dyDescent="0.2">
      <c r="A450" s="88">
        <v>273</v>
      </c>
      <c r="B450" s="88" t="s">
        <v>1350</v>
      </c>
      <c r="C450" s="88" t="s">
        <v>418</v>
      </c>
      <c r="D450" s="88">
        <v>68.620166670000003</v>
      </c>
      <c r="E450" s="88">
        <v>-149.56816599999999</v>
      </c>
      <c r="F450" s="88">
        <v>739</v>
      </c>
      <c r="G450" s="88" t="s">
        <v>443</v>
      </c>
      <c r="H450" s="88" t="s">
        <v>1351</v>
      </c>
      <c r="I450" s="88" t="s">
        <v>1352</v>
      </c>
      <c r="J450" s="88" t="s">
        <v>444</v>
      </c>
      <c r="K450" s="88" t="s">
        <v>418</v>
      </c>
      <c r="L450" s="88" t="s">
        <v>833</v>
      </c>
      <c r="M450" s="94" t="str">
        <f t="shared" si="8"/>
        <v>View on Google Map</v>
      </c>
    </row>
    <row r="451" spans="1:13" x14ac:dyDescent="0.2">
      <c r="A451" s="88">
        <v>1175</v>
      </c>
      <c r="B451" s="88" t="s">
        <v>1353</v>
      </c>
      <c r="C451" s="88" t="s">
        <v>418</v>
      </c>
      <c r="D451" s="88">
        <v>68.951925000000003</v>
      </c>
      <c r="E451" s="88">
        <v>-150.20976669999999</v>
      </c>
      <c r="F451" s="88" t="s">
        <v>418</v>
      </c>
      <c r="G451" s="88" t="s">
        <v>443</v>
      </c>
      <c r="H451" s="88" t="s">
        <v>418</v>
      </c>
      <c r="I451" s="88" t="s">
        <v>418</v>
      </c>
      <c r="J451" s="88" t="s">
        <v>973</v>
      </c>
      <c r="K451" s="88" t="s">
        <v>418</v>
      </c>
      <c r="L451" s="88" t="s">
        <v>418</v>
      </c>
      <c r="M451" s="94" t="str">
        <f t="shared" ref="M451:M514" si="10">HYPERLINK("http://maps.google.com/maps?q="&amp;D451&amp;","&amp;E451,"View on Google Map")</f>
        <v>View on Google Map</v>
      </c>
    </row>
    <row r="452" spans="1:13" x14ac:dyDescent="0.2">
      <c r="A452" s="88">
        <v>103</v>
      </c>
      <c r="B452" s="88" t="s">
        <v>1354</v>
      </c>
      <c r="C452" s="88" t="s">
        <v>418</v>
      </c>
      <c r="D452" s="88">
        <v>68.639893935800004</v>
      </c>
      <c r="E452" s="88">
        <v>-149.606965643</v>
      </c>
      <c r="F452" s="88">
        <v>731</v>
      </c>
      <c r="G452" s="88" t="s">
        <v>429</v>
      </c>
      <c r="H452" s="88" t="s">
        <v>1355</v>
      </c>
      <c r="I452" s="88" t="s">
        <v>1356</v>
      </c>
      <c r="J452" s="88" t="s">
        <v>444</v>
      </c>
      <c r="K452" s="88" t="s">
        <v>418</v>
      </c>
      <c r="L452" s="88" t="s">
        <v>418</v>
      </c>
      <c r="M452" s="94" t="str">
        <f t="shared" si="10"/>
        <v>View on Google Map</v>
      </c>
    </row>
    <row r="453" spans="1:13" x14ac:dyDescent="0.2">
      <c r="A453" s="88">
        <v>104</v>
      </c>
      <c r="B453" s="88" t="s">
        <v>1357</v>
      </c>
      <c r="C453" s="88" t="s">
        <v>418</v>
      </c>
      <c r="D453" s="88">
        <v>68.640947234500004</v>
      </c>
      <c r="E453" s="88">
        <v>-149.625086307</v>
      </c>
      <c r="F453" s="88">
        <v>724</v>
      </c>
      <c r="G453" s="88" t="s">
        <v>429</v>
      </c>
      <c r="H453" s="88" t="s">
        <v>1358</v>
      </c>
      <c r="I453" s="88" t="s">
        <v>1359</v>
      </c>
      <c r="J453" s="88" t="s">
        <v>444</v>
      </c>
      <c r="K453" s="88" t="s">
        <v>418</v>
      </c>
      <c r="L453" s="88" t="s">
        <v>418</v>
      </c>
      <c r="M453" s="94" t="str">
        <f t="shared" si="10"/>
        <v>View on Google Map</v>
      </c>
    </row>
    <row r="454" spans="1:13" x14ac:dyDescent="0.2">
      <c r="A454" s="88">
        <v>105</v>
      </c>
      <c r="B454" s="88" t="s">
        <v>1360</v>
      </c>
      <c r="C454" s="88" t="s">
        <v>418</v>
      </c>
      <c r="D454" s="88">
        <v>68.642385337299999</v>
      </c>
      <c r="E454" s="88">
        <v>-149.630769851</v>
      </c>
      <c r="F454" s="88" t="s">
        <v>418</v>
      </c>
      <c r="G454" s="88" t="s">
        <v>429</v>
      </c>
      <c r="H454" s="88" t="s">
        <v>1361</v>
      </c>
      <c r="I454" s="88" t="s">
        <v>418</v>
      </c>
      <c r="J454" s="88" t="s">
        <v>444</v>
      </c>
      <c r="K454" s="88" t="s">
        <v>418</v>
      </c>
      <c r="L454" s="88" t="s">
        <v>418</v>
      </c>
      <c r="M454" s="94" t="str">
        <f t="shared" si="10"/>
        <v>View on Google Map</v>
      </c>
    </row>
    <row r="455" spans="1:13" x14ac:dyDescent="0.2">
      <c r="A455" s="88">
        <v>245</v>
      </c>
      <c r="B455" s="88" t="s">
        <v>1362</v>
      </c>
      <c r="C455" s="88" t="s">
        <v>418</v>
      </c>
      <c r="D455" s="88">
        <v>68.645120702900002</v>
      </c>
      <c r="E455" s="88">
        <v>-149.64028014900001</v>
      </c>
      <c r="F455" s="88" t="s">
        <v>418</v>
      </c>
      <c r="G455" s="88" t="s">
        <v>429</v>
      </c>
      <c r="H455" s="88" t="s">
        <v>1363</v>
      </c>
      <c r="I455" s="88" t="s">
        <v>418</v>
      </c>
      <c r="J455" s="88" t="s">
        <v>444</v>
      </c>
      <c r="K455" s="88" t="s">
        <v>418</v>
      </c>
      <c r="L455" s="88" t="s">
        <v>418</v>
      </c>
      <c r="M455" s="94" t="str">
        <f t="shared" si="10"/>
        <v>View on Google Map</v>
      </c>
    </row>
    <row r="456" spans="1:13" x14ac:dyDescent="0.2">
      <c r="A456" s="88">
        <v>240</v>
      </c>
      <c r="B456" s="88" t="s">
        <v>1364</v>
      </c>
      <c r="C456" s="88" t="s">
        <v>418</v>
      </c>
      <c r="D456" s="88">
        <v>68.645428204500007</v>
      </c>
      <c r="E456" s="88">
        <v>-149.62885531000001</v>
      </c>
      <c r="F456" s="88" t="s">
        <v>418</v>
      </c>
      <c r="G456" s="88" t="s">
        <v>429</v>
      </c>
      <c r="H456" s="88" t="s">
        <v>1365</v>
      </c>
      <c r="I456" s="88" t="s">
        <v>418</v>
      </c>
      <c r="J456" s="88" t="s">
        <v>444</v>
      </c>
      <c r="K456" s="88" t="s">
        <v>418</v>
      </c>
      <c r="L456" s="88" t="s">
        <v>418</v>
      </c>
      <c r="M456" s="94" t="str">
        <f t="shared" si="10"/>
        <v>View on Google Map</v>
      </c>
    </row>
    <row r="457" spans="1:13" x14ac:dyDescent="0.2">
      <c r="A457" s="88">
        <v>508</v>
      </c>
      <c r="B457" s="88" t="s">
        <v>1366</v>
      </c>
      <c r="C457" s="88" t="s">
        <v>428</v>
      </c>
      <c r="D457" s="88">
        <v>68.396288999999996</v>
      </c>
      <c r="E457" s="88">
        <v>-150.58781500000001</v>
      </c>
      <c r="F457" s="88">
        <v>841</v>
      </c>
      <c r="G457" s="88" t="s">
        <v>429</v>
      </c>
      <c r="H457" s="88" t="s">
        <v>431</v>
      </c>
      <c r="I457" s="88" t="s">
        <v>418</v>
      </c>
      <c r="J457" s="88" t="s">
        <v>430</v>
      </c>
      <c r="K457" s="88" t="s">
        <v>418</v>
      </c>
      <c r="L457" s="88" t="s">
        <v>431</v>
      </c>
      <c r="M457" s="94" t="str">
        <f t="shared" si="10"/>
        <v>View on Google Map</v>
      </c>
    </row>
    <row r="458" spans="1:13" x14ac:dyDescent="0.2">
      <c r="A458" s="88">
        <v>513</v>
      </c>
      <c r="B458" s="88" t="s">
        <v>1367</v>
      </c>
      <c r="C458" s="88" t="s">
        <v>428</v>
      </c>
      <c r="D458" s="88">
        <v>68.362488999999997</v>
      </c>
      <c r="E458" s="88">
        <v>-151.70717300000001</v>
      </c>
      <c r="F458" s="88">
        <v>792</v>
      </c>
      <c r="G458" s="88" t="s">
        <v>429</v>
      </c>
      <c r="H458" s="88" t="s">
        <v>418</v>
      </c>
      <c r="I458" s="88" t="s">
        <v>418</v>
      </c>
      <c r="J458" s="88" t="s">
        <v>430</v>
      </c>
      <c r="K458" s="88" t="s">
        <v>418</v>
      </c>
      <c r="L458" s="88" t="s">
        <v>431</v>
      </c>
      <c r="M458" s="94" t="str">
        <f t="shared" si="10"/>
        <v>View on Google Map</v>
      </c>
    </row>
    <row r="459" spans="1:13" x14ac:dyDescent="0.2">
      <c r="A459" s="88">
        <v>512</v>
      </c>
      <c r="B459" s="88" t="s">
        <v>1368</v>
      </c>
      <c r="C459" s="88" t="s">
        <v>428</v>
      </c>
      <c r="D459" s="88">
        <v>68.351332999999997</v>
      </c>
      <c r="E459" s="88">
        <v>-151.702167</v>
      </c>
      <c r="F459" s="88">
        <v>789</v>
      </c>
      <c r="G459" s="88" t="s">
        <v>429</v>
      </c>
      <c r="H459" s="88" t="s">
        <v>418</v>
      </c>
      <c r="I459" s="88" t="s">
        <v>418</v>
      </c>
      <c r="J459" s="88" t="s">
        <v>430</v>
      </c>
      <c r="K459" s="88" t="s">
        <v>418</v>
      </c>
      <c r="L459" s="88" t="s">
        <v>431</v>
      </c>
      <c r="M459" s="94" t="str">
        <f t="shared" si="10"/>
        <v>View on Google Map</v>
      </c>
    </row>
    <row r="460" spans="1:13" x14ac:dyDescent="0.2">
      <c r="A460" s="88">
        <v>511</v>
      </c>
      <c r="B460" s="88" t="s">
        <v>1369</v>
      </c>
      <c r="C460" s="88" t="s">
        <v>428</v>
      </c>
      <c r="D460" s="88">
        <v>68.347333000000006</v>
      </c>
      <c r="E460" s="88">
        <v>-151.70316700000001</v>
      </c>
      <c r="F460" s="88">
        <v>798</v>
      </c>
      <c r="G460" s="88" t="s">
        <v>429</v>
      </c>
      <c r="H460" s="88" t="s">
        <v>418</v>
      </c>
      <c r="I460" s="88" t="s">
        <v>418</v>
      </c>
      <c r="J460" s="88" t="s">
        <v>430</v>
      </c>
      <c r="K460" s="88" t="s">
        <v>418</v>
      </c>
      <c r="L460" s="88" t="s">
        <v>431</v>
      </c>
      <c r="M460" s="94" t="str">
        <f t="shared" si="10"/>
        <v>View on Google Map</v>
      </c>
    </row>
    <row r="461" spans="1:13" x14ac:dyDescent="0.2">
      <c r="A461" s="88">
        <v>510</v>
      </c>
      <c r="B461" s="88" t="s">
        <v>1370</v>
      </c>
      <c r="C461" s="88" t="s">
        <v>428</v>
      </c>
      <c r="D461" s="88">
        <v>68.351332999999997</v>
      </c>
      <c r="E461" s="88">
        <v>-151.702167</v>
      </c>
      <c r="F461" s="88">
        <v>810</v>
      </c>
      <c r="G461" s="88" t="s">
        <v>429</v>
      </c>
      <c r="H461" s="88" t="s">
        <v>418</v>
      </c>
      <c r="I461" s="88" t="s">
        <v>418</v>
      </c>
      <c r="J461" s="88" t="s">
        <v>430</v>
      </c>
      <c r="K461" s="88" t="s">
        <v>418</v>
      </c>
      <c r="L461" s="88" t="s">
        <v>431</v>
      </c>
      <c r="M461" s="94" t="str">
        <f t="shared" si="10"/>
        <v>View on Google Map</v>
      </c>
    </row>
    <row r="462" spans="1:13" x14ac:dyDescent="0.2">
      <c r="A462" s="88">
        <v>233</v>
      </c>
      <c r="B462" s="88" t="s">
        <v>1371</v>
      </c>
      <c r="C462" s="88" t="s">
        <v>418</v>
      </c>
      <c r="D462" s="88">
        <v>68.643783170000006</v>
      </c>
      <c r="E462" s="88">
        <v>-149.58949436200001</v>
      </c>
      <c r="F462" s="88">
        <v>716</v>
      </c>
      <c r="G462" s="88" t="s">
        <v>429</v>
      </c>
      <c r="H462" s="88" t="s">
        <v>1372</v>
      </c>
      <c r="I462" s="88" t="s">
        <v>418</v>
      </c>
      <c r="J462" s="88" t="s">
        <v>444</v>
      </c>
      <c r="K462" s="88" t="s">
        <v>418</v>
      </c>
      <c r="L462" s="88" t="s">
        <v>418</v>
      </c>
      <c r="M462" s="94" t="str">
        <f t="shared" si="10"/>
        <v>View on Google Map</v>
      </c>
    </row>
    <row r="463" spans="1:13" x14ac:dyDescent="0.2">
      <c r="A463" s="88">
        <v>147</v>
      </c>
      <c r="B463" s="88" t="s">
        <v>1373</v>
      </c>
      <c r="C463" s="88" t="s">
        <v>418</v>
      </c>
      <c r="D463" s="88">
        <v>68.646325005500003</v>
      </c>
      <c r="E463" s="88">
        <v>-149.58272243900001</v>
      </c>
      <c r="F463" s="88">
        <v>716</v>
      </c>
      <c r="G463" s="88" t="s">
        <v>429</v>
      </c>
      <c r="H463" s="88" t="s">
        <v>1374</v>
      </c>
      <c r="I463" s="88" t="s">
        <v>418</v>
      </c>
      <c r="J463" s="88" t="s">
        <v>444</v>
      </c>
      <c r="K463" s="88" t="s">
        <v>418</v>
      </c>
      <c r="L463" s="88" t="s">
        <v>418</v>
      </c>
      <c r="M463" s="94" t="str">
        <f t="shared" si="10"/>
        <v>View on Google Map</v>
      </c>
    </row>
    <row r="464" spans="1:13" x14ac:dyDescent="0.2">
      <c r="A464" s="88">
        <v>234</v>
      </c>
      <c r="B464" s="88" t="s">
        <v>1375</v>
      </c>
      <c r="C464" s="88" t="s">
        <v>418</v>
      </c>
      <c r="D464" s="88">
        <v>68.650192520999994</v>
      </c>
      <c r="E464" s="88">
        <v>-149.58255972500001</v>
      </c>
      <c r="F464" s="88">
        <v>731</v>
      </c>
      <c r="G464" s="88" t="s">
        <v>429</v>
      </c>
      <c r="H464" s="88" t="s">
        <v>1376</v>
      </c>
      <c r="I464" s="88" t="s">
        <v>418</v>
      </c>
      <c r="J464" s="88" t="s">
        <v>444</v>
      </c>
      <c r="K464" s="88" t="s">
        <v>418</v>
      </c>
      <c r="L464" s="88" t="s">
        <v>418</v>
      </c>
      <c r="M464" s="94" t="str">
        <f t="shared" si="10"/>
        <v>View on Google Map</v>
      </c>
    </row>
    <row r="465" spans="1:13" x14ac:dyDescent="0.2">
      <c r="A465" s="88">
        <v>306</v>
      </c>
      <c r="B465" s="88" t="s">
        <v>1377</v>
      </c>
      <c r="C465" s="88" t="s">
        <v>418</v>
      </c>
      <c r="D465" s="88" t="s">
        <v>418</v>
      </c>
      <c r="E465" s="88" t="s">
        <v>418</v>
      </c>
      <c r="F465" s="88">
        <v>731</v>
      </c>
      <c r="G465" s="88" t="s">
        <v>429</v>
      </c>
      <c r="H465" s="88" t="s">
        <v>1378</v>
      </c>
      <c r="I465" s="88" t="s">
        <v>418</v>
      </c>
      <c r="J465" s="88" t="s">
        <v>444</v>
      </c>
      <c r="K465" s="88" t="s">
        <v>418</v>
      </c>
      <c r="L465" s="88" t="s">
        <v>418</v>
      </c>
      <c r="M465" s="94" t="str">
        <f t="shared" si="10"/>
        <v>View on Google Map</v>
      </c>
    </row>
    <row r="466" spans="1:13" x14ac:dyDescent="0.2">
      <c r="A466" s="88">
        <v>235</v>
      </c>
      <c r="B466" s="88" t="s">
        <v>1379</v>
      </c>
      <c r="C466" s="88" t="s">
        <v>418</v>
      </c>
      <c r="D466" s="88" t="s">
        <v>418</v>
      </c>
      <c r="E466" s="88" t="s">
        <v>418</v>
      </c>
      <c r="F466" s="88">
        <v>716</v>
      </c>
      <c r="G466" s="88" t="s">
        <v>429</v>
      </c>
      <c r="H466" s="88" t="s">
        <v>1380</v>
      </c>
      <c r="I466" s="88" t="s">
        <v>418</v>
      </c>
      <c r="J466" s="88" t="s">
        <v>444</v>
      </c>
      <c r="K466" s="88" t="s">
        <v>418</v>
      </c>
      <c r="L466" s="88" t="s">
        <v>418</v>
      </c>
      <c r="M466" s="94" t="str">
        <f t="shared" si="10"/>
        <v>View on Google Map</v>
      </c>
    </row>
    <row r="467" spans="1:13" x14ac:dyDescent="0.2">
      <c r="A467" s="88">
        <v>307</v>
      </c>
      <c r="B467" s="88" t="s">
        <v>1381</v>
      </c>
      <c r="C467" s="88" t="s">
        <v>418</v>
      </c>
      <c r="D467" s="88" t="s">
        <v>418</v>
      </c>
      <c r="E467" s="88" t="s">
        <v>418</v>
      </c>
      <c r="F467" s="88">
        <v>716</v>
      </c>
      <c r="G467" s="88" t="s">
        <v>429</v>
      </c>
      <c r="H467" s="88" t="s">
        <v>1382</v>
      </c>
      <c r="I467" s="88" t="s">
        <v>418</v>
      </c>
      <c r="J467" s="88" t="s">
        <v>444</v>
      </c>
      <c r="K467" s="88" t="s">
        <v>418</v>
      </c>
      <c r="L467" s="88" t="s">
        <v>418</v>
      </c>
      <c r="M467" s="94" t="str">
        <f t="shared" si="10"/>
        <v>View on Google Map</v>
      </c>
    </row>
    <row r="468" spans="1:13" x14ac:dyDescent="0.2">
      <c r="A468" s="88">
        <v>236</v>
      </c>
      <c r="B468" s="88" t="s">
        <v>1383</v>
      </c>
      <c r="C468" s="88" t="s">
        <v>418</v>
      </c>
      <c r="D468" s="88">
        <v>68.653572283900004</v>
      </c>
      <c r="E468" s="88">
        <v>-149.58091106399999</v>
      </c>
      <c r="F468" s="88">
        <v>731</v>
      </c>
      <c r="G468" s="88" t="s">
        <v>429</v>
      </c>
      <c r="H468" s="88" t="s">
        <v>1384</v>
      </c>
      <c r="I468" s="88" t="s">
        <v>418</v>
      </c>
      <c r="J468" s="88" t="s">
        <v>444</v>
      </c>
      <c r="K468" s="88" t="s">
        <v>418</v>
      </c>
      <c r="L468" s="88" t="s">
        <v>418</v>
      </c>
      <c r="M468" s="94" t="str">
        <f t="shared" si="10"/>
        <v>View on Google Map</v>
      </c>
    </row>
    <row r="469" spans="1:13" x14ac:dyDescent="0.2">
      <c r="A469" s="88">
        <v>308</v>
      </c>
      <c r="B469" s="88" t="s">
        <v>1385</v>
      </c>
      <c r="C469" s="88" t="s">
        <v>418</v>
      </c>
      <c r="D469" s="88">
        <v>68.652551279199997</v>
      </c>
      <c r="E469" s="88">
        <v>-149.58676006799999</v>
      </c>
      <c r="F469" s="88">
        <v>731</v>
      </c>
      <c r="G469" s="88" t="s">
        <v>429</v>
      </c>
      <c r="H469" s="88" t="s">
        <v>1386</v>
      </c>
      <c r="I469" s="88" t="s">
        <v>418</v>
      </c>
      <c r="J469" s="88" t="s">
        <v>444</v>
      </c>
      <c r="K469" s="88" t="s">
        <v>418</v>
      </c>
      <c r="L469" s="88" t="s">
        <v>418</v>
      </c>
      <c r="M469" s="94" t="str">
        <f t="shared" si="10"/>
        <v>View on Google Map</v>
      </c>
    </row>
    <row r="470" spans="1:13" x14ac:dyDescent="0.2">
      <c r="A470" s="88">
        <v>446</v>
      </c>
      <c r="B470" s="88" t="s">
        <v>1387</v>
      </c>
      <c r="C470" s="88" t="s">
        <v>418</v>
      </c>
      <c r="D470" s="88">
        <v>68.653536133599999</v>
      </c>
      <c r="E470" s="88">
        <v>-149.59622183299999</v>
      </c>
      <c r="F470" s="88">
        <v>747</v>
      </c>
      <c r="G470" s="88" t="s">
        <v>429</v>
      </c>
      <c r="H470" s="88" t="s">
        <v>1388</v>
      </c>
      <c r="I470" s="88" t="s">
        <v>418</v>
      </c>
      <c r="J470" s="88" t="s">
        <v>444</v>
      </c>
      <c r="K470" s="88" t="s">
        <v>418</v>
      </c>
      <c r="L470" s="88" t="s">
        <v>418</v>
      </c>
      <c r="M470" s="94" t="str">
        <f t="shared" si="10"/>
        <v>View on Google Map</v>
      </c>
    </row>
    <row r="471" spans="1:13" x14ac:dyDescent="0.2">
      <c r="A471" s="88">
        <v>447</v>
      </c>
      <c r="B471" s="88" t="s">
        <v>1389</v>
      </c>
      <c r="C471" s="88" t="s">
        <v>418</v>
      </c>
      <c r="D471" s="88">
        <v>68.652588284900006</v>
      </c>
      <c r="E471" s="88">
        <v>-149.60764069300001</v>
      </c>
      <c r="F471" s="88" t="s">
        <v>418</v>
      </c>
      <c r="G471" s="88" t="s">
        <v>429</v>
      </c>
      <c r="H471" s="88" t="s">
        <v>1390</v>
      </c>
      <c r="I471" s="88" t="s">
        <v>418</v>
      </c>
      <c r="J471" s="88" t="s">
        <v>444</v>
      </c>
      <c r="K471" s="88" t="s">
        <v>418</v>
      </c>
      <c r="L471" s="88" t="s">
        <v>418</v>
      </c>
      <c r="M471" s="94" t="str">
        <f t="shared" si="10"/>
        <v>View on Google Map</v>
      </c>
    </row>
    <row r="472" spans="1:13" x14ac:dyDescent="0.2">
      <c r="A472" s="88">
        <v>504</v>
      </c>
      <c r="B472" s="88" t="s">
        <v>1391</v>
      </c>
      <c r="C472" s="88" t="s">
        <v>418</v>
      </c>
      <c r="D472" s="88">
        <v>68.647407723699999</v>
      </c>
      <c r="E472" s="88">
        <v>-149.60936597400001</v>
      </c>
      <c r="F472" s="88">
        <v>731</v>
      </c>
      <c r="G472" s="88" t="s">
        <v>429</v>
      </c>
      <c r="H472" s="88" t="s">
        <v>418</v>
      </c>
      <c r="I472" s="88" t="s">
        <v>418</v>
      </c>
      <c r="J472" s="88" t="s">
        <v>444</v>
      </c>
      <c r="K472" s="88" t="s">
        <v>418</v>
      </c>
      <c r="L472" s="88" t="s">
        <v>418</v>
      </c>
      <c r="M472" s="94" t="str">
        <f t="shared" si="10"/>
        <v>View on Google Map</v>
      </c>
    </row>
    <row r="473" spans="1:13" x14ac:dyDescent="0.2">
      <c r="A473" s="88">
        <v>108</v>
      </c>
      <c r="B473" s="88" t="s">
        <v>1392</v>
      </c>
      <c r="C473" s="88" t="s">
        <v>418</v>
      </c>
      <c r="D473" s="88">
        <v>68.650000000000006</v>
      </c>
      <c r="E473" s="88">
        <v>-149.61666666666667</v>
      </c>
      <c r="F473" s="88">
        <v>699</v>
      </c>
      <c r="G473" s="88" t="s">
        <v>429</v>
      </c>
      <c r="H473" s="88" t="s">
        <v>1393</v>
      </c>
      <c r="I473" s="88" t="s">
        <v>418</v>
      </c>
      <c r="J473" s="88" t="s">
        <v>444</v>
      </c>
      <c r="K473" s="88" t="s">
        <v>418</v>
      </c>
      <c r="L473" s="88" t="s">
        <v>418</v>
      </c>
      <c r="M473" s="94" t="str">
        <f t="shared" si="10"/>
        <v>View on Google Map</v>
      </c>
    </row>
    <row r="474" spans="1:13" x14ac:dyDescent="0.2">
      <c r="A474" s="88">
        <v>309</v>
      </c>
      <c r="B474" s="88" t="s">
        <v>1394</v>
      </c>
      <c r="C474" s="88" t="s">
        <v>418</v>
      </c>
      <c r="D474" s="88" t="s">
        <v>418</v>
      </c>
      <c r="E474" s="88" t="s">
        <v>418</v>
      </c>
      <c r="F474" s="88" t="s">
        <v>418</v>
      </c>
      <c r="G474" s="88" t="s">
        <v>429</v>
      </c>
      <c r="H474" s="88" t="s">
        <v>1395</v>
      </c>
      <c r="I474" s="88" t="s">
        <v>418</v>
      </c>
      <c r="J474" s="88" t="s">
        <v>444</v>
      </c>
      <c r="K474" s="88" t="s">
        <v>418</v>
      </c>
      <c r="L474" s="88" t="s">
        <v>418</v>
      </c>
      <c r="M474" s="94" t="str">
        <f t="shared" si="10"/>
        <v>View on Google Map</v>
      </c>
    </row>
    <row r="475" spans="1:13" x14ac:dyDescent="0.2">
      <c r="A475" s="88">
        <v>109</v>
      </c>
      <c r="B475" s="88" t="s">
        <v>1396</v>
      </c>
      <c r="C475" s="88" t="s">
        <v>418</v>
      </c>
      <c r="D475" s="88">
        <v>68.683333333333337</v>
      </c>
      <c r="E475" s="88">
        <v>-149.61666666666667</v>
      </c>
      <c r="F475" s="88">
        <v>701</v>
      </c>
      <c r="G475" s="88" t="s">
        <v>429</v>
      </c>
      <c r="H475" s="88" t="s">
        <v>1397</v>
      </c>
      <c r="I475" s="88" t="s">
        <v>418</v>
      </c>
      <c r="J475" s="88" t="s">
        <v>444</v>
      </c>
      <c r="K475" s="88" t="s">
        <v>418</v>
      </c>
      <c r="L475" s="88" t="s">
        <v>418</v>
      </c>
      <c r="M475" s="94" t="str">
        <f t="shared" si="10"/>
        <v>View on Google Map</v>
      </c>
    </row>
    <row r="476" spans="1:13" x14ac:dyDescent="0.2">
      <c r="A476" s="88">
        <v>497</v>
      </c>
      <c r="B476" s="88" t="s">
        <v>1398</v>
      </c>
      <c r="C476" s="88" t="s">
        <v>1399</v>
      </c>
      <c r="D476" s="88">
        <v>68.674931999999998</v>
      </c>
      <c r="E476" s="88">
        <v>-149.625439</v>
      </c>
      <c r="F476" s="88">
        <v>701</v>
      </c>
      <c r="G476" s="88" t="s">
        <v>429</v>
      </c>
      <c r="H476" s="88" t="s">
        <v>418</v>
      </c>
      <c r="I476" s="88" t="s">
        <v>418</v>
      </c>
      <c r="J476" s="88" t="s">
        <v>1346</v>
      </c>
      <c r="K476" s="88" t="s">
        <v>418</v>
      </c>
      <c r="L476" s="88" t="s">
        <v>825</v>
      </c>
      <c r="M476" s="94" t="str">
        <f t="shared" si="10"/>
        <v>View on Google Map</v>
      </c>
    </row>
    <row r="477" spans="1:13" x14ac:dyDescent="0.2">
      <c r="A477" s="88">
        <v>498</v>
      </c>
      <c r="B477" s="88" t="s">
        <v>1400</v>
      </c>
      <c r="C477" s="88" t="s">
        <v>418</v>
      </c>
      <c r="D477" s="88">
        <v>68.677723</v>
      </c>
      <c r="E477" s="88">
        <v>-149.62402800000001</v>
      </c>
      <c r="F477" s="88">
        <v>701</v>
      </c>
      <c r="G477" s="88" t="s">
        <v>443</v>
      </c>
      <c r="H477" s="88" t="s">
        <v>418</v>
      </c>
      <c r="I477" s="88" t="s">
        <v>418</v>
      </c>
      <c r="J477" s="88" t="s">
        <v>1346</v>
      </c>
      <c r="K477" s="88" t="s">
        <v>418</v>
      </c>
      <c r="L477" s="88" t="s">
        <v>825</v>
      </c>
      <c r="M477" s="94" t="str">
        <f t="shared" si="10"/>
        <v>View on Google Map</v>
      </c>
    </row>
    <row r="478" spans="1:13" x14ac:dyDescent="0.2">
      <c r="A478" s="88">
        <v>495</v>
      </c>
      <c r="B478" s="88" t="s">
        <v>1401</v>
      </c>
      <c r="C478" s="88" t="s">
        <v>418</v>
      </c>
      <c r="D478" s="88">
        <v>68.674121999999997</v>
      </c>
      <c r="E478" s="88">
        <v>-149.62885</v>
      </c>
      <c r="F478" s="88">
        <v>701</v>
      </c>
      <c r="G478" s="88" t="s">
        <v>443</v>
      </c>
      <c r="H478" s="88" t="s">
        <v>418</v>
      </c>
      <c r="I478" s="88" t="s">
        <v>418</v>
      </c>
      <c r="J478" s="88" t="s">
        <v>1346</v>
      </c>
      <c r="K478" s="88" t="s">
        <v>418</v>
      </c>
      <c r="L478" s="88" t="s">
        <v>825</v>
      </c>
      <c r="M478" s="94" t="str">
        <f t="shared" si="10"/>
        <v>View on Google Map</v>
      </c>
    </row>
    <row r="479" spans="1:13" x14ac:dyDescent="0.2">
      <c r="A479" s="88">
        <v>448</v>
      </c>
      <c r="B479" s="88" t="s">
        <v>1402</v>
      </c>
      <c r="C479" s="88" t="s">
        <v>418</v>
      </c>
      <c r="D479" s="88">
        <v>68.655874034999997</v>
      </c>
      <c r="E479" s="88">
        <v>-149.58555905599999</v>
      </c>
      <c r="F479" s="88" t="s">
        <v>418</v>
      </c>
      <c r="G479" s="88" t="s">
        <v>429</v>
      </c>
      <c r="H479" s="88" t="s">
        <v>1403</v>
      </c>
      <c r="I479" s="88" t="s">
        <v>418</v>
      </c>
      <c r="J479" s="88" t="s">
        <v>444</v>
      </c>
      <c r="K479" s="88" t="s">
        <v>418</v>
      </c>
      <c r="L479" s="88" t="s">
        <v>418</v>
      </c>
      <c r="M479" s="94" t="str">
        <f t="shared" si="10"/>
        <v>View on Google Map</v>
      </c>
    </row>
    <row r="480" spans="1:13" x14ac:dyDescent="0.2">
      <c r="A480" s="88">
        <v>449</v>
      </c>
      <c r="B480" s="88" t="s">
        <v>1404</v>
      </c>
      <c r="C480" s="88" t="s">
        <v>418</v>
      </c>
      <c r="D480" s="88">
        <v>68.661045276899998</v>
      </c>
      <c r="E480" s="88">
        <v>-149.586664767</v>
      </c>
      <c r="F480" s="88" t="s">
        <v>418</v>
      </c>
      <c r="G480" s="88" t="s">
        <v>429</v>
      </c>
      <c r="H480" s="88" t="s">
        <v>1405</v>
      </c>
      <c r="I480" s="88" t="s">
        <v>418</v>
      </c>
      <c r="J480" s="88" t="s">
        <v>444</v>
      </c>
      <c r="K480" s="88" t="s">
        <v>418</v>
      </c>
      <c r="L480" s="88" t="s">
        <v>418</v>
      </c>
      <c r="M480" s="94" t="str">
        <f t="shared" si="10"/>
        <v>View on Google Map</v>
      </c>
    </row>
    <row r="481" spans="1:13" x14ac:dyDescent="0.2">
      <c r="A481" s="88">
        <v>171</v>
      </c>
      <c r="B481" s="88" t="s">
        <v>1406</v>
      </c>
      <c r="C481" s="88" t="s">
        <v>418</v>
      </c>
      <c r="D481" s="88">
        <v>68.652645483100002</v>
      </c>
      <c r="E481" s="88">
        <v>-149.59947366200001</v>
      </c>
      <c r="F481" s="88">
        <v>747</v>
      </c>
      <c r="G481" s="88" t="s">
        <v>429</v>
      </c>
      <c r="H481" s="88" t="s">
        <v>1407</v>
      </c>
      <c r="I481" s="88" t="s">
        <v>1408</v>
      </c>
      <c r="J481" s="88" t="s">
        <v>444</v>
      </c>
      <c r="K481" s="88" t="s">
        <v>418</v>
      </c>
      <c r="L481" s="88" t="s">
        <v>418</v>
      </c>
      <c r="M481" s="94" t="str">
        <f t="shared" si="10"/>
        <v>View on Google Map</v>
      </c>
    </row>
    <row r="482" spans="1:13" x14ac:dyDescent="0.2">
      <c r="A482" s="88">
        <v>499</v>
      </c>
      <c r="B482" s="88" t="s">
        <v>1409</v>
      </c>
      <c r="C482" s="88" t="s">
        <v>418</v>
      </c>
      <c r="D482" s="88">
        <v>68.829610000000002</v>
      </c>
      <c r="E482" s="88">
        <v>-149.77901</v>
      </c>
      <c r="F482" s="88">
        <v>633</v>
      </c>
      <c r="G482" s="88" t="s">
        <v>429</v>
      </c>
      <c r="H482" s="88" t="s">
        <v>1410</v>
      </c>
      <c r="I482" s="88" t="s">
        <v>1411</v>
      </c>
      <c r="J482" s="88" t="s">
        <v>430</v>
      </c>
      <c r="K482" s="88" t="s">
        <v>418</v>
      </c>
      <c r="L482" s="88" t="s">
        <v>418</v>
      </c>
      <c r="M482" s="94" t="str">
        <f t="shared" si="10"/>
        <v>View on Google Map</v>
      </c>
    </row>
    <row r="483" spans="1:13" x14ac:dyDescent="0.2">
      <c r="A483" s="88">
        <v>500</v>
      </c>
      <c r="B483" s="88" t="s">
        <v>1412</v>
      </c>
      <c r="C483" s="88" t="s">
        <v>418</v>
      </c>
      <c r="D483" s="88">
        <v>68.832999999999998</v>
      </c>
      <c r="E483" s="88">
        <v>-149.76808</v>
      </c>
      <c r="F483" s="88">
        <v>624</v>
      </c>
      <c r="G483" s="88" t="s">
        <v>429</v>
      </c>
      <c r="H483" s="88" t="s">
        <v>1413</v>
      </c>
      <c r="I483" s="88" t="s">
        <v>1414</v>
      </c>
      <c r="J483" s="88" t="s">
        <v>430</v>
      </c>
      <c r="K483" s="88" t="s">
        <v>418</v>
      </c>
      <c r="L483" s="88" t="s">
        <v>418</v>
      </c>
      <c r="M483" s="94" t="str">
        <f t="shared" si="10"/>
        <v>View on Google Map</v>
      </c>
    </row>
    <row r="484" spans="1:13" x14ac:dyDescent="0.2">
      <c r="A484" s="88">
        <v>501</v>
      </c>
      <c r="B484" s="88" t="s">
        <v>1415</v>
      </c>
      <c r="C484" s="88" t="s">
        <v>418</v>
      </c>
      <c r="D484" s="88">
        <v>68.828299999999999</v>
      </c>
      <c r="E484" s="88">
        <v>-149.76473999999999</v>
      </c>
      <c r="F484" s="88">
        <v>624</v>
      </c>
      <c r="G484" s="88" t="s">
        <v>429</v>
      </c>
      <c r="H484" s="88" t="s">
        <v>1416</v>
      </c>
      <c r="I484" s="88" t="s">
        <v>1417</v>
      </c>
      <c r="J484" s="88" t="s">
        <v>430</v>
      </c>
      <c r="K484" s="88" t="s">
        <v>418</v>
      </c>
      <c r="L484" s="88" t="s">
        <v>418</v>
      </c>
      <c r="M484" s="94" t="str">
        <f t="shared" si="10"/>
        <v>View on Google Map</v>
      </c>
    </row>
    <row r="485" spans="1:13" x14ac:dyDescent="0.2">
      <c r="A485" s="88">
        <v>502</v>
      </c>
      <c r="B485" s="88" t="s">
        <v>1418</v>
      </c>
      <c r="C485" s="88" t="s">
        <v>418</v>
      </c>
      <c r="D485" s="88">
        <v>68.826520000000002</v>
      </c>
      <c r="E485" s="88">
        <v>-149.75897000000001</v>
      </c>
      <c r="F485" s="88">
        <v>592</v>
      </c>
      <c r="G485" s="88" t="s">
        <v>429</v>
      </c>
      <c r="H485" s="88" t="s">
        <v>1419</v>
      </c>
      <c r="I485" s="88" t="s">
        <v>1420</v>
      </c>
      <c r="J485" s="88" t="s">
        <v>430</v>
      </c>
      <c r="K485" s="88" t="s">
        <v>418</v>
      </c>
      <c r="L485" s="88" t="s">
        <v>418</v>
      </c>
      <c r="M485" s="94" t="str">
        <f t="shared" si="10"/>
        <v>View on Google Map</v>
      </c>
    </row>
    <row r="486" spans="1:13" x14ac:dyDescent="0.2">
      <c r="A486" s="88">
        <v>503</v>
      </c>
      <c r="B486" s="88" t="s">
        <v>1421</v>
      </c>
      <c r="C486" s="88" t="s">
        <v>418</v>
      </c>
      <c r="D486" s="88">
        <v>68.827259999999995</v>
      </c>
      <c r="E486" s="88">
        <v>-149.75089</v>
      </c>
      <c r="F486" s="88">
        <v>592</v>
      </c>
      <c r="G486" s="88" t="s">
        <v>429</v>
      </c>
      <c r="H486" s="88" t="s">
        <v>1422</v>
      </c>
      <c r="I486" s="88" t="s">
        <v>1423</v>
      </c>
      <c r="J486" s="88" t="s">
        <v>430</v>
      </c>
      <c r="K486" s="88" t="s">
        <v>418</v>
      </c>
      <c r="L486" s="88" t="s">
        <v>418</v>
      </c>
      <c r="M486" s="94" t="str">
        <f t="shared" si="10"/>
        <v>View on Google Map</v>
      </c>
    </row>
    <row r="487" spans="1:13" x14ac:dyDescent="0.2">
      <c r="A487" s="88">
        <v>488</v>
      </c>
      <c r="B487" s="88" t="s">
        <v>1424</v>
      </c>
      <c r="C487" s="88" t="s">
        <v>418</v>
      </c>
      <c r="D487" s="88">
        <v>69.329949999999997</v>
      </c>
      <c r="E487" s="88">
        <v>-150.95275000000001</v>
      </c>
      <c r="F487" s="88">
        <v>127</v>
      </c>
      <c r="G487" s="88" t="s">
        <v>429</v>
      </c>
      <c r="H487" s="88" t="s">
        <v>418</v>
      </c>
      <c r="I487" s="88" t="s">
        <v>418</v>
      </c>
      <c r="J487" s="88" t="s">
        <v>479</v>
      </c>
      <c r="K487" s="88" t="s">
        <v>418</v>
      </c>
      <c r="L487" s="88" t="s">
        <v>426</v>
      </c>
      <c r="M487" s="94" t="str">
        <f t="shared" si="10"/>
        <v>View on Google Map</v>
      </c>
    </row>
    <row r="488" spans="1:13" x14ac:dyDescent="0.2">
      <c r="A488" s="88">
        <v>489</v>
      </c>
      <c r="B488" s="88" t="s">
        <v>1425</v>
      </c>
      <c r="C488" s="88" t="s">
        <v>418</v>
      </c>
      <c r="D488" s="88" t="s">
        <v>418</v>
      </c>
      <c r="E488" s="88" t="s">
        <v>418</v>
      </c>
      <c r="F488" s="88">
        <v>127</v>
      </c>
      <c r="G488" s="88" t="s">
        <v>443</v>
      </c>
      <c r="H488" s="88" t="s">
        <v>418</v>
      </c>
      <c r="I488" s="88" t="s">
        <v>418</v>
      </c>
      <c r="J488" s="88" t="s">
        <v>479</v>
      </c>
      <c r="K488" s="88" t="s">
        <v>418</v>
      </c>
      <c r="L488" s="88" t="s">
        <v>426</v>
      </c>
      <c r="M488" s="94" t="str">
        <f t="shared" si="10"/>
        <v>View on Google Map</v>
      </c>
    </row>
    <row r="489" spans="1:13" x14ac:dyDescent="0.2">
      <c r="A489" s="88">
        <v>490</v>
      </c>
      <c r="B489" s="88" t="s">
        <v>1426</v>
      </c>
      <c r="C489" s="88" t="s">
        <v>418</v>
      </c>
      <c r="D489" s="88" t="s">
        <v>418</v>
      </c>
      <c r="E489" s="88" t="s">
        <v>418</v>
      </c>
      <c r="F489" s="88">
        <v>127</v>
      </c>
      <c r="G489" s="88" t="s">
        <v>429</v>
      </c>
      <c r="H489" s="88" t="s">
        <v>418</v>
      </c>
      <c r="I489" s="88" t="s">
        <v>418</v>
      </c>
      <c r="J489" s="88" t="s">
        <v>479</v>
      </c>
      <c r="K489" s="88" t="s">
        <v>418</v>
      </c>
      <c r="L489" s="88" t="s">
        <v>426</v>
      </c>
      <c r="M489" s="94" t="str">
        <f t="shared" si="10"/>
        <v>View on Google Map</v>
      </c>
    </row>
    <row r="490" spans="1:13" x14ac:dyDescent="0.2">
      <c r="A490" s="88">
        <v>34</v>
      </c>
      <c r="B490" s="88" t="s">
        <v>1427</v>
      </c>
      <c r="C490" s="88" t="s">
        <v>418</v>
      </c>
      <c r="D490" s="88">
        <v>69.057400000000001</v>
      </c>
      <c r="E490" s="88">
        <v>-150.39599999999999</v>
      </c>
      <c r="F490" s="88">
        <v>274</v>
      </c>
      <c r="G490" s="88" t="s">
        <v>443</v>
      </c>
      <c r="H490" s="88" t="s">
        <v>418</v>
      </c>
      <c r="I490" s="88" t="s">
        <v>418</v>
      </c>
      <c r="J490" s="88" t="s">
        <v>479</v>
      </c>
      <c r="K490" s="88" t="s">
        <v>418</v>
      </c>
      <c r="L490" s="88" t="s">
        <v>426</v>
      </c>
      <c r="M490" s="94" t="str">
        <f t="shared" si="10"/>
        <v>View on Google Map</v>
      </c>
    </row>
    <row r="491" spans="1:13" x14ac:dyDescent="0.2">
      <c r="A491" s="88">
        <v>45</v>
      </c>
      <c r="B491" s="88" t="s">
        <v>1428</v>
      </c>
      <c r="C491" s="88" t="s">
        <v>418</v>
      </c>
      <c r="D491" s="88">
        <v>69.063298000000003</v>
      </c>
      <c r="E491" s="88">
        <v>-150.394711</v>
      </c>
      <c r="F491" s="88" t="s">
        <v>418</v>
      </c>
      <c r="G491" s="88" t="s">
        <v>443</v>
      </c>
      <c r="H491" s="88" t="s">
        <v>418</v>
      </c>
      <c r="I491" s="88" t="s">
        <v>418</v>
      </c>
      <c r="J491" s="88" t="s">
        <v>1429</v>
      </c>
      <c r="K491" s="88" t="s">
        <v>418</v>
      </c>
      <c r="L491" s="88" t="s">
        <v>426</v>
      </c>
      <c r="M491" s="94" t="str">
        <f t="shared" si="10"/>
        <v>View on Google Map</v>
      </c>
    </row>
    <row r="492" spans="1:13" x14ac:dyDescent="0.2">
      <c r="B492" s="88" t="s">
        <v>1430</v>
      </c>
      <c r="C492" s="88" t="s">
        <v>1431</v>
      </c>
      <c r="D492" s="88">
        <v>69.138333333333335</v>
      </c>
      <c r="E492" s="88">
        <v>-150.64916666666701</v>
      </c>
      <c r="G492" s="88" t="s">
        <v>437</v>
      </c>
      <c r="J492" s="88" t="s">
        <v>425</v>
      </c>
      <c r="L492" s="88" t="s">
        <v>426</v>
      </c>
      <c r="M492" s="94" t="str">
        <f t="shared" si="10"/>
        <v>View on Google Map</v>
      </c>
    </row>
    <row r="493" spans="1:13" x14ac:dyDescent="0.2">
      <c r="B493" s="88" t="s">
        <v>1432</v>
      </c>
      <c r="C493" s="88" t="s">
        <v>815</v>
      </c>
      <c r="D493" s="88">
        <v>69.152500000000003</v>
      </c>
      <c r="E493" s="88">
        <v>-150.706111111111</v>
      </c>
      <c r="G493" s="88" t="s">
        <v>437</v>
      </c>
      <c r="J493" s="88" t="s">
        <v>425</v>
      </c>
      <c r="L493" s="88" t="s">
        <v>426</v>
      </c>
      <c r="M493" s="94" t="str">
        <f t="shared" si="10"/>
        <v>View on Google Map</v>
      </c>
    </row>
    <row r="494" spans="1:13" x14ac:dyDescent="0.2">
      <c r="A494" s="88">
        <v>35</v>
      </c>
      <c r="B494" s="88" t="s">
        <v>1433</v>
      </c>
      <c r="C494" s="88" t="s">
        <v>418</v>
      </c>
      <c r="D494" s="88">
        <v>69.063333333333333</v>
      </c>
      <c r="E494" s="88">
        <v>-150.39333333333335</v>
      </c>
      <c r="F494" s="88">
        <v>281</v>
      </c>
      <c r="G494" s="88" t="s">
        <v>443</v>
      </c>
      <c r="H494" s="88" t="s">
        <v>418</v>
      </c>
      <c r="I494" s="88" t="s">
        <v>418</v>
      </c>
      <c r="J494" s="88" t="s">
        <v>479</v>
      </c>
      <c r="K494" s="88" t="s">
        <v>418</v>
      </c>
      <c r="L494" s="88" t="s">
        <v>426</v>
      </c>
      <c r="M494" s="94" t="str">
        <f t="shared" si="10"/>
        <v>View on Google Map</v>
      </c>
    </row>
    <row r="495" spans="1:13" x14ac:dyDescent="0.2">
      <c r="A495" s="88">
        <v>161</v>
      </c>
      <c r="B495" s="88" t="s">
        <v>1434</v>
      </c>
      <c r="C495" s="88" t="s">
        <v>1435</v>
      </c>
      <c r="D495" s="88">
        <v>68.599999999999994</v>
      </c>
      <c r="E495" s="88">
        <v>-149.18333333333334</v>
      </c>
      <c r="F495" s="88">
        <v>876</v>
      </c>
      <c r="G495" s="88" t="s">
        <v>429</v>
      </c>
      <c r="H495" s="88" t="s">
        <v>1436</v>
      </c>
      <c r="I495" s="88" t="s">
        <v>418</v>
      </c>
      <c r="J495" s="88" t="s">
        <v>444</v>
      </c>
      <c r="K495" s="88" t="s">
        <v>418</v>
      </c>
      <c r="L495" s="88" t="s">
        <v>445</v>
      </c>
      <c r="M495" s="94" t="str">
        <f t="shared" si="10"/>
        <v>View on Google Map</v>
      </c>
    </row>
    <row r="496" spans="1:13" x14ac:dyDescent="0.2">
      <c r="A496" s="88">
        <v>162</v>
      </c>
      <c r="B496" s="88" t="s">
        <v>1437</v>
      </c>
      <c r="C496" s="88" t="s">
        <v>1435</v>
      </c>
      <c r="D496" s="88">
        <v>68.583333333333329</v>
      </c>
      <c r="E496" s="88">
        <v>-149.19999999999999</v>
      </c>
      <c r="F496" s="88">
        <v>892</v>
      </c>
      <c r="G496" s="88" t="s">
        <v>429</v>
      </c>
      <c r="H496" s="88" t="s">
        <v>1438</v>
      </c>
      <c r="I496" s="88" t="s">
        <v>418</v>
      </c>
      <c r="J496" s="88" t="s">
        <v>444</v>
      </c>
      <c r="K496" s="88" t="s">
        <v>418</v>
      </c>
      <c r="L496" s="88" t="s">
        <v>445</v>
      </c>
      <c r="M496" s="94" t="str">
        <f t="shared" si="10"/>
        <v>View on Google Map</v>
      </c>
    </row>
    <row r="497" spans="1:13" x14ac:dyDescent="0.2">
      <c r="A497" s="88">
        <v>163</v>
      </c>
      <c r="B497" s="88" t="s">
        <v>1439</v>
      </c>
      <c r="C497" s="88" t="s">
        <v>1435</v>
      </c>
      <c r="D497" s="88">
        <v>68.599999999999994</v>
      </c>
      <c r="E497" s="88">
        <v>-149.16666666666666</v>
      </c>
      <c r="F497" s="88">
        <v>876</v>
      </c>
      <c r="G497" s="88" t="s">
        <v>429</v>
      </c>
      <c r="H497" s="88" t="s">
        <v>1440</v>
      </c>
      <c r="I497" s="88" t="s">
        <v>418</v>
      </c>
      <c r="J497" s="88" t="s">
        <v>444</v>
      </c>
      <c r="K497" s="88" t="s">
        <v>418</v>
      </c>
      <c r="L497" s="88" t="s">
        <v>445</v>
      </c>
      <c r="M497" s="94" t="str">
        <f t="shared" si="10"/>
        <v>View on Google Map</v>
      </c>
    </row>
    <row r="498" spans="1:13" x14ac:dyDescent="0.2">
      <c r="A498" s="88">
        <v>5</v>
      </c>
      <c r="B498" s="88" t="s">
        <v>1441</v>
      </c>
      <c r="C498" s="88" t="s">
        <v>1030</v>
      </c>
      <c r="D498" s="88">
        <v>68.671486221999999</v>
      </c>
      <c r="E498" s="88">
        <v>-149.1281271</v>
      </c>
      <c r="F498" s="88">
        <v>761.75599999999997</v>
      </c>
      <c r="G498" s="88" t="s">
        <v>955</v>
      </c>
      <c r="J498" s="3" t="s">
        <v>444</v>
      </c>
      <c r="M498" s="94" t="str">
        <f t="shared" si="10"/>
        <v>View on Google Map</v>
      </c>
    </row>
    <row r="499" spans="1:13" x14ac:dyDescent="0.2">
      <c r="A499" s="88">
        <v>5</v>
      </c>
      <c r="B499" s="88" t="s">
        <v>1442</v>
      </c>
      <c r="C499" s="88" t="s">
        <v>1030</v>
      </c>
      <c r="D499" s="88">
        <v>68.671371694000001</v>
      </c>
      <c r="E499" s="88">
        <v>-149.131155484</v>
      </c>
      <c r="F499" s="88">
        <v>763.88099999999997</v>
      </c>
      <c r="G499" s="88" t="s">
        <v>955</v>
      </c>
      <c r="J499" s="3" t="s">
        <v>444</v>
      </c>
      <c r="M499" s="94" t="str">
        <f t="shared" si="10"/>
        <v>View on Google Map</v>
      </c>
    </row>
    <row r="500" spans="1:13" x14ac:dyDescent="0.2">
      <c r="A500" s="88">
        <v>5</v>
      </c>
      <c r="B500" s="88" t="s">
        <v>1443</v>
      </c>
      <c r="C500" s="88" t="s">
        <v>1030</v>
      </c>
      <c r="D500" s="88">
        <v>68.671018009999997</v>
      </c>
      <c r="E500" s="88">
        <v>-149.13789268599999</v>
      </c>
      <c r="F500" s="88">
        <v>764.53700000000003</v>
      </c>
      <c r="G500" s="88" t="s">
        <v>955</v>
      </c>
      <c r="J500" s="3" t="s">
        <v>444</v>
      </c>
      <c r="M500" s="94" t="str">
        <f t="shared" si="10"/>
        <v>View on Google Map</v>
      </c>
    </row>
    <row r="501" spans="1:13" x14ac:dyDescent="0.2">
      <c r="A501" s="88">
        <v>5</v>
      </c>
      <c r="B501" s="88" t="s">
        <v>1444</v>
      </c>
      <c r="C501" s="88" t="s">
        <v>1040</v>
      </c>
      <c r="D501" s="88">
        <v>68.677193270000004</v>
      </c>
      <c r="E501" s="88">
        <v>-149.121792258</v>
      </c>
      <c r="F501" s="88">
        <v>763.74300000000005</v>
      </c>
      <c r="G501" s="88" t="s">
        <v>955</v>
      </c>
      <c r="J501" s="3" t="s">
        <v>444</v>
      </c>
      <c r="M501" s="94" t="str">
        <f t="shared" si="10"/>
        <v>View on Google Map</v>
      </c>
    </row>
    <row r="502" spans="1:13" x14ac:dyDescent="0.2">
      <c r="A502" s="88">
        <v>5</v>
      </c>
      <c r="B502" s="88" t="s">
        <v>1445</v>
      </c>
      <c r="C502" s="88" t="s">
        <v>1040</v>
      </c>
      <c r="D502" s="88">
        <v>68.679780992000005</v>
      </c>
      <c r="E502" s="88">
        <v>-149.114206438</v>
      </c>
      <c r="F502" s="88">
        <v>762.678</v>
      </c>
      <c r="G502" s="88" t="s">
        <v>955</v>
      </c>
      <c r="J502" s="3" t="s">
        <v>444</v>
      </c>
      <c r="M502" s="94" t="str">
        <f t="shared" si="10"/>
        <v>View on Google Map</v>
      </c>
    </row>
    <row r="503" spans="1:13" x14ac:dyDescent="0.2">
      <c r="A503" s="88">
        <v>5</v>
      </c>
      <c r="B503" s="88" t="s">
        <v>1446</v>
      </c>
      <c r="C503" s="88" t="s">
        <v>442</v>
      </c>
      <c r="D503" s="88">
        <v>68.687399999999997</v>
      </c>
      <c r="E503" s="88">
        <v>-149.095</v>
      </c>
      <c r="F503" s="88">
        <v>754</v>
      </c>
      <c r="G503" s="88" t="s">
        <v>443</v>
      </c>
      <c r="H503" s="88" t="s">
        <v>1447</v>
      </c>
      <c r="I503" s="88" t="s">
        <v>1448</v>
      </c>
      <c r="J503" s="88" t="s">
        <v>444</v>
      </c>
      <c r="K503" s="88" t="s">
        <v>418</v>
      </c>
      <c r="L503" s="88" t="s">
        <v>445</v>
      </c>
      <c r="M503" s="94" t="str">
        <f t="shared" si="10"/>
        <v>View on Google Map</v>
      </c>
    </row>
    <row r="504" spans="1:13" x14ac:dyDescent="0.2">
      <c r="A504" s="88">
        <v>5</v>
      </c>
      <c r="B504" s="88" t="s">
        <v>1449</v>
      </c>
      <c r="C504" s="88" t="s">
        <v>1060</v>
      </c>
      <c r="D504" s="88">
        <v>68.672870447999998</v>
      </c>
      <c r="E504" s="88">
        <v>-149.124843486</v>
      </c>
      <c r="G504" s="88" t="s">
        <v>955</v>
      </c>
      <c r="J504" s="3" t="s">
        <v>444</v>
      </c>
      <c r="M504" s="94" t="str">
        <f t="shared" si="10"/>
        <v>View on Google Map</v>
      </c>
    </row>
    <row r="505" spans="1:13" x14ac:dyDescent="0.2">
      <c r="A505" s="88">
        <v>5</v>
      </c>
      <c r="B505" s="88" t="s">
        <v>1450</v>
      </c>
      <c r="C505" s="88" t="s">
        <v>1451</v>
      </c>
      <c r="D505" s="88">
        <v>68.686037823000007</v>
      </c>
      <c r="E505" s="88">
        <v>-149.0990032</v>
      </c>
      <c r="G505" s="88" t="s">
        <v>955</v>
      </c>
      <c r="J505" s="3" t="s">
        <v>444</v>
      </c>
      <c r="M505" s="94" t="str">
        <f t="shared" si="10"/>
        <v>View on Google Map</v>
      </c>
    </row>
    <row r="506" spans="1:13" x14ac:dyDescent="0.2">
      <c r="A506" s="88">
        <v>491</v>
      </c>
      <c r="B506" s="88" t="s">
        <v>1452</v>
      </c>
      <c r="C506" s="88" t="s">
        <v>418</v>
      </c>
      <c r="D506" s="88">
        <v>68.941266666999994</v>
      </c>
      <c r="E506" s="88">
        <v>-150.5068</v>
      </c>
      <c r="F506" s="88">
        <v>408</v>
      </c>
      <c r="G506" s="88" t="s">
        <v>429</v>
      </c>
      <c r="H506" s="88" t="s">
        <v>1453</v>
      </c>
      <c r="I506" s="88" t="s">
        <v>418</v>
      </c>
      <c r="J506" s="88" t="s">
        <v>479</v>
      </c>
      <c r="K506" s="88" t="s">
        <v>418</v>
      </c>
      <c r="L506" s="88" t="s">
        <v>426</v>
      </c>
      <c r="M506" s="94" t="str">
        <f t="shared" si="10"/>
        <v>View on Google Map</v>
      </c>
    </row>
    <row r="507" spans="1:13" x14ac:dyDescent="0.2">
      <c r="A507" s="88">
        <v>492</v>
      </c>
      <c r="B507" s="88" t="s">
        <v>1454</v>
      </c>
      <c r="C507" s="88" t="s">
        <v>418</v>
      </c>
      <c r="D507" s="88" t="s">
        <v>418</v>
      </c>
      <c r="E507" s="88" t="s">
        <v>418</v>
      </c>
      <c r="F507" s="88">
        <v>408</v>
      </c>
      <c r="G507" s="88" t="s">
        <v>429</v>
      </c>
      <c r="H507" s="88" t="s">
        <v>1455</v>
      </c>
      <c r="I507" s="88" t="s">
        <v>418</v>
      </c>
      <c r="J507" s="88" t="s">
        <v>479</v>
      </c>
      <c r="K507" s="88" t="s">
        <v>418</v>
      </c>
      <c r="L507" s="88" t="s">
        <v>426</v>
      </c>
      <c r="M507" s="94" t="str">
        <f t="shared" si="10"/>
        <v>View on Google Map</v>
      </c>
    </row>
    <row r="508" spans="1:13" x14ac:dyDescent="0.2">
      <c r="A508" s="88">
        <v>1172</v>
      </c>
      <c r="B508" s="88" t="s">
        <v>1456</v>
      </c>
      <c r="C508" s="88" t="s">
        <v>418</v>
      </c>
      <c r="D508" s="88">
        <v>68.99666666666667</v>
      </c>
      <c r="E508" s="88">
        <v>-150.21249999999998</v>
      </c>
      <c r="F508" s="88" t="s">
        <v>418</v>
      </c>
      <c r="G508" s="88" t="s">
        <v>419</v>
      </c>
      <c r="H508" s="88" t="s">
        <v>1457</v>
      </c>
      <c r="I508" s="88" t="s">
        <v>418</v>
      </c>
      <c r="J508" s="88" t="s">
        <v>425</v>
      </c>
      <c r="K508" s="88" t="s">
        <v>418</v>
      </c>
      <c r="L508" s="88" t="s">
        <v>426</v>
      </c>
      <c r="M508" s="94" t="str">
        <f t="shared" si="10"/>
        <v>View on Google Map</v>
      </c>
    </row>
    <row r="509" spans="1:13" x14ac:dyDescent="0.2">
      <c r="A509" s="88">
        <v>493</v>
      </c>
      <c r="B509" s="88" t="s">
        <v>1458</v>
      </c>
      <c r="C509" s="88" t="s">
        <v>418</v>
      </c>
      <c r="D509" s="88">
        <v>68.974933332999996</v>
      </c>
      <c r="E509" s="88">
        <v>-150.221066667</v>
      </c>
      <c r="F509" s="88">
        <v>364</v>
      </c>
      <c r="G509" s="88" t="s">
        <v>429</v>
      </c>
      <c r="H509" s="88" t="s">
        <v>418</v>
      </c>
      <c r="I509" s="88" t="s">
        <v>418</v>
      </c>
      <c r="J509" s="88" t="s">
        <v>479</v>
      </c>
      <c r="K509" s="88" t="s">
        <v>418</v>
      </c>
      <c r="L509" s="88" t="s">
        <v>426</v>
      </c>
      <c r="M509" s="94" t="str">
        <f t="shared" si="10"/>
        <v>View on Google Map</v>
      </c>
    </row>
    <row r="510" spans="1:13" x14ac:dyDescent="0.2">
      <c r="A510" s="88">
        <v>405</v>
      </c>
      <c r="B510" s="88" t="s">
        <v>1459</v>
      </c>
      <c r="C510" s="88" t="s">
        <v>418</v>
      </c>
      <c r="D510" s="88" t="s">
        <v>418</v>
      </c>
      <c r="E510" s="88" t="s">
        <v>418</v>
      </c>
      <c r="F510" s="88" t="s">
        <v>418</v>
      </c>
      <c r="G510" s="88" t="s">
        <v>429</v>
      </c>
      <c r="H510" s="88" t="s">
        <v>418</v>
      </c>
      <c r="I510" s="88" t="s">
        <v>418</v>
      </c>
      <c r="J510" s="88" t="s">
        <v>444</v>
      </c>
      <c r="K510" s="88" t="s">
        <v>418</v>
      </c>
      <c r="L510" s="88" t="s">
        <v>600</v>
      </c>
      <c r="M510" s="94" t="str">
        <f t="shared" si="10"/>
        <v>View on Google Map</v>
      </c>
    </row>
    <row r="511" spans="1:13" x14ac:dyDescent="0.2">
      <c r="A511" s="88">
        <v>505</v>
      </c>
      <c r="B511" s="88" t="s">
        <v>1460</v>
      </c>
      <c r="C511" s="88" t="s">
        <v>418</v>
      </c>
      <c r="D511" s="88">
        <v>68.921059</v>
      </c>
      <c r="E511" s="88">
        <v>-150.34784300000001</v>
      </c>
      <c r="F511" s="88" t="s">
        <v>418</v>
      </c>
      <c r="G511" s="88" t="s">
        <v>429</v>
      </c>
      <c r="H511" s="88" t="s">
        <v>418</v>
      </c>
      <c r="I511" s="88" t="s">
        <v>418</v>
      </c>
      <c r="J511" s="88" t="s">
        <v>479</v>
      </c>
      <c r="K511" s="88" t="s">
        <v>418</v>
      </c>
      <c r="L511" s="88" t="s">
        <v>426</v>
      </c>
      <c r="M511" s="94" t="str">
        <f t="shared" si="10"/>
        <v>View on Google Map</v>
      </c>
    </row>
    <row r="512" spans="1:13" x14ac:dyDescent="0.2">
      <c r="A512" s="88">
        <v>506</v>
      </c>
      <c r="B512" s="88" t="s">
        <v>1461</v>
      </c>
      <c r="C512" s="88" t="s">
        <v>418</v>
      </c>
      <c r="D512" s="88">
        <v>68.921186000000006</v>
      </c>
      <c r="E512" s="88">
        <v>-150.37015</v>
      </c>
      <c r="F512" s="88" t="s">
        <v>418</v>
      </c>
      <c r="G512" s="88" t="s">
        <v>429</v>
      </c>
      <c r="H512" s="88" t="s">
        <v>418</v>
      </c>
      <c r="I512" s="88" t="s">
        <v>418</v>
      </c>
      <c r="J512" s="88" t="s">
        <v>479</v>
      </c>
      <c r="K512" s="88" t="s">
        <v>418</v>
      </c>
      <c r="L512" s="88" t="s">
        <v>426</v>
      </c>
      <c r="M512" s="94" t="str">
        <f t="shared" si="10"/>
        <v>View on Google Map</v>
      </c>
    </row>
    <row r="513" spans="1:13" x14ac:dyDescent="0.2">
      <c r="A513" s="88">
        <v>507</v>
      </c>
      <c r="B513" s="88" t="s">
        <v>1462</v>
      </c>
      <c r="C513" s="88" t="s">
        <v>418</v>
      </c>
      <c r="D513" s="88">
        <v>68.936953000000003</v>
      </c>
      <c r="E513" s="88">
        <v>-150.35309699999999</v>
      </c>
      <c r="F513" s="88" t="s">
        <v>418</v>
      </c>
      <c r="G513" s="88" t="s">
        <v>429</v>
      </c>
      <c r="H513" s="88" t="s">
        <v>418</v>
      </c>
      <c r="I513" s="88" t="s">
        <v>418</v>
      </c>
      <c r="J513" s="88" t="s">
        <v>479</v>
      </c>
      <c r="K513" s="88" t="s">
        <v>418</v>
      </c>
      <c r="L513" s="88" t="s">
        <v>426</v>
      </c>
      <c r="M513" s="94" t="str">
        <f t="shared" si="10"/>
        <v>View on Google Map</v>
      </c>
    </row>
    <row r="514" spans="1:13" x14ac:dyDescent="0.2">
      <c r="A514" s="88">
        <v>12</v>
      </c>
      <c r="B514" s="88" t="s">
        <v>1463</v>
      </c>
      <c r="C514" s="88" t="s">
        <v>418</v>
      </c>
      <c r="D514" s="88" t="s">
        <v>418</v>
      </c>
      <c r="E514" s="88" t="s">
        <v>418</v>
      </c>
      <c r="F514" s="88" t="s">
        <v>418</v>
      </c>
      <c r="G514" s="88" t="s">
        <v>443</v>
      </c>
      <c r="H514" s="88" t="s">
        <v>418</v>
      </c>
      <c r="I514" s="88" t="s">
        <v>418</v>
      </c>
      <c r="J514" s="88" t="s">
        <v>444</v>
      </c>
      <c r="K514" s="88" t="s">
        <v>418</v>
      </c>
      <c r="L514" s="88" t="s">
        <v>418</v>
      </c>
      <c r="M514" s="94" t="str">
        <f t="shared" si="10"/>
        <v>View on Google Map</v>
      </c>
    </row>
    <row r="515" spans="1:13" x14ac:dyDescent="0.2">
      <c r="A515" s="88">
        <v>4</v>
      </c>
      <c r="B515" s="88" t="s">
        <v>1464</v>
      </c>
      <c r="C515" s="88" t="s">
        <v>442</v>
      </c>
      <c r="D515" s="88">
        <v>68.38333333333334</v>
      </c>
      <c r="E515" s="88">
        <v>-149.31666666666666</v>
      </c>
      <c r="F515" s="88">
        <v>869</v>
      </c>
      <c r="G515" s="88" t="s">
        <v>443</v>
      </c>
      <c r="H515" s="88" t="s">
        <v>1465</v>
      </c>
      <c r="I515" s="88" t="s">
        <v>1466</v>
      </c>
      <c r="J515" s="88" t="s">
        <v>444</v>
      </c>
      <c r="K515" s="88" t="s">
        <v>418</v>
      </c>
      <c r="L515" s="88" t="s">
        <v>445</v>
      </c>
      <c r="M515" s="94" t="str">
        <f t="shared" ref="M515:M578" si="11">HYPERLINK("http://maps.google.com/maps?q="&amp;D515&amp;","&amp;E515,"View on Google Map")</f>
        <v>View on Google Map</v>
      </c>
    </row>
    <row r="516" spans="1:13" x14ac:dyDescent="0.2">
      <c r="A516" s="88">
        <v>148</v>
      </c>
      <c r="B516" s="88" t="s">
        <v>1467</v>
      </c>
      <c r="C516" s="88" t="s">
        <v>418</v>
      </c>
      <c r="D516" s="88">
        <v>68.624535966600007</v>
      </c>
      <c r="E516" s="88">
        <v>-149.60216609099999</v>
      </c>
      <c r="F516" s="88">
        <v>720</v>
      </c>
      <c r="G516" s="88" t="s">
        <v>429</v>
      </c>
      <c r="H516" s="88" t="s">
        <v>418</v>
      </c>
      <c r="I516" s="88" t="s">
        <v>418</v>
      </c>
      <c r="J516" s="88" t="s">
        <v>444</v>
      </c>
      <c r="K516" s="88" t="s">
        <v>418</v>
      </c>
      <c r="L516" s="88" t="s">
        <v>418</v>
      </c>
      <c r="M516" s="94" t="str">
        <f t="shared" si="11"/>
        <v>View on Google Map</v>
      </c>
    </row>
    <row r="517" spans="1:13" x14ac:dyDescent="0.2">
      <c r="A517" s="88">
        <v>241</v>
      </c>
      <c r="B517" s="88" t="s">
        <v>1467</v>
      </c>
      <c r="C517" s="88" t="s">
        <v>418</v>
      </c>
      <c r="D517" s="88">
        <v>68.624535966600007</v>
      </c>
      <c r="E517" s="88">
        <v>-149.60216609099999</v>
      </c>
      <c r="F517" s="88" t="s">
        <v>418</v>
      </c>
      <c r="G517" s="88" t="s">
        <v>429</v>
      </c>
      <c r="H517" s="88" t="s">
        <v>418</v>
      </c>
      <c r="I517" s="88" t="s">
        <v>418</v>
      </c>
      <c r="J517" s="88" t="s">
        <v>444</v>
      </c>
      <c r="K517" s="88" t="s">
        <v>418</v>
      </c>
      <c r="L517" s="88" t="s">
        <v>418</v>
      </c>
      <c r="M517" s="94" t="str">
        <f t="shared" si="11"/>
        <v>View on Google Map</v>
      </c>
    </row>
    <row r="518" spans="1:13" x14ac:dyDescent="0.2">
      <c r="A518" s="88">
        <v>149</v>
      </c>
      <c r="B518" s="88" t="s">
        <v>1468</v>
      </c>
      <c r="C518" s="88" t="s">
        <v>418</v>
      </c>
      <c r="D518" s="88">
        <v>68.627169078600005</v>
      </c>
      <c r="E518" s="88">
        <v>-149.61135296200001</v>
      </c>
      <c r="F518" s="88">
        <v>720</v>
      </c>
      <c r="G518" s="88" t="s">
        <v>429</v>
      </c>
      <c r="H518" s="88" t="s">
        <v>418</v>
      </c>
      <c r="I518" s="88" t="s">
        <v>418</v>
      </c>
      <c r="J518" s="88" t="s">
        <v>444</v>
      </c>
      <c r="K518" s="88" t="s">
        <v>418</v>
      </c>
      <c r="L518" s="88" t="s">
        <v>418</v>
      </c>
      <c r="M518" s="94" t="str">
        <f t="shared" si="11"/>
        <v>View on Google Map</v>
      </c>
    </row>
    <row r="519" spans="1:13" x14ac:dyDescent="0.2">
      <c r="A519" s="88">
        <v>150</v>
      </c>
      <c r="B519" s="88" t="s">
        <v>1469</v>
      </c>
      <c r="C519" s="88" t="s">
        <v>418</v>
      </c>
      <c r="D519" s="88">
        <v>68.628818623300006</v>
      </c>
      <c r="E519" s="88">
        <v>-149.62482197599999</v>
      </c>
      <c r="F519" s="88">
        <v>720</v>
      </c>
      <c r="G519" s="88" t="s">
        <v>429</v>
      </c>
      <c r="H519" s="88" t="s">
        <v>418</v>
      </c>
      <c r="I519" s="88" t="s">
        <v>418</v>
      </c>
      <c r="J519" s="88" t="s">
        <v>444</v>
      </c>
      <c r="K519" s="88" t="s">
        <v>418</v>
      </c>
      <c r="L519" s="88" t="s">
        <v>418</v>
      </c>
      <c r="M519" s="94" t="str">
        <f t="shared" si="11"/>
        <v>View on Google Map</v>
      </c>
    </row>
    <row r="520" spans="1:13" x14ac:dyDescent="0.2">
      <c r="A520" s="88">
        <v>151</v>
      </c>
      <c r="B520" s="88" t="s">
        <v>1470</v>
      </c>
      <c r="C520" s="88" t="s">
        <v>418</v>
      </c>
      <c r="D520" s="88">
        <v>68.630949932700005</v>
      </c>
      <c r="E520" s="88">
        <v>-149.62993150400001</v>
      </c>
      <c r="F520" s="88" t="s">
        <v>418</v>
      </c>
      <c r="G520" s="88" t="s">
        <v>429</v>
      </c>
      <c r="H520" s="88" t="s">
        <v>418</v>
      </c>
      <c r="I520" s="88" t="s">
        <v>418</v>
      </c>
      <c r="J520" s="88" t="s">
        <v>444</v>
      </c>
      <c r="K520" s="88" t="s">
        <v>418</v>
      </c>
      <c r="L520" s="88" t="s">
        <v>418</v>
      </c>
      <c r="M520" s="94" t="str">
        <f t="shared" si="11"/>
        <v>View on Google Map</v>
      </c>
    </row>
    <row r="521" spans="1:13" x14ac:dyDescent="0.2">
      <c r="A521" s="88">
        <v>106</v>
      </c>
      <c r="B521" s="88" t="s">
        <v>1471</v>
      </c>
      <c r="C521" s="88" t="s">
        <v>418</v>
      </c>
      <c r="D521" s="88">
        <v>68.631431924799998</v>
      </c>
      <c r="E521" s="88">
        <v>-149.63669249099999</v>
      </c>
      <c r="F521" s="88">
        <v>725</v>
      </c>
      <c r="G521" s="88" t="s">
        <v>429</v>
      </c>
      <c r="H521" s="88" t="s">
        <v>1472</v>
      </c>
      <c r="I521" s="88" t="s">
        <v>418</v>
      </c>
      <c r="J521" s="88" t="s">
        <v>444</v>
      </c>
      <c r="K521" s="88" t="s">
        <v>418</v>
      </c>
      <c r="L521" s="88" t="s">
        <v>418</v>
      </c>
      <c r="M521" s="94" t="str">
        <f t="shared" si="11"/>
        <v>View on Google Map</v>
      </c>
    </row>
    <row r="522" spans="1:13" x14ac:dyDescent="0.2">
      <c r="A522" s="88">
        <v>107</v>
      </c>
      <c r="B522" s="88" t="s">
        <v>1473</v>
      </c>
      <c r="C522" s="88" t="s">
        <v>418</v>
      </c>
      <c r="D522" s="88">
        <v>68.629379781599994</v>
      </c>
      <c r="E522" s="88">
        <v>-149.64162329499999</v>
      </c>
      <c r="F522" s="88">
        <v>731</v>
      </c>
      <c r="G522" s="88" t="s">
        <v>429</v>
      </c>
      <c r="H522" s="88" t="s">
        <v>1474</v>
      </c>
      <c r="I522" s="88" t="s">
        <v>418</v>
      </c>
      <c r="J522" s="88" t="s">
        <v>444</v>
      </c>
      <c r="K522" s="88" t="s">
        <v>418</v>
      </c>
      <c r="L522" s="88" t="s">
        <v>418</v>
      </c>
      <c r="M522" s="94" t="str">
        <f t="shared" si="11"/>
        <v>View on Google Map</v>
      </c>
    </row>
    <row r="523" spans="1:13" x14ac:dyDescent="0.2">
      <c r="A523" s="88">
        <v>1603</v>
      </c>
      <c r="B523" s="88" t="s">
        <v>1475</v>
      </c>
      <c r="C523" s="88" t="s">
        <v>418</v>
      </c>
      <c r="D523" s="88" t="s">
        <v>418</v>
      </c>
      <c r="E523" s="88" t="s">
        <v>418</v>
      </c>
      <c r="F523" s="88" t="s">
        <v>418</v>
      </c>
      <c r="G523" s="88" t="s">
        <v>443</v>
      </c>
      <c r="H523" s="88" t="s">
        <v>1476</v>
      </c>
      <c r="I523" s="88" t="s">
        <v>1477</v>
      </c>
      <c r="J523" s="88" t="s">
        <v>444</v>
      </c>
      <c r="K523" s="88" t="s">
        <v>418</v>
      </c>
      <c r="L523" s="88" t="s">
        <v>418</v>
      </c>
      <c r="M523" s="94" t="str">
        <f t="shared" si="11"/>
        <v>View on Google Map</v>
      </c>
    </row>
    <row r="524" spans="1:13" x14ac:dyDescent="0.2">
      <c r="A524" s="88">
        <v>152</v>
      </c>
      <c r="B524" s="88" t="s">
        <v>1478</v>
      </c>
      <c r="C524" s="88" t="s">
        <v>418</v>
      </c>
      <c r="D524" s="88">
        <v>68.630062744699998</v>
      </c>
      <c r="E524" s="88">
        <v>-149.64444178900001</v>
      </c>
      <c r="F524" s="88">
        <v>731</v>
      </c>
      <c r="G524" s="88" t="s">
        <v>429</v>
      </c>
      <c r="H524" s="88" t="s">
        <v>418</v>
      </c>
      <c r="I524" s="88" t="s">
        <v>418</v>
      </c>
      <c r="J524" s="88" t="s">
        <v>444</v>
      </c>
      <c r="K524" s="88" t="s">
        <v>418</v>
      </c>
      <c r="L524" s="88" t="s">
        <v>418</v>
      </c>
      <c r="M524" s="94" t="str">
        <f t="shared" si="11"/>
        <v>View on Google Map</v>
      </c>
    </row>
    <row r="525" spans="1:13" x14ac:dyDescent="0.2">
      <c r="A525" s="88">
        <v>1601</v>
      </c>
      <c r="B525" s="88" t="s">
        <v>1479</v>
      </c>
      <c r="C525" s="88" t="s">
        <v>418</v>
      </c>
      <c r="D525" s="88" t="s">
        <v>418</v>
      </c>
      <c r="E525" s="88" t="s">
        <v>418</v>
      </c>
      <c r="F525" s="88" t="s">
        <v>418</v>
      </c>
      <c r="G525" s="88" t="s">
        <v>418</v>
      </c>
      <c r="H525" s="88" t="s">
        <v>1480</v>
      </c>
      <c r="I525" s="88" t="s">
        <v>1481</v>
      </c>
      <c r="J525" s="3" t="s">
        <v>444</v>
      </c>
      <c r="K525" s="88" t="s">
        <v>418</v>
      </c>
      <c r="L525" s="88" t="s">
        <v>418</v>
      </c>
      <c r="M525" s="94" t="str">
        <f t="shared" si="11"/>
        <v>View on Google Map</v>
      </c>
    </row>
    <row r="526" spans="1:13" x14ac:dyDescent="0.2">
      <c r="A526" s="88">
        <v>1602</v>
      </c>
      <c r="B526" s="88" t="s">
        <v>1482</v>
      </c>
      <c r="C526" s="88" t="s">
        <v>418</v>
      </c>
      <c r="D526" s="88" t="s">
        <v>418</v>
      </c>
      <c r="E526" s="88" t="s">
        <v>418</v>
      </c>
      <c r="F526" s="88" t="s">
        <v>418</v>
      </c>
      <c r="G526" s="88" t="s">
        <v>418</v>
      </c>
      <c r="H526" s="88" t="s">
        <v>1483</v>
      </c>
      <c r="I526" s="88" t="s">
        <v>1484</v>
      </c>
      <c r="J526" s="3" t="s">
        <v>444</v>
      </c>
      <c r="K526" s="88" t="s">
        <v>418</v>
      </c>
      <c r="L526" s="88" t="s">
        <v>418</v>
      </c>
      <c r="M526" s="94" t="str">
        <f t="shared" si="11"/>
        <v>View on Google Map</v>
      </c>
    </row>
    <row r="527" spans="1:13" x14ac:dyDescent="0.2">
      <c r="A527" s="88">
        <v>153</v>
      </c>
      <c r="B527" s="88" t="s">
        <v>1485</v>
      </c>
      <c r="C527" s="88" t="s">
        <v>418</v>
      </c>
      <c r="D527" s="88" t="s">
        <v>418</v>
      </c>
      <c r="E527" s="88" t="s">
        <v>418</v>
      </c>
      <c r="F527" s="88" t="s">
        <v>418</v>
      </c>
      <c r="G527" s="88" t="s">
        <v>429</v>
      </c>
      <c r="H527" s="88" t="s">
        <v>418</v>
      </c>
      <c r="I527" s="88" t="s">
        <v>418</v>
      </c>
      <c r="J527" s="88" t="s">
        <v>444</v>
      </c>
      <c r="K527" s="88" t="s">
        <v>418</v>
      </c>
      <c r="L527" s="88" t="s">
        <v>418</v>
      </c>
      <c r="M527" s="94" t="str">
        <f t="shared" si="11"/>
        <v>View on Google Map</v>
      </c>
    </row>
    <row r="528" spans="1:13" x14ac:dyDescent="0.2">
      <c r="A528" s="88">
        <v>154</v>
      </c>
      <c r="B528" s="88" t="s">
        <v>1486</v>
      </c>
      <c r="C528" s="88" t="s">
        <v>418</v>
      </c>
      <c r="D528" s="88" t="s">
        <v>418</v>
      </c>
      <c r="E528" s="88" t="s">
        <v>418</v>
      </c>
      <c r="F528" s="88" t="s">
        <v>418</v>
      </c>
      <c r="G528" s="88" t="s">
        <v>429</v>
      </c>
      <c r="H528" s="88" t="s">
        <v>418</v>
      </c>
      <c r="I528" s="88" t="s">
        <v>418</v>
      </c>
      <c r="J528" s="88" t="s">
        <v>444</v>
      </c>
      <c r="K528" s="88" t="s">
        <v>418</v>
      </c>
      <c r="L528" s="88" t="s">
        <v>418</v>
      </c>
      <c r="M528" s="94" t="str">
        <f t="shared" si="11"/>
        <v>View on Google Map</v>
      </c>
    </row>
    <row r="529" spans="1:13" x14ac:dyDescent="0.2">
      <c r="A529" s="88">
        <v>155</v>
      </c>
      <c r="B529" s="88" t="s">
        <v>1487</v>
      </c>
      <c r="C529" s="88" t="s">
        <v>418</v>
      </c>
      <c r="D529" s="88" t="s">
        <v>418</v>
      </c>
      <c r="E529" s="88" t="s">
        <v>418</v>
      </c>
      <c r="F529" s="88" t="s">
        <v>418</v>
      </c>
      <c r="G529" s="88" t="s">
        <v>429</v>
      </c>
      <c r="H529" s="88" t="s">
        <v>418</v>
      </c>
      <c r="I529" s="88" t="s">
        <v>418</v>
      </c>
      <c r="J529" s="88" t="s">
        <v>444</v>
      </c>
      <c r="K529" s="88" t="s">
        <v>418</v>
      </c>
      <c r="L529" s="88" t="s">
        <v>418</v>
      </c>
      <c r="M529" s="94" t="str">
        <f t="shared" si="11"/>
        <v>View on Google Map</v>
      </c>
    </row>
    <row r="530" spans="1:13" x14ac:dyDescent="0.2">
      <c r="A530" s="88">
        <v>156</v>
      </c>
      <c r="B530" s="88" t="s">
        <v>1488</v>
      </c>
      <c r="C530" s="88" t="s">
        <v>418</v>
      </c>
      <c r="D530" s="88">
        <v>68.630148048999999</v>
      </c>
      <c r="E530" s="88">
        <v>-149.65057914499999</v>
      </c>
      <c r="F530" s="88">
        <v>750</v>
      </c>
      <c r="G530" s="88" t="s">
        <v>429</v>
      </c>
      <c r="H530" s="88" t="s">
        <v>418</v>
      </c>
      <c r="I530" s="88" t="s">
        <v>418</v>
      </c>
      <c r="J530" s="88" t="s">
        <v>444</v>
      </c>
      <c r="K530" s="88" t="s">
        <v>418</v>
      </c>
      <c r="L530" s="88" t="s">
        <v>418</v>
      </c>
      <c r="M530" s="94" t="str">
        <f t="shared" si="11"/>
        <v>View on Google Map</v>
      </c>
    </row>
    <row r="531" spans="1:13" x14ac:dyDescent="0.2">
      <c r="A531" s="88">
        <v>157</v>
      </c>
      <c r="B531" s="88" t="s">
        <v>1489</v>
      </c>
      <c r="C531" s="88" t="s">
        <v>418</v>
      </c>
      <c r="D531" s="88">
        <v>68.629627802900004</v>
      </c>
      <c r="E531" s="88">
        <v>-149.655880887</v>
      </c>
      <c r="F531" s="88">
        <v>754</v>
      </c>
      <c r="G531" s="88" t="s">
        <v>429</v>
      </c>
      <c r="H531" s="88" t="s">
        <v>418</v>
      </c>
      <c r="I531" s="88" t="s">
        <v>418</v>
      </c>
      <c r="J531" s="88" t="s">
        <v>444</v>
      </c>
      <c r="K531" s="88" t="s">
        <v>418</v>
      </c>
      <c r="L531" s="88" t="s">
        <v>418</v>
      </c>
      <c r="M531" s="94" t="str">
        <f t="shared" si="11"/>
        <v>View on Google Map</v>
      </c>
    </row>
    <row r="532" spans="1:13" x14ac:dyDescent="0.2">
      <c r="A532" s="88">
        <v>158</v>
      </c>
      <c r="B532" s="88" t="s">
        <v>1490</v>
      </c>
      <c r="C532" s="88" t="s">
        <v>418</v>
      </c>
      <c r="D532" s="88">
        <v>68.631486568699998</v>
      </c>
      <c r="E532" s="88">
        <v>-149.65910231699999</v>
      </c>
      <c r="F532" s="88">
        <v>754</v>
      </c>
      <c r="G532" s="88" t="s">
        <v>429</v>
      </c>
      <c r="H532" s="88" t="s">
        <v>418</v>
      </c>
      <c r="I532" s="88" t="s">
        <v>418</v>
      </c>
      <c r="J532" s="88" t="s">
        <v>444</v>
      </c>
      <c r="K532" s="88" t="s">
        <v>418</v>
      </c>
      <c r="L532" s="88" t="s">
        <v>418</v>
      </c>
      <c r="M532" s="94" t="str">
        <f t="shared" si="11"/>
        <v>View on Google Map</v>
      </c>
    </row>
    <row r="533" spans="1:13" x14ac:dyDescent="0.2">
      <c r="A533" s="88">
        <v>169</v>
      </c>
      <c r="B533" s="88" t="s">
        <v>1491</v>
      </c>
      <c r="C533" s="88" t="s">
        <v>418</v>
      </c>
      <c r="D533" s="88" t="s">
        <v>418</v>
      </c>
      <c r="E533" s="88" t="s">
        <v>418</v>
      </c>
      <c r="F533" s="88" t="s">
        <v>418</v>
      </c>
      <c r="G533" s="88" t="s">
        <v>429</v>
      </c>
      <c r="H533" s="88" t="s">
        <v>418</v>
      </c>
      <c r="I533" s="88" t="s">
        <v>418</v>
      </c>
      <c r="J533" s="88" t="s">
        <v>444</v>
      </c>
      <c r="K533" s="88" t="s">
        <v>418</v>
      </c>
      <c r="L533" s="88" t="s">
        <v>418</v>
      </c>
      <c r="M533" s="94" t="str">
        <f t="shared" si="11"/>
        <v>View on Google Map</v>
      </c>
    </row>
    <row r="534" spans="1:13" x14ac:dyDescent="0.2">
      <c r="A534" s="88">
        <v>170</v>
      </c>
      <c r="B534" s="88" t="s">
        <v>1492</v>
      </c>
      <c r="C534" s="88" t="s">
        <v>418</v>
      </c>
      <c r="D534" s="88" t="s">
        <v>418</v>
      </c>
      <c r="E534" s="88" t="s">
        <v>418</v>
      </c>
      <c r="F534" s="88" t="s">
        <v>418</v>
      </c>
      <c r="G534" s="88" t="s">
        <v>429</v>
      </c>
      <c r="H534" s="88" t="s">
        <v>418</v>
      </c>
      <c r="I534" s="88" t="s">
        <v>418</v>
      </c>
      <c r="J534" s="88" t="s">
        <v>444</v>
      </c>
      <c r="K534" s="88" t="s">
        <v>418</v>
      </c>
      <c r="L534" s="88" t="s">
        <v>418</v>
      </c>
      <c r="M534" s="94" t="str">
        <f t="shared" si="11"/>
        <v>View on Google Map</v>
      </c>
    </row>
    <row r="535" spans="1:13" x14ac:dyDescent="0.2">
      <c r="A535" s="88">
        <v>136</v>
      </c>
      <c r="B535" s="88" t="s">
        <v>1493</v>
      </c>
      <c r="C535" s="88" t="s">
        <v>418</v>
      </c>
      <c r="D535" s="88">
        <v>70.233333333333334</v>
      </c>
      <c r="E535" s="88">
        <v>-148.25</v>
      </c>
      <c r="F535" s="88">
        <v>10</v>
      </c>
      <c r="G535" s="88" t="s">
        <v>429</v>
      </c>
      <c r="H535" s="88" t="s">
        <v>1494</v>
      </c>
      <c r="I535" s="88" t="s">
        <v>418</v>
      </c>
      <c r="J535" s="88" t="s">
        <v>444</v>
      </c>
      <c r="K535" s="88" t="s">
        <v>418</v>
      </c>
      <c r="L535" s="88" t="s">
        <v>445</v>
      </c>
      <c r="M535" s="94" t="str">
        <f t="shared" si="11"/>
        <v>View on Google Map</v>
      </c>
    </row>
    <row r="536" spans="1:13" x14ac:dyDescent="0.2">
      <c r="A536" s="88">
        <v>6</v>
      </c>
      <c r="B536" s="88" t="s">
        <v>1495</v>
      </c>
      <c r="C536" s="88" t="s">
        <v>418</v>
      </c>
      <c r="D536" s="88" t="s">
        <v>418</v>
      </c>
      <c r="E536" s="88" t="s">
        <v>418</v>
      </c>
      <c r="F536" s="88">
        <v>457</v>
      </c>
      <c r="G536" s="88" t="s">
        <v>443</v>
      </c>
      <c r="H536" s="88" t="s">
        <v>1496</v>
      </c>
      <c r="I536" s="88" t="s">
        <v>1497</v>
      </c>
      <c r="J536" s="88" t="s">
        <v>444</v>
      </c>
      <c r="K536" s="88" t="s">
        <v>418</v>
      </c>
      <c r="L536" s="88" t="s">
        <v>445</v>
      </c>
      <c r="M536" s="94" t="str">
        <f t="shared" si="11"/>
        <v>View on Google Map</v>
      </c>
    </row>
    <row r="537" spans="1:13" x14ac:dyDescent="0.2">
      <c r="A537" s="88">
        <v>20</v>
      </c>
      <c r="B537" s="88" t="s">
        <v>1498</v>
      </c>
      <c r="C537" s="88" t="s">
        <v>418</v>
      </c>
      <c r="D537" s="88" t="s">
        <v>418</v>
      </c>
      <c r="E537" s="88" t="s">
        <v>418</v>
      </c>
      <c r="F537" s="88" t="s">
        <v>418</v>
      </c>
      <c r="G537" s="88" t="s">
        <v>443</v>
      </c>
      <c r="H537" s="88" t="s">
        <v>418</v>
      </c>
      <c r="I537" s="88" t="s">
        <v>418</v>
      </c>
      <c r="J537" s="88" t="s">
        <v>444</v>
      </c>
      <c r="K537" s="88" t="s">
        <v>418</v>
      </c>
      <c r="L537" s="88" t="s">
        <v>418</v>
      </c>
      <c r="M537" s="94" t="str">
        <f t="shared" si="11"/>
        <v>View on Google Map</v>
      </c>
    </row>
    <row r="538" spans="1:13" x14ac:dyDescent="0.2">
      <c r="A538" s="88">
        <v>1176</v>
      </c>
      <c r="B538" s="88" t="s">
        <v>1499</v>
      </c>
      <c r="C538" s="88" t="s">
        <v>450</v>
      </c>
      <c r="D538" s="88">
        <v>68.996418329999997</v>
      </c>
      <c r="E538" s="88">
        <v>-150.27895670000001</v>
      </c>
      <c r="F538" s="88" t="s">
        <v>418</v>
      </c>
      <c r="G538" s="88" t="s">
        <v>419</v>
      </c>
      <c r="H538" s="88" t="s">
        <v>418</v>
      </c>
      <c r="I538" s="88" t="s">
        <v>418</v>
      </c>
      <c r="J538" s="88" t="s">
        <v>425</v>
      </c>
      <c r="K538" s="88" t="s">
        <v>418</v>
      </c>
      <c r="L538" s="88" t="s">
        <v>426</v>
      </c>
      <c r="M538" s="94" t="str">
        <f t="shared" si="11"/>
        <v>View on Google Map</v>
      </c>
    </row>
    <row r="539" spans="1:13" x14ac:dyDescent="0.2">
      <c r="A539" s="88">
        <v>509</v>
      </c>
      <c r="B539" s="88" t="s">
        <v>1500</v>
      </c>
      <c r="C539" s="88" t="s">
        <v>428</v>
      </c>
      <c r="D539" s="88">
        <v>68.338126000000003</v>
      </c>
      <c r="E539" s="88">
        <v>-151.061735</v>
      </c>
      <c r="F539" s="88">
        <v>840</v>
      </c>
      <c r="G539" s="88" t="s">
        <v>429</v>
      </c>
      <c r="H539" s="88" t="s">
        <v>418</v>
      </c>
      <c r="I539" s="88" t="s">
        <v>418</v>
      </c>
      <c r="J539" s="88" t="s">
        <v>430</v>
      </c>
      <c r="K539" s="88" t="s">
        <v>418</v>
      </c>
      <c r="L539" s="88" t="s">
        <v>431</v>
      </c>
      <c r="M539" s="94" t="str">
        <f t="shared" si="11"/>
        <v>View on Google Map</v>
      </c>
    </row>
    <row r="540" spans="1:13" x14ac:dyDescent="0.2">
      <c r="A540" s="88">
        <v>36</v>
      </c>
      <c r="B540" s="88" t="s">
        <v>1501</v>
      </c>
      <c r="C540" s="88" t="s">
        <v>418</v>
      </c>
      <c r="D540" s="88">
        <v>69.233333333333334</v>
      </c>
      <c r="E540" s="88">
        <v>-150.804383333</v>
      </c>
      <c r="F540" s="88">
        <v>181.97</v>
      </c>
      <c r="G540" s="88" t="s">
        <v>443</v>
      </c>
      <c r="H540" s="88" t="s">
        <v>418</v>
      </c>
      <c r="I540" s="88" t="s">
        <v>418</v>
      </c>
      <c r="J540" s="88" t="s">
        <v>479</v>
      </c>
      <c r="K540" s="88" t="s">
        <v>418</v>
      </c>
      <c r="L540" s="88" t="s">
        <v>426</v>
      </c>
      <c r="M540" s="94" t="str">
        <f t="shared" si="11"/>
        <v>View on Google Map</v>
      </c>
    </row>
    <row r="541" spans="1:13" x14ac:dyDescent="0.2">
      <c r="A541" s="88">
        <v>37</v>
      </c>
      <c r="B541" s="88" t="s">
        <v>1502</v>
      </c>
      <c r="C541" s="88" t="s">
        <v>418</v>
      </c>
      <c r="D541" s="88">
        <v>68.289683333333329</v>
      </c>
      <c r="E541" s="88">
        <v>-150.91499999999999</v>
      </c>
      <c r="F541" s="88">
        <v>392</v>
      </c>
      <c r="G541" s="88" t="s">
        <v>443</v>
      </c>
      <c r="H541" s="88" t="s">
        <v>418</v>
      </c>
      <c r="I541" s="88" t="s">
        <v>418</v>
      </c>
      <c r="J541" s="88" t="s">
        <v>479</v>
      </c>
      <c r="K541" s="88" t="s">
        <v>418</v>
      </c>
      <c r="L541" s="88" t="s">
        <v>426</v>
      </c>
      <c r="M541" s="94" t="str">
        <f t="shared" si="11"/>
        <v>View on Google Map</v>
      </c>
    </row>
    <row r="542" spans="1:13" x14ac:dyDescent="0.2">
      <c r="A542" s="88">
        <v>130</v>
      </c>
      <c r="B542" s="88" t="s">
        <v>1503</v>
      </c>
      <c r="C542" s="88" t="s">
        <v>1504</v>
      </c>
      <c r="D542" s="88">
        <v>70.083333333333329</v>
      </c>
      <c r="E542" s="88">
        <v>-148.53333333333299</v>
      </c>
      <c r="F542" s="88">
        <v>24</v>
      </c>
      <c r="G542" s="88" t="s">
        <v>429</v>
      </c>
      <c r="H542" s="88" t="s">
        <v>1505</v>
      </c>
      <c r="I542" s="88" t="s">
        <v>418</v>
      </c>
      <c r="J542" s="88" t="s">
        <v>444</v>
      </c>
      <c r="K542" s="88" t="s">
        <v>418</v>
      </c>
      <c r="L542" s="88" t="s">
        <v>445</v>
      </c>
      <c r="M542" s="94" t="str">
        <f t="shared" si="11"/>
        <v>View on Google Map</v>
      </c>
    </row>
    <row r="543" spans="1:13" x14ac:dyDescent="0.2">
      <c r="A543" s="88">
        <v>519</v>
      </c>
      <c r="B543" s="88" t="s">
        <v>1506</v>
      </c>
      <c r="C543" s="88" t="s">
        <v>428</v>
      </c>
      <c r="D543" s="88">
        <v>68.802636000000007</v>
      </c>
      <c r="E543" s="88">
        <v>-150.78539699999999</v>
      </c>
      <c r="F543" s="88">
        <v>411</v>
      </c>
      <c r="G543" s="88" t="s">
        <v>429</v>
      </c>
      <c r="H543" s="88" t="s">
        <v>418</v>
      </c>
      <c r="I543" s="88" t="s">
        <v>418</v>
      </c>
      <c r="J543" s="88" t="s">
        <v>430</v>
      </c>
      <c r="K543" s="88" t="s">
        <v>418</v>
      </c>
      <c r="L543" s="88" t="s">
        <v>431</v>
      </c>
      <c r="M543" s="94" t="str">
        <f t="shared" si="11"/>
        <v>View on Google Map</v>
      </c>
    </row>
    <row r="544" spans="1:13" x14ac:dyDescent="0.2">
      <c r="A544" s="88">
        <v>452</v>
      </c>
      <c r="B544" s="88" t="s">
        <v>1507</v>
      </c>
      <c r="C544" s="88" t="s">
        <v>418</v>
      </c>
      <c r="D544" s="88">
        <v>68.794960000000003</v>
      </c>
      <c r="E544" s="88">
        <v>-149.04813999999999</v>
      </c>
      <c r="F544" s="88">
        <v>754</v>
      </c>
      <c r="G544" s="88" t="s">
        <v>429</v>
      </c>
      <c r="H544" s="88" t="s">
        <v>418</v>
      </c>
      <c r="I544" s="88" t="s">
        <v>418</v>
      </c>
      <c r="J544" s="88" t="s">
        <v>430</v>
      </c>
      <c r="K544" s="88" t="s">
        <v>418</v>
      </c>
      <c r="L544" s="88" t="s">
        <v>418</v>
      </c>
      <c r="M544" s="94" t="str">
        <f t="shared" si="11"/>
        <v>View on Google Map</v>
      </c>
    </row>
    <row r="545" spans="1:13" x14ac:dyDescent="0.2">
      <c r="A545" s="88">
        <v>453</v>
      </c>
      <c r="B545" s="88" t="s">
        <v>1508</v>
      </c>
      <c r="C545" s="88" t="s">
        <v>418</v>
      </c>
      <c r="D545" s="88">
        <v>68.810460000000006</v>
      </c>
      <c r="E545" s="88">
        <v>-149.05207999999999</v>
      </c>
      <c r="F545" s="88">
        <v>727</v>
      </c>
      <c r="G545" s="88" t="s">
        <v>429</v>
      </c>
      <c r="H545" s="88" t="s">
        <v>418</v>
      </c>
      <c r="I545" s="88" t="s">
        <v>418</v>
      </c>
      <c r="J545" s="88" t="s">
        <v>430</v>
      </c>
      <c r="K545" s="88" t="s">
        <v>418</v>
      </c>
      <c r="L545" s="88" t="s">
        <v>418</v>
      </c>
      <c r="M545" s="94" t="str">
        <f t="shared" si="11"/>
        <v>View on Google Map</v>
      </c>
    </row>
    <row r="546" spans="1:13" x14ac:dyDescent="0.2">
      <c r="A546" s="88">
        <v>454</v>
      </c>
      <c r="B546" s="88" t="s">
        <v>1509</v>
      </c>
      <c r="C546" s="88" t="s">
        <v>418</v>
      </c>
      <c r="D546" s="88">
        <v>68.815870000000004</v>
      </c>
      <c r="E546" s="88">
        <v>-149.06173999999999</v>
      </c>
      <c r="F546" s="88">
        <v>715</v>
      </c>
      <c r="G546" s="88" t="s">
        <v>429</v>
      </c>
      <c r="H546" s="88" t="s">
        <v>418</v>
      </c>
      <c r="I546" s="88" t="s">
        <v>418</v>
      </c>
      <c r="J546" s="88" t="s">
        <v>430</v>
      </c>
      <c r="K546" s="88" t="s">
        <v>418</v>
      </c>
      <c r="L546" s="88" t="s">
        <v>418</v>
      </c>
      <c r="M546" s="94" t="str">
        <f t="shared" si="11"/>
        <v>View on Google Map</v>
      </c>
    </row>
    <row r="547" spans="1:13" x14ac:dyDescent="0.2">
      <c r="A547" s="88">
        <v>455</v>
      </c>
      <c r="B547" s="88" t="s">
        <v>1510</v>
      </c>
      <c r="C547" s="88" t="s">
        <v>418</v>
      </c>
      <c r="D547" s="88">
        <v>68.810519999999997</v>
      </c>
      <c r="E547" s="88">
        <v>-149.06282999999999</v>
      </c>
      <c r="F547" s="88">
        <v>728</v>
      </c>
      <c r="G547" s="88" t="s">
        <v>429</v>
      </c>
      <c r="H547" s="88" t="s">
        <v>418</v>
      </c>
      <c r="I547" s="88" t="s">
        <v>418</v>
      </c>
      <c r="J547" s="88" t="s">
        <v>430</v>
      </c>
      <c r="K547" s="88" t="s">
        <v>418</v>
      </c>
      <c r="L547" s="88" t="s">
        <v>418</v>
      </c>
      <c r="M547" s="94" t="str">
        <f t="shared" si="11"/>
        <v>View on Google Map</v>
      </c>
    </row>
    <row r="548" spans="1:13" x14ac:dyDescent="0.2">
      <c r="A548" s="88">
        <v>456</v>
      </c>
      <c r="B548" s="88" t="s">
        <v>1511</v>
      </c>
      <c r="C548" s="88" t="s">
        <v>418</v>
      </c>
      <c r="D548" s="88">
        <v>68.812290000000004</v>
      </c>
      <c r="E548" s="88">
        <v>-149.06899000000001</v>
      </c>
      <c r="F548" s="88">
        <v>730</v>
      </c>
      <c r="G548" s="88" t="s">
        <v>429</v>
      </c>
      <c r="H548" s="88" t="s">
        <v>418</v>
      </c>
      <c r="I548" s="88" t="s">
        <v>418</v>
      </c>
      <c r="J548" s="88" t="s">
        <v>430</v>
      </c>
      <c r="K548" s="88" t="s">
        <v>418</v>
      </c>
      <c r="L548" s="88" t="s">
        <v>418</v>
      </c>
      <c r="M548" s="94" t="str">
        <f t="shared" si="11"/>
        <v>View on Google Map</v>
      </c>
    </row>
    <row r="549" spans="1:13" x14ac:dyDescent="0.2">
      <c r="A549" s="88">
        <v>457</v>
      </c>
      <c r="B549" s="88" t="s">
        <v>1512</v>
      </c>
      <c r="C549" s="88" t="s">
        <v>418</v>
      </c>
      <c r="D549" s="88">
        <v>68.814369999999997</v>
      </c>
      <c r="E549" s="88">
        <v>-149.06774999999999</v>
      </c>
      <c r="F549" s="88">
        <v>724</v>
      </c>
      <c r="G549" s="88" t="s">
        <v>429</v>
      </c>
      <c r="H549" s="88" t="s">
        <v>418</v>
      </c>
      <c r="I549" s="88" t="s">
        <v>418</v>
      </c>
      <c r="J549" s="88" t="s">
        <v>430</v>
      </c>
      <c r="K549" s="88" t="s">
        <v>418</v>
      </c>
      <c r="L549" s="88" t="s">
        <v>418</v>
      </c>
      <c r="M549" s="94" t="str">
        <f t="shared" si="11"/>
        <v>View on Google Map</v>
      </c>
    </row>
    <row r="550" spans="1:13" x14ac:dyDescent="0.2">
      <c r="A550" s="88">
        <v>38</v>
      </c>
      <c r="B550" s="88" t="s">
        <v>1513</v>
      </c>
      <c r="C550" s="88" t="s">
        <v>418</v>
      </c>
      <c r="D550" s="88">
        <v>69.011899999999997</v>
      </c>
      <c r="E550" s="88">
        <v>-150.30000000000001</v>
      </c>
      <c r="F550" s="88">
        <v>321</v>
      </c>
      <c r="G550" s="88" t="s">
        <v>443</v>
      </c>
      <c r="H550" s="88" t="s">
        <v>1514</v>
      </c>
      <c r="I550" s="88" t="s">
        <v>1515</v>
      </c>
      <c r="J550" s="88" t="s">
        <v>479</v>
      </c>
      <c r="K550" s="88" t="s">
        <v>418</v>
      </c>
      <c r="L550" s="88" t="s">
        <v>426</v>
      </c>
      <c r="M550" s="94" t="str">
        <f t="shared" si="11"/>
        <v>View on Google Map</v>
      </c>
    </row>
    <row r="551" spans="1:13" x14ac:dyDescent="0.2">
      <c r="A551" s="88">
        <v>1211</v>
      </c>
      <c r="B551" s="88" t="s">
        <v>1516</v>
      </c>
      <c r="C551" s="88" t="s">
        <v>602</v>
      </c>
      <c r="D551" s="88">
        <v>68.996700000000004</v>
      </c>
      <c r="E551" s="88">
        <v>-150.28142</v>
      </c>
      <c r="F551" s="88" t="s">
        <v>418</v>
      </c>
      <c r="G551" s="88" t="s">
        <v>419</v>
      </c>
      <c r="H551" s="88" t="s">
        <v>418</v>
      </c>
      <c r="I551" s="88" t="s">
        <v>418</v>
      </c>
      <c r="J551" s="88" t="s">
        <v>425</v>
      </c>
      <c r="K551" s="88" t="s">
        <v>418</v>
      </c>
      <c r="L551" s="88" t="s">
        <v>426</v>
      </c>
      <c r="M551" s="94" t="str">
        <f t="shared" si="11"/>
        <v>View on Google Map</v>
      </c>
    </row>
    <row r="552" spans="1:13" x14ac:dyDescent="0.2">
      <c r="A552" s="88">
        <v>1210</v>
      </c>
      <c r="B552" s="88" t="s">
        <v>1517</v>
      </c>
      <c r="C552" s="88" t="s">
        <v>602</v>
      </c>
      <c r="D552" s="88">
        <v>68.996700000000004</v>
      </c>
      <c r="E552" s="88">
        <v>-150.28142</v>
      </c>
      <c r="F552" s="88" t="s">
        <v>418</v>
      </c>
      <c r="G552" s="88" t="s">
        <v>419</v>
      </c>
      <c r="H552" s="88" t="s">
        <v>418</v>
      </c>
      <c r="I552" s="88" t="s">
        <v>418</v>
      </c>
      <c r="J552" s="88" t="s">
        <v>425</v>
      </c>
      <c r="K552" s="88" t="s">
        <v>418</v>
      </c>
      <c r="L552" s="88" t="s">
        <v>426</v>
      </c>
      <c r="M552" s="94" t="str">
        <f t="shared" si="11"/>
        <v>View on Google Map</v>
      </c>
    </row>
    <row r="553" spans="1:13" x14ac:dyDescent="0.2">
      <c r="B553" s="88" t="s">
        <v>1518</v>
      </c>
      <c r="C553" s="88" t="s">
        <v>1431</v>
      </c>
      <c r="D553" s="88">
        <v>69.007500000000007</v>
      </c>
      <c r="E553" s="88">
        <v>-150.31388888888901</v>
      </c>
      <c r="G553" s="88" t="s">
        <v>437</v>
      </c>
      <c r="J553" s="88" t="s">
        <v>425</v>
      </c>
      <c r="L553" s="88" t="s">
        <v>426</v>
      </c>
      <c r="M553" s="94" t="str">
        <f t="shared" si="11"/>
        <v>View on Google Map</v>
      </c>
    </row>
    <row r="554" spans="1:13" x14ac:dyDescent="0.2">
      <c r="B554" s="88" t="s">
        <v>1519</v>
      </c>
      <c r="C554" s="88" t="s">
        <v>815</v>
      </c>
      <c r="D554" s="88">
        <v>69.043055555555554</v>
      </c>
      <c r="E554" s="88">
        <v>-150.42916666666699</v>
      </c>
      <c r="G554" s="88" t="s">
        <v>437</v>
      </c>
      <c r="J554" s="88" t="s">
        <v>425</v>
      </c>
      <c r="L554" s="88" t="s">
        <v>426</v>
      </c>
      <c r="M554" s="94" t="str">
        <f t="shared" si="11"/>
        <v>View on Google Map</v>
      </c>
    </row>
    <row r="555" spans="1:13" x14ac:dyDescent="0.2">
      <c r="A555" s="88">
        <v>39</v>
      </c>
      <c r="B555" s="88" t="s">
        <v>1520</v>
      </c>
      <c r="C555" s="88" t="s">
        <v>418</v>
      </c>
      <c r="D555" s="88">
        <v>68.994600000000005</v>
      </c>
      <c r="E555" s="88">
        <v>-150.30699999999999</v>
      </c>
      <c r="F555" s="88">
        <v>307</v>
      </c>
      <c r="G555" s="88" t="s">
        <v>443</v>
      </c>
      <c r="H555" s="88" t="s">
        <v>1521</v>
      </c>
      <c r="I555" s="88" t="s">
        <v>418</v>
      </c>
      <c r="J555" s="88" t="s">
        <v>479</v>
      </c>
      <c r="K555" s="88" t="s">
        <v>418</v>
      </c>
      <c r="L555" s="88" t="s">
        <v>426</v>
      </c>
      <c r="M555" s="94" t="str">
        <f t="shared" si="11"/>
        <v>View on Google Map</v>
      </c>
    </row>
    <row r="556" spans="1:13" x14ac:dyDescent="0.2">
      <c r="B556" s="88" t="s">
        <v>1522</v>
      </c>
      <c r="C556" s="88" t="s">
        <v>436</v>
      </c>
      <c r="D556" s="88">
        <v>69.570555555555558</v>
      </c>
      <c r="E556" s="88">
        <v>-150.893333333333</v>
      </c>
      <c r="G556" s="88" t="s">
        <v>437</v>
      </c>
      <c r="J556" s="88" t="s">
        <v>425</v>
      </c>
      <c r="L556" s="88" t="s">
        <v>426</v>
      </c>
      <c r="M556" s="94" t="str">
        <f t="shared" si="11"/>
        <v>View on Google Map</v>
      </c>
    </row>
    <row r="557" spans="1:13" x14ac:dyDescent="0.2">
      <c r="A557" s="88">
        <v>46</v>
      </c>
      <c r="B557" s="88" t="s">
        <v>1523</v>
      </c>
      <c r="C557" s="88" t="s">
        <v>418</v>
      </c>
      <c r="D557" s="88">
        <v>68.891069000000002</v>
      </c>
      <c r="E557" s="88">
        <v>-150.58501899999999</v>
      </c>
      <c r="F557" s="88" t="s">
        <v>418</v>
      </c>
      <c r="G557" s="88" t="s">
        <v>443</v>
      </c>
      <c r="H557" s="88" t="s">
        <v>418</v>
      </c>
      <c r="I557" s="88" t="s">
        <v>418</v>
      </c>
      <c r="J557" s="88" t="s">
        <v>1429</v>
      </c>
      <c r="K557" s="88" t="s">
        <v>418</v>
      </c>
      <c r="L557" s="88" t="s">
        <v>426</v>
      </c>
      <c r="M557" s="94" t="str">
        <f t="shared" si="11"/>
        <v>View on Google Map</v>
      </c>
    </row>
    <row r="558" spans="1:13" x14ac:dyDescent="0.2">
      <c r="A558" s="88">
        <v>47</v>
      </c>
      <c r="B558" s="88" t="s">
        <v>1524</v>
      </c>
      <c r="C558" s="88" t="s">
        <v>418</v>
      </c>
      <c r="D558" s="88">
        <v>68.966999999999999</v>
      </c>
      <c r="E558" s="88">
        <v>-150.56673000000001</v>
      </c>
      <c r="F558" s="88" t="s">
        <v>418</v>
      </c>
      <c r="G558" s="88" t="s">
        <v>443</v>
      </c>
      <c r="H558" s="88" t="s">
        <v>418</v>
      </c>
      <c r="I558" s="88" t="s">
        <v>418</v>
      </c>
      <c r="J558" s="88" t="s">
        <v>1429</v>
      </c>
      <c r="K558" s="88" t="s">
        <v>418</v>
      </c>
      <c r="L558" s="88" t="s">
        <v>426</v>
      </c>
      <c r="M558" s="94" t="str">
        <f t="shared" si="11"/>
        <v>View on Google Map</v>
      </c>
    </row>
    <row r="559" spans="1:13" x14ac:dyDescent="0.2">
      <c r="A559" s="88">
        <v>100</v>
      </c>
      <c r="B559" s="88" t="s">
        <v>6</v>
      </c>
      <c r="C559" s="88" t="s">
        <v>1525</v>
      </c>
      <c r="D559" s="88">
        <v>68.629960999999994</v>
      </c>
      <c r="E559" s="88">
        <v>-149.61263299999999</v>
      </c>
      <c r="F559" s="88">
        <v>719</v>
      </c>
      <c r="G559" s="88" t="s">
        <v>429</v>
      </c>
      <c r="H559" s="88" t="s">
        <v>1526</v>
      </c>
      <c r="I559" s="88" t="s">
        <v>1527</v>
      </c>
      <c r="J559" s="88" t="s">
        <v>444</v>
      </c>
      <c r="K559" s="88" t="s">
        <v>418</v>
      </c>
      <c r="L559" s="88" t="s">
        <v>418</v>
      </c>
      <c r="M559" s="94" t="str">
        <f t="shared" si="11"/>
        <v>View on Google Map</v>
      </c>
    </row>
    <row r="560" spans="1:13" x14ac:dyDescent="0.2">
      <c r="A560" s="88">
        <v>523</v>
      </c>
      <c r="B560" s="88" t="s">
        <v>1528</v>
      </c>
      <c r="C560" s="88" t="s">
        <v>1529</v>
      </c>
      <c r="D560" s="88">
        <v>68.626671999999999</v>
      </c>
      <c r="E560" s="88">
        <v>-149.59784400000001</v>
      </c>
      <c r="F560" s="88">
        <v>719</v>
      </c>
      <c r="G560" s="88" t="s">
        <v>429</v>
      </c>
      <c r="H560" s="88" t="s">
        <v>418</v>
      </c>
      <c r="I560" s="88" t="s">
        <v>418</v>
      </c>
      <c r="J560" s="88" t="s">
        <v>430</v>
      </c>
      <c r="K560" s="88" t="s">
        <v>418</v>
      </c>
      <c r="L560" s="88" t="s">
        <v>1530</v>
      </c>
      <c r="M560" s="94" t="str">
        <f t="shared" si="11"/>
        <v>View on Google Map</v>
      </c>
    </row>
    <row r="561" spans="1:13" x14ac:dyDescent="0.2">
      <c r="A561" s="88">
        <v>524</v>
      </c>
      <c r="B561" s="88" t="s">
        <v>1531</v>
      </c>
      <c r="C561" s="88" t="s">
        <v>1529</v>
      </c>
      <c r="D561" s="88">
        <v>68.632586000000003</v>
      </c>
      <c r="E561" s="88">
        <v>-149.60089500000001</v>
      </c>
      <c r="F561" s="88">
        <v>719</v>
      </c>
      <c r="G561" s="88" t="s">
        <v>429</v>
      </c>
      <c r="H561" s="88" t="s">
        <v>418</v>
      </c>
      <c r="I561" s="88" t="s">
        <v>418</v>
      </c>
      <c r="J561" s="88" t="s">
        <v>430</v>
      </c>
      <c r="K561" s="88" t="s">
        <v>418</v>
      </c>
      <c r="L561" s="88" t="s">
        <v>1530</v>
      </c>
      <c r="M561" s="94" t="str">
        <f t="shared" si="11"/>
        <v>View on Google Map</v>
      </c>
    </row>
    <row r="562" spans="1:13" x14ac:dyDescent="0.2">
      <c r="A562" s="88">
        <v>525</v>
      </c>
      <c r="B562" s="88" t="s">
        <v>1532</v>
      </c>
      <c r="C562" s="88" t="s">
        <v>1529</v>
      </c>
      <c r="D562" s="88">
        <v>68.636390000000006</v>
      </c>
      <c r="E562" s="88">
        <v>-149.594774</v>
      </c>
      <c r="F562" s="88">
        <v>719</v>
      </c>
      <c r="G562" s="88" t="s">
        <v>429</v>
      </c>
      <c r="H562" s="88" t="s">
        <v>418</v>
      </c>
      <c r="I562" s="88" t="s">
        <v>418</v>
      </c>
      <c r="J562" s="88" t="s">
        <v>430</v>
      </c>
      <c r="K562" s="88" t="s">
        <v>418</v>
      </c>
      <c r="L562" s="88" t="s">
        <v>1530</v>
      </c>
      <c r="M562" s="94" t="str">
        <f t="shared" si="11"/>
        <v>View on Google Map</v>
      </c>
    </row>
    <row r="563" spans="1:13" x14ac:dyDescent="0.2">
      <c r="A563" s="88">
        <v>13</v>
      </c>
      <c r="B563" s="88" t="s">
        <v>1533</v>
      </c>
      <c r="C563" s="88" t="s">
        <v>418</v>
      </c>
      <c r="D563" s="88">
        <v>68.625600000000006</v>
      </c>
      <c r="E563" s="88">
        <v>-149.59604999999999</v>
      </c>
      <c r="F563" s="88">
        <v>719</v>
      </c>
      <c r="G563" s="88" t="s">
        <v>443</v>
      </c>
      <c r="H563" s="88" t="s">
        <v>1534</v>
      </c>
      <c r="I563" s="88" t="s">
        <v>1535</v>
      </c>
      <c r="J563" s="88" t="s">
        <v>444</v>
      </c>
      <c r="K563" s="88">
        <v>190</v>
      </c>
      <c r="L563" s="88" t="s">
        <v>833</v>
      </c>
      <c r="M563" s="94" t="str">
        <f t="shared" si="11"/>
        <v>View on Google Map</v>
      </c>
    </row>
    <row r="564" spans="1:13" x14ac:dyDescent="0.2">
      <c r="A564" s="88">
        <v>522</v>
      </c>
      <c r="B564" s="88" t="s">
        <v>1536</v>
      </c>
      <c r="C564" s="88" t="s">
        <v>1529</v>
      </c>
      <c r="D564" s="88">
        <v>68.625966000000005</v>
      </c>
      <c r="E564" s="88">
        <v>-149.59902199999999</v>
      </c>
      <c r="F564" s="88">
        <v>719</v>
      </c>
      <c r="G564" s="88" t="s">
        <v>429</v>
      </c>
      <c r="H564" s="88" t="s">
        <v>418</v>
      </c>
      <c r="I564" s="88" t="s">
        <v>418</v>
      </c>
      <c r="J564" s="88" t="s">
        <v>430</v>
      </c>
      <c r="K564" s="88" t="s">
        <v>418</v>
      </c>
      <c r="L564" s="88" t="s">
        <v>1530</v>
      </c>
      <c r="M564" s="94" t="str">
        <f t="shared" si="11"/>
        <v>View on Google Map</v>
      </c>
    </row>
    <row r="565" spans="1:13" x14ac:dyDescent="0.2">
      <c r="A565" s="88">
        <v>101</v>
      </c>
      <c r="B565" s="88" t="s">
        <v>1537</v>
      </c>
      <c r="C565" s="88" t="s">
        <v>1538</v>
      </c>
      <c r="D565" s="88" t="s">
        <v>418</v>
      </c>
      <c r="E565" s="88" t="s">
        <v>418</v>
      </c>
      <c r="F565" s="88">
        <v>719</v>
      </c>
      <c r="G565" s="88" t="s">
        <v>429</v>
      </c>
      <c r="H565" s="88" t="s">
        <v>418</v>
      </c>
      <c r="I565" s="88" t="s">
        <v>418</v>
      </c>
      <c r="J565" s="88" t="s">
        <v>444</v>
      </c>
      <c r="K565" s="88" t="s">
        <v>418</v>
      </c>
      <c r="L565" s="88" t="s">
        <v>418</v>
      </c>
      <c r="M565" s="94" t="str">
        <f t="shared" si="11"/>
        <v>View on Google Map</v>
      </c>
    </row>
    <row r="566" spans="1:13" x14ac:dyDescent="0.2">
      <c r="A566" s="88">
        <v>102</v>
      </c>
      <c r="B566" s="88" t="s">
        <v>1539</v>
      </c>
      <c r="C566" s="88" t="s">
        <v>1540</v>
      </c>
      <c r="D566" s="88">
        <v>68.638623999999993</v>
      </c>
      <c r="E566" s="88">
        <v>-149.610737</v>
      </c>
      <c r="F566" s="88">
        <v>719</v>
      </c>
      <c r="G566" s="88" t="s">
        <v>429</v>
      </c>
      <c r="H566" s="88" t="s">
        <v>1541</v>
      </c>
      <c r="I566" s="88" t="s">
        <v>1542</v>
      </c>
      <c r="J566" s="88" t="s">
        <v>444</v>
      </c>
      <c r="K566" s="88" t="s">
        <v>418</v>
      </c>
      <c r="L566" s="88" t="s">
        <v>418</v>
      </c>
      <c r="M566" s="94" t="str">
        <f t="shared" si="11"/>
        <v>View on Google Map</v>
      </c>
    </row>
    <row r="567" spans="1:13" x14ac:dyDescent="0.2">
      <c r="A567" s="88">
        <v>526</v>
      </c>
      <c r="B567" s="88" t="s">
        <v>1543</v>
      </c>
      <c r="C567" s="88" t="s">
        <v>1529</v>
      </c>
      <c r="D567" s="88">
        <v>68.633232000000007</v>
      </c>
      <c r="E567" s="88">
        <v>-149.61149</v>
      </c>
      <c r="F567" s="88">
        <v>719</v>
      </c>
      <c r="G567" s="88" t="s">
        <v>429</v>
      </c>
      <c r="H567" s="88" t="s">
        <v>418</v>
      </c>
      <c r="I567" s="88" t="s">
        <v>418</v>
      </c>
      <c r="J567" s="88" t="s">
        <v>430</v>
      </c>
      <c r="K567" s="88" t="s">
        <v>418</v>
      </c>
      <c r="L567" s="88" t="s">
        <v>1530</v>
      </c>
      <c r="M567" s="94" t="str">
        <f t="shared" si="11"/>
        <v>View on Google Map</v>
      </c>
    </row>
    <row r="568" spans="1:13" x14ac:dyDescent="0.2">
      <c r="A568" s="88">
        <v>14</v>
      </c>
      <c r="B568" s="88" t="s">
        <v>1544</v>
      </c>
      <c r="C568" s="88" t="s">
        <v>418</v>
      </c>
      <c r="D568" s="88" t="s">
        <v>418</v>
      </c>
      <c r="E568" s="88" t="s">
        <v>418</v>
      </c>
      <c r="F568" s="88">
        <v>719</v>
      </c>
      <c r="G568" s="88" t="s">
        <v>443</v>
      </c>
      <c r="H568" s="88" t="s">
        <v>1545</v>
      </c>
      <c r="I568" s="88" t="s">
        <v>418</v>
      </c>
      <c r="J568" s="88" t="s">
        <v>444</v>
      </c>
      <c r="K568" s="88" t="s">
        <v>418</v>
      </c>
      <c r="L568" s="88" t="s">
        <v>418</v>
      </c>
      <c r="M568" s="94" t="str">
        <f t="shared" si="11"/>
        <v>View on Google Map</v>
      </c>
    </row>
    <row r="569" spans="1:13" x14ac:dyDescent="0.2">
      <c r="A569" s="88">
        <v>527</v>
      </c>
      <c r="B569" s="88" t="s">
        <v>1546</v>
      </c>
      <c r="C569" s="88" t="s">
        <v>1529</v>
      </c>
      <c r="D569" s="88">
        <v>68.639894999999996</v>
      </c>
      <c r="E569" s="88">
        <v>-149.59610599999999</v>
      </c>
      <c r="F569" s="88">
        <v>719</v>
      </c>
      <c r="G569" s="88" t="s">
        <v>429</v>
      </c>
      <c r="H569" s="88" t="s">
        <v>418</v>
      </c>
      <c r="I569" s="88" t="s">
        <v>418</v>
      </c>
      <c r="J569" s="88" t="s">
        <v>430</v>
      </c>
      <c r="K569" s="88" t="s">
        <v>418</v>
      </c>
      <c r="L569" s="88" t="s">
        <v>1530</v>
      </c>
      <c r="M569" s="94" t="str">
        <f t="shared" si="11"/>
        <v>View on Google Map</v>
      </c>
    </row>
    <row r="570" spans="1:13" x14ac:dyDescent="0.2">
      <c r="A570" s="88">
        <v>9</v>
      </c>
      <c r="B570" s="88" t="s">
        <v>1547</v>
      </c>
      <c r="C570" s="88" t="s">
        <v>418</v>
      </c>
      <c r="D570" s="88" t="s">
        <v>418</v>
      </c>
      <c r="E570" s="88" t="s">
        <v>418</v>
      </c>
      <c r="F570" s="88">
        <v>823</v>
      </c>
      <c r="G570" s="88" t="s">
        <v>443</v>
      </c>
      <c r="H570" s="88" t="s">
        <v>418</v>
      </c>
      <c r="I570" s="88" t="s">
        <v>418</v>
      </c>
      <c r="J570" s="88" t="s">
        <v>444</v>
      </c>
      <c r="K570" s="88" t="s">
        <v>418</v>
      </c>
      <c r="L570" s="88" t="s">
        <v>418</v>
      </c>
      <c r="M570" s="94" t="str">
        <f t="shared" si="11"/>
        <v>View on Google Map</v>
      </c>
    </row>
    <row r="571" spans="1:13" x14ac:dyDescent="0.2">
      <c r="A571" s="88">
        <v>22</v>
      </c>
      <c r="B571" s="88" t="s">
        <v>1548</v>
      </c>
      <c r="C571" s="88" t="s">
        <v>418</v>
      </c>
      <c r="D571" s="88" t="s">
        <v>418</v>
      </c>
      <c r="E571" s="88" t="s">
        <v>418</v>
      </c>
      <c r="F571" s="88" t="s">
        <v>418</v>
      </c>
      <c r="G571" s="88" t="s">
        <v>443</v>
      </c>
      <c r="H571" s="88" t="s">
        <v>1549</v>
      </c>
      <c r="I571" s="88" t="s">
        <v>418</v>
      </c>
      <c r="J571" s="88" t="s">
        <v>444</v>
      </c>
      <c r="K571" s="88" t="s">
        <v>418</v>
      </c>
      <c r="L571" s="88" t="s">
        <v>418</v>
      </c>
      <c r="M571" s="94" t="str">
        <f t="shared" si="11"/>
        <v>View on Google Map</v>
      </c>
    </row>
    <row r="572" spans="1:13" x14ac:dyDescent="0.2">
      <c r="A572" s="88">
        <v>528</v>
      </c>
      <c r="B572" s="88" t="s">
        <v>1550</v>
      </c>
      <c r="C572" s="88" t="s">
        <v>1529</v>
      </c>
      <c r="D572" s="88">
        <v>68.634241000000003</v>
      </c>
      <c r="E572" s="88">
        <v>-149.60275899999999</v>
      </c>
      <c r="F572" s="88">
        <v>719</v>
      </c>
      <c r="G572" s="88" t="s">
        <v>429</v>
      </c>
      <c r="H572" s="88" t="s">
        <v>418</v>
      </c>
      <c r="I572" s="88" t="s">
        <v>418</v>
      </c>
      <c r="J572" s="88" t="s">
        <v>430</v>
      </c>
      <c r="K572" s="88" t="s">
        <v>418</v>
      </c>
      <c r="L572" s="88" t="s">
        <v>1530</v>
      </c>
      <c r="M572" s="94" t="str">
        <f t="shared" si="11"/>
        <v>View on Google Map</v>
      </c>
    </row>
    <row r="573" spans="1:13" x14ac:dyDescent="0.2">
      <c r="A573" s="88">
        <v>521</v>
      </c>
      <c r="B573" s="88" t="s">
        <v>1551</v>
      </c>
      <c r="C573" s="88" t="s">
        <v>1529</v>
      </c>
      <c r="D573" s="88">
        <v>68.628656000000007</v>
      </c>
      <c r="E573" s="88">
        <v>-149.59960599999999</v>
      </c>
      <c r="F573" s="88">
        <v>719</v>
      </c>
      <c r="G573" s="88" t="s">
        <v>429</v>
      </c>
      <c r="H573" s="88" t="s">
        <v>418</v>
      </c>
      <c r="I573" s="88" t="s">
        <v>418</v>
      </c>
      <c r="J573" s="88" t="s">
        <v>430</v>
      </c>
      <c r="K573" s="88" t="s">
        <v>418</v>
      </c>
      <c r="L573" s="88" t="s">
        <v>1530</v>
      </c>
      <c r="M573" s="94" t="str">
        <f t="shared" si="11"/>
        <v>View on Google Map</v>
      </c>
    </row>
    <row r="574" spans="1:13" x14ac:dyDescent="0.2">
      <c r="A574" s="88">
        <v>520</v>
      </c>
      <c r="B574" s="88" t="s">
        <v>1552</v>
      </c>
      <c r="C574" s="88" t="s">
        <v>1529</v>
      </c>
      <c r="D574" s="88">
        <v>68.633064000000005</v>
      </c>
      <c r="E574" s="88">
        <v>-149.62826999999999</v>
      </c>
      <c r="F574" s="88">
        <v>719</v>
      </c>
      <c r="G574" s="88" t="s">
        <v>429</v>
      </c>
      <c r="H574" s="88" t="s">
        <v>418</v>
      </c>
      <c r="I574" s="88" t="s">
        <v>418</v>
      </c>
      <c r="J574" s="88" t="s">
        <v>430</v>
      </c>
      <c r="K574" s="88" t="s">
        <v>418</v>
      </c>
      <c r="L574" s="88" t="s">
        <v>1530</v>
      </c>
      <c r="M574" s="94" t="str">
        <f t="shared" si="11"/>
        <v>View on Google Map</v>
      </c>
    </row>
    <row r="575" spans="1:13" x14ac:dyDescent="0.2">
      <c r="B575" s="88" t="s">
        <v>1553</v>
      </c>
      <c r="C575" s="88" t="s">
        <v>815</v>
      </c>
      <c r="D575" s="88">
        <v>68.695505999999995</v>
      </c>
      <c r="E575" s="88">
        <v>-149.207807</v>
      </c>
      <c r="G575" s="88" t="s">
        <v>955</v>
      </c>
      <c r="J575" s="3" t="s">
        <v>444</v>
      </c>
      <c r="M575" s="94" t="str">
        <f t="shared" si="11"/>
        <v>View on Google Map</v>
      </c>
    </row>
    <row r="576" spans="1:13" x14ac:dyDescent="0.2">
      <c r="B576" s="88" t="s">
        <v>1554</v>
      </c>
      <c r="C576" s="88" t="s">
        <v>815</v>
      </c>
      <c r="D576" s="88">
        <v>68.695696999999996</v>
      </c>
      <c r="E576" s="88">
        <v>-149.20482699999999</v>
      </c>
      <c r="G576" s="88" t="s">
        <v>955</v>
      </c>
      <c r="J576" s="3" t="s">
        <v>444</v>
      </c>
      <c r="M576" s="94" t="str">
        <f t="shared" si="11"/>
        <v>View on Google Map</v>
      </c>
    </row>
    <row r="577" spans="1:13" x14ac:dyDescent="0.2">
      <c r="B577" s="88" t="s">
        <v>1555</v>
      </c>
      <c r="C577" s="88" t="s">
        <v>815</v>
      </c>
      <c r="D577" s="88">
        <v>68.690700000000007</v>
      </c>
      <c r="E577" s="88">
        <v>-149.208371</v>
      </c>
      <c r="G577" s="88" t="s">
        <v>955</v>
      </c>
      <c r="J577" s="3" t="s">
        <v>444</v>
      </c>
      <c r="M577" s="94" t="str">
        <f t="shared" si="11"/>
        <v>View on Google Map</v>
      </c>
    </row>
    <row r="578" spans="1:13" x14ac:dyDescent="0.2">
      <c r="B578" s="88" t="s">
        <v>1556</v>
      </c>
      <c r="C578" s="88" t="s">
        <v>815</v>
      </c>
      <c r="D578" s="88">
        <v>68.693759</v>
      </c>
      <c r="E578" s="88">
        <v>-149.20405500000001</v>
      </c>
      <c r="G578" s="88" t="s">
        <v>955</v>
      </c>
      <c r="J578" s="3" t="s">
        <v>444</v>
      </c>
      <c r="M578" s="94" t="str">
        <f t="shared" si="11"/>
        <v>View on Google Map</v>
      </c>
    </row>
    <row r="579" spans="1:13" x14ac:dyDescent="0.2">
      <c r="B579" s="88" t="s">
        <v>1557</v>
      </c>
      <c r="C579" s="88" t="s">
        <v>1558</v>
      </c>
      <c r="D579" s="88">
        <v>68.628228973000006</v>
      </c>
      <c r="E579" s="88">
        <v>-149.596001285</v>
      </c>
      <c r="F579" s="88">
        <v>726.5</v>
      </c>
      <c r="J579" s="88" t="s">
        <v>444</v>
      </c>
      <c r="M579" s="88" t="str">
        <f>HYPERLINK("http://maps.google.com/maps?q="&amp;D579&amp;","&amp;E579,"View on Google Map")</f>
        <v>View on Google Map</v>
      </c>
    </row>
    <row r="580" spans="1:13" x14ac:dyDescent="0.2">
      <c r="A580" s="88">
        <v>901</v>
      </c>
      <c r="B580" s="88" t="s">
        <v>1559</v>
      </c>
      <c r="C580" s="88" t="s">
        <v>1560</v>
      </c>
      <c r="D580" s="88" t="s">
        <v>418</v>
      </c>
      <c r="E580" s="88" t="s">
        <v>418</v>
      </c>
      <c r="F580" s="88" t="s">
        <v>418</v>
      </c>
      <c r="G580" s="88" t="s">
        <v>418</v>
      </c>
      <c r="H580" s="88" t="s">
        <v>1561</v>
      </c>
      <c r="I580" s="88" t="s">
        <v>418</v>
      </c>
      <c r="J580" s="3" t="s">
        <v>444</v>
      </c>
      <c r="K580" s="88" t="s">
        <v>418</v>
      </c>
      <c r="L580" s="88" t="s">
        <v>418</v>
      </c>
      <c r="M580" s="94" t="str">
        <f t="shared" ref="M580:M638" si="12">HYPERLINK("http://maps.google.com/maps?q="&amp;D580&amp;","&amp;E580,"View on Google Map")</f>
        <v>View on Google Map</v>
      </c>
    </row>
    <row r="581" spans="1:13" x14ac:dyDescent="0.2">
      <c r="A581" s="88">
        <v>902</v>
      </c>
      <c r="B581" s="88" t="s">
        <v>1562</v>
      </c>
      <c r="C581" s="88" t="s">
        <v>1560</v>
      </c>
      <c r="D581" s="88" t="s">
        <v>418</v>
      </c>
      <c r="E581" s="88" t="s">
        <v>418</v>
      </c>
      <c r="F581" s="88">
        <v>757</v>
      </c>
      <c r="G581" s="88" t="s">
        <v>419</v>
      </c>
      <c r="H581" s="88" t="s">
        <v>1563</v>
      </c>
      <c r="I581" s="88" t="s">
        <v>418</v>
      </c>
      <c r="J581" s="88" t="s">
        <v>444</v>
      </c>
      <c r="K581" s="88" t="s">
        <v>418</v>
      </c>
      <c r="L581" s="88" t="s">
        <v>418</v>
      </c>
      <c r="M581" s="94" t="str">
        <f t="shared" si="12"/>
        <v>View on Google Map</v>
      </c>
    </row>
    <row r="582" spans="1:13" x14ac:dyDescent="0.2">
      <c r="A582" s="88">
        <v>903</v>
      </c>
      <c r="B582" s="88" t="s">
        <v>1564</v>
      </c>
      <c r="C582" s="88" t="s">
        <v>1560</v>
      </c>
      <c r="D582" s="88" t="s">
        <v>418</v>
      </c>
      <c r="E582" s="88" t="s">
        <v>418</v>
      </c>
      <c r="F582" s="88">
        <v>770</v>
      </c>
      <c r="G582" s="88" t="s">
        <v>419</v>
      </c>
      <c r="H582" s="88" t="s">
        <v>1565</v>
      </c>
      <c r="I582" s="88" t="s">
        <v>418</v>
      </c>
      <c r="J582" s="88" t="s">
        <v>444</v>
      </c>
      <c r="K582" s="88" t="s">
        <v>418</v>
      </c>
      <c r="L582" s="88" t="s">
        <v>418</v>
      </c>
      <c r="M582" s="94" t="str">
        <f t="shared" si="12"/>
        <v>View on Google Map</v>
      </c>
    </row>
    <row r="583" spans="1:13" x14ac:dyDescent="0.2">
      <c r="A583" s="88">
        <v>904</v>
      </c>
      <c r="B583" s="88" t="s">
        <v>1566</v>
      </c>
      <c r="C583" s="88" t="s">
        <v>1560</v>
      </c>
      <c r="D583" s="88" t="s">
        <v>418</v>
      </c>
      <c r="E583" s="88" t="s">
        <v>418</v>
      </c>
      <c r="F583" s="88">
        <v>770</v>
      </c>
      <c r="G583" s="88" t="s">
        <v>419</v>
      </c>
      <c r="H583" s="88" t="s">
        <v>1567</v>
      </c>
      <c r="I583" s="88" t="s">
        <v>418</v>
      </c>
      <c r="J583" s="88" t="s">
        <v>444</v>
      </c>
      <c r="K583" s="88" t="s">
        <v>418</v>
      </c>
      <c r="L583" s="88" t="s">
        <v>418</v>
      </c>
      <c r="M583" s="94" t="str">
        <f t="shared" si="12"/>
        <v>View on Google Map</v>
      </c>
    </row>
    <row r="584" spans="1:13" x14ac:dyDescent="0.2">
      <c r="A584" s="88">
        <v>905</v>
      </c>
      <c r="B584" s="88" t="s">
        <v>1568</v>
      </c>
      <c r="C584" s="88" t="s">
        <v>1560</v>
      </c>
      <c r="D584" s="88" t="s">
        <v>418</v>
      </c>
      <c r="E584" s="88" t="s">
        <v>418</v>
      </c>
      <c r="F584" s="88">
        <v>769</v>
      </c>
      <c r="G584" s="88" t="s">
        <v>419</v>
      </c>
      <c r="H584" s="88" t="s">
        <v>1569</v>
      </c>
      <c r="I584" s="88" t="s">
        <v>418</v>
      </c>
      <c r="J584" s="88" t="s">
        <v>444</v>
      </c>
      <c r="K584" s="88" t="s">
        <v>418</v>
      </c>
      <c r="L584" s="88" t="s">
        <v>418</v>
      </c>
      <c r="M584" s="94" t="str">
        <f t="shared" si="12"/>
        <v>View on Google Map</v>
      </c>
    </row>
    <row r="585" spans="1:13" x14ac:dyDescent="0.2">
      <c r="A585" s="88">
        <v>906</v>
      </c>
      <c r="B585" s="88" t="s">
        <v>1570</v>
      </c>
      <c r="C585" s="88" t="s">
        <v>1560</v>
      </c>
      <c r="D585" s="88" t="s">
        <v>418</v>
      </c>
      <c r="E585" s="88" t="s">
        <v>418</v>
      </c>
      <c r="F585" s="88">
        <v>769</v>
      </c>
      <c r="G585" s="88" t="s">
        <v>419</v>
      </c>
      <c r="H585" s="88" t="s">
        <v>1571</v>
      </c>
      <c r="I585" s="88" t="s">
        <v>418</v>
      </c>
      <c r="J585" s="88" t="s">
        <v>444</v>
      </c>
      <c r="K585" s="88" t="s">
        <v>418</v>
      </c>
      <c r="L585" s="88" t="s">
        <v>418</v>
      </c>
      <c r="M585" s="94" t="str">
        <f t="shared" si="12"/>
        <v>View on Google Map</v>
      </c>
    </row>
    <row r="586" spans="1:13" x14ac:dyDescent="0.2">
      <c r="A586" s="88">
        <v>907</v>
      </c>
      <c r="B586" s="88" t="s">
        <v>1572</v>
      </c>
      <c r="C586" s="88" t="s">
        <v>1560</v>
      </c>
      <c r="D586" s="88" t="s">
        <v>418</v>
      </c>
      <c r="E586" s="88" t="s">
        <v>418</v>
      </c>
      <c r="F586" s="88">
        <v>770</v>
      </c>
      <c r="G586" s="88" t="s">
        <v>419</v>
      </c>
      <c r="H586" s="88" t="s">
        <v>1573</v>
      </c>
      <c r="I586" s="88" t="s">
        <v>418</v>
      </c>
      <c r="J586" s="88" t="s">
        <v>444</v>
      </c>
      <c r="K586" s="88" t="s">
        <v>418</v>
      </c>
      <c r="L586" s="88" t="s">
        <v>418</v>
      </c>
      <c r="M586" s="94" t="str">
        <f t="shared" si="12"/>
        <v>View on Google Map</v>
      </c>
    </row>
    <row r="587" spans="1:13" x14ac:dyDescent="0.2">
      <c r="A587" s="88">
        <v>908</v>
      </c>
      <c r="B587" s="88" t="s">
        <v>1574</v>
      </c>
      <c r="C587" s="88" t="s">
        <v>1560</v>
      </c>
      <c r="D587" s="88" t="s">
        <v>418</v>
      </c>
      <c r="E587" s="88" t="s">
        <v>418</v>
      </c>
      <c r="F587" s="88">
        <v>770</v>
      </c>
      <c r="G587" s="88" t="s">
        <v>419</v>
      </c>
      <c r="H587" s="88" t="s">
        <v>1575</v>
      </c>
      <c r="I587" s="88" t="s">
        <v>418</v>
      </c>
      <c r="J587" s="88" t="s">
        <v>444</v>
      </c>
      <c r="K587" s="88" t="s">
        <v>418</v>
      </c>
      <c r="L587" s="88" t="s">
        <v>418</v>
      </c>
      <c r="M587" s="94" t="str">
        <f t="shared" si="12"/>
        <v>View on Google Map</v>
      </c>
    </row>
    <row r="588" spans="1:13" x14ac:dyDescent="0.2">
      <c r="A588" s="88">
        <v>909</v>
      </c>
      <c r="B588" s="88" t="s">
        <v>1576</v>
      </c>
      <c r="C588" s="88" t="s">
        <v>1560</v>
      </c>
      <c r="D588" s="88" t="s">
        <v>418</v>
      </c>
      <c r="E588" s="88" t="s">
        <v>418</v>
      </c>
      <c r="F588" s="88">
        <v>764</v>
      </c>
      <c r="G588" s="88" t="s">
        <v>419</v>
      </c>
      <c r="H588" s="88" t="s">
        <v>1577</v>
      </c>
      <c r="I588" s="88" t="s">
        <v>418</v>
      </c>
      <c r="J588" s="88" t="s">
        <v>444</v>
      </c>
      <c r="K588" s="88" t="s">
        <v>418</v>
      </c>
      <c r="L588" s="88" t="s">
        <v>418</v>
      </c>
      <c r="M588" s="94" t="str">
        <f t="shared" si="12"/>
        <v>View on Google Map</v>
      </c>
    </row>
    <row r="589" spans="1:13" x14ac:dyDescent="0.2">
      <c r="A589" s="88">
        <v>910</v>
      </c>
      <c r="B589" s="88" t="s">
        <v>1578</v>
      </c>
      <c r="C589" s="88" t="s">
        <v>1560</v>
      </c>
      <c r="D589" s="88" t="s">
        <v>418</v>
      </c>
      <c r="E589" s="88" t="s">
        <v>418</v>
      </c>
      <c r="F589" s="88">
        <v>764</v>
      </c>
      <c r="G589" s="88" t="s">
        <v>419</v>
      </c>
      <c r="H589" s="88" t="s">
        <v>1579</v>
      </c>
      <c r="I589" s="88" t="s">
        <v>418</v>
      </c>
      <c r="J589" s="88" t="s">
        <v>444</v>
      </c>
      <c r="K589" s="88" t="s">
        <v>418</v>
      </c>
      <c r="L589" s="88" t="s">
        <v>418</v>
      </c>
      <c r="M589" s="94" t="str">
        <f t="shared" si="12"/>
        <v>View on Google Map</v>
      </c>
    </row>
    <row r="590" spans="1:13" x14ac:dyDescent="0.2">
      <c r="A590" s="88">
        <v>911</v>
      </c>
      <c r="B590" s="88" t="s">
        <v>1580</v>
      </c>
      <c r="C590" s="88" t="s">
        <v>1560</v>
      </c>
      <c r="D590" s="88" t="s">
        <v>418</v>
      </c>
      <c r="E590" s="88" t="s">
        <v>418</v>
      </c>
      <c r="F590" s="88">
        <v>760</v>
      </c>
      <c r="G590" s="88" t="s">
        <v>419</v>
      </c>
      <c r="H590" s="88" t="s">
        <v>1581</v>
      </c>
      <c r="I590" s="88" t="s">
        <v>418</v>
      </c>
      <c r="J590" s="88" t="s">
        <v>444</v>
      </c>
      <c r="K590" s="88" t="s">
        <v>418</v>
      </c>
      <c r="L590" s="88" t="s">
        <v>418</v>
      </c>
      <c r="M590" s="94" t="str">
        <f t="shared" si="12"/>
        <v>View on Google Map</v>
      </c>
    </row>
    <row r="591" spans="1:13" x14ac:dyDescent="0.2">
      <c r="A591" s="88">
        <v>912</v>
      </c>
      <c r="B591" s="88" t="s">
        <v>1582</v>
      </c>
      <c r="C591" s="88" t="s">
        <v>1560</v>
      </c>
      <c r="D591" s="88" t="s">
        <v>418</v>
      </c>
      <c r="E591" s="88" t="s">
        <v>418</v>
      </c>
      <c r="F591" s="88">
        <v>760</v>
      </c>
      <c r="G591" s="88" t="s">
        <v>419</v>
      </c>
      <c r="H591" s="88" t="s">
        <v>1583</v>
      </c>
      <c r="I591" s="88" t="s">
        <v>418</v>
      </c>
      <c r="J591" s="88" t="s">
        <v>444</v>
      </c>
      <c r="K591" s="88" t="s">
        <v>418</v>
      </c>
      <c r="L591" s="88" t="s">
        <v>418</v>
      </c>
      <c r="M591" s="94" t="str">
        <f t="shared" si="12"/>
        <v>View on Google Map</v>
      </c>
    </row>
    <row r="592" spans="1:13" x14ac:dyDescent="0.2">
      <c r="A592" s="88">
        <v>913</v>
      </c>
      <c r="B592" s="88" t="s">
        <v>1584</v>
      </c>
      <c r="C592" s="88" t="s">
        <v>1560</v>
      </c>
      <c r="D592" s="88" t="s">
        <v>418</v>
      </c>
      <c r="E592" s="88" t="s">
        <v>418</v>
      </c>
      <c r="F592" s="88">
        <v>759</v>
      </c>
      <c r="G592" s="88" t="s">
        <v>419</v>
      </c>
      <c r="H592" s="88" t="s">
        <v>1585</v>
      </c>
      <c r="I592" s="88" t="s">
        <v>418</v>
      </c>
      <c r="J592" s="88" t="s">
        <v>444</v>
      </c>
      <c r="K592" s="88" t="s">
        <v>418</v>
      </c>
      <c r="L592" s="88" t="s">
        <v>418</v>
      </c>
      <c r="M592" s="94" t="str">
        <f t="shared" si="12"/>
        <v>View on Google Map</v>
      </c>
    </row>
    <row r="593" spans="1:13" x14ac:dyDescent="0.2">
      <c r="A593" s="88">
        <v>914</v>
      </c>
      <c r="B593" s="88" t="s">
        <v>1586</v>
      </c>
      <c r="C593" s="88" t="s">
        <v>1560</v>
      </c>
      <c r="D593" s="88" t="s">
        <v>418</v>
      </c>
      <c r="E593" s="88" t="s">
        <v>418</v>
      </c>
      <c r="F593" s="88">
        <v>758</v>
      </c>
      <c r="G593" s="88" t="s">
        <v>419</v>
      </c>
      <c r="H593" s="88" t="s">
        <v>1587</v>
      </c>
      <c r="I593" s="88" t="s">
        <v>418</v>
      </c>
      <c r="J593" s="88" t="s">
        <v>444</v>
      </c>
      <c r="K593" s="88" t="s">
        <v>418</v>
      </c>
      <c r="L593" s="88" t="s">
        <v>418</v>
      </c>
      <c r="M593" s="94" t="str">
        <f t="shared" si="12"/>
        <v>View on Google Map</v>
      </c>
    </row>
    <row r="594" spans="1:13" x14ac:dyDescent="0.2">
      <c r="A594" s="88">
        <v>915</v>
      </c>
      <c r="B594" s="88" t="s">
        <v>1588</v>
      </c>
      <c r="C594" s="88" t="s">
        <v>1589</v>
      </c>
      <c r="D594" s="88">
        <v>68.627900999999994</v>
      </c>
      <c r="E594" s="88">
        <v>-149.61295100000001</v>
      </c>
      <c r="F594" s="88">
        <v>759</v>
      </c>
      <c r="G594" s="88" t="s">
        <v>419</v>
      </c>
      <c r="H594" s="88" t="s">
        <v>1590</v>
      </c>
      <c r="I594" s="88" t="s">
        <v>1591</v>
      </c>
      <c r="J594" s="88" t="s">
        <v>444</v>
      </c>
      <c r="K594" s="88" t="s">
        <v>418</v>
      </c>
      <c r="L594" s="88" t="s">
        <v>418</v>
      </c>
      <c r="M594" s="94" t="str">
        <f t="shared" si="12"/>
        <v>View on Google Map</v>
      </c>
    </row>
    <row r="595" spans="1:13" x14ac:dyDescent="0.2">
      <c r="A595" s="88">
        <v>900</v>
      </c>
      <c r="B595" s="88" t="s">
        <v>1592</v>
      </c>
      <c r="C595" s="88" t="s">
        <v>418</v>
      </c>
      <c r="D595" s="88">
        <v>68.623487999999995</v>
      </c>
      <c r="E595" s="88">
        <v>-149.616559</v>
      </c>
      <c r="F595" s="88">
        <v>761</v>
      </c>
      <c r="G595" s="88" t="s">
        <v>419</v>
      </c>
      <c r="H595" s="88" t="s">
        <v>1593</v>
      </c>
      <c r="I595" s="88" t="s">
        <v>1594</v>
      </c>
      <c r="J595" s="88" t="s">
        <v>444</v>
      </c>
      <c r="K595" s="88" t="s">
        <v>418</v>
      </c>
      <c r="L595" s="88" t="s">
        <v>418</v>
      </c>
      <c r="M595" s="94" t="str">
        <f t="shared" si="12"/>
        <v>View on Google Map</v>
      </c>
    </row>
    <row r="596" spans="1:13" x14ac:dyDescent="0.2">
      <c r="B596" s="88" t="s">
        <v>1595</v>
      </c>
      <c r="C596" s="88" t="s">
        <v>1030</v>
      </c>
      <c r="D596" s="88">
        <v>68.549263888888888</v>
      </c>
      <c r="E596" s="88">
        <v>-149.306022222222</v>
      </c>
      <c r="G596" s="88" t="s">
        <v>955</v>
      </c>
      <c r="J596" s="3" t="s">
        <v>444</v>
      </c>
      <c r="M596" s="94" t="str">
        <f t="shared" si="12"/>
        <v>View on Google Map</v>
      </c>
    </row>
    <row r="597" spans="1:13" x14ac:dyDescent="0.2">
      <c r="B597" s="88" t="s">
        <v>1596</v>
      </c>
      <c r="C597" s="88" t="s">
        <v>1030</v>
      </c>
      <c r="D597" s="88">
        <v>68.550188888888883</v>
      </c>
      <c r="E597" s="88">
        <v>-149.310305555556</v>
      </c>
      <c r="G597" s="88" t="s">
        <v>955</v>
      </c>
      <c r="J597" s="3" t="s">
        <v>444</v>
      </c>
      <c r="M597" s="94" t="str">
        <f t="shared" si="12"/>
        <v>View on Google Map</v>
      </c>
    </row>
    <row r="598" spans="1:13" x14ac:dyDescent="0.2">
      <c r="B598" s="88" t="s">
        <v>1597</v>
      </c>
      <c r="C598" s="88" t="s">
        <v>1030</v>
      </c>
      <c r="D598" s="88">
        <v>68.549108333333336</v>
      </c>
      <c r="E598" s="88">
        <v>-149.30837777777799</v>
      </c>
      <c r="G598" s="88" t="s">
        <v>955</v>
      </c>
      <c r="J598" s="3" t="s">
        <v>444</v>
      </c>
      <c r="M598" s="94" t="str">
        <f t="shared" si="12"/>
        <v>View on Google Map</v>
      </c>
    </row>
    <row r="599" spans="1:13" x14ac:dyDescent="0.2">
      <c r="A599" s="88">
        <v>42</v>
      </c>
      <c r="B599" s="88" t="s">
        <v>1598</v>
      </c>
      <c r="C599" s="88" t="s">
        <v>418</v>
      </c>
      <c r="D599" s="88">
        <v>68.960555999999997</v>
      </c>
      <c r="E599" s="88">
        <v>-150.63055600000001</v>
      </c>
      <c r="F599" s="88" t="s">
        <v>418</v>
      </c>
      <c r="G599" s="88" t="s">
        <v>443</v>
      </c>
      <c r="H599" s="88" t="s">
        <v>1599</v>
      </c>
      <c r="I599" s="88" t="s">
        <v>418</v>
      </c>
      <c r="J599" s="88" t="s">
        <v>1429</v>
      </c>
      <c r="K599" s="88" t="s">
        <v>418</v>
      </c>
      <c r="L599" s="88" t="s">
        <v>426</v>
      </c>
      <c r="M599" s="94" t="str">
        <f t="shared" si="12"/>
        <v>View on Google Map</v>
      </c>
    </row>
    <row r="600" spans="1:13" x14ac:dyDescent="0.2">
      <c r="A600" s="88">
        <v>43</v>
      </c>
      <c r="B600" s="88" t="s">
        <v>1600</v>
      </c>
      <c r="C600" s="88" t="s">
        <v>418</v>
      </c>
      <c r="D600" s="88">
        <v>68.935101000000003</v>
      </c>
      <c r="E600" s="88">
        <v>-150.68391700000001</v>
      </c>
      <c r="F600" s="88" t="s">
        <v>418</v>
      </c>
      <c r="G600" s="88" t="s">
        <v>443</v>
      </c>
      <c r="H600" s="88" t="s">
        <v>1601</v>
      </c>
      <c r="I600" s="88" t="s">
        <v>418</v>
      </c>
      <c r="J600" s="88" t="s">
        <v>1429</v>
      </c>
      <c r="K600" s="88" t="s">
        <v>418</v>
      </c>
      <c r="L600" s="88" t="s">
        <v>426</v>
      </c>
      <c r="M600" s="94" t="str">
        <f t="shared" si="12"/>
        <v>View on Google Map</v>
      </c>
    </row>
    <row r="601" spans="1:13" x14ac:dyDescent="0.2">
      <c r="A601" s="88">
        <v>44</v>
      </c>
      <c r="B601" s="88" t="s">
        <v>1602</v>
      </c>
      <c r="C601" s="88" t="s">
        <v>418</v>
      </c>
      <c r="D601" s="88">
        <v>68.916987000000006</v>
      </c>
      <c r="E601" s="88">
        <v>-150.659291</v>
      </c>
      <c r="F601" s="88" t="s">
        <v>418</v>
      </c>
      <c r="G601" s="88" t="s">
        <v>443</v>
      </c>
      <c r="H601" s="88" t="s">
        <v>1603</v>
      </c>
      <c r="I601" s="88" t="s">
        <v>418</v>
      </c>
      <c r="J601" s="88" t="s">
        <v>1429</v>
      </c>
      <c r="K601" s="88" t="s">
        <v>418</v>
      </c>
      <c r="L601" s="88" t="s">
        <v>426</v>
      </c>
      <c r="M601" s="94" t="str">
        <f t="shared" si="12"/>
        <v>View on Google Map</v>
      </c>
    </row>
    <row r="602" spans="1:13" x14ac:dyDescent="0.2">
      <c r="B602" s="88" t="s">
        <v>1604</v>
      </c>
      <c r="C602" s="88" t="s">
        <v>1431</v>
      </c>
      <c r="D602" s="88">
        <v>69.132777777777775</v>
      </c>
      <c r="E602" s="88">
        <v>-150.710833333333</v>
      </c>
      <c r="G602" s="88" t="s">
        <v>437</v>
      </c>
      <c r="J602" s="88" t="s">
        <v>425</v>
      </c>
      <c r="L602" s="88" t="s">
        <v>426</v>
      </c>
      <c r="M602" s="94" t="str">
        <f t="shared" si="12"/>
        <v>View on Google Map</v>
      </c>
    </row>
    <row r="603" spans="1:13" x14ac:dyDescent="0.2">
      <c r="B603" s="88" t="s">
        <v>1605</v>
      </c>
      <c r="C603" s="88" t="s">
        <v>815</v>
      </c>
      <c r="D603" s="88">
        <v>69.13944444444445</v>
      </c>
      <c r="E603" s="88">
        <v>-150.68388888888899</v>
      </c>
      <c r="G603" s="88" t="s">
        <v>437</v>
      </c>
      <c r="J603" s="88" t="s">
        <v>425</v>
      </c>
      <c r="L603" s="88" t="s">
        <v>426</v>
      </c>
      <c r="M603" s="94" t="str">
        <f t="shared" si="12"/>
        <v>View on Google Map</v>
      </c>
    </row>
    <row r="604" spans="1:13" x14ac:dyDescent="0.2">
      <c r="B604" s="88" t="s">
        <v>1606</v>
      </c>
      <c r="C604" s="88" t="s">
        <v>1431</v>
      </c>
      <c r="D604" s="88">
        <v>68.960833333333341</v>
      </c>
      <c r="E604" s="88">
        <v>-150.719722222222</v>
      </c>
      <c r="G604" s="88" t="s">
        <v>437</v>
      </c>
      <c r="J604" s="88" t="s">
        <v>425</v>
      </c>
      <c r="L604" s="88" t="s">
        <v>426</v>
      </c>
      <c r="M604" s="94" t="str">
        <f t="shared" si="12"/>
        <v>View on Google Map</v>
      </c>
    </row>
    <row r="605" spans="1:13" x14ac:dyDescent="0.2">
      <c r="B605" s="88" t="s">
        <v>1607</v>
      </c>
      <c r="C605" s="88" t="s">
        <v>815</v>
      </c>
      <c r="D605" s="88">
        <v>69.055277777777775</v>
      </c>
      <c r="E605" s="88">
        <v>-150.80972222222201</v>
      </c>
      <c r="G605" s="88" t="s">
        <v>437</v>
      </c>
      <c r="J605" s="88" t="s">
        <v>425</v>
      </c>
      <c r="L605" s="88" t="s">
        <v>426</v>
      </c>
      <c r="M605" s="94" t="str">
        <f t="shared" si="12"/>
        <v>View on Google Map</v>
      </c>
    </row>
    <row r="606" spans="1:13" x14ac:dyDescent="0.2">
      <c r="A606" s="88">
        <v>932</v>
      </c>
      <c r="B606" s="88" t="s">
        <v>1608</v>
      </c>
      <c r="C606" s="88" t="s">
        <v>418</v>
      </c>
      <c r="D606" s="88" t="s">
        <v>418</v>
      </c>
      <c r="E606" s="88" t="s">
        <v>418</v>
      </c>
      <c r="F606" s="88">
        <v>750</v>
      </c>
      <c r="G606" s="88" t="s">
        <v>419</v>
      </c>
      <c r="H606" s="88" t="s">
        <v>1609</v>
      </c>
      <c r="I606" s="88" t="s">
        <v>1610</v>
      </c>
      <c r="J606" s="88" t="s">
        <v>444</v>
      </c>
      <c r="K606" s="88" t="s">
        <v>418</v>
      </c>
      <c r="L606" s="88" t="s">
        <v>418</v>
      </c>
      <c r="M606" s="94" t="str">
        <f t="shared" si="12"/>
        <v>View on Google Map</v>
      </c>
    </row>
    <row r="607" spans="1:13" x14ac:dyDescent="0.2">
      <c r="A607" s="88">
        <v>920</v>
      </c>
      <c r="B607" s="88" t="s">
        <v>1611</v>
      </c>
      <c r="C607" s="88" t="s">
        <v>418</v>
      </c>
      <c r="D607" s="88" t="s">
        <v>418</v>
      </c>
      <c r="E607" s="88" t="s">
        <v>418</v>
      </c>
      <c r="F607" s="88">
        <v>760</v>
      </c>
      <c r="G607" s="88" t="s">
        <v>419</v>
      </c>
      <c r="H607" s="88" t="s">
        <v>1612</v>
      </c>
      <c r="I607" s="88" t="s">
        <v>1613</v>
      </c>
      <c r="J607" s="88" t="s">
        <v>444</v>
      </c>
      <c r="K607" s="88" t="s">
        <v>418</v>
      </c>
      <c r="L607" s="88" t="s">
        <v>418</v>
      </c>
      <c r="M607" s="94" t="str">
        <f t="shared" si="12"/>
        <v>View on Google Map</v>
      </c>
    </row>
    <row r="608" spans="1:13" x14ac:dyDescent="0.2">
      <c r="A608" s="88">
        <v>921</v>
      </c>
      <c r="B608" s="88" t="s">
        <v>1614</v>
      </c>
      <c r="C608" s="88" t="s">
        <v>418</v>
      </c>
      <c r="D608" s="88" t="s">
        <v>418</v>
      </c>
      <c r="E608" s="88" t="s">
        <v>418</v>
      </c>
      <c r="F608" s="88">
        <v>720</v>
      </c>
      <c r="G608" s="88" t="s">
        <v>419</v>
      </c>
      <c r="H608" s="88" t="s">
        <v>1615</v>
      </c>
      <c r="I608" s="88" t="s">
        <v>1616</v>
      </c>
      <c r="J608" s="88" t="s">
        <v>444</v>
      </c>
      <c r="K608" s="88" t="s">
        <v>418</v>
      </c>
      <c r="L608" s="88" t="s">
        <v>418</v>
      </c>
      <c r="M608" s="94" t="str">
        <f t="shared" si="12"/>
        <v>View on Google Map</v>
      </c>
    </row>
    <row r="609" spans="1:13" x14ac:dyDescent="0.2">
      <c r="A609" s="88">
        <v>922</v>
      </c>
      <c r="B609" s="88" t="s">
        <v>1617</v>
      </c>
      <c r="C609" s="88" t="s">
        <v>418</v>
      </c>
      <c r="D609" s="88" t="s">
        <v>418</v>
      </c>
      <c r="E609" s="88" t="s">
        <v>418</v>
      </c>
      <c r="F609" s="88">
        <v>750</v>
      </c>
      <c r="G609" s="88" t="s">
        <v>419</v>
      </c>
      <c r="H609" s="88" t="s">
        <v>1618</v>
      </c>
      <c r="I609" s="88" t="s">
        <v>1619</v>
      </c>
      <c r="J609" s="88" t="s">
        <v>444</v>
      </c>
      <c r="K609" s="88" t="s">
        <v>418</v>
      </c>
      <c r="L609" s="88" t="s">
        <v>418</v>
      </c>
      <c r="M609" s="94" t="str">
        <f t="shared" si="12"/>
        <v>View on Google Map</v>
      </c>
    </row>
    <row r="610" spans="1:13" x14ac:dyDescent="0.2">
      <c r="A610" s="88">
        <v>923</v>
      </c>
      <c r="B610" s="88" t="s">
        <v>1620</v>
      </c>
      <c r="C610" s="88" t="s">
        <v>418</v>
      </c>
      <c r="D610" s="88" t="s">
        <v>418</v>
      </c>
      <c r="E610" s="88" t="s">
        <v>418</v>
      </c>
      <c r="F610" s="88">
        <v>750</v>
      </c>
      <c r="G610" s="88" t="s">
        <v>419</v>
      </c>
      <c r="H610" s="88" t="s">
        <v>1621</v>
      </c>
      <c r="I610" s="88" t="s">
        <v>1622</v>
      </c>
      <c r="J610" s="88" t="s">
        <v>444</v>
      </c>
      <c r="K610" s="88" t="s">
        <v>418</v>
      </c>
      <c r="L610" s="88" t="s">
        <v>418</v>
      </c>
      <c r="M610" s="94" t="str">
        <f t="shared" si="12"/>
        <v>View on Google Map</v>
      </c>
    </row>
    <row r="611" spans="1:13" x14ac:dyDescent="0.2">
      <c r="A611" s="88">
        <v>924</v>
      </c>
      <c r="B611" s="88" t="s">
        <v>1623</v>
      </c>
      <c r="C611" s="88" t="s">
        <v>418</v>
      </c>
      <c r="D611" s="88" t="s">
        <v>418</v>
      </c>
      <c r="E611" s="88" t="s">
        <v>418</v>
      </c>
      <c r="F611" s="88">
        <v>750</v>
      </c>
      <c r="G611" s="88" t="s">
        <v>419</v>
      </c>
      <c r="H611" s="88" t="s">
        <v>1624</v>
      </c>
      <c r="I611" s="88" t="s">
        <v>1625</v>
      </c>
      <c r="J611" s="88" t="s">
        <v>444</v>
      </c>
      <c r="K611" s="88" t="s">
        <v>418</v>
      </c>
      <c r="L611" s="88" t="s">
        <v>418</v>
      </c>
      <c r="M611" s="94" t="str">
        <f t="shared" si="12"/>
        <v>View on Google Map</v>
      </c>
    </row>
    <row r="612" spans="1:13" x14ac:dyDescent="0.2">
      <c r="A612" s="88">
        <v>925</v>
      </c>
      <c r="B612" s="88" t="s">
        <v>1626</v>
      </c>
      <c r="C612" s="88" t="s">
        <v>418</v>
      </c>
      <c r="D612" s="88" t="s">
        <v>418</v>
      </c>
      <c r="E612" s="88" t="s">
        <v>418</v>
      </c>
      <c r="F612" s="88">
        <v>750</v>
      </c>
      <c r="G612" s="88" t="s">
        <v>419</v>
      </c>
      <c r="H612" s="88" t="s">
        <v>1627</v>
      </c>
      <c r="I612" s="88" t="s">
        <v>1628</v>
      </c>
      <c r="J612" s="88" t="s">
        <v>444</v>
      </c>
      <c r="K612" s="88" t="s">
        <v>418</v>
      </c>
      <c r="L612" s="88" t="s">
        <v>418</v>
      </c>
      <c r="M612" s="94" t="str">
        <f t="shared" si="12"/>
        <v>View on Google Map</v>
      </c>
    </row>
    <row r="613" spans="1:13" x14ac:dyDescent="0.2">
      <c r="A613" s="88">
        <v>926</v>
      </c>
      <c r="B613" s="88" t="s">
        <v>1629</v>
      </c>
      <c r="C613" s="88" t="s">
        <v>418</v>
      </c>
      <c r="D613" s="88" t="s">
        <v>418</v>
      </c>
      <c r="E613" s="88" t="s">
        <v>418</v>
      </c>
      <c r="F613" s="88">
        <v>750</v>
      </c>
      <c r="G613" s="88" t="s">
        <v>419</v>
      </c>
      <c r="H613" s="88" t="s">
        <v>1630</v>
      </c>
      <c r="I613" s="88" t="s">
        <v>1631</v>
      </c>
      <c r="J613" s="88" t="s">
        <v>444</v>
      </c>
      <c r="K613" s="88" t="s">
        <v>418</v>
      </c>
      <c r="L613" s="88" t="s">
        <v>418</v>
      </c>
      <c r="M613" s="94" t="str">
        <f t="shared" si="12"/>
        <v>View on Google Map</v>
      </c>
    </row>
    <row r="614" spans="1:13" x14ac:dyDescent="0.2">
      <c r="A614" s="88">
        <v>927</v>
      </c>
      <c r="B614" s="88" t="s">
        <v>1632</v>
      </c>
      <c r="C614" s="88" t="s">
        <v>418</v>
      </c>
      <c r="D614" s="88" t="s">
        <v>418</v>
      </c>
      <c r="E614" s="88" t="s">
        <v>418</v>
      </c>
      <c r="F614" s="88">
        <v>750</v>
      </c>
      <c r="G614" s="88" t="s">
        <v>419</v>
      </c>
      <c r="H614" s="88" t="s">
        <v>1633</v>
      </c>
      <c r="I614" s="88" t="s">
        <v>1634</v>
      </c>
      <c r="J614" s="88" t="s">
        <v>444</v>
      </c>
      <c r="K614" s="88" t="s">
        <v>418</v>
      </c>
      <c r="L614" s="88" t="s">
        <v>418</v>
      </c>
      <c r="M614" s="94" t="str">
        <f t="shared" si="12"/>
        <v>View on Google Map</v>
      </c>
    </row>
    <row r="615" spans="1:13" x14ac:dyDescent="0.2">
      <c r="A615" s="88">
        <v>928</v>
      </c>
      <c r="B615" s="88" t="s">
        <v>1635</v>
      </c>
      <c r="C615" s="88" t="s">
        <v>418</v>
      </c>
      <c r="D615" s="88" t="s">
        <v>418</v>
      </c>
      <c r="E615" s="88" t="s">
        <v>418</v>
      </c>
      <c r="F615" s="88">
        <v>750</v>
      </c>
      <c r="G615" s="88" t="s">
        <v>419</v>
      </c>
      <c r="H615" s="88" t="s">
        <v>1636</v>
      </c>
      <c r="I615" s="88" t="s">
        <v>1637</v>
      </c>
      <c r="J615" s="88" t="s">
        <v>444</v>
      </c>
      <c r="K615" s="88" t="s">
        <v>418</v>
      </c>
      <c r="L615" s="88" t="s">
        <v>418</v>
      </c>
      <c r="M615" s="94" t="str">
        <f t="shared" si="12"/>
        <v>View on Google Map</v>
      </c>
    </row>
    <row r="616" spans="1:13" x14ac:dyDescent="0.2">
      <c r="A616" s="88">
        <v>929</v>
      </c>
      <c r="B616" s="88" t="s">
        <v>1638</v>
      </c>
      <c r="C616" s="88" t="s">
        <v>418</v>
      </c>
      <c r="D616" s="88" t="s">
        <v>418</v>
      </c>
      <c r="E616" s="88" t="s">
        <v>418</v>
      </c>
      <c r="F616" s="88">
        <v>750</v>
      </c>
      <c r="G616" s="88" t="s">
        <v>419</v>
      </c>
      <c r="H616" s="88" t="s">
        <v>1639</v>
      </c>
      <c r="I616" s="88" t="s">
        <v>1640</v>
      </c>
      <c r="J616" s="88" t="s">
        <v>444</v>
      </c>
      <c r="K616" s="88" t="s">
        <v>418</v>
      </c>
      <c r="L616" s="88" t="s">
        <v>418</v>
      </c>
      <c r="M616" s="94" t="str">
        <f t="shared" si="12"/>
        <v>View on Google Map</v>
      </c>
    </row>
    <row r="617" spans="1:13" x14ac:dyDescent="0.2">
      <c r="A617" s="88">
        <v>930</v>
      </c>
      <c r="B617" s="88" t="s">
        <v>1641</v>
      </c>
      <c r="C617" s="88" t="s">
        <v>418</v>
      </c>
      <c r="D617" s="88" t="s">
        <v>418</v>
      </c>
      <c r="E617" s="88" t="s">
        <v>418</v>
      </c>
      <c r="F617" s="88">
        <v>750</v>
      </c>
      <c r="G617" s="88" t="s">
        <v>419</v>
      </c>
      <c r="H617" s="88" t="s">
        <v>1642</v>
      </c>
      <c r="I617" s="88" t="s">
        <v>1643</v>
      </c>
      <c r="J617" s="88" t="s">
        <v>444</v>
      </c>
      <c r="K617" s="88" t="s">
        <v>418</v>
      </c>
      <c r="L617" s="88" t="s">
        <v>418</v>
      </c>
      <c r="M617" s="94" t="str">
        <f t="shared" si="12"/>
        <v>View on Google Map</v>
      </c>
    </row>
    <row r="618" spans="1:13" x14ac:dyDescent="0.2">
      <c r="A618" s="88">
        <v>931</v>
      </c>
      <c r="B618" s="88" t="s">
        <v>1644</v>
      </c>
      <c r="C618" s="88" t="s">
        <v>418</v>
      </c>
      <c r="D618" s="88" t="s">
        <v>418</v>
      </c>
      <c r="E618" s="88" t="s">
        <v>418</v>
      </c>
      <c r="F618" s="88">
        <v>750</v>
      </c>
      <c r="G618" s="88" t="s">
        <v>419</v>
      </c>
      <c r="H618" s="88" t="s">
        <v>1645</v>
      </c>
      <c r="I618" s="88" t="s">
        <v>1646</v>
      </c>
      <c r="J618" s="88" t="s">
        <v>444</v>
      </c>
      <c r="K618" s="88" t="s">
        <v>418</v>
      </c>
      <c r="L618" s="88" t="s">
        <v>418</v>
      </c>
      <c r="M618" s="94" t="str">
        <f t="shared" si="12"/>
        <v>View on Google Map</v>
      </c>
    </row>
    <row r="619" spans="1:13" x14ac:dyDescent="0.2">
      <c r="A619" s="88">
        <v>370</v>
      </c>
      <c r="B619" s="88" t="s">
        <v>1647</v>
      </c>
      <c r="C619" s="88" t="s">
        <v>418</v>
      </c>
      <c r="D619" s="88" t="s">
        <v>418</v>
      </c>
      <c r="E619" s="88" t="s">
        <v>418</v>
      </c>
      <c r="F619" s="88" t="s">
        <v>418</v>
      </c>
      <c r="G619" s="88" t="s">
        <v>429</v>
      </c>
      <c r="H619" s="88" t="s">
        <v>418</v>
      </c>
      <c r="I619" s="88" t="s">
        <v>418</v>
      </c>
      <c r="J619" s="88" t="s">
        <v>444</v>
      </c>
      <c r="K619" s="88" t="s">
        <v>418</v>
      </c>
      <c r="L619" s="88" t="s">
        <v>1648</v>
      </c>
      <c r="M619" s="94" t="str">
        <f t="shared" si="12"/>
        <v>View on Google Map</v>
      </c>
    </row>
    <row r="620" spans="1:13" x14ac:dyDescent="0.2">
      <c r="A620" s="88">
        <v>371</v>
      </c>
      <c r="B620" s="88" t="s">
        <v>1649</v>
      </c>
      <c r="C620" s="88" t="s">
        <v>418</v>
      </c>
      <c r="D620" s="88" t="s">
        <v>418</v>
      </c>
      <c r="E620" s="88" t="s">
        <v>418</v>
      </c>
      <c r="F620" s="88" t="s">
        <v>418</v>
      </c>
      <c r="G620" s="88" t="s">
        <v>429</v>
      </c>
      <c r="H620" s="88" t="s">
        <v>418</v>
      </c>
      <c r="I620" s="88" t="s">
        <v>418</v>
      </c>
      <c r="J620" s="88" t="s">
        <v>444</v>
      </c>
      <c r="K620" s="88" t="s">
        <v>418</v>
      </c>
      <c r="L620" s="88" t="s">
        <v>1648</v>
      </c>
      <c r="M620" s="94" t="str">
        <f t="shared" si="12"/>
        <v>View on Google Map</v>
      </c>
    </row>
    <row r="621" spans="1:13" x14ac:dyDescent="0.2">
      <c r="A621" s="88">
        <v>372</v>
      </c>
      <c r="B621" s="88" t="s">
        <v>1650</v>
      </c>
      <c r="C621" s="88" t="s">
        <v>418</v>
      </c>
      <c r="D621" s="88" t="s">
        <v>418</v>
      </c>
      <c r="E621" s="88" t="s">
        <v>418</v>
      </c>
      <c r="F621" s="88" t="s">
        <v>418</v>
      </c>
      <c r="G621" s="88" t="s">
        <v>429</v>
      </c>
      <c r="H621" s="88" t="s">
        <v>418</v>
      </c>
      <c r="I621" s="88" t="s">
        <v>418</v>
      </c>
      <c r="J621" s="88" t="s">
        <v>444</v>
      </c>
      <c r="K621" s="88" t="s">
        <v>418</v>
      </c>
      <c r="L621" s="88" t="s">
        <v>1648</v>
      </c>
      <c r="M621" s="94" t="str">
        <f t="shared" si="12"/>
        <v>View on Google Map</v>
      </c>
    </row>
    <row r="622" spans="1:13" x14ac:dyDescent="0.2">
      <c r="A622" s="88">
        <v>373</v>
      </c>
      <c r="B622" s="88" t="s">
        <v>1651</v>
      </c>
      <c r="C622" s="88" t="s">
        <v>418</v>
      </c>
      <c r="D622" s="88" t="s">
        <v>418</v>
      </c>
      <c r="E622" s="88" t="s">
        <v>418</v>
      </c>
      <c r="F622" s="88" t="s">
        <v>418</v>
      </c>
      <c r="G622" s="88" t="s">
        <v>429</v>
      </c>
      <c r="H622" s="88" t="s">
        <v>418</v>
      </c>
      <c r="I622" s="88" t="s">
        <v>418</v>
      </c>
      <c r="J622" s="88" t="s">
        <v>444</v>
      </c>
      <c r="K622" s="88" t="s">
        <v>418</v>
      </c>
      <c r="L622" s="88" t="s">
        <v>1648</v>
      </c>
      <c r="M622" s="94" t="str">
        <f t="shared" si="12"/>
        <v>View on Google Map</v>
      </c>
    </row>
    <row r="623" spans="1:13" x14ac:dyDescent="0.2">
      <c r="A623" s="88">
        <v>374</v>
      </c>
      <c r="B623" s="88" t="s">
        <v>1652</v>
      </c>
      <c r="C623" s="88" t="s">
        <v>418</v>
      </c>
      <c r="D623" s="88" t="s">
        <v>418</v>
      </c>
      <c r="E623" s="88" t="s">
        <v>418</v>
      </c>
      <c r="F623" s="88" t="s">
        <v>418</v>
      </c>
      <c r="G623" s="88" t="s">
        <v>429</v>
      </c>
      <c r="H623" s="88" t="s">
        <v>418</v>
      </c>
      <c r="I623" s="88" t="s">
        <v>418</v>
      </c>
      <c r="J623" s="88" t="s">
        <v>444</v>
      </c>
      <c r="K623" s="88" t="s">
        <v>418</v>
      </c>
      <c r="L623" s="88" t="s">
        <v>1648</v>
      </c>
      <c r="M623" s="94" t="str">
        <f t="shared" si="12"/>
        <v>View on Google Map</v>
      </c>
    </row>
    <row r="624" spans="1:13" x14ac:dyDescent="0.2">
      <c r="A624" s="88">
        <v>375</v>
      </c>
      <c r="B624" s="88" t="s">
        <v>1653</v>
      </c>
      <c r="C624" s="88" t="s">
        <v>418</v>
      </c>
      <c r="D624" s="88" t="s">
        <v>418</v>
      </c>
      <c r="E624" s="88" t="s">
        <v>418</v>
      </c>
      <c r="F624" s="88" t="s">
        <v>418</v>
      </c>
      <c r="G624" s="88" t="s">
        <v>429</v>
      </c>
      <c r="H624" s="88" t="s">
        <v>418</v>
      </c>
      <c r="I624" s="88" t="s">
        <v>418</v>
      </c>
      <c r="J624" s="88" t="s">
        <v>444</v>
      </c>
      <c r="K624" s="88" t="s">
        <v>418</v>
      </c>
      <c r="L624" s="88" t="s">
        <v>1648</v>
      </c>
      <c r="M624" s="94" t="str">
        <f t="shared" si="12"/>
        <v>View on Google Map</v>
      </c>
    </row>
    <row r="625" spans="1:13" x14ac:dyDescent="0.2">
      <c r="A625" s="88">
        <v>376</v>
      </c>
      <c r="B625" s="88" t="s">
        <v>1654</v>
      </c>
      <c r="C625" s="88" t="s">
        <v>418</v>
      </c>
      <c r="D625" s="88" t="s">
        <v>418</v>
      </c>
      <c r="E625" s="88" t="s">
        <v>418</v>
      </c>
      <c r="F625" s="88" t="s">
        <v>418</v>
      </c>
      <c r="G625" s="88" t="s">
        <v>429</v>
      </c>
      <c r="H625" s="88" t="s">
        <v>418</v>
      </c>
      <c r="I625" s="88" t="s">
        <v>418</v>
      </c>
      <c r="J625" s="88" t="s">
        <v>444</v>
      </c>
      <c r="K625" s="88" t="s">
        <v>418</v>
      </c>
      <c r="L625" s="88" t="s">
        <v>1648</v>
      </c>
      <c r="M625" s="94" t="str">
        <f t="shared" si="12"/>
        <v>View on Google Map</v>
      </c>
    </row>
    <row r="626" spans="1:13" x14ac:dyDescent="0.2">
      <c r="A626" s="88">
        <v>377</v>
      </c>
      <c r="B626" s="88" t="s">
        <v>1655</v>
      </c>
      <c r="C626" s="88" t="s">
        <v>418</v>
      </c>
      <c r="D626" s="88" t="s">
        <v>418</v>
      </c>
      <c r="E626" s="88" t="s">
        <v>418</v>
      </c>
      <c r="F626" s="88" t="s">
        <v>418</v>
      </c>
      <c r="G626" s="88" t="s">
        <v>429</v>
      </c>
      <c r="H626" s="88" t="s">
        <v>418</v>
      </c>
      <c r="I626" s="88" t="s">
        <v>418</v>
      </c>
      <c r="J626" s="88" t="s">
        <v>444</v>
      </c>
      <c r="K626" s="88" t="s">
        <v>418</v>
      </c>
      <c r="L626" s="88" t="s">
        <v>1648</v>
      </c>
      <c r="M626" s="94" t="str">
        <f t="shared" si="12"/>
        <v>View on Google Map</v>
      </c>
    </row>
    <row r="627" spans="1:13" x14ac:dyDescent="0.2">
      <c r="A627" s="88">
        <v>378</v>
      </c>
      <c r="B627" s="88" t="s">
        <v>1656</v>
      </c>
      <c r="C627" s="88" t="s">
        <v>418</v>
      </c>
      <c r="D627" s="88" t="s">
        <v>418</v>
      </c>
      <c r="E627" s="88" t="s">
        <v>418</v>
      </c>
      <c r="F627" s="88" t="s">
        <v>418</v>
      </c>
      <c r="G627" s="88" t="s">
        <v>429</v>
      </c>
      <c r="H627" s="88" t="s">
        <v>418</v>
      </c>
      <c r="I627" s="88" t="s">
        <v>418</v>
      </c>
      <c r="J627" s="88" t="s">
        <v>444</v>
      </c>
      <c r="K627" s="88" t="s">
        <v>418</v>
      </c>
      <c r="L627" s="88" t="s">
        <v>1648</v>
      </c>
      <c r="M627" s="94" t="str">
        <f t="shared" si="12"/>
        <v>View on Google Map</v>
      </c>
    </row>
    <row r="628" spans="1:13" x14ac:dyDescent="0.2">
      <c r="A628" s="88">
        <v>379</v>
      </c>
      <c r="B628" s="88" t="s">
        <v>1657</v>
      </c>
      <c r="C628" s="88" t="s">
        <v>418</v>
      </c>
      <c r="D628" s="88" t="s">
        <v>418</v>
      </c>
      <c r="E628" s="88" t="s">
        <v>418</v>
      </c>
      <c r="F628" s="88" t="s">
        <v>418</v>
      </c>
      <c r="G628" s="88" t="s">
        <v>429</v>
      </c>
      <c r="H628" s="88" t="s">
        <v>418</v>
      </c>
      <c r="I628" s="88" t="s">
        <v>418</v>
      </c>
      <c r="J628" s="88" t="s">
        <v>444</v>
      </c>
      <c r="K628" s="88" t="s">
        <v>418</v>
      </c>
      <c r="L628" s="88" t="s">
        <v>1648</v>
      </c>
      <c r="M628" s="94" t="str">
        <f t="shared" si="12"/>
        <v>View on Google Map</v>
      </c>
    </row>
    <row r="629" spans="1:13" x14ac:dyDescent="0.2">
      <c r="A629" s="88">
        <v>458</v>
      </c>
      <c r="B629" s="88" t="s">
        <v>1658</v>
      </c>
      <c r="C629" s="88" t="s">
        <v>418</v>
      </c>
      <c r="D629" s="88">
        <v>68.986329999999995</v>
      </c>
      <c r="E629" s="88">
        <v>-149.89803000000001</v>
      </c>
      <c r="F629" s="88">
        <v>419</v>
      </c>
      <c r="G629" s="88" t="s">
        <v>429</v>
      </c>
      <c r="H629" s="88" t="s">
        <v>418</v>
      </c>
      <c r="I629" s="88" t="s">
        <v>418</v>
      </c>
      <c r="J629" s="88" t="s">
        <v>430</v>
      </c>
      <c r="K629" s="88" t="s">
        <v>418</v>
      </c>
      <c r="L629" s="88" t="s">
        <v>418</v>
      </c>
      <c r="M629" s="94" t="str">
        <f t="shared" si="12"/>
        <v>View on Google Map</v>
      </c>
    </row>
    <row r="630" spans="1:13" x14ac:dyDescent="0.2">
      <c r="A630" s="88">
        <v>459</v>
      </c>
      <c r="B630" s="88" t="s">
        <v>1659</v>
      </c>
      <c r="C630" s="88" t="s">
        <v>418</v>
      </c>
      <c r="D630" s="88">
        <v>68.983530000000002</v>
      </c>
      <c r="E630" s="88">
        <v>-149.89436000000001</v>
      </c>
      <c r="F630" s="88">
        <v>408</v>
      </c>
      <c r="G630" s="88" t="s">
        <v>429</v>
      </c>
      <c r="H630" s="88" t="s">
        <v>418</v>
      </c>
      <c r="I630" s="88" t="s">
        <v>418</v>
      </c>
      <c r="J630" s="88" t="s">
        <v>430</v>
      </c>
      <c r="K630" s="88" t="s">
        <v>418</v>
      </c>
      <c r="L630" s="88" t="s">
        <v>418</v>
      </c>
      <c r="M630" s="94" t="str">
        <f t="shared" si="12"/>
        <v>View on Google Map</v>
      </c>
    </row>
    <row r="631" spans="1:13" x14ac:dyDescent="0.2">
      <c r="A631" s="88">
        <v>460</v>
      </c>
      <c r="B631" s="88" t="s">
        <v>1660</v>
      </c>
      <c r="C631" s="88" t="s">
        <v>418</v>
      </c>
      <c r="D631" s="88">
        <v>68.978710000000007</v>
      </c>
      <c r="E631" s="88">
        <v>-149.89182</v>
      </c>
      <c r="F631" s="88">
        <v>394</v>
      </c>
      <c r="G631" s="88" t="s">
        <v>429</v>
      </c>
      <c r="H631" s="88" t="s">
        <v>418</v>
      </c>
      <c r="I631" s="88" t="s">
        <v>418</v>
      </c>
      <c r="J631" s="88" t="s">
        <v>430</v>
      </c>
      <c r="K631" s="88" t="s">
        <v>418</v>
      </c>
      <c r="L631" s="88" t="s">
        <v>418</v>
      </c>
      <c r="M631" s="94" t="str">
        <f t="shared" si="12"/>
        <v>View on Google Map</v>
      </c>
    </row>
    <row r="632" spans="1:13" x14ac:dyDescent="0.2">
      <c r="A632" s="88">
        <v>461</v>
      </c>
      <c r="B632" s="88" t="s">
        <v>1661</v>
      </c>
      <c r="C632" s="88" t="s">
        <v>418</v>
      </c>
      <c r="D632" s="88">
        <v>68.861750000000001</v>
      </c>
      <c r="E632" s="88">
        <v>-149.03908000000001</v>
      </c>
      <c r="F632" s="88">
        <v>651</v>
      </c>
      <c r="G632" s="88" t="s">
        <v>429</v>
      </c>
      <c r="H632" s="88" t="s">
        <v>418</v>
      </c>
      <c r="I632" s="88" t="s">
        <v>418</v>
      </c>
      <c r="J632" s="88" t="s">
        <v>430</v>
      </c>
      <c r="K632" s="88" t="s">
        <v>418</v>
      </c>
      <c r="L632" s="88" t="s">
        <v>418</v>
      </c>
      <c r="M632" s="94" t="str">
        <f t="shared" si="12"/>
        <v>View on Google Map</v>
      </c>
    </row>
    <row r="633" spans="1:13" x14ac:dyDescent="0.2">
      <c r="A633" s="88">
        <v>462</v>
      </c>
      <c r="B633" s="88" t="s">
        <v>1662</v>
      </c>
      <c r="C633" s="88" t="s">
        <v>418</v>
      </c>
      <c r="D633" s="88">
        <v>68.867549999999994</v>
      </c>
      <c r="E633" s="88">
        <v>-149.03557000000001</v>
      </c>
      <c r="F633" s="88">
        <v>638</v>
      </c>
      <c r="G633" s="88" t="s">
        <v>429</v>
      </c>
      <c r="H633" s="88" t="s">
        <v>418</v>
      </c>
      <c r="I633" s="88" t="s">
        <v>418</v>
      </c>
      <c r="J633" s="88" t="s">
        <v>430</v>
      </c>
      <c r="K633" s="88" t="s">
        <v>418</v>
      </c>
      <c r="L633" s="88" t="s">
        <v>418</v>
      </c>
      <c r="M633" s="94" t="str">
        <f t="shared" si="12"/>
        <v>View on Google Map</v>
      </c>
    </row>
    <row r="634" spans="1:13" x14ac:dyDescent="0.2">
      <c r="A634" s="95">
        <v>463</v>
      </c>
      <c r="B634" s="95" t="s">
        <v>1663</v>
      </c>
      <c r="C634" s="95" t="s">
        <v>418</v>
      </c>
      <c r="D634" s="95">
        <v>68.873149999999995</v>
      </c>
      <c r="E634" s="95">
        <v>-149.04128</v>
      </c>
      <c r="F634" s="95">
        <v>637</v>
      </c>
      <c r="G634" s="95" t="s">
        <v>429</v>
      </c>
      <c r="H634" s="95" t="s">
        <v>418</v>
      </c>
      <c r="I634" s="95" t="s">
        <v>418</v>
      </c>
      <c r="J634" s="95" t="s">
        <v>430</v>
      </c>
      <c r="K634" s="95" t="s">
        <v>418</v>
      </c>
      <c r="L634" s="95" t="s">
        <v>418</v>
      </c>
      <c r="M634" s="94" t="str">
        <f t="shared" si="12"/>
        <v>View on Google Map</v>
      </c>
    </row>
    <row r="635" spans="1:13" x14ac:dyDescent="0.2">
      <c r="A635" s="88">
        <v>129</v>
      </c>
      <c r="B635" s="88" t="s">
        <v>1664</v>
      </c>
      <c r="C635" s="88" t="s">
        <v>1504</v>
      </c>
      <c r="D635" s="88">
        <v>69.966666666666669</v>
      </c>
      <c r="E635" s="88">
        <v>-148.73333333333301</v>
      </c>
      <c r="F635" s="88">
        <v>57</v>
      </c>
      <c r="G635" s="88" t="s">
        <v>429</v>
      </c>
      <c r="H635" s="88" t="s">
        <v>1665</v>
      </c>
      <c r="I635" s="88" t="s">
        <v>418</v>
      </c>
      <c r="J635" s="88" t="s">
        <v>444</v>
      </c>
      <c r="K635" s="88" t="s">
        <v>418</v>
      </c>
      <c r="L635" s="88" t="s">
        <v>445</v>
      </c>
      <c r="M635" s="94" t="str">
        <f t="shared" si="12"/>
        <v>View on Google Map</v>
      </c>
    </row>
    <row r="636" spans="1:13" x14ac:dyDescent="0.2">
      <c r="A636" s="88">
        <v>17</v>
      </c>
      <c r="B636" s="88" t="s">
        <v>1666</v>
      </c>
      <c r="C636" s="88" t="s">
        <v>1667</v>
      </c>
      <c r="D636" s="88" t="s">
        <v>418</v>
      </c>
      <c r="E636" s="88" t="s">
        <v>418</v>
      </c>
      <c r="F636" s="88" t="s">
        <v>418</v>
      </c>
      <c r="G636" s="88" t="s">
        <v>443</v>
      </c>
      <c r="H636" s="88" t="s">
        <v>418</v>
      </c>
      <c r="I636" s="88" t="s">
        <v>418</v>
      </c>
      <c r="J636" s="88" t="s">
        <v>444</v>
      </c>
      <c r="K636" s="88" t="s">
        <v>418</v>
      </c>
      <c r="L636" s="88" t="s">
        <v>418</v>
      </c>
      <c r="M636" s="94" t="str">
        <f t="shared" si="12"/>
        <v>View on Google Map</v>
      </c>
    </row>
    <row r="637" spans="1:13" x14ac:dyDescent="0.2">
      <c r="A637" s="88">
        <v>530</v>
      </c>
      <c r="B637" s="88" t="s">
        <v>1668</v>
      </c>
      <c r="C637" s="88" t="s">
        <v>824</v>
      </c>
      <c r="D637" s="88">
        <v>68.674332000000007</v>
      </c>
      <c r="E637" s="88">
        <v>-149.61694399999999</v>
      </c>
      <c r="F637" s="88">
        <v>701</v>
      </c>
      <c r="G637" s="88" t="s">
        <v>429</v>
      </c>
      <c r="H637" s="88" t="s">
        <v>418</v>
      </c>
      <c r="I637" s="88" t="s">
        <v>418</v>
      </c>
      <c r="J637" s="88" t="s">
        <v>430</v>
      </c>
      <c r="K637" s="88" t="s">
        <v>418</v>
      </c>
      <c r="L637" s="88" t="s">
        <v>825</v>
      </c>
      <c r="M637" s="94" t="str">
        <f t="shared" si="12"/>
        <v>View on Google Map</v>
      </c>
    </row>
    <row r="638" spans="1:13" x14ac:dyDescent="0.2">
      <c r="A638" s="88">
        <v>496</v>
      </c>
      <c r="B638" s="88" t="s">
        <v>1669</v>
      </c>
      <c r="C638" s="88" t="s">
        <v>418</v>
      </c>
      <c r="D638" s="88">
        <v>68.674149999999997</v>
      </c>
      <c r="E638" s="88">
        <v>-149.61810299999999</v>
      </c>
      <c r="F638" s="88">
        <v>701</v>
      </c>
      <c r="G638" s="88" t="s">
        <v>443</v>
      </c>
      <c r="H638" s="88" t="s">
        <v>1670</v>
      </c>
      <c r="I638" s="88" t="s">
        <v>418</v>
      </c>
      <c r="J638" s="88" t="s">
        <v>1346</v>
      </c>
      <c r="K638" s="88" t="s">
        <v>418</v>
      </c>
      <c r="L638" s="88" t="s">
        <v>825</v>
      </c>
      <c r="M638" s="94"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Metadata_DailyLogger</vt:lpstr>
      <vt:lpstr>DailyLogger_Data</vt:lpstr>
      <vt:lpstr>Sites(Do NOT Edit)</vt:lpstr>
      <vt:lpstr>Metadata_DailyLogger!ABSTRACT</vt:lpstr>
      <vt:lpstr>'Sites(Do NOT Edit)'!ABSTRACT</vt:lpstr>
      <vt:lpstr>Metadata_DailyLogger!Address_line_2</vt:lpstr>
      <vt:lpstr>'Sites(Do NOT Edit)'!Address_line_2</vt:lpstr>
      <vt:lpstr>Metadata_DailyLogger!Address_line_3</vt:lpstr>
      <vt:lpstr>'Sites(Do NOT Edit)'!Address_line_3</vt:lpstr>
      <vt:lpstr>Metadata_DailyLogger!Availability_Status</vt:lpstr>
      <vt:lpstr>'Sites(Do NOT Edit)'!Availability_Status</vt:lpstr>
      <vt:lpstr>Metadata_DailyLogger!Beginning_Date</vt:lpstr>
      <vt:lpstr>'Sites(Do NOT Edit)'!Beginning_Date</vt:lpstr>
      <vt:lpstr>Metadata_DailyLogger!City</vt:lpstr>
      <vt:lpstr>'Sites(Do NOT Edit)'!City</vt:lpstr>
      <vt:lpstr>Metadata_DailyLogger!Code_Information</vt:lpstr>
      <vt:lpstr>'Sites(Do NOT Edit)'!Code_Information</vt:lpstr>
      <vt:lpstr>Metadata_DailyLogger!Country</vt:lpstr>
      <vt:lpstr>'Sites(Do NOT Edit)'!Country</vt:lpstr>
      <vt:lpstr>Metadata_DailyLogger!DATA_FILE_INFORMATION</vt:lpstr>
      <vt:lpstr>'Sites(Do NOT Edit)'!DATA_FILE_INFORMATION</vt:lpstr>
      <vt:lpstr>Metadata_DailyLogger!Data_File_Name</vt:lpstr>
      <vt:lpstr>'Sites(Do NOT Edit)'!Data_File_Name</vt:lpstr>
      <vt:lpstr>Metadata_DailyLogger!Data_File_URL</vt:lpstr>
      <vt:lpstr>'Sites(Do NOT Edit)'!Data_File_URL</vt:lpstr>
      <vt:lpstr>Metadata_DailyLogger!Data_Type</vt:lpstr>
      <vt:lpstr>'Sites(Do NOT Edit)'!Data_Type</vt:lpstr>
      <vt:lpstr>Metadata_DailyLogger!DATASET_ID</vt:lpstr>
      <vt:lpstr>'Sites(Do NOT Edit)'!DATASET_ID</vt:lpstr>
      <vt:lpstr>Metadata_DailyLogger!DATASET_TITLE</vt:lpstr>
      <vt:lpstr>'Sites(Do NOT Edit)'!DATASET_TITLE</vt:lpstr>
      <vt:lpstr>Metadata_DailyLogger!DateTime_Format</vt:lpstr>
      <vt:lpstr>'Sites(Do NOT Edit)'!DateTime_Format</vt:lpstr>
      <vt:lpstr>Metadata_DailyLogger!Distribution_URL_for_file</vt:lpstr>
      <vt:lpstr>'Sites(Do NOT Edit)'!Distribution_URL_for_file</vt:lpstr>
      <vt:lpstr>Metadata_DailyLogger!East_Bounding_Coordinate</vt:lpstr>
      <vt:lpstr>'Sites(Do NOT Edit)'!East_Bounding_Coordinate</vt:lpstr>
      <vt:lpstr>Metadata_DailyLogger!Elevation</vt:lpstr>
      <vt:lpstr>'Sites(Do NOT Edit)'!Elevation</vt:lpstr>
      <vt:lpstr>Metadata_DailyLogger!Email</vt:lpstr>
      <vt:lpstr>'Sites(Do NOT Edit)'!Email</vt:lpstr>
      <vt:lpstr>Metadata_DailyLogger!End_Date</vt:lpstr>
      <vt:lpstr>'Sites(Do NOT Edit)'!End_Date</vt:lpstr>
      <vt:lpstr>Metadata_DailyLogger!First_Name</vt:lpstr>
      <vt:lpstr>'Sites(Do NOT Edit)'!First_Name</vt:lpstr>
      <vt:lpstr>Metadata_DailyLogger!Geographic_Description</vt:lpstr>
      <vt:lpstr>'Sites(Do NOT Edit)'!Geographic_Description</vt:lpstr>
      <vt:lpstr>Metadata_DailyLogger!INVESTIGATOR_INFORMATION</vt:lpstr>
      <vt:lpstr>'Sites(Do NOT Edit)'!INVESTIGATOR_INFORMATION</vt:lpstr>
      <vt:lpstr>Metadata_DailyLogger!KEYWORD_INFORMATION</vt:lpstr>
      <vt:lpstr>'Sites(Do NOT Edit)'!KEYWORD_INFORMATION</vt:lpstr>
      <vt:lpstr>Metadata_DailyLogger!KEYWORDS</vt:lpstr>
      <vt:lpstr>'Sites(Do NOT Edit)'!KEYWORDS</vt:lpstr>
      <vt:lpstr>Metadata_DailyLogger!Last_Name</vt:lpstr>
      <vt:lpstr>'Sites(Do NOT Edit)'!Last_Name</vt:lpstr>
      <vt:lpstr>Metadata_DailyLogger!Latitude</vt:lpstr>
      <vt:lpstr>'Sites(Do NOT Edit)'!Latitude</vt:lpstr>
      <vt:lpstr>Link_to_Google_Map</vt:lpstr>
      <vt:lpstr>Metadata_DailyLogger!Location_Bounding_Box</vt:lpstr>
      <vt:lpstr>'Sites(Do NOT Edit)'!Location_Bounding_Box</vt:lpstr>
      <vt:lpstr>Metadata_DailyLogger!Location_Name</vt:lpstr>
      <vt:lpstr>'Sites(Do NOT Edit)'!Location_Name</vt:lpstr>
      <vt:lpstr>Metadata_DailyLogger!Log_of_Changes</vt:lpstr>
      <vt:lpstr>'Sites(Do NOT Edit)'!Log_of_Changes</vt:lpstr>
      <vt:lpstr>Metadata_DailyLogger!Longitude</vt:lpstr>
      <vt:lpstr>'Sites(Do NOT Edit)'!Longitude</vt:lpstr>
      <vt:lpstr>LTER_Sites_number</vt:lpstr>
      <vt:lpstr>Metadata_DailyLogger!Maintenance_Description</vt:lpstr>
      <vt:lpstr>'Sites(Do NOT Edit)'!Maintenance_Description</vt:lpstr>
      <vt:lpstr>Metadata_DailyLogger!Metacat_Package_ID</vt:lpstr>
      <vt:lpstr>'Sites(Do NOT Edit)'!Metacat_Package_ID</vt:lpstr>
      <vt:lpstr>Metadata_DailyLogger!METHODS</vt:lpstr>
      <vt:lpstr>'Sites(Do NOT Edit)'!METHODS</vt:lpstr>
      <vt:lpstr>Metadata_DailyLogger!Missing_Value_Code</vt:lpstr>
      <vt:lpstr>'Sites(Do NOT Edit)'!Missing_Value_Code</vt:lpstr>
      <vt:lpstr>Metadata_DailyLogger!North_Bounding_Coordinate</vt:lpstr>
      <vt:lpstr>'Sites(Do NOT Edit)'!North_Bounding_Coordinate</vt:lpstr>
      <vt:lpstr>Metadata_DailyLogger!Number_of_Data_Records</vt:lpstr>
      <vt:lpstr>'Sites(Do NOT Edit)'!Number_of_Data_Records</vt:lpstr>
      <vt:lpstr>Metadata_DailyLogger!OR</vt:lpstr>
      <vt:lpstr>'Sites(Do NOT Edit)'!OR</vt:lpstr>
      <vt:lpstr>Metadata_DailyLogger!OR_if_single_point_location</vt:lpstr>
      <vt:lpstr>'Sites(Do NOT Edit)'!OR_if_single_point_location</vt:lpstr>
      <vt:lpstr>Metadata_DailyLogger!Organisms_studied</vt:lpstr>
      <vt:lpstr>'Sites(Do NOT Edit)'!Organisms_studied</vt:lpstr>
      <vt:lpstr>Metadata_DailyLogger!Organization</vt:lpstr>
      <vt:lpstr>'Sites(Do NOT Edit)'!Organization</vt:lpstr>
      <vt:lpstr>Metadata_DailyLogger!Other_Files_to_Reference</vt:lpstr>
      <vt:lpstr>'Sites(Do NOT Edit)'!Other_Files_to_Reference</vt:lpstr>
      <vt:lpstr>Metadata_DailyLogger!Protocol_Document</vt:lpstr>
      <vt:lpstr>'Sites(Do NOT Edit)'!Protocol_Document</vt:lpstr>
      <vt:lpstr>Metadata_DailyLogger!Protocol_Title</vt:lpstr>
      <vt:lpstr>'Sites(Do NOT Edit)'!Protocol_Title</vt:lpstr>
      <vt:lpstr>Metadata_DailyLogger!Quality_Control_Information</vt:lpstr>
      <vt:lpstr>'Sites(Do NOT Edit)'!Quality_Control_Information</vt:lpstr>
      <vt:lpstr>Metadata_DailyLogger!RESEARCH_LOCATION</vt:lpstr>
      <vt:lpstr>'Sites(Do NOT Edit)'!RESEARCH_LOCATION</vt:lpstr>
      <vt:lpstr>Metadata_DailyLogger!Role</vt:lpstr>
      <vt:lpstr>'Sites(Do NOT Edit)'!Role</vt:lpstr>
      <vt:lpstr>Metadata_DailyLogger!Sampling_and_or_Lab_Protocols</vt:lpstr>
      <vt:lpstr>'Sites(Do NOT Edit)'!Sampling_and_or_Lab_Protocols</vt:lpstr>
      <vt:lpstr>Site_name</vt:lpstr>
      <vt:lpstr>Site_name_list</vt:lpstr>
      <vt:lpstr>Sites</vt:lpstr>
      <vt:lpstr>Metadata_DailyLogger!South_Bounding_Coordinate</vt:lpstr>
      <vt:lpstr>'Sites(Do NOT Edit)'!South_Bounding_Coordinate</vt:lpstr>
      <vt:lpstr>Metadata_DailyLogger!State</vt:lpstr>
      <vt:lpstr>'Sites(Do NOT Edit)'!State</vt:lpstr>
      <vt:lpstr>Metadata_DailyLogger!TAXONOMIC_COVERAGE</vt:lpstr>
      <vt:lpstr>'Sites(Do NOT Edit)'!TAXONOMIC_COVERAGE</vt:lpstr>
      <vt:lpstr>Metadata_DailyLogger!Units</vt:lpstr>
      <vt:lpstr>'Sites(Do NOT Edit)'!Units</vt:lpstr>
      <vt:lpstr>Metadata_DailyLogger!URL_of_online_Protocol</vt:lpstr>
      <vt:lpstr>'Sites(Do NOT Edit)'!URL_of_online_Protocol</vt:lpstr>
      <vt:lpstr>Metadata_DailyLogger!Variable_Description</vt:lpstr>
      <vt:lpstr>'Sites(Do NOT Edit)'!Variable_Description</vt:lpstr>
      <vt:lpstr>Metadata_DailyLogger!VARIABLE_DESCRIPTIONS</vt:lpstr>
      <vt:lpstr>'Sites(Do NOT Edit)'!VARIABLE_DESCRIPTIONS</vt:lpstr>
      <vt:lpstr>Metadata_DailyLogger!Variable_Name</vt:lpstr>
      <vt:lpstr>'Sites(Do NOT Edit)'!Variable_Name</vt:lpstr>
      <vt:lpstr>Metadata_DailyLogger!West_Bounding_Coordinate</vt:lpstr>
      <vt:lpstr>'Sites(Do NOT Edit)'!West_Bounding_Coordinate</vt:lpstr>
      <vt:lpstr>Metadata_DailyLogger!Year_Released_to_Public</vt:lpstr>
      <vt:lpstr>'Sites(Do NOT Edit)'!Year_Released_to_Public</vt:lpstr>
      <vt:lpstr>Metadata_DailyLogger!Zip_Code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toolik</dc:creator>
  <cp:lastModifiedBy>jiml</cp:lastModifiedBy>
  <dcterms:created xsi:type="dcterms:W3CDTF">2012-06-25T19:06:47Z</dcterms:created>
  <dcterms:modified xsi:type="dcterms:W3CDTF">2013-05-22T22:35:31Z</dcterms:modified>
</cp:coreProperties>
</file>