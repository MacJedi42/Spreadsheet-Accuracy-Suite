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40" windowHeight="7110"/>
  </bookViews>
  <sheets>
    <sheet name="A" sheetId="1" r:id="rId1"/>
    <sheet name="Revisions" sheetId="2" r:id="rId2"/>
  </sheets>
  <definedNames>
    <definedName name="_xlnm.Print_Area" localSheetId="0">A!$A$1:$F$54</definedName>
    <definedName name="Print_Area_MI" localSheetId="0">A!$A$1:$I$49</definedName>
  </definedNames>
  <calcPr calcId="145621"/>
</workbook>
</file>

<file path=xl/calcChain.xml><?xml version="1.0" encoding="utf-8"?>
<calcChain xmlns="http://schemas.openxmlformats.org/spreadsheetml/2006/main">
  <c r="B11" i="1" l="1"/>
  <c r="C17" i="1"/>
  <c r="D17" i="1" s="1"/>
  <c r="E17" i="1"/>
  <c r="C18" i="1"/>
  <c r="D18" i="1" s="1"/>
  <c r="E18" i="1"/>
  <c r="C19" i="1"/>
  <c r="D19" i="1" s="1"/>
  <c r="C20" i="1"/>
  <c r="D20" i="1"/>
  <c r="C21" i="1"/>
  <c r="D21" i="1" s="1"/>
  <c r="C26" i="1"/>
  <c r="C27" i="1"/>
  <c r="F27" i="1"/>
  <c r="B28" i="1"/>
  <c r="C28" i="1" s="1"/>
  <c r="C29" i="1"/>
  <c r="F29" i="1"/>
  <c r="C30" i="1"/>
  <c r="F30" i="1"/>
  <c r="F31" i="1"/>
  <c r="C32" i="1"/>
  <c r="F32" i="1"/>
  <c r="C33" i="1"/>
  <c r="F33" i="1"/>
  <c r="C34" i="1"/>
  <c r="F34" i="1"/>
  <c r="C35" i="1"/>
  <c r="F35" i="1"/>
  <c r="F36" i="1"/>
  <c r="C37" i="1"/>
  <c r="C38" i="1"/>
  <c r="F38" i="1"/>
  <c r="C39" i="1"/>
  <c r="F39" i="1"/>
  <c r="C40" i="1"/>
  <c r="F40" i="1"/>
  <c r="C41" i="1"/>
  <c r="F41" i="1"/>
  <c r="B42" i="1"/>
  <c r="C42" i="1"/>
  <c r="C43" i="1" s="1"/>
  <c r="F42" i="1"/>
  <c r="F28" i="1" l="1"/>
</calcChain>
</file>

<file path=xl/sharedStrings.xml><?xml version="1.0" encoding="utf-8"?>
<sst xmlns="http://schemas.openxmlformats.org/spreadsheetml/2006/main" count="174" uniqueCount="90">
  <si>
    <t>Medical Waste Incinerator (Controlled Air/No Air Pollution Control Device):</t>
  </si>
  <si>
    <t>Criteria, Toxic and Hazardous Air Pollutant Emissions</t>
  </si>
  <si>
    <t>Name of Facility:</t>
  </si>
  <si>
    <t>State Bureau of Investigation</t>
  </si>
  <si>
    <t>City:</t>
  </si>
  <si>
    <t>Raleigh</t>
  </si>
  <si>
    <t>County:</t>
  </si>
  <si>
    <t>Wake</t>
  </si>
  <si>
    <t>Charge rate:</t>
  </si>
  <si>
    <t xml:space="preserve">  lbs/hr</t>
  </si>
  <si>
    <t>Hours of operation:</t>
  </si>
  <si>
    <t xml:space="preserve">  hrs/yr</t>
  </si>
  <si>
    <t>Rated firing rate</t>
  </si>
  <si>
    <t xml:space="preserve">  mmBtu/hr</t>
  </si>
  <si>
    <t>POTENTIAL CRITERIA EMISSIONS</t>
  </si>
  <si>
    <t>Factor</t>
  </si>
  <si>
    <t>Rate</t>
  </si>
  <si>
    <t>Allowable</t>
  </si>
  <si>
    <t>Applicable</t>
  </si>
  <si>
    <t>Pollutant</t>
  </si>
  <si>
    <t>(lb/ton)</t>
  </si>
  <si>
    <t>(lb/hr)</t>
  </si>
  <si>
    <t>(tpy)</t>
  </si>
  <si>
    <t>Regulation</t>
  </si>
  <si>
    <t>TSP</t>
  </si>
  <si>
    <t>2D .1205</t>
  </si>
  <si>
    <t>SOX</t>
  </si>
  <si>
    <t>2D .0516</t>
  </si>
  <si>
    <t>NOX</t>
  </si>
  <si>
    <t>N/A</t>
  </si>
  <si>
    <t>VOC</t>
  </si>
  <si>
    <t>CO</t>
  </si>
  <si>
    <t>POTENTIAL TOXIC EMISSIONS</t>
  </si>
  <si>
    <t>Units</t>
  </si>
  <si>
    <t>(lb/yr)</t>
  </si>
  <si>
    <t>MEER</t>
  </si>
  <si>
    <t>(lb/*)</t>
  </si>
  <si>
    <t>Antimony*</t>
  </si>
  <si>
    <t>Arsenic*</t>
  </si>
  <si>
    <t>0.016</t>
  </si>
  <si>
    <t>year</t>
  </si>
  <si>
    <t>Beryllium</t>
  </si>
  <si>
    <t>0.28</t>
  </si>
  <si>
    <t>Cadmium</t>
  </si>
  <si>
    <t>0.37</t>
  </si>
  <si>
    <t>Chlorine*</t>
  </si>
  <si>
    <t>0.79</t>
  </si>
  <si>
    <t>day</t>
  </si>
  <si>
    <t>0.057</t>
  </si>
  <si>
    <t>15 minutes</t>
  </si>
  <si>
    <t>Chromium*</t>
  </si>
  <si>
    <t>0.0056</t>
  </si>
  <si>
    <t>Hexachlorodibenzo-p-dioxin</t>
  </si>
  <si>
    <t>0.0051</t>
  </si>
  <si>
    <t>Hydrochloric acid*</t>
  </si>
  <si>
    <t>0.045</t>
  </si>
  <si>
    <t>Hydrogen fluoride*</t>
  </si>
  <si>
    <t>0.63</t>
  </si>
  <si>
    <t>Lead*</t>
  </si>
  <si>
    <t>Manganese*</t>
  </si>
  <si>
    <t>Mercury*</t>
  </si>
  <si>
    <t>0.013</t>
  </si>
  <si>
    <t>Nickel*</t>
  </si>
  <si>
    <t>Polychlorinated biphenyls*</t>
  </si>
  <si>
    <t>5.6</t>
  </si>
  <si>
    <t>Tetrachlorodibenzo-p-dioxin,2,3,7,8-*</t>
  </si>
  <si>
    <t>0.002</t>
  </si>
  <si>
    <t>TOTAL HAPS</t>
  </si>
  <si>
    <t>NOTES:</t>
  </si>
  <si>
    <t xml:space="preserve">  Emission factors are taken from AP-42, Fifth Edition, Section 2.3</t>
  </si>
  <si>
    <t xml:space="preserve">  * indicates hazardous air pollutant</t>
  </si>
  <si>
    <t xml:space="preserve">  Continuous operation assumed</t>
  </si>
  <si>
    <t>DISCLAIMER:</t>
  </si>
  <si>
    <t xml:space="preserve">This spreadsheet is for your use only and should be used with caution.  DEHNR does not guarantee the accuracy of </t>
  </si>
  <si>
    <t xml:space="preserve">the information contained herein.  This is a draft spreadsheet and is continually revised and updated.  It is your </t>
  </si>
  <si>
    <t>responsibility to be aware of the most current information available.  DEHNR is not responsible for any errors or</t>
  </si>
  <si>
    <t>omissions that may be contained herein.</t>
  </si>
  <si>
    <t>Unc.</t>
  </si>
  <si>
    <t>T 2.3-2</t>
  </si>
  <si>
    <t>T 2.3-1</t>
  </si>
  <si>
    <t>T 2.3-3</t>
  </si>
  <si>
    <t>Cnt'l. Air Incin.</t>
  </si>
  <si>
    <t>T 2.3-4</t>
  </si>
  <si>
    <t>T 2.3-5</t>
  </si>
  <si>
    <t>T 2.3-6</t>
  </si>
  <si>
    <t>T 2.3-7</t>
  </si>
  <si>
    <t>T 2.3-10</t>
  </si>
  <si>
    <t>T 2.3-11</t>
  </si>
  <si>
    <t>Revision #3</t>
  </si>
  <si>
    <t>Corrected factors for NOx and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</si>
</sst>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_)"/>
    <numFmt numFmtId="165" formatCode="0.00_)"/>
    <numFmt numFmtId="166" formatCode="0.00E+00_)"/>
    <numFmt numFmtId="167" formatCode="0.0_)"/>
    <numFmt numFmtId="168" formatCode="0_)"/>
  </numFmts>
  <fonts count="8" x14ac:knownFonts="1">
    <font>
      <sz val="12"/>
      <name val="Arial"/>
    </font>
    <font>
      <sz val="10"/>
      <color indexed="12"/>
      <name val="Courier"/>
    </font>
    <font>
      <b/>
      <sz val="12"/>
      <name val="Arial"/>
      <family val="2"/>
    </font>
    <font>
      <sz val="11"/>
      <color indexed="12"/>
      <name val="Arial"/>
      <family val="2"/>
    </font>
    <font>
      <sz val="11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Protection="1"/>
    <xf numFmtId="0" fontId="1" fillId="0" borderId="0" xfId="0" applyFont="1" applyProtection="1">
      <protection locked="0"/>
    </xf>
    <xf numFmtId="0" fontId="2" fillId="0" borderId="0" xfId="0" applyFont="1" applyProtection="1"/>
    <xf numFmtId="0" fontId="3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0" fillId="0" borderId="1" xfId="0" applyBorder="1" applyProtection="1"/>
    <xf numFmtId="0" fontId="0" fillId="0" borderId="2" xfId="0" applyBorder="1" applyProtection="1"/>
    <xf numFmtId="0" fontId="0" fillId="0" borderId="3" xfId="0" applyBorder="1" applyProtection="1"/>
    <xf numFmtId="0" fontId="6" fillId="0" borderId="4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</xf>
    <xf numFmtId="0" fontId="0" fillId="0" borderId="6" xfId="0" applyBorder="1" applyProtection="1"/>
    <xf numFmtId="0" fontId="6" fillId="0" borderId="7" xfId="0" applyFont="1" applyBorder="1" applyProtection="1"/>
    <xf numFmtId="0" fontId="0" fillId="0" borderId="8" xfId="0" applyBorder="1" applyProtection="1"/>
    <xf numFmtId="0" fontId="6" fillId="0" borderId="8" xfId="0" applyFont="1" applyBorder="1" applyProtection="1"/>
    <xf numFmtId="0" fontId="0" fillId="0" borderId="9" xfId="0" applyBorder="1" applyProtection="1"/>
    <xf numFmtId="0" fontId="2" fillId="0" borderId="10" xfId="0" applyFont="1" applyBorder="1" applyProtection="1"/>
    <xf numFmtId="0" fontId="0" fillId="0" borderId="10" xfId="0" applyBorder="1" applyProtection="1"/>
    <xf numFmtId="0" fontId="4" fillId="0" borderId="0" xfId="0" applyFont="1" applyAlignment="1" applyProtection="1">
      <alignment horizontal="center"/>
    </xf>
    <xf numFmtId="0" fontId="4" fillId="0" borderId="8" xfId="0" applyFont="1" applyBorder="1" applyAlignment="1" applyProtection="1">
      <alignment horizontal="center"/>
    </xf>
    <xf numFmtId="164" fontId="0" fillId="0" borderId="0" xfId="0" applyNumberFormat="1" applyProtection="1"/>
    <xf numFmtId="0" fontId="0" fillId="0" borderId="0" xfId="0" applyAlignment="1" applyProtection="1">
      <alignment horizontal="center"/>
    </xf>
    <xf numFmtId="165" fontId="0" fillId="0" borderId="0" xfId="0" applyNumberFormat="1" applyProtection="1"/>
    <xf numFmtId="0" fontId="0" fillId="0" borderId="10" xfId="0" applyBorder="1" applyAlignment="1" applyProtection="1">
      <alignment horizontal="center"/>
    </xf>
    <xf numFmtId="164" fontId="0" fillId="0" borderId="10" xfId="0" applyNumberFormat="1" applyBorder="1" applyProtection="1"/>
    <xf numFmtId="166" fontId="0" fillId="0" borderId="0" xfId="0" applyNumberFormat="1" applyAlignment="1" applyProtection="1">
      <alignment horizontal="center"/>
    </xf>
    <xf numFmtId="167" fontId="0" fillId="0" borderId="0" xfId="0" applyNumberFormat="1" applyProtection="1"/>
    <xf numFmtId="0" fontId="6" fillId="0" borderId="0" xfId="0" applyFont="1" applyProtection="1"/>
    <xf numFmtId="0" fontId="7" fillId="0" borderId="0" xfId="0" applyFont="1" applyProtection="1"/>
    <xf numFmtId="168" fontId="6" fillId="0" borderId="0" xfId="0" applyNumberFormat="1" applyFont="1" applyProtection="1"/>
    <xf numFmtId="0" fontId="0" fillId="0" borderId="0" xfId="0" applyAlignment="1">
      <alignment horizontal="center"/>
    </xf>
    <xf numFmtId="14" fontId="4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I54"/>
  <sheetViews>
    <sheetView tabSelected="1" defaultGridColor="0" colorId="22" zoomScale="87" workbookViewId="0">
      <selection activeCell="B9" sqref="B9"/>
    </sheetView>
  </sheetViews>
  <sheetFormatPr defaultColWidth="9.77734375" defaultRowHeight="15" x14ac:dyDescent="0.2"/>
  <cols>
    <col min="1" max="1" width="28.77734375" customWidth="1"/>
    <col min="2" max="3" width="8.77734375" customWidth="1"/>
    <col min="4" max="4" width="10.77734375" customWidth="1"/>
    <col min="7" max="8" width="0" hidden="1" customWidth="1"/>
    <col min="9" max="9" width="2.77734375" hidden="1" customWidth="1"/>
  </cols>
  <sheetData>
    <row r="1" spans="1:8" ht="15.75" x14ac:dyDescent="0.25">
      <c r="A1" s="3" t="s">
        <v>0</v>
      </c>
      <c r="B1" s="1"/>
      <c r="C1" s="2"/>
      <c r="D1" s="2"/>
      <c r="E1" s="1"/>
      <c r="F1" s="1"/>
      <c r="G1" s="1"/>
      <c r="H1" s="2"/>
    </row>
    <row r="2" spans="1:8" ht="15.75" x14ac:dyDescent="0.25">
      <c r="A2" s="3" t="s">
        <v>1</v>
      </c>
      <c r="B2" s="1"/>
      <c r="C2" s="2"/>
      <c r="D2" s="2"/>
      <c r="E2" s="4" t="s">
        <v>88</v>
      </c>
      <c r="F2" s="1"/>
      <c r="G2" s="1"/>
      <c r="H2" s="2"/>
    </row>
    <row r="3" spans="1:8" x14ac:dyDescent="0.2">
      <c r="A3" s="1"/>
      <c r="B3" s="1"/>
      <c r="C3" s="1"/>
      <c r="D3" s="1"/>
      <c r="E3" s="32">
        <v>36662</v>
      </c>
    </row>
    <row r="4" spans="1:8" ht="15.75" x14ac:dyDescent="0.25">
      <c r="A4" s="1" t="s">
        <v>2</v>
      </c>
      <c r="B4" s="5" t="s">
        <v>3</v>
      </c>
    </row>
    <row r="5" spans="1:8" ht="15.75" x14ac:dyDescent="0.25">
      <c r="A5" s="1" t="s">
        <v>4</v>
      </c>
      <c r="B5" s="5" t="s">
        <v>5</v>
      </c>
    </row>
    <row r="6" spans="1:8" ht="15.75" x14ac:dyDescent="0.25">
      <c r="A6" s="1" t="s">
        <v>6</v>
      </c>
      <c r="B6" s="5" t="s">
        <v>7</v>
      </c>
    </row>
    <row r="8" spans="1:8" x14ac:dyDescent="0.2">
      <c r="A8" s="6"/>
      <c r="B8" s="7"/>
      <c r="C8" s="7"/>
      <c r="D8" s="7"/>
      <c r="E8" s="7"/>
      <c r="F8" s="8"/>
    </row>
    <row r="9" spans="1:8" x14ac:dyDescent="0.2">
      <c r="A9" s="9" t="s">
        <v>8</v>
      </c>
      <c r="B9" s="10">
        <v>250</v>
      </c>
      <c r="C9" s="11" t="s">
        <v>9</v>
      </c>
      <c r="D9" s="1"/>
      <c r="E9" s="1"/>
      <c r="F9" s="12"/>
    </row>
    <row r="10" spans="1:8" x14ac:dyDescent="0.2">
      <c r="A10" s="9" t="s">
        <v>10</v>
      </c>
      <c r="B10" s="10">
        <v>8760</v>
      </c>
      <c r="C10" s="11" t="s">
        <v>11</v>
      </c>
      <c r="D10" s="1"/>
      <c r="E10" s="1"/>
      <c r="F10" s="12"/>
    </row>
    <row r="11" spans="1:8" x14ac:dyDescent="0.2">
      <c r="A11" s="9" t="s">
        <v>12</v>
      </c>
      <c r="B11" s="10">
        <f>1.5+0.125</f>
        <v>1.625</v>
      </c>
      <c r="C11" s="11" t="s">
        <v>13</v>
      </c>
      <c r="D11" s="1"/>
      <c r="E11" s="1"/>
      <c r="F11" s="12"/>
    </row>
    <row r="12" spans="1:8" x14ac:dyDescent="0.2">
      <c r="A12" s="13"/>
      <c r="B12" s="14"/>
      <c r="C12" s="15"/>
      <c r="D12" s="14"/>
      <c r="E12" s="14"/>
      <c r="F12" s="16"/>
    </row>
    <row r="14" spans="1:8" ht="16.5" thickBot="1" x14ac:dyDescent="0.3">
      <c r="A14" s="17" t="s">
        <v>14</v>
      </c>
      <c r="B14" s="18"/>
      <c r="C14" s="18"/>
      <c r="D14" s="18"/>
      <c r="E14" s="18"/>
      <c r="F14" s="18"/>
    </row>
    <row r="15" spans="1:8" x14ac:dyDescent="0.2">
      <c r="A15" s="19"/>
      <c r="B15" s="19" t="s">
        <v>15</v>
      </c>
      <c r="C15" s="19" t="s">
        <v>16</v>
      </c>
      <c r="D15" s="19" t="s">
        <v>16</v>
      </c>
      <c r="E15" s="19" t="s">
        <v>17</v>
      </c>
      <c r="F15" s="19" t="s">
        <v>18</v>
      </c>
    </row>
    <row r="16" spans="1:8" x14ac:dyDescent="0.2">
      <c r="A16" s="20" t="s">
        <v>19</v>
      </c>
      <c r="B16" s="20" t="s">
        <v>20</v>
      </c>
      <c r="C16" s="20" t="s">
        <v>21</v>
      </c>
      <c r="D16" s="20" t="s">
        <v>22</v>
      </c>
      <c r="E16" s="20" t="s">
        <v>21</v>
      </c>
      <c r="F16" s="20" t="s">
        <v>23</v>
      </c>
    </row>
    <row r="17" spans="1:9" x14ac:dyDescent="0.2">
      <c r="A17" s="22" t="s">
        <v>24</v>
      </c>
      <c r="B17" s="22">
        <v>4.67</v>
      </c>
      <c r="C17" s="21">
        <f>B17*$B$9/2000</f>
        <v>0.58374999999999999</v>
      </c>
      <c r="D17" s="21">
        <f>C17*$B$10/2000</f>
        <v>2.5568249999999999</v>
      </c>
      <c r="E17">
        <f>0.002*B9</f>
        <v>0.5</v>
      </c>
      <c r="F17" s="31" t="s">
        <v>25</v>
      </c>
      <c r="G17" t="s">
        <v>78</v>
      </c>
      <c r="H17" t="s">
        <v>77</v>
      </c>
      <c r="I17" t="s">
        <v>81</v>
      </c>
    </row>
    <row r="18" spans="1:9" x14ac:dyDescent="0.2">
      <c r="A18" s="22" t="s">
        <v>26</v>
      </c>
      <c r="B18" s="22">
        <v>2.17</v>
      </c>
      <c r="C18" s="21">
        <f>B18*$B$9/2000</f>
        <v>0.27124999999999999</v>
      </c>
      <c r="D18" s="21">
        <f>C18*$B$10/2000</f>
        <v>1.188075</v>
      </c>
      <c r="E18" s="23">
        <f>2.3*B11</f>
        <v>3.7375000000000003</v>
      </c>
      <c r="F18" s="31" t="s">
        <v>27</v>
      </c>
      <c r="G18" t="s">
        <v>79</v>
      </c>
      <c r="H18" t="s">
        <v>77</v>
      </c>
      <c r="I18" t="s">
        <v>81</v>
      </c>
    </row>
    <row r="19" spans="1:9" x14ac:dyDescent="0.2">
      <c r="A19" s="22" t="s">
        <v>28</v>
      </c>
      <c r="B19" s="22">
        <v>3.56</v>
      </c>
      <c r="C19" s="21">
        <f>B19*$B$9/2000</f>
        <v>0.44500000000000001</v>
      </c>
      <c r="D19" s="21">
        <f>C19*$B$10/2000</f>
        <v>1.9491000000000001</v>
      </c>
      <c r="E19" s="31" t="s">
        <v>29</v>
      </c>
      <c r="F19" s="31" t="s">
        <v>29</v>
      </c>
      <c r="G19" t="s">
        <v>79</v>
      </c>
      <c r="H19" t="s">
        <v>77</v>
      </c>
      <c r="I19" t="s">
        <v>81</v>
      </c>
    </row>
    <row r="20" spans="1:9" x14ac:dyDescent="0.2">
      <c r="A20" s="22" t="s">
        <v>30</v>
      </c>
      <c r="B20" s="22">
        <v>0.29899999999999999</v>
      </c>
      <c r="C20" s="21">
        <f>B20*$B$9/2000</f>
        <v>3.7374999999999999E-2</v>
      </c>
      <c r="D20" s="21">
        <f>C20*$B$10/2000</f>
        <v>0.16370249999999997</v>
      </c>
      <c r="E20" s="31" t="s">
        <v>29</v>
      </c>
      <c r="F20" s="31" t="s">
        <v>29</v>
      </c>
      <c r="G20" t="s">
        <v>78</v>
      </c>
      <c r="H20" t="s">
        <v>77</v>
      </c>
      <c r="I20" t="s">
        <v>81</v>
      </c>
    </row>
    <row r="21" spans="1:9" ht="15.75" thickBot="1" x14ac:dyDescent="0.25">
      <c r="A21" s="24" t="s">
        <v>31</v>
      </c>
      <c r="B21" s="24">
        <v>2.95</v>
      </c>
      <c r="C21" s="25">
        <f>B21*$B$9/2000</f>
        <v>0.36875000000000002</v>
      </c>
      <c r="D21" s="25">
        <f>C21*$B$10/2000</f>
        <v>1.6151249999999999</v>
      </c>
      <c r="E21" s="24" t="s">
        <v>29</v>
      </c>
      <c r="F21" s="24" t="s">
        <v>29</v>
      </c>
      <c r="G21" t="s">
        <v>79</v>
      </c>
      <c r="H21" t="s">
        <v>77</v>
      </c>
      <c r="I21" t="s">
        <v>81</v>
      </c>
    </row>
    <row r="22" spans="1:9" x14ac:dyDescent="0.2">
      <c r="A22" s="1"/>
      <c r="B22" s="1"/>
      <c r="C22" s="21"/>
      <c r="D22" s="21"/>
    </row>
    <row r="23" spans="1:9" ht="16.5" thickBot="1" x14ac:dyDescent="0.3">
      <c r="A23" s="17" t="s">
        <v>32</v>
      </c>
      <c r="B23" s="18"/>
      <c r="C23" s="18"/>
      <c r="D23" s="18"/>
      <c r="E23" s="18"/>
      <c r="F23" s="18"/>
    </row>
    <row r="24" spans="1:9" x14ac:dyDescent="0.2">
      <c r="A24" s="19"/>
      <c r="B24" s="19" t="s">
        <v>15</v>
      </c>
      <c r="C24" s="19" t="s">
        <v>16</v>
      </c>
      <c r="D24" s="19"/>
      <c r="E24" s="19" t="s">
        <v>33</v>
      </c>
      <c r="F24" s="19" t="s">
        <v>16</v>
      </c>
      <c r="G24" s="19"/>
    </row>
    <row r="25" spans="1:9" x14ac:dyDescent="0.2">
      <c r="A25" s="20" t="s">
        <v>19</v>
      </c>
      <c r="B25" s="20" t="s">
        <v>20</v>
      </c>
      <c r="C25" s="20" t="s">
        <v>34</v>
      </c>
      <c r="D25" s="20" t="s">
        <v>35</v>
      </c>
      <c r="E25" s="20" t="s">
        <v>36</v>
      </c>
      <c r="F25" s="20" t="s">
        <v>36</v>
      </c>
    </row>
    <row r="26" spans="1:9" x14ac:dyDescent="0.2">
      <c r="A26" s="1" t="s">
        <v>37</v>
      </c>
      <c r="B26" s="22">
        <v>1.2800000000000001E-2</v>
      </c>
      <c r="C26" s="21">
        <f>B26*$B$9/2000*$B$10</f>
        <v>14.016</v>
      </c>
      <c r="D26" s="22" t="s">
        <v>29</v>
      </c>
      <c r="E26" s="22" t="s">
        <v>29</v>
      </c>
      <c r="F26" s="22" t="s">
        <v>29</v>
      </c>
      <c r="G26" t="s">
        <v>82</v>
      </c>
      <c r="H26" t="s">
        <v>77</v>
      </c>
      <c r="I26" t="s">
        <v>81</v>
      </c>
    </row>
    <row r="27" spans="1:9" x14ac:dyDescent="0.2">
      <c r="A27" s="1" t="s">
        <v>38</v>
      </c>
      <c r="B27" s="22">
        <v>2.42E-4</v>
      </c>
      <c r="C27" s="21">
        <f>B27*$B$9/2000*$B$10</f>
        <v>0.26499</v>
      </c>
      <c r="D27" s="22" t="s">
        <v>39</v>
      </c>
      <c r="E27" s="22" t="s">
        <v>40</v>
      </c>
      <c r="F27">
        <f>B27*$B$9*$B$10/2000</f>
        <v>0.26499</v>
      </c>
      <c r="G27" t="s">
        <v>82</v>
      </c>
      <c r="H27" t="s">
        <v>77</v>
      </c>
      <c r="I27" t="s">
        <v>81</v>
      </c>
    </row>
    <row r="28" spans="1:9" x14ac:dyDescent="0.2">
      <c r="A28" s="1" t="s">
        <v>41</v>
      </c>
      <c r="B28" s="22">
        <f>6.25*10^-6</f>
        <v>6.2499999999999995E-6</v>
      </c>
      <c r="C28" s="21">
        <f>B28*$B$9/2000*$B$10</f>
        <v>6.8437499999999991E-3</v>
      </c>
      <c r="D28" s="22" t="s">
        <v>42</v>
      </c>
      <c r="E28" s="22" t="s">
        <v>40</v>
      </c>
      <c r="F28">
        <f>B28*$B$9*$B$10/2000</f>
        <v>6.8437499999999991E-3</v>
      </c>
      <c r="G28" t="s">
        <v>83</v>
      </c>
      <c r="H28" t="s">
        <v>77</v>
      </c>
      <c r="I28" t="s">
        <v>81</v>
      </c>
    </row>
    <row r="29" spans="1:9" x14ac:dyDescent="0.2">
      <c r="A29" s="1" t="s">
        <v>43</v>
      </c>
      <c r="B29" s="22">
        <v>5.4799999999999996E-3</v>
      </c>
      <c r="C29" s="21">
        <f>B29*$B$9/2000*$B$10</f>
        <v>6.0005999999999995</v>
      </c>
      <c r="D29" s="22" t="s">
        <v>44</v>
      </c>
      <c r="E29" s="22" t="s">
        <v>40</v>
      </c>
      <c r="F29">
        <f>B29*$B$9*$B$10/2000</f>
        <v>6.0005999999999995</v>
      </c>
      <c r="G29" t="s">
        <v>83</v>
      </c>
      <c r="H29" t="s">
        <v>77</v>
      </c>
      <c r="I29" t="s">
        <v>81</v>
      </c>
    </row>
    <row r="30" spans="1:9" x14ac:dyDescent="0.2">
      <c r="A30" s="1" t="s">
        <v>45</v>
      </c>
      <c r="B30" s="22">
        <v>0.105</v>
      </c>
      <c r="C30" s="21">
        <f>B30*$B$9/2000*$B$10</f>
        <v>114.97499999999999</v>
      </c>
      <c r="D30" s="22" t="s">
        <v>46</v>
      </c>
      <c r="E30" s="22" t="s">
        <v>47</v>
      </c>
      <c r="F30">
        <f>B30*$B$9*24/2000</f>
        <v>0.315</v>
      </c>
      <c r="G30" t="s">
        <v>86</v>
      </c>
      <c r="H30" t="s">
        <v>77</v>
      </c>
      <c r="I30" t="s">
        <v>81</v>
      </c>
    </row>
    <row r="31" spans="1:9" x14ac:dyDescent="0.2">
      <c r="A31" s="1"/>
      <c r="B31" s="22"/>
      <c r="C31" s="21"/>
      <c r="D31" s="22" t="s">
        <v>48</v>
      </c>
      <c r="E31" s="22" t="s">
        <v>49</v>
      </c>
      <c r="F31">
        <f>B30*$B$9/4/2000</f>
        <v>3.2812499999999999E-3</v>
      </c>
    </row>
    <row r="32" spans="1:9" x14ac:dyDescent="0.2">
      <c r="A32" s="1" t="s">
        <v>50</v>
      </c>
      <c r="B32" s="22">
        <v>7.7499999999999997E-4</v>
      </c>
      <c r="C32" s="21">
        <f>B32*$B$9/2000*$B$10</f>
        <v>0.84862499999999996</v>
      </c>
      <c r="D32" s="22" t="s">
        <v>51</v>
      </c>
      <c r="E32" s="22" t="s">
        <v>40</v>
      </c>
      <c r="F32">
        <f>B32*$B$9*$B$10/2000</f>
        <v>0.84862499999999996</v>
      </c>
      <c r="G32" t="s">
        <v>84</v>
      </c>
      <c r="H32" t="s">
        <v>77</v>
      </c>
      <c r="I32" t="s">
        <v>81</v>
      </c>
    </row>
    <row r="33" spans="1:9" x14ac:dyDescent="0.2">
      <c r="A33" s="1" t="s">
        <v>52</v>
      </c>
      <c r="B33" s="26">
        <v>1.5900000000000001E-9</v>
      </c>
      <c r="C33" s="21">
        <f>B33*$B$9/2000*$B$10</f>
        <v>1.74105E-6</v>
      </c>
      <c r="D33" s="22" t="s">
        <v>53</v>
      </c>
      <c r="E33" s="22" t="s">
        <v>40</v>
      </c>
      <c r="F33">
        <f>B33*$B$9*$B$10/2000</f>
        <v>1.74105E-6</v>
      </c>
      <c r="G33" t="s">
        <v>86</v>
      </c>
      <c r="H33" t="s">
        <v>77</v>
      </c>
      <c r="I33" t="s">
        <v>81</v>
      </c>
    </row>
    <row r="34" spans="1:9" x14ac:dyDescent="0.2">
      <c r="A34" s="1" t="s">
        <v>54</v>
      </c>
      <c r="B34" s="22">
        <v>33.5</v>
      </c>
      <c r="C34" s="27">
        <f>B34*$B$9/2000*$B$10</f>
        <v>36682.5</v>
      </c>
      <c r="D34" s="22" t="s">
        <v>55</v>
      </c>
      <c r="E34" s="22" t="s">
        <v>49</v>
      </c>
      <c r="F34">
        <f>B34*$B$9/4/2000</f>
        <v>1.046875</v>
      </c>
      <c r="G34" t="s">
        <v>80</v>
      </c>
      <c r="H34" t="s">
        <v>77</v>
      </c>
      <c r="I34" t="s">
        <v>81</v>
      </c>
    </row>
    <row r="35" spans="1:9" x14ac:dyDescent="0.2">
      <c r="A35" s="1" t="s">
        <v>56</v>
      </c>
      <c r="B35" s="22">
        <v>0.14899999999999999</v>
      </c>
      <c r="C35" s="21">
        <f>B35*$B$9/2000*$B$10</f>
        <v>163.155</v>
      </c>
      <c r="D35" s="22" t="s">
        <v>57</v>
      </c>
      <c r="E35" s="22" t="s">
        <v>47</v>
      </c>
      <c r="F35">
        <f>B35*$B$9*24/2000</f>
        <v>0.44700000000000001</v>
      </c>
      <c r="G35" t="s">
        <v>86</v>
      </c>
      <c r="H35" t="s">
        <v>77</v>
      </c>
      <c r="I35" t="s">
        <v>81</v>
      </c>
    </row>
    <row r="36" spans="1:9" x14ac:dyDescent="0.2">
      <c r="A36" s="1"/>
      <c r="B36" s="22"/>
      <c r="C36" s="21"/>
      <c r="D36" s="22" t="s">
        <v>39</v>
      </c>
      <c r="E36" s="22" t="s">
        <v>49</v>
      </c>
      <c r="F36">
        <f>B35*$B$9/4/2000</f>
        <v>4.6562499999999998E-3</v>
      </c>
    </row>
    <row r="37" spans="1:9" x14ac:dyDescent="0.2">
      <c r="A37" s="1" t="s">
        <v>58</v>
      </c>
      <c r="B37" s="22">
        <v>7.2800000000000004E-2</v>
      </c>
      <c r="C37" s="21">
        <f t="shared" ref="C37:C42" si="0">B37*$B$9/2000*$B$10</f>
        <v>79.716000000000008</v>
      </c>
      <c r="D37" s="22" t="s">
        <v>29</v>
      </c>
      <c r="E37" s="22" t="s">
        <v>29</v>
      </c>
      <c r="F37" s="22" t="s">
        <v>29</v>
      </c>
      <c r="G37" t="s">
        <v>78</v>
      </c>
      <c r="H37" t="s">
        <v>77</v>
      </c>
      <c r="I37" t="s">
        <v>81</v>
      </c>
    </row>
    <row r="38" spans="1:9" x14ac:dyDescent="0.2">
      <c r="A38" s="1" t="s">
        <v>59</v>
      </c>
      <c r="B38" s="22">
        <v>5.6700000000000001E-4</v>
      </c>
      <c r="C38" s="21">
        <f t="shared" si="0"/>
        <v>0.620865</v>
      </c>
      <c r="D38" s="22" t="s">
        <v>57</v>
      </c>
      <c r="E38" s="22" t="s">
        <v>47</v>
      </c>
      <c r="F38">
        <f>B38*$B$9*24/2000</f>
        <v>1.701E-3</v>
      </c>
      <c r="G38" t="s">
        <v>85</v>
      </c>
      <c r="H38" t="s">
        <v>77</v>
      </c>
      <c r="I38" t="s">
        <v>81</v>
      </c>
    </row>
    <row r="39" spans="1:9" x14ac:dyDescent="0.2">
      <c r="A39" s="1" t="s">
        <v>60</v>
      </c>
      <c r="B39" s="22">
        <v>0.107</v>
      </c>
      <c r="C39" s="21">
        <f t="shared" si="0"/>
        <v>117.16499999999999</v>
      </c>
      <c r="D39" s="22" t="s">
        <v>61</v>
      </c>
      <c r="E39" s="22" t="s">
        <v>47</v>
      </c>
      <c r="F39">
        <f>B39*$B$9*24/2000</f>
        <v>0.32100000000000001</v>
      </c>
      <c r="G39" t="s">
        <v>85</v>
      </c>
      <c r="H39" t="s">
        <v>77</v>
      </c>
      <c r="I39" t="s">
        <v>81</v>
      </c>
    </row>
    <row r="40" spans="1:9" x14ac:dyDescent="0.2">
      <c r="A40" s="1" t="s">
        <v>62</v>
      </c>
      <c r="B40" s="22">
        <v>5.9000000000000003E-4</v>
      </c>
      <c r="C40" s="21">
        <f t="shared" si="0"/>
        <v>0.64605000000000001</v>
      </c>
      <c r="D40" s="22" t="s">
        <v>61</v>
      </c>
      <c r="E40" s="22" t="s">
        <v>47</v>
      </c>
      <c r="F40">
        <f>B40*$B$9*24/2000</f>
        <v>1.7700000000000003E-3</v>
      </c>
      <c r="G40" t="s">
        <v>85</v>
      </c>
      <c r="H40" t="s">
        <v>77</v>
      </c>
      <c r="I40" t="s">
        <v>81</v>
      </c>
    </row>
    <row r="41" spans="1:9" x14ac:dyDescent="0.2">
      <c r="A41" s="1" t="s">
        <v>63</v>
      </c>
      <c r="B41" s="22">
        <v>4.6499999999999999E-5</v>
      </c>
      <c r="C41" s="21">
        <f t="shared" si="0"/>
        <v>5.0917499999999997E-2</v>
      </c>
      <c r="D41" s="22" t="s">
        <v>64</v>
      </c>
      <c r="E41" s="22" t="s">
        <v>40</v>
      </c>
      <c r="F41">
        <f>B41*$B$9*$B$10/2000</f>
        <v>5.0917499999999997E-2</v>
      </c>
      <c r="G41" t="s">
        <v>80</v>
      </c>
      <c r="H41" t="s">
        <v>77</v>
      </c>
      <c r="I41" t="s">
        <v>81</v>
      </c>
    </row>
    <row r="42" spans="1:9" x14ac:dyDescent="0.2">
      <c r="A42" s="1" t="s">
        <v>65</v>
      </c>
      <c r="B42" s="26">
        <f>5.47*10^-8</f>
        <v>5.47E-8</v>
      </c>
      <c r="C42" s="21">
        <f t="shared" si="0"/>
        <v>5.9896499999999998E-5</v>
      </c>
      <c r="D42" s="22" t="s">
        <v>66</v>
      </c>
      <c r="E42" s="22" t="s">
        <v>40</v>
      </c>
      <c r="F42">
        <f>B42*$B$9*$B$10/2000</f>
        <v>5.9896499999999998E-5</v>
      </c>
      <c r="G42" t="s">
        <v>87</v>
      </c>
      <c r="H42" t="s">
        <v>77</v>
      </c>
      <c r="I42" t="s">
        <v>81</v>
      </c>
    </row>
    <row r="43" spans="1:9" ht="15.75" thickBot="1" x14ac:dyDescent="0.25">
      <c r="A43" s="18" t="s">
        <v>67</v>
      </c>
      <c r="B43" s="24"/>
      <c r="C43" s="18">
        <f>C42+C41+C40+C39+C38+C37+C35+C34+C32+C30+C27+C26</f>
        <v>37173.958507396506</v>
      </c>
      <c r="D43" s="18"/>
      <c r="E43" s="18"/>
      <c r="F43" s="18"/>
    </row>
    <row r="45" spans="1:9" x14ac:dyDescent="0.2">
      <c r="A45" t="s">
        <v>68</v>
      </c>
    </row>
    <row r="46" spans="1:9" x14ac:dyDescent="0.2">
      <c r="A46" s="28" t="s">
        <v>69</v>
      </c>
    </row>
    <row r="47" spans="1:9" x14ac:dyDescent="0.2">
      <c r="A47" s="28" t="s">
        <v>70</v>
      </c>
    </row>
    <row r="48" spans="1:9" x14ac:dyDescent="0.2">
      <c r="A48" s="28" t="s">
        <v>71</v>
      </c>
    </row>
    <row r="50" spans="1:2" x14ac:dyDescent="0.2">
      <c r="A50" s="29" t="s">
        <v>72</v>
      </c>
    </row>
    <row r="51" spans="1:2" x14ac:dyDescent="0.2">
      <c r="A51" s="28" t="s">
        <v>73</v>
      </c>
      <c r="B51" s="30"/>
    </row>
    <row r="52" spans="1:2" x14ac:dyDescent="0.2">
      <c r="A52" s="28" t="s">
        <v>74</v>
      </c>
      <c r="B52" s="30"/>
    </row>
    <row r="53" spans="1:2" x14ac:dyDescent="0.2">
      <c r="A53" s="28" t="s">
        <v>75</v>
      </c>
      <c r="B53" s="30"/>
    </row>
    <row r="54" spans="1:2" x14ac:dyDescent="0.2">
      <c r="A54" s="28" t="s">
        <v>76</v>
      </c>
      <c r="B54" s="30"/>
    </row>
  </sheetData>
  <sheetProtection password="8835" sheet="1" objects="1" scenarios="1"/>
  <pageMargins left="0.5" right="0.5" top="0.5" bottom="0.5" header="0.5" footer="0.5"/>
  <pageSetup scale="94" orientation="portrait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 x14ac:dyDescent="0.2"/>
  <cols>
    <col min="1" max="1" width="10.109375" bestFit="1" customWidth="1"/>
  </cols>
  <sheetData>
    <row r="1" spans="1:2" x14ac:dyDescent="0.2">
      <c r="A1" t="s">
        <v>88</v>
      </c>
      <c r="B1" t="s">
        <v>89</v>
      </c>
    </row>
  </sheetData>
  <sheetProtection password="8835" sheet="1" objects="1" scenarios="1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</vt:lpstr>
      <vt:lpstr>Revisions</vt:lpstr>
      <vt:lpstr>A!Print_Area</vt:lpstr>
      <vt:lpstr>A!Print_Area_MI</vt:lpstr>
    </vt:vector>
  </TitlesOfParts>
  <Company>DENR - Air Quality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</dc:creator>
  <cp:lastModifiedBy>Henry A Gainey</cp:lastModifiedBy>
  <dcterms:created xsi:type="dcterms:W3CDTF">2000-05-16T13:37:33Z</dcterms:created>
  <dcterms:modified xsi:type="dcterms:W3CDTF">2013-01-23T15:16:42Z</dcterms:modified>
</cp:coreProperties>
</file>