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6" windowWidth="11352" windowHeight="9216"/>
  </bookViews>
  <sheets>
    <sheet name="SWCompRpt" sheetId="1" r:id="rId1"/>
  </sheets>
  <definedNames>
    <definedName name="SWCompRpt">SWCompRpt!$A$9:$T$134</definedName>
  </definedNames>
  <calcPr calcId="125725"/>
</workbook>
</file>

<file path=xl/calcChain.xml><?xml version="1.0" encoding="utf-8"?>
<calcChain xmlns="http://schemas.openxmlformats.org/spreadsheetml/2006/main">
  <c r="AK11" i="1"/>
  <c r="AK12"/>
  <c r="AK13"/>
  <c r="AK14"/>
  <c r="AK15"/>
  <c r="AK16"/>
  <c r="AK17"/>
  <c r="AK18"/>
  <c r="AK19"/>
  <c r="AK20"/>
  <c r="AL20" s="1"/>
  <c r="AK21"/>
  <c r="AK22"/>
  <c r="AK23"/>
  <c r="AK24"/>
  <c r="AL24" s="1"/>
  <c r="AK25"/>
  <c r="AK26"/>
  <c r="AK27"/>
  <c r="AK28"/>
  <c r="AL28" s="1"/>
  <c r="AK29"/>
  <c r="AK30"/>
  <c r="AK31"/>
  <c r="AK32"/>
  <c r="AL32" s="1"/>
  <c r="AK33"/>
  <c r="AK34"/>
  <c r="AK35"/>
  <c r="AK36"/>
  <c r="AL36" s="1"/>
  <c r="AK37"/>
  <c r="AK38"/>
  <c r="AK39"/>
  <c r="AK40"/>
  <c r="AL40" s="1"/>
  <c r="AK41"/>
  <c r="AK42"/>
  <c r="AK43"/>
  <c r="AK44"/>
  <c r="AL44" s="1"/>
  <c r="AK45"/>
  <c r="AK46"/>
  <c r="AK47"/>
  <c r="AK48"/>
  <c r="AL48" s="1"/>
  <c r="AK49"/>
  <c r="AK50"/>
  <c r="AK51"/>
  <c r="AK52"/>
  <c r="AL52" s="1"/>
  <c r="AK53"/>
  <c r="AK54"/>
  <c r="AK55"/>
  <c r="AK56"/>
  <c r="AL56" s="1"/>
  <c r="AK57"/>
  <c r="AK58"/>
  <c r="AK59"/>
  <c r="AK60"/>
  <c r="AL60" s="1"/>
  <c r="AK61"/>
  <c r="AK62"/>
  <c r="AK63"/>
  <c r="AK64"/>
  <c r="AL64" s="1"/>
  <c r="AK65"/>
  <c r="AK66"/>
  <c r="AK67"/>
  <c r="AK68"/>
  <c r="AL68" s="1"/>
  <c r="AK69"/>
  <c r="AK70"/>
  <c r="AK71"/>
  <c r="AK72"/>
  <c r="AL72" s="1"/>
  <c r="AK73"/>
  <c r="AK74"/>
  <c r="AK75"/>
  <c r="AK76"/>
  <c r="AL76" s="1"/>
  <c r="AK77"/>
  <c r="AK78"/>
  <c r="AK79"/>
  <c r="AK80"/>
  <c r="AL80" s="1"/>
  <c r="AK81"/>
  <c r="AK82"/>
  <c r="AK83"/>
  <c r="AK84"/>
  <c r="AL84" s="1"/>
  <c r="AK85"/>
  <c r="AK86"/>
  <c r="AK87"/>
  <c r="AK88"/>
  <c r="AL88" s="1"/>
  <c r="AK89"/>
  <c r="AK90"/>
  <c r="AK91"/>
  <c r="AK92"/>
  <c r="AL92" s="1"/>
  <c r="AK93"/>
  <c r="AK94"/>
  <c r="AK95"/>
  <c r="AK96"/>
  <c r="AL96" s="1"/>
  <c r="AK97"/>
  <c r="AK98"/>
  <c r="AK99"/>
  <c r="AK100"/>
  <c r="AL100" s="1"/>
  <c r="AK101"/>
  <c r="AK102"/>
  <c r="AK103"/>
  <c r="AK104"/>
  <c r="AL104" s="1"/>
  <c r="AK105"/>
  <c r="AK106"/>
  <c r="AK107"/>
  <c r="AK108"/>
  <c r="AL108" s="1"/>
  <c r="AK109"/>
  <c r="AK110"/>
  <c r="AK111"/>
  <c r="AK112"/>
  <c r="AL112" s="1"/>
  <c r="AK113"/>
  <c r="AK114"/>
  <c r="AK115"/>
  <c r="AK116"/>
  <c r="AL116" s="1"/>
  <c r="AK117"/>
  <c r="AK118"/>
  <c r="AK119"/>
  <c r="AK120"/>
  <c r="AK121"/>
  <c r="AK122"/>
  <c r="AK123"/>
  <c r="AK124"/>
  <c r="AK125"/>
  <c r="AL125" s="1"/>
  <c r="AK126"/>
  <c r="AK127"/>
  <c r="AK128"/>
  <c r="AK129"/>
  <c r="AK10"/>
  <c r="AI11"/>
  <c r="AI12"/>
  <c r="AI13"/>
  <c r="AI14"/>
  <c r="AI15"/>
  <c r="AI16"/>
  <c r="AL16" s="1"/>
  <c r="AI17"/>
  <c r="AI18"/>
  <c r="AI19"/>
  <c r="AI20"/>
  <c r="AI21"/>
  <c r="AI22"/>
  <c r="AI23"/>
  <c r="AI24"/>
  <c r="AI25"/>
  <c r="AI26"/>
  <c r="AI27"/>
  <c r="AI28"/>
  <c r="AI29"/>
  <c r="AI30"/>
  <c r="AI31"/>
  <c r="AI32"/>
  <c r="AI33"/>
  <c r="AI34"/>
  <c r="AI35"/>
  <c r="AI36"/>
  <c r="AI37"/>
  <c r="AI38"/>
  <c r="AI39"/>
  <c r="AI40"/>
  <c r="AI41"/>
  <c r="AI42"/>
  <c r="AI43"/>
  <c r="AI44"/>
  <c r="AI45"/>
  <c r="AI46"/>
  <c r="AI47"/>
  <c r="AI48"/>
  <c r="AI49"/>
  <c r="AI50"/>
  <c r="AI51"/>
  <c r="AI52"/>
  <c r="AI53"/>
  <c r="AI54"/>
  <c r="AI55"/>
  <c r="AI56"/>
  <c r="AI57"/>
  <c r="AI58"/>
  <c r="AI59"/>
  <c r="AI60"/>
  <c r="AI61"/>
  <c r="AI62"/>
  <c r="AI63"/>
  <c r="AI64"/>
  <c r="AI65"/>
  <c r="AI66"/>
  <c r="AI67"/>
  <c r="AI68"/>
  <c r="AI69"/>
  <c r="AI70"/>
  <c r="AI71"/>
  <c r="AI72"/>
  <c r="AI73"/>
  <c r="AI74"/>
  <c r="AI75"/>
  <c r="AI76"/>
  <c r="AI77"/>
  <c r="AI78"/>
  <c r="AI79"/>
  <c r="AI80"/>
  <c r="AI81"/>
  <c r="AI82"/>
  <c r="AI83"/>
  <c r="AI84"/>
  <c r="AI85"/>
  <c r="AI86"/>
  <c r="AI87"/>
  <c r="AI88"/>
  <c r="AI89"/>
  <c r="AI90"/>
  <c r="AI91"/>
  <c r="AI92"/>
  <c r="AI93"/>
  <c r="AI94"/>
  <c r="AI95"/>
  <c r="AI96"/>
  <c r="AI97"/>
  <c r="AI98"/>
  <c r="AI99"/>
  <c r="AI100"/>
  <c r="AI101"/>
  <c r="AI102"/>
  <c r="AI103"/>
  <c r="AI104"/>
  <c r="AI105"/>
  <c r="AI106"/>
  <c r="AI107"/>
  <c r="AI108"/>
  <c r="AI109"/>
  <c r="AI110"/>
  <c r="AI111"/>
  <c r="AI112"/>
  <c r="AI113"/>
  <c r="AI114"/>
  <c r="AI115"/>
  <c r="AI116"/>
  <c r="AI117"/>
  <c r="AI118"/>
  <c r="AI119"/>
  <c r="AI120"/>
  <c r="AI121"/>
  <c r="AI122"/>
  <c r="AI123"/>
  <c r="AI124"/>
  <c r="AI125"/>
  <c r="AI126"/>
  <c r="AL126" s="1"/>
  <c r="AI127"/>
  <c r="AI128"/>
  <c r="AI129"/>
  <c r="AI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37"/>
  <c r="AF38"/>
  <c r="AF39"/>
  <c r="AF40"/>
  <c r="AF41"/>
  <c r="AF42"/>
  <c r="AF43"/>
  <c r="AF44"/>
  <c r="AF45"/>
  <c r="AF46"/>
  <c r="AF47"/>
  <c r="AF48"/>
  <c r="AF49"/>
  <c r="AF50"/>
  <c r="AF51"/>
  <c r="AF52"/>
  <c r="AF53"/>
  <c r="AF54"/>
  <c r="AF55"/>
  <c r="AF56"/>
  <c r="AF57"/>
  <c r="AF58"/>
  <c r="AF59"/>
  <c r="AF60"/>
  <c r="AF61"/>
  <c r="AF62"/>
  <c r="AF63"/>
  <c r="AF64"/>
  <c r="AF65"/>
  <c r="AF66"/>
  <c r="AF67"/>
  <c r="AF68"/>
  <c r="AF69"/>
  <c r="AF70"/>
  <c r="AF71"/>
  <c r="AF72"/>
  <c r="AF73"/>
  <c r="AF74"/>
  <c r="AF75"/>
  <c r="AF76"/>
  <c r="AF77"/>
  <c r="AF78"/>
  <c r="AF79"/>
  <c r="AF80"/>
  <c r="AF81"/>
  <c r="AF82"/>
  <c r="AF83"/>
  <c r="AF84"/>
  <c r="AF85"/>
  <c r="AF86"/>
  <c r="AF87"/>
  <c r="AF88"/>
  <c r="AF89"/>
  <c r="AF90"/>
  <c r="AF91"/>
  <c r="AF92"/>
  <c r="AF93"/>
  <c r="AF94"/>
  <c r="AF95"/>
  <c r="AF96"/>
  <c r="AF97"/>
  <c r="AF98"/>
  <c r="AF99"/>
  <c r="AF100"/>
  <c r="AF101"/>
  <c r="AF102"/>
  <c r="AF103"/>
  <c r="AF104"/>
  <c r="AF105"/>
  <c r="AF106"/>
  <c r="AF107"/>
  <c r="AF108"/>
  <c r="AF109"/>
  <c r="AF110"/>
  <c r="AF111"/>
  <c r="AF112"/>
  <c r="AF113"/>
  <c r="AF114"/>
  <c r="AF115"/>
  <c r="AF116"/>
  <c r="AF117"/>
  <c r="AF118"/>
  <c r="AF119"/>
  <c r="AF120"/>
  <c r="AL120" s="1"/>
  <c r="AF121"/>
  <c r="AF122"/>
  <c r="AF123"/>
  <c r="AL123" s="1"/>
  <c r="AF124"/>
  <c r="AL124" s="1"/>
  <c r="AF125"/>
  <c r="AF126"/>
  <c r="AF127"/>
  <c r="AL127" s="1"/>
  <c r="AF128"/>
  <c r="AL128" s="1"/>
  <c r="AF129"/>
  <c r="AF10"/>
  <c r="AL10" s="1"/>
  <c r="AL11"/>
  <c r="AL12"/>
  <c r="AL13"/>
  <c r="AL14"/>
  <c r="AL15"/>
  <c r="AL17"/>
  <c r="AL18"/>
  <c r="AL19"/>
  <c r="AL21"/>
  <c r="AL22"/>
  <c r="AL23"/>
  <c r="AL25"/>
  <c r="AL26"/>
  <c r="AL27"/>
  <c r="AL29"/>
  <c r="AL30"/>
  <c r="AL31"/>
  <c r="AL33"/>
  <c r="AL34"/>
  <c r="AL35"/>
  <c r="AL37"/>
  <c r="AL38"/>
  <c r="AL39"/>
  <c r="AL41"/>
  <c r="AL42"/>
  <c r="AL43"/>
  <c r="AL45"/>
  <c r="AL46"/>
  <c r="AL47"/>
  <c r="AL49"/>
  <c r="AL50"/>
  <c r="AL51"/>
  <c r="AL53"/>
  <c r="AL54"/>
  <c r="AL55"/>
  <c r="AL57"/>
  <c r="AL58"/>
  <c r="AL59"/>
  <c r="AL61"/>
  <c r="AL62"/>
  <c r="AL63"/>
  <c r="AL65"/>
  <c r="AL66"/>
  <c r="AL67"/>
  <c r="AL69"/>
  <c r="AL70"/>
  <c r="AL71"/>
  <c r="AL73"/>
  <c r="AL74"/>
  <c r="AL75"/>
  <c r="AL77"/>
  <c r="AL78"/>
  <c r="AL79"/>
  <c r="AL81"/>
  <c r="AL82"/>
  <c r="AL83"/>
  <c r="AL85"/>
  <c r="AL86"/>
  <c r="AL87"/>
  <c r="AL89"/>
  <c r="AL90"/>
  <c r="AL91"/>
  <c r="AL93"/>
  <c r="AL94"/>
  <c r="AL95"/>
  <c r="AL97"/>
  <c r="AL98"/>
  <c r="AL99"/>
  <c r="AL101"/>
  <c r="AL102"/>
  <c r="AL103"/>
  <c r="AL105"/>
  <c r="AL106"/>
  <c r="AL107"/>
  <c r="AL109"/>
  <c r="AL110"/>
  <c r="AL111"/>
  <c r="AL113"/>
  <c r="AL114"/>
  <c r="AL115"/>
  <c r="AL117"/>
  <c r="AL121"/>
  <c r="AL122"/>
  <c r="AL129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38"/>
  <c r="AJ39"/>
  <c r="AJ40"/>
  <c r="AJ41"/>
  <c r="AJ42"/>
  <c r="AJ43"/>
  <c r="AJ44"/>
  <c r="AJ45"/>
  <c r="AJ46"/>
  <c r="AJ47"/>
  <c r="AJ48"/>
  <c r="AJ49"/>
  <c r="AJ50"/>
  <c r="AJ51"/>
  <c r="AJ52"/>
  <c r="AJ53"/>
  <c r="AJ54"/>
  <c r="AJ55"/>
  <c r="AJ56"/>
  <c r="AJ57"/>
  <c r="AJ58"/>
  <c r="AJ59"/>
  <c r="AJ60"/>
  <c r="AJ61"/>
  <c r="AJ62"/>
  <c r="AJ63"/>
  <c r="AJ64"/>
  <c r="AJ65"/>
  <c r="AJ66"/>
  <c r="AJ67"/>
  <c r="AJ68"/>
  <c r="AJ69"/>
  <c r="AJ70"/>
  <c r="AJ71"/>
  <c r="AJ72"/>
  <c r="AJ73"/>
  <c r="AJ74"/>
  <c r="AJ75"/>
  <c r="AJ76"/>
  <c r="AJ77"/>
  <c r="AJ78"/>
  <c r="AJ79"/>
  <c r="AJ80"/>
  <c r="AJ81"/>
  <c r="AJ82"/>
  <c r="AJ83"/>
  <c r="AJ84"/>
  <c r="AJ85"/>
  <c r="AJ86"/>
  <c r="AJ87"/>
  <c r="AJ88"/>
  <c r="AJ89"/>
  <c r="AJ90"/>
  <c r="AJ91"/>
  <c r="AJ92"/>
  <c r="AJ93"/>
  <c r="AJ94"/>
  <c r="AJ95"/>
  <c r="AJ96"/>
  <c r="AJ97"/>
  <c r="AJ98"/>
  <c r="AJ99"/>
  <c r="AJ100"/>
  <c r="AJ101"/>
  <c r="AJ102"/>
  <c r="AJ103"/>
  <c r="AJ104"/>
  <c r="AJ105"/>
  <c r="AJ106"/>
  <c r="AJ107"/>
  <c r="AJ108"/>
  <c r="AJ109"/>
  <c r="AJ110"/>
  <c r="AJ111"/>
  <c r="AJ112"/>
  <c r="AJ113"/>
  <c r="AJ114"/>
  <c r="AJ115"/>
  <c r="AJ116"/>
  <c r="AJ117"/>
  <c r="AJ118"/>
  <c r="AJ119"/>
  <c r="AJ120"/>
  <c r="AJ121"/>
  <c r="AJ122"/>
  <c r="AJ123"/>
  <c r="AJ124"/>
  <c r="AJ125"/>
  <c r="AJ126"/>
  <c r="AJ127"/>
  <c r="AJ128"/>
  <c r="AJ129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37"/>
  <c r="AH38"/>
  <c r="AH39"/>
  <c r="AH40"/>
  <c r="AH41"/>
  <c r="AH42"/>
  <c r="AH43"/>
  <c r="AH44"/>
  <c r="AH45"/>
  <c r="AH46"/>
  <c r="AH47"/>
  <c r="AH48"/>
  <c r="AH49"/>
  <c r="AH50"/>
  <c r="AH51"/>
  <c r="AH52"/>
  <c r="AH53"/>
  <c r="AH54"/>
  <c r="AH55"/>
  <c r="AH56"/>
  <c r="AH57"/>
  <c r="AH58"/>
  <c r="AH59"/>
  <c r="AH60"/>
  <c r="AH61"/>
  <c r="AH62"/>
  <c r="AH63"/>
  <c r="AH64"/>
  <c r="AH65"/>
  <c r="AH66"/>
  <c r="AH67"/>
  <c r="AH68"/>
  <c r="AH69"/>
  <c r="AH70"/>
  <c r="AH71"/>
  <c r="AH72"/>
  <c r="AH73"/>
  <c r="AH74"/>
  <c r="AH75"/>
  <c r="AH76"/>
  <c r="AH77"/>
  <c r="AH78"/>
  <c r="AH79"/>
  <c r="AH80"/>
  <c r="AH81"/>
  <c r="AH82"/>
  <c r="AH83"/>
  <c r="AH84"/>
  <c r="AH85"/>
  <c r="AH86"/>
  <c r="AH87"/>
  <c r="AH88"/>
  <c r="AH89"/>
  <c r="AH90"/>
  <c r="AH91"/>
  <c r="AH92"/>
  <c r="AH93"/>
  <c r="AH94"/>
  <c r="AH95"/>
  <c r="AH96"/>
  <c r="AH97"/>
  <c r="AH98"/>
  <c r="AH99"/>
  <c r="AH100"/>
  <c r="AH101"/>
  <c r="AH102"/>
  <c r="AH103"/>
  <c r="AH104"/>
  <c r="AH105"/>
  <c r="AH106"/>
  <c r="AH107"/>
  <c r="AH108"/>
  <c r="AH109"/>
  <c r="AH110"/>
  <c r="AH111"/>
  <c r="AH112"/>
  <c r="AH113"/>
  <c r="AH114"/>
  <c r="AH115"/>
  <c r="AH116"/>
  <c r="AH117"/>
  <c r="AH118"/>
  <c r="AH119"/>
  <c r="AH120"/>
  <c r="AH121"/>
  <c r="AH122"/>
  <c r="AH123"/>
  <c r="AH124"/>
  <c r="AH125"/>
  <c r="AH126"/>
  <c r="AH127"/>
  <c r="AH128"/>
  <c r="AH129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G38"/>
  <c r="AG39"/>
  <c r="AG40"/>
  <c r="AG41"/>
  <c r="AG42"/>
  <c r="AG43"/>
  <c r="AG44"/>
  <c r="AG45"/>
  <c r="AG46"/>
  <c r="AG47"/>
  <c r="AG48"/>
  <c r="AG49"/>
  <c r="AG50"/>
  <c r="AG51"/>
  <c r="AG52"/>
  <c r="AG53"/>
  <c r="AG54"/>
  <c r="AG55"/>
  <c r="AG56"/>
  <c r="AG57"/>
  <c r="AG58"/>
  <c r="AG59"/>
  <c r="AG60"/>
  <c r="AG61"/>
  <c r="AG62"/>
  <c r="AG63"/>
  <c r="AG64"/>
  <c r="AG65"/>
  <c r="AG66"/>
  <c r="AG67"/>
  <c r="AG68"/>
  <c r="AG69"/>
  <c r="AG70"/>
  <c r="AG71"/>
  <c r="AG72"/>
  <c r="AG73"/>
  <c r="AG74"/>
  <c r="AG75"/>
  <c r="AG76"/>
  <c r="AG77"/>
  <c r="AG78"/>
  <c r="AG79"/>
  <c r="AG80"/>
  <c r="AG81"/>
  <c r="AG82"/>
  <c r="AG83"/>
  <c r="AG84"/>
  <c r="AG85"/>
  <c r="AG86"/>
  <c r="AG87"/>
  <c r="AG88"/>
  <c r="AG89"/>
  <c r="AG90"/>
  <c r="AG91"/>
  <c r="AG92"/>
  <c r="AG93"/>
  <c r="AG94"/>
  <c r="AG95"/>
  <c r="AG96"/>
  <c r="AG97"/>
  <c r="AG98"/>
  <c r="AG99"/>
  <c r="AG100"/>
  <c r="AG101"/>
  <c r="AG102"/>
  <c r="AG103"/>
  <c r="AG104"/>
  <c r="AG105"/>
  <c r="AG106"/>
  <c r="AG107"/>
  <c r="AG108"/>
  <c r="AG109"/>
  <c r="AG110"/>
  <c r="AG111"/>
  <c r="AG112"/>
  <c r="AG113"/>
  <c r="AG114"/>
  <c r="AG115"/>
  <c r="AG116"/>
  <c r="AG117"/>
  <c r="AG118"/>
  <c r="AG119"/>
  <c r="AG120"/>
  <c r="AG121"/>
  <c r="AG122"/>
  <c r="AG123"/>
  <c r="AG124"/>
  <c r="AG125"/>
  <c r="AG126"/>
  <c r="AG127"/>
  <c r="AG128"/>
  <c r="AG129"/>
  <c r="AE11"/>
  <c r="AE12"/>
  <c r="AE13"/>
  <c r="AE14"/>
  <c r="AE15"/>
  <c r="AE16"/>
  <c r="AE17"/>
  <c r="AE18"/>
  <c r="AE19"/>
  <c r="AE20"/>
  <c r="AE21"/>
  <c r="AE22"/>
  <c r="AE23"/>
  <c r="AE24"/>
  <c r="AE25"/>
  <c r="AE26"/>
  <c r="AE27"/>
  <c r="AE28"/>
  <c r="AE29"/>
  <c r="AE30"/>
  <c r="AE31"/>
  <c r="AE32"/>
  <c r="AE33"/>
  <c r="AE34"/>
  <c r="AE35"/>
  <c r="AE36"/>
  <c r="AE37"/>
  <c r="AE38"/>
  <c r="AE39"/>
  <c r="AE40"/>
  <c r="AE41"/>
  <c r="AE42"/>
  <c r="AE43"/>
  <c r="AE44"/>
  <c r="AE45"/>
  <c r="AE46"/>
  <c r="AE47"/>
  <c r="AE48"/>
  <c r="AE49"/>
  <c r="AE50"/>
  <c r="AE51"/>
  <c r="AE52"/>
  <c r="AE53"/>
  <c r="AE54"/>
  <c r="AE55"/>
  <c r="AE56"/>
  <c r="AE57"/>
  <c r="AE58"/>
  <c r="AE59"/>
  <c r="AE60"/>
  <c r="AE61"/>
  <c r="AE62"/>
  <c r="AE63"/>
  <c r="AE64"/>
  <c r="AE65"/>
  <c r="AE66"/>
  <c r="AE67"/>
  <c r="AE68"/>
  <c r="AE69"/>
  <c r="AE70"/>
  <c r="AE71"/>
  <c r="AE72"/>
  <c r="AE73"/>
  <c r="AE74"/>
  <c r="AE75"/>
  <c r="AE76"/>
  <c r="AE77"/>
  <c r="AE78"/>
  <c r="AE79"/>
  <c r="AE80"/>
  <c r="AE81"/>
  <c r="AE82"/>
  <c r="AE83"/>
  <c r="AE84"/>
  <c r="AE85"/>
  <c r="AE86"/>
  <c r="AE87"/>
  <c r="AE88"/>
  <c r="AE89"/>
  <c r="AE90"/>
  <c r="AE91"/>
  <c r="AE92"/>
  <c r="AE93"/>
  <c r="AE94"/>
  <c r="AE95"/>
  <c r="AE96"/>
  <c r="AE97"/>
  <c r="AE98"/>
  <c r="AE99"/>
  <c r="AE100"/>
  <c r="AE101"/>
  <c r="AE102"/>
  <c r="AE103"/>
  <c r="AE104"/>
  <c r="AE105"/>
  <c r="AE106"/>
  <c r="AE107"/>
  <c r="AE108"/>
  <c r="AE109"/>
  <c r="AE110"/>
  <c r="AE111"/>
  <c r="AE112"/>
  <c r="AE113"/>
  <c r="AE114"/>
  <c r="AE115"/>
  <c r="AE116"/>
  <c r="AE117"/>
  <c r="AE118"/>
  <c r="AE119"/>
  <c r="AE120"/>
  <c r="AE121"/>
  <c r="AE122"/>
  <c r="AE123"/>
  <c r="AE124"/>
  <c r="AE125"/>
  <c r="AE126"/>
  <c r="AE127"/>
  <c r="AE128"/>
  <c r="AE129"/>
  <c r="AJ10"/>
  <c r="AH10"/>
  <c r="AG10"/>
  <c r="AE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6"/>
  <c r="S37"/>
  <c r="S38"/>
  <c r="S39"/>
  <c r="S40"/>
  <c r="S41"/>
  <c r="S42"/>
  <c r="S43"/>
  <c r="S44"/>
  <c r="S45"/>
  <c r="S46"/>
  <c r="S47"/>
  <c r="S48"/>
  <c r="S49"/>
  <c r="S50"/>
  <c r="S51"/>
  <c r="S52"/>
  <c r="S53"/>
  <c r="S54"/>
  <c r="S55"/>
  <c r="S56"/>
  <c r="S57"/>
  <c r="S58"/>
  <c r="S59"/>
  <c r="S60"/>
  <c r="S61"/>
  <c r="S62"/>
  <c r="S63"/>
  <c r="S64"/>
  <c r="S65"/>
  <c r="S66"/>
  <c r="S67"/>
  <c r="S68"/>
  <c r="S69"/>
  <c r="S70"/>
  <c r="S71"/>
  <c r="S72"/>
  <c r="S73"/>
  <c r="S74"/>
  <c r="S75"/>
  <c r="S76"/>
  <c r="S77"/>
  <c r="S78"/>
  <c r="S79"/>
  <c r="S80"/>
  <c r="S81"/>
  <c r="S82"/>
  <c r="S83"/>
  <c r="S84"/>
  <c r="S85"/>
  <c r="S86"/>
  <c r="S87"/>
  <c r="S88"/>
  <c r="S89"/>
  <c r="S90"/>
  <c r="S91"/>
  <c r="S92"/>
  <c r="S93"/>
  <c r="S94"/>
  <c r="S95"/>
  <c r="S96"/>
  <c r="S97"/>
  <c r="S98"/>
  <c r="S99"/>
  <c r="S100"/>
  <c r="S101"/>
  <c r="S102"/>
  <c r="S103"/>
  <c r="S104"/>
  <c r="S105"/>
  <c r="S106"/>
  <c r="S107"/>
  <c r="S108"/>
  <c r="S109"/>
  <c r="S110"/>
  <c r="S111"/>
  <c r="S112"/>
  <c r="S113"/>
  <c r="S114"/>
  <c r="S115"/>
  <c r="S116"/>
  <c r="S117"/>
  <c r="S118"/>
  <c r="S119"/>
  <c r="S120"/>
  <c r="S121"/>
  <c r="S122"/>
  <c r="S123"/>
  <c r="S124"/>
  <c r="S125"/>
  <c r="S126"/>
  <c r="S127"/>
  <c r="S128"/>
  <c r="S129"/>
  <c r="S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33"/>
  <c r="Q34"/>
  <c r="Q35"/>
  <c r="Q36"/>
  <c r="Q37"/>
  <c r="Q38"/>
  <c r="Q39"/>
  <c r="Q40"/>
  <c r="Q41"/>
  <c r="Q42"/>
  <c r="Q43"/>
  <c r="Q44"/>
  <c r="Q45"/>
  <c r="Q46"/>
  <c r="Q47"/>
  <c r="Q48"/>
  <c r="Q49"/>
  <c r="Q50"/>
  <c r="Q51"/>
  <c r="Q52"/>
  <c r="Q53"/>
  <c r="Q54"/>
  <c r="Q55"/>
  <c r="Q56"/>
  <c r="Q57"/>
  <c r="Q58"/>
  <c r="Q59"/>
  <c r="Q60"/>
  <c r="Q61"/>
  <c r="Q62"/>
  <c r="Q63"/>
  <c r="Q64"/>
  <c r="Q65"/>
  <c r="Q66"/>
  <c r="Q67"/>
  <c r="Q68"/>
  <c r="Q69"/>
  <c r="Q70"/>
  <c r="Q71"/>
  <c r="Q72"/>
  <c r="Q73"/>
  <c r="Q74"/>
  <c r="Q75"/>
  <c r="Q76"/>
  <c r="Q77"/>
  <c r="Q78"/>
  <c r="Q79"/>
  <c r="Q80"/>
  <c r="Q81"/>
  <c r="Q82"/>
  <c r="Q83"/>
  <c r="Q84"/>
  <c r="Q85"/>
  <c r="Q86"/>
  <c r="Q87"/>
  <c r="Q88"/>
  <c r="Q89"/>
  <c r="Q90"/>
  <c r="Q91"/>
  <c r="Q92"/>
  <c r="Q93"/>
  <c r="Q94"/>
  <c r="Q95"/>
  <c r="Q96"/>
  <c r="Q97"/>
  <c r="Q98"/>
  <c r="Q99"/>
  <c r="Q100"/>
  <c r="Q101"/>
  <c r="Q102"/>
  <c r="Q103"/>
  <c r="Q104"/>
  <c r="Q105"/>
  <c r="Q106"/>
  <c r="Q107"/>
  <c r="Q108"/>
  <c r="Q109"/>
  <c r="Q110"/>
  <c r="Q111"/>
  <c r="Q112"/>
  <c r="Q113"/>
  <c r="Q114"/>
  <c r="Q115"/>
  <c r="Q116"/>
  <c r="Q117"/>
  <c r="Q118"/>
  <c r="Q119"/>
  <c r="Q120"/>
  <c r="Q121"/>
  <c r="Q122"/>
  <c r="Q123"/>
  <c r="Q124"/>
  <c r="Q125"/>
  <c r="Q126"/>
  <c r="Q127"/>
  <c r="Q128"/>
  <c r="Q129"/>
  <c r="Q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O106"/>
  <c r="O107"/>
  <c r="O108"/>
  <c r="O109"/>
  <c r="O110"/>
  <c r="O111"/>
  <c r="O112"/>
  <c r="O113"/>
  <c r="O114"/>
  <c r="O115"/>
  <c r="O116"/>
  <c r="O117"/>
  <c r="O118"/>
  <c r="O119"/>
  <c r="O120"/>
  <c r="O121"/>
  <c r="O122"/>
  <c r="O123"/>
  <c r="O124"/>
  <c r="O125"/>
  <c r="O126"/>
  <c r="O127"/>
  <c r="O128"/>
  <c r="O129"/>
  <c r="O10"/>
  <c r="L129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102"/>
  <c r="L103"/>
  <c r="L104"/>
  <c r="L105"/>
  <c r="L106"/>
  <c r="L107"/>
  <c r="L108"/>
  <c r="L109"/>
  <c r="L110"/>
  <c r="L111"/>
  <c r="L112"/>
  <c r="L113"/>
  <c r="L114"/>
  <c r="L115"/>
  <c r="L116"/>
  <c r="L117"/>
  <c r="L118"/>
  <c r="L119"/>
  <c r="L120"/>
  <c r="L121"/>
  <c r="L122"/>
  <c r="L123"/>
  <c r="L124"/>
  <c r="L125"/>
  <c r="L126"/>
  <c r="L127"/>
  <c r="L128"/>
  <c r="L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0"/>
  <c r="AL132" l="1"/>
</calcChain>
</file>

<file path=xl/sharedStrings.xml><?xml version="1.0" encoding="utf-8"?>
<sst xmlns="http://schemas.openxmlformats.org/spreadsheetml/2006/main" count="172" uniqueCount="123">
  <si>
    <t>FacilityNumber</t>
  </si>
  <si>
    <t>County</t>
  </si>
  <si>
    <t>002 - Mixed Fibers Including OCC (tons)</t>
  </si>
  <si>
    <t>003 - Trash {Not Including SSB Trash} (tons)</t>
  </si>
  <si>
    <t>004 - Organics (tons)</t>
  </si>
  <si>
    <t>005 - Tire (tons)</t>
  </si>
  <si>
    <t>006 - Used Motor Oil (tons)</t>
  </si>
  <si>
    <t>008 - Used Cooking Oil (tons)</t>
  </si>
  <si>
    <t>010 - Automotive Batteries (tons)</t>
  </si>
  <si>
    <t>011 - Food Donations (tons)</t>
  </si>
  <si>
    <t>012 - Bone-Fat-Meats (tons)</t>
  </si>
  <si>
    <t>Wise</t>
  </si>
  <si>
    <t>Galax</t>
  </si>
  <si>
    <t>Martinsville</t>
  </si>
  <si>
    <t>Montgomery</t>
  </si>
  <si>
    <t>Roanoke</t>
  </si>
  <si>
    <t>Salem</t>
  </si>
  <si>
    <t>Rockbridge</t>
  </si>
  <si>
    <t>Smyth</t>
  </si>
  <si>
    <t>Staunton</t>
  </si>
  <si>
    <t>Halifax</t>
  </si>
  <si>
    <t>Lynchburg</t>
  </si>
  <si>
    <t>Bedford</t>
  </si>
  <si>
    <t>Winchester</t>
  </si>
  <si>
    <t>Colonial Heights</t>
  </si>
  <si>
    <t>Danville</t>
  </si>
  <si>
    <t>Prince Edward</t>
  </si>
  <si>
    <t>Henrico</t>
  </si>
  <si>
    <t>Chesterfield</t>
  </si>
  <si>
    <t>Hanover</t>
  </si>
  <si>
    <t>Hampton</t>
  </si>
  <si>
    <t>Pulaski</t>
  </si>
  <si>
    <t>Chesapeake</t>
  </si>
  <si>
    <t>Suffolk</t>
  </si>
  <si>
    <t>Virginia Beach</t>
  </si>
  <si>
    <t>Harrisonburg</t>
  </si>
  <si>
    <t>Essex</t>
  </si>
  <si>
    <t>Gloucester</t>
  </si>
  <si>
    <t>Tazewell</t>
  </si>
  <si>
    <t>Newport News</t>
  </si>
  <si>
    <t>Albemarle</t>
  </si>
  <si>
    <t>Norfolk</t>
  </si>
  <si>
    <t>Prince William</t>
  </si>
  <si>
    <t>Fredericksburg</t>
  </si>
  <si>
    <t>Loudoun</t>
  </si>
  <si>
    <t>Mecklenburg</t>
  </si>
  <si>
    <t>Fairfax</t>
  </si>
  <si>
    <t>Washington</t>
  </si>
  <si>
    <t>Culpeper</t>
  </si>
  <si>
    <t>Petersburg</t>
  </si>
  <si>
    <t>Franklin</t>
  </si>
  <si>
    <t>Fauquier</t>
  </si>
  <si>
    <t>Stafford</t>
  </si>
  <si>
    <t>Page</t>
  </si>
  <si>
    <t>Amherst</t>
  </si>
  <si>
    <t>Nottoway</t>
  </si>
  <si>
    <t>Giles</t>
  </si>
  <si>
    <t>Shenandoah</t>
  </si>
  <si>
    <t>Covington</t>
  </si>
  <si>
    <t>Emporia</t>
  </si>
  <si>
    <t>Rockingham</t>
  </si>
  <si>
    <t>Richmond</t>
  </si>
  <si>
    <t>York</t>
  </si>
  <si>
    <t>Wythe</t>
  </si>
  <si>
    <t>Buchanan</t>
  </si>
  <si>
    <t>Frederick</t>
  </si>
  <si>
    <t>Russell</t>
  </si>
  <si>
    <t>Campbell</t>
  </si>
  <si>
    <t>Patrick</t>
  </si>
  <si>
    <t>Lee</t>
  </si>
  <si>
    <t>Portsmouth</t>
  </si>
  <si>
    <t>Lancaster</t>
  </si>
  <si>
    <t>Accomack</t>
  </si>
  <si>
    <t>Appomattox</t>
  </si>
  <si>
    <t>Greene</t>
  </si>
  <si>
    <t>Louisa</t>
  </si>
  <si>
    <t>Warren</t>
  </si>
  <si>
    <t>Waynesboro</t>
  </si>
  <si>
    <t>Spotsylvania</t>
  </si>
  <si>
    <t>King George</t>
  </si>
  <si>
    <t>DINWIDDIE</t>
  </si>
  <si>
    <t>JAMES CITY</t>
  </si>
  <si>
    <t>Sum of Plastic Film (lbs)</t>
  </si>
  <si>
    <t>Sum of Hangers (lbs)</t>
  </si>
  <si>
    <t>Sum of PET (lbs)</t>
  </si>
  <si>
    <t>Sum of Office Paper (lbs)</t>
  </si>
  <si>
    <t>Sum of Aluminum (lbs)</t>
  </si>
  <si>
    <t>Sum of Trash in the SSB (lbs)</t>
  </si>
  <si>
    <t>Sum of Mixed Paper (lbs)</t>
  </si>
  <si>
    <t>Sum of HDPE (lbs)</t>
  </si>
  <si>
    <t>Sum of Other plastics (lbs)</t>
  </si>
  <si>
    <t>Walmart Stores, Inc.</t>
  </si>
  <si>
    <t>Sent to:  DEP</t>
  </si>
  <si>
    <t>1300 SE 8th St. Bentonville, AR 72716-0605</t>
  </si>
  <si>
    <t>Steve Coe</t>
  </si>
  <si>
    <t>(479) 204-0335</t>
  </si>
  <si>
    <t>Steve.Coe@deq.virginia.gov</t>
  </si>
  <si>
    <t>Contact: Donna Dhooghe</t>
  </si>
  <si>
    <r>
      <t>(800)592-5482  </t>
    </r>
    <r>
      <rPr>
        <sz val="9"/>
        <rFont val="Arial"/>
        <family val="2"/>
      </rPr>
      <t xml:space="preserve"> </t>
    </r>
  </si>
  <si>
    <t>donna.dhooghe@wal-mart.com</t>
  </si>
  <si>
    <t>STATE OF VIRGINIA RECYCLING REPORT 2013</t>
  </si>
  <si>
    <t>Sum of OCC (tons)</t>
  </si>
  <si>
    <t>Sum of Plastic Film (tons)</t>
  </si>
  <si>
    <t>Sum of Hangers (tons)</t>
  </si>
  <si>
    <t>Sum of PET (tons)</t>
  </si>
  <si>
    <t>Sum of Office Paper (tons)</t>
  </si>
  <si>
    <t>Sum of Aluminum (tons)</t>
  </si>
  <si>
    <t>Sum of Mixed Paper (tons)</t>
  </si>
  <si>
    <t>Sum of HDPE (tons)</t>
  </si>
  <si>
    <t>Sum of Other plastics (tons)</t>
  </si>
  <si>
    <t>State Total Walmart=</t>
  </si>
  <si>
    <t>SEE TOTALS BY CATEGORY AND STORE IN YELLOW COLUMNS TO RIGHT ----&gt;&gt;</t>
  </si>
  <si>
    <t>Paper TONS</t>
  </si>
  <si>
    <t>Metal TONS</t>
  </si>
  <si>
    <t>Plastics TONS</t>
  </si>
  <si>
    <t>Tires TONS</t>
  </si>
  <si>
    <t>Oil TONS</t>
  </si>
  <si>
    <t>Batteries TONS</t>
  </si>
  <si>
    <t>Organics TONS</t>
  </si>
  <si>
    <t>Store Totals - Walmart TONS</t>
  </si>
  <si>
    <t>007 - Metal {Not Including SSB Aluminum} (tons)</t>
  </si>
  <si>
    <t>SUMMARY TOTALS BY CATEGORY (consolidation by DEQ)</t>
  </si>
  <si>
    <t>Pounds to Tons conversion by DEQ</t>
  </si>
</sst>
</file>

<file path=xl/styles.xml><?xml version="1.0" encoding="utf-8"?>
<styleSheet xmlns="http://schemas.openxmlformats.org/spreadsheetml/2006/main">
  <numFmts count="1">
    <numFmt numFmtId="164" formatCode="0.0"/>
  </numFmts>
  <fonts count="13">
    <font>
      <sz val="10"/>
      <name val="MS Sans Serif"/>
    </font>
    <font>
      <b/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0"/>
      <name val="Arial"/>
      <family val="2"/>
    </font>
    <font>
      <sz val="9"/>
      <name val="Arial"/>
      <family val="2"/>
    </font>
    <font>
      <i/>
      <sz val="12"/>
      <name val="Arial"/>
      <family val="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i/>
      <sz val="9"/>
      <name val="Arial"/>
      <family val="2"/>
    </font>
    <font>
      <b/>
      <sz val="10"/>
      <name val="MS Sans Serif"/>
      <family val="2"/>
    </font>
    <font>
      <sz val="10"/>
      <name val="Arial"/>
      <family val="2"/>
    </font>
    <font>
      <sz val="10"/>
      <color rgb="FFFF0000"/>
      <name val="MS Sans Serif"/>
      <family val="2"/>
    </font>
    <font>
      <b/>
      <sz val="10"/>
      <color rgb="FFFF000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48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2" fontId="0" fillId="0" borderId="0" xfId="0" applyNumberFormat="1"/>
    <xf numFmtId="3" fontId="0" fillId="0" borderId="0" xfId="0" applyNumberFormat="1"/>
    <xf numFmtId="0" fontId="1" fillId="0" borderId="0" xfId="0" applyFont="1"/>
    <xf numFmtId="0" fontId="4" fillId="0" borderId="0" xfId="0" applyFont="1"/>
    <xf numFmtId="3" fontId="0" fillId="0" borderId="0" xfId="0" applyNumberFormat="1" applyBorder="1"/>
    <xf numFmtId="3" fontId="5" fillId="0" borderId="0" xfId="0" applyNumberFormat="1" applyFont="1"/>
    <xf numFmtId="0" fontId="7" fillId="0" borderId="1" xfId="1" applyFont="1" applyBorder="1" applyAlignment="1" applyProtection="1">
      <alignment horizontal="center"/>
    </xf>
    <xf numFmtId="0" fontId="8" fillId="0" borderId="1" xfId="0" applyFont="1" applyBorder="1"/>
    <xf numFmtId="0" fontId="6" fillId="0" borderId="0" xfId="1" applyBorder="1" applyAlignment="1" applyProtection="1"/>
    <xf numFmtId="0" fontId="9" fillId="0" borderId="0" xfId="0" applyFont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164" fontId="0" fillId="0" borderId="8" xfId="0" applyNumberFormat="1" applyBorder="1"/>
    <xf numFmtId="0" fontId="7" fillId="0" borderId="0" xfId="1" applyFont="1" applyBorder="1" applyAlignment="1" applyProtection="1">
      <alignment horizontal="center"/>
    </xf>
    <xf numFmtId="0" fontId="8" fillId="0" borderId="0" xfId="0" applyFont="1" applyBorder="1"/>
    <xf numFmtId="164" fontId="0" fillId="0" borderId="0" xfId="0" applyNumberFormat="1"/>
    <xf numFmtId="0" fontId="0" fillId="0" borderId="12" xfId="0" applyBorder="1" applyAlignment="1">
      <alignment horizontal="center" wrapText="1"/>
    </xf>
    <xf numFmtId="0" fontId="11" fillId="2" borderId="15" xfId="0" applyFont="1" applyFill="1" applyBorder="1" applyAlignment="1">
      <alignment wrapText="1"/>
    </xf>
    <xf numFmtId="0" fontId="11" fillId="2" borderId="16" xfId="0" applyFont="1" applyFill="1" applyBorder="1" applyAlignment="1">
      <alignment wrapText="1"/>
    </xf>
    <xf numFmtId="0" fontId="0" fillId="2" borderId="0" xfId="0" applyFill="1"/>
    <xf numFmtId="0" fontId="0" fillId="2" borderId="17" xfId="0" applyFill="1" applyBorder="1"/>
    <xf numFmtId="0" fontId="12" fillId="2" borderId="18" xfId="0" applyFont="1" applyFill="1" applyBorder="1" applyAlignment="1">
      <alignment wrapText="1"/>
    </xf>
    <xf numFmtId="0" fontId="2" fillId="0" borderId="0" xfId="0" applyFont="1"/>
    <xf numFmtId="3" fontId="5" fillId="2" borderId="0" xfId="0" applyNumberFormat="1" applyFont="1" applyFill="1"/>
    <xf numFmtId="3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19" xfId="0" applyNumberFormat="1" applyFill="1" applyBorder="1" applyAlignment="1">
      <alignment horizontal="center"/>
    </xf>
    <xf numFmtId="164" fontId="0" fillId="2" borderId="18" xfId="0" applyNumberFormat="1" applyFill="1" applyBorder="1" applyAlignment="1">
      <alignment horizontal="center"/>
    </xf>
    <xf numFmtId="0" fontId="0" fillId="0" borderId="5" xfId="0" applyBorder="1" applyAlignment="1">
      <alignment horizontal="center" wrapText="1"/>
    </xf>
    <xf numFmtId="0" fontId="9" fillId="2" borderId="0" xfId="0" applyFont="1" applyFill="1"/>
    <xf numFmtId="164" fontId="0" fillId="0" borderId="9" xfId="0" applyNumberFormat="1" applyBorder="1"/>
    <xf numFmtId="164" fontId="0" fillId="0" borderId="1" xfId="0" applyNumberFormat="1" applyBorder="1"/>
    <xf numFmtId="164" fontId="0" fillId="0" borderId="3" xfId="0" applyNumberFormat="1" applyBorder="1"/>
    <xf numFmtId="164" fontId="0" fillId="0" borderId="5" xfId="0" applyNumberFormat="1" applyBorder="1"/>
    <xf numFmtId="164" fontId="2" fillId="0" borderId="5" xfId="0" applyNumberFormat="1" applyFont="1" applyBorder="1"/>
    <xf numFmtId="164" fontId="0" fillId="0" borderId="6" xfId="0" applyNumberFormat="1" applyBorder="1"/>
    <xf numFmtId="0" fontId="12" fillId="2" borderId="13" xfId="0" applyFont="1" applyFill="1" applyBorder="1" applyAlignment="1"/>
    <xf numFmtId="0" fontId="9" fillId="2" borderId="14" xfId="0" applyFont="1" applyFill="1" applyBorder="1" applyAlignment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onna.dhooghe@wal-mar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L132"/>
  <sheetViews>
    <sheetView tabSelected="1" topLeftCell="X1" workbookViewId="0">
      <selection activeCell="AK10" sqref="AK10"/>
    </sheetView>
  </sheetViews>
  <sheetFormatPr defaultRowHeight="12.6"/>
  <cols>
    <col min="1" max="1" width="14" bestFit="1" customWidth="1"/>
    <col min="2" max="2" width="15.109375" bestFit="1" customWidth="1"/>
    <col min="5" max="5" width="0" hidden="1" customWidth="1"/>
    <col min="7" max="7" width="0" hidden="1" customWidth="1"/>
    <col min="9" max="9" width="0" hidden="1" customWidth="1"/>
    <col min="11" max="11" width="0" hidden="1" customWidth="1"/>
    <col min="13" max="13" width="0" hidden="1" customWidth="1"/>
    <col min="14" max="14" width="10.88671875" hidden="1" customWidth="1"/>
    <col min="15" max="15" width="10.88671875" customWidth="1"/>
    <col min="16" max="16" width="0" hidden="1" customWidth="1"/>
    <col min="18" max="18" width="10.5546875" hidden="1" customWidth="1"/>
    <col min="19" max="19" width="10.5546875" customWidth="1"/>
    <col min="20" max="20" width="0" hidden="1" customWidth="1"/>
    <col min="22" max="22" width="0" hidden="1" customWidth="1"/>
    <col min="29" max="29" width="0" hidden="1" customWidth="1"/>
  </cols>
  <sheetData>
    <row r="2" spans="1:38" ht="13.2">
      <c r="B2" s="2" t="s">
        <v>100</v>
      </c>
      <c r="C2" s="3"/>
      <c r="D2" s="3"/>
      <c r="E2" s="4"/>
      <c r="F2" s="4"/>
      <c r="G2" s="4"/>
      <c r="H2" s="4"/>
      <c r="I2" s="4"/>
      <c r="J2" s="4"/>
    </row>
    <row r="3" spans="1:38" ht="14.4">
      <c r="B3" s="5" t="s">
        <v>91</v>
      </c>
      <c r="C3" s="3"/>
      <c r="D3" s="3"/>
      <c r="E3" s="4"/>
      <c r="F3" s="4"/>
      <c r="G3" s="4" t="s">
        <v>92</v>
      </c>
      <c r="H3" s="4"/>
      <c r="I3" s="4"/>
      <c r="J3" s="4"/>
    </row>
    <row r="4" spans="1:38">
      <c r="B4" s="6" t="s">
        <v>93</v>
      </c>
      <c r="C4" s="3"/>
      <c r="D4" s="3"/>
      <c r="E4" s="4"/>
      <c r="F4" s="4"/>
      <c r="G4" s="7" t="s">
        <v>94</v>
      </c>
      <c r="H4" s="7"/>
      <c r="I4" s="4"/>
      <c r="J4" s="4"/>
    </row>
    <row r="5" spans="1:38" ht="15.6">
      <c r="B5" s="6" t="s">
        <v>95</v>
      </c>
      <c r="C5" s="3"/>
      <c r="D5" s="3"/>
      <c r="E5" s="8"/>
      <c r="F5" s="8"/>
      <c r="G5" s="9" t="s">
        <v>96</v>
      </c>
      <c r="H5" s="23"/>
      <c r="I5" s="4"/>
      <c r="J5" s="4"/>
    </row>
    <row r="6" spans="1:38" ht="15.6">
      <c r="B6" s="6" t="s">
        <v>97</v>
      </c>
      <c r="C6" s="3"/>
      <c r="D6" s="3"/>
      <c r="E6" s="8"/>
      <c r="F6" s="8"/>
      <c r="G6" s="10" t="s">
        <v>98</v>
      </c>
      <c r="H6" s="24"/>
      <c r="I6" s="4"/>
      <c r="J6" s="4"/>
    </row>
    <row r="7" spans="1:38" ht="16.2" thickBot="1">
      <c r="B7" s="11" t="s">
        <v>99</v>
      </c>
      <c r="C7" s="3"/>
      <c r="D7" s="3"/>
      <c r="E7" s="8"/>
      <c r="F7" s="33" t="s">
        <v>111</v>
      </c>
      <c r="G7" s="34"/>
      <c r="H7" s="34"/>
      <c r="I7" s="34"/>
      <c r="J7" s="34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</row>
    <row r="8" spans="1:38" ht="15.75" customHeight="1" thickBot="1">
      <c r="A8" s="12"/>
      <c r="F8" s="39" t="s">
        <v>122</v>
      </c>
      <c r="G8" s="29"/>
      <c r="H8" s="29"/>
      <c r="I8" s="29"/>
      <c r="J8" s="29"/>
      <c r="K8" s="29"/>
      <c r="L8" s="29"/>
      <c r="AE8" s="46" t="s">
        <v>121</v>
      </c>
      <c r="AF8" s="47"/>
      <c r="AG8" s="47"/>
      <c r="AH8" s="47"/>
      <c r="AI8" s="47"/>
      <c r="AJ8" s="47"/>
      <c r="AK8" s="47"/>
      <c r="AL8" s="30"/>
    </row>
    <row r="9" spans="1:38" s="1" customFormat="1" ht="88.8" thickBot="1">
      <c r="A9" s="19" t="s">
        <v>0</v>
      </c>
      <c r="B9" s="20" t="s">
        <v>1</v>
      </c>
      <c r="C9" s="21" t="s">
        <v>101</v>
      </c>
      <c r="D9" s="21" t="s">
        <v>102</v>
      </c>
      <c r="E9" s="21" t="s">
        <v>82</v>
      </c>
      <c r="F9" s="21" t="s">
        <v>103</v>
      </c>
      <c r="G9" s="21" t="s">
        <v>83</v>
      </c>
      <c r="H9" s="21" t="s">
        <v>104</v>
      </c>
      <c r="I9" s="21" t="s">
        <v>84</v>
      </c>
      <c r="J9" s="21" t="s">
        <v>105</v>
      </c>
      <c r="K9" s="21" t="s">
        <v>85</v>
      </c>
      <c r="L9" s="21" t="s">
        <v>106</v>
      </c>
      <c r="M9" s="21" t="s">
        <v>86</v>
      </c>
      <c r="N9" s="21" t="s">
        <v>87</v>
      </c>
      <c r="O9" s="21" t="s">
        <v>107</v>
      </c>
      <c r="P9" s="21" t="s">
        <v>88</v>
      </c>
      <c r="Q9" s="21" t="s">
        <v>108</v>
      </c>
      <c r="R9" s="21" t="s">
        <v>89</v>
      </c>
      <c r="S9" s="21" t="s">
        <v>109</v>
      </c>
      <c r="T9" s="21" t="s">
        <v>90</v>
      </c>
      <c r="U9" s="20" t="s">
        <v>2</v>
      </c>
      <c r="V9" s="20" t="s">
        <v>3</v>
      </c>
      <c r="W9" s="20" t="s">
        <v>4</v>
      </c>
      <c r="X9" s="20" t="s">
        <v>5</v>
      </c>
      <c r="Y9" s="20" t="s">
        <v>6</v>
      </c>
      <c r="Z9" s="38" t="s">
        <v>120</v>
      </c>
      <c r="AA9" s="20" t="s">
        <v>7</v>
      </c>
      <c r="AB9" s="20" t="s">
        <v>8</v>
      </c>
      <c r="AC9" s="20" t="s">
        <v>9</v>
      </c>
      <c r="AD9" s="26" t="s">
        <v>10</v>
      </c>
      <c r="AE9" s="27" t="s">
        <v>112</v>
      </c>
      <c r="AF9" s="28" t="s">
        <v>113</v>
      </c>
      <c r="AG9" s="28" t="s">
        <v>114</v>
      </c>
      <c r="AH9" s="28" t="s">
        <v>115</v>
      </c>
      <c r="AI9" s="28" t="s">
        <v>116</v>
      </c>
      <c r="AJ9" s="28" t="s">
        <v>117</v>
      </c>
      <c r="AK9" s="28" t="s">
        <v>118</v>
      </c>
      <c r="AL9" s="31" t="s">
        <v>119</v>
      </c>
    </row>
    <row r="10" spans="1:38">
      <c r="A10" s="17">
        <v>650</v>
      </c>
      <c r="B10" s="18" t="s">
        <v>11</v>
      </c>
      <c r="C10" s="22">
        <v>101.12</v>
      </c>
      <c r="D10" s="22">
        <f>E10/2000</f>
        <v>4.9154999999999998</v>
      </c>
      <c r="E10" s="22">
        <v>9831</v>
      </c>
      <c r="F10" s="22">
        <f>G10/2000</f>
        <v>0.70550000000000002</v>
      </c>
      <c r="G10" s="22">
        <v>1411</v>
      </c>
      <c r="H10" s="22">
        <f>I10/2000</f>
        <v>0.70550000000000002</v>
      </c>
      <c r="I10" s="22">
        <v>1411</v>
      </c>
      <c r="J10" s="22">
        <f>K10/2000</f>
        <v>0.47299999999999998</v>
      </c>
      <c r="K10" s="22">
        <v>946</v>
      </c>
      <c r="L10" s="22">
        <f>M10/2000</f>
        <v>0.1075</v>
      </c>
      <c r="M10" s="22">
        <v>215</v>
      </c>
      <c r="N10" s="22">
        <v>2220</v>
      </c>
      <c r="O10" s="22">
        <f>P10/2000</f>
        <v>1.123</v>
      </c>
      <c r="P10" s="22">
        <v>2246</v>
      </c>
      <c r="Q10" s="22">
        <f>R10/2000</f>
        <v>0.32850000000000001</v>
      </c>
      <c r="R10" s="22">
        <v>657</v>
      </c>
      <c r="S10" s="22">
        <f>T10/2000</f>
        <v>1.2</v>
      </c>
      <c r="T10" s="22">
        <v>2400</v>
      </c>
      <c r="U10" s="22">
        <v>0</v>
      </c>
      <c r="V10" s="22">
        <v>199.86377999999999</v>
      </c>
      <c r="W10" s="22">
        <v>0</v>
      </c>
      <c r="X10" s="22">
        <v>0</v>
      </c>
      <c r="Y10" s="22">
        <v>0</v>
      </c>
      <c r="Z10" s="22">
        <v>0.18</v>
      </c>
      <c r="AA10" s="22">
        <v>0</v>
      </c>
      <c r="AB10" s="22">
        <v>6.51</v>
      </c>
      <c r="AC10" s="22">
        <v>0</v>
      </c>
      <c r="AD10" s="40">
        <v>0</v>
      </c>
      <c r="AE10" s="35">
        <f>C10+J10+O10+U10</f>
        <v>102.71600000000001</v>
      </c>
      <c r="AF10" s="35">
        <f>L10+Z10</f>
        <v>0.28749999999999998</v>
      </c>
      <c r="AG10" s="35">
        <f>D10+F10+H10+Q10+S10</f>
        <v>7.8549999999999995</v>
      </c>
      <c r="AH10" s="35">
        <f>X10</f>
        <v>0</v>
      </c>
      <c r="AI10" s="35">
        <f>Y10</f>
        <v>0</v>
      </c>
      <c r="AJ10" s="35">
        <f>AB10</f>
        <v>6.51</v>
      </c>
      <c r="AK10" s="35">
        <f>AA10+AD10</f>
        <v>0</v>
      </c>
      <c r="AL10" s="36">
        <f>SUM(AE10:AK10)</f>
        <v>117.36850000000001</v>
      </c>
    </row>
    <row r="11" spans="1:38">
      <c r="A11" s="14">
        <v>1023</v>
      </c>
      <c r="B11" s="13" t="s">
        <v>12</v>
      </c>
      <c r="C11" s="41">
        <v>725.27</v>
      </c>
      <c r="D11" s="22">
        <f t="shared" ref="D11:D74" si="0">E11/2000</f>
        <v>24.611000000000001</v>
      </c>
      <c r="E11" s="41">
        <v>49222</v>
      </c>
      <c r="F11" s="22">
        <f t="shared" ref="F11:F74" si="1">G11/2000</f>
        <v>3.6444999999999999</v>
      </c>
      <c r="G11" s="41">
        <v>7289</v>
      </c>
      <c r="H11" s="22">
        <f t="shared" ref="H11:H74" si="2">I11/2000</f>
        <v>3.6444999999999999</v>
      </c>
      <c r="I11" s="41">
        <v>7289</v>
      </c>
      <c r="J11" s="22">
        <f t="shared" ref="J11:J74" si="3">K11/2000</f>
        <v>2.9940000000000002</v>
      </c>
      <c r="K11" s="41">
        <v>5988</v>
      </c>
      <c r="L11" s="22">
        <f t="shared" ref="L11:L74" si="4">M11/2000</f>
        <v>0.1135</v>
      </c>
      <c r="M11" s="41">
        <v>227</v>
      </c>
      <c r="N11" s="41">
        <v>4968</v>
      </c>
      <c r="O11" s="22">
        <f t="shared" ref="O11:O74" si="5">P11/2000</f>
        <v>1.446</v>
      </c>
      <c r="P11" s="41">
        <v>2892</v>
      </c>
      <c r="Q11" s="22">
        <f t="shared" ref="Q11:Q74" si="6">R11/2000</f>
        <v>1.2230000000000001</v>
      </c>
      <c r="R11" s="41">
        <v>2446</v>
      </c>
      <c r="S11" s="22">
        <f t="shared" ref="S11:S74" si="7">T11/2000</f>
        <v>0.4965</v>
      </c>
      <c r="T11" s="41">
        <v>993</v>
      </c>
      <c r="U11" s="41">
        <v>0</v>
      </c>
      <c r="V11" s="41">
        <v>234.15</v>
      </c>
      <c r="W11" s="41">
        <v>99.325999999999993</v>
      </c>
      <c r="X11" s="41">
        <v>82.524000000000001</v>
      </c>
      <c r="Y11" s="41">
        <v>43.283160000000002</v>
      </c>
      <c r="Z11" s="22">
        <v>0.18</v>
      </c>
      <c r="AA11" s="41">
        <v>13.185370000000001</v>
      </c>
      <c r="AB11" s="41">
        <v>20.954999999999998</v>
      </c>
      <c r="AC11" s="41">
        <v>38.801500076229999</v>
      </c>
      <c r="AD11" s="42">
        <v>36.75</v>
      </c>
      <c r="AE11" s="35">
        <f t="shared" ref="AE11:AE74" si="8">C11+J11+O11+U11</f>
        <v>729.71</v>
      </c>
      <c r="AF11" s="35">
        <f t="shared" ref="AF11:AF74" si="9">L11+Z11</f>
        <v>0.29349999999999998</v>
      </c>
      <c r="AG11" s="35">
        <f t="shared" ref="AG11:AG74" si="10">D11+F11+H11+Q11+S11</f>
        <v>33.619500000000002</v>
      </c>
      <c r="AH11" s="35">
        <f t="shared" ref="AH11:AH74" si="11">X11</f>
        <v>82.524000000000001</v>
      </c>
      <c r="AI11" s="35">
        <f t="shared" ref="AI11:AI74" si="12">Y11</f>
        <v>43.283160000000002</v>
      </c>
      <c r="AJ11" s="35">
        <f t="shared" ref="AJ11:AJ74" si="13">AB11</f>
        <v>20.954999999999998</v>
      </c>
      <c r="AK11" s="35">
        <f t="shared" ref="AK11:AK74" si="14">AA11+AD11</f>
        <v>49.935369999999999</v>
      </c>
      <c r="AL11" s="36">
        <f t="shared" ref="AL11:AL74" si="15">SUM(AE11:AK11)</f>
        <v>960.32053000000008</v>
      </c>
    </row>
    <row r="12" spans="1:38">
      <c r="A12" s="14">
        <v>1243</v>
      </c>
      <c r="B12" s="13" t="s">
        <v>13</v>
      </c>
      <c r="C12" s="41">
        <v>556.15</v>
      </c>
      <c r="D12" s="22">
        <f t="shared" si="0"/>
        <v>12.971500000000001</v>
      </c>
      <c r="E12" s="41">
        <v>25943</v>
      </c>
      <c r="F12" s="22">
        <f t="shared" si="1"/>
        <v>1.0169999999999999</v>
      </c>
      <c r="G12" s="41">
        <v>2034</v>
      </c>
      <c r="H12" s="22">
        <f t="shared" si="2"/>
        <v>1.0169999999999999</v>
      </c>
      <c r="I12" s="41">
        <v>2034</v>
      </c>
      <c r="J12" s="22">
        <f t="shared" si="3"/>
        <v>1.8205</v>
      </c>
      <c r="K12" s="41">
        <v>3641</v>
      </c>
      <c r="L12" s="22">
        <f t="shared" si="4"/>
        <v>7.2499999999999995E-2</v>
      </c>
      <c r="M12" s="41">
        <v>145</v>
      </c>
      <c r="N12" s="41">
        <v>3651</v>
      </c>
      <c r="O12" s="22">
        <f t="shared" si="5"/>
        <v>0.32850000000000001</v>
      </c>
      <c r="P12" s="41">
        <v>657</v>
      </c>
      <c r="Q12" s="22">
        <f t="shared" si="6"/>
        <v>0.3705</v>
      </c>
      <c r="R12" s="41">
        <v>741</v>
      </c>
      <c r="S12" s="22">
        <f t="shared" si="7"/>
        <v>0.2545</v>
      </c>
      <c r="T12" s="41">
        <v>509</v>
      </c>
      <c r="U12" s="41">
        <v>0</v>
      </c>
      <c r="V12" s="41">
        <v>225.77</v>
      </c>
      <c r="W12" s="41">
        <v>52.515999999999998</v>
      </c>
      <c r="X12" s="41">
        <v>29.324999999999999</v>
      </c>
      <c r="Y12" s="41">
        <v>6.9247199999999998</v>
      </c>
      <c r="Z12" s="22">
        <v>0.1125</v>
      </c>
      <c r="AA12" s="41">
        <v>11.013552000000001</v>
      </c>
      <c r="AB12" s="41">
        <v>17.234999999999999</v>
      </c>
      <c r="AC12" s="41">
        <v>115.031994241576</v>
      </c>
      <c r="AD12" s="42">
        <v>1.425</v>
      </c>
      <c r="AE12" s="35">
        <f t="shared" si="8"/>
        <v>558.29899999999998</v>
      </c>
      <c r="AF12" s="35">
        <f t="shared" si="9"/>
        <v>0.185</v>
      </c>
      <c r="AG12" s="35">
        <f t="shared" si="10"/>
        <v>15.6305</v>
      </c>
      <c r="AH12" s="35">
        <f t="shared" si="11"/>
        <v>29.324999999999999</v>
      </c>
      <c r="AI12" s="35">
        <f t="shared" si="12"/>
        <v>6.9247199999999998</v>
      </c>
      <c r="AJ12" s="35">
        <f t="shared" si="13"/>
        <v>17.234999999999999</v>
      </c>
      <c r="AK12" s="35">
        <f t="shared" si="14"/>
        <v>12.438552000000001</v>
      </c>
      <c r="AL12" s="36">
        <f t="shared" si="15"/>
        <v>640.0377719999999</v>
      </c>
    </row>
    <row r="13" spans="1:38">
      <c r="A13" s="14">
        <v>1292</v>
      </c>
      <c r="B13" s="13" t="s">
        <v>14</v>
      </c>
      <c r="C13" s="41">
        <v>756.9</v>
      </c>
      <c r="D13" s="22">
        <f t="shared" si="0"/>
        <v>20.408000000000001</v>
      </c>
      <c r="E13" s="41">
        <v>40816</v>
      </c>
      <c r="F13" s="22">
        <f t="shared" si="1"/>
        <v>0.28399999999999997</v>
      </c>
      <c r="G13" s="41">
        <v>568</v>
      </c>
      <c r="H13" s="22">
        <f t="shared" si="2"/>
        <v>0.28399999999999997</v>
      </c>
      <c r="I13" s="41">
        <v>568</v>
      </c>
      <c r="J13" s="22">
        <f t="shared" si="3"/>
        <v>2.8250000000000002</v>
      </c>
      <c r="K13" s="41">
        <v>5650</v>
      </c>
      <c r="L13" s="22">
        <f t="shared" si="4"/>
        <v>0.1515</v>
      </c>
      <c r="M13" s="41">
        <v>303</v>
      </c>
      <c r="N13" s="41">
        <v>6083</v>
      </c>
      <c r="O13" s="22">
        <f t="shared" si="5"/>
        <v>2.008</v>
      </c>
      <c r="P13" s="41">
        <v>4016</v>
      </c>
      <c r="Q13" s="22">
        <f t="shared" si="6"/>
        <v>0.64500000000000002</v>
      </c>
      <c r="R13" s="41">
        <v>1290</v>
      </c>
      <c r="S13" s="22">
        <f t="shared" si="7"/>
        <v>0.23</v>
      </c>
      <c r="T13" s="41">
        <v>460</v>
      </c>
      <c r="U13" s="41">
        <v>0</v>
      </c>
      <c r="V13" s="41">
        <v>209.1</v>
      </c>
      <c r="W13" s="41">
        <v>96.745000000000005</v>
      </c>
      <c r="X13" s="41">
        <v>83.236999999999995</v>
      </c>
      <c r="Y13" s="41">
        <v>23.434979999999999</v>
      </c>
      <c r="Z13" s="22">
        <v>0.22500000000000001</v>
      </c>
      <c r="AA13" s="41">
        <v>9.6376059999999999</v>
      </c>
      <c r="AB13" s="41">
        <v>18.75</v>
      </c>
      <c r="AC13" s="41">
        <v>54.4516627649136</v>
      </c>
      <c r="AD13" s="42">
        <v>14.2</v>
      </c>
      <c r="AE13" s="35">
        <f t="shared" si="8"/>
        <v>761.73300000000006</v>
      </c>
      <c r="AF13" s="35">
        <f t="shared" si="9"/>
        <v>0.3765</v>
      </c>
      <c r="AG13" s="35">
        <f t="shared" si="10"/>
        <v>21.850999999999999</v>
      </c>
      <c r="AH13" s="35">
        <f t="shared" si="11"/>
        <v>83.236999999999995</v>
      </c>
      <c r="AI13" s="35">
        <f t="shared" si="12"/>
        <v>23.434979999999999</v>
      </c>
      <c r="AJ13" s="35">
        <f t="shared" si="13"/>
        <v>18.75</v>
      </c>
      <c r="AK13" s="35">
        <f t="shared" si="14"/>
        <v>23.837606000000001</v>
      </c>
      <c r="AL13" s="36">
        <f t="shared" si="15"/>
        <v>933.22008600000004</v>
      </c>
    </row>
    <row r="14" spans="1:38">
      <c r="A14" s="14">
        <v>1301</v>
      </c>
      <c r="B14" s="13" t="s">
        <v>15</v>
      </c>
      <c r="C14" s="41">
        <v>646.32000000000005</v>
      </c>
      <c r="D14" s="22">
        <f t="shared" si="0"/>
        <v>14.352499999999999</v>
      </c>
      <c r="E14" s="41">
        <v>28705</v>
      </c>
      <c r="F14" s="22">
        <f t="shared" si="1"/>
        <v>2.0779999999999998</v>
      </c>
      <c r="G14" s="41">
        <v>4156</v>
      </c>
      <c r="H14" s="22">
        <f t="shared" si="2"/>
        <v>2.0779999999999998</v>
      </c>
      <c r="I14" s="41">
        <v>4156</v>
      </c>
      <c r="J14" s="22">
        <f t="shared" si="3"/>
        <v>2.4775</v>
      </c>
      <c r="K14" s="41">
        <v>4955</v>
      </c>
      <c r="L14" s="22">
        <f t="shared" si="4"/>
        <v>6.9000000000000006E-2</v>
      </c>
      <c r="M14" s="41">
        <v>138</v>
      </c>
      <c r="N14" s="41">
        <v>15455</v>
      </c>
      <c r="O14" s="22">
        <f t="shared" si="5"/>
        <v>0.23699999999999999</v>
      </c>
      <c r="P14" s="41">
        <v>474</v>
      </c>
      <c r="Q14" s="22">
        <f t="shared" si="6"/>
        <v>0.52849999999999997</v>
      </c>
      <c r="R14" s="41">
        <v>1057</v>
      </c>
      <c r="S14" s="22">
        <f t="shared" si="7"/>
        <v>0.44950000000000001</v>
      </c>
      <c r="T14" s="41">
        <v>899</v>
      </c>
      <c r="U14" s="41">
        <v>0</v>
      </c>
      <c r="V14" s="41">
        <v>187.47</v>
      </c>
      <c r="W14" s="41">
        <v>69.108000000000004</v>
      </c>
      <c r="X14" s="41">
        <v>0</v>
      </c>
      <c r="Y14" s="41">
        <v>0</v>
      </c>
      <c r="Z14" s="22">
        <v>0</v>
      </c>
      <c r="AA14" s="41">
        <v>12.56453</v>
      </c>
      <c r="AB14" s="41">
        <v>6.21</v>
      </c>
      <c r="AC14" s="41">
        <v>79.934259218587201</v>
      </c>
      <c r="AD14" s="42">
        <v>15.35</v>
      </c>
      <c r="AE14" s="35">
        <f t="shared" si="8"/>
        <v>649.03449999999998</v>
      </c>
      <c r="AF14" s="35">
        <f t="shared" si="9"/>
        <v>6.9000000000000006E-2</v>
      </c>
      <c r="AG14" s="35">
        <f t="shared" si="10"/>
        <v>19.486499999999999</v>
      </c>
      <c r="AH14" s="35">
        <f t="shared" si="11"/>
        <v>0</v>
      </c>
      <c r="AI14" s="35">
        <f t="shared" si="12"/>
        <v>0</v>
      </c>
      <c r="AJ14" s="35">
        <f t="shared" si="13"/>
        <v>6.21</v>
      </c>
      <c r="AK14" s="35">
        <f t="shared" si="14"/>
        <v>27.914529999999999</v>
      </c>
      <c r="AL14" s="36">
        <f t="shared" si="15"/>
        <v>702.71452999999997</v>
      </c>
    </row>
    <row r="15" spans="1:38">
      <c r="A15" s="14">
        <v>1302</v>
      </c>
      <c r="B15" s="13" t="s">
        <v>11</v>
      </c>
      <c r="C15" s="41">
        <v>633.27</v>
      </c>
      <c r="D15" s="22">
        <f t="shared" si="0"/>
        <v>14.647500000000001</v>
      </c>
      <c r="E15" s="41">
        <v>29295</v>
      </c>
      <c r="F15" s="22">
        <f t="shared" si="1"/>
        <v>0.58399999999999996</v>
      </c>
      <c r="G15" s="41">
        <v>1168</v>
      </c>
      <c r="H15" s="22">
        <f t="shared" si="2"/>
        <v>0.58399999999999996</v>
      </c>
      <c r="I15" s="41">
        <v>1168</v>
      </c>
      <c r="J15" s="22">
        <f t="shared" si="3"/>
        <v>2.605</v>
      </c>
      <c r="K15" s="41">
        <v>5210</v>
      </c>
      <c r="L15" s="22">
        <f t="shared" si="4"/>
        <v>3.7999999999999999E-2</v>
      </c>
      <c r="M15" s="41">
        <v>76</v>
      </c>
      <c r="N15" s="41">
        <v>4774</v>
      </c>
      <c r="O15" s="22">
        <f t="shared" si="5"/>
        <v>1.3009999999999999</v>
      </c>
      <c r="P15" s="41">
        <v>2602</v>
      </c>
      <c r="Q15" s="22">
        <f t="shared" si="6"/>
        <v>0.29699999999999999</v>
      </c>
      <c r="R15" s="41">
        <v>594</v>
      </c>
      <c r="S15" s="22">
        <f t="shared" si="7"/>
        <v>0.17100000000000001</v>
      </c>
      <c r="T15" s="41">
        <v>342</v>
      </c>
      <c r="U15" s="41">
        <v>0</v>
      </c>
      <c r="V15" s="41">
        <v>349.93</v>
      </c>
      <c r="W15" s="41">
        <v>17.28</v>
      </c>
      <c r="X15" s="41">
        <v>44.056959999999997</v>
      </c>
      <c r="Y15" s="41">
        <v>27.340199999999999</v>
      </c>
      <c r="Z15" s="22">
        <v>0.105</v>
      </c>
      <c r="AA15" s="41">
        <v>10.862830000000001</v>
      </c>
      <c r="AB15" s="41">
        <v>16.920000000000002</v>
      </c>
      <c r="AC15" s="41">
        <v>96.333078528991607</v>
      </c>
      <c r="AD15" s="42">
        <v>9.25</v>
      </c>
      <c r="AE15" s="35">
        <f t="shared" si="8"/>
        <v>637.17600000000004</v>
      </c>
      <c r="AF15" s="35">
        <f t="shared" si="9"/>
        <v>0.14299999999999999</v>
      </c>
      <c r="AG15" s="35">
        <f t="shared" si="10"/>
        <v>16.2835</v>
      </c>
      <c r="AH15" s="35">
        <f t="shared" si="11"/>
        <v>44.056959999999997</v>
      </c>
      <c r="AI15" s="35">
        <f t="shared" si="12"/>
        <v>27.340199999999999</v>
      </c>
      <c r="AJ15" s="35">
        <f t="shared" si="13"/>
        <v>16.920000000000002</v>
      </c>
      <c r="AK15" s="35">
        <f t="shared" si="14"/>
        <v>20.112830000000002</v>
      </c>
      <c r="AL15" s="36">
        <f t="shared" si="15"/>
        <v>762.03249000000005</v>
      </c>
    </row>
    <row r="16" spans="1:38">
      <c r="A16" s="14">
        <v>1309</v>
      </c>
      <c r="B16" s="13" t="s">
        <v>16</v>
      </c>
      <c r="C16" s="41">
        <v>560.77</v>
      </c>
      <c r="D16" s="22">
        <f t="shared" si="0"/>
        <v>18.770499999999998</v>
      </c>
      <c r="E16" s="41">
        <v>37541</v>
      </c>
      <c r="F16" s="22">
        <f t="shared" si="1"/>
        <v>1.0774999999999999</v>
      </c>
      <c r="G16" s="41">
        <v>2155</v>
      </c>
      <c r="H16" s="22">
        <f t="shared" si="2"/>
        <v>1.0774999999999999</v>
      </c>
      <c r="I16" s="41">
        <v>2155</v>
      </c>
      <c r="J16" s="22">
        <f t="shared" si="3"/>
        <v>1.2164999999999999</v>
      </c>
      <c r="K16" s="41">
        <v>2433</v>
      </c>
      <c r="L16" s="22">
        <f t="shared" si="4"/>
        <v>0</v>
      </c>
      <c r="M16" s="41">
        <v>0</v>
      </c>
      <c r="N16" s="41">
        <v>4616</v>
      </c>
      <c r="O16" s="22">
        <f t="shared" si="5"/>
        <v>0.32100000000000001</v>
      </c>
      <c r="P16" s="41">
        <v>642</v>
      </c>
      <c r="Q16" s="22">
        <f t="shared" si="6"/>
        <v>1.1174999999999999</v>
      </c>
      <c r="R16" s="41">
        <v>2235</v>
      </c>
      <c r="S16" s="22">
        <f t="shared" si="7"/>
        <v>0.17150000000000001</v>
      </c>
      <c r="T16" s="41">
        <v>343</v>
      </c>
      <c r="U16" s="41">
        <v>0</v>
      </c>
      <c r="V16" s="41">
        <v>157.74</v>
      </c>
      <c r="W16" s="41">
        <v>59.085500000000003</v>
      </c>
      <c r="X16" s="41">
        <v>0</v>
      </c>
      <c r="Y16" s="41">
        <v>0</v>
      </c>
      <c r="Z16" s="22">
        <v>0</v>
      </c>
      <c r="AA16" s="41">
        <v>8.9000780000000006</v>
      </c>
      <c r="AB16" s="41">
        <v>7.5149999999999997</v>
      </c>
      <c r="AC16" s="41">
        <v>300.17782902310302</v>
      </c>
      <c r="AD16" s="42">
        <v>21.5</v>
      </c>
      <c r="AE16" s="35">
        <f t="shared" si="8"/>
        <v>562.3075</v>
      </c>
      <c r="AF16" s="35">
        <f t="shared" si="9"/>
        <v>0</v>
      </c>
      <c r="AG16" s="35">
        <f t="shared" si="10"/>
        <v>22.214500000000001</v>
      </c>
      <c r="AH16" s="35">
        <f t="shared" si="11"/>
        <v>0</v>
      </c>
      <c r="AI16" s="35">
        <f t="shared" si="12"/>
        <v>0</v>
      </c>
      <c r="AJ16" s="35">
        <f t="shared" si="13"/>
        <v>7.5149999999999997</v>
      </c>
      <c r="AK16" s="35">
        <f t="shared" si="14"/>
        <v>30.400078000000001</v>
      </c>
      <c r="AL16" s="36">
        <f t="shared" si="15"/>
        <v>622.43707800000004</v>
      </c>
    </row>
    <row r="17" spans="1:38">
      <c r="A17" s="14">
        <v>1335</v>
      </c>
      <c r="B17" s="13" t="s">
        <v>17</v>
      </c>
      <c r="C17" s="41">
        <v>572.6</v>
      </c>
      <c r="D17" s="22">
        <f t="shared" si="0"/>
        <v>9.7665000000000006</v>
      </c>
      <c r="E17" s="41">
        <v>19533</v>
      </c>
      <c r="F17" s="22">
        <f t="shared" si="1"/>
        <v>0.44450000000000001</v>
      </c>
      <c r="G17" s="41">
        <v>889</v>
      </c>
      <c r="H17" s="22">
        <f t="shared" si="2"/>
        <v>0.44450000000000001</v>
      </c>
      <c r="I17" s="41">
        <v>889</v>
      </c>
      <c r="J17" s="22">
        <f t="shared" si="3"/>
        <v>0.46550000000000002</v>
      </c>
      <c r="K17" s="41">
        <v>931</v>
      </c>
      <c r="L17" s="22">
        <f t="shared" si="4"/>
        <v>0.10199999999999999</v>
      </c>
      <c r="M17" s="41">
        <v>204</v>
      </c>
      <c r="N17" s="41">
        <v>1008</v>
      </c>
      <c r="O17" s="22">
        <f t="shared" si="5"/>
        <v>0.39050000000000001</v>
      </c>
      <c r="P17" s="41">
        <v>781</v>
      </c>
      <c r="Q17" s="22">
        <f t="shared" si="6"/>
        <v>0.19450000000000001</v>
      </c>
      <c r="R17" s="41">
        <v>389</v>
      </c>
      <c r="S17" s="22">
        <f t="shared" si="7"/>
        <v>0</v>
      </c>
      <c r="T17" s="41">
        <v>0</v>
      </c>
      <c r="U17" s="41">
        <v>0</v>
      </c>
      <c r="V17" s="41">
        <v>154.81</v>
      </c>
      <c r="W17" s="41">
        <v>30.301500000000001</v>
      </c>
      <c r="X17" s="41">
        <v>0</v>
      </c>
      <c r="Y17" s="41">
        <v>0</v>
      </c>
      <c r="Z17" s="22">
        <v>2.2499999999999999E-2</v>
      </c>
      <c r="AA17" s="41">
        <v>10.180654000000001</v>
      </c>
      <c r="AB17" s="41">
        <v>11.324999999999999</v>
      </c>
      <c r="AC17" s="41">
        <v>95.4016417820242</v>
      </c>
      <c r="AD17" s="42">
        <v>6.4124999999999996</v>
      </c>
      <c r="AE17" s="35">
        <f t="shared" si="8"/>
        <v>573.45600000000002</v>
      </c>
      <c r="AF17" s="35">
        <f t="shared" si="9"/>
        <v>0.1245</v>
      </c>
      <c r="AG17" s="35">
        <f t="shared" si="10"/>
        <v>10.85</v>
      </c>
      <c r="AH17" s="35">
        <f t="shared" si="11"/>
        <v>0</v>
      </c>
      <c r="AI17" s="35">
        <f t="shared" si="12"/>
        <v>0</v>
      </c>
      <c r="AJ17" s="35">
        <f t="shared" si="13"/>
        <v>11.324999999999999</v>
      </c>
      <c r="AK17" s="35">
        <f t="shared" si="14"/>
        <v>16.593153999999998</v>
      </c>
      <c r="AL17" s="36">
        <f t="shared" si="15"/>
        <v>612.34865400000012</v>
      </c>
    </row>
    <row r="18" spans="1:38">
      <c r="A18" s="14">
        <v>1336</v>
      </c>
      <c r="B18" s="13" t="s">
        <v>18</v>
      </c>
      <c r="C18" s="41">
        <v>228.14</v>
      </c>
      <c r="D18" s="22">
        <f t="shared" si="0"/>
        <v>7.7515000000000001</v>
      </c>
      <c r="E18" s="41">
        <v>15503</v>
      </c>
      <c r="F18" s="22">
        <f t="shared" si="1"/>
        <v>2.3450000000000002</v>
      </c>
      <c r="G18" s="41">
        <v>4690</v>
      </c>
      <c r="H18" s="22">
        <f t="shared" si="2"/>
        <v>2.3450000000000002</v>
      </c>
      <c r="I18" s="41">
        <v>4690</v>
      </c>
      <c r="J18" s="22">
        <f t="shared" si="3"/>
        <v>1.2224999999999999</v>
      </c>
      <c r="K18" s="41">
        <v>2445</v>
      </c>
      <c r="L18" s="22">
        <f t="shared" si="4"/>
        <v>0.1575</v>
      </c>
      <c r="M18" s="41">
        <v>315</v>
      </c>
      <c r="N18" s="41">
        <v>3194</v>
      </c>
      <c r="O18" s="22">
        <f t="shared" si="5"/>
        <v>0.99650000000000005</v>
      </c>
      <c r="P18" s="41">
        <v>1993</v>
      </c>
      <c r="Q18" s="22">
        <f t="shared" si="6"/>
        <v>0.59</v>
      </c>
      <c r="R18" s="41">
        <v>1180</v>
      </c>
      <c r="S18" s="22">
        <f t="shared" si="7"/>
        <v>0.114</v>
      </c>
      <c r="T18" s="41">
        <v>228</v>
      </c>
      <c r="U18" s="41">
        <v>0</v>
      </c>
      <c r="V18" s="41">
        <v>60.53</v>
      </c>
      <c r="W18" s="41">
        <v>22.14</v>
      </c>
      <c r="X18" s="41">
        <v>0</v>
      </c>
      <c r="Y18" s="41">
        <v>0</v>
      </c>
      <c r="Z18" s="22">
        <v>0</v>
      </c>
      <c r="AA18" s="41">
        <v>0</v>
      </c>
      <c r="AB18" s="41">
        <v>14.4</v>
      </c>
      <c r="AC18" s="41">
        <v>33.111500077624399</v>
      </c>
      <c r="AD18" s="42">
        <v>0</v>
      </c>
      <c r="AE18" s="35">
        <f t="shared" si="8"/>
        <v>230.35899999999998</v>
      </c>
      <c r="AF18" s="35">
        <f t="shared" si="9"/>
        <v>0.1575</v>
      </c>
      <c r="AG18" s="35">
        <f t="shared" si="10"/>
        <v>13.145500000000002</v>
      </c>
      <c r="AH18" s="35">
        <f t="shared" si="11"/>
        <v>0</v>
      </c>
      <c r="AI18" s="35">
        <f t="shared" si="12"/>
        <v>0</v>
      </c>
      <c r="AJ18" s="35">
        <f t="shared" si="13"/>
        <v>14.4</v>
      </c>
      <c r="AK18" s="35">
        <f t="shared" si="14"/>
        <v>0</v>
      </c>
      <c r="AL18" s="36">
        <f t="shared" si="15"/>
        <v>258.06199999999995</v>
      </c>
    </row>
    <row r="19" spans="1:38">
      <c r="A19" s="14">
        <v>1344</v>
      </c>
      <c r="B19" s="13" t="s">
        <v>19</v>
      </c>
      <c r="C19" s="41">
        <v>639.33000000000004</v>
      </c>
      <c r="D19" s="22">
        <f t="shared" si="0"/>
        <v>17.6815</v>
      </c>
      <c r="E19" s="41">
        <v>35363</v>
      </c>
      <c r="F19" s="22">
        <f t="shared" si="1"/>
        <v>0.84550000000000003</v>
      </c>
      <c r="G19" s="41">
        <v>1691</v>
      </c>
      <c r="H19" s="22">
        <f t="shared" si="2"/>
        <v>0.84550000000000003</v>
      </c>
      <c r="I19" s="41">
        <v>1691</v>
      </c>
      <c r="J19" s="22">
        <f t="shared" si="3"/>
        <v>0.74350000000000005</v>
      </c>
      <c r="K19" s="41">
        <v>1487</v>
      </c>
      <c r="L19" s="22">
        <f t="shared" si="4"/>
        <v>0.17699999999999999</v>
      </c>
      <c r="M19" s="41">
        <v>354</v>
      </c>
      <c r="N19" s="41">
        <v>1790</v>
      </c>
      <c r="O19" s="22">
        <f t="shared" si="5"/>
        <v>0.95450000000000002</v>
      </c>
      <c r="P19" s="41">
        <v>1909</v>
      </c>
      <c r="Q19" s="22">
        <f t="shared" si="6"/>
        <v>0.19</v>
      </c>
      <c r="R19" s="41">
        <v>380</v>
      </c>
      <c r="S19" s="22">
        <f t="shared" si="7"/>
        <v>0</v>
      </c>
      <c r="T19" s="41">
        <v>0</v>
      </c>
      <c r="U19" s="41">
        <v>0</v>
      </c>
      <c r="V19" s="41">
        <v>153.65</v>
      </c>
      <c r="W19" s="41">
        <v>84.23</v>
      </c>
      <c r="X19" s="41">
        <v>53.977319999999999</v>
      </c>
      <c r="Y19" s="41">
        <v>14.823</v>
      </c>
      <c r="Z19" s="22">
        <v>0.78749999999999998</v>
      </c>
      <c r="AA19" s="41">
        <v>12.617264</v>
      </c>
      <c r="AB19" s="41">
        <v>16.574999999999999</v>
      </c>
      <c r="AC19" s="41">
        <v>73.506268237230998</v>
      </c>
      <c r="AD19" s="42">
        <v>12.025</v>
      </c>
      <c r="AE19" s="35">
        <f t="shared" si="8"/>
        <v>641.02800000000013</v>
      </c>
      <c r="AF19" s="35">
        <f t="shared" si="9"/>
        <v>0.96449999999999991</v>
      </c>
      <c r="AG19" s="35">
        <f t="shared" si="10"/>
        <v>19.562500000000004</v>
      </c>
      <c r="AH19" s="35">
        <f t="shared" si="11"/>
        <v>53.977319999999999</v>
      </c>
      <c r="AI19" s="35">
        <f t="shared" si="12"/>
        <v>14.823</v>
      </c>
      <c r="AJ19" s="35">
        <f t="shared" si="13"/>
        <v>16.574999999999999</v>
      </c>
      <c r="AK19" s="35">
        <f t="shared" si="14"/>
        <v>24.642264000000001</v>
      </c>
      <c r="AL19" s="36">
        <f t="shared" si="15"/>
        <v>771.57258400000012</v>
      </c>
    </row>
    <row r="20" spans="1:38">
      <c r="A20" s="14">
        <v>1345</v>
      </c>
      <c r="B20" s="13" t="s">
        <v>20</v>
      </c>
      <c r="C20" s="41">
        <v>589.33000000000004</v>
      </c>
      <c r="D20" s="22">
        <f t="shared" si="0"/>
        <v>15.920500000000001</v>
      </c>
      <c r="E20" s="41">
        <v>31841</v>
      </c>
      <c r="F20" s="22">
        <f t="shared" si="1"/>
        <v>0.55300000000000005</v>
      </c>
      <c r="G20" s="41">
        <v>1106</v>
      </c>
      <c r="H20" s="22">
        <f t="shared" si="2"/>
        <v>0.55300000000000005</v>
      </c>
      <c r="I20" s="41">
        <v>1106</v>
      </c>
      <c r="J20" s="22">
        <f t="shared" si="3"/>
        <v>0.6875</v>
      </c>
      <c r="K20" s="41">
        <v>1375</v>
      </c>
      <c r="L20" s="22">
        <f t="shared" si="4"/>
        <v>0.1245</v>
      </c>
      <c r="M20" s="41">
        <v>249</v>
      </c>
      <c r="N20" s="41">
        <v>1314</v>
      </c>
      <c r="O20" s="22">
        <f t="shared" si="5"/>
        <v>0.56850000000000001</v>
      </c>
      <c r="P20" s="41">
        <v>1137</v>
      </c>
      <c r="Q20" s="22">
        <f t="shared" si="6"/>
        <v>0.13800000000000001</v>
      </c>
      <c r="R20" s="41">
        <v>276</v>
      </c>
      <c r="S20" s="22">
        <f t="shared" si="7"/>
        <v>0</v>
      </c>
      <c r="T20" s="41">
        <v>0</v>
      </c>
      <c r="U20" s="41">
        <v>0</v>
      </c>
      <c r="V20" s="41">
        <v>138.77000000000001</v>
      </c>
      <c r="W20" s="41">
        <v>76.747</v>
      </c>
      <c r="X20" s="41">
        <v>0</v>
      </c>
      <c r="Y20" s="41">
        <v>0</v>
      </c>
      <c r="Z20" s="22">
        <v>0</v>
      </c>
      <c r="AA20" s="41">
        <v>4.7628899999999996</v>
      </c>
      <c r="AB20" s="41">
        <v>18.495000000000001</v>
      </c>
      <c r="AC20" s="41">
        <v>51.881852519090202</v>
      </c>
      <c r="AD20" s="42">
        <v>17.225000000000001</v>
      </c>
      <c r="AE20" s="35">
        <f t="shared" si="8"/>
        <v>590.58600000000001</v>
      </c>
      <c r="AF20" s="35">
        <f t="shared" si="9"/>
        <v>0.1245</v>
      </c>
      <c r="AG20" s="35">
        <f t="shared" si="10"/>
        <v>17.164500000000004</v>
      </c>
      <c r="AH20" s="35">
        <f t="shared" si="11"/>
        <v>0</v>
      </c>
      <c r="AI20" s="35">
        <f t="shared" si="12"/>
        <v>0</v>
      </c>
      <c r="AJ20" s="35">
        <f t="shared" si="13"/>
        <v>18.495000000000001</v>
      </c>
      <c r="AK20" s="35">
        <f t="shared" si="14"/>
        <v>21.98789</v>
      </c>
      <c r="AL20" s="36">
        <f t="shared" si="15"/>
        <v>648.35789</v>
      </c>
    </row>
    <row r="21" spans="1:38">
      <c r="A21" s="14">
        <v>1350</v>
      </c>
      <c r="B21" s="13" t="s">
        <v>21</v>
      </c>
      <c r="C21" s="41">
        <v>802.45</v>
      </c>
      <c r="D21" s="22">
        <f t="shared" si="0"/>
        <v>10.9115</v>
      </c>
      <c r="E21" s="41">
        <v>21823</v>
      </c>
      <c r="F21" s="22">
        <f t="shared" si="1"/>
        <v>0.39500000000000002</v>
      </c>
      <c r="G21" s="41">
        <v>790</v>
      </c>
      <c r="H21" s="22">
        <f t="shared" si="2"/>
        <v>0.39500000000000002</v>
      </c>
      <c r="I21" s="41">
        <v>790</v>
      </c>
      <c r="J21" s="22">
        <f t="shared" si="3"/>
        <v>0.42199999999999999</v>
      </c>
      <c r="K21" s="41">
        <v>844</v>
      </c>
      <c r="L21" s="22">
        <f t="shared" si="4"/>
        <v>8.2500000000000004E-2</v>
      </c>
      <c r="M21" s="41">
        <v>165</v>
      </c>
      <c r="N21" s="41">
        <v>932</v>
      </c>
      <c r="O21" s="22">
        <f t="shared" si="5"/>
        <v>0.28949999999999998</v>
      </c>
      <c r="P21" s="41">
        <v>579</v>
      </c>
      <c r="Q21" s="22">
        <f t="shared" si="6"/>
        <v>0.1115</v>
      </c>
      <c r="R21" s="41">
        <v>223</v>
      </c>
      <c r="S21" s="22">
        <f t="shared" si="7"/>
        <v>0</v>
      </c>
      <c r="T21" s="41">
        <v>0</v>
      </c>
      <c r="U21" s="41">
        <v>0</v>
      </c>
      <c r="V21" s="41">
        <v>169.1189</v>
      </c>
      <c r="W21" s="41">
        <v>53.198500000000003</v>
      </c>
      <c r="X21" s="41">
        <v>0</v>
      </c>
      <c r="Y21" s="41">
        <v>0</v>
      </c>
      <c r="Z21" s="22">
        <v>2.2499999999999999E-2</v>
      </c>
      <c r="AA21" s="41">
        <v>16.072275999999999</v>
      </c>
      <c r="AB21" s="41">
        <v>11.25</v>
      </c>
      <c r="AC21" s="41">
        <v>223.41149449077599</v>
      </c>
      <c r="AD21" s="42">
        <v>41.4</v>
      </c>
      <c r="AE21" s="35">
        <f t="shared" si="8"/>
        <v>803.16150000000005</v>
      </c>
      <c r="AF21" s="35">
        <f t="shared" si="9"/>
        <v>0.10500000000000001</v>
      </c>
      <c r="AG21" s="35">
        <f t="shared" si="10"/>
        <v>11.812999999999999</v>
      </c>
      <c r="AH21" s="35">
        <f t="shared" si="11"/>
        <v>0</v>
      </c>
      <c r="AI21" s="35">
        <f t="shared" si="12"/>
        <v>0</v>
      </c>
      <c r="AJ21" s="35">
        <f t="shared" si="13"/>
        <v>11.25</v>
      </c>
      <c r="AK21" s="35">
        <f t="shared" si="14"/>
        <v>57.472275999999994</v>
      </c>
      <c r="AL21" s="36">
        <f t="shared" si="15"/>
        <v>883.80177600000002</v>
      </c>
    </row>
    <row r="22" spans="1:38">
      <c r="A22" s="14">
        <v>1399</v>
      </c>
      <c r="B22" s="13" t="s">
        <v>22</v>
      </c>
      <c r="C22" s="41">
        <v>517.77</v>
      </c>
      <c r="D22" s="22">
        <f t="shared" si="0"/>
        <v>8.3740000000000006</v>
      </c>
      <c r="E22" s="41">
        <v>16748</v>
      </c>
      <c r="F22" s="22">
        <f t="shared" si="1"/>
        <v>0.437</v>
      </c>
      <c r="G22" s="41">
        <v>874</v>
      </c>
      <c r="H22" s="22">
        <f t="shared" si="2"/>
        <v>0.437</v>
      </c>
      <c r="I22" s="41">
        <v>874</v>
      </c>
      <c r="J22" s="22">
        <f t="shared" si="3"/>
        <v>0.4365</v>
      </c>
      <c r="K22" s="41">
        <v>873</v>
      </c>
      <c r="L22" s="22">
        <f t="shared" si="4"/>
        <v>7.5999999999999998E-2</v>
      </c>
      <c r="M22" s="41">
        <v>152</v>
      </c>
      <c r="N22" s="41">
        <v>765</v>
      </c>
      <c r="O22" s="22">
        <f t="shared" si="5"/>
        <v>0.42699999999999999</v>
      </c>
      <c r="P22" s="41">
        <v>854</v>
      </c>
      <c r="Q22" s="22">
        <f t="shared" si="6"/>
        <v>8.2000000000000003E-2</v>
      </c>
      <c r="R22" s="41">
        <v>164</v>
      </c>
      <c r="S22" s="22">
        <f t="shared" si="7"/>
        <v>0</v>
      </c>
      <c r="T22" s="41">
        <v>0</v>
      </c>
      <c r="U22" s="41">
        <v>0</v>
      </c>
      <c r="V22" s="41">
        <v>192.4973</v>
      </c>
      <c r="W22" s="41">
        <v>98.786500000000004</v>
      </c>
      <c r="X22" s="41">
        <v>81.489000000000004</v>
      </c>
      <c r="Y22" s="41">
        <v>24.170639999999999</v>
      </c>
      <c r="Z22" s="22">
        <v>0.09</v>
      </c>
      <c r="AA22" s="41">
        <v>9.2168559999999999</v>
      </c>
      <c r="AB22" s="41">
        <v>13.2</v>
      </c>
      <c r="AC22" s="41">
        <v>56.581373621920797</v>
      </c>
      <c r="AD22" s="42">
        <v>23.4</v>
      </c>
      <c r="AE22" s="35">
        <f t="shared" si="8"/>
        <v>518.63350000000003</v>
      </c>
      <c r="AF22" s="35">
        <f t="shared" si="9"/>
        <v>0.16599999999999998</v>
      </c>
      <c r="AG22" s="35">
        <f t="shared" si="10"/>
        <v>9.33</v>
      </c>
      <c r="AH22" s="35">
        <f t="shared" si="11"/>
        <v>81.489000000000004</v>
      </c>
      <c r="AI22" s="35">
        <f t="shared" si="12"/>
        <v>24.170639999999999</v>
      </c>
      <c r="AJ22" s="35">
        <f t="shared" si="13"/>
        <v>13.2</v>
      </c>
      <c r="AK22" s="35">
        <f t="shared" si="14"/>
        <v>32.616855999999999</v>
      </c>
      <c r="AL22" s="36">
        <f t="shared" si="15"/>
        <v>679.60599600000023</v>
      </c>
    </row>
    <row r="23" spans="1:38">
      <c r="A23" s="14">
        <v>1406</v>
      </c>
      <c r="B23" s="13" t="s">
        <v>23</v>
      </c>
      <c r="C23" s="41">
        <v>655.57</v>
      </c>
      <c r="D23" s="22">
        <f t="shared" si="0"/>
        <v>17.821999999999999</v>
      </c>
      <c r="E23" s="41">
        <v>35644</v>
      </c>
      <c r="F23" s="22">
        <f t="shared" si="1"/>
        <v>0.72499999999999998</v>
      </c>
      <c r="G23" s="41">
        <v>1450</v>
      </c>
      <c r="H23" s="22">
        <f t="shared" si="2"/>
        <v>0.72499999999999998</v>
      </c>
      <c r="I23" s="41">
        <v>1450</v>
      </c>
      <c r="J23" s="22">
        <f t="shared" si="3"/>
        <v>0.67700000000000005</v>
      </c>
      <c r="K23" s="41">
        <v>1354</v>
      </c>
      <c r="L23" s="22">
        <f t="shared" si="4"/>
        <v>0.16250000000000001</v>
      </c>
      <c r="M23" s="41">
        <v>325</v>
      </c>
      <c r="N23" s="41">
        <v>1900</v>
      </c>
      <c r="O23" s="22">
        <f t="shared" si="5"/>
        <v>0.63700000000000001</v>
      </c>
      <c r="P23" s="41">
        <v>1274</v>
      </c>
      <c r="Q23" s="22">
        <f t="shared" si="6"/>
        <v>0.19800000000000001</v>
      </c>
      <c r="R23" s="41">
        <v>396</v>
      </c>
      <c r="S23" s="22">
        <f t="shared" si="7"/>
        <v>0</v>
      </c>
      <c r="T23" s="41">
        <v>0</v>
      </c>
      <c r="U23" s="41">
        <v>0</v>
      </c>
      <c r="V23" s="41">
        <v>287.99919999999997</v>
      </c>
      <c r="W23" s="41">
        <v>67.173500000000004</v>
      </c>
      <c r="X23" s="41">
        <v>68.398319999999998</v>
      </c>
      <c r="Y23" s="41">
        <v>21.400020000000001</v>
      </c>
      <c r="Z23" s="22">
        <v>0.38250000000000001</v>
      </c>
      <c r="AA23" s="41">
        <v>6.9137639999999996</v>
      </c>
      <c r="AB23" s="41">
        <v>14.324999999999999</v>
      </c>
      <c r="AC23" s="41">
        <v>52.185668784956398</v>
      </c>
      <c r="AD23" s="42">
        <v>18.45</v>
      </c>
      <c r="AE23" s="35">
        <f t="shared" si="8"/>
        <v>656.88400000000001</v>
      </c>
      <c r="AF23" s="35">
        <f t="shared" si="9"/>
        <v>0.54500000000000004</v>
      </c>
      <c r="AG23" s="35">
        <f t="shared" si="10"/>
        <v>19.470000000000002</v>
      </c>
      <c r="AH23" s="35">
        <f t="shared" si="11"/>
        <v>68.398319999999998</v>
      </c>
      <c r="AI23" s="35">
        <f t="shared" si="12"/>
        <v>21.400020000000001</v>
      </c>
      <c r="AJ23" s="35">
        <f t="shared" si="13"/>
        <v>14.324999999999999</v>
      </c>
      <c r="AK23" s="35">
        <f t="shared" si="14"/>
        <v>25.363764</v>
      </c>
      <c r="AL23" s="36">
        <f t="shared" si="15"/>
        <v>806.38610400000005</v>
      </c>
    </row>
    <row r="24" spans="1:38">
      <c r="A24" s="14">
        <v>1424</v>
      </c>
      <c r="B24" s="13" t="s">
        <v>24</v>
      </c>
      <c r="C24" s="41">
        <v>913.07</v>
      </c>
      <c r="D24" s="22">
        <f t="shared" si="0"/>
        <v>33.377000000000002</v>
      </c>
      <c r="E24" s="41">
        <v>66754</v>
      </c>
      <c r="F24" s="22">
        <f t="shared" si="1"/>
        <v>1.5245</v>
      </c>
      <c r="G24" s="41">
        <v>3049</v>
      </c>
      <c r="H24" s="22">
        <f t="shared" si="2"/>
        <v>1.5245</v>
      </c>
      <c r="I24" s="41">
        <v>3049</v>
      </c>
      <c r="J24" s="22">
        <f t="shared" si="3"/>
        <v>2.1309999999999998</v>
      </c>
      <c r="K24" s="41">
        <v>4262</v>
      </c>
      <c r="L24" s="22">
        <f t="shared" si="4"/>
        <v>0.29399999999999998</v>
      </c>
      <c r="M24" s="41">
        <v>588</v>
      </c>
      <c r="N24" s="41">
        <v>3417</v>
      </c>
      <c r="O24" s="22">
        <f t="shared" si="5"/>
        <v>1.5645</v>
      </c>
      <c r="P24" s="41">
        <v>3129</v>
      </c>
      <c r="Q24" s="22">
        <f t="shared" si="6"/>
        <v>0.314</v>
      </c>
      <c r="R24" s="41">
        <v>628</v>
      </c>
      <c r="S24" s="22">
        <f t="shared" si="7"/>
        <v>0</v>
      </c>
      <c r="T24" s="41">
        <v>0</v>
      </c>
      <c r="U24" s="41">
        <v>0</v>
      </c>
      <c r="V24" s="41">
        <v>406.28699999999998</v>
      </c>
      <c r="W24" s="41">
        <v>147.83850000000001</v>
      </c>
      <c r="X24" s="41">
        <v>68.390500000000003</v>
      </c>
      <c r="Y24" s="41">
        <v>43.601579999999998</v>
      </c>
      <c r="Z24" s="22">
        <v>0.45</v>
      </c>
      <c r="AA24" s="41">
        <v>9.6592979999999997</v>
      </c>
      <c r="AB24" s="41">
        <v>20.73</v>
      </c>
      <c r="AC24" s="41">
        <v>49.369241063399599</v>
      </c>
      <c r="AD24" s="42">
        <v>15.525</v>
      </c>
      <c r="AE24" s="35">
        <f t="shared" si="8"/>
        <v>916.76549999999997</v>
      </c>
      <c r="AF24" s="35">
        <f t="shared" si="9"/>
        <v>0.74399999999999999</v>
      </c>
      <c r="AG24" s="35">
        <f t="shared" si="10"/>
        <v>36.740000000000009</v>
      </c>
      <c r="AH24" s="35">
        <f t="shared" si="11"/>
        <v>68.390500000000003</v>
      </c>
      <c r="AI24" s="35">
        <f t="shared" si="12"/>
        <v>43.601579999999998</v>
      </c>
      <c r="AJ24" s="35">
        <f t="shared" si="13"/>
        <v>20.73</v>
      </c>
      <c r="AK24" s="35">
        <f t="shared" si="14"/>
        <v>25.184297999999998</v>
      </c>
      <c r="AL24" s="36">
        <f t="shared" si="15"/>
        <v>1112.1558779999998</v>
      </c>
    </row>
    <row r="25" spans="1:38">
      <c r="A25" s="14">
        <v>1465</v>
      </c>
      <c r="B25" s="13" t="s">
        <v>25</v>
      </c>
      <c r="C25" s="41">
        <v>763.4</v>
      </c>
      <c r="D25" s="22">
        <f t="shared" si="0"/>
        <v>6.4364999999999997</v>
      </c>
      <c r="E25" s="41">
        <v>12873</v>
      </c>
      <c r="F25" s="22">
        <f t="shared" si="1"/>
        <v>0.155</v>
      </c>
      <c r="G25" s="41">
        <v>310</v>
      </c>
      <c r="H25" s="22">
        <f t="shared" si="2"/>
        <v>0.155</v>
      </c>
      <c r="I25" s="41">
        <v>310</v>
      </c>
      <c r="J25" s="22">
        <f t="shared" si="3"/>
        <v>0.20250000000000001</v>
      </c>
      <c r="K25" s="41">
        <v>405</v>
      </c>
      <c r="L25" s="22">
        <f t="shared" si="4"/>
        <v>3.7999999999999999E-2</v>
      </c>
      <c r="M25" s="41">
        <v>76</v>
      </c>
      <c r="N25" s="41">
        <v>703</v>
      </c>
      <c r="O25" s="22">
        <f t="shared" si="5"/>
        <v>0.30399999999999999</v>
      </c>
      <c r="P25" s="41">
        <v>608</v>
      </c>
      <c r="Q25" s="22">
        <f t="shared" si="6"/>
        <v>7.4499999999999997E-2</v>
      </c>
      <c r="R25" s="41">
        <v>149</v>
      </c>
      <c r="S25" s="22">
        <f t="shared" si="7"/>
        <v>0</v>
      </c>
      <c r="T25" s="41">
        <v>0</v>
      </c>
      <c r="U25" s="41">
        <v>0</v>
      </c>
      <c r="V25" s="41">
        <v>258.52999999999997</v>
      </c>
      <c r="W25" s="41">
        <v>105.02800000000001</v>
      </c>
      <c r="X25" s="41">
        <v>42.354500000000002</v>
      </c>
      <c r="Y25" s="41">
        <v>20.715599999999998</v>
      </c>
      <c r="Z25" s="22">
        <v>0.38250000000000001</v>
      </c>
      <c r="AA25" s="41">
        <v>12.687950000000001</v>
      </c>
      <c r="AB25" s="41">
        <v>19.53</v>
      </c>
      <c r="AC25" s="41">
        <v>125.744696058923</v>
      </c>
      <c r="AD25" s="42">
        <v>28.05</v>
      </c>
      <c r="AE25" s="35">
        <f t="shared" si="8"/>
        <v>763.90649999999994</v>
      </c>
      <c r="AF25" s="35">
        <f t="shared" si="9"/>
        <v>0.42049999999999998</v>
      </c>
      <c r="AG25" s="35">
        <f t="shared" si="10"/>
        <v>6.8209999999999997</v>
      </c>
      <c r="AH25" s="35">
        <f t="shared" si="11"/>
        <v>42.354500000000002</v>
      </c>
      <c r="AI25" s="35">
        <f t="shared" si="12"/>
        <v>20.715599999999998</v>
      </c>
      <c r="AJ25" s="35">
        <f t="shared" si="13"/>
        <v>19.53</v>
      </c>
      <c r="AK25" s="35">
        <f t="shared" si="14"/>
        <v>40.737949999999998</v>
      </c>
      <c r="AL25" s="36">
        <f t="shared" si="15"/>
        <v>894.48604999999986</v>
      </c>
    </row>
    <row r="26" spans="1:38">
      <c r="A26" s="14">
        <v>1486</v>
      </c>
      <c r="B26" s="13" t="s">
        <v>26</v>
      </c>
      <c r="C26" s="41">
        <v>712.53</v>
      </c>
      <c r="D26" s="22">
        <f t="shared" si="0"/>
        <v>6.5605000000000002</v>
      </c>
      <c r="E26" s="41">
        <v>13121</v>
      </c>
      <c r="F26" s="22">
        <f t="shared" si="1"/>
        <v>0.1525</v>
      </c>
      <c r="G26" s="41">
        <v>305</v>
      </c>
      <c r="H26" s="22">
        <f t="shared" si="2"/>
        <v>0.1525</v>
      </c>
      <c r="I26" s="41">
        <v>305</v>
      </c>
      <c r="J26" s="22">
        <f t="shared" si="3"/>
        <v>0.36349999999999999</v>
      </c>
      <c r="K26" s="41">
        <v>727</v>
      </c>
      <c r="L26" s="22">
        <f t="shared" si="4"/>
        <v>3.15E-2</v>
      </c>
      <c r="M26" s="41">
        <v>63</v>
      </c>
      <c r="N26" s="41">
        <v>947</v>
      </c>
      <c r="O26" s="22">
        <f t="shared" si="5"/>
        <v>0.25950000000000001</v>
      </c>
      <c r="P26" s="41">
        <v>519</v>
      </c>
      <c r="Q26" s="22">
        <f t="shared" si="6"/>
        <v>0.11899999999999999</v>
      </c>
      <c r="R26" s="41">
        <v>238</v>
      </c>
      <c r="S26" s="22">
        <f t="shared" si="7"/>
        <v>0</v>
      </c>
      <c r="T26" s="41">
        <v>0</v>
      </c>
      <c r="U26" s="41">
        <v>0</v>
      </c>
      <c r="V26" s="41">
        <v>186.63</v>
      </c>
      <c r="W26" s="41">
        <v>106.124</v>
      </c>
      <c r="X26" s="41">
        <v>55.763500000000001</v>
      </c>
      <c r="Y26" s="41">
        <v>21.198720000000002</v>
      </c>
      <c r="Z26" s="22">
        <v>0.47249999999999998</v>
      </c>
      <c r="AA26" s="41">
        <v>4.5081959999999999</v>
      </c>
      <c r="AB26" s="41">
        <v>24.645</v>
      </c>
      <c r="AC26" s="41">
        <v>60.877720008847398</v>
      </c>
      <c r="AD26" s="42">
        <v>27</v>
      </c>
      <c r="AE26" s="35">
        <f t="shared" si="8"/>
        <v>713.15300000000002</v>
      </c>
      <c r="AF26" s="35">
        <f t="shared" si="9"/>
        <v>0.504</v>
      </c>
      <c r="AG26" s="35">
        <f t="shared" si="10"/>
        <v>6.9844999999999997</v>
      </c>
      <c r="AH26" s="35">
        <f t="shared" si="11"/>
        <v>55.763500000000001</v>
      </c>
      <c r="AI26" s="35">
        <f t="shared" si="12"/>
        <v>21.198720000000002</v>
      </c>
      <c r="AJ26" s="35">
        <f t="shared" si="13"/>
        <v>24.645</v>
      </c>
      <c r="AK26" s="35">
        <f t="shared" si="14"/>
        <v>31.508195999999998</v>
      </c>
      <c r="AL26" s="36">
        <f t="shared" si="15"/>
        <v>853.75691600000005</v>
      </c>
    </row>
    <row r="27" spans="1:38">
      <c r="A27" s="14">
        <v>1523</v>
      </c>
      <c r="B27" s="13" t="s">
        <v>27</v>
      </c>
      <c r="C27" s="41">
        <v>859.1</v>
      </c>
      <c r="D27" s="22">
        <f t="shared" si="0"/>
        <v>60.299500000000002</v>
      </c>
      <c r="E27" s="41">
        <v>120599</v>
      </c>
      <c r="F27" s="22">
        <f t="shared" si="1"/>
        <v>2.2254999999999998</v>
      </c>
      <c r="G27" s="41">
        <v>4451</v>
      </c>
      <c r="H27" s="22">
        <f t="shared" si="2"/>
        <v>2.2254999999999998</v>
      </c>
      <c r="I27" s="41">
        <v>4451</v>
      </c>
      <c r="J27" s="22">
        <f t="shared" si="3"/>
        <v>2.5920000000000001</v>
      </c>
      <c r="K27" s="41">
        <v>5184</v>
      </c>
      <c r="L27" s="22">
        <f t="shared" si="4"/>
        <v>0.39150000000000001</v>
      </c>
      <c r="M27" s="41">
        <v>783</v>
      </c>
      <c r="N27" s="41">
        <v>5961</v>
      </c>
      <c r="O27" s="22">
        <f t="shared" si="5"/>
        <v>2.3570000000000002</v>
      </c>
      <c r="P27" s="41">
        <v>4714</v>
      </c>
      <c r="Q27" s="22">
        <f t="shared" si="6"/>
        <v>0.96850000000000003</v>
      </c>
      <c r="R27" s="41">
        <v>1937</v>
      </c>
      <c r="S27" s="22">
        <f t="shared" si="7"/>
        <v>0</v>
      </c>
      <c r="T27" s="41">
        <v>0</v>
      </c>
      <c r="U27" s="41">
        <v>0</v>
      </c>
      <c r="V27" s="41">
        <v>299.65429999999998</v>
      </c>
      <c r="W27" s="41">
        <v>136.435</v>
      </c>
      <c r="X27" s="41">
        <v>0</v>
      </c>
      <c r="Y27" s="41">
        <v>0</v>
      </c>
      <c r="Z27" s="22">
        <v>0</v>
      </c>
      <c r="AA27" s="41">
        <v>9.67164</v>
      </c>
      <c r="AB27" s="41">
        <v>22.86</v>
      </c>
      <c r="AC27" s="41">
        <v>59.116744115302197</v>
      </c>
      <c r="AD27" s="42">
        <v>17.95</v>
      </c>
      <c r="AE27" s="35">
        <f t="shared" si="8"/>
        <v>864.04899999999998</v>
      </c>
      <c r="AF27" s="35">
        <f t="shared" si="9"/>
        <v>0.39150000000000001</v>
      </c>
      <c r="AG27" s="35">
        <f t="shared" si="10"/>
        <v>65.719000000000008</v>
      </c>
      <c r="AH27" s="35">
        <f t="shared" si="11"/>
        <v>0</v>
      </c>
      <c r="AI27" s="35">
        <f t="shared" si="12"/>
        <v>0</v>
      </c>
      <c r="AJ27" s="35">
        <f t="shared" si="13"/>
        <v>22.86</v>
      </c>
      <c r="AK27" s="35">
        <f t="shared" si="14"/>
        <v>27.621639999999999</v>
      </c>
      <c r="AL27" s="36">
        <f t="shared" si="15"/>
        <v>980.64113999999995</v>
      </c>
    </row>
    <row r="28" spans="1:38">
      <c r="A28" s="14">
        <v>1524</v>
      </c>
      <c r="B28" s="13" t="s">
        <v>28</v>
      </c>
      <c r="C28" s="41">
        <v>925.62</v>
      </c>
      <c r="D28" s="22">
        <f t="shared" si="0"/>
        <v>18.803000000000001</v>
      </c>
      <c r="E28" s="41">
        <v>37606</v>
      </c>
      <c r="F28" s="22">
        <f t="shared" si="1"/>
        <v>0.81899999999999995</v>
      </c>
      <c r="G28" s="41">
        <v>1638</v>
      </c>
      <c r="H28" s="22">
        <f t="shared" si="2"/>
        <v>0.81899999999999995</v>
      </c>
      <c r="I28" s="41">
        <v>1638</v>
      </c>
      <c r="J28" s="22">
        <f t="shared" si="3"/>
        <v>0.86</v>
      </c>
      <c r="K28" s="41">
        <v>1720</v>
      </c>
      <c r="L28" s="22">
        <f t="shared" si="4"/>
        <v>0.16450000000000001</v>
      </c>
      <c r="M28" s="41">
        <v>329</v>
      </c>
      <c r="N28" s="41">
        <v>2049</v>
      </c>
      <c r="O28" s="22">
        <f t="shared" si="5"/>
        <v>0.99850000000000005</v>
      </c>
      <c r="P28" s="41">
        <v>1997</v>
      </c>
      <c r="Q28" s="22">
        <f t="shared" si="6"/>
        <v>0.218</v>
      </c>
      <c r="R28" s="41">
        <v>436</v>
      </c>
      <c r="S28" s="22">
        <f t="shared" si="7"/>
        <v>0</v>
      </c>
      <c r="T28" s="41">
        <v>0</v>
      </c>
      <c r="U28" s="41">
        <v>0</v>
      </c>
      <c r="V28" s="41">
        <v>335.81</v>
      </c>
      <c r="W28" s="41">
        <v>127.39</v>
      </c>
      <c r="X28" s="41">
        <v>0</v>
      </c>
      <c r="Y28" s="41">
        <v>0</v>
      </c>
      <c r="Z28" s="22">
        <v>4.4999999999999998E-2</v>
      </c>
      <c r="AA28" s="41">
        <v>6.0098060000000002</v>
      </c>
      <c r="AB28" s="41">
        <v>15.78</v>
      </c>
      <c r="AC28" s="41">
        <v>67.832229062134004</v>
      </c>
      <c r="AD28" s="42">
        <v>9.0250000000000004</v>
      </c>
      <c r="AE28" s="35">
        <f t="shared" si="8"/>
        <v>927.47850000000005</v>
      </c>
      <c r="AF28" s="35">
        <f t="shared" si="9"/>
        <v>0.20950000000000002</v>
      </c>
      <c r="AG28" s="35">
        <f t="shared" si="10"/>
        <v>20.658999999999999</v>
      </c>
      <c r="AH28" s="35">
        <f t="shared" si="11"/>
        <v>0</v>
      </c>
      <c r="AI28" s="35">
        <f t="shared" si="12"/>
        <v>0</v>
      </c>
      <c r="AJ28" s="35">
        <f t="shared" si="13"/>
        <v>15.78</v>
      </c>
      <c r="AK28" s="35">
        <f t="shared" si="14"/>
        <v>15.034806</v>
      </c>
      <c r="AL28" s="36">
        <f t="shared" si="15"/>
        <v>979.16180600000007</v>
      </c>
    </row>
    <row r="29" spans="1:38">
      <c r="A29" s="14">
        <v>1525</v>
      </c>
      <c r="B29" s="13" t="s">
        <v>29</v>
      </c>
      <c r="C29" s="41">
        <v>998.32</v>
      </c>
      <c r="D29" s="22">
        <f t="shared" si="0"/>
        <v>32.597000000000001</v>
      </c>
      <c r="E29" s="41">
        <v>65194</v>
      </c>
      <c r="F29" s="22">
        <f t="shared" si="1"/>
        <v>1.3394999999999999</v>
      </c>
      <c r="G29" s="41">
        <v>2679</v>
      </c>
      <c r="H29" s="22">
        <f t="shared" si="2"/>
        <v>1.3394999999999999</v>
      </c>
      <c r="I29" s="41">
        <v>2679</v>
      </c>
      <c r="J29" s="22">
        <f t="shared" si="3"/>
        <v>1.619</v>
      </c>
      <c r="K29" s="41">
        <v>3238</v>
      </c>
      <c r="L29" s="22">
        <f t="shared" si="4"/>
        <v>0.26050000000000001</v>
      </c>
      <c r="M29" s="41">
        <v>521</v>
      </c>
      <c r="N29" s="41">
        <v>3518</v>
      </c>
      <c r="O29" s="22">
        <f t="shared" si="5"/>
        <v>1.3345</v>
      </c>
      <c r="P29" s="41">
        <v>2669</v>
      </c>
      <c r="Q29" s="22">
        <f t="shared" si="6"/>
        <v>0.29399999999999998</v>
      </c>
      <c r="R29" s="41">
        <v>588</v>
      </c>
      <c r="S29" s="22">
        <f t="shared" si="7"/>
        <v>0</v>
      </c>
      <c r="T29" s="41">
        <v>0</v>
      </c>
      <c r="U29" s="41">
        <v>0</v>
      </c>
      <c r="V29" s="41">
        <v>202.97</v>
      </c>
      <c r="W29" s="41">
        <v>136.7285</v>
      </c>
      <c r="X29" s="41">
        <v>85.893500000000003</v>
      </c>
      <c r="Y29" s="41">
        <v>36.845219999999998</v>
      </c>
      <c r="Z29" s="22">
        <v>1.2150000000000001</v>
      </c>
      <c r="AA29" s="41">
        <v>8.5414119999999993</v>
      </c>
      <c r="AB29" s="41">
        <v>30.21</v>
      </c>
      <c r="AC29" s="41">
        <v>118.846641843387</v>
      </c>
      <c r="AD29" s="42">
        <v>35.65</v>
      </c>
      <c r="AE29" s="35">
        <f t="shared" si="8"/>
        <v>1001.2735000000001</v>
      </c>
      <c r="AF29" s="35">
        <f t="shared" si="9"/>
        <v>1.4755</v>
      </c>
      <c r="AG29" s="35">
        <f t="shared" si="10"/>
        <v>35.57</v>
      </c>
      <c r="AH29" s="35">
        <f t="shared" si="11"/>
        <v>85.893500000000003</v>
      </c>
      <c r="AI29" s="35">
        <f t="shared" si="12"/>
        <v>36.845219999999998</v>
      </c>
      <c r="AJ29" s="35">
        <f t="shared" si="13"/>
        <v>30.21</v>
      </c>
      <c r="AK29" s="35">
        <f t="shared" si="14"/>
        <v>44.191412</v>
      </c>
      <c r="AL29" s="36">
        <f t="shared" si="15"/>
        <v>1235.459132</v>
      </c>
    </row>
    <row r="30" spans="1:38">
      <c r="A30" s="14">
        <v>1631</v>
      </c>
      <c r="B30" s="13" t="s">
        <v>30</v>
      </c>
      <c r="C30" s="41">
        <v>847.94</v>
      </c>
      <c r="D30" s="22">
        <f t="shared" si="0"/>
        <v>19.040500000000002</v>
      </c>
      <c r="E30" s="41">
        <v>38081</v>
      </c>
      <c r="F30" s="22">
        <f t="shared" si="1"/>
        <v>0.86</v>
      </c>
      <c r="G30" s="41">
        <v>1720</v>
      </c>
      <c r="H30" s="22">
        <f t="shared" si="2"/>
        <v>0.86</v>
      </c>
      <c r="I30" s="41">
        <v>1720</v>
      </c>
      <c r="J30" s="22">
        <f t="shared" si="3"/>
        <v>0.76100000000000001</v>
      </c>
      <c r="K30" s="41">
        <v>1522</v>
      </c>
      <c r="L30" s="22">
        <f t="shared" si="4"/>
        <v>0.14599999999999999</v>
      </c>
      <c r="M30" s="41">
        <v>292</v>
      </c>
      <c r="N30" s="41">
        <v>1685</v>
      </c>
      <c r="O30" s="22">
        <f t="shared" si="5"/>
        <v>0.79200000000000004</v>
      </c>
      <c r="P30" s="41">
        <v>1584</v>
      </c>
      <c r="Q30" s="22">
        <f t="shared" si="6"/>
        <v>0.27400000000000002</v>
      </c>
      <c r="R30" s="41">
        <v>548</v>
      </c>
      <c r="S30" s="22">
        <f t="shared" si="7"/>
        <v>0</v>
      </c>
      <c r="T30" s="41">
        <v>0</v>
      </c>
      <c r="U30" s="41">
        <v>0</v>
      </c>
      <c r="V30" s="41">
        <v>297.36</v>
      </c>
      <c r="W30" s="41">
        <v>100.307</v>
      </c>
      <c r="X30" s="41">
        <v>0</v>
      </c>
      <c r="Y30" s="41">
        <v>0</v>
      </c>
      <c r="Z30" s="22">
        <v>0</v>
      </c>
      <c r="AA30" s="41">
        <v>8.3450620000000004</v>
      </c>
      <c r="AB30" s="41">
        <v>21.06</v>
      </c>
      <c r="AC30" s="41">
        <v>181.98363593354199</v>
      </c>
      <c r="AD30" s="42">
        <v>28.212499999999999</v>
      </c>
      <c r="AE30" s="35">
        <f t="shared" si="8"/>
        <v>849.49300000000005</v>
      </c>
      <c r="AF30" s="35">
        <f t="shared" si="9"/>
        <v>0.14599999999999999</v>
      </c>
      <c r="AG30" s="35">
        <f t="shared" si="10"/>
        <v>21.034500000000001</v>
      </c>
      <c r="AH30" s="35">
        <f t="shared" si="11"/>
        <v>0</v>
      </c>
      <c r="AI30" s="35">
        <f t="shared" si="12"/>
        <v>0</v>
      </c>
      <c r="AJ30" s="35">
        <f t="shared" si="13"/>
        <v>21.06</v>
      </c>
      <c r="AK30" s="35">
        <f t="shared" si="14"/>
        <v>36.557561999999997</v>
      </c>
      <c r="AL30" s="36">
        <f t="shared" si="15"/>
        <v>928.2910619999999</v>
      </c>
    </row>
    <row r="31" spans="1:38">
      <c r="A31" s="14">
        <v>1652</v>
      </c>
      <c r="B31" s="13" t="s">
        <v>31</v>
      </c>
      <c r="C31" s="41">
        <v>472.2</v>
      </c>
      <c r="D31" s="22">
        <f t="shared" si="0"/>
        <v>15.461499999999999</v>
      </c>
      <c r="E31" s="41">
        <v>30923</v>
      </c>
      <c r="F31" s="22">
        <f t="shared" si="1"/>
        <v>2.375</v>
      </c>
      <c r="G31" s="41">
        <v>4750</v>
      </c>
      <c r="H31" s="22">
        <f t="shared" si="2"/>
        <v>2.375</v>
      </c>
      <c r="I31" s="41">
        <v>4750</v>
      </c>
      <c r="J31" s="22">
        <f t="shared" si="3"/>
        <v>2.6539999999999999</v>
      </c>
      <c r="K31" s="41">
        <v>5308</v>
      </c>
      <c r="L31" s="22">
        <f t="shared" si="4"/>
        <v>0.11</v>
      </c>
      <c r="M31" s="41">
        <v>220</v>
      </c>
      <c r="N31" s="41">
        <v>4839</v>
      </c>
      <c r="O31" s="22">
        <f t="shared" si="5"/>
        <v>1.1085</v>
      </c>
      <c r="P31" s="41">
        <v>2217</v>
      </c>
      <c r="Q31" s="22">
        <f t="shared" si="6"/>
        <v>0.3695</v>
      </c>
      <c r="R31" s="41">
        <v>739</v>
      </c>
      <c r="S31" s="22">
        <f t="shared" si="7"/>
        <v>0.41399999999999998</v>
      </c>
      <c r="T31" s="41">
        <v>828</v>
      </c>
      <c r="U31" s="41">
        <v>0</v>
      </c>
      <c r="V31" s="41">
        <v>200.83145999999999</v>
      </c>
      <c r="W31" s="41">
        <v>43.9</v>
      </c>
      <c r="X31" s="41">
        <v>58.3855</v>
      </c>
      <c r="Y31" s="41">
        <v>13.1577</v>
      </c>
      <c r="Z31" s="22">
        <v>0.29499999999999998</v>
      </c>
      <c r="AA31" s="41">
        <v>8.155818</v>
      </c>
      <c r="AB31" s="41">
        <v>14.385</v>
      </c>
      <c r="AC31" s="41">
        <v>101.739054452435</v>
      </c>
      <c r="AD31" s="42">
        <v>2.6875</v>
      </c>
      <c r="AE31" s="35">
        <f t="shared" si="8"/>
        <v>475.96249999999998</v>
      </c>
      <c r="AF31" s="35">
        <f t="shared" si="9"/>
        <v>0.40499999999999997</v>
      </c>
      <c r="AG31" s="35">
        <f t="shared" si="10"/>
        <v>20.995000000000001</v>
      </c>
      <c r="AH31" s="35">
        <f t="shared" si="11"/>
        <v>58.3855</v>
      </c>
      <c r="AI31" s="35">
        <f t="shared" si="12"/>
        <v>13.1577</v>
      </c>
      <c r="AJ31" s="35">
        <f t="shared" si="13"/>
        <v>14.385</v>
      </c>
      <c r="AK31" s="35">
        <f t="shared" si="14"/>
        <v>10.843318</v>
      </c>
      <c r="AL31" s="36">
        <f t="shared" si="15"/>
        <v>594.13401799999986</v>
      </c>
    </row>
    <row r="32" spans="1:38">
      <c r="A32" s="14">
        <v>1682</v>
      </c>
      <c r="B32" s="13" t="s">
        <v>32</v>
      </c>
      <c r="C32" s="41">
        <v>695.95</v>
      </c>
      <c r="D32" s="22">
        <f t="shared" si="0"/>
        <v>8.6884999999999994</v>
      </c>
      <c r="E32" s="41">
        <v>17377</v>
      </c>
      <c r="F32" s="22">
        <f t="shared" si="1"/>
        <v>0.33750000000000002</v>
      </c>
      <c r="G32" s="41">
        <v>675</v>
      </c>
      <c r="H32" s="22">
        <f t="shared" si="2"/>
        <v>0.33750000000000002</v>
      </c>
      <c r="I32" s="41">
        <v>675</v>
      </c>
      <c r="J32" s="22">
        <f t="shared" si="3"/>
        <v>0.3125</v>
      </c>
      <c r="K32" s="41">
        <v>625</v>
      </c>
      <c r="L32" s="22">
        <f t="shared" si="4"/>
        <v>6.0999999999999999E-2</v>
      </c>
      <c r="M32" s="41">
        <v>122</v>
      </c>
      <c r="N32" s="41">
        <v>797</v>
      </c>
      <c r="O32" s="22">
        <f t="shared" si="5"/>
        <v>0.32900000000000001</v>
      </c>
      <c r="P32" s="41">
        <v>658</v>
      </c>
      <c r="Q32" s="22">
        <f t="shared" si="6"/>
        <v>6.5500000000000003E-2</v>
      </c>
      <c r="R32" s="41">
        <v>131</v>
      </c>
      <c r="S32" s="22">
        <f t="shared" si="7"/>
        <v>0</v>
      </c>
      <c r="T32" s="41">
        <v>0</v>
      </c>
      <c r="U32" s="41">
        <v>0</v>
      </c>
      <c r="V32" s="41">
        <v>316.88</v>
      </c>
      <c r="W32" s="41">
        <v>109.124</v>
      </c>
      <c r="X32" s="41">
        <v>50.72052</v>
      </c>
      <c r="Y32" s="41">
        <v>22.92258</v>
      </c>
      <c r="Z32" s="22">
        <v>0.18</v>
      </c>
      <c r="AA32" s="41">
        <v>7.2417619999999996</v>
      </c>
      <c r="AB32" s="41">
        <v>13.695</v>
      </c>
      <c r="AC32" s="41">
        <v>176.16131364532399</v>
      </c>
      <c r="AD32" s="42">
        <v>20.85</v>
      </c>
      <c r="AE32" s="35">
        <f t="shared" si="8"/>
        <v>696.5915</v>
      </c>
      <c r="AF32" s="35">
        <f t="shared" si="9"/>
        <v>0.24099999999999999</v>
      </c>
      <c r="AG32" s="35">
        <f t="shared" si="10"/>
        <v>9.4290000000000003</v>
      </c>
      <c r="AH32" s="35">
        <f t="shared" si="11"/>
        <v>50.72052</v>
      </c>
      <c r="AI32" s="35">
        <f t="shared" si="12"/>
        <v>22.92258</v>
      </c>
      <c r="AJ32" s="35">
        <f t="shared" si="13"/>
        <v>13.695</v>
      </c>
      <c r="AK32" s="35">
        <f t="shared" si="14"/>
        <v>28.091762000000003</v>
      </c>
      <c r="AL32" s="36">
        <f t="shared" si="15"/>
        <v>821.69136200000003</v>
      </c>
    </row>
    <row r="33" spans="1:38">
      <c r="A33" s="14">
        <v>1687</v>
      </c>
      <c r="B33" s="13" t="s">
        <v>33</v>
      </c>
      <c r="C33" s="41">
        <v>828.43</v>
      </c>
      <c r="D33" s="22">
        <f t="shared" si="0"/>
        <v>8.85</v>
      </c>
      <c r="E33" s="41">
        <v>17700</v>
      </c>
      <c r="F33" s="22">
        <f t="shared" si="1"/>
        <v>0.33300000000000002</v>
      </c>
      <c r="G33" s="41">
        <v>666</v>
      </c>
      <c r="H33" s="22">
        <f t="shared" si="2"/>
        <v>0.33300000000000002</v>
      </c>
      <c r="I33" s="41">
        <v>666</v>
      </c>
      <c r="J33" s="22">
        <f t="shared" si="3"/>
        <v>0.34250000000000003</v>
      </c>
      <c r="K33" s="41">
        <v>685</v>
      </c>
      <c r="L33" s="22">
        <f t="shared" si="4"/>
        <v>7.0999999999999994E-2</v>
      </c>
      <c r="M33" s="41">
        <v>142</v>
      </c>
      <c r="N33" s="41">
        <v>791</v>
      </c>
      <c r="O33" s="22">
        <f t="shared" si="5"/>
        <v>0.376</v>
      </c>
      <c r="P33" s="41">
        <v>752</v>
      </c>
      <c r="Q33" s="22">
        <f t="shared" si="6"/>
        <v>7.0999999999999994E-2</v>
      </c>
      <c r="R33" s="41">
        <v>142</v>
      </c>
      <c r="S33" s="22">
        <f t="shared" si="7"/>
        <v>0</v>
      </c>
      <c r="T33" s="41">
        <v>0</v>
      </c>
      <c r="U33" s="41">
        <v>0</v>
      </c>
      <c r="V33" s="41">
        <v>206.64</v>
      </c>
      <c r="W33" s="41">
        <v>121.9255</v>
      </c>
      <c r="X33" s="41">
        <v>0</v>
      </c>
      <c r="Y33" s="41">
        <v>0</v>
      </c>
      <c r="Z33" s="22">
        <v>0</v>
      </c>
      <c r="AA33" s="41">
        <v>7.5536779999999997</v>
      </c>
      <c r="AB33" s="41">
        <v>17.355</v>
      </c>
      <c r="AC33" s="41">
        <v>103.118253234861</v>
      </c>
      <c r="AD33" s="42">
        <v>33.115000000000002</v>
      </c>
      <c r="AE33" s="35">
        <f t="shared" si="8"/>
        <v>829.1484999999999</v>
      </c>
      <c r="AF33" s="35">
        <f t="shared" si="9"/>
        <v>7.0999999999999994E-2</v>
      </c>
      <c r="AG33" s="35">
        <f t="shared" si="10"/>
        <v>9.5869999999999997</v>
      </c>
      <c r="AH33" s="35">
        <f t="shared" si="11"/>
        <v>0</v>
      </c>
      <c r="AI33" s="35">
        <f t="shared" si="12"/>
        <v>0</v>
      </c>
      <c r="AJ33" s="35">
        <f t="shared" si="13"/>
        <v>17.355</v>
      </c>
      <c r="AK33" s="35">
        <f t="shared" si="14"/>
        <v>40.668678</v>
      </c>
      <c r="AL33" s="36">
        <f t="shared" si="15"/>
        <v>896.83017799999993</v>
      </c>
    </row>
    <row r="34" spans="1:38">
      <c r="A34" s="14">
        <v>1688</v>
      </c>
      <c r="B34" s="13" t="s">
        <v>34</v>
      </c>
      <c r="C34" s="41">
        <v>782.19</v>
      </c>
      <c r="D34" s="22">
        <f t="shared" si="0"/>
        <v>5.2424999999999997</v>
      </c>
      <c r="E34" s="41">
        <v>10485</v>
      </c>
      <c r="F34" s="22">
        <f t="shared" si="1"/>
        <v>0.23350000000000001</v>
      </c>
      <c r="G34" s="41">
        <v>467</v>
      </c>
      <c r="H34" s="22">
        <f t="shared" si="2"/>
        <v>0.23350000000000001</v>
      </c>
      <c r="I34" s="41">
        <v>467</v>
      </c>
      <c r="J34" s="22">
        <f t="shared" si="3"/>
        <v>0.23799999999999999</v>
      </c>
      <c r="K34" s="41">
        <v>476</v>
      </c>
      <c r="L34" s="22">
        <f t="shared" si="4"/>
        <v>3.9E-2</v>
      </c>
      <c r="M34" s="41">
        <v>78</v>
      </c>
      <c r="N34" s="41">
        <v>467</v>
      </c>
      <c r="O34" s="22">
        <f t="shared" si="5"/>
        <v>0.2555</v>
      </c>
      <c r="P34" s="41">
        <v>511</v>
      </c>
      <c r="Q34" s="22">
        <f t="shared" si="6"/>
        <v>3.9E-2</v>
      </c>
      <c r="R34" s="41">
        <v>78</v>
      </c>
      <c r="S34" s="22">
        <f t="shared" si="7"/>
        <v>0</v>
      </c>
      <c r="T34" s="41">
        <v>0</v>
      </c>
      <c r="U34" s="41">
        <v>0</v>
      </c>
      <c r="V34" s="41">
        <v>464.49669999999998</v>
      </c>
      <c r="W34" s="41">
        <v>101.0055</v>
      </c>
      <c r="X34" s="41">
        <v>0</v>
      </c>
      <c r="Y34" s="41">
        <v>0</v>
      </c>
      <c r="Z34" s="22">
        <v>0</v>
      </c>
      <c r="AA34" s="41">
        <v>6.7043239999999997</v>
      </c>
      <c r="AB34" s="41">
        <v>12.645</v>
      </c>
      <c r="AC34" s="41">
        <v>45.9055663694472</v>
      </c>
      <c r="AD34" s="42">
        <v>20.9</v>
      </c>
      <c r="AE34" s="35">
        <f t="shared" si="8"/>
        <v>782.68350000000009</v>
      </c>
      <c r="AF34" s="35">
        <f t="shared" si="9"/>
        <v>3.9E-2</v>
      </c>
      <c r="AG34" s="35">
        <f t="shared" si="10"/>
        <v>5.7484999999999999</v>
      </c>
      <c r="AH34" s="35">
        <f t="shared" si="11"/>
        <v>0</v>
      </c>
      <c r="AI34" s="35">
        <f t="shared" si="12"/>
        <v>0</v>
      </c>
      <c r="AJ34" s="35">
        <f t="shared" si="13"/>
        <v>12.645</v>
      </c>
      <c r="AK34" s="35">
        <f t="shared" si="14"/>
        <v>27.604323999999998</v>
      </c>
      <c r="AL34" s="36">
        <f t="shared" si="15"/>
        <v>828.72032400000012</v>
      </c>
    </row>
    <row r="35" spans="1:38">
      <c r="A35" s="14">
        <v>1726</v>
      </c>
      <c r="B35" s="13" t="s">
        <v>35</v>
      </c>
      <c r="C35" s="41">
        <v>823.32</v>
      </c>
      <c r="D35" s="22">
        <f t="shared" si="0"/>
        <v>13.5235</v>
      </c>
      <c r="E35" s="41">
        <v>27047</v>
      </c>
      <c r="F35" s="22">
        <f t="shared" si="1"/>
        <v>0.58050000000000002</v>
      </c>
      <c r="G35" s="41">
        <v>1161</v>
      </c>
      <c r="H35" s="22">
        <f t="shared" si="2"/>
        <v>0.58050000000000002</v>
      </c>
      <c r="I35" s="41">
        <v>1161</v>
      </c>
      <c r="J35" s="22">
        <f t="shared" si="3"/>
        <v>0.63849999999999996</v>
      </c>
      <c r="K35" s="41">
        <v>1277</v>
      </c>
      <c r="L35" s="22">
        <f t="shared" si="4"/>
        <v>0.1085</v>
      </c>
      <c r="M35" s="41">
        <v>217</v>
      </c>
      <c r="N35" s="41">
        <v>1344</v>
      </c>
      <c r="O35" s="22">
        <f t="shared" si="5"/>
        <v>0.60050000000000003</v>
      </c>
      <c r="P35" s="41">
        <v>1201</v>
      </c>
      <c r="Q35" s="22">
        <f t="shared" si="6"/>
        <v>0.1255</v>
      </c>
      <c r="R35" s="41">
        <v>251</v>
      </c>
      <c r="S35" s="22">
        <f t="shared" si="7"/>
        <v>0</v>
      </c>
      <c r="T35" s="41">
        <v>0</v>
      </c>
      <c r="U35" s="41">
        <v>0</v>
      </c>
      <c r="V35" s="41">
        <v>198.8</v>
      </c>
      <c r="W35" s="41">
        <v>86.0505</v>
      </c>
      <c r="X35" s="41">
        <v>63.328200000000002</v>
      </c>
      <c r="Y35" s="41">
        <v>23.32152</v>
      </c>
      <c r="Z35" s="22">
        <v>0</v>
      </c>
      <c r="AA35" s="41">
        <v>7.5850939999999998</v>
      </c>
      <c r="AB35" s="41">
        <v>11.775</v>
      </c>
      <c r="AC35" s="41">
        <v>110.19479843776899</v>
      </c>
      <c r="AD35" s="42">
        <v>17.3</v>
      </c>
      <c r="AE35" s="35">
        <f t="shared" si="8"/>
        <v>824.55900000000008</v>
      </c>
      <c r="AF35" s="35">
        <f t="shared" si="9"/>
        <v>0.1085</v>
      </c>
      <c r="AG35" s="35">
        <f t="shared" si="10"/>
        <v>14.810000000000002</v>
      </c>
      <c r="AH35" s="35">
        <f t="shared" si="11"/>
        <v>63.328200000000002</v>
      </c>
      <c r="AI35" s="35">
        <f t="shared" si="12"/>
        <v>23.32152</v>
      </c>
      <c r="AJ35" s="35">
        <f t="shared" si="13"/>
        <v>11.775</v>
      </c>
      <c r="AK35" s="35">
        <f t="shared" si="14"/>
        <v>24.885094000000002</v>
      </c>
      <c r="AL35" s="36">
        <f t="shared" si="15"/>
        <v>962.78731400000015</v>
      </c>
    </row>
    <row r="36" spans="1:38">
      <c r="A36" s="14">
        <v>1730</v>
      </c>
      <c r="B36" s="13" t="s">
        <v>36</v>
      </c>
      <c r="C36" s="41">
        <v>507.28</v>
      </c>
      <c r="D36" s="22">
        <f t="shared" si="0"/>
        <v>17.188500000000001</v>
      </c>
      <c r="E36" s="41">
        <v>34377</v>
      </c>
      <c r="F36" s="22">
        <f t="shared" si="1"/>
        <v>0.71299999999999997</v>
      </c>
      <c r="G36" s="41">
        <v>1426</v>
      </c>
      <c r="H36" s="22">
        <f t="shared" si="2"/>
        <v>0.71299999999999997</v>
      </c>
      <c r="I36" s="41">
        <v>1426</v>
      </c>
      <c r="J36" s="22">
        <f t="shared" si="3"/>
        <v>0.79549999999999998</v>
      </c>
      <c r="K36" s="41">
        <v>1591</v>
      </c>
      <c r="L36" s="22">
        <f t="shared" si="4"/>
        <v>0.14699999999999999</v>
      </c>
      <c r="M36" s="41">
        <v>294</v>
      </c>
      <c r="N36" s="41">
        <v>1607</v>
      </c>
      <c r="O36" s="22">
        <f t="shared" si="5"/>
        <v>0.84950000000000003</v>
      </c>
      <c r="P36" s="41">
        <v>1699</v>
      </c>
      <c r="Q36" s="22">
        <f t="shared" si="6"/>
        <v>0.19750000000000001</v>
      </c>
      <c r="R36" s="41">
        <v>395</v>
      </c>
      <c r="S36" s="22">
        <f t="shared" si="7"/>
        <v>2.0500000000000001E-2</v>
      </c>
      <c r="T36" s="41">
        <v>41</v>
      </c>
      <c r="U36" s="41">
        <v>0</v>
      </c>
      <c r="V36" s="41">
        <v>197.4418</v>
      </c>
      <c r="W36" s="41">
        <v>84.587999999999994</v>
      </c>
      <c r="X36" s="41">
        <v>0</v>
      </c>
      <c r="Y36" s="41">
        <v>0</v>
      </c>
      <c r="Z36" s="22">
        <v>0.1125</v>
      </c>
      <c r="AA36" s="41">
        <v>14.276702</v>
      </c>
      <c r="AB36" s="41">
        <v>23.625</v>
      </c>
      <c r="AC36" s="41">
        <v>37.976503087378198</v>
      </c>
      <c r="AD36" s="42">
        <v>20.55</v>
      </c>
      <c r="AE36" s="35">
        <f t="shared" si="8"/>
        <v>508.92499999999995</v>
      </c>
      <c r="AF36" s="35">
        <f t="shared" si="9"/>
        <v>0.25950000000000001</v>
      </c>
      <c r="AG36" s="35">
        <f t="shared" si="10"/>
        <v>18.832500000000003</v>
      </c>
      <c r="AH36" s="35">
        <f t="shared" si="11"/>
        <v>0</v>
      </c>
      <c r="AI36" s="35">
        <f t="shared" si="12"/>
        <v>0</v>
      </c>
      <c r="AJ36" s="35">
        <f t="shared" si="13"/>
        <v>23.625</v>
      </c>
      <c r="AK36" s="35">
        <f t="shared" si="14"/>
        <v>34.826701999999997</v>
      </c>
      <c r="AL36" s="36">
        <f t="shared" si="15"/>
        <v>586.46870199999989</v>
      </c>
    </row>
    <row r="37" spans="1:38">
      <c r="A37" s="14">
        <v>1759</v>
      </c>
      <c r="B37" s="13" t="s">
        <v>37</v>
      </c>
      <c r="C37" s="41">
        <v>801.52</v>
      </c>
      <c r="D37" s="22">
        <f t="shared" si="0"/>
        <v>18.757000000000001</v>
      </c>
      <c r="E37" s="41">
        <v>37514</v>
      </c>
      <c r="F37" s="22">
        <f t="shared" si="1"/>
        <v>0.76249999999999996</v>
      </c>
      <c r="G37" s="41">
        <v>1525</v>
      </c>
      <c r="H37" s="22">
        <f t="shared" si="2"/>
        <v>0.76249999999999996</v>
      </c>
      <c r="I37" s="41">
        <v>1525</v>
      </c>
      <c r="J37" s="22">
        <f t="shared" si="3"/>
        <v>0.92700000000000005</v>
      </c>
      <c r="K37" s="41">
        <v>1854</v>
      </c>
      <c r="L37" s="22">
        <f t="shared" si="4"/>
        <v>0.1595</v>
      </c>
      <c r="M37" s="41">
        <v>319</v>
      </c>
      <c r="N37" s="41">
        <v>1960</v>
      </c>
      <c r="O37" s="22">
        <f t="shared" si="5"/>
        <v>0.90649999999999997</v>
      </c>
      <c r="P37" s="41">
        <v>1813</v>
      </c>
      <c r="Q37" s="22">
        <f t="shared" si="6"/>
        <v>0.18149999999999999</v>
      </c>
      <c r="R37" s="41">
        <v>363</v>
      </c>
      <c r="S37" s="22">
        <f t="shared" si="7"/>
        <v>0</v>
      </c>
      <c r="T37" s="41">
        <v>0</v>
      </c>
      <c r="U37" s="41">
        <v>0</v>
      </c>
      <c r="V37" s="41">
        <v>271.25</v>
      </c>
      <c r="W37" s="41">
        <v>109.01349999999999</v>
      </c>
      <c r="X37" s="41">
        <v>87.676460000000006</v>
      </c>
      <c r="Y37" s="41">
        <v>23.921759999999999</v>
      </c>
      <c r="Z37" s="22">
        <v>0.78749999999999998</v>
      </c>
      <c r="AA37" s="41">
        <v>9.0526700000000009</v>
      </c>
      <c r="AB37" s="41">
        <v>36.854999999999997</v>
      </c>
      <c r="AC37" s="41">
        <v>51.861662752606399</v>
      </c>
      <c r="AD37" s="42">
        <v>13.15</v>
      </c>
      <c r="AE37" s="35">
        <f t="shared" si="8"/>
        <v>803.35350000000005</v>
      </c>
      <c r="AF37" s="35">
        <f t="shared" si="9"/>
        <v>0.94699999999999995</v>
      </c>
      <c r="AG37" s="35">
        <f t="shared" si="10"/>
        <v>20.4635</v>
      </c>
      <c r="AH37" s="35">
        <f t="shared" si="11"/>
        <v>87.676460000000006</v>
      </c>
      <c r="AI37" s="35">
        <f t="shared" si="12"/>
        <v>23.921759999999999</v>
      </c>
      <c r="AJ37" s="35">
        <f t="shared" si="13"/>
        <v>36.854999999999997</v>
      </c>
      <c r="AK37" s="35">
        <f t="shared" si="14"/>
        <v>22.202670000000001</v>
      </c>
      <c r="AL37" s="36">
        <f t="shared" si="15"/>
        <v>995.41989000000001</v>
      </c>
    </row>
    <row r="38" spans="1:38">
      <c r="A38" s="14">
        <v>1763</v>
      </c>
      <c r="B38" s="13" t="s">
        <v>38</v>
      </c>
      <c r="C38" s="41">
        <v>686.94</v>
      </c>
      <c r="D38" s="22">
        <f t="shared" si="0"/>
        <v>16.165500000000002</v>
      </c>
      <c r="E38" s="41">
        <v>32331</v>
      </c>
      <c r="F38" s="22">
        <f t="shared" si="1"/>
        <v>2.339</v>
      </c>
      <c r="G38" s="41">
        <v>4678</v>
      </c>
      <c r="H38" s="22">
        <f t="shared" si="2"/>
        <v>2.339</v>
      </c>
      <c r="I38" s="41">
        <v>4678</v>
      </c>
      <c r="J38" s="22">
        <f t="shared" si="3"/>
        <v>1.77</v>
      </c>
      <c r="K38" s="41">
        <v>3540</v>
      </c>
      <c r="L38" s="22">
        <f t="shared" si="4"/>
        <v>3.5999999999999997E-2</v>
      </c>
      <c r="M38" s="41">
        <v>72</v>
      </c>
      <c r="N38" s="41">
        <v>8796</v>
      </c>
      <c r="O38" s="22">
        <f t="shared" si="5"/>
        <v>1.8474999999999999</v>
      </c>
      <c r="P38" s="41">
        <v>3695</v>
      </c>
      <c r="Q38" s="22">
        <f t="shared" si="6"/>
        <v>0.70450000000000002</v>
      </c>
      <c r="R38" s="41">
        <v>1409</v>
      </c>
      <c r="S38" s="22">
        <f t="shared" si="7"/>
        <v>0.3155</v>
      </c>
      <c r="T38" s="41">
        <v>631</v>
      </c>
      <c r="U38" s="41">
        <v>0</v>
      </c>
      <c r="V38" s="41">
        <v>379.79309999999998</v>
      </c>
      <c r="W38" s="41">
        <v>33.799999999999997</v>
      </c>
      <c r="X38" s="41">
        <v>49.956000000000003</v>
      </c>
      <c r="Y38" s="41">
        <v>19.5627</v>
      </c>
      <c r="Z38" s="22">
        <v>0</v>
      </c>
      <c r="AA38" s="41">
        <v>3.3977900000000001</v>
      </c>
      <c r="AB38" s="41">
        <v>12.734999999999999</v>
      </c>
      <c r="AC38" s="41">
        <v>45.182500090095999</v>
      </c>
      <c r="AD38" s="42">
        <v>7.0449999999999999</v>
      </c>
      <c r="AE38" s="35">
        <f t="shared" si="8"/>
        <v>690.5575</v>
      </c>
      <c r="AF38" s="35">
        <f t="shared" si="9"/>
        <v>3.5999999999999997E-2</v>
      </c>
      <c r="AG38" s="35">
        <f t="shared" si="10"/>
        <v>21.863499999999998</v>
      </c>
      <c r="AH38" s="35">
        <f t="shared" si="11"/>
        <v>49.956000000000003</v>
      </c>
      <c r="AI38" s="35">
        <f t="shared" si="12"/>
        <v>19.5627</v>
      </c>
      <c r="AJ38" s="35">
        <f t="shared" si="13"/>
        <v>12.734999999999999</v>
      </c>
      <c r="AK38" s="35">
        <f t="shared" si="14"/>
        <v>10.44279</v>
      </c>
      <c r="AL38" s="36">
        <f t="shared" si="15"/>
        <v>805.15348999999992</v>
      </c>
    </row>
    <row r="39" spans="1:38">
      <c r="A39" s="14">
        <v>1773</v>
      </c>
      <c r="B39" s="13" t="s">
        <v>39</v>
      </c>
      <c r="C39" s="41">
        <v>862.79</v>
      </c>
      <c r="D39" s="22">
        <f t="shared" si="0"/>
        <v>23.5245</v>
      </c>
      <c r="E39" s="41">
        <v>47049</v>
      </c>
      <c r="F39" s="22">
        <f t="shared" si="1"/>
        <v>0.85</v>
      </c>
      <c r="G39" s="41">
        <v>1700</v>
      </c>
      <c r="H39" s="22">
        <f t="shared" si="2"/>
        <v>0.85</v>
      </c>
      <c r="I39" s="41">
        <v>1700</v>
      </c>
      <c r="J39" s="22">
        <f t="shared" si="3"/>
        <v>1.121</v>
      </c>
      <c r="K39" s="41">
        <v>2242</v>
      </c>
      <c r="L39" s="22">
        <f t="shared" si="4"/>
        <v>0.17649999999999999</v>
      </c>
      <c r="M39" s="41">
        <v>353</v>
      </c>
      <c r="N39" s="41">
        <v>2364</v>
      </c>
      <c r="O39" s="22">
        <f t="shared" si="5"/>
        <v>0.97750000000000004</v>
      </c>
      <c r="P39" s="41">
        <v>1955</v>
      </c>
      <c r="Q39" s="22">
        <f t="shared" si="6"/>
        <v>0.23300000000000001</v>
      </c>
      <c r="R39" s="41">
        <v>466</v>
      </c>
      <c r="S39" s="22">
        <f t="shared" si="7"/>
        <v>0</v>
      </c>
      <c r="T39" s="41">
        <v>0</v>
      </c>
      <c r="U39" s="41">
        <v>0</v>
      </c>
      <c r="V39" s="41">
        <v>257.69670000000002</v>
      </c>
      <c r="W39" s="41">
        <v>147.6935</v>
      </c>
      <c r="X39" s="41">
        <v>0</v>
      </c>
      <c r="Y39" s="41">
        <v>0</v>
      </c>
      <c r="Z39" s="22">
        <v>0</v>
      </c>
      <c r="AA39" s="41">
        <v>14.75991</v>
      </c>
      <c r="AB39" s="41">
        <v>15.03</v>
      </c>
      <c r="AC39" s="41">
        <v>60.2044428865578</v>
      </c>
      <c r="AD39" s="42">
        <v>28.2</v>
      </c>
      <c r="AE39" s="35">
        <f t="shared" si="8"/>
        <v>864.88849999999991</v>
      </c>
      <c r="AF39" s="35">
        <f t="shared" si="9"/>
        <v>0.17649999999999999</v>
      </c>
      <c r="AG39" s="35">
        <f t="shared" si="10"/>
        <v>25.457500000000003</v>
      </c>
      <c r="AH39" s="35">
        <f t="shared" si="11"/>
        <v>0</v>
      </c>
      <c r="AI39" s="35">
        <f t="shared" si="12"/>
        <v>0</v>
      </c>
      <c r="AJ39" s="35">
        <f t="shared" si="13"/>
        <v>15.03</v>
      </c>
      <c r="AK39" s="35">
        <f t="shared" si="14"/>
        <v>42.959910000000001</v>
      </c>
      <c r="AL39" s="36">
        <f t="shared" si="15"/>
        <v>948.51240999999993</v>
      </c>
    </row>
    <row r="40" spans="1:38">
      <c r="A40" s="14">
        <v>1780</v>
      </c>
      <c r="B40" s="13" t="s">
        <v>40</v>
      </c>
      <c r="C40" s="41">
        <v>485.77</v>
      </c>
      <c r="D40" s="22">
        <f t="shared" si="0"/>
        <v>4.8765000000000001</v>
      </c>
      <c r="E40" s="41">
        <v>9753</v>
      </c>
      <c r="F40" s="22">
        <f t="shared" si="1"/>
        <v>0.19750000000000001</v>
      </c>
      <c r="G40" s="41">
        <v>395</v>
      </c>
      <c r="H40" s="22">
        <f t="shared" si="2"/>
        <v>0.19750000000000001</v>
      </c>
      <c r="I40" s="41">
        <v>395</v>
      </c>
      <c r="J40" s="22">
        <f t="shared" si="3"/>
        <v>0.16300000000000001</v>
      </c>
      <c r="K40" s="41">
        <v>326</v>
      </c>
      <c r="L40" s="22">
        <f t="shared" si="4"/>
        <v>3.7499999999999999E-2</v>
      </c>
      <c r="M40" s="41">
        <v>75</v>
      </c>
      <c r="N40" s="41">
        <v>433</v>
      </c>
      <c r="O40" s="22">
        <f t="shared" si="5"/>
        <v>0.17</v>
      </c>
      <c r="P40" s="41">
        <v>340</v>
      </c>
      <c r="Q40" s="22">
        <f t="shared" si="6"/>
        <v>4.0500000000000001E-2</v>
      </c>
      <c r="R40" s="41">
        <v>81</v>
      </c>
      <c r="S40" s="22">
        <f t="shared" si="7"/>
        <v>0</v>
      </c>
      <c r="T40" s="41">
        <v>0</v>
      </c>
      <c r="U40" s="41">
        <v>0</v>
      </c>
      <c r="V40" s="41">
        <v>287.72210000000001</v>
      </c>
      <c r="W40" s="41">
        <v>0</v>
      </c>
      <c r="X40" s="41">
        <v>0</v>
      </c>
      <c r="Y40" s="41">
        <v>0</v>
      </c>
      <c r="Z40" s="22">
        <v>2.2499999999999999E-2</v>
      </c>
      <c r="AA40" s="41">
        <v>4.7109040000000002</v>
      </c>
      <c r="AB40" s="41">
        <v>6.3150000000000004</v>
      </c>
      <c r="AC40" s="41">
        <v>44.861171787618197</v>
      </c>
      <c r="AD40" s="42">
        <v>13.8</v>
      </c>
      <c r="AE40" s="35">
        <f t="shared" si="8"/>
        <v>486.10300000000001</v>
      </c>
      <c r="AF40" s="35">
        <f t="shared" si="9"/>
        <v>0.06</v>
      </c>
      <c r="AG40" s="35">
        <f t="shared" si="10"/>
        <v>5.3119999999999994</v>
      </c>
      <c r="AH40" s="35">
        <f t="shared" si="11"/>
        <v>0</v>
      </c>
      <c r="AI40" s="35">
        <f t="shared" si="12"/>
        <v>0</v>
      </c>
      <c r="AJ40" s="35">
        <f t="shared" si="13"/>
        <v>6.3150000000000004</v>
      </c>
      <c r="AK40" s="35">
        <f t="shared" si="14"/>
        <v>18.510904</v>
      </c>
      <c r="AL40" s="36">
        <f t="shared" si="15"/>
        <v>516.30090400000006</v>
      </c>
    </row>
    <row r="41" spans="1:38">
      <c r="A41" s="14">
        <v>1811</v>
      </c>
      <c r="B41" s="13" t="s">
        <v>41</v>
      </c>
      <c r="C41" s="41">
        <v>838.98</v>
      </c>
      <c r="D41" s="22">
        <f t="shared" si="0"/>
        <v>34.402999999999999</v>
      </c>
      <c r="E41" s="41">
        <v>68806</v>
      </c>
      <c r="F41" s="22">
        <f t="shared" si="1"/>
        <v>1.508</v>
      </c>
      <c r="G41" s="41">
        <v>3016</v>
      </c>
      <c r="H41" s="22">
        <f t="shared" si="2"/>
        <v>1.508</v>
      </c>
      <c r="I41" s="41">
        <v>3016</v>
      </c>
      <c r="J41" s="22">
        <f t="shared" si="3"/>
        <v>1.292</v>
      </c>
      <c r="K41" s="41">
        <v>2584</v>
      </c>
      <c r="L41" s="22">
        <f t="shared" si="4"/>
        <v>0.28050000000000003</v>
      </c>
      <c r="M41" s="41">
        <v>561</v>
      </c>
      <c r="N41" s="41">
        <v>3612</v>
      </c>
      <c r="O41" s="22">
        <f t="shared" si="5"/>
        <v>1.2729999999999999</v>
      </c>
      <c r="P41" s="41">
        <v>2546</v>
      </c>
      <c r="Q41" s="22">
        <f t="shared" si="6"/>
        <v>0.33200000000000002</v>
      </c>
      <c r="R41" s="41">
        <v>664</v>
      </c>
      <c r="S41" s="22">
        <f t="shared" si="7"/>
        <v>0</v>
      </c>
      <c r="T41" s="41">
        <v>0</v>
      </c>
      <c r="U41" s="41">
        <v>0</v>
      </c>
      <c r="V41" s="41">
        <v>361.96</v>
      </c>
      <c r="W41" s="41">
        <v>94.805499999999995</v>
      </c>
      <c r="X41" s="41">
        <v>52.254620000000003</v>
      </c>
      <c r="Y41" s="41">
        <v>27.501239999999999</v>
      </c>
      <c r="Z41" s="22">
        <v>0.18</v>
      </c>
      <c r="AA41" s="41">
        <v>7.8214620000000004</v>
      </c>
      <c r="AB41" s="41">
        <v>23.715</v>
      </c>
      <c r="AC41" s="41">
        <v>159.05368407014899</v>
      </c>
      <c r="AD41" s="42">
        <v>17.25</v>
      </c>
      <c r="AE41" s="35">
        <f t="shared" si="8"/>
        <v>841.54500000000007</v>
      </c>
      <c r="AF41" s="35">
        <f t="shared" si="9"/>
        <v>0.46050000000000002</v>
      </c>
      <c r="AG41" s="35">
        <f t="shared" si="10"/>
        <v>37.751000000000005</v>
      </c>
      <c r="AH41" s="35">
        <f t="shared" si="11"/>
        <v>52.254620000000003</v>
      </c>
      <c r="AI41" s="35">
        <f t="shared" si="12"/>
        <v>27.501239999999999</v>
      </c>
      <c r="AJ41" s="35">
        <f t="shared" si="13"/>
        <v>23.715</v>
      </c>
      <c r="AK41" s="35">
        <f t="shared" si="14"/>
        <v>25.071462</v>
      </c>
      <c r="AL41" s="36">
        <f t="shared" si="15"/>
        <v>1008.2988220000002</v>
      </c>
    </row>
    <row r="42" spans="1:38">
      <c r="A42" s="14">
        <v>1825</v>
      </c>
      <c r="B42" s="13" t="s">
        <v>42</v>
      </c>
      <c r="C42" s="41">
        <v>847.08</v>
      </c>
      <c r="D42" s="22">
        <f t="shared" si="0"/>
        <v>23.257999999999999</v>
      </c>
      <c r="E42" s="41">
        <v>46516</v>
      </c>
      <c r="F42" s="22">
        <f t="shared" si="1"/>
        <v>0.89949999999999997</v>
      </c>
      <c r="G42" s="41">
        <v>1799</v>
      </c>
      <c r="H42" s="22">
        <f t="shared" si="2"/>
        <v>0.89949999999999997</v>
      </c>
      <c r="I42" s="41">
        <v>1799</v>
      </c>
      <c r="J42" s="22">
        <f t="shared" si="3"/>
        <v>0.79700000000000004</v>
      </c>
      <c r="K42" s="41">
        <v>1594</v>
      </c>
      <c r="L42" s="22">
        <f t="shared" si="4"/>
        <v>0.182</v>
      </c>
      <c r="M42" s="41">
        <v>364</v>
      </c>
      <c r="N42" s="41">
        <v>2017</v>
      </c>
      <c r="O42" s="22">
        <f t="shared" si="5"/>
        <v>0.80649999999999999</v>
      </c>
      <c r="P42" s="41">
        <v>1613</v>
      </c>
      <c r="Q42" s="22">
        <f t="shared" si="6"/>
        <v>0.32250000000000001</v>
      </c>
      <c r="R42" s="41">
        <v>645</v>
      </c>
      <c r="S42" s="22">
        <f t="shared" si="7"/>
        <v>0</v>
      </c>
      <c r="T42" s="41">
        <v>0</v>
      </c>
      <c r="U42" s="41">
        <v>0</v>
      </c>
      <c r="V42" s="41">
        <v>200.83145999999999</v>
      </c>
      <c r="W42" s="41">
        <v>82.055000000000007</v>
      </c>
      <c r="X42" s="41">
        <v>0</v>
      </c>
      <c r="Y42" s="41">
        <v>0</v>
      </c>
      <c r="Z42" s="22">
        <v>0</v>
      </c>
      <c r="AA42" s="41">
        <v>9.4891279999999991</v>
      </c>
      <c r="AB42" s="41">
        <v>19.260000000000002</v>
      </c>
      <c r="AC42" s="41">
        <v>54.0649097510288</v>
      </c>
      <c r="AD42" s="42">
        <v>19.850000000000001</v>
      </c>
      <c r="AE42" s="35">
        <f t="shared" si="8"/>
        <v>848.68350000000009</v>
      </c>
      <c r="AF42" s="35">
        <f t="shared" si="9"/>
        <v>0.182</v>
      </c>
      <c r="AG42" s="35">
        <f t="shared" si="10"/>
        <v>25.3795</v>
      </c>
      <c r="AH42" s="35">
        <f t="shared" si="11"/>
        <v>0</v>
      </c>
      <c r="AI42" s="35">
        <f t="shared" si="12"/>
        <v>0</v>
      </c>
      <c r="AJ42" s="35">
        <f t="shared" si="13"/>
        <v>19.260000000000002</v>
      </c>
      <c r="AK42" s="35">
        <f t="shared" si="14"/>
        <v>29.339128000000002</v>
      </c>
      <c r="AL42" s="36">
        <f t="shared" si="15"/>
        <v>922.84412800000007</v>
      </c>
    </row>
    <row r="43" spans="1:38">
      <c r="A43" s="14">
        <v>1833</v>
      </c>
      <c r="B43" s="13" t="s">
        <v>43</v>
      </c>
      <c r="C43" s="41">
        <v>906.89</v>
      </c>
      <c r="D43" s="22">
        <f t="shared" si="0"/>
        <v>32.426499999999997</v>
      </c>
      <c r="E43" s="41">
        <v>64853</v>
      </c>
      <c r="F43" s="22">
        <f t="shared" si="1"/>
        <v>1.22</v>
      </c>
      <c r="G43" s="41">
        <v>2440</v>
      </c>
      <c r="H43" s="22">
        <f t="shared" si="2"/>
        <v>1.22</v>
      </c>
      <c r="I43" s="41">
        <v>2440</v>
      </c>
      <c r="J43" s="22">
        <f t="shared" si="3"/>
        <v>1.5135000000000001</v>
      </c>
      <c r="K43" s="41">
        <v>3027</v>
      </c>
      <c r="L43" s="22">
        <f t="shared" si="4"/>
        <v>0.20549999999999999</v>
      </c>
      <c r="M43" s="41">
        <v>411</v>
      </c>
      <c r="N43" s="41">
        <v>3294</v>
      </c>
      <c r="O43" s="22">
        <f t="shared" si="5"/>
        <v>1.484</v>
      </c>
      <c r="P43" s="41">
        <v>2968</v>
      </c>
      <c r="Q43" s="22">
        <f t="shared" si="6"/>
        <v>0.48349999999999999</v>
      </c>
      <c r="R43" s="41">
        <v>967</v>
      </c>
      <c r="S43" s="22">
        <f t="shared" si="7"/>
        <v>0</v>
      </c>
      <c r="T43" s="41">
        <v>0</v>
      </c>
      <c r="U43" s="41">
        <v>0</v>
      </c>
      <c r="V43" s="41">
        <v>439.81</v>
      </c>
      <c r="W43" s="41">
        <v>164.39599999999999</v>
      </c>
      <c r="X43" s="41">
        <v>76.980999999999995</v>
      </c>
      <c r="Y43" s="41">
        <v>39.758580000000002</v>
      </c>
      <c r="Z43" s="22">
        <v>0.2475</v>
      </c>
      <c r="AA43" s="41">
        <v>8.8245299999999993</v>
      </c>
      <c r="AB43" s="41">
        <v>28.664999999999999</v>
      </c>
      <c r="AC43" s="41">
        <v>65.626912775596594</v>
      </c>
      <c r="AD43" s="42">
        <v>23.125</v>
      </c>
      <c r="AE43" s="35">
        <f t="shared" si="8"/>
        <v>909.88750000000005</v>
      </c>
      <c r="AF43" s="35">
        <f t="shared" si="9"/>
        <v>0.45299999999999996</v>
      </c>
      <c r="AG43" s="35">
        <f t="shared" si="10"/>
        <v>35.349999999999994</v>
      </c>
      <c r="AH43" s="35">
        <f t="shared" si="11"/>
        <v>76.980999999999995</v>
      </c>
      <c r="AI43" s="35">
        <f t="shared" si="12"/>
        <v>39.758580000000002</v>
      </c>
      <c r="AJ43" s="35">
        <f t="shared" si="13"/>
        <v>28.664999999999999</v>
      </c>
      <c r="AK43" s="35">
        <f t="shared" si="14"/>
        <v>31.949529999999999</v>
      </c>
      <c r="AL43" s="36">
        <f t="shared" si="15"/>
        <v>1123.0446100000001</v>
      </c>
    </row>
    <row r="44" spans="1:38">
      <c r="A44" s="14">
        <v>1841</v>
      </c>
      <c r="B44" s="13" t="s">
        <v>32</v>
      </c>
      <c r="C44" s="41">
        <v>801.25</v>
      </c>
      <c r="D44" s="22">
        <f t="shared" si="0"/>
        <v>5.726</v>
      </c>
      <c r="E44" s="41">
        <v>11452</v>
      </c>
      <c r="F44" s="22">
        <f t="shared" si="1"/>
        <v>0.30399999999999999</v>
      </c>
      <c r="G44" s="41">
        <v>608</v>
      </c>
      <c r="H44" s="22">
        <f t="shared" si="2"/>
        <v>0.30399999999999999</v>
      </c>
      <c r="I44" s="41">
        <v>608</v>
      </c>
      <c r="J44" s="22">
        <f t="shared" si="3"/>
        <v>0.33500000000000002</v>
      </c>
      <c r="K44" s="41">
        <v>670</v>
      </c>
      <c r="L44" s="22">
        <f t="shared" si="4"/>
        <v>4.4499999999999998E-2</v>
      </c>
      <c r="M44" s="41">
        <v>89</v>
      </c>
      <c r="N44" s="41">
        <v>830</v>
      </c>
      <c r="O44" s="22">
        <f t="shared" si="5"/>
        <v>0.3155</v>
      </c>
      <c r="P44" s="41">
        <v>631</v>
      </c>
      <c r="Q44" s="22">
        <f t="shared" si="6"/>
        <v>3.2000000000000001E-2</v>
      </c>
      <c r="R44" s="41">
        <v>64</v>
      </c>
      <c r="S44" s="22">
        <f t="shared" si="7"/>
        <v>0</v>
      </c>
      <c r="T44" s="41">
        <v>0</v>
      </c>
      <c r="U44" s="41">
        <v>0</v>
      </c>
      <c r="V44" s="41">
        <v>411.99</v>
      </c>
      <c r="W44" s="41">
        <v>115.8695</v>
      </c>
      <c r="X44" s="41">
        <v>0</v>
      </c>
      <c r="Y44" s="41">
        <v>0</v>
      </c>
      <c r="Z44" s="22">
        <v>0</v>
      </c>
      <c r="AA44" s="41">
        <v>7.5125380000000002</v>
      </c>
      <c r="AB44" s="41">
        <v>13.98</v>
      </c>
      <c r="AC44" s="41">
        <v>156.88209975388699</v>
      </c>
      <c r="AD44" s="42">
        <v>1.1499999999999999</v>
      </c>
      <c r="AE44" s="35">
        <f t="shared" si="8"/>
        <v>801.90050000000008</v>
      </c>
      <c r="AF44" s="35">
        <f t="shared" si="9"/>
        <v>4.4499999999999998E-2</v>
      </c>
      <c r="AG44" s="35">
        <f t="shared" si="10"/>
        <v>6.3660000000000005</v>
      </c>
      <c r="AH44" s="35">
        <f t="shared" si="11"/>
        <v>0</v>
      </c>
      <c r="AI44" s="35">
        <f t="shared" si="12"/>
        <v>0</v>
      </c>
      <c r="AJ44" s="35">
        <f t="shared" si="13"/>
        <v>13.98</v>
      </c>
      <c r="AK44" s="35">
        <f t="shared" si="14"/>
        <v>8.6625379999999996</v>
      </c>
      <c r="AL44" s="36">
        <f t="shared" si="15"/>
        <v>830.95353800000009</v>
      </c>
    </row>
    <row r="45" spans="1:38">
      <c r="A45" s="14">
        <v>1852</v>
      </c>
      <c r="B45" s="13" t="s">
        <v>42</v>
      </c>
      <c r="C45" s="41">
        <v>848.55</v>
      </c>
      <c r="D45" s="22">
        <f t="shared" si="0"/>
        <v>6.3615000000000004</v>
      </c>
      <c r="E45" s="41">
        <v>12723</v>
      </c>
      <c r="F45" s="22">
        <f t="shared" si="1"/>
        <v>0.32350000000000001</v>
      </c>
      <c r="G45" s="41">
        <v>647</v>
      </c>
      <c r="H45" s="22">
        <f t="shared" si="2"/>
        <v>0.32350000000000001</v>
      </c>
      <c r="I45" s="41">
        <v>647</v>
      </c>
      <c r="J45" s="22">
        <f t="shared" si="3"/>
        <v>0.35799999999999998</v>
      </c>
      <c r="K45" s="41">
        <v>716</v>
      </c>
      <c r="L45" s="22">
        <f t="shared" si="4"/>
        <v>5.5E-2</v>
      </c>
      <c r="M45" s="41">
        <v>110</v>
      </c>
      <c r="N45" s="41">
        <v>718</v>
      </c>
      <c r="O45" s="22">
        <f t="shared" si="5"/>
        <v>0.27050000000000002</v>
      </c>
      <c r="P45" s="41">
        <v>541</v>
      </c>
      <c r="Q45" s="22">
        <f t="shared" si="6"/>
        <v>0.1045</v>
      </c>
      <c r="R45" s="41">
        <v>209</v>
      </c>
      <c r="S45" s="22">
        <f t="shared" si="7"/>
        <v>0</v>
      </c>
      <c r="T45" s="41">
        <v>0</v>
      </c>
      <c r="U45" s="41">
        <v>0</v>
      </c>
      <c r="V45" s="41">
        <v>205.22378</v>
      </c>
      <c r="W45" s="41">
        <v>142.18600000000001</v>
      </c>
      <c r="X45" s="41">
        <v>0</v>
      </c>
      <c r="Y45" s="41">
        <v>0</v>
      </c>
      <c r="Z45" s="22">
        <v>0</v>
      </c>
      <c r="AA45" s="41">
        <v>4.4633159999999998</v>
      </c>
      <c r="AB45" s="41">
        <v>18.945</v>
      </c>
      <c r="AC45" s="41">
        <v>56.208129640706602</v>
      </c>
      <c r="AD45" s="42">
        <v>24</v>
      </c>
      <c r="AE45" s="35">
        <f t="shared" si="8"/>
        <v>849.17849999999987</v>
      </c>
      <c r="AF45" s="35">
        <f t="shared" si="9"/>
        <v>5.5E-2</v>
      </c>
      <c r="AG45" s="35">
        <f t="shared" si="10"/>
        <v>7.1130000000000004</v>
      </c>
      <c r="AH45" s="35">
        <f t="shared" si="11"/>
        <v>0</v>
      </c>
      <c r="AI45" s="35">
        <f t="shared" si="12"/>
        <v>0</v>
      </c>
      <c r="AJ45" s="35">
        <f t="shared" si="13"/>
        <v>18.945</v>
      </c>
      <c r="AK45" s="35">
        <f t="shared" si="14"/>
        <v>28.463315999999999</v>
      </c>
      <c r="AL45" s="36">
        <f t="shared" si="15"/>
        <v>903.75481599999989</v>
      </c>
    </row>
    <row r="46" spans="1:38">
      <c r="A46" s="14">
        <v>1904</v>
      </c>
      <c r="B46" s="13" t="s">
        <v>44</v>
      </c>
      <c r="C46" s="41">
        <v>308.99</v>
      </c>
      <c r="D46" s="22">
        <f t="shared" si="0"/>
        <v>11.839</v>
      </c>
      <c r="E46" s="41">
        <v>23678</v>
      </c>
      <c r="F46" s="22">
        <f t="shared" si="1"/>
        <v>0.57399999999999995</v>
      </c>
      <c r="G46" s="41">
        <v>1148</v>
      </c>
      <c r="H46" s="22">
        <f t="shared" si="2"/>
        <v>0.57399999999999995</v>
      </c>
      <c r="I46" s="41">
        <v>1148</v>
      </c>
      <c r="J46" s="22">
        <f t="shared" si="3"/>
        <v>0.58099999999999996</v>
      </c>
      <c r="K46" s="41">
        <v>1162</v>
      </c>
      <c r="L46" s="22">
        <f t="shared" si="4"/>
        <v>0.1125</v>
      </c>
      <c r="M46" s="41">
        <v>225</v>
      </c>
      <c r="N46" s="41">
        <v>1194</v>
      </c>
      <c r="O46" s="22">
        <f t="shared" si="5"/>
        <v>0.57750000000000001</v>
      </c>
      <c r="P46" s="41">
        <v>1155</v>
      </c>
      <c r="Q46" s="22">
        <f t="shared" si="6"/>
        <v>0.1195</v>
      </c>
      <c r="R46" s="41">
        <v>239</v>
      </c>
      <c r="S46" s="22">
        <f t="shared" si="7"/>
        <v>0</v>
      </c>
      <c r="T46" s="41">
        <v>0</v>
      </c>
      <c r="U46" s="41">
        <v>0</v>
      </c>
      <c r="V46" s="41">
        <v>93.33</v>
      </c>
      <c r="W46" s="41">
        <v>0</v>
      </c>
      <c r="X46" s="41">
        <v>0</v>
      </c>
      <c r="Y46" s="41">
        <v>0</v>
      </c>
      <c r="Z46" s="22">
        <v>0</v>
      </c>
      <c r="AA46" s="41">
        <v>0</v>
      </c>
      <c r="AB46" s="41">
        <v>11.94</v>
      </c>
      <c r="AC46" s="41">
        <v>0.41399999999999998</v>
      </c>
      <c r="AD46" s="42">
        <v>0</v>
      </c>
      <c r="AE46" s="35">
        <f t="shared" si="8"/>
        <v>310.14850000000001</v>
      </c>
      <c r="AF46" s="35">
        <f t="shared" si="9"/>
        <v>0.1125</v>
      </c>
      <c r="AG46" s="35">
        <f t="shared" si="10"/>
        <v>13.1065</v>
      </c>
      <c r="AH46" s="35">
        <f t="shared" si="11"/>
        <v>0</v>
      </c>
      <c r="AI46" s="35">
        <f t="shared" si="12"/>
        <v>0</v>
      </c>
      <c r="AJ46" s="35">
        <f t="shared" si="13"/>
        <v>11.94</v>
      </c>
      <c r="AK46" s="35">
        <f t="shared" si="14"/>
        <v>0</v>
      </c>
      <c r="AL46" s="36">
        <f t="shared" si="15"/>
        <v>335.3075</v>
      </c>
    </row>
    <row r="47" spans="1:38">
      <c r="A47" s="14">
        <v>1934</v>
      </c>
      <c r="B47" s="13" t="s">
        <v>45</v>
      </c>
      <c r="C47" s="41">
        <v>515.54</v>
      </c>
      <c r="D47" s="22">
        <f t="shared" si="0"/>
        <v>2.2515000000000001</v>
      </c>
      <c r="E47" s="41">
        <v>4503</v>
      </c>
      <c r="F47" s="22">
        <f t="shared" si="1"/>
        <v>0.11849999999999999</v>
      </c>
      <c r="G47" s="41">
        <v>237</v>
      </c>
      <c r="H47" s="22">
        <f t="shared" si="2"/>
        <v>0.11849999999999999</v>
      </c>
      <c r="I47" s="41">
        <v>237</v>
      </c>
      <c r="J47" s="22">
        <f t="shared" si="3"/>
        <v>0.23699999999999999</v>
      </c>
      <c r="K47" s="41">
        <v>474</v>
      </c>
      <c r="L47" s="22">
        <f t="shared" si="4"/>
        <v>2.9499999999999998E-2</v>
      </c>
      <c r="M47" s="41">
        <v>59</v>
      </c>
      <c r="N47" s="41">
        <v>356</v>
      </c>
      <c r="O47" s="22">
        <f t="shared" si="5"/>
        <v>0.11849999999999999</v>
      </c>
      <c r="P47" s="41">
        <v>237</v>
      </c>
      <c r="Q47" s="22">
        <f t="shared" si="6"/>
        <v>2.9499999999999998E-2</v>
      </c>
      <c r="R47" s="41">
        <v>59</v>
      </c>
      <c r="S47" s="22">
        <f t="shared" si="7"/>
        <v>0</v>
      </c>
      <c r="T47" s="41">
        <v>0</v>
      </c>
      <c r="U47" s="41">
        <v>0</v>
      </c>
      <c r="V47" s="41">
        <v>150.11359999999999</v>
      </c>
      <c r="W47" s="41">
        <v>58.344499999999996</v>
      </c>
      <c r="X47" s="41">
        <v>40.870539999999998</v>
      </c>
      <c r="Y47" s="41">
        <v>20.485019999999999</v>
      </c>
      <c r="Z47" s="22">
        <v>0</v>
      </c>
      <c r="AA47" s="41">
        <v>2.5615260000000002</v>
      </c>
      <c r="AB47" s="41">
        <v>24.69</v>
      </c>
      <c r="AC47" s="41">
        <v>109.958771337258</v>
      </c>
      <c r="AD47" s="42">
        <v>22.6875</v>
      </c>
      <c r="AE47" s="35">
        <f t="shared" si="8"/>
        <v>515.89549999999997</v>
      </c>
      <c r="AF47" s="35">
        <f t="shared" si="9"/>
        <v>2.9499999999999998E-2</v>
      </c>
      <c r="AG47" s="35">
        <f t="shared" si="10"/>
        <v>2.5180000000000002</v>
      </c>
      <c r="AH47" s="35">
        <f t="shared" si="11"/>
        <v>40.870539999999998</v>
      </c>
      <c r="AI47" s="35">
        <f t="shared" si="12"/>
        <v>20.485019999999999</v>
      </c>
      <c r="AJ47" s="35">
        <f t="shared" si="13"/>
        <v>24.69</v>
      </c>
      <c r="AK47" s="35">
        <f t="shared" si="14"/>
        <v>25.249026000000001</v>
      </c>
      <c r="AL47" s="36">
        <f t="shared" si="15"/>
        <v>629.73758599999996</v>
      </c>
    </row>
    <row r="48" spans="1:38">
      <c r="A48" s="14">
        <v>1969</v>
      </c>
      <c r="B48" s="13" t="s">
        <v>28</v>
      </c>
      <c r="C48" s="41">
        <v>643.32000000000005</v>
      </c>
      <c r="D48" s="22">
        <f t="shared" si="0"/>
        <v>23.185500000000001</v>
      </c>
      <c r="E48" s="41">
        <v>46371</v>
      </c>
      <c r="F48" s="22">
        <f t="shared" si="1"/>
        <v>0.97699999999999998</v>
      </c>
      <c r="G48" s="41">
        <v>1954</v>
      </c>
      <c r="H48" s="22">
        <f t="shared" si="2"/>
        <v>0.97699999999999998</v>
      </c>
      <c r="I48" s="41">
        <v>1954</v>
      </c>
      <c r="J48" s="22">
        <f t="shared" si="3"/>
        <v>1.0814999999999999</v>
      </c>
      <c r="K48" s="41">
        <v>2163</v>
      </c>
      <c r="L48" s="22">
        <f t="shared" si="4"/>
        <v>0.17649999999999999</v>
      </c>
      <c r="M48" s="41">
        <v>353</v>
      </c>
      <c r="N48" s="41">
        <v>2262</v>
      </c>
      <c r="O48" s="22">
        <f t="shared" si="5"/>
        <v>0.91149999999999998</v>
      </c>
      <c r="P48" s="41">
        <v>1823</v>
      </c>
      <c r="Q48" s="22">
        <f t="shared" si="6"/>
        <v>0.2185</v>
      </c>
      <c r="R48" s="41">
        <v>437</v>
      </c>
      <c r="S48" s="22">
        <f t="shared" si="7"/>
        <v>0</v>
      </c>
      <c r="T48" s="41">
        <v>0</v>
      </c>
      <c r="U48" s="41">
        <v>0</v>
      </c>
      <c r="V48" s="41">
        <v>282.68</v>
      </c>
      <c r="W48" s="41">
        <v>116.5615</v>
      </c>
      <c r="X48" s="41">
        <v>0</v>
      </c>
      <c r="Y48" s="41">
        <v>0</v>
      </c>
      <c r="Z48" s="22">
        <v>6.7500000000000004E-2</v>
      </c>
      <c r="AA48" s="41">
        <v>9.0190099999999997</v>
      </c>
      <c r="AB48" s="41">
        <v>9.5850000000000009</v>
      </c>
      <c r="AC48" s="41">
        <v>50.105810346745798</v>
      </c>
      <c r="AD48" s="42">
        <v>7.0250000000000004</v>
      </c>
      <c r="AE48" s="35">
        <f t="shared" si="8"/>
        <v>645.3130000000001</v>
      </c>
      <c r="AF48" s="35">
        <f t="shared" si="9"/>
        <v>0.24399999999999999</v>
      </c>
      <c r="AG48" s="35">
        <f t="shared" si="10"/>
        <v>25.358000000000001</v>
      </c>
      <c r="AH48" s="35">
        <f t="shared" si="11"/>
        <v>0</v>
      </c>
      <c r="AI48" s="35">
        <f t="shared" si="12"/>
        <v>0</v>
      </c>
      <c r="AJ48" s="35">
        <f t="shared" si="13"/>
        <v>9.5850000000000009</v>
      </c>
      <c r="AK48" s="35">
        <f t="shared" si="14"/>
        <v>16.04401</v>
      </c>
      <c r="AL48" s="36">
        <f t="shared" si="15"/>
        <v>696.54401000000007</v>
      </c>
    </row>
    <row r="49" spans="1:38">
      <c r="A49" s="14">
        <v>2015</v>
      </c>
      <c r="B49" s="13" t="s">
        <v>46</v>
      </c>
      <c r="C49" s="41">
        <v>691.19</v>
      </c>
      <c r="D49" s="22">
        <f t="shared" si="0"/>
        <v>9.9600000000000009</v>
      </c>
      <c r="E49" s="41">
        <v>19920</v>
      </c>
      <c r="F49" s="22">
        <f t="shared" si="1"/>
        <v>0.38250000000000001</v>
      </c>
      <c r="G49" s="41">
        <v>765</v>
      </c>
      <c r="H49" s="22">
        <f t="shared" si="2"/>
        <v>0.38250000000000001</v>
      </c>
      <c r="I49" s="41">
        <v>765</v>
      </c>
      <c r="J49" s="22">
        <f t="shared" si="3"/>
        <v>0.4425</v>
      </c>
      <c r="K49" s="41">
        <v>885</v>
      </c>
      <c r="L49" s="22">
        <f t="shared" si="4"/>
        <v>9.0499999999999997E-2</v>
      </c>
      <c r="M49" s="41">
        <v>181</v>
      </c>
      <c r="N49" s="41">
        <v>1268</v>
      </c>
      <c r="O49" s="22">
        <f t="shared" si="5"/>
        <v>0.61150000000000004</v>
      </c>
      <c r="P49" s="41">
        <v>1223</v>
      </c>
      <c r="Q49" s="22">
        <f t="shared" si="6"/>
        <v>0.1255</v>
      </c>
      <c r="R49" s="41">
        <v>251</v>
      </c>
      <c r="S49" s="22">
        <f t="shared" si="7"/>
        <v>0</v>
      </c>
      <c r="T49" s="41">
        <v>0</v>
      </c>
      <c r="U49" s="41">
        <v>0</v>
      </c>
      <c r="V49" s="41">
        <v>238.11</v>
      </c>
      <c r="W49" s="41">
        <v>99.3065</v>
      </c>
      <c r="X49" s="41">
        <v>0</v>
      </c>
      <c r="Y49" s="41">
        <v>0</v>
      </c>
      <c r="Z49" s="22">
        <v>0.1125</v>
      </c>
      <c r="AA49" s="41">
        <v>3.0286520000000001</v>
      </c>
      <c r="AB49" s="41">
        <v>11.595000000000001</v>
      </c>
      <c r="AC49" s="41">
        <v>31.395713913095399</v>
      </c>
      <c r="AD49" s="42">
        <v>8.6</v>
      </c>
      <c r="AE49" s="35">
        <f t="shared" si="8"/>
        <v>692.24400000000003</v>
      </c>
      <c r="AF49" s="35">
        <f t="shared" si="9"/>
        <v>0.20300000000000001</v>
      </c>
      <c r="AG49" s="35">
        <f t="shared" si="10"/>
        <v>10.850500000000002</v>
      </c>
      <c r="AH49" s="35">
        <f t="shared" si="11"/>
        <v>0</v>
      </c>
      <c r="AI49" s="35">
        <f t="shared" si="12"/>
        <v>0</v>
      </c>
      <c r="AJ49" s="35">
        <f t="shared" si="13"/>
        <v>11.595000000000001</v>
      </c>
      <c r="AK49" s="35">
        <f t="shared" si="14"/>
        <v>11.628651999999999</v>
      </c>
      <c r="AL49" s="36">
        <f t="shared" si="15"/>
        <v>726.52115200000003</v>
      </c>
    </row>
    <row r="50" spans="1:38">
      <c r="A50" s="14">
        <v>2038</v>
      </c>
      <c r="B50" s="13" t="s">
        <v>44</v>
      </c>
      <c r="C50" s="41">
        <v>920.8</v>
      </c>
      <c r="D50" s="22">
        <f t="shared" si="0"/>
        <v>19.572500000000002</v>
      </c>
      <c r="E50" s="41">
        <v>39145</v>
      </c>
      <c r="F50" s="22">
        <f t="shared" si="1"/>
        <v>0.75149999999999995</v>
      </c>
      <c r="G50" s="41">
        <v>1503</v>
      </c>
      <c r="H50" s="22">
        <f t="shared" si="2"/>
        <v>0.75149999999999995</v>
      </c>
      <c r="I50" s="41">
        <v>1503</v>
      </c>
      <c r="J50" s="22">
        <f t="shared" si="3"/>
        <v>0.70050000000000001</v>
      </c>
      <c r="K50" s="41">
        <v>1401</v>
      </c>
      <c r="L50" s="22">
        <f t="shared" si="4"/>
        <v>0.151</v>
      </c>
      <c r="M50" s="41">
        <v>302</v>
      </c>
      <c r="N50" s="41">
        <v>1932</v>
      </c>
      <c r="O50" s="22">
        <f t="shared" si="5"/>
        <v>0.69750000000000001</v>
      </c>
      <c r="P50" s="41">
        <v>1395</v>
      </c>
      <c r="Q50" s="22">
        <f t="shared" si="6"/>
        <v>0.23350000000000001</v>
      </c>
      <c r="R50" s="41">
        <v>467</v>
      </c>
      <c r="S50" s="22">
        <f t="shared" si="7"/>
        <v>0</v>
      </c>
      <c r="T50" s="41">
        <v>0</v>
      </c>
      <c r="U50" s="41">
        <v>0</v>
      </c>
      <c r="V50" s="41">
        <v>329</v>
      </c>
      <c r="W50" s="41">
        <v>103.93600000000001</v>
      </c>
      <c r="X50" s="41">
        <v>126.64167999999999</v>
      </c>
      <c r="Y50" s="41">
        <v>30.8355</v>
      </c>
      <c r="Z50" s="22">
        <v>1.0349999999999999</v>
      </c>
      <c r="AA50" s="41">
        <v>6.1732440000000004</v>
      </c>
      <c r="AB50" s="41">
        <v>34.14</v>
      </c>
      <c r="AC50" s="41">
        <v>60.248039263838201</v>
      </c>
      <c r="AD50" s="42">
        <v>15.55</v>
      </c>
      <c r="AE50" s="35">
        <f t="shared" si="8"/>
        <v>922.19799999999998</v>
      </c>
      <c r="AF50" s="35">
        <f t="shared" si="9"/>
        <v>1.1859999999999999</v>
      </c>
      <c r="AG50" s="35">
        <f t="shared" si="10"/>
        <v>21.309000000000001</v>
      </c>
      <c r="AH50" s="35">
        <f t="shared" si="11"/>
        <v>126.64167999999999</v>
      </c>
      <c r="AI50" s="35">
        <f t="shared" si="12"/>
        <v>30.8355</v>
      </c>
      <c r="AJ50" s="35">
        <f t="shared" si="13"/>
        <v>34.14</v>
      </c>
      <c r="AK50" s="35">
        <f t="shared" si="14"/>
        <v>21.723244000000001</v>
      </c>
      <c r="AL50" s="36">
        <f t="shared" si="15"/>
        <v>1158.033424</v>
      </c>
    </row>
    <row r="51" spans="1:38">
      <c r="A51" s="14">
        <v>2089</v>
      </c>
      <c r="B51" s="13" t="s">
        <v>47</v>
      </c>
      <c r="C51" s="41">
        <v>861.11</v>
      </c>
      <c r="D51" s="22">
        <f t="shared" si="0"/>
        <v>22.610499999999998</v>
      </c>
      <c r="E51" s="41">
        <v>45221</v>
      </c>
      <c r="F51" s="22">
        <f t="shared" si="1"/>
        <v>4.6234999999999999</v>
      </c>
      <c r="G51" s="41">
        <v>9247</v>
      </c>
      <c r="H51" s="22">
        <f t="shared" si="2"/>
        <v>4.6234999999999999</v>
      </c>
      <c r="I51" s="41">
        <v>9247</v>
      </c>
      <c r="J51" s="22">
        <f t="shared" si="3"/>
        <v>1.4179999999999999</v>
      </c>
      <c r="K51" s="41">
        <v>2836</v>
      </c>
      <c r="L51" s="22">
        <f t="shared" si="4"/>
        <v>0.1265</v>
      </c>
      <c r="M51" s="41">
        <v>253</v>
      </c>
      <c r="N51" s="41">
        <v>3626</v>
      </c>
      <c r="O51" s="22">
        <f t="shared" si="5"/>
        <v>0.253</v>
      </c>
      <c r="P51" s="41">
        <v>506</v>
      </c>
      <c r="Q51" s="22">
        <f t="shared" si="6"/>
        <v>0.72650000000000003</v>
      </c>
      <c r="R51" s="41">
        <v>1453</v>
      </c>
      <c r="S51" s="22">
        <f t="shared" si="7"/>
        <v>0.25</v>
      </c>
      <c r="T51" s="41">
        <v>500</v>
      </c>
      <c r="U51" s="41">
        <v>0</v>
      </c>
      <c r="V51" s="41">
        <v>286.91000000000003</v>
      </c>
      <c r="W51" s="41">
        <v>49.1</v>
      </c>
      <c r="X51" s="41">
        <v>85.858999999999995</v>
      </c>
      <c r="Y51" s="41">
        <v>35.015219999999999</v>
      </c>
      <c r="Z51" s="22">
        <v>0.33250000000000002</v>
      </c>
      <c r="AA51" s="41">
        <v>6.7626679999999997</v>
      </c>
      <c r="AB51" s="41">
        <v>21.434999999999999</v>
      </c>
      <c r="AC51" s="41">
        <v>155.806593726454</v>
      </c>
      <c r="AD51" s="42">
        <v>6.7</v>
      </c>
      <c r="AE51" s="35">
        <f t="shared" si="8"/>
        <v>862.78100000000006</v>
      </c>
      <c r="AF51" s="35">
        <f t="shared" si="9"/>
        <v>0.45900000000000002</v>
      </c>
      <c r="AG51" s="35">
        <f t="shared" si="10"/>
        <v>32.833999999999996</v>
      </c>
      <c r="AH51" s="35">
        <f t="shared" si="11"/>
        <v>85.858999999999995</v>
      </c>
      <c r="AI51" s="35">
        <f t="shared" si="12"/>
        <v>35.015219999999999</v>
      </c>
      <c r="AJ51" s="35">
        <f t="shared" si="13"/>
        <v>21.434999999999999</v>
      </c>
      <c r="AK51" s="35">
        <f t="shared" si="14"/>
        <v>13.462668000000001</v>
      </c>
      <c r="AL51" s="36">
        <f t="shared" si="15"/>
        <v>1051.8458879999998</v>
      </c>
    </row>
    <row r="52" spans="1:38">
      <c r="A52" s="14">
        <v>2136</v>
      </c>
      <c r="B52" s="13" t="s">
        <v>48</v>
      </c>
      <c r="C52" s="41">
        <v>748.14</v>
      </c>
      <c r="D52" s="22">
        <f t="shared" si="0"/>
        <v>29.9665</v>
      </c>
      <c r="E52" s="41">
        <v>59933</v>
      </c>
      <c r="F52" s="22">
        <f t="shared" si="1"/>
        <v>1.3374999999999999</v>
      </c>
      <c r="G52" s="41">
        <v>2675</v>
      </c>
      <c r="H52" s="22">
        <f t="shared" si="2"/>
        <v>1.3374999999999999</v>
      </c>
      <c r="I52" s="41">
        <v>2675</v>
      </c>
      <c r="J52" s="22">
        <f t="shared" si="3"/>
        <v>1.0255000000000001</v>
      </c>
      <c r="K52" s="41">
        <v>2051</v>
      </c>
      <c r="L52" s="22">
        <f t="shared" si="4"/>
        <v>0.28199999999999997</v>
      </c>
      <c r="M52" s="41">
        <v>564</v>
      </c>
      <c r="N52" s="41">
        <v>2778</v>
      </c>
      <c r="O52" s="22">
        <f t="shared" si="5"/>
        <v>1.2355</v>
      </c>
      <c r="P52" s="41">
        <v>2471</v>
      </c>
      <c r="Q52" s="22">
        <f t="shared" si="6"/>
        <v>0.40300000000000002</v>
      </c>
      <c r="R52" s="41">
        <v>806</v>
      </c>
      <c r="S52" s="22">
        <f t="shared" si="7"/>
        <v>0</v>
      </c>
      <c r="T52" s="41">
        <v>0</v>
      </c>
      <c r="U52" s="41">
        <v>0</v>
      </c>
      <c r="V52" s="41">
        <v>197.92</v>
      </c>
      <c r="W52" s="41">
        <v>159.40450000000001</v>
      </c>
      <c r="X52" s="41">
        <v>75.562820000000002</v>
      </c>
      <c r="Y52" s="41">
        <v>21.828240000000001</v>
      </c>
      <c r="Z52" s="22">
        <v>0.58499999999999996</v>
      </c>
      <c r="AA52" s="41">
        <v>9.5527080000000009</v>
      </c>
      <c r="AB52" s="41">
        <v>26.805</v>
      </c>
      <c r="AC52" s="41">
        <v>32.799150667830403</v>
      </c>
      <c r="AD52" s="42">
        <v>31.125</v>
      </c>
      <c r="AE52" s="35">
        <f t="shared" si="8"/>
        <v>750.40099999999995</v>
      </c>
      <c r="AF52" s="35">
        <f t="shared" si="9"/>
        <v>0.86699999999999999</v>
      </c>
      <c r="AG52" s="35">
        <f t="shared" si="10"/>
        <v>33.044499999999999</v>
      </c>
      <c r="AH52" s="35">
        <f t="shared" si="11"/>
        <v>75.562820000000002</v>
      </c>
      <c r="AI52" s="35">
        <f t="shared" si="12"/>
        <v>21.828240000000001</v>
      </c>
      <c r="AJ52" s="35">
        <f t="shared" si="13"/>
        <v>26.805</v>
      </c>
      <c r="AK52" s="35">
        <f t="shared" si="14"/>
        <v>40.677708000000003</v>
      </c>
      <c r="AL52" s="36">
        <f t="shared" si="15"/>
        <v>949.18626799999993</v>
      </c>
    </row>
    <row r="53" spans="1:38">
      <c r="A53" s="14">
        <v>2160</v>
      </c>
      <c r="B53" s="13" t="s">
        <v>49</v>
      </c>
      <c r="C53" s="41">
        <v>505.51</v>
      </c>
      <c r="D53" s="22">
        <f t="shared" si="0"/>
        <v>5.4295</v>
      </c>
      <c r="E53" s="41">
        <v>10859</v>
      </c>
      <c r="F53" s="22">
        <f t="shared" si="1"/>
        <v>0.22800000000000001</v>
      </c>
      <c r="G53" s="41">
        <v>456</v>
      </c>
      <c r="H53" s="22">
        <f t="shared" si="2"/>
        <v>0.22800000000000001</v>
      </c>
      <c r="I53" s="41">
        <v>456</v>
      </c>
      <c r="J53" s="22">
        <f t="shared" si="3"/>
        <v>0.27600000000000002</v>
      </c>
      <c r="K53" s="41">
        <v>552</v>
      </c>
      <c r="L53" s="22">
        <f t="shared" si="4"/>
        <v>3.7999999999999999E-2</v>
      </c>
      <c r="M53" s="41">
        <v>76</v>
      </c>
      <c r="N53" s="41">
        <v>466</v>
      </c>
      <c r="O53" s="22">
        <f t="shared" si="5"/>
        <v>0.25800000000000001</v>
      </c>
      <c r="P53" s="41">
        <v>516</v>
      </c>
      <c r="Q53" s="22">
        <f t="shared" si="6"/>
        <v>8.2000000000000003E-2</v>
      </c>
      <c r="R53" s="41">
        <v>164</v>
      </c>
      <c r="S53" s="22">
        <f t="shared" si="7"/>
        <v>0</v>
      </c>
      <c r="T53" s="41">
        <v>0</v>
      </c>
      <c r="U53" s="41">
        <v>0</v>
      </c>
      <c r="V53" s="41">
        <v>370.42</v>
      </c>
      <c r="W53" s="41">
        <v>96.997</v>
      </c>
      <c r="X53" s="41">
        <v>30.233499999999999</v>
      </c>
      <c r="Y53" s="41">
        <v>20.495999999999999</v>
      </c>
      <c r="Z53" s="22">
        <v>0.18</v>
      </c>
      <c r="AA53" s="41">
        <v>15.54157</v>
      </c>
      <c r="AB53" s="41">
        <v>15.09</v>
      </c>
      <c r="AC53" s="41">
        <v>53.993656726952402</v>
      </c>
      <c r="AD53" s="42">
        <v>1.65</v>
      </c>
      <c r="AE53" s="35">
        <f t="shared" si="8"/>
        <v>506.04399999999998</v>
      </c>
      <c r="AF53" s="35">
        <f t="shared" si="9"/>
        <v>0.218</v>
      </c>
      <c r="AG53" s="35">
        <f t="shared" si="10"/>
        <v>5.9674999999999994</v>
      </c>
      <c r="AH53" s="35">
        <f t="shared" si="11"/>
        <v>30.233499999999999</v>
      </c>
      <c r="AI53" s="35">
        <f t="shared" si="12"/>
        <v>20.495999999999999</v>
      </c>
      <c r="AJ53" s="35">
        <f t="shared" si="13"/>
        <v>15.09</v>
      </c>
      <c r="AK53" s="35">
        <f t="shared" si="14"/>
        <v>17.191569999999999</v>
      </c>
      <c r="AL53" s="36">
        <f t="shared" si="15"/>
        <v>595.24057000000005</v>
      </c>
    </row>
    <row r="54" spans="1:38">
      <c r="A54" s="14">
        <v>2194</v>
      </c>
      <c r="B54" s="13" t="s">
        <v>46</v>
      </c>
      <c r="C54" s="41">
        <v>627.02</v>
      </c>
      <c r="D54" s="22">
        <f t="shared" si="0"/>
        <v>23.097000000000001</v>
      </c>
      <c r="E54" s="41">
        <v>46194</v>
      </c>
      <c r="F54" s="22">
        <f t="shared" si="1"/>
        <v>0.87849999999999995</v>
      </c>
      <c r="G54" s="41">
        <v>1757</v>
      </c>
      <c r="H54" s="22">
        <f t="shared" si="2"/>
        <v>0.87849999999999995</v>
      </c>
      <c r="I54" s="41">
        <v>1757</v>
      </c>
      <c r="J54" s="22">
        <f t="shared" si="3"/>
        <v>0.97950000000000004</v>
      </c>
      <c r="K54" s="41">
        <v>1959</v>
      </c>
      <c r="L54" s="22">
        <f t="shared" si="4"/>
        <v>0.20200000000000001</v>
      </c>
      <c r="M54" s="41">
        <v>404</v>
      </c>
      <c r="N54" s="41">
        <v>2097</v>
      </c>
      <c r="O54" s="22">
        <f t="shared" si="5"/>
        <v>0.996</v>
      </c>
      <c r="P54" s="41">
        <v>1992</v>
      </c>
      <c r="Q54" s="22">
        <f t="shared" si="6"/>
        <v>0.38650000000000001</v>
      </c>
      <c r="R54" s="41">
        <v>773</v>
      </c>
      <c r="S54" s="22">
        <f t="shared" si="7"/>
        <v>0</v>
      </c>
      <c r="T54" s="41">
        <v>0</v>
      </c>
      <c r="U54" s="41">
        <v>0</v>
      </c>
      <c r="V54" s="41">
        <v>308.02</v>
      </c>
      <c r="W54" s="41">
        <v>28.207000000000001</v>
      </c>
      <c r="X54" s="41">
        <v>113.85276</v>
      </c>
      <c r="Y54" s="41">
        <v>41.58126</v>
      </c>
      <c r="Z54" s="22">
        <v>0</v>
      </c>
      <c r="AA54" s="41">
        <v>3.7224219999999999</v>
      </c>
      <c r="AB54" s="41">
        <v>29.504999999999999</v>
      </c>
      <c r="AC54" s="41">
        <v>1.5609999999999999</v>
      </c>
      <c r="AD54" s="42">
        <v>0.2</v>
      </c>
      <c r="AE54" s="35">
        <f t="shared" si="8"/>
        <v>628.99549999999999</v>
      </c>
      <c r="AF54" s="35">
        <f t="shared" si="9"/>
        <v>0.20200000000000001</v>
      </c>
      <c r="AG54" s="35">
        <f t="shared" si="10"/>
        <v>25.240500000000001</v>
      </c>
      <c r="AH54" s="35">
        <f t="shared" si="11"/>
        <v>113.85276</v>
      </c>
      <c r="AI54" s="35">
        <f t="shared" si="12"/>
        <v>41.58126</v>
      </c>
      <c r="AJ54" s="35">
        <f t="shared" si="13"/>
        <v>29.504999999999999</v>
      </c>
      <c r="AK54" s="35">
        <f t="shared" si="14"/>
        <v>3.9224220000000001</v>
      </c>
      <c r="AL54" s="36">
        <f t="shared" si="15"/>
        <v>843.299442</v>
      </c>
    </row>
    <row r="55" spans="1:38">
      <c r="A55" s="14">
        <v>2258</v>
      </c>
      <c r="B55" s="13" t="s">
        <v>46</v>
      </c>
      <c r="C55" s="41">
        <v>486.95</v>
      </c>
      <c r="D55" s="22">
        <f t="shared" si="0"/>
        <v>3.8935</v>
      </c>
      <c r="E55" s="41">
        <v>7787</v>
      </c>
      <c r="F55" s="22">
        <f t="shared" si="1"/>
        <v>0.21049999999999999</v>
      </c>
      <c r="G55" s="41">
        <v>421</v>
      </c>
      <c r="H55" s="22">
        <f t="shared" si="2"/>
        <v>0.21049999999999999</v>
      </c>
      <c r="I55" s="41">
        <v>421</v>
      </c>
      <c r="J55" s="22">
        <f t="shared" si="3"/>
        <v>0.24249999999999999</v>
      </c>
      <c r="K55" s="41">
        <v>485</v>
      </c>
      <c r="L55" s="22">
        <f t="shared" si="4"/>
        <v>4.7E-2</v>
      </c>
      <c r="M55" s="41">
        <v>94</v>
      </c>
      <c r="N55" s="41">
        <v>499</v>
      </c>
      <c r="O55" s="22">
        <f t="shared" si="5"/>
        <v>0.21299999999999999</v>
      </c>
      <c r="P55" s="41">
        <v>426</v>
      </c>
      <c r="Q55" s="22">
        <f t="shared" si="6"/>
        <v>4.7E-2</v>
      </c>
      <c r="R55" s="41">
        <v>94</v>
      </c>
      <c r="S55" s="22">
        <f t="shared" si="7"/>
        <v>0</v>
      </c>
      <c r="T55" s="41">
        <v>0</v>
      </c>
      <c r="U55" s="41">
        <v>0</v>
      </c>
      <c r="V55" s="41">
        <v>239.05</v>
      </c>
      <c r="W55" s="41">
        <v>1.65</v>
      </c>
      <c r="X55" s="41">
        <v>0</v>
      </c>
      <c r="Y55" s="41">
        <v>0</v>
      </c>
      <c r="Z55" s="22">
        <v>0</v>
      </c>
      <c r="AA55" s="41">
        <v>0</v>
      </c>
      <c r="AB55" s="41">
        <v>11.07</v>
      </c>
      <c r="AC55" s="41">
        <v>1.5505</v>
      </c>
      <c r="AD55" s="42">
        <v>0</v>
      </c>
      <c r="AE55" s="35">
        <f t="shared" si="8"/>
        <v>487.40550000000002</v>
      </c>
      <c r="AF55" s="35">
        <f t="shared" si="9"/>
        <v>4.7E-2</v>
      </c>
      <c r="AG55" s="35">
        <f t="shared" si="10"/>
        <v>4.3614999999999995</v>
      </c>
      <c r="AH55" s="35">
        <f t="shared" si="11"/>
        <v>0</v>
      </c>
      <c r="AI55" s="35">
        <f t="shared" si="12"/>
        <v>0</v>
      </c>
      <c r="AJ55" s="35">
        <f t="shared" si="13"/>
        <v>11.07</v>
      </c>
      <c r="AK55" s="35">
        <f t="shared" si="14"/>
        <v>0</v>
      </c>
      <c r="AL55" s="36">
        <f t="shared" si="15"/>
        <v>502.88400000000001</v>
      </c>
    </row>
    <row r="56" spans="1:38">
      <c r="A56" s="14">
        <v>2295</v>
      </c>
      <c r="B56" s="13" t="s">
        <v>27</v>
      </c>
      <c r="C56" s="41">
        <v>814.27</v>
      </c>
      <c r="D56" s="22">
        <f t="shared" si="0"/>
        <v>33.253999999999998</v>
      </c>
      <c r="E56" s="41">
        <v>66508</v>
      </c>
      <c r="F56" s="22">
        <f t="shared" si="1"/>
        <v>1.2529999999999999</v>
      </c>
      <c r="G56" s="41">
        <v>2506</v>
      </c>
      <c r="H56" s="22">
        <f t="shared" si="2"/>
        <v>1.2529999999999999</v>
      </c>
      <c r="I56" s="41">
        <v>2506</v>
      </c>
      <c r="J56" s="22">
        <f t="shared" si="3"/>
        <v>1.5365</v>
      </c>
      <c r="K56" s="41">
        <v>3073</v>
      </c>
      <c r="L56" s="22">
        <f t="shared" si="4"/>
        <v>0.3</v>
      </c>
      <c r="M56" s="41">
        <v>600</v>
      </c>
      <c r="N56" s="41">
        <v>3103</v>
      </c>
      <c r="O56" s="22">
        <f t="shared" si="5"/>
        <v>1.5925</v>
      </c>
      <c r="P56" s="41">
        <v>3185</v>
      </c>
      <c r="Q56" s="22">
        <f t="shared" si="6"/>
        <v>0.29549999999999998</v>
      </c>
      <c r="R56" s="41">
        <v>591</v>
      </c>
      <c r="S56" s="22">
        <f t="shared" si="7"/>
        <v>0</v>
      </c>
      <c r="T56" s="41">
        <v>0</v>
      </c>
      <c r="U56" s="41">
        <v>0</v>
      </c>
      <c r="V56" s="41">
        <v>310.49</v>
      </c>
      <c r="W56" s="41">
        <v>104.2465</v>
      </c>
      <c r="X56" s="41">
        <v>60.329000000000001</v>
      </c>
      <c r="Y56" s="41">
        <v>34.18074</v>
      </c>
      <c r="Z56" s="22">
        <v>0.18</v>
      </c>
      <c r="AA56" s="41">
        <v>14.994782000000001</v>
      </c>
      <c r="AB56" s="41">
        <v>23.175000000000001</v>
      </c>
      <c r="AC56" s="41">
        <v>66.085985063583394</v>
      </c>
      <c r="AD56" s="42">
        <v>25.3</v>
      </c>
      <c r="AE56" s="35">
        <f t="shared" si="8"/>
        <v>817.399</v>
      </c>
      <c r="AF56" s="35">
        <f t="shared" si="9"/>
        <v>0.48</v>
      </c>
      <c r="AG56" s="35">
        <f t="shared" si="10"/>
        <v>36.055499999999995</v>
      </c>
      <c r="AH56" s="35">
        <f t="shared" si="11"/>
        <v>60.329000000000001</v>
      </c>
      <c r="AI56" s="35">
        <f t="shared" si="12"/>
        <v>34.18074</v>
      </c>
      <c r="AJ56" s="35">
        <f t="shared" si="13"/>
        <v>23.175000000000001</v>
      </c>
      <c r="AK56" s="35">
        <f t="shared" si="14"/>
        <v>40.294781999999998</v>
      </c>
      <c r="AL56" s="36">
        <f t="shared" si="15"/>
        <v>1011.9140219999999</v>
      </c>
    </row>
    <row r="57" spans="1:38">
      <c r="A57" s="14">
        <v>2312</v>
      </c>
      <c r="B57" s="13" t="s">
        <v>15</v>
      </c>
      <c r="C57" s="41">
        <v>687.17</v>
      </c>
      <c r="D57" s="22">
        <f t="shared" si="0"/>
        <v>18.118500000000001</v>
      </c>
      <c r="E57" s="41">
        <v>36237</v>
      </c>
      <c r="F57" s="22">
        <f t="shared" si="1"/>
        <v>1.889</v>
      </c>
      <c r="G57" s="41">
        <v>3778</v>
      </c>
      <c r="H57" s="22">
        <f t="shared" si="2"/>
        <v>1.889</v>
      </c>
      <c r="I57" s="41">
        <v>3778</v>
      </c>
      <c r="J57" s="22">
        <f t="shared" si="3"/>
        <v>2.2130000000000001</v>
      </c>
      <c r="K57" s="41">
        <v>4426</v>
      </c>
      <c r="L57" s="22">
        <f t="shared" si="4"/>
        <v>0.13900000000000001</v>
      </c>
      <c r="M57" s="41">
        <v>278</v>
      </c>
      <c r="N57" s="41">
        <v>8948</v>
      </c>
      <c r="O57" s="22">
        <f t="shared" si="5"/>
        <v>0.91400000000000003</v>
      </c>
      <c r="P57" s="41">
        <v>1828</v>
      </c>
      <c r="Q57" s="22">
        <f t="shared" si="6"/>
        <v>0.2205</v>
      </c>
      <c r="R57" s="41">
        <v>441</v>
      </c>
      <c r="S57" s="22">
        <f t="shared" si="7"/>
        <v>0.53600000000000003</v>
      </c>
      <c r="T57" s="41">
        <v>1072</v>
      </c>
      <c r="U57" s="41">
        <v>0</v>
      </c>
      <c r="V57" s="41">
        <v>162.33000000000001</v>
      </c>
      <c r="W57" s="41">
        <v>105.97499999999999</v>
      </c>
      <c r="X57" s="41">
        <v>53.969499999999996</v>
      </c>
      <c r="Y57" s="41">
        <v>9.7099799999999998</v>
      </c>
      <c r="Z57" s="22">
        <v>0</v>
      </c>
      <c r="AA57" s="41">
        <v>10.456291999999999</v>
      </c>
      <c r="AB57" s="41">
        <v>9.6150000000000002</v>
      </c>
      <c r="AC57" s="41">
        <v>125.592087631585</v>
      </c>
      <c r="AD57" s="42">
        <v>28.65</v>
      </c>
      <c r="AE57" s="35">
        <f t="shared" si="8"/>
        <v>690.29699999999991</v>
      </c>
      <c r="AF57" s="35">
        <f t="shared" si="9"/>
        <v>0.13900000000000001</v>
      </c>
      <c r="AG57" s="35">
        <f t="shared" si="10"/>
        <v>22.653000000000002</v>
      </c>
      <c r="AH57" s="35">
        <f t="shared" si="11"/>
        <v>53.969499999999996</v>
      </c>
      <c r="AI57" s="35">
        <f t="shared" si="12"/>
        <v>9.7099799999999998</v>
      </c>
      <c r="AJ57" s="35">
        <f t="shared" si="13"/>
        <v>9.6150000000000002</v>
      </c>
      <c r="AK57" s="35">
        <f t="shared" si="14"/>
        <v>39.106291999999996</v>
      </c>
      <c r="AL57" s="36">
        <f t="shared" si="15"/>
        <v>825.4897719999999</v>
      </c>
    </row>
    <row r="58" spans="1:38">
      <c r="A58" s="14">
        <v>2337</v>
      </c>
      <c r="B58" s="13" t="s">
        <v>50</v>
      </c>
      <c r="C58" s="41">
        <v>531.5</v>
      </c>
      <c r="D58" s="22">
        <f t="shared" si="0"/>
        <v>13.724</v>
      </c>
      <c r="E58" s="41">
        <v>27448</v>
      </c>
      <c r="F58" s="22">
        <f t="shared" si="1"/>
        <v>0.93</v>
      </c>
      <c r="G58" s="41">
        <v>1860</v>
      </c>
      <c r="H58" s="22">
        <f t="shared" si="2"/>
        <v>0.93</v>
      </c>
      <c r="I58" s="41">
        <v>1860</v>
      </c>
      <c r="J58" s="22">
        <f t="shared" si="3"/>
        <v>1.5445</v>
      </c>
      <c r="K58" s="41">
        <v>3089</v>
      </c>
      <c r="L58" s="22">
        <f t="shared" si="4"/>
        <v>9.0999999999999998E-2</v>
      </c>
      <c r="M58" s="41">
        <v>182</v>
      </c>
      <c r="N58" s="41">
        <v>9688</v>
      </c>
      <c r="O58" s="22">
        <f t="shared" si="5"/>
        <v>0.23749999999999999</v>
      </c>
      <c r="P58" s="41">
        <v>475</v>
      </c>
      <c r="Q58" s="22">
        <f t="shared" si="6"/>
        <v>0.4355</v>
      </c>
      <c r="R58" s="41">
        <v>871</v>
      </c>
      <c r="S58" s="22">
        <f t="shared" si="7"/>
        <v>1.0095000000000001</v>
      </c>
      <c r="T58" s="41">
        <v>2019</v>
      </c>
      <c r="U58" s="41">
        <v>0</v>
      </c>
      <c r="V58" s="41">
        <v>143.16</v>
      </c>
      <c r="W58" s="41">
        <v>39.336500000000001</v>
      </c>
      <c r="X58" s="41">
        <v>51.807499999999997</v>
      </c>
      <c r="Y58" s="41">
        <v>17.637540000000001</v>
      </c>
      <c r="Z58" s="22">
        <v>6.7500000000000004E-2</v>
      </c>
      <c r="AA58" s="41">
        <v>12.891031999999999</v>
      </c>
      <c r="AB58" s="41">
        <v>18.239999999999998</v>
      </c>
      <c r="AC58" s="41">
        <v>158.23915398095701</v>
      </c>
      <c r="AD58" s="42">
        <v>11.9</v>
      </c>
      <c r="AE58" s="35">
        <f t="shared" si="8"/>
        <v>533.28199999999993</v>
      </c>
      <c r="AF58" s="35">
        <f t="shared" si="9"/>
        <v>0.1585</v>
      </c>
      <c r="AG58" s="35">
        <f t="shared" si="10"/>
        <v>17.029</v>
      </c>
      <c r="AH58" s="35">
        <f t="shared" si="11"/>
        <v>51.807499999999997</v>
      </c>
      <c r="AI58" s="35">
        <f t="shared" si="12"/>
        <v>17.637540000000001</v>
      </c>
      <c r="AJ58" s="35">
        <f t="shared" si="13"/>
        <v>18.239999999999998</v>
      </c>
      <c r="AK58" s="35">
        <f t="shared" si="14"/>
        <v>24.791032000000001</v>
      </c>
      <c r="AL58" s="36">
        <f t="shared" si="15"/>
        <v>662.94557199999997</v>
      </c>
    </row>
    <row r="59" spans="1:38">
      <c r="A59" s="14">
        <v>2437</v>
      </c>
      <c r="B59" s="13" t="s">
        <v>51</v>
      </c>
      <c r="C59" s="41">
        <v>537.04</v>
      </c>
      <c r="D59" s="22">
        <f t="shared" si="0"/>
        <v>27.931999999999999</v>
      </c>
      <c r="E59" s="41">
        <v>55864</v>
      </c>
      <c r="F59" s="22">
        <f t="shared" si="1"/>
        <v>1.393</v>
      </c>
      <c r="G59" s="41">
        <v>2786</v>
      </c>
      <c r="H59" s="22">
        <f t="shared" si="2"/>
        <v>1.393</v>
      </c>
      <c r="I59" s="41">
        <v>2786</v>
      </c>
      <c r="J59" s="22">
        <f t="shared" si="3"/>
        <v>1.2064999999999999</v>
      </c>
      <c r="K59" s="41">
        <v>2413</v>
      </c>
      <c r="L59" s="22">
        <f t="shared" si="4"/>
        <v>0.26350000000000001</v>
      </c>
      <c r="M59" s="41">
        <v>527</v>
      </c>
      <c r="N59" s="41">
        <v>2747</v>
      </c>
      <c r="O59" s="22">
        <f t="shared" si="5"/>
        <v>1.1990000000000001</v>
      </c>
      <c r="P59" s="41">
        <v>2398</v>
      </c>
      <c r="Q59" s="22">
        <f t="shared" si="6"/>
        <v>0.35849999999999999</v>
      </c>
      <c r="R59" s="41">
        <v>717</v>
      </c>
      <c r="S59" s="22">
        <f t="shared" si="7"/>
        <v>0</v>
      </c>
      <c r="T59" s="41">
        <v>0</v>
      </c>
      <c r="U59" s="41">
        <v>0</v>
      </c>
      <c r="V59" s="41">
        <v>186.97</v>
      </c>
      <c r="W59" s="41">
        <v>93.849500000000006</v>
      </c>
      <c r="X59" s="41">
        <v>76.595979999999997</v>
      </c>
      <c r="Y59" s="41">
        <v>15.77826</v>
      </c>
      <c r="Z59" s="22">
        <v>0.67500000000000004</v>
      </c>
      <c r="AA59" s="41">
        <v>10.688172</v>
      </c>
      <c r="AB59" s="41">
        <v>30.254999999999999</v>
      </c>
      <c r="AC59" s="41">
        <v>29.595635610865401</v>
      </c>
      <c r="AD59" s="42">
        <v>20.984999999999999</v>
      </c>
      <c r="AE59" s="35">
        <f t="shared" si="8"/>
        <v>539.44549999999992</v>
      </c>
      <c r="AF59" s="35">
        <f t="shared" si="9"/>
        <v>0.93850000000000011</v>
      </c>
      <c r="AG59" s="35">
        <f t="shared" si="10"/>
        <v>31.076499999999999</v>
      </c>
      <c r="AH59" s="35">
        <f t="shared" si="11"/>
        <v>76.595979999999997</v>
      </c>
      <c r="AI59" s="35">
        <f t="shared" si="12"/>
        <v>15.77826</v>
      </c>
      <c r="AJ59" s="35">
        <f t="shared" si="13"/>
        <v>30.254999999999999</v>
      </c>
      <c r="AK59" s="35">
        <f t="shared" si="14"/>
        <v>31.673172000000001</v>
      </c>
      <c r="AL59" s="36">
        <f t="shared" si="15"/>
        <v>725.76291200000003</v>
      </c>
    </row>
    <row r="60" spans="1:38">
      <c r="A60" s="14">
        <v>2438</v>
      </c>
      <c r="B60" s="13" t="s">
        <v>52</v>
      </c>
      <c r="C60" s="41">
        <v>834.97</v>
      </c>
      <c r="D60" s="22">
        <f t="shared" si="0"/>
        <v>12.763</v>
      </c>
      <c r="E60" s="41">
        <v>25526</v>
      </c>
      <c r="F60" s="22">
        <f t="shared" si="1"/>
        <v>0.4955</v>
      </c>
      <c r="G60" s="41">
        <v>991</v>
      </c>
      <c r="H60" s="22">
        <f t="shared" si="2"/>
        <v>0.4955</v>
      </c>
      <c r="I60" s="41">
        <v>991</v>
      </c>
      <c r="J60" s="22">
        <f t="shared" si="3"/>
        <v>0.47399999999999998</v>
      </c>
      <c r="K60" s="41">
        <v>948</v>
      </c>
      <c r="L60" s="22">
        <f t="shared" si="4"/>
        <v>9.0999999999999998E-2</v>
      </c>
      <c r="M60" s="41">
        <v>182</v>
      </c>
      <c r="N60" s="41">
        <v>1345</v>
      </c>
      <c r="O60" s="22">
        <f t="shared" si="5"/>
        <v>0.4955</v>
      </c>
      <c r="P60" s="41">
        <v>991</v>
      </c>
      <c r="Q60" s="22">
        <f t="shared" si="6"/>
        <v>9.5000000000000001E-2</v>
      </c>
      <c r="R60" s="41">
        <v>190</v>
      </c>
      <c r="S60" s="22">
        <f t="shared" si="7"/>
        <v>0</v>
      </c>
      <c r="T60" s="41">
        <v>0</v>
      </c>
      <c r="U60" s="41">
        <v>0</v>
      </c>
      <c r="V60" s="41">
        <v>250.57</v>
      </c>
      <c r="W60" s="41">
        <v>102.3515</v>
      </c>
      <c r="X60" s="41">
        <v>67.746499999999997</v>
      </c>
      <c r="Y60" s="41">
        <v>32.394660000000002</v>
      </c>
      <c r="Z60" s="22">
        <v>0.40500000000000003</v>
      </c>
      <c r="AA60" s="41">
        <v>9.7486840000000008</v>
      </c>
      <c r="AB60" s="41">
        <v>33.225000000000001</v>
      </c>
      <c r="AC60" s="41">
        <v>35.947927786552398</v>
      </c>
      <c r="AD60" s="42">
        <v>21.625</v>
      </c>
      <c r="AE60" s="35">
        <f t="shared" si="8"/>
        <v>835.93950000000007</v>
      </c>
      <c r="AF60" s="35">
        <f t="shared" si="9"/>
        <v>0.496</v>
      </c>
      <c r="AG60" s="35">
        <f t="shared" si="10"/>
        <v>13.849</v>
      </c>
      <c r="AH60" s="35">
        <f t="shared" si="11"/>
        <v>67.746499999999997</v>
      </c>
      <c r="AI60" s="35">
        <f t="shared" si="12"/>
        <v>32.394660000000002</v>
      </c>
      <c r="AJ60" s="35">
        <f t="shared" si="13"/>
        <v>33.225000000000001</v>
      </c>
      <c r="AK60" s="35">
        <f t="shared" si="14"/>
        <v>31.373684000000001</v>
      </c>
      <c r="AL60" s="36">
        <f t="shared" si="15"/>
        <v>1015.0243440000002</v>
      </c>
    </row>
    <row r="61" spans="1:38">
      <c r="A61" s="14">
        <v>2520</v>
      </c>
      <c r="B61" s="13" t="s">
        <v>52</v>
      </c>
      <c r="C61" s="41">
        <v>510.62</v>
      </c>
      <c r="D61" s="22">
        <f t="shared" si="0"/>
        <v>12.567500000000001</v>
      </c>
      <c r="E61" s="41">
        <v>25135</v>
      </c>
      <c r="F61" s="22">
        <f t="shared" si="1"/>
        <v>0.45050000000000001</v>
      </c>
      <c r="G61" s="41">
        <v>901</v>
      </c>
      <c r="H61" s="22">
        <f t="shared" si="2"/>
        <v>0.45050000000000001</v>
      </c>
      <c r="I61" s="41">
        <v>901</v>
      </c>
      <c r="J61" s="22">
        <f t="shared" si="3"/>
        <v>0.65400000000000003</v>
      </c>
      <c r="K61" s="41">
        <v>1308</v>
      </c>
      <c r="L61" s="22">
        <f t="shared" si="4"/>
        <v>9.2999999999999999E-2</v>
      </c>
      <c r="M61" s="41">
        <v>186</v>
      </c>
      <c r="N61" s="41">
        <v>1105</v>
      </c>
      <c r="O61" s="22">
        <f t="shared" si="5"/>
        <v>0.61399999999999999</v>
      </c>
      <c r="P61" s="41">
        <v>1228</v>
      </c>
      <c r="Q61" s="22">
        <f t="shared" si="6"/>
        <v>0.1235</v>
      </c>
      <c r="R61" s="41">
        <v>247</v>
      </c>
      <c r="S61" s="22">
        <f t="shared" si="7"/>
        <v>0</v>
      </c>
      <c r="T61" s="41">
        <v>0</v>
      </c>
      <c r="U61" s="41">
        <v>0</v>
      </c>
      <c r="V61" s="41">
        <v>126.49</v>
      </c>
      <c r="W61" s="41">
        <v>122.226</v>
      </c>
      <c r="X61" s="41">
        <v>37.524500000000003</v>
      </c>
      <c r="Y61" s="41">
        <v>23.771699999999999</v>
      </c>
      <c r="Z61" s="22">
        <v>0.38250000000000001</v>
      </c>
      <c r="AA61" s="41">
        <v>7.404452</v>
      </c>
      <c r="AB61" s="41">
        <v>23.79</v>
      </c>
      <c r="AC61" s="41">
        <v>59.111150737481999</v>
      </c>
      <c r="AD61" s="42">
        <v>32.774999999999999</v>
      </c>
      <c r="AE61" s="35">
        <f t="shared" si="8"/>
        <v>511.88799999999998</v>
      </c>
      <c r="AF61" s="35">
        <f t="shared" si="9"/>
        <v>0.47550000000000003</v>
      </c>
      <c r="AG61" s="35">
        <f t="shared" si="10"/>
        <v>13.592000000000001</v>
      </c>
      <c r="AH61" s="35">
        <f t="shared" si="11"/>
        <v>37.524500000000003</v>
      </c>
      <c r="AI61" s="35">
        <f t="shared" si="12"/>
        <v>23.771699999999999</v>
      </c>
      <c r="AJ61" s="35">
        <f t="shared" si="13"/>
        <v>23.79</v>
      </c>
      <c r="AK61" s="35">
        <f t="shared" si="14"/>
        <v>40.179451999999998</v>
      </c>
      <c r="AL61" s="36">
        <f t="shared" si="15"/>
        <v>651.22115199999985</v>
      </c>
    </row>
    <row r="62" spans="1:38">
      <c r="A62" s="14">
        <v>2529</v>
      </c>
      <c r="B62" s="13" t="s">
        <v>34</v>
      </c>
      <c r="C62" s="41">
        <v>856.39</v>
      </c>
      <c r="D62" s="22">
        <f t="shared" si="0"/>
        <v>24.417000000000002</v>
      </c>
      <c r="E62" s="41">
        <v>48834</v>
      </c>
      <c r="F62" s="22">
        <f t="shared" si="1"/>
        <v>0.97</v>
      </c>
      <c r="G62" s="41">
        <v>1940</v>
      </c>
      <c r="H62" s="22">
        <f t="shared" si="2"/>
        <v>0.97</v>
      </c>
      <c r="I62" s="41">
        <v>1940</v>
      </c>
      <c r="J62" s="22">
        <f t="shared" si="3"/>
        <v>0.92400000000000004</v>
      </c>
      <c r="K62" s="41">
        <v>1848</v>
      </c>
      <c r="L62" s="22">
        <f t="shared" si="4"/>
        <v>0.19900000000000001</v>
      </c>
      <c r="M62" s="41">
        <v>398</v>
      </c>
      <c r="N62" s="41">
        <v>2730</v>
      </c>
      <c r="O62" s="22">
        <f t="shared" si="5"/>
        <v>0.88300000000000001</v>
      </c>
      <c r="P62" s="41">
        <v>1766</v>
      </c>
      <c r="Q62" s="22">
        <f t="shared" si="6"/>
        <v>0.22800000000000001</v>
      </c>
      <c r="R62" s="41">
        <v>456</v>
      </c>
      <c r="S62" s="22">
        <f t="shared" si="7"/>
        <v>0</v>
      </c>
      <c r="T62" s="41">
        <v>0</v>
      </c>
      <c r="U62" s="41">
        <v>0</v>
      </c>
      <c r="V62" s="41">
        <v>374</v>
      </c>
      <c r="W62" s="41">
        <v>119.8635</v>
      </c>
      <c r="X62" s="41">
        <v>0</v>
      </c>
      <c r="Y62" s="41">
        <v>0</v>
      </c>
      <c r="Z62" s="22">
        <v>0</v>
      </c>
      <c r="AA62" s="41">
        <v>10.12044</v>
      </c>
      <c r="AB62" s="41">
        <v>18.945</v>
      </c>
      <c r="AC62" s="41">
        <v>145.35923827067401</v>
      </c>
      <c r="AD62" s="42">
        <v>8.0749999999999993</v>
      </c>
      <c r="AE62" s="35">
        <f t="shared" si="8"/>
        <v>858.197</v>
      </c>
      <c r="AF62" s="35">
        <f t="shared" si="9"/>
        <v>0.19900000000000001</v>
      </c>
      <c r="AG62" s="35">
        <f t="shared" si="10"/>
        <v>26.585000000000001</v>
      </c>
      <c r="AH62" s="35">
        <f t="shared" si="11"/>
        <v>0</v>
      </c>
      <c r="AI62" s="35">
        <f t="shared" si="12"/>
        <v>0</v>
      </c>
      <c r="AJ62" s="35">
        <f t="shared" si="13"/>
        <v>18.945</v>
      </c>
      <c r="AK62" s="35">
        <f t="shared" si="14"/>
        <v>18.195439999999998</v>
      </c>
      <c r="AL62" s="36">
        <f t="shared" si="15"/>
        <v>922.12144000000001</v>
      </c>
    </row>
    <row r="63" spans="1:38">
      <c r="A63" s="14">
        <v>2564</v>
      </c>
      <c r="B63" s="13" t="s">
        <v>53</v>
      </c>
      <c r="C63" s="41">
        <v>368.72</v>
      </c>
      <c r="D63" s="22">
        <f t="shared" si="0"/>
        <v>8.8230000000000004</v>
      </c>
      <c r="E63" s="41">
        <v>17646</v>
      </c>
      <c r="F63" s="22">
        <f t="shared" si="1"/>
        <v>0.375</v>
      </c>
      <c r="G63" s="41">
        <v>750</v>
      </c>
      <c r="H63" s="22">
        <f t="shared" si="2"/>
        <v>0.375</v>
      </c>
      <c r="I63" s="41">
        <v>750</v>
      </c>
      <c r="J63" s="22">
        <f t="shared" si="3"/>
        <v>0.38200000000000001</v>
      </c>
      <c r="K63" s="41">
        <v>764</v>
      </c>
      <c r="L63" s="22">
        <f t="shared" si="4"/>
        <v>7.1999999999999995E-2</v>
      </c>
      <c r="M63" s="41">
        <v>144</v>
      </c>
      <c r="N63" s="41">
        <v>889</v>
      </c>
      <c r="O63" s="22">
        <f t="shared" si="5"/>
        <v>0.36299999999999999</v>
      </c>
      <c r="P63" s="41">
        <v>726</v>
      </c>
      <c r="Q63" s="22">
        <f t="shared" si="6"/>
        <v>0.20499999999999999</v>
      </c>
      <c r="R63" s="41">
        <v>410</v>
      </c>
      <c r="S63" s="22">
        <f t="shared" si="7"/>
        <v>0</v>
      </c>
      <c r="T63" s="41">
        <v>0</v>
      </c>
      <c r="U63" s="41">
        <v>0</v>
      </c>
      <c r="V63" s="41">
        <v>135.04</v>
      </c>
      <c r="W63" s="41">
        <v>49.293999999999997</v>
      </c>
      <c r="X63" s="41">
        <v>0</v>
      </c>
      <c r="Y63" s="41">
        <v>0</v>
      </c>
      <c r="Z63" s="22">
        <v>0</v>
      </c>
      <c r="AA63" s="41">
        <v>4.4034760000000004</v>
      </c>
      <c r="AB63" s="41">
        <v>10.47</v>
      </c>
      <c r="AC63" s="41">
        <v>28.764569336892599</v>
      </c>
      <c r="AD63" s="42">
        <v>10.824999999999999</v>
      </c>
      <c r="AE63" s="35">
        <f t="shared" si="8"/>
        <v>369.46500000000003</v>
      </c>
      <c r="AF63" s="35">
        <f t="shared" si="9"/>
        <v>7.1999999999999995E-2</v>
      </c>
      <c r="AG63" s="35">
        <f t="shared" si="10"/>
        <v>9.7780000000000005</v>
      </c>
      <c r="AH63" s="35">
        <f t="shared" si="11"/>
        <v>0</v>
      </c>
      <c r="AI63" s="35">
        <f t="shared" si="12"/>
        <v>0</v>
      </c>
      <c r="AJ63" s="35">
        <f t="shared" si="13"/>
        <v>10.47</v>
      </c>
      <c r="AK63" s="35">
        <f t="shared" si="14"/>
        <v>15.228476000000001</v>
      </c>
      <c r="AL63" s="36">
        <f t="shared" si="15"/>
        <v>405.01347600000008</v>
      </c>
    </row>
    <row r="64" spans="1:38">
      <c r="A64" s="14">
        <v>2565</v>
      </c>
      <c r="B64" s="13" t="s">
        <v>54</v>
      </c>
      <c r="C64" s="41">
        <v>502.53</v>
      </c>
      <c r="D64" s="22">
        <f t="shared" si="0"/>
        <v>10.0405</v>
      </c>
      <c r="E64" s="41">
        <v>20081</v>
      </c>
      <c r="F64" s="22">
        <f t="shared" si="1"/>
        <v>0.47699999999999998</v>
      </c>
      <c r="G64" s="41">
        <v>954</v>
      </c>
      <c r="H64" s="22">
        <f t="shared" si="2"/>
        <v>0.47699999999999998</v>
      </c>
      <c r="I64" s="41">
        <v>954</v>
      </c>
      <c r="J64" s="22">
        <f t="shared" si="3"/>
        <v>0.49149999999999999</v>
      </c>
      <c r="K64" s="41">
        <v>983</v>
      </c>
      <c r="L64" s="22">
        <f t="shared" si="4"/>
        <v>0.10199999999999999</v>
      </c>
      <c r="M64" s="41">
        <v>204</v>
      </c>
      <c r="N64" s="41">
        <v>1089</v>
      </c>
      <c r="O64" s="22">
        <f t="shared" si="5"/>
        <v>0.44950000000000001</v>
      </c>
      <c r="P64" s="41">
        <v>899</v>
      </c>
      <c r="Q64" s="22">
        <f t="shared" si="6"/>
        <v>0.10199999999999999</v>
      </c>
      <c r="R64" s="41">
        <v>204</v>
      </c>
      <c r="S64" s="22">
        <f t="shared" si="7"/>
        <v>0</v>
      </c>
      <c r="T64" s="41">
        <v>0</v>
      </c>
      <c r="U64" s="41">
        <v>0</v>
      </c>
      <c r="V64" s="41">
        <v>174.22</v>
      </c>
      <c r="W64" s="41">
        <v>68.22</v>
      </c>
      <c r="X64" s="41">
        <v>53.7395</v>
      </c>
      <c r="Y64" s="41">
        <v>17.004359999999998</v>
      </c>
      <c r="Z64" s="22">
        <v>0.27</v>
      </c>
      <c r="AA64" s="41">
        <v>9.8784620000000007</v>
      </c>
      <c r="AB64" s="41">
        <v>17.100000000000001</v>
      </c>
      <c r="AC64" s="41">
        <v>70.885982088965605</v>
      </c>
      <c r="AD64" s="42">
        <v>10.7</v>
      </c>
      <c r="AE64" s="35">
        <f t="shared" si="8"/>
        <v>503.47099999999995</v>
      </c>
      <c r="AF64" s="35">
        <f t="shared" si="9"/>
        <v>0.372</v>
      </c>
      <c r="AG64" s="35">
        <f t="shared" si="10"/>
        <v>11.096500000000001</v>
      </c>
      <c r="AH64" s="35">
        <f t="shared" si="11"/>
        <v>53.7395</v>
      </c>
      <c r="AI64" s="35">
        <f t="shared" si="12"/>
        <v>17.004359999999998</v>
      </c>
      <c r="AJ64" s="35">
        <f t="shared" si="13"/>
        <v>17.100000000000001</v>
      </c>
      <c r="AK64" s="35">
        <f t="shared" si="14"/>
        <v>20.578462000000002</v>
      </c>
      <c r="AL64" s="36">
        <f t="shared" si="15"/>
        <v>623.36182200000007</v>
      </c>
    </row>
    <row r="65" spans="1:38">
      <c r="A65" s="14">
        <v>2645</v>
      </c>
      <c r="B65" s="13" t="s">
        <v>55</v>
      </c>
      <c r="C65" s="41">
        <v>330.42</v>
      </c>
      <c r="D65" s="22">
        <f t="shared" si="0"/>
        <v>6.8940000000000001</v>
      </c>
      <c r="E65" s="41">
        <v>13788</v>
      </c>
      <c r="F65" s="22">
        <f t="shared" si="1"/>
        <v>0.47099999999999997</v>
      </c>
      <c r="G65" s="41">
        <v>942</v>
      </c>
      <c r="H65" s="22">
        <f t="shared" si="2"/>
        <v>0.47099999999999997</v>
      </c>
      <c r="I65" s="41">
        <v>942</v>
      </c>
      <c r="J65" s="22">
        <f t="shared" si="3"/>
        <v>0.4</v>
      </c>
      <c r="K65" s="41">
        <v>800</v>
      </c>
      <c r="L65" s="22">
        <f t="shared" si="4"/>
        <v>6.3500000000000001E-2</v>
      </c>
      <c r="M65" s="41">
        <v>127</v>
      </c>
      <c r="N65" s="41">
        <v>764</v>
      </c>
      <c r="O65" s="22">
        <f t="shared" si="5"/>
        <v>0.378</v>
      </c>
      <c r="P65" s="41">
        <v>756</v>
      </c>
      <c r="Q65" s="22">
        <f t="shared" si="6"/>
        <v>6.3500000000000001E-2</v>
      </c>
      <c r="R65" s="41">
        <v>127</v>
      </c>
      <c r="S65" s="22">
        <f t="shared" si="7"/>
        <v>0</v>
      </c>
      <c r="T65" s="41">
        <v>0</v>
      </c>
      <c r="U65" s="41">
        <v>0</v>
      </c>
      <c r="V65" s="41">
        <v>102.38</v>
      </c>
      <c r="W65" s="41">
        <v>61.000500000000002</v>
      </c>
      <c r="X65" s="41">
        <v>0</v>
      </c>
      <c r="Y65" s="41">
        <v>0</v>
      </c>
      <c r="Z65" s="22">
        <v>0</v>
      </c>
      <c r="AA65" s="41">
        <v>3.6513620000000002</v>
      </c>
      <c r="AB65" s="41">
        <v>10.59</v>
      </c>
      <c r="AC65" s="41">
        <v>61.930584479742798</v>
      </c>
      <c r="AD65" s="42">
        <v>10.1425</v>
      </c>
      <c r="AE65" s="35">
        <f t="shared" si="8"/>
        <v>331.19799999999998</v>
      </c>
      <c r="AF65" s="35">
        <f t="shared" si="9"/>
        <v>6.3500000000000001E-2</v>
      </c>
      <c r="AG65" s="35">
        <f t="shared" si="10"/>
        <v>7.8995000000000006</v>
      </c>
      <c r="AH65" s="35">
        <f t="shared" si="11"/>
        <v>0</v>
      </c>
      <c r="AI65" s="35">
        <f t="shared" si="12"/>
        <v>0</v>
      </c>
      <c r="AJ65" s="35">
        <f t="shared" si="13"/>
        <v>10.59</v>
      </c>
      <c r="AK65" s="35">
        <f t="shared" si="14"/>
        <v>13.793862000000001</v>
      </c>
      <c r="AL65" s="36">
        <f t="shared" si="15"/>
        <v>363.54486199999991</v>
      </c>
    </row>
    <row r="66" spans="1:38">
      <c r="A66" s="14">
        <v>2646</v>
      </c>
      <c r="B66" s="13" t="s">
        <v>56</v>
      </c>
      <c r="C66" s="41">
        <v>319.22000000000003</v>
      </c>
      <c r="D66" s="22">
        <f t="shared" si="0"/>
        <v>9.2434999999999992</v>
      </c>
      <c r="E66" s="41">
        <v>18487</v>
      </c>
      <c r="F66" s="22">
        <f t="shared" si="1"/>
        <v>1.3674999999999999</v>
      </c>
      <c r="G66" s="41">
        <v>2735</v>
      </c>
      <c r="H66" s="22">
        <f t="shared" si="2"/>
        <v>1.3674999999999999</v>
      </c>
      <c r="I66" s="41">
        <v>2735</v>
      </c>
      <c r="J66" s="22">
        <f t="shared" si="3"/>
        <v>2.9175</v>
      </c>
      <c r="K66" s="41">
        <v>5835</v>
      </c>
      <c r="L66" s="22">
        <f t="shared" si="4"/>
        <v>2E-3</v>
      </c>
      <c r="M66" s="41">
        <v>4</v>
      </c>
      <c r="N66" s="41">
        <v>1538</v>
      </c>
      <c r="O66" s="22">
        <f t="shared" si="5"/>
        <v>0.26950000000000002</v>
      </c>
      <c r="P66" s="41">
        <v>539</v>
      </c>
      <c r="Q66" s="22">
        <f t="shared" si="6"/>
        <v>1.1619999999999999</v>
      </c>
      <c r="R66" s="41">
        <v>2324</v>
      </c>
      <c r="S66" s="22">
        <f t="shared" si="7"/>
        <v>6.5000000000000002E-2</v>
      </c>
      <c r="T66" s="41">
        <v>130</v>
      </c>
      <c r="U66" s="41">
        <v>0</v>
      </c>
      <c r="V66" s="41">
        <v>103.8167</v>
      </c>
      <c r="W66" s="41">
        <v>20.055</v>
      </c>
      <c r="X66" s="41">
        <v>0</v>
      </c>
      <c r="Y66" s="41">
        <v>0</v>
      </c>
      <c r="Z66" s="22">
        <v>0</v>
      </c>
      <c r="AA66" s="41">
        <v>5.37812</v>
      </c>
      <c r="AB66" s="41">
        <v>8.67</v>
      </c>
      <c r="AC66" s="41">
        <v>47.397819384527203</v>
      </c>
      <c r="AD66" s="42">
        <v>5.2625000000000002</v>
      </c>
      <c r="AE66" s="35">
        <f t="shared" si="8"/>
        <v>322.40700000000004</v>
      </c>
      <c r="AF66" s="35">
        <f t="shared" si="9"/>
        <v>2E-3</v>
      </c>
      <c r="AG66" s="35">
        <f t="shared" si="10"/>
        <v>13.205499999999999</v>
      </c>
      <c r="AH66" s="35">
        <f t="shared" si="11"/>
        <v>0</v>
      </c>
      <c r="AI66" s="35">
        <f t="shared" si="12"/>
        <v>0</v>
      </c>
      <c r="AJ66" s="35">
        <f t="shared" si="13"/>
        <v>8.67</v>
      </c>
      <c r="AK66" s="35">
        <f t="shared" si="14"/>
        <v>10.64062</v>
      </c>
      <c r="AL66" s="36">
        <f t="shared" si="15"/>
        <v>354.92512000000005</v>
      </c>
    </row>
    <row r="67" spans="1:38">
      <c r="A67" s="14">
        <v>2647</v>
      </c>
      <c r="B67" s="13" t="s">
        <v>57</v>
      </c>
      <c r="C67" s="41">
        <v>485.87</v>
      </c>
      <c r="D67" s="22">
        <f t="shared" si="0"/>
        <v>14.929</v>
      </c>
      <c r="E67" s="41">
        <v>29858</v>
      </c>
      <c r="F67" s="22">
        <f t="shared" si="1"/>
        <v>0.67449999999999999</v>
      </c>
      <c r="G67" s="41">
        <v>1349</v>
      </c>
      <c r="H67" s="22">
        <f t="shared" si="2"/>
        <v>0.67449999999999999</v>
      </c>
      <c r="I67" s="41">
        <v>1349</v>
      </c>
      <c r="J67" s="22">
        <f t="shared" si="3"/>
        <v>0.67949999999999999</v>
      </c>
      <c r="K67" s="41">
        <v>1359</v>
      </c>
      <c r="L67" s="22">
        <f t="shared" si="4"/>
        <v>0.13500000000000001</v>
      </c>
      <c r="M67" s="41">
        <v>270</v>
      </c>
      <c r="N67" s="41">
        <v>1649</v>
      </c>
      <c r="O67" s="22">
        <f t="shared" si="5"/>
        <v>0.64400000000000002</v>
      </c>
      <c r="P67" s="41">
        <v>1288</v>
      </c>
      <c r="Q67" s="22">
        <f t="shared" si="6"/>
        <v>0.26</v>
      </c>
      <c r="R67" s="41">
        <v>520</v>
      </c>
      <c r="S67" s="22">
        <f t="shared" si="7"/>
        <v>0</v>
      </c>
      <c r="T67" s="41">
        <v>0</v>
      </c>
      <c r="U67" s="41">
        <v>0</v>
      </c>
      <c r="V67" s="41">
        <v>196.29669999999999</v>
      </c>
      <c r="W67" s="41">
        <v>70.978499999999997</v>
      </c>
      <c r="X67" s="41">
        <v>0</v>
      </c>
      <c r="Y67" s="41">
        <v>0</v>
      </c>
      <c r="Z67" s="22">
        <v>0</v>
      </c>
      <c r="AA67" s="41">
        <v>6.2712320000000004</v>
      </c>
      <c r="AB67" s="41">
        <v>10.050000000000001</v>
      </c>
      <c r="AC67" s="41">
        <v>129.68191597028201</v>
      </c>
      <c r="AD67" s="42">
        <v>4.7750000000000004</v>
      </c>
      <c r="AE67" s="35">
        <f t="shared" si="8"/>
        <v>487.19350000000003</v>
      </c>
      <c r="AF67" s="35">
        <f t="shared" si="9"/>
        <v>0.13500000000000001</v>
      </c>
      <c r="AG67" s="35">
        <f t="shared" si="10"/>
        <v>16.538</v>
      </c>
      <c r="AH67" s="35">
        <f t="shared" si="11"/>
        <v>0</v>
      </c>
      <c r="AI67" s="35">
        <f t="shared" si="12"/>
        <v>0</v>
      </c>
      <c r="AJ67" s="35">
        <f t="shared" si="13"/>
        <v>10.050000000000001</v>
      </c>
      <c r="AK67" s="35">
        <f t="shared" si="14"/>
        <v>11.046232</v>
      </c>
      <c r="AL67" s="36">
        <f t="shared" si="15"/>
        <v>524.96273200000007</v>
      </c>
    </row>
    <row r="68" spans="1:38">
      <c r="A68" s="14">
        <v>2662</v>
      </c>
      <c r="B68" s="13" t="s">
        <v>58</v>
      </c>
      <c r="C68" s="41">
        <v>424.93</v>
      </c>
      <c r="D68" s="22">
        <f t="shared" si="0"/>
        <v>17.2685</v>
      </c>
      <c r="E68" s="41">
        <v>34537</v>
      </c>
      <c r="F68" s="22">
        <f t="shared" si="1"/>
        <v>0.88500000000000001</v>
      </c>
      <c r="G68" s="41">
        <v>1770</v>
      </c>
      <c r="H68" s="22">
        <f t="shared" si="2"/>
        <v>0.88500000000000001</v>
      </c>
      <c r="I68" s="41">
        <v>1770</v>
      </c>
      <c r="J68" s="22">
        <f t="shared" si="3"/>
        <v>0.91049999999999998</v>
      </c>
      <c r="K68" s="41">
        <v>1821</v>
      </c>
      <c r="L68" s="22">
        <f t="shared" si="4"/>
        <v>0.155</v>
      </c>
      <c r="M68" s="41">
        <v>310</v>
      </c>
      <c r="N68" s="41">
        <v>1894</v>
      </c>
      <c r="O68" s="22">
        <f t="shared" si="5"/>
        <v>0.72099999999999997</v>
      </c>
      <c r="P68" s="41">
        <v>1442</v>
      </c>
      <c r="Q68" s="22">
        <f t="shared" si="6"/>
        <v>0.29599999999999999</v>
      </c>
      <c r="R68" s="41">
        <v>592</v>
      </c>
      <c r="S68" s="22">
        <f t="shared" si="7"/>
        <v>0</v>
      </c>
      <c r="T68" s="41">
        <v>0</v>
      </c>
      <c r="U68" s="41">
        <v>0</v>
      </c>
      <c r="V68" s="41">
        <v>172.47</v>
      </c>
      <c r="W68" s="41">
        <v>48.31</v>
      </c>
      <c r="X68" s="41">
        <v>0</v>
      </c>
      <c r="Y68" s="41">
        <v>0</v>
      </c>
      <c r="Z68" s="22">
        <v>0</v>
      </c>
      <c r="AA68" s="41">
        <v>6.5386420000000003</v>
      </c>
      <c r="AB68" s="41">
        <v>9.06</v>
      </c>
      <c r="AC68" s="41">
        <v>53.956804334917003</v>
      </c>
      <c r="AD68" s="42">
        <v>5.7625000000000002</v>
      </c>
      <c r="AE68" s="35">
        <f t="shared" si="8"/>
        <v>426.56150000000002</v>
      </c>
      <c r="AF68" s="35">
        <f t="shared" si="9"/>
        <v>0.155</v>
      </c>
      <c r="AG68" s="35">
        <f t="shared" si="10"/>
        <v>19.334500000000002</v>
      </c>
      <c r="AH68" s="35">
        <f t="shared" si="11"/>
        <v>0</v>
      </c>
      <c r="AI68" s="35">
        <f t="shared" si="12"/>
        <v>0</v>
      </c>
      <c r="AJ68" s="35">
        <f t="shared" si="13"/>
        <v>9.06</v>
      </c>
      <c r="AK68" s="35">
        <f t="shared" si="14"/>
        <v>12.301142</v>
      </c>
      <c r="AL68" s="36">
        <f t="shared" si="15"/>
        <v>467.41214200000002</v>
      </c>
    </row>
    <row r="69" spans="1:38">
      <c r="A69" s="14">
        <v>2705</v>
      </c>
      <c r="B69" s="13" t="s">
        <v>50</v>
      </c>
      <c r="C69" s="41">
        <v>515.91</v>
      </c>
      <c r="D69" s="22">
        <f t="shared" si="0"/>
        <v>10.6305</v>
      </c>
      <c r="E69" s="41">
        <v>21261</v>
      </c>
      <c r="F69" s="22">
        <f t="shared" si="1"/>
        <v>0.50449999999999995</v>
      </c>
      <c r="G69" s="41">
        <v>1009</v>
      </c>
      <c r="H69" s="22">
        <f t="shared" si="2"/>
        <v>0.50449999999999995</v>
      </c>
      <c r="I69" s="41">
        <v>1009</v>
      </c>
      <c r="J69" s="22">
        <f t="shared" si="3"/>
        <v>0.47899999999999998</v>
      </c>
      <c r="K69" s="41">
        <v>958</v>
      </c>
      <c r="L69" s="22">
        <f t="shared" si="4"/>
        <v>4.2999999999999997E-2</v>
      </c>
      <c r="M69" s="41">
        <v>86</v>
      </c>
      <c r="N69" s="41">
        <v>1118</v>
      </c>
      <c r="O69" s="22">
        <f t="shared" si="5"/>
        <v>0</v>
      </c>
      <c r="P69" s="41">
        <v>0</v>
      </c>
      <c r="Q69" s="22">
        <f t="shared" si="6"/>
        <v>0.32350000000000001</v>
      </c>
      <c r="R69" s="41">
        <v>647</v>
      </c>
      <c r="S69" s="22">
        <f t="shared" si="7"/>
        <v>0.40250000000000002</v>
      </c>
      <c r="T69" s="41">
        <v>805</v>
      </c>
      <c r="U69" s="41">
        <v>0</v>
      </c>
      <c r="V69" s="41">
        <v>207.27</v>
      </c>
      <c r="W69" s="41">
        <v>62.515999999999998</v>
      </c>
      <c r="X69" s="41">
        <v>59.406700000000001</v>
      </c>
      <c r="Y69" s="41">
        <v>23.786339999999999</v>
      </c>
      <c r="Z69" s="22">
        <v>0.315</v>
      </c>
      <c r="AA69" s="41">
        <v>4.8926679999999996</v>
      </c>
      <c r="AB69" s="41">
        <v>15.15</v>
      </c>
      <c r="AC69" s="41">
        <v>76.002927878402801</v>
      </c>
      <c r="AD69" s="42">
        <v>19.675000000000001</v>
      </c>
      <c r="AE69" s="35">
        <f t="shared" si="8"/>
        <v>516.38900000000001</v>
      </c>
      <c r="AF69" s="35">
        <f t="shared" si="9"/>
        <v>0.35799999999999998</v>
      </c>
      <c r="AG69" s="35">
        <f t="shared" si="10"/>
        <v>12.365499999999999</v>
      </c>
      <c r="AH69" s="35">
        <f t="shared" si="11"/>
        <v>59.406700000000001</v>
      </c>
      <c r="AI69" s="35">
        <f t="shared" si="12"/>
        <v>23.786339999999999</v>
      </c>
      <c r="AJ69" s="35">
        <f t="shared" si="13"/>
        <v>15.15</v>
      </c>
      <c r="AK69" s="35">
        <f t="shared" si="14"/>
        <v>24.567668000000001</v>
      </c>
      <c r="AL69" s="36">
        <f t="shared" si="15"/>
        <v>652.02320799999995</v>
      </c>
    </row>
    <row r="70" spans="1:38">
      <c r="A70" s="14">
        <v>2761</v>
      </c>
      <c r="B70" s="13" t="s">
        <v>38</v>
      </c>
      <c r="C70" s="41">
        <v>505.87</v>
      </c>
      <c r="D70" s="22">
        <f t="shared" si="0"/>
        <v>15.4665</v>
      </c>
      <c r="E70" s="41">
        <v>30933</v>
      </c>
      <c r="F70" s="22">
        <f t="shared" si="1"/>
        <v>1.2809999999999999</v>
      </c>
      <c r="G70" s="41">
        <v>2562</v>
      </c>
      <c r="H70" s="22">
        <f t="shared" si="2"/>
        <v>1.2809999999999999</v>
      </c>
      <c r="I70" s="41">
        <v>2562</v>
      </c>
      <c r="J70" s="22">
        <f t="shared" si="3"/>
        <v>1.6054999999999999</v>
      </c>
      <c r="K70" s="41">
        <v>3211</v>
      </c>
      <c r="L70" s="22">
        <f t="shared" si="4"/>
        <v>0.02</v>
      </c>
      <c r="M70" s="41">
        <v>40</v>
      </c>
      <c r="N70" s="41">
        <v>9666</v>
      </c>
      <c r="O70" s="22">
        <f t="shared" si="5"/>
        <v>1.3065</v>
      </c>
      <c r="P70" s="41">
        <v>2613</v>
      </c>
      <c r="Q70" s="22">
        <f t="shared" si="6"/>
        <v>0.20449999999999999</v>
      </c>
      <c r="R70" s="41">
        <v>409</v>
      </c>
      <c r="S70" s="22">
        <f t="shared" si="7"/>
        <v>0.38900000000000001</v>
      </c>
      <c r="T70" s="41">
        <v>778</v>
      </c>
      <c r="U70" s="41">
        <v>0</v>
      </c>
      <c r="V70" s="41">
        <v>197.66</v>
      </c>
      <c r="W70" s="41">
        <v>31.875</v>
      </c>
      <c r="X70" s="41">
        <v>53.429000000000002</v>
      </c>
      <c r="Y70" s="41">
        <v>15.5733</v>
      </c>
      <c r="Z70" s="22">
        <v>0.1125</v>
      </c>
      <c r="AA70" s="41">
        <v>9.7797260000000001</v>
      </c>
      <c r="AB70" s="41">
        <v>13.185</v>
      </c>
      <c r="AC70" s="41">
        <v>201.04794022412801</v>
      </c>
      <c r="AD70" s="42">
        <v>9.4</v>
      </c>
      <c r="AE70" s="35">
        <f t="shared" si="8"/>
        <v>508.78200000000004</v>
      </c>
      <c r="AF70" s="35">
        <f t="shared" si="9"/>
        <v>0.13250000000000001</v>
      </c>
      <c r="AG70" s="35">
        <f t="shared" si="10"/>
        <v>18.621999999999996</v>
      </c>
      <c r="AH70" s="35">
        <f t="shared" si="11"/>
        <v>53.429000000000002</v>
      </c>
      <c r="AI70" s="35">
        <f t="shared" si="12"/>
        <v>15.5733</v>
      </c>
      <c r="AJ70" s="35">
        <f t="shared" si="13"/>
        <v>13.185</v>
      </c>
      <c r="AK70" s="35">
        <f t="shared" si="14"/>
        <v>19.179726000000002</v>
      </c>
      <c r="AL70" s="36">
        <f t="shared" si="15"/>
        <v>628.90352599999994</v>
      </c>
    </row>
    <row r="71" spans="1:38">
      <c r="A71" s="14">
        <v>2762</v>
      </c>
      <c r="B71" s="13" t="s">
        <v>31</v>
      </c>
      <c r="C71" s="41">
        <v>446.73</v>
      </c>
      <c r="D71" s="22">
        <f t="shared" si="0"/>
        <v>15.6435</v>
      </c>
      <c r="E71" s="41">
        <v>31287</v>
      </c>
      <c r="F71" s="22">
        <f t="shared" si="1"/>
        <v>2.3079999999999998</v>
      </c>
      <c r="G71" s="41">
        <v>4616</v>
      </c>
      <c r="H71" s="22">
        <f t="shared" si="2"/>
        <v>2.3079999999999998</v>
      </c>
      <c r="I71" s="41">
        <v>4616</v>
      </c>
      <c r="J71" s="22">
        <f t="shared" si="3"/>
        <v>0.92649999999999999</v>
      </c>
      <c r="K71" s="41">
        <v>1853</v>
      </c>
      <c r="L71" s="22">
        <f t="shared" si="4"/>
        <v>7.1499999999999994E-2</v>
      </c>
      <c r="M71" s="41">
        <v>143</v>
      </c>
      <c r="N71" s="41">
        <v>2220</v>
      </c>
      <c r="O71" s="22">
        <f t="shared" si="5"/>
        <v>1.2855000000000001</v>
      </c>
      <c r="P71" s="41">
        <v>2571</v>
      </c>
      <c r="Q71" s="22">
        <f t="shared" si="6"/>
        <v>1.0745</v>
      </c>
      <c r="R71" s="41">
        <v>2149</v>
      </c>
      <c r="S71" s="22">
        <f t="shared" si="7"/>
        <v>0.45100000000000001</v>
      </c>
      <c r="T71" s="41">
        <v>902</v>
      </c>
      <c r="U71" s="41">
        <v>0</v>
      </c>
      <c r="V71" s="41">
        <v>222.76230000000001</v>
      </c>
      <c r="W71" s="41">
        <v>54.46</v>
      </c>
      <c r="X71" s="41">
        <v>57.569000000000003</v>
      </c>
      <c r="Y71" s="41">
        <v>21.667200000000001</v>
      </c>
      <c r="Z71" s="22">
        <v>0</v>
      </c>
      <c r="AA71" s="41">
        <v>6.2645</v>
      </c>
      <c r="AB71" s="41">
        <v>11.04</v>
      </c>
      <c r="AC71" s="41">
        <v>56.0775543413232</v>
      </c>
      <c r="AD71" s="42">
        <v>3.9750000000000001</v>
      </c>
      <c r="AE71" s="35">
        <f t="shared" si="8"/>
        <v>448.94200000000001</v>
      </c>
      <c r="AF71" s="35">
        <f t="shared" si="9"/>
        <v>7.1499999999999994E-2</v>
      </c>
      <c r="AG71" s="35">
        <f t="shared" si="10"/>
        <v>21.785</v>
      </c>
      <c r="AH71" s="35">
        <f t="shared" si="11"/>
        <v>57.569000000000003</v>
      </c>
      <c r="AI71" s="35">
        <f t="shared" si="12"/>
        <v>21.667200000000001</v>
      </c>
      <c r="AJ71" s="35">
        <f t="shared" si="13"/>
        <v>11.04</v>
      </c>
      <c r="AK71" s="35">
        <f t="shared" si="14"/>
        <v>10.2395</v>
      </c>
      <c r="AL71" s="36">
        <f t="shared" si="15"/>
        <v>571.31420000000003</v>
      </c>
    </row>
    <row r="72" spans="1:38">
      <c r="A72" s="14">
        <v>2795</v>
      </c>
      <c r="B72" s="13" t="s">
        <v>29</v>
      </c>
      <c r="C72" s="41">
        <v>594.77</v>
      </c>
      <c r="D72" s="22">
        <f t="shared" si="0"/>
        <v>20.044499999999999</v>
      </c>
      <c r="E72" s="41">
        <v>40089</v>
      </c>
      <c r="F72" s="22">
        <f t="shared" si="1"/>
        <v>0.69299999999999995</v>
      </c>
      <c r="G72" s="41">
        <v>1386</v>
      </c>
      <c r="H72" s="22">
        <f t="shared" si="2"/>
        <v>0.69299999999999995</v>
      </c>
      <c r="I72" s="41">
        <v>1386</v>
      </c>
      <c r="J72" s="22">
        <f t="shared" si="3"/>
        <v>0.78049999999999997</v>
      </c>
      <c r="K72" s="41">
        <v>1561</v>
      </c>
      <c r="L72" s="22">
        <f t="shared" si="4"/>
        <v>0.17449999999999999</v>
      </c>
      <c r="M72" s="41">
        <v>349</v>
      </c>
      <c r="N72" s="41">
        <v>1946</v>
      </c>
      <c r="O72" s="22">
        <f t="shared" si="5"/>
        <v>0.72299999999999998</v>
      </c>
      <c r="P72" s="41">
        <v>1446</v>
      </c>
      <c r="Q72" s="22">
        <f t="shared" si="6"/>
        <v>0.188</v>
      </c>
      <c r="R72" s="41">
        <v>376</v>
      </c>
      <c r="S72" s="22">
        <f t="shared" si="7"/>
        <v>0</v>
      </c>
      <c r="T72" s="41">
        <v>0</v>
      </c>
      <c r="U72" s="41">
        <v>0</v>
      </c>
      <c r="V72" s="41">
        <v>276.91379999999998</v>
      </c>
      <c r="W72" s="41">
        <v>110.197</v>
      </c>
      <c r="X72" s="41">
        <v>0</v>
      </c>
      <c r="Y72" s="41">
        <v>0</v>
      </c>
      <c r="Z72" s="22">
        <v>0</v>
      </c>
      <c r="AA72" s="41">
        <v>10.394582</v>
      </c>
      <c r="AB72" s="41">
        <v>13.71</v>
      </c>
      <c r="AC72" s="41">
        <v>45.776009132869397</v>
      </c>
      <c r="AD72" s="42">
        <v>10</v>
      </c>
      <c r="AE72" s="35">
        <f t="shared" si="8"/>
        <v>596.2734999999999</v>
      </c>
      <c r="AF72" s="35">
        <f t="shared" si="9"/>
        <v>0.17449999999999999</v>
      </c>
      <c r="AG72" s="35">
        <f t="shared" si="10"/>
        <v>21.618500000000001</v>
      </c>
      <c r="AH72" s="35">
        <f t="shared" si="11"/>
        <v>0</v>
      </c>
      <c r="AI72" s="35">
        <f t="shared" si="12"/>
        <v>0</v>
      </c>
      <c r="AJ72" s="35">
        <f t="shared" si="13"/>
        <v>13.71</v>
      </c>
      <c r="AK72" s="35">
        <f t="shared" si="14"/>
        <v>20.394582</v>
      </c>
      <c r="AL72" s="36">
        <f t="shared" si="15"/>
        <v>652.17108199999996</v>
      </c>
    </row>
    <row r="73" spans="1:38">
      <c r="A73" s="14">
        <v>2805</v>
      </c>
      <c r="B73" s="13" t="s">
        <v>59</v>
      </c>
      <c r="C73" s="41">
        <v>208.41</v>
      </c>
      <c r="D73" s="22">
        <f t="shared" si="0"/>
        <v>3.3694999999999999</v>
      </c>
      <c r="E73" s="41">
        <v>6739</v>
      </c>
      <c r="F73" s="22">
        <f t="shared" si="1"/>
        <v>0.1565</v>
      </c>
      <c r="G73" s="41">
        <v>313</v>
      </c>
      <c r="H73" s="22">
        <f t="shared" si="2"/>
        <v>0.1565</v>
      </c>
      <c r="I73" s="41">
        <v>313</v>
      </c>
      <c r="J73" s="22">
        <f t="shared" si="3"/>
        <v>0.20949999999999999</v>
      </c>
      <c r="K73" s="41">
        <v>419</v>
      </c>
      <c r="L73" s="22">
        <f t="shared" si="4"/>
        <v>2.4500000000000001E-2</v>
      </c>
      <c r="M73" s="41">
        <v>49</v>
      </c>
      <c r="N73" s="41">
        <v>407</v>
      </c>
      <c r="O73" s="22">
        <f t="shared" si="5"/>
        <v>6.3E-2</v>
      </c>
      <c r="P73" s="41">
        <v>126</v>
      </c>
      <c r="Q73" s="22">
        <f t="shared" si="6"/>
        <v>9.2499999999999999E-2</v>
      </c>
      <c r="R73" s="41">
        <v>185</v>
      </c>
      <c r="S73" s="22">
        <f t="shared" si="7"/>
        <v>3.3500000000000002E-2</v>
      </c>
      <c r="T73" s="41">
        <v>67</v>
      </c>
      <c r="U73" s="41">
        <v>0</v>
      </c>
      <c r="V73" s="41">
        <v>126.9267</v>
      </c>
      <c r="W73" s="41">
        <v>32.662500000000001</v>
      </c>
      <c r="X73" s="41">
        <v>0</v>
      </c>
      <c r="Y73" s="41">
        <v>0</v>
      </c>
      <c r="Z73" s="22">
        <v>0</v>
      </c>
      <c r="AA73" s="41">
        <v>7.28552</v>
      </c>
      <c r="AB73" s="41">
        <v>8.64</v>
      </c>
      <c r="AC73" s="41">
        <v>79.886674884991194</v>
      </c>
      <c r="AD73" s="42">
        <v>5.8</v>
      </c>
      <c r="AE73" s="35">
        <f t="shared" si="8"/>
        <v>208.68249999999998</v>
      </c>
      <c r="AF73" s="35">
        <f t="shared" si="9"/>
        <v>2.4500000000000001E-2</v>
      </c>
      <c r="AG73" s="35">
        <f t="shared" si="10"/>
        <v>3.8084999999999996</v>
      </c>
      <c r="AH73" s="35">
        <f t="shared" si="11"/>
        <v>0</v>
      </c>
      <c r="AI73" s="35">
        <f t="shared" si="12"/>
        <v>0</v>
      </c>
      <c r="AJ73" s="35">
        <f t="shared" si="13"/>
        <v>8.64</v>
      </c>
      <c r="AK73" s="35">
        <f t="shared" si="14"/>
        <v>13.085519999999999</v>
      </c>
      <c r="AL73" s="36">
        <f t="shared" si="15"/>
        <v>234.24101999999996</v>
      </c>
    </row>
    <row r="74" spans="1:38">
      <c r="A74" s="14">
        <v>2807</v>
      </c>
      <c r="B74" s="13" t="s">
        <v>60</v>
      </c>
      <c r="C74" s="41">
        <v>588.13</v>
      </c>
      <c r="D74" s="22">
        <f t="shared" si="0"/>
        <v>12.086</v>
      </c>
      <c r="E74" s="41">
        <v>24172</v>
      </c>
      <c r="F74" s="22">
        <f t="shared" si="1"/>
        <v>0.5585</v>
      </c>
      <c r="G74" s="41">
        <v>1117</v>
      </c>
      <c r="H74" s="22">
        <f t="shared" si="2"/>
        <v>0.5585</v>
      </c>
      <c r="I74" s="41">
        <v>1117</v>
      </c>
      <c r="J74" s="22">
        <f t="shared" si="3"/>
        <v>0.50449999999999995</v>
      </c>
      <c r="K74" s="41">
        <v>1009</v>
      </c>
      <c r="L74" s="22">
        <f t="shared" si="4"/>
        <v>8.8499999999999995E-2</v>
      </c>
      <c r="M74" s="41">
        <v>177</v>
      </c>
      <c r="N74" s="41">
        <v>1156</v>
      </c>
      <c r="O74" s="22">
        <f t="shared" si="5"/>
        <v>0.52849999999999997</v>
      </c>
      <c r="P74" s="41">
        <v>1057</v>
      </c>
      <c r="Q74" s="22">
        <f t="shared" si="6"/>
        <v>0.17849999999999999</v>
      </c>
      <c r="R74" s="41">
        <v>357</v>
      </c>
      <c r="S74" s="22">
        <f t="shared" si="7"/>
        <v>0</v>
      </c>
      <c r="T74" s="41">
        <v>0</v>
      </c>
      <c r="U74" s="41">
        <v>0</v>
      </c>
      <c r="V74" s="41">
        <v>191.38550000000001</v>
      </c>
      <c r="W74" s="41">
        <v>96.477500000000006</v>
      </c>
      <c r="X74" s="41">
        <v>50.749040000000001</v>
      </c>
      <c r="Y74" s="41">
        <v>23.40204</v>
      </c>
      <c r="Z74" s="22">
        <v>0.29249999999999998</v>
      </c>
      <c r="AA74" s="41">
        <v>16.130994000000001</v>
      </c>
      <c r="AB74" s="41">
        <v>13.59</v>
      </c>
      <c r="AC74" s="41">
        <v>75.994750177114597</v>
      </c>
      <c r="AD74" s="42">
        <v>14.7</v>
      </c>
      <c r="AE74" s="35">
        <f t="shared" si="8"/>
        <v>589.16300000000001</v>
      </c>
      <c r="AF74" s="35">
        <f t="shared" si="9"/>
        <v>0.38100000000000001</v>
      </c>
      <c r="AG74" s="35">
        <f t="shared" si="10"/>
        <v>13.381500000000001</v>
      </c>
      <c r="AH74" s="35">
        <f t="shared" si="11"/>
        <v>50.749040000000001</v>
      </c>
      <c r="AI74" s="35">
        <f t="shared" si="12"/>
        <v>23.40204</v>
      </c>
      <c r="AJ74" s="35">
        <f t="shared" si="13"/>
        <v>13.59</v>
      </c>
      <c r="AK74" s="35">
        <f t="shared" si="14"/>
        <v>30.830994</v>
      </c>
      <c r="AL74" s="36">
        <f t="shared" si="15"/>
        <v>721.49757399999999</v>
      </c>
    </row>
    <row r="75" spans="1:38">
      <c r="A75" s="14">
        <v>2808</v>
      </c>
      <c r="B75" s="13" t="s">
        <v>28</v>
      </c>
      <c r="C75" s="41">
        <v>703.33</v>
      </c>
      <c r="D75" s="22">
        <f t="shared" ref="D75:D129" si="16">E75/2000</f>
        <v>9.4124999999999996</v>
      </c>
      <c r="E75" s="41">
        <v>18825</v>
      </c>
      <c r="F75" s="22">
        <f t="shared" ref="F75:F129" si="17">G75/2000</f>
        <v>0.35499999999999998</v>
      </c>
      <c r="G75" s="41">
        <v>710</v>
      </c>
      <c r="H75" s="22">
        <f t="shared" ref="H75:H129" si="18">I75/2000</f>
        <v>0.35499999999999998</v>
      </c>
      <c r="I75" s="41">
        <v>710</v>
      </c>
      <c r="J75" s="22">
        <f t="shared" ref="J75:J129" si="19">K75/2000</f>
        <v>0.51949999999999996</v>
      </c>
      <c r="K75" s="41">
        <v>1039</v>
      </c>
      <c r="L75" s="22">
        <f t="shared" ref="L75:L129" si="20">M75/2000</f>
        <v>7.4999999999999997E-2</v>
      </c>
      <c r="M75" s="41">
        <v>150</v>
      </c>
      <c r="N75" s="41">
        <v>834</v>
      </c>
      <c r="O75" s="22">
        <f t="shared" ref="O75:O129" si="21">P75/2000</f>
        <v>0.39900000000000002</v>
      </c>
      <c r="P75" s="41">
        <v>798</v>
      </c>
      <c r="Q75" s="22">
        <f t="shared" ref="Q75:Q129" si="22">R75/2000</f>
        <v>8.3000000000000004E-2</v>
      </c>
      <c r="R75" s="41">
        <v>166</v>
      </c>
      <c r="S75" s="22">
        <f t="shared" ref="S75:S129" si="23">T75/2000</f>
        <v>0</v>
      </c>
      <c r="T75" s="41">
        <v>0</v>
      </c>
      <c r="U75" s="41">
        <v>0</v>
      </c>
      <c r="V75" s="41">
        <v>360.32</v>
      </c>
      <c r="W75" s="41">
        <v>129.21299999999999</v>
      </c>
      <c r="X75" s="41">
        <v>79.637500000000003</v>
      </c>
      <c r="Y75" s="41">
        <v>43.231920000000002</v>
      </c>
      <c r="Z75" s="22">
        <v>0.2475</v>
      </c>
      <c r="AA75" s="41">
        <v>10.295845999999999</v>
      </c>
      <c r="AB75" s="41">
        <v>23.25</v>
      </c>
      <c r="AC75" s="41">
        <v>40.964216946835997</v>
      </c>
      <c r="AD75" s="42">
        <v>4.7125000000000004</v>
      </c>
      <c r="AE75" s="35">
        <f t="shared" ref="AE75:AE129" si="24">C75+J75+O75+U75</f>
        <v>704.24850000000004</v>
      </c>
      <c r="AF75" s="35">
        <f t="shared" ref="AF75:AF129" si="25">L75+Z75</f>
        <v>0.32250000000000001</v>
      </c>
      <c r="AG75" s="35">
        <f t="shared" ref="AG75:AG129" si="26">D75+F75+H75+Q75+S75</f>
        <v>10.205500000000001</v>
      </c>
      <c r="AH75" s="35">
        <f t="shared" ref="AH75:AH129" si="27">X75</f>
        <v>79.637500000000003</v>
      </c>
      <c r="AI75" s="35">
        <f t="shared" ref="AI75:AI129" si="28">Y75</f>
        <v>43.231920000000002</v>
      </c>
      <c r="AJ75" s="35">
        <f t="shared" ref="AJ75:AJ129" si="29">AB75</f>
        <v>23.25</v>
      </c>
      <c r="AK75" s="35">
        <f t="shared" ref="AK75:AK129" si="30">AA75+AD75</f>
        <v>15.008346</v>
      </c>
      <c r="AL75" s="36">
        <f t="shared" ref="AL75:AL129" si="31">SUM(AE75:AK75)</f>
        <v>875.90426600000012</v>
      </c>
    </row>
    <row r="76" spans="1:38">
      <c r="A76" s="14">
        <v>2821</v>
      </c>
      <c r="B76" s="13" t="s">
        <v>61</v>
      </c>
      <c r="C76" s="41">
        <v>707.2</v>
      </c>
      <c r="D76" s="22">
        <f t="shared" si="16"/>
        <v>20.082999999999998</v>
      </c>
      <c r="E76" s="41">
        <v>40166</v>
      </c>
      <c r="F76" s="22">
        <f t="shared" si="17"/>
        <v>0.72599999999999998</v>
      </c>
      <c r="G76" s="41">
        <v>1452</v>
      </c>
      <c r="H76" s="22">
        <f t="shared" si="18"/>
        <v>0.72599999999999998</v>
      </c>
      <c r="I76" s="41">
        <v>1452</v>
      </c>
      <c r="J76" s="22">
        <f t="shared" si="19"/>
        <v>0.67449999999999999</v>
      </c>
      <c r="K76" s="41">
        <v>1349</v>
      </c>
      <c r="L76" s="22">
        <f t="shared" si="20"/>
        <v>0.161</v>
      </c>
      <c r="M76" s="41">
        <v>322</v>
      </c>
      <c r="N76" s="41">
        <v>1837</v>
      </c>
      <c r="O76" s="22">
        <f t="shared" si="21"/>
        <v>0.52149999999999996</v>
      </c>
      <c r="P76" s="41">
        <v>1043</v>
      </c>
      <c r="Q76" s="22">
        <f t="shared" si="22"/>
        <v>0.20949999999999999</v>
      </c>
      <c r="R76" s="41">
        <v>419</v>
      </c>
      <c r="S76" s="22">
        <f t="shared" si="23"/>
        <v>0</v>
      </c>
      <c r="T76" s="41">
        <v>0</v>
      </c>
      <c r="U76" s="41">
        <v>0</v>
      </c>
      <c r="V76" s="41">
        <v>334.59649999999999</v>
      </c>
      <c r="W76" s="41">
        <v>103.6345</v>
      </c>
      <c r="X76" s="41">
        <v>38.214500000000001</v>
      </c>
      <c r="Y76" s="41">
        <v>34.748040000000003</v>
      </c>
      <c r="Z76" s="22">
        <v>0</v>
      </c>
      <c r="AA76" s="41">
        <v>5.7861539999999998</v>
      </c>
      <c r="AB76" s="41">
        <v>16.079999999999998</v>
      </c>
      <c r="AC76" s="41">
        <v>30.0860813957426</v>
      </c>
      <c r="AD76" s="42">
        <v>14.175000000000001</v>
      </c>
      <c r="AE76" s="35">
        <f t="shared" si="24"/>
        <v>708.39599999999996</v>
      </c>
      <c r="AF76" s="35">
        <f t="shared" si="25"/>
        <v>0.161</v>
      </c>
      <c r="AG76" s="35">
        <f t="shared" si="26"/>
        <v>21.744499999999995</v>
      </c>
      <c r="AH76" s="35">
        <f t="shared" si="27"/>
        <v>38.214500000000001</v>
      </c>
      <c r="AI76" s="35">
        <f t="shared" si="28"/>
        <v>34.748040000000003</v>
      </c>
      <c r="AJ76" s="35">
        <f t="shared" si="29"/>
        <v>16.079999999999998</v>
      </c>
      <c r="AK76" s="35">
        <f t="shared" si="30"/>
        <v>19.961154000000001</v>
      </c>
      <c r="AL76" s="36">
        <f t="shared" si="31"/>
        <v>839.30519400000003</v>
      </c>
    </row>
    <row r="77" spans="1:38">
      <c r="A77" s="14">
        <v>3214</v>
      </c>
      <c r="B77" s="13" t="s">
        <v>33</v>
      </c>
      <c r="C77" s="41">
        <v>605.54999999999995</v>
      </c>
      <c r="D77" s="22">
        <f t="shared" si="16"/>
        <v>17.536999999999999</v>
      </c>
      <c r="E77" s="41">
        <v>35074</v>
      </c>
      <c r="F77" s="22">
        <f t="shared" si="17"/>
        <v>0.82050000000000001</v>
      </c>
      <c r="G77" s="41">
        <v>1641</v>
      </c>
      <c r="H77" s="22">
        <f t="shared" si="18"/>
        <v>0.82050000000000001</v>
      </c>
      <c r="I77" s="41">
        <v>1641</v>
      </c>
      <c r="J77" s="22">
        <f t="shared" si="19"/>
        <v>0.77100000000000002</v>
      </c>
      <c r="K77" s="41">
        <v>1542</v>
      </c>
      <c r="L77" s="22">
        <f t="shared" si="20"/>
        <v>0.13250000000000001</v>
      </c>
      <c r="M77" s="41">
        <v>265</v>
      </c>
      <c r="N77" s="41">
        <v>1707</v>
      </c>
      <c r="O77" s="22">
        <f t="shared" si="21"/>
        <v>0.80100000000000005</v>
      </c>
      <c r="P77" s="41">
        <v>1602</v>
      </c>
      <c r="Q77" s="22">
        <f t="shared" si="22"/>
        <v>0.2235</v>
      </c>
      <c r="R77" s="41">
        <v>447</v>
      </c>
      <c r="S77" s="22">
        <f t="shared" si="23"/>
        <v>0</v>
      </c>
      <c r="T77" s="41">
        <v>0</v>
      </c>
      <c r="U77" s="41">
        <v>0</v>
      </c>
      <c r="V77" s="41">
        <v>211.78559999999999</v>
      </c>
      <c r="W77" s="41">
        <v>122.622</v>
      </c>
      <c r="X77" s="41">
        <v>48.657420000000002</v>
      </c>
      <c r="Y77" s="41">
        <v>21.421980000000001</v>
      </c>
      <c r="Z77" s="22">
        <v>0.36</v>
      </c>
      <c r="AA77" s="41">
        <v>5.6331879999999996</v>
      </c>
      <c r="AB77" s="41">
        <v>14.805</v>
      </c>
      <c r="AC77" s="41">
        <v>139.50021717420401</v>
      </c>
      <c r="AD77" s="42">
        <v>26.83</v>
      </c>
      <c r="AE77" s="35">
        <f t="shared" si="24"/>
        <v>607.12199999999996</v>
      </c>
      <c r="AF77" s="35">
        <f t="shared" si="25"/>
        <v>0.49249999999999999</v>
      </c>
      <c r="AG77" s="35">
        <f t="shared" si="26"/>
        <v>19.401499999999999</v>
      </c>
      <c r="AH77" s="35">
        <f t="shared" si="27"/>
        <v>48.657420000000002</v>
      </c>
      <c r="AI77" s="35">
        <f t="shared" si="28"/>
        <v>21.421980000000001</v>
      </c>
      <c r="AJ77" s="35">
        <f t="shared" si="29"/>
        <v>14.805</v>
      </c>
      <c r="AK77" s="35">
        <f t="shared" si="30"/>
        <v>32.463187999999995</v>
      </c>
      <c r="AL77" s="36">
        <f t="shared" si="31"/>
        <v>744.36358799999971</v>
      </c>
    </row>
    <row r="78" spans="1:38">
      <c r="A78" s="14">
        <v>3216</v>
      </c>
      <c r="B78" s="13" t="s">
        <v>34</v>
      </c>
      <c r="C78" s="41">
        <v>1033.73</v>
      </c>
      <c r="D78" s="22">
        <f t="shared" si="16"/>
        <v>8.7680000000000007</v>
      </c>
      <c r="E78" s="41">
        <v>17536</v>
      </c>
      <c r="F78" s="22">
        <f t="shared" si="17"/>
        <v>0.38550000000000001</v>
      </c>
      <c r="G78" s="41">
        <v>771</v>
      </c>
      <c r="H78" s="22">
        <f t="shared" si="18"/>
        <v>0.38550000000000001</v>
      </c>
      <c r="I78" s="41">
        <v>771</v>
      </c>
      <c r="J78" s="22">
        <f t="shared" si="19"/>
        <v>0.39600000000000002</v>
      </c>
      <c r="K78" s="41">
        <v>792</v>
      </c>
      <c r="L78" s="22">
        <f t="shared" si="20"/>
        <v>7.3999999999999996E-2</v>
      </c>
      <c r="M78" s="41">
        <v>148</v>
      </c>
      <c r="N78" s="41">
        <v>868</v>
      </c>
      <c r="O78" s="22">
        <f t="shared" si="21"/>
        <v>0.36149999999999999</v>
      </c>
      <c r="P78" s="41">
        <v>723</v>
      </c>
      <c r="Q78" s="22">
        <f t="shared" si="22"/>
        <v>0.13250000000000001</v>
      </c>
      <c r="R78" s="41">
        <v>265</v>
      </c>
      <c r="S78" s="22">
        <f t="shared" si="23"/>
        <v>0</v>
      </c>
      <c r="T78" s="41">
        <v>0</v>
      </c>
      <c r="U78" s="41">
        <v>0</v>
      </c>
      <c r="V78" s="41">
        <v>269.74</v>
      </c>
      <c r="W78" s="41">
        <v>80.799499999999995</v>
      </c>
      <c r="X78" s="41">
        <v>96.933959999999999</v>
      </c>
      <c r="Y78" s="41">
        <v>45.490139999999997</v>
      </c>
      <c r="Z78" s="22">
        <v>0.495</v>
      </c>
      <c r="AA78" s="41">
        <v>8.7037279999999999</v>
      </c>
      <c r="AB78" s="41">
        <v>24.06</v>
      </c>
      <c r="AC78" s="41">
        <v>215.10006073199199</v>
      </c>
      <c r="AD78" s="42">
        <v>16.324999999999999</v>
      </c>
      <c r="AE78" s="35">
        <f t="shared" si="24"/>
        <v>1034.4875</v>
      </c>
      <c r="AF78" s="35">
        <f t="shared" si="25"/>
        <v>0.56899999999999995</v>
      </c>
      <c r="AG78" s="35">
        <f t="shared" si="26"/>
        <v>9.6715000000000018</v>
      </c>
      <c r="AH78" s="35">
        <f t="shared" si="27"/>
        <v>96.933959999999999</v>
      </c>
      <c r="AI78" s="35">
        <f t="shared" si="28"/>
        <v>45.490139999999997</v>
      </c>
      <c r="AJ78" s="35">
        <f t="shared" si="29"/>
        <v>24.06</v>
      </c>
      <c r="AK78" s="35">
        <f t="shared" si="30"/>
        <v>25.028728000000001</v>
      </c>
      <c r="AL78" s="36">
        <f t="shared" si="31"/>
        <v>1236.2408279999997</v>
      </c>
    </row>
    <row r="79" spans="1:38">
      <c r="A79" s="14">
        <v>3219</v>
      </c>
      <c r="B79" s="13" t="s">
        <v>62</v>
      </c>
      <c r="C79" s="41">
        <v>772.1</v>
      </c>
      <c r="D79" s="22">
        <f t="shared" si="16"/>
        <v>24.73</v>
      </c>
      <c r="E79" s="41">
        <v>49460</v>
      </c>
      <c r="F79" s="22">
        <f t="shared" si="17"/>
        <v>1.0269999999999999</v>
      </c>
      <c r="G79" s="41">
        <v>2054</v>
      </c>
      <c r="H79" s="22">
        <f t="shared" si="18"/>
        <v>1.0269999999999999</v>
      </c>
      <c r="I79" s="41">
        <v>2054</v>
      </c>
      <c r="J79" s="22">
        <f t="shared" si="19"/>
        <v>1.0305</v>
      </c>
      <c r="K79" s="41">
        <v>2061</v>
      </c>
      <c r="L79" s="22">
        <f t="shared" si="20"/>
        <v>0.158</v>
      </c>
      <c r="M79" s="41">
        <v>316</v>
      </c>
      <c r="N79" s="41">
        <v>2272</v>
      </c>
      <c r="O79" s="22">
        <f t="shared" si="21"/>
        <v>1.2170000000000001</v>
      </c>
      <c r="P79" s="41">
        <v>2434</v>
      </c>
      <c r="Q79" s="22">
        <f t="shared" si="22"/>
        <v>0.379</v>
      </c>
      <c r="R79" s="41">
        <v>758</v>
      </c>
      <c r="S79" s="22">
        <f t="shared" si="23"/>
        <v>0</v>
      </c>
      <c r="T79" s="41">
        <v>0</v>
      </c>
      <c r="U79" s="41">
        <v>0</v>
      </c>
      <c r="V79" s="41">
        <v>392.65</v>
      </c>
      <c r="W79" s="41">
        <v>88.558000000000007</v>
      </c>
      <c r="X79" s="41">
        <v>81.709339999999997</v>
      </c>
      <c r="Y79" s="41">
        <v>33.719580000000001</v>
      </c>
      <c r="Z79" s="22">
        <v>0.33750000000000002</v>
      </c>
      <c r="AA79" s="41">
        <v>7.0715919999999999</v>
      </c>
      <c r="AB79" s="41">
        <v>30.96</v>
      </c>
      <c r="AC79" s="41">
        <v>73.655096550814804</v>
      </c>
      <c r="AD79" s="42">
        <v>16.2</v>
      </c>
      <c r="AE79" s="35">
        <f t="shared" si="24"/>
        <v>774.34749999999997</v>
      </c>
      <c r="AF79" s="35">
        <f t="shared" si="25"/>
        <v>0.49550000000000005</v>
      </c>
      <c r="AG79" s="35">
        <f t="shared" si="26"/>
        <v>27.163000000000004</v>
      </c>
      <c r="AH79" s="35">
        <f t="shared" si="27"/>
        <v>81.709339999999997</v>
      </c>
      <c r="AI79" s="35">
        <f t="shared" si="28"/>
        <v>33.719580000000001</v>
      </c>
      <c r="AJ79" s="35">
        <f t="shared" si="29"/>
        <v>30.96</v>
      </c>
      <c r="AK79" s="35">
        <f t="shared" si="30"/>
        <v>23.271591999999998</v>
      </c>
      <c r="AL79" s="36">
        <f t="shared" si="31"/>
        <v>971.66651200000001</v>
      </c>
    </row>
    <row r="80" spans="1:38">
      <c r="A80" s="14">
        <v>3243</v>
      </c>
      <c r="B80" s="13" t="s">
        <v>15</v>
      </c>
      <c r="C80" s="41">
        <v>677.98</v>
      </c>
      <c r="D80" s="22">
        <f t="shared" si="16"/>
        <v>28.755500000000001</v>
      </c>
      <c r="E80" s="41">
        <v>57511</v>
      </c>
      <c r="F80" s="22">
        <f t="shared" si="17"/>
        <v>4.4219999999999997</v>
      </c>
      <c r="G80" s="41">
        <v>8844</v>
      </c>
      <c r="H80" s="22">
        <f t="shared" si="18"/>
        <v>4.4219999999999997</v>
      </c>
      <c r="I80" s="41">
        <v>8844</v>
      </c>
      <c r="J80" s="22">
        <f t="shared" si="19"/>
        <v>0.154</v>
      </c>
      <c r="K80" s="41">
        <v>308</v>
      </c>
      <c r="L80" s="22">
        <f t="shared" si="20"/>
        <v>8.3000000000000004E-2</v>
      </c>
      <c r="M80" s="41">
        <v>166</v>
      </c>
      <c r="N80" s="41">
        <v>7379</v>
      </c>
      <c r="O80" s="22">
        <f t="shared" si="21"/>
        <v>0.1605</v>
      </c>
      <c r="P80" s="41">
        <v>321</v>
      </c>
      <c r="Q80" s="22">
        <f t="shared" si="22"/>
        <v>0.20799999999999999</v>
      </c>
      <c r="R80" s="41">
        <v>416</v>
      </c>
      <c r="S80" s="22">
        <f t="shared" si="23"/>
        <v>0.46899999999999997</v>
      </c>
      <c r="T80" s="41">
        <v>938</v>
      </c>
      <c r="U80" s="41">
        <v>0</v>
      </c>
      <c r="V80" s="41">
        <v>277.49</v>
      </c>
      <c r="W80" s="41">
        <v>29.227499999999999</v>
      </c>
      <c r="X80" s="41">
        <v>74.244</v>
      </c>
      <c r="Y80" s="41">
        <v>17.846160000000001</v>
      </c>
      <c r="Z80" s="22">
        <v>0.27</v>
      </c>
      <c r="AA80" s="41">
        <v>9.2329380000000008</v>
      </c>
      <c r="AB80" s="41">
        <v>13.545</v>
      </c>
      <c r="AC80" s="41">
        <v>230.37680776418</v>
      </c>
      <c r="AD80" s="42">
        <v>5.5750000000000002</v>
      </c>
      <c r="AE80" s="35">
        <f t="shared" si="24"/>
        <v>678.29449999999997</v>
      </c>
      <c r="AF80" s="35">
        <f t="shared" si="25"/>
        <v>0.35300000000000004</v>
      </c>
      <c r="AG80" s="35">
        <f t="shared" si="26"/>
        <v>38.276499999999999</v>
      </c>
      <c r="AH80" s="35">
        <f t="shared" si="27"/>
        <v>74.244</v>
      </c>
      <c r="AI80" s="35">
        <f t="shared" si="28"/>
        <v>17.846160000000001</v>
      </c>
      <c r="AJ80" s="35">
        <f t="shared" si="29"/>
        <v>13.545</v>
      </c>
      <c r="AK80" s="35">
        <f t="shared" si="30"/>
        <v>14.807938</v>
      </c>
      <c r="AL80" s="36">
        <f t="shared" si="31"/>
        <v>837.36709800000006</v>
      </c>
    </row>
    <row r="81" spans="1:38">
      <c r="A81" s="14">
        <v>3265</v>
      </c>
      <c r="B81" s="13" t="s">
        <v>62</v>
      </c>
      <c r="C81" s="41">
        <v>868.85</v>
      </c>
      <c r="D81" s="22">
        <f t="shared" si="16"/>
        <v>50.619500000000002</v>
      </c>
      <c r="E81" s="41">
        <v>101239</v>
      </c>
      <c r="F81" s="22">
        <f t="shared" si="17"/>
        <v>1.9275</v>
      </c>
      <c r="G81" s="41">
        <v>3855</v>
      </c>
      <c r="H81" s="22">
        <f t="shared" si="18"/>
        <v>1.9275</v>
      </c>
      <c r="I81" s="41">
        <v>3855</v>
      </c>
      <c r="J81" s="22">
        <f t="shared" si="19"/>
        <v>1.8975</v>
      </c>
      <c r="K81" s="41">
        <v>3795</v>
      </c>
      <c r="L81" s="22">
        <f t="shared" si="20"/>
        <v>0.48149999999999998</v>
      </c>
      <c r="M81" s="41">
        <v>963</v>
      </c>
      <c r="N81" s="41">
        <v>4826</v>
      </c>
      <c r="O81" s="22">
        <f t="shared" si="21"/>
        <v>1.8169999999999999</v>
      </c>
      <c r="P81" s="41">
        <v>3634</v>
      </c>
      <c r="Q81" s="22">
        <f t="shared" si="22"/>
        <v>0.61050000000000004</v>
      </c>
      <c r="R81" s="41">
        <v>1221</v>
      </c>
      <c r="S81" s="22">
        <f t="shared" si="23"/>
        <v>0</v>
      </c>
      <c r="T81" s="41">
        <v>0</v>
      </c>
      <c r="U81" s="41">
        <v>0</v>
      </c>
      <c r="V81" s="41">
        <v>303.67270000000002</v>
      </c>
      <c r="W81" s="41">
        <v>125.9375</v>
      </c>
      <c r="X81" s="41">
        <v>85.899019999999993</v>
      </c>
      <c r="Y81" s="41">
        <v>41.738639999999997</v>
      </c>
      <c r="Z81" s="22">
        <v>0.49</v>
      </c>
      <c r="AA81" s="41">
        <v>6.3007780000000002</v>
      </c>
      <c r="AB81" s="41">
        <v>20.265000000000001</v>
      </c>
      <c r="AC81" s="41">
        <v>137.23076536260399</v>
      </c>
      <c r="AD81" s="42">
        <v>29.425000000000001</v>
      </c>
      <c r="AE81" s="35">
        <f t="shared" si="24"/>
        <v>872.56450000000007</v>
      </c>
      <c r="AF81" s="35">
        <f t="shared" si="25"/>
        <v>0.97150000000000003</v>
      </c>
      <c r="AG81" s="35">
        <f t="shared" si="26"/>
        <v>55.085000000000008</v>
      </c>
      <c r="AH81" s="35">
        <f t="shared" si="27"/>
        <v>85.899019999999993</v>
      </c>
      <c r="AI81" s="35">
        <f t="shared" si="28"/>
        <v>41.738639999999997</v>
      </c>
      <c r="AJ81" s="35">
        <f t="shared" si="29"/>
        <v>20.265000000000001</v>
      </c>
      <c r="AK81" s="35">
        <f t="shared" si="30"/>
        <v>35.725777999999998</v>
      </c>
      <c r="AL81" s="36">
        <f t="shared" si="31"/>
        <v>1112.2494380000001</v>
      </c>
    </row>
    <row r="82" spans="1:38">
      <c r="A82" s="14">
        <v>3270</v>
      </c>
      <c r="B82" s="13" t="s">
        <v>63</v>
      </c>
      <c r="C82" s="41">
        <v>535.17999999999995</v>
      </c>
      <c r="D82" s="22">
        <f t="shared" si="16"/>
        <v>13.432499999999999</v>
      </c>
      <c r="E82" s="41">
        <v>26865</v>
      </c>
      <c r="F82" s="22">
        <f t="shared" si="17"/>
        <v>1.7000000000000001E-2</v>
      </c>
      <c r="G82" s="41">
        <v>34</v>
      </c>
      <c r="H82" s="22">
        <f t="shared" si="18"/>
        <v>1.7000000000000001E-2</v>
      </c>
      <c r="I82" s="41">
        <v>34</v>
      </c>
      <c r="J82" s="22">
        <f t="shared" si="19"/>
        <v>2.516</v>
      </c>
      <c r="K82" s="41">
        <v>5032</v>
      </c>
      <c r="L82" s="22">
        <f t="shared" si="20"/>
        <v>0.05</v>
      </c>
      <c r="M82" s="41">
        <v>100</v>
      </c>
      <c r="N82" s="41">
        <v>5482</v>
      </c>
      <c r="O82" s="22">
        <f t="shared" si="21"/>
        <v>8.6999999999999994E-2</v>
      </c>
      <c r="P82" s="41">
        <v>174</v>
      </c>
      <c r="Q82" s="22">
        <f t="shared" si="22"/>
        <v>0.65200000000000002</v>
      </c>
      <c r="R82" s="41">
        <v>1304</v>
      </c>
      <c r="S82" s="22">
        <f t="shared" si="23"/>
        <v>0.1</v>
      </c>
      <c r="T82" s="41">
        <v>200</v>
      </c>
      <c r="U82" s="41">
        <v>0</v>
      </c>
      <c r="V82" s="41">
        <v>160.03</v>
      </c>
      <c r="W82" s="41">
        <v>48.854999999999997</v>
      </c>
      <c r="X82" s="41">
        <v>64.951999999999998</v>
      </c>
      <c r="Y82" s="41">
        <v>24.558599999999998</v>
      </c>
      <c r="Z82" s="22">
        <v>2.2499999999999999E-2</v>
      </c>
      <c r="AA82" s="41">
        <v>6.1100380000000003</v>
      </c>
      <c r="AB82" s="41">
        <v>13.38</v>
      </c>
      <c r="AC82" s="41">
        <v>118.72998521361799</v>
      </c>
      <c r="AD82" s="42">
        <v>6.1</v>
      </c>
      <c r="AE82" s="35">
        <f t="shared" si="24"/>
        <v>537.7829999999999</v>
      </c>
      <c r="AF82" s="35">
        <f t="shared" si="25"/>
        <v>7.2500000000000009E-2</v>
      </c>
      <c r="AG82" s="35">
        <f t="shared" si="26"/>
        <v>14.218499999999997</v>
      </c>
      <c r="AH82" s="35">
        <f t="shared" si="27"/>
        <v>64.951999999999998</v>
      </c>
      <c r="AI82" s="35">
        <f t="shared" si="28"/>
        <v>24.558599999999998</v>
      </c>
      <c r="AJ82" s="35">
        <f t="shared" si="29"/>
        <v>13.38</v>
      </c>
      <c r="AK82" s="35">
        <f t="shared" si="30"/>
        <v>12.210038000000001</v>
      </c>
      <c r="AL82" s="36">
        <f t="shared" si="31"/>
        <v>667.17463799999985</v>
      </c>
    </row>
    <row r="83" spans="1:38">
      <c r="A83" s="14">
        <v>3303</v>
      </c>
      <c r="B83" s="13" t="s">
        <v>64</v>
      </c>
      <c r="C83" s="41">
        <v>280.74</v>
      </c>
      <c r="D83" s="22">
        <f t="shared" si="16"/>
        <v>7.7190000000000003</v>
      </c>
      <c r="E83" s="41">
        <v>15438</v>
      </c>
      <c r="F83" s="22">
        <f t="shared" si="17"/>
        <v>0.52749999999999997</v>
      </c>
      <c r="G83" s="41">
        <v>1055</v>
      </c>
      <c r="H83" s="22">
        <f t="shared" si="18"/>
        <v>0.52749999999999997</v>
      </c>
      <c r="I83" s="41">
        <v>1055</v>
      </c>
      <c r="J83" s="22">
        <f t="shared" si="19"/>
        <v>0.46200000000000002</v>
      </c>
      <c r="K83" s="41">
        <v>924</v>
      </c>
      <c r="L83" s="22">
        <f t="shared" si="20"/>
        <v>0</v>
      </c>
      <c r="M83" s="41">
        <v>0</v>
      </c>
      <c r="N83" s="41">
        <v>1532</v>
      </c>
      <c r="O83" s="22">
        <f t="shared" si="21"/>
        <v>0.151</v>
      </c>
      <c r="P83" s="41">
        <v>302</v>
      </c>
      <c r="Q83" s="22">
        <f t="shared" si="22"/>
        <v>7.6499999999999999E-2</v>
      </c>
      <c r="R83" s="41">
        <v>153</v>
      </c>
      <c r="S83" s="22">
        <f t="shared" si="23"/>
        <v>4.0500000000000001E-2</v>
      </c>
      <c r="T83" s="41">
        <v>81</v>
      </c>
      <c r="U83" s="41">
        <v>0</v>
      </c>
      <c r="V83" s="41">
        <v>147.1867</v>
      </c>
      <c r="W83" s="41">
        <v>29.795000000000002</v>
      </c>
      <c r="X83" s="41">
        <v>0</v>
      </c>
      <c r="Y83" s="41">
        <v>0</v>
      </c>
      <c r="Z83" s="22">
        <v>2.2499999999999999E-2</v>
      </c>
      <c r="AA83" s="41">
        <v>6.9193740000000004</v>
      </c>
      <c r="AB83" s="41">
        <v>5.25</v>
      </c>
      <c r="AC83" s="41">
        <v>6.3570000087732002</v>
      </c>
      <c r="AD83" s="42">
        <v>7.85</v>
      </c>
      <c r="AE83" s="35">
        <f t="shared" si="24"/>
        <v>281.35300000000001</v>
      </c>
      <c r="AF83" s="35">
        <f t="shared" si="25"/>
        <v>2.2499999999999999E-2</v>
      </c>
      <c r="AG83" s="35">
        <f t="shared" si="26"/>
        <v>8.891</v>
      </c>
      <c r="AH83" s="35">
        <f t="shared" si="27"/>
        <v>0</v>
      </c>
      <c r="AI83" s="35">
        <f t="shared" si="28"/>
        <v>0</v>
      </c>
      <c r="AJ83" s="35">
        <f t="shared" si="29"/>
        <v>5.25</v>
      </c>
      <c r="AK83" s="35">
        <f t="shared" si="30"/>
        <v>14.769373999999999</v>
      </c>
      <c r="AL83" s="36">
        <f t="shared" si="31"/>
        <v>310.28587400000004</v>
      </c>
    </row>
    <row r="84" spans="1:38">
      <c r="A84" s="14">
        <v>3344</v>
      </c>
      <c r="B84" s="13" t="s">
        <v>65</v>
      </c>
      <c r="C84" s="41">
        <v>633</v>
      </c>
      <c r="D84" s="22">
        <f t="shared" si="16"/>
        <v>13.323499999999999</v>
      </c>
      <c r="E84" s="41">
        <v>26647</v>
      </c>
      <c r="F84" s="22">
        <f t="shared" si="17"/>
        <v>0.55200000000000005</v>
      </c>
      <c r="G84" s="41">
        <v>1104</v>
      </c>
      <c r="H84" s="22">
        <f t="shared" si="18"/>
        <v>0.55200000000000005</v>
      </c>
      <c r="I84" s="41">
        <v>1104</v>
      </c>
      <c r="J84" s="22">
        <f t="shared" si="19"/>
        <v>0.51049999999999995</v>
      </c>
      <c r="K84" s="41">
        <v>1021</v>
      </c>
      <c r="L84" s="22">
        <f t="shared" si="20"/>
        <v>0.13350000000000001</v>
      </c>
      <c r="M84" s="41">
        <v>267</v>
      </c>
      <c r="N84" s="41">
        <v>1498</v>
      </c>
      <c r="O84" s="22">
        <f t="shared" si="21"/>
        <v>0.50349999999999995</v>
      </c>
      <c r="P84" s="41">
        <v>1007</v>
      </c>
      <c r="Q84" s="22">
        <f t="shared" si="22"/>
        <v>0.16450000000000001</v>
      </c>
      <c r="R84" s="41">
        <v>329</v>
      </c>
      <c r="S84" s="22">
        <f t="shared" si="23"/>
        <v>0</v>
      </c>
      <c r="T84" s="41">
        <v>0</v>
      </c>
      <c r="U84" s="41">
        <v>0</v>
      </c>
      <c r="V84" s="41">
        <v>186.06</v>
      </c>
      <c r="W84" s="41">
        <v>65.420500000000004</v>
      </c>
      <c r="X84" s="41">
        <v>76.898660000000007</v>
      </c>
      <c r="Y84" s="41">
        <v>13.962899999999999</v>
      </c>
      <c r="Z84" s="22">
        <v>0.22500000000000001</v>
      </c>
      <c r="AA84" s="41">
        <v>5.6705880000000004</v>
      </c>
      <c r="AB84" s="41">
        <v>19.95</v>
      </c>
      <c r="AC84" s="41">
        <v>65.349021237240194</v>
      </c>
      <c r="AD84" s="42">
        <v>20.077500000000001</v>
      </c>
      <c r="AE84" s="35">
        <f t="shared" si="24"/>
        <v>634.01400000000001</v>
      </c>
      <c r="AF84" s="35">
        <f t="shared" si="25"/>
        <v>0.35850000000000004</v>
      </c>
      <c r="AG84" s="35">
        <f t="shared" si="26"/>
        <v>14.591999999999999</v>
      </c>
      <c r="AH84" s="35">
        <f t="shared" si="27"/>
        <v>76.898660000000007</v>
      </c>
      <c r="AI84" s="35">
        <f t="shared" si="28"/>
        <v>13.962899999999999</v>
      </c>
      <c r="AJ84" s="35">
        <f t="shared" si="29"/>
        <v>19.95</v>
      </c>
      <c r="AK84" s="35">
        <f t="shared" si="30"/>
        <v>25.748088000000003</v>
      </c>
      <c r="AL84" s="36">
        <f t="shared" si="31"/>
        <v>785.5241480000002</v>
      </c>
    </row>
    <row r="85" spans="1:38">
      <c r="A85" s="14">
        <v>3480</v>
      </c>
      <c r="B85" s="13" t="s">
        <v>66</v>
      </c>
      <c r="C85" s="41">
        <v>377.36</v>
      </c>
      <c r="D85" s="22">
        <f t="shared" si="16"/>
        <v>13.346</v>
      </c>
      <c r="E85" s="41">
        <v>26692</v>
      </c>
      <c r="F85" s="22">
        <f t="shared" si="17"/>
        <v>1.2625</v>
      </c>
      <c r="G85" s="41">
        <v>2525</v>
      </c>
      <c r="H85" s="22">
        <f t="shared" si="18"/>
        <v>1.2625</v>
      </c>
      <c r="I85" s="41">
        <v>2525</v>
      </c>
      <c r="J85" s="22">
        <f t="shared" si="19"/>
        <v>2.4384999999999999</v>
      </c>
      <c r="K85" s="41">
        <v>4877</v>
      </c>
      <c r="L85" s="22">
        <f t="shared" si="20"/>
        <v>0.129</v>
      </c>
      <c r="M85" s="41">
        <v>258</v>
      </c>
      <c r="N85" s="41">
        <v>1935</v>
      </c>
      <c r="O85" s="22">
        <f t="shared" si="21"/>
        <v>0.47899999999999998</v>
      </c>
      <c r="P85" s="41">
        <v>958</v>
      </c>
      <c r="Q85" s="22">
        <f t="shared" si="22"/>
        <v>0.83450000000000002</v>
      </c>
      <c r="R85" s="41">
        <v>1669</v>
      </c>
      <c r="S85" s="22">
        <f t="shared" si="23"/>
        <v>0.30349999999999999</v>
      </c>
      <c r="T85" s="41">
        <v>607</v>
      </c>
      <c r="U85" s="41">
        <v>0</v>
      </c>
      <c r="V85" s="41">
        <v>261.75729999999999</v>
      </c>
      <c r="W85" s="41">
        <v>30.43</v>
      </c>
      <c r="X85" s="41">
        <v>54.774500000000003</v>
      </c>
      <c r="Y85" s="41">
        <v>17.857140000000001</v>
      </c>
      <c r="Z85" s="22">
        <v>6.7500000000000004E-2</v>
      </c>
      <c r="AA85" s="41">
        <v>6.3153639999999998</v>
      </c>
      <c r="AB85" s="41">
        <v>11.1</v>
      </c>
      <c r="AC85" s="41">
        <v>84.906223084062404</v>
      </c>
      <c r="AD85" s="42">
        <v>10.1</v>
      </c>
      <c r="AE85" s="35">
        <f t="shared" si="24"/>
        <v>380.27749999999997</v>
      </c>
      <c r="AF85" s="35">
        <f t="shared" si="25"/>
        <v>0.19650000000000001</v>
      </c>
      <c r="AG85" s="35">
        <f t="shared" si="26"/>
        <v>17.008999999999997</v>
      </c>
      <c r="AH85" s="35">
        <f t="shared" si="27"/>
        <v>54.774500000000003</v>
      </c>
      <c r="AI85" s="35">
        <f t="shared" si="28"/>
        <v>17.857140000000001</v>
      </c>
      <c r="AJ85" s="35">
        <f t="shared" si="29"/>
        <v>11.1</v>
      </c>
      <c r="AK85" s="35">
        <f t="shared" si="30"/>
        <v>16.415364</v>
      </c>
      <c r="AL85" s="36">
        <f t="shared" si="31"/>
        <v>497.63000400000004</v>
      </c>
    </row>
    <row r="86" spans="1:38">
      <c r="A86" s="14">
        <v>3573</v>
      </c>
      <c r="B86" s="13" t="s">
        <v>42</v>
      </c>
      <c r="C86" s="41">
        <v>708.27</v>
      </c>
      <c r="D86" s="22">
        <f t="shared" si="16"/>
        <v>12.973000000000001</v>
      </c>
      <c r="E86" s="41">
        <v>25946</v>
      </c>
      <c r="F86" s="22">
        <f t="shared" si="17"/>
        <v>0.57450000000000001</v>
      </c>
      <c r="G86" s="41">
        <v>1149</v>
      </c>
      <c r="H86" s="22">
        <f t="shared" si="18"/>
        <v>0.57450000000000001</v>
      </c>
      <c r="I86" s="41">
        <v>1149</v>
      </c>
      <c r="J86" s="22">
        <f t="shared" si="19"/>
        <v>0.75449999999999995</v>
      </c>
      <c r="K86" s="41">
        <v>1509</v>
      </c>
      <c r="L86" s="22">
        <f t="shared" si="20"/>
        <v>0.107</v>
      </c>
      <c r="M86" s="41">
        <v>214</v>
      </c>
      <c r="N86" s="41">
        <v>1402</v>
      </c>
      <c r="O86" s="22">
        <f t="shared" si="21"/>
        <v>0.71450000000000002</v>
      </c>
      <c r="P86" s="41">
        <v>1429</v>
      </c>
      <c r="Q86" s="22">
        <f t="shared" si="22"/>
        <v>0.104</v>
      </c>
      <c r="R86" s="41">
        <v>208</v>
      </c>
      <c r="S86" s="22">
        <f t="shared" si="23"/>
        <v>0</v>
      </c>
      <c r="T86" s="41">
        <v>0</v>
      </c>
      <c r="U86" s="41">
        <v>0</v>
      </c>
      <c r="V86" s="41">
        <v>247.97</v>
      </c>
      <c r="W86" s="41">
        <v>90.069000000000003</v>
      </c>
      <c r="X86" s="41">
        <v>0</v>
      </c>
      <c r="Y86" s="41">
        <v>0</v>
      </c>
      <c r="Z86" s="22">
        <v>0</v>
      </c>
      <c r="AA86" s="41">
        <v>8.9486980000000003</v>
      </c>
      <c r="AB86" s="41">
        <v>18.945</v>
      </c>
      <c r="AC86" s="41">
        <v>42.6233705805518</v>
      </c>
      <c r="AD86" s="42">
        <v>18.0425</v>
      </c>
      <c r="AE86" s="35">
        <f t="shared" si="24"/>
        <v>709.73900000000003</v>
      </c>
      <c r="AF86" s="35">
        <f t="shared" si="25"/>
        <v>0.107</v>
      </c>
      <c r="AG86" s="35">
        <f t="shared" si="26"/>
        <v>14.226000000000001</v>
      </c>
      <c r="AH86" s="35">
        <f t="shared" si="27"/>
        <v>0</v>
      </c>
      <c r="AI86" s="35">
        <f t="shared" si="28"/>
        <v>0</v>
      </c>
      <c r="AJ86" s="35">
        <f t="shared" si="29"/>
        <v>18.945</v>
      </c>
      <c r="AK86" s="35">
        <f t="shared" si="30"/>
        <v>26.991198000000001</v>
      </c>
      <c r="AL86" s="36">
        <f t="shared" si="31"/>
        <v>770.00819800000011</v>
      </c>
    </row>
    <row r="87" spans="1:38">
      <c r="A87" s="14">
        <v>3588</v>
      </c>
      <c r="B87" s="13" t="s">
        <v>42</v>
      </c>
      <c r="C87" s="41">
        <v>701.52</v>
      </c>
      <c r="D87" s="22">
        <f t="shared" si="16"/>
        <v>15.394500000000001</v>
      </c>
      <c r="E87" s="41">
        <v>30789</v>
      </c>
      <c r="F87" s="22">
        <f t="shared" si="17"/>
        <v>0.65600000000000003</v>
      </c>
      <c r="G87" s="41">
        <v>1312</v>
      </c>
      <c r="H87" s="22">
        <f t="shared" si="18"/>
        <v>0.65600000000000003</v>
      </c>
      <c r="I87" s="41">
        <v>1312</v>
      </c>
      <c r="J87" s="22">
        <f t="shared" si="19"/>
        <v>0.63249999999999995</v>
      </c>
      <c r="K87" s="41">
        <v>1265</v>
      </c>
      <c r="L87" s="22">
        <f t="shared" si="20"/>
        <v>0.1545</v>
      </c>
      <c r="M87" s="41">
        <v>309</v>
      </c>
      <c r="N87" s="41">
        <v>1400</v>
      </c>
      <c r="O87" s="22">
        <f t="shared" si="21"/>
        <v>0.59899999999999998</v>
      </c>
      <c r="P87" s="41">
        <v>1198</v>
      </c>
      <c r="Q87" s="22">
        <f t="shared" si="22"/>
        <v>0.33</v>
      </c>
      <c r="R87" s="41">
        <v>660</v>
      </c>
      <c r="S87" s="22">
        <f t="shared" si="23"/>
        <v>0</v>
      </c>
      <c r="T87" s="41">
        <v>0</v>
      </c>
      <c r="U87" s="41">
        <v>0</v>
      </c>
      <c r="V87" s="41">
        <v>200.83145999999999</v>
      </c>
      <c r="W87" s="41">
        <v>138.03299999999999</v>
      </c>
      <c r="X87" s="41">
        <v>0</v>
      </c>
      <c r="Y87" s="41">
        <v>0</v>
      </c>
      <c r="Z87" s="22">
        <v>0.04</v>
      </c>
      <c r="AA87" s="41">
        <v>8.4037799999999994</v>
      </c>
      <c r="AB87" s="41">
        <v>9.5549999999999997</v>
      </c>
      <c r="AC87" s="41">
        <v>98.578958051431599</v>
      </c>
      <c r="AD87" s="42">
        <v>20.175000000000001</v>
      </c>
      <c r="AE87" s="35">
        <f t="shared" si="24"/>
        <v>702.75150000000008</v>
      </c>
      <c r="AF87" s="35">
        <f t="shared" si="25"/>
        <v>0.19450000000000001</v>
      </c>
      <c r="AG87" s="35">
        <f t="shared" si="26"/>
        <v>17.036499999999997</v>
      </c>
      <c r="AH87" s="35">
        <f t="shared" si="27"/>
        <v>0</v>
      </c>
      <c r="AI87" s="35">
        <f t="shared" si="28"/>
        <v>0</v>
      </c>
      <c r="AJ87" s="35">
        <f t="shared" si="29"/>
        <v>9.5549999999999997</v>
      </c>
      <c r="AK87" s="35">
        <f t="shared" si="30"/>
        <v>28.578780000000002</v>
      </c>
      <c r="AL87" s="36">
        <f t="shared" si="31"/>
        <v>758.11628000000007</v>
      </c>
    </row>
    <row r="88" spans="1:38">
      <c r="A88" s="14">
        <v>3644</v>
      </c>
      <c r="B88" s="13" t="s">
        <v>32</v>
      </c>
      <c r="C88" s="41">
        <v>564.49</v>
      </c>
      <c r="D88" s="22">
        <f t="shared" si="16"/>
        <v>20.357500000000002</v>
      </c>
      <c r="E88" s="41">
        <v>40715</v>
      </c>
      <c r="F88" s="22">
        <f t="shared" si="17"/>
        <v>0.86599999999999999</v>
      </c>
      <c r="G88" s="41">
        <v>1732</v>
      </c>
      <c r="H88" s="22">
        <f t="shared" si="18"/>
        <v>0.86599999999999999</v>
      </c>
      <c r="I88" s="41">
        <v>1732</v>
      </c>
      <c r="J88" s="22">
        <f t="shared" si="19"/>
        <v>0.76049999999999995</v>
      </c>
      <c r="K88" s="41">
        <v>1521</v>
      </c>
      <c r="L88" s="22">
        <f t="shared" si="20"/>
        <v>0.14899999999999999</v>
      </c>
      <c r="M88" s="41">
        <v>298</v>
      </c>
      <c r="N88" s="41">
        <v>1843</v>
      </c>
      <c r="O88" s="22">
        <f t="shared" si="21"/>
        <v>0.72399999999999998</v>
      </c>
      <c r="P88" s="41">
        <v>1448</v>
      </c>
      <c r="Q88" s="22">
        <f t="shared" si="22"/>
        <v>0.2455</v>
      </c>
      <c r="R88" s="41">
        <v>491</v>
      </c>
      <c r="S88" s="22">
        <f t="shared" si="23"/>
        <v>0</v>
      </c>
      <c r="T88" s="41">
        <v>0</v>
      </c>
      <c r="U88" s="41">
        <v>0</v>
      </c>
      <c r="V88" s="41">
        <v>181.279</v>
      </c>
      <c r="W88" s="41">
        <v>103.3665</v>
      </c>
      <c r="X88" s="41">
        <v>0</v>
      </c>
      <c r="Y88" s="41">
        <v>0</v>
      </c>
      <c r="Z88" s="22">
        <v>0.18</v>
      </c>
      <c r="AA88" s="41">
        <v>4.3230659999999999</v>
      </c>
      <c r="AB88" s="41">
        <v>7.98</v>
      </c>
      <c r="AC88" s="41">
        <v>66.311247135845207</v>
      </c>
      <c r="AD88" s="42">
        <v>17.875</v>
      </c>
      <c r="AE88" s="35">
        <f t="shared" si="24"/>
        <v>565.97450000000003</v>
      </c>
      <c r="AF88" s="35">
        <f t="shared" si="25"/>
        <v>0.32899999999999996</v>
      </c>
      <c r="AG88" s="35">
        <f t="shared" si="26"/>
        <v>22.335000000000001</v>
      </c>
      <c r="AH88" s="35">
        <f t="shared" si="27"/>
        <v>0</v>
      </c>
      <c r="AI88" s="35">
        <f t="shared" si="28"/>
        <v>0</v>
      </c>
      <c r="AJ88" s="35">
        <f t="shared" si="29"/>
        <v>7.98</v>
      </c>
      <c r="AK88" s="35">
        <f t="shared" si="30"/>
        <v>22.198066000000001</v>
      </c>
      <c r="AL88" s="36">
        <f t="shared" si="31"/>
        <v>618.81656600000008</v>
      </c>
    </row>
    <row r="89" spans="1:38">
      <c r="A89" s="14">
        <v>3768</v>
      </c>
      <c r="B89" s="13" t="s">
        <v>67</v>
      </c>
      <c r="C89" s="41">
        <v>372.69</v>
      </c>
      <c r="D89" s="22">
        <f t="shared" si="16"/>
        <v>10.831</v>
      </c>
      <c r="E89" s="41">
        <v>21662</v>
      </c>
      <c r="F89" s="22">
        <f t="shared" si="17"/>
        <v>0.38650000000000001</v>
      </c>
      <c r="G89" s="41">
        <v>773</v>
      </c>
      <c r="H89" s="22">
        <f t="shared" si="18"/>
        <v>0.38650000000000001</v>
      </c>
      <c r="I89" s="41">
        <v>773</v>
      </c>
      <c r="J89" s="22">
        <f t="shared" si="19"/>
        <v>0.46150000000000002</v>
      </c>
      <c r="K89" s="41">
        <v>923</v>
      </c>
      <c r="L89" s="22">
        <f t="shared" si="20"/>
        <v>7.2999999999999995E-2</v>
      </c>
      <c r="M89" s="41">
        <v>146</v>
      </c>
      <c r="N89" s="41">
        <v>969</v>
      </c>
      <c r="O89" s="22">
        <f t="shared" si="21"/>
        <v>0.38350000000000001</v>
      </c>
      <c r="P89" s="41">
        <v>767</v>
      </c>
      <c r="Q89" s="22">
        <f t="shared" si="22"/>
        <v>0.1045</v>
      </c>
      <c r="R89" s="41">
        <v>209</v>
      </c>
      <c r="S89" s="22">
        <f t="shared" si="23"/>
        <v>0</v>
      </c>
      <c r="T89" s="41">
        <v>0</v>
      </c>
      <c r="U89" s="41">
        <v>0</v>
      </c>
      <c r="V89" s="41">
        <v>119.07</v>
      </c>
      <c r="W89" s="41">
        <v>41.229500000000002</v>
      </c>
      <c r="X89" s="41">
        <v>40.457000000000001</v>
      </c>
      <c r="Y89" s="41">
        <v>10.738440000000001</v>
      </c>
      <c r="Z89" s="22">
        <v>0.58499999999999996</v>
      </c>
      <c r="AA89" s="41">
        <v>6.9448059999999998</v>
      </c>
      <c r="AB89" s="41">
        <v>13.875</v>
      </c>
      <c r="AC89" s="41">
        <v>110.977180981898</v>
      </c>
      <c r="AD89" s="42">
        <v>14.512499999999999</v>
      </c>
      <c r="AE89" s="35">
        <f t="shared" si="24"/>
        <v>373.53500000000003</v>
      </c>
      <c r="AF89" s="35">
        <f t="shared" si="25"/>
        <v>0.65799999999999992</v>
      </c>
      <c r="AG89" s="35">
        <f t="shared" si="26"/>
        <v>11.708499999999999</v>
      </c>
      <c r="AH89" s="35">
        <f t="shared" si="27"/>
        <v>40.457000000000001</v>
      </c>
      <c r="AI89" s="35">
        <f t="shared" si="28"/>
        <v>10.738440000000001</v>
      </c>
      <c r="AJ89" s="35">
        <f t="shared" si="29"/>
        <v>13.875</v>
      </c>
      <c r="AK89" s="35">
        <f t="shared" si="30"/>
        <v>21.457305999999999</v>
      </c>
      <c r="AL89" s="36">
        <f t="shared" si="31"/>
        <v>472.42924600000009</v>
      </c>
    </row>
    <row r="90" spans="1:38">
      <c r="A90" s="14">
        <v>3770</v>
      </c>
      <c r="B90" s="13" t="s">
        <v>68</v>
      </c>
      <c r="C90" s="41">
        <v>292.68</v>
      </c>
      <c r="D90" s="22">
        <f t="shared" si="16"/>
        <v>13.925000000000001</v>
      </c>
      <c r="E90" s="41">
        <v>27850</v>
      </c>
      <c r="F90" s="22">
        <f t="shared" si="17"/>
        <v>1.242</v>
      </c>
      <c r="G90" s="41">
        <v>2484</v>
      </c>
      <c r="H90" s="22">
        <f t="shared" si="18"/>
        <v>1.242</v>
      </c>
      <c r="I90" s="41">
        <v>2484</v>
      </c>
      <c r="J90" s="22">
        <f t="shared" si="19"/>
        <v>2.0365000000000002</v>
      </c>
      <c r="K90" s="41">
        <v>4073</v>
      </c>
      <c r="L90" s="22">
        <f t="shared" si="20"/>
        <v>3.9E-2</v>
      </c>
      <c r="M90" s="41">
        <v>78</v>
      </c>
      <c r="N90" s="41">
        <v>2045</v>
      </c>
      <c r="O90" s="22">
        <f t="shared" si="21"/>
        <v>1.1850000000000001</v>
      </c>
      <c r="P90" s="41">
        <v>2370</v>
      </c>
      <c r="Q90" s="22">
        <f t="shared" si="22"/>
        <v>0.42849999999999999</v>
      </c>
      <c r="R90" s="41">
        <v>857</v>
      </c>
      <c r="S90" s="22">
        <f t="shared" si="23"/>
        <v>6.2E-2</v>
      </c>
      <c r="T90" s="41">
        <v>124</v>
      </c>
      <c r="U90" s="41">
        <v>0</v>
      </c>
      <c r="V90" s="41">
        <v>137.03</v>
      </c>
      <c r="W90" s="41">
        <v>49.290500000000002</v>
      </c>
      <c r="X90" s="41">
        <v>0</v>
      </c>
      <c r="Y90" s="41">
        <v>0</v>
      </c>
      <c r="Z90" s="22">
        <v>0</v>
      </c>
      <c r="AA90" s="41">
        <v>9.9023979999999998</v>
      </c>
      <c r="AB90" s="41">
        <v>8.5050000000000008</v>
      </c>
      <c r="AC90" s="41">
        <v>69.467894737901005</v>
      </c>
      <c r="AD90" s="42">
        <v>7.25</v>
      </c>
      <c r="AE90" s="35">
        <f t="shared" si="24"/>
        <v>295.9015</v>
      </c>
      <c r="AF90" s="35">
        <f t="shared" si="25"/>
        <v>3.9E-2</v>
      </c>
      <c r="AG90" s="35">
        <f t="shared" si="26"/>
        <v>16.899500000000003</v>
      </c>
      <c r="AH90" s="35">
        <f t="shared" si="27"/>
        <v>0</v>
      </c>
      <c r="AI90" s="35">
        <f t="shared" si="28"/>
        <v>0</v>
      </c>
      <c r="AJ90" s="35">
        <f t="shared" si="29"/>
        <v>8.5050000000000008</v>
      </c>
      <c r="AK90" s="35">
        <f t="shared" si="30"/>
        <v>17.152397999999998</v>
      </c>
      <c r="AL90" s="36">
        <f t="shared" si="31"/>
        <v>338.49739799999998</v>
      </c>
    </row>
    <row r="91" spans="1:38">
      <c r="A91" s="14">
        <v>3772</v>
      </c>
      <c r="B91" s="13" t="s">
        <v>69</v>
      </c>
      <c r="C91" s="41">
        <v>282.44</v>
      </c>
      <c r="D91" s="22">
        <f t="shared" si="16"/>
        <v>5.7264999999999997</v>
      </c>
      <c r="E91" s="41">
        <v>11453</v>
      </c>
      <c r="F91" s="22">
        <f t="shared" si="17"/>
        <v>0.83350000000000002</v>
      </c>
      <c r="G91" s="41">
        <v>1667</v>
      </c>
      <c r="H91" s="22">
        <f t="shared" si="18"/>
        <v>0.83350000000000002</v>
      </c>
      <c r="I91" s="41">
        <v>1667</v>
      </c>
      <c r="J91" s="22">
        <f t="shared" si="19"/>
        <v>0.55800000000000005</v>
      </c>
      <c r="K91" s="41">
        <v>1116</v>
      </c>
      <c r="L91" s="22">
        <f t="shared" si="20"/>
        <v>0.124</v>
      </c>
      <c r="M91" s="41">
        <v>248</v>
      </c>
      <c r="N91" s="41">
        <v>2546</v>
      </c>
      <c r="O91" s="22">
        <f t="shared" si="21"/>
        <v>1.2444999999999999</v>
      </c>
      <c r="P91" s="41">
        <v>2489</v>
      </c>
      <c r="Q91" s="22">
        <f t="shared" si="22"/>
        <v>0.40400000000000003</v>
      </c>
      <c r="R91" s="41">
        <v>808</v>
      </c>
      <c r="S91" s="22">
        <f t="shared" si="23"/>
        <v>1.3705000000000001</v>
      </c>
      <c r="T91" s="41">
        <v>2741</v>
      </c>
      <c r="U91" s="41">
        <v>0</v>
      </c>
      <c r="V91" s="41">
        <v>238.0566</v>
      </c>
      <c r="W91" s="41">
        <v>42.003</v>
      </c>
      <c r="X91" s="41">
        <v>27.950520000000001</v>
      </c>
      <c r="Y91" s="41">
        <v>13.63716</v>
      </c>
      <c r="Z91" s="22">
        <v>0.19750000000000001</v>
      </c>
      <c r="AA91" s="41">
        <v>11.831863999999999</v>
      </c>
      <c r="AB91" s="41">
        <v>14.835000000000001</v>
      </c>
      <c r="AC91" s="41">
        <v>120.081421962885</v>
      </c>
      <c r="AD91" s="42">
        <v>4.9000000000000004</v>
      </c>
      <c r="AE91" s="35">
        <f t="shared" si="24"/>
        <v>284.24250000000001</v>
      </c>
      <c r="AF91" s="35">
        <f t="shared" si="25"/>
        <v>0.32150000000000001</v>
      </c>
      <c r="AG91" s="35">
        <f t="shared" si="26"/>
        <v>9.1679999999999993</v>
      </c>
      <c r="AH91" s="35">
        <f t="shared" si="27"/>
        <v>27.950520000000001</v>
      </c>
      <c r="AI91" s="35">
        <f t="shared" si="28"/>
        <v>13.63716</v>
      </c>
      <c r="AJ91" s="35">
        <f t="shared" si="29"/>
        <v>14.835000000000001</v>
      </c>
      <c r="AK91" s="35">
        <f t="shared" si="30"/>
        <v>16.731864000000002</v>
      </c>
      <c r="AL91" s="36">
        <f t="shared" si="31"/>
        <v>366.88654399999996</v>
      </c>
    </row>
    <row r="92" spans="1:38">
      <c r="A92" s="14">
        <v>3831</v>
      </c>
      <c r="B92" s="13" t="s">
        <v>70</v>
      </c>
      <c r="C92" s="41">
        <v>571.62</v>
      </c>
      <c r="D92" s="22">
        <f t="shared" si="16"/>
        <v>1.9</v>
      </c>
      <c r="E92" s="41">
        <v>3800</v>
      </c>
      <c r="F92" s="22">
        <f t="shared" si="17"/>
        <v>0.13100000000000001</v>
      </c>
      <c r="G92" s="41">
        <v>262</v>
      </c>
      <c r="H92" s="22">
        <f t="shared" si="18"/>
        <v>0.13100000000000001</v>
      </c>
      <c r="I92" s="41">
        <v>262</v>
      </c>
      <c r="J92" s="22">
        <f t="shared" si="19"/>
        <v>9.2999999999999999E-2</v>
      </c>
      <c r="K92" s="41">
        <v>186</v>
      </c>
      <c r="L92" s="22">
        <f t="shared" si="20"/>
        <v>2.1499999999999998E-2</v>
      </c>
      <c r="M92" s="41">
        <v>43</v>
      </c>
      <c r="N92" s="41">
        <v>238</v>
      </c>
      <c r="O92" s="22">
        <f t="shared" si="21"/>
        <v>7.2499999999999995E-2</v>
      </c>
      <c r="P92" s="41">
        <v>145</v>
      </c>
      <c r="Q92" s="22">
        <f t="shared" si="22"/>
        <v>3.15E-2</v>
      </c>
      <c r="R92" s="41">
        <v>63</v>
      </c>
      <c r="S92" s="22">
        <f t="shared" si="23"/>
        <v>0</v>
      </c>
      <c r="T92" s="41">
        <v>0</v>
      </c>
      <c r="U92" s="41">
        <v>0</v>
      </c>
      <c r="V92" s="41">
        <v>294.25</v>
      </c>
      <c r="W92" s="41">
        <v>129.15799999999999</v>
      </c>
      <c r="X92" s="41">
        <v>40.934019999999997</v>
      </c>
      <c r="Y92" s="41">
        <v>14.823</v>
      </c>
      <c r="Z92" s="22">
        <v>0.76500000000000001</v>
      </c>
      <c r="AA92" s="41">
        <v>6.4047499999999999</v>
      </c>
      <c r="AB92" s="41">
        <v>20.175000000000001</v>
      </c>
      <c r="AC92" s="41">
        <v>39.821789230378002</v>
      </c>
      <c r="AD92" s="42">
        <v>17.649999999999999</v>
      </c>
      <c r="AE92" s="35">
        <f t="shared" si="24"/>
        <v>571.78549999999996</v>
      </c>
      <c r="AF92" s="35">
        <f t="shared" si="25"/>
        <v>0.78649999999999998</v>
      </c>
      <c r="AG92" s="35">
        <f t="shared" si="26"/>
        <v>2.1934999999999998</v>
      </c>
      <c r="AH92" s="35">
        <f t="shared" si="27"/>
        <v>40.934019999999997</v>
      </c>
      <c r="AI92" s="35">
        <f t="shared" si="28"/>
        <v>14.823</v>
      </c>
      <c r="AJ92" s="35">
        <f t="shared" si="29"/>
        <v>20.175000000000001</v>
      </c>
      <c r="AK92" s="35">
        <f t="shared" si="30"/>
        <v>24.054749999999999</v>
      </c>
      <c r="AL92" s="36">
        <f t="shared" si="31"/>
        <v>674.75226999999995</v>
      </c>
    </row>
    <row r="93" spans="1:38">
      <c r="A93" s="14">
        <v>3869</v>
      </c>
      <c r="B93" s="13" t="s">
        <v>27</v>
      </c>
      <c r="C93" s="41">
        <v>446.79</v>
      </c>
      <c r="D93" s="22">
        <f t="shared" si="16"/>
        <v>11.182</v>
      </c>
      <c r="E93" s="41">
        <v>22364</v>
      </c>
      <c r="F93" s="22">
        <f t="shared" si="17"/>
        <v>0.46750000000000003</v>
      </c>
      <c r="G93" s="41">
        <v>935</v>
      </c>
      <c r="H93" s="22">
        <f t="shared" si="18"/>
        <v>0.46750000000000003</v>
      </c>
      <c r="I93" s="41">
        <v>935</v>
      </c>
      <c r="J93" s="22">
        <f t="shared" si="19"/>
        <v>0.442</v>
      </c>
      <c r="K93" s="41">
        <v>884</v>
      </c>
      <c r="L93" s="22">
        <f t="shared" si="20"/>
        <v>8.0500000000000002E-2</v>
      </c>
      <c r="M93" s="41">
        <v>161</v>
      </c>
      <c r="N93" s="41">
        <v>1211</v>
      </c>
      <c r="O93" s="22">
        <f t="shared" si="21"/>
        <v>0.438</v>
      </c>
      <c r="P93" s="41">
        <v>876</v>
      </c>
      <c r="Q93" s="22">
        <f t="shared" si="22"/>
        <v>0.18149999999999999</v>
      </c>
      <c r="R93" s="41">
        <v>363</v>
      </c>
      <c r="S93" s="22">
        <f t="shared" si="23"/>
        <v>0</v>
      </c>
      <c r="T93" s="41">
        <v>0</v>
      </c>
      <c r="U93" s="41">
        <v>0</v>
      </c>
      <c r="V93" s="41">
        <v>222.51400000000001</v>
      </c>
      <c r="W93" s="41">
        <v>84.274500000000003</v>
      </c>
      <c r="X93" s="41">
        <v>0</v>
      </c>
      <c r="Y93" s="41">
        <v>0</v>
      </c>
      <c r="Z93" s="22">
        <v>0</v>
      </c>
      <c r="AA93" s="41">
        <v>8.6494979999999995</v>
      </c>
      <c r="AB93" s="41">
        <v>7.8449999999999998</v>
      </c>
      <c r="AC93" s="41">
        <v>40.223400678829002</v>
      </c>
      <c r="AD93" s="42">
        <v>6.6</v>
      </c>
      <c r="AE93" s="35">
        <f t="shared" si="24"/>
        <v>447.67</v>
      </c>
      <c r="AF93" s="35">
        <f t="shared" si="25"/>
        <v>8.0500000000000002E-2</v>
      </c>
      <c r="AG93" s="35">
        <f t="shared" si="26"/>
        <v>12.298499999999999</v>
      </c>
      <c r="AH93" s="35">
        <f t="shared" si="27"/>
        <v>0</v>
      </c>
      <c r="AI93" s="35">
        <f t="shared" si="28"/>
        <v>0</v>
      </c>
      <c r="AJ93" s="35">
        <f t="shared" si="29"/>
        <v>7.8449999999999998</v>
      </c>
      <c r="AK93" s="35">
        <f t="shared" si="30"/>
        <v>15.249497999999999</v>
      </c>
      <c r="AL93" s="36">
        <f t="shared" si="31"/>
        <v>483.14349800000002</v>
      </c>
    </row>
    <row r="94" spans="1:38">
      <c r="A94" s="14">
        <v>4258</v>
      </c>
      <c r="B94" s="13" t="s">
        <v>52</v>
      </c>
      <c r="C94" s="41">
        <v>451.19</v>
      </c>
      <c r="D94" s="22">
        <f t="shared" si="16"/>
        <v>12.7285</v>
      </c>
      <c r="E94" s="41">
        <v>25457</v>
      </c>
      <c r="F94" s="22">
        <f t="shared" si="17"/>
        <v>0.57199999999999995</v>
      </c>
      <c r="G94" s="41">
        <v>1144</v>
      </c>
      <c r="H94" s="22">
        <f t="shared" si="18"/>
        <v>0.57199999999999995</v>
      </c>
      <c r="I94" s="41">
        <v>1144</v>
      </c>
      <c r="J94" s="22">
        <f t="shared" si="19"/>
        <v>0.54149999999999998</v>
      </c>
      <c r="K94" s="41">
        <v>1083</v>
      </c>
      <c r="L94" s="22">
        <f t="shared" si="20"/>
        <v>7.6999999999999999E-2</v>
      </c>
      <c r="M94" s="41">
        <v>154</v>
      </c>
      <c r="N94" s="41">
        <v>1331</v>
      </c>
      <c r="O94" s="22">
        <f t="shared" si="21"/>
        <v>0.62350000000000005</v>
      </c>
      <c r="P94" s="41">
        <v>1247</v>
      </c>
      <c r="Q94" s="22">
        <f t="shared" si="22"/>
        <v>0.46350000000000002</v>
      </c>
      <c r="R94" s="41">
        <v>927</v>
      </c>
      <c r="S94" s="22">
        <f t="shared" si="23"/>
        <v>0</v>
      </c>
      <c r="T94" s="41">
        <v>0</v>
      </c>
      <c r="U94" s="41">
        <v>0</v>
      </c>
      <c r="V94" s="41">
        <v>210.53299999999999</v>
      </c>
      <c r="W94" s="41">
        <v>111.89</v>
      </c>
      <c r="X94" s="41">
        <v>0</v>
      </c>
      <c r="Y94" s="41">
        <v>0</v>
      </c>
      <c r="Z94" s="22">
        <v>0</v>
      </c>
      <c r="AA94" s="41">
        <v>9.2695900000000009</v>
      </c>
      <c r="AB94" s="41">
        <v>8.3249999999999993</v>
      </c>
      <c r="AC94" s="41">
        <v>64.382424846726195</v>
      </c>
      <c r="AD94" s="42">
        <v>9.8450000000000006</v>
      </c>
      <c r="AE94" s="35">
        <f t="shared" si="24"/>
        <v>452.35499999999996</v>
      </c>
      <c r="AF94" s="35">
        <f t="shared" si="25"/>
        <v>7.6999999999999999E-2</v>
      </c>
      <c r="AG94" s="35">
        <f t="shared" si="26"/>
        <v>14.335999999999999</v>
      </c>
      <c r="AH94" s="35">
        <f t="shared" si="27"/>
        <v>0</v>
      </c>
      <c r="AI94" s="35">
        <f t="shared" si="28"/>
        <v>0</v>
      </c>
      <c r="AJ94" s="35">
        <f t="shared" si="29"/>
        <v>8.3249999999999993</v>
      </c>
      <c r="AK94" s="35">
        <f t="shared" si="30"/>
        <v>19.11459</v>
      </c>
      <c r="AL94" s="36">
        <f t="shared" si="31"/>
        <v>494.20758999999998</v>
      </c>
    </row>
    <row r="95" spans="1:38">
      <c r="A95" s="14">
        <v>4350</v>
      </c>
      <c r="B95" s="13" t="s">
        <v>71</v>
      </c>
      <c r="C95" s="41">
        <v>352.52</v>
      </c>
      <c r="D95" s="22">
        <f t="shared" si="16"/>
        <v>9.1585000000000001</v>
      </c>
      <c r="E95" s="41">
        <v>18317</v>
      </c>
      <c r="F95" s="22">
        <f t="shared" si="17"/>
        <v>0.36599999999999999</v>
      </c>
      <c r="G95" s="41">
        <v>732</v>
      </c>
      <c r="H95" s="22">
        <f t="shared" si="18"/>
        <v>0.36599999999999999</v>
      </c>
      <c r="I95" s="41">
        <v>732</v>
      </c>
      <c r="J95" s="22">
        <f t="shared" si="19"/>
        <v>0.35349999999999998</v>
      </c>
      <c r="K95" s="41">
        <v>707</v>
      </c>
      <c r="L95" s="22">
        <f t="shared" si="20"/>
        <v>7.0999999999999994E-2</v>
      </c>
      <c r="M95" s="41">
        <v>142</v>
      </c>
      <c r="N95" s="41">
        <v>842</v>
      </c>
      <c r="O95" s="22">
        <f t="shared" si="21"/>
        <v>0.36299999999999999</v>
      </c>
      <c r="P95" s="41">
        <v>726</v>
      </c>
      <c r="Q95" s="22">
        <f t="shared" si="22"/>
        <v>9.6000000000000002E-2</v>
      </c>
      <c r="R95" s="41">
        <v>192</v>
      </c>
      <c r="S95" s="22">
        <f t="shared" si="23"/>
        <v>0</v>
      </c>
      <c r="T95" s="41">
        <v>0</v>
      </c>
      <c r="U95" s="41">
        <v>0</v>
      </c>
      <c r="V95" s="41">
        <v>183.51</v>
      </c>
      <c r="W95" s="41">
        <v>67.873000000000005</v>
      </c>
      <c r="X95" s="41">
        <v>0</v>
      </c>
      <c r="Y95" s="41">
        <v>0</v>
      </c>
      <c r="Z95" s="22">
        <v>0</v>
      </c>
      <c r="AA95" s="41">
        <v>7.1314320000000002</v>
      </c>
      <c r="AB95" s="41">
        <v>13.98</v>
      </c>
      <c r="AC95" s="41">
        <v>35.952864525072997</v>
      </c>
      <c r="AD95" s="42">
        <v>17.2</v>
      </c>
      <c r="AE95" s="35">
        <f t="shared" si="24"/>
        <v>353.23649999999998</v>
      </c>
      <c r="AF95" s="35">
        <f t="shared" si="25"/>
        <v>7.0999999999999994E-2</v>
      </c>
      <c r="AG95" s="35">
        <f t="shared" si="26"/>
        <v>9.9864999999999995</v>
      </c>
      <c r="AH95" s="35">
        <f t="shared" si="27"/>
        <v>0</v>
      </c>
      <c r="AI95" s="35">
        <f t="shared" si="28"/>
        <v>0</v>
      </c>
      <c r="AJ95" s="35">
        <f t="shared" si="29"/>
        <v>13.98</v>
      </c>
      <c r="AK95" s="35">
        <f t="shared" si="30"/>
        <v>24.331432</v>
      </c>
      <c r="AL95" s="36">
        <f t="shared" si="31"/>
        <v>401.60543200000001</v>
      </c>
    </row>
    <row r="96" spans="1:38">
      <c r="A96" s="14">
        <v>4378</v>
      </c>
      <c r="B96" s="13" t="s">
        <v>72</v>
      </c>
      <c r="C96" s="41">
        <v>368.87</v>
      </c>
      <c r="D96" s="22">
        <f t="shared" si="16"/>
        <v>2.3620000000000001</v>
      </c>
      <c r="E96" s="41">
        <v>4724</v>
      </c>
      <c r="F96" s="22">
        <f t="shared" si="17"/>
        <v>0.121</v>
      </c>
      <c r="G96" s="41">
        <v>242</v>
      </c>
      <c r="H96" s="22">
        <f t="shared" si="18"/>
        <v>0.121</v>
      </c>
      <c r="I96" s="41">
        <v>242</v>
      </c>
      <c r="J96" s="22">
        <f t="shared" si="19"/>
        <v>0.114</v>
      </c>
      <c r="K96" s="41">
        <v>228</v>
      </c>
      <c r="L96" s="22">
        <f t="shared" si="20"/>
        <v>2.1999999999999999E-2</v>
      </c>
      <c r="M96" s="41">
        <v>44</v>
      </c>
      <c r="N96" s="41">
        <v>312</v>
      </c>
      <c r="O96" s="22">
        <f t="shared" si="21"/>
        <v>0.1055</v>
      </c>
      <c r="P96" s="41">
        <v>211</v>
      </c>
      <c r="Q96" s="22">
        <f t="shared" si="22"/>
        <v>2.1000000000000001E-2</v>
      </c>
      <c r="R96" s="41">
        <v>42</v>
      </c>
      <c r="S96" s="22">
        <f t="shared" si="23"/>
        <v>0</v>
      </c>
      <c r="T96" s="41">
        <v>0</v>
      </c>
      <c r="U96" s="41">
        <v>0</v>
      </c>
      <c r="V96" s="41">
        <v>191.12</v>
      </c>
      <c r="W96" s="41">
        <v>105.8245</v>
      </c>
      <c r="X96" s="41">
        <v>0</v>
      </c>
      <c r="Y96" s="41">
        <v>0</v>
      </c>
      <c r="Z96" s="22">
        <v>0</v>
      </c>
      <c r="AA96" s="41">
        <v>14.605074</v>
      </c>
      <c r="AB96" s="41">
        <v>10.095000000000001</v>
      </c>
      <c r="AC96" s="41">
        <v>28.065177771327399</v>
      </c>
      <c r="AD96" s="42">
        <v>27.375</v>
      </c>
      <c r="AE96" s="35">
        <f t="shared" si="24"/>
        <v>369.08949999999999</v>
      </c>
      <c r="AF96" s="35">
        <f t="shared" si="25"/>
        <v>2.1999999999999999E-2</v>
      </c>
      <c r="AG96" s="35">
        <f t="shared" si="26"/>
        <v>2.625</v>
      </c>
      <c r="AH96" s="35">
        <f t="shared" si="27"/>
        <v>0</v>
      </c>
      <c r="AI96" s="35">
        <f t="shared" si="28"/>
        <v>0</v>
      </c>
      <c r="AJ96" s="35">
        <f t="shared" si="29"/>
        <v>10.095000000000001</v>
      </c>
      <c r="AK96" s="35">
        <f t="shared" si="30"/>
        <v>41.980074000000002</v>
      </c>
      <c r="AL96" s="36">
        <f t="shared" si="31"/>
        <v>423.81157400000001</v>
      </c>
    </row>
    <row r="97" spans="1:38">
      <c r="A97" s="14">
        <v>4476</v>
      </c>
      <c r="B97" s="13" t="s">
        <v>28</v>
      </c>
      <c r="C97" s="41">
        <v>733.95</v>
      </c>
      <c r="D97" s="22">
        <f t="shared" si="16"/>
        <v>25.5715</v>
      </c>
      <c r="E97" s="41">
        <v>51143</v>
      </c>
      <c r="F97" s="22">
        <f t="shared" si="17"/>
        <v>1.0974999999999999</v>
      </c>
      <c r="G97" s="41">
        <v>2195</v>
      </c>
      <c r="H97" s="22">
        <f t="shared" si="18"/>
        <v>1.0974999999999999</v>
      </c>
      <c r="I97" s="41">
        <v>2195</v>
      </c>
      <c r="J97" s="22">
        <f t="shared" si="19"/>
        <v>1.27</v>
      </c>
      <c r="K97" s="41">
        <v>2540</v>
      </c>
      <c r="L97" s="22">
        <f t="shared" si="20"/>
        <v>0.218</v>
      </c>
      <c r="M97" s="41">
        <v>436</v>
      </c>
      <c r="N97" s="41">
        <v>2608</v>
      </c>
      <c r="O97" s="22">
        <f t="shared" si="21"/>
        <v>1.048</v>
      </c>
      <c r="P97" s="41">
        <v>2096</v>
      </c>
      <c r="Q97" s="22">
        <f t="shared" si="22"/>
        <v>0.23549999999999999</v>
      </c>
      <c r="R97" s="41">
        <v>471</v>
      </c>
      <c r="S97" s="22">
        <f t="shared" si="23"/>
        <v>0</v>
      </c>
      <c r="T97" s="41">
        <v>0</v>
      </c>
      <c r="U97" s="41">
        <v>0</v>
      </c>
      <c r="V97" s="41">
        <v>278.5</v>
      </c>
      <c r="W97" s="41">
        <v>123.7175</v>
      </c>
      <c r="X97" s="41">
        <v>0</v>
      </c>
      <c r="Y97" s="41">
        <v>0</v>
      </c>
      <c r="Z97" s="22">
        <v>0.13500000000000001</v>
      </c>
      <c r="AA97" s="41">
        <v>5.5340780000000001</v>
      </c>
      <c r="AB97" s="41">
        <v>10.455</v>
      </c>
      <c r="AC97" s="41">
        <v>42.859168772577199</v>
      </c>
      <c r="AD97" s="42">
        <v>4.2</v>
      </c>
      <c r="AE97" s="35">
        <f t="shared" si="24"/>
        <v>736.26800000000003</v>
      </c>
      <c r="AF97" s="35">
        <f t="shared" si="25"/>
        <v>0.35299999999999998</v>
      </c>
      <c r="AG97" s="35">
        <f t="shared" si="26"/>
        <v>28.001999999999999</v>
      </c>
      <c r="AH97" s="35">
        <f t="shared" si="27"/>
        <v>0</v>
      </c>
      <c r="AI97" s="35">
        <f t="shared" si="28"/>
        <v>0</v>
      </c>
      <c r="AJ97" s="35">
        <f t="shared" si="29"/>
        <v>10.455</v>
      </c>
      <c r="AK97" s="35">
        <f t="shared" si="30"/>
        <v>9.7340780000000002</v>
      </c>
      <c r="AL97" s="36">
        <f t="shared" si="31"/>
        <v>784.81207799999993</v>
      </c>
    </row>
    <row r="98" spans="1:38">
      <c r="A98" s="14">
        <v>4514</v>
      </c>
      <c r="B98" s="13" t="s">
        <v>65</v>
      </c>
      <c r="C98" s="41">
        <v>323.5</v>
      </c>
      <c r="D98" s="22">
        <f t="shared" si="16"/>
        <v>6.4184999999999999</v>
      </c>
      <c r="E98" s="41">
        <v>12837</v>
      </c>
      <c r="F98" s="22">
        <f t="shared" si="17"/>
        <v>0.30099999999999999</v>
      </c>
      <c r="G98" s="41">
        <v>602</v>
      </c>
      <c r="H98" s="22">
        <f t="shared" si="18"/>
        <v>0.30099999999999999</v>
      </c>
      <c r="I98" s="41">
        <v>602</v>
      </c>
      <c r="J98" s="22">
        <f t="shared" si="19"/>
        <v>0.25900000000000001</v>
      </c>
      <c r="K98" s="41">
        <v>518</v>
      </c>
      <c r="L98" s="22">
        <f t="shared" si="20"/>
        <v>5.6000000000000001E-2</v>
      </c>
      <c r="M98" s="41">
        <v>112</v>
      </c>
      <c r="N98" s="41">
        <v>694</v>
      </c>
      <c r="O98" s="22">
        <f t="shared" si="21"/>
        <v>0.26350000000000001</v>
      </c>
      <c r="P98" s="41">
        <v>527</v>
      </c>
      <c r="Q98" s="22">
        <f t="shared" si="22"/>
        <v>0.115</v>
      </c>
      <c r="R98" s="41">
        <v>230</v>
      </c>
      <c r="S98" s="22">
        <f t="shared" si="23"/>
        <v>0</v>
      </c>
      <c r="T98" s="41">
        <v>0</v>
      </c>
      <c r="U98" s="41">
        <v>0</v>
      </c>
      <c r="V98" s="41">
        <v>112</v>
      </c>
      <c r="W98" s="41">
        <v>77.590500000000006</v>
      </c>
      <c r="X98" s="41">
        <v>0</v>
      </c>
      <c r="Y98" s="41">
        <v>0</v>
      </c>
      <c r="Z98" s="22">
        <v>0</v>
      </c>
      <c r="AA98" s="41">
        <v>3.3214939999999999</v>
      </c>
      <c r="AB98" s="41">
        <v>4.2450000000000001</v>
      </c>
      <c r="AC98" s="41">
        <v>84.263753205726402</v>
      </c>
      <c r="AD98" s="42">
        <v>18.149999999999999</v>
      </c>
      <c r="AE98" s="35">
        <f t="shared" si="24"/>
        <v>324.02250000000004</v>
      </c>
      <c r="AF98" s="35">
        <f t="shared" si="25"/>
        <v>5.6000000000000001E-2</v>
      </c>
      <c r="AG98" s="35">
        <f t="shared" si="26"/>
        <v>7.1355000000000004</v>
      </c>
      <c r="AH98" s="35">
        <f t="shared" si="27"/>
        <v>0</v>
      </c>
      <c r="AI98" s="35">
        <f t="shared" si="28"/>
        <v>0</v>
      </c>
      <c r="AJ98" s="35">
        <f t="shared" si="29"/>
        <v>4.2450000000000001</v>
      </c>
      <c r="AK98" s="35">
        <f t="shared" si="30"/>
        <v>21.471494</v>
      </c>
      <c r="AL98" s="36">
        <f t="shared" si="31"/>
        <v>356.93049400000001</v>
      </c>
    </row>
    <row r="99" spans="1:38">
      <c r="A99" s="14">
        <v>4636</v>
      </c>
      <c r="B99" s="13" t="s">
        <v>73</v>
      </c>
      <c r="C99" s="41">
        <v>299.88</v>
      </c>
      <c r="D99" s="22">
        <f t="shared" si="16"/>
        <v>1.6265000000000001</v>
      </c>
      <c r="E99" s="41">
        <v>3253</v>
      </c>
      <c r="F99" s="22">
        <f t="shared" si="17"/>
        <v>6.4500000000000002E-2</v>
      </c>
      <c r="G99" s="41">
        <v>129</v>
      </c>
      <c r="H99" s="22">
        <f t="shared" si="18"/>
        <v>6.4500000000000002E-2</v>
      </c>
      <c r="I99" s="41">
        <v>129</v>
      </c>
      <c r="J99" s="22">
        <f t="shared" si="19"/>
        <v>5.9499999999999997E-2</v>
      </c>
      <c r="K99" s="41">
        <v>119</v>
      </c>
      <c r="L99" s="22">
        <f t="shared" si="20"/>
        <v>8.5000000000000006E-3</v>
      </c>
      <c r="M99" s="41">
        <v>17</v>
      </c>
      <c r="N99" s="41">
        <v>128</v>
      </c>
      <c r="O99" s="22">
        <f t="shared" si="21"/>
        <v>5.3999999999999999E-2</v>
      </c>
      <c r="P99" s="41">
        <v>108</v>
      </c>
      <c r="Q99" s="22">
        <f t="shared" si="22"/>
        <v>1.4500000000000001E-2</v>
      </c>
      <c r="R99" s="41">
        <v>29</v>
      </c>
      <c r="S99" s="22">
        <f t="shared" si="23"/>
        <v>0</v>
      </c>
      <c r="T99" s="41">
        <v>0</v>
      </c>
      <c r="U99" s="41">
        <v>0</v>
      </c>
      <c r="V99" s="41">
        <v>89.01</v>
      </c>
      <c r="W99" s="41">
        <v>45.411000000000001</v>
      </c>
      <c r="X99" s="41">
        <v>0</v>
      </c>
      <c r="Y99" s="41">
        <v>0</v>
      </c>
      <c r="Z99" s="22">
        <v>0</v>
      </c>
      <c r="AA99" s="41">
        <v>6.2596379999999998</v>
      </c>
      <c r="AB99" s="41">
        <v>8.1750000000000007</v>
      </c>
      <c r="AC99" s="41">
        <v>82.129816460851799</v>
      </c>
      <c r="AD99" s="42">
        <v>20.350000000000001</v>
      </c>
      <c r="AE99" s="35">
        <f t="shared" si="24"/>
        <v>299.99349999999998</v>
      </c>
      <c r="AF99" s="35">
        <f t="shared" si="25"/>
        <v>8.5000000000000006E-3</v>
      </c>
      <c r="AG99" s="35">
        <f t="shared" si="26"/>
        <v>1.77</v>
      </c>
      <c r="AH99" s="35">
        <f t="shared" si="27"/>
        <v>0</v>
      </c>
      <c r="AI99" s="35">
        <f t="shared" si="28"/>
        <v>0</v>
      </c>
      <c r="AJ99" s="35">
        <f t="shared" si="29"/>
        <v>8.1750000000000007</v>
      </c>
      <c r="AK99" s="35">
        <f t="shared" si="30"/>
        <v>26.609638</v>
      </c>
      <c r="AL99" s="36">
        <f t="shared" si="31"/>
        <v>336.55663800000002</v>
      </c>
    </row>
    <row r="100" spans="1:38">
      <c r="A100" s="14">
        <v>4638</v>
      </c>
      <c r="B100" s="13" t="s">
        <v>74</v>
      </c>
      <c r="C100" s="41">
        <v>417</v>
      </c>
      <c r="D100" s="22">
        <f t="shared" si="16"/>
        <v>13.904999999999999</v>
      </c>
      <c r="E100" s="41">
        <v>27810</v>
      </c>
      <c r="F100" s="22">
        <f t="shared" si="17"/>
        <v>0.76800000000000002</v>
      </c>
      <c r="G100" s="41">
        <v>1536</v>
      </c>
      <c r="H100" s="22">
        <f t="shared" si="18"/>
        <v>0.76800000000000002</v>
      </c>
      <c r="I100" s="41">
        <v>1536</v>
      </c>
      <c r="J100" s="22">
        <f t="shared" si="19"/>
        <v>0.69099999999999995</v>
      </c>
      <c r="K100" s="41">
        <v>1382</v>
      </c>
      <c r="L100" s="22">
        <f t="shared" si="20"/>
        <v>0.13500000000000001</v>
      </c>
      <c r="M100" s="41">
        <v>270</v>
      </c>
      <c r="N100" s="41">
        <v>1326</v>
      </c>
      <c r="O100" s="22">
        <f t="shared" si="21"/>
        <v>0.61899999999999999</v>
      </c>
      <c r="P100" s="41">
        <v>1238</v>
      </c>
      <c r="Q100" s="22">
        <f t="shared" si="22"/>
        <v>0.16900000000000001</v>
      </c>
      <c r="R100" s="41">
        <v>338</v>
      </c>
      <c r="S100" s="22">
        <f t="shared" si="23"/>
        <v>0</v>
      </c>
      <c r="T100" s="41">
        <v>0</v>
      </c>
      <c r="U100" s="41">
        <v>0</v>
      </c>
      <c r="V100" s="41">
        <v>139.28</v>
      </c>
      <c r="W100" s="41">
        <v>57.198999999999998</v>
      </c>
      <c r="X100" s="41">
        <v>0</v>
      </c>
      <c r="Y100" s="41">
        <v>0</v>
      </c>
      <c r="Z100" s="22">
        <v>0</v>
      </c>
      <c r="AA100" s="41">
        <v>9.9540100000000002</v>
      </c>
      <c r="AB100" s="41">
        <v>8.52</v>
      </c>
      <c r="AC100" s="41">
        <v>46.683000108618003</v>
      </c>
      <c r="AD100" s="42">
        <v>19.100000000000001</v>
      </c>
      <c r="AE100" s="35">
        <f t="shared" si="24"/>
        <v>418.31</v>
      </c>
      <c r="AF100" s="35">
        <f t="shared" si="25"/>
        <v>0.13500000000000001</v>
      </c>
      <c r="AG100" s="35">
        <f t="shared" si="26"/>
        <v>15.610000000000001</v>
      </c>
      <c r="AH100" s="35">
        <f t="shared" si="27"/>
        <v>0</v>
      </c>
      <c r="AI100" s="35">
        <f t="shared" si="28"/>
        <v>0</v>
      </c>
      <c r="AJ100" s="35">
        <f t="shared" si="29"/>
        <v>8.52</v>
      </c>
      <c r="AK100" s="35">
        <f t="shared" si="30"/>
        <v>29.054010000000002</v>
      </c>
      <c r="AL100" s="36">
        <f t="shared" si="31"/>
        <v>471.62900999999999</v>
      </c>
    </row>
    <row r="101" spans="1:38">
      <c r="A101" s="14">
        <v>4682</v>
      </c>
      <c r="B101" s="13" t="s">
        <v>75</v>
      </c>
      <c r="C101" s="41">
        <v>531.85</v>
      </c>
      <c r="D101" s="22">
        <f t="shared" si="16"/>
        <v>11.4025</v>
      </c>
      <c r="E101" s="41">
        <v>22805</v>
      </c>
      <c r="F101" s="22">
        <f t="shared" si="17"/>
        <v>0.5665</v>
      </c>
      <c r="G101" s="41">
        <v>1133</v>
      </c>
      <c r="H101" s="22">
        <f t="shared" si="18"/>
        <v>0.5665</v>
      </c>
      <c r="I101" s="41">
        <v>1133</v>
      </c>
      <c r="J101" s="22">
        <f t="shared" si="19"/>
        <v>0.52700000000000002</v>
      </c>
      <c r="K101" s="41">
        <v>1054</v>
      </c>
      <c r="L101" s="22">
        <f t="shared" si="20"/>
        <v>0.10150000000000001</v>
      </c>
      <c r="M101" s="41">
        <v>203</v>
      </c>
      <c r="N101" s="41">
        <v>996</v>
      </c>
      <c r="O101" s="22">
        <f t="shared" si="21"/>
        <v>0.53349999999999997</v>
      </c>
      <c r="P101" s="41">
        <v>1067</v>
      </c>
      <c r="Q101" s="22">
        <f t="shared" si="22"/>
        <v>0.1125</v>
      </c>
      <c r="R101" s="41">
        <v>225</v>
      </c>
      <c r="S101" s="22">
        <f t="shared" si="23"/>
        <v>0</v>
      </c>
      <c r="T101" s="41">
        <v>0</v>
      </c>
      <c r="U101" s="41">
        <v>0</v>
      </c>
      <c r="V101" s="41">
        <v>183.36</v>
      </c>
      <c r="W101" s="41">
        <v>87.382499999999993</v>
      </c>
      <c r="X101" s="41">
        <v>59.247999999999998</v>
      </c>
      <c r="Y101" s="41">
        <v>14.8413</v>
      </c>
      <c r="Z101" s="22">
        <v>0.36</v>
      </c>
      <c r="AA101" s="41">
        <v>7.67448</v>
      </c>
      <c r="AB101" s="41">
        <v>21.15</v>
      </c>
      <c r="AC101" s="41">
        <v>122.24956655422299</v>
      </c>
      <c r="AD101" s="42">
        <v>8.6999999999999993</v>
      </c>
      <c r="AE101" s="35">
        <f t="shared" si="24"/>
        <v>532.91050000000007</v>
      </c>
      <c r="AF101" s="35">
        <f t="shared" si="25"/>
        <v>0.46150000000000002</v>
      </c>
      <c r="AG101" s="35">
        <f t="shared" si="26"/>
        <v>12.648</v>
      </c>
      <c r="AH101" s="35">
        <f t="shared" si="27"/>
        <v>59.247999999999998</v>
      </c>
      <c r="AI101" s="35">
        <f t="shared" si="28"/>
        <v>14.8413</v>
      </c>
      <c r="AJ101" s="35">
        <f t="shared" si="29"/>
        <v>21.15</v>
      </c>
      <c r="AK101" s="35">
        <f t="shared" si="30"/>
        <v>16.374479999999998</v>
      </c>
      <c r="AL101" s="36">
        <f t="shared" si="31"/>
        <v>657.63378000000012</v>
      </c>
    </row>
    <row r="102" spans="1:38">
      <c r="A102" s="14">
        <v>4697</v>
      </c>
      <c r="B102" s="13" t="s">
        <v>67</v>
      </c>
      <c r="C102" s="41">
        <v>575.66</v>
      </c>
      <c r="D102" s="22">
        <f t="shared" si="16"/>
        <v>8.8445</v>
      </c>
      <c r="E102" s="41">
        <v>17689</v>
      </c>
      <c r="F102" s="22">
        <f t="shared" si="17"/>
        <v>0.34050000000000002</v>
      </c>
      <c r="G102" s="41">
        <v>681</v>
      </c>
      <c r="H102" s="22">
        <f t="shared" si="18"/>
        <v>0.34050000000000002</v>
      </c>
      <c r="I102" s="41">
        <v>681</v>
      </c>
      <c r="J102" s="22">
        <f t="shared" si="19"/>
        <v>0.318</v>
      </c>
      <c r="K102" s="41">
        <v>636</v>
      </c>
      <c r="L102" s="22">
        <f t="shared" si="20"/>
        <v>7.4499999999999997E-2</v>
      </c>
      <c r="M102" s="41">
        <v>149</v>
      </c>
      <c r="N102" s="41">
        <v>865</v>
      </c>
      <c r="O102" s="22">
        <f t="shared" si="21"/>
        <v>0.33550000000000002</v>
      </c>
      <c r="P102" s="41">
        <v>671</v>
      </c>
      <c r="Q102" s="22">
        <f t="shared" si="22"/>
        <v>8.5000000000000006E-2</v>
      </c>
      <c r="R102" s="41">
        <v>170</v>
      </c>
      <c r="S102" s="22">
        <f t="shared" si="23"/>
        <v>0</v>
      </c>
      <c r="T102" s="41">
        <v>0</v>
      </c>
      <c r="U102" s="41">
        <v>0</v>
      </c>
      <c r="V102" s="41">
        <v>208.57</v>
      </c>
      <c r="W102" s="41">
        <v>76.298000000000002</v>
      </c>
      <c r="X102" s="41">
        <v>0</v>
      </c>
      <c r="Y102" s="41">
        <v>0</v>
      </c>
      <c r="Z102" s="22">
        <v>0</v>
      </c>
      <c r="AA102" s="41">
        <v>5.9133139999999997</v>
      </c>
      <c r="AB102" s="41">
        <v>6</v>
      </c>
      <c r="AC102" s="41">
        <v>30.841677778286201</v>
      </c>
      <c r="AD102" s="42">
        <v>14.5</v>
      </c>
      <c r="AE102" s="35">
        <f t="shared" si="24"/>
        <v>576.31349999999998</v>
      </c>
      <c r="AF102" s="35">
        <f t="shared" si="25"/>
        <v>7.4499999999999997E-2</v>
      </c>
      <c r="AG102" s="35">
        <f t="shared" si="26"/>
        <v>9.6105000000000018</v>
      </c>
      <c r="AH102" s="35">
        <f t="shared" si="27"/>
        <v>0</v>
      </c>
      <c r="AI102" s="35">
        <f t="shared" si="28"/>
        <v>0</v>
      </c>
      <c r="AJ102" s="35">
        <f t="shared" si="29"/>
        <v>6</v>
      </c>
      <c r="AK102" s="35">
        <f t="shared" si="30"/>
        <v>20.413314</v>
      </c>
      <c r="AL102" s="36">
        <f t="shared" si="31"/>
        <v>612.41181399999994</v>
      </c>
    </row>
    <row r="103" spans="1:38">
      <c r="A103" s="14">
        <v>4710</v>
      </c>
      <c r="B103" s="13" t="s">
        <v>32</v>
      </c>
      <c r="C103" s="41">
        <v>397.76</v>
      </c>
      <c r="D103" s="22">
        <f t="shared" si="16"/>
        <v>3.2105000000000001</v>
      </c>
      <c r="E103" s="41">
        <v>6421</v>
      </c>
      <c r="F103" s="22">
        <f t="shared" si="17"/>
        <v>0.19650000000000001</v>
      </c>
      <c r="G103" s="41">
        <v>393</v>
      </c>
      <c r="H103" s="22">
        <f t="shared" si="18"/>
        <v>0.19650000000000001</v>
      </c>
      <c r="I103" s="41">
        <v>393</v>
      </c>
      <c r="J103" s="22">
        <f t="shared" si="19"/>
        <v>0.20899999999999999</v>
      </c>
      <c r="K103" s="41">
        <v>418</v>
      </c>
      <c r="L103" s="22">
        <f t="shared" si="20"/>
        <v>3.3000000000000002E-2</v>
      </c>
      <c r="M103" s="41">
        <v>66</v>
      </c>
      <c r="N103" s="41">
        <v>482</v>
      </c>
      <c r="O103" s="22">
        <f t="shared" si="21"/>
        <v>0.22500000000000001</v>
      </c>
      <c r="P103" s="41">
        <v>450</v>
      </c>
      <c r="Q103" s="22">
        <f t="shared" si="22"/>
        <v>2.7E-2</v>
      </c>
      <c r="R103" s="41">
        <v>54</v>
      </c>
      <c r="S103" s="22">
        <f t="shared" si="23"/>
        <v>0</v>
      </c>
      <c r="T103" s="41">
        <v>0</v>
      </c>
      <c r="U103" s="41">
        <v>0</v>
      </c>
      <c r="V103" s="41">
        <v>141.19999999999999</v>
      </c>
      <c r="W103" s="41">
        <v>61.526499999999999</v>
      </c>
      <c r="X103" s="41">
        <v>100.18201999999999</v>
      </c>
      <c r="Y103" s="41">
        <v>0</v>
      </c>
      <c r="Z103" s="22">
        <v>0.42749999999999999</v>
      </c>
      <c r="AA103" s="41">
        <v>2.5981779999999999</v>
      </c>
      <c r="AB103" s="41">
        <v>22.98</v>
      </c>
      <c r="AC103" s="41">
        <v>67.864072584927499</v>
      </c>
      <c r="AD103" s="42">
        <v>17.55</v>
      </c>
      <c r="AE103" s="35">
        <f t="shared" si="24"/>
        <v>398.19400000000002</v>
      </c>
      <c r="AF103" s="35">
        <f t="shared" si="25"/>
        <v>0.46050000000000002</v>
      </c>
      <c r="AG103" s="35">
        <f t="shared" si="26"/>
        <v>3.6305000000000001</v>
      </c>
      <c r="AH103" s="35">
        <f t="shared" si="27"/>
        <v>100.18201999999999</v>
      </c>
      <c r="AI103" s="35">
        <f t="shared" si="28"/>
        <v>0</v>
      </c>
      <c r="AJ103" s="35">
        <f t="shared" si="29"/>
        <v>22.98</v>
      </c>
      <c r="AK103" s="35">
        <f t="shared" si="30"/>
        <v>20.148178000000001</v>
      </c>
      <c r="AL103" s="36">
        <f t="shared" si="31"/>
        <v>545.5951980000001</v>
      </c>
    </row>
    <row r="104" spans="1:38">
      <c r="A104" s="14">
        <v>4711</v>
      </c>
      <c r="B104" s="13" t="s">
        <v>34</v>
      </c>
      <c r="C104" s="41">
        <v>265.64</v>
      </c>
      <c r="D104" s="22">
        <f t="shared" si="16"/>
        <v>15.743499999999999</v>
      </c>
      <c r="E104" s="41">
        <v>31487</v>
      </c>
      <c r="F104" s="22">
        <f t="shared" si="17"/>
        <v>0.64249999999999996</v>
      </c>
      <c r="G104" s="41">
        <v>1285</v>
      </c>
      <c r="H104" s="22">
        <f t="shared" si="18"/>
        <v>0.64249999999999996</v>
      </c>
      <c r="I104" s="41">
        <v>1285</v>
      </c>
      <c r="J104" s="22">
        <f t="shared" si="19"/>
        <v>0.56499999999999995</v>
      </c>
      <c r="K104" s="41">
        <v>1130</v>
      </c>
      <c r="L104" s="22">
        <f t="shared" si="20"/>
        <v>0.1145</v>
      </c>
      <c r="M104" s="41">
        <v>229</v>
      </c>
      <c r="N104" s="41">
        <v>1516</v>
      </c>
      <c r="O104" s="22">
        <f t="shared" si="21"/>
        <v>0.70350000000000001</v>
      </c>
      <c r="P104" s="41">
        <v>1407</v>
      </c>
      <c r="Q104" s="22">
        <f t="shared" si="22"/>
        <v>0.2195</v>
      </c>
      <c r="R104" s="41">
        <v>439</v>
      </c>
      <c r="S104" s="22">
        <f t="shared" si="23"/>
        <v>0</v>
      </c>
      <c r="T104" s="41">
        <v>0</v>
      </c>
      <c r="U104" s="41">
        <v>0</v>
      </c>
      <c r="V104" s="41">
        <v>238.74709999999999</v>
      </c>
      <c r="W104" s="41">
        <v>68.797499999999999</v>
      </c>
      <c r="X104" s="41">
        <v>118.00932</v>
      </c>
      <c r="Y104" s="41">
        <v>0</v>
      </c>
      <c r="Z104" s="22">
        <v>0.72</v>
      </c>
      <c r="AA104" s="41">
        <v>2.112352</v>
      </c>
      <c r="AB104" s="41">
        <v>30.24</v>
      </c>
      <c r="AC104" s="41">
        <v>52.903490767070998</v>
      </c>
      <c r="AD104" s="42">
        <v>32.362499999999997</v>
      </c>
      <c r="AE104" s="35">
        <f t="shared" si="24"/>
        <v>266.9085</v>
      </c>
      <c r="AF104" s="35">
        <f t="shared" si="25"/>
        <v>0.83450000000000002</v>
      </c>
      <c r="AG104" s="35">
        <f t="shared" si="26"/>
        <v>17.247999999999998</v>
      </c>
      <c r="AH104" s="35">
        <f t="shared" si="27"/>
        <v>118.00932</v>
      </c>
      <c r="AI104" s="35">
        <f t="shared" si="28"/>
        <v>0</v>
      </c>
      <c r="AJ104" s="35">
        <f t="shared" si="29"/>
        <v>30.24</v>
      </c>
      <c r="AK104" s="35">
        <f t="shared" si="30"/>
        <v>34.474851999999998</v>
      </c>
      <c r="AL104" s="36">
        <f t="shared" si="31"/>
        <v>467.715172</v>
      </c>
    </row>
    <row r="105" spans="1:38">
      <c r="A105" s="14">
        <v>4729</v>
      </c>
      <c r="B105" s="13" t="s">
        <v>44</v>
      </c>
      <c r="C105" s="41">
        <v>336.36</v>
      </c>
      <c r="D105" s="22">
        <f t="shared" si="16"/>
        <v>0.28549999999999998</v>
      </c>
      <c r="E105" s="41">
        <v>571</v>
      </c>
      <c r="F105" s="22">
        <f t="shared" si="17"/>
        <v>1.4999999999999999E-2</v>
      </c>
      <c r="G105" s="41">
        <v>30</v>
      </c>
      <c r="H105" s="22">
        <f t="shared" si="18"/>
        <v>1.4999999999999999E-2</v>
      </c>
      <c r="I105" s="41">
        <v>30</v>
      </c>
      <c r="J105" s="22">
        <f t="shared" si="19"/>
        <v>0.03</v>
      </c>
      <c r="K105" s="41">
        <v>60</v>
      </c>
      <c r="L105" s="22">
        <f t="shared" si="20"/>
        <v>4.0000000000000001E-3</v>
      </c>
      <c r="M105" s="41">
        <v>8</v>
      </c>
      <c r="N105" s="41">
        <v>30</v>
      </c>
      <c r="O105" s="22">
        <f t="shared" si="21"/>
        <v>2.2499999999999999E-2</v>
      </c>
      <c r="P105" s="41">
        <v>45</v>
      </c>
      <c r="Q105" s="22">
        <f t="shared" si="22"/>
        <v>4.0000000000000001E-3</v>
      </c>
      <c r="R105" s="41">
        <v>8</v>
      </c>
      <c r="S105" s="22">
        <f t="shared" si="23"/>
        <v>0</v>
      </c>
      <c r="T105" s="41">
        <v>0</v>
      </c>
      <c r="U105" s="41">
        <v>0</v>
      </c>
      <c r="V105" s="41">
        <v>215.01</v>
      </c>
      <c r="W105" s="41">
        <v>60.087499999999999</v>
      </c>
      <c r="X105" s="41">
        <v>73.726039999999998</v>
      </c>
      <c r="Y105" s="41">
        <v>0</v>
      </c>
      <c r="Z105" s="22">
        <v>0</v>
      </c>
      <c r="AA105" s="41">
        <v>1.869626</v>
      </c>
      <c r="AB105" s="41">
        <v>15.404999999999999</v>
      </c>
      <c r="AC105" s="41">
        <v>45.186556775482501</v>
      </c>
      <c r="AD105" s="42">
        <v>11.9</v>
      </c>
      <c r="AE105" s="35">
        <f t="shared" si="24"/>
        <v>336.41249999999997</v>
      </c>
      <c r="AF105" s="35">
        <f t="shared" si="25"/>
        <v>4.0000000000000001E-3</v>
      </c>
      <c r="AG105" s="35">
        <f t="shared" si="26"/>
        <v>0.31950000000000001</v>
      </c>
      <c r="AH105" s="35">
        <f t="shared" si="27"/>
        <v>73.726039999999998</v>
      </c>
      <c r="AI105" s="35">
        <f t="shared" si="28"/>
        <v>0</v>
      </c>
      <c r="AJ105" s="35">
        <f t="shared" si="29"/>
        <v>15.404999999999999</v>
      </c>
      <c r="AK105" s="35">
        <f t="shared" si="30"/>
        <v>13.769626000000001</v>
      </c>
      <c r="AL105" s="36">
        <f t="shared" si="31"/>
        <v>439.63666599999999</v>
      </c>
    </row>
    <row r="106" spans="1:38">
      <c r="A106" s="14">
        <v>4788</v>
      </c>
      <c r="B106" s="13" t="s">
        <v>27</v>
      </c>
      <c r="C106" s="41">
        <v>294.61</v>
      </c>
      <c r="D106" s="22">
        <f t="shared" si="16"/>
        <v>12.256500000000001</v>
      </c>
      <c r="E106" s="41">
        <v>24513</v>
      </c>
      <c r="F106" s="22">
        <f t="shared" si="17"/>
        <v>0.59350000000000003</v>
      </c>
      <c r="G106" s="41">
        <v>1187</v>
      </c>
      <c r="H106" s="22">
        <f t="shared" si="18"/>
        <v>0.59350000000000003</v>
      </c>
      <c r="I106" s="41">
        <v>1187</v>
      </c>
      <c r="J106" s="22">
        <f t="shared" si="19"/>
        <v>0.61399999999999999</v>
      </c>
      <c r="K106" s="41">
        <v>1228</v>
      </c>
      <c r="L106" s="22">
        <f t="shared" si="20"/>
        <v>0.105</v>
      </c>
      <c r="M106" s="41">
        <v>210</v>
      </c>
      <c r="N106" s="41">
        <v>1139</v>
      </c>
      <c r="O106" s="22">
        <f t="shared" si="21"/>
        <v>0.52349999999999997</v>
      </c>
      <c r="P106" s="41">
        <v>1047</v>
      </c>
      <c r="Q106" s="22">
        <f t="shared" si="22"/>
        <v>0.26950000000000002</v>
      </c>
      <c r="R106" s="41">
        <v>539</v>
      </c>
      <c r="S106" s="22">
        <f t="shared" si="23"/>
        <v>0</v>
      </c>
      <c r="T106" s="41">
        <v>0</v>
      </c>
      <c r="U106" s="41">
        <v>0</v>
      </c>
      <c r="V106" s="41">
        <v>178.4</v>
      </c>
      <c r="W106" s="41">
        <v>81.936999999999998</v>
      </c>
      <c r="X106" s="41">
        <v>68.390500000000003</v>
      </c>
      <c r="Y106" s="41">
        <v>0</v>
      </c>
      <c r="Z106" s="22">
        <v>0.33750000000000002</v>
      </c>
      <c r="AA106" s="41">
        <v>1.781736</v>
      </c>
      <c r="AB106" s="41">
        <v>22.905000000000001</v>
      </c>
      <c r="AC106" s="41">
        <v>47.757361816698101</v>
      </c>
      <c r="AD106" s="42">
        <v>12.45</v>
      </c>
      <c r="AE106" s="35">
        <f t="shared" si="24"/>
        <v>295.7475</v>
      </c>
      <c r="AF106" s="35">
        <f t="shared" si="25"/>
        <v>0.4425</v>
      </c>
      <c r="AG106" s="35">
        <f t="shared" si="26"/>
        <v>13.713000000000003</v>
      </c>
      <c r="AH106" s="35">
        <f t="shared" si="27"/>
        <v>68.390500000000003</v>
      </c>
      <c r="AI106" s="35">
        <f t="shared" si="28"/>
        <v>0</v>
      </c>
      <c r="AJ106" s="35">
        <f t="shared" si="29"/>
        <v>22.905000000000001</v>
      </c>
      <c r="AK106" s="35">
        <f t="shared" si="30"/>
        <v>14.231736</v>
      </c>
      <c r="AL106" s="36">
        <f t="shared" si="31"/>
        <v>415.43023599999998</v>
      </c>
    </row>
    <row r="107" spans="1:38">
      <c r="A107" s="14">
        <v>4996</v>
      </c>
      <c r="B107" s="13" t="s">
        <v>25</v>
      </c>
      <c r="C107" s="41">
        <v>316.19</v>
      </c>
      <c r="D107" s="22">
        <f t="shared" si="16"/>
        <v>1.087</v>
      </c>
      <c r="E107" s="41">
        <v>2174</v>
      </c>
      <c r="F107" s="22">
        <f t="shared" si="17"/>
        <v>3.2500000000000001E-2</v>
      </c>
      <c r="G107" s="41">
        <v>65</v>
      </c>
      <c r="H107" s="22">
        <f t="shared" si="18"/>
        <v>3.2500000000000001E-2</v>
      </c>
      <c r="I107" s="41">
        <v>65</v>
      </c>
      <c r="J107" s="22">
        <f t="shared" si="19"/>
        <v>3.2500000000000001E-2</v>
      </c>
      <c r="K107" s="41">
        <v>65</v>
      </c>
      <c r="L107" s="22">
        <f t="shared" si="20"/>
        <v>8.0000000000000002E-3</v>
      </c>
      <c r="M107" s="41">
        <v>16</v>
      </c>
      <c r="N107" s="41">
        <v>97</v>
      </c>
      <c r="O107" s="22">
        <f t="shared" si="21"/>
        <v>4.8500000000000001E-2</v>
      </c>
      <c r="P107" s="41">
        <v>97</v>
      </c>
      <c r="Q107" s="22">
        <f t="shared" si="22"/>
        <v>8.0000000000000002E-3</v>
      </c>
      <c r="R107" s="41">
        <v>16</v>
      </c>
      <c r="S107" s="22">
        <f t="shared" si="23"/>
        <v>0</v>
      </c>
      <c r="T107" s="41">
        <v>0</v>
      </c>
      <c r="U107" s="41">
        <v>0</v>
      </c>
      <c r="V107" s="41">
        <v>192.4</v>
      </c>
      <c r="W107" s="41">
        <v>50.765000000000001</v>
      </c>
      <c r="X107" s="41">
        <v>46.011499999999998</v>
      </c>
      <c r="Y107" s="41">
        <v>0</v>
      </c>
      <c r="Z107" s="22">
        <v>0.22500000000000001</v>
      </c>
      <c r="AA107" s="41">
        <v>1.9653700000000001</v>
      </c>
      <c r="AB107" s="41">
        <v>20.324999999999999</v>
      </c>
      <c r="AC107" s="41">
        <v>57.534141728063702</v>
      </c>
      <c r="AD107" s="42">
        <v>24.675000000000001</v>
      </c>
      <c r="AE107" s="35">
        <f t="shared" si="24"/>
        <v>316.27100000000002</v>
      </c>
      <c r="AF107" s="35">
        <f t="shared" si="25"/>
        <v>0.23300000000000001</v>
      </c>
      <c r="AG107" s="35">
        <f t="shared" si="26"/>
        <v>1.1599999999999999</v>
      </c>
      <c r="AH107" s="35">
        <f t="shared" si="27"/>
        <v>46.011499999999998</v>
      </c>
      <c r="AI107" s="35">
        <f t="shared" si="28"/>
        <v>0</v>
      </c>
      <c r="AJ107" s="35">
        <f t="shared" si="29"/>
        <v>20.324999999999999</v>
      </c>
      <c r="AK107" s="35">
        <f t="shared" si="30"/>
        <v>26.640370000000001</v>
      </c>
      <c r="AL107" s="36">
        <f t="shared" si="31"/>
        <v>410.64087000000006</v>
      </c>
    </row>
    <row r="108" spans="1:38">
      <c r="A108" s="14">
        <v>5105</v>
      </c>
      <c r="B108" s="13" t="s">
        <v>76</v>
      </c>
      <c r="C108" s="41">
        <v>582.13</v>
      </c>
      <c r="D108" s="22">
        <f t="shared" si="16"/>
        <v>11.824</v>
      </c>
      <c r="E108" s="41">
        <v>23648</v>
      </c>
      <c r="F108" s="22">
        <f t="shared" si="17"/>
        <v>0.52300000000000002</v>
      </c>
      <c r="G108" s="41">
        <v>1046</v>
      </c>
      <c r="H108" s="22">
        <f t="shared" si="18"/>
        <v>0.52300000000000002</v>
      </c>
      <c r="I108" s="41">
        <v>1046</v>
      </c>
      <c r="J108" s="22">
        <f t="shared" si="19"/>
        <v>0.5645</v>
      </c>
      <c r="K108" s="41">
        <v>1129</v>
      </c>
      <c r="L108" s="22">
        <f t="shared" si="20"/>
        <v>8.6999999999999994E-2</v>
      </c>
      <c r="M108" s="41">
        <v>174</v>
      </c>
      <c r="N108" s="41">
        <v>1184</v>
      </c>
      <c r="O108" s="22">
        <f t="shared" si="21"/>
        <v>0.46450000000000002</v>
      </c>
      <c r="P108" s="41">
        <v>929</v>
      </c>
      <c r="Q108" s="22">
        <f t="shared" si="22"/>
        <v>0.26100000000000001</v>
      </c>
      <c r="R108" s="41">
        <v>522</v>
      </c>
      <c r="S108" s="22">
        <f t="shared" si="23"/>
        <v>0</v>
      </c>
      <c r="T108" s="41">
        <v>0</v>
      </c>
      <c r="U108" s="41">
        <v>0</v>
      </c>
      <c r="V108" s="41">
        <v>254.82</v>
      </c>
      <c r="W108" s="41">
        <v>87.657499999999999</v>
      </c>
      <c r="X108" s="41">
        <v>83.65146</v>
      </c>
      <c r="Y108" s="41">
        <v>16.147919999999999</v>
      </c>
      <c r="Z108" s="22">
        <v>0.76500000000000001</v>
      </c>
      <c r="AA108" s="41">
        <v>5.666474</v>
      </c>
      <c r="AB108" s="41">
        <v>16.305</v>
      </c>
      <c r="AC108" s="41">
        <v>62.148879662603598</v>
      </c>
      <c r="AD108" s="42">
        <v>7</v>
      </c>
      <c r="AE108" s="35">
        <f t="shared" si="24"/>
        <v>583.15899999999999</v>
      </c>
      <c r="AF108" s="35">
        <f t="shared" si="25"/>
        <v>0.85199999999999998</v>
      </c>
      <c r="AG108" s="35">
        <f t="shared" si="26"/>
        <v>13.130999999999998</v>
      </c>
      <c r="AH108" s="35">
        <f t="shared" si="27"/>
        <v>83.65146</v>
      </c>
      <c r="AI108" s="35">
        <f t="shared" si="28"/>
        <v>16.147919999999999</v>
      </c>
      <c r="AJ108" s="35">
        <f t="shared" si="29"/>
        <v>16.305</v>
      </c>
      <c r="AK108" s="35">
        <f t="shared" si="30"/>
        <v>12.666474000000001</v>
      </c>
      <c r="AL108" s="36">
        <f t="shared" si="31"/>
        <v>725.91285399999992</v>
      </c>
    </row>
    <row r="109" spans="1:38">
      <c r="A109" s="14">
        <v>5117</v>
      </c>
      <c r="B109" s="13" t="s">
        <v>77</v>
      </c>
      <c r="C109" s="41">
        <v>617.24</v>
      </c>
      <c r="D109" s="22">
        <f t="shared" si="16"/>
        <v>16.081</v>
      </c>
      <c r="E109" s="41">
        <v>32162</v>
      </c>
      <c r="F109" s="22">
        <f t="shared" si="17"/>
        <v>0.82250000000000001</v>
      </c>
      <c r="G109" s="41">
        <v>1645</v>
      </c>
      <c r="H109" s="22">
        <f t="shared" si="18"/>
        <v>0.82250000000000001</v>
      </c>
      <c r="I109" s="41">
        <v>1645</v>
      </c>
      <c r="J109" s="22">
        <f t="shared" si="19"/>
        <v>0.80900000000000005</v>
      </c>
      <c r="K109" s="41">
        <v>1618</v>
      </c>
      <c r="L109" s="22">
        <f t="shared" si="20"/>
        <v>0.16950000000000001</v>
      </c>
      <c r="M109" s="41">
        <v>339</v>
      </c>
      <c r="N109" s="41">
        <v>1694</v>
      </c>
      <c r="O109" s="22">
        <f t="shared" si="21"/>
        <v>0.75549999999999995</v>
      </c>
      <c r="P109" s="41">
        <v>1511</v>
      </c>
      <c r="Q109" s="22">
        <f t="shared" si="22"/>
        <v>0.309</v>
      </c>
      <c r="R109" s="41">
        <v>618</v>
      </c>
      <c r="S109" s="22">
        <f t="shared" si="23"/>
        <v>0</v>
      </c>
      <c r="T109" s="41">
        <v>0</v>
      </c>
      <c r="U109" s="41">
        <v>0</v>
      </c>
      <c r="V109" s="41">
        <v>259.12</v>
      </c>
      <c r="W109" s="41">
        <v>107.14400000000001</v>
      </c>
      <c r="X109" s="41">
        <v>53.624499999999998</v>
      </c>
      <c r="Y109" s="41">
        <v>16.854299999999999</v>
      </c>
      <c r="Z109" s="22">
        <v>0.58499999999999996</v>
      </c>
      <c r="AA109" s="41">
        <v>6.7196579999999999</v>
      </c>
      <c r="AB109" s="41">
        <v>14.535</v>
      </c>
      <c r="AC109" s="41">
        <v>51.450394690259799</v>
      </c>
      <c r="AD109" s="42">
        <v>6</v>
      </c>
      <c r="AE109" s="35">
        <f t="shared" si="24"/>
        <v>618.80449999999996</v>
      </c>
      <c r="AF109" s="35">
        <f t="shared" si="25"/>
        <v>0.75449999999999995</v>
      </c>
      <c r="AG109" s="35">
        <f t="shared" si="26"/>
        <v>18.035000000000004</v>
      </c>
      <c r="AH109" s="35">
        <f t="shared" si="27"/>
        <v>53.624499999999998</v>
      </c>
      <c r="AI109" s="35">
        <f t="shared" si="28"/>
        <v>16.854299999999999</v>
      </c>
      <c r="AJ109" s="35">
        <f t="shared" si="29"/>
        <v>14.535</v>
      </c>
      <c r="AK109" s="35">
        <f t="shared" si="30"/>
        <v>12.719657999999999</v>
      </c>
      <c r="AL109" s="36">
        <f t="shared" si="31"/>
        <v>735.32745799999987</v>
      </c>
    </row>
    <row r="110" spans="1:38">
      <c r="A110" s="14">
        <v>5227</v>
      </c>
      <c r="B110" s="13" t="s">
        <v>46</v>
      </c>
      <c r="C110" s="41">
        <v>441.48</v>
      </c>
      <c r="D110" s="22">
        <f t="shared" si="16"/>
        <v>9.6844999999999999</v>
      </c>
      <c r="E110" s="41">
        <v>19369</v>
      </c>
      <c r="F110" s="22">
        <f t="shared" si="17"/>
        <v>0.438</v>
      </c>
      <c r="G110" s="41">
        <v>876</v>
      </c>
      <c r="H110" s="22">
        <f t="shared" si="18"/>
        <v>0.438</v>
      </c>
      <c r="I110" s="41">
        <v>876</v>
      </c>
      <c r="J110" s="22">
        <f t="shared" si="19"/>
        <v>0.627</v>
      </c>
      <c r="K110" s="41">
        <v>1254</v>
      </c>
      <c r="L110" s="22">
        <f t="shared" si="20"/>
        <v>8.2500000000000004E-2</v>
      </c>
      <c r="M110" s="41">
        <v>165</v>
      </c>
      <c r="N110" s="41">
        <v>884</v>
      </c>
      <c r="O110" s="22">
        <f t="shared" si="21"/>
        <v>0.51800000000000002</v>
      </c>
      <c r="P110" s="41">
        <v>1036</v>
      </c>
      <c r="Q110" s="22">
        <f t="shared" si="22"/>
        <v>0.23799999999999999</v>
      </c>
      <c r="R110" s="41">
        <v>476</v>
      </c>
      <c r="S110" s="22">
        <f t="shared" si="23"/>
        <v>0</v>
      </c>
      <c r="T110" s="41">
        <v>0</v>
      </c>
      <c r="U110" s="41">
        <v>0</v>
      </c>
      <c r="V110" s="41">
        <v>156.55000000000001</v>
      </c>
      <c r="W110" s="41">
        <v>8.6114999999999995</v>
      </c>
      <c r="X110" s="41">
        <v>0</v>
      </c>
      <c r="Y110" s="41">
        <v>0</v>
      </c>
      <c r="Z110" s="22">
        <v>0</v>
      </c>
      <c r="AA110" s="41">
        <v>0</v>
      </c>
      <c r="AB110" s="41">
        <v>13.515000000000001</v>
      </c>
      <c r="AC110" s="41">
        <v>3.0637228918667998</v>
      </c>
      <c r="AD110" s="42">
        <v>0</v>
      </c>
      <c r="AE110" s="35">
        <f t="shared" si="24"/>
        <v>442.625</v>
      </c>
      <c r="AF110" s="35">
        <f t="shared" si="25"/>
        <v>8.2500000000000004E-2</v>
      </c>
      <c r="AG110" s="35">
        <f t="shared" si="26"/>
        <v>10.798500000000001</v>
      </c>
      <c r="AH110" s="35">
        <f t="shared" si="27"/>
        <v>0</v>
      </c>
      <c r="AI110" s="35">
        <f t="shared" si="28"/>
        <v>0</v>
      </c>
      <c r="AJ110" s="35">
        <f t="shared" si="29"/>
        <v>13.515000000000001</v>
      </c>
      <c r="AK110" s="35">
        <f t="shared" si="30"/>
        <v>0</v>
      </c>
      <c r="AL110" s="36">
        <f t="shared" si="31"/>
        <v>467.02099999999996</v>
      </c>
    </row>
    <row r="111" spans="1:38">
      <c r="A111" s="14">
        <v>5253</v>
      </c>
      <c r="B111" s="13" t="s">
        <v>32</v>
      </c>
      <c r="C111" s="41">
        <v>883.41</v>
      </c>
      <c r="D111" s="22">
        <f t="shared" si="16"/>
        <v>13.394500000000001</v>
      </c>
      <c r="E111" s="41">
        <v>26789</v>
      </c>
      <c r="F111" s="22">
        <f t="shared" si="17"/>
        <v>0.58450000000000002</v>
      </c>
      <c r="G111" s="41">
        <v>1169</v>
      </c>
      <c r="H111" s="22">
        <f t="shared" si="18"/>
        <v>0.58450000000000002</v>
      </c>
      <c r="I111" s="41">
        <v>1169</v>
      </c>
      <c r="J111" s="22">
        <f t="shared" si="19"/>
        <v>0.55100000000000005</v>
      </c>
      <c r="K111" s="41">
        <v>1102</v>
      </c>
      <c r="L111" s="22">
        <f t="shared" si="20"/>
        <v>0.10100000000000001</v>
      </c>
      <c r="M111" s="41">
        <v>202</v>
      </c>
      <c r="N111" s="41">
        <v>1292</v>
      </c>
      <c r="O111" s="22">
        <f t="shared" si="21"/>
        <v>0.60699999999999998</v>
      </c>
      <c r="P111" s="41">
        <v>1214</v>
      </c>
      <c r="Q111" s="22">
        <f t="shared" si="22"/>
        <v>0.19800000000000001</v>
      </c>
      <c r="R111" s="41">
        <v>396</v>
      </c>
      <c r="S111" s="22">
        <f t="shared" si="23"/>
        <v>0</v>
      </c>
      <c r="T111" s="41">
        <v>0</v>
      </c>
      <c r="U111" s="41">
        <v>0</v>
      </c>
      <c r="V111" s="41">
        <v>309.87</v>
      </c>
      <c r="W111" s="41">
        <v>51.143500000000003</v>
      </c>
      <c r="X111" s="41">
        <v>72.081540000000004</v>
      </c>
      <c r="Y111" s="41">
        <v>23.563079999999999</v>
      </c>
      <c r="Z111" s="22">
        <v>0.5625</v>
      </c>
      <c r="AA111" s="41">
        <v>5.986618</v>
      </c>
      <c r="AB111" s="41">
        <v>16.5</v>
      </c>
      <c r="AC111" s="41">
        <v>128.73058163306101</v>
      </c>
      <c r="AD111" s="42">
        <v>7.7750000000000004</v>
      </c>
      <c r="AE111" s="35">
        <f t="shared" si="24"/>
        <v>884.56799999999998</v>
      </c>
      <c r="AF111" s="35">
        <f t="shared" si="25"/>
        <v>0.66349999999999998</v>
      </c>
      <c r="AG111" s="35">
        <f t="shared" si="26"/>
        <v>14.761500000000002</v>
      </c>
      <c r="AH111" s="35">
        <f t="shared" si="27"/>
        <v>72.081540000000004</v>
      </c>
      <c r="AI111" s="35">
        <f t="shared" si="28"/>
        <v>23.563079999999999</v>
      </c>
      <c r="AJ111" s="35">
        <f t="shared" si="29"/>
        <v>16.5</v>
      </c>
      <c r="AK111" s="35">
        <f t="shared" si="30"/>
        <v>13.761618</v>
      </c>
      <c r="AL111" s="36">
        <f t="shared" si="31"/>
        <v>1025.899238</v>
      </c>
    </row>
    <row r="112" spans="1:38">
      <c r="A112" s="14">
        <v>5343</v>
      </c>
      <c r="B112" s="13" t="s">
        <v>78</v>
      </c>
      <c r="C112" s="41">
        <v>895.49</v>
      </c>
      <c r="D112" s="22">
        <f t="shared" si="16"/>
        <v>16.6815</v>
      </c>
      <c r="E112" s="41">
        <v>33363</v>
      </c>
      <c r="F112" s="22">
        <f t="shared" si="17"/>
        <v>0.69</v>
      </c>
      <c r="G112" s="41">
        <v>1380</v>
      </c>
      <c r="H112" s="22">
        <f t="shared" si="18"/>
        <v>0.69</v>
      </c>
      <c r="I112" s="41">
        <v>1380</v>
      </c>
      <c r="J112" s="22">
        <f t="shared" si="19"/>
        <v>0.73499999999999999</v>
      </c>
      <c r="K112" s="41">
        <v>1470</v>
      </c>
      <c r="L112" s="22">
        <f t="shared" si="20"/>
        <v>0.109</v>
      </c>
      <c r="M112" s="41">
        <v>218</v>
      </c>
      <c r="N112" s="41">
        <v>1343</v>
      </c>
      <c r="O112" s="22">
        <f t="shared" si="21"/>
        <v>0.74399999999999999</v>
      </c>
      <c r="P112" s="41">
        <v>1488</v>
      </c>
      <c r="Q112" s="22">
        <f t="shared" si="22"/>
        <v>0.44500000000000001</v>
      </c>
      <c r="R112" s="41">
        <v>890</v>
      </c>
      <c r="S112" s="22">
        <f t="shared" si="23"/>
        <v>0</v>
      </c>
      <c r="T112" s="41">
        <v>0</v>
      </c>
      <c r="U112" s="41">
        <v>0</v>
      </c>
      <c r="V112" s="41">
        <v>276.77</v>
      </c>
      <c r="W112" s="41">
        <v>105.639</v>
      </c>
      <c r="X112" s="41">
        <v>74.301500000000004</v>
      </c>
      <c r="Y112" s="41">
        <v>28.859100000000002</v>
      </c>
      <c r="Z112" s="22">
        <v>0.42749999999999999</v>
      </c>
      <c r="AA112" s="41">
        <v>14.461831999999999</v>
      </c>
      <c r="AB112" s="41">
        <v>41.82</v>
      </c>
      <c r="AC112" s="41">
        <v>140.27162983001401</v>
      </c>
      <c r="AD112" s="42">
        <v>26.65</v>
      </c>
      <c r="AE112" s="35">
        <f t="shared" si="24"/>
        <v>896.96900000000005</v>
      </c>
      <c r="AF112" s="35">
        <f t="shared" si="25"/>
        <v>0.53649999999999998</v>
      </c>
      <c r="AG112" s="35">
        <f t="shared" si="26"/>
        <v>18.506500000000003</v>
      </c>
      <c r="AH112" s="35">
        <f t="shared" si="27"/>
        <v>74.301500000000004</v>
      </c>
      <c r="AI112" s="35">
        <f t="shared" si="28"/>
        <v>28.859100000000002</v>
      </c>
      <c r="AJ112" s="35">
        <f t="shared" si="29"/>
        <v>41.82</v>
      </c>
      <c r="AK112" s="35">
        <f t="shared" si="30"/>
        <v>41.111832</v>
      </c>
      <c r="AL112" s="36">
        <f t="shared" si="31"/>
        <v>1102.1044320000001</v>
      </c>
    </row>
    <row r="113" spans="1:38">
      <c r="A113" s="14">
        <v>5488</v>
      </c>
      <c r="B113" s="13" t="s">
        <v>41</v>
      </c>
      <c r="C113" s="41">
        <v>834.05</v>
      </c>
      <c r="D113" s="22">
        <f t="shared" si="16"/>
        <v>21.696000000000002</v>
      </c>
      <c r="E113" s="41">
        <v>43392</v>
      </c>
      <c r="F113" s="22">
        <f t="shared" si="17"/>
        <v>1.0125</v>
      </c>
      <c r="G113" s="41">
        <v>2025</v>
      </c>
      <c r="H113" s="22">
        <f t="shared" si="18"/>
        <v>1.0125</v>
      </c>
      <c r="I113" s="41">
        <v>2025</v>
      </c>
      <c r="J113" s="22">
        <f t="shared" si="19"/>
        <v>1.149</v>
      </c>
      <c r="K113" s="41">
        <v>2298</v>
      </c>
      <c r="L113" s="22">
        <f t="shared" si="20"/>
        <v>0.19</v>
      </c>
      <c r="M113" s="41">
        <v>380</v>
      </c>
      <c r="N113" s="41">
        <v>2172</v>
      </c>
      <c r="O113" s="22">
        <f t="shared" si="21"/>
        <v>0.92500000000000004</v>
      </c>
      <c r="P113" s="41">
        <v>1850</v>
      </c>
      <c r="Q113" s="22">
        <f t="shared" si="22"/>
        <v>0.22650000000000001</v>
      </c>
      <c r="R113" s="41">
        <v>453</v>
      </c>
      <c r="S113" s="22">
        <f t="shared" si="23"/>
        <v>0</v>
      </c>
      <c r="T113" s="41">
        <v>0</v>
      </c>
      <c r="U113" s="41">
        <v>0</v>
      </c>
      <c r="V113" s="41">
        <v>454.78</v>
      </c>
      <c r="W113" s="41">
        <v>94.965000000000003</v>
      </c>
      <c r="X113" s="41">
        <v>78.302580000000006</v>
      </c>
      <c r="Y113" s="41">
        <v>36.976979999999998</v>
      </c>
      <c r="Z113" s="22">
        <v>0.38250000000000001</v>
      </c>
      <c r="AA113" s="41">
        <v>6.7716440000000002</v>
      </c>
      <c r="AB113" s="41">
        <v>23.774999999999999</v>
      </c>
      <c r="AC113" s="41">
        <v>111.050430970942</v>
      </c>
      <c r="AD113" s="42">
        <v>28.55</v>
      </c>
      <c r="AE113" s="35">
        <f t="shared" si="24"/>
        <v>836.12399999999991</v>
      </c>
      <c r="AF113" s="35">
        <f t="shared" si="25"/>
        <v>0.57250000000000001</v>
      </c>
      <c r="AG113" s="35">
        <f t="shared" si="26"/>
        <v>23.947500000000002</v>
      </c>
      <c r="AH113" s="35">
        <f t="shared" si="27"/>
        <v>78.302580000000006</v>
      </c>
      <c r="AI113" s="35">
        <f t="shared" si="28"/>
        <v>36.976979999999998</v>
      </c>
      <c r="AJ113" s="35">
        <f t="shared" si="29"/>
        <v>23.774999999999999</v>
      </c>
      <c r="AK113" s="35">
        <f t="shared" si="30"/>
        <v>35.321643999999999</v>
      </c>
      <c r="AL113" s="36">
        <f t="shared" si="31"/>
        <v>1035.0202039999999</v>
      </c>
    </row>
    <row r="114" spans="1:38">
      <c r="A114" s="14">
        <v>5753</v>
      </c>
      <c r="B114" s="13" t="s">
        <v>46</v>
      </c>
      <c r="C114" s="41">
        <v>532.96</v>
      </c>
      <c r="D114" s="22">
        <f t="shared" si="16"/>
        <v>13.599</v>
      </c>
      <c r="E114" s="41">
        <v>27198</v>
      </c>
      <c r="F114" s="22">
        <f t="shared" si="17"/>
        <v>0.54700000000000004</v>
      </c>
      <c r="G114" s="41">
        <v>1094</v>
      </c>
      <c r="H114" s="22">
        <f t="shared" si="18"/>
        <v>0.54700000000000004</v>
      </c>
      <c r="I114" s="41">
        <v>1094</v>
      </c>
      <c r="J114" s="22">
        <f t="shared" si="19"/>
        <v>0.52549999999999997</v>
      </c>
      <c r="K114" s="41">
        <v>1051</v>
      </c>
      <c r="L114" s="22">
        <f t="shared" si="20"/>
        <v>0.1295</v>
      </c>
      <c r="M114" s="41">
        <v>259</v>
      </c>
      <c r="N114" s="41">
        <v>1427</v>
      </c>
      <c r="O114" s="22">
        <f t="shared" si="21"/>
        <v>0.52600000000000002</v>
      </c>
      <c r="P114" s="41">
        <v>1052</v>
      </c>
      <c r="Q114" s="22">
        <f t="shared" si="22"/>
        <v>0.253</v>
      </c>
      <c r="R114" s="41">
        <v>506</v>
      </c>
      <c r="S114" s="22">
        <f t="shared" si="23"/>
        <v>0</v>
      </c>
      <c r="T114" s="41">
        <v>0</v>
      </c>
      <c r="U114" s="41">
        <v>0</v>
      </c>
      <c r="V114" s="41">
        <v>245.97</v>
      </c>
      <c r="W114" s="41">
        <v>119.71250000000001</v>
      </c>
      <c r="X114" s="41">
        <v>0</v>
      </c>
      <c r="Y114" s="41">
        <v>0</v>
      </c>
      <c r="Z114" s="22">
        <v>0</v>
      </c>
      <c r="AA114" s="41">
        <v>3.7441140000000002</v>
      </c>
      <c r="AB114" s="41">
        <v>3.6150000000000002</v>
      </c>
      <c r="AC114" s="41">
        <v>13.298409668848</v>
      </c>
      <c r="AD114" s="42">
        <v>14.324999999999999</v>
      </c>
      <c r="AE114" s="35">
        <f t="shared" si="24"/>
        <v>534.01149999999996</v>
      </c>
      <c r="AF114" s="35">
        <f t="shared" si="25"/>
        <v>0.1295</v>
      </c>
      <c r="AG114" s="35">
        <f t="shared" si="26"/>
        <v>14.946000000000002</v>
      </c>
      <c r="AH114" s="35">
        <f t="shared" si="27"/>
        <v>0</v>
      </c>
      <c r="AI114" s="35">
        <f t="shared" si="28"/>
        <v>0</v>
      </c>
      <c r="AJ114" s="35">
        <f t="shared" si="29"/>
        <v>3.6150000000000002</v>
      </c>
      <c r="AK114" s="35">
        <f t="shared" si="30"/>
        <v>18.069113999999999</v>
      </c>
      <c r="AL114" s="36">
        <f t="shared" si="31"/>
        <v>570.77111400000001</v>
      </c>
    </row>
    <row r="115" spans="1:38">
      <c r="A115" s="14">
        <v>5755</v>
      </c>
      <c r="B115" s="13" t="s">
        <v>41</v>
      </c>
      <c r="C115" s="41">
        <v>274.70999999999998</v>
      </c>
      <c r="D115" s="22">
        <f t="shared" si="16"/>
        <v>2.5089999999999999</v>
      </c>
      <c r="E115" s="41">
        <v>5018</v>
      </c>
      <c r="F115" s="22">
        <f t="shared" si="17"/>
        <v>0.14799999999999999</v>
      </c>
      <c r="G115" s="41">
        <v>296</v>
      </c>
      <c r="H115" s="22">
        <f t="shared" si="18"/>
        <v>0.14799999999999999</v>
      </c>
      <c r="I115" s="41">
        <v>296</v>
      </c>
      <c r="J115" s="22">
        <f t="shared" si="19"/>
        <v>6.9000000000000006E-2</v>
      </c>
      <c r="K115" s="41">
        <v>138</v>
      </c>
      <c r="L115" s="22">
        <f t="shared" si="20"/>
        <v>2.1999999999999999E-2</v>
      </c>
      <c r="M115" s="41">
        <v>44</v>
      </c>
      <c r="N115" s="41">
        <v>225</v>
      </c>
      <c r="O115" s="22">
        <f t="shared" si="21"/>
        <v>0.1125</v>
      </c>
      <c r="P115" s="41">
        <v>225</v>
      </c>
      <c r="Q115" s="22">
        <f t="shared" si="22"/>
        <v>3.1E-2</v>
      </c>
      <c r="R115" s="41">
        <v>62</v>
      </c>
      <c r="S115" s="22">
        <f t="shared" si="23"/>
        <v>0</v>
      </c>
      <c r="T115" s="41">
        <v>0</v>
      </c>
      <c r="U115" s="41">
        <v>0</v>
      </c>
      <c r="V115" s="41">
        <v>152.33000000000001</v>
      </c>
      <c r="W115" s="41">
        <v>89.995999999999995</v>
      </c>
      <c r="X115" s="41">
        <v>0</v>
      </c>
      <c r="Y115" s="41">
        <v>0</v>
      </c>
      <c r="Z115" s="22">
        <v>0</v>
      </c>
      <c r="AA115" s="41">
        <v>4.3743040000000004</v>
      </c>
      <c r="AB115" s="41">
        <v>0</v>
      </c>
      <c r="AC115" s="41">
        <v>16.8147560619846</v>
      </c>
      <c r="AD115" s="42">
        <v>14.525</v>
      </c>
      <c r="AE115" s="35">
        <f t="shared" si="24"/>
        <v>274.89150000000001</v>
      </c>
      <c r="AF115" s="35">
        <f t="shared" si="25"/>
        <v>2.1999999999999999E-2</v>
      </c>
      <c r="AG115" s="35">
        <f t="shared" si="26"/>
        <v>2.8360000000000003</v>
      </c>
      <c r="AH115" s="35">
        <f t="shared" si="27"/>
        <v>0</v>
      </c>
      <c r="AI115" s="35">
        <f t="shared" si="28"/>
        <v>0</v>
      </c>
      <c r="AJ115" s="35">
        <f t="shared" si="29"/>
        <v>0</v>
      </c>
      <c r="AK115" s="35">
        <f t="shared" si="30"/>
        <v>18.899304000000001</v>
      </c>
      <c r="AL115" s="36">
        <f t="shared" si="31"/>
        <v>296.64880400000004</v>
      </c>
    </row>
    <row r="116" spans="1:38">
      <c r="A116" s="14">
        <v>5779</v>
      </c>
      <c r="B116" s="13" t="s">
        <v>79</v>
      </c>
      <c r="C116" s="41">
        <v>478.09</v>
      </c>
      <c r="D116" s="22">
        <f t="shared" si="16"/>
        <v>11.7105</v>
      </c>
      <c r="E116" s="41">
        <v>23421</v>
      </c>
      <c r="F116" s="22">
        <f t="shared" si="17"/>
        <v>0.5575</v>
      </c>
      <c r="G116" s="41">
        <v>1115</v>
      </c>
      <c r="H116" s="22">
        <f t="shared" si="18"/>
        <v>0.5575</v>
      </c>
      <c r="I116" s="41">
        <v>1115</v>
      </c>
      <c r="J116" s="22">
        <f t="shared" si="19"/>
        <v>0.53600000000000003</v>
      </c>
      <c r="K116" s="41">
        <v>1072</v>
      </c>
      <c r="L116" s="22">
        <f t="shared" si="20"/>
        <v>0.1135</v>
      </c>
      <c r="M116" s="41">
        <v>227</v>
      </c>
      <c r="N116" s="41">
        <v>1187</v>
      </c>
      <c r="O116" s="22">
        <f t="shared" si="21"/>
        <v>0.56200000000000006</v>
      </c>
      <c r="P116" s="41">
        <v>1124</v>
      </c>
      <c r="Q116" s="22">
        <f t="shared" si="22"/>
        <v>0.12</v>
      </c>
      <c r="R116" s="41">
        <v>240</v>
      </c>
      <c r="S116" s="22">
        <f t="shared" si="23"/>
        <v>0</v>
      </c>
      <c r="T116" s="41">
        <v>0</v>
      </c>
      <c r="U116" s="41">
        <v>0</v>
      </c>
      <c r="V116" s="41">
        <v>165.46129999999999</v>
      </c>
      <c r="W116" s="41">
        <v>114.199</v>
      </c>
      <c r="X116" s="41">
        <v>0</v>
      </c>
      <c r="Y116" s="41">
        <v>0</v>
      </c>
      <c r="Z116" s="22">
        <v>0</v>
      </c>
      <c r="AA116" s="41">
        <v>8.6248140000000006</v>
      </c>
      <c r="AB116" s="41">
        <v>12.105</v>
      </c>
      <c r="AC116" s="41">
        <v>41.892741058486799</v>
      </c>
      <c r="AD116" s="42">
        <v>18.625</v>
      </c>
      <c r="AE116" s="35">
        <f t="shared" si="24"/>
        <v>479.18799999999999</v>
      </c>
      <c r="AF116" s="35">
        <f t="shared" si="25"/>
        <v>0.1135</v>
      </c>
      <c r="AG116" s="35">
        <f t="shared" si="26"/>
        <v>12.945499999999997</v>
      </c>
      <c r="AH116" s="35">
        <f t="shared" si="27"/>
        <v>0</v>
      </c>
      <c r="AI116" s="35">
        <f t="shared" si="28"/>
        <v>0</v>
      </c>
      <c r="AJ116" s="35">
        <f t="shared" si="29"/>
        <v>12.105</v>
      </c>
      <c r="AK116" s="35">
        <f t="shared" si="30"/>
        <v>27.249814000000001</v>
      </c>
      <c r="AL116" s="36">
        <f t="shared" si="31"/>
        <v>531.60181399999999</v>
      </c>
    </row>
    <row r="117" spans="1:38">
      <c r="A117" s="14">
        <v>5880</v>
      </c>
      <c r="B117" s="13" t="s">
        <v>46</v>
      </c>
      <c r="C117" s="41">
        <v>485.43</v>
      </c>
      <c r="D117" s="22">
        <f t="shared" si="16"/>
        <v>19.097000000000001</v>
      </c>
      <c r="E117" s="41">
        <v>38194</v>
      </c>
      <c r="F117" s="22">
        <f t="shared" si="17"/>
        <v>0.80200000000000005</v>
      </c>
      <c r="G117" s="41">
        <v>1604</v>
      </c>
      <c r="H117" s="22">
        <f t="shared" si="18"/>
        <v>0.80200000000000005</v>
      </c>
      <c r="I117" s="41">
        <v>1604</v>
      </c>
      <c r="J117" s="22">
        <f t="shared" si="19"/>
        <v>0.90549999999999997</v>
      </c>
      <c r="K117" s="41">
        <v>1811</v>
      </c>
      <c r="L117" s="22">
        <f t="shared" si="20"/>
        <v>0.14149999999999999</v>
      </c>
      <c r="M117" s="41">
        <v>283</v>
      </c>
      <c r="N117" s="41">
        <v>1632</v>
      </c>
      <c r="O117" s="22">
        <f t="shared" si="21"/>
        <v>0.76</v>
      </c>
      <c r="P117" s="41">
        <v>1520</v>
      </c>
      <c r="Q117" s="22">
        <f t="shared" si="22"/>
        <v>0.317</v>
      </c>
      <c r="R117" s="41">
        <v>634</v>
      </c>
      <c r="S117" s="22">
        <f t="shared" si="23"/>
        <v>0</v>
      </c>
      <c r="T117" s="41">
        <v>0</v>
      </c>
      <c r="U117" s="41">
        <v>0</v>
      </c>
      <c r="V117" s="41">
        <v>136.4</v>
      </c>
      <c r="W117" s="41">
        <v>95.091999999999999</v>
      </c>
      <c r="X117" s="41">
        <v>0</v>
      </c>
      <c r="Y117" s="41">
        <v>0</v>
      </c>
      <c r="Z117" s="22">
        <v>0</v>
      </c>
      <c r="AA117" s="41">
        <v>0</v>
      </c>
      <c r="AB117" s="41">
        <v>9.51</v>
      </c>
      <c r="AC117" s="41">
        <v>45.196018173319601</v>
      </c>
      <c r="AD117" s="42">
        <v>3.6749999999999998</v>
      </c>
      <c r="AE117" s="35">
        <f t="shared" si="24"/>
        <v>487.09550000000002</v>
      </c>
      <c r="AF117" s="35">
        <f t="shared" si="25"/>
        <v>0.14149999999999999</v>
      </c>
      <c r="AG117" s="35">
        <f t="shared" si="26"/>
        <v>21.018000000000001</v>
      </c>
      <c r="AH117" s="35">
        <f t="shared" si="27"/>
        <v>0</v>
      </c>
      <c r="AI117" s="35">
        <f t="shared" si="28"/>
        <v>0</v>
      </c>
      <c r="AJ117" s="35">
        <f t="shared" si="29"/>
        <v>9.51</v>
      </c>
      <c r="AK117" s="35">
        <f t="shared" si="30"/>
        <v>3.6749999999999998</v>
      </c>
      <c r="AL117" s="36">
        <f t="shared" si="31"/>
        <v>521.43999999999994</v>
      </c>
    </row>
    <row r="118" spans="1:38">
      <c r="A118" s="14">
        <v>6023</v>
      </c>
      <c r="B118" s="13" t="s">
        <v>80</v>
      </c>
      <c r="C118" s="41">
        <v>0</v>
      </c>
      <c r="D118" s="22" t="e">
        <f t="shared" si="16"/>
        <v>#N/A</v>
      </c>
      <c r="E118" s="41" t="e">
        <v>#N/A</v>
      </c>
      <c r="F118" s="22" t="e">
        <f t="shared" si="17"/>
        <v>#N/A</v>
      </c>
      <c r="G118" s="41" t="e">
        <v>#N/A</v>
      </c>
      <c r="H118" s="22" t="e">
        <f t="shared" si="18"/>
        <v>#N/A</v>
      </c>
      <c r="I118" s="41" t="e">
        <v>#N/A</v>
      </c>
      <c r="J118" s="22" t="e">
        <f t="shared" si="19"/>
        <v>#N/A</v>
      </c>
      <c r="K118" s="41" t="e">
        <v>#N/A</v>
      </c>
      <c r="L118" s="22" t="e">
        <f t="shared" si="20"/>
        <v>#N/A</v>
      </c>
      <c r="M118" s="41" t="e">
        <v>#N/A</v>
      </c>
      <c r="N118" s="41" t="e">
        <v>#N/A</v>
      </c>
      <c r="O118" s="22" t="e">
        <f t="shared" si="21"/>
        <v>#N/A</v>
      </c>
      <c r="P118" s="41" t="e">
        <v>#N/A</v>
      </c>
      <c r="Q118" s="22" t="e">
        <f t="shared" si="22"/>
        <v>#N/A</v>
      </c>
      <c r="R118" s="41" t="e">
        <v>#N/A</v>
      </c>
      <c r="S118" s="22" t="e">
        <f t="shared" si="23"/>
        <v>#N/A</v>
      </c>
      <c r="T118" s="41" t="e">
        <v>#N/A</v>
      </c>
      <c r="U118" s="41">
        <v>252.096</v>
      </c>
      <c r="V118" s="41">
        <v>368.38799999999998</v>
      </c>
      <c r="W118" s="41">
        <v>0</v>
      </c>
      <c r="X118" s="41">
        <v>0</v>
      </c>
      <c r="Y118" s="41">
        <v>0</v>
      </c>
      <c r="Z118" s="22">
        <v>0</v>
      </c>
      <c r="AA118" s="41">
        <v>0</v>
      </c>
      <c r="AB118" s="41">
        <v>0</v>
      </c>
      <c r="AC118" s="41">
        <v>71.037999999999997</v>
      </c>
      <c r="AD118" s="42">
        <v>0</v>
      </c>
      <c r="AE118" s="35" t="e">
        <f t="shared" si="24"/>
        <v>#N/A</v>
      </c>
      <c r="AF118" s="35" t="e">
        <f t="shared" si="25"/>
        <v>#N/A</v>
      </c>
      <c r="AG118" s="35" t="e">
        <f t="shared" si="26"/>
        <v>#N/A</v>
      </c>
      <c r="AH118" s="35">
        <f t="shared" si="27"/>
        <v>0</v>
      </c>
      <c r="AI118" s="35">
        <f t="shared" si="28"/>
        <v>0</v>
      </c>
      <c r="AJ118" s="35">
        <f t="shared" si="29"/>
        <v>0</v>
      </c>
      <c r="AK118" s="35">
        <f t="shared" si="30"/>
        <v>0</v>
      </c>
      <c r="AL118" s="36">
        <v>0</v>
      </c>
    </row>
    <row r="119" spans="1:38">
      <c r="A119" s="14">
        <v>6088</v>
      </c>
      <c r="B119" s="13" t="s">
        <v>81</v>
      </c>
      <c r="C119" s="41">
        <v>0</v>
      </c>
      <c r="D119" s="22" t="e">
        <f t="shared" si="16"/>
        <v>#N/A</v>
      </c>
      <c r="E119" s="41" t="e">
        <v>#N/A</v>
      </c>
      <c r="F119" s="22" t="e">
        <f t="shared" si="17"/>
        <v>#N/A</v>
      </c>
      <c r="G119" s="41" t="e">
        <v>#N/A</v>
      </c>
      <c r="H119" s="22" t="e">
        <f t="shared" si="18"/>
        <v>#N/A</v>
      </c>
      <c r="I119" s="41" t="e">
        <v>#N/A</v>
      </c>
      <c r="J119" s="22" t="e">
        <f t="shared" si="19"/>
        <v>#N/A</v>
      </c>
      <c r="K119" s="41" t="e">
        <v>#N/A</v>
      </c>
      <c r="L119" s="22" t="e">
        <f t="shared" si="20"/>
        <v>#N/A</v>
      </c>
      <c r="M119" s="41" t="e">
        <v>#N/A</v>
      </c>
      <c r="N119" s="41" t="e">
        <v>#N/A</v>
      </c>
      <c r="O119" s="22" t="e">
        <f t="shared" si="21"/>
        <v>#N/A</v>
      </c>
      <c r="P119" s="41" t="e">
        <v>#N/A</v>
      </c>
      <c r="Q119" s="22" t="e">
        <f t="shared" si="22"/>
        <v>#N/A</v>
      </c>
      <c r="R119" s="41" t="e">
        <v>#N/A</v>
      </c>
      <c r="S119" s="22" t="e">
        <f t="shared" si="23"/>
        <v>#N/A</v>
      </c>
      <c r="T119" s="41" t="e">
        <v>#N/A</v>
      </c>
      <c r="U119" s="41" t="e">
        <v>#N/A</v>
      </c>
      <c r="V119" s="41">
        <v>240</v>
      </c>
      <c r="W119" s="41">
        <v>0</v>
      </c>
      <c r="X119" s="41">
        <v>0</v>
      </c>
      <c r="Y119" s="41">
        <v>0</v>
      </c>
      <c r="Z119" s="22">
        <v>0</v>
      </c>
      <c r="AA119" s="41">
        <v>0</v>
      </c>
      <c r="AB119" s="41">
        <v>0</v>
      </c>
      <c r="AC119" s="41">
        <v>0</v>
      </c>
      <c r="AD119" s="42">
        <v>0</v>
      </c>
      <c r="AE119" s="35" t="e">
        <f t="shared" si="24"/>
        <v>#N/A</v>
      </c>
      <c r="AF119" s="35" t="e">
        <f t="shared" si="25"/>
        <v>#N/A</v>
      </c>
      <c r="AG119" s="35" t="e">
        <f t="shared" si="26"/>
        <v>#N/A</v>
      </c>
      <c r="AH119" s="35">
        <f t="shared" si="27"/>
        <v>0</v>
      </c>
      <c r="AI119" s="35">
        <f t="shared" si="28"/>
        <v>0</v>
      </c>
      <c r="AJ119" s="35">
        <f t="shared" si="29"/>
        <v>0</v>
      </c>
      <c r="AK119" s="35">
        <f t="shared" si="30"/>
        <v>0</v>
      </c>
      <c r="AL119" s="36">
        <v>0</v>
      </c>
    </row>
    <row r="120" spans="1:38">
      <c r="A120" s="14">
        <v>6343</v>
      </c>
      <c r="B120" s="13" t="s">
        <v>27</v>
      </c>
      <c r="C120" s="41">
        <v>308.36</v>
      </c>
      <c r="D120" s="22">
        <f t="shared" si="16"/>
        <v>17.745000000000001</v>
      </c>
      <c r="E120" s="41">
        <v>35490</v>
      </c>
      <c r="F120" s="22">
        <f t="shared" si="17"/>
        <v>1.0745</v>
      </c>
      <c r="G120" s="41">
        <v>2149</v>
      </c>
      <c r="H120" s="22">
        <f t="shared" si="18"/>
        <v>1.0745</v>
      </c>
      <c r="I120" s="41">
        <v>2149</v>
      </c>
      <c r="J120" s="22">
        <f t="shared" si="19"/>
        <v>0.89100000000000001</v>
      </c>
      <c r="K120" s="41">
        <v>1782</v>
      </c>
      <c r="L120" s="22">
        <f t="shared" si="20"/>
        <v>0.16850000000000001</v>
      </c>
      <c r="M120" s="41">
        <v>337</v>
      </c>
      <c r="N120" s="41">
        <v>2521</v>
      </c>
      <c r="O120" s="22">
        <f t="shared" si="21"/>
        <v>0.98050000000000004</v>
      </c>
      <c r="P120" s="41">
        <v>1961</v>
      </c>
      <c r="Q120" s="22">
        <f t="shared" si="22"/>
        <v>0.19500000000000001</v>
      </c>
      <c r="R120" s="41">
        <v>390</v>
      </c>
      <c r="S120" s="22">
        <f t="shared" si="23"/>
        <v>0</v>
      </c>
      <c r="T120" s="41">
        <v>0</v>
      </c>
      <c r="U120" s="41">
        <v>0</v>
      </c>
      <c r="V120" s="41">
        <v>253.05439999999999</v>
      </c>
      <c r="W120" s="41">
        <v>73.38</v>
      </c>
      <c r="X120" s="41">
        <v>112.42400000000001</v>
      </c>
      <c r="Y120" s="41">
        <v>0</v>
      </c>
      <c r="Z120" s="22">
        <v>0.9</v>
      </c>
      <c r="AA120" s="41">
        <v>2.0465279999999999</v>
      </c>
      <c r="AB120" s="41">
        <v>29.73</v>
      </c>
      <c r="AC120" s="41">
        <v>66.623091448136293</v>
      </c>
      <c r="AD120" s="42">
        <v>13.95</v>
      </c>
      <c r="AE120" s="35">
        <f t="shared" si="24"/>
        <v>310.23150000000004</v>
      </c>
      <c r="AF120" s="35">
        <f t="shared" si="25"/>
        <v>1.0685</v>
      </c>
      <c r="AG120" s="35">
        <f t="shared" si="26"/>
        <v>20.089000000000002</v>
      </c>
      <c r="AH120" s="35">
        <f t="shared" si="27"/>
        <v>112.42400000000001</v>
      </c>
      <c r="AI120" s="35">
        <f t="shared" si="28"/>
        <v>0</v>
      </c>
      <c r="AJ120" s="35">
        <f t="shared" si="29"/>
        <v>29.73</v>
      </c>
      <c r="AK120" s="35">
        <f t="shared" si="30"/>
        <v>15.996528</v>
      </c>
      <c r="AL120" s="36">
        <f t="shared" si="31"/>
        <v>489.53952800000002</v>
      </c>
    </row>
    <row r="121" spans="1:38">
      <c r="A121" s="14">
        <v>6351</v>
      </c>
      <c r="B121" s="13" t="s">
        <v>39</v>
      </c>
      <c r="C121" s="41">
        <v>522.48</v>
      </c>
      <c r="D121" s="22">
        <f t="shared" si="16"/>
        <v>13.5365</v>
      </c>
      <c r="E121" s="41">
        <v>27073</v>
      </c>
      <c r="F121" s="22">
        <f t="shared" si="17"/>
        <v>0.52800000000000002</v>
      </c>
      <c r="G121" s="41">
        <v>1056</v>
      </c>
      <c r="H121" s="22">
        <f t="shared" si="18"/>
        <v>0.52800000000000002</v>
      </c>
      <c r="I121" s="41">
        <v>1056</v>
      </c>
      <c r="J121" s="22">
        <f t="shared" si="19"/>
        <v>0.63049999999999995</v>
      </c>
      <c r="K121" s="41">
        <v>1261</v>
      </c>
      <c r="L121" s="22">
        <f t="shared" si="20"/>
        <v>0.1075</v>
      </c>
      <c r="M121" s="41">
        <v>215</v>
      </c>
      <c r="N121" s="41">
        <v>1295</v>
      </c>
      <c r="O121" s="22">
        <f t="shared" si="21"/>
        <v>0.50149999999999995</v>
      </c>
      <c r="P121" s="41">
        <v>1003</v>
      </c>
      <c r="Q121" s="22">
        <f t="shared" si="22"/>
        <v>0.13150000000000001</v>
      </c>
      <c r="R121" s="41">
        <v>263</v>
      </c>
      <c r="S121" s="22">
        <f t="shared" si="23"/>
        <v>0</v>
      </c>
      <c r="T121" s="41">
        <v>0</v>
      </c>
      <c r="U121" s="41">
        <v>0</v>
      </c>
      <c r="V121" s="41">
        <v>366.07</v>
      </c>
      <c r="W121" s="41">
        <v>47.7455</v>
      </c>
      <c r="X121" s="41">
        <v>140.77748</v>
      </c>
      <c r="Y121" s="41">
        <v>0</v>
      </c>
      <c r="Z121" s="22">
        <v>0.29249999999999998</v>
      </c>
      <c r="AA121" s="41">
        <v>2.9381439999999999</v>
      </c>
      <c r="AB121" s="41">
        <v>34.484999999999999</v>
      </c>
      <c r="AC121" s="41">
        <v>36.117691961146598</v>
      </c>
      <c r="AD121" s="42">
        <v>16.625</v>
      </c>
      <c r="AE121" s="35">
        <f t="shared" si="24"/>
        <v>523.61199999999997</v>
      </c>
      <c r="AF121" s="35">
        <f t="shared" si="25"/>
        <v>0.39999999999999997</v>
      </c>
      <c r="AG121" s="35">
        <f t="shared" si="26"/>
        <v>14.724000000000002</v>
      </c>
      <c r="AH121" s="35">
        <f t="shared" si="27"/>
        <v>140.77748</v>
      </c>
      <c r="AI121" s="35">
        <f t="shared" si="28"/>
        <v>0</v>
      </c>
      <c r="AJ121" s="35">
        <f t="shared" si="29"/>
        <v>34.484999999999999</v>
      </c>
      <c r="AK121" s="35">
        <f t="shared" si="30"/>
        <v>19.563144000000001</v>
      </c>
      <c r="AL121" s="36">
        <f t="shared" si="31"/>
        <v>733.56162399999994</v>
      </c>
    </row>
    <row r="122" spans="1:38">
      <c r="A122" s="14">
        <v>6354</v>
      </c>
      <c r="B122" s="13" t="s">
        <v>28</v>
      </c>
      <c r="C122" s="41">
        <v>352.91</v>
      </c>
      <c r="D122" s="22">
        <f t="shared" si="16"/>
        <v>5.1384999999999996</v>
      </c>
      <c r="E122" s="41">
        <v>10277</v>
      </c>
      <c r="F122" s="22">
        <f t="shared" si="17"/>
        <v>0.2225</v>
      </c>
      <c r="G122" s="41">
        <v>445</v>
      </c>
      <c r="H122" s="22">
        <f t="shared" si="18"/>
        <v>0.2225</v>
      </c>
      <c r="I122" s="41">
        <v>445</v>
      </c>
      <c r="J122" s="22">
        <f t="shared" si="19"/>
        <v>0.17150000000000001</v>
      </c>
      <c r="K122" s="41">
        <v>343</v>
      </c>
      <c r="L122" s="22">
        <f t="shared" si="20"/>
        <v>6.8000000000000005E-2</v>
      </c>
      <c r="M122" s="41">
        <v>136</v>
      </c>
      <c r="N122" s="41">
        <v>515</v>
      </c>
      <c r="O122" s="22">
        <f t="shared" si="21"/>
        <v>0.24149999999999999</v>
      </c>
      <c r="P122" s="41">
        <v>483</v>
      </c>
      <c r="Q122" s="22">
        <f t="shared" si="22"/>
        <v>8.5500000000000007E-2</v>
      </c>
      <c r="R122" s="41">
        <v>171</v>
      </c>
      <c r="S122" s="22">
        <f t="shared" si="23"/>
        <v>0</v>
      </c>
      <c r="T122" s="41">
        <v>0</v>
      </c>
      <c r="U122" s="41">
        <v>0</v>
      </c>
      <c r="V122" s="41">
        <v>239.72550000000001</v>
      </c>
      <c r="W122" s="41">
        <v>110.294</v>
      </c>
      <c r="X122" s="41">
        <v>90.930499999999995</v>
      </c>
      <c r="Y122" s="41">
        <v>0</v>
      </c>
      <c r="Z122" s="22">
        <v>0.495</v>
      </c>
      <c r="AA122" s="41">
        <v>2.6512859999999998</v>
      </c>
      <c r="AB122" s="41">
        <v>25.65</v>
      </c>
      <c r="AC122" s="41">
        <v>34.8455252896457</v>
      </c>
      <c r="AD122" s="42">
        <v>15.375</v>
      </c>
      <c r="AE122" s="35">
        <f t="shared" si="24"/>
        <v>353.32299999999998</v>
      </c>
      <c r="AF122" s="35">
        <f t="shared" si="25"/>
        <v>0.56299999999999994</v>
      </c>
      <c r="AG122" s="35">
        <f t="shared" si="26"/>
        <v>5.6689999999999996</v>
      </c>
      <c r="AH122" s="35">
        <f t="shared" si="27"/>
        <v>90.930499999999995</v>
      </c>
      <c r="AI122" s="35">
        <f t="shared" si="28"/>
        <v>0</v>
      </c>
      <c r="AJ122" s="35">
        <f t="shared" si="29"/>
        <v>25.65</v>
      </c>
      <c r="AK122" s="35">
        <f t="shared" si="30"/>
        <v>18.026285999999999</v>
      </c>
      <c r="AL122" s="36">
        <f t="shared" si="31"/>
        <v>494.16178599999989</v>
      </c>
    </row>
    <row r="123" spans="1:38">
      <c r="A123" s="14">
        <v>6365</v>
      </c>
      <c r="B123" s="13" t="s">
        <v>40</v>
      </c>
      <c r="C123" s="41">
        <v>564.49</v>
      </c>
      <c r="D123" s="22">
        <f t="shared" si="16"/>
        <v>12.8665</v>
      </c>
      <c r="E123" s="41">
        <v>25733</v>
      </c>
      <c r="F123" s="22">
        <f t="shared" si="17"/>
        <v>0.56599999999999995</v>
      </c>
      <c r="G123" s="41">
        <v>1132</v>
      </c>
      <c r="H123" s="22">
        <f t="shared" si="18"/>
        <v>0.56599999999999995</v>
      </c>
      <c r="I123" s="41">
        <v>1132</v>
      </c>
      <c r="J123" s="22">
        <f t="shared" si="19"/>
        <v>0.6</v>
      </c>
      <c r="K123" s="41">
        <v>1200</v>
      </c>
      <c r="L123" s="22">
        <f t="shared" si="20"/>
        <v>0.10050000000000001</v>
      </c>
      <c r="M123" s="41">
        <v>201</v>
      </c>
      <c r="N123" s="41">
        <v>1211</v>
      </c>
      <c r="O123" s="22">
        <f t="shared" si="21"/>
        <v>0.56699999999999995</v>
      </c>
      <c r="P123" s="41">
        <v>1134</v>
      </c>
      <c r="Q123" s="22">
        <f t="shared" si="22"/>
        <v>0.126</v>
      </c>
      <c r="R123" s="41">
        <v>252</v>
      </c>
      <c r="S123" s="22">
        <f t="shared" si="23"/>
        <v>0</v>
      </c>
      <c r="T123" s="41">
        <v>0</v>
      </c>
      <c r="U123" s="41">
        <v>0</v>
      </c>
      <c r="V123" s="41">
        <v>223.02350000000001</v>
      </c>
      <c r="W123" s="41">
        <v>68.7</v>
      </c>
      <c r="X123" s="41">
        <v>125.01649999999999</v>
      </c>
      <c r="Y123" s="41">
        <v>0</v>
      </c>
      <c r="Z123" s="22">
        <v>0.29249999999999998</v>
      </c>
      <c r="AA123" s="41">
        <v>3.3300960000000002</v>
      </c>
      <c r="AB123" s="41">
        <v>27</v>
      </c>
      <c r="AC123" s="41">
        <v>53.537874417280399</v>
      </c>
      <c r="AD123" s="42">
        <v>25.074999999999999</v>
      </c>
      <c r="AE123" s="35">
        <f t="shared" si="24"/>
        <v>565.65700000000004</v>
      </c>
      <c r="AF123" s="35">
        <f t="shared" si="25"/>
        <v>0.39300000000000002</v>
      </c>
      <c r="AG123" s="35">
        <f t="shared" si="26"/>
        <v>14.124500000000001</v>
      </c>
      <c r="AH123" s="35">
        <f t="shared" si="27"/>
        <v>125.01649999999999</v>
      </c>
      <c r="AI123" s="35">
        <f t="shared" si="28"/>
        <v>0</v>
      </c>
      <c r="AJ123" s="35">
        <f t="shared" si="29"/>
        <v>27</v>
      </c>
      <c r="AK123" s="35">
        <f t="shared" si="30"/>
        <v>28.405096</v>
      </c>
      <c r="AL123" s="36">
        <f t="shared" si="31"/>
        <v>760.59609599999999</v>
      </c>
    </row>
    <row r="124" spans="1:38">
      <c r="A124" s="14">
        <v>6368</v>
      </c>
      <c r="B124" s="13" t="s">
        <v>32</v>
      </c>
      <c r="C124" s="41">
        <v>629.34</v>
      </c>
      <c r="D124" s="22">
        <f t="shared" si="16"/>
        <v>24.3645</v>
      </c>
      <c r="E124" s="41">
        <v>48729</v>
      </c>
      <c r="F124" s="22">
        <f t="shared" si="17"/>
        <v>0.92849999999999999</v>
      </c>
      <c r="G124" s="41">
        <v>1857</v>
      </c>
      <c r="H124" s="22">
        <f t="shared" si="18"/>
        <v>0.92849999999999999</v>
      </c>
      <c r="I124" s="41">
        <v>1857</v>
      </c>
      <c r="J124" s="22">
        <f t="shared" si="19"/>
        <v>0.84450000000000003</v>
      </c>
      <c r="K124" s="41">
        <v>1689</v>
      </c>
      <c r="L124" s="22">
        <f t="shared" si="20"/>
        <v>0.16300000000000001</v>
      </c>
      <c r="M124" s="41">
        <v>326</v>
      </c>
      <c r="N124" s="41">
        <v>2222</v>
      </c>
      <c r="O124" s="22">
        <f t="shared" si="21"/>
        <v>0.81299999999999994</v>
      </c>
      <c r="P124" s="41">
        <v>1626</v>
      </c>
      <c r="Q124" s="22">
        <f t="shared" si="22"/>
        <v>0.21</v>
      </c>
      <c r="R124" s="41">
        <v>420</v>
      </c>
      <c r="S124" s="22">
        <f t="shared" si="23"/>
        <v>0</v>
      </c>
      <c r="T124" s="41">
        <v>0</v>
      </c>
      <c r="U124" s="41">
        <v>0</v>
      </c>
      <c r="V124" s="41">
        <v>286.75330000000002</v>
      </c>
      <c r="W124" s="41">
        <v>91.387500000000003</v>
      </c>
      <c r="X124" s="41">
        <v>153.92841999999999</v>
      </c>
      <c r="Y124" s="41">
        <v>0</v>
      </c>
      <c r="Z124" s="22">
        <v>0.87749999999999995</v>
      </c>
      <c r="AA124" s="41">
        <v>2.7956500000000002</v>
      </c>
      <c r="AB124" s="41">
        <v>35.46</v>
      </c>
      <c r="AC124" s="41">
        <v>39.602704553005999</v>
      </c>
      <c r="AD124" s="42">
        <v>40.9</v>
      </c>
      <c r="AE124" s="35">
        <f t="shared" si="24"/>
        <v>630.99750000000006</v>
      </c>
      <c r="AF124" s="35">
        <f t="shared" si="25"/>
        <v>1.0405</v>
      </c>
      <c r="AG124" s="35">
        <f t="shared" si="26"/>
        <v>26.4315</v>
      </c>
      <c r="AH124" s="35">
        <f t="shared" si="27"/>
        <v>153.92841999999999</v>
      </c>
      <c r="AI124" s="35">
        <f t="shared" si="28"/>
        <v>0</v>
      </c>
      <c r="AJ124" s="35">
        <f t="shared" si="29"/>
        <v>35.46</v>
      </c>
      <c r="AK124" s="35">
        <f t="shared" si="30"/>
        <v>43.695650000000001</v>
      </c>
      <c r="AL124" s="36">
        <f t="shared" si="31"/>
        <v>891.55357000000004</v>
      </c>
    </row>
    <row r="125" spans="1:38">
      <c r="A125" s="14">
        <v>6371</v>
      </c>
      <c r="B125" s="13" t="s">
        <v>42</v>
      </c>
      <c r="C125" s="41">
        <v>353.21</v>
      </c>
      <c r="D125" s="22">
        <f t="shared" si="16"/>
        <v>10.199999999999999</v>
      </c>
      <c r="E125" s="41">
        <v>20400</v>
      </c>
      <c r="F125" s="22">
        <f t="shared" si="17"/>
        <v>0.47549999999999998</v>
      </c>
      <c r="G125" s="41">
        <v>951</v>
      </c>
      <c r="H125" s="22">
        <f t="shared" si="18"/>
        <v>0.47549999999999998</v>
      </c>
      <c r="I125" s="41">
        <v>951</v>
      </c>
      <c r="J125" s="22">
        <f t="shared" si="19"/>
        <v>0.38650000000000001</v>
      </c>
      <c r="K125" s="41">
        <v>773</v>
      </c>
      <c r="L125" s="22">
        <f t="shared" si="20"/>
        <v>8.8499999999999995E-2</v>
      </c>
      <c r="M125" s="41">
        <v>177</v>
      </c>
      <c r="N125" s="41">
        <v>951</v>
      </c>
      <c r="O125" s="22">
        <f t="shared" si="21"/>
        <v>0.45900000000000002</v>
      </c>
      <c r="P125" s="41">
        <v>918</v>
      </c>
      <c r="Q125" s="22">
        <f t="shared" si="22"/>
        <v>0.17449999999999999</v>
      </c>
      <c r="R125" s="41">
        <v>349</v>
      </c>
      <c r="S125" s="22">
        <f t="shared" si="23"/>
        <v>0</v>
      </c>
      <c r="T125" s="41">
        <v>0</v>
      </c>
      <c r="U125" s="41">
        <v>0</v>
      </c>
      <c r="V125" s="41">
        <v>195.41018</v>
      </c>
      <c r="W125" s="41">
        <v>87.546499999999995</v>
      </c>
      <c r="X125" s="41">
        <v>92.067620000000005</v>
      </c>
      <c r="Y125" s="41">
        <v>0</v>
      </c>
      <c r="Z125" s="22">
        <v>0.315</v>
      </c>
      <c r="AA125" s="41">
        <v>1.2409319999999999</v>
      </c>
      <c r="AB125" s="41">
        <v>23.49</v>
      </c>
      <c r="AC125" s="41">
        <v>85.663585231181997</v>
      </c>
      <c r="AD125" s="42">
        <v>18.600000000000001</v>
      </c>
      <c r="AE125" s="35">
        <f t="shared" si="24"/>
        <v>354.05549999999999</v>
      </c>
      <c r="AF125" s="35">
        <f t="shared" si="25"/>
        <v>0.40349999999999997</v>
      </c>
      <c r="AG125" s="35">
        <f t="shared" si="26"/>
        <v>11.3255</v>
      </c>
      <c r="AH125" s="35">
        <f t="shared" si="27"/>
        <v>92.067620000000005</v>
      </c>
      <c r="AI125" s="35">
        <f t="shared" si="28"/>
        <v>0</v>
      </c>
      <c r="AJ125" s="35">
        <f t="shared" si="29"/>
        <v>23.49</v>
      </c>
      <c r="AK125" s="35">
        <f t="shared" si="30"/>
        <v>19.840932000000002</v>
      </c>
      <c r="AL125" s="36">
        <f t="shared" si="31"/>
        <v>501.18305200000003</v>
      </c>
    </row>
    <row r="126" spans="1:38">
      <c r="A126" s="14">
        <v>6458</v>
      </c>
      <c r="B126" s="13" t="s">
        <v>21</v>
      </c>
      <c r="C126" s="41">
        <v>409.87</v>
      </c>
      <c r="D126" s="22">
        <f t="shared" si="16"/>
        <v>12.9175</v>
      </c>
      <c r="E126" s="41">
        <v>25835</v>
      </c>
      <c r="F126" s="22">
        <f t="shared" si="17"/>
        <v>0.63700000000000001</v>
      </c>
      <c r="G126" s="41">
        <v>1274</v>
      </c>
      <c r="H126" s="22">
        <f t="shared" si="18"/>
        <v>0.63700000000000001</v>
      </c>
      <c r="I126" s="41">
        <v>1274</v>
      </c>
      <c r="J126" s="22">
        <f t="shared" si="19"/>
        <v>0.54749999999999999</v>
      </c>
      <c r="K126" s="41">
        <v>1095</v>
      </c>
      <c r="L126" s="22">
        <f t="shared" si="20"/>
        <v>0.1045</v>
      </c>
      <c r="M126" s="41">
        <v>209</v>
      </c>
      <c r="N126" s="41">
        <v>1102</v>
      </c>
      <c r="O126" s="22">
        <f t="shared" si="21"/>
        <v>0.42799999999999999</v>
      </c>
      <c r="P126" s="41">
        <v>856</v>
      </c>
      <c r="Q126" s="22">
        <f t="shared" si="22"/>
        <v>0.13450000000000001</v>
      </c>
      <c r="R126" s="41">
        <v>269</v>
      </c>
      <c r="S126" s="22">
        <f t="shared" si="23"/>
        <v>0</v>
      </c>
      <c r="T126" s="41">
        <v>0</v>
      </c>
      <c r="U126" s="41">
        <v>0</v>
      </c>
      <c r="V126" s="41">
        <v>145.71</v>
      </c>
      <c r="W126" s="41">
        <v>54.140500000000003</v>
      </c>
      <c r="X126" s="41">
        <v>115.28749999999999</v>
      </c>
      <c r="Y126" s="41">
        <v>0</v>
      </c>
      <c r="Z126" s="22">
        <v>0</v>
      </c>
      <c r="AA126" s="41">
        <v>3.3884400000000001</v>
      </c>
      <c r="AB126" s="41">
        <v>30.045000000000002</v>
      </c>
      <c r="AC126" s="41">
        <v>47.895717163135799</v>
      </c>
      <c r="AD126" s="42">
        <v>24.125</v>
      </c>
      <c r="AE126" s="35">
        <f t="shared" si="24"/>
        <v>410.84550000000002</v>
      </c>
      <c r="AF126" s="35">
        <f t="shared" si="25"/>
        <v>0.1045</v>
      </c>
      <c r="AG126" s="35">
        <f t="shared" si="26"/>
        <v>14.326000000000001</v>
      </c>
      <c r="AH126" s="35">
        <f t="shared" si="27"/>
        <v>115.28749999999999</v>
      </c>
      <c r="AI126" s="35">
        <f t="shared" si="28"/>
        <v>0</v>
      </c>
      <c r="AJ126" s="35">
        <f t="shared" si="29"/>
        <v>30.045000000000002</v>
      </c>
      <c r="AK126" s="35">
        <f t="shared" si="30"/>
        <v>27.513439999999999</v>
      </c>
      <c r="AL126" s="36">
        <f t="shared" si="31"/>
        <v>598.12193999999988</v>
      </c>
    </row>
    <row r="127" spans="1:38">
      <c r="A127" s="14">
        <v>6518</v>
      </c>
      <c r="B127" s="13" t="s">
        <v>47</v>
      </c>
      <c r="C127" s="41">
        <v>381.97</v>
      </c>
      <c r="D127" s="22">
        <f t="shared" si="16"/>
        <v>8.9915000000000003</v>
      </c>
      <c r="E127" s="41">
        <v>17983</v>
      </c>
      <c r="F127" s="22">
        <f t="shared" si="17"/>
        <v>1.5E-3</v>
      </c>
      <c r="G127" s="41">
        <v>3</v>
      </c>
      <c r="H127" s="22">
        <f t="shared" si="18"/>
        <v>1.5E-3</v>
      </c>
      <c r="I127" s="41">
        <v>3</v>
      </c>
      <c r="J127" s="22">
        <f t="shared" si="19"/>
        <v>0.75049999999999994</v>
      </c>
      <c r="K127" s="41">
        <v>1501</v>
      </c>
      <c r="L127" s="22">
        <f t="shared" si="20"/>
        <v>0</v>
      </c>
      <c r="M127" s="41">
        <v>0</v>
      </c>
      <c r="N127" s="41">
        <v>10541</v>
      </c>
      <c r="O127" s="22">
        <f t="shared" si="21"/>
        <v>0.32200000000000001</v>
      </c>
      <c r="P127" s="41">
        <v>644</v>
      </c>
      <c r="Q127" s="22">
        <f t="shared" si="22"/>
        <v>0.1305</v>
      </c>
      <c r="R127" s="41">
        <v>261</v>
      </c>
      <c r="S127" s="22">
        <f t="shared" si="23"/>
        <v>0.23400000000000001</v>
      </c>
      <c r="T127" s="41">
        <v>468</v>
      </c>
      <c r="U127" s="41">
        <v>0</v>
      </c>
      <c r="V127" s="41">
        <v>170.06</v>
      </c>
      <c r="W127" s="41">
        <v>35.244999999999997</v>
      </c>
      <c r="X127" s="41">
        <v>104.79949999999999</v>
      </c>
      <c r="Y127" s="41">
        <v>0</v>
      </c>
      <c r="Z127" s="22">
        <v>0.34499999999999997</v>
      </c>
      <c r="AA127" s="41">
        <v>2.0839279999999998</v>
      </c>
      <c r="AB127" s="41">
        <v>24.045000000000002</v>
      </c>
      <c r="AC127" s="41">
        <v>55.713097695986498</v>
      </c>
      <c r="AD127" s="42">
        <v>39.1</v>
      </c>
      <c r="AE127" s="35">
        <f t="shared" si="24"/>
        <v>383.04250000000002</v>
      </c>
      <c r="AF127" s="35">
        <f t="shared" si="25"/>
        <v>0.34499999999999997</v>
      </c>
      <c r="AG127" s="35">
        <f t="shared" si="26"/>
        <v>9.359</v>
      </c>
      <c r="AH127" s="35">
        <f t="shared" si="27"/>
        <v>104.79949999999999</v>
      </c>
      <c r="AI127" s="35">
        <f t="shared" si="28"/>
        <v>0</v>
      </c>
      <c r="AJ127" s="35">
        <f t="shared" si="29"/>
        <v>24.045000000000002</v>
      </c>
      <c r="AK127" s="35">
        <f t="shared" si="30"/>
        <v>41.183928000000002</v>
      </c>
      <c r="AL127" s="36">
        <f t="shared" si="31"/>
        <v>562.77492800000005</v>
      </c>
    </row>
    <row r="128" spans="1:38">
      <c r="A128" s="14">
        <v>6524</v>
      </c>
      <c r="B128" s="13" t="s">
        <v>24</v>
      </c>
      <c r="C128" s="41">
        <v>445.74</v>
      </c>
      <c r="D128" s="22">
        <f t="shared" si="16"/>
        <v>16.9755</v>
      </c>
      <c r="E128" s="41">
        <v>33951</v>
      </c>
      <c r="F128" s="22">
        <f t="shared" si="17"/>
        <v>0.60599999999999998</v>
      </c>
      <c r="G128" s="41">
        <v>1212</v>
      </c>
      <c r="H128" s="22">
        <f t="shared" si="18"/>
        <v>0.60599999999999998</v>
      </c>
      <c r="I128" s="41">
        <v>1212</v>
      </c>
      <c r="J128" s="22">
        <f t="shared" si="19"/>
        <v>0.60599999999999998</v>
      </c>
      <c r="K128" s="41">
        <v>1212</v>
      </c>
      <c r="L128" s="22">
        <f t="shared" si="20"/>
        <v>0.14099999999999999</v>
      </c>
      <c r="M128" s="41">
        <v>282</v>
      </c>
      <c r="N128" s="41">
        <v>1693</v>
      </c>
      <c r="O128" s="22">
        <f t="shared" si="21"/>
        <v>0.752</v>
      </c>
      <c r="P128" s="41">
        <v>1504</v>
      </c>
      <c r="Q128" s="22">
        <f t="shared" si="22"/>
        <v>0.26300000000000001</v>
      </c>
      <c r="R128" s="41">
        <v>526</v>
      </c>
      <c r="S128" s="22">
        <f t="shared" si="23"/>
        <v>0</v>
      </c>
      <c r="T128" s="41">
        <v>0</v>
      </c>
      <c r="U128" s="41">
        <v>0</v>
      </c>
      <c r="V128" s="41">
        <v>319.18</v>
      </c>
      <c r="W128" s="41">
        <v>77.367500000000007</v>
      </c>
      <c r="X128" s="41">
        <v>115.736</v>
      </c>
      <c r="Y128" s="41">
        <v>0</v>
      </c>
      <c r="Z128" s="22">
        <v>0.33750000000000002</v>
      </c>
      <c r="AA128" s="41">
        <v>5.060594</v>
      </c>
      <c r="AB128" s="41">
        <v>27.36</v>
      </c>
      <c r="AC128" s="41">
        <v>49.846207736585399</v>
      </c>
      <c r="AD128" s="42">
        <v>14.525</v>
      </c>
      <c r="AE128" s="35">
        <f t="shared" si="24"/>
        <v>447.09800000000001</v>
      </c>
      <c r="AF128" s="35">
        <f t="shared" si="25"/>
        <v>0.47850000000000004</v>
      </c>
      <c r="AG128" s="35">
        <f t="shared" si="26"/>
        <v>18.450500000000005</v>
      </c>
      <c r="AH128" s="35">
        <f t="shared" si="27"/>
        <v>115.736</v>
      </c>
      <c r="AI128" s="35">
        <f t="shared" si="28"/>
        <v>0</v>
      </c>
      <c r="AJ128" s="35">
        <f t="shared" si="29"/>
        <v>27.36</v>
      </c>
      <c r="AK128" s="35">
        <f t="shared" si="30"/>
        <v>19.585594</v>
      </c>
      <c r="AL128" s="36">
        <f t="shared" si="31"/>
        <v>628.70859400000006</v>
      </c>
    </row>
    <row r="129" spans="1:38" ht="13.2" thickBot="1">
      <c r="A129" s="15">
        <v>6569</v>
      </c>
      <c r="B129" s="16" t="s">
        <v>38</v>
      </c>
      <c r="C129" s="43">
        <v>340.8</v>
      </c>
      <c r="D129" s="22">
        <f t="shared" si="16"/>
        <v>11.226000000000001</v>
      </c>
      <c r="E129" s="43">
        <v>22452</v>
      </c>
      <c r="F129" s="22">
        <f t="shared" si="17"/>
        <v>2.5000000000000001E-2</v>
      </c>
      <c r="G129" s="43">
        <v>50</v>
      </c>
      <c r="H129" s="22">
        <f t="shared" si="18"/>
        <v>2.5000000000000001E-2</v>
      </c>
      <c r="I129" s="43">
        <v>50</v>
      </c>
      <c r="J129" s="22">
        <f t="shared" si="19"/>
        <v>0.53500000000000003</v>
      </c>
      <c r="K129" s="43">
        <v>1070</v>
      </c>
      <c r="L129" s="22">
        <f t="shared" si="20"/>
        <v>0</v>
      </c>
      <c r="M129" s="43">
        <v>0</v>
      </c>
      <c r="N129" s="43">
        <v>737</v>
      </c>
      <c r="O129" s="22">
        <f t="shared" si="21"/>
        <v>0.1145</v>
      </c>
      <c r="P129" s="43">
        <v>229</v>
      </c>
      <c r="Q129" s="22">
        <f t="shared" si="22"/>
        <v>0.40899999999999997</v>
      </c>
      <c r="R129" s="43">
        <v>818</v>
      </c>
      <c r="S129" s="22">
        <f t="shared" si="23"/>
        <v>7.0000000000000001E-3</v>
      </c>
      <c r="T129" s="43">
        <v>14</v>
      </c>
      <c r="U129" s="43">
        <v>0</v>
      </c>
      <c r="V129" s="43">
        <v>136.87</v>
      </c>
      <c r="W129" s="43">
        <v>60.234999999999999</v>
      </c>
      <c r="X129" s="43">
        <v>101.01600000000001</v>
      </c>
      <c r="Y129" s="43">
        <v>0</v>
      </c>
      <c r="Z129" s="44">
        <v>4.4999999999999998E-2</v>
      </c>
      <c r="AA129" s="43">
        <v>0.73453599999999997</v>
      </c>
      <c r="AB129" s="43">
        <v>18</v>
      </c>
      <c r="AC129" s="43">
        <v>59.755824126443201</v>
      </c>
      <c r="AD129" s="45">
        <v>10.074999999999999</v>
      </c>
      <c r="AE129" s="35">
        <f t="shared" si="24"/>
        <v>341.44950000000006</v>
      </c>
      <c r="AF129" s="35">
        <f t="shared" si="25"/>
        <v>4.4999999999999998E-2</v>
      </c>
      <c r="AG129" s="35">
        <f t="shared" si="26"/>
        <v>11.692000000000002</v>
      </c>
      <c r="AH129" s="35">
        <f t="shared" si="27"/>
        <v>101.01600000000001</v>
      </c>
      <c r="AI129" s="35">
        <f t="shared" si="28"/>
        <v>0</v>
      </c>
      <c r="AJ129" s="35">
        <f t="shared" si="29"/>
        <v>18</v>
      </c>
      <c r="AK129" s="35">
        <f t="shared" si="30"/>
        <v>10.809536</v>
      </c>
      <c r="AL129" s="37">
        <f t="shared" si="31"/>
        <v>483.01203600000008</v>
      </c>
    </row>
    <row r="132" spans="1:38">
      <c r="AJ132" s="32" t="s">
        <v>110</v>
      </c>
      <c r="AL132" s="25">
        <f>SUM(AL10:AL129)</f>
        <v>81963.520509999973</v>
      </c>
    </row>
  </sheetData>
  <mergeCells count="1">
    <mergeCell ref="AE8:AK8"/>
  </mergeCells>
  <phoneticPr fontId="0" type="noConversion"/>
  <hyperlinks>
    <hyperlink ref="B7" r:id="rId1"/>
  </hyperlinks>
  <pageMargins left="0.75" right="0.75" top="1" bottom="1" header="0.5" footer="0.5"/>
  <pageSetup orientation="portrait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SWCompRpt</vt:lpstr>
      <vt:lpstr>SWCompRpt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djdhoog</dc:creator>
  <cp:lastModifiedBy>iqs09752</cp:lastModifiedBy>
  <dcterms:created xsi:type="dcterms:W3CDTF">2012-07-25T20:21:03Z</dcterms:created>
  <dcterms:modified xsi:type="dcterms:W3CDTF">2014-03-24T14:12:56Z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-590155249</vt:i4>
  </property>
  <property fmtid="{D5CDD505-2E9C-101B-9397-08002B2CF9AE}" pid="3" name="_NewReviewCycle">
    <vt:lpwstr/>
  </property>
  <property fmtid="{D5CDD505-2E9C-101B-9397-08002B2CF9AE}" pid="4" name="_EmailSubject">
    <vt:lpwstr>2013 Walmart Recycling Report</vt:lpwstr>
  </property>
  <property fmtid="{D5CDD505-2E9C-101B-9397-08002B2CF9AE}" pid="5" name="_AuthorEmail">
    <vt:lpwstr>Annette.Schmale@wal-mart.com</vt:lpwstr>
  </property>
  <property fmtid="{D5CDD505-2E9C-101B-9397-08002B2CF9AE}" pid="6" name="_AuthorEmailDisplayName">
    <vt:lpwstr>Annette Schmale</vt:lpwstr>
  </property>
  <property fmtid="{D5CDD505-2E9C-101B-9397-08002B2CF9AE}" pid="7" name="_ReviewingToolsShownOnce">
    <vt:lpwstr/>
  </property>
</Properties>
</file>