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alcChain.xml" ContentType="application/vnd.openxmlformats-officedocument.spreadsheetml.calcChain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xl/charts/chart8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 firstSheet="5" activeTab="8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25725"/>
</workbook>
</file>

<file path=xl/calcChain.xml><?xml version="1.0" encoding="utf-8"?>
<calcChain xmlns="http://schemas.openxmlformats.org/spreadsheetml/2006/main">
  <c r="AO17" i="1"/>
  <c r="AO16"/>
  <c r="AO14"/>
  <c r="AO12"/>
  <c r="AO10"/>
  <c r="AO9"/>
  <c r="AO7"/>
  <c r="AO6"/>
  <c r="AO4"/>
  <c r="AO3"/>
  <c r="AN16"/>
  <c r="AN14"/>
  <c r="AN17"/>
  <c r="AN12"/>
  <c r="AN10"/>
  <c r="AN9"/>
  <c r="AN7"/>
  <c r="AN6"/>
  <c r="AN4"/>
  <c r="AN3"/>
  <c r="AM17"/>
  <c r="AM16"/>
  <c r="AM14"/>
  <c r="AM12"/>
  <c r="AM10"/>
  <c r="AM9"/>
  <c r="AM7"/>
  <c r="AM6"/>
  <c r="AM4"/>
  <c r="AM3"/>
  <c r="AL17"/>
  <c r="AL16"/>
  <c r="AL14"/>
  <c r="AL12"/>
  <c r="AL10"/>
  <c r="AL9"/>
  <c r="AL7"/>
  <c r="AL6"/>
  <c r="AL4"/>
  <c r="AL3"/>
  <c r="AK16"/>
  <c r="AK17"/>
  <c r="AK14"/>
  <c r="AK9"/>
  <c r="AK10" s="1"/>
  <c r="AK12"/>
  <c r="AK6"/>
  <c r="AK7" s="1"/>
  <c r="AK3"/>
  <c r="AK4" s="1"/>
  <c r="AJ16"/>
  <c r="AJ14"/>
  <c r="AJ17"/>
  <c r="AJ12"/>
  <c r="AJ9"/>
  <c r="AJ10" s="1"/>
  <c r="AJ6"/>
  <c r="AJ7" s="1"/>
  <c r="AJ3"/>
  <c r="AJ4" s="1"/>
  <c r="AI16"/>
  <c r="AI14"/>
  <c r="AI17"/>
  <c r="AI12"/>
  <c r="AG12"/>
  <c r="AI10"/>
  <c r="AI9"/>
  <c r="AI7"/>
  <c r="AI6"/>
  <c r="AI4"/>
  <c r="AI3"/>
  <c r="AH16"/>
  <c r="AH14"/>
  <c r="AH17"/>
  <c r="AH12"/>
  <c r="AH10"/>
  <c r="AH9"/>
  <c r="AH7"/>
  <c r="AH6"/>
  <c r="AH4"/>
  <c r="AH3"/>
  <c r="AG16"/>
  <c r="AG14"/>
  <c r="AG17"/>
  <c r="AG9"/>
  <c r="AG10" s="1"/>
  <c r="AG6"/>
  <c r="AG7" s="1"/>
  <c r="AG3"/>
  <c r="AG4" s="1"/>
  <c r="AF16"/>
  <c r="AF14"/>
  <c r="AF17"/>
  <c r="AF12"/>
  <c r="AF9"/>
  <c r="AF10" s="1"/>
  <c r="AF6"/>
  <c r="AF7" s="1"/>
  <c r="AF3"/>
  <c r="AF4" s="1"/>
  <c r="AE17"/>
  <c r="AE16"/>
  <c r="AE14"/>
  <c r="AE12"/>
  <c r="AE9"/>
  <c r="AE10" s="1"/>
  <c r="AE6"/>
  <c r="AE7" s="1"/>
  <c r="AE3"/>
  <c r="AE4" s="1"/>
  <c r="AD17"/>
  <c r="AD16"/>
  <c r="AD14"/>
  <c r="AD12"/>
  <c r="AD9"/>
  <c r="AD10" s="1"/>
  <c r="AD6"/>
  <c r="AD7" s="1"/>
  <c r="AD3"/>
  <c r="AD4" s="1"/>
  <c r="AC16"/>
  <c r="AC14"/>
  <c r="AC9"/>
  <c r="AC10" s="1"/>
  <c r="AC17"/>
  <c r="AC12"/>
  <c r="AC6"/>
  <c r="AC7" s="1"/>
  <c r="AC3"/>
  <c r="AC4" s="1"/>
  <c r="AB16"/>
  <c r="AB14"/>
  <c r="AB17"/>
  <c r="AB12"/>
  <c r="AB9"/>
  <c r="AB10" s="1"/>
  <c r="AB6"/>
  <c r="AB7" s="1"/>
  <c r="AB3"/>
  <c r="AB4" s="1"/>
  <c r="AA16"/>
  <c r="AA14"/>
  <c r="AA17"/>
  <c r="AA12"/>
  <c r="AA9"/>
  <c r="AA10" s="1"/>
  <c r="AA6"/>
  <c r="AA7" s="1"/>
  <c r="AA3"/>
  <c r="AA4" s="1"/>
  <c r="Z17"/>
  <c r="Z16"/>
  <c r="Z14"/>
  <c r="Z12"/>
  <c r="Z9"/>
  <c r="Z10" s="1"/>
  <c r="Z6"/>
  <c r="Z7" s="1"/>
  <c r="Z3"/>
  <c r="Z4" s="1"/>
  <c r="Y16"/>
  <c r="Y14"/>
  <c r="Y12"/>
  <c r="Y10"/>
  <c r="Y9"/>
  <c r="Y17"/>
  <c r="Y3"/>
  <c r="Y4" s="1"/>
  <c r="Y6"/>
  <c r="Y7" s="1"/>
  <c r="X16"/>
  <c r="X14"/>
  <c r="X17"/>
  <c r="X12"/>
  <c r="X9"/>
  <c r="X10" s="1"/>
  <c r="X7"/>
  <c r="X6"/>
  <c r="X3"/>
  <c r="X4" s="1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B17"/>
  <c r="W14"/>
  <c r="W16"/>
  <c r="W12"/>
  <c r="W10"/>
  <c r="W9"/>
  <c r="W7"/>
  <c r="W6"/>
  <c r="W3"/>
  <c r="W4" s="1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B16"/>
  <c r="V14"/>
  <c r="V12"/>
  <c r="V10"/>
  <c r="V9"/>
  <c r="V7"/>
  <c r="V6"/>
  <c r="V3"/>
  <c r="V4" s="1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B14"/>
  <c r="U12"/>
  <c r="U10"/>
  <c r="U9"/>
  <c r="U7"/>
  <c r="U6"/>
  <c r="U4"/>
  <c r="U3"/>
  <c r="T12"/>
  <c r="T9"/>
  <c r="T10" s="1"/>
  <c r="T6"/>
  <c r="T7" s="1"/>
  <c r="T3"/>
  <c r="T4" s="1"/>
  <c r="S3"/>
  <c r="S4" s="1"/>
  <c r="S6"/>
  <c r="S7"/>
  <c r="S9"/>
  <c r="S10" s="1"/>
  <c r="E9"/>
  <c r="D6"/>
  <c r="E6"/>
  <c r="E7" s="1"/>
  <c r="F6"/>
  <c r="G6"/>
  <c r="H6"/>
  <c r="I6"/>
  <c r="J6"/>
  <c r="K6"/>
  <c r="L6"/>
  <c r="M6"/>
  <c r="N6"/>
  <c r="O6"/>
  <c r="P6"/>
  <c r="Q6"/>
  <c r="R6"/>
  <c r="C6"/>
  <c r="C7" s="1"/>
  <c r="R7"/>
  <c r="L3"/>
  <c r="L4" s="1"/>
  <c r="M3"/>
  <c r="M4" s="1"/>
  <c r="N3"/>
  <c r="N4" s="1"/>
  <c r="O3"/>
  <c r="O4" s="1"/>
  <c r="P3"/>
  <c r="P4" s="1"/>
  <c r="K3"/>
  <c r="K4" s="1"/>
  <c r="H9"/>
  <c r="H10" s="1"/>
  <c r="I9"/>
  <c r="I10" s="1"/>
  <c r="J9"/>
  <c r="J10" s="1"/>
  <c r="K9"/>
  <c r="K10" s="1"/>
  <c r="L9"/>
  <c r="L10" s="1"/>
  <c r="M9"/>
  <c r="M10" s="1"/>
  <c r="N9"/>
  <c r="N10" s="1"/>
  <c r="O9"/>
  <c r="O10" s="1"/>
  <c r="P9"/>
  <c r="P10" s="1"/>
  <c r="Q9"/>
  <c r="Q10" s="1"/>
  <c r="R9"/>
  <c r="R10" s="1"/>
  <c r="G9"/>
  <c r="G10" s="1"/>
  <c r="D3"/>
  <c r="D4" s="1"/>
  <c r="E3"/>
  <c r="E4" s="1"/>
  <c r="F3"/>
  <c r="F4" s="1"/>
  <c r="G3"/>
  <c r="G4" s="1"/>
  <c r="H3"/>
  <c r="H4" s="1"/>
  <c r="I3"/>
  <c r="I4" s="1"/>
  <c r="J3"/>
  <c r="J4" s="1"/>
  <c r="Q3"/>
  <c r="Q4" s="1"/>
  <c r="R3"/>
  <c r="R4" s="1"/>
  <c r="C3"/>
  <c r="C4" s="1"/>
  <c r="D7"/>
  <c r="F7"/>
  <c r="G7"/>
  <c r="H7"/>
  <c r="I7"/>
  <c r="J7"/>
  <c r="K7"/>
  <c r="L7"/>
  <c r="M7"/>
  <c r="N7"/>
  <c r="O7"/>
  <c r="P7"/>
  <c r="Q7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<sst xmlns="http://schemas.openxmlformats.org/spreadsheetml/2006/main" count="64" uniqueCount="17">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</sst>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0"/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Data!$D$1:$AO$1</c:f>
              <c:numCache>
                <c:formatCode>mmm\-yy</c:formatCode>
                <c:ptCount val="38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</c:numCache>
            </c:numRef>
          </c:cat>
          <c:val>
            <c:numRef>
              <c:f>Data!$D$8:$AO$8</c:f>
              <c:numCache>
                <c:formatCode>General</c:formatCode>
                <c:ptCount val="38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</c:numCache>
            </c:numRef>
          </c:val>
        </c:ser>
        <c:gapDepth val="135"/>
        <c:shape val="cylinder"/>
        <c:axId val="166007936"/>
        <c:axId val="54264576"/>
        <c:axId val="0"/>
      </c:bar3DChart>
      <c:dateAx>
        <c:axId val="166007936"/>
        <c:scaling>
          <c:orientation val="minMax"/>
        </c:scaling>
        <c:axPos val="b"/>
        <c:numFmt formatCode="mmm\-yy" sourceLinked="1"/>
        <c:majorTickMark val="none"/>
        <c:tickLblPos val="nextTo"/>
        <c:crossAx val="54264576"/>
        <c:crosses val="autoZero"/>
        <c:auto val="1"/>
        <c:lblOffset val="100"/>
      </c:dateAx>
      <c:valAx>
        <c:axId val="5426457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6007936"/>
        <c:crosses val="autoZero"/>
        <c:crossBetween val="between"/>
      </c:valAx>
    </c:plotArea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4"/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</c:title>
    <c:view3D>
      <c:perspective val="30"/>
    </c:view3D>
    <c:plotArea>
      <c:layout/>
      <c:bar3DChart>
        <c:barDir val="col"/>
        <c:grouping val="stacked"/>
        <c:ser>
          <c:idx val="0"/>
          <c:order val="0"/>
          <c:cat>
            <c:numRef>
              <c:f>Data!$B$1:$AO$1</c:f>
              <c:numCache>
                <c:formatCode>mmm\-yy</c:formatCode>
                <c:ptCount val="4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</c:numCache>
            </c:numRef>
          </c:cat>
          <c:val>
            <c:numRef>
              <c:f>Data!$B$2:$AO$2</c:f>
              <c:numCache>
                <c:formatCode>General</c:formatCode>
                <c:ptCount val="40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</c:numCache>
            </c:numRef>
          </c:val>
        </c:ser>
        <c:shape val="box"/>
        <c:axId val="54307072"/>
        <c:axId val="54321152"/>
        <c:axId val="0"/>
      </c:bar3DChart>
      <c:dateAx>
        <c:axId val="54307072"/>
        <c:scaling>
          <c:orientation val="minMax"/>
        </c:scaling>
        <c:axPos val="b"/>
        <c:numFmt formatCode="mmm\-yy" sourceLinked="1"/>
        <c:maj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54321152"/>
        <c:crosses val="autoZero"/>
        <c:auto val="1"/>
        <c:lblOffset val="100"/>
      </c:dateAx>
      <c:valAx>
        <c:axId val="54321152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54307072"/>
        <c:crosses val="autoZero"/>
        <c:crossBetween val="between"/>
      </c:valAx>
    </c:plotArea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6"/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marker>
            <c:symbol val="none"/>
          </c:marker>
          <c:cat>
            <c:numRef>
              <c:f>Data!$B$1:$AO$1</c:f>
              <c:numCache>
                <c:formatCode>mmm\-yy</c:formatCode>
                <c:ptCount val="4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</c:numCache>
            </c:numRef>
          </c:cat>
          <c:val>
            <c:numRef>
              <c:f>Data!$B$5:$AO$5</c:f>
              <c:numCache>
                <c:formatCode>General</c:formatCode>
                <c:ptCount val="40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</c:numCache>
            </c:numRef>
          </c:val>
        </c:ser>
        <c:marker val="1"/>
        <c:axId val="54394240"/>
        <c:axId val="162231424"/>
      </c:lineChart>
      <c:dateAx>
        <c:axId val="54394240"/>
        <c:scaling>
          <c:orientation val="minMax"/>
        </c:scaling>
        <c:axPos val="b"/>
        <c:numFmt formatCode="mmm\-yy" sourceLinked="1"/>
        <c:majorTickMark val="none"/>
        <c:tickLblPos val="nextTo"/>
        <c:crossAx val="162231424"/>
        <c:crosses val="autoZero"/>
        <c:auto val="1"/>
        <c:lblOffset val="100"/>
      </c:dateAx>
      <c:valAx>
        <c:axId val="16223142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54394240"/>
        <c:crosses val="autoZero"/>
        <c:crossBetween val="between"/>
      </c:valAx>
    </c:plotArea>
    <c:plotVisOnly val="1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40"/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cat>
            <c:numRef>
              <c:f>Data!$B$1:$AO$1</c:f>
              <c:numCache>
                <c:formatCode>mmm\-yy</c:formatCode>
                <c:ptCount val="4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</c:numCache>
            </c:numRef>
          </c:cat>
          <c:val>
            <c:numRef>
              <c:f>Data!$B$6:$AO$6</c:f>
              <c:numCache>
                <c:formatCode>General</c:formatCode>
                <c:ptCount val="40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</c:numCache>
            </c:numRef>
          </c:val>
        </c:ser>
        <c:shape val="box"/>
        <c:axId val="164311040"/>
        <c:axId val="164312576"/>
        <c:axId val="0"/>
      </c:bar3DChart>
      <c:dateAx>
        <c:axId val="164311040"/>
        <c:scaling>
          <c:orientation val="minMax"/>
        </c:scaling>
        <c:axPos val="b"/>
        <c:numFmt formatCode="mmm\-yy" sourceLinked="1"/>
        <c:majorTickMark val="none"/>
        <c:tickLblPos val="nextTo"/>
        <c:crossAx val="164312576"/>
        <c:crosses val="autoZero"/>
        <c:auto val="1"/>
        <c:lblOffset val="100"/>
      </c:dateAx>
      <c:valAx>
        <c:axId val="16431257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4311040"/>
        <c:crosses val="autoZero"/>
        <c:crossBetween val="between"/>
      </c:valAx>
    </c:plotArea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5.1986652141272835E-2"/>
          <c:y val="8.490746510736083E-2"/>
          <c:w val="0.91530721807793236"/>
          <c:h val="0.8184920112607238"/>
        </c:manualLayout>
      </c:layout>
      <c:lineChart>
        <c:grouping val="standard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Data!$B$1:$AO$1</c:f>
              <c:numCache>
                <c:formatCode>mmm\-yy</c:formatCode>
                <c:ptCount val="4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</c:numCache>
            </c:numRef>
          </c:cat>
          <c:val>
            <c:numRef>
              <c:f>Data!$B$2:$AO$2</c:f>
              <c:numCache>
                <c:formatCode>General</c:formatCode>
                <c:ptCount val="40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</c:numCache>
            </c:numRef>
          </c:val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Data!$B$1:$AO$1</c:f>
              <c:numCache>
                <c:formatCode>mmm\-yy</c:formatCode>
                <c:ptCount val="4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</c:numCache>
            </c:numRef>
          </c:cat>
          <c:val>
            <c:numRef>
              <c:f>Data!$B$8:$AO$8</c:f>
              <c:numCache>
                <c:formatCode>General</c:formatCode>
                <c:ptCount val="40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</c:numCache>
            </c:numRef>
          </c:val>
        </c:ser>
        <c:marker val="1"/>
        <c:axId val="164391552"/>
        <c:axId val="164393344"/>
      </c:lineChart>
      <c:dateAx>
        <c:axId val="164391552"/>
        <c:scaling>
          <c:orientation val="minMax"/>
        </c:scaling>
        <c:axPos val="b"/>
        <c:numFmt formatCode="mmm\-yy" sourceLinked="1"/>
        <c:majorTickMark val="none"/>
        <c:tickLblPos val="nextTo"/>
        <c:crossAx val="164393344"/>
        <c:crosses val="autoZero"/>
        <c:auto val="1"/>
        <c:lblOffset val="100"/>
      </c:dateAx>
      <c:valAx>
        <c:axId val="16439334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64391552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txPr>
        <a:bodyPr/>
        <a:lstStyle/>
        <a:p>
          <a:pPr>
            <a:defRPr sz="1200"/>
          </a:pPr>
          <a:endParaRPr lang="en-US"/>
        </a:p>
      </c:txPr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8"/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Data!$B$1:$AO$1</c:f>
              <c:numCache>
                <c:formatCode>mmm\-yy</c:formatCode>
                <c:ptCount val="4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</c:numCache>
            </c:numRef>
          </c:cat>
          <c:val>
            <c:numRef>
              <c:f>Data!$B$14:$AO$14</c:f>
              <c:numCache>
                <c:formatCode>0%</c:formatCode>
                <c:ptCount val="40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</c:numCache>
            </c:numRef>
          </c:val>
        </c:ser>
        <c:marker val="1"/>
        <c:axId val="164420608"/>
        <c:axId val="164430592"/>
      </c:lineChart>
      <c:dateAx>
        <c:axId val="164420608"/>
        <c:scaling>
          <c:orientation val="minMax"/>
        </c:scaling>
        <c:axPos val="b"/>
        <c:numFmt formatCode="mmm\-yy" sourceLinked="1"/>
        <c:tickLblPos val="nextTo"/>
        <c:crossAx val="164430592"/>
        <c:crosses val="autoZero"/>
        <c:auto val="1"/>
        <c:lblOffset val="100"/>
      </c:dateAx>
      <c:valAx>
        <c:axId val="164430592"/>
        <c:scaling>
          <c:orientation val="minMax"/>
          <c:min val="0.1"/>
        </c:scaling>
        <c:axPos val="l"/>
        <c:majorGridlines/>
        <c:numFmt formatCode="0%" sourceLinked="1"/>
        <c:tickLblPos val="nextTo"/>
        <c:crossAx val="164420608"/>
        <c:crosses val="autoZero"/>
        <c:crossBetween val="between"/>
      </c:valAx>
    </c:plotArea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ser>
          <c:idx val="0"/>
          <c:order val="0"/>
          <c:marker>
            <c:symbol val="none"/>
          </c:marker>
          <c:cat>
            <c:numRef>
              <c:f>Data!$B$1:$AO$1</c:f>
              <c:numCache>
                <c:formatCode>mmm\-yy</c:formatCode>
                <c:ptCount val="4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</c:numCache>
            </c:numRef>
          </c:cat>
          <c:val>
            <c:numRef>
              <c:f>Data!$B$16:$AO$16</c:f>
              <c:numCache>
                <c:formatCode>0.0%</c:formatCode>
                <c:ptCount val="40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</c:numCache>
            </c:numRef>
          </c:val>
        </c:ser>
        <c:marker val="1"/>
        <c:axId val="165290368"/>
        <c:axId val="165291904"/>
      </c:lineChart>
      <c:dateAx>
        <c:axId val="165290368"/>
        <c:scaling>
          <c:orientation val="minMax"/>
        </c:scaling>
        <c:axPos val="b"/>
        <c:numFmt formatCode="mmm\-yy" sourceLinked="1"/>
        <c:tickLblPos val="nextTo"/>
        <c:crossAx val="165291904"/>
        <c:crosses val="autoZero"/>
        <c:auto val="1"/>
        <c:lblOffset val="100"/>
      </c:dateAx>
      <c:valAx>
        <c:axId val="165291904"/>
        <c:scaling>
          <c:orientation val="minMax"/>
          <c:min val="0.4"/>
        </c:scaling>
        <c:axPos val="l"/>
        <c:majorGridlines/>
        <c:numFmt formatCode="0.0%" sourceLinked="1"/>
        <c:tickLblPos val="nextTo"/>
        <c:crossAx val="16529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633"/>
          <c:w val="0.11005280502029265"/>
          <c:h val="0.17371685842603643"/>
        </c:manualLayout>
      </c:layout>
    </c:legend>
    <c:plotVisOnly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Data!$B$1:$AO$1</c:f>
              <c:numCache>
                <c:formatCode>mmm\-yy</c:formatCode>
                <c:ptCount val="4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</c:numCache>
            </c:numRef>
          </c:cat>
          <c:val>
            <c:numRef>
              <c:f>Data!$B$17:$AO$17</c:f>
              <c:numCache>
                <c:formatCode>0.0</c:formatCode>
                <c:ptCount val="40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</c:numCache>
            </c:numRef>
          </c:val>
        </c:ser>
        <c:marker val="1"/>
        <c:axId val="165341056"/>
        <c:axId val="165342592"/>
      </c:lineChart>
      <c:dateAx>
        <c:axId val="165341056"/>
        <c:scaling>
          <c:orientation val="minMax"/>
        </c:scaling>
        <c:axPos val="b"/>
        <c:numFmt formatCode="mmm\-yy" sourceLinked="1"/>
        <c:tickLblPos val="nextTo"/>
        <c:crossAx val="165342592"/>
        <c:crosses val="autoZero"/>
        <c:auto val="1"/>
        <c:lblOffset val="100"/>
      </c:dateAx>
      <c:valAx>
        <c:axId val="165342592"/>
        <c:scaling>
          <c:orientation val="minMax"/>
        </c:scaling>
        <c:axPos val="l"/>
        <c:majorGridlines/>
        <c:numFmt formatCode="0.0" sourceLinked="1"/>
        <c:tickLblPos val="nextTo"/>
        <c:crossAx val="165341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623"/>
          <c:y val="0.48273800216865431"/>
          <c:w val="0.11018456971966505"/>
          <c:h val="0.10914028624709712"/>
        </c:manualLayout>
      </c:layout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4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tabSelected="1" zoomScale="8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8956" cy="629373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34017" y="-34018"/>
    <xdr:ext cx="8674554" cy="62933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5"/>
  <sheetViews>
    <sheetView zoomScale="70" zoomScaleNormal="70" workbookViewId="0">
      <pane xSplit="1" ySplit="1" topLeftCell="S2" activePane="bottomRight" state="frozen"/>
      <selection pane="topRight" activeCell="B1" sqref="B1"/>
      <selection pane="bottomLeft" activeCell="A2" sqref="A2"/>
      <selection pane="bottomRight" activeCell="Z20" sqref="Z20"/>
    </sheetView>
  </sheetViews>
  <sheetFormatPr defaultRowHeight="17.25"/>
  <cols>
    <col min="1" max="1" width="19.5703125" style="26" customWidth="1"/>
    <col min="2" max="2" width="9.42578125" bestFit="1" customWidth="1"/>
    <col min="3" max="3" width="11.85546875" bestFit="1" customWidth="1"/>
    <col min="4" max="4" width="9.42578125" bestFit="1" customWidth="1"/>
    <col min="5" max="5" width="9.5703125" bestFit="1" customWidth="1"/>
    <col min="6" max="8" width="9.42578125" bestFit="1" customWidth="1"/>
    <col min="9" max="9" width="9.7109375" bestFit="1" customWidth="1"/>
    <col min="10" max="10" width="9.42578125" bestFit="1" customWidth="1"/>
    <col min="11" max="11" width="10" bestFit="1" customWidth="1"/>
    <col min="12" max="16" width="9.42578125" bestFit="1" customWidth="1"/>
    <col min="17" max="17" width="9.5703125" bestFit="1" customWidth="1"/>
    <col min="18" max="20" width="9.425781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30" width="9.28515625" bestFit="1" customWidth="1"/>
  </cols>
  <sheetData>
    <row r="1" spans="1:41" s="3" customFormat="1" ht="27" customHeight="1" thickBot="1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</row>
    <row r="2" spans="1:41" ht="18" thickBot="1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</row>
    <row r="3" spans="1:41" s="4" customFormat="1" ht="35.25" thickBot="1">
      <c r="A3" s="21" t="s">
        <v>1</v>
      </c>
      <c r="B3" s="11" t="s">
        <v>9</v>
      </c>
      <c r="C3" s="11">
        <f>C2-B2</f>
        <v>3</v>
      </c>
      <c r="D3" s="11">
        <f t="shared" ref="D3:AO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</row>
    <row r="4" spans="1:41" s="1" customFormat="1" ht="18" thickBot="1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O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</row>
    <row r="5" spans="1:41" ht="35.25" thickBot="1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</row>
    <row r="6" spans="1:41" ht="35.25" thickBot="1">
      <c r="A6" s="20" t="s">
        <v>4</v>
      </c>
      <c r="B6" s="7"/>
      <c r="C6" s="7">
        <f>C5-B5</f>
        <v>1628</v>
      </c>
      <c r="D6" s="7">
        <f t="shared" ref="D6:AO6" si="15">D5-C5</f>
        <v>1969</v>
      </c>
      <c r="E6" s="7">
        <f t="shared" si="15"/>
        <v>1779</v>
      </c>
      <c r="F6" s="7">
        <f t="shared" si="15"/>
        <v>1599</v>
      </c>
      <c r="G6" s="7">
        <f t="shared" si="15"/>
        <v>1896</v>
      </c>
      <c r="H6" s="7">
        <f t="shared" si="15"/>
        <v>2016</v>
      </c>
      <c r="I6" s="7">
        <f t="shared" si="15"/>
        <v>2530</v>
      </c>
      <c r="J6" s="7">
        <f t="shared" si="15"/>
        <v>2893</v>
      </c>
      <c r="K6" s="7">
        <f t="shared" si="15"/>
        <v>3723</v>
      </c>
      <c r="L6" s="7">
        <f t="shared" si="15"/>
        <v>3969</v>
      </c>
      <c r="M6" s="7">
        <f t="shared" si="15"/>
        <v>4478</v>
      </c>
      <c r="N6" s="7">
        <f t="shared" si="15"/>
        <v>3628</v>
      </c>
      <c r="O6" s="7">
        <f t="shared" si="15"/>
        <v>4021</v>
      </c>
      <c r="P6" s="7">
        <f t="shared" si="15"/>
        <v>4482</v>
      </c>
      <c r="Q6" s="7">
        <f t="shared" si="15"/>
        <v>4586</v>
      </c>
      <c r="R6" s="7">
        <f t="shared" si="15"/>
        <v>3682</v>
      </c>
      <c r="S6" s="7">
        <f t="shared" si="15"/>
        <v>4154</v>
      </c>
      <c r="T6" s="7">
        <f t="shared" si="15"/>
        <v>4175</v>
      </c>
      <c r="U6" s="7">
        <f t="shared" si="15"/>
        <v>6323</v>
      </c>
      <c r="V6" s="7">
        <f t="shared" si="15"/>
        <v>7144</v>
      </c>
      <c r="W6" s="7">
        <f t="shared" si="15"/>
        <v>7033</v>
      </c>
      <c r="X6" s="7">
        <f t="shared" si="15"/>
        <v>6910</v>
      </c>
      <c r="Y6" s="7">
        <f t="shared" si="15"/>
        <v>8624</v>
      </c>
      <c r="Z6" s="7">
        <f t="shared" si="15"/>
        <v>9149</v>
      </c>
      <c r="AA6" s="7">
        <f t="shared" si="15"/>
        <v>10789</v>
      </c>
      <c r="AB6" s="7">
        <f t="shared" si="15"/>
        <v>15399</v>
      </c>
      <c r="AC6" s="7">
        <f t="shared" si="15"/>
        <v>15192</v>
      </c>
      <c r="AD6" s="7">
        <f t="shared" si="15"/>
        <v>12575</v>
      </c>
      <c r="AE6" s="7">
        <f t="shared" si="15"/>
        <v>7806</v>
      </c>
      <c r="AF6" s="7">
        <f t="shared" si="15"/>
        <v>17061</v>
      </c>
      <c r="AG6" s="7">
        <f t="shared" si="15"/>
        <v>18692</v>
      </c>
      <c r="AH6" s="7">
        <f t="shared" si="15"/>
        <v>16865</v>
      </c>
      <c r="AI6" s="7">
        <f t="shared" si="15"/>
        <v>15846</v>
      </c>
      <c r="AJ6" s="7">
        <f t="shared" si="15"/>
        <v>23114</v>
      </c>
      <c r="AK6" s="7">
        <f t="shared" si="15"/>
        <v>16942</v>
      </c>
      <c r="AL6" s="7">
        <f t="shared" si="15"/>
        <v>24484</v>
      </c>
      <c r="AM6" s="7">
        <f t="shared" si="15"/>
        <v>36917</v>
      </c>
      <c r="AN6" s="7">
        <f t="shared" si="15"/>
        <v>39343</v>
      </c>
      <c r="AO6" s="7">
        <f t="shared" si="15"/>
        <v>43974</v>
      </c>
    </row>
    <row r="7" spans="1:41" s="1" customFormat="1" ht="18" thickBot="1">
      <c r="A7" s="22" t="s">
        <v>2</v>
      </c>
      <c r="B7" s="12" t="s">
        <v>9</v>
      </c>
      <c r="C7" s="12">
        <f>C6/B5</f>
        <v>0.32372241002187313</v>
      </c>
      <c r="D7" s="12">
        <f t="shared" ref="D7:AO7" si="16">D6/C5</f>
        <v>0.29577887937509389</v>
      </c>
      <c r="E7" s="12">
        <f t="shared" si="16"/>
        <v>0.20623695803385114</v>
      </c>
      <c r="F7" s="12">
        <f t="shared" si="16"/>
        <v>0.15367611725132149</v>
      </c>
      <c r="G7" s="12">
        <f t="shared" si="16"/>
        <v>0.15794735088303899</v>
      </c>
      <c r="H7" s="12">
        <f t="shared" si="16"/>
        <v>0.14503597122302159</v>
      </c>
      <c r="I7" s="12">
        <f t="shared" si="16"/>
        <v>0.15895953757225434</v>
      </c>
      <c r="J7" s="12">
        <f t="shared" si="16"/>
        <v>0.15683617044345657</v>
      </c>
      <c r="K7" s="12">
        <f t="shared" si="16"/>
        <v>0.17446928159707578</v>
      </c>
      <c r="L7" s="12">
        <f t="shared" si="16"/>
        <v>0.1583672492219296</v>
      </c>
      <c r="M7" s="12">
        <f t="shared" si="16"/>
        <v>0.15424890634149702</v>
      </c>
      <c r="N7" s="12">
        <f t="shared" si="16"/>
        <v>0.10826942015577905</v>
      </c>
      <c r="O7" s="12">
        <f t="shared" si="16"/>
        <v>0.10827476640547164</v>
      </c>
      <c r="P7" s="12">
        <f t="shared" si="16"/>
        <v>0.10889741969969387</v>
      </c>
      <c r="Q7" s="12">
        <f t="shared" si="16"/>
        <v>0.1004820333041192</v>
      </c>
      <c r="R7" s="12">
        <f t="shared" si="16"/>
        <v>7.330864492493927E-2</v>
      </c>
      <c r="S7" s="12">
        <f t="shared" si="16"/>
        <v>7.7057208577576614E-2</v>
      </c>
      <c r="T7" s="12">
        <f t="shared" si="16"/>
        <v>7.1905893699838103E-2</v>
      </c>
      <c r="U7" s="12">
        <f t="shared" si="16"/>
        <v>0.10159551392258624</v>
      </c>
      <c r="V7" s="12">
        <f t="shared" si="16"/>
        <v>0.10420070011668611</v>
      </c>
      <c r="W7" s="12">
        <f t="shared" si="16"/>
        <v>9.2901299799218004E-2</v>
      </c>
      <c r="X7" s="12">
        <f t="shared" si="16"/>
        <v>8.3517652320001939E-2</v>
      </c>
      <c r="Y7" s="12">
        <f t="shared" si="16"/>
        <v>9.6199538188673356E-2</v>
      </c>
      <c r="Z7" s="12">
        <f t="shared" si="16"/>
        <v>9.3099693704144657E-2</v>
      </c>
      <c r="AA7" s="12">
        <f t="shared" si="16"/>
        <v>0.10043753490970024</v>
      </c>
      <c r="AB7" s="12">
        <f t="shared" si="16"/>
        <v>0.13026926883739817</v>
      </c>
      <c r="AC7" s="12">
        <f t="shared" si="16"/>
        <v>0.11370576612178912</v>
      </c>
      <c r="AD7" s="12">
        <f t="shared" si="16"/>
        <v>8.4509408602150532E-2</v>
      </c>
      <c r="AE7" s="12">
        <f t="shared" si="16"/>
        <v>4.8371804802478699E-2</v>
      </c>
      <c r="AF7" s="12">
        <f t="shared" si="16"/>
        <v>0.10084465749700025</v>
      </c>
      <c r="AG7" s="12">
        <f t="shared" si="16"/>
        <v>0.10036404248236167</v>
      </c>
      <c r="AH7" s="12">
        <f t="shared" si="16"/>
        <v>8.2294787590150978E-2</v>
      </c>
      <c r="AI7" s="12">
        <f t="shared" si="16"/>
        <v>7.1443063314081665E-2</v>
      </c>
      <c r="AJ7" s="12">
        <f t="shared" si="16"/>
        <v>9.7262723810726079E-2</v>
      </c>
      <c r="AK7" s="12">
        <f t="shared" si="16"/>
        <v>6.4971870577813229E-2</v>
      </c>
      <c r="AL7" s="12">
        <f t="shared" si="16"/>
        <v>8.8166769295033143E-2</v>
      </c>
      <c r="AM7" s="12">
        <f t="shared" si="16"/>
        <v>0.12216688452438076</v>
      </c>
      <c r="AN7" s="12">
        <f t="shared" si="16"/>
        <v>0.11602113818261173</v>
      </c>
      <c r="AO7" s="12">
        <f t="shared" si="16"/>
        <v>0.11619654110901188</v>
      </c>
    </row>
    <row r="8" spans="1:41" ht="35.25" thickBot="1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</row>
    <row r="9" spans="1:41" ht="35.25" thickBot="1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O9" si="17">H8-G8</f>
        <v>13</v>
      </c>
      <c r="I9" s="8">
        <f t="shared" si="17"/>
        <v>5</v>
      </c>
      <c r="J9" s="8">
        <f t="shared" si="17"/>
        <v>35</v>
      </c>
      <c r="K9" s="8">
        <f t="shared" si="17"/>
        <v>30</v>
      </c>
      <c r="L9" s="8">
        <f t="shared" si="17"/>
        <v>0</v>
      </c>
      <c r="M9" s="8">
        <f t="shared" si="17"/>
        <v>5</v>
      </c>
      <c r="N9" s="8">
        <f t="shared" si="17"/>
        <v>7</v>
      </c>
      <c r="O9" s="8">
        <f t="shared" si="17"/>
        <v>10</v>
      </c>
      <c r="P9" s="8">
        <f t="shared" si="17"/>
        <v>7</v>
      </c>
      <c r="Q9" s="8">
        <f t="shared" si="17"/>
        <v>14</v>
      </c>
      <c r="R9" s="8">
        <f t="shared" si="17"/>
        <v>23</v>
      </c>
      <c r="S9" s="8">
        <f t="shared" si="17"/>
        <v>34</v>
      </c>
      <c r="T9" s="8">
        <f t="shared" si="17"/>
        <v>24</v>
      </c>
      <c r="U9" s="8">
        <f t="shared" si="17"/>
        <v>36</v>
      </c>
      <c r="V9" s="8">
        <f t="shared" si="17"/>
        <v>44</v>
      </c>
      <c r="W9" s="8">
        <f t="shared" si="17"/>
        <v>61</v>
      </c>
      <c r="X9" s="8">
        <f t="shared" si="17"/>
        <v>86</v>
      </c>
      <c r="Y9" s="8">
        <f t="shared" si="17"/>
        <v>73</v>
      </c>
      <c r="Z9" s="8">
        <f t="shared" si="17"/>
        <v>61</v>
      </c>
      <c r="AA9" s="8">
        <f t="shared" si="17"/>
        <v>53</v>
      </c>
      <c r="AB9" s="8">
        <f t="shared" si="17"/>
        <v>26</v>
      </c>
      <c r="AC9" s="8">
        <f t="shared" si="17"/>
        <v>58</v>
      </c>
      <c r="AD9" s="8">
        <f t="shared" si="17"/>
        <v>33</v>
      </c>
      <c r="AE9" s="8">
        <f t="shared" si="17"/>
        <v>37</v>
      </c>
      <c r="AF9" s="8">
        <f t="shared" si="17"/>
        <v>32</v>
      </c>
      <c r="AG9" s="8">
        <f t="shared" si="17"/>
        <v>14</v>
      </c>
      <c r="AH9" s="8">
        <f t="shared" si="17"/>
        <v>32</v>
      </c>
      <c r="AI9" s="8">
        <f t="shared" si="17"/>
        <v>61</v>
      </c>
      <c r="AJ9" s="8">
        <f t="shared" si="17"/>
        <v>40</v>
      </c>
      <c r="AK9" s="8">
        <f t="shared" si="17"/>
        <v>18</v>
      </c>
      <c r="AL9" s="8">
        <f t="shared" si="17"/>
        <v>24</v>
      </c>
      <c r="AM9" s="8">
        <f t="shared" si="17"/>
        <v>21</v>
      </c>
      <c r="AN9" s="8">
        <f t="shared" si="17"/>
        <v>7</v>
      </c>
      <c r="AO9" s="8">
        <f t="shared" si="17"/>
        <v>20</v>
      </c>
    </row>
    <row r="10" spans="1:41" s="1" customFormat="1" ht="18" thickBot="1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O10" si="18">H9/G8</f>
        <v>9.0909090909090912E-2</v>
      </c>
      <c r="I10" s="13">
        <f t="shared" si="18"/>
        <v>3.2051282051282048E-2</v>
      </c>
      <c r="J10" s="13">
        <f t="shared" si="18"/>
        <v>0.21739130434782608</v>
      </c>
      <c r="K10" s="13">
        <f t="shared" si="18"/>
        <v>0.15306122448979592</v>
      </c>
      <c r="L10" s="13">
        <f t="shared" si="18"/>
        <v>0</v>
      </c>
      <c r="M10" s="13">
        <f t="shared" si="18"/>
        <v>2.2123893805309734E-2</v>
      </c>
      <c r="N10" s="13">
        <f t="shared" si="18"/>
        <v>3.0303030303030304E-2</v>
      </c>
      <c r="O10" s="13">
        <f t="shared" si="18"/>
        <v>4.2016806722689079E-2</v>
      </c>
      <c r="P10" s="13">
        <f t="shared" ref="P10" si="19">P9/O8</f>
        <v>2.8225806451612902E-2</v>
      </c>
      <c r="Q10" s="13">
        <f t="shared" ref="Q10" si="20">Q9/P8</f>
        <v>5.4901960784313725E-2</v>
      </c>
      <c r="R10" s="13">
        <f t="shared" si="18"/>
        <v>8.5501858736059477E-2</v>
      </c>
      <c r="S10" s="13">
        <f t="shared" si="18"/>
        <v>0.11643835616438356</v>
      </c>
      <c r="T10" s="13">
        <f t="shared" si="18"/>
        <v>7.3619631901840496E-2</v>
      </c>
      <c r="U10" s="13">
        <f t="shared" si="18"/>
        <v>0.10285714285714286</v>
      </c>
      <c r="V10" s="13">
        <f t="shared" si="18"/>
        <v>0.11398963730569948</v>
      </c>
      <c r="W10" s="13">
        <f t="shared" si="18"/>
        <v>0.14186046511627906</v>
      </c>
      <c r="X10" s="13">
        <f t="shared" si="18"/>
        <v>0.17515274949083504</v>
      </c>
      <c r="Y10" s="13">
        <f t="shared" si="18"/>
        <v>0.1265164644714038</v>
      </c>
      <c r="Z10" s="13">
        <f t="shared" si="18"/>
        <v>9.3846153846153843E-2</v>
      </c>
      <c r="AA10" s="13">
        <f t="shared" si="18"/>
        <v>7.4542897327707455E-2</v>
      </c>
      <c r="AB10" s="13">
        <f t="shared" si="18"/>
        <v>3.4031413612565446E-2</v>
      </c>
      <c r="AC10" s="13">
        <f t="shared" si="18"/>
        <v>7.3417721518987344E-2</v>
      </c>
      <c r="AD10" s="13">
        <f t="shared" si="18"/>
        <v>3.891509433962264E-2</v>
      </c>
      <c r="AE10" s="13">
        <f t="shared" si="18"/>
        <v>4.1997729852440407E-2</v>
      </c>
      <c r="AF10" s="13">
        <f t="shared" si="18"/>
        <v>3.4858387799564274E-2</v>
      </c>
      <c r="AG10" s="13">
        <f t="shared" si="18"/>
        <v>1.4736842105263158E-2</v>
      </c>
      <c r="AH10" s="13">
        <f t="shared" si="18"/>
        <v>3.3195020746887967E-2</v>
      </c>
      <c r="AI10" s="13">
        <f t="shared" si="18"/>
        <v>6.1244979919678713E-2</v>
      </c>
      <c r="AJ10" s="13">
        <f t="shared" si="18"/>
        <v>3.7842951750236518E-2</v>
      </c>
      <c r="AK10" s="13">
        <f t="shared" si="18"/>
        <v>1.6408386508659983E-2</v>
      </c>
      <c r="AL10" s="13">
        <f t="shared" si="18"/>
        <v>2.1524663677130046E-2</v>
      </c>
      <c r="AM10" s="13">
        <f t="shared" si="18"/>
        <v>1.8437225636523266E-2</v>
      </c>
      <c r="AN10" s="13">
        <f t="shared" si="18"/>
        <v>6.0344827586206896E-3</v>
      </c>
      <c r="AO10" s="13">
        <f t="shared" si="18"/>
        <v>1.713796058269066E-2</v>
      </c>
    </row>
    <row r="11" spans="1:41" s="5" customFormat="1" ht="35.25" thickBot="1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</row>
    <row r="12" spans="1:41" s="5" customFormat="1" ht="35.25" thickBot="1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1">T11-S11</f>
        <v>12</v>
      </c>
      <c r="U12" s="15">
        <f t="shared" si="21"/>
        <v>4</v>
      </c>
      <c r="V12" s="15">
        <f t="shared" si="21"/>
        <v>6</v>
      </c>
      <c r="W12" s="15">
        <f t="shared" si="21"/>
        <v>7</v>
      </c>
      <c r="X12" s="15">
        <f t="shared" si="21"/>
        <v>9</v>
      </c>
      <c r="Y12" s="15">
        <f t="shared" si="21"/>
        <v>2</v>
      </c>
      <c r="Z12" s="15">
        <f t="shared" si="21"/>
        <v>2</v>
      </c>
      <c r="AA12" s="15">
        <f t="shared" si="21"/>
        <v>4</v>
      </c>
      <c r="AB12" s="15">
        <f t="shared" si="21"/>
        <v>2</v>
      </c>
      <c r="AC12" s="15">
        <f t="shared" si="21"/>
        <v>31</v>
      </c>
      <c r="AD12" s="15">
        <f t="shared" si="21"/>
        <v>1</v>
      </c>
      <c r="AE12" s="15">
        <f t="shared" si="21"/>
        <v>2</v>
      </c>
      <c r="AF12" s="15">
        <f t="shared" si="21"/>
        <v>2</v>
      </c>
      <c r="AG12" s="15">
        <f>AG11-AF11</f>
        <v>0</v>
      </c>
      <c r="AH12" s="15">
        <f t="shared" si="21"/>
        <v>0</v>
      </c>
      <c r="AI12" s="15">
        <f>AI11-AH11</f>
        <v>0</v>
      </c>
      <c r="AJ12" s="15">
        <f>AJ11-AI11</f>
        <v>0</v>
      </c>
      <c r="AK12" s="15">
        <f t="shared" ref="AK12" si="22">AK11-AJ11</f>
        <v>0</v>
      </c>
      <c r="AL12" s="15">
        <f>AL11-AK11</f>
        <v>3</v>
      </c>
      <c r="AM12" s="15">
        <f>AM11-AL11</f>
        <v>3</v>
      </c>
      <c r="AN12" s="15">
        <f t="shared" ref="AN12" si="23">AN11-AM11</f>
        <v>-2</v>
      </c>
      <c r="AO12" s="15">
        <f>AO11-AN11</f>
        <v>0</v>
      </c>
    </row>
    <row r="13" spans="1:41" ht="18" thickBot="1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</row>
    <row r="14" spans="1:41" s="1" customFormat="1" ht="35.25" thickBot="1">
      <c r="A14" s="24" t="s">
        <v>13</v>
      </c>
      <c r="B14" s="13">
        <f>B13/B2</f>
        <v>0.39333333333333331</v>
      </c>
      <c r="C14" s="13">
        <f t="shared" ref="C14:AO14" si="24">C13/C2</f>
        <v>0.39215686274509803</v>
      </c>
      <c r="D14" s="13">
        <f t="shared" si="24"/>
        <v>0.38650306748466257</v>
      </c>
      <c r="E14" s="13">
        <f t="shared" si="24"/>
        <v>0.31840796019900497</v>
      </c>
      <c r="F14" s="13">
        <f t="shared" si="24"/>
        <v>0.34562211981566821</v>
      </c>
      <c r="G14" s="13">
        <f t="shared" si="24"/>
        <v>0.32608695652173914</v>
      </c>
      <c r="H14" s="13">
        <f t="shared" si="24"/>
        <v>0.31666666666666665</v>
      </c>
      <c r="I14" s="13">
        <f t="shared" si="24"/>
        <v>0.30555555555555558</v>
      </c>
      <c r="J14" s="13">
        <f t="shared" si="24"/>
        <v>0.32752613240418116</v>
      </c>
      <c r="K14" s="13">
        <f t="shared" si="24"/>
        <v>0.42900302114803623</v>
      </c>
      <c r="L14" s="13">
        <f t="shared" si="24"/>
        <v>0.45722713864306785</v>
      </c>
      <c r="M14" s="13">
        <f t="shared" si="24"/>
        <v>0.45402298850574713</v>
      </c>
      <c r="N14" s="13">
        <f t="shared" si="24"/>
        <v>0.44383561643835617</v>
      </c>
      <c r="O14" s="13">
        <f t="shared" si="24"/>
        <v>0.44210526315789472</v>
      </c>
      <c r="P14" s="13">
        <f t="shared" si="24"/>
        <v>0.4357682619647355</v>
      </c>
      <c r="Q14" s="13">
        <f t="shared" si="24"/>
        <v>0.4</v>
      </c>
      <c r="R14" s="13">
        <f t="shared" si="24"/>
        <v>0.43458980044345896</v>
      </c>
      <c r="S14" s="13">
        <f t="shared" si="24"/>
        <v>0.43434343434343436</v>
      </c>
      <c r="T14" s="13">
        <f t="shared" si="24"/>
        <v>0.35714285714285715</v>
      </c>
      <c r="U14" s="13">
        <f t="shared" si="24"/>
        <v>0.25154004106776179</v>
      </c>
      <c r="V14" s="13">
        <f t="shared" si="24"/>
        <v>0.27881040892193309</v>
      </c>
      <c r="W14" s="13">
        <f t="shared" si="24"/>
        <v>0.23071271124173401</v>
      </c>
      <c r="X14" s="13">
        <f t="shared" si="24"/>
        <v>0.20931758530183728</v>
      </c>
      <c r="Y14" s="13">
        <f t="shared" si="24"/>
        <v>0.21791907514450867</v>
      </c>
      <c r="Z14" s="13">
        <f t="shared" si="24"/>
        <v>0.21727609962904079</v>
      </c>
      <c r="AA14" s="13">
        <f t="shared" si="24"/>
        <v>0.19844179651695693</v>
      </c>
      <c r="AB14" s="13">
        <f t="shared" si="24"/>
        <v>0.18080446037435285</v>
      </c>
      <c r="AC14" s="13">
        <f t="shared" si="24"/>
        <v>0.21139776665383134</v>
      </c>
      <c r="AD14" s="13">
        <f t="shared" si="24"/>
        <v>0.19965337954939341</v>
      </c>
      <c r="AE14" s="13">
        <f t="shared" si="24"/>
        <v>0.20483980913428765</v>
      </c>
      <c r="AF14" s="13">
        <f t="shared" si="24"/>
        <v>0.20194805194805196</v>
      </c>
      <c r="AG14" s="13">
        <f t="shared" si="24"/>
        <v>0.20292156240076215</v>
      </c>
      <c r="AH14" s="13">
        <f t="shared" si="24"/>
        <v>0.20036155468514613</v>
      </c>
      <c r="AI14" s="13">
        <f t="shared" si="24"/>
        <v>0.21119446047316792</v>
      </c>
      <c r="AJ14" s="13">
        <f t="shared" si="24"/>
        <v>0.21554869492001122</v>
      </c>
      <c r="AK14" s="13">
        <f t="shared" si="24"/>
        <v>0.21874133629054615</v>
      </c>
      <c r="AL14" s="13">
        <f t="shared" si="24"/>
        <v>0.21661237785016288</v>
      </c>
      <c r="AM14" s="13">
        <f t="shared" si="24"/>
        <v>0.21671991480298189</v>
      </c>
      <c r="AN14" s="13">
        <f t="shared" si="24"/>
        <v>0.21395106715252474</v>
      </c>
      <c r="AO14" s="13">
        <f t="shared" si="24"/>
        <v>0.21209858103061988</v>
      </c>
    </row>
    <row r="15" spans="1:41" ht="35.25" thickBot="1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</row>
    <row r="16" spans="1:41" ht="52.5" thickBot="1">
      <c r="A16" s="23" t="s">
        <v>14</v>
      </c>
      <c r="B16" s="18">
        <f>B15/B5</f>
        <v>0.73056273613044342</v>
      </c>
      <c r="C16" s="18">
        <f t="shared" ref="C16:AO16" si="25">C15/C5</f>
        <v>0.72359921886735767</v>
      </c>
      <c r="D16" s="18">
        <f t="shared" si="25"/>
        <v>0.71319267331323899</v>
      </c>
      <c r="E16" s="18">
        <f t="shared" si="25"/>
        <v>0.70370014416146087</v>
      </c>
      <c r="F16" s="18">
        <f t="shared" si="25"/>
        <v>0.68760413195601466</v>
      </c>
      <c r="G16" s="18">
        <f t="shared" si="25"/>
        <v>0.66266187050359715</v>
      </c>
      <c r="H16" s="18">
        <f t="shared" si="25"/>
        <v>0.65330485046494091</v>
      </c>
      <c r="I16" s="18">
        <f t="shared" si="25"/>
        <v>0.64192778922259564</v>
      </c>
      <c r="J16" s="18">
        <f t="shared" si="25"/>
        <v>0.63423778058953095</v>
      </c>
      <c r="K16" s="18">
        <f t="shared" si="25"/>
        <v>0.63386800734179238</v>
      </c>
      <c r="L16" s="18">
        <f t="shared" si="25"/>
        <v>0.63738762013020567</v>
      </c>
      <c r="M16" s="18">
        <f t="shared" si="25"/>
        <v>0.63908203766152372</v>
      </c>
      <c r="N16" s="18">
        <f t="shared" si="25"/>
        <v>0.62490238845356383</v>
      </c>
      <c r="O16" s="18">
        <f t="shared" si="25"/>
        <v>0.62221196365226683</v>
      </c>
      <c r="P16" s="18">
        <f t="shared" si="25"/>
        <v>0.61906222611744088</v>
      </c>
      <c r="Q16" s="18">
        <f t="shared" si="25"/>
        <v>0.61523911918130048</v>
      </c>
      <c r="R16" s="18">
        <f t="shared" si="25"/>
        <v>0.61159753654374116</v>
      </c>
      <c r="S16" s="18">
        <f t="shared" si="25"/>
        <v>0.60974475560607622</v>
      </c>
      <c r="T16" s="18">
        <f t="shared" si="25"/>
        <v>0.60304963285505409</v>
      </c>
      <c r="U16" s="18">
        <f t="shared" si="25"/>
        <v>0.59084014002333718</v>
      </c>
      <c r="V16" s="18">
        <f t="shared" si="25"/>
        <v>0.5773406953397443</v>
      </c>
      <c r="W16" s="18">
        <f t="shared" si="25"/>
        <v>0.57033733396183084</v>
      </c>
      <c r="X16" s="18">
        <f t="shared" si="25"/>
        <v>0.56122346536972789</v>
      </c>
      <c r="Y16" s="18">
        <f t="shared" si="25"/>
        <v>0.55101708540668148</v>
      </c>
      <c r="Z16" s="18">
        <f t="shared" si="25"/>
        <v>0.53059020666542545</v>
      </c>
      <c r="AA16" s="18">
        <f t="shared" si="25"/>
        <v>0.51201685150876841</v>
      </c>
      <c r="AB16" s="18">
        <f t="shared" si="25"/>
        <v>0.49081641817855221</v>
      </c>
      <c r="AC16" s="18">
        <f t="shared" si="25"/>
        <v>0.48336693548387094</v>
      </c>
      <c r="AD16" s="18">
        <f t="shared" si="25"/>
        <v>0.47247714949651431</v>
      </c>
      <c r="AE16" s="18">
        <f t="shared" si="25"/>
        <v>0.47025966272808412</v>
      </c>
      <c r="AF16" s="18">
        <f t="shared" si="25"/>
        <v>0.45355505202908042</v>
      </c>
      <c r="AG16" s="18">
        <f t="shared" si="25"/>
        <v>0.43936584461338773</v>
      </c>
      <c r="AH16" s="18">
        <f t="shared" si="25"/>
        <v>0.43702180803339963</v>
      </c>
      <c r="AI16" s="18">
        <f t="shared" si="25"/>
        <v>0.43940331166235352</v>
      </c>
      <c r="AJ16" s="18">
        <f t="shared" si="25"/>
        <v>0.43177800190980942</v>
      </c>
      <c r="AK16" s="18">
        <f t="shared" si="25"/>
        <v>0.42751736579990707</v>
      </c>
      <c r="AL16" s="18">
        <f t="shared" si="25"/>
        <v>0.42457765938084285</v>
      </c>
      <c r="AM16" s="18">
        <f t="shared" si="25"/>
        <v>0.42419390036036353</v>
      </c>
      <c r="AN16" s="18">
        <f t="shared" si="25"/>
        <v>0.42839778567559356</v>
      </c>
      <c r="AO16" s="18">
        <f t="shared" si="25"/>
        <v>0.42885855039664411</v>
      </c>
    </row>
    <row r="17" spans="1:41" s="2" customFormat="1" ht="35.25" thickBot="1">
      <c r="A17" s="25" t="s">
        <v>16</v>
      </c>
      <c r="B17" s="19">
        <f>B5/B2</f>
        <v>33.526666666666664</v>
      </c>
      <c r="C17" s="19">
        <f t="shared" ref="C17:AO17" si="26">C5/C2</f>
        <v>43.509803921568626</v>
      </c>
      <c r="D17" s="19">
        <f t="shared" si="26"/>
        <v>52.920245398773005</v>
      </c>
      <c r="E17" s="19">
        <f t="shared" si="26"/>
        <v>51.766169154228855</v>
      </c>
      <c r="F17" s="19">
        <f t="shared" si="26"/>
        <v>55.317972350230413</v>
      </c>
      <c r="G17" s="19">
        <f t="shared" si="26"/>
        <v>60.434782608695649</v>
      </c>
      <c r="H17" s="19">
        <f t="shared" si="26"/>
        <v>66.316666666666663</v>
      </c>
      <c r="I17" s="19">
        <f t="shared" si="26"/>
        <v>73.198412698412696</v>
      </c>
      <c r="J17" s="19">
        <f t="shared" si="26"/>
        <v>74.351916376306619</v>
      </c>
      <c r="K17" s="19">
        <f t="shared" si="26"/>
        <v>75.716012084592151</v>
      </c>
      <c r="L17" s="19">
        <f t="shared" si="26"/>
        <v>85.637168141592923</v>
      </c>
      <c r="M17" s="19">
        <f t="shared" si="26"/>
        <v>96.290229885057471</v>
      </c>
      <c r="N17" s="19">
        <f t="shared" si="26"/>
        <v>101.74520547945205</v>
      </c>
      <c r="O17" s="19">
        <f t="shared" si="26"/>
        <v>108.31052631578947</v>
      </c>
      <c r="P17" s="19">
        <f t="shared" si="26"/>
        <v>114.96221662468514</v>
      </c>
      <c r="Q17" s="19">
        <f t="shared" si="26"/>
        <v>111.61333333333333</v>
      </c>
      <c r="R17" s="19">
        <f t="shared" si="26"/>
        <v>119.52993348115299</v>
      </c>
      <c r="S17" s="19">
        <f t="shared" si="26"/>
        <v>117.2969696969697</v>
      </c>
      <c r="T17" s="19">
        <f t="shared" si="26"/>
        <v>96.641304347826093</v>
      </c>
      <c r="U17" s="19">
        <f t="shared" si="26"/>
        <v>70.390143737166326</v>
      </c>
      <c r="V17" s="19">
        <f t="shared" si="26"/>
        <v>70.356877323420079</v>
      </c>
      <c r="W17" s="19">
        <f t="shared" si="26"/>
        <v>60.791329904481998</v>
      </c>
      <c r="X17" s="19">
        <f t="shared" si="26"/>
        <v>58.823490813648291</v>
      </c>
      <c r="Y17" s="19">
        <f t="shared" si="26"/>
        <v>56.804046242774568</v>
      </c>
      <c r="Z17" s="19">
        <f t="shared" si="26"/>
        <v>56.926338102808693</v>
      </c>
      <c r="AA17" s="19">
        <f t="shared" si="26"/>
        <v>54.17461044912924</v>
      </c>
      <c r="AB17" s="19">
        <f t="shared" si="26"/>
        <v>53.209080047789726</v>
      </c>
      <c r="AC17" s="19">
        <f t="shared" si="26"/>
        <v>57.296881016557563</v>
      </c>
      <c r="AD17" s="19">
        <f t="shared" si="26"/>
        <v>55.935875216637783</v>
      </c>
      <c r="AE17" s="19">
        <f t="shared" si="26"/>
        <v>57.662235855487388</v>
      </c>
      <c r="AF17" s="19">
        <f t="shared" si="26"/>
        <v>60.468181818181819</v>
      </c>
      <c r="AG17" s="19">
        <f t="shared" si="26"/>
        <v>65.079072721498889</v>
      </c>
      <c r="AH17" s="19">
        <f t="shared" si="26"/>
        <v>66.827056342271774</v>
      </c>
      <c r="AI17" s="19">
        <f t="shared" si="26"/>
        <v>68.564627813040971</v>
      </c>
      <c r="AJ17" s="19">
        <f t="shared" si="26"/>
        <v>73.185237159696882</v>
      </c>
      <c r="AK17" s="19">
        <f t="shared" si="26"/>
        <v>76.989464929304134</v>
      </c>
      <c r="AL17" s="19">
        <f t="shared" si="26"/>
        <v>82.026330076004342</v>
      </c>
      <c r="AM17" s="19">
        <f t="shared" si="26"/>
        <v>90.282747603833869</v>
      </c>
      <c r="AN17" s="19">
        <f t="shared" si="26"/>
        <v>98.502082248828728</v>
      </c>
      <c r="AO17" s="19">
        <f t="shared" si="26"/>
        <v>105.15782922579039</v>
      </c>
    </row>
    <row r="25" spans="1:41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2010-12-03T13:40:44Z</dcterms:modified>
</cp:coreProperties>
</file>