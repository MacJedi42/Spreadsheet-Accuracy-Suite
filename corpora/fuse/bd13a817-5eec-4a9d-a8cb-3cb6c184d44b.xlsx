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drawings/drawing3.xml" ContentType="application/vnd.openxmlformats-officedocument.drawingml.chartsha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2040" yWindow="4356" windowWidth="17016" windowHeight="4968" activeTab="1"/>
  </bookViews>
  <sheets>
    <sheet name="Data" sheetId="1" r:id="rId1"/>
    <sheet name="DB barges vs UL NO barges" sheetId="2" r:id="rId2"/>
  </sheets>
  <calcPr calcId="145621"/>
</workbook>
</file>

<file path=xl/calcChain.xml><?xml version="1.0" encoding="utf-8"?>
<calcChain xmlns="http://schemas.openxmlformats.org/spreadsheetml/2006/main">
  <c r="G449" i="1" l="1"/>
  <c r="H449" i="1"/>
  <c r="I449" i="1"/>
  <c r="J449" i="1"/>
  <c r="K449" i="1"/>
  <c r="L449" i="1"/>
  <c r="E449" i="1"/>
  <c r="D449" i="1"/>
  <c r="C449" i="1"/>
  <c r="B449" i="1"/>
  <c r="A449" i="1"/>
  <c r="G448" i="1" l="1"/>
  <c r="H448" i="1"/>
  <c r="I448" i="1"/>
  <c r="J448" i="1"/>
  <c r="K448" i="1"/>
  <c r="L448" i="1"/>
  <c r="E448" i="1"/>
  <c r="D448" i="1"/>
  <c r="C448" i="1"/>
  <c r="B448" i="1"/>
  <c r="A448" i="1"/>
  <c r="G447" i="1" l="1"/>
  <c r="H447" i="1"/>
  <c r="I447" i="1"/>
  <c r="J447" i="1"/>
  <c r="K447" i="1"/>
  <c r="L447" i="1"/>
  <c r="E446" i="1"/>
  <c r="E447" i="1"/>
  <c r="D447" i="1"/>
  <c r="C447" i="1"/>
  <c r="B447" i="1"/>
  <c r="A447" i="1"/>
  <c r="D446" i="1" l="1"/>
  <c r="C446" i="1"/>
  <c r="B446" i="1"/>
  <c r="G446" i="1" l="1"/>
  <c r="H446" i="1"/>
  <c r="K446" i="1"/>
  <c r="L446" i="1"/>
  <c r="A446" i="1"/>
  <c r="I446" i="1" l="1"/>
  <c r="J446" i="1"/>
  <c r="G445" i="1"/>
  <c r="H445" i="1"/>
  <c r="I445" i="1"/>
  <c r="J445" i="1"/>
  <c r="K445" i="1"/>
  <c r="L445" i="1"/>
  <c r="E445" i="1"/>
  <c r="D445" i="1"/>
  <c r="C445" i="1"/>
  <c r="B445" i="1"/>
  <c r="A445" i="1"/>
  <c r="G444" i="1" l="1"/>
  <c r="H444" i="1"/>
  <c r="I444" i="1"/>
  <c r="J444" i="1"/>
  <c r="K444" i="1"/>
  <c r="L444" i="1"/>
  <c r="E444" i="1"/>
  <c r="D444" i="1"/>
  <c r="C444" i="1"/>
  <c r="B444" i="1"/>
  <c r="A444" i="1"/>
  <c r="G443" i="1" l="1"/>
  <c r="H443" i="1"/>
  <c r="I443" i="1"/>
  <c r="J443" i="1"/>
  <c r="K443" i="1"/>
  <c r="L443" i="1"/>
  <c r="E443" i="1"/>
  <c r="D443" i="1"/>
  <c r="C443" i="1"/>
  <c r="B443" i="1"/>
  <c r="A443" i="1"/>
  <c r="G442" i="1" l="1"/>
  <c r="H442" i="1"/>
  <c r="I442" i="1"/>
  <c r="J442" i="1"/>
  <c r="K442" i="1"/>
  <c r="L442" i="1"/>
  <c r="E442" i="1"/>
  <c r="D442" i="1"/>
  <c r="C442" i="1"/>
  <c r="B442" i="1"/>
  <c r="A442" i="1"/>
  <c r="E441" i="1" l="1"/>
  <c r="D441" i="1"/>
  <c r="C441" i="1"/>
  <c r="B441" i="1"/>
  <c r="A441" i="1" l="1"/>
  <c r="G441" i="1"/>
  <c r="H441" i="1"/>
  <c r="I441" i="1"/>
  <c r="J441" i="1"/>
  <c r="K441" i="1"/>
  <c r="L441" i="1"/>
  <c r="D440" i="1" l="1"/>
  <c r="C440" i="1"/>
  <c r="B440" i="1"/>
  <c r="H440" i="1" l="1"/>
  <c r="K440" i="1"/>
  <c r="L440" i="1"/>
  <c r="E440" i="1"/>
  <c r="I440" i="1" s="1"/>
  <c r="A440" i="1"/>
  <c r="G440" i="1" l="1"/>
  <c r="J440" i="1"/>
  <c r="E439" i="1"/>
  <c r="I439" i="1" s="1"/>
  <c r="D439" i="1"/>
  <c r="C439" i="1"/>
  <c r="B439" i="1"/>
  <c r="G439" i="1"/>
  <c r="H439" i="1"/>
  <c r="K439" i="1"/>
  <c r="L439" i="1"/>
  <c r="A439" i="1"/>
  <c r="J439" i="1" l="1"/>
  <c r="G438" i="1"/>
  <c r="H438" i="1"/>
  <c r="I438" i="1"/>
  <c r="J438" i="1"/>
  <c r="K438" i="1"/>
  <c r="L438" i="1"/>
  <c r="E438" i="1"/>
  <c r="D438" i="1"/>
  <c r="C438" i="1"/>
  <c r="B438" i="1"/>
  <c r="A438" i="1"/>
  <c r="C437" i="1" l="1"/>
  <c r="B437" i="1"/>
  <c r="D437" i="1"/>
  <c r="H437" i="1"/>
  <c r="K437" i="1"/>
  <c r="L437" i="1"/>
  <c r="A437" i="1"/>
  <c r="E437" i="1" l="1"/>
  <c r="G437" i="1" s="1"/>
  <c r="G436" i="1"/>
  <c r="H436" i="1"/>
  <c r="I436" i="1"/>
  <c r="J436" i="1"/>
  <c r="K436" i="1"/>
  <c r="L436" i="1"/>
  <c r="E436" i="1"/>
  <c r="D436" i="1"/>
  <c r="C436" i="1"/>
  <c r="B436" i="1"/>
  <c r="A436" i="1"/>
  <c r="I437" i="1" l="1"/>
  <c r="J437" i="1"/>
  <c r="G435" i="1"/>
  <c r="H435" i="1"/>
  <c r="I435" i="1"/>
  <c r="J435" i="1"/>
  <c r="K435" i="1"/>
  <c r="L435" i="1"/>
  <c r="E435" i="1"/>
  <c r="D435" i="1"/>
  <c r="C435" i="1"/>
  <c r="B435" i="1"/>
  <c r="A435" i="1"/>
  <c r="G434" i="1" l="1"/>
  <c r="H434" i="1"/>
  <c r="I434" i="1"/>
  <c r="J434" i="1"/>
  <c r="K434" i="1"/>
  <c r="L434" i="1"/>
  <c r="E434" i="1"/>
  <c r="D434" i="1"/>
  <c r="C434" i="1"/>
  <c r="B434" i="1"/>
  <c r="A434" i="1"/>
  <c r="L433" i="1" l="1"/>
  <c r="K433" i="1"/>
  <c r="J433" i="1"/>
  <c r="I433" i="1"/>
  <c r="H433" i="1"/>
  <c r="G433" i="1"/>
  <c r="L432" i="1" l="1"/>
  <c r="K432" i="1"/>
  <c r="J432" i="1"/>
  <c r="I432" i="1"/>
  <c r="H432" i="1"/>
  <c r="G432" i="1"/>
  <c r="E432" i="1" l="1"/>
  <c r="E433" i="1"/>
  <c r="A432" i="1"/>
  <c r="A433" i="1" s="1"/>
  <c r="G431" i="1" l="1"/>
  <c r="H431" i="1"/>
  <c r="I431" i="1"/>
  <c r="J431" i="1"/>
  <c r="K431" i="1"/>
  <c r="L431" i="1"/>
  <c r="E431" i="1"/>
  <c r="D431" i="1"/>
  <c r="C431" i="1"/>
  <c r="B431" i="1"/>
  <c r="A431" i="1"/>
  <c r="G430" i="1" l="1"/>
  <c r="H430" i="1"/>
  <c r="I430" i="1"/>
  <c r="J430" i="1"/>
  <c r="K430" i="1"/>
  <c r="L430" i="1"/>
  <c r="E430" i="1"/>
  <c r="D430" i="1"/>
  <c r="C430" i="1"/>
  <c r="B430" i="1"/>
  <c r="A430" i="1"/>
  <c r="G429" i="1" l="1"/>
  <c r="H429" i="1"/>
  <c r="I429" i="1"/>
  <c r="J429" i="1"/>
  <c r="K429" i="1"/>
  <c r="L429" i="1"/>
  <c r="E429" i="1"/>
  <c r="D429" i="1"/>
  <c r="C429" i="1"/>
  <c r="B429" i="1"/>
  <c r="A429" i="1"/>
  <c r="G428" i="1" l="1"/>
  <c r="H428" i="1"/>
  <c r="I428" i="1"/>
  <c r="J428" i="1"/>
  <c r="K428" i="1"/>
  <c r="L428" i="1"/>
  <c r="E428" i="1"/>
  <c r="D428" i="1"/>
  <c r="C428" i="1"/>
  <c r="B428" i="1"/>
  <c r="A428" i="1"/>
  <c r="G427" i="1" l="1"/>
  <c r="H427" i="1"/>
  <c r="I427" i="1"/>
  <c r="J427" i="1"/>
  <c r="K427" i="1"/>
  <c r="L427" i="1"/>
  <c r="E427" i="1"/>
  <c r="D427" i="1"/>
  <c r="C427" i="1"/>
  <c r="B427" i="1"/>
  <c r="A427" i="1"/>
  <c r="H426" i="1" l="1"/>
  <c r="K426" i="1"/>
  <c r="L426" i="1"/>
  <c r="E426" i="1"/>
  <c r="G426" i="1" s="1"/>
  <c r="D426" i="1"/>
  <c r="C426" i="1"/>
  <c r="B426" i="1"/>
  <c r="H425" i="1" l="1"/>
  <c r="K425" i="1"/>
  <c r="L425" i="1"/>
  <c r="D425" i="1"/>
  <c r="C425" i="1"/>
  <c r="B425" i="1"/>
  <c r="E425" i="1" s="1"/>
  <c r="D424" i="1"/>
  <c r="C424" i="1"/>
  <c r="B424" i="1"/>
  <c r="D423" i="1"/>
  <c r="C423" i="1"/>
  <c r="B423" i="1"/>
  <c r="J426" i="1" l="1"/>
  <c r="I426" i="1"/>
  <c r="G425" i="1"/>
  <c r="I425" i="1"/>
  <c r="L424" i="1"/>
  <c r="K424" i="1"/>
  <c r="H424" i="1"/>
  <c r="L423" i="1"/>
  <c r="K423" i="1"/>
  <c r="H423" i="1"/>
  <c r="E424" i="1"/>
  <c r="G424" i="1" s="1"/>
  <c r="E423" i="1"/>
  <c r="J425" i="1" l="1"/>
  <c r="I424" i="1"/>
  <c r="G423" i="1"/>
  <c r="J424" i="1"/>
  <c r="D422" i="1" l="1"/>
  <c r="C422" i="1"/>
  <c r="B422" i="1"/>
  <c r="E422" i="1" s="1"/>
  <c r="I423" i="1" l="1"/>
  <c r="J423" i="1"/>
  <c r="G422" i="1"/>
  <c r="H422" i="1"/>
  <c r="K422" i="1"/>
  <c r="L422" i="1"/>
  <c r="D421" i="1" l="1"/>
  <c r="C421" i="1"/>
  <c r="B421" i="1"/>
  <c r="E421" i="1" l="1"/>
  <c r="H421" i="1"/>
  <c r="K421" i="1"/>
  <c r="L421" i="1"/>
  <c r="G421" i="1" l="1"/>
  <c r="J422" i="1"/>
  <c r="I422" i="1"/>
  <c r="H420" i="1"/>
  <c r="K420" i="1"/>
  <c r="L420" i="1"/>
  <c r="D420" i="1"/>
  <c r="E420" i="1" s="1"/>
  <c r="C420" i="1"/>
  <c r="B420" i="1"/>
  <c r="G420" i="1" l="1"/>
  <c r="I421" i="1"/>
  <c r="J421" i="1"/>
  <c r="E419" i="1"/>
  <c r="I420" i="1" s="1"/>
  <c r="D419" i="1"/>
  <c r="C419" i="1"/>
  <c r="B419" i="1"/>
  <c r="J420" i="1" l="1"/>
  <c r="G419" i="1"/>
  <c r="H419" i="1"/>
  <c r="K419" i="1"/>
  <c r="L419" i="1"/>
  <c r="H418" i="1" l="1"/>
  <c r="K418" i="1"/>
  <c r="L418" i="1"/>
  <c r="D418" i="1"/>
  <c r="C418" i="1"/>
  <c r="B418" i="1"/>
  <c r="E418" i="1" s="1"/>
  <c r="I419" i="1" l="1"/>
  <c r="J419" i="1"/>
  <c r="G418" i="1"/>
  <c r="D417" i="1"/>
  <c r="C417" i="1"/>
  <c r="B417" i="1"/>
  <c r="L417" i="1" l="1"/>
  <c r="K417" i="1"/>
  <c r="H417" i="1"/>
  <c r="E417" i="1"/>
  <c r="I418" i="1" l="1"/>
  <c r="J418" i="1"/>
  <c r="G417" i="1"/>
  <c r="H416" i="1"/>
  <c r="K416" i="1"/>
  <c r="L416" i="1"/>
  <c r="D416" i="1"/>
  <c r="C416" i="1"/>
  <c r="B416" i="1"/>
  <c r="E416" i="1" s="1"/>
  <c r="J417" i="1" l="1"/>
  <c r="I417" i="1"/>
  <c r="G416" i="1"/>
  <c r="H415" i="1"/>
  <c r="K415" i="1"/>
  <c r="L415" i="1"/>
  <c r="D415" i="1"/>
  <c r="B415" i="1"/>
  <c r="E415" i="1" s="1"/>
  <c r="G415" i="1" l="1"/>
  <c r="J416" i="1"/>
  <c r="I416" i="1"/>
  <c r="D414" i="1"/>
  <c r="C414" i="1"/>
  <c r="B414" i="1"/>
  <c r="E414" i="1" l="1"/>
  <c r="H414" i="1"/>
  <c r="K414" i="1"/>
  <c r="L414" i="1"/>
  <c r="J415" i="1" l="1"/>
  <c r="I415" i="1"/>
  <c r="G414" i="1"/>
  <c r="D413" i="1"/>
  <c r="B413" i="1"/>
  <c r="E413" i="1" s="1"/>
  <c r="I414" i="1" l="1"/>
  <c r="J414" i="1"/>
  <c r="G413" i="1"/>
  <c r="H413" i="1"/>
  <c r="K413" i="1"/>
  <c r="L413" i="1"/>
  <c r="H412" i="1" l="1"/>
  <c r="K412" i="1"/>
  <c r="L412" i="1"/>
  <c r="D412" i="1"/>
  <c r="E412" i="1" s="1"/>
  <c r="C412" i="1"/>
  <c r="B412" i="1"/>
  <c r="I413" i="1" l="1"/>
  <c r="J413" i="1"/>
  <c r="G412" i="1"/>
  <c r="H411" i="1"/>
  <c r="K411" i="1"/>
  <c r="L411" i="1"/>
  <c r="D411" i="1"/>
  <c r="C411" i="1"/>
  <c r="B411" i="1"/>
  <c r="E411" i="1" s="1"/>
  <c r="J412" i="1" l="1"/>
  <c r="I412" i="1"/>
  <c r="G411" i="1"/>
  <c r="D410" i="1"/>
  <c r="B410" i="1"/>
  <c r="E410" i="1" s="1"/>
  <c r="J411" i="1" l="1"/>
  <c r="I411" i="1"/>
  <c r="G410" i="1"/>
  <c r="H410" i="1"/>
  <c r="K410" i="1"/>
  <c r="L410" i="1"/>
  <c r="B408" i="1" l="1"/>
  <c r="H409" i="1" l="1"/>
  <c r="K409" i="1"/>
  <c r="L409" i="1"/>
  <c r="D409" i="1"/>
  <c r="C409" i="1"/>
  <c r="B409" i="1"/>
  <c r="E409" i="1" s="1"/>
  <c r="J410" i="1" l="1"/>
  <c r="I410" i="1"/>
  <c r="G409" i="1"/>
  <c r="L408" i="1"/>
  <c r="K408" i="1"/>
  <c r="H408" i="1"/>
  <c r="E408" i="1"/>
  <c r="I409" i="1" l="1"/>
  <c r="J409" i="1"/>
  <c r="G408" i="1"/>
  <c r="H407" i="1"/>
  <c r="K407" i="1"/>
  <c r="L407" i="1"/>
  <c r="D407" i="1"/>
  <c r="C407" i="1"/>
  <c r="B407" i="1"/>
  <c r="E407" i="1" s="1"/>
  <c r="G407" i="1" l="1"/>
  <c r="I408" i="1"/>
  <c r="J408" i="1"/>
  <c r="H406" i="1"/>
  <c r="K406" i="1"/>
  <c r="L406" i="1"/>
  <c r="D406" i="1"/>
  <c r="C406" i="1"/>
  <c r="B406" i="1"/>
  <c r="E406" i="1" s="1"/>
  <c r="J407" i="1" l="1"/>
  <c r="I407" i="1"/>
  <c r="G406" i="1"/>
  <c r="H405" i="1"/>
  <c r="K405" i="1"/>
  <c r="L405" i="1"/>
  <c r="D405" i="1"/>
  <c r="C405" i="1"/>
  <c r="B405" i="1"/>
  <c r="E405" i="1" s="1"/>
  <c r="I406" i="1" l="1"/>
  <c r="J406" i="1"/>
  <c r="G405" i="1"/>
  <c r="H404" i="1"/>
  <c r="K404" i="1"/>
  <c r="L404" i="1"/>
  <c r="D404" i="1"/>
  <c r="C404" i="1"/>
  <c r="B404" i="1"/>
  <c r="E404" i="1" s="1"/>
  <c r="J405" i="1" l="1"/>
  <c r="G404" i="1"/>
  <c r="I405" i="1"/>
  <c r="H403" i="1"/>
  <c r="K403" i="1"/>
  <c r="L403" i="1"/>
  <c r="D403" i="1"/>
  <c r="B403" i="1"/>
  <c r="E403" i="1" s="1"/>
  <c r="J404" i="1" l="1"/>
  <c r="G403" i="1"/>
  <c r="I404" i="1"/>
  <c r="D402" i="1"/>
  <c r="C402" i="1"/>
  <c r="B402" i="1"/>
  <c r="E402" i="1" l="1"/>
  <c r="H402" i="1"/>
  <c r="K402" i="1"/>
  <c r="L402" i="1"/>
  <c r="G402" i="1" l="1"/>
  <c r="J403" i="1"/>
  <c r="I403" i="1"/>
  <c r="D401" i="1"/>
  <c r="C401" i="1"/>
  <c r="E401" i="1" s="1"/>
  <c r="B401" i="1"/>
  <c r="I402" i="1" l="1"/>
  <c r="J402" i="1"/>
  <c r="G401" i="1"/>
  <c r="H401" i="1"/>
  <c r="K401" i="1"/>
  <c r="L401" i="1"/>
  <c r="L400" i="1" l="1"/>
  <c r="K400" i="1"/>
  <c r="H400" i="1"/>
  <c r="E400" i="1"/>
  <c r="J401" i="1" l="1"/>
  <c r="I401" i="1"/>
  <c r="G400" i="1"/>
  <c r="H399" i="1"/>
  <c r="K399" i="1"/>
  <c r="L399" i="1"/>
  <c r="D399" i="1"/>
  <c r="C399" i="1"/>
  <c r="B399" i="1"/>
  <c r="E399" i="1" s="1"/>
  <c r="J400" i="1" l="1"/>
  <c r="G399" i="1"/>
  <c r="I400" i="1"/>
  <c r="H398" i="1"/>
  <c r="K398" i="1"/>
  <c r="L398" i="1"/>
  <c r="D398" i="1"/>
  <c r="C398" i="1"/>
  <c r="B398" i="1"/>
  <c r="E398" i="1" s="1"/>
  <c r="J399" i="1" l="1"/>
  <c r="G398" i="1"/>
  <c r="I399" i="1"/>
  <c r="D397" i="1"/>
  <c r="C397" i="1"/>
  <c r="E397" i="1" s="1"/>
  <c r="B397" i="1"/>
  <c r="J398" i="1" l="1"/>
  <c r="I398" i="1"/>
  <c r="G397" i="1"/>
  <c r="H397" i="1"/>
  <c r="K397" i="1"/>
  <c r="L397" i="1"/>
  <c r="D396" i="1" l="1"/>
  <c r="C396" i="1"/>
  <c r="B396" i="1"/>
  <c r="E396" i="1" s="1"/>
  <c r="J397" i="1" l="1"/>
  <c r="I397" i="1"/>
  <c r="G396" i="1"/>
  <c r="H396" i="1"/>
  <c r="K396" i="1"/>
  <c r="L396" i="1"/>
  <c r="H395" i="1" l="1"/>
  <c r="K395" i="1"/>
  <c r="L395" i="1"/>
  <c r="D395" i="1"/>
  <c r="E395" i="1" s="1"/>
  <c r="C395" i="1"/>
  <c r="B395" i="1"/>
  <c r="J396" i="1" l="1"/>
  <c r="I396" i="1"/>
  <c r="G395" i="1"/>
  <c r="D394" i="1"/>
  <c r="C394" i="1"/>
  <c r="B394" i="1"/>
  <c r="H394" i="1" l="1"/>
  <c r="K394" i="1"/>
  <c r="L394" i="1"/>
  <c r="E394" i="1"/>
  <c r="G394" i="1" l="1"/>
  <c r="J395" i="1"/>
  <c r="I395" i="1"/>
  <c r="H393" i="1"/>
  <c r="K393" i="1"/>
  <c r="L393" i="1"/>
  <c r="D393" i="1"/>
  <c r="C393" i="1"/>
  <c r="B393" i="1"/>
  <c r="E393" i="1" s="1"/>
  <c r="I394" i="1" l="1"/>
  <c r="J394" i="1"/>
  <c r="G393" i="1"/>
  <c r="K392" i="1"/>
  <c r="H392" i="1"/>
  <c r="E392" i="1"/>
  <c r="J393" i="1" s="1"/>
  <c r="I393" i="1" l="1"/>
  <c r="G392" i="1"/>
  <c r="H391" i="1"/>
  <c r="K391" i="1"/>
  <c r="L391" i="1"/>
  <c r="D391" i="1"/>
  <c r="C391" i="1"/>
  <c r="E391" i="1" s="1"/>
  <c r="B391" i="1"/>
  <c r="J392" i="1" l="1"/>
  <c r="I392" i="1"/>
  <c r="G391" i="1"/>
  <c r="H390" i="1"/>
  <c r="K390" i="1"/>
  <c r="L390" i="1"/>
  <c r="D390" i="1"/>
  <c r="E390" i="1" s="1"/>
  <c r="C390" i="1"/>
  <c r="B390" i="1"/>
  <c r="J391" i="1" l="1"/>
  <c r="I391" i="1"/>
  <c r="G390" i="1"/>
  <c r="H389" i="1"/>
  <c r="K389" i="1"/>
  <c r="L389" i="1"/>
  <c r="D389" i="1"/>
  <c r="E389" i="1" s="1"/>
  <c r="I390" i="1" s="1"/>
  <c r="C389" i="1"/>
  <c r="B389" i="1"/>
  <c r="J390" i="1" l="1"/>
  <c r="G389" i="1"/>
  <c r="H388" i="1"/>
  <c r="K388" i="1"/>
  <c r="L388" i="1"/>
  <c r="D388" i="1"/>
  <c r="C388" i="1"/>
  <c r="B388" i="1"/>
  <c r="E388" i="1" l="1"/>
  <c r="J389" i="1"/>
  <c r="I389" i="1"/>
  <c r="G388" i="1"/>
  <c r="H387" i="1"/>
  <c r="K387" i="1"/>
  <c r="L387" i="1"/>
  <c r="D387" i="1"/>
  <c r="C387" i="1"/>
  <c r="B387" i="1"/>
  <c r="G386" i="1"/>
  <c r="H386" i="1"/>
  <c r="I386" i="1"/>
  <c r="J386" i="1"/>
  <c r="K386" i="1"/>
  <c r="L386" i="1"/>
  <c r="G385" i="1"/>
  <c r="H385" i="1"/>
  <c r="I385" i="1"/>
  <c r="J385" i="1"/>
  <c r="K385" i="1"/>
  <c r="L385" i="1"/>
  <c r="E387" i="1" l="1"/>
  <c r="I387" i="1"/>
  <c r="J387" i="1"/>
  <c r="I388" i="1"/>
  <c r="J388" i="1"/>
  <c r="G387" i="1"/>
  <c r="G384" i="1"/>
  <c r="H384" i="1"/>
  <c r="K384" i="1"/>
  <c r="L384" i="1" l="1"/>
  <c r="L392" i="1"/>
  <c r="A385" i="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D383" i="1" l="1"/>
  <c r="C383" i="1"/>
  <c r="B383" i="1"/>
  <c r="E383" i="1" s="1"/>
  <c r="I384" i="1" l="1"/>
  <c r="J384" i="1"/>
  <c r="G383" i="1"/>
  <c r="H383" i="1"/>
  <c r="K383" i="1"/>
  <c r="L383" i="1"/>
  <c r="H382" i="1" l="1"/>
  <c r="K382" i="1"/>
  <c r="L382" i="1"/>
  <c r="D382" i="1"/>
  <c r="E382" i="1" s="1"/>
  <c r="C382" i="1"/>
  <c r="B382" i="1"/>
  <c r="I383" i="1" l="1"/>
  <c r="J383" i="1"/>
  <c r="G382" i="1"/>
  <c r="B381" i="1"/>
  <c r="D381" i="1" l="1"/>
  <c r="C381" i="1"/>
  <c r="E381" i="1" s="1"/>
  <c r="H381" i="1"/>
  <c r="K381" i="1"/>
  <c r="L381" i="1"/>
  <c r="G381" i="1" l="1"/>
  <c r="J382" i="1"/>
  <c r="I382" i="1"/>
  <c r="D380" i="1"/>
  <c r="C380" i="1"/>
  <c r="B380" i="1"/>
  <c r="E380" i="1" l="1"/>
  <c r="J381" i="1"/>
  <c r="I381" i="1"/>
  <c r="G380" i="1"/>
  <c r="H380" i="1"/>
  <c r="K380" i="1"/>
  <c r="L380" i="1"/>
  <c r="D379" i="1" l="1"/>
  <c r="C379" i="1"/>
  <c r="B379" i="1"/>
  <c r="E379" i="1" s="1"/>
  <c r="H379" i="1"/>
  <c r="K379" i="1"/>
  <c r="L379" i="1"/>
  <c r="I380" i="1" l="1"/>
  <c r="J380" i="1"/>
  <c r="G379" i="1"/>
  <c r="B378" i="1"/>
  <c r="C378" i="1"/>
  <c r="D378" i="1"/>
  <c r="E378" i="1" l="1"/>
  <c r="I379" i="1"/>
  <c r="J379" i="1"/>
  <c r="G378" i="1"/>
  <c r="H378" i="1"/>
  <c r="K378" i="1"/>
  <c r="L378" i="1"/>
  <c r="H377" i="1" l="1"/>
  <c r="K377" i="1"/>
  <c r="L377" i="1"/>
  <c r="D377" i="1"/>
  <c r="C377" i="1"/>
  <c r="B377" i="1"/>
  <c r="E377" i="1" s="1"/>
  <c r="J378" i="1" l="1"/>
  <c r="I378" i="1"/>
  <c r="G377" i="1"/>
  <c r="H376" i="1"/>
  <c r="K376" i="1"/>
  <c r="L376" i="1"/>
  <c r="D376" i="1"/>
  <c r="C376" i="1"/>
  <c r="B376" i="1"/>
  <c r="E376" i="1" l="1"/>
  <c r="J377" i="1"/>
  <c r="I377" i="1"/>
  <c r="G376" i="1"/>
  <c r="D375" i="1"/>
  <c r="C375" i="1"/>
  <c r="B375" i="1"/>
  <c r="E375" i="1" l="1"/>
  <c r="J376" i="1"/>
  <c r="I376" i="1"/>
  <c r="G375" i="1"/>
  <c r="H375" i="1"/>
  <c r="K375" i="1"/>
  <c r="L375" i="1"/>
  <c r="H374" i="1" l="1"/>
  <c r="K374" i="1"/>
  <c r="L374" i="1"/>
  <c r="D374" i="1"/>
  <c r="E374" i="1" s="1"/>
  <c r="C374" i="1"/>
  <c r="B374" i="1"/>
  <c r="I375" i="1" l="1"/>
  <c r="J375" i="1"/>
  <c r="G374" i="1"/>
  <c r="H373" i="1"/>
  <c r="K373" i="1"/>
  <c r="L373" i="1"/>
  <c r="D373" i="1"/>
  <c r="C373" i="1"/>
  <c r="B373" i="1"/>
  <c r="E373" i="1" l="1"/>
  <c r="I374" i="1"/>
  <c r="G373" i="1"/>
  <c r="J374" i="1"/>
  <c r="H372" i="1"/>
  <c r="K372" i="1"/>
  <c r="L372" i="1"/>
  <c r="D372" i="1"/>
  <c r="C372" i="1"/>
  <c r="B372" i="1"/>
  <c r="E372" i="1" l="1"/>
  <c r="J373" i="1"/>
  <c r="I373" i="1"/>
  <c r="G372" i="1"/>
  <c r="H371" i="1"/>
  <c r="K371" i="1"/>
  <c r="L371" i="1"/>
  <c r="D371" i="1"/>
  <c r="C371" i="1"/>
  <c r="B371" i="1"/>
  <c r="E371" i="1" l="1"/>
  <c r="J372" i="1"/>
  <c r="I372" i="1"/>
  <c r="G371" i="1"/>
  <c r="I371" i="1"/>
  <c r="L370" i="1"/>
  <c r="K370" i="1"/>
  <c r="H370" i="1"/>
  <c r="E370" i="1"/>
  <c r="J371" i="1" s="1"/>
  <c r="G370" i="1" l="1"/>
  <c r="H369" i="1"/>
  <c r="K369" i="1"/>
  <c r="L369" i="1"/>
  <c r="D369" i="1"/>
  <c r="C369" i="1"/>
  <c r="B369" i="1"/>
  <c r="E369" i="1" s="1"/>
  <c r="J370" i="1" l="1"/>
  <c r="I370" i="1"/>
  <c r="G369" i="1"/>
  <c r="D368" i="1"/>
  <c r="C368" i="1"/>
  <c r="E368" i="1" s="1"/>
  <c r="B368" i="1"/>
  <c r="H368" i="1"/>
  <c r="K368" i="1"/>
  <c r="L368" i="1"/>
  <c r="G368" i="1" l="1"/>
  <c r="I369" i="1"/>
  <c r="J369" i="1"/>
  <c r="D367" i="1"/>
  <c r="C367" i="1"/>
  <c r="E367" i="1" s="1"/>
  <c r="B367" i="1"/>
  <c r="H367" i="1"/>
  <c r="K367" i="1"/>
  <c r="L367" i="1"/>
  <c r="G367" i="1" l="1"/>
  <c r="J368" i="1"/>
  <c r="I368" i="1"/>
  <c r="D366" i="1"/>
  <c r="C366" i="1"/>
  <c r="B366" i="1"/>
  <c r="H366" i="1"/>
  <c r="K366" i="1"/>
  <c r="L366" i="1"/>
  <c r="E366" i="1" l="1"/>
  <c r="G366" i="1"/>
  <c r="I367" i="1"/>
  <c r="J367" i="1"/>
  <c r="D365" i="1"/>
  <c r="C365" i="1"/>
  <c r="B365" i="1"/>
  <c r="H365" i="1" l="1"/>
  <c r="K365" i="1"/>
  <c r="L365" i="1"/>
  <c r="E365" i="1"/>
  <c r="J366" i="1" l="1"/>
  <c r="I366" i="1"/>
  <c r="G365" i="1"/>
  <c r="H364" i="1"/>
  <c r="K364" i="1"/>
  <c r="L364" i="1"/>
  <c r="D364" i="1"/>
  <c r="C364" i="1"/>
  <c r="B364" i="1"/>
  <c r="E364" i="1" l="1"/>
  <c r="I365" i="1"/>
  <c r="J365" i="1"/>
  <c r="G364" i="1"/>
  <c r="H363" i="1"/>
  <c r="K363" i="1"/>
  <c r="L363" i="1"/>
  <c r="D363" i="1"/>
  <c r="C363" i="1"/>
  <c r="B363" i="1"/>
  <c r="E363" i="1" l="1"/>
  <c r="I364" i="1" s="1"/>
  <c r="J364" i="1"/>
  <c r="G363" i="1"/>
  <c r="D362" i="1"/>
  <c r="C362" i="1"/>
  <c r="E362" i="1" s="1"/>
  <c r="B362" i="1"/>
  <c r="J363" i="1" l="1"/>
  <c r="I363" i="1"/>
  <c r="G362" i="1"/>
  <c r="H362" i="1"/>
  <c r="K362" i="1"/>
  <c r="L362" i="1"/>
  <c r="D361" i="1" l="1"/>
  <c r="C361" i="1"/>
  <c r="B361" i="1"/>
  <c r="E361" i="1" s="1"/>
  <c r="I362" i="1" l="1"/>
  <c r="J362" i="1"/>
  <c r="G361" i="1"/>
  <c r="H361" i="1"/>
  <c r="K361" i="1"/>
  <c r="L361" i="1"/>
  <c r="E360" i="1" l="1"/>
  <c r="I361" i="1" l="1"/>
  <c r="J361" i="1"/>
  <c r="L360" i="1"/>
  <c r="K360" i="1"/>
  <c r="H360" i="1"/>
  <c r="G360" i="1"/>
  <c r="D359" i="1" l="1"/>
  <c r="C359" i="1"/>
  <c r="B359" i="1"/>
  <c r="E359" i="1" l="1"/>
  <c r="I360" i="1"/>
  <c r="J360" i="1"/>
  <c r="G359" i="1"/>
  <c r="H359" i="1"/>
  <c r="K359" i="1"/>
  <c r="L359" i="1"/>
  <c r="D358" i="1" l="1"/>
  <c r="C358" i="1"/>
  <c r="B358" i="1"/>
  <c r="E358" i="1" s="1"/>
  <c r="I359" i="1" l="1"/>
  <c r="J359" i="1"/>
  <c r="G358" i="1"/>
  <c r="H358" i="1"/>
  <c r="K358" i="1"/>
  <c r="L358" i="1"/>
  <c r="D357" i="1" l="1"/>
  <c r="C357" i="1"/>
  <c r="B357" i="1"/>
  <c r="H357" i="1"/>
  <c r="K357" i="1"/>
  <c r="L357" i="1"/>
  <c r="E357" i="1" l="1"/>
  <c r="J358" i="1"/>
  <c r="I358" i="1"/>
  <c r="G357" i="1"/>
  <c r="D356" i="1"/>
  <c r="C356" i="1"/>
  <c r="B356" i="1"/>
  <c r="E356" i="1" l="1"/>
  <c r="G356" i="1"/>
  <c r="H356" i="1"/>
  <c r="K356" i="1"/>
  <c r="L356" i="1"/>
  <c r="J357" i="1" l="1"/>
  <c r="I357" i="1"/>
  <c r="D355" i="1"/>
  <c r="C355" i="1"/>
  <c r="B355" i="1"/>
  <c r="E355" i="1" s="1"/>
  <c r="H355" i="1"/>
  <c r="K355" i="1"/>
  <c r="L355" i="1"/>
  <c r="J356" i="1" l="1"/>
  <c r="I356" i="1"/>
  <c r="G355" i="1"/>
  <c r="G354" i="1"/>
  <c r="G350" i="1"/>
  <c r="E354" i="1"/>
  <c r="J355" i="1" s="1"/>
  <c r="E353" i="1"/>
  <c r="G353" i="1" s="1"/>
  <c r="E352" i="1"/>
  <c r="G352" i="1" s="1"/>
  <c r="E351" i="1"/>
  <c r="J351" i="1" s="1"/>
  <c r="E350" i="1"/>
  <c r="J352" i="1" l="1"/>
  <c r="J354" i="1"/>
  <c r="I355" i="1"/>
  <c r="J353" i="1"/>
  <c r="G351" i="1"/>
  <c r="H354" i="1"/>
  <c r="I354" i="1"/>
  <c r="K354" i="1"/>
  <c r="L354" i="1"/>
  <c r="H353" i="1" l="1"/>
  <c r="I353" i="1"/>
  <c r="K353" i="1"/>
  <c r="L353" i="1"/>
  <c r="H352" i="1" l="1"/>
  <c r="I352" i="1"/>
  <c r="K352" i="1"/>
  <c r="L352" i="1"/>
  <c r="H351" i="1" l="1"/>
  <c r="I351" i="1"/>
  <c r="K351" i="1"/>
  <c r="L351" i="1"/>
  <c r="L350" i="1" l="1"/>
  <c r="K350" i="1"/>
  <c r="H350" i="1"/>
  <c r="C349" i="1" l="1"/>
  <c r="B349" i="1"/>
  <c r="E349" i="1" s="1"/>
  <c r="I350" i="1" l="1"/>
  <c r="J350" i="1"/>
  <c r="G349" i="1"/>
  <c r="H349" i="1"/>
  <c r="K349" i="1"/>
  <c r="L349" i="1"/>
  <c r="C348" i="1" l="1"/>
  <c r="B348" i="1"/>
  <c r="E348" i="1" s="1"/>
  <c r="J349" i="1" s="1"/>
  <c r="I349" i="1" l="1"/>
  <c r="G348" i="1"/>
  <c r="H348" i="1"/>
  <c r="K348" i="1"/>
  <c r="L348" i="1"/>
  <c r="D347" i="1" l="1"/>
  <c r="C347" i="1"/>
  <c r="B347" i="1"/>
  <c r="E347" i="1" l="1"/>
  <c r="G347" i="1"/>
  <c r="H347" i="1"/>
  <c r="K347" i="1"/>
  <c r="L347" i="1"/>
  <c r="I348" i="1" l="1"/>
  <c r="J348" i="1"/>
  <c r="D346" i="1"/>
  <c r="C346" i="1"/>
  <c r="B346" i="1"/>
  <c r="E346" i="1" s="1"/>
  <c r="I347" i="1" l="1"/>
  <c r="J347" i="1"/>
  <c r="G346" i="1"/>
  <c r="H346" i="1"/>
  <c r="K346" i="1"/>
  <c r="L346" i="1"/>
  <c r="L345" i="1" l="1"/>
  <c r="K345" i="1"/>
  <c r="H345" i="1"/>
  <c r="E345" i="1"/>
  <c r="G345" i="1" s="1"/>
  <c r="I346" i="1" l="1"/>
  <c r="J346" i="1"/>
  <c r="L344" i="1"/>
  <c r="K344" i="1"/>
  <c r="H344" i="1"/>
  <c r="E344" i="1"/>
  <c r="J345" i="1" s="1"/>
  <c r="I345" i="1" l="1"/>
  <c r="G344" i="1"/>
  <c r="L343" i="1"/>
  <c r="K343" i="1"/>
  <c r="H343" i="1"/>
  <c r="E343" i="1"/>
  <c r="J344" i="1" s="1"/>
  <c r="I344" i="1" l="1"/>
  <c r="G343" i="1"/>
  <c r="E342" i="1"/>
  <c r="I343" i="1" l="1"/>
  <c r="J343" i="1"/>
  <c r="G342" i="1"/>
  <c r="H342" i="1"/>
  <c r="K342" i="1"/>
  <c r="L342" i="1"/>
  <c r="D341" i="1" l="1"/>
  <c r="C341" i="1"/>
  <c r="B341" i="1"/>
  <c r="E341" i="1" l="1"/>
  <c r="I342" i="1"/>
  <c r="J342" i="1"/>
  <c r="G341" i="1"/>
  <c r="H341" i="1"/>
  <c r="K341" i="1"/>
  <c r="L341" i="1"/>
  <c r="H340" i="1" l="1"/>
  <c r="K340" i="1"/>
  <c r="L340" i="1"/>
  <c r="D340" i="1"/>
  <c r="C340" i="1"/>
  <c r="B340" i="1"/>
  <c r="E340" i="1" l="1"/>
  <c r="H339" i="1"/>
  <c r="K339" i="1"/>
  <c r="L339" i="1"/>
  <c r="D339" i="1"/>
  <c r="C339" i="1"/>
  <c r="B339" i="1"/>
  <c r="E339" i="1" s="1"/>
  <c r="G339" i="1" s="1"/>
  <c r="J341" i="1" l="1"/>
  <c r="I341" i="1"/>
  <c r="G340" i="1"/>
  <c r="J340" i="1"/>
  <c r="I340" i="1"/>
  <c r="H338" i="1"/>
  <c r="K338" i="1"/>
  <c r="L338" i="1"/>
  <c r="D338" i="1"/>
  <c r="C338" i="1"/>
  <c r="B338" i="1"/>
  <c r="E338" i="1" l="1"/>
  <c r="J339" i="1"/>
  <c r="G338" i="1"/>
  <c r="I339" i="1"/>
  <c r="D337" i="1"/>
  <c r="C337" i="1"/>
  <c r="B337" i="1"/>
  <c r="E337" i="1" l="1"/>
  <c r="J338" i="1"/>
  <c r="I338" i="1"/>
  <c r="G337" i="1"/>
  <c r="H337" i="1"/>
  <c r="K337" i="1"/>
  <c r="L337" i="1"/>
  <c r="H336" i="1" l="1"/>
  <c r="K336" i="1"/>
  <c r="L336" i="1"/>
  <c r="D336" i="1"/>
  <c r="C336" i="1"/>
  <c r="B336" i="1"/>
  <c r="E336" i="1" s="1"/>
  <c r="I337" i="1" l="1"/>
  <c r="J337" i="1"/>
  <c r="G336" i="1"/>
  <c r="D335" i="1"/>
  <c r="C335" i="1"/>
  <c r="E335" i="1" s="1"/>
  <c r="B335" i="1"/>
  <c r="I336" i="1" l="1"/>
  <c r="J336" i="1"/>
  <c r="G335" i="1"/>
  <c r="H335" i="1"/>
  <c r="K335" i="1"/>
  <c r="L335" i="1"/>
  <c r="C334" i="1" l="1"/>
  <c r="D334" i="1" l="1"/>
  <c r="B334" i="1"/>
  <c r="E334" i="1" s="1"/>
  <c r="H334" i="1"/>
  <c r="K334" i="1"/>
  <c r="L334" i="1"/>
  <c r="J335" i="1" l="1"/>
  <c r="I335" i="1"/>
  <c r="G334" i="1"/>
  <c r="H333" i="1"/>
  <c r="K333" i="1"/>
  <c r="L333" i="1"/>
  <c r="D333" i="1"/>
  <c r="C333" i="1"/>
  <c r="B333" i="1"/>
  <c r="E333" i="1" l="1"/>
  <c r="J334" i="1"/>
  <c r="G333" i="1"/>
  <c r="I334" i="1"/>
  <c r="D332" i="1"/>
  <c r="C332" i="1"/>
  <c r="B332" i="1"/>
  <c r="H332" i="1" l="1"/>
  <c r="K332" i="1"/>
  <c r="L332" i="1"/>
  <c r="E332" i="1"/>
  <c r="J333" i="1" l="1"/>
  <c r="I333" i="1"/>
  <c r="G332" i="1"/>
  <c r="H331" i="1"/>
  <c r="K331" i="1"/>
  <c r="L331" i="1"/>
  <c r="D331" i="1"/>
  <c r="C331" i="1"/>
  <c r="B331" i="1"/>
  <c r="E331" i="1" l="1"/>
  <c r="J332" i="1"/>
  <c r="I332" i="1"/>
  <c r="G331" i="1"/>
  <c r="H330" i="1"/>
  <c r="K330" i="1"/>
  <c r="L330" i="1"/>
  <c r="D330" i="1"/>
  <c r="C330" i="1"/>
  <c r="B330" i="1"/>
  <c r="E330" i="1" l="1"/>
  <c r="G330" i="1"/>
  <c r="J331" i="1"/>
  <c r="I331" i="1"/>
  <c r="D329" i="1"/>
  <c r="C329" i="1"/>
  <c r="B329" i="1"/>
  <c r="H329" i="1"/>
  <c r="K329" i="1"/>
  <c r="L329" i="1"/>
  <c r="E329" i="1" l="1"/>
  <c r="J330" i="1"/>
  <c r="G329" i="1"/>
  <c r="I330" i="1"/>
  <c r="H328" i="1"/>
  <c r="K328" i="1"/>
  <c r="L328" i="1"/>
  <c r="D328" i="1"/>
  <c r="C328" i="1"/>
  <c r="B328" i="1"/>
  <c r="E328" i="1" l="1"/>
  <c r="J329" i="1"/>
  <c r="G328" i="1"/>
  <c r="I329" i="1"/>
  <c r="D327" i="1"/>
  <c r="C327" i="1"/>
  <c r="B327" i="1"/>
  <c r="E327" i="1" l="1"/>
  <c r="J328" i="1"/>
  <c r="I328" i="1"/>
  <c r="G327" i="1"/>
  <c r="H327" i="1"/>
  <c r="K327" i="1"/>
  <c r="L327" i="1"/>
  <c r="D326" i="1" l="1"/>
  <c r="C326" i="1"/>
  <c r="B326" i="1"/>
  <c r="E326" i="1" s="1"/>
  <c r="I327" i="1" l="1"/>
  <c r="J327" i="1"/>
  <c r="G326" i="1"/>
  <c r="H326" i="1"/>
  <c r="K326" i="1"/>
  <c r="L326" i="1"/>
  <c r="H325" i="1" l="1"/>
  <c r="K325" i="1"/>
  <c r="L325" i="1"/>
  <c r="D325" i="1"/>
  <c r="C325" i="1"/>
  <c r="B325" i="1"/>
  <c r="E325" i="1" s="1"/>
  <c r="I326" i="1" l="1"/>
  <c r="J326" i="1"/>
  <c r="G325" i="1"/>
  <c r="D324" i="1"/>
  <c r="C324" i="1"/>
  <c r="B324" i="1"/>
  <c r="E324" i="1" s="1"/>
  <c r="G324" i="1" s="1"/>
  <c r="H324" i="1"/>
  <c r="K324" i="1"/>
  <c r="L324" i="1"/>
  <c r="J325" i="1" l="1"/>
  <c r="I325" i="1"/>
  <c r="H323" i="1"/>
  <c r="K323" i="1"/>
  <c r="L323" i="1"/>
  <c r="D323" i="1"/>
  <c r="C323" i="1"/>
  <c r="E323" i="1" s="1"/>
  <c r="I324" i="1" s="1"/>
  <c r="B323" i="1"/>
  <c r="G323" i="1" l="1"/>
  <c r="J324" i="1"/>
  <c r="D322" i="1"/>
  <c r="C322" i="1"/>
  <c r="B322" i="1"/>
  <c r="E322" i="1" l="1"/>
  <c r="I323" i="1" s="1"/>
  <c r="J323" i="1"/>
  <c r="G322" i="1"/>
  <c r="H322" i="1"/>
  <c r="K322" i="1"/>
  <c r="L322" i="1"/>
  <c r="D321" i="1" l="1"/>
  <c r="C321" i="1"/>
  <c r="B321" i="1"/>
  <c r="E321" i="1" l="1"/>
  <c r="J322" i="1" s="1"/>
  <c r="I322" i="1"/>
  <c r="H320" i="1"/>
  <c r="K320" i="1"/>
  <c r="L320" i="1"/>
  <c r="G321" i="1"/>
  <c r="H321" i="1"/>
  <c r="K321" i="1"/>
  <c r="L321" i="1"/>
  <c r="D320" i="1" l="1"/>
  <c r="C320" i="1"/>
  <c r="B320" i="1"/>
  <c r="E320" i="1" l="1"/>
  <c r="I321" i="1"/>
  <c r="G320" i="1"/>
  <c r="J321" i="1"/>
  <c r="H319" i="1"/>
  <c r="K319" i="1"/>
  <c r="L319" i="1"/>
  <c r="D319" i="1"/>
  <c r="E319" i="1" s="1"/>
  <c r="J320" i="1" s="1"/>
  <c r="C319" i="1"/>
  <c r="B319" i="1"/>
  <c r="G319" i="1" l="1"/>
  <c r="I320" i="1"/>
  <c r="H318" i="1"/>
  <c r="K318" i="1"/>
  <c r="L318" i="1"/>
  <c r="D318" i="1"/>
  <c r="C318" i="1"/>
  <c r="B318" i="1"/>
  <c r="E318" i="1" l="1"/>
  <c r="I319" i="1"/>
  <c r="J319" i="1"/>
  <c r="G318" i="1"/>
  <c r="D317" i="1"/>
  <c r="C317" i="1"/>
  <c r="B317" i="1"/>
  <c r="E317" i="1" s="1"/>
  <c r="J318" i="1" s="1"/>
  <c r="I318" i="1" l="1"/>
  <c r="G317" i="1"/>
  <c r="H317" i="1"/>
  <c r="K317" i="1"/>
  <c r="L317" i="1"/>
  <c r="D316" i="1" l="1"/>
  <c r="C316" i="1"/>
  <c r="B316" i="1"/>
  <c r="E316" i="1" l="1"/>
  <c r="J317" i="1"/>
  <c r="I317" i="1"/>
  <c r="G316" i="1"/>
  <c r="H316" i="1"/>
  <c r="K316" i="1"/>
  <c r="L316" i="1"/>
  <c r="D315" i="1" l="1"/>
  <c r="C315" i="1"/>
  <c r="B315" i="1"/>
  <c r="E315" i="1" l="1"/>
  <c r="I316" i="1"/>
  <c r="J316" i="1"/>
  <c r="G315" i="1"/>
  <c r="H315" i="1"/>
  <c r="K315" i="1"/>
  <c r="L315" i="1"/>
  <c r="H314" i="1" l="1"/>
  <c r="K314" i="1"/>
  <c r="L314" i="1"/>
  <c r="D314" i="1"/>
  <c r="C314" i="1"/>
  <c r="B314" i="1"/>
  <c r="E314" i="1" s="1"/>
  <c r="I315" i="1" l="1"/>
  <c r="J315" i="1"/>
  <c r="G314" i="1"/>
  <c r="H313" i="1"/>
  <c r="K313" i="1"/>
  <c r="L313" i="1"/>
  <c r="D313" i="1"/>
  <c r="C313" i="1"/>
  <c r="B313" i="1"/>
  <c r="E313" i="1" l="1"/>
  <c r="I314" i="1"/>
  <c r="G313" i="1"/>
  <c r="J314" i="1"/>
  <c r="L312" i="1"/>
  <c r="K312" i="1"/>
  <c r="H312" i="1"/>
  <c r="D312" i="1"/>
  <c r="C312" i="1"/>
  <c r="B312" i="1"/>
  <c r="E312" i="1" l="1"/>
  <c r="G312" i="1"/>
  <c r="I313" i="1"/>
  <c r="J313" i="1"/>
  <c r="H311" i="1" l="1"/>
  <c r="K311" i="1"/>
  <c r="L311" i="1"/>
  <c r="D311" i="1"/>
  <c r="C311" i="1"/>
  <c r="B311" i="1"/>
  <c r="E311" i="1" s="1"/>
  <c r="J312" i="1" l="1"/>
  <c r="I312" i="1"/>
  <c r="G311" i="1"/>
  <c r="H310" i="1"/>
  <c r="K310" i="1"/>
  <c r="L310" i="1"/>
  <c r="D310" i="1"/>
  <c r="C310" i="1"/>
  <c r="B310" i="1"/>
  <c r="E310" i="1" l="1"/>
  <c r="J311" i="1"/>
  <c r="I311" i="1"/>
  <c r="G310" i="1"/>
  <c r="D309" i="1"/>
  <c r="C309" i="1"/>
  <c r="B309" i="1"/>
  <c r="E309" i="1" l="1"/>
  <c r="I310" i="1"/>
  <c r="J310" i="1"/>
  <c r="G309" i="1"/>
  <c r="H309" i="1"/>
  <c r="K309" i="1"/>
  <c r="L309" i="1"/>
  <c r="D308" i="1" l="1"/>
  <c r="C308" i="1"/>
  <c r="B308" i="1"/>
  <c r="E308" i="1" l="1"/>
  <c r="I309" i="1"/>
  <c r="J309" i="1"/>
  <c r="G308" i="1"/>
  <c r="H308" i="1"/>
  <c r="K308" i="1"/>
  <c r="L308" i="1"/>
  <c r="H307" i="1" l="1"/>
  <c r="K307" i="1"/>
  <c r="L307" i="1"/>
  <c r="D307" i="1"/>
  <c r="C307" i="1"/>
  <c r="B307" i="1"/>
  <c r="E307" i="1" l="1"/>
  <c r="J308" i="1"/>
  <c r="I308" i="1"/>
  <c r="G307" i="1"/>
  <c r="D306" i="1"/>
  <c r="C306" i="1"/>
  <c r="B306" i="1"/>
  <c r="E306" i="1" s="1"/>
  <c r="I307" i="1" s="1"/>
  <c r="J307" i="1" l="1"/>
  <c r="G306" i="1"/>
  <c r="H306" i="1"/>
  <c r="K306" i="1"/>
  <c r="L306" i="1"/>
  <c r="H305" i="1" l="1"/>
  <c r="K305" i="1"/>
  <c r="L305" i="1"/>
  <c r="D305" i="1"/>
  <c r="C305" i="1"/>
  <c r="B305" i="1"/>
  <c r="E305" i="1" l="1"/>
  <c r="I306" i="1"/>
  <c r="J306" i="1"/>
  <c r="G305" i="1"/>
  <c r="D304" i="1"/>
  <c r="C304" i="1"/>
  <c r="B304" i="1"/>
  <c r="E304" i="1" l="1"/>
  <c r="J305" i="1"/>
  <c r="I305" i="1"/>
  <c r="G304" i="1"/>
  <c r="H304" i="1"/>
  <c r="K304" i="1"/>
  <c r="L304" i="1"/>
  <c r="D303" i="1" l="1"/>
  <c r="C303" i="1"/>
  <c r="B303" i="1"/>
  <c r="E303" i="1" s="1"/>
  <c r="I304" i="1" l="1"/>
  <c r="J304" i="1"/>
  <c r="G303" i="1"/>
  <c r="H303" i="1"/>
  <c r="K303" i="1"/>
  <c r="L303" i="1"/>
  <c r="H302" i="1" l="1"/>
  <c r="K302" i="1"/>
  <c r="L302" i="1"/>
  <c r="D302" i="1"/>
  <c r="C302" i="1"/>
  <c r="E302" i="1" s="1"/>
  <c r="B302" i="1"/>
  <c r="J303" i="1" l="1"/>
  <c r="I303" i="1"/>
  <c r="G302" i="1"/>
  <c r="H301" i="1"/>
  <c r="K301" i="1"/>
  <c r="L301" i="1"/>
  <c r="D301" i="1"/>
  <c r="C301" i="1"/>
  <c r="B301" i="1"/>
  <c r="E301" i="1" l="1"/>
  <c r="I302" i="1"/>
  <c r="J302" i="1"/>
  <c r="G301" i="1"/>
  <c r="H300" i="1"/>
  <c r="K300" i="1"/>
  <c r="L300" i="1"/>
  <c r="D300" i="1"/>
  <c r="C300" i="1"/>
  <c r="B300" i="1"/>
  <c r="E300" i="1" l="1"/>
  <c r="J301" i="1"/>
  <c r="I301" i="1"/>
  <c r="G300" i="1"/>
  <c r="D299" i="1"/>
  <c r="C299" i="1"/>
  <c r="B299" i="1"/>
  <c r="E299" i="1" s="1"/>
  <c r="H299" i="1"/>
  <c r="K299" i="1"/>
  <c r="L299" i="1"/>
  <c r="H298" i="1"/>
  <c r="K298" i="1"/>
  <c r="L298" i="1"/>
  <c r="D298" i="1"/>
  <c r="C298" i="1"/>
  <c r="B298" i="1"/>
  <c r="D297" i="1"/>
  <c r="C297" i="1"/>
  <c r="B297" i="1"/>
  <c r="H297" i="1"/>
  <c r="K297" i="1"/>
  <c r="L297" i="1"/>
  <c r="D296" i="1"/>
  <c r="C296" i="1"/>
  <c r="B296" i="1"/>
  <c r="H296" i="1"/>
  <c r="K296" i="1"/>
  <c r="L296" i="1"/>
  <c r="H295" i="1"/>
  <c r="K295" i="1"/>
  <c r="L295" i="1"/>
  <c r="D295" i="1"/>
  <c r="C295" i="1"/>
  <c r="B295" i="1"/>
  <c r="D294" i="1"/>
  <c r="C294" i="1"/>
  <c r="B294" i="1"/>
  <c r="H294" i="1"/>
  <c r="K294" i="1"/>
  <c r="L294" i="1"/>
  <c r="E298" i="1" l="1"/>
  <c r="J299" i="1"/>
  <c r="I300" i="1"/>
  <c r="J300" i="1"/>
  <c r="G299" i="1"/>
  <c r="I299" i="1"/>
  <c r="E294" i="1"/>
  <c r="G294" i="1" s="1"/>
  <c r="E295" i="1"/>
  <c r="G295" i="1" s="1"/>
  <c r="E297" i="1"/>
  <c r="J298" i="1" s="1"/>
  <c r="G298" i="1"/>
  <c r="E296" i="1"/>
  <c r="G296" i="1" s="1"/>
  <c r="H293" i="1"/>
  <c r="K293" i="1"/>
  <c r="L293" i="1"/>
  <c r="D293" i="1"/>
  <c r="C293" i="1"/>
  <c r="B293" i="1"/>
  <c r="H292" i="1"/>
  <c r="K292" i="1"/>
  <c r="L292" i="1"/>
  <c r="D292" i="1"/>
  <c r="C292" i="1"/>
  <c r="B292" i="1"/>
  <c r="H291" i="1"/>
  <c r="K291" i="1"/>
  <c r="L291" i="1"/>
  <c r="D291" i="1"/>
  <c r="C291" i="1"/>
  <c r="B291" i="1"/>
  <c r="D290" i="1"/>
  <c r="C290" i="1"/>
  <c r="B290" i="1"/>
  <c r="H290" i="1"/>
  <c r="K290" i="1"/>
  <c r="L290" i="1"/>
  <c r="D289" i="1"/>
  <c r="C289" i="1"/>
  <c r="B289" i="1"/>
  <c r="H289" i="1"/>
  <c r="K289" i="1"/>
  <c r="L289" i="1"/>
  <c r="D288" i="1"/>
  <c r="C288" i="1"/>
  <c r="B288" i="1"/>
  <c r="H288" i="1"/>
  <c r="K288" i="1"/>
  <c r="L288" i="1"/>
  <c r="D287" i="1"/>
  <c r="C287" i="1"/>
  <c r="B287" i="1"/>
  <c r="H287" i="1"/>
  <c r="K287" i="1"/>
  <c r="L287" i="1"/>
  <c r="D286" i="1"/>
  <c r="C286" i="1"/>
  <c r="B286" i="1"/>
  <c r="H286" i="1"/>
  <c r="K286" i="1"/>
  <c r="L286" i="1"/>
  <c r="D285" i="1"/>
  <c r="C285" i="1"/>
  <c r="B285" i="1"/>
  <c r="H285" i="1"/>
  <c r="K285" i="1"/>
  <c r="L285" i="1"/>
  <c r="D284" i="1"/>
  <c r="C284" i="1"/>
  <c r="B284" i="1"/>
  <c r="H284" i="1"/>
  <c r="K284" i="1"/>
  <c r="L284" i="1"/>
  <c r="E285" i="1" l="1"/>
  <c r="I298" i="1"/>
  <c r="I295" i="1"/>
  <c r="J295" i="1"/>
  <c r="E289" i="1"/>
  <c r="G289" i="1" s="1"/>
  <c r="E287" i="1"/>
  <c r="G287" i="1" s="1"/>
  <c r="G297" i="1"/>
  <c r="E288" i="1"/>
  <c r="J289" i="1" s="1"/>
  <c r="E290" i="1"/>
  <c r="E291" i="1"/>
  <c r="E292" i="1"/>
  <c r="J292" i="1" s="1"/>
  <c r="E293" i="1"/>
  <c r="G293" i="1" s="1"/>
  <c r="I296" i="1"/>
  <c r="I297" i="1"/>
  <c r="J297" i="1"/>
  <c r="E284" i="1"/>
  <c r="G284" i="1" s="1"/>
  <c r="E286" i="1"/>
  <c r="J286" i="1" s="1"/>
  <c r="J296" i="1"/>
  <c r="G285" i="1"/>
  <c r="G291" i="1"/>
  <c r="G292" i="1"/>
  <c r="I292" i="1"/>
  <c r="D283" i="1"/>
  <c r="C283" i="1"/>
  <c r="B283" i="1"/>
  <c r="I289" i="1" l="1"/>
  <c r="J293" i="1"/>
  <c r="I293" i="1"/>
  <c r="I285" i="1"/>
  <c r="I291" i="1"/>
  <c r="J291" i="1"/>
  <c r="I286" i="1"/>
  <c r="I287" i="1"/>
  <c r="I290" i="1"/>
  <c r="G288" i="1"/>
  <c r="G286" i="1"/>
  <c r="J290" i="1"/>
  <c r="G290" i="1"/>
  <c r="J288" i="1"/>
  <c r="J287" i="1"/>
  <c r="I288" i="1"/>
  <c r="J285" i="1"/>
  <c r="J294" i="1"/>
  <c r="I294" i="1"/>
  <c r="E283" i="1"/>
  <c r="H283" i="1"/>
  <c r="K283" i="1"/>
  <c r="L283" i="1"/>
  <c r="D282" i="1"/>
  <c r="C282" i="1"/>
  <c r="B282" i="1"/>
  <c r="H282" i="1"/>
  <c r="K282" i="1"/>
  <c r="L282" i="1"/>
  <c r="E282" i="1" l="1"/>
  <c r="J283" i="1" s="1"/>
  <c r="G283" i="1"/>
  <c r="J284" i="1"/>
  <c r="I284" i="1"/>
  <c r="L281" i="1"/>
  <c r="K281" i="1"/>
  <c r="H281" i="1"/>
  <c r="I283" i="1" l="1"/>
  <c r="G282" i="1"/>
  <c r="E281" i="1"/>
  <c r="D280" i="1"/>
  <c r="C280" i="1"/>
  <c r="B280" i="1"/>
  <c r="H280" i="1"/>
  <c r="K280" i="1"/>
  <c r="L280" i="1"/>
  <c r="D279" i="1"/>
  <c r="C279" i="1"/>
  <c r="B279" i="1"/>
  <c r="H279" i="1"/>
  <c r="K279" i="1"/>
  <c r="L279" i="1"/>
  <c r="D278" i="1"/>
  <c r="C278" i="1"/>
  <c r="B278" i="1"/>
  <c r="H278" i="1"/>
  <c r="K278" i="1"/>
  <c r="L278" i="1"/>
  <c r="E279" i="1" l="1"/>
  <c r="G279" i="1" s="1"/>
  <c r="E280" i="1"/>
  <c r="J280" i="1" s="1"/>
  <c r="I282" i="1"/>
  <c r="G281" i="1"/>
  <c r="J282" i="1"/>
  <c r="J281" i="1"/>
  <c r="E278" i="1"/>
  <c r="J279" i="1" s="1"/>
  <c r="G278" i="1"/>
  <c r="D277" i="1"/>
  <c r="C277" i="1"/>
  <c r="B277" i="1"/>
  <c r="H277" i="1"/>
  <c r="K277" i="1"/>
  <c r="L277" i="1"/>
  <c r="D276" i="1"/>
  <c r="C276" i="1"/>
  <c r="B276" i="1"/>
  <c r="H276" i="1"/>
  <c r="K276" i="1"/>
  <c r="L276" i="1"/>
  <c r="H275" i="1"/>
  <c r="K275" i="1"/>
  <c r="L275" i="1"/>
  <c r="D275" i="1"/>
  <c r="C275" i="1"/>
  <c r="B275" i="1"/>
  <c r="D274" i="1"/>
  <c r="C274" i="1"/>
  <c r="B274" i="1"/>
  <c r="H274" i="1"/>
  <c r="K274" i="1"/>
  <c r="L274" i="1"/>
  <c r="D273" i="1"/>
  <c r="C273" i="1"/>
  <c r="B273" i="1"/>
  <c r="H273" i="1"/>
  <c r="K273" i="1"/>
  <c r="L273" i="1"/>
  <c r="D272" i="1"/>
  <c r="C272" i="1"/>
  <c r="B272" i="1"/>
  <c r="H272" i="1"/>
  <c r="K272" i="1"/>
  <c r="L272" i="1"/>
  <c r="D271" i="1"/>
  <c r="C271" i="1"/>
  <c r="B271" i="1"/>
  <c r="H271" i="1"/>
  <c r="K271" i="1"/>
  <c r="L271" i="1"/>
  <c r="H270" i="1"/>
  <c r="K270" i="1"/>
  <c r="L270" i="1"/>
  <c r="D270" i="1"/>
  <c r="C270" i="1"/>
  <c r="B270" i="1"/>
  <c r="D269" i="1"/>
  <c r="C269" i="1"/>
  <c r="B269" i="1"/>
  <c r="H269" i="1"/>
  <c r="K269" i="1"/>
  <c r="L269" i="1"/>
  <c r="D268" i="1"/>
  <c r="C268" i="1"/>
  <c r="B268" i="1"/>
  <c r="H268" i="1"/>
  <c r="K268" i="1"/>
  <c r="L268" i="1"/>
  <c r="H267" i="1"/>
  <c r="K267" i="1"/>
  <c r="L267" i="1"/>
  <c r="D267" i="1"/>
  <c r="C267" i="1"/>
  <c r="B267" i="1"/>
  <c r="D266" i="1"/>
  <c r="C266" i="1"/>
  <c r="B266" i="1"/>
  <c r="H266" i="1"/>
  <c r="K266" i="1"/>
  <c r="L266" i="1"/>
  <c r="H265" i="1"/>
  <c r="K265" i="1"/>
  <c r="L265" i="1"/>
  <c r="D265" i="1"/>
  <c r="C265" i="1"/>
  <c r="B265" i="1"/>
  <c r="D264" i="1"/>
  <c r="C264" i="1"/>
  <c r="B264" i="1"/>
  <c r="H264" i="1"/>
  <c r="K264" i="1"/>
  <c r="L264" i="1"/>
  <c r="D263" i="1"/>
  <c r="C263" i="1"/>
  <c r="B263" i="1"/>
  <c r="H263" i="1"/>
  <c r="K263" i="1"/>
  <c r="L263" i="1"/>
  <c r="H262" i="1"/>
  <c r="K262" i="1"/>
  <c r="L262" i="1"/>
  <c r="E262" i="1"/>
  <c r="H261" i="1"/>
  <c r="K261" i="1"/>
  <c r="L261" i="1"/>
  <c r="D261" i="1"/>
  <c r="C261" i="1"/>
  <c r="B261" i="1"/>
  <c r="A8" i="1"/>
  <c r="A9" i="1" s="1"/>
  <c r="A10" i="1" s="1"/>
  <c r="D260" i="1"/>
  <c r="C260" i="1"/>
  <c r="B260" i="1"/>
  <c r="H260" i="1"/>
  <c r="K260" i="1"/>
  <c r="L260" i="1"/>
  <c r="D259" i="1"/>
  <c r="C259" i="1"/>
  <c r="B259" i="1"/>
  <c r="H259" i="1"/>
  <c r="K259" i="1"/>
  <c r="L259" i="1"/>
  <c r="D258" i="1"/>
  <c r="C258" i="1"/>
  <c r="B258" i="1"/>
  <c r="H258" i="1"/>
  <c r="K258" i="1"/>
  <c r="L258" i="1"/>
  <c r="H257" i="1"/>
  <c r="K257" i="1"/>
  <c r="L257" i="1"/>
  <c r="D257" i="1"/>
  <c r="C257" i="1"/>
  <c r="B257" i="1"/>
  <c r="E257" i="1" s="1"/>
  <c r="B256" i="1"/>
  <c r="D256" i="1"/>
  <c r="C256" i="1"/>
  <c r="H256" i="1"/>
  <c r="K256" i="1"/>
  <c r="L256" i="1"/>
  <c r="H255" i="1"/>
  <c r="K255" i="1"/>
  <c r="L255" i="1"/>
  <c r="D255" i="1"/>
  <c r="C255" i="1"/>
  <c r="B255" i="1"/>
  <c r="H254" i="1"/>
  <c r="K254" i="1"/>
  <c r="L254" i="1"/>
  <c r="D254" i="1"/>
  <c r="C254" i="1"/>
  <c r="B254" i="1"/>
  <c r="H253" i="1"/>
  <c r="K253" i="1"/>
  <c r="L253" i="1"/>
  <c r="D253" i="1"/>
  <c r="C253" i="1"/>
  <c r="B253" i="1"/>
  <c r="E253" i="1" s="1"/>
  <c r="G253" i="1" s="1"/>
  <c r="D252" i="1"/>
  <c r="C252" i="1"/>
  <c r="B252" i="1"/>
  <c r="H252" i="1"/>
  <c r="K252" i="1"/>
  <c r="L252" i="1"/>
  <c r="D251" i="1"/>
  <c r="C251" i="1"/>
  <c r="B251" i="1"/>
  <c r="H251" i="1"/>
  <c r="K251" i="1"/>
  <c r="L251" i="1"/>
  <c r="H250" i="1"/>
  <c r="K250" i="1"/>
  <c r="L250" i="1"/>
  <c r="D250" i="1"/>
  <c r="C250" i="1"/>
  <c r="B250" i="1"/>
  <c r="D249" i="1"/>
  <c r="C249" i="1"/>
  <c r="B249" i="1"/>
  <c r="H249" i="1"/>
  <c r="K249" i="1"/>
  <c r="L249" i="1"/>
  <c r="E256" i="1" l="1"/>
  <c r="E260" i="1"/>
  <c r="G280" i="1"/>
  <c r="E277" i="1"/>
  <c r="J278" i="1" s="1"/>
  <c r="I280" i="1"/>
  <c r="I281" i="1"/>
  <c r="E268" i="1"/>
  <c r="G268" i="1" s="1"/>
  <c r="E271" i="1"/>
  <c r="G271" i="1" s="1"/>
  <c r="E255" i="1"/>
  <c r="G255" i="1" s="1"/>
  <c r="E249" i="1"/>
  <c r="E250" i="1"/>
  <c r="I250" i="1" s="1"/>
  <c r="E252" i="1"/>
  <c r="I253" i="1" s="1"/>
  <c r="E258" i="1"/>
  <c r="G258" i="1" s="1"/>
  <c r="E259" i="1"/>
  <c r="G259" i="1" s="1"/>
  <c r="E261" i="1"/>
  <c r="J261" i="1" s="1"/>
  <c r="E265" i="1"/>
  <c r="G265" i="1" s="1"/>
  <c r="E266" i="1"/>
  <c r="G266" i="1" s="1"/>
  <c r="E276" i="1"/>
  <c r="I279" i="1"/>
  <c r="E264" i="1"/>
  <c r="G264" i="1" s="1"/>
  <c r="I266" i="1"/>
  <c r="E273" i="1"/>
  <c r="G273" i="1" s="1"/>
  <c r="E270" i="1"/>
  <c r="G270" i="1" s="1"/>
  <c r="E272" i="1"/>
  <c r="G272" i="1" s="1"/>
  <c r="E275" i="1"/>
  <c r="J276" i="1" s="1"/>
  <c r="E251" i="1"/>
  <c r="E254" i="1"/>
  <c r="I254" i="1" s="1"/>
  <c r="E263" i="1"/>
  <c r="I264" i="1" s="1"/>
  <c r="E269" i="1"/>
  <c r="E274" i="1"/>
  <c r="J274" i="1" s="1"/>
  <c r="E267" i="1"/>
  <c r="G267" i="1" s="1"/>
  <c r="J272" i="1"/>
  <c r="I272" i="1"/>
  <c r="G256" i="1"/>
  <c r="I256" i="1"/>
  <c r="G276" i="1"/>
  <c r="G251" i="1"/>
  <c r="G254" i="1"/>
  <c r="J254" i="1"/>
  <c r="J257" i="1"/>
  <c r="I257" i="1"/>
  <c r="G257" i="1"/>
  <c r="G249" i="1"/>
  <c r="G275" i="1"/>
  <c r="J253" i="1"/>
  <c r="I252" i="1"/>
  <c r="G260" i="1"/>
  <c r="I258" i="1"/>
  <c r="J266" i="1"/>
  <c r="G262" i="1"/>
  <c r="J277" i="1" l="1"/>
  <c r="G252" i="1"/>
  <c r="J269" i="1"/>
  <c r="I278" i="1"/>
  <c r="J265" i="1"/>
  <c r="I265" i="1"/>
  <c r="I261" i="1"/>
  <c r="J271" i="1"/>
  <c r="J262" i="1"/>
  <c r="I259" i="1"/>
  <c r="G274" i="1"/>
  <c r="I273" i="1"/>
  <c r="I269" i="1"/>
  <c r="I260" i="1"/>
  <c r="G269" i="1"/>
  <c r="I277" i="1"/>
  <c r="J260" i="1"/>
  <c r="G277" i="1"/>
  <c r="J263" i="1"/>
  <c r="I255" i="1"/>
  <c r="J267" i="1"/>
  <c r="I276" i="1"/>
  <c r="J251" i="1"/>
  <c r="J256" i="1"/>
  <c r="I262" i="1"/>
  <c r="J259" i="1"/>
  <c r="G250" i="1"/>
  <c r="J250" i="1"/>
  <c r="J273" i="1"/>
  <c r="G261" i="1"/>
  <c r="I274" i="1"/>
  <c r="I263" i="1"/>
  <c r="J258" i="1"/>
  <c r="J264" i="1"/>
  <c r="J255" i="1"/>
  <c r="J252" i="1"/>
  <c r="I251" i="1"/>
  <c r="I271" i="1"/>
  <c r="I268" i="1"/>
  <c r="I275" i="1"/>
  <c r="J270" i="1"/>
  <c r="J268" i="1"/>
  <c r="I270" i="1"/>
  <c r="G263" i="1"/>
  <c r="J275" i="1"/>
  <c r="I267" i="1"/>
  <c r="L248" i="1"/>
  <c r="K248" i="1"/>
  <c r="H248" i="1"/>
  <c r="D248" i="1"/>
  <c r="C248" i="1"/>
  <c r="B248" i="1"/>
  <c r="D247" i="1"/>
  <c r="C247" i="1"/>
  <c r="B247" i="1"/>
  <c r="H247" i="1"/>
  <c r="K247" i="1"/>
  <c r="L247" i="1"/>
  <c r="D246" i="1"/>
  <c r="C246" i="1"/>
  <c r="B246" i="1"/>
  <c r="H246" i="1"/>
  <c r="K246" i="1"/>
  <c r="L246" i="1"/>
  <c r="D245" i="1"/>
  <c r="C245" i="1"/>
  <c r="B245" i="1"/>
  <c r="H245" i="1"/>
  <c r="K245" i="1"/>
  <c r="H244" i="1"/>
  <c r="K244" i="1"/>
  <c r="L244" i="1"/>
  <c r="D244" i="1"/>
  <c r="C244" i="1"/>
  <c r="B244" i="1"/>
  <c r="L228" i="1"/>
  <c r="L229" i="1"/>
  <c r="L230" i="1"/>
  <c r="L231" i="1"/>
  <c r="L232" i="1"/>
  <c r="L233" i="1"/>
  <c r="L234" i="1"/>
  <c r="L235" i="1"/>
  <c r="L236" i="1"/>
  <c r="L237" i="1"/>
  <c r="L238" i="1"/>
  <c r="L239" i="1"/>
  <c r="L240" i="1"/>
  <c r="L241" i="1"/>
  <c r="L242" i="1"/>
  <c r="L243" i="1"/>
  <c r="L227" i="1"/>
  <c r="L176" i="1"/>
  <c r="L177" i="1"/>
  <c r="L178" i="1"/>
  <c r="L179" i="1"/>
  <c r="L180" i="1"/>
  <c r="L181" i="1"/>
  <c r="L182" i="1"/>
  <c r="L183" i="1"/>
  <c r="L184" i="1"/>
  <c r="L185" i="1"/>
  <c r="L186" i="1"/>
  <c r="L187" i="1"/>
  <c r="L188" i="1"/>
  <c r="L189" i="1"/>
  <c r="L190" i="1"/>
  <c r="L191" i="1"/>
  <c r="L192"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175" i="1"/>
  <c r="E247" i="1" l="1"/>
  <c r="G247" i="1" s="1"/>
  <c r="E248" i="1"/>
  <c r="J249" i="1" s="1"/>
  <c r="E244" i="1"/>
  <c r="G244" i="1" s="1"/>
  <c r="E245" i="1"/>
  <c r="G245" i="1" s="1"/>
  <c r="E246" i="1"/>
  <c r="I247" i="1" s="1"/>
  <c r="D243" i="1"/>
  <c r="C243" i="1"/>
  <c r="B243" i="1"/>
  <c r="H243" i="1"/>
  <c r="K243" i="1"/>
  <c r="D242" i="1"/>
  <c r="C242" i="1"/>
  <c r="B242" i="1"/>
  <c r="H242" i="1"/>
  <c r="K242" i="1"/>
  <c r="D241" i="1"/>
  <c r="C241" i="1"/>
  <c r="B241" i="1"/>
  <c r="H241" i="1"/>
  <c r="K241" i="1"/>
  <c r="D240" i="1"/>
  <c r="C240" i="1"/>
  <c r="B240" i="1"/>
  <c r="H240" i="1"/>
  <c r="K240" i="1"/>
  <c r="D239" i="1"/>
  <c r="C239" i="1"/>
  <c r="B239" i="1"/>
  <c r="H239" i="1"/>
  <c r="K239" i="1"/>
  <c r="D238" i="1"/>
  <c r="C238" i="1"/>
  <c r="B238" i="1"/>
  <c r="H238" i="1"/>
  <c r="K238" i="1"/>
  <c r="D237" i="1"/>
  <c r="C237" i="1"/>
  <c r="B237" i="1"/>
  <c r="H237" i="1"/>
  <c r="K237" i="1"/>
  <c r="D236" i="1"/>
  <c r="C236" i="1"/>
  <c r="B236" i="1"/>
  <c r="H236" i="1"/>
  <c r="K236" i="1"/>
  <c r="D235" i="1"/>
  <c r="C235" i="1"/>
  <c r="B235" i="1"/>
  <c r="H235" i="1"/>
  <c r="K235" i="1"/>
  <c r="D234" i="1"/>
  <c r="C234" i="1"/>
  <c r="B234" i="1"/>
  <c r="H234" i="1"/>
  <c r="K234" i="1"/>
  <c r="H233" i="1"/>
  <c r="K233" i="1"/>
  <c r="D233" i="1"/>
  <c r="C233" i="1"/>
  <c r="B233" i="1"/>
  <c r="D232" i="1"/>
  <c r="C232" i="1"/>
  <c r="B232" i="1"/>
  <c r="H232" i="1"/>
  <c r="K232" i="1"/>
  <c r="D231" i="1"/>
  <c r="C231" i="1"/>
  <c r="B231" i="1"/>
  <c r="H231" i="1"/>
  <c r="K231" i="1"/>
  <c r="D230" i="1"/>
  <c r="C230" i="1"/>
  <c r="B230" i="1"/>
  <c r="H230" i="1"/>
  <c r="K230" i="1"/>
  <c r="K229" i="1"/>
  <c r="H229" i="1"/>
  <c r="D229" i="1"/>
  <c r="C229" i="1"/>
  <c r="B229" i="1"/>
  <c r="E232" i="1" l="1"/>
  <c r="E234" i="1"/>
  <c r="E235" i="1"/>
  <c r="E243" i="1"/>
  <c r="I244" i="1" s="1"/>
  <c r="G246" i="1"/>
  <c r="J248" i="1"/>
  <c r="J247" i="1"/>
  <c r="E240" i="1"/>
  <c r="G240" i="1" s="1"/>
  <c r="G248" i="1"/>
  <c r="I248" i="1"/>
  <c r="I249" i="1"/>
  <c r="E236" i="1"/>
  <c r="G236" i="1" s="1"/>
  <c r="J245" i="1"/>
  <c r="I245" i="1"/>
  <c r="I246" i="1"/>
  <c r="J246" i="1"/>
  <c r="E229" i="1"/>
  <c r="E230" i="1"/>
  <c r="G230" i="1" s="1"/>
  <c r="E231" i="1"/>
  <c r="E233" i="1"/>
  <c r="I233" i="1" s="1"/>
  <c r="E237" i="1"/>
  <c r="I237" i="1" s="1"/>
  <c r="E238" i="1"/>
  <c r="G238" i="1" s="1"/>
  <c r="E239" i="1"/>
  <c r="E241" i="1"/>
  <c r="I241" i="1" s="1"/>
  <c r="E242" i="1"/>
  <c r="G229" i="1"/>
  <c r="G231" i="1"/>
  <c r="G237" i="1"/>
  <c r="I238" i="1"/>
  <c r="G239" i="1"/>
  <c r="G232" i="1"/>
  <c r="G234" i="1"/>
  <c r="J235" i="1"/>
  <c r="G235" i="1"/>
  <c r="I235" i="1"/>
  <c r="G243" i="1"/>
  <c r="I243" i="1"/>
  <c r="J244" i="1"/>
  <c r="J239" i="1" l="1"/>
  <c r="I234" i="1"/>
  <c r="J233" i="1"/>
  <c r="I236" i="1"/>
  <c r="J234" i="1"/>
  <c r="G233" i="1"/>
  <c r="J236" i="1"/>
  <c r="I240" i="1"/>
  <c r="G241" i="1"/>
  <c r="J237" i="1"/>
  <c r="J240" i="1"/>
  <c r="J231" i="1"/>
  <c r="I230" i="1"/>
  <c r="J241" i="1"/>
  <c r="I239" i="1"/>
  <c r="J232" i="1"/>
  <c r="J242" i="1"/>
  <c r="J230" i="1"/>
  <c r="I232" i="1"/>
  <c r="I242" i="1"/>
  <c r="G242" i="1"/>
  <c r="J243" i="1"/>
  <c r="J238" i="1"/>
  <c r="I231" i="1"/>
  <c r="D228" i="1"/>
  <c r="C228" i="1"/>
  <c r="B228" i="1"/>
  <c r="H228" i="1"/>
  <c r="K228" i="1"/>
  <c r="D227" i="1"/>
  <c r="C227" i="1"/>
  <c r="B227" i="1"/>
  <c r="H227" i="1"/>
  <c r="K227" i="1"/>
  <c r="D226" i="1"/>
  <c r="C226" i="1"/>
  <c r="B226" i="1"/>
  <c r="H226" i="1"/>
  <c r="K226" i="1"/>
  <c r="D225" i="1"/>
  <c r="C225" i="1"/>
  <c r="B225" i="1"/>
  <c r="H225" i="1"/>
  <c r="K225" i="1"/>
  <c r="D224" i="1"/>
  <c r="C224" i="1"/>
  <c r="B224" i="1"/>
  <c r="H224" i="1"/>
  <c r="K224" i="1"/>
  <c r="D223" i="1"/>
  <c r="C223" i="1"/>
  <c r="B223" i="1"/>
  <c r="H223" i="1"/>
  <c r="K223" i="1"/>
  <c r="D222" i="1"/>
  <c r="C222" i="1"/>
  <c r="B222" i="1"/>
  <c r="H222" i="1"/>
  <c r="K222" i="1"/>
  <c r="D221" i="1"/>
  <c r="C221" i="1"/>
  <c r="B221" i="1"/>
  <c r="E221" i="1" l="1"/>
  <c r="E222" i="1"/>
  <c r="G222" i="1" s="1"/>
  <c r="E223" i="1"/>
  <c r="G223" i="1" s="1"/>
  <c r="E224" i="1"/>
  <c r="G224" i="1" s="1"/>
  <c r="E225" i="1"/>
  <c r="G225" i="1" s="1"/>
  <c r="E226" i="1"/>
  <c r="E227" i="1"/>
  <c r="G227" i="1" s="1"/>
  <c r="E228" i="1"/>
  <c r="J229" i="1" s="1"/>
  <c r="H221" i="1"/>
  <c r="K221" i="1"/>
  <c r="D220" i="1"/>
  <c r="C220" i="1"/>
  <c r="B220" i="1"/>
  <c r="H220" i="1"/>
  <c r="K220" i="1"/>
  <c r="D219" i="1"/>
  <c r="C219" i="1"/>
  <c r="B219" i="1"/>
  <c r="H219" i="1"/>
  <c r="K219" i="1"/>
  <c r="D218" i="1"/>
  <c r="C218" i="1"/>
  <c r="B218" i="1"/>
  <c r="H218" i="1"/>
  <c r="K218" i="1"/>
  <c r="D217" i="1"/>
  <c r="C217" i="1"/>
  <c r="B217" i="1"/>
  <c r="H217" i="1"/>
  <c r="K217" i="1"/>
  <c r="D216" i="1"/>
  <c r="C216" i="1"/>
  <c r="B216" i="1"/>
  <c r="H216" i="1"/>
  <c r="K216" i="1"/>
  <c r="D215" i="1"/>
  <c r="C215" i="1"/>
  <c r="B215" i="1"/>
  <c r="H215" i="1"/>
  <c r="K215" i="1"/>
  <c r="D214" i="1"/>
  <c r="C214" i="1"/>
  <c r="B214" i="1"/>
  <c r="H214" i="1"/>
  <c r="K214" i="1"/>
  <c r="D213" i="1"/>
  <c r="C213" i="1"/>
  <c r="B213" i="1"/>
  <c r="H213" i="1"/>
  <c r="K213" i="1"/>
  <c r="D212" i="1"/>
  <c r="C212" i="1"/>
  <c r="B212" i="1"/>
  <c r="H212" i="1"/>
  <c r="K212" i="1"/>
  <c r="D211" i="1"/>
  <c r="C211" i="1"/>
  <c r="B211" i="1"/>
  <c r="H211" i="1"/>
  <c r="K211" i="1"/>
  <c r="D210" i="1"/>
  <c r="C210" i="1"/>
  <c r="B210" i="1"/>
  <c r="H210" i="1"/>
  <c r="K210" i="1"/>
  <c r="D209" i="1"/>
  <c r="C209" i="1"/>
  <c r="B209" i="1"/>
  <c r="H209" i="1"/>
  <c r="K209" i="1"/>
  <c r="D208" i="1"/>
  <c r="C208" i="1"/>
  <c r="B208" i="1"/>
  <c r="H208" i="1"/>
  <c r="K208" i="1"/>
  <c r="D207" i="1"/>
  <c r="C207" i="1"/>
  <c r="B207" i="1"/>
  <c r="H207" i="1"/>
  <c r="K207" i="1"/>
  <c r="D206" i="1"/>
  <c r="C206" i="1"/>
  <c r="B206" i="1"/>
  <c r="H206" i="1"/>
  <c r="K206" i="1"/>
  <c r="D205" i="1"/>
  <c r="C205" i="1"/>
  <c r="B205" i="1"/>
  <c r="H205" i="1"/>
  <c r="K205" i="1"/>
  <c r="D204" i="1"/>
  <c r="C204" i="1"/>
  <c r="B204" i="1"/>
  <c r="H204" i="1"/>
  <c r="K204" i="1"/>
  <c r="D203" i="1"/>
  <c r="C203" i="1"/>
  <c r="B203" i="1"/>
  <c r="H203" i="1"/>
  <c r="K203" i="1"/>
  <c r="D202" i="1"/>
  <c r="C202" i="1"/>
  <c r="B202" i="1"/>
  <c r="H202" i="1"/>
  <c r="K202" i="1"/>
  <c r="D201" i="1"/>
  <c r="C201" i="1"/>
  <c r="B201" i="1"/>
  <c r="H201" i="1"/>
  <c r="K201" i="1"/>
  <c r="D200" i="1"/>
  <c r="C200" i="1"/>
  <c r="B200" i="1"/>
  <c r="H200" i="1"/>
  <c r="K200" i="1"/>
  <c r="D199" i="1"/>
  <c r="C199" i="1"/>
  <c r="B199" i="1"/>
  <c r="H199" i="1"/>
  <c r="K199" i="1"/>
  <c r="D198" i="1"/>
  <c r="C198" i="1"/>
  <c r="B198" i="1"/>
  <c r="H198" i="1"/>
  <c r="K198" i="1"/>
  <c r="K197" i="1"/>
  <c r="H197" i="1"/>
  <c r="C197" i="1"/>
  <c r="D197" i="1"/>
  <c r="B197" i="1"/>
  <c r="D196" i="1"/>
  <c r="C196" i="1"/>
  <c r="B196" i="1"/>
  <c r="H196" i="1"/>
  <c r="K196" i="1"/>
  <c r="D195" i="1"/>
  <c r="C195" i="1"/>
  <c r="B195" i="1"/>
  <c r="H195" i="1"/>
  <c r="K195" i="1"/>
  <c r="D194" i="1"/>
  <c r="C194" i="1"/>
  <c r="B194" i="1"/>
  <c r="H194" i="1"/>
  <c r="K194" i="1"/>
  <c r="D193" i="1"/>
  <c r="C193" i="1"/>
  <c r="B193" i="1"/>
  <c r="H193" i="1"/>
  <c r="K193" i="1"/>
  <c r="D192" i="1"/>
  <c r="C192" i="1"/>
  <c r="B192" i="1"/>
  <c r="H192" i="1"/>
  <c r="K192" i="1"/>
  <c r="D191" i="1"/>
  <c r="C191" i="1"/>
  <c r="B191" i="1"/>
  <c r="H191" i="1"/>
  <c r="K191" i="1"/>
  <c r="D190" i="1"/>
  <c r="C190" i="1"/>
  <c r="B190" i="1"/>
  <c r="H190" i="1"/>
  <c r="K190" i="1"/>
  <c r="D189" i="1"/>
  <c r="C189" i="1"/>
  <c r="B189" i="1"/>
  <c r="H189" i="1"/>
  <c r="K189" i="1"/>
  <c r="D188" i="1"/>
  <c r="C188" i="1"/>
  <c r="B188" i="1"/>
  <c r="H188" i="1"/>
  <c r="K188" i="1"/>
  <c r="D187" i="1"/>
  <c r="C187" i="1"/>
  <c r="B187" i="1"/>
  <c r="H187" i="1"/>
  <c r="K187" i="1"/>
  <c r="D186" i="1"/>
  <c r="C186" i="1"/>
  <c r="B186" i="1"/>
  <c r="H186" i="1"/>
  <c r="K186" i="1"/>
  <c r="H185" i="1"/>
  <c r="K185" i="1"/>
  <c r="D185" i="1"/>
  <c r="C185" i="1"/>
  <c r="B185" i="1"/>
  <c r="D184" i="1"/>
  <c r="C184" i="1"/>
  <c r="B184" i="1"/>
  <c r="H184" i="1"/>
  <c r="K184" i="1"/>
  <c r="D183" i="1"/>
  <c r="C183" i="1"/>
  <c r="B183" i="1"/>
  <c r="H183" i="1"/>
  <c r="K183" i="1"/>
  <c r="D182" i="1"/>
  <c r="C182" i="1"/>
  <c r="B182" i="1"/>
  <c r="H182" i="1"/>
  <c r="K182" i="1"/>
  <c r="D181" i="1"/>
  <c r="C181" i="1"/>
  <c r="B181" i="1"/>
  <c r="H181" i="1"/>
  <c r="K181" i="1"/>
  <c r="D180" i="1"/>
  <c r="C180" i="1"/>
  <c r="B180" i="1"/>
  <c r="H180" i="1"/>
  <c r="K180" i="1"/>
  <c r="D179" i="1"/>
  <c r="C179" i="1"/>
  <c r="B179" i="1"/>
  <c r="H179" i="1"/>
  <c r="K179" i="1"/>
  <c r="D178" i="1"/>
  <c r="C178" i="1"/>
  <c r="B178" i="1"/>
  <c r="H178" i="1"/>
  <c r="K178" i="1"/>
  <c r="D177" i="1"/>
  <c r="C177" i="1"/>
  <c r="B177" i="1"/>
  <c r="H177" i="1"/>
  <c r="K177" i="1"/>
  <c r="H176" i="1"/>
  <c r="K176" i="1"/>
  <c r="D176" i="1"/>
  <c r="C176" i="1"/>
  <c r="B176" i="1"/>
  <c r="D175" i="1"/>
  <c r="C175" i="1"/>
  <c r="B175" i="1"/>
  <c r="H175" i="1"/>
  <c r="K175" i="1"/>
  <c r="D174" i="1"/>
  <c r="C174" i="1"/>
  <c r="B174" i="1"/>
  <c r="H174" i="1"/>
  <c r="K174" i="1"/>
  <c r="D173" i="1"/>
  <c r="C173" i="1"/>
  <c r="B173" i="1"/>
  <c r="H173" i="1"/>
  <c r="K173" i="1"/>
  <c r="D172" i="1"/>
  <c r="C172" i="1"/>
  <c r="B172" i="1"/>
  <c r="H172" i="1"/>
  <c r="K172" i="1"/>
  <c r="D171" i="1"/>
  <c r="C171" i="1"/>
  <c r="B171" i="1"/>
  <c r="H171" i="1"/>
  <c r="K171" i="1"/>
  <c r="D170" i="1"/>
  <c r="C170" i="1"/>
  <c r="B170" i="1"/>
  <c r="H170" i="1"/>
  <c r="K170" i="1"/>
  <c r="D169" i="1"/>
  <c r="C169" i="1"/>
  <c r="B169" i="1"/>
  <c r="H169" i="1"/>
  <c r="K169" i="1"/>
  <c r="D168" i="1"/>
  <c r="C168" i="1"/>
  <c r="B168" i="1"/>
  <c r="H168" i="1"/>
  <c r="K168" i="1"/>
  <c r="D167" i="1"/>
  <c r="C167" i="1"/>
  <c r="B167" i="1"/>
  <c r="H167" i="1"/>
  <c r="K167" i="1"/>
  <c r="D166" i="1"/>
  <c r="C166" i="1"/>
  <c r="B166" i="1"/>
  <c r="H166" i="1"/>
  <c r="K166" i="1"/>
  <c r="D165" i="1"/>
  <c r="C165" i="1"/>
  <c r="B165" i="1"/>
  <c r="H165" i="1"/>
  <c r="K165" i="1"/>
  <c r="D164" i="1"/>
  <c r="C164" i="1"/>
  <c r="B164" i="1"/>
  <c r="H164" i="1"/>
  <c r="K164" i="1"/>
  <c r="D163" i="1"/>
  <c r="C163" i="1"/>
  <c r="B163" i="1"/>
  <c r="H163" i="1"/>
  <c r="K163" i="1"/>
  <c r="H162" i="1"/>
  <c r="K162" i="1"/>
  <c r="D162" i="1"/>
  <c r="C162" i="1"/>
  <c r="B162" i="1"/>
  <c r="D161" i="1"/>
  <c r="C161" i="1"/>
  <c r="B161" i="1"/>
  <c r="H161" i="1"/>
  <c r="K161" i="1"/>
  <c r="D160" i="1"/>
  <c r="C160" i="1"/>
  <c r="B160" i="1"/>
  <c r="H160" i="1"/>
  <c r="K160" i="1"/>
  <c r="D159" i="1"/>
  <c r="C159" i="1"/>
  <c r="B159" i="1"/>
  <c r="H159" i="1"/>
  <c r="K159" i="1"/>
  <c r="D158" i="1"/>
  <c r="C158" i="1"/>
  <c r="B158" i="1"/>
  <c r="H158" i="1"/>
  <c r="K158" i="1"/>
  <c r="H157" i="1"/>
  <c r="K157" i="1"/>
  <c r="D157" i="1"/>
  <c r="C157" i="1"/>
  <c r="B157" i="1"/>
  <c r="D156" i="1"/>
  <c r="C156" i="1"/>
  <c r="B156" i="1"/>
  <c r="H156" i="1"/>
  <c r="K156" i="1"/>
  <c r="H155" i="1"/>
  <c r="K155" i="1"/>
  <c r="D155" i="1"/>
  <c r="C155" i="1"/>
  <c r="B155" i="1"/>
  <c r="D154" i="1"/>
  <c r="C154" i="1"/>
  <c r="B154" i="1"/>
  <c r="H154" i="1"/>
  <c r="K154" i="1"/>
  <c r="H153" i="1"/>
  <c r="K153" i="1"/>
  <c r="D153" i="1"/>
  <c r="C153" i="1"/>
  <c r="B153" i="1"/>
  <c r="D152" i="1"/>
  <c r="C152" i="1"/>
  <c r="B152" i="1"/>
  <c r="H152" i="1"/>
  <c r="K152" i="1"/>
  <c r="D151" i="1"/>
  <c r="C151" i="1"/>
  <c r="B151" i="1"/>
  <c r="H151" i="1"/>
  <c r="K151" i="1"/>
  <c r="D150" i="1"/>
  <c r="C150" i="1"/>
  <c r="B150" i="1"/>
  <c r="H150" i="1"/>
  <c r="K150" i="1"/>
  <c r="D149" i="1"/>
  <c r="C149" i="1"/>
  <c r="B149" i="1"/>
  <c r="H149" i="1"/>
  <c r="K149" i="1"/>
  <c r="D148" i="1"/>
  <c r="C148" i="1"/>
  <c r="B148" i="1"/>
  <c r="H148" i="1"/>
  <c r="K148" i="1"/>
  <c r="K147" i="1"/>
  <c r="D147" i="1"/>
  <c r="C147" i="1"/>
  <c r="B147" i="1"/>
  <c r="H147" i="1"/>
  <c r="D146" i="1"/>
  <c r="C146" i="1"/>
  <c r="B146" i="1"/>
  <c r="H146" i="1"/>
  <c r="K146" i="1"/>
  <c r="D145" i="1"/>
  <c r="C145" i="1"/>
  <c r="B145" i="1"/>
  <c r="H145" i="1"/>
  <c r="K145" i="1"/>
  <c r="D144" i="1"/>
  <c r="C144" i="1"/>
  <c r="B144" i="1"/>
  <c r="H144" i="1"/>
  <c r="K144" i="1"/>
  <c r="D143" i="1"/>
  <c r="C143" i="1"/>
  <c r="B143" i="1"/>
  <c r="H143" i="1"/>
  <c r="K143" i="1"/>
  <c r="D142" i="1"/>
  <c r="C142" i="1"/>
  <c r="B142" i="1"/>
  <c r="H142" i="1"/>
  <c r="K142" i="1"/>
  <c r="D141" i="1"/>
  <c r="C141" i="1"/>
  <c r="B141" i="1"/>
  <c r="H141" i="1"/>
  <c r="D140" i="1"/>
  <c r="C140" i="1"/>
  <c r="B140" i="1"/>
  <c r="H140" i="1"/>
  <c r="B139" i="1"/>
  <c r="C139" i="1"/>
  <c r="D139" i="1"/>
  <c r="K140" i="1"/>
  <c r="H139" i="1"/>
  <c r="B138" i="1"/>
  <c r="C138" i="1"/>
  <c r="D138" i="1"/>
  <c r="K139" i="1"/>
  <c r="H138" i="1"/>
  <c r="B137" i="1"/>
  <c r="C137" i="1"/>
  <c r="D137" i="1"/>
  <c r="K138" i="1"/>
  <c r="H137" i="1"/>
  <c r="B136" i="1"/>
  <c r="C136" i="1"/>
  <c r="D136" i="1"/>
  <c r="K137" i="1"/>
  <c r="H136" i="1"/>
  <c r="B135" i="1"/>
  <c r="C135" i="1"/>
  <c r="D135" i="1"/>
  <c r="K136" i="1"/>
  <c r="B134" i="1"/>
  <c r="C134" i="1"/>
  <c r="D134" i="1"/>
  <c r="H135" i="1"/>
  <c r="K135" i="1"/>
  <c r="H134" i="1"/>
  <c r="B133" i="1"/>
  <c r="C133" i="1"/>
  <c r="D133" i="1"/>
  <c r="K134" i="1"/>
  <c r="B132" i="1"/>
  <c r="C132" i="1"/>
  <c r="D132" i="1"/>
  <c r="H133" i="1"/>
  <c r="K133" i="1"/>
  <c r="F89" i="1"/>
  <c r="H90" i="1" s="1"/>
  <c r="B71" i="1"/>
  <c r="C71" i="1"/>
  <c r="D71" i="1"/>
  <c r="B72" i="1"/>
  <c r="C72" i="1"/>
  <c r="D72" i="1"/>
  <c r="B73" i="1"/>
  <c r="C73" i="1"/>
  <c r="D73" i="1"/>
  <c r="B74" i="1"/>
  <c r="C74" i="1"/>
  <c r="D74" i="1"/>
  <c r="B75" i="1"/>
  <c r="C75" i="1"/>
  <c r="D75" i="1"/>
  <c r="B76" i="1"/>
  <c r="C76" i="1"/>
  <c r="D76" i="1"/>
  <c r="B77" i="1"/>
  <c r="C77" i="1"/>
  <c r="D77" i="1"/>
  <c r="C78" i="1"/>
  <c r="D78" i="1"/>
  <c r="B79" i="1"/>
  <c r="C79" i="1"/>
  <c r="D79" i="1"/>
  <c r="B80" i="1"/>
  <c r="C80" i="1"/>
  <c r="D80" i="1"/>
  <c r="B81" i="1"/>
  <c r="C81" i="1"/>
  <c r="D81" i="1"/>
  <c r="B82" i="1"/>
  <c r="C82" i="1"/>
  <c r="D82" i="1"/>
  <c r="B83" i="1"/>
  <c r="C83" i="1"/>
  <c r="D83" i="1"/>
  <c r="B84" i="1"/>
  <c r="C84" i="1"/>
  <c r="D84" i="1"/>
  <c r="B85" i="1"/>
  <c r="C85" i="1"/>
  <c r="D85" i="1"/>
  <c r="B86" i="1"/>
  <c r="C86" i="1"/>
  <c r="D86" i="1"/>
  <c r="B87" i="1"/>
  <c r="C87" i="1"/>
  <c r="D87" i="1"/>
  <c r="B88" i="1"/>
  <c r="C88" i="1"/>
  <c r="D88" i="1"/>
  <c r="B89" i="1"/>
  <c r="C89" i="1"/>
  <c r="D89" i="1"/>
  <c r="B90" i="1"/>
  <c r="C90" i="1"/>
  <c r="D90" i="1"/>
  <c r="B91" i="1"/>
  <c r="C91" i="1"/>
  <c r="D91" i="1"/>
  <c r="B92" i="1"/>
  <c r="C92" i="1"/>
  <c r="D92" i="1"/>
  <c r="B93" i="1"/>
  <c r="C93" i="1"/>
  <c r="D93" i="1"/>
  <c r="B94" i="1"/>
  <c r="C94" i="1"/>
  <c r="D94" i="1"/>
  <c r="B95" i="1"/>
  <c r="C95" i="1"/>
  <c r="D95" i="1"/>
  <c r="B96" i="1"/>
  <c r="C96" i="1"/>
  <c r="D96" i="1"/>
  <c r="B97" i="1"/>
  <c r="C97" i="1"/>
  <c r="D97" i="1"/>
  <c r="B98" i="1"/>
  <c r="C98" i="1"/>
  <c r="D98" i="1"/>
  <c r="B99" i="1"/>
  <c r="C99" i="1"/>
  <c r="D99" i="1"/>
  <c r="B100" i="1"/>
  <c r="C100" i="1"/>
  <c r="D100" i="1"/>
  <c r="B101" i="1"/>
  <c r="C101" i="1"/>
  <c r="D101" i="1"/>
  <c r="B102" i="1"/>
  <c r="C102" i="1"/>
  <c r="D102" i="1"/>
  <c r="E103" i="1"/>
  <c r="B104" i="1"/>
  <c r="C104" i="1"/>
  <c r="D104" i="1"/>
  <c r="B105" i="1"/>
  <c r="C105" i="1"/>
  <c r="D105" i="1"/>
  <c r="B106" i="1"/>
  <c r="C106" i="1"/>
  <c r="D106" i="1"/>
  <c r="B107" i="1"/>
  <c r="C107" i="1"/>
  <c r="D107" i="1"/>
  <c r="B108" i="1"/>
  <c r="C108" i="1"/>
  <c r="D108" i="1"/>
  <c r="B109" i="1"/>
  <c r="C109" i="1"/>
  <c r="D109" i="1"/>
  <c r="B110" i="1"/>
  <c r="C110" i="1"/>
  <c r="D110" i="1"/>
  <c r="B111" i="1"/>
  <c r="C111" i="1"/>
  <c r="D111" i="1"/>
  <c r="B112" i="1"/>
  <c r="C112" i="1"/>
  <c r="D112" i="1"/>
  <c r="B113" i="1"/>
  <c r="C113" i="1"/>
  <c r="D113" i="1"/>
  <c r="B114" i="1"/>
  <c r="C114" i="1"/>
  <c r="D114" i="1"/>
  <c r="B115" i="1"/>
  <c r="C115" i="1"/>
  <c r="D115" i="1"/>
  <c r="B116" i="1"/>
  <c r="C116" i="1"/>
  <c r="D116" i="1"/>
  <c r="B117" i="1"/>
  <c r="C117" i="1"/>
  <c r="D117" i="1"/>
  <c r="B118" i="1"/>
  <c r="C118" i="1"/>
  <c r="D118" i="1"/>
  <c r="B119" i="1"/>
  <c r="C119" i="1"/>
  <c r="D119" i="1"/>
  <c r="B120" i="1"/>
  <c r="C120" i="1"/>
  <c r="D120" i="1"/>
  <c r="B121" i="1"/>
  <c r="C121" i="1"/>
  <c r="D121" i="1"/>
  <c r="B122" i="1"/>
  <c r="C122" i="1"/>
  <c r="D122" i="1"/>
  <c r="E19" i="1"/>
  <c r="G19" i="1" s="1"/>
  <c r="E20" i="1"/>
  <c r="E21" i="1"/>
  <c r="E22" i="1"/>
  <c r="E23" i="1"/>
  <c r="E24" i="1"/>
  <c r="G24" i="1" s="1"/>
  <c r="E25" i="1"/>
  <c r="E26" i="1"/>
  <c r="E27" i="1"/>
  <c r="G27" i="1" s="1"/>
  <c r="E28" i="1"/>
  <c r="E29" i="1"/>
  <c r="E30" i="1"/>
  <c r="E31" i="1"/>
  <c r="E32" i="1"/>
  <c r="E33" i="1"/>
  <c r="E34" i="1"/>
  <c r="G34" i="1" s="1"/>
  <c r="E35" i="1"/>
  <c r="E36" i="1"/>
  <c r="E37" i="1"/>
  <c r="E38" i="1"/>
  <c r="E39" i="1"/>
  <c r="B40" i="1"/>
  <c r="C40" i="1"/>
  <c r="D40" i="1"/>
  <c r="B41" i="1"/>
  <c r="C41" i="1"/>
  <c r="D41" i="1"/>
  <c r="B42" i="1"/>
  <c r="C42" i="1"/>
  <c r="B43" i="1"/>
  <c r="C43" i="1"/>
  <c r="D43" i="1"/>
  <c r="E44" i="1"/>
  <c r="G44" i="1" s="1"/>
  <c r="E45" i="1"/>
  <c r="E46" i="1"/>
  <c r="G46" i="1" s="1"/>
  <c r="E47" i="1"/>
  <c r="G47" i="1" s="1"/>
  <c r="B48" i="1"/>
  <c r="C48" i="1"/>
  <c r="D48" i="1"/>
  <c r="B49" i="1"/>
  <c r="C49" i="1"/>
  <c r="D49" i="1"/>
  <c r="B50" i="1"/>
  <c r="C50" i="1"/>
  <c r="D50" i="1"/>
  <c r="B51" i="1"/>
  <c r="C51" i="1"/>
  <c r="D51" i="1"/>
  <c r="B52" i="1"/>
  <c r="C52" i="1"/>
  <c r="D52" i="1"/>
  <c r="B53" i="1"/>
  <c r="C53" i="1"/>
  <c r="D53" i="1"/>
  <c r="B54" i="1"/>
  <c r="C54" i="1"/>
  <c r="D54" i="1"/>
  <c r="B55" i="1"/>
  <c r="C55" i="1"/>
  <c r="D55" i="1"/>
  <c r="B56" i="1"/>
  <c r="C56" i="1"/>
  <c r="D56" i="1"/>
  <c r="B57" i="1"/>
  <c r="C57" i="1"/>
  <c r="D57" i="1"/>
  <c r="B58" i="1"/>
  <c r="C58" i="1"/>
  <c r="D58" i="1"/>
  <c r="B59" i="1"/>
  <c r="C59" i="1"/>
  <c r="D59" i="1"/>
  <c r="B60" i="1"/>
  <c r="C60" i="1"/>
  <c r="D60" i="1"/>
  <c r="B61" i="1"/>
  <c r="C61" i="1"/>
  <c r="D61" i="1"/>
  <c r="B62" i="1"/>
  <c r="C62" i="1"/>
  <c r="D62" i="1"/>
  <c r="B63" i="1"/>
  <c r="C63" i="1"/>
  <c r="D63" i="1"/>
  <c r="B64" i="1"/>
  <c r="C64" i="1"/>
  <c r="D64" i="1"/>
  <c r="B65" i="1"/>
  <c r="C65" i="1"/>
  <c r="D65" i="1"/>
  <c r="B66" i="1"/>
  <c r="C66" i="1"/>
  <c r="D66" i="1"/>
  <c r="B67" i="1"/>
  <c r="C67" i="1"/>
  <c r="D67" i="1"/>
  <c r="B68" i="1"/>
  <c r="C68" i="1"/>
  <c r="D68" i="1"/>
  <c r="B69" i="1"/>
  <c r="C69" i="1"/>
  <c r="D69" i="1"/>
  <c r="B70" i="1"/>
  <c r="C70" i="1"/>
  <c r="D70" i="1"/>
  <c r="B123" i="1"/>
  <c r="C123" i="1"/>
  <c r="D123" i="1"/>
  <c r="B124" i="1"/>
  <c r="C124" i="1"/>
  <c r="D124" i="1"/>
  <c r="B125" i="1"/>
  <c r="C125" i="1"/>
  <c r="D125" i="1"/>
  <c r="E126" i="1"/>
  <c r="B127" i="1"/>
  <c r="C127" i="1"/>
  <c r="D127" i="1"/>
  <c r="B128" i="1"/>
  <c r="C128" i="1"/>
  <c r="D128" i="1"/>
  <c r="B129" i="1"/>
  <c r="C129" i="1"/>
  <c r="D129" i="1"/>
  <c r="B130" i="1"/>
  <c r="C130" i="1"/>
  <c r="D130" i="1"/>
  <c r="B131" i="1"/>
  <c r="C131" i="1"/>
  <c r="D131" i="1"/>
  <c r="H132" i="1"/>
  <c r="K132" i="1"/>
  <c r="H131" i="1"/>
  <c r="K131" i="1"/>
  <c r="H130" i="1"/>
  <c r="K130" i="1"/>
  <c r="H129" i="1"/>
  <c r="K129" i="1"/>
  <c r="H128" i="1"/>
  <c r="K128" i="1"/>
  <c r="H127" i="1"/>
  <c r="K127" i="1"/>
  <c r="H126" i="1"/>
  <c r="K126" i="1"/>
  <c r="H125" i="1"/>
  <c r="K125" i="1"/>
  <c r="H124" i="1"/>
  <c r="K124" i="1"/>
  <c r="H123" i="1"/>
  <c r="K123" i="1"/>
  <c r="H122" i="1"/>
  <c r="K122" i="1"/>
  <c r="H121" i="1"/>
  <c r="K121" i="1"/>
  <c r="H120" i="1"/>
  <c r="K120" i="1"/>
  <c r="H119" i="1"/>
  <c r="K119" i="1"/>
  <c r="H118" i="1"/>
  <c r="K118" i="1"/>
  <c r="H117" i="1"/>
  <c r="K117" i="1"/>
  <c r="H116" i="1"/>
  <c r="K116" i="1"/>
  <c r="H115" i="1"/>
  <c r="K115" i="1"/>
  <c r="H114" i="1"/>
  <c r="K114" i="1"/>
  <c r="H113" i="1"/>
  <c r="K113" i="1"/>
  <c r="H112" i="1"/>
  <c r="K112" i="1"/>
  <c r="H111" i="1"/>
  <c r="K111" i="1"/>
  <c r="H110" i="1"/>
  <c r="K110" i="1"/>
  <c r="H109" i="1"/>
  <c r="K109" i="1"/>
  <c r="H108" i="1"/>
  <c r="K108" i="1"/>
  <c r="H107" i="1"/>
  <c r="K107" i="1"/>
  <c r="H106" i="1"/>
  <c r="K106" i="1"/>
  <c r="H105" i="1"/>
  <c r="K105" i="1"/>
  <c r="H104" i="1"/>
  <c r="K104" i="1"/>
  <c r="K103" i="1"/>
  <c r="H103" i="1"/>
  <c r="G103" i="1"/>
  <c r="H102" i="1"/>
  <c r="K102" i="1"/>
  <c r="H101" i="1"/>
  <c r="K101" i="1"/>
  <c r="H100" i="1"/>
  <c r="K100" i="1"/>
  <c r="H99" i="1"/>
  <c r="K99" i="1"/>
  <c r="H98" i="1"/>
  <c r="K98" i="1"/>
  <c r="H97" i="1"/>
  <c r="K97" i="1"/>
  <c r="H96" i="1"/>
  <c r="K96" i="1"/>
  <c r="H95" i="1"/>
  <c r="K95" i="1"/>
  <c r="H94" i="1"/>
  <c r="K94" i="1"/>
  <c r="H93" i="1"/>
  <c r="K93" i="1"/>
  <c r="H92" i="1"/>
  <c r="K92" i="1"/>
  <c r="H91" i="1"/>
  <c r="K91" i="1"/>
  <c r="K90" i="1"/>
  <c r="H88" i="1"/>
  <c r="K88" i="1"/>
  <c r="H87" i="1"/>
  <c r="K87" i="1"/>
  <c r="H86" i="1"/>
  <c r="K86" i="1"/>
  <c r="H85" i="1"/>
  <c r="K85" i="1"/>
  <c r="H84" i="1"/>
  <c r="K84" i="1"/>
  <c r="H83" i="1"/>
  <c r="K83" i="1"/>
  <c r="H82" i="1"/>
  <c r="K82" i="1"/>
  <c r="H81" i="1"/>
  <c r="K81" i="1"/>
  <c r="H80" i="1"/>
  <c r="K80" i="1"/>
  <c r="H79" i="1"/>
  <c r="K79" i="1"/>
  <c r="H78" i="1"/>
  <c r="K78" i="1"/>
  <c r="H77" i="1"/>
  <c r="K77" i="1"/>
  <c r="H76" i="1"/>
  <c r="K76" i="1"/>
  <c r="H75" i="1"/>
  <c r="K75" i="1"/>
  <c r="H74" i="1"/>
  <c r="K74" i="1"/>
  <c r="H73" i="1"/>
  <c r="K73" i="1"/>
  <c r="H72" i="1"/>
  <c r="K72" i="1"/>
  <c r="H71" i="1"/>
  <c r="K71" i="1"/>
  <c r="K60" i="1"/>
  <c r="K61" i="1"/>
  <c r="K62" i="1"/>
  <c r="K63" i="1"/>
  <c r="K64" i="1"/>
  <c r="K65" i="1"/>
  <c r="K66" i="1"/>
  <c r="K67" i="1"/>
  <c r="K68" i="1"/>
  <c r="K69" i="1"/>
  <c r="K70" i="1"/>
  <c r="K59"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G39" i="1"/>
  <c r="H38" i="1"/>
  <c r="G38" i="1"/>
  <c r="H37" i="1"/>
  <c r="G37" i="1"/>
  <c r="H36" i="1"/>
  <c r="H35" i="1"/>
  <c r="H34" i="1"/>
  <c r="H8" i="1"/>
  <c r="H9" i="1"/>
  <c r="H10" i="1"/>
  <c r="H11" i="1"/>
  <c r="H12" i="1"/>
  <c r="H13" i="1"/>
  <c r="H14" i="1"/>
  <c r="H15" i="1"/>
  <c r="H16" i="1"/>
  <c r="H17" i="1"/>
  <c r="H18" i="1"/>
  <c r="H19" i="1"/>
  <c r="H20" i="1"/>
  <c r="H21" i="1"/>
  <c r="H22" i="1"/>
  <c r="H23" i="1"/>
  <c r="H24" i="1"/>
  <c r="H25" i="1"/>
  <c r="H26" i="1"/>
  <c r="H27" i="1"/>
  <c r="H28" i="1"/>
  <c r="H29" i="1"/>
  <c r="H30" i="1"/>
  <c r="H31" i="1"/>
  <c r="H32" i="1"/>
  <c r="H33" i="1"/>
  <c r="E8" i="1"/>
  <c r="G8" i="1" s="1"/>
  <c r="E7" i="1"/>
  <c r="E9" i="1"/>
  <c r="E10" i="1"/>
  <c r="E11" i="1"/>
  <c r="E12" i="1"/>
  <c r="E13" i="1"/>
  <c r="E14" i="1"/>
  <c r="E15" i="1"/>
  <c r="E16" i="1"/>
  <c r="E17" i="1"/>
  <c r="E18" i="1"/>
  <c r="I22" i="1"/>
  <c r="G21" i="1"/>
  <c r="G23" i="1"/>
  <c r="G26" i="1"/>
  <c r="G29" i="1"/>
  <c r="G31" i="1"/>
  <c r="A11" i="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G17" i="1"/>
  <c r="J36" i="1" l="1"/>
  <c r="G35" i="1"/>
  <c r="E195" i="1"/>
  <c r="E211" i="1"/>
  <c r="J211" i="1" s="1"/>
  <c r="E219" i="1"/>
  <c r="I220" i="1" s="1"/>
  <c r="I35" i="1"/>
  <c r="I27" i="1"/>
  <c r="E220" i="1"/>
  <c r="E198" i="1"/>
  <c r="E206" i="1"/>
  <c r="E214" i="1"/>
  <c r="I45" i="1"/>
  <c r="J226" i="1"/>
  <c r="I13" i="1"/>
  <c r="J38" i="1"/>
  <c r="J37" i="1"/>
  <c r="J32" i="1"/>
  <c r="J31" i="1"/>
  <c r="I28" i="1"/>
  <c r="I23" i="1"/>
  <c r="I20" i="1"/>
  <c r="I34" i="1"/>
  <c r="J27" i="1"/>
  <c r="J25" i="1"/>
  <c r="I222" i="1"/>
  <c r="G30" i="1"/>
  <c r="G20" i="1"/>
  <c r="G28" i="1"/>
  <c r="I30" i="1"/>
  <c r="E149" i="1"/>
  <c r="G149" i="1" s="1"/>
  <c r="E154" i="1"/>
  <c r="G154" i="1" s="1"/>
  <c r="I225" i="1"/>
  <c r="G221" i="1"/>
  <c r="I29" i="1"/>
  <c r="G36" i="1"/>
  <c r="E143" i="1"/>
  <c r="J143" i="1" s="1"/>
  <c r="E175" i="1"/>
  <c r="G175" i="1" s="1"/>
  <c r="E199" i="1"/>
  <c r="G199" i="1" s="1"/>
  <c r="E207" i="1"/>
  <c r="G207" i="1" s="1"/>
  <c r="E215" i="1"/>
  <c r="G226" i="1"/>
  <c r="E196" i="1"/>
  <c r="J196" i="1" s="1"/>
  <c r="E212" i="1"/>
  <c r="G22" i="1"/>
  <c r="I21" i="1"/>
  <c r="J222" i="1"/>
  <c r="A43" i="1"/>
  <c r="A44" i="1" s="1"/>
  <c r="E194" i="1"/>
  <c r="E210" i="1"/>
  <c r="J223" i="1"/>
  <c r="K141" i="1"/>
  <c r="J12" i="1"/>
  <c r="J39" i="1"/>
  <c r="E42" i="1"/>
  <c r="G42" i="1" s="1"/>
  <c r="I39" i="1"/>
  <c r="I32" i="1"/>
  <c r="J23" i="1"/>
  <c r="E145" i="1"/>
  <c r="G145" i="1" s="1"/>
  <c r="E156" i="1"/>
  <c r="G156" i="1" s="1"/>
  <c r="I223" i="1"/>
  <c r="I228" i="1"/>
  <c r="J34" i="1"/>
  <c r="E209" i="1"/>
  <c r="G209" i="1" s="1"/>
  <c r="J228" i="1"/>
  <c r="I26" i="1"/>
  <c r="J17" i="1"/>
  <c r="I9" i="1"/>
  <c r="I47" i="1"/>
  <c r="K89" i="1"/>
  <c r="I38" i="1"/>
  <c r="J29" i="1"/>
  <c r="J21" i="1"/>
  <c r="I229" i="1"/>
  <c r="I33" i="1"/>
  <c r="I36" i="1"/>
  <c r="J20" i="1"/>
  <c r="E152" i="1"/>
  <c r="G152" i="1" s="1"/>
  <c r="J225" i="1"/>
  <c r="I25" i="1"/>
  <c r="H89" i="1"/>
  <c r="G33" i="1"/>
  <c r="G25" i="1"/>
  <c r="I24" i="1"/>
  <c r="G32" i="1"/>
  <c r="E136" i="1"/>
  <c r="G136" i="1" s="1"/>
  <c r="E173" i="1"/>
  <c r="G173" i="1" s="1"/>
  <c r="E200" i="1"/>
  <c r="G200" i="1" s="1"/>
  <c r="E213" i="1"/>
  <c r="I16" i="1"/>
  <c r="E159" i="1"/>
  <c r="G159" i="1" s="1"/>
  <c r="E165" i="1"/>
  <c r="G165" i="1" s="1"/>
  <c r="E169" i="1"/>
  <c r="E171" i="1"/>
  <c r="G171" i="1" s="1"/>
  <c r="E158" i="1"/>
  <c r="G158" i="1" s="1"/>
  <c r="G9" i="1"/>
  <c r="G16" i="1"/>
  <c r="I17" i="1"/>
  <c r="J15" i="1"/>
  <c r="J13" i="1"/>
  <c r="I12" i="1"/>
  <c r="I10" i="1"/>
  <c r="I8" i="1"/>
  <c r="I46" i="1"/>
  <c r="E139" i="1"/>
  <c r="E142" i="1"/>
  <c r="G142" i="1" s="1"/>
  <c r="E161" i="1"/>
  <c r="G161" i="1" s="1"/>
  <c r="E163" i="1"/>
  <c r="G163" i="1" s="1"/>
  <c r="E168" i="1"/>
  <c r="G168" i="1" s="1"/>
  <c r="I227" i="1"/>
  <c r="J224" i="1"/>
  <c r="E132" i="1"/>
  <c r="G132" i="1" s="1"/>
  <c r="J16" i="1"/>
  <c r="G13" i="1"/>
  <c r="G12" i="1"/>
  <c r="I31" i="1"/>
  <c r="J33" i="1"/>
  <c r="J30" i="1"/>
  <c r="J28" i="1"/>
  <c r="J26" i="1"/>
  <c r="J24" i="1"/>
  <c r="J22" i="1"/>
  <c r="I18" i="1"/>
  <c r="I14" i="1"/>
  <c r="J9" i="1"/>
  <c r="J35" i="1"/>
  <c r="I37" i="1"/>
  <c r="E138" i="1"/>
  <c r="G138" i="1" s="1"/>
  <c r="E141" i="1"/>
  <c r="J142" i="1" s="1"/>
  <c r="E146" i="1"/>
  <c r="E148" i="1"/>
  <c r="E151" i="1"/>
  <c r="E162" i="1"/>
  <c r="E164" i="1"/>
  <c r="E167" i="1"/>
  <c r="E172" i="1"/>
  <c r="I173" i="1" s="1"/>
  <c r="E178" i="1"/>
  <c r="E180" i="1"/>
  <c r="G180" i="1" s="1"/>
  <c r="E182" i="1"/>
  <c r="E184" i="1"/>
  <c r="E185" i="1"/>
  <c r="G185" i="1" s="1"/>
  <c r="E187" i="1"/>
  <c r="G187" i="1" s="1"/>
  <c r="E189" i="1"/>
  <c r="G189" i="1" s="1"/>
  <c r="E191" i="1"/>
  <c r="G191" i="1" s="1"/>
  <c r="E192" i="1"/>
  <c r="G192" i="1" s="1"/>
  <c r="E193" i="1"/>
  <c r="G193" i="1" s="1"/>
  <c r="E201" i="1"/>
  <c r="G201" i="1" s="1"/>
  <c r="E202" i="1"/>
  <c r="E203" i="1"/>
  <c r="G203" i="1" s="1"/>
  <c r="E204" i="1"/>
  <c r="G204" i="1" s="1"/>
  <c r="E205" i="1"/>
  <c r="G205" i="1" s="1"/>
  <c r="E208" i="1"/>
  <c r="I209" i="1" s="1"/>
  <c r="E216" i="1"/>
  <c r="G216" i="1" s="1"/>
  <c r="E217" i="1"/>
  <c r="E218" i="1"/>
  <c r="I226" i="1"/>
  <c r="I224" i="1"/>
  <c r="G228" i="1"/>
  <c r="J227" i="1"/>
  <c r="G194" i="1"/>
  <c r="G195" i="1"/>
  <c r="I195" i="1"/>
  <c r="J195" i="1"/>
  <c r="G196" i="1"/>
  <c r="G198" i="1"/>
  <c r="I199" i="1"/>
  <c r="J199" i="1"/>
  <c r="G206" i="1"/>
  <c r="G210" i="1"/>
  <c r="G211" i="1"/>
  <c r="I211" i="1"/>
  <c r="G213" i="1"/>
  <c r="J213" i="1"/>
  <c r="G214" i="1"/>
  <c r="I214" i="1"/>
  <c r="G215" i="1"/>
  <c r="G219" i="1"/>
  <c r="J221" i="1"/>
  <c r="I221" i="1"/>
  <c r="G220" i="1"/>
  <c r="J11" i="1"/>
  <c r="I19" i="1"/>
  <c r="I15" i="1"/>
  <c r="I11" i="1"/>
  <c r="J8" i="1"/>
  <c r="I208" i="1"/>
  <c r="E197" i="1"/>
  <c r="J47" i="1"/>
  <c r="J46" i="1"/>
  <c r="L245" i="1"/>
  <c r="L193" i="1"/>
  <c r="E130" i="1"/>
  <c r="G130" i="1" s="1"/>
  <c r="E128" i="1"/>
  <c r="G128" i="1" s="1"/>
  <c r="E70" i="1"/>
  <c r="G70" i="1" s="1"/>
  <c r="E68" i="1"/>
  <c r="G68" i="1" s="1"/>
  <c r="E66" i="1"/>
  <c r="G66" i="1" s="1"/>
  <c r="E64" i="1"/>
  <c r="E62" i="1"/>
  <c r="G62" i="1" s="1"/>
  <c r="E60" i="1"/>
  <c r="G60" i="1" s="1"/>
  <c r="E58" i="1"/>
  <c r="G58" i="1" s="1"/>
  <c r="E56" i="1"/>
  <c r="G56" i="1" s="1"/>
  <c r="E54" i="1"/>
  <c r="G54" i="1" s="1"/>
  <c r="E52" i="1"/>
  <c r="G52" i="1" s="1"/>
  <c r="E50" i="1"/>
  <c r="G50" i="1" s="1"/>
  <c r="E48" i="1"/>
  <c r="E101" i="1"/>
  <c r="G101" i="1" s="1"/>
  <c r="E99" i="1"/>
  <c r="G99" i="1" s="1"/>
  <c r="E97" i="1"/>
  <c r="G97" i="1" s="1"/>
  <c r="E95" i="1"/>
  <c r="G95" i="1" s="1"/>
  <c r="E93" i="1"/>
  <c r="G93" i="1" s="1"/>
  <c r="E91" i="1"/>
  <c r="G91" i="1" s="1"/>
  <c r="E89" i="1"/>
  <c r="G89" i="1" s="1"/>
  <c r="E87" i="1"/>
  <c r="G87" i="1" s="1"/>
  <c r="E85" i="1"/>
  <c r="G85" i="1" s="1"/>
  <c r="E83" i="1"/>
  <c r="G83" i="1" s="1"/>
  <c r="E81" i="1"/>
  <c r="G81" i="1" s="1"/>
  <c r="E79" i="1"/>
  <c r="E78" i="1"/>
  <c r="G78" i="1" s="1"/>
  <c r="E134" i="1"/>
  <c r="G134" i="1" s="1"/>
  <c r="E137" i="1"/>
  <c r="G139" i="1"/>
  <c r="E140" i="1"/>
  <c r="I140" i="1" s="1"/>
  <c r="E144" i="1"/>
  <c r="E147" i="1"/>
  <c r="E150" i="1"/>
  <c r="E153" i="1"/>
  <c r="E155" i="1"/>
  <c r="E157" i="1"/>
  <c r="E160" i="1"/>
  <c r="E166" i="1"/>
  <c r="E170" i="1"/>
  <c r="E174" i="1"/>
  <c r="J174" i="1" s="1"/>
  <c r="E176" i="1"/>
  <c r="E177" i="1"/>
  <c r="I177" i="1" s="1"/>
  <c r="E179" i="1"/>
  <c r="G179" i="1" s="1"/>
  <c r="E181" i="1"/>
  <c r="E183" i="1"/>
  <c r="G183" i="1" s="1"/>
  <c r="E186" i="1"/>
  <c r="G186" i="1" s="1"/>
  <c r="E188" i="1"/>
  <c r="J189" i="1" s="1"/>
  <c r="E190" i="1"/>
  <c r="J191" i="1" s="1"/>
  <c r="G126" i="1"/>
  <c r="E125" i="1"/>
  <c r="I126" i="1" s="1"/>
  <c r="E123" i="1"/>
  <c r="E41" i="1"/>
  <c r="E122" i="1"/>
  <c r="E120" i="1"/>
  <c r="E118" i="1"/>
  <c r="E116" i="1"/>
  <c r="E114" i="1"/>
  <c r="E112" i="1"/>
  <c r="E110" i="1"/>
  <c r="E108" i="1"/>
  <c r="E106" i="1"/>
  <c r="E104" i="1"/>
  <c r="E76" i="1"/>
  <c r="E74" i="1"/>
  <c r="E72" i="1"/>
  <c r="G64" i="1"/>
  <c r="J10" i="1"/>
  <c r="J14" i="1"/>
  <c r="J18" i="1"/>
  <c r="G11" i="1"/>
  <c r="G15" i="1"/>
  <c r="G7" i="1"/>
  <c r="G18" i="1"/>
  <c r="G14" i="1"/>
  <c r="G10" i="1"/>
  <c r="J19" i="1"/>
  <c r="G45" i="1"/>
  <c r="J45" i="1"/>
  <c r="E131" i="1"/>
  <c r="E129" i="1"/>
  <c r="E127" i="1"/>
  <c r="E124" i="1"/>
  <c r="E69" i="1"/>
  <c r="E67" i="1"/>
  <c r="E65" i="1"/>
  <c r="E63" i="1"/>
  <c r="E61" i="1"/>
  <c r="E59" i="1"/>
  <c r="E57" i="1"/>
  <c r="E55" i="1"/>
  <c r="E53" i="1"/>
  <c r="E51" i="1"/>
  <c r="E49" i="1"/>
  <c r="E43" i="1"/>
  <c r="E40" i="1"/>
  <c r="E121" i="1"/>
  <c r="E119" i="1"/>
  <c r="E117" i="1"/>
  <c r="E115" i="1"/>
  <c r="E113" i="1"/>
  <c r="E111" i="1"/>
  <c r="E109" i="1"/>
  <c r="E107" i="1"/>
  <c r="E105" i="1"/>
  <c r="E102" i="1"/>
  <c r="E100" i="1"/>
  <c r="E98" i="1"/>
  <c r="E96" i="1"/>
  <c r="E94" i="1"/>
  <c r="E92" i="1"/>
  <c r="E90" i="1"/>
  <c r="E88" i="1"/>
  <c r="J89" i="1" s="1"/>
  <c r="E86" i="1"/>
  <c r="E84" i="1"/>
  <c r="E82" i="1"/>
  <c r="E80" i="1"/>
  <c r="E77" i="1"/>
  <c r="E75" i="1"/>
  <c r="E73" i="1"/>
  <c r="E71" i="1"/>
  <c r="E133" i="1"/>
  <c r="E135" i="1"/>
  <c r="G208" i="1" l="1"/>
  <c r="I150" i="1"/>
  <c r="I139" i="1"/>
  <c r="J220" i="1"/>
  <c r="J200" i="1"/>
  <c r="I205" i="1"/>
  <c r="I210" i="1"/>
  <c r="J158" i="1"/>
  <c r="J205" i="1"/>
  <c r="I203" i="1"/>
  <c r="I185" i="1"/>
  <c r="J212" i="1"/>
  <c r="J214" i="1"/>
  <c r="J204" i="1"/>
  <c r="J206" i="1"/>
  <c r="I219" i="1"/>
  <c r="J183" i="1"/>
  <c r="J149" i="1"/>
  <c r="I206" i="1"/>
  <c r="I143" i="1"/>
  <c r="J201" i="1"/>
  <c r="I200" i="1"/>
  <c r="J144" i="1"/>
  <c r="J215" i="1"/>
  <c r="J165" i="1"/>
  <c r="G188" i="1"/>
  <c r="I95" i="1"/>
  <c r="I215" i="1"/>
  <c r="I212" i="1"/>
  <c r="J207" i="1"/>
  <c r="G143" i="1"/>
  <c r="I181" i="1"/>
  <c r="G212" i="1"/>
  <c r="I207" i="1"/>
  <c r="J164" i="1"/>
  <c r="I213" i="1"/>
  <c r="J186" i="1"/>
  <c r="J156" i="1"/>
  <c r="G181" i="1"/>
  <c r="G177" i="1"/>
  <c r="I194" i="1"/>
  <c r="J182" i="1"/>
  <c r="J170" i="1"/>
  <c r="I134" i="1"/>
  <c r="I153" i="1"/>
  <c r="G184" i="1"/>
  <c r="J219" i="1"/>
  <c r="J178" i="1"/>
  <c r="I178" i="1"/>
  <c r="J192" i="1"/>
  <c r="I170" i="1"/>
  <c r="J209" i="1"/>
  <c r="J176" i="1"/>
  <c r="J185" i="1"/>
  <c r="J203" i="1"/>
  <c r="J208" i="1"/>
  <c r="G202" i="1"/>
  <c r="J210" i="1"/>
  <c r="I196" i="1"/>
  <c r="J146" i="1"/>
  <c r="I193" i="1"/>
  <c r="I204" i="1"/>
  <c r="I169" i="1"/>
  <c r="I191" i="1"/>
  <c r="J217" i="1"/>
  <c r="A45" i="1"/>
  <c r="A46" i="1" s="1"/>
  <c r="J153" i="1"/>
  <c r="G178" i="1"/>
  <c r="J202" i="1"/>
  <c r="I174" i="1"/>
  <c r="J140" i="1"/>
  <c r="J180" i="1"/>
  <c r="I192" i="1"/>
  <c r="J218" i="1"/>
  <c r="I202" i="1"/>
  <c r="G169" i="1"/>
  <c r="I218" i="1"/>
  <c r="I182" i="1"/>
  <c r="G218" i="1"/>
  <c r="J193" i="1"/>
  <c r="J194" i="1"/>
  <c r="J138" i="1"/>
  <c r="J175" i="1"/>
  <c r="I190" i="1"/>
  <c r="J190" i="1"/>
  <c r="J216" i="1"/>
  <c r="I217" i="1"/>
  <c r="J97" i="1"/>
  <c r="J181" i="1"/>
  <c r="J130" i="1"/>
  <c r="G190" i="1"/>
  <c r="I216" i="1"/>
  <c r="G217" i="1"/>
  <c r="I201" i="1"/>
  <c r="G182" i="1"/>
  <c r="I83" i="1"/>
  <c r="J168" i="1"/>
  <c r="J159" i="1"/>
  <c r="J152" i="1"/>
  <c r="I159" i="1"/>
  <c r="J188" i="1"/>
  <c r="J177" i="1"/>
  <c r="J169" i="1"/>
  <c r="I188" i="1"/>
  <c r="I184" i="1"/>
  <c r="I189" i="1"/>
  <c r="I168" i="1"/>
  <c r="G167" i="1"/>
  <c r="I162" i="1"/>
  <c r="J163" i="1"/>
  <c r="I163" i="1"/>
  <c r="G162" i="1"/>
  <c r="J162" i="1"/>
  <c r="I149" i="1"/>
  <c r="G148" i="1"/>
  <c r="I142" i="1"/>
  <c r="G141" i="1"/>
  <c r="I180" i="1"/>
  <c r="I183" i="1"/>
  <c r="J184" i="1"/>
  <c r="I179" i="1"/>
  <c r="J179" i="1"/>
  <c r="J187" i="1"/>
  <c r="I187" i="1"/>
  <c r="I186" i="1"/>
  <c r="J139" i="1"/>
  <c r="G172" i="1"/>
  <c r="I172" i="1"/>
  <c r="J172" i="1"/>
  <c r="J173" i="1"/>
  <c r="G164" i="1"/>
  <c r="I164" i="1"/>
  <c r="I165" i="1"/>
  <c r="G151" i="1"/>
  <c r="I152" i="1"/>
  <c r="G146" i="1"/>
  <c r="I146" i="1"/>
  <c r="I176" i="1"/>
  <c r="G176" i="1"/>
  <c r="G174" i="1"/>
  <c r="I175" i="1"/>
  <c r="G166" i="1"/>
  <c r="J167" i="1"/>
  <c r="I167" i="1"/>
  <c r="J166" i="1"/>
  <c r="I166" i="1"/>
  <c r="G157" i="1"/>
  <c r="I158" i="1"/>
  <c r="J157" i="1"/>
  <c r="I157" i="1"/>
  <c r="I155" i="1"/>
  <c r="G155" i="1"/>
  <c r="I156" i="1"/>
  <c r="J155" i="1"/>
  <c r="I154" i="1"/>
  <c r="G153" i="1"/>
  <c r="I151" i="1"/>
  <c r="J150" i="1"/>
  <c r="J151" i="1"/>
  <c r="G150" i="1"/>
  <c r="G140" i="1"/>
  <c r="J141" i="1"/>
  <c r="I141" i="1"/>
  <c r="I79" i="1"/>
  <c r="G79" i="1"/>
  <c r="J79" i="1"/>
  <c r="I48" i="1"/>
  <c r="G48" i="1"/>
  <c r="J48" i="1"/>
  <c r="I197" i="1"/>
  <c r="G197" i="1"/>
  <c r="J197" i="1"/>
  <c r="I130" i="1"/>
  <c r="I171" i="1"/>
  <c r="J171" i="1"/>
  <c r="G170" i="1"/>
  <c r="G160" i="1"/>
  <c r="J160" i="1"/>
  <c r="I161" i="1"/>
  <c r="J161" i="1"/>
  <c r="J147" i="1"/>
  <c r="J148" i="1"/>
  <c r="G147" i="1"/>
  <c r="I147" i="1"/>
  <c r="I145" i="1"/>
  <c r="G144" i="1"/>
  <c r="J145" i="1"/>
  <c r="I144" i="1"/>
  <c r="I137" i="1"/>
  <c r="G137" i="1"/>
  <c r="J137" i="1"/>
  <c r="I160" i="1"/>
  <c r="J154" i="1"/>
  <c r="I148" i="1"/>
  <c r="I138" i="1"/>
  <c r="I198" i="1"/>
  <c r="J198" i="1"/>
  <c r="J77" i="1"/>
  <c r="G77" i="1"/>
  <c r="I77" i="1"/>
  <c r="I78" i="1"/>
  <c r="I86" i="1"/>
  <c r="J87" i="1"/>
  <c r="G86" i="1"/>
  <c r="J86" i="1"/>
  <c r="I90" i="1"/>
  <c r="J91" i="1"/>
  <c r="G90" i="1"/>
  <c r="J90" i="1"/>
  <c r="I98" i="1"/>
  <c r="J99" i="1"/>
  <c r="G98" i="1"/>
  <c r="J98" i="1"/>
  <c r="J107" i="1"/>
  <c r="G107" i="1"/>
  <c r="I107" i="1"/>
  <c r="G115" i="1"/>
  <c r="I115" i="1"/>
  <c r="J115" i="1"/>
  <c r="G119" i="1"/>
  <c r="I119" i="1"/>
  <c r="J119" i="1"/>
  <c r="I40" i="1"/>
  <c r="J40" i="1"/>
  <c r="G40" i="1"/>
  <c r="J49" i="1"/>
  <c r="G49" i="1"/>
  <c r="J50" i="1"/>
  <c r="I49" i="1"/>
  <c r="I53" i="1"/>
  <c r="G53" i="1"/>
  <c r="J54" i="1"/>
  <c r="J53" i="1"/>
  <c r="G57" i="1"/>
  <c r="J57" i="1"/>
  <c r="J58" i="1"/>
  <c r="I57" i="1"/>
  <c r="G61" i="1"/>
  <c r="J61" i="1"/>
  <c r="J62" i="1"/>
  <c r="I61" i="1"/>
  <c r="G65" i="1"/>
  <c r="J66" i="1"/>
  <c r="J65" i="1"/>
  <c r="I65" i="1"/>
  <c r="G69" i="1"/>
  <c r="J70" i="1"/>
  <c r="I70" i="1"/>
  <c r="J69" i="1"/>
  <c r="I69" i="1"/>
  <c r="J127" i="1"/>
  <c r="I127" i="1"/>
  <c r="J128" i="1"/>
  <c r="I128" i="1"/>
  <c r="G127" i="1"/>
  <c r="I131" i="1"/>
  <c r="J131" i="1"/>
  <c r="G131" i="1"/>
  <c r="G72" i="1"/>
  <c r="I72" i="1"/>
  <c r="J72" i="1"/>
  <c r="G76" i="1"/>
  <c r="I76" i="1"/>
  <c r="J76" i="1"/>
  <c r="J106" i="1"/>
  <c r="G106" i="1"/>
  <c r="I106" i="1"/>
  <c r="J110" i="1"/>
  <c r="G110" i="1"/>
  <c r="I110" i="1"/>
  <c r="J114" i="1"/>
  <c r="G114" i="1"/>
  <c r="I114" i="1"/>
  <c r="G118" i="1"/>
  <c r="I118" i="1"/>
  <c r="J118" i="1"/>
  <c r="G122" i="1"/>
  <c r="I122" i="1"/>
  <c r="J122" i="1"/>
  <c r="G123" i="1"/>
  <c r="I123" i="1"/>
  <c r="J123" i="1"/>
  <c r="J78" i="1"/>
  <c r="I89" i="1"/>
  <c r="J132" i="1"/>
  <c r="I50" i="1"/>
  <c r="I54" i="1"/>
  <c r="I58" i="1"/>
  <c r="I62" i="1"/>
  <c r="I66" i="1"/>
  <c r="G133" i="1"/>
  <c r="I133" i="1"/>
  <c r="J133" i="1"/>
  <c r="J134" i="1"/>
  <c r="I73" i="1"/>
  <c r="J73" i="1"/>
  <c r="G73" i="1"/>
  <c r="I82" i="1"/>
  <c r="J83" i="1"/>
  <c r="J82" i="1"/>
  <c r="G82" i="1"/>
  <c r="I94" i="1"/>
  <c r="J95" i="1"/>
  <c r="G94" i="1"/>
  <c r="J94" i="1"/>
  <c r="G102" i="1"/>
  <c r="I103" i="1"/>
  <c r="J103" i="1"/>
  <c r="I102" i="1"/>
  <c r="J102" i="1"/>
  <c r="J111" i="1"/>
  <c r="G111" i="1"/>
  <c r="I111" i="1"/>
  <c r="G135" i="1"/>
  <c r="J136" i="1"/>
  <c r="J135" i="1"/>
  <c r="I135" i="1"/>
  <c r="I136" i="1"/>
  <c r="I71" i="1"/>
  <c r="G71" i="1"/>
  <c r="J71" i="1"/>
  <c r="J75" i="1"/>
  <c r="G75" i="1"/>
  <c r="I75" i="1"/>
  <c r="G80" i="1"/>
  <c r="J80" i="1"/>
  <c r="I81" i="1"/>
  <c r="I80" i="1"/>
  <c r="G84" i="1"/>
  <c r="J84" i="1"/>
  <c r="I85" i="1"/>
  <c r="I84" i="1"/>
  <c r="G88" i="1"/>
  <c r="J88" i="1"/>
  <c r="I88" i="1"/>
  <c r="G92" i="1"/>
  <c r="J92" i="1"/>
  <c r="I93" i="1"/>
  <c r="I92" i="1"/>
  <c r="G96" i="1"/>
  <c r="J96" i="1"/>
  <c r="I97" i="1"/>
  <c r="I96" i="1"/>
  <c r="G100" i="1"/>
  <c r="J100" i="1"/>
  <c r="I101" i="1"/>
  <c r="I100" i="1"/>
  <c r="J105" i="1"/>
  <c r="G105" i="1"/>
  <c r="I105" i="1"/>
  <c r="J109" i="1"/>
  <c r="G109" i="1"/>
  <c r="I109" i="1"/>
  <c r="J113" i="1"/>
  <c r="G113" i="1"/>
  <c r="I113" i="1"/>
  <c r="G117" i="1"/>
  <c r="I117" i="1"/>
  <c r="J117" i="1"/>
  <c r="G121" i="1"/>
  <c r="I121" i="1"/>
  <c r="J121" i="1"/>
  <c r="I44" i="1"/>
  <c r="I43" i="1"/>
  <c r="G43" i="1"/>
  <c r="J44" i="1"/>
  <c r="J43" i="1"/>
  <c r="G51" i="1"/>
  <c r="J51" i="1"/>
  <c r="J52" i="1"/>
  <c r="I51" i="1"/>
  <c r="I55" i="1"/>
  <c r="G55" i="1"/>
  <c r="I56" i="1"/>
  <c r="J55" i="1"/>
  <c r="G59" i="1"/>
  <c r="J59" i="1"/>
  <c r="J60" i="1"/>
  <c r="I59" i="1"/>
  <c r="G63" i="1"/>
  <c r="J63" i="1"/>
  <c r="I64" i="1"/>
  <c r="I63" i="1"/>
  <c r="J67" i="1"/>
  <c r="I67" i="1"/>
  <c r="I68" i="1"/>
  <c r="G67" i="1"/>
  <c r="G124" i="1"/>
  <c r="I124" i="1"/>
  <c r="J124" i="1"/>
  <c r="G129" i="1"/>
  <c r="J129" i="1"/>
  <c r="I129" i="1"/>
  <c r="G74" i="1"/>
  <c r="I74" i="1"/>
  <c r="J74" i="1"/>
  <c r="J104" i="1"/>
  <c r="G104" i="1"/>
  <c r="I104" i="1"/>
  <c r="J108" i="1"/>
  <c r="G108" i="1"/>
  <c r="I108" i="1"/>
  <c r="G112" i="1"/>
  <c r="I112" i="1"/>
  <c r="J112" i="1"/>
  <c r="G116" i="1"/>
  <c r="I116" i="1"/>
  <c r="J116" i="1"/>
  <c r="G120" i="1"/>
  <c r="I120" i="1"/>
  <c r="J120" i="1"/>
  <c r="I42" i="1"/>
  <c r="G41" i="1"/>
  <c r="J41" i="1"/>
  <c r="J42" i="1"/>
  <c r="I41" i="1"/>
  <c r="G125" i="1"/>
  <c r="I125" i="1"/>
  <c r="J126" i="1"/>
  <c r="J125" i="1"/>
  <c r="J101" i="1"/>
  <c r="J93" i="1"/>
  <c r="J85" i="1"/>
  <c r="I132" i="1"/>
  <c r="J81" i="1"/>
  <c r="I87" i="1"/>
  <c r="I91" i="1"/>
  <c r="I99" i="1"/>
  <c r="I52" i="1"/>
  <c r="J56" i="1"/>
  <c r="I60" i="1"/>
  <c r="J64" i="1"/>
  <c r="J68" i="1"/>
  <c r="A47" i="1" l="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alcChain>
</file>

<file path=xl/sharedStrings.xml><?xml version="1.0" encoding="utf-8"?>
<sst xmlns="http://schemas.openxmlformats.org/spreadsheetml/2006/main" count="42" uniqueCount="32">
  <si>
    <t>Downbound Grain Barges Lock 27</t>
  </si>
  <si>
    <t>Downbound Grain Barges Lock 1</t>
  </si>
  <si>
    <t>Downbound Grain Barges Lock 52</t>
  </si>
  <si>
    <t>Downbound Grain Barges Locks 27, 1, and 52</t>
  </si>
  <si>
    <t xml:space="preserve">Grain Barges Unloaded in New Orleans </t>
  </si>
  <si>
    <t>Figure 12</t>
  </si>
  <si>
    <t>Grain Barges for Export in New Orleans Region</t>
  </si>
  <si>
    <t>Difference between total downbound grain barges and grain barges unloaded in New Orleans</t>
  </si>
  <si>
    <t>Change in the number of downbound grain barges from the previous week</t>
  </si>
  <si>
    <t>% change in downbound grain barges  from the previous week</t>
  </si>
  <si>
    <t>% change in unloadeds in New Orleans from the same week last year</t>
  </si>
  <si>
    <t>Date</t>
  </si>
  <si>
    <t>This week represents only 6 days of data for barges unloaded in New Orleans.</t>
  </si>
  <si>
    <t>Barges unloaded in NO % change from previous week</t>
  </si>
  <si>
    <t>August through the beginning of Oct., difference b/w downbound and unloadeds was due to unusually high corn harvest in the southern States</t>
  </si>
  <si>
    <t xml:space="preserve">downbound barges were low this week due to severe weather, Locks, 20,21, and 22 were frozen along the chamber, Ohio River reached flood stage and Illinois river had 3 frozen lift bridges and barges traffice couldn't pass for 2 days </t>
  </si>
  <si>
    <t>Source:  U.S. Army Corps of Engineers and GIPSA</t>
  </si>
  <si>
    <t>Beginning this week, the Midwest area, specifically from norhteastern Oklahoma through the Ohio Valley were innudated with 4 major rain events back to back</t>
  </si>
  <si>
    <t>Hurricane Gustav hit 9/1</t>
  </si>
  <si>
    <t>Hurricane Ike hit 9/13</t>
  </si>
  <si>
    <t>Grain Barges Unloaded in the New Orleans Region Compared with Downbound Grain Barges</t>
  </si>
  <si>
    <t>Figure 12:  Grain Barges Unloaded in New Orleans Port Region</t>
  </si>
  <si>
    <t>Source:  Grain barges unloaded in New Orleans:  Grain Inspection, Packers and Stockyards Administration (GIPSA), Downbound grain barges, U.S. Army Corps of Engineers</t>
  </si>
  <si>
    <t>Notes</t>
  </si>
  <si>
    <t xml:space="preserve">NOLA full of out of condition grain waiting for the new crop to be blended with.  Up to 10 percent of the barge fleet in NOLA with out of condition grain, particularly corn.  </t>
  </si>
  <si>
    <t>Early, fast paced harvest season</t>
  </si>
  <si>
    <t>Barges Unloaded in New Orleans Data revised from previous week</t>
  </si>
  <si>
    <t xml:space="preserve">Estimated data for Lock 52 </t>
  </si>
  <si>
    <t>Estimated data for Lock 53</t>
  </si>
  <si>
    <t>3-yr average of grain barges unloaded in NOLA</t>
  </si>
  <si>
    <t>Drought of 2012 causes extreme low water conditions south of Locks 27 near St. Louis, MO.</t>
  </si>
  <si>
    <t xml:space="preserve">Locks 16, 17, 18, 20, 21, 22, 24, 25, and 27 closed most of the week. </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</si>
</sst>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3" formatCode="_(* #,##0.00_);_(* \(#,##0.00\);_(* &quot;-&quot;??_);_(@_)"/>
    <numFmt numFmtId="164" formatCode="0.0%"/>
    <numFmt numFmtId="165" formatCode="mm/dd/yy;@"/>
    <numFmt numFmtId="166" formatCode="_(* #,##0_);_(* \(#,##0\);_(* &quot;-&quot;??_);_(@_)"/>
  </numFmts>
  <fonts count="13" x14ac:knownFonts="1">
    <font>
      <sz val="10"/>
      <name val="Arial"/>
    </font>
    <font>
      <sz val="10"/>
      <name val="Arial"/>
      <family val="2"/>
    </font>
    <font>
      <sz val="10"/>
      <name val="Arial"/>
      <family val="2"/>
    </font>
    <font>
      <sz val="8"/>
      <name val="Arial"/>
      <family val="2"/>
    </font>
    <font>
      <sz val="8"/>
      <name val="Times New Roman"/>
      <family val="1"/>
    </font>
    <font>
      <b/>
      <sz val="11"/>
      <name val="Times New Roman"/>
      <family val="1"/>
    </font>
    <font>
      <sz val="12"/>
      <name val="Arial"/>
      <family val="2"/>
    </font>
    <font>
      <sz val="11"/>
      <name val="Arial"/>
      <family val="2"/>
    </font>
    <font>
      <b/>
      <sz val="12"/>
      <name val="Arial"/>
      <family val="2"/>
    </font>
    <font>
      <b/>
      <sz val="14"/>
      <name val="Arial"/>
      <family val="2"/>
    </font>
    <font>
      <sz val="10"/>
      <name val="Arial"/>
      <family val="2"/>
    </font>
    <font>
      <b/>
      <sz val="9"/>
      <name val="Times New Roman"/>
      <family val="1"/>
    </font>
    <font>
      <sz val="10"/>
      <color rgb="FFFF0000"/>
      <name val="Arial"/>
      <family val="2"/>
    </font>
  </fonts>
  <fills count="7">
    <fill>
      <patternFill patternType="none"/>
    </fill>
    <fill>
      <patternFill patternType="gray125"/>
    </fill>
    <fill>
      <patternFill patternType="solid">
        <fgColor indexed="42"/>
        <bgColor indexed="64"/>
      </patternFill>
    </fill>
    <fill>
      <patternFill patternType="solid">
        <fgColor indexed="9"/>
        <bgColor indexed="64"/>
      </patternFill>
    </fill>
    <fill>
      <patternFill patternType="solid">
        <fgColor indexed="13"/>
        <bgColor indexed="64"/>
      </patternFill>
    </fill>
    <fill>
      <patternFill patternType="solid">
        <fgColor indexed="65"/>
        <bgColor indexed="64"/>
      </patternFill>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DashDotDot">
        <color auto="1"/>
      </left>
      <right style="mediumDashDotDot">
        <color auto="1"/>
      </right>
      <top style="mediumDashDotDot">
        <color auto="1"/>
      </top>
      <bottom/>
      <diagonal/>
    </border>
    <border>
      <left style="mediumDashDotDot">
        <color auto="1"/>
      </left>
      <right style="mediumDashDotDot">
        <color auto="1"/>
      </right>
      <top/>
      <bottom/>
      <diagonal/>
    </border>
    <border>
      <left style="mediumDashDotDot">
        <color auto="1"/>
      </left>
      <right/>
      <top style="mediumDashDotDot">
        <color auto="1"/>
      </top>
      <bottom/>
      <diagonal/>
    </border>
    <border>
      <left/>
      <right/>
      <top style="mediumDashDotDot">
        <color auto="1"/>
      </top>
      <bottom/>
      <diagonal/>
    </border>
    <border>
      <left style="mediumDashDotDot">
        <color auto="1"/>
      </left>
      <right/>
      <top/>
      <bottom/>
      <diagonal/>
    </border>
    <border>
      <left style="mediumDashDotDot">
        <color auto="1"/>
      </left>
      <right/>
      <top/>
      <bottom style="mediumDashDotDot">
        <color auto="1"/>
      </bottom>
      <diagonal/>
    </border>
    <border>
      <left/>
      <right/>
      <top/>
      <bottom style="mediumDashDotDot">
        <color auto="1"/>
      </bottom>
      <diagonal/>
    </border>
  </borders>
  <cellStyleXfs count="2">
    <xf numFmtId="0" fontId="0" fillId="0" borderId="0" applyNumberFormat="0" applyFill="0" applyBorder="0" applyAlignment="0" applyProtection="0"/>
    <xf numFmtId="43" fontId="10" fillId="0" borderId="0" applyFont="0" applyFill="0" applyBorder="0" applyAlignment="0" applyProtection="0"/>
  </cellStyleXfs>
  <cellXfs count="50">
    <xf numFmtId="0" fontId="0" fillId="0" borderId="0" xfId="0"/>
    <xf numFmtId="0" fontId="1" fillId="0" borderId="0" xfId="0" applyFont="1"/>
    <xf numFmtId="0" fontId="1" fillId="0" borderId="0" xfId="0" applyFont="1" applyAlignment="1">
      <alignment horizontal="center"/>
    </xf>
    <xf numFmtId="1" fontId="1" fillId="0" borderId="0" xfId="0" applyNumberFormat="1" applyFont="1" applyAlignment="1">
      <alignment horizontal="center"/>
    </xf>
    <xf numFmtId="9" fontId="1" fillId="0" borderId="0" xfId="0" applyNumberFormat="1" applyFont="1" applyAlignment="1">
      <alignment horizontal="center"/>
    </xf>
    <xf numFmtId="1" fontId="1" fillId="0" borderId="0" xfId="0" applyNumberFormat="1" applyFont="1" applyBorder="1" applyAlignment="1">
      <alignment horizontal="center"/>
    </xf>
    <xf numFmtId="1" fontId="1" fillId="0" borderId="1" xfId="0" applyNumberFormat="1" applyFont="1" applyBorder="1" applyAlignment="1">
      <alignment horizontal="center" wrapText="1"/>
    </xf>
    <xf numFmtId="1" fontId="1" fillId="0" borderId="2" xfId="0" applyNumberFormat="1" applyFont="1" applyBorder="1" applyAlignment="1">
      <alignment horizontal="center" wrapText="1"/>
    </xf>
    <xf numFmtId="0" fontId="4" fillId="2" borderId="0" xfId="0" applyFont="1" applyFill="1"/>
    <xf numFmtId="0" fontId="1" fillId="2" borderId="0" xfId="0" applyFont="1" applyFill="1"/>
    <xf numFmtId="0" fontId="5" fillId="2" borderId="0" xfId="0" applyFont="1" applyFill="1"/>
    <xf numFmtId="0" fontId="1" fillId="3" borderId="0" xfId="0" applyFont="1" applyFill="1"/>
    <xf numFmtId="0" fontId="4" fillId="3" borderId="0" xfId="0" applyFont="1" applyFill="1"/>
    <xf numFmtId="1" fontId="1" fillId="4" borderId="0" xfId="0" applyNumberFormat="1" applyFont="1" applyFill="1" applyAlignment="1">
      <alignment horizontal="center"/>
    </xf>
    <xf numFmtId="0" fontId="2" fillId="4" borderId="0" xfId="0" applyFont="1" applyFill="1" applyAlignment="1">
      <alignment horizontal="center"/>
    </xf>
    <xf numFmtId="0" fontId="0" fillId="4" borderId="0" xfId="0" applyFill="1" applyAlignment="1">
      <alignment horizontal="center"/>
    </xf>
    <xf numFmtId="9" fontId="1" fillId="0" borderId="0" xfId="0" applyNumberFormat="1" applyFont="1"/>
    <xf numFmtId="0" fontId="1" fillId="0" borderId="0" xfId="0" applyNumberFormat="1" applyFont="1" applyFill="1" applyBorder="1" applyAlignment="1" applyProtection="1"/>
    <xf numFmtId="0" fontId="1" fillId="0" borderId="0" xfId="0" applyNumberFormat="1" applyFont="1" applyAlignment="1">
      <alignment horizontal="center"/>
    </xf>
    <xf numFmtId="0" fontId="0" fillId="4" borderId="0" xfId="0" applyFill="1" applyBorder="1" applyAlignment="1">
      <alignment horizontal="center"/>
    </xf>
    <xf numFmtId="0" fontId="2" fillId="0" borderId="0" xfId="0" applyFont="1" applyAlignment="1">
      <alignment horizontal="center"/>
    </xf>
    <xf numFmtId="164" fontId="1" fillId="0" borderId="0" xfId="0" applyNumberFormat="1" applyFont="1" applyAlignment="1">
      <alignment horizontal="center"/>
    </xf>
    <xf numFmtId="0" fontId="1" fillId="0" borderId="0" xfId="0" applyNumberFormat="1" applyFont="1" applyAlignment="1">
      <alignment horizontal="left"/>
    </xf>
    <xf numFmtId="0" fontId="0" fillId="4" borderId="0" xfId="0" applyFill="1" applyAlignment="1">
      <alignment horizontal="center" wrapText="1"/>
    </xf>
    <xf numFmtId="0" fontId="1" fillId="0" borderId="0" xfId="0" applyFont="1" applyFill="1"/>
    <xf numFmtId="0" fontId="1" fillId="5" borderId="0" xfId="0" applyFont="1" applyFill="1"/>
    <xf numFmtId="165" fontId="7" fillId="0" borderId="0" xfId="0" applyNumberFormat="1" applyFont="1" applyBorder="1" applyAlignment="1">
      <alignment horizontal="center"/>
    </xf>
    <xf numFmtId="165" fontId="7" fillId="0" borderId="0" xfId="0" applyNumberFormat="1" applyFont="1" applyFill="1" applyBorder="1" applyAlignment="1">
      <alignment horizontal="center"/>
    </xf>
    <xf numFmtId="14" fontId="8" fillId="0" borderId="0" xfId="0" applyNumberFormat="1" applyFont="1" applyBorder="1" applyAlignment="1"/>
    <xf numFmtId="0" fontId="6" fillId="0" borderId="0" xfId="0" applyFont="1" applyAlignment="1">
      <alignment horizontal="left" wrapText="1"/>
    </xf>
    <xf numFmtId="166" fontId="1" fillId="0" borderId="0" xfId="1" applyNumberFormat="1" applyFont="1" applyAlignment="1">
      <alignment horizontal="center"/>
    </xf>
    <xf numFmtId="0" fontId="1" fillId="0" borderId="0" xfId="0" applyNumberFormat="1" applyFont="1" applyFill="1" applyAlignment="1">
      <alignment horizontal="left"/>
    </xf>
    <xf numFmtId="0" fontId="1" fillId="0" borderId="0" xfId="0" applyNumberFormat="1" applyFont="1" applyFill="1" applyAlignment="1">
      <alignment horizontal="center"/>
    </xf>
    <xf numFmtId="0" fontId="1" fillId="0" borderId="2" xfId="0" applyFont="1" applyBorder="1" applyAlignment="1">
      <alignment horizontal="center"/>
    </xf>
    <xf numFmtId="1" fontId="1" fillId="0" borderId="0" xfId="0" applyNumberFormat="1" applyFont="1" applyBorder="1" applyAlignment="1">
      <alignment horizontal="center" wrapText="1"/>
    </xf>
    <xf numFmtId="0" fontId="1" fillId="0" borderId="0" xfId="0" applyFont="1" applyAlignment="1">
      <alignment horizontal="left"/>
    </xf>
    <xf numFmtId="1" fontId="1" fillId="6" borderId="0" xfId="0" applyNumberFormat="1" applyFont="1" applyFill="1" applyAlignment="1">
      <alignment horizontal="center"/>
    </xf>
    <xf numFmtId="0" fontId="11" fillId="5" borderId="0" xfId="0" applyFont="1" applyFill="1"/>
    <xf numFmtId="164" fontId="8" fillId="0" borderId="0" xfId="0" applyNumberFormat="1" applyFont="1" applyBorder="1" applyAlignment="1"/>
    <xf numFmtId="164" fontId="6" fillId="0" borderId="0" xfId="0" applyNumberFormat="1" applyFont="1" applyAlignment="1">
      <alignment horizontal="left" wrapText="1"/>
    </xf>
    <xf numFmtId="164" fontId="1" fillId="0" borderId="1" xfId="0" applyNumberFormat="1" applyFont="1" applyBorder="1" applyAlignment="1">
      <alignment horizontal="center" wrapText="1"/>
    </xf>
    <xf numFmtId="1" fontId="1" fillId="0" borderId="5" xfId="0" applyNumberFormat="1" applyFont="1" applyBorder="1" applyAlignment="1">
      <alignment horizontal="center"/>
    </xf>
    <xf numFmtId="1" fontId="1" fillId="0" borderId="6" xfId="0" applyNumberFormat="1" applyFont="1" applyBorder="1" applyAlignment="1">
      <alignment horizontal="center"/>
    </xf>
    <xf numFmtId="1" fontId="1" fillId="0" borderId="7" xfId="0" applyNumberFormat="1" applyFont="1" applyBorder="1" applyAlignment="1">
      <alignment horizontal="center"/>
    </xf>
    <xf numFmtId="1" fontId="1" fillId="0" borderId="8" xfId="0" applyNumberFormat="1" applyFont="1" applyBorder="1" applyAlignment="1">
      <alignment horizontal="center"/>
    </xf>
    <xf numFmtId="1" fontId="1" fillId="0" borderId="9" xfId="0" applyNumberFormat="1" applyFont="1" applyBorder="1" applyAlignment="1">
      <alignment horizontal="center"/>
    </xf>
    <xf numFmtId="1" fontId="12" fillId="0" borderId="3" xfId="0" applyNumberFormat="1" applyFont="1" applyBorder="1" applyAlignment="1">
      <alignment horizontal="center"/>
    </xf>
    <xf numFmtId="1" fontId="12" fillId="0" borderId="4" xfId="0" applyNumberFormat="1" applyFont="1" applyBorder="1" applyAlignment="1">
      <alignment horizontal="center"/>
    </xf>
    <xf numFmtId="0" fontId="9" fillId="0" borderId="0" xfId="0" applyFont="1" applyAlignment="1">
      <alignment horizontal="left" wrapText="1"/>
    </xf>
    <xf numFmtId="0" fontId="1" fillId="0" borderId="0" xfId="0" applyFont="1" applyAlignment="1">
      <alignment horizontal="left" wrapText="1"/>
    </xf>
  </cellXfs>
  <cellStyles count="2">
    <cellStyle name="Comma" xfId="1" builtinId="3"/>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5856572459337125E-2"/>
          <c:y val="4.642603533669995E-2"/>
          <c:w val="0.88508754249152888"/>
          <c:h val="0.77184022110342254"/>
        </c:manualLayout>
      </c:layout>
      <c:lineChart>
        <c:grouping val="standard"/>
        <c:varyColors val="0"/>
        <c:ser>
          <c:idx val="0"/>
          <c:order val="0"/>
          <c:tx>
            <c:strRef>
              <c:f>Data!$E$6</c:f>
              <c:strCache>
                <c:ptCount val="1"/>
                <c:pt idx="0">
                  <c:v>Downbound Grain Barges Locks 27, 1, and 52</c:v>
                </c:pt>
              </c:strCache>
            </c:strRef>
          </c:tx>
          <c:spPr>
            <a:ln w="25400">
              <a:solidFill>
                <a:srgbClr val="000080"/>
              </a:solidFill>
              <a:prstDash val="solid"/>
            </a:ln>
          </c:spPr>
          <c:marker>
            <c:symbol val="diamond"/>
            <c:size val="4"/>
            <c:spPr>
              <a:solidFill>
                <a:srgbClr val="000080"/>
              </a:solidFill>
              <a:ln>
                <a:solidFill>
                  <a:srgbClr val="000080"/>
                </a:solidFill>
                <a:prstDash val="solid"/>
              </a:ln>
            </c:spPr>
          </c:marker>
          <c:cat>
            <c:numRef>
              <c:f>Data!$A$423:$A$449</c:f>
              <c:numCache>
                <c:formatCode>mm/dd/yy;@</c:formatCode>
                <c:ptCount val="27"/>
                <c:pt idx="0">
                  <c:v>41552</c:v>
                </c:pt>
                <c:pt idx="1">
                  <c:v>41559</c:v>
                </c:pt>
                <c:pt idx="2">
                  <c:v>41566</c:v>
                </c:pt>
                <c:pt idx="3">
                  <c:v>41573</c:v>
                </c:pt>
                <c:pt idx="4">
                  <c:v>41580</c:v>
                </c:pt>
                <c:pt idx="5">
                  <c:v>41587</c:v>
                </c:pt>
                <c:pt idx="6">
                  <c:v>41594</c:v>
                </c:pt>
                <c:pt idx="7">
                  <c:v>41601</c:v>
                </c:pt>
                <c:pt idx="8">
                  <c:v>41608</c:v>
                </c:pt>
                <c:pt idx="9">
                  <c:v>41615</c:v>
                </c:pt>
                <c:pt idx="10">
                  <c:v>41622</c:v>
                </c:pt>
                <c:pt idx="11">
                  <c:v>41629</c:v>
                </c:pt>
                <c:pt idx="12">
                  <c:v>41636</c:v>
                </c:pt>
                <c:pt idx="13">
                  <c:v>41643</c:v>
                </c:pt>
                <c:pt idx="14">
                  <c:v>41650</c:v>
                </c:pt>
                <c:pt idx="15">
                  <c:v>41657</c:v>
                </c:pt>
                <c:pt idx="16">
                  <c:v>41664</c:v>
                </c:pt>
                <c:pt idx="17">
                  <c:v>41671</c:v>
                </c:pt>
                <c:pt idx="18">
                  <c:v>41678</c:v>
                </c:pt>
                <c:pt idx="19">
                  <c:v>41685</c:v>
                </c:pt>
                <c:pt idx="20">
                  <c:v>41692</c:v>
                </c:pt>
                <c:pt idx="21">
                  <c:v>41699</c:v>
                </c:pt>
                <c:pt idx="22">
                  <c:v>41706</c:v>
                </c:pt>
                <c:pt idx="23">
                  <c:v>41713</c:v>
                </c:pt>
                <c:pt idx="24">
                  <c:v>41720</c:v>
                </c:pt>
                <c:pt idx="25">
                  <c:v>41727</c:v>
                </c:pt>
                <c:pt idx="26">
                  <c:v>41734</c:v>
                </c:pt>
              </c:numCache>
            </c:numRef>
          </c:cat>
          <c:val>
            <c:numRef>
              <c:f>Data!$E$423:$E$449</c:f>
              <c:numCache>
                <c:formatCode>0</c:formatCode>
                <c:ptCount val="27"/>
                <c:pt idx="0">
                  <c:v>229</c:v>
                </c:pt>
                <c:pt idx="1">
                  <c:v>279</c:v>
                </c:pt>
                <c:pt idx="2">
                  <c:v>508</c:v>
                </c:pt>
                <c:pt idx="3">
                  <c:v>533</c:v>
                </c:pt>
                <c:pt idx="4">
                  <c:v>549</c:v>
                </c:pt>
                <c:pt idx="5">
                  <c:v>503</c:v>
                </c:pt>
                <c:pt idx="6">
                  <c:v>549</c:v>
                </c:pt>
                <c:pt idx="7">
                  <c:v>603</c:v>
                </c:pt>
                <c:pt idx="8">
                  <c:v>563</c:v>
                </c:pt>
                <c:pt idx="9">
                  <c:v>488</c:v>
                </c:pt>
                <c:pt idx="10">
                  <c:v>533</c:v>
                </c:pt>
                <c:pt idx="11">
                  <c:v>457</c:v>
                </c:pt>
                <c:pt idx="12">
                  <c:v>417</c:v>
                </c:pt>
                <c:pt idx="13">
                  <c:v>358</c:v>
                </c:pt>
                <c:pt idx="14">
                  <c:v>274</c:v>
                </c:pt>
                <c:pt idx="15">
                  <c:v>303</c:v>
                </c:pt>
                <c:pt idx="16">
                  <c:v>480</c:v>
                </c:pt>
                <c:pt idx="17">
                  <c:v>378</c:v>
                </c:pt>
                <c:pt idx="18">
                  <c:v>408</c:v>
                </c:pt>
                <c:pt idx="19">
                  <c:v>342</c:v>
                </c:pt>
                <c:pt idx="20">
                  <c:v>282</c:v>
                </c:pt>
                <c:pt idx="21">
                  <c:v>389</c:v>
                </c:pt>
                <c:pt idx="22">
                  <c:v>339</c:v>
                </c:pt>
                <c:pt idx="23">
                  <c:v>479</c:v>
                </c:pt>
                <c:pt idx="24">
                  <c:v>389</c:v>
                </c:pt>
                <c:pt idx="25">
                  <c:v>495</c:v>
                </c:pt>
                <c:pt idx="26">
                  <c:v>419</c:v>
                </c:pt>
              </c:numCache>
            </c:numRef>
          </c:val>
          <c:smooth val="0"/>
        </c:ser>
        <c:ser>
          <c:idx val="1"/>
          <c:order val="1"/>
          <c:tx>
            <c:strRef>
              <c:f>Data!$F$6</c:f>
              <c:strCache>
                <c:ptCount val="1"/>
                <c:pt idx="0">
                  <c:v>Grain Barges Unloaded in New Orleans </c:v>
                </c:pt>
              </c:strCache>
            </c:strRef>
          </c:tx>
          <c:spPr>
            <a:ln w="25400">
              <a:solidFill>
                <a:srgbClr val="FF9900"/>
              </a:solidFill>
              <a:prstDash val="solid"/>
            </a:ln>
          </c:spPr>
          <c:marker>
            <c:symbol val="square"/>
            <c:size val="3"/>
            <c:spPr>
              <a:solidFill>
                <a:srgbClr val="FF9900"/>
              </a:solidFill>
              <a:ln>
                <a:solidFill>
                  <a:srgbClr val="FF9900"/>
                </a:solidFill>
                <a:prstDash val="solid"/>
              </a:ln>
            </c:spPr>
          </c:marker>
          <c:cat>
            <c:numRef>
              <c:f>Data!$A$423:$A$449</c:f>
              <c:numCache>
                <c:formatCode>mm/dd/yy;@</c:formatCode>
                <c:ptCount val="27"/>
                <c:pt idx="0">
                  <c:v>41552</c:v>
                </c:pt>
                <c:pt idx="1">
                  <c:v>41559</c:v>
                </c:pt>
                <c:pt idx="2">
                  <c:v>41566</c:v>
                </c:pt>
                <c:pt idx="3">
                  <c:v>41573</c:v>
                </c:pt>
                <c:pt idx="4">
                  <c:v>41580</c:v>
                </c:pt>
                <c:pt idx="5">
                  <c:v>41587</c:v>
                </c:pt>
                <c:pt idx="6">
                  <c:v>41594</c:v>
                </c:pt>
                <c:pt idx="7">
                  <c:v>41601</c:v>
                </c:pt>
                <c:pt idx="8">
                  <c:v>41608</c:v>
                </c:pt>
                <c:pt idx="9">
                  <c:v>41615</c:v>
                </c:pt>
                <c:pt idx="10">
                  <c:v>41622</c:v>
                </c:pt>
                <c:pt idx="11">
                  <c:v>41629</c:v>
                </c:pt>
                <c:pt idx="12">
                  <c:v>41636</c:v>
                </c:pt>
                <c:pt idx="13">
                  <c:v>41643</c:v>
                </c:pt>
                <c:pt idx="14">
                  <c:v>41650</c:v>
                </c:pt>
                <c:pt idx="15">
                  <c:v>41657</c:v>
                </c:pt>
                <c:pt idx="16">
                  <c:v>41664</c:v>
                </c:pt>
                <c:pt idx="17">
                  <c:v>41671</c:v>
                </c:pt>
                <c:pt idx="18">
                  <c:v>41678</c:v>
                </c:pt>
                <c:pt idx="19">
                  <c:v>41685</c:v>
                </c:pt>
                <c:pt idx="20">
                  <c:v>41692</c:v>
                </c:pt>
                <c:pt idx="21">
                  <c:v>41699</c:v>
                </c:pt>
                <c:pt idx="22">
                  <c:v>41706</c:v>
                </c:pt>
                <c:pt idx="23">
                  <c:v>41713</c:v>
                </c:pt>
                <c:pt idx="24">
                  <c:v>41720</c:v>
                </c:pt>
                <c:pt idx="25">
                  <c:v>41727</c:v>
                </c:pt>
                <c:pt idx="26">
                  <c:v>41734</c:v>
                </c:pt>
              </c:numCache>
            </c:numRef>
          </c:cat>
          <c:val>
            <c:numRef>
              <c:f>Data!$F$423:$F$449</c:f>
              <c:numCache>
                <c:formatCode>0</c:formatCode>
                <c:ptCount val="27"/>
                <c:pt idx="0">
                  <c:v>744</c:v>
                </c:pt>
                <c:pt idx="1">
                  <c:v>827</c:v>
                </c:pt>
                <c:pt idx="2">
                  <c:v>780</c:v>
                </c:pt>
                <c:pt idx="3">
                  <c:v>813</c:v>
                </c:pt>
                <c:pt idx="4">
                  <c:v>921</c:v>
                </c:pt>
                <c:pt idx="5">
                  <c:v>934</c:v>
                </c:pt>
                <c:pt idx="6">
                  <c:v>947</c:v>
                </c:pt>
                <c:pt idx="7">
                  <c:v>907</c:v>
                </c:pt>
                <c:pt idx="8">
                  <c:v>839</c:v>
                </c:pt>
                <c:pt idx="9">
                  <c:v>916</c:v>
                </c:pt>
                <c:pt idx="10">
                  <c:v>798</c:v>
                </c:pt>
                <c:pt idx="11">
                  <c:v>871</c:v>
                </c:pt>
                <c:pt idx="12">
                  <c:v>671</c:v>
                </c:pt>
                <c:pt idx="13">
                  <c:v>814</c:v>
                </c:pt>
                <c:pt idx="14">
                  <c:v>749</c:v>
                </c:pt>
                <c:pt idx="15">
                  <c:v>888</c:v>
                </c:pt>
                <c:pt idx="16">
                  <c:v>771</c:v>
                </c:pt>
                <c:pt idx="17">
                  <c:v>682</c:v>
                </c:pt>
                <c:pt idx="18">
                  <c:v>774</c:v>
                </c:pt>
                <c:pt idx="19">
                  <c:v>739</c:v>
                </c:pt>
                <c:pt idx="20">
                  <c:v>819</c:v>
                </c:pt>
                <c:pt idx="21">
                  <c:v>703</c:v>
                </c:pt>
                <c:pt idx="22">
                  <c:v>691</c:v>
                </c:pt>
                <c:pt idx="23">
                  <c:v>726</c:v>
                </c:pt>
                <c:pt idx="24">
                  <c:v>757</c:v>
                </c:pt>
                <c:pt idx="25">
                  <c:v>761</c:v>
                </c:pt>
                <c:pt idx="26">
                  <c:v>709</c:v>
                </c:pt>
              </c:numCache>
            </c:numRef>
          </c:val>
          <c:smooth val="0"/>
        </c:ser>
        <c:dLbls>
          <c:showLegendKey val="0"/>
          <c:showVal val="0"/>
          <c:showCatName val="0"/>
          <c:showSerName val="0"/>
          <c:showPercent val="0"/>
          <c:showBubbleSize val="0"/>
        </c:dLbls>
        <c:marker val="1"/>
        <c:smooth val="0"/>
        <c:axId val="101329536"/>
        <c:axId val="101356288"/>
      </c:lineChart>
      <c:dateAx>
        <c:axId val="101329536"/>
        <c:scaling>
          <c:orientation val="minMax"/>
        </c:scaling>
        <c:delete val="0"/>
        <c:axPos val="b"/>
        <c:numFmt formatCode="m/d/yy;@" sourceLinked="0"/>
        <c:majorTickMark val="out"/>
        <c:minorTickMark val="none"/>
        <c:tickLblPos val="nextTo"/>
        <c:spPr>
          <a:ln w="3175">
            <a:solidFill>
              <a:srgbClr val="000000"/>
            </a:solidFill>
            <a:prstDash val="solid"/>
          </a:ln>
        </c:spPr>
        <c:txPr>
          <a:bodyPr rot="-5400000" vert="horz"/>
          <a:lstStyle/>
          <a:p>
            <a:pPr>
              <a:defRPr sz="800" b="0" i="0" u="none" strike="noStrike" baseline="0">
                <a:solidFill>
                  <a:srgbClr val="000000"/>
                </a:solidFill>
                <a:latin typeface="Times New Roman"/>
                <a:ea typeface="Times New Roman"/>
                <a:cs typeface="Times New Roman"/>
              </a:defRPr>
            </a:pPr>
            <a:endParaRPr lang="en-US"/>
          </a:p>
        </c:txPr>
        <c:crossAx val="101356288"/>
        <c:crosses val="autoZero"/>
        <c:auto val="1"/>
        <c:lblOffset val="100"/>
        <c:baseTimeUnit val="days"/>
        <c:majorUnit val="7"/>
        <c:majorTimeUnit val="days"/>
        <c:minorUnit val="1"/>
        <c:minorTimeUnit val="days"/>
      </c:dateAx>
      <c:valAx>
        <c:axId val="101356288"/>
        <c:scaling>
          <c:orientation val="minMax"/>
          <c:max val="1200"/>
          <c:min val="0"/>
        </c:scaling>
        <c:delete val="0"/>
        <c:axPos val="l"/>
        <c:numFmt formatCode="0" sourceLinked="1"/>
        <c:majorTickMark val="out"/>
        <c:minorTickMark val="none"/>
        <c:tickLblPos val="nextTo"/>
        <c:spPr>
          <a:ln w="3175">
            <a:solidFill>
              <a:srgbClr val="000000"/>
            </a:solidFill>
            <a:prstDash val="solid"/>
          </a:ln>
        </c:spPr>
        <c:txPr>
          <a:bodyPr rot="0" vert="horz"/>
          <a:lstStyle/>
          <a:p>
            <a:pPr>
              <a:defRPr sz="875" b="0" i="0" u="none" strike="noStrike" baseline="0">
                <a:solidFill>
                  <a:srgbClr val="000000"/>
                </a:solidFill>
                <a:latin typeface="Times New Roman"/>
                <a:ea typeface="Times New Roman"/>
                <a:cs typeface="Times New Roman"/>
              </a:defRPr>
            </a:pPr>
            <a:endParaRPr lang="en-US"/>
          </a:p>
        </c:txPr>
        <c:crossAx val="101329536"/>
        <c:crosses val="autoZero"/>
        <c:crossBetween val="between"/>
      </c:valAx>
      <c:spPr>
        <a:solidFill>
          <a:srgbClr val="FFFFFF"/>
        </a:solidFill>
        <a:ln w="12700">
          <a:solidFill>
            <a:srgbClr val="C0C0C0"/>
          </a:solidFill>
          <a:prstDash val="solid"/>
        </a:ln>
      </c:spPr>
    </c:plotArea>
    <c:legend>
      <c:legendPos val="r"/>
      <c:layout>
        <c:manualLayout>
          <c:xMode val="edge"/>
          <c:yMode val="edge"/>
          <c:x val="0.57711186425008076"/>
          <c:y val="0.70106784064001471"/>
          <c:w val="0.3970363252649422"/>
          <c:h val="0.10559022222896754"/>
        </c:manualLayout>
      </c:layout>
      <c:overlay val="0"/>
      <c:spPr>
        <a:noFill/>
        <a:ln w="25400">
          <a:noFill/>
        </a:ln>
      </c:spPr>
      <c:txPr>
        <a:bodyPr/>
        <a:lstStyle/>
        <a:p>
          <a:pPr>
            <a:defRPr sz="755" b="0" i="0" u="none" strike="noStrike" baseline="0">
              <a:solidFill>
                <a:srgbClr val="000000"/>
              </a:solidFill>
              <a:latin typeface="Times New Roman"/>
              <a:ea typeface="Times New Roman"/>
              <a:cs typeface="Times New Roman"/>
            </a:defRPr>
          </a:pPr>
          <a:endParaRPr lang="en-US"/>
        </a:p>
      </c:txPr>
    </c:legend>
    <c:plotVisOnly val="1"/>
    <c:dispBlanksAs val="gap"/>
    <c:showDLblsOverMax val="0"/>
  </c:chart>
  <c:spPr>
    <a:solidFill>
      <a:srgbClr val="FFFFFF"/>
    </a:solidFill>
    <a:ln w="9525">
      <a:noFill/>
    </a:ln>
  </c:spPr>
  <c:txPr>
    <a:bodyPr/>
    <a:lstStyle/>
    <a:p>
      <a:pPr>
        <a:defRPr sz="1200" b="0" i="0" u="none" strike="noStrike" baseline="0">
          <a:solidFill>
            <a:srgbClr val="000000"/>
          </a:solidFill>
          <a:latin typeface="Times New Roman"/>
          <a:ea typeface="Times New Roman"/>
          <a:cs typeface="Times New Roman"/>
        </a:defRPr>
      </a:pPr>
      <a:endParaRPr lang="en-US"/>
    </a:p>
  </c:txPr>
  <c:printSettings>
    <c:headerFooter alignWithMargins="0"/>
    <c:pageMargins b="1" l="0.75000000000001465" r="0.75000000000001465" t="1" header="0.5" footer="0.5"/>
    <c:pageSetup orientation="landscape"/>
  </c:printSettings>
  <c:userShapes r:id="rId1"/>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21</xdr:col>
      <xdr:colOff>152400</xdr:colOff>
      <xdr:row>0</xdr:row>
      <xdr:rowOff>0</xdr:rowOff>
    </xdr:from>
    <xdr:to>
      <xdr:col>21</xdr:col>
      <xdr:colOff>152400</xdr:colOff>
      <xdr:row>0</xdr:row>
      <xdr:rowOff>0</xdr:rowOff>
    </xdr:to>
    <xdr:sp macro="" textlink="">
      <xdr:nvSpPr>
        <xdr:cNvPr id="1291" name="Line 1"/>
        <xdr:cNvSpPr>
          <a:spLocks noChangeShapeType="1"/>
        </xdr:cNvSpPr>
      </xdr:nvSpPr>
      <xdr:spPr bwMode="auto">
        <a:xfrm>
          <a:off x="17221200" y="0"/>
          <a:ext cx="0" cy="0"/>
        </a:xfrm>
        <a:prstGeom prst="line">
          <a:avLst/>
        </a:prstGeom>
        <a:noFill/>
        <a:ln w="0">
          <a:solidFill>
            <a:srgbClr val="FF0000"/>
          </a:solidFill>
          <a:round/>
          <a:headEnd/>
          <a:tailEnd type="arrow" w="med" len="med"/>
        </a:ln>
      </xdr:spPr>
    </xdr:sp>
    <xdr:clientData/>
  </xdr:twoCellAnchor>
  <xdr:twoCellAnchor>
    <xdr:from>
      <xdr:col>21</xdr:col>
      <xdr:colOff>152400</xdr:colOff>
      <xdr:row>0</xdr:row>
      <xdr:rowOff>0</xdr:rowOff>
    </xdr:from>
    <xdr:to>
      <xdr:col>21</xdr:col>
      <xdr:colOff>152400</xdr:colOff>
      <xdr:row>0</xdr:row>
      <xdr:rowOff>0</xdr:rowOff>
    </xdr:to>
    <xdr:sp macro="" textlink="">
      <xdr:nvSpPr>
        <xdr:cNvPr id="1292" name="Line 2"/>
        <xdr:cNvSpPr>
          <a:spLocks noChangeShapeType="1"/>
        </xdr:cNvSpPr>
      </xdr:nvSpPr>
      <xdr:spPr bwMode="auto">
        <a:xfrm>
          <a:off x="17221200" y="0"/>
          <a:ext cx="0" cy="0"/>
        </a:xfrm>
        <a:prstGeom prst="line">
          <a:avLst/>
        </a:prstGeom>
        <a:noFill/>
        <a:ln w="3175">
          <a:solidFill>
            <a:srgbClr val="FF0000"/>
          </a:solidFill>
          <a:round/>
          <a:headEnd/>
          <a:tailEnd type="arrow" w="med" len="med"/>
        </a:ln>
      </xdr:spPr>
    </xdr:sp>
    <xdr:clientData/>
  </xdr:twoCellAnchor>
  <xdr:twoCellAnchor>
    <xdr:from>
      <xdr:col>21</xdr:col>
      <xdr:colOff>152400</xdr:colOff>
      <xdr:row>0</xdr:row>
      <xdr:rowOff>0</xdr:rowOff>
    </xdr:from>
    <xdr:to>
      <xdr:col>21</xdr:col>
      <xdr:colOff>152400</xdr:colOff>
      <xdr:row>0</xdr:row>
      <xdr:rowOff>0</xdr:rowOff>
    </xdr:to>
    <xdr:sp macro="" textlink="">
      <xdr:nvSpPr>
        <xdr:cNvPr id="1293" name="Line 3"/>
        <xdr:cNvSpPr>
          <a:spLocks noChangeShapeType="1"/>
        </xdr:cNvSpPr>
      </xdr:nvSpPr>
      <xdr:spPr bwMode="auto">
        <a:xfrm>
          <a:off x="17221200" y="0"/>
          <a:ext cx="0" cy="0"/>
        </a:xfrm>
        <a:prstGeom prst="line">
          <a:avLst/>
        </a:prstGeom>
        <a:noFill/>
        <a:ln w="9525">
          <a:solidFill>
            <a:srgbClr val="FF0000"/>
          </a:solidFill>
          <a:round/>
          <a:headEnd/>
          <a:tailEnd type="arrow" w="med" len="med"/>
        </a:ln>
      </xdr:spPr>
    </xdr:sp>
    <xdr:clientData/>
  </xdr:twoCellAnchor>
  <xdr:twoCellAnchor>
    <xdr:from>
      <xdr:col>21</xdr:col>
      <xdr:colOff>171450</xdr:colOff>
      <xdr:row>0</xdr:row>
      <xdr:rowOff>0</xdr:rowOff>
    </xdr:from>
    <xdr:to>
      <xdr:col>21</xdr:col>
      <xdr:colOff>171450</xdr:colOff>
      <xdr:row>0</xdr:row>
      <xdr:rowOff>0</xdr:rowOff>
    </xdr:to>
    <xdr:sp macro="" textlink="">
      <xdr:nvSpPr>
        <xdr:cNvPr id="1294" name="Line 4"/>
        <xdr:cNvSpPr>
          <a:spLocks noChangeShapeType="1"/>
        </xdr:cNvSpPr>
      </xdr:nvSpPr>
      <xdr:spPr bwMode="auto">
        <a:xfrm>
          <a:off x="17240250" y="0"/>
          <a:ext cx="0" cy="0"/>
        </a:xfrm>
        <a:prstGeom prst="line">
          <a:avLst/>
        </a:prstGeom>
        <a:noFill/>
        <a:ln w="9525">
          <a:solidFill>
            <a:srgbClr val="FF0000"/>
          </a:solidFill>
          <a:round/>
          <a:headEnd/>
          <a:tailEnd type="arrow" w="med" len="med"/>
        </a:ln>
      </xdr:spPr>
    </xdr:sp>
    <xdr:clientData/>
  </xdr:twoCellAnchor>
  <xdr:twoCellAnchor>
    <xdr:from>
      <xdr:col>21</xdr:col>
      <xdr:colOff>190500</xdr:colOff>
      <xdr:row>0</xdr:row>
      <xdr:rowOff>0</xdr:rowOff>
    </xdr:from>
    <xdr:to>
      <xdr:col>21</xdr:col>
      <xdr:colOff>190500</xdr:colOff>
      <xdr:row>0</xdr:row>
      <xdr:rowOff>0</xdr:rowOff>
    </xdr:to>
    <xdr:sp macro="" textlink="">
      <xdr:nvSpPr>
        <xdr:cNvPr id="1295" name="Line 5"/>
        <xdr:cNvSpPr>
          <a:spLocks noChangeShapeType="1"/>
        </xdr:cNvSpPr>
      </xdr:nvSpPr>
      <xdr:spPr bwMode="auto">
        <a:xfrm>
          <a:off x="17259300" y="0"/>
          <a:ext cx="0" cy="0"/>
        </a:xfrm>
        <a:prstGeom prst="line">
          <a:avLst/>
        </a:prstGeom>
        <a:noFill/>
        <a:ln w="9525">
          <a:solidFill>
            <a:srgbClr val="000000"/>
          </a:solidFill>
          <a:round/>
          <a:headEnd/>
          <a:tailEnd type="triangle" w="med" len="med"/>
        </a:ln>
      </xdr:spPr>
    </xdr:sp>
    <xdr:clientData/>
  </xdr:twoCellAnchor>
  <xdr:twoCellAnchor>
    <xdr:from>
      <xdr:col>21</xdr:col>
      <xdr:colOff>171450</xdr:colOff>
      <xdr:row>0</xdr:row>
      <xdr:rowOff>0</xdr:rowOff>
    </xdr:from>
    <xdr:to>
      <xdr:col>21</xdr:col>
      <xdr:colOff>171450</xdr:colOff>
      <xdr:row>0</xdr:row>
      <xdr:rowOff>0</xdr:rowOff>
    </xdr:to>
    <xdr:sp macro="" textlink="">
      <xdr:nvSpPr>
        <xdr:cNvPr id="1296" name="Line 6"/>
        <xdr:cNvSpPr>
          <a:spLocks noChangeShapeType="1"/>
        </xdr:cNvSpPr>
      </xdr:nvSpPr>
      <xdr:spPr bwMode="auto">
        <a:xfrm>
          <a:off x="17240250" y="0"/>
          <a:ext cx="0" cy="0"/>
        </a:xfrm>
        <a:prstGeom prst="line">
          <a:avLst/>
        </a:prstGeom>
        <a:noFill/>
        <a:ln w="9525">
          <a:solidFill>
            <a:srgbClr val="000000"/>
          </a:solidFill>
          <a:round/>
          <a:headEnd/>
          <a:tailEnd type="arrow" w="med" len="med"/>
        </a:ln>
      </xdr:spPr>
    </xdr:sp>
    <xdr:clientData/>
  </xdr:twoCellAnchor>
  <xdr:twoCellAnchor>
    <xdr:from>
      <xdr:col>21</xdr:col>
      <xdr:colOff>161925</xdr:colOff>
      <xdr:row>0</xdr:row>
      <xdr:rowOff>0</xdr:rowOff>
    </xdr:from>
    <xdr:to>
      <xdr:col>21</xdr:col>
      <xdr:colOff>161925</xdr:colOff>
      <xdr:row>0</xdr:row>
      <xdr:rowOff>0</xdr:rowOff>
    </xdr:to>
    <xdr:sp macro="" textlink="">
      <xdr:nvSpPr>
        <xdr:cNvPr id="1297" name="Line 7"/>
        <xdr:cNvSpPr>
          <a:spLocks noChangeShapeType="1"/>
        </xdr:cNvSpPr>
      </xdr:nvSpPr>
      <xdr:spPr bwMode="auto">
        <a:xfrm>
          <a:off x="17230725" y="0"/>
          <a:ext cx="0" cy="0"/>
        </a:xfrm>
        <a:prstGeom prst="line">
          <a:avLst/>
        </a:prstGeom>
        <a:noFill/>
        <a:ln w="9525">
          <a:solidFill>
            <a:srgbClr val="FF0000"/>
          </a:solidFill>
          <a:round/>
          <a:headEnd/>
          <a:tailEnd type="arrow" w="med" len="med"/>
        </a:ln>
      </xdr:spPr>
    </xdr:sp>
    <xdr:clientData/>
  </xdr:twoCellAnchor>
  <xdr:twoCellAnchor>
    <xdr:from>
      <xdr:col>21</xdr:col>
      <xdr:colOff>152400</xdr:colOff>
      <xdr:row>0</xdr:row>
      <xdr:rowOff>0</xdr:rowOff>
    </xdr:from>
    <xdr:to>
      <xdr:col>21</xdr:col>
      <xdr:colOff>161925</xdr:colOff>
      <xdr:row>0</xdr:row>
      <xdr:rowOff>0</xdr:rowOff>
    </xdr:to>
    <xdr:sp macro="" textlink="">
      <xdr:nvSpPr>
        <xdr:cNvPr id="1298" name="Line 8"/>
        <xdr:cNvSpPr>
          <a:spLocks noChangeShapeType="1"/>
        </xdr:cNvSpPr>
      </xdr:nvSpPr>
      <xdr:spPr bwMode="auto">
        <a:xfrm flipH="1">
          <a:off x="17221200" y="0"/>
          <a:ext cx="9525" cy="0"/>
        </a:xfrm>
        <a:prstGeom prst="line">
          <a:avLst/>
        </a:prstGeom>
        <a:noFill/>
        <a:ln w="9525">
          <a:solidFill>
            <a:srgbClr val="FF0000"/>
          </a:solidFill>
          <a:round/>
          <a:headEnd/>
          <a:tailEnd type="arrow" w="med" len="med"/>
        </a:ln>
      </xdr:spPr>
    </xdr:sp>
    <xdr:clientData/>
  </xdr:twoCellAnchor>
  <xdr:twoCellAnchor>
    <xdr:from>
      <xdr:col>21</xdr:col>
      <xdr:colOff>190500</xdr:colOff>
      <xdr:row>0</xdr:row>
      <xdr:rowOff>0</xdr:rowOff>
    </xdr:from>
    <xdr:to>
      <xdr:col>21</xdr:col>
      <xdr:colOff>190500</xdr:colOff>
      <xdr:row>0</xdr:row>
      <xdr:rowOff>0</xdr:rowOff>
    </xdr:to>
    <xdr:sp macro="" textlink="">
      <xdr:nvSpPr>
        <xdr:cNvPr id="1299" name="Line 9"/>
        <xdr:cNvSpPr>
          <a:spLocks noChangeShapeType="1"/>
        </xdr:cNvSpPr>
      </xdr:nvSpPr>
      <xdr:spPr bwMode="auto">
        <a:xfrm>
          <a:off x="17259300" y="0"/>
          <a:ext cx="0" cy="0"/>
        </a:xfrm>
        <a:prstGeom prst="line">
          <a:avLst/>
        </a:prstGeom>
        <a:noFill/>
        <a:ln w="9525">
          <a:solidFill>
            <a:srgbClr val="000000"/>
          </a:solidFill>
          <a:round/>
          <a:headEnd/>
          <a:tailEnd type="triangle" w="med" len="med"/>
        </a:ln>
      </xdr:spPr>
    </xdr:sp>
    <xdr:clientData/>
  </xdr:twoCellAnchor>
  <xdr:twoCellAnchor>
    <xdr:from>
      <xdr:col>21</xdr:col>
      <xdr:colOff>171450</xdr:colOff>
      <xdr:row>0</xdr:row>
      <xdr:rowOff>0</xdr:rowOff>
    </xdr:from>
    <xdr:to>
      <xdr:col>21</xdr:col>
      <xdr:colOff>171450</xdr:colOff>
      <xdr:row>0</xdr:row>
      <xdr:rowOff>0</xdr:rowOff>
    </xdr:to>
    <xdr:sp macro="" textlink="">
      <xdr:nvSpPr>
        <xdr:cNvPr id="1300" name="Line 10"/>
        <xdr:cNvSpPr>
          <a:spLocks noChangeShapeType="1"/>
        </xdr:cNvSpPr>
      </xdr:nvSpPr>
      <xdr:spPr bwMode="auto">
        <a:xfrm>
          <a:off x="17240250" y="0"/>
          <a:ext cx="0" cy="0"/>
        </a:xfrm>
        <a:prstGeom prst="line">
          <a:avLst/>
        </a:prstGeom>
        <a:noFill/>
        <a:ln w="9525">
          <a:solidFill>
            <a:srgbClr val="FF0000"/>
          </a:solidFill>
          <a:round/>
          <a:headEnd/>
          <a:tailEnd type="arrow" w="med" len="med"/>
        </a:ln>
      </xdr:spPr>
    </xdr:sp>
    <xdr:clientData/>
  </xdr:twoCellAnchor>
  <xdr:twoCellAnchor>
    <xdr:from>
      <xdr:col>21</xdr:col>
      <xdr:colOff>190500</xdr:colOff>
      <xdr:row>0</xdr:row>
      <xdr:rowOff>0</xdr:rowOff>
    </xdr:from>
    <xdr:to>
      <xdr:col>21</xdr:col>
      <xdr:colOff>190500</xdr:colOff>
      <xdr:row>0</xdr:row>
      <xdr:rowOff>0</xdr:rowOff>
    </xdr:to>
    <xdr:sp macro="" textlink="">
      <xdr:nvSpPr>
        <xdr:cNvPr id="1301" name="Line 11"/>
        <xdr:cNvSpPr>
          <a:spLocks noChangeShapeType="1"/>
        </xdr:cNvSpPr>
      </xdr:nvSpPr>
      <xdr:spPr bwMode="auto">
        <a:xfrm>
          <a:off x="17259300" y="0"/>
          <a:ext cx="0" cy="0"/>
        </a:xfrm>
        <a:prstGeom prst="line">
          <a:avLst/>
        </a:prstGeom>
        <a:noFill/>
        <a:ln w="9525">
          <a:solidFill>
            <a:srgbClr val="000000"/>
          </a:solidFill>
          <a:round/>
          <a:headEnd/>
          <a:tailEnd type="triangle" w="med" len="med"/>
        </a:ln>
      </xdr:spPr>
    </xdr:sp>
    <xdr:clientData/>
  </xdr:twoCellAnchor>
  <xdr:twoCellAnchor>
    <xdr:from>
      <xdr:col>21</xdr:col>
      <xdr:colOff>171450</xdr:colOff>
      <xdr:row>0</xdr:row>
      <xdr:rowOff>0</xdr:rowOff>
    </xdr:from>
    <xdr:to>
      <xdr:col>21</xdr:col>
      <xdr:colOff>171450</xdr:colOff>
      <xdr:row>0</xdr:row>
      <xdr:rowOff>0</xdr:rowOff>
    </xdr:to>
    <xdr:sp macro="" textlink="">
      <xdr:nvSpPr>
        <xdr:cNvPr id="1302" name="Line 12"/>
        <xdr:cNvSpPr>
          <a:spLocks noChangeShapeType="1"/>
        </xdr:cNvSpPr>
      </xdr:nvSpPr>
      <xdr:spPr bwMode="auto">
        <a:xfrm>
          <a:off x="17240250" y="0"/>
          <a:ext cx="0" cy="0"/>
        </a:xfrm>
        <a:prstGeom prst="line">
          <a:avLst/>
        </a:prstGeom>
        <a:noFill/>
        <a:ln w="9525">
          <a:solidFill>
            <a:srgbClr val="FF0000"/>
          </a:solidFill>
          <a:round/>
          <a:headEnd/>
          <a:tailEnd type="arrow" w="med" len="med"/>
        </a:ln>
      </xdr:spPr>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xdr:row>
      <xdr:rowOff>19050</xdr:rowOff>
    </xdr:from>
    <xdr:to>
      <xdr:col>9</xdr:col>
      <xdr:colOff>542925</xdr:colOff>
      <xdr:row>21</xdr:row>
      <xdr:rowOff>9525</xdr:rowOff>
    </xdr:to>
    <xdr:graphicFrame macro="">
      <xdr:nvGraphicFramePr>
        <xdr:cNvPr id="2093"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xdr:colOff>
      <xdr:row>3</xdr:row>
      <xdr:rowOff>28752</xdr:rowOff>
    </xdr:from>
    <xdr:to>
      <xdr:col>9</xdr:col>
      <xdr:colOff>64697</xdr:colOff>
      <xdr:row>5</xdr:row>
      <xdr:rowOff>28754</xdr:rowOff>
    </xdr:to>
    <xdr:sp macro="" textlink="">
      <xdr:nvSpPr>
        <xdr:cNvPr id="2050" name="Rectangle 2"/>
        <xdr:cNvSpPr>
          <a:spLocks noChangeArrowheads="1"/>
        </xdr:cNvSpPr>
      </xdr:nvSpPr>
      <xdr:spPr bwMode="auto">
        <a:xfrm>
          <a:off x="603850" y="531960"/>
          <a:ext cx="4802036" cy="330681"/>
        </a:xfrm>
        <a:prstGeom prst="rect">
          <a:avLst/>
        </a:prstGeom>
        <a:solidFill>
          <a:srgbClr val="FFFF99"/>
        </a:solidFill>
        <a:ln w="9525">
          <a:noFill/>
          <a:miter lim="800000"/>
          <a:headEnd/>
          <a:tailEnd/>
        </a:ln>
      </xdr:spPr>
      <xdr:txBody>
        <a:bodyPr vertOverflow="clip" wrap="square" lIns="27432" tIns="27432" rIns="0" bIns="0" anchor="t" upright="1"/>
        <a:lstStyle/>
        <a:p>
          <a:pPr marL="0" marR="0" indent="0" algn="l" defTabSz="914400" rtl="0" eaLnBrk="1" fontAlgn="auto" latinLnBrk="0" hangingPunct="1">
            <a:lnSpc>
              <a:spcPct val="100000"/>
            </a:lnSpc>
            <a:spcBef>
              <a:spcPts val="0"/>
            </a:spcBef>
            <a:spcAft>
              <a:spcPts val="0"/>
            </a:spcAft>
            <a:buClrTx/>
            <a:buSzTx/>
            <a:buFontTx/>
            <a:buNone/>
            <a:tabLst/>
            <a:defRPr sz="1000"/>
          </a:pPr>
          <a:r>
            <a:rPr lang="en-US" sz="900" b="0" i="0" strike="noStrike">
              <a:solidFill>
                <a:srgbClr val="000000"/>
              </a:solidFill>
              <a:latin typeface="Times New Roman"/>
              <a:cs typeface="Times New Roman"/>
            </a:rPr>
            <a:t>Week ending April 5: 419 grain barges</a:t>
          </a:r>
          <a:r>
            <a:rPr lang="en-US" sz="900" b="0" i="0" strike="noStrike" baseline="0">
              <a:solidFill>
                <a:srgbClr val="000000"/>
              </a:solidFill>
              <a:latin typeface="Times New Roman"/>
              <a:cs typeface="Times New Roman"/>
            </a:rPr>
            <a:t> moved down river, down 15.4 percent from the previous week, 709 </a:t>
          </a:r>
          <a:r>
            <a:rPr lang="en-US" sz="900" b="0" i="0" strike="noStrike">
              <a:solidFill>
                <a:srgbClr val="000000"/>
              </a:solidFill>
              <a:latin typeface="Times New Roman"/>
              <a:cs typeface="Times New Roman"/>
            </a:rPr>
            <a:t>grain barges were</a:t>
          </a:r>
          <a:r>
            <a:rPr lang="en-US" sz="900" b="0" i="0" strike="noStrike" baseline="0">
              <a:solidFill>
                <a:srgbClr val="000000"/>
              </a:solidFill>
              <a:latin typeface="Times New Roman"/>
              <a:cs typeface="Times New Roman"/>
            </a:rPr>
            <a:t> </a:t>
          </a:r>
          <a:r>
            <a:rPr lang="en-US" sz="900" b="0" i="0" strike="noStrike">
              <a:solidFill>
                <a:srgbClr val="000000"/>
              </a:solidFill>
              <a:latin typeface="Times New Roman"/>
              <a:cs typeface="Times New Roman"/>
            </a:rPr>
            <a:t>unloaded in New Orleans, down 6.8 </a:t>
          </a:r>
          <a:r>
            <a:rPr lang="en-US" sz="900" b="0" i="0" strike="noStrike" baseline="0">
              <a:solidFill>
                <a:srgbClr val="000000"/>
              </a:solidFill>
              <a:latin typeface="Times New Roman"/>
              <a:cs typeface="Times New Roman"/>
            </a:rPr>
            <a:t>percent from the previous week</a:t>
          </a:r>
          <a:r>
            <a:rPr lang="en-US" sz="900" b="0" i="0" strike="noStrike">
              <a:solidFill>
                <a:srgbClr val="000000"/>
              </a:solidFill>
              <a:latin typeface="Times New Roman"/>
              <a:cs typeface="Times New Roman"/>
            </a:rPr>
            <a:t>.  </a:t>
          </a:r>
        </a:p>
      </xdr:txBody>
    </xdr:sp>
    <xdr:clientData/>
  </xdr:twoCellAnchor>
</xdr:wsDr>
</file>

<file path=xl/drawings/drawing3.xml><?xml version="1.0" encoding="utf-8"?>
<c:userShapes xmlns:c="http://schemas.openxmlformats.org/drawingml/2006/chart">
  <cdr:relSizeAnchor xmlns:cdr="http://schemas.openxmlformats.org/drawingml/2006/chartDrawing">
    <cdr:from>
      <cdr:x>0.00611</cdr:x>
      <cdr:y>0.24344</cdr:y>
    </cdr:from>
    <cdr:to>
      <cdr:x>0.05236</cdr:x>
      <cdr:y>0.5597</cdr:y>
    </cdr:to>
    <cdr:sp macro="" textlink="">
      <cdr:nvSpPr>
        <cdr:cNvPr id="3073" name="Rectangle 1"/>
        <cdr:cNvSpPr>
          <a:spLocks xmlns:a="http://schemas.openxmlformats.org/drawingml/2006/main" noChangeArrowheads="1"/>
        </cdr:cNvSpPr>
      </cdr:nvSpPr>
      <cdr:spPr bwMode="auto">
        <a:xfrm xmlns:a="http://schemas.openxmlformats.org/drawingml/2006/main">
          <a:off x="35944" y="762437"/>
          <a:ext cx="272175" cy="990503"/>
        </a:xfrm>
        <a:prstGeom xmlns:a="http://schemas.openxmlformats.org/drawingml/2006/main" prst="rect">
          <a:avLst/>
        </a:prstGeom>
        <a:noFill xmlns:a="http://schemas.openxmlformats.org/drawingml/2006/main"/>
        <a:ln xmlns:a="http://schemas.openxmlformats.org/drawingml/2006/main" w="9525">
          <a:noFill/>
          <a:miter lim="800000"/>
          <a:headEnd/>
          <a:tailEnd/>
        </a:ln>
      </cdr:spPr>
      <cdr:txBody>
        <a:bodyPr xmlns:a="http://schemas.openxmlformats.org/drawingml/2006/main" vertOverflow="clip" vert="vert270" wrap="square" lIns="27432" tIns="0" rIns="27432" bIns="22860" anchor="ctr" upright="1"/>
        <a:lstStyle xmlns:a="http://schemas.openxmlformats.org/drawingml/2006/main"/>
        <a:p xmlns:a="http://schemas.openxmlformats.org/drawingml/2006/main">
          <a:pPr algn="l" rtl="0">
            <a:defRPr sz="1000"/>
          </a:pPr>
          <a:r>
            <a:rPr lang="en-US" sz="800" b="1" i="0" strike="noStrike">
              <a:solidFill>
                <a:srgbClr val="000000"/>
              </a:solidFill>
              <a:latin typeface="Times New Roman"/>
              <a:cs typeface="Times New Roman"/>
            </a:rPr>
            <a:t>Number of  barges</a:t>
          </a: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50"/>
  <sheetViews>
    <sheetView zoomScale="86" zoomScaleNormal="86" workbookViewId="0">
      <pane ySplit="6" topLeftCell="A435" activePane="bottomLeft" state="frozen"/>
      <selection pane="bottomLeft" activeCell="F449" sqref="F449"/>
    </sheetView>
  </sheetViews>
  <sheetFormatPr defaultColWidth="9.21875" defaultRowHeight="13.2" x14ac:dyDescent="0.25"/>
  <cols>
    <col min="1" max="1" width="14.77734375" style="2" customWidth="1"/>
    <col min="2" max="2" width="11.77734375" style="3" bestFit="1" customWidth="1"/>
    <col min="3" max="3" width="11.44140625" style="3" bestFit="1" customWidth="1"/>
    <col min="4" max="4" width="12.77734375" style="3" bestFit="1" customWidth="1"/>
    <col min="5" max="5" width="11.21875" style="3" bestFit="1" customWidth="1"/>
    <col min="6" max="6" width="16.21875" style="3" bestFit="1" customWidth="1"/>
    <col min="7" max="7" width="17.77734375" style="3" bestFit="1" customWidth="1"/>
    <col min="8" max="8" width="12.6640625" style="21" bestFit="1" customWidth="1"/>
    <col min="9" max="9" width="11.77734375" style="3" customWidth="1"/>
    <col min="10" max="10" width="14" style="3" bestFit="1" customWidth="1"/>
    <col min="11" max="11" width="14.44140625" bestFit="1" customWidth="1"/>
    <col min="12" max="12" width="12.33203125" style="4" bestFit="1" customWidth="1"/>
    <col min="13" max="13" width="7.33203125" style="2" customWidth="1"/>
    <col min="14" max="14" width="6.44140625" style="2" customWidth="1"/>
    <col min="15" max="15" width="13.77734375" style="2" customWidth="1"/>
    <col min="16" max="18" width="9.21875" style="2"/>
    <col min="19" max="19" width="11.5546875" style="2" bestFit="1" customWidth="1"/>
    <col min="20" max="16384" width="9.21875" style="2"/>
  </cols>
  <sheetData>
    <row r="1" spans="1:13" ht="29.25" customHeight="1" x14ac:dyDescent="0.3">
      <c r="A1" s="48" t="s">
        <v>21</v>
      </c>
      <c r="B1" s="48"/>
      <c r="C1" s="48"/>
      <c r="D1" s="48"/>
      <c r="E1" s="48"/>
      <c r="F1" s="48"/>
      <c r="G1" s="48"/>
      <c r="H1" s="38"/>
      <c r="I1" s="28"/>
      <c r="J1" s="28"/>
      <c r="K1" s="28"/>
    </row>
    <row r="2" spans="1:13" x14ac:dyDescent="0.25">
      <c r="A2" s="49" t="s">
        <v>22</v>
      </c>
      <c r="B2" s="49"/>
      <c r="C2" s="49"/>
      <c r="D2" s="49"/>
      <c r="E2" s="49"/>
      <c r="F2" s="49"/>
      <c r="G2" s="49"/>
      <c r="H2" s="49"/>
      <c r="I2" s="49"/>
      <c r="J2" s="49"/>
      <c r="K2" s="49"/>
    </row>
    <row r="3" spans="1:13" x14ac:dyDescent="0.25">
      <c r="A3" s="49"/>
      <c r="B3" s="49"/>
      <c r="C3" s="49"/>
      <c r="D3" s="49"/>
      <c r="E3" s="49"/>
      <c r="F3" s="49"/>
      <c r="G3" s="49"/>
      <c r="H3" s="49"/>
      <c r="I3" s="49"/>
      <c r="J3" s="49"/>
      <c r="K3" s="49"/>
    </row>
    <row r="4" spans="1:13" ht="15.75" customHeight="1" x14ac:dyDescent="0.25">
      <c r="A4" s="29"/>
      <c r="B4" s="29"/>
      <c r="C4" s="29"/>
      <c r="D4" s="29"/>
      <c r="E4" s="29"/>
      <c r="F4" s="29"/>
      <c r="G4" s="29"/>
      <c r="H4" s="39"/>
      <c r="I4" s="29"/>
      <c r="J4" s="29"/>
      <c r="K4" s="29"/>
    </row>
    <row r="5" spans="1:13" ht="15.75" customHeight="1" x14ac:dyDescent="0.3">
      <c r="A5" s="28" t="s">
        <v>20</v>
      </c>
      <c r="B5" s="28"/>
      <c r="C5" s="28"/>
      <c r="D5" s="28"/>
      <c r="E5" s="28"/>
      <c r="F5" s="28"/>
      <c r="G5" s="28"/>
      <c r="H5" s="38"/>
      <c r="I5" s="28"/>
      <c r="J5" s="28"/>
      <c r="K5" s="28"/>
    </row>
    <row r="6" spans="1:13" ht="78.75" customHeight="1" x14ac:dyDescent="0.25">
      <c r="A6" s="33" t="s">
        <v>11</v>
      </c>
      <c r="B6" s="7" t="s">
        <v>0</v>
      </c>
      <c r="C6" s="6" t="s">
        <v>1</v>
      </c>
      <c r="D6" s="6" t="s">
        <v>2</v>
      </c>
      <c r="E6" s="6" t="s">
        <v>3</v>
      </c>
      <c r="F6" s="6" t="s">
        <v>4</v>
      </c>
      <c r="G6" s="6" t="s">
        <v>7</v>
      </c>
      <c r="H6" s="40" t="s">
        <v>13</v>
      </c>
      <c r="I6" s="6" t="s">
        <v>9</v>
      </c>
      <c r="J6" s="6" t="s">
        <v>8</v>
      </c>
      <c r="K6" s="6" t="s">
        <v>10</v>
      </c>
      <c r="L6" s="6" t="s">
        <v>29</v>
      </c>
      <c r="M6" s="6" t="s">
        <v>23</v>
      </c>
    </row>
    <row r="7" spans="1:13" ht="13.8" x14ac:dyDescent="0.25">
      <c r="A7" s="26">
        <v>38640</v>
      </c>
      <c r="B7" s="34">
        <v>267</v>
      </c>
      <c r="C7" s="3">
        <v>48</v>
      </c>
      <c r="D7" s="3">
        <v>95</v>
      </c>
      <c r="E7" s="13">
        <f t="shared" ref="E7:E21" si="0">SUM(B7:D7)</f>
        <v>410</v>
      </c>
      <c r="F7" s="13">
        <v>765</v>
      </c>
      <c r="G7" s="3">
        <f>F7-E7</f>
        <v>355</v>
      </c>
      <c r="I7" s="4"/>
      <c r="L7" s="3"/>
    </row>
    <row r="8" spans="1:13" ht="13.8" x14ac:dyDescent="0.25">
      <c r="A8" s="26">
        <f>7+A7</f>
        <v>38647</v>
      </c>
      <c r="B8" s="34">
        <v>313</v>
      </c>
      <c r="C8" s="3">
        <v>27</v>
      </c>
      <c r="D8" s="3">
        <v>65</v>
      </c>
      <c r="E8" s="13">
        <f t="shared" si="0"/>
        <v>405</v>
      </c>
      <c r="F8" s="13">
        <v>735</v>
      </c>
      <c r="G8" s="3">
        <f t="shared" ref="G8:G40" si="1">F8-E8</f>
        <v>330</v>
      </c>
      <c r="H8" s="21">
        <f t="shared" ref="H8:H54" si="2">(F8-F7)/F7</f>
        <v>-3.9215686274509803E-2</v>
      </c>
      <c r="I8" s="4">
        <f t="shared" ref="I8:I21" si="3">(E8-E7)/E7</f>
        <v>-1.2195121951219513E-2</v>
      </c>
      <c r="J8" s="3">
        <f t="shared" ref="J8:J21" si="4">E8-E7</f>
        <v>-5</v>
      </c>
      <c r="L8" s="3"/>
    </row>
    <row r="9" spans="1:13" ht="13.8" x14ac:dyDescent="0.25">
      <c r="A9" s="26">
        <f>7+A8</f>
        <v>38654</v>
      </c>
      <c r="B9" s="34">
        <v>242</v>
      </c>
      <c r="C9" s="3">
        <v>27</v>
      </c>
      <c r="D9" s="3">
        <v>79</v>
      </c>
      <c r="E9" s="13">
        <f t="shared" si="0"/>
        <v>348</v>
      </c>
      <c r="F9" s="13">
        <v>728</v>
      </c>
      <c r="G9" s="3">
        <f t="shared" si="1"/>
        <v>380</v>
      </c>
      <c r="H9" s="21">
        <f t="shared" si="2"/>
        <v>-9.5238095238095247E-3</v>
      </c>
      <c r="I9" s="4">
        <f t="shared" si="3"/>
        <v>-0.14074074074074075</v>
      </c>
      <c r="J9" s="3">
        <f t="shared" si="4"/>
        <v>-57</v>
      </c>
      <c r="L9" s="3"/>
    </row>
    <row r="10" spans="1:13" ht="13.8" x14ac:dyDescent="0.25">
      <c r="A10" s="26">
        <f>7+A9</f>
        <v>38661</v>
      </c>
      <c r="B10" s="34">
        <v>314</v>
      </c>
      <c r="C10" s="3">
        <v>43</v>
      </c>
      <c r="D10" s="3">
        <v>79</v>
      </c>
      <c r="E10" s="13">
        <f t="shared" si="0"/>
        <v>436</v>
      </c>
      <c r="F10" s="13">
        <v>586</v>
      </c>
      <c r="G10" s="3">
        <f t="shared" si="1"/>
        <v>150</v>
      </c>
      <c r="H10" s="21">
        <f t="shared" si="2"/>
        <v>-0.19505494505494506</v>
      </c>
      <c r="I10" s="4">
        <f t="shared" si="3"/>
        <v>0.25287356321839083</v>
      </c>
      <c r="J10" s="3">
        <f t="shared" si="4"/>
        <v>88</v>
      </c>
      <c r="L10" s="3"/>
    </row>
    <row r="11" spans="1:13" ht="13.8" x14ac:dyDescent="0.25">
      <c r="A11" s="26">
        <f>7+A10</f>
        <v>38668</v>
      </c>
      <c r="B11" s="34">
        <v>357</v>
      </c>
      <c r="C11" s="3">
        <v>18</v>
      </c>
      <c r="D11" s="3">
        <v>87</v>
      </c>
      <c r="E11" s="13">
        <f t="shared" si="0"/>
        <v>462</v>
      </c>
      <c r="F11" s="13">
        <v>577</v>
      </c>
      <c r="G11" s="3">
        <f t="shared" si="1"/>
        <v>115</v>
      </c>
      <c r="H11" s="21">
        <f t="shared" si="2"/>
        <v>-1.5358361774744027E-2</v>
      </c>
      <c r="I11" s="4">
        <f t="shared" si="3"/>
        <v>5.9633027522935783E-2</v>
      </c>
      <c r="J11" s="3">
        <f t="shared" si="4"/>
        <v>26</v>
      </c>
      <c r="L11" s="3"/>
    </row>
    <row r="12" spans="1:13" ht="13.8" x14ac:dyDescent="0.25">
      <c r="A12" s="26">
        <f t="shared" ref="A12:A23" si="5">7+A11</f>
        <v>38675</v>
      </c>
      <c r="B12" s="34">
        <v>414</v>
      </c>
      <c r="C12" s="3">
        <v>45</v>
      </c>
      <c r="D12" s="3">
        <v>94</v>
      </c>
      <c r="E12" s="13">
        <f t="shared" si="0"/>
        <v>553</v>
      </c>
      <c r="F12" s="13">
        <v>565</v>
      </c>
      <c r="G12" s="3">
        <f t="shared" si="1"/>
        <v>12</v>
      </c>
      <c r="H12" s="21">
        <f t="shared" si="2"/>
        <v>-2.0797227036395149E-2</v>
      </c>
      <c r="I12" s="4">
        <f t="shared" si="3"/>
        <v>0.19696969696969696</v>
      </c>
      <c r="J12" s="3">
        <f t="shared" si="4"/>
        <v>91</v>
      </c>
      <c r="L12" s="3"/>
    </row>
    <row r="13" spans="1:13" ht="13.8" x14ac:dyDescent="0.25">
      <c r="A13" s="26">
        <f t="shared" si="5"/>
        <v>38682</v>
      </c>
      <c r="B13" s="34">
        <v>441</v>
      </c>
      <c r="C13" s="3">
        <v>32</v>
      </c>
      <c r="D13" s="3">
        <v>98</v>
      </c>
      <c r="E13" s="13">
        <f t="shared" si="0"/>
        <v>571</v>
      </c>
      <c r="F13" s="13">
        <v>527</v>
      </c>
      <c r="G13" s="3">
        <f t="shared" si="1"/>
        <v>-44</v>
      </c>
      <c r="H13" s="21">
        <f t="shared" si="2"/>
        <v>-6.7256637168141592E-2</v>
      </c>
      <c r="I13" s="4">
        <f t="shared" si="3"/>
        <v>3.25497287522604E-2</v>
      </c>
      <c r="J13" s="3">
        <f t="shared" si="4"/>
        <v>18</v>
      </c>
      <c r="L13" s="3"/>
    </row>
    <row r="14" spans="1:13" ht="13.8" x14ac:dyDescent="0.25">
      <c r="A14" s="26">
        <f t="shared" si="5"/>
        <v>38689</v>
      </c>
      <c r="B14" s="5">
        <v>412</v>
      </c>
      <c r="C14" s="3">
        <v>38</v>
      </c>
      <c r="D14" s="3">
        <v>79</v>
      </c>
      <c r="E14" s="13">
        <f t="shared" si="0"/>
        <v>529</v>
      </c>
      <c r="F14" s="13">
        <v>621</v>
      </c>
      <c r="G14" s="3">
        <f t="shared" si="1"/>
        <v>92</v>
      </c>
      <c r="H14" s="21">
        <f t="shared" si="2"/>
        <v>0.17836812144212524</v>
      </c>
      <c r="I14" s="4">
        <f t="shared" si="3"/>
        <v>-7.3555166374781086E-2</v>
      </c>
      <c r="J14" s="3">
        <f t="shared" si="4"/>
        <v>-42</v>
      </c>
      <c r="L14" s="3"/>
    </row>
    <row r="15" spans="1:13" ht="13.8" x14ac:dyDescent="0.25">
      <c r="A15" s="26">
        <f t="shared" si="5"/>
        <v>38696</v>
      </c>
      <c r="B15" s="5">
        <v>413</v>
      </c>
      <c r="C15" s="3">
        <v>17</v>
      </c>
      <c r="D15" s="3">
        <v>67</v>
      </c>
      <c r="E15" s="13">
        <f t="shared" si="0"/>
        <v>497</v>
      </c>
      <c r="F15" s="13">
        <v>675</v>
      </c>
      <c r="G15" s="3">
        <f t="shared" si="1"/>
        <v>178</v>
      </c>
      <c r="H15" s="21">
        <f t="shared" si="2"/>
        <v>8.6956521739130432E-2</v>
      </c>
      <c r="I15" s="4">
        <f t="shared" si="3"/>
        <v>-6.0491493383742913E-2</v>
      </c>
      <c r="J15" s="3">
        <f t="shared" si="4"/>
        <v>-32</v>
      </c>
      <c r="L15" s="3"/>
    </row>
    <row r="16" spans="1:13" ht="13.8" x14ac:dyDescent="0.25">
      <c r="A16" s="26">
        <f t="shared" si="5"/>
        <v>38703</v>
      </c>
      <c r="B16" s="5">
        <v>358</v>
      </c>
      <c r="C16" s="3">
        <v>38</v>
      </c>
      <c r="D16" s="3">
        <v>93</v>
      </c>
      <c r="E16" s="13">
        <f t="shared" si="0"/>
        <v>489</v>
      </c>
      <c r="F16" s="13">
        <v>528</v>
      </c>
      <c r="G16" s="3">
        <f t="shared" si="1"/>
        <v>39</v>
      </c>
      <c r="H16" s="21">
        <f t="shared" si="2"/>
        <v>-0.21777777777777776</v>
      </c>
      <c r="I16" s="4">
        <f t="shared" si="3"/>
        <v>-1.6096579476861168E-2</v>
      </c>
      <c r="J16" s="3">
        <f t="shared" si="4"/>
        <v>-8</v>
      </c>
      <c r="L16" s="3"/>
    </row>
    <row r="17" spans="1:12" ht="13.8" x14ac:dyDescent="0.25">
      <c r="A17" s="26">
        <f t="shared" si="5"/>
        <v>38710</v>
      </c>
      <c r="B17" s="5">
        <v>211</v>
      </c>
      <c r="C17" s="3">
        <v>25</v>
      </c>
      <c r="D17" s="3">
        <v>148</v>
      </c>
      <c r="E17" s="13">
        <f t="shared" si="0"/>
        <v>384</v>
      </c>
      <c r="F17" s="13">
        <v>436</v>
      </c>
      <c r="G17" s="3">
        <f t="shared" si="1"/>
        <v>52</v>
      </c>
      <c r="H17" s="21">
        <f t="shared" si="2"/>
        <v>-0.17424242424242425</v>
      </c>
      <c r="I17" s="4">
        <f t="shared" si="3"/>
        <v>-0.21472392638036811</v>
      </c>
      <c r="J17" s="3">
        <f t="shared" si="4"/>
        <v>-105</v>
      </c>
      <c r="L17" s="3"/>
    </row>
    <row r="18" spans="1:12" ht="13.8" x14ac:dyDescent="0.25">
      <c r="A18" s="26">
        <f t="shared" si="5"/>
        <v>38717</v>
      </c>
      <c r="B18" s="5">
        <v>262</v>
      </c>
      <c r="C18" s="3">
        <v>36</v>
      </c>
      <c r="D18" s="3">
        <v>156</v>
      </c>
      <c r="E18" s="13">
        <f t="shared" si="0"/>
        <v>454</v>
      </c>
      <c r="F18" s="13">
        <v>510</v>
      </c>
      <c r="G18" s="3">
        <f t="shared" si="1"/>
        <v>56</v>
      </c>
      <c r="H18" s="21">
        <f t="shared" si="2"/>
        <v>0.16972477064220184</v>
      </c>
      <c r="I18" s="4">
        <f t="shared" si="3"/>
        <v>0.18229166666666666</v>
      </c>
      <c r="J18" s="3">
        <f t="shared" si="4"/>
        <v>70</v>
      </c>
      <c r="L18" s="3"/>
    </row>
    <row r="19" spans="1:12" ht="13.8" x14ac:dyDescent="0.25">
      <c r="A19" s="26">
        <f t="shared" si="5"/>
        <v>38724</v>
      </c>
      <c r="B19" s="5">
        <v>190</v>
      </c>
      <c r="C19" s="3">
        <v>30</v>
      </c>
      <c r="D19" s="3">
        <v>172</v>
      </c>
      <c r="E19" s="13">
        <f t="shared" si="0"/>
        <v>392</v>
      </c>
      <c r="F19" s="13">
        <v>640</v>
      </c>
      <c r="G19" s="3">
        <f t="shared" si="1"/>
        <v>248</v>
      </c>
      <c r="H19" s="21">
        <f t="shared" si="2"/>
        <v>0.25490196078431371</v>
      </c>
      <c r="I19" s="4">
        <f t="shared" si="3"/>
        <v>-0.13656387665198239</v>
      </c>
      <c r="J19" s="3">
        <f t="shared" si="4"/>
        <v>-62</v>
      </c>
      <c r="L19" s="3"/>
    </row>
    <row r="20" spans="1:12" ht="13.8" x14ac:dyDescent="0.25">
      <c r="A20" s="26">
        <f t="shared" si="5"/>
        <v>38731</v>
      </c>
      <c r="B20" s="5">
        <v>166</v>
      </c>
      <c r="C20" s="3">
        <v>42</v>
      </c>
      <c r="D20" s="3">
        <v>165</v>
      </c>
      <c r="E20" s="13">
        <f t="shared" si="0"/>
        <v>373</v>
      </c>
      <c r="F20" s="13">
        <v>719</v>
      </c>
      <c r="G20" s="3">
        <f t="shared" si="1"/>
        <v>346</v>
      </c>
      <c r="H20" s="21">
        <f t="shared" si="2"/>
        <v>0.12343750000000001</v>
      </c>
      <c r="I20" s="4">
        <f t="shared" si="3"/>
        <v>-4.8469387755102039E-2</v>
      </c>
      <c r="J20" s="3">
        <f t="shared" si="4"/>
        <v>-19</v>
      </c>
      <c r="L20" s="3"/>
    </row>
    <row r="21" spans="1:12" ht="13.8" x14ac:dyDescent="0.25">
      <c r="A21" s="26">
        <f t="shared" si="5"/>
        <v>38738</v>
      </c>
      <c r="B21" s="5">
        <v>151</v>
      </c>
      <c r="C21" s="3">
        <v>14</v>
      </c>
      <c r="D21" s="3">
        <v>155</v>
      </c>
      <c r="E21" s="13">
        <f t="shared" si="0"/>
        <v>320</v>
      </c>
      <c r="F21" s="13">
        <v>590</v>
      </c>
      <c r="G21" s="3">
        <f t="shared" si="1"/>
        <v>270</v>
      </c>
      <c r="H21" s="21">
        <f t="shared" si="2"/>
        <v>-0.17941585535465926</v>
      </c>
      <c r="I21" s="4">
        <f t="shared" si="3"/>
        <v>-0.14209115281501342</v>
      </c>
      <c r="J21" s="3">
        <f t="shared" si="4"/>
        <v>-53</v>
      </c>
      <c r="L21" s="3"/>
    </row>
    <row r="22" spans="1:12" ht="13.8" x14ac:dyDescent="0.25">
      <c r="A22" s="26">
        <f t="shared" si="5"/>
        <v>38745</v>
      </c>
      <c r="B22" s="5">
        <v>204</v>
      </c>
      <c r="C22" s="3">
        <v>35</v>
      </c>
      <c r="D22" s="3">
        <v>136</v>
      </c>
      <c r="E22" s="13">
        <f>SUM(B22:D22)</f>
        <v>375</v>
      </c>
      <c r="F22" s="13">
        <v>748</v>
      </c>
      <c r="G22" s="3">
        <f t="shared" si="1"/>
        <v>373</v>
      </c>
      <c r="H22" s="21">
        <f t="shared" si="2"/>
        <v>0.26779661016949152</v>
      </c>
      <c r="I22" s="4">
        <f t="shared" ref="I22:I30" si="6">(E22-E21)/E21</f>
        <v>0.171875</v>
      </c>
      <c r="J22" s="3">
        <f t="shared" ref="J22:J30" si="7">E22-E21</f>
        <v>55</v>
      </c>
      <c r="L22" s="3"/>
    </row>
    <row r="23" spans="1:12" ht="13.8" x14ac:dyDescent="0.25">
      <c r="A23" s="26">
        <f t="shared" si="5"/>
        <v>38752</v>
      </c>
      <c r="B23" s="5">
        <v>210</v>
      </c>
      <c r="C23" s="3">
        <v>38</v>
      </c>
      <c r="D23" s="3">
        <v>162</v>
      </c>
      <c r="E23" s="13">
        <f>SUM(B23:D23)</f>
        <v>410</v>
      </c>
      <c r="F23" s="13">
        <v>690</v>
      </c>
      <c r="G23" s="3">
        <f t="shared" si="1"/>
        <v>280</v>
      </c>
      <c r="H23" s="21">
        <f t="shared" si="2"/>
        <v>-7.7540106951871662E-2</v>
      </c>
      <c r="I23" s="4">
        <f t="shared" si="6"/>
        <v>9.3333333333333338E-2</v>
      </c>
      <c r="J23" s="3">
        <f t="shared" si="7"/>
        <v>35</v>
      </c>
      <c r="L23" s="3"/>
    </row>
    <row r="24" spans="1:12" ht="13.8" x14ac:dyDescent="0.25">
      <c r="A24" s="26">
        <f t="shared" ref="A24:A122" si="8">7+A23</f>
        <v>38759</v>
      </c>
      <c r="B24" s="5">
        <v>232</v>
      </c>
      <c r="C24" s="3">
        <v>50</v>
      </c>
      <c r="D24" s="3">
        <v>175</v>
      </c>
      <c r="E24" s="13">
        <f t="shared" ref="E24:E134" si="9">SUM(B24:D24)</f>
        <v>457</v>
      </c>
      <c r="F24" s="13">
        <v>693</v>
      </c>
      <c r="G24" s="3">
        <f t="shared" si="1"/>
        <v>236</v>
      </c>
      <c r="H24" s="21">
        <f t="shared" si="2"/>
        <v>4.3478260869565218E-3</v>
      </c>
      <c r="I24" s="4">
        <f t="shared" si="6"/>
        <v>0.11463414634146342</v>
      </c>
      <c r="J24" s="3">
        <f t="shared" si="7"/>
        <v>47</v>
      </c>
      <c r="L24" s="3"/>
    </row>
    <row r="25" spans="1:12" ht="13.8" x14ac:dyDescent="0.25">
      <c r="A25" s="26">
        <f t="shared" si="8"/>
        <v>38766</v>
      </c>
      <c r="B25" s="5">
        <v>203</v>
      </c>
      <c r="C25" s="3">
        <v>34</v>
      </c>
      <c r="D25" s="3">
        <v>116</v>
      </c>
      <c r="E25" s="13">
        <f t="shared" si="9"/>
        <v>353</v>
      </c>
      <c r="F25" s="13">
        <v>645</v>
      </c>
      <c r="G25" s="3">
        <f t="shared" si="1"/>
        <v>292</v>
      </c>
      <c r="H25" s="21">
        <f t="shared" si="2"/>
        <v>-6.9264069264069264E-2</v>
      </c>
      <c r="I25" s="4">
        <f t="shared" si="6"/>
        <v>-0.2275711159737418</v>
      </c>
      <c r="J25" s="3">
        <f t="shared" si="7"/>
        <v>-104</v>
      </c>
      <c r="L25" s="3"/>
    </row>
    <row r="26" spans="1:12" ht="13.8" x14ac:dyDescent="0.25">
      <c r="A26" s="26">
        <f t="shared" si="8"/>
        <v>38773</v>
      </c>
      <c r="B26" s="5">
        <v>174</v>
      </c>
      <c r="C26" s="3">
        <v>55</v>
      </c>
      <c r="D26" s="3">
        <v>152</v>
      </c>
      <c r="E26" s="13">
        <f t="shared" si="9"/>
        <v>381</v>
      </c>
      <c r="F26" s="13">
        <v>559</v>
      </c>
      <c r="G26" s="3">
        <f t="shared" si="1"/>
        <v>178</v>
      </c>
      <c r="H26" s="21">
        <f t="shared" si="2"/>
        <v>-0.13333333333333333</v>
      </c>
      <c r="I26" s="4">
        <f t="shared" si="6"/>
        <v>7.9320113314447591E-2</v>
      </c>
      <c r="J26" s="3">
        <f t="shared" si="7"/>
        <v>28</v>
      </c>
      <c r="L26" s="3"/>
    </row>
    <row r="27" spans="1:12" ht="13.8" x14ac:dyDescent="0.25">
      <c r="A27" s="26">
        <f t="shared" si="8"/>
        <v>38780</v>
      </c>
      <c r="B27" s="3">
        <v>191</v>
      </c>
      <c r="C27" s="3">
        <v>39</v>
      </c>
      <c r="D27" s="3">
        <v>112</v>
      </c>
      <c r="E27" s="13">
        <f t="shared" si="9"/>
        <v>342</v>
      </c>
      <c r="F27" s="13">
        <v>639</v>
      </c>
      <c r="G27" s="3">
        <f t="shared" si="1"/>
        <v>297</v>
      </c>
      <c r="H27" s="21">
        <f t="shared" si="2"/>
        <v>0.14311270125223613</v>
      </c>
      <c r="I27" s="4">
        <f t="shared" si="6"/>
        <v>-0.10236220472440945</v>
      </c>
      <c r="J27" s="3">
        <f t="shared" si="7"/>
        <v>-39</v>
      </c>
      <c r="L27" s="3"/>
    </row>
    <row r="28" spans="1:12" ht="13.8" x14ac:dyDescent="0.25">
      <c r="A28" s="26">
        <f t="shared" si="8"/>
        <v>38787</v>
      </c>
      <c r="B28" s="3">
        <v>241</v>
      </c>
      <c r="C28" s="3">
        <v>49</v>
      </c>
      <c r="D28" s="3">
        <v>163</v>
      </c>
      <c r="E28" s="13">
        <f t="shared" si="9"/>
        <v>453</v>
      </c>
      <c r="F28" s="13">
        <v>637</v>
      </c>
      <c r="G28" s="3">
        <f t="shared" si="1"/>
        <v>184</v>
      </c>
      <c r="H28" s="21">
        <f t="shared" si="2"/>
        <v>-3.1298904538341159E-3</v>
      </c>
      <c r="I28" s="4">
        <f t="shared" si="6"/>
        <v>0.32456140350877194</v>
      </c>
      <c r="J28" s="3">
        <f t="shared" si="7"/>
        <v>111</v>
      </c>
      <c r="L28" s="3"/>
    </row>
    <row r="29" spans="1:12" ht="13.8" x14ac:dyDescent="0.25">
      <c r="A29" s="26">
        <f t="shared" si="8"/>
        <v>38794</v>
      </c>
      <c r="B29" s="3">
        <v>148</v>
      </c>
      <c r="C29" s="3">
        <v>37</v>
      </c>
      <c r="D29" s="3">
        <v>119</v>
      </c>
      <c r="E29" s="13">
        <f t="shared" si="9"/>
        <v>304</v>
      </c>
      <c r="F29" s="13">
        <v>567</v>
      </c>
      <c r="G29" s="3">
        <f t="shared" si="1"/>
        <v>263</v>
      </c>
      <c r="H29" s="21">
        <f t="shared" si="2"/>
        <v>-0.10989010989010989</v>
      </c>
      <c r="I29" s="4">
        <f t="shared" si="6"/>
        <v>-0.32891832229580575</v>
      </c>
      <c r="J29" s="3">
        <f t="shared" si="7"/>
        <v>-149</v>
      </c>
      <c r="L29" s="3"/>
    </row>
    <row r="30" spans="1:12" ht="13.8" x14ac:dyDescent="0.25">
      <c r="A30" s="26">
        <f t="shared" si="8"/>
        <v>38801</v>
      </c>
      <c r="B30" s="3">
        <v>164</v>
      </c>
      <c r="C30" s="3">
        <v>48</v>
      </c>
      <c r="D30" s="3">
        <v>94</v>
      </c>
      <c r="E30" s="13">
        <f t="shared" si="9"/>
        <v>306</v>
      </c>
      <c r="F30" s="13">
        <v>450</v>
      </c>
      <c r="G30" s="3">
        <f t="shared" si="1"/>
        <v>144</v>
      </c>
      <c r="H30" s="21">
        <f t="shared" si="2"/>
        <v>-0.20634920634920634</v>
      </c>
      <c r="I30" s="4">
        <f t="shared" si="6"/>
        <v>6.5789473684210523E-3</v>
      </c>
      <c r="J30" s="3">
        <f t="shared" si="7"/>
        <v>2</v>
      </c>
      <c r="L30" s="3"/>
    </row>
    <row r="31" spans="1:12" ht="13.8" x14ac:dyDescent="0.25">
      <c r="A31" s="26">
        <f t="shared" si="8"/>
        <v>38808</v>
      </c>
      <c r="B31" s="3">
        <v>348</v>
      </c>
      <c r="C31" s="3">
        <v>22</v>
      </c>
      <c r="D31" s="3">
        <v>87</v>
      </c>
      <c r="E31" s="13">
        <f t="shared" si="9"/>
        <v>457</v>
      </c>
      <c r="F31" s="13">
        <v>269</v>
      </c>
      <c r="G31" s="3">
        <f t="shared" si="1"/>
        <v>-188</v>
      </c>
      <c r="H31" s="21">
        <f t="shared" si="2"/>
        <v>-0.4022222222222222</v>
      </c>
      <c r="I31" s="4">
        <f t="shared" ref="I31:I36" si="10">(E31-E30)/E30</f>
        <v>0.49346405228758172</v>
      </c>
      <c r="J31" s="3">
        <f t="shared" ref="J31:J36" si="11">E31-E30</f>
        <v>151</v>
      </c>
      <c r="L31" s="3"/>
    </row>
    <row r="32" spans="1:12" ht="13.8" x14ac:dyDescent="0.25">
      <c r="A32" s="26">
        <f t="shared" si="8"/>
        <v>38815</v>
      </c>
      <c r="B32" s="2">
        <v>290</v>
      </c>
      <c r="C32" s="3">
        <v>31</v>
      </c>
      <c r="D32" s="3">
        <v>94</v>
      </c>
      <c r="E32" s="13">
        <f t="shared" si="9"/>
        <v>415</v>
      </c>
      <c r="F32" s="13">
        <v>365</v>
      </c>
      <c r="G32" s="3">
        <f t="shared" si="1"/>
        <v>-50</v>
      </c>
      <c r="H32" s="21">
        <f t="shared" si="2"/>
        <v>0.35687732342007433</v>
      </c>
      <c r="I32" s="4">
        <f t="shared" si="10"/>
        <v>-9.1903719912472648E-2</v>
      </c>
      <c r="J32" s="3">
        <f t="shared" si="11"/>
        <v>-42</v>
      </c>
      <c r="L32" s="3"/>
    </row>
    <row r="33" spans="1:12" ht="13.8" x14ac:dyDescent="0.25">
      <c r="A33" s="26">
        <f t="shared" si="8"/>
        <v>38822</v>
      </c>
      <c r="B33" s="3">
        <v>387</v>
      </c>
      <c r="C33" s="3">
        <v>21</v>
      </c>
      <c r="D33" s="3">
        <v>78</v>
      </c>
      <c r="E33" s="13">
        <f t="shared" si="9"/>
        <v>486</v>
      </c>
      <c r="F33" s="13">
        <v>467</v>
      </c>
      <c r="G33" s="3">
        <f t="shared" si="1"/>
        <v>-19</v>
      </c>
      <c r="H33" s="21">
        <f t="shared" si="2"/>
        <v>0.27945205479452057</v>
      </c>
      <c r="I33" s="4">
        <f t="shared" si="10"/>
        <v>0.1710843373493976</v>
      </c>
      <c r="J33" s="3">
        <f t="shared" si="11"/>
        <v>71</v>
      </c>
      <c r="L33" s="3"/>
    </row>
    <row r="34" spans="1:12" ht="13.8" x14ac:dyDescent="0.25">
      <c r="A34" s="26">
        <f t="shared" si="8"/>
        <v>38829</v>
      </c>
      <c r="B34" s="3">
        <v>334</v>
      </c>
      <c r="C34" s="3">
        <v>30</v>
      </c>
      <c r="D34" s="3">
        <v>57</v>
      </c>
      <c r="E34" s="13">
        <f t="shared" si="9"/>
        <v>421</v>
      </c>
      <c r="F34" s="13">
        <v>583</v>
      </c>
      <c r="G34" s="3">
        <f t="shared" si="1"/>
        <v>162</v>
      </c>
      <c r="H34" s="21">
        <f t="shared" si="2"/>
        <v>0.24839400428265523</v>
      </c>
      <c r="I34" s="4">
        <f t="shared" si="10"/>
        <v>-0.13374485596707819</v>
      </c>
      <c r="J34" s="3">
        <f t="shared" si="11"/>
        <v>-65</v>
      </c>
      <c r="L34" s="3"/>
    </row>
    <row r="35" spans="1:12" ht="13.8" x14ac:dyDescent="0.25">
      <c r="A35" s="26">
        <f t="shared" si="8"/>
        <v>38836</v>
      </c>
      <c r="B35" s="3">
        <v>374</v>
      </c>
      <c r="C35" s="3">
        <v>20</v>
      </c>
      <c r="D35" s="3">
        <v>47</v>
      </c>
      <c r="E35" s="13">
        <f t="shared" si="9"/>
        <v>441</v>
      </c>
      <c r="F35" s="13">
        <v>420</v>
      </c>
      <c r="G35" s="3">
        <f t="shared" si="1"/>
        <v>-21</v>
      </c>
      <c r="H35" s="21">
        <f t="shared" si="2"/>
        <v>-0.27958833619210977</v>
      </c>
      <c r="I35" s="4">
        <f t="shared" si="10"/>
        <v>4.7505938242280284E-2</v>
      </c>
      <c r="J35" s="3">
        <f t="shared" si="11"/>
        <v>20</v>
      </c>
      <c r="L35" s="3"/>
    </row>
    <row r="36" spans="1:12" ht="13.8" x14ac:dyDescent="0.25">
      <c r="A36" s="26">
        <f t="shared" si="8"/>
        <v>38843</v>
      </c>
      <c r="B36" s="3">
        <v>359</v>
      </c>
      <c r="C36" s="3">
        <v>19</v>
      </c>
      <c r="D36" s="3">
        <v>57</v>
      </c>
      <c r="E36" s="13">
        <f t="shared" si="9"/>
        <v>435</v>
      </c>
      <c r="F36" s="13">
        <v>398</v>
      </c>
      <c r="G36" s="3">
        <f t="shared" si="1"/>
        <v>-37</v>
      </c>
      <c r="H36" s="21">
        <f t="shared" si="2"/>
        <v>-5.2380952380952382E-2</v>
      </c>
      <c r="I36" s="4">
        <f t="shared" si="10"/>
        <v>-1.3605442176870748E-2</v>
      </c>
      <c r="J36" s="3">
        <f t="shared" si="11"/>
        <v>-6</v>
      </c>
      <c r="L36" s="3"/>
    </row>
    <row r="37" spans="1:12" ht="13.8" x14ac:dyDescent="0.25">
      <c r="A37" s="26">
        <f t="shared" si="8"/>
        <v>38850</v>
      </c>
      <c r="B37" s="3">
        <v>438</v>
      </c>
      <c r="C37" s="3">
        <v>19</v>
      </c>
      <c r="D37" s="3">
        <v>96</v>
      </c>
      <c r="E37" s="13">
        <f t="shared" si="9"/>
        <v>553</v>
      </c>
      <c r="F37" s="13">
        <v>574</v>
      </c>
      <c r="G37" s="3">
        <f t="shared" si="1"/>
        <v>21</v>
      </c>
      <c r="H37" s="21">
        <f t="shared" si="2"/>
        <v>0.44221105527638194</v>
      </c>
      <c r="I37" s="4">
        <f t="shared" ref="I37:I42" si="12">(E37-E36)/E36</f>
        <v>0.27126436781609198</v>
      </c>
      <c r="J37" s="3">
        <f t="shared" ref="J37:J42" si="13">E37-E36</f>
        <v>118</v>
      </c>
      <c r="L37" s="3"/>
    </row>
    <row r="38" spans="1:12" ht="13.8" x14ac:dyDescent="0.25">
      <c r="A38" s="26">
        <f t="shared" si="8"/>
        <v>38857</v>
      </c>
      <c r="B38" s="3">
        <v>483</v>
      </c>
      <c r="C38" s="3">
        <v>21</v>
      </c>
      <c r="D38" s="3">
        <v>54</v>
      </c>
      <c r="E38" s="13">
        <f t="shared" si="9"/>
        <v>558</v>
      </c>
      <c r="F38" s="13">
        <v>588</v>
      </c>
      <c r="G38" s="3">
        <f t="shared" si="1"/>
        <v>30</v>
      </c>
      <c r="H38" s="21">
        <f t="shared" si="2"/>
        <v>2.4390243902439025E-2</v>
      </c>
      <c r="I38" s="4">
        <f t="shared" si="12"/>
        <v>9.0415913200723331E-3</v>
      </c>
      <c r="J38" s="3">
        <f t="shared" si="13"/>
        <v>5</v>
      </c>
      <c r="L38" s="3"/>
    </row>
    <row r="39" spans="1:12" ht="13.8" x14ac:dyDescent="0.25">
      <c r="A39" s="26">
        <f t="shared" si="8"/>
        <v>38864</v>
      </c>
      <c r="B39" s="3">
        <v>430</v>
      </c>
      <c r="C39" s="3">
        <v>14</v>
      </c>
      <c r="D39" s="3">
        <v>74</v>
      </c>
      <c r="E39" s="13">
        <f t="shared" si="9"/>
        <v>518</v>
      </c>
      <c r="F39" s="13">
        <v>612</v>
      </c>
      <c r="G39" s="3">
        <f t="shared" si="1"/>
        <v>94</v>
      </c>
      <c r="H39" s="21">
        <f t="shared" si="2"/>
        <v>4.0816326530612242E-2</v>
      </c>
      <c r="I39" s="4">
        <f t="shared" si="12"/>
        <v>-7.1684587813620068E-2</v>
      </c>
      <c r="J39" s="3">
        <f t="shared" si="13"/>
        <v>-40</v>
      </c>
      <c r="L39" s="3"/>
    </row>
    <row r="40" spans="1:12" ht="13.8" x14ac:dyDescent="0.25">
      <c r="A40" s="26">
        <f t="shared" si="8"/>
        <v>38871</v>
      </c>
      <c r="B40" s="3">
        <f>5+364+35</f>
        <v>404</v>
      </c>
      <c r="C40" s="3">
        <f>7+14+13</f>
        <v>34</v>
      </c>
      <c r="D40" s="3">
        <f>31+1+15</f>
        <v>47</v>
      </c>
      <c r="E40" s="13">
        <f t="shared" si="9"/>
        <v>485</v>
      </c>
      <c r="F40" s="13">
        <v>564</v>
      </c>
      <c r="G40" s="3">
        <f t="shared" si="1"/>
        <v>79</v>
      </c>
      <c r="H40" s="21">
        <f t="shared" si="2"/>
        <v>-7.8431372549019607E-2</v>
      </c>
      <c r="I40" s="4">
        <f t="shared" si="12"/>
        <v>-6.3706563706563704E-2</v>
      </c>
      <c r="J40" s="3">
        <f t="shared" si="13"/>
        <v>-33</v>
      </c>
      <c r="L40" s="3"/>
    </row>
    <row r="41" spans="1:12" ht="13.8" x14ac:dyDescent="0.25">
      <c r="A41" s="26">
        <f t="shared" si="8"/>
        <v>38878</v>
      </c>
      <c r="B41" s="3">
        <f>1+289+0+66</f>
        <v>356</v>
      </c>
      <c r="C41" s="3">
        <f>8+0+8+8</f>
        <v>24</v>
      </c>
      <c r="D41" s="3">
        <f>0+37+0+17</f>
        <v>54</v>
      </c>
      <c r="E41" s="13">
        <f t="shared" si="9"/>
        <v>434</v>
      </c>
      <c r="F41" s="13">
        <v>530</v>
      </c>
      <c r="G41" s="3">
        <f t="shared" ref="G41:G47" si="14">F41-E41</f>
        <v>96</v>
      </c>
      <c r="H41" s="21">
        <f t="shared" si="2"/>
        <v>-6.0283687943262408E-2</v>
      </c>
      <c r="I41" s="4">
        <f t="shared" si="12"/>
        <v>-0.10515463917525773</v>
      </c>
      <c r="J41" s="3">
        <f t="shared" si="13"/>
        <v>-51</v>
      </c>
      <c r="L41" s="3"/>
    </row>
    <row r="42" spans="1:12" ht="13.8" x14ac:dyDescent="0.25">
      <c r="A42" s="26">
        <f t="shared" si="8"/>
        <v>38885</v>
      </c>
      <c r="B42" s="3">
        <f>12+374+4+47</f>
        <v>437</v>
      </c>
      <c r="C42" s="3">
        <f>13+14+9</f>
        <v>36</v>
      </c>
      <c r="D42" s="3">
        <v>34</v>
      </c>
      <c r="E42" s="13">
        <f t="shared" si="9"/>
        <v>507</v>
      </c>
      <c r="F42" s="13">
        <v>531</v>
      </c>
      <c r="G42" s="3">
        <f t="shared" si="14"/>
        <v>24</v>
      </c>
      <c r="H42" s="21">
        <f t="shared" si="2"/>
        <v>1.8867924528301887E-3</v>
      </c>
      <c r="I42" s="4">
        <f t="shared" si="12"/>
        <v>0.16820276497695852</v>
      </c>
      <c r="J42" s="3">
        <f t="shared" si="13"/>
        <v>73</v>
      </c>
      <c r="L42" s="3"/>
    </row>
    <row r="43" spans="1:12" ht="13.8" x14ac:dyDescent="0.25">
      <c r="A43" s="26">
        <f t="shared" si="8"/>
        <v>38892</v>
      </c>
      <c r="B43" s="3">
        <f>461+35</f>
        <v>496</v>
      </c>
      <c r="C43" s="3">
        <f>11+5+2</f>
        <v>18</v>
      </c>
      <c r="D43" s="3">
        <f>23+8</f>
        <v>31</v>
      </c>
      <c r="E43" s="13">
        <f t="shared" si="9"/>
        <v>545</v>
      </c>
      <c r="F43" s="13">
        <v>441</v>
      </c>
      <c r="G43" s="3">
        <f t="shared" si="14"/>
        <v>-104</v>
      </c>
      <c r="H43" s="21">
        <f t="shared" si="2"/>
        <v>-0.16949152542372881</v>
      </c>
      <c r="I43" s="4">
        <f t="shared" ref="I43:I49" si="15">(E43-E42)/E42</f>
        <v>7.4950690335305714E-2</v>
      </c>
      <c r="J43" s="3">
        <f t="shared" ref="J43:J49" si="16">E43-E42</f>
        <v>38</v>
      </c>
      <c r="L43" s="3"/>
    </row>
    <row r="44" spans="1:12" ht="13.8" x14ac:dyDescent="0.25">
      <c r="A44" s="26">
        <f t="shared" si="8"/>
        <v>38899</v>
      </c>
      <c r="B44" s="3">
        <v>577</v>
      </c>
      <c r="C44" s="3">
        <v>36</v>
      </c>
      <c r="D44" s="3">
        <v>50</v>
      </c>
      <c r="E44" s="13">
        <f t="shared" si="9"/>
        <v>663</v>
      </c>
      <c r="F44" s="13">
        <v>475</v>
      </c>
      <c r="G44" s="3">
        <f t="shared" si="14"/>
        <v>-188</v>
      </c>
      <c r="H44" s="21">
        <f t="shared" si="2"/>
        <v>7.7097505668934238E-2</v>
      </c>
      <c r="I44" s="4">
        <f t="shared" si="15"/>
        <v>0.21651376146788992</v>
      </c>
      <c r="J44" s="3">
        <f t="shared" si="16"/>
        <v>118</v>
      </c>
      <c r="L44" s="3"/>
    </row>
    <row r="45" spans="1:12" ht="13.8" x14ac:dyDescent="0.25">
      <c r="A45" s="26">
        <f t="shared" si="8"/>
        <v>38906</v>
      </c>
      <c r="B45" s="3">
        <v>504</v>
      </c>
      <c r="C45" s="3">
        <v>30</v>
      </c>
      <c r="D45" s="3">
        <v>34</v>
      </c>
      <c r="E45" s="13">
        <f t="shared" si="9"/>
        <v>568</v>
      </c>
      <c r="F45" s="13">
        <v>454</v>
      </c>
      <c r="G45" s="3">
        <f t="shared" si="14"/>
        <v>-114</v>
      </c>
      <c r="H45" s="21">
        <f t="shared" si="2"/>
        <v>-4.4210526315789471E-2</v>
      </c>
      <c r="I45" s="4">
        <f t="shared" si="15"/>
        <v>-0.14328808446455504</v>
      </c>
      <c r="J45" s="3">
        <f t="shared" si="16"/>
        <v>-95</v>
      </c>
      <c r="L45" s="3"/>
    </row>
    <row r="46" spans="1:12" ht="13.8" x14ac:dyDescent="0.25">
      <c r="A46" s="26">
        <f t="shared" si="8"/>
        <v>38913</v>
      </c>
      <c r="B46" s="3">
        <v>441</v>
      </c>
      <c r="C46" s="3">
        <v>22</v>
      </c>
      <c r="D46" s="3">
        <v>49</v>
      </c>
      <c r="E46" s="13">
        <f t="shared" si="9"/>
        <v>512</v>
      </c>
      <c r="F46" s="13">
        <v>524</v>
      </c>
      <c r="G46" s="3">
        <f t="shared" si="14"/>
        <v>12</v>
      </c>
      <c r="H46" s="21">
        <f t="shared" si="2"/>
        <v>0.15418502202643172</v>
      </c>
      <c r="I46" s="4">
        <f t="shared" si="15"/>
        <v>-9.8591549295774641E-2</v>
      </c>
      <c r="J46" s="3">
        <f t="shared" si="16"/>
        <v>-56</v>
      </c>
      <c r="L46" s="3"/>
    </row>
    <row r="47" spans="1:12" ht="13.8" x14ac:dyDescent="0.25">
      <c r="A47" s="26">
        <f t="shared" si="8"/>
        <v>38920</v>
      </c>
      <c r="B47" s="3">
        <v>469</v>
      </c>
      <c r="C47" s="3">
        <v>47</v>
      </c>
      <c r="D47" s="3">
        <v>53</v>
      </c>
      <c r="E47" s="13">
        <f t="shared" si="9"/>
        <v>569</v>
      </c>
      <c r="F47" s="13">
        <v>588</v>
      </c>
      <c r="G47" s="3">
        <f t="shared" si="14"/>
        <v>19</v>
      </c>
      <c r="H47" s="21">
        <f t="shared" si="2"/>
        <v>0.12213740458015267</v>
      </c>
      <c r="I47" s="4">
        <f t="shared" si="15"/>
        <v>0.111328125</v>
      </c>
      <c r="J47" s="3">
        <f t="shared" si="16"/>
        <v>57</v>
      </c>
      <c r="L47" s="3"/>
    </row>
    <row r="48" spans="1:12" ht="13.8" x14ac:dyDescent="0.25">
      <c r="A48" s="26">
        <f t="shared" si="8"/>
        <v>38927</v>
      </c>
      <c r="B48" s="3">
        <f>3+422+3+45</f>
        <v>473</v>
      </c>
      <c r="C48" s="3">
        <f>19+0+10+9</f>
        <v>38</v>
      </c>
      <c r="D48" s="3">
        <f>6+22+1+15</f>
        <v>44</v>
      </c>
      <c r="E48" s="13">
        <f t="shared" si="9"/>
        <v>555</v>
      </c>
      <c r="F48" s="13">
        <v>619</v>
      </c>
      <c r="G48" s="3">
        <f t="shared" ref="G48:G53" si="17">F48-E48</f>
        <v>64</v>
      </c>
      <c r="H48" s="21">
        <f t="shared" si="2"/>
        <v>5.2721088435374153E-2</v>
      </c>
      <c r="I48" s="4">
        <f t="shared" si="15"/>
        <v>-2.4604569420035149E-2</v>
      </c>
      <c r="J48" s="3">
        <f t="shared" si="16"/>
        <v>-14</v>
      </c>
      <c r="L48" s="3"/>
    </row>
    <row r="49" spans="1:12" ht="13.8" x14ac:dyDescent="0.25">
      <c r="A49" s="26">
        <f t="shared" si="8"/>
        <v>38934</v>
      </c>
      <c r="B49" s="3">
        <f>6+369+0+82</f>
        <v>457</v>
      </c>
      <c r="C49" s="3">
        <f>10+0+15+1</f>
        <v>26</v>
      </c>
      <c r="D49" s="3">
        <f>4+17+0+6</f>
        <v>27</v>
      </c>
      <c r="E49" s="13">
        <f t="shared" si="9"/>
        <v>510</v>
      </c>
      <c r="F49" s="13">
        <v>462</v>
      </c>
      <c r="G49" s="3">
        <f t="shared" si="17"/>
        <v>-48</v>
      </c>
      <c r="H49" s="21">
        <f t="shared" si="2"/>
        <v>-0.25363489499192243</v>
      </c>
      <c r="I49" s="4">
        <f t="shared" si="15"/>
        <v>-8.1081081081081086E-2</v>
      </c>
      <c r="J49" s="3">
        <f t="shared" si="16"/>
        <v>-45</v>
      </c>
      <c r="L49" s="3"/>
    </row>
    <row r="50" spans="1:12" ht="13.8" x14ac:dyDescent="0.25">
      <c r="A50" s="26">
        <f t="shared" si="8"/>
        <v>38941</v>
      </c>
      <c r="B50" s="3">
        <f>9+345+0+69</f>
        <v>423</v>
      </c>
      <c r="C50" s="3">
        <f>19+0+9+2</f>
        <v>30</v>
      </c>
      <c r="D50" s="3">
        <f>8+11+0+14</f>
        <v>33</v>
      </c>
      <c r="E50" s="13">
        <f t="shared" si="9"/>
        <v>486</v>
      </c>
      <c r="F50" s="13">
        <v>551</v>
      </c>
      <c r="G50" s="3">
        <f t="shared" si="17"/>
        <v>65</v>
      </c>
      <c r="H50" s="21">
        <f t="shared" si="2"/>
        <v>0.19264069264069264</v>
      </c>
      <c r="I50" s="4">
        <f t="shared" ref="I50:I55" si="18">(E50-E49)/E49</f>
        <v>-4.7058823529411764E-2</v>
      </c>
      <c r="J50" s="3">
        <f t="shared" ref="J50:J55" si="19">E50-E49</f>
        <v>-24</v>
      </c>
      <c r="L50" s="3"/>
    </row>
    <row r="51" spans="1:12" ht="13.8" x14ac:dyDescent="0.25">
      <c r="A51" s="26">
        <f t="shared" si="8"/>
        <v>38948</v>
      </c>
      <c r="B51" s="3">
        <f>4+358+1+72</f>
        <v>435</v>
      </c>
      <c r="C51" s="3">
        <f>14+0+8+2</f>
        <v>24</v>
      </c>
      <c r="D51" s="3">
        <f>11+28+0+9</f>
        <v>48</v>
      </c>
      <c r="E51" s="13">
        <f t="shared" si="9"/>
        <v>507</v>
      </c>
      <c r="F51" s="13">
        <v>629</v>
      </c>
      <c r="G51" s="3">
        <f t="shared" si="17"/>
        <v>122</v>
      </c>
      <c r="H51" s="21">
        <f t="shared" si="2"/>
        <v>0.14156079854809436</v>
      </c>
      <c r="I51" s="4">
        <f t="shared" si="18"/>
        <v>4.3209876543209874E-2</v>
      </c>
      <c r="J51" s="3">
        <f t="shared" si="19"/>
        <v>21</v>
      </c>
      <c r="L51" s="3"/>
    </row>
    <row r="52" spans="1:12" ht="13.8" x14ac:dyDescent="0.25">
      <c r="A52" s="26">
        <f t="shared" si="8"/>
        <v>38955</v>
      </c>
      <c r="B52" s="3">
        <f>7+209+0+39</f>
        <v>255</v>
      </c>
      <c r="C52" s="3">
        <f>12+0+9+5</f>
        <v>26</v>
      </c>
      <c r="D52" s="3">
        <f>1+13+4+7</f>
        <v>25</v>
      </c>
      <c r="E52" s="13">
        <f t="shared" si="9"/>
        <v>306</v>
      </c>
      <c r="F52" s="13">
        <v>598</v>
      </c>
      <c r="G52" s="3">
        <f t="shared" si="17"/>
        <v>292</v>
      </c>
      <c r="H52" s="21">
        <f t="shared" si="2"/>
        <v>-4.9284578696343402E-2</v>
      </c>
      <c r="I52" s="4">
        <f t="shared" si="18"/>
        <v>-0.39644970414201186</v>
      </c>
      <c r="J52" s="3">
        <f t="shared" si="19"/>
        <v>-201</v>
      </c>
      <c r="L52" s="3"/>
    </row>
    <row r="53" spans="1:12" ht="13.8" x14ac:dyDescent="0.25">
      <c r="A53" s="26">
        <f t="shared" si="8"/>
        <v>38962</v>
      </c>
      <c r="B53" s="3">
        <f>12+279+1+64</f>
        <v>356</v>
      </c>
      <c r="C53" s="3">
        <f>16+0+0+2</f>
        <v>18</v>
      </c>
      <c r="D53" s="3">
        <f>8+16+2+6</f>
        <v>32</v>
      </c>
      <c r="E53" s="13">
        <f t="shared" si="9"/>
        <v>406</v>
      </c>
      <c r="F53" s="13">
        <v>520</v>
      </c>
      <c r="G53" s="3">
        <f t="shared" si="17"/>
        <v>114</v>
      </c>
      <c r="H53" s="21">
        <f t="shared" si="2"/>
        <v>-0.13043478260869565</v>
      </c>
      <c r="I53" s="4">
        <f t="shared" si="18"/>
        <v>0.32679738562091504</v>
      </c>
      <c r="J53" s="3">
        <f t="shared" si="19"/>
        <v>100</v>
      </c>
      <c r="L53" s="3"/>
    </row>
    <row r="54" spans="1:12" ht="13.8" x14ac:dyDescent="0.25">
      <c r="A54" s="26">
        <f t="shared" si="8"/>
        <v>38969</v>
      </c>
      <c r="B54" s="3">
        <f>14+207+4+67</f>
        <v>292</v>
      </c>
      <c r="C54" s="3">
        <f>4+2+2+9</f>
        <v>17</v>
      </c>
      <c r="D54" s="3">
        <f>6+16+3+2</f>
        <v>27</v>
      </c>
      <c r="E54" s="13">
        <f t="shared" si="9"/>
        <v>336</v>
      </c>
      <c r="F54" s="13">
        <v>564</v>
      </c>
      <c r="G54" s="3">
        <f t="shared" ref="G54:G59" si="20">F54-E54</f>
        <v>228</v>
      </c>
      <c r="H54" s="21">
        <f t="shared" si="2"/>
        <v>8.461538461538462E-2</v>
      </c>
      <c r="I54" s="4">
        <f t="shared" si="18"/>
        <v>-0.17241379310344829</v>
      </c>
      <c r="J54" s="3">
        <f t="shared" si="19"/>
        <v>-70</v>
      </c>
      <c r="L54" s="3"/>
    </row>
    <row r="55" spans="1:12" ht="13.8" x14ac:dyDescent="0.25">
      <c r="A55" s="26">
        <f t="shared" si="8"/>
        <v>38976</v>
      </c>
      <c r="B55" s="3">
        <f>16+164+2+46</f>
        <v>228</v>
      </c>
      <c r="C55" s="3">
        <f>18+1+7+3</f>
        <v>29</v>
      </c>
      <c r="D55" s="3">
        <f>22+45+0+25</f>
        <v>92</v>
      </c>
      <c r="E55" s="13">
        <f t="shared" si="9"/>
        <v>349</v>
      </c>
      <c r="F55" s="13">
        <v>628</v>
      </c>
      <c r="G55" s="3">
        <f t="shared" si="20"/>
        <v>279</v>
      </c>
      <c r="H55" s="21">
        <f t="shared" ref="H55:H60" si="21">(F55-F54)/F54</f>
        <v>0.11347517730496454</v>
      </c>
      <c r="I55" s="4">
        <f t="shared" si="18"/>
        <v>3.8690476190476192E-2</v>
      </c>
      <c r="J55" s="3">
        <f t="shared" si="19"/>
        <v>13</v>
      </c>
      <c r="L55" s="3"/>
    </row>
    <row r="56" spans="1:12" ht="13.8" x14ac:dyDescent="0.25">
      <c r="A56" s="26">
        <f t="shared" si="8"/>
        <v>38983</v>
      </c>
      <c r="B56" s="3">
        <f>SUM(12+255+5+47)</f>
        <v>319</v>
      </c>
      <c r="C56" s="3">
        <f>SUM(4+1+6+4)</f>
        <v>15</v>
      </c>
      <c r="D56" s="3">
        <f>SUM(7+31+0+10)</f>
        <v>48</v>
      </c>
      <c r="E56" s="13">
        <f t="shared" si="9"/>
        <v>382</v>
      </c>
      <c r="F56" s="13">
        <v>533</v>
      </c>
      <c r="G56" s="3">
        <f t="shared" si="20"/>
        <v>151</v>
      </c>
      <c r="H56" s="21">
        <f t="shared" si="21"/>
        <v>-0.15127388535031847</v>
      </c>
      <c r="I56" s="4">
        <f t="shared" ref="I56:I61" si="22">(E56-E55)/E55</f>
        <v>9.4555873925501438E-2</v>
      </c>
      <c r="J56" s="3">
        <f t="shared" ref="J56:J61" si="23">E56-E55</f>
        <v>33</v>
      </c>
      <c r="L56" s="3"/>
    </row>
    <row r="57" spans="1:12" ht="13.8" x14ac:dyDescent="0.25">
      <c r="A57" s="26">
        <f t="shared" si="8"/>
        <v>38990</v>
      </c>
      <c r="B57" s="3">
        <f>19+300+4+67</f>
        <v>390</v>
      </c>
      <c r="C57" s="3">
        <f>9+0+4+2</f>
        <v>15</v>
      </c>
      <c r="D57" s="3">
        <f>6+72+0+11</f>
        <v>89</v>
      </c>
      <c r="E57" s="13">
        <f t="shared" si="9"/>
        <v>494</v>
      </c>
      <c r="F57" s="13">
        <v>503</v>
      </c>
      <c r="G57" s="3">
        <f t="shared" si="20"/>
        <v>9</v>
      </c>
      <c r="H57" s="21">
        <f t="shared" si="21"/>
        <v>-5.6285178236397747E-2</v>
      </c>
      <c r="I57" s="4">
        <f t="shared" si="22"/>
        <v>0.29319371727748689</v>
      </c>
      <c r="J57" s="3">
        <f t="shared" si="23"/>
        <v>112</v>
      </c>
      <c r="L57" s="3"/>
    </row>
    <row r="58" spans="1:12" ht="13.8" x14ac:dyDescent="0.25">
      <c r="A58" s="26">
        <f t="shared" si="8"/>
        <v>38997</v>
      </c>
      <c r="B58" s="3">
        <f>16+257+3+105</f>
        <v>381</v>
      </c>
      <c r="C58" s="3">
        <f>10+0+8+11</f>
        <v>29</v>
      </c>
      <c r="D58" s="3">
        <f>11+72+0+14</f>
        <v>97</v>
      </c>
      <c r="E58" s="13">
        <f t="shared" si="9"/>
        <v>507</v>
      </c>
      <c r="F58" s="13">
        <v>632</v>
      </c>
      <c r="G58" s="3">
        <f t="shared" si="20"/>
        <v>125</v>
      </c>
      <c r="H58" s="21">
        <f t="shared" si="21"/>
        <v>0.25646123260437376</v>
      </c>
      <c r="I58" s="4">
        <f t="shared" si="22"/>
        <v>2.6315789473684209E-2</v>
      </c>
      <c r="J58" s="3">
        <f t="shared" si="23"/>
        <v>13</v>
      </c>
      <c r="L58" s="3"/>
    </row>
    <row r="59" spans="1:12" ht="13.8" x14ac:dyDescent="0.25">
      <c r="A59" s="26">
        <f t="shared" si="8"/>
        <v>39004</v>
      </c>
      <c r="B59" s="3">
        <f>6+179+1+149</f>
        <v>335</v>
      </c>
      <c r="C59" s="3">
        <f>8+0+7+7</f>
        <v>22</v>
      </c>
      <c r="D59" s="3">
        <f>4+58+2+23</f>
        <v>87</v>
      </c>
      <c r="E59" s="13">
        <f t="shared" si="9"/>
        <v>444</v>
      </c>
      <c r="F59" s="13">
        <v>610</v>
      </c>
      <c r="G59" s="3">
        <f t="shared" si="20"/>
        <v>166</v>
      </c>
      <c r="H59" s="21">
        <f t="shared" si="21"/>
        <v>-3.4810126582278479E-2</v>
      </c>
      <c r="I59" s="4">
        <f t="shared" si="22"/>
        <v>-0.1242603550295858</v>
      </c>
      <c r="J59" s="3">
        <f t="shared" si="23"/>
        <v>-63</v>
      </c>
      <c r="K59" s="16">
        <f>(F59-F7)/F7</f>
        <v>-0.20261437908496732</v>
      </c>
      <c r="L59" s="3"/>
    </row>
    <row r="60" spans="1:12" ht="13.8" x14ac:dyDescent="0.25">
      <c r="A60" s="26">
        <f t="shared" si="8"/>
        <v>39011</v>
      </c>
      <c r="B60" s="3">
        <f>7+181+1+158</f>
        <v>347</v>
      </c>
      <c r="C60" s="3">
        <f>9+0+3+9</f>
        <v>21</v>
      </c>
      <c r="D60" s="3">
        <f>3+74+2+36</f>
        <v>115</v>
      </c>
      <c r="E60" s="13">
        <f t="shared" si="9"/>
        <v>483</v>
      </c>
      <c r="F60" s="13">
        <v>630</v>
      </c>
      <c r="G60" s="3">
        <f t="shared" ref="G60:G65" si="24">F60-E60</f>
        <v>147</v>
      </c>
      <c r="H60" s="21">
        <f t="shared" si="21"/>
        <v>3.2786885245901641E-2</v>
      </c>
      <c r="I60" s="4">
        <f t="shared" si="22"/>
        <v>8.7837837837837843E-2</v>
      </c>
      <c r="J60" s="3">
        <f t="shared" si="23"/>
        <v>39</v>
      </c>
      <c r="K60" s="16">
        <f t="shared" ref="K60:K70" si="25">(F60-F8)/F8</f>
        <v>-0.14285714285714285</v>
      </c>
      <c r="L60" s="3"/>
    </row>
    <row r="61" spans="1:12" ht="13.8" x14ac:dyDescent="0.25">
      <c r="A61" s="26">
        <f t="shared" si="8"/>
        <v>39018</v>
      </c>
      <c r="B61" s="3">
        <f>1+199+3+105</f>
        <v>308</v>
      </c>
      <c r="C61" s="3">
        <f>4+0+2+21</f>
        <v>27</v>
      </c>
      <c r="D61" s="3">
        <f>2+24+0+25</f>
        <v>51</v>
      </c>
      <c r="E61" s="13">
        <f t="shared" si="9"/>
        <v>386</v>
      </c>
      <c r="F61" s="13">
        <v>688</v>
      </c>
      <c r="G61" s="3">
        <f t="shared" si="24"/>
        <v>302</v>
      </c>
      <c r="H61" s="21">
        <f t="shared" ref="H61:H66" si="26">(F61-F60)/F60</f>
        <v>9.2063492063492069E-2</v>
      </c>
      <c r="I61" s="4">
        <f t="shared" si="22"/>
        <v>-0.20082815734989648</v>
      </c>
      <c r="J61" s="3">
        <f t="shared" si="23"/>
        <v>-97</v>
      </c>
      <c r="K61" s="16">
        <f t="shared" si="25"/>
        <v>-5.4945054945054944E-2</v>
      </c>
      <c r="L61" s="3"/>
    </row>
    <row r="62" spans="1:12" ht="13.8" x14ac:dyDescent="0.25">
      <c r="A62" s="26">
        <f t="shared" si="8"/>
        <v>39025</v>
      </c>
      <c r="B62" s="3">
        <f>0+299+4+95</f>
        <v>398</v>
      </c>
      <c r="C62" s="3">
        <f>6+0+7+15</f>
        <v>28</v>
      </c>
      <c r="D62" s="3">
        <f>1+28+0+33</f>
        <v>62</v>
      </c>
      <c r="E62" s="13">
        <f t="shared" si="9"/>
        <v>488</v>
      </c>
      <c r="F62" s="13">
        <v>779</v>
      </c>
      <c r="G62" s="3">
        <f t="shared" si="24"/>
        <v>291</v>
      </c>
      <c r="H62" s="21">
        <f t="shared" si="26"/>
        <v>0.13226744186046513</v>
      </c>
      <c r="I62" s="4">
        <f t="shared" ref="I62:I67" si="27">(E62-E61)/E61</f>
        <v>0.26424870466321243</v>
      </c>
      <c r="J62" s="3">
        <f t="shared" ref="J62:J67" si="28">E62-E61</f>
        <v>102</v>
      </c>
      <c r="K62" s="16">
        <f t="shared" si="25"/>
        <v>0.32935153583617749</v>
      </c>
      <c r="L62" s="3"/>
    </row>
    <row r="63" spans="1:12" ht="13.8" x14ac:dyDescent="0.25">
      <c r="A63" s="26">
        <f t="shared" si="8"/>
        <v>39032</v>
      </c>
      <c r="B63" s="3">
        <f>10+343+4+97</f>
        <v>454</v>
      </c>
      <c r="C63" s="3">
        <f>3+0+3+7</f>
        <v>13</v>
      </c>
      <c r="D63" s="3">
        <f>3+52+0+38</f>
        <v>93</v>
      </c>
      <c r="E63" s="13">
        <f t="shared" si="9"/>
        <v>560</v>
      </c>
      <c r="F63" s="13">
        <v>680</v>
      </c>
      <c r="G63" s="3">
        <f t="shared" si="24"/>
        <v>120</v>
      </c>
      <c r="H63" s="21">
        <f t="shared" si="26"/>
        <v>-0.12708600770218229</v>
      </c>
      <c r="I63" s="4">
        <f t="shared" si="27"/>
        <v>0.14754098360655737</v>
      </c>
      <c r="J63" s="3">
        <f t="shared" si="28"/>
        <v>72</v>
      </c>
      <c r="K63" s="16">
        <f t="shared" si="25"/>
        <v>0.17850953206239167</v>
      </c>
      <c r="L63" s="3"/>
    </row>
    <row r="64" spans="1:12" ht="13.8" x14ac:dyDescent="0.25">
      <c r="A64" s="26">
        <f t="shared" si="8"/>
        <v>39039</v>
      </c>
      <c r="B64" s="3">
        <f>6+413+2+61</f>
        <v>482</v>
      </c>
      <c r="C64" s="3">
        <f>1+0+7+21</f>
        <v>29</v>
      </c>
      <c r="D64" s="3">
        <f>0+40+0+39</f>
        <v>79</v>
      </c>
      <c r="E64" s="13">
        <f t="shared" si="9"/>
        <v>590</v>
      </c>
      <c r="F64" s="13">
        <v>665</v>
      </c>
      <c r="G64" s="3">
        <f t="shared" si="24"/>
        <v>75</v>
      </c>
      <c r="H64" s="21">
        <f t="shared" si="26"/>
        <v>-2.2058823529411766E-2</v>
      </c>
      <c r="I64" s="4">
        <f t="shared" si="27"/>
        <v>5.3571428571428568E-2</v>
      </c>
      <c r="J64" s="3">
        <f t="shared" si="28"/>
        <v>30</v>
      </c>
      <c r="K64" s="16">
        <f t="shared" si="25"/>
        <v>0.17699115044247787</v>
      </c>
      <c r="L64" s="3"/>
    </row>
    <row r="65" spans="1:12" ht="13.8" x14ac:dyDescent="0.25">
      <c r="A65" s="26">
        <f t="shared" si="8"/>
        <v>39046</v>
      </c>
      <c r="B65" s="3">
        <f>0+497+4+42</f>
        <v>543</v>
      </c>
      <c r="C65" s="3">
        <f>8+0+5+20</f>
        <v>33</v>
      </c>
      <c r="D65" s="3">
        <f>1+59+3+42</f>
        <v>105</v>
      </c>
      <c r="E65" s="13">
        <f t="shared" si="9"/>
        <v>681</v>
      </c>
      <c r="F65" s="13">
        <v>591</v>
      </c>
      <c r="G65" s="3">
        <f t="shared" si="24"/>
        <v>-90</v>
      </c>
      <c r="H65" s="21">
        <f t="shared" si="26"/>
        <v>-0.11127819548872181</v>
      </c>
      <c r="I65" s="4">
        <f t="shared" si="27"/>
        <v>0.15423728813559323</v>
      </c>
      <c r="J65" s="3">
        <f t="shared" si="28"/>
        <v>91</v>
      </c>
      <c r="K65" s="16">
        <f t="shared" si="25"/>
        <v>0.12144212523719165</v>
      </c>
      <c r="L65" s="3"/>
    </row>
    <row r="66" spans="1:12" ht="13.8" x14ac:dyDescent="0.25">
      <c r="A66" s="26">
        <f t="shared" si="8"/>
        <v>39053</v>
      </c>
      <c r="B66" s="3">
        <f>8+370+20+28</f>
        <v>426</v>
      </c>
      <c r="C66" s="3">
        <f>7+0+2+9</f>
        <v>18</v>
      </c>
      <c r="D66" s="3">
        <f>2+48+0+53</f>
        <v>103</v>
      </c>
      <c r="E66" s="13">
        <f t="shared" si="9"/>
        <v>547</v>
      </c>
      <c r="F66" s="13">
        <v>672</v>
      </c>
      <c r="G66" s="3">
        <f t="shared" ref="G66:G71" si="29">F66-E66</f>
        <v>125</v>
      </c>
      <c r="H66" s="21">
        <f t="shared" si="26"/>
        <v>0.13705583756345177</v>
      </c>
      <c r="I66" s="4">
        <f t="shared" si="27"/>
        <v>-0.19676945668135096</v>
      </c>
      <c r="J66" s="3">
        <f t="shared" si="28"/>
        <v>-134</v>
      </c>
      <c r="K66" s="16">
        <f t="shared" si="25"/>
        <v>8.2125603864734303E-2</v>
      </c>
      <c r="L66" s="3"/>
    </row>
    <row r="67" spans="1:12" ht="13.8" x14ac:dyDescent="0.25">
      <c r="A67" s="26">
        <f t="shared" si="8"/>
        <v>39060</v>
      </c>
      <c r="B67" s="3">
        <f>1+429+7+87</f>
        <v>524</v>
      </c>
      <c r="C67" s="3">
        <f>2+0+8+21</f>
        <v>31</v>
      </c>
      <c r="D67" s="3">
        <f>3+57+0+84</f>
        <v>144</v>
      </c>
      <c r="E67" s="13">
        <f t="shared" si="9"/>
        <v>699</v>
      </c>
      <c r="F67" s="13">
        <v>652</v>
      </c>
      <c r="G67" s="3">
        <f t="shared" si="29"/>
        <v>-47</v>
      </c>
      <c r="H67" s="21">
        <f t="shared" ref="H67:H72" si="30">(F67-F66)/F66</f>
        <v>-2.976190476190476E-2</v>
      </c>
      <c r="I67" s="4">
        <f t="shared" si="27"/>
        <v>0.27787934186471663</v>
      </c>
      <c r="J67" s="3">
        <f t="shared" si="28"/>
        <v>152</v>
      </c>
      <c r="K67" s="16">
        <f t="shared" si="25"/>
        <v>-3.4074074074074076E-2</v>
      </c>
      <c r="L67" s="3"/>
    </row>
    <row r="68" spans="1:12" ht="13.8" x14ac:dyDescent="0.25">
      <c r="A68" s="26">
        <f t="shared" si="8"/>
        <v>39067</v>
      </c>
      <c r="B68" s="3">
        <f>11+399+0+135</f>
        <v>545</v>
      </c>
      <c r="C68" s="3">
        <f>9+1+4+19</f>
        <v>33</v>
      </c>
      <c r="D68" s="3">
        <f>3+59+0+51</f>
        <v>113</v>
      </c>
      <c r="E68" s="13">
        <f t="shared" si="9"/>
        <v>691</v>
      </c>
      <c r="F68" s="14">
        <v>564</v>
      </c>
      <c r="G68" s="3">
        <f t="shared" si="29"/>
        <v>-127</v>
      </c>
      <c r="H68" s="21">
        <f t="shared" si="30"/>
        <v>-0.13496932515337423</v>
      </c>
      <c r="I68" s="4">
        <f t="shared" ref="I68:I73" si="31">(E68-E67)/E67</f>
        <v>-1.1444921316165951E-2</v>
      </c>
      <c r="J68" s="3">
        <f t="shared" ref="J68:J73" si="32">E68-E67</f>
        <v>-8</v>
      </c>
      <c r="K68" s="16">
        <f t="shared" si="25"/>
        <v>6.8181818181818177E-2</v>
      </c>
      <c r="L68" s="3"/>
    </row>
    <row r="69" spans="1:12" ht="13.8" x14ac:dyDescent="0.25">
      <c r="A69" s="26">
        <f t="shared" si="8"/>
        <v>39074</v>
      </c>
      <c r="B69" s="3">
        <f>3+290+0+106</f>
        <v>399</v>
      </c>
      <c r="C69" s="3">
        <f>0+0+8+4</f>
        <v>12</v>
      </c>
      <c r="D69" s="3">
        <f>2+47+0+33</f>
        <v>82</v>
      </c>
      <c r="E69" s="13">
        <f t="shared" si="9"/>
        <v>493</v>
      </c>
      <c r="F69" s="15">
        <v>527</v>
      </c>
      <c r="G69" s="3">
        <f t="shared" si="29"/>
        <v>34</v>
      </c>
      <c r="H69" s="21">
        <f t="shared" si="30"/>
        <v>-6.5602836879432622E-2</v>
      </c>
      <c r="I69" s="4">
        <f t="shared" si="31"/>
        <v>-0.2865412445730825</v>
      </c>
      <c r="J69" s="3">
        <f t="shared" si="32"/>
        <v>-198</v>
      </c>
      <c r="K69" s="16">
        <f t="shared" si="25"/>
        <v>0.20871559633027523</v>
      </c>
      <c r="L69" s="3"/>
    </row>
    <row r="70" spans="1:12" ht="13.8" x14ac:dyDescent="0.25">
      <c r="A70" s="26">
        <f t="shared" si="8"/>
        <v>39081</v>
      </c>
      <c r="B70" s="3">
        <f>0+178+0+58</f>
        <v>236</v>
      </c>
      <c r="C70" s="3">
        <f>4+0+6+25</f>
        <v>35</v>
      </c>
      <c r="D70" s="3">
        <f>4+49+0+54</f>
        <v>107</v>
      </c>
      <c r="E70" s="13">
        <f t="shared" si="9"/>
        <v>378</v>
      </c>
      <c r="F70" s="15">
        <v>494</v>
      </c>
      <c r="G70" s="3">
        <f t="shared" si="29"/>
        <v>116</v>
      </c>
      <c r="H70" s="21">
        <f t="shared" si="30"/>
        <v>-6.2618595825426948E-2</v>
      </c>
      <c r="I70" s="4">
        <f t="shared" si="31"/>
        <v>-0.23326572008113591</v>
      </c>
      <c r="J70" s="3">
        <f t="shared" si="32"/>
        <v>-115</v>
      </c>
      <c r="K70" s="16">
        <f t="shared" si="25"/>
        <v>-3.1372549019607843E-2</v>
      </c>
      <c r="L70" s="3"/>
    </row>
    <row r="71" spans="1:12" ht="13.8" x14ac:dyDescent="0.25">
      <c r="A71" s="26">
        <f t="shared" si="8"/>
        <v>39088</v>
      </c>
      <c r="B71" s="3">
        <f>1+165+4+59</f>
        <v>229</v>
      </c>
      <c r="C71" s="3">
        <f>10+0+3+8</f>
        <v>21</v>
      </c>
      <c r="D71" s="3">
        <f>8+20+0+26</f>
        <v>54</v>
      </c>
      <c r="E71" s="13">
        <f t="shared" si="9"/>
        <v>304</v>
      </c>
      <c r="F71" s="15">
        <v>580</v>
      </c>
      <c r="G71" s="3">
        <f t="shared" si="29"/>
        <v>276</v>
      </c>
      <c r="H71" s="21">
        <f t="shared" si="30"/>
        <v>0.17408906882591094</v>
      </c>
      <c r="I71" s="4">
        <f t="shared" si="31"/>
        <v>-0.19576719576719576</v>
      </c>
      <c r="J71" s="3">
        <f t="shared" si="32"/>
        <v>-74</v>
      </c>
      <c r="K71" s="16">
        <f t="shared" ref="K71:K76" si="33">(F71-F19)/F19</f>
        <v>-9.375E-2</v>
      </c>
      <c r="L71" s="3"/>
    </row>
    <row r="72" spans="1:12" ht="13.8" x14ac:dyDescent="0.25">
      <c r="A72" s="26">
        <f t="shared" si="8"/>
        <v>39095</v>
      </c>
      <c r="B72" s="3">
        <f>4+233+0+84</f>
        <v>321</v>
      </c>
      <c r="C72" s="3">
        <f>5+0+1+19</f>
        <v>25</v>
      </c>
      <c r="D72" s="3">
        <f>9+89+7+57</f>
        <v>162</v>
      </c>
      <c r="E72" s="13">
        <f t="shared" si="9"/>
        <v>508</v>
      </c>
      <c r="F72" s="15">
        <v>773</v>
      </c>
      <c r="G72" s="3">
        <f t="shared" ref="G72:G77" si="34">F72-E72</f>
        <v>265</v>
      </c>
      <c r="H72" s="21">
        <f t="shared" si="30"/>
        <v>0.33275862068965517</v>
      </c>
      <c r="I72" s="4">
        <f t="shared" si="31"/>
        <v>0.67105263157894735</v>
      </c>
      <c r="J72" s="3">
        <f t="shared" si="32"/>
        <v>204</v>
      </c>
      <c r="K72" s="16">
        <f t="shared" si="33"/>
        <v>7.5104311543810851E-2</v>
      </c>
      <c r="L72" s="3"/>
    </row>
    <row r="73" spans="1:12" ht="13.8" x14ac:dyDescent="0.25">
      <c r="A73" s="26">
        <f t="shared" si="8"/>
        <v>39102</v>
      </c>
      <c r="B73" s="3">
        <f>0+145+8+65</f>
        <v>218</v>
      </c>
      <c r="C73" s="3">
        <f>3+0+1+16</f>
        <v>20</v>
      </c>
      <c r="D73" s="3">
        <f>1+105+0+64</f>
        <v>170</v>
      </c>
      <c r="E73" s="13">
        <f t="shared" si="9"/>
        <v>408</v>
      </c>
      <c r="F73" s="15">
        <v>669</v>
      </c>
      <c r="G73" s="3">
        <f t="shared" si="34"/>
        <v>261</v>
      </c>
      <c r="H73" s="21">
        <f t="shared" ref="H73:H78" si="35">(F73-F72)/F72</f>
        <v>-0.13454075032341525</v>
      </c>
      <c r="I73" s="4">
        <f t="shared" si="31"/>
        <v>-0.19685039370078741</v>
      </c>
      <c r="J73" s="3">
        <f t="shared" si="32"/>
        <v>-100</v>
      </c>
      <c r="K73" s="16">
        <f t="shared" si="33"/>
        <v>0.13389830508474576</v>
      </c>
      <c r="L73" s="3"/>
    </row>
    <row r="74" spans="1:12" ht="13.8" x14ac:dyDescent="0.25">
      <c r="A74" s="26">
        <f t="shared" si="8"/>
        <v>39109</v>
      </c>
      <c r="B74" s="3">
        <f>5+209+1+54</f>
        <v>269</v>
      </c>
      <c r="C74" s="3">
        <f>6+0+4+9</f>
        <v>19</v>
      </c>
      <c r="D74" s="3">
        <f>1+86+0+42</f>
        <v>129</v>
      </c>
      <c r="E74" s="13">
        <f t="shared" si="9"/>
        <v>417</v>
      </c>
      <c r="F74" s="15">
        <v>701</v>
      </c>
      <c r="G74" s="3">
        <f t="shared" si="34"/>
        <v>284</v>
      </c>
      <c r="H74" s="21">
        <f t="shared" si="35"/>
        <v>4.7832585949177879E-2</v>
      </c>
      <c r="I74" s="4">
        <f t="shared" ref="I74:I79" si="36">(E74-E73)/E73</f>
        <v>2.2058823529411766E-2</v>
      </c>
      <c r="J74" s="3">
        <f t="shared" ref="J74:J79" si="37">E74-E73</f>
        <v>9</v>
      </c>
      <c r="K74" s="16">
        <f t="shared" si="33"/>
        <v>-6.2834224598930483E-2</v>
      </c>
      <c r="L74" s="3"/>
    </row>
    <row r="75" spans="1:12" ht="13.8" x14ac:dyDescent="0.25">
      <c r="A75" s="26">
        <f t="shared" si="8"/>
        <v>39116</v>
      </c>
      <c r="B75" s="3">
        <f>1+88+0+26</f>
        <v>115</v>
      </c>
      <c r="C75" s="3">
        <f>2+0+13+16</f>
        <v>31</v>
      </c>
      <c r="D75" s="3">
        <f>1+84+0+50</f>
        <v>135</v>
      </c>
      <c r="E75" s="13">
        <f t="shared" si="9"/>
        <v>281</v>
      </c>
      <c r="F75" s="15">
        <v>689</v>
      </c>
      <c r="G75" s="3">
        <f t="shared" si="34"/>
        <v>408</v>
      </c>
      <c r="H75" s="21">
        <f t="shared" si="35"/>
        <v>-1.7118402282453638E-2</v>
      </c>
      <c r="I75" s="4">
        <f t="shared" si="36"/>
        <v>-0.32613908872901681</v>
      </c>
      <c r="J75" s="3">
        <f t="shared" si="37"/>
        <v>-136</v>
      </c>
      <c r="K75" s="16">
        <f t="shared" si="33"/>
        <v>-1.4492753623188406E-3</v>
      </c>
      <c r="L75" s="3"/>
    </row>
    <row r="76" spans="1:12" ht="13.8" x14ac:dyDescent="0.25">
      <c r="A76" s="26">
        <f t="shared" si="8"/>
        <v>39123</v>
      </c>
      <c r="B76" s="3">
        <f>0+106+0+36</f>
        <v>142</v>
      </c>
      <c r="C76" s="3">
        <f>6+0+5+10</f>
        <v>21</v>
      </c>
      <c r="D76" s="3">
        <f>4+61+1+26</f>
        <v>92</v>
      </c>
      <c r="E76" s="13">
        <f t="shared" si="9"/>
        <v>255</v>
      </c>
      <c r="F76" s="15">
        <v>759</v>
      </c>
      <c r="G76" s="3">
        <f t="shared" si="34"/>
        <v>504</v>
      </c>
      <c r="H76" s="21">
        <f t="shared" si="35"/>
        <v>0.10159651669085631</v>
      </c>
      <c r="I76" s="4">
        <f t="shared" si="36"/>
        <v>-9.2526690391459068E-2</v>
      </c>
      <c r="J76" s="3">
        <f t="shared" si="37"/>
        <v>-26</v>
      </c>
      <c r="K76" s="16">
        <f t="shared" si="33"/>
        <v>9.5238095238095233E-2</v>
      </c>
      <c r="L76" s="3"/>
    </row>
    <row r="77" spans="1:12" ht="13.8" x14ac:dyDescent="0.25">
      <c r="A77" s="26">
        <f t="shared" si="8"/>
        <v>39130</v>
      </c>
      <c r="B77" s="3">
        <f>0+14+0+9</f>
        <v>23</v>
      </c>
      <c r="C77" s="3">
        <f>4+0+5+20</f>
        <v>29</v>
      </c>
      <c r="D77" s="3">
        <f>5+99+10+51</f>
        <v>165</v>
      </c>
      <c r="E77" s="13">
        <f t="shared" si="9"/>
        <v>217</v>
      </c>
      <c r="F77" s="15">
        <v>920</v>
      </c>
      <c r="G77" s="3">
        <f t="shared" si="34"/>
        <v>703</v>
      </c>
      <c r="H77" s="21">
        <f t="shared" si="35"/>
        <v>0.21212121212121213</v>
      </c>
      <c r="I77" s="4">
        <f t="shared" si="36"/>
        <v>-0.14901960784313725</v>
      </c>
      <c r="J77" s="3">
        <f t="shared" si="37"/>
        <v>-38</v>
      </c>
      <c r="K77" s="16">
        <f t="shared" ref="K77:K82" si="38">(F77-F25)/F25</f>
        <v>0.4263565891472868</v>
      </c>
      <c r="L77" s="3"/>
    </row>
    <row r="78" spans="1:12" ht="13.8" x14ac:dyDescent="0.25">
      <c r="A78" s="26">
        <f t="shared" si="8"/>
        <v>39137</v>
      </c>
      <c r="B78" s="3">
        <v>22</v>
      </c>
      <c r="C78" s="3">
        <f>7+0+0+11</f>
        <v>18</v>
      </c>
      <c r="D78" s="3">
        <f>5+104+0+41</f>
        <v>150</v>
      </c>
      <c r="E78" s="13">
        <f t="shared" si="9"/>
        <v>190</v>
      </c>
      <c r="F78" s="15">
        <v>773</v>
      </c>
      <c r="G78" s="3">
        <f t="shared" ref="G78:G83" si="39">F78-E78</f>
        <v>583</v>
      </c>
      <c r="H78" s="21">
        <f t="shared" si="35"/>
        <v>-0.15978260869565217</v>
      </c>
      <c r="I78" s="4">
        <f t="shared" si="36"/>
        <v>-0.12442396313364056</v>
      </c>
      <c r="J78" s="3">
        <f t="shared" si="37"/>
        <v>-27</v>
      </c>
      <c r="K78" s="16">
        <f t="shared" si="38"/>
        <v>0.38282647584973167</v>
      </c>
      <c r="L78" s="3"/>
    </row>
    <row r="79" spans="1:12" ht="13.8" x14ac:dyDescent="0.25">
      <c r="A79" s="26">
        <f t="shared" si="8"/>
        <v>39144</v>
      </c>
      <c r="B79" s="3">
        <f>2+162+0+40</f>
        <v>204</v>
      </c>
      <c r="C79" s="3">
        <f>10+0+4+28</f>
        <v>42</v>
      </c>
      <c r="D79" s="3">
        <f>2+115+0+38</f>
        <v>155</v>
      </c>
      <c r="E79" s="13">
        <f t="shared" si="9"/>
        <v>401</v>
      </c>
      <c r="F79" s="15">
        <v>734</v>
      </c>
      <c r="G79" s="3">
        <f t="shared" si="39"/>
        <v>333</v>
      </c>
      <c r="H79" s="21">
        <f t="shared" ref="H79:H84" si="40">(F79-F78)/F78</f>
        <v>-5.0452781371280724E-2</v>
      </c>
      <c r="I79" s="4">
        <f t="shared" si="36"/>
        <v>1.1105263157894736</v>
      </c>
      <c r="J79" s="3">
        <f t="shared" si="37"/>
        <v>211</v>
      </c>
      <c r="K79" s="16">
        <f t="shared" si="38"/>
        <v>0.14866979655712051</v>
      </c>
      <c r="L79" s="3"/>
    </row>
    <row r="80" spans="1:12" ht="13.8" x14ac:dyDescent="0.25">
      <c r="A80" s="26">
        <f t="shared" si="8"/>
        <v>39151</v>
      </c>
      <c r="B80" s="3">
        <f>9+203+0+59</f>
        <v>271</v>
      </c>
      <c r="C80" s="3">
        <f>10+0+2+14</f>
        <v>26</v>
      </c>
      <c r="D80" s="3">
        <f>4+97+1+56</f>
        <v>158</v>
      </c>
      <c r="E80" s="13">
        <f t="shared" si="9"/>
        <v>455</v>
      </c>
      <c r="F80" s="15">
        <v>650</v>
      </c>
      <c r="G80" s="3">
        <f t="shared" si="39"/>
        <v>195</v>
      </c>
      <c r="H80" s="21">
        <f t="shared" si="40"/>
        <v>-0.11444141689373297</v>
      </c>
      <c r="I80" s="4">
        <f t="shared" ref="I80:I85" si="41">(E80-E79)/E79</f>
        <v>0.13466334164588528</v>
      </c>
      <c r="J80" s="3">
        <f t="shared" ref="J80:J85" si="42">E80-E79</f>
        <v>54</v>
      </c>
      <c r="K80" s="16">
        <f t="shared" si="38"/>
        <v>2.0408163265306121E-2</v>
      </c>
      <c r="L80" s="3"/>
    </row>
    <row r="81" spans="1:21" ht="13.8" x14ac:dyDescent="0.25">
      <c r="A81" s="26">
        <f t="shared" si="8"/>
        <v>39158</v>
      </c>
      <c r="B81" s="3">
        <f>2+229+0+31</f>
        <v>262</v>
      </c>
      <c r="C81" s="3">
        <f>19+0+5+17</f>
        <v>41</v>
      </c>
      <c r="D81" s="3">
        <f>4+72+0+29</f>
        <v>105</v>
      </c>
      <c r="E81" s="13">
        <f t="shared" si="9"/>
        <v>408</v>
      </c>
      <c r="F81" s="15">
        <v>571</v>
      </c>
      <c r="G81" s="3">
        <f t="shared" si="39"/>
        <v>163</v>
      </c>
      <c r="H81" s="21">
        <f t="shared" si="40"/>
        <v>-0.12153846153846154</v>
      </c>
      <c r="I81" s="4">
        <f t="shared" si="41"/>
        <v>-0.10329670329670329</v>
      </c>
      <c r="J81" s="3">
        <f t="shared" si="42"/>
        <v>-47</v>
      </c>
      <c r="K81" s="16">
        <f t="shared" si="38"/>
        <v>7.0546737213403876E-3</v>
      </c>
      <c r="L81" s="17"/>
    </row>
    <row r="82" spans="1:21" ht="13.8" x14ac:dyDescent="0.25">
      <c r="A82" s="26">
        <f t="shared" si="8"/>
        <v>39165</v>
      </c>
      <c r="B82" s="3">
        <f>3+267+0+37</f>
        <v>307</v>
      </c>
      <c r="C82" s="3">
        <f>23+0+2+18</f>
        <v>43</v>
      </c>
      <c r="D82" s="3">
        <f>10+53+0+26</f>
        <v>89</v>
      </c>
      <c r="E82" s="13">
        <f t="shared" si="9"/>
        <v>439</v>
      </c>
      <c r="F82" s="15">
        <v>541</v>
      </c>
      <c r="G82" s="3">
        <f t="shared" si="39"/>
        <v>102</v>
      </c>
      <c r="H82" s="21">
        <f t="shared" si="40"/>
        <v>-5.2539404553415062E-2</v>
      </c>
      <c r="I82" s="4">
        <f t="shared" si="41"/>
        <v>7.5980392156862739E-2</v>
      </c>
      <c r="J82" s="3">
        <f t="shared" si="42"/>
        <v>31</v>
      </c>
      <c r="K82" s="16">
        <f t="shared" si="38"/>
        <v>0.20222222222222222</v>
      </c>
      <c r="L82" s="17"/>
    </row>
    <row r="83" spans="1:21" s="18" customFormat="1" ht="13.8" x14ac:dyDescent="0.25">
      <c r="A83" s="26">
        <f t="shared" si="8"/>
        <v>39172</v>
      </c>
      <c r="B83" s="18">
        <f>6+177+0+39</f>
        <v>222</v>
      </c>
      <c r="C83" s="18">
        <f>10+0+6+4</f>
        <v>20</v>
      </c>
      <c r="D83" s="18">
        <f>2+35+0+18</f>
        <v>55</v>
      </c>
      <c r="E83" s="13">
        <f t="shared" si="9"/>
        <v>297</v>
      </c>
      <c r="F83" s="15">
        <v>471</v>
      </c>
      <c r="G83" s="3">
        <f t="shared" si="39"/>
        <v>174</v>
      </c>
      <c r="H83" s="21">
        <f t="shared" si="40"/>
        <v>-0.12939001848428835</v>
      </c>
      <c r="I83" s="4">
        <f t="shared" si="41"/>
        <v>-0.32346241457858771</v>
      </c>
      <c r="J83" s="3">
        <f t="shared" si="42"/>
        <v>-142</v>
      </c>
      <c r="K83" s="16">
        <f t="shared" ref="K83:K88" si="43">(F83-F31)/F31</f>
        <v>0.75092936802973975</v>
      </c>
      <c r="L83" s="17"/>
    </row>
    <row r="84" spans="1:21" s="18" customFormat="1" ht="13.8" x14ac:dyDescent="0.25">
      <c r="A84" s="26">
        <f t="shared" si="8"/>
        <v>39179</v>
      </c>
      <c r="B84" s="18">
        <f>14+230+0+43</f>
        <v>287</v>
      </c>
      <c r="C84" s="18">
        <f>10+0+0+18</f>
        <v>28</v>
      </c>
      <c r="D84" s="18">
        <f>2+36+12+12</f>
        <v>62</v>
      </c>
      <c r="E84" s="13">
        <f t="shared" si="9"/>
        <v>377</v>
      </c>
      <c r="F84" s="15">
        <v>291</v>
      </c>
      <c r="G84" s="3">
        <f t="shared" ref="G84:G89" si="44">F84-E84</f>
        <v>-86</v>
      </c>
      <c r="H84" s="21">
        <f t="shared" si="40"/>
        <v>-0.38216560509554143</v>
      </c>
      <c r="I84" s="4">
        <f t="shared" si="41"/>
        <v>0.26936026936026936</v>
      </c>
      <c r="J84" s="3">
        <f t="shared" si="42"/>
        <v>80</v>
      </c>
      <c r="K84" s="16">
        <f t="shared" si="43"/>
        <v>-0.20273972602739726</v>
      </c>
      <c r="L84" s="17"/>
    </row>
    <row r="85" spans="1:21" s="18" customFormat="1" ht="13.8" x14ac:dyDescent="0.25">
      <c r="A85" s="26">
        <f t="shared" si="8"/>
        <v>39186</v>
      </c>
      <c r="B85" s="18">
        <f>5+235+0+43</f>
        <v>283</v>
      </c>
      <c r="C85" s="18">
        <f>6+0+6+11</f>
        <v>23</v>
      </c>
      <c r="D85" s="18">
        <f>3+13+1+16</f>
        <v>33</v>
      </c>
      <c r="E85" s="13">
        <f t="shared" si="9"/>
        <v>339</v>
      </c>
      <c r="F85" s="15">
        <v>453</v>
      </c>
      <c r="G85" s="3">
        <f t="shared" si="44"/>
        <v>114</v>
      </c>
      <c r="H85" s="21">
        <f t="shared" ref="H85:H90" si="45">(F85-F84)/F84</f>
        <v>0.55670103092783507</v>
      </c>
      <c r="I85" s="4">
        <f t="shared" si="41"/>
        <v>-0.10079575596816977</v>
      </c>
      <c r="J85" s="3">
        <f t="shared" si="42"/>
        <v>-38</v>
      </c>
      <c r="K85" s="16">
        <f t="shared" si="43"/>
        <v>-2.9978586723768737E-2</v>
      </c>
      <c r="L85" s="17"/>
    </row>
    <row r="86" spans="1:21" s="18" customFormat="1" ht="13.8" x14ac:dyDescent="0.25">
      <c r="A86" s="26">
        <f t="shared" si="8"/>
        <v>39193</v>
      </c>
      <c r="B86" s="18">
        <f>5+288+0+70</f>
        <v>363</v>
      </c>
      <c r="C86" s="18">
        <f>4+0+1+9</f>
        <v>14</v>
      </c>
      <c r="D86" s="18">
        <f>8+23+0+10</f>
        <v>41</v>
      </c>
      <c r="E86" s="13">
        <f t="shared" si="9"/>
        <v>418</v>
      </c>
      <c r="F86" s="19">
        <v>533</v>
      </c>
      <c r="G86" s="5">
        <f t="shared" si="44"/>
        <v>115</v>
      </c>
      <c r="H86" s="21">
        <f t="shared" si="45"/>
        <v>0.17660044150110377</v>
      </c>
      <c r="I86" s="4">
        <f t="shared" ref="I86:I91" si="46">(E86-E85)/E85</f>
        <v>0.23303834808259588</v>
      </c>
      <c r="J86" s="3">
        <f t="shared" ref="J86:J91" si="47">E86-E85</f>
        <v>79</v>
      </c>
      <c r="K86" s="16">
        <f t="shared" si="43"/>
        <v>-8.5763293310463118E-2</v>
      </c>
      <c r="L86" s="17"/>
    </row>
    <row r="87" spans="1:21" s="18" customFormat="1" ht="13.8" x14ac:dyDescent="0.25">
      <c r="A87" s="26">
        <f t="shared" si="8"/>
        <v>39200</v>
      </c>
      <c r="B87" s="18">
        <f>39+274+1+54</f>
        <v>368</v>
      </c>
      <c r="C87" s="18">
        <f>8+0+5+10</f>
        <v>23</v>
      </c>
      <c r="D87" s="18">
        <f>12+18+0+7</f>
        <v>37</v>
      </c>
      <c r="E87" s="13">
        <f t="shared" si="9"/>
        <v>428</v>
      </c>
      <c r="F87" s="19">
        <v>581</v>
      </c>
      <c r="G87" s="5">
        <f t="shared" si="44"/>
        <v>153</v>
      </c>
      <c r="H87" s="21">
        <f t="shared" si="45"/>
        <v>9.0056285178236398E-2</v>
      </c>
      <c r="I87" s="4">
        <f t="shared" si="46"/>
        <v>2.3923444976076555E-2</v>
      </c>
      <c r="J87" s="3">
        <f t="shared" si="47"/>
        <v>10</v>
      </c>
      <c r="K87" s="16">
        <f t="shared" si="43"/>
        <v>0.38333333333333336</v>
      </c>
      <c r="L87" s="17"/>
    </row>
    <row r="88" spans="1:21" s="18" customFormat="1" ht="13.8" x14ac:dyDescent="0.25">
      <c r="A88" s="26">
        <f t="shared" si="8"/>
        <v>39207</v>
      </c>
      <c r="B88" s="18">
        <f>10+234+4+41</f>
        <v>289</v>
      </c>
      <c r="C88" s="18">
        <f>14+0+8+7</f>
        <v>29</v>
      </c>
      <c r="D88" s="18">
        <f>1+22+1+6</f>
        <v>30</v>
      </c>
      <c r="E88" s="13">
        <f t="shared" si="9"/>
        <v>348</v>
      </c>
      <c r="F88" s="15">
        <v>559</v>
      </c>
      <c r="G88" s="3">
        <f t="shared" si="44"/>
        <v>211</v>
      </c>
      <c r="H88" s="21">
        <f t="shared" si="45"/>
        <v>-3.7865748709122203E-2</v>
      </c>
      <c r="I88" s="4">
        <f t="shared" si="46"/>
        <v>-0.18691588785046728</v>
      </c>
      <c r="J88" s="3">
        <f t="shared" si="47"/>
        <v>-80</v>
      </c>
      <c r="K88" s="16">
        <f t="shared" si="43"/>
        <v>0.40452261306532661</v>
      </c>
      <c r="L88" s="17"/>
    </row>
    <row r="89" spans="1:21" s="18" customFormat="1" ht="13.8" x14ac:dyDescent="0.25">
      <c r="A89" s="26">
        <f t="shared" si="8"/>
        <v>39214</v>
      </c>
      <c r="B89" s="18">
        <f>8+262+3+33</f>
        <v>306</v>
      </c>
      <c r="C89" s="18">
        <f>10+0+4+6</f>
        <v>20</v>
      </c>
      <c r="D89" s="18">
        <f>4+9+0+5</f>
        <v>18</v>
      </c>
      <c r="E89" s="13">
        <f t="shared" si="9"/>
        <v>344</v>
      </c>
      <c r="F89" s="15">
        <f>362+35</f>
        <v>397</v>
      </c>
      <c r="G89" s="3">
        <f t="shared" si="44"/>
        <v>53</v>
      </c>
      <c r="H89" s="21">
        <f t="shared" si="45"/>
        <v>-0.28980322003577819</v>
      </c>
      <c r="I89" s="4">
        <f t="shared" si="46"/>
        <v>-1.1494252873563218E-2</v>
      </c>
      <c r="J89" s="3">
        <f t="shared" si="47"/>
        <v>-4</v>
      </c>
      <c r="K89" s="16">
        <f t="shared" ref="K89:K94" si="48">(F89-F37)/F37</f>
        <v>-0.30836236933797911</v>
      </c>
      <c r="L89" s="17"/>
    </row>
    <row r="90" spans="1:21" s="18" customFormat="1" ht="13.8" x14ac:dyDescent="0.25">
      <c r="A90" s="27">
        <f t="shared" si="8"/>
        <v>39221</v>
      </c>
      <c r="B90" s="18">
        <f>8+370+1+55</f>
        <v>434</v>
      </c>
      <c r="C90" s="18">
        <f>4+0+1+6</f>
        <v>11</v>
      </c>
      <c r="D90" s="18">
        <f>5+12+0+7</f>
        <v>24</v>
      </c>
      <c r="E90" s="13">
        <f t="shared" si="9"/>
        <v>469</v>
      </c>
      <c r="F90" s="15">
        <v>381</v>
      </c>
      <c r="G90" s="3">
        <f t="shared" ref="G90:G96" si="49">F90-E90</f>
        <v>-88</v>
      </c>
      <c r="H90" s="21">
        <f t="shared" si="45"/>
        <v>-4.0302267002518891E-2</v>
      </c>
      <c r="I90" s="4">
        <f t="shared" si="46"/>
        <v>0.36337209302325579</v>
      </c>
      <c r="J90" s="3">
        <f t="shared" si="47"/>
        <v>125</v>
      </c>
      <c r="K90" s="16">
        <f t="shared" si="48"/>
        <v>-0.35204081632653061</v>
      </c>
      <c r="L90" s="17"/>
      <c r="M90" s="31" t="s">
        <v>12</v>
      </c>
      <c r="N90" s="32"/>
      <c r="O90" s="32"/>
      <c r="P90" s="32"/>
      <c r="Q90" s="32"/>
      <c r="R90" s="32"/>
      <c r="S90" s="32"/>
      <c r="T90" s="32"/>
      <c r="U90" s="32"/>
    </row>
    <row r="91" spans="1:21" s="18" customFormat="1" ht="13.8" x14ac:dyDescent="0.25">
      <c r="A91" s="27">
        <f t="shared" si="8"/>
        <v>39228</v>
      </c>
      <c r="B91" s="18">
        <f>15+358+1+42</f>
        <v>416</v>
      </c>
      <c r="C91" s="18">
        <f>5+0+0+1</f>
        <v>6</v>
      </c>
      <c r="D91" s="18">
        <f>1+18+0+10</f>
        <v>29</v>
      </c>
      <c r="E91" s="13">
        <f t="shared" si="9"/>
        <v>451</v>
      </c>
      <c r="F91" s="15">
        <v>454</v>
      </c>
      <c r="G91" s="3">
        <f t="shared" si="49"/>
        <v>3</v>
      </c>
      <c r="H91" s="21">
        <f t="shared" ref="H91:H96" si="50">(F91-F90)/F90</f>
        <v>0.19160104986876642</v>
      </c>
      <c r="I91" s="4">
        <f t="shared" si="46"/>
        <v>-3.8379530916844352E-2</v>
      </c>
      <c r="J91" s="3">
        <f t="shared" si="47"/>
        <v>-18</v>
      </c>
      <c r="K91" s="16">
        <f t="shared" si="48"/>
        <v>-0.2581699346405229</v>
      </c>
      <c r="L91" s="17"/>
    </row>
    <row r="92" spans="1:21" s="18" customFormat="1" ht="13.8" x14ac:dyDescent="0.25">
      <c r="A92" s="27">
        <f t="shared" si="8"/>
        <v>39235</v>
      </c>
      <c r="B92" s="18">
        <f>7+337+4+46</f>
        <v>394</v>
      </c>
      <c r="C92" s="18">
        <f>4+0+5+7</f>
        <v>16</v>
      </c>
      <c r="D92" s="18">
        <f>4+8+2+3</f>
        <v>17</v>
      </c>
      <c r="E92" s="13">
        <f t="shared" si="9"/>
        <v>427</v>
      </c>
      <c r="F92" s="15">
        <v>466</v>
      </c>
      <c r="G92" s="3">
        <f t="shared" si="49"/>
        <v>39</v>
      </c>
      <c r="H92" s="21">
        <f t="shared" si="50"/>
        <v>2.643171806167401E-2</v>
      </c>
      <c r="I92" s="4">
        <f t="shared" ref="I92:I98" si="51">(E92-E91)/E91</f>
        <v>-5.3215077605321508E-2</v>
      </c>
      <c r="J92" s="3">
        <f t="shared" ref="J92:J98" si="52">E92-E91</f>
        <v>-24</v>
      </c>
      <c r="K92" s="16">
        <f t="shared" si="48"/>
        <v>-0.17375886524822695</v>
      </c>
      <c r="L92" s="17"/>
    </row>
    <row r="93" spans="1:21" s="18" customFormat="1" ht="13.8" x14ac:dyDescent="0.25">
      <c r="A93" s="27">
        <f t="shared" si="8"/>
        <v>39242</v>
      </c>
      <c r="B93" s="18">
        <f>2+373+0+48</f>
        <v>423</v>
      </c>
      <c r="C93" s="18">
        <f>18+0+5+8</f>
        <v>31</v>
      </c>
      <c r="D93" s="18">
        <f>0+35+0+11</f>
        <v>46</v>
      </c>
      <c r="E93" s="13">
        <f t="shared" si="9"/>
        <v>500</v>
      </c>
      <c r="F93" s="15">
        <v>483</v>
      </c>
      <c r="G93" s="3">
        <f t="shared" si="49"/>
        <v>-17</v>
      </c>
      <c r="H93" s="21">
        <f t="shared" si="50"/>
        <v>3.6480686695278972E-2</v>
      </c>
      <c r="I93" s="4">
        <f t="shared" si="51"/>
        <v>0.17096018735362997</v>
      </c>
      <c r="J93" s="3">
        <f t="shared" si="52"/>
        <v>73</v>
      </c>
      <c r="K93" s="16">
        <f t="shared" si="48"/>
        <v>-8.8679245283018862E-2</v>
      </c>
      <c r="L93" s="17"/>
    </row>
    <row r="94" spans="1:21" s="18" customFormat="1" ht="13.8" x14ac:dyDescent="0.25">
      <c r="A94" s="27">
        <f t="shared" si="8"/>
        <v>39249</v>
      </c>
      <c r="B94" s="18">
        <f>2+435+13+55</f>
        <v>505</v>
      </c>
      <c r="C94" s="18">
        <f>5+0+6+3</f>
        <v>14</v>
      </c>
      <c r="D94" s="18">
        <f>0+37+0+6</f>
        <v>43</v>
      </c>
      <c r="E94" s="13">
        <f t="shared" si="9"/>
        <v>562</v>
      </c>
      <c r="F94" s="15">
        <v>544</v>
      </c>
      <c r="G94" s="3">
        <f t="shared" si="49"/>
        <v>-18</v>
      </c>
      <c r="H94" s="21">
        <f t="shared" si="50"/>
        <v>0.12629399585921325</v>
      </c>
      <c r="I94" s="4">
        <f t="shared" si="51"/>
        <v>0.124</v>
      </c>
      <c r="J94" s="3">
        <f t="shared" si="52"/>
        <v>62</v>
      </c>
      <c r="K94" s="16">
        <f t="shared" si="48"/>
        <v>2.4482109227871938E-2</v>
      </c>
      <c r="L94" s="17"/>
    </row>
    <row r="95" spans="1:21" s="18" customFormat="1" ht="13.8" x14ac:dyDescent="0.25">
      <c r="A95" s="27">
        <f t="shared" si="8"/>
        <v>39256</v>
      </c>
      <c r="B95" s="18">
        <f>4+340+0+45</f>
        <v>389</v>
      </c>
      <c r="C95" s="18">
        <f>7+0+3+4</f>
        <v>14</v>
      </c>
      <c r="D95" s="18">
        <f>0+14+0+11</f>
        <v>25</v>
      </c>
      <c r="E95" s="13">
        <f t="shared" si="9"/>
        <v>428</v>
      </c>
      <c r="F95" s="15">
        <v>490</v>
      </c>
      <c r="G95" s="3">
        <f t="shared" si="49"/>
        <v>62</v>
      </c>
      <c r="H95" s="21">
        <f t="shared" si="50"/>
        <v>-9.9264705882352935E-2</v>
      </c>
      <c r="I95" s="4">
        <f t="shared" si="51"/>
        <v>-0.23843416370106763</v>
      </c>
      <c r="J95" s="3">
        <f t="shared" si="52"/>
        <v>-134</v>
      </c>
      <c r="K95" s="16">
        <f t="shared" ref="K95:K100" si="53">(F95-F43)/F43</f>
        <v>0.1111111111111111</v>
      </c>
      <c r="L95" s="17"/>
    </row>
    <row r="96" spans="1:21" s="18" customFormat="1" ht="13.8" x14ac:dyDescent="0.25">
      <c r="A96" s="27">
        <f t="shared" si="8"/>
        <v>39263</v>
      </c>
      <c r="B96" s="18">
        <f>6+359+1+63</f>
        <v>429</v>
      </c>
      <c r="C96" s="18">
        <f>6</f>
        <v>6</v>
      </c>
      <c r="D96" s="18">
        <f>0+15+1+7</f>
        <v>23</v>
      </c>
      <c r="E96" s="13">
        <f t="shared" si="9"/>
        <v>458</v>
      </c>
      <c r="F96" s="15">
        <v>469</v>
      </c>
      <c r="G96" s="3">
        <f t="shared" si="49"/>
        <v>11</v>
      </c>
      <c r="H96" s="21">
        <f t="shared" si="50"/>
        <v>-4.2857142857142858E-2</v>
      </c>
      <c r="I96" s="4">
        <f t="shared" si="51"/>
        <v>7.0093457943925228E-2</v>
      </c>
      <c r="J96" s="3">
        <f t="shared" si="52"/>
        <v>30</v>
      </c>
      <c r="K96" s="16">
        <f t="shared" si="53"/>
        <v>-1.2631578947368421E-2</v>
      </c>
      <c r="L96" s="17"/>
    </row>
    <row r="97" spans="1:13" s="18" customFormat="1" ht="13.8" x14ac:dyDescent="0.25">
      <c r="A97" s="27">
        <f t="shared" si="8"/>
        <v>39270</v>
      </c>
      <c r="B97" s="18">
        <f>5+426+1+99</f>
        <v>531</v>
      </c>
      <c r="C97" s="18">
        <f>1+9+0+10</f>
        <v>20</v>
      </c>
      <c r="D97" s="18">
        <f>0+21+0+6</f>
        <v>27</v>
      </c>
      <c r="E97" s="13">
        <f t="shared" si="9"/>
        <v>578</v>
      </c>
      <c r="F97" s="15">
        <v>352</v>
      </c>
      <c r="G97" s="3">
        <f t="shared" ref="G97:G103" si="54">F97-E97</f>
        <v>-226</v>
      </c>
      <c r="H97" s="21">
        <f t="shared" ref="H97:H103" si="55">(F97-F96)/F96</f>
        <v>-0.24946695095948826</v>
      </c>
      <c r="I97" s="4">
        <f t="shared" si="51"/>
        <v>0.26200873362445415</v>
      </c>
      <c r="J97" s="3">
        <f t="shared" si="52"/>
        <v>120</v>
      </c>
      <c r="K97" s="16">
        <f t="shared" si="53"/>
        <v>-0.22466960352422907</v>
      </c>
      <c r="L97" s="17"/>
    </row>
    <row r="98" spans="1:13" s="18" customFormat="1" ht="13.8" x14ac:dyDescent="0.25">
      <c r="A98" s="27">
        <f t="shared" si="8"/>
        <v>39277</v>
      </c>
      <c r="B98" s="18">
        <f>9+461+3+56</f>
        <v>529</v>
      </c>
      <c r="C98" s="18">
        <f>5+0+2+0</f>
        <v>7</v>
      </c>
      <c r="D98" s="18">
        <f>1+15+0+6</f>
        <v>22</v>
      </c>
      <c r="E98" s="13">
        <f t="shared" si="9"/>
        <v>558</v>
      </c>
      <c r="F98" s="15">
        <v>603</v>
      </c>
      <c r="G98" s="3">
        <f t="shared" si="54"/>
        <v>45</v>
      </c>
      <c r="H98" s="21">
        <f t="shared" si="55"/>
        <v>0.71306818181818177</v>
      </c>
      <c r="I98" s="4">
        <f t="shared" si="51"/>
        <v>-3.4602076124567477E-2</v>
      </c>
      <c r="J98" s="3">
        <f t="shared" si="52"/>
        <v>-20</v>
      </c>
      <c r="K98" s="16">
        <f t="shared" si="53"/>
        <v>0.15076335877862596</v>
      </c>
      <c r="L98" s="17"/>
    </row>
    <row r="99" spans="1:13" s="18" customFormat="1" ht="13.8" x14ac:dyDescent="0.25">
      <c r="A99" s="27">
        <f t="shared" si="8"/>
        <v>39284</v>
      </c>
      <c r="B99" s="18">
        <f>14+362+0+61</f>
        <v>437</v>
      </c>
      <c r="C99" s="18">
        <f>0+0+7+1</f>
        <v>8</v>
      </c>
      <c r="D99" s="18">
        <f>3+7+0+5</f>
        <v>15</v>
      </c>
      <c r="E99" s="13">
        <f t="shared" si="9"/>
        <v>460</v>
      </c>
      <c r="F99" s="15">
        <v>502</v>
      </c>
      <c r="G99" s="3">
        <f t="shared" si="54"/>
        <v>42</v>
      </c>
      <c r="H99" s="21">
        <f t="shared" si="55"/>
        <v>-0.16749585406301823</v>
      </c>
      <c r="I99" s="4">
        <f t="shared" ref="I99:I104" si="56">(E99-E98)/E98</f>
        <v>-0.17562724014336917</v>
      </c>
      <c r="J99" s="3">
        <f t="shared" ref="J99:J104" si="57">E99-E98</f>
        <v>-98</v>
      </c>
      <c r="K99" s="16">
        <f t="shared" si="53"/>
        <v>-0.14625850340136054</v>
      </c>
      <c r="L99" s="17"/>
    </row>
    <row r="100" spans="1:13" s="18" customFormat="1" ht="13.8" x14ac:dyDescent="0.25">
      <c r="A100" s="27">
        <f t="shared" si="8"/>
        <v>39291</v>
      </c>
      <c r="B100" s="18">
        <f>2+442+5+37</f>
        <v>486</v>
      </c>
      <c r="C100" s="18">
        <f>5+0+0+2</f>
        <v>7</v>
      </c>
      <c r="D100" s="18">
        <f>5+13+0+2</f>
        <v>20</v>
      </c>
      <c r="E100" s="13">
        <f t="shared" si="9"/>
        <v>513</v>
      </c>
      <c r="F100" s="15">
        <v>532</v>
      </c>
      <c r="G100" s="3">
        <f t="shared" si="54"/>
        <v>19</v>
      </c>
      <c r="H100" s="21">
        <f t="shared" si="55"/>
        <v>5.9760956175298807E-2</v>
      </c>
      <c r="I100" s="4">
        <f t="shared" si="56"/>
        <v>0.11521739130434783</v>
      </c>
      <c r="J100" s="3">
        <f t="shared" si="57"/>
        <v>53</v>
      </c>
      <c r="K100" s="16">
        <f t="shared" si="53"/>
        <v>-0.14054927302100162</v>
      </c>
      <c r="L100" s="17"/>
    </row>
    <row r="101" spans="1:13" s="18" customFormat="1" ht="13.8" x14ac:dyDescent="0.25">
      <c r="A101" s="27">
        <f t="shared" si="8"/>
        <v>39298</v>
      </c>
      <c r="B101" s="18">
        <f>7+468+0+47</f>
        <v>522</v>
      </c>
      <c r="C101" s="18">
        <f>17+0+2+2</f>
        <v>21</v>
      </c>
      <c r="D101" s="18">
        <f>10+19+0+7</f>
        <v>36</v>
      </c>
      <c r="E101" s="13">
        <f t="shared" si="9"/>
        <v>579</v>
      </c>
      <c r="F101" s="15">
        <v>525</v>
      </c>
      <c r="G101" s="3">
        <f t="shared" si="54"/>
        <v>-54</v>
      </c>
      <c r="H101" s="21">
        <f t="shared" si="55"/>
        <v>-1.3157894736842105E-2</v>
      </c>
      <c r="I101" s="4">
        <f t="shared" si="56"/>
        <v>0.12865497076023391</v>
      </c>
      <c r="J101" s="3">
        <f t="shared" si="57"/>
        <v>66</v>
      </c>
      <c r="K101" s="16">
        <f t="shared" ref="K101:K106" si="58">(F101-F49)/F49</f>
        <v>0.13636363636363635</v>
      </c>
      <c r="L101" s="17"/>
    </row>
    <row r="102" spans="1:13" s="18" customFormat="1" ht="13.8" x14ac:dyDescent="0.25">
      <c r="A102" s="27">
        <f t="shared" si="8"/>
        <v>39305</v>
      </c>
      <c r="B102" s="18">
        <f>32+322+12+40</f>
        <v>406</v>
      </c>
      <c r="C102" s="18">
        <f>23+0+5+2</f>
        <v>30</v>
      </c>
      <c r="D102" s="18">
        <f>15+6+0+3</f>
        <v>24</v>
      </c>
      <c r="E102" s="13">
        <f t="shared" si="9"/>
        <v>460</v>
      </c>
      <c r="F102" s="15">
        <v>624</v>
      </c>
      <c r="G102" s="3">
        <f t="shared" si="54"/>
        <v>164</v>
      </c>
      <c r="H102" s="21">
        <f t="shared" si="55"/>
        <v>0.18857142857142858</v>
      </c>
      <c r="I102" s="4">
        <f t="shared" si="56"/>
        <v>-0.20552677029360966</v>
      </c>
      <c r="J102" s="3">
        <f t="shared" si="57"/>
        <v>-119</v>
      </c>
      <c r="K102" s="16">
        <f t="shared" si="58"/>
        <v>0.13248638838475499</v>
      </c>
      <c r="L102" s="17"/>
    </row>
    <row r="103" spans="1:13" s="18" customFormat="1" ht="13.8" x14ac:dyDescent="0.25">
      <c r="A103" s="27">
        <f t="shared" si="8"/>
        <v>39312</v>
      </c>
      <c r="B103" s="18">
        <v>380</v>
      </c>
      <c r="C103" s="18">
        <v>20</v>
      </c>
      <c r="D103" s="18">
        <v>35</v>
      </c>
      <c r="E103" s="13">
        <f t="shared" si="9"/>
        <v>435</v>
      </c>
      <c r="F103" s="15">
        <v>589</v>
      </c>
      <c r="G103" s="18">
        <f t="shared" si="54"/>
        <v>154</v>
      </c>
      <c r="H103" s="21">
        <f t="shared" si="55"/>
        <v>-5.6089743589743592E-2</v>
      </c>
      <c r="I103" s="4">
        <f t="shared" si="56"/>
        <v>-5.434782608695652E-2</v>
      </c>
      <c r="J103" s="3">
        <f t="shared" si="57"/>
        <v>-25</v>
      </c>
      <c r="K103" s="16">
        <f t="shared" si="58"/>
        <v>-6.3593004769475353E-2</v>
      </c>
      <c r="L103" s="17"/>
    </row>
    <row r="104" spans="1:13" s="18" customFormat="1" ht="13.8" x14ac:dyDescent="0.25">
      <c r="A104" s="27">
        <f t="shared" si="8"/>
        <v>39319</v>
      </c>
      <c r="B104" s="18">
        <f>19+221+0+55</f>
        <v>295</v>
      </c>
      <c r="C104" s="18">
        <f>20+4+9+0</f>
        <v>33</v>
      </c>
      <c r="D104" s="18">
        <f>8+7+0+9</f>
        <v>24</v>
      </c>
      <c r="E104" s="13">
        <f t="shared" si="9"/>
        <v>352</v>
      </c>
      <c r="F104" s="15">
        <v>602</v>
      </c>
      <c r="G104" s="18">
        <f t="shared" ref="G104:G109" si="59">F104-E104</f>
        <v>250</v>
      </c>
      <c r="H104" s="21">
        <f t="shared" ref="H104:H109" si="60">(F104-F103)/F103</f>
        <v>2.2071307300509338E-2</v>
      </c>
      <c r="I104" s="4">
        <f t="shared" si="56"/>
        <v>-0.19080459770114944</v>
      </c>
      <c r="J104" s="3">
        <f t="shared" si="57"/>
        <v>-83</v>
      </c>
      <c r="K104" s="16">
        <f t="shared" si="58"/>
        <v>6.688963210702341E-3</v>
      </c>
      <c r="L104" s="17"/>
    </row>
    <row r="105" spans="1:13" s="18" customFormat="1" ht="13.8" x14ac:dyDescent="0.25">
      <c r="A105" s="27">
        <f t="shared" si="8"/>
        <v>39326</v>
      </c>
      <c r="B105" s="20">
        <f>39+140+5+48</f>
        <v>232</v>
      </c>
      <c r="C105" s="18">
        <f>16+7+2+0</f>
        <v>25</v>
      </c>
      <c r="D105" s="18">
        <f>11+10+3+8</f>
        <v>32</v>
      </c>
      <c r="E105" s="13">
        <f t="shared" si="9"/>
        <v>289</v>
      </c>
      <c r="F105" s="15">
        <v>655</v>
      </c>
      <c r="G105" s="18">
        <f t="shared" si="59"/>
        <v>366</v>
      </c>
      <c r="H105" s="21">
        <f t="shared" si="60"/>
        <v>8.8039867109634545E-2</v>
      </c>
      <c r="I105" s="4">
        <f t="shared" ref="I105:I110" si="61">(E105-E104)/E104</f>
        <v>-0.17897727272727273</v>
      </c>
      <c r="J105" s="3">
        <f t="shared" ref="J105:J110" si="62">E105-E104</f>
        <v>-63</v>
      </c>
      <c r="K105" s="16">
        <f t="shared" si="58"/>
        <v>0.25961538461538464</v>
      </c>
      <c r="L105" s="17"/>
      <c r="M105" s="22" t="s">
        <v>14</v>
      </c>
    </row>
    <row r="106" spans="1:13" s="18" customFormat="1" ht="13.8" x14ac:dyDescent="0.25">
      <c r="A106" s="27">
        <f t="shared" si="8"/>
        <v>39333</v>
      </c>
      <c r="B106" s="20">
        <f>14+118+1+30</f>
        <v>163</v>
      </c>
      <c r="C106" s="18">
        <f>7+11+5+3</f>
        <v>26</v>
      </c>
      <c r="D106" s="18">
        <f>17+36+0+9</f>
        <v>62</v>
      </c>
      <c r="E106" s="13">
        <f t="shared" si="9"/>
        <v>251</v>
      </c>
      <c r="F106" s="15">
        <v>672</v>
      </c>
      <c r="G106" s="18">
        <f t="shared" si="59"/>
        <v>421</v>
      </c>
      <c r="H106" s="21">
        <f t="shared" si="60"/>
        <v>2.5954198473282442E-2</v>
      </c>
      <c r="I106" s="4">
        <f t="shared" si="61"/>
        <v>-0.13148788927335639</v>
      </c>
      <c r="J106" s="3">
        <f t="shared" si="62"/>
        <v>-38</v>
      </c>
      <c r="K106" s="16">
        <f t="shared" si="58"/>
        <v>0.19148936170212766</v>
      </c>
      <c r="L106" s="17"/>
    </row>
    <row r="107" spans="1:13" s="18" customFormat="1" ht="13.8" x14ac:dyDescent="0.25">
      <c r="A107" s="27">
        <f t="shared" si="8"/>
        <v>39340</v>
      </c>
      <c r="B107" s="20">
        <f>44+107+9+19</f>
        <v>179</v>
      </c>
      <c r="C107" s="18">
        <f>13+6+7+5</f>
        <v>31</v>
      </c>
      <c r="D107" s="18">
        <f>10+42+1+3</f>
        <v>56</v>
      </c>
      <c r="E107" s="13">
        <f t="shared" si="9"/>
        <v>266</v>
      </c>
      <c r="F107" s="15">
        <v>712</v>
      </c>
      <c r="G107" s="18">
        <f t="shared" si="59"/>
        <v>446</v>
      </c>
      <c r="H107" s="21">
        <f t="shared" si="60"/>
        <v>5.9523809523809521E-2</v>
      </c>
      <c r="I107" s="4">
        <f t="shared" si="61"/>
        <v>5.9760956175298807E-2</v>
      </c>
      <c r="J107" s="3">
        <f t="shared" si="62"/>
        <v>15</v>
      </c>
      <c r="K107" s="16">
        <f t="shared" ref="K107:K112" si="63">(F107-F55)/F55</f>
        <v>0.13375796178343949</v>
      </c>
      <c r="L107" s="17"/>
    </row>
    <row r="108" spans="1:13" s="18" customFormat="1" ht="13.8" x14ac:dyDescent="0.25">
      <c r="A108" s="27">
        <f t="shared" si="8"/>
        <v>39347</v>
      </c>
      <c r="B108" s="20">
        <f>0+129+3+36</f>
        <v>168</v>
      </c>
      <c r="C108" s="18">
        <f>4+1+6+2</f>
        <v>13</v>
      </c>
      <c r="D108" s="18">
        <f>1+69+2+1</f>
        <v>73</v>
      </c>
      <c r="E108" s="13">
        <f t="shared" si="9"/>
        <v>254</v>
      </c>
      <c r="F108" s="15">
        <v>720</v>
      </c>
      <c r="G108" s="18">
        <f t="shared" si="59"/>
        <v>466</v>
      </c>
      <c r="H108" s="21">
        <f t="shared" si="60"/>
        <v>1.1235955056179775E-2</v>
      </c>
      <c r="I108" s="4">
        <f t="shared" si="61"/>
        <v>-4.5112781954887216E-2</v>
      </c>
      <c r="J108" s="3">
        <f t="shared" si="62"/>
        <v>-12</v>
      </c>
      <c r="K108" s="16">
        <f t="shared" si="63"/>
        <v>0.35084427767354598</v>
      </c>
      <c r="L108" s="17"/>
    </row>
    <row r="109" spans="1:13" s="18" customFormat="1" ht="13.8" x14ac:dyDescent="0.25">
      <c r="A109" s="27">
        <f t="shared" si="8"/>
        <v>39354</v>
      </c>
      <c r="B109" s="20">
        <f>11+154+4+45</f>
        <v>214</v>
      </c>
      <c r="C109" s="18">
        <f>17+2+7+12</f>
        <v>38</v>
      </c>
      <c r="D109" s="18">
        <f>0+75+2+5</f>
        <v>82</v>
      </c>
      <c r="E109" s="13">
        <f t="shared" si="9"/>
        <v>334</v>
      </c>
      <c r="F109" s="15">
        <v>650</v>
      </c>
      <c r="G109" s="18">
        <f t="shared" si="59"/>
        <v>316</v>
      </c>
      <c r="H109" s="21">
        <f t="shared" si="60"/>
        <v>-9.7222222222222224E-2</v>
      </c>
      <c r="I109" s="4">
        <f t="shared" si="61"/>
        <v>0.31496062992125984</v>
      </c>
      <c r="J109" s="3">
        <f t="shared" si="62"/>
        <v>80</v>
      </c>
      <c r="K109" s="16">
        <f t="shared" si="63"/>
        <v>0.2922465208747515</v>
      </c>
      <c r="L109" s="17"/>
    </row>
    <row r="110" spans="1:13" s="18" customFormat="1" ht="13.8" x14ac:dyDescent="0.25">
      <c r="A110" s="27">
        <f t="shared" si="8"/>
        <v>39361</v>
      </c>
      <c r="B110" s="20">
        <f>4+150+2+85</f>
        <v>241</v>
      </c>
      <c r="C110" s="18">
        <f>15+0+4+2</f>
        <v>21</v>
      </c>
      <c r="D110" s="18">
        <f>8+91+0+12</f>
        <v>111</v>
      </c>
      <c r="E110" s="13">
        <f t="shared" si="9"/>
        <v>373</v>
      </c>
      <c r="F110" s="15">
        <v>659</v>
      </c>
      <c r="G110" s="18">
        <f t="shared" ref="G110:G115" si="64">F110-E110</f>
        <v>286</v>
      </c>
      <c r="H110" s="21">
        <f t="shared" ref="H110:H115" si="65">(F110-F109)/F109</f>
        <v>1.3846153846153847E-2</v>
      </c>
      <c r="I110" s="4">
        <f t="shared" si="61"/>
        <v>0.11676646706586827</v>
      </c>
      <c r="J110" s="3">
        <f t="shared" si="62"/>
        <v>39</v>
      </c>
      <c r="K110" s="16">
        <f t="shared" si="63"/>
        <v>4.2721518987341771E-2</v>
      </c>
      <c r="L110" s="17"/>
    </row>
    <row r="111" spans="1:13" s="18" customFormat="1" ht="13.8" x14ac:dyDescent="0.25">
      <c r="A111" s="27">
        <f t="shared" si="8"/>
        <v>39368</v>
      </c>
      <c r="B111" s="20">
        <f>4+244+0+82</f>
        <v>330</v>
      </c>
      <c r="C111" s="18">
        <f>17+0+9+9</f>
        <v>35</v>
      </c>
      <c r="D111" s="18">
        <f>0+75+6+33</f>
        <v>114</v>
      </c>
      <c r="E111" s="13">
        <f t="shared" si="9"/>
        <v>479</v>
      </c>
      <c r="F111" s="15">
        <v>703</v>
      </c>
      <c r="G111" s="18">
        <f t="shared" si="64"/>
        <v>224</v>
      </c>
      <c r="H111" s="21">
        <f t="shared" si="65"/>
        <v>6.6767830045523516E-2</v>
      </c>
      <c r="I111" s="4">
        <f t="shared" ref="I111:I116" si="66">(E111-E110)/E110</f>
        <v>0.28418230563002683</v>
      </c>
      <c r="J111" s="3">
        <f t="shared" ref="J111:J116" si="67">E111-E110</f>
        <v>106</v>
      </c>
      <c r="K111" s="16">
        <f t="shared" si="63"/>
        <v>0.15245901639344261</v>
      </c>
      <c r="L111" s="17"/>
    </row>
    <row r="112" spans="1:13" s="18" customFormat="1" ht="13.8" x14ac:dyDescent="0.25">
      <c r="A112" s="27">
        <f t="shared" si="8"/>
        <v>39375</v>
      </c>
      <c r="B112" s="18">
        <f>6+293+0+75</f>
        <v>374</v>
      </c>
      <c r="C112" s="18">
        <f>5+0+5+12</f>
        <v>22</v>
      </c>
      <c r="D112" s="18">
        <f>1+67+1+30</f>
        <v>99</v>
      </c>
      <c r="E112" s="13">
        <f t="shared" si="9"/>
        <v>495</v>
      </c>
      <c r="F112" s="15">
        <v>640</v>
      </c>
      <c r="G112" s="18">
        <f t="shared" si="64"/>
        <v>145</v>
      </c>
      <c r="H112" s="21">
        <f t="shared" si="65"/>
        <v>-8.9615931721194877E-2</v>
      </c>
      <c r="I112" s="4">
        <f t="shared" si="66"/>
        <v>3.3402922755741124E-2</v>
      </c>
      <c r="J112" s="3">
        <f t="shared" si="67"/>
        <v>16</v>
      </c>
      <c r="K112" s="16">
        <f t="shared" si="63"/>
        <v>1.5873015873015872E-2</v>
      </c>
    </row>
    <row r="113" spans="1:13" s="18" customFormat="1" ht="13.8" x14ac:dyDescent="0.25">
      <c r="A113" s="27">
        <f t="shared" si="8"/>
        <v>39382</v>
      </c>
      <c r="B113" s="18">
        <f>8+363+7+56</f>
        <v>434</v>
      </c>
      <c r="C113" s="18">
        <f>14+0+3+9</f>
        <v>26</v>
      </c>
      <c r="D113" s="18">
        <f>1+52+10+18</f>
        <v>81</v>
      </c>
      <c r="E113" s="13">
        <f t="shared" si="9"/>
        <v>541</v>
      </c>
      <c r="F113" s="15">
        <v>601</v>
      </c>
      <c r="G113" s="18">
        <f t="shared" si="64"/>
        <v>60</v>
      </c>
      <c r="H113" s="21">
        <f t="shared" si="65"/>
        <v>-6.0937499999999999E-2</v>
      </c>
      <c r="I113" s="4">
        <f t="shared" si="66"/>
        <v>9.2929292929292931E-2</v>
      </c>
      <c r="J113" s="3">
        <f t="shared" si="67"/>
        <v>46</v>
      </c>
      <c r="K113" s="16">
        <f t="shared" ref="K113:K118" si="68">(F113-F61)/F61</f>
        <v>-0.12645348837209303</v>
      </c>
    </row>
    <row r="114" spans="1:13" s="18" customFormat="1" ht="13.8" x14ac:dyDescent="0.25">
      <c r="A114" s="27">
        <f t="shared" si="8"/>
        <v>39389</v>
      </c>
      <c r="B114" s="18">
        <f>8+323+0+11</f>
        <v>342</v>
      </c>
      <c r="C114" s="18">
        <f>11+0+1+6</f>
        <v>18</v>
      </c>
      <c r="D114" s="18">
        <f>0+31+0+7</f>
        <v>38</v>
      </c>
      <c r="E114" s="13">
        <f t="shared" si="9"/>
        <v>398</v>
      </c>
      <c r="F114" s="15">
        <v>775</v>
      </c>
      <c r="G114" s="18">
        <f t="shared" si="64"/>
        <v>377</v>
      </c>
      <c r="H114" s="21">
        <f t="shared" si="65"/>
        <v>0.28951747088186358</v>
      </c>
      <c r="I114" s="4">
        <f t="shared" si="66"/>
        <v>-0.26432532347504623</v>
      </c>
      <c r="J114" s="3">
        <f t="shared" si="67"/>
        <v>-143</v>
      </c>
      <c r="K114" s="16">
        <f t="shared" si="68"/>
        <v>-5.1347881899871627E-3</v>
      </c>
    </row>
    <row r="115" spans="1:13" s="18" customFormat="1" ht="13.8" x14ac:dyDescent="0.25">
      <c r="A115" s="27">
        <f t="shared" si="8"/>
        <v>39396</v>
      </c>
      <c r="B115" s="18">
        <f>4+507+0+96</f>
        <v>607</v>
      </c>
      <c r="C115" s="18">
        <f>8+0+7+20</f>
        <v>35</v>
      </c>
      <c r="D115" s="18">
        <f>0+31+0+14</f>
        <v>45</v>
      </c>
      <c r="E115" s="13">
        <f t="shared" si="9"/>
        <v>687</v>
      </c>
      <c r="F115" s="15">
        <v>790</v>
      </c>
      <c r="G115" s="18">
        <f t="shared" si="64"/>
        <v>103</v>
      </c>
      <c r="H115" s="21">
        <f t="shared" si="65"/>
        <v>1.935483870967742E-2</v>
      </c>
      <c r="I115" s="4">
        <f t="shared" si="66"/>
        <v>0.72613065326633164</v>
      </c>
      <c r="J115" s="3">
        <f t="shared" si="67"/>
        <v>289</v>
      </c>
      <c r="K115" s="16">
        <f t="shared" si="68"/>
        <v>0.16176470588235295</v>
      </c>
    </row>
    <row r="116" spans="1:13" s="18" customFormat="1" ht="13.8" x14ac:dyDescent="0.25">
      <c r="A116" s="27">
        <f t="shared" si="8"/>
        <v>39403</v>
      </c>
      <c r="B116" s="18">
        <f>4+489+0+73</f>
        <v>566</v>
      </c>
      <c r="C116" s="18">
        <f>5+0+1+16</f>
        <v>22</v>
      </c>
      <c r="D116" s="18">
        <f>4+81+0+22</f>
        <v>107</v>
      </c>
      <c r="E116" s="13">
        <f t="shared" si="9"/>
        <v>695</v>
      </c>
      <c r="F116" s="15">
        <v>771</v>
      </c>
      <c r="G116" s="18">
        <f t="shared" ref="G116:G121" si="69">F116-E116</f>
        <v>76</v>
      </c>
      <c r="H116" s="21">
        <f t="shared" ref="H116:H121" si="70">(F116-F115)/F115</f>
        <v>-2.4050632911392405E-2</v>
      </c>
      <c r="I116" s="4">
        <f t="shared" si="66"/>
        <v>1.1644832605531296E-2</v>
      </c>
      <c r="J116" s="3">
        <f t="shared" si="67"/>
        <v>8</v>
      </c>
      <c r="K116" s="16">
        <f t="shared" si="68"/>
        <v>0.15939849624060151</v>
      </c>
    </row>
    <row r="117" spans="1:13" s="18" customFormat="1" ht="13.8" x14ac:dyDescent="0.25">
      <c r="A117" s="27">
        <f t="shared" si="8"/>
        <v>39410</v>
      </c>
      <c r="B117" s="18">
        <f>6+447+8+87</f>
        <v>548</v>
      </c>
      <c r="C117" s="18">
        <f>3+0+6+40</f>
        <v>49</v>
      </c>
      <c r="D117" s="18">
        <f>1+79+0+18</f>
        <v>98</v>
      </c>
      <c r="E117" s="13">
        <f t="shared" si="9"/>
        <v>695</v>
      </c>
      <c r="F117" s="15">
        <v>794</v>
      </c>
      <c r="G117" s="18">
        <f t="shared" si="69"/>
        <v>99</v>
      </c>
      <c r="H117" s="21">
        <f t="shared" si="70"/>
        <v>2.9831387808041506E-2</v>
      </c>
      <c r="I117" s="4">
        <f t="shared" ref="I117:I122" si="71">(E117-E116)/E116</f>
        <v>0</v>
      </c>
      <c r="J117" s="3">
        <f t="shared" ref="J117:J122" si="72">E117-E116</f>
        <v>0</v>
      </c>
      <c r="K117" s="16">
        <f t="shared" si="68"/>
        <v>0.34348561759729274</v>
      </c>
    </row>
    <row r="118" spans="1:13" s="18" customFormat="1" ht="13.8" x14ac:dyDescent="0.25">
      <c r="A118" s="27">
        <f t="shared" si="8"/>
        <v>39417</v>
      </c>
      <c r="B118" s="18">
        <f>16+350+2+111</f>
        <v>479</v>
      </c>
      <c r="C118" s="18">
        <f>2+0+3+42</f>
        <v>47</v>
      </c>
      <c r="D118" s="18">
        <f>0+29+1+18</f>
        <v>48</v>
      </c>
      <c r="E118" s="13">
        <f t="shared" si="9"/>
        <v>574</v>
      </c>
      <c r="F118" s="15">
        <v>735</v>
      </c>
      <c r="G118" s="18">
        <f t="shared" si="69"/>
        <v>161</v>
      </c>
      <c r="H118" s="21">
        <f t="shared" si="70"/>
        <v>-7.4307304785894202E-2</v>
      </c>
      <c r="I118" s="4">
        <f t="shared" si="71"/>
        <v>-0.17410071942446043</v>
      </c>
      <c r="J118" s="3">
        <f t="shared" si="72"/>
        <v>-121</v>
      </c>
      <c r="K118" s="16">
        <f t="shared" si="68"/>
        <v>9.375E-2</v>
      </c>
    </row>
    <row r="119" spans="1:13" s="18" customFormat="1" ht="13.8" x14ac:dyDescent="0.25">
      <c r="A119" s="27">
        <f t="shared" si="8"/>
        <v>39424</v>
      </c>
      <c r="B119" s="18">
        <f>9+324+0+119</f>
        <v>452</v>
      </c>
      <c r="C119" s="18">
        <f>1+1+10+8</f>
        <v>20</v>
      </c>
      <c r="D119" s="18">
        <f>9+81+0+33</f>
        <v>123</v>
      </c>
      <c r="E119" s="13">
        <f t="shared" si="9"/>
        <v>595</v>
      </c>
      <c r="F119" s="15">
        <v>778</v>
      </c>
      <c r="G119" s="18">
        <f t="shared" si="69"/>
        <v>183</v>
      </c>
      <c r="H119" s="21">
        <f t="shared" si="70"/>
        <v>5.8503401360544216E-2</v>
      </c>
      <c r="I119" s="4">
        <f t="shared" si="71"/>
        <v>3.6585365853658534E-2</v>
      </c>
      <c r="J119" s="3">
        <f t="shared" si="72"/>
        <v>21</v>
      </c>
      <c r="K119" s="16">
        <f t="shared" ref="K119:K124" si="73">(F119-F67)/F67</f>
        <v>0.19325153374233128</v>
      </c>
    </row>
    <row r="120" spans="1:13" s="18" customFormat="1" ht="13.8" x14ac:dyDescent="0.25">
      <c r="A120" s="27">
        <f t="shared" si="8"/>
        <v>39431</v>
      </c>
      <c r="B120" s="18">
        <f>8+305+0+93</f>
        <v>406</v>
      </c>
      <c r="C120" s="18">
        <f>5+5+8+20</f>
        <v>38</v>
      </c>
      <c r="D120" s="18">
        <f>1+53+1+17</f>
        <v>72</v>
      </c>
      <c r="E120" s="13">
        <f t="shared" si="9"/>
        <v>516</v>
      </c>
      <c r="F120" s="15">
        <v>718</v>
      </c>
      <c r="G120" s="18">
        <f t="shared" si="69"/>
        <v>202</v>
      </c>
      <c r="H120" s="21">
        <f t="shared" si="70"/>
        <v>-7.7120822622107968E-2</v>
      </c>
      <c r="I120" s="4">
        <f t="shared" si="71"/>
        <v>-0.13277310924369748</v>
      </c>
      <c r="J120" s="3">
        <f t="shared" si="72"/>
        <v>-79</v>
      </c>
      <c r="K120" s="16">
        <f t="shared" si="73"/>
        <v>0.27304964539007093</v>
      </c>
    </row>
    <row r="121" spans="1:13" s="18" customFormat="1" ht="13.8" x14ac:dyDescent="0.25">
      <c r="A121" s="27">
        <f t="shared" si="8"/>
        <v>39438</v>
      </c>
      <c r="B121" s="18">
        <f>3+131+0+36</f>
        <v>170</v>
      </c>
      <c r="C121" s="18">
        <f>5+2+7+25</f>
        <v>39</v>
      </c>
      <c r="D121" s="18">
        <f>3+54+7+9</f>
        <v>73</v>
      </c>
      <c r="E121" s="13">
        <f t="shared" si="9"/>
        <v>282</v>
      </c>
      <c r="F121" s="15">
        <v>721</v>
      </c>
      <c r="G121" s="18">
        <f t="shared" si="69"/>
        <v>439</v>
      </c>
      <c r="H121" s="21">
        <f t="shared" si="70"/>
        <v>4.178272980501393E-3</v>
      </c>
      <c r="I121" s="4">
        <f t="shared" si="71"/>
        <v>-0.45348837209302323</v>
      </c>
      <c r="J121" s="3">
        <f t="shared" si="72"/>
        <v>-234</v>
      </c>
      <c r="K121" s="16">
        <f t="shared" si="73"/>
        <v>0.36812144212523717</v>
      </c>
      <c r="M121" s="22" t="s">
        <v>15</v>
      </c>
    </row>
    <row r="122" spans="1:13" s="18" customFormat="1" ht="13.8" x14ac:dyDescent="0.25">
      <c r="A122" s="27">
        <f t="shared" si="8"/>
        <v>39445</v>
      </c>
      <c r="B122" s="18">
        <f>0+271+12+23</f>
        <v>306</v>
      </c>
      <c r="C122" s="18">
        <f>7+3+2+21</f>
        <v>33</v>
      </c>
      <c r="D122" s="18">
        <f>1+71+3+43</f>
        <v>118</v>
      </c>
      <c r="E122" s="13">
        <f t="shared" si="9"/>
        <v>457</v>
      </c>
      <c r="F122" s="15">
        <v>632</v>
      </c>
      <c r="G122" s="18">
        <f t="shared" ref="G122:G128" si="74">F122-E122</f>
        <v>175</v>
      </c>
      <c r="H122" s="21">
        <f t="shared" ref="H122:H127" si="75">(F122-F121)/F121</f>
        <v>-0.12343966712898752</v>
      </c>
      <c r="I122" s="4">
        <f t="shared" si="71"/>
        <v>0.62056737588652477</v>
      </c>
      <c r="J122" s="3">
        <f t="shared" si="72"/>
        <v>175</v>
      </c>
      <c r="K122" s="16">
        <f t="shared" si="73"/>
        <v>0.2793522267206478</v>
      </c>
    </row>
    <row r="123" spans="1:13" s="18" customFormat="1" ht="13.8" x14ac:dyDescent="0.25">
      <c r="A123" s="27">
        <f t="shared" ref="A123:A152" si="76">7+A122</f>
        <v>39452</v>
      </c>
      <c r="B123" s="18">
        <f>3+182+1+46</f>
        <v>232</v>
      </c>
      <c r="C123" s="18">
        <f>6+3+8+17</f>
        <v>34</v>
      </c>
      <c r="D123" s="18">
        <f>1+74+2+29</f>
        <v>106</v>
      </c>
      <c r="E123" s="13">
        <f t="shared" si="9"/>
        <v>372</v>
      </c>
      <c r="F123" s="15">
        <v>648</v>
      </c>
      <c r="G123" s="18">
        <f t="shared" si="74"/>
        <v>276</v>
      </c>
      <c r="H123" s="21">
        <f t="shared" si="75"/>
        <v>2.5316455696202531E-2</v>
      </c>
      <c r="I123" s="4">
        <f t="shared" ref="I123:I128" si="77">(E123-E122)/E122</f>
        <v>-0.18599562363238512</v>
      </c>
      <c r="J123" s="3">
        <f t="shared" ref="J123:J128" si="78">E123-E122</f>
        <v>-85</v>
      </c>
      <c r="K123" s="16">
        <f t="shared" si="73"/>
        <v>0.11724137931034483</v>
      </c>
    </row>
    <row r="124" spans="1:13" s="18" customFormat="1" ht="13.8" x14ac:dyDescent="0.25">
      <c r="A124" s="27">
        <f t="shared" si="76"/>
        <v>39459</v>
      </c>
      <c r="B124" s="18">
        <f>1+124+0+58</f>
        <v>183</v>
      </c>
      <c r="C124" s="18">
        <f>8+0+2+14</f>
        <v>24</v>
      </c>
      <c r="D124" s="18">
        <f>1+99+10+41</f>
        <v>151</v>
      </c>
      <c r="E124" s="13">
        <f t="shared" si="9"/>
        <v>358</v>
      </c>
      <c r="F124" s="15">
        <v>750</v>
      </c>
      <c r="G124" s="18">
        <f t="shared" si="74"/>
        <v>392</v>
      </c>
      <c r="H124" s="21">
        <f t="shared" si="75"/>
        <v>0.15740740740740741</v>
      </c>
      <c r="I124" s="4">
        <f t="shared" si="77"/>
        <v>-3.7634408602150539E-2</v>
      </c>
      <c r="J124" s="3">
        <f t="shared" si="78"/>
        <v>-14</v>
      </c>
      <c r="K124" s="16">
        <f t="shared" si="73"/>
        <v>-2.9754204398447608E-2</v>
      </c>
    </row>
    <row r="125" spans="1:13" s="18" customFormat="1" ht="13.8" x14ac:dyDescent="0.25">
      <c r="A125" s="27">
        <f t="shared" si="76"/>
        <v>39466</v>
      </c>
      <c r="B125" s="18">
        <f>0+111+0+35</f>
        <v>146</v>
      </c>
      <c r="C125" s="18">
        <f>4+0+3+23</f>
        <v>30</v>
      </c>
      <c r="D125" s="18">
        <f>1+106+6+31</f>
        <v>144</v>
      </c>
      <c r="E125" s="13">
        <f t="shared" si="9"/>
        <v>320</v>
      </c>
      <c r="F125" s="15">
        <v>685</v>
      </c>
      <c r="G125" s="18">
        <f t="shared" si="74"/>
        <v>365</v>
      </c>
      <c r="H125" s="21">
        <f t="shared" si="75"/>
        <v>-8.666666666666667E-2</v>
      </c>
      <c r="I125" s="4">
        <f t="shared" si="77"/>
        <v>-0.10614525139664804</v>
      </c>
      <c r="J125" s="3">
        <f t="shared" si="78"/>
        <v>-38</v>
      </c>
      <c r="K125" s="16">
        <f t="shared" ref="K125:K130" si="79">(F125-F73)/F73</f>
        <v>2.391629297458894E-2</v>
      </c>
    </row>
    <row r="126" spans="1:13" s="18" customFormat="1" ht="13.8" x14ac:dyDescent="0.25">
      <c r="A126" s="27">
        <f t="shared" si="76"/>
        <v>39473</v>
      </c>
      <c r="B126" s="18">
        <v>150</v>
      </c>
      <c r="C126" s="18">
        <v>30</v>
      </c>
      <c r="D126" s="18">
        <v>171</v>
      </c>
      <c r="E126" s="13">
        <f t="shared" si="9"/>
        <v>351</v>
      </c>
      <c r="F126" s="23">
        <v>648</v>
      </c>
      <c r="G126" s="18">
        <f t="shared" si="74"/>
        <v>297</v>
      </c>
      <c r="H126" s="21">
        <f t="shared" si="75"/>
        <v>-5.4014598540145987E-2</v>
      </c>
      <c r="I126" s="4">
        <f t="shared" si="77"/>
        <v>9.6875000000000003E-2</v>
      </c>
      <c r="J126" s="3">
        <f t="shared" si="78"/>
        <v>31</v>
      </c>
      <c r="K126" s="16">
        <f t="shared" si="79"/>
        <v>-7.5606276747503573E-2</v>
      </c>
    </row>
    <row r="127" spans="1:13" s="18" customFormat="1" ht="13.8" x14ac:dyDescent="0.25">
      <c r="A127" s="27">
        <f t="shared" si="76"/>
        <v>39480</v>
      </c>
      <c r="B127" s="18">
        <f>0+116+0+20</f>
        <v>136</v>
      </c>
      <c r="C127" s="18">
        <f>5+0+4+13</f>
        <v>22</v>
      </c>
      <c r="D127" s="18">
        <f>0+130+3+50</f>
        <v>183</v>
      </c>
      <c r="E127" s="13">
        <f t="shared" si="9"/>
        <v>341</v>
      </c>
      <c r="F127" s="23">
        <v>770</v>
      </c>
      <c r="G127" s="18">
        <f t="shared" si="74"/>
        <v>429</v>
      </c>
      <c r="H127" s="21">
        <f t="shared" si="75"/>
        <v>0.18827160493827161</v>
      </c>
      <c r="I127" s="4">
        <f t="shared" si="77"/>
        <v>-2.8490028490028491E-2</v>
      </c>
      <c r="J127" s="3">
        <f t="shared" si="78"/>
        <v>-10</v>
      </c>
      <c r="K127" s="16">
        <f t="shared" si="79"/>
        <v>0.11756168359941944</v>
      </c>
    </row>
    <row r="128" spans="1:13" s="18" customFormat="1" ht="13.8" x14ac:dyDescent="0.25">
      <c r="A128" s="27">
        <f t="shared" si="76"/>
        <v>39487</v>
      </c>
      <c r="B128" s="18">
        <f>1+157+0+39</f>
        <v>197</v>
      </c>
      <c r="C128" s="18">
        <f>2+0+5+9</f>
        <v>16</v>
      </c>
      <c r="D128" s="18">
        <f>8+107+5+63</f>
        <v>183</v>
      </c>
      <c r="E128" s="13">
        <f t="shared" si="9"/>
        <v>396</v>
      </c>
      <c r="F128" s="23">
        <v>749</v>
      </c>
      <c r="G128" s="18">
        <f t="shared" si="74"/>
        <v>353</v>
      </c>
      <c r="H128" s="21">
        <f t="shared" ref="H128:H133" si="80">(F128-F127)/F127</f>
        <v>-2.7272727272727271E-2</v>
      </c>
      <c r="I128" s="4">
        <f t="shared" si="77"/>
        <v>0.16129032258064516</v>
      </c>
      <c r="J128" s="3">
        <f t="shared" si="78"/>
        <v>55</v>
      </c>
      <c r="K128" s="16">
        <f t="shared" si="79"/>
        <v>-1.3175230566534914E-2</v>
      </c>
    </row>
    <row r="129" spans="1:13" s="18" customFormat="1" ht="13.8" x14ac:dyDescent="0.25">
      <c r="A129" s="27">
        <f t="shared" si="76"/>
        <v>39494</v>
      </c>
      <c r="B129" s="18">
        <f>11+62+0+37</f>
        <v>110</v>
      </c>
      <c r="C129" s="18">
        <f>7+0+7+30</f>
        <v>44</v>
      </c>
      <c r="D129" s="18">
        <f>5+60+0+25</f>
        <v>90</v>
      </c>
      <c r="E129" s="13">
        <f t="shared" si="9"/>
        <v>244</v>
      </c>
      <c r="F129" s="23">
        <v>757</v>
      </c>
      <c r="G129" s="18">
        <f t="shared" ref="G129:G134" si="81">F129-E129</f>
        <v>513</v>
      </c>
      <c r="H129" s="21">
        <f t="shared" si="80"/>
        <v>1.0680907877169559E-2</v>
      </c>
      <c r="I129" s="4">
        <f t="shared" ref="I129:I134" si="82">(E129-E128)/E128</f>
        <v>-0.38383838383838381</v>
      </c>
      <c r="J129" s="3">
        <f t="shared" ref="J129:J134" si="83">E129-E128</f>
        <v>-152</v>
      </c>
      <c r="K129" s="16">
        <f t="shared" si="79"/>
        <v>-0.17717391304347826</v>
      </c>
    </row>
    <row r="130" spans="1:13" s="18" customFormat="1" ht="13.8" x14ac:dyDescent="0.25">
      <c r="A130" s="27">
        <f t="shared" si="76"/>
        <v>39501</v>
      </c>
      <c r="B130" s="18">
        <f>1+106+1+52</f>
        <v>160</v>
      </c>
      <c r="C130" s="18">
        <f>3+0+4+22</f>
        <v>29</v>
      </c>
      <c r="D130" s="18">
        <f>9+102+3+42</f>
        <v>156</v>
      </c>
      <c r="E130" s="13">
        <f t="shared" si="9"/>
        <v>345</v>
      </c>
      <c r="F130" s="23">
        <v>607</v>
      </c>
      <c r="G130" s="18">
        <f t="shared" si="81"/>
        <v>262</v>
      </c>
      <c r="H130" s="21">
        <f t="shared" si="80"/>
        <v>-0.19815059445178335</v>
      </c>
      <c r="I130" s="4">
        <f t="shared" si="82"/>
        <v>0.41393442622950821</v>
      </c>
      <c r="J130" s="3">
        <f t="shared" si="83"/>
        <v>101</v>
      </c>
      <c r="K130" s="16">
        <f t="shared" si="79"/>
        <v>-0.2147477360931436</v>
      </c>
    </row>
    <row r="131" spans="1:13" s="18" customFormat="1" ht="13.8" x14ac:dyDescent="0.25">
      <c r="A131" s="27">
        <f t="shared" si="76"/>
        <v>39508</v>
      </c>
      <c r="B131" s="18">
        <f>1+103+0+22</f>
        <v>126</v>
      </c>
      <c r="C131" s="18">
        <f>3+0+10+6</f>
        <v>19</v>
      </c>
      <c r="D131" s="18">
        <f>6+97+0+39</f>
        <v>142</v>
      </c>
      <c r="E131" s="13">
        <f t="shared" si="9"/>
        <v>287</v>
      </c>
      <c r="F131" s="23">
        <v>627</v>
      </c>
      <c r="G131" s="18">
        <f t="shared" si="81"/>
        <v>340</v>
      </c>
      <c r="H131" s="21">
        <f t="shared" si="80"/>
        <v>3.2948929159802305E-2</v>
      </c>
      <c r="I131" s="4">
        <f t="shared" si="82"/>
        <v>-0.1681159420289855</v>
      </c>
      <c r="J131" s="3">
        <f t="shared" si="83"/>
        <v>-58</v>
      </c>
      <c r="K131" s="16">
        <f t="shared" ref="K131:K136" si="84">(F131-F79)/F79</f>
        <v>-0.14577656675749318</v>
      </c>
    </row>
    <row r="132" spans="1:13" s="18" customFormat="1" ht="13.8" x14ac:dyDescent="0.25">
      <c r="A132" s="27">
        <f t="shared" si="76"/>
        <v>39515</v>
      </c>
      <c r="B132" s="18">
        <f>0+168+0+63</f>
        <v>231</v>
      </c>
      <c r="C132" s="18">
        <f>1+1+6+8</f>
        <v>16</v>
      </c>
      <c r="D132" s="18">
        <f>2+62+0+43</f>
        <v>107</v>
      </c>
      <c r="E132" s="13">
        <f t="shared" si="9"/>
        <v>354</v>
      </c>
      <c r="F132" s="23">
        <v>713</v>
      </c>
      <c r="G132" s="18">
        <f t="shared" si="81"/>
        <v>359</v>
      </c>
      <c r="H132" s="21">
        <f t="shared" si="80"/>
        <v>0.13716108452950559</v>
      </c>
      <c r="I132" s="4">
        <f t="shared" si="82"/>
        <v>0.23344947735191637</v>
      </c>
      <c r="J132" s="3">
        <f t="shared" si="83"/>
        <v>67</v>
      </c>
      <c r="K132" s="16">
        <f t="shared" si="84"/>
        <v>9.6923076923076917E-2</v>
      </c>
    </row>
    <row r="133" spans="1:13" s="18" customFormat="1" ht="13.8" x14ac:dyDescent="0.25">
      <c r="A133" s="27">
        <f t="shared" si="76"/>
        <v>39522</v>
      </c>
      <c r="B133" s="18">
        <f>9+130+0+49</f>
        <v>188</v>
      </c>
      <c r="C133" s="18">
        <f>1+1+6+18</f>
        <v>26</v>
      </c>
      <c r="D133" s="18">
        <f>0+105+0+30</f>
        <v>135</v>
      </c>
      <c r="E133" s="13">
        <f t="shared" si="9"/>
        <v>349</v>
      </c>
      <c r="F133" s="23">
        <v>661</v>
      </c>
      <c r="G133" s="18">
        <f t="shared" si="81"/>
        <v>312</v>
      </c>
      <c r="H133" s="21">
        <f t="shared" si="80"/>
        <v>-7.2931276297335201E-2</v>
      </c>
      <c r="I133" s="4">
        <f t="shared" si="82"/>
        <v>-1.4124293785310734E-2</v>
      </c>
      <c r="J133" s="3">
        <f t="shared" si="83"/>
        <v>-5</v>
      </c>
      <c r="K133" s="16">
        <f t="shared" si="84"/>
        <v>0.15761821366024517</v>
      </c>
    </row>
    <row r="134" spans="1:13" s="18" customFormat="1" ht="13.8" x14ac:dyDescent="0.25">
      <c r="A134" s="27">
        <f t="shared" si="76"/>
        <v>39529</v>
      </c>
      <c r="B134" s="18">
        <f>6+156+8+33</f>
        <v>203</v>
      </c>
      <c r="C134" s="18">
        <f>4+0+5+10</f>
        <v>19</v>
      </c>
      <c r="D134" s="18">
        <f>1+66+0+13</f>
        <v>80</v>
      </c>
      <c r="E134" s="13">
        <f t="shared" si="9"/>
        <v>302</v>
      </c>
      <c r="F134" s="23">
        <v>600</v>
      </c>
      <c r="G134" s="18">
        <f t="shared" si="81"/>
        <v>298</v>
      </c>
      <c r="H134" s="21">
        <f t="shared" ref="H134:H139" si="85">(F134-F133)/F133</f>
        <v>-9.2284417549167927E-2</v>
      </c>
      <c r="I134" s="4">
        <f t="shared" si="82"/>
        <v>-0.1346704871060172</v>
      </c>
      <c r="J134" s="3">
        <f t="shared" si="83"/>
        <v>-47</v>
      </c>
      <c r="K134" s="16">
        <f t="shared" si="84"/>
        <v>0.10905730129390019</v>
      </c>
      <c r="M134" s="22" t="s">
        <v>17</v>
      </c>
    </row>
    <row r="135" spans="1:13" s="18" customFormat="1" ht="13.8" x14ac:dyDescent="0.25">
      <c r="A135" s="27">
        <f t="shared" si="76"/>
        <v>39536</v>
      </c>
      <c r="B135" s="18">
        <f>4+191+0+66</f>
        <v>261</v>
      </c>
      <c r="C135" s="18">
        <f>0+0+2+2</f>
        <v>4</v>
      </c>
      <c r="D135" s="18">
        <f>0+59+2+6</f>
        <v>67</v>
      </c>
      <c r="E135" s="13">
        <f t="shared" ref="E135:E190" si="86">SUM(B135:D135)</f>
        <v>332</v>
      </c>
      <c r="F135" s="23">
        <v>508</v>
      </c>
      <c r="G135" s="18">
        <f t="shared" ref="G135:G140" si="87">F135-E135</f>
        <v>176</v>
      </c>
      <c r="H135" s="21">
        <f t="shared" si="85"/>
        <v>-0.15333333333333332</v>
      </c>
      <c r="I135" s="4">
        <f t="shared" ref="I135:I140" si="88">(E135-E134)/E134</f>
        <v>9.9337748344370855E-2</v>
      </c>
      <c r="J135" s="3">
        <f t="shared" ref="J135:J140" si="89">E135-E134</f>
        <v>30</v>
      </c>
      <c r="K135" s="16">
        <f t="shared" si="84"/>
        <v>7.8556263269639062E-2</v>
      </c>
    </row>
    <row r="136" spans="1:13" s="18" customFormat="1" ht="13.8" x14ac:dyDescent="0.25">
      <c r="A136" s="27">
        <f t="shared" si="76"/>
        <v>39543</v>
      </c>
      <c r="B136" s="18">
        <f>22+235+1+83</f>
        <v>341</v>
      </c>
      <c r="C136" s="18">
        <f>0+0+0+7</f>
        <v>7</v>
      </c>
      <c r="D136" s="18">
        <f>3+92+8+19</f>
        <v>122</v>
      </c>
      <c r="E136" s="13">
        <f t="shared" si="86"/>
        <v>470</v>
      </c>
      <c r="F136" s="23">
        <v>498</v>
      </c>
      <c r="G136" s="18">
        <f t="shared" si="87"/>
        <v>28</v>
      </c>
      <c r="H136" s="21">
        <f t="shared" si="85"/>
        <v>-1.968503937007874E-2</v>
      </c>
      <c r="I136" s="4">
        <f t="shared" si="88"/>
        <v>0.41566265060240964</v>
      </c>
      <c r="J136" s="3">
        <f t="shared" si="89"/>
        <v>138</v>
      </c>
      <c r="K136" s="16">
        <f t="shared" si="84"/>
        <v>0.71134020618556704</v>
      </c>
    </row>
    <row r="137" spans="1:13" s="18" customFormat="1" ht="13.8" x14ac:dyDescent="0.25">
      <c r="A137" s="27">
        <f t="shared" si="76"/>
        <v>39550</v>
      </c>
      <c r="B137" s="18">
        <f>6+212+1+57</f>
        <v>276</v>
      </c>
      <c r="C137" s="18">
        <f>0+0+2+3</f>
        <v>5</v>
      </c>
      <c r="D137" s="18">
        <f>5+58+0+20</f>
        <v>83</v>
      </c>
      <c r="E137" s="13">
        <f t="shared" si="86"/>
        <v>364</v>
      </c>
      <c r="F137" s="23">
        <v>395</v>
      </c>
      <c r="G137" s="18">
        <f t="shared" si="87"/>
        <v>31</v>
      </c>
      <c r="H137" s="21">
        <f t="shared" si="85"/>
        <v>-0.20682730923694778</v>
      </c>
      <c r="I137" s="4">
        <f t="shared" si="88"/>
        <v>-0.22553191489361701</v>
      </c>
      <c r="J137" s="3">
        <f t="shared" si="89"/>
        <v>-106</v>
      </c>
      <c r="K137" s="16">
        <f t="shared" ref="K137:K142" si="90">(F137-F85)/F85</f>
        <v>-0.12803532008830021</v>
      </c>
    </row>
    <row r="138" spans="1:13" s="18" customFormat="1" ht="13.8" x14ac:dyDescent="0.25">
      <c r="A138" s="27">
        <f t="shared" si="76"/>
        <v>39557</v>
      </c>
      <c r="B138" s="18">
        <f>1+245+7+48</f>
        <v>301</v>
      </c>
      <c r="C138" s="18">
        <f>0</f>
        <v>0</v>
      </c>
      <c r="D138" s="18">
        <f>1+50+0+6</f>
        <v>57</v>
      </c>
      <c r="E138" s="13">
        <f t="shared" si="86"/>
        <v>358</v>
      </c>
      <c r="F138" s="23">
        <v>446</v>
      </c>
      <c r="G138" s="18">
        <f t="shared" si="87"/>
        <v>88</v>
      </c>
      <c r="H138" s="21">
        <f t="shared" si="85"/>
        <v>0.12911392405063291</v>
      </c>
      <c r="I138" s="4">
        <f t="shared" si="88"/>
        <v>-1.6483516483516484E-2</v>
      </c>
      <c r="J138" s="3">
        <f t="shared" si="89"/>
        <v>-6</v>
      </c>
      <c r="K138" s="16">
        <f t="shared" si="90"/>
        <v>-0.16322701688555347</v>
      </c>
    </row>
    <row r="139" spans="1:13" s="18" customFormat="1" ht="13.8" x14ac:dyDescent="0.25">
      <c r="A139" s="27">
        <f t="shared" si="76"/>
        <v>39564</v>
      </c>
      <c r="B139" s="18">
        <f>6+228+0+63</f>
        <v>297</v>
      </c>
      <c r="C139" s="18">
        <f>4+0+0+5</f>
        <v>9</v>
      </c>
      <c r="D139" s="18">
        <f>2+52+0+9</f>
        <v>63</v>
      </c>
      <c r="E139" s="13">
        <f t="shared" si="86"/>
        <v>369</v>
      </c>
      <c r="F139" s="23">
        <v>317</v>
      </c>
      <c r="G139" s="18">
        <f t="shared" si="87"/>
        <v>-52</v>
      </c>
      <c r="H139" s="21">
        <f t="shared" si="85"/>
        <v>-0.28923766816143498</v>
      </c>
      <c r="I139" s="4">
        <f t="shared" si="88"/>
        <v>3.0726256983240222E-2</v>
      </c>
      <c r="J139" s="3">
        <f t="shared" si="89"/>
        <v>11</v>
      </c>
      <c r="K139" s="16">
        <f t="shared" si="90"/>
        <v>-0.45438898450946646</v>
      </c>
    </row>
    <row r="140" spans="1:13" s="18" customFormat="1" ht="13.8" x14ac:dyDescent="0.25">
      <c r="A140" s="27">
        <f t="shared" si="76"/>
        <v>39571</v>
      </c>
      <c r="B140" s="18">
        <f>1+128+4+34</f>
        <v>167</v>
      </c>
      <c r="C140" s="18">
        <f>2+0+5+9</f>
        <v>16</v>
      </c>
      <c r="D140" s="18">
        <f>0+17+1+5</f>
        <v>23</v>
      </c>
      <c r="E140" s="13">
        <f t="shared" si="86"/>
        <v>206</v>
      </c>
      <c r="F140" s="23">
        <v>347</v>
      </c>
      <c r="G140" s="18">
        <f t="shared" si="87"/>
        <v>141</v>
      </c>
      <c r="H140" s="21">
        <f t="shared" ref="H140:H145" si="91">(F140-F139)/F139</f>
        <v>9.4637223974763401E-2</v>
      </c>
      <c r="I140" s="4">
        <f t="shared" si="88"/>
        <v>-0.44173441734417346</v>
      </c>
      <c r="J140" s="3">
        <f t="shared" si="89"/>
        <v>-163</v>
      </c>
      <c r="K140" s="16">
        <f t="shared" si="90"/>
        <v>-0.37924865831842575</v>
      </c>
    </row>
    <row r="141" spans="1:13" s="18" customFormat="1" ht="13.8" x14ac:dyDescent="0.25">
      <c r="A141" s="27">
        <f t="shared" si="76"/>
        <v>39578</v>
      </c>
      <c r="B141" s="18">
        <f>14+1+69+7</f>
        <v>91</v>
      </c>
      <c r="C141" s="18">
        <f>4+0+0+9</f>
        <v>13</v>
      </c>
      <c r="D141" s="18">
        <f>0+24+4+15</f>
        <v>43</v>
      </c>
      <c r="E141" s="13">
        <f t="shared" si="86"/>
        <v>147</v>
      </c>
      <c r="F141" s="23">
        <v>278</v>
      </c>
      <c r="G141" s="18">
        <f t="shared" ref="G141:G147" si="92">F141-E141</f>
        <v>131</v>
      </c>
      <c r="H141" s="21">
        <f t="shared" si="91"/>
        <v>-0.19884726224783861</v>
      </c>
      <c r="I141" s="4">
        <f t="shared" ref="I141:I147" si="93">(E141-E140)/E140</f>
        <v>-0.28640776699029125</v>
      </c>
      <c r="J141" s="3">
        <f t="shared" ref="J141:J147" si="94">E141-E140</f>
        <v>-59</v>
      </c>
      <c r="K141" s="16">
        <f t="shared" si="90"/>
        <v>-0.29974811083123426</v>
      </c>
    </row>
    <row r="142" spans="1:13" s="18" customFormat="1" ht="13.8" x14ac:dyDescent="0.25">
      <c r="A142" s="27">
        <f t="shared" si="76"/>
        <v>39585</v>
      </c>
      <c r="B142" s="18">
        <f>11+184+6+105</f>
        <v>306</v>
      </c>
      <c r="C142" s="18">
        <f>4+0+1+4</f>
        <v>9</v>
      </c>
      <c r="D142" s="18">
        <f>0+50+0+5</f>
        <v>55</v>
      </c>
      <c r="E142" s="13">
        <f t="shared" si="86"/>
        <v>370</v>
      </c>
      <c r="F142" s="23">
        <v>259</v>
      </c>
      <c r="G142" s="18">
        <f t="shared" si="92"/>
        <v>-111</v>
      </c>
      <c r="H142" s="21">
        <f t="shared" si="91"/>
        <v>-6.83453237410072E-2</v>
      </c>
      <c r="I142" s="4">
        <f t="shared" si="93"/>
        <v>1.5170068027210883</v>
      </c>
      <c r="J142" s="3">
        <f t="shared" si="94"/>
        <v>223</v>
      </c>
      <c r="K142" s="16">
        <f t="shared" si="90"/>
        <v>-0.32020997375328086</v>
      </c>
    </row>
    <row r="143" spans="1:13" s="18" customFormat="1" ht="13.8" x14ac:dyDescent="0.25">
      <c r="A143" s="27">
        <f t="shared" si="76"/>
        <v>39592</v>
      </c>
      <c r="B143" s="18">
        <f>0+255+3+100</f>
        <v>358</v>
      </c>
      <c r="C143" s="18">
        <f>13+0+8+21</f>
        <v>42</v>
      </c>
      <c r="D143" s="18">
        <f>0+20+0+2</f>
        <v>22</v>
      </c>
      <c r="E143" s="13">
        <f t="shared" si="86"/>
        <v>422</v>
      </c>
      <c r="F143" s="23">
        <v>436</v>
      </c>
      <c r="G143" s="18">
        <f t="shared" si="92"/>
        <v>14</v>
      </c>
      <c r="H143" s="21">
        <f t="shared" si="91"/>
        <v>0.68339768339768336</v>
      </c>
      <c r="I143" s="4">
        <f t="shared" si="93"/>
        <v>0.14054054054054055</v>
      </c>
      <c r="J143" s="3">
        <f t="shared" si="94"/>
        <v>52</v>
      </c>
      <c r="K143" s="16">
        <f t="shared" ref="K143:K148" si="95">(F143-F91)/F91</f>
        <v>-3.9647577092511016E-2</v>
      </c>
    </row>
    <row r="144" spans="1:13" s="18" customFormat="1" ht="13.8" x14ac:dyDescent="0.25">
      <c r="A144" s="27">
        <f t="shared" si="76"/>
        <v>39599</v>
      </c>
      <c r="B144" s="18">
        <f>5+230+1+108</f>
        <v>344</v>
      </c>
      <c r="C144" s="18">
        <f>3+0+1+10</f>
        <v>14</v>
      </c>
      <c r="D144" s="18">
        <f>0+6+0+5</f>
        <v>11</v>
      </c>
      <c r="E144" s="13">
        <f t="shared" si="86"/>
        <v>369</v>
      </c>
      <c r="F144" s="23">
        <v>400</v>
      </c>
      <c r="G144" s="18">
        <f t="shared" si="92"/>
        <v>31</v>
      </c>
      <c r="H144" s="21">
        <f t="shared" si="91"/>
        <v>-8.2568807339449546E-2</v>
      </c>
      <c r="I144" s="4">
        <f t="shared" si="93"/>
        <v>-0.12559241706161137</v>
      </c>
      <c r="J144" s="3">
        <f t="shared" si="94"/>
        <v>-53</v>
      </c>
      <c r="K144" s="16">
        <f t="shared" si="95"/>
        <v>-0.14163090128755365</v>
      </c>
    </row>
    <row r="145" spans="1:13" s="18" customFormat="1" ht="13.8" x14ac:dyDescent="0.25">
      <c r="A145" s="27">
        <f t="shared" si="76"/>
        <v>39606</v>
      </c>
      <c r="B145" s="18">
        <f>0+210+2+116</f>
        <v>328</v>
      </c>
      <c r="C145" s="18">
        <f>0+0+9+22</f>
        <v>31</v>
      </c>
      <c r="D145" s="18">
        <f>0+40+0+12</f>
        <v>52</v>
      </c>
      <c r="E145" s="13">
        <f t="shared" si="86"/>
        <v>411</v>
      </c>
      <c r="F145" s="23">
        <v>438</v>
      </c>
      <c r="G145" s="18">
        <f t="shared" si="92"/>
        <v>27</v>
      </c>
      <c r="H145" s="21">
        <f t="shared" si="91"/>
        <v>9.5000000000000001E-2</v>
      </c>
      <c r="I145" s="4">
        <f t="shared" si="93"/>
        <v>0.11382113821138211</v>
      </c>
      <c r="J145" s="3">
        <f t="shared" si="94"/>
        <v>42</v>
      </c>
      <c r="K145" s="16">
        <f t="shared" si="95"/>
        <v>-9.3167701863354033E-2</v>
      </c>
    </row>
    <row r="146" spans="1:13" s="18" customFormat="1" ht="13.8" x14ac:dyDescent="0.25">
      <c r="A146" s="27">
        <f t="shared" si="76"/>
        <v>39613</v>
      </c>
      <c r="B146" s="18">
        <f>1+201+3+49</f>
        <v>254</v>
      </c>
      <c r="C146" s="18">
        <f>18+0+6+23</f>
        <v>47</v>
      </c>
      <c r="D146" s="18">
        <f>0+16+1+4</f>
        <v>21</v>
      </c>
      <c r="E146" s="13">
        <f t="shared" si="86"/>
        <v>322</v>
      </c>
      <c r="F146" s="23">
        <v>503</v>
      </c>
      <c r="G146" s="18">
        <f t="shared" si="92"/>
        <v>181</v>
      </c>
      <c r="H146" s="21">
        <f t="shared" ref="H146:H151" si="96">(F146-F145)/F145</f>
        <v>0.14840182648401826</v>
      </c>
      <c r="I146" s="4">
        <f t="shared" si="93"/>
        <v>-0.21654501216545013</v>
      </c>
      <c r="J146" s="3">
        <f t="shared" si="94"/>
        <v>-89</v>
      </c>
      <c r="K146" s="16">
        <f t="shared" si="95"/>
        <v>-7.5367647058823525E-2</v>
      </c>
    </row>
    <row r="147" spans="1:13" s="18" customFormat="1" ht="13.8" x14ac:dyDescent="0.25">
      <c r="A147" s="27">
        <f t="shared" si="76"/>
        <v>39620</v>
      </c>
      <c r="B147" s="18">
        <f>134+9</f>
        <v>143</v>
      </c>
      <c r="C147" s="18">
        <f>13+1+1</f>
        <v>15</v>
      </c>
      <c r="D147" s="18">
        <f>21+24+7</f>
        <v>52</v>
      </c>
      <c r="E147" s="13">
        <f t="shared" si="86"/>
        <v>210</v>
      </c>
      <c r="F147" s="15">
        <v>548</v>
      </c>
      <c r="G147" s="18">
        <f t="shared" si="92"/>
        <v>338</v>
      </c>
      <c r="H147" s="21">
        <f t="shared" si="96"/>
        <v>8.9463220675944338E-2</v>
      </c>
      <c r="I147" s="4">
        <f t="shared" si="93"/>
        <v>-0.34782608695652173</v>
      </c>
      <c r="J147" s="3">
        <f t="shared" si="94"/>
        <v>-112</v>
      </c>
      <c r="K147" s="16">
        <f t="shared" si="95"/>
        <v>0.11836734693877551</v>
      </c>
    </row>
    <row r="148" spans="1:13" s="18" customFormat="1" ht="13.8" x14ac:dyDescent="0.25">
      <c r="A148" s="27">
        <f t="shared" si="76"/>
        <v>39627</v>
      </c>
      <c r="B148" s="18">
        <f>0+64+0+6</f>
        <v>70</v>
      </c>
      <c r="C148" s="18">
        <f>13+0+2+5</f>
        <v>20</v>
      </c>
      <c r="D148" s="18">
        <f>15+7+2+5</f>
        <v>29</v>
      </c>
      <c r="E148" s="13">
        <f t="shared" si="86"/>
        <v>119</v>
      </c>
      <c r="F148" s="15">
        <v>472</v>
      </c>
      <c r="G148" s="18">
        <f t="shared" ref="G148:G153" si="97">F148-E148</f>
        <v>353</v>
      </c>
      <c r="H148" s="21">
        <f t="shared" si="96"/>
        <v>-0.13868613138686131</v>
      </c>
      <c r="I148" s="4">
        <f t="shared" ref="I148:I153" si="98">(E148-E147)/E147</f>
        <v>-0.43333333333333335</v>
      </c>
      <c r="J148" s="3">
        <f t="shared" ref="J148:J153" si="99">E148-E147</f>
        <v>-91</v>
      </c>
      <c r="K148" s="16">
        <f t="shared" si="95"/>
        <v>6.3965884861407248E-3</v>
      </c>
    </row>
    <row r="149" spans="1:13" s="18" customFormat="1" ht="13.8" x14ac:dyDescent="0.25">
      <c r="A149" s="27">
        <f t="shared" si="76"/>
        <v>39634</v>
      </c>
      <c r="B149" s="18">
        <f>1+61+0+8</f>
        <v>70</v>
      </c>
      <c r="C149" s="18">
        <f>14+2+0+5</f>
        <v>21</v>
      </c>
      <c r="D149" s="18">
        <f>23+57+3+14</f>
        <v>97</v>
      </c>
      <c r="E149" s="13">
        <f t="shared" si="86"/>
        <v>188</v>
      </c>
      <c r="F149" s="15">
        <v>379</v>
      </c>
      <c r="G149" s="18">
        <f t="shared" si="97"/>
        <v>191</v>
      </c>
      <c r="H149" s="21">
        <f t="shared" si="96"/>
        <v>-0.19703389830508475</v>
      </c>
      <c r="I149" s="4">
        <f t="shared" si="98"/>
        <v>0.57983193277310929</v>
      </c>
      <c r="J149" s="3">
        <f t="shared" si="99"/>
        <v>69</v>
      </c>
      <c r="K149" s="16">
        <f t="shared" ref="K149:K154" si="100">(F149-F97)/F97</f>
        <v>7.6704545454545456E-2</v>
      </c>
    </row>
    <row r="150" spans="1:13" s="18" customFormat="1" ht="13.8" x14ac:dyDescent="0.25">
      <c r="A150" s="27">
        <f t="shared" si="76"/>
        <v>39641</v>
      </c>
      <c r="B150" s="18">
        <f>1+312+1+72</f>
        <v>386</v>
      </c>
      <c r="C150" s="18">
        <f>14+3+0+7</f>
        <v>24</v>
      </c>
      <c r="D150" s="18">
        <f>27+22+0+4</f>
        <v>53</v>
      </c>
      <c r="E150" s="13">
        <f t="shared" si="86"/>
        <v>463</v>
      </c>
      <c r="F150" s="15">
        <v>362</v>
      </c>
      <c r="G150" s="18">
        <f t="shared" si="97"/>
        <v>-101</v>
      </c>
      <c r="H150" s="21">
        <f t="shared" si="96"/>
        <v>-4.4854881266490766E-2</v>
      </c>
      <c r="I150" s="4">
        <f t="shared" si="98"/>
        <v>1.4627659574468086</v>
      </c>
      <c r="J150" s="3">
        <f t="shared" si="99"/>
        <v>275</v>
      </c>
      <c r="K150" s="16">
        <f t="shared" si="100"/>
        <v>-0.39966832504145938</v>
      </c>
    </row>
    <row r="151" spans="1:13" s="18" customFormat="1" ht="13.8" x14ac:dyDescent="0.25">
      <c r="A151" s="27">
        <f t="shared" si="76"/>
        <v>39648</v>
      </c>
      <c r="B151" s="18">
        <f>1+283+0+87</f>
        <v>371</v>
      </c>
      <c r="C151" s="18">
        <f>17+0+1+8</f>
        <v>26</v>
      </c>
      <c r="D151" s="18">
        <f>15+20+0+6</f>
        <v>41</v>
      </c>
      <c r="E151" s="13">
        <f t="shared" si="86"/>
        <v>438</v>
      </c>
      <c r="F151" s="15">
        <v>358</v>
      </c>
      <c r="G151" s="18">
        <f t="shared" si="97"/>
        <v>-80</v>
      </c>
      <c r="H151" s="21">
        <f t="shared" si="96"/>
        <v>-1.1049723756906077E-2</v>
      </c>
      <c r="I151" s="4">
        <f t="shared" si="98"/>
        <v>-5.3995680345572353E-2</v>
      </c>
      <c r="J151" s="3">
        <f t="shared" si="99"/>
        <v>-25</v>
      </c>
      <c r="K151" s="16">
        <f t="shared" si="100"/>
        <v>-0.28685258964143429</v>
      </c>
    </row>
    <row r="152" spans="1:13" s="18" customFormat="1" ht="13.8" x14ac:dyDescent="0.25">
      <c r="A152" s="27">
        <f t="shared" si="76"/>
        <v>39655</v>
      </c>
      <c r="B152" s="18">
        <f>1+379+0+73</f>
        <v>453</v>
      </c>
      <c r="C152" s="18">
        <f>42+1+0+6</f>
        <v>49</v>
      </c>
      <c r="D152" s="18">
        <f>16+11+0+10</f>
        <v>37</v>
      </c>
      <c r="E152" s="13">
        <f t="shared" si="86"/>
        <v>539</v>
      </c>
      <c r="F152" s="15">
        <v>389</v>
      </c>
      <c r="G152" s="18">
        <f t="shared" si="97"/>
        <v>-150</v>
      </c>
      <c r="H152" s="21">
        <f t="shared" ref="H152:H157" si="101">(F152-F151)/F151</f>
        <v>8.6592178770949726E-2</v>
      </c>
      <c r="I152" s="4">
        <f t="shared" si="98"/>
        <v>0.23059360730593606</v>
      </c>
      <c r="J152" s="3">
        <f t="shared" si="99"/>
        <v>101</v>
      </c>
      <c r="K152" s="16">
        <f t="shared" si="100"/>
        <v>-0.26879699248120303</v>
      </c>
    </row>
    <row r="153" spans="1:13" s="18" customFormat="1" ht="13.8" x14ac:dyDescent="0.25">
      <c r="A153" s="27">
        <f t="shared" ref="A153:A212" si="102">7+A152</f>
        <v>39662</v>
      </c>
      <c r="B153" s="18">
        <f>5+332+1+92</f>
        <v>430</v>
      </c>
      <c r="C153" s="18">
        <f>29+0+6+1</f>
        <v>36</v>
      </c>
      <c r="D153" s="18">
        <f>2+1+0+2</f>
        <v>5</v>
      </c>
      <c r="E153" s="13">
        <f t="shared" si="86"/>
        <v>471</v>
      </c>
      <c r="F153" s="15">
        <v>457</v>
      </c>
      <c r="G153" s="18">
        <f t="shared" si="97"/>
        <v>-14</v>
      </c>
      <c r="H153" s="21">
        <f t="shared" si="101"/>
        <v>0.17480719794344474</v>
      </c>
      <c r="I153" s="4">
        <f t="shared" si="98"/>
        <v>-0.12615955473098331</v>
      </c>
      <c r="J153" s="3">
        <f t="shared" si="99"/>
        <v>-68</v>
      </c>
      <c r="K153" s="16">
        <f t="shared" si="100"/>
        <v>-0.12952380952380951</v>
      </c>
    </row>
    <row r="154" spans="1:13" s="18" customFormat="1" ht="13.8" x14ac:dyDescent="0.25">
      <c r="A154" s="27">
        <f t="shared" si="102"/>
        <v>39669</v>
      </c>
      <c r="B154" s="18">
        <f>4+259+1+55</f>
        <v>319</v>
      </c>
      <c r="C154" s="18">
        <f>39+2+3+3</f>
        <v>47</v>
      </c>
      <c r="D154" s="18">
        <f>21+18+0+12</f>
        <v>51</v>
      </c>
      <c r="E154" s="13">
        <f t="shared" si="86"/>
        <v>417</v>
      </c>
      <c r="F154" s="15">
        <v>648</v>
      </c>
      <c r="G154" s="18">
        <f t="shared" ref="G154:G159" si="103">F154-E154</f>
        <v>231</v>
      </c>
      <c r="H154" s="21">
        <f t="shared" si="101"/>
        <v>0.41794310722100658</v>
      </c>
      <c r="I154" s="4">
        <f t="shared" ref="I154:I159" si="104">(E154-E153)/E153</f>
        <v>-0.11464968152866242</v>
      </c>
      <c r="J154" s="3">
        <f t="shared" ref="J154:J159" si="105">E154-E153</f>
        <v>-54</v>
      </c>
      <c r="K154" s="16">
        <f t="shared" si="100"/>
        <v>3.8461538461538464E-2</v>
      </c>
    </row>
    <row r="155" spans="1:13" s="18" customFormat="1" ht="13.8" x14ac:dyDescent="0.25">
      <c r="A155" s="27">
        <f t="shared" si="102"/>
        <v>39676</v>
      </c>
      <c r="B155" s="18">
        <f>2+255+5+47</f>
        <v>309</v>
      </c>
      <c r="C155" s="18">
        <f>15+0+0+2</f>
        <v>17</v>
      </c>
      <c r="D155" s="18">
        <f>8+23+0+0</f>
        <v>31</v>
      </c>
      <c r="E155" s="13">
        <f t="shared" si="86"/>
        <v>357</v>
      </c>
      <c r="F155" s="15">
        <v>568</v>
      </c>
      <c r="G155" s="18">
        <f t="shared" si="103"/>
        <v>211</v>
      </c>
      <c r="H155" s="21">
        <f t="shared" si="101"/>
        <v>-0.12345679012345678</v>
      </c>
      <c r="I155" s="4">
        <f t="shared" si="104"/>
        <v>-0.14388489208633093</v>
      </c>
      <c r="J155" s="3">
        <f t="shared" si="105"/>
        <v>-60</v>
      </c>
      <c r="K155" s="16">
        <f t="shared" ref="K155:K160" si="106">(F155-F103)/F103</f>
        <v>-3.5653650254668934E-2</v>
      </c>
    </row>
    <row r="156" spans="1:13" s="18" customFormat="1" ht="13.8" x14ac:dyDescent="0.25">
      <c r="A156" s="27">
        <f t="shared" si="102"/>
        <v>39683</v>
      </c>
      <c r="B156" s="18">
        <f>10+280+0+69</f>
        <v>359</v>
      </c>
      <c r="C156" s="18">
        <f>22+1+1+0</f>
        <v>24</v>
      </c>
      <c r="D156" s="18">
        <f>13+16+0+2</f>
        <v>31</v>
      </c>
      <c r="E156" s="13">
        <f t="shared" si="86"/>
        <v>414</v>
      </c>
      <c r="F156" s="15">
        <v>525</v>
      </c>
      <c r="G156" s="18">
        <f t="shared" si="103"/>
        <v>111</v>
      </c>
      <c r="H156" s="21">
        <f t="shared" si="101"/>
        <v>-7.5704225352112672E-2</v>
      </c>
      <c r="I156" s="4">
        <f t="shared" si="104"/>
        <v>0.15966386554621848</v>
      </c>
      <c r="J156" s="3">
        <f t="shared" si="105"/>
        <v>57</v>
      </c>
      <c r="K156" s="16">
        <f t="shared" si="106"/>
        <v>-0.12790697674418605</v>
      </c>
    </row>
    <row r="157" spans="1:13" s="18" customFormat="1" ht="13.8" x14ac:dyDescent="0.25">
      <c r="A157" s="27">
        <f t="shared" si="102"/>
        <v>39690</v>
      </c>
      <c r="B157" s="18">
        <f>12+165+12+19</f>
        <v>208</v>
      </c>
      <c r="C157" s="18">
        <f>36+0+3+5</f>
        <v>44</v>
      </c>
      <c r="D157" s="18">
        <f>5+20+6+1</f>
        <v>32</v>
      </c>
      <c r="E157" s="13">
        <f t="shared" si="86"/>
        <v>284</v>
      </c>
      <c r="F157" s="15">
        <v>355</v>
      </c>
      <c r="G157" s="18">
        <f t="shared" si="103"/>
        <v>71</v>
      </c>
      <c r="H157" s="21">
        <f t="shared" si="101"/>
        <v>-0.32380952380952382</v>
      </c>
      <c r="I157" s="4">
        <f t="shared" si="104"/>
        <v>-0.3140096618357488</v>
      </c>
      <c r="J157" s="3">
        <f t="shared" si="105"/>
        <v>-130</v>
      </c>
      <c r="K157" s="16">
        <f t="shared" si="106"/>
        <v>-0.4580152671755725</v>
      </c>
    </row>
    <row r="158" spans="1:13" s="18" customFormat="1" ht="13.8" x14ac:dyDescent="0.25">
      <c r="A158" s="27">
        <f t="shared" si="102"/>
        <v>39697</v>
      </c>
      <c r="B158" s="18">
        <f>25+277+0+47</f>
        <v>349</v>
      </c>
      <c r="C158" s="18">
        <f>6+0+2+1</f>
        <v>9</v>
      </c>
      <c r="D158" s="18">
        <f>13+18+0+4</f>
        <v>35</v>
      </c>
      <c r="E158" s="13">
        <f t="shared" si="86"/>
        <v>393</v>
      </c>
      <c r="F158" s="15">
        <v>42</v>
      </c>
      <c r="G158" s="18">
        <f t="shared" si="103"/>
        <v>-351</v>
      </c>
      <c r="H158" s="21">
        <f t="shared" ref="H158:H163" si="107">(F158-F157)/F157</f>
        <v>-0.88169014084507047</v>
      </c>
      <c r="I158" s="4">
        <f t="shared" si="104"/>
        <v>0.38380281690140844</v>
      </c>
      <c r="J158" s="3">
        <f t="shared" si="105"/>
        <v>109</v>
      </c>
      <c r="K158" s="16">
        <f t="shared" si="106"/>
        <v>-0.9375</v>
      </c>
      <c r="M158" s="22" t="s">
        <v>18</v>
      </c>
    </row>
    <row r="159" spans="1:13" s="18" customFormat="1" ht="13.8" x14ac:dyDescent="0.25">
      <c r="A159" s="27">
        <f t="shared" si="102"/>
        <v>39704</v>
      </c>
      <c r="B159" s="18">
        <f>20+231+4+22</f>
        <v>277</v>
      </c>
      <c r="C159" s="18">
        <f>10+2+2+0</f>
        <v>14</v>
      </c>
      <c r="D159" s="18">
        <f>16+19+0+9</f>
        <v>44</v>
      </c>
      <c r="E159" s="13">
        <f t="shared" si="86"/>
        <v>335</v>
      </c>
      <c r="F159" s="15">
        <v>479</v>
      </c>
      <c r="G159" s="18">
        <f t="shared" si="103"/>
        <v>144</v>
      </c>
      <c r="H159" s="21">
        <f t="shared" si="107"/>
        <v>10.404761904761905</v>
      </c>
      <c r="I159" s="4">
        <f t="shared" si="104"/>
        <v>-0.1475826972010178</v>
      </c>
      <c r="J159" s="3">
        <f t="shared" si="105"/>
        <v>-58</v>
      </c>
      <c r="K159" s="16">
        <f t="shared" si="106"/>
        <v>-0.32724719101123595</v>
      </c>
      <c r="M159" s="22" t="s">
        <v>19</v>
      </c>
    </row>
    <row r="160" spans="1:13" s="18" customFormat="1" ht="13.8" x14ac:dyDescent="0.25">
      <c r="A160" s="27">
        <f t="shared" si="102"/>
        <v>39711</v>
      </c>
      <c r="B160" s="18">
        <f>13+175+0+14</f>
        <v>202</v>
      </c>
      <c r="C160" s="18">
        <f>18+0+0+0</f>
        <v>18</v>
      </c>
      <c r="D160" s="18">
        <f>20+34+0+2</f>
        <v>56</v>
      </c>
      <c r="E160" s="13">
        <f t="shared" si="86"/>
        <v>276</v>
      </c>
      <c r="F160" s="15">
        <v>596</v>
      </c>
      <c r="G160" s="18">
        <f t="shared" ref="G160:G165" si="108">F160-E160</f>
        <v>320</v>
      </c>
      <c r="H160" s="21">
        <f t="shared" si="107"/>
        <v>0.24425887265135698</v>
      </c>
      <c r="I160" s="4">
        <f t="shared" ref="I160:I165" si="109">(E160-E159)/E159</f>
        <v>-0.17611940298507461</v>
      </c>
      <c r="J160" s="3">
        <f t="shared" ref="J160:J165" si="110">E160-E159</f>
        <v>-59</v>
      </c>
      <c r="K160" s="16">
        <f t="shared" si="106"/>
        <v>-0.17222222222222222</v>
      </c>
    </row>
    <row r="161" spans="1:12" s="18" customFormat="1" ht="13.8" x14ac:dyDescent="0.25">
      <c r="A161" s="27">
        <f t="shared" si="102"/>
        <v>39718</v>
      </c>
      <c r="B161" s="18">
        <f>7+91+1+14</f>
        <v>113</v>
      </c>
      <c r="C161" s="18">
        <f>19+7+2+0</f>
        <v>28</v>
      </c>
      <c r="D161" s="18">
        <f>3+53+0+4</f>
        <v>60</v>
      </c>
      <c r="E161" s="13">
        <f t="shared" si="86"/>
        <v>201</v>
      </c>
      <c r="F161" s="15">
        <v>573</v>
      </c>
      <c r="G161" s="18">
        <f t="shared" si="108"/>
        <v>372</v>
      </c>
      <c r="H161" s="21">
        <f t="shared" si="107"/>
        <v>-3.8590604026845637E-2</v>
      </c>
      <c r="I161" s="4">
        <f t="shared" si="109"/>
        <v>-0.27173913043478259</v>
      </c>
      <c r="J161" s="3">
        <f t="shared" si="110"/>
        <v>-75</v>
      </c>
      <c r="K161" s="16">
        <f t="shared" ref="K161:K166" si="111">(F161-F109)/F109</f>
        <v>-0.11846153846153847</v>
      </c>
    </row>
    <row r="162" spans="1:12" s="18" customFormat="1" ht="13.8" x14ac:dyDescent="0.25">
      <c r="A162" s="27">
        <f t="shared" si="102"/>
        <v>39725</v>
      </c>
      <c r="B162" s="18">
        <f>5+136+3+42</f>
        <v>186</v>
      </c>
      <c r="C162" s="18">
        <f>21+19+3+3</f>
        <v>46</v>
      </c>
      <c r="D162" s="18">
        <f>3+80+1+12</f>
        <v>96</v>
      </c>
      <c r="E162" s="13">
        <f t="shared" si="86"/>
        <v>328</v>
      </c>
      <c r="F162" s="15">
        <v>529</v>
      </c>
      <c r="G162" s="18">
        <f t="shared" si="108"/>
        <v>201</v>
      </c>
      <c r="H162" s="21">
        <f t="shared" si="107"/>
        <v>-7.6788830715532289E-2</v>
      </c>
      <c r="I162" s="4">
        <f t="shared" si="109"/>
        <v>0.63184079601990051</v>
      </c>
      <c r="J162" s="3">
        <f t="shared" si="110"/>
        <v>127</v>
      </c>
      <c r="K162" s="16">
        <f t="shared" si="111"/>
        <v>-0.19726858877086495</v>
      </c>
    </row>
    <row r="163" spans="1:12" s="18" customFormat="1" ht="13.8" x14ac:dyDescent="0.25">
      <c r="A163" s="27">
        <f t="shared" si="102"/>
        <v>39732</v>
      </c>
      <c r="B163" s="18">
        <f>2+58+1+60</f>
        <v>121</v>
      </c>
      <c r="C163" s="18">
        <f>6+4+2+3</f>
        <v>15</v>
      </c>
      <c r="D163" s="18">
        <f>11+72+0+20</f>
        <v>103</v>
      </c>
      <c r="E163" s="13">
        <f t="shared" si="86"/>
        <v>239</v>
      </c>
      <c r="F163" s="15">
        <v>551</v>
      </c>
      <c r="G163" s="18">
        <f t="shared" si="108"/>
        <v>312</v>
      </c>
      <c r="H163" s="21">
        <f t="shared" si="107"/>
        <v>4.1587901701323253E-2</v>
      </c>
      <c r="I163" s="4">
        <f t="shared" si="109"/>
        <v>-0.27134146341463417</v>
      </c>
      <c r="J163" s="3">
        <f t="shared" si="110"/>
        <v>-89</v>
      </c>
      <c r="K163" s="16">
        <f t="shared" si="111"/>
        <v>-0.21621621621621623</v>
      </c>
    </row>
    <row r="164" spans="1:12" s="18" customFormat="1" ht="13.8" x14ac:dyDescent="0.25">
      <c r="A164" s="27">
        <f t="shared" si="102"/>
        <v>39739</v>
      </c>
      <c r="B164" s="18">
        <f>4+76+2+114</f>
        <v>196</v>
      </c>
      <c r="C164" s="18">
        <f>19+6+3+6</f>
        <v>34</v>
      </c>
      <c r="D164" s="18">
        <f>3+51+1+26</f>
        <v>81</v>
      </c>
      <c r="E164" s="13">
        <f t="shared" si="86"/>
        <v>311</v>
      </c>
      <c r="F164" s="15">
        <v>577</v>
      </c>
      <c r="G164" s="18">
        <f t="shared" si="108"/>
        <v>266</v>
      </c>
      <c r="H164" s="21">
        <f t="shared" ref="H164:H169" si="112">(F164-F163)/F163</f>
        <v>4.7186932849364795E-2</v>
      </c>
      <c r="I164" s="4">
        <f t="shared" si="109"/>
        <v>0.30125523012552302</v>
      </c>
      <c r="J164" s="3">
        <f t="shared" si="110"/>
        <v>72</v>
      </c>
      <c r="K164" s="16">
        <f t="shared" si="111"/>
        <v>-9.8437499999999997E-2</v>
      </c>
    </row>
    <row r="165" spans="1:12" s="18" customFormat="1" ht="13.8" x14ac:dyDescent="0.25">
      <c r="A165" s="27">
        <f t="shared" si="102"/>
        <v>39746</v>
      </c>
      <c r="B165" s="18">
        <f>5+133+2+108</f>
        <v>248</v>
      </c>
      <c r="C165" s="18">
        <f>10+1+1+11</f>
        <v>23</v>
      </c>
      <c r="D165" s="18">
        <f>2+36+0+60</f>
        <v>98</v>
      </c>
      <c r="E165" s="13">
        <f t="shared" si="86"/>
        <v>369</v>
      </c>
      <c r="F165" s="15">
        <v>544</v>
      </c>
      <c r="G165" s="18">
        <f t="shared" si="108"/>
        <v>175</v>
      </c>
      <c r="H165" s="21">
        <f t="shared" si="112"/>
        <v>-5.7192374350086658E-2</v>
      </c>
      <c r="I165" s="4">
        <f t="shared" si="109"/>
        <v>0.18649517684887459</v>
      </c>
      <c r="J165" s="3">
        <f t="shared" si="110"/>
        <v>58</v>
      </c>
      <c r="K165" s="16">
        <f t="shared" si="111"/>
        <v>-9.4841930116472545E-2</v>
      </c>
    </row>
    <row r="166" spans="1:12" s="18" customFormat="1" ht="13.8" x14ac:dyDescent="0.25">
      <c r="A166" s="27">
        <f t="shared" si="102"/>
        <v>39753</v>
      </c>
      <c r="B166" s="18">
        <f>2+106+8+114</f>
        <v>230</v>
      </c>
      <c r="C166" s="18">
        <f>8+0+0+22</f>
        <v>30</v>
      </c>
      <c r="D166" s="18">
        <f>2+27+0+38</f>
        <v>67</v>
      </c>
      <c r="E166" s="13">
        <f t="shared" si="86"/>
        <v>327</v>
      </c>
      <c r="F166" s="15">
        <v>521</v>
      </c>
      <c r="G166" s="18">
        <f t="shared" ref="G166:G171" si="113">F166-E166</f>
        <v>194</v>
      </c>
      <c r="H166" s="21">
        <f t="shared" si="112"/>
        <v>-4.2279411764705885E-2</v>
      </c>
      <c r="I166" s="4">
        <f t="shared" ref="I166:I171" si="114">(E166-E165)/E165</f>
        <v>-0.11382113821138211</v>
      </c>
      <c r="J166" s="3">
        <f t="shared" ref="J166:J171" si="115">E166-E165</f>
        <v>-42</v>
      </c>
      <c r="K166" s="16">
        <f t="shared" si="111"/>
        <v>-0.32774193548387098</v>
      </c>
    </row>
    <row r="167" spans="1:12" s="18" customFormat="1" ht="13.8" x14ac:dyDescent="0.25">
      <c r="A167" s="27">
        <f t="shared" si="102"/>
        <v>39760</v>
      </c>
      <c r="B167" s="18">
        <f>12+230+0+100</f>
        <v>342</v>
      </c>
      <c r="C167" s="18">
        <f>5+0+2+28</f>
        <v>35</v>
      </c>
      <c r="D167" s="18">
        <f>0+24+0+67</f>
        <v>91</v>
      </c>
      <c r="E167" s="13">
        <f t="shared" si="86"/>
        <v>468</v>
      </c>
      <c r="F167" s="15">
        <v>583</v>
      </c>
      <c r="G167" s="18">
        <f t="shared" si="113"/>
        <v>115</v>
      </c>
      <c r="H167" s="21">
        <f t="shared" si="112"/>
        <v>0.11900191938579655</v>
      </c>
      <c r="I167" s="4">
        <f t="shared" si="114"/>
        <v>0.43119266055045874</v>
      </c>
      <c r="J167" s="3">
        <f t="shared" si="115"/>
        <v>141</v>
      </c>
      <c r="K167" s="16">
        <f t="shared" ref="K167:K172" si="116">(F167-F115)/F115</f>
        <v>-0.26202531645569621</v>
      </c>
    </row>
    <row r="168" spans="1:12" s="18" customFormat="1" ht="13.8" x14ac:dyDescent="0.25">
      <c r="A168" s="27">
        <f t="shared" si="102"/>
        <v>39767</v>
      </c>
      <c r="B168" s="18">
        <f>3+247+2+43</f>
        <v>295</v>
      </c>
      <c r="C168" s="18">
        <f>1+0+3+37</f>
        <v>41</v>
      </c>
      <c r="D168" s="18">
        <f>0+12+0+23</f>
        <v>35</v>
      </c>
      <c r="E168" s="13">
        <f t="shared" si="86"/>
        <v>371</v>
      </c>
      <c r="F168" s="15">
        <v>688</v>
      </c>
      <c r="G168" s="18">
        <f t="shared" si="113"/>
        <v>317</v>
      </c>
      <c r="H168" s="21">
        <f t="shared" si="112"/>
        <v>0.18010291595197256</v>
      </c>
      <c r="I168" s="4">
        <f t="shared" si="114"/>
        <v>-0.20726495726495728</v>
      </c>
      <c r="J168" s="3">
        <f t="shared" si="115"/>
        <v>-97</v>
      </c>
      <c r="K168" s="16">
        <f t="shared" si="116"/>
        <v>-0.10765239948119326</v>
      </c>
    </row>
    <row r="169" spans="1:12" s="18" customFormat="1" ht="13.8" x14ac:dyDescent="0.25">
      <c r="A169" s="27">
        <f t="shared" si="102"/>
        <v>39774</v>
      </c>
      <c r="B169" s="18">
        <f>1+287+4+38</f>
        <v>330</v>
      </c>
      <c r="C169" s="18">
        <f>0+0+0+11</f>
        <v>11</v>
      </c>
      <c r="D169" s="18">
        <f>1+26+0+42</f>
        <v>69</v>
      </c>
      <c r="E169" s="13">
        <f t="shared" si="86"/>
        <v>410</v>
      </c>
      <c r="F169" s="15">
        <v>551</v>
      </c>
      <c r="G169" s="18">
        <f t="shared" si="113"/>
        <v>141</v>
      </c>
      <c r="H169" s="21">
        <f t="shared" si="112"/>
        <v>-0.19912790697674418</v>
      </c>
      <c r="I169" s="4">
        <f t="shared" si="114"/>
        <v>0.10512129380053908</v>
      </c>
      <c r="J169" s="3">
        <f t="shared" si="115"/>
        <v>39</v>
      </c>
      <c r="K169" s="16">
        <f t="shared" si="116"/>
        <v>-0.30604534005037781</v>
      </c>
    </row>
    <row r="170" spans="1:12" s="18" customFormat="1" ht="13.8" x14ac:dyDescent="0.25">
      <c r="A170" s="27">
        <f t="shared" si="102"/>
        <v>39781</v>
      </c>
      <c r="B170" s="18">
        <f>1+347+0+58</f>
        <v>406</v>
      </c>
      <c r="C170" s="18">
        <f>0+0+0+11</f>
        <v>11</v>
      </c>
      <c r="D170" s="18">
        <f>0+14+1+36</f>
        <v>51</v>
      </c>
      <c r="E170" s="13">
        <f t="shared" si="86"/>
        <v>468</v>
      </c>
      <c r="F170" s="15">
        <v>648</v>
      </c>
      <c r="G170" s="18">
        <f t="shared" si="113"/>
        <v>180</v>
      </c>
      <c r="H170" s="21">
        <f t="shared" ref="H170:H175" si="117">(F170-F169)/F169</f>
        <v>0.17604355716878403</v>
      </c>
      <c r="I170" s="4">
        <f t="shared" si="114"/>
        <v>0.14146341463414633</v>
      </c>
      <c r="J170" s="3">
        <f t="shared" si="115"/>
        <v>58</v>
      </c>
      <c r="K170" s="16">
        <f t="shared" si="116"/>
        <v>-0.11836734693877551</v>
      </c>
    </row>
    <row r="171" spans="1:12" s="18" customFormat="1" ht="13.8" x14ac:dyDescent="0.25">
      <c r="A171" s="27">
        <f t="shared" si="102"/>
        <v>39788</v>
      </c>
      <c r="B171" s="18">
        <f>12+271+0+102</f>
        <v>385</v>
      </c>
      <c r="C171" s="18">
        <f>2+0+1+27</f>
        <v>30</v>
      </c>
      <c r="D171" s="18">
        <f>5+29+2+24</f>
        <v>60</v>
      </c>
      <c r="E171" s="13">
        <f t="shared" si="86"/>
        <v>475</v>
      </c>
      <c r="F171" s="15">
        <v>712</v>
      </c>
      <c r="G171" s="18">
        <f t="shared" si="113"/>
        <v>237</v>
      </c>
      <c r="H171" s="21">
        <f t="shared" si="117"/>
        <v>9.8765432098765427E-2</v>
      </c>
      <c r="I171" s="4">
        <f t="shared" si="114"/>
        <v>1.4957264957264958E-2</v>
      </c>
      <c r="J171" s="3">
        <f t="shared" si="115"/>
        <v>7</v>
      </c>
      <c r="K171" s="16">
        <f t="shared" si="116"/>
        <v>-8.4832904884318772E-2</v>
      </c>
    </row>
    <row r="172" spans="1:12" s="18" customFormat="1" ht="13.8" x14ac:dyDescent="0.25">
      <c r="A172" s="27">
        <f t="shared" si="102"/>
        <v>39795</v>
      </c>
      <c r="B172" s="18">
        <f>2+233+0+74</f>
        <v>309</v>
      </c>
      <c r="C172" s="18">
        <f>1+0+3+26</f>
        <v>30</v>
      </c>
      <c r="D172" s="18">
        <f>5+26+1+32</f>
        <v>64</v>
      </c>
      <c r="E172" s="13">
        <f t="shared" si="86"/>
        <v>403</v>
      </c>
      <c r="F172" s="15">
        <v>653</v>
      </c>
      <c r="G172" s="18">
        <f t="shared" ref="G172:G177" si="118">F172-E172</f>
        <v>250</v>
      </c>
      <c r="H172" s="21">
        <f t="shared" si="117"/>
        <v>-8.2865168539325837E-2</v>
      </c>
      <c r="I172" s="4">
        <f t="shared" ref="I172:I177" si="119">(E172-E171)/E171</f>
        <v>-0.15157894736842106</v>
      </c>
      <c r="J172" s="3">
        <f t="shared" ref="J172:J177" si="120">E172-E171</f>
        <v>-72</v>
      </c>
      <c r="K172" s="16">
        <f t="shared" si="116"/>
        <v>-9.0529247910863503E-2</v>
      </c>
    </row>
    <row r="173" spans="1:12" s="18" customFormat="1" ht="13.8" x14ac:dyDescent="0.25">
      <c r="A173" s="27">
        <f t="shared" si="102"/>
        <v>39802</v>
      </c>
      <c r="B173" s="18">
        <f>2+161+0+61</f>
        <v>224</v>
      </c>
      <c r="C173" s="18">
        <f>0+0+5+14</f>
        <v>19</v>
      </c>
      <c r="D173" s="18">
        <f>14+74+0+44</f>
        <v>132</v>
      </c>
      <c r="E173" s="13">
        <f t="shared" si="86"/>
        <v>375</v>
      </c>
      <c r="F173" s="15">
        <v>605</v>
      </c>
      <c r="G173" s="18">
        <f t="shared" si="118"/>
        <v>230</v>
      </c>
      <c r="H173" s="21">
        <f t="shared" si="117"/>
        <v>-7.3506891271056668E-2</v>
      </c>
      <c r="I173" s="4">
        <f t="shared" si="119"/>
        <v>-6.9478908188585611E-2</v>
      </c>
      <c r="J173" s="3">
        <f t="shared" si="120"/>
        <v>-28</v>
      </c>
      <c r="K173" s="16">
        <f t="shared" ref="K173:K178" si="121">(F173-F121)/F121</f>
        <v>-0.16088765603328711</v>
      </c>
    </row>
    <row r="174" spans="1:12" s="18" customFormat="1" ht="13.8" x14ac:dyDescent="0.25">
      <c r="A174" s="27">
        <f t="shared" si="102"/>
        <v>39809</v>
      </c>
      <c r="B174" s="18">
        <f>0+75+0+48</f>
        <v>123</v>
      </c>
      <c r="C174" s="18">
        <f>2+0+2+34</f>
        <v>38</v>
      </c>
      <c r="D174" s="18">
        <f>3+23+1+48</f>
        <v>75</v>
      </c>
      <c r="E174" s="13">
        <f t="shared" si="86"/>
        <v>236</v>
      </c>
      <c r="F174" s="15">
        <v>610</v>
      </c>
      <c r="G174" s="18">
        <f t="shared" si="118"/>
        <v>374</v>
      </c>
      <c r="H174" s="21">
        <f t="shared" si="117"/>
        <v>8.2644628099173556E-3</v>
      </c>
      <c r="I174" s="4">
        <f t="shared" si="119"/>
        <v>-0.37066666666666664</v>
      </c>
      <c r="J174" s="3">
        <f t="shared" si="120"/>
        <v>-139</v>
      </c>
      <c r="K174" s="16">
        <f t="shared" si="121"/>
        <v>-3.4810126582278479E-2</v>
      </c>
    </row>
    <row r="175" spans="1:12" s="18" customFormat="1" ht="13.8" x14ac:dyDescent="0.25">
      <c r="A175" s="27">
        <f t="shared" si="102"/>
        <v>39816</v>
      </c>
      <c r="B175" s="18">
        <f>3+111+0+52</f>
        <v>166</v>
      </c>
      <c r="C175" s="18">
        <f>1+0+4+31</f>
        <v>36</v>
      </c>
      <c r="D175" s="18">
        <f>1+59+0+45</f>
        <v>105</v>
      </c>
      <c r="E175" s="13">
        <f t="shared" si="86"/>
        <v>307</v>
      </c>
      <c r="F175" s="15">
        <v>564</v>
      </c>
      <c r="G175" s="18">
        <f t="shared" si="118"/>
        <v>257</v>
      </c>
      <c r="H175" s="21">
        <f t="shared" si="117"/>
        <v>-7.5409836065573776E-2</v>
      </c>
      <c r="I175" s="4">
        <f t="shared" si="119"/>
        <v>0.30084745762711862</v>
      </c>
      <c r="J175" s="3">
        <f t="shared" si="120"/>
        <v>71</v>
      </c>
      <c r="K175" s="16">
        <f t="shared" si="121"/>
        <v>-0.12962962962962962</v>
      </c>
      <c r="L175" s="3">
        <f>AVERAGE(F19,F71,F123)</f>
        <v>622.66666666666663</v>
      </c>
    </row>
    <row r="176" spans="1:12" s="18" customFormat="1" ht="13.8" x14ac:dyDescent="0.25">
      <c r="A176" s="27">
        <f t="shared" si="102"/>
        <v>39823</v>
      </c>
      <c r="B176" s="18">
        <f>0+53+0+30</f>
        <v>83</v>
      </c>
      <c r="C176" s="18">
        <f>0+0+0+12</f>
        <v>12</v>
      </c>
      <c r="D176" s="18">
        <f>1+56+1+47</f>
        <v>105</v>
      </c>
      <c r="E176" s="13">
        <f t="shared" si="86"/>
        <v>200</v>
      </c>
      <c r="F176" s="15">
        <v>568</v>
      </c>
      <c r="G176" s="18">
        <f t="shared" si="118"/>
        <v>368</v>
      </c>
      <c r="H176" s="21">
        <f t="shared" ref="H176:H181" si="122">(F176-F175)/F175</f>
        <v>7.0921985815602835E-3</v>
      </c>
      <c r="I176" s="4">
        <f t="shared" si="119"/>
        <v>-0.34853420195439738</v>
      </c>
      <c r="J176" s="3">
        <f t="shared" si="120"/>
        <v>-107</v>
      </c>
      <c r="K176" s="16">
        <f t="shared" si="121"/>
        <v>-0.24266666666666667</v>
      </c>
      <c r="L176" s="3">
        <f t="shared" ref="L176:L226" si="123">AVERAGE(F20,F72,F124)</f>
        <v>747.33333333333337</v>
      </c>
    </row>
    <row r="177" spans="1:12" s="18" customFormat="1" ht="13.8" x14ac:dyDescent="0.25">
      <c r="A177" s="27">
        <f t="shared" si="102"/>
        <v>39830</v>
      </c>
      <c r="B177" s="18">
        <f>0+154+0+69</f>
        <v>223</v>
      </c>
      <c r="C177" s="18">
        <f>5+0+0+24</f>
        <v>29</v>
      </c>
      <c r="D177" s="18">
        <f>2+100+0+55</f>
        <v>157</v>
      </c>
      <c r="E177" s="13">
        <f t="shared" si="86"/>
        <v>409</v>
      </c>
      <c r="F177" s="15">
        <v>678</v>
      </c>
      <c r="G177" s="18">
        <f t="shared" si="118"/>
        <v>269</v>
      </c>
      <c r="H177" s="21">
        <f t="shared" si="122"/>
        <v>0.19366197183098591</v>
      </c>
      <c r="I177" s="4">
        <f t="shared" si="119"/>
        <v>1.0449999999999999</v>
      </c>
      <c r="J177" s="3">
        <f t="shared" si="120"/>
        <v>209</v>
      </c>
      <c r="K177" s="16">
        <f t="shared" si="121"/>
        <v>-1.0218978102189781E-2</v>
      </c>
      <c r="L177" s="3">
        <f t="shared" si="123"/>
        <v>648</v>
      </c>
    </row>
    <row r="178" spans="1:12" s="18" customFormat="1" ht="13.8" x14ac:dyDescent="0.25">
      <c r="A178" s="27">
        <f t="shared" si="102"/>
        <v>39837</v>
      </c>
      <c r="B178" s="18">
        <f>0+144+0+74</f>
        <v>218</v>
      </c>
      <c r="C178" s="18">
        <f>1+0+2+44</f>
        <v>47</v>
      </c>
      <c r="D178" s="18">
        <f>11+90+0+80</f>
        <v>181</v>
      </c>
      <c r="E178" s="13">
        <f t="shared" si="86"/>
        <v>446</v>
      </c>
      <c r="F178" s="15">
        <v>694</v>
      </c>
      <c r="G178" s="18">
        <f t="shared" ref="G178:G183" si="124">F178-E178</f>
        <v>248</v>
      </c>
      <c r="H178" s="21">
        <f t="shared" si="122"/>
        <v>2.359882005899705E-2</v>
      </c>
      <c r="I178" s="4">
        <f t="shared" ref="I178:I183" si="125">(E178-E177)/E177</f>
        <v>9.0464547677261614E-2</v>
      </c>
      <c r="J178" s="3">
        <f t="shared" ref="J178:J183" si="126">E178-E177</f>
        <v>37</v>
      </c>
      <c r="K178" s="16">
        <f t="shared" si="121"/>
        <v>7.098765432098765E-2</v>
      </c>
      <c r="L178" s="3">
        <f t="shared" si="123"/>
        <v>699</v>
      </c>
    </row>
    <row r="179" spans="1:12" s="18" customFormat="1" ht="13.8" x14ac:dyDescent="0.25">
      <c r="A179" s="27">
        <f t="shared" si="102"/>
        <v>39844</v>
      </c>
      <c r="B179" s="18">
        <f>0+54+0+32</f>
        <v>86</v>
      </c>
      <c r="C179" s="18">
        <f>2+0+0+25</f>
        <v>27</v>
      </c>
      <c r="D179" s="18">
        <f>0+28+0+14</f>
        <v>42</v>
      </c>
      <c r="E179" s="13">
        <f t="shared" si="86"/>
        <v>155</v>
      </c>
      <c r="F179" s="15">
        <v>636</v>
      </c>
      <c r="G179" s="18">
        <f t="shared" si="124"/>
        <v>481</v>
      </c>
      <c r="H179" s="21">
        <f t="shared" si="122"/>
        <v>-8.3573487031700283E-2</v>
      </c>
      <c r="I179" s="4">
        <f t="shared" si="125"/>
        <v>-0.65246636771300448</v>
      </c>
      <c r="J179" s="3">
        <f t="shared" si="126"/>
        <v>-291</v>
      </c>
      <c r="K179" s="16">
        <f t="shared" ref="K179:K184" si="127">(F179-F127)/F127</f>
        <v>-0.17402597402597403</v>
      </c>
      <c r="L179" s="3">
        <f t="shared" si="123"/>
        <v>716.33333333333337</v>
      </c>
    </row>
    <row r="180" spans="1:12" s="18" customFormat="1" ht="13.8" x14ac:dyDescent="0.25">
      <c r="A180" s="27">
        <f t="shared" si="102"/>
        <v>39851</v>
      </c>
      <c r="B180" s="18">
        <f>0+77+0+30</f>
        <v>107</v>
      </c>
      <c r="C180" s="18">
        <f>2+0+3+33</f>
        <v>38</v>
      </c>
      <c r="D180" s="18">
        <f>2+75+0+56</f>
        <v>133</v>
      </c>
      <c r="E180" s="13">
        <f t="shared" si="86"/>
        <v>278</v>
      </c>
      <c r="F180" s="15">
        <v>687</v>
      </c>
      <c r="G180" s="18">
        <f t="shared" si="124"/>
        <v>409</v>
      </c>
      <c r="H180" s="21">
        <f t="shared" si="122"/>
        <v>8.0188679245283015E-2</v>
      </c>
      <c r="I180" s="4">
        <f t="shared" si="125"/>
        <v>0.79354838709677422</v>
      </c>
      <c r="J180" s="3">
        <f t="shared" si="126"/>
        <v>123</v>
      </c>
      <c r="K180" s="16">
        <f t="shared" si="127"/>
        <v>-8.2777036048064079E-2</v>
      </c>
      <c r="L180" s="3">
        <f t="shared" si="123"/>
        <v>733.66666666666663</v>
      </c>
    </row>
    <row r="181" spans="1:12" s="18" customFormat="1" ht="13.8" x14ac:dyDescent="0.25">
      <c r="A181" s="27">
        <f t="shared" si="102"/>
        <v>39858</v>
      </c>
      <c r="B181" s="18">
        <f>1+119+0+30</f>
        <v>150</v>
      </c>
      <c r="C181" s="18">
        <f>6+0+3+33</f>
        <v>42</v>
      </c>
      <c r="D181" s="18">
        <f>2+96+1+41</f>
        <v>140</v>
      </c>
      <c r="E181" s="13">
        <f t="shared" si="86"/>
        <v>332</v>
      </c>
      <c r="F181" s="15">
        <v>646</v>
      </c>
      <c r="G181" s="18">
        <f t="shared" si="124"/>
        <v>314</v>
      </c>
      <c r="H181" s="21">
        <f t="shared" si="122"/>
        <v>-5.9679767103347887E-2</v>
      </c>
      <c r="I181" s="4">
        <f t="shared" si="125"/>
        <v>0.19424460431654678</v>
      </c>
      <c r="J181" s="3">
        <f t="shared" si="126"/>
        <v>54</v>
      </c>
      <c r="K181" s="16">
        <f t="shared" si="127"/>
        <v>-0.14663143989431968</v>
      </c>
      <c r="L181" s="3">
        <f t="shared" si="123"/>
        <v>774</v>
      </c>
    </row>
    <row r="182" spans="1:12" s="18" customFormat="1" ht="13.8" x14ac:dyDescent="0.25">
      <c r="A182" s="27">
        <f t="shared" si="102"/>
        <v>39865</v>
      </c>
      <c r="B182" s="18">
        <f>5+216+0+28</f>
        <v>249</v>
      </c>
      <c r="C182" s="18">
        <f>5+0+7+20</f>
        <v>32</v>
      </c>
      <c r="D182" s="18">
        <f>1+51+2+12</f>
        <v>66</v>
      </c>
      <c r="E182" s="13">
        <f t="shared" si="86"/>
        <v>347</v>
      </c>
      <c r="F182" s="15">
        <v>561</v>
      </c>
      <c r="G182" s="18">
        <f t="shared" si="124"/>
        <v>214</v>
      </c>
      <c r="H182" s="21">
        <f t="shared" ref="H182:H187" si="128">(F182-F181)/F181</f>
        <v>-0.13157894736842105</v>
      </c>
      <c r="I182" s="4">
        <f t="shared" si="125"/>
        <v>4.5180722891566265E-2</v>
      </c>
      <c r="J182" s="3">
        <f t="shared" si="126"/>
        <v>15</v>
      </c>
      <c r="K182" s="16">
        <f t="shared" si="127"/>
        <v>-7.57825370675453E-2</v>
      </c>
      <c r="L182" s="3">
        <f t="shared" si="123"/>
        <v>646.33333333333337</v>
      </c>
    </row>
    <row r="183" spans="1:12" s="18" customFormat="1" ht="13.8" x14ac:dyDescent="0.25">
      <c r="A183" s="27">
        <f t="shared" si="102"/>
        <v>39872</v>
      </c>
      <c r="B183" s="18">
        <f>1+239+0+144</f>
        <v>384</v>
      </c>
      <c r="C183" s="18">
        <f>7+0+4+31</f>
        <v>42</v>
      </c>
      <c r="D183" s="18">
        <f>7+127+1+48</f>
        <v>183</v>
      </c>
      <c r="E183" s="13">
        <f t="shared" si="86"/>
        <v>609</v>
      </c>
      <c r="F183" s="15">
        <v>507</v>
      </c>
      <c r="G183" s="18">
        <f t="shared" si="124"/>
        <v>-102</v>
      </c>
      <c r="H183" s="21">
        <f t="shared" si="128"/>
        <v>-9.6256684491978606E-2</v>
      </c>
      <c r="I183" s="4">
        <f t="shared" si="125"/>
        <v>0.75504322766570608</v>
      </c>
      <c r="J183" s="3">
        <f t="shared" si="126"/>
        <v>262</v>
      </c>
      <c r="K183" s="16">
        <f t="shared" si="127"/>
        <v>-0.19138755980861244</v>
      </c>
      <c r="L183" s="3">
        <f t="shared" si="123"/>
        <v>666.66666666666663</v>
      </c>
    </row>
    <row r="184" spans="1:12" s="18" customFormat="1" ht="13.8" x14ac:dyDescent="0.25">
      <c r="A184" s="27">
        <f t="shared" si="102"/>
        <v>39879</v>
      </c>
      <c r="B184" s="18">
        <f>3+254+6+67</f>
        <v>330</v>
      </c>
      <c r="C184" s="18">
        <f>7+0+4+19</f>
        <v>30</v>
      </c>
      <c r="D184" s="18">
        <f>9+72+0+43</f>
        <v>124</v>
      </c>
      <c r="E184" s="13">
        <f t="shared" si="86"/>
        <v>484</v>
      </c>
      <c r="F184" s="15">
        <v>585</v>
      </c>
      <c r="G184" s="18">
        <f t="shared" ref="G184:G189" si="129">F184-E184</f>
        <v>101</v>
      </c>
      <c r="H184" s="21">
        <f t="shared" si="128"/>
        <v>0.15384615384615385</v>
      </c>
      <c r="I184" s="4">
        <f t="shared" ref="I184:I189" si="130">(E184-E183)/E183</f>
        <v>-0.20525451559934318</v>
      </c>
      <c r="J184" s="3">
        <f t="shared" ref="J184:J189" si="131">E184-E183</f>
        <v>-125</v>
      </c>
      <c r="K184" s="16">
        <f t="shared" si="127"/>
        <v>-0.17952314165497896</v>
      </c>
      <c r="L184" s="3">
        <f t="shared" si="123"/>
        <v>666.66666666666663</v>
      </c>
    </row>
    <row r="185" spans="1:12" s="18" customFormat="1" ht="13.8" x14ac:dyDescent="0.25">
      <c r="A185" s="27">
        <f t="shared" si="102"/>
        <v>39886</v>
      </c>
      <c r="B185" s="18">
        <f>11+298+0+46</f>
        <v>355</v>
      </c>
      <c r="C185" s="18">
        <f>2+0+1+17</f>
        <v>20</v>
      </c>
      <c r="D185" s="18">
        <f>13+65+0+26</f>
        <v>104</v>
      </c>
      <c r="E185" s="13">
        <f t="shared" si="86"/>
        <v>479</v>
      </c>
      <c r="F185" s="15">
        <v>563</v>
      </c>
      <c r="G185" s="18">
        <f t="shared" si="129"/>
        <v>84</v>
      </c>
      <c r="H185" s="21">
        <f t="shared" si="128"/>
        <v>-3.7606837606837605E-2</v>
      </c>
      <c r="I185" s="4">
        <f t="shared" si="130"/>
        <v>-1.0330578512396695E-2</v>
      </c>
      <c r="J185" s="3">
        <f t="shared" si="131"/>
        <v>-5</v>
      </c>
      <c r="K185" s="16">
        <f t="shared" ref="K185:K190" si="132">(F185-F133)/F133</f>
        <v>-0.14826021180030258</v>
      </c>
      <c r="L185" s="3">
        <f t="shared" si="123"/>
        <v>599.66666666666663</v>
      </c>
    </row>
    <row r="186" spans="1:12" s="18" customFormat="1" ht="13.8" x14ac:dyDescent="0.25">
      <c r="A186" s="27">
        <f t="shared" si="102"/>
        <v>39893</v>
      </c>
      <c r="B186" s="18">
        <f>2+216+0+65</f>
        <v>283</v>
      </c>
      <c r="C186" s="18">
        <f>19+0+2+7</f>
        <v>28</v>
      </c>
      <c r="D186" s="18">
        <f>14+45+0+15</f>
        <v>74</v>
      </c>
      <c r="E186" s="13">
        <f t="shared" si="86"/>
        <v>385</v>
      </c>
      <c r="F186" s="15">
        <v>577</v>
      </c>
      <c r="G186" s="18">
        <f t="shared" si="129"/>
        <v>192</v>
      </c>
      <c r="H186" s="21">
        <f t="shared" si="128"/>
        <v>2.4866785079928951E-2</v>
      </c>
      <c r="I186" s="4">
        <f t="shared" si="130"/>
        <v>-0.19624217118997914</v>
      </c>
      <c r="J186" s="3">
        <f t="shared" si="131"/>
        <v>-94</v>
      </c>
      <c r="K186" s="16">
        <f t="shared" si="132"/>
        <v>-3.833333333333333E-2</v>
      </c>
      <c r="L186" s="3">
        <f t="shared" si="123"/>
        <v>530.33333333333337</v>
      </c>
    </row>
    <row r="187" spans="1:12" s="18" customFormat="1" ht="13.8" x14ac:dyDescent="0.25">
      <c r="A187" s="27">
        <f t="shared" si="102"/>
        <v>39900</v>
      </c>
      <c r="B187" s="18">
        <f>8+215+1+51</f>
        <v>275</v>
      </c>
      <c r="C187" s="18">
        <f>4+0+3+17</f>
        <v>24</v>
      </c>
      <c r="D187" s="18">
        <f>5+48+3+31</f>
        <v>87</v>
      </c>
      <c r="E187" s="13">
        <f t="shared" si="86"/>
        <v>386</v>
      </c>
      <c r="F187" s="15">
        <v>641</v>
      </c>
      <c r="G187" s="18">
        <f t="shared" si="129"/>
        <v>255</v>
      </c>
      <c r="H187" s="21">
        <f t="shared" si="128"/>
        <v>0.11091854419410745</v>
      </c>
      <c r="I187" s="4">
        <f t="shared" si="130"/>
        <v>2.5974025974025974E-3</v>
      </c>
      <c r="J187" s="3">
        <f t="shared" si="131"/>
        <v>1</v>
      </c>
      <c r="K187" s="16">
        <f t="shared" si="132"/>
        <v>0.26181102362204722</v>
      </c>
      <c r="L187" s="3">
        <f t="shared" si="123"/>
        <v>416</v>
      </c>
    </row>
    <row r="188" spans="1:12" s="18" customFormat="1" ht="13.8" x14ac:dyDescent="0.25">
      <c r="A188" s="27">
        <f t="shared" si="102"/>
        <v>39907</v>
      </c>
      <c r="B188" s="18">
        <f>6+231+0+121</f>
        <v>358</v>
      </c>
      <c r="C188" s="18">
        <f>4+0+2+7</f>
        <v>13</v>
      </c>
      <c r="D188" s="18">
        <f>7+43+10+28</f>
        <v>88</v>
      </c>
      <c r="E188" s="13">
        <f t="shared" si="86"/>
        <v>459</v>
      </c>
      <c r="F188" s="15">
        <v>663</v>
      </c>
      <c r="G188" s="18">
        <f t="shared" si="129"/>
        <v>204</v>
      </c>
      <c r="H188" s="21">
        <f t="shared" ref="H188" si="133">(F188-F187)/F187</f>
        <v>3.4321372854914198E-2</v>
      </c>
      <c r="I188" s="4">
        <f t="shared" si="130"/>
        <v>0.18911917098445596</v>
      </c>
      <c r="J188" s="3">
        <f t="shared" si="131"/>
        <v>73</v>
      </c>
      <c r="K188" s="16">
        <f t="shared" si="132"/>
        <v>0.33132530120481929</v>
      </c>
      <c r="L188" s="3">
        <f t="shared" si="123"/>
        <v>384.66666666666669</v>
      </c>
    </row>
    <row r="189" spans="1:12" s="18" customFormat="1" ht="13.8" x14ac:dyDescent="0.25">
      <c r="A189" s="27">
        <f t="shared" si="102"/>
        <v>39914</v>
      </c>
      <c r="B189" s="18">
        <f>12+242+0+71</f>
        <v>325</v>
      </c>
      <c r="C189" s="18">
        <f>8+0+9+13</f>
        <v>30</v>
      </c>
      <c r="D189" s="18">
        <f>4+43+0+23</f>
        <v>70</v>
      </c>
      <c r="E189" s="13">
        <f t="shared" si="86"/>
        <v>425</v>
      </c>
      <c r="F189" s="15">
        <v>664</v>
      </c>
      <c r="G189" s="18">
        <f t="shared" si="129"/>
        <v>239</v>
      </c>
      <c r="H189" s="21">
        <f t="shared" ref="H189" si="134">(F189-F188)/F188</f>
        <v>1.5082956259426848E-3</v>
      </c>
      <c r="I189" s="4">
        <f t="shared" si="130"/>
        <v>-7.407407407407407E-2</v>
      </c>
      <c r="J189" s="3">
        <f t="shared" si="131"/>
        <v>-34</v>
      </c>
      <c r="K189" s="16">
        <f t="shared" si="132"/>
        <v>0.68101265822784807</v>
      </c>
      <c r="L189" s="3">
        <f t="shared" si="123"/>
        <v>438.33333333333331</v>
      </c>
    </row>
    <row r="190" spans="1:12" s="18" customFormat="1" ht="13.8" x14ac:dyDescent="0.25">
      <c r="A190" s="27">
        <f t="shared" si="102"/>
        <v>39921</v>
      </c>
      <c r="B190" s="18">
        <f>15+328+1+72</f>
        <v>416</v>
      </c>
      <c r="C190" s="18">
        <f>10+0+2+15</f>
        <v>27</v>
      </c>
      <c r="D190" s="18">
        <f>3+31+10+29</f>
        <v>73</v>
      </c>
      <c r="E190" s="13">
        <f t="shared" si="86"/>
        <v>516</v>
      </c>
      <c r="F190" s="15">
        <v>623</v>
      </c>
      <c r="G190" s="18">
        <f t="shared" ref="G190" si="135">F190-E190</f>
        <v>107</v>
      </c>
      <c r="H190" s="21">
        <f t="shared" ref="H190" si="136">(F190-F189)/F189</f>
        <v>-6.1746987951807226E-2</v>
      </c>
      <c r="I190" s="4">
        <f t="shared" ref="I190" si="137">(E190-E189)/E189</f>
        <v>0.21411764705882352</v>
      </c>
      <c r="J190" s="3">
        <f t="shared" ref="J190" si="138">E190-E189</f>
        <v>91</v>
      </c>
      <c r="K190" s="16">
        <f t="shared" si="132"/>
        <v>0.39686098654708518</v>
      </c>
      <c r="L190" s="3">
        <f t="shared" si="123"/>
        <v>520.66666666666663</v>
      </c>
    </row>
    <row r="191" spans="1:12" s="18" customFormat="1" ht="13.8" x14ac:dyDescent="0.25">
      <c r="A191" s="27">
        <f t="shared" si="102"/>
        <v>39928</v>
      </c>
      <c r="B191" s="18">
        <f>10+276+3+93</f>
        <v>382</v>
      </c>
      <c r="C191" s="18">
        <f>12+0+3+7</f>
        <v>22</v>
      </c>
      <c r="D191" s="18">
        <f>3+61+0+27</f>
        <v>91</v>
      </c>
      <c r="E191" s="13">
        <f t="shared" ref="E191:E252" si="139">SUM(B191:D191)</f>
        <v>495</v>
      </c>
      <c r="F191" s="15">
        <v>387</v>
      </c>
      <c r="G191" s="18">
        <f t="shared" ref="G191:G197" si="140">F191-E191</f>
        <v>-108</v>
      </c>
      <c r="H191" s="21">
        <f t="shared" ref="H191" si="141">(F191-F190)/F190</f>
        <v>-0.37881219903691815</v>
      </c>
      <c r="I191" s="4">
        <f t="shared" ref="I191:I197" si="142">(E191-E190)/E190</f>
        <v>-4.0697674418604654E-2</v>
      </c>
      <c r="J191" s="3">
        <f t="shared" ref="J191:J197" si="143">E191-E190</f>
        <v>-21</v>
      </c>
      <c r="K191" s="16">
        <f t="shared" ref="K191" si="144">(F191-F139)/F139</f>
        <v>0.22082018927444794</v>
      </c>
      <c r="L191" s="3">
        <f t="shared" si="123"/>
        <v>439.33333333333331</v>
      </c>
    </row>
    <row r="192" spans="1:12" s="18" customFormat="1" ht="13.8" x14ac:dyDescent="0.25">
      <c r="A192" s="27">
        <f t="shared" si="102"/>
        <v>39935</v>
      </c>
      <c r="B192" s="18">
        <f>8+218+4+69</f>
        <v>299</v>
      </c>
      <c r="C192" s="18">
        <f>8+0+5+17</f>
        <v>30</v>
      </c>
      <c r="D192" s="18">
        <f>3+29+0+17</f>
        <v>49</v>
      </c>
      <c r="E192" s="13">
        <f t="shared" si="139"/>
        <v>378</v>
      </c>
      <c r="F192" s="15">
        <v>579</v>
      </c>
      <c r="G192" s="18">
        <f t="shared" si="140"/>
        <v>201</v>
      </c>
      <c r="H192" s="21">
        <f t="shared" ref="H192" si="145">(F192-F191)/F191</f>
        <v>0.49612403100775193</v>
      </c>
      <c r="I192" s="4">
        <f t="shared" si="142"/>
        <v>-0.23636363636363636</v>
      </c>
      <c r="J192" s="3">
        <f t="shared" si="143"/>
        <v>-117</v>
      </c>
      <c r="K192" s="16">
        <f t="shared" ref="K192" si="146">(F192-F140)/F140</f>
        <v>0.66858789625360227</v>
      </c>
      <c r="L192" s="3">
        <f t="shared" si="123"/>
        <v>434.66666666666669</v>
      </c>
    </row>
    <row r="193" spans="1:12" s="18" customFormat="1" ht="13.8" x14ac:dyDescent="0.25">
      <c r="A193" s="27">
        <f t="shared" si="102"/>
        <v>39942</v>
      </c>
      <c r="B193" s="18">
        <f>9+251+4+63</f>
        <v>327</v>
      </c>
      <c r="C193" s="18">
        <f>0+0+3+0</f>
        <v>3</v>
      </c>
      <c r="D193" s="18">
        <f>9+36+0+17</f>
        <v>62</v>
      </c>
      <c r="E193" s="13">
        <f t="shared" si="139"/>
        <v>392</v>
      </c>
      <c r="F193" s="15">
        <v>618</v>
      </c>
      <c r="G193" s="18">
        <f t="shared" si="140"/>
        <v>226</v>
      </c>
      <c r="H193" s="21">
        <f t="shared" ref="H193" si="147">(F193-F192)/F192</f>
        <v>6.7357512953367879E-2</v>
      </c>
      <c r="I193" s="4">
        <f t="shared" si="142"/>
        <v>3.7037037037037035E-2</v>
      </c>
      <c r="J193" s="3">
        <f t="shared" si="143"/>
        <v>14</v>
      </c>
      <c r="K193" s="16">
        <f t="shared" ref="K193" si="148">(F193-F141)/F141</f>
        <v>1.2230215827338129</v>
      </c>
      <c r="L193" s="3">
        <f t="shared" si="123"/>
        <v>416.33333333333331</v>
      </c>
    </row>
    <row r="194" spans="1:12" s="18" customFormat="1" ht="13.8" x14ac:dyDescent="0.25">
      <c r="A194" s="27">
        <f t="shared" si="102"/>
        <v>39949</v>
      </c>
      <c r="B194" s="18">
        <f>10+330+0+75</f>
        <v>415</v>
      </c>
      <c r="C194" s="18">
        <f>0+0+2+0</f>
        <v>2</v>
      </c>
      <c r="D194" s="18">
        <f>1+55+1+20</f>
        <v>77</v>
      </c>
      <c r="E194" s="13">
        <f t="shared" si="139"/>
        <v>494</v>
      </c>
      <c r="F194" s="15">
        <v>587</v>
      </c>
      <c r="G194" s="18">
        <f t="shared" si="140"/>
        <v>93</v>
      </c>
      <c r="H194" s="21">
        <f t="shared" ref="H194" si="149">(F194-F193)/F193</f>
        <v>-5.0161812297734629E-2</v>
      </c>
      <c r="I194" s="4">
        <f t="shared" si="142"/>
        <v>0.26020408163265307</v>
      </c>
      <c r="J194" s="3">
        <f t="shared" si="143"/>
        <v>102</v>
      </c>
      <c r="K194" s="16">
        <f t="shared" ref="K194" si="150">(F194-F142)/F142</f>
        <v>1.2664092664092663</v>
      </c>
      <c r="L194" s="3">
        <f t="shared" si="123"/>
        <v>409.33333333333331</v>
      </c>
    </row>
    <row r="195" spans="1:12" s="18" customFormat="1" ht="13.8" x14ac:dyDescent="0.25">
      <c r="A195" s="27">
        <f t="shared" si="102"/>
        <v>39956</v>
      </c>
      <c r="B195" s="18">
        <f>5+275+0+130</f>
        <v>410</v>
      </c>
      <c r="C195" s="18">
        <f>1+0+1+5</f>
        <v>7</v>
      </c>
      <c r="D195" s="18">
        <f>2+30+0+9</f>
        <v>41</v>
      </c>
      <c r="E195" s="13">
        <f t="shared" si="139"/>
        <v>458</v>
      </c>
      <c r="F195" s="15">
        <v>480</v>
      </c>
      <c r="G195" s="18">
        <f t="shared" si="140"/>
        <v>22</v>
      </c>
      <c r="H195" s="21">
        <f t="shared" ref="H195" si="151">(F195-F194)/F194</f>
        <v>-0.18228279386712096</v>
      </c>
      <c r="I195" s="4">
        <f t="shared" si="142"/>
        <v>-7.28744939271255E-2</v>
      </c>
      <c r="J195" s="3">
        <f t="shared" si="143"/>
        <v>-36</v>
      </c>
      <c r="K195" s="16">
        <f t="shared" ref="K195" si="152">(F195-F143)/F143</f>
        <v>0.10091743119266056</v>
      </c>
      <c r="L195" s="3">
        <f t="shared" si="123"/>
        <v>500.66666666666669</v>
      </c>
    </row>
    <row r="196" spans="1:12" s="18" customFormat="1" ht="13.8" x14ac:dyDescent="0.25">
      <c r="A196" s="27">
        <f t="shared" si="102"/>
        <v>39963</v>
      </c>
      <c r="B196" s="18">
        <f>7+277+4+102</f>
        <v>390</v>
      </c>
      <c r="C196" s="18">
        <f>6+0+5+9</f>
        <v>20</v>
      </c>
      <c r="D196" s="18">
        <f>2+31+1+27</f>
        <v>61</v>
      </c>
      <c r="E196" s="13">
        <f t="shared" si="139"/>
        <v>471</v>
      </c>
      <c r="F196" s="15">
        <v>541</v>
      </c>
      <c r="G196" s="18">
        <f t="shared" si="140"/>
        <v>70</v>
      </c>
      <c r="H196" s="21">
        <f t="shared" ref="H196:H197" si="153">(F196-F195)/F195</f>
        <v>0.12708333333333333</v>
      </c>
      <c r="I196" s="4">
        <f t="shared" si="142"/>
        <v>2.8384279475982533E-2</v>
      </c>
      <c r="J196" s="3">
        <f t="shared" si="143"/>
        <v>13</v>
      </c>
      <c r="K196" s="16">
        <f t="shared" ref="K196:K197" si="154">(F196-F144)/F144</f>
        <v>0.35249999999999998</v>
      </c>
      <c r="L196" s="3">
        <f t="shared" si="123"/>
        <v>476.66666666666669</v>
      </c>
    </row>
    <row r="197" spans="1:12" s="18" customFormat="1" ht="13.8" x14ac:dyDescent="0.25">
      <c r="A197" s="27">
        <f t="shared" si="102"/>
        <v>39970</v>
      </c>
      <c r="B197" s="18">
        <f>9+315+1+103</f>
        <v>428</v>
      </c>
      <c r="C197" s="18">
        <f>6+9+3</f>
        <v>18</v>
      </c>
      <c r="D197" s="18">
        <f>36+28</f>
        <v>64</v>
      </c>
      <c r="E197" s="13">
        <f t="shared" si="139"/>
        <v>510</v>
      </c>
      <c r="F197" s="15">
        <v>535</v>
      </c>
      <c r="G197" s="18">
        <f t="shared" si="140"/>
        <v>25</v>
      </c>
      <c r="H197" s="21">
        <f t="shared" si="153"/>
        <v>-1.1090573012939002E-2</v>
      </c>
      <c r="I197" s="4">
        <f t="shared" si="142"/>
        <v>8.2802547770700632E-2</v>
      </c>
      <c r="J197" s="3">
        <f t="shared" si="143"/>
        <v>39</v>
      </c>
      <c r="K197" s="16">
        <f t="shared" si="154"/>
        <v>0.22146118721461186</v>
      </c>
      <c r="L197" s="3">
        <f t="shared" si="123"/>
        <v>483.66666666666669</v>
      </c>
    </row>
    <row r="198" spans="1:12" s="18" customFormat="1" ht="13.8" x14ac:dyDescent="0.25">
      <c r="A198" s="27">
        <f t="shared" si="102"/>
        <v>39977</v>
      </c>
      <c r="B198" s="18">
        <f>26+341+1+82</f>
        <v>450</v>
      </c>
      <c r="C198" s="18">
        <f>13+0+4+13</f>
        <v>30</v>
      </c>
      <c r="D198" s="18">
        <f>5+29+0+27</f>
        <v>61</v>
      </c>
      <c r="E198" s="13">
        <f t="shared" si="139"/>
        <v>541</v>
      </c>
      <c r="F198" s="15">
        <v>654</v>
      </c>
      <c r="G198" s="18">
        <f t="shared" ref="G198" si="155">F198-E198</f>
        <v>113</v>
      </c>
      <c r="H198" s="21">
        <f t="shared" ref="H198" si="156">(F198-F197)/F197</f>
        <v>0.22242990654205608</v>
      </c>
      <c r="I198" s="4">
        <f t="shared" ref="I198" si="157">(E198-E197)/E197</f>
        <v>6.0784313725490195E-2</v>
      </c>
      <c r="J198" s="3">
        <f t="shared" ref="J198" si="158">E198-E197</f>
        <v>31</v>
      </c>
      <c r="K198" s="16">
        <f t="shared" ref="K198" si="159">(F198-F146)/F146</f>
        <v>0.30019880715705766</v>
      </c>
      <c r="L198" s="3">
        <f t="shared" si="123"/>
        <v>526</v>
      </c>
    </row>
    <row r="199" spans="1:12" s="18" customFormat="1" ht="13.8" x14ac:dyDescent="0.25">
      <c r="A199" s="27">
        <f t="shared" si="102"/>
        <v>39984</v>
      </c>
      <c r="B199" s="18">
        <f>14+504+7+93</f>
        <v>618</v>
      </c>
      <c r="C199" s="18">
        <f>13+0+9+15</f>
        <v>37</v>
      </c>
      <c r="D199" s="18">
        <f>3+20+0+12</f>
        <v>35</v>
      </c>
      <c r="E199" s="13">
        <f t="shared" si="139"/>
        <v>690</v>
      </c>
      <c r="F199" s="15">
        <v>628</v>
      </c>
      <c r="G199" s="18">
        <f t="shared" ref="G199" si="160">F199-E199</f>
        <v>-62</v>
      </c>
      <c r="H199" s="21">
        <f t="shared" ref="H199" si="161">(F199-F198)/F198</f>
        <v>-3.9755351681957186E-2</v>
      </c>
      <c r="I199" s="4">
        <f t="shared" ref="I199" si="162">(E199-E198)/E198</f>
        <v>0.2754158964879852</v>
      </c>
      <c r="J199" s="3">
        <f t="shared" ref="J199" si="163">E199-E198</f>
        <v>149</v>
      </c>
      <c r="K199" s="16">
        <f t="shared" ref="K199" si="164">(F199-F147)/F147</f>
        <v>0.145985401459854</v>
      </c>
      <c r="L199" s="3">
        <f t="shared" si="123"/>
        <v>493</v>
      </c>
    </row>
    <row r="200" spans="1:12" s="18" customFormat="1" ht="13.8" x14ac:dyDescent="0.25">
      <c r="A200" s="27">
        <f t="shared" si="102"/>
        <v>39991</v>
      </c>
      <c r="B200" s="18">
        <f>1+378+2+99</f>
        <v>480</v>
      </c>
      <c r="C200" s="18">
        <f>15+0+6+5</f>
        <v>26</v>
      </c>
      <c r="D200" s="18">
        <f>9+26+0+12</f>
        <v>47</v>
      </c>
      <c r="E200" s="13">
        <f t="shared" si="139"/>
        <v>553</v>
      </c>
      <c r="F200" s="15">
        <v>558</v>
      </c>
      <c r="G200" s="18">
        <f t="shared" ref="G200" si="165">F200-E200</f>
        <v>5</v>
      </c>
      <c r="H200" s="21">
        <f t="shared" ref="H200" si="166">(F200-F199)/F199</f>
        <v>-0.11146496815286625</v>
      </c>
      <c r="I200" s="4">
        <f t="shared" ref="I200" si="167">(E200-E199)/E199</f>
        <v>-0.19855072463768117</v>
      </c>
      <c r="J200" s="3">
        <f t="shared" ref="J200" si="168">E200-E199</f>
        <v>-137</v>
      </c>
      <c r="K200" s="16">
        <f t="shared" ref="K200" si="169">(F200-F148)/F148</f>
        <v>0.18220338983050846</v>
      </c>
      <c r="L200" s="3">
        <f t="shared" si="123"/>
        <v>472</v>
      </c>
    </row>
    <row r="201" spans="1:12" s="18" customFormat="1" ht="13.8" x14ac:dyDescent="0.25">
      <c r="A201" s="27">
        <f t="shared" si="102"/>
        <v>39998</v>
      </c>
      <c r="B201" s="18">
        <f>18+435+2+80</f>
        <v>535</v>
      </c>
      <c r="C201" s="18">
        <f>17+0+5+2</f>
        <v>24</v>
      </c>
      <c r="D201" s="18">
        <f>26+17+0+16</f>
        <v>59</v>
      </c>
      <c r="E201" s="13">
        <f t="shared" si="139"/>
        <v>618</v>
      </c>
      <c r="F201" s="15">
        <v>608</v>
      </c>
      <c r="G201" s="18">
        <f t="shared" ref="G201" si="170">F201-E201</f>
        <v>-10</v>
      </c>
      <c r="H201" s="21">
        <f t="shared" ref="H201" si="171">(F201-F200)/F200</f>
        <v>8.9605734767025089E-2</v>
      </c>
      <c r="I201" s="4">
        <f t="shared" ref="I201" si="172">(E201-E200)/E200</f>
        <v>0.11754068716094032</v>
      </c>
      <c r="J201" s="3">
        <f t="shared" ref="J201" si="173">E201-E200</f>
        <v>65</v>
      </c>
      <c r="K201" s="16">
        <f t="shared" ref="K201" si="174">(F201-F149)/F149</f>
        <v>0.60422163588390498</v>
      </c>
      <c r="L201" s="3">
        <f t="shared" si="123"/>
        <v>395</v>
      </c>
    </row>
    <row r="202" spans="1:12" s="18" customFormat="1" ht="13.8" x14ac:dyDescent="0.25">
      <c r="A202" s="27">
        <f t="shared" si="102"/>
        <v>40005</v>
      </c>
      <c r="B202" s="18">
        <f>10+346+0+66</f>
        <v>422</v>
      </c>
      <c r="C202" s="18">
        <f>7+0+0+2</f>
        <v>9</v>
      </c>
      <c r="D202" s="18">
        <f>6+7+0+8</f>
        <v>21</v>
      </c>
      <c r="E202" s="13">
        <f t="shared" si="139"/>
        <v>452</v>
      </c>
      <c r="F202" s="15">
        <v>600</v>
      </c>
      <c r="G202" s="18">
        <f t="shared" ref="G202" si="175">F202-E202</f>
        <v>148</v>
      </c>
      <c r="H202" s="21">
        <f t="shared" ref="H202" si="176">(F202-F201)/F201</f>
        <v>-1.3157894736842105E-2</v>
      </c>
      <c r="I202" s="4">
        <f t="shared" ref="I202" si="177">(E202-E201)/E201</f>
        <v>-0.26860841423948217</v>
      </c>
      <c r="J202" s="3">
        <f t="shared" ref="J202" si="178">E202-E201</f>
        <v>-166</v>
      </c>
      <c r="K202" s="16">
        <f t="shared" ref="K202" si="179">(F202-F150)/F150</f>
        <v>0.65745856353591159</v>
      </c>
      <c r="L202" s="3">
        <f t="shared" si="123"/>
        <v>496.33333333333331</v>
      </c>
    </row>
    <row r="203" spans="1:12" s="18" customFormat="1" ht="13.8" x14ac:dyDescent="0.25">
      <c r="A203" s="27">
        <f t="shared" si="102"/>
        <v>40012</v>
      </c>
      <c r="B203" s="18">
        <f>3+338+0+57</f>
        <v>398</v>
      </c>
      <c r="C203" s="18">
        <f>9+0+0+2</f>
        <v>11</v>
      </c>
      <c r="D203" s="18">
        <f>7+15+0+16</f>
        <v>38</v>
      </c>
      <c r="E203" s="13">
        <f t="shared" si="139"/>
        <v>447</v>
      </c>
      <c r="F203" s="15">
        <v>597</v>
      </c>
      <c r="G203" s="18">
        <f t="shared" ref="G203" si="180">F203-E203</f>
        <v>150</v>
      </c>
      <c r="H203" s="21">
        <f t="shared" ref="H203" si="181">(F203-F202)/F202</f>
        <v>-5.0000000000000001E-3</v>
      </c>
      <c r="I203" s="4">
        <f t="shared" ref="I203" si="182">(E203-E202)/E202</f>
        <v>-1.1061946902654867E-2</v>
      </c>
      <c r="J203" s="3">
        <f t="shared" ref="J203" si="183">E203-E202</f>
        <v>-5</v>
      </c>
      <c r="K203" s="16">
        <f t="shared" ref="K203" si="184">(F203-F151)/F151</f>
        <v>0.66759776536312854</v>
      </c>
      <c r="L203" s="3">
        <f t="shared" si="123"/>
        <v>482.66666666666669</v>
      </c>
    </row>
    <row r="204" spans="1:12" s="18" customFormat="1" ht="13.8" x14ac:dyDescent="0.25">
      <c r="A204" s="27">
        <f t="shared" si="102"/>
        <v>40019</v>
      </c>
      <c r="B204" s="18">
        <f>5+456+0+62</f>
        <v>523</v>
      </c>
      <c r="C204" s="18">
        <f>13+0+5+2</f>
        <v>20</v>
      </c>
      <c r="D204" s="18">
        <f>6+7+2+8</f>
        <v>23</v>
      </c>
      <c r="E204" s="13">
        <f t="shared" si="139"/>
        <v>566</v>
      </c>
      <c r="F204" s="15">
        <v>676</v>
      </c>
      <c r="G204" s="18">
        <f t="shared" ref="G204" si="185">F204-E204</f>
        <v>110</v>
      </c>
      <c r="H204" s="21">
        <f t="shared" ref="H204" si="186">(F204-F203)/F203</f>
        <v>0.13232830820770519</v>
      </c>
      <c r="I204" s="4">
        <f t="shared" ref="I204" si="187">(E204-E203)/E203</f>
        <v>0.26621923937360181</v>
      </c>
      <c r="J204" s="3">
        <f t="shared" ref="J204" si="188">E204-E203</f>
        <v>119</v>
      </c>
      <c r="K204" s="16">
        <f t="shared" ref="K204" si="189">(F204-F152)/F152</f>
        <v>0.73778920308483287</v>
      </c>
      <c r="L204" s="3">
        <f t="shared" si="123"/>
        <v>513.33333333333337</v>
      </c>
    </row>
    <row r="205" spans="1:12" s="18" customFormat="1" ht="13.8" x14ac:dyDescent="0.25">
      <c r="A205" s="27">
        <f t="shared" si="102"/>
        <v>40026</v>
      </c>
      <c r="B205" s="18">
        <f>3+537+2+96</f>
        <v>638</v>
      </c>
      <c r="C205" s="18">
        <f>5+0+0+1</f>
        <v>6</v>
      </c>
      <c r="D205" s="18">
        <f>9+21+3+14</f>
        <v>47</v>
      </c>
      <c r="E205" s="13">
        <f t="shared" si="139"/>
        <v>691</v>
      </c>
      <c r="F205" s="15">
        <v>482</v>
      </c>
      <c r="G205" s="18">
        <f t="shared" ref="G205" si="190">F205-E205</f>
        <v>-209</v>
      </c>
      <c r="H205" s="21">
        <f t="shared" ref="H205" si="191">(F205-F204)/F204</f>
        <v>-0.28698224852071008</v>
      </c>
      <c r="I205" s="4">
        <f t="shared" ref="I205" si="192">(E205-E204)/E204</f>
        <v>0.22084805653710246</v>
      </c>
      <c r="J205" s="3">
        <f t="shared" ref="J205" si="193">E205-E204</f>
        <v>125</v>
      </c>
      <c r="K205" s="16">
        <f t="shared" ref="K205" si="194">(F205-F153)/F153</f>
        <v>5.4704595185995623E-2</v>
      </c>
      <c r="L205" s="3">
        <f t="shared" si="123"/>
        <v>481.33333333333331</v>
      </c>
    </row>
    <row r="206" spans="1:12" s="18" customFormat="1" ht="13.8" x14ac:dyDescent="0.25">
      <c r="A206" s="27">
        <f t="shared" si="102"/>
        <v>40033</v>
      </c>
      <c r="B206" s="18">
        <f>2+371+4+66</f>
        <v>443</v>
      </c>
      <c r="C206" s="18">
        <f>15+0+1+1</f>
        <v>17</v>
      </c>
      <c r="D206" s="18">
        <f>27+20+0+9</f>
        <v>56</v>
      </c>
      <c r="E206" s="13">
        <f t="shared" si="139"/>
        <v>516</v>
      </c>
      <c r="F206" s="15">
        <v>555</v>
      </c>
      <c r="G206" s="18">
        <f t="shared" ref="G206" si="195">F206-E206</f>
        <v>39</v>
      </c>
      <c r="H206" s="21">
        <f t="shared" ref="H206" si="196">(F206-F205)/F205</f>
        <v>0.15145228215767634</v>
      </c>
      <c r="I206" s="4">
        <f t="shared" ref="I206" si="197">(E206-E205)/E205</f>
        <v>-0.25325615050651229</v>
      </c>
      <c r="J206" s="3">
        <f t="shared" ref="J206" si="198">E206-E205</f>
        <v>-175</v>
      </c>
      <c r="K206" s="16">
        <f t="shared" ref="K206" si="199">(F206-F154)/F154</f>
        <v>-0.14351851851851852</v>
      </c>
      <c r="L206" s="3">
        <f t="shared" si="123"/>
        <v>607.66666666666663</v>
      </c>
    </row>
    <row r="207" spans="1:12" s="18" customFormat="1" ht="13.8" x14ac:dyDescent="0.25">
      <c r="A207" s="27">
        <f t="shared" si="102"/>
        <v>40040</v>
      </c>
      <c r="B207" s="18">
        <f>4+411+0+100</f>
        <v>515</v>
      </c>
      <c r="C207" s="18">
        <f>8+0+0+2</f>
        <v>10</v>
      </c>
      <c r="D207" s="18">
        <f>8+12+0+9</f>
        <v>29</v>
      </c>
      <c r="E207" s="13">
        <f t="shared" si="139"/>
        <v>554</v>
      </c>
      <c r="F207" s="15">
        <v>459</v>
      </c>
      <c r="G207" s="18">
        <f t="shared" ref="G207" si="200">F207-E207</f>
        <v>-95</v>
      </c>
      <c r="H207" s="21">
        <f t="shared" ref="H207" si="201">(F207-F206)/F206</f>
        <v>-0.17297297297297298</v>
      </c>
      <c r="I207" s="4">
        <f t="shared" ref="I207" si="202">(E207-E206)/E206</f>
        <v>7.3643410852713184E-2</v>
      </c>
      <c r="J207" s="3">
        <f t="shared" ref="J207" si="203">E207-E206</f>
        <v>38</v>
      </c>
      <c r="K207" s="16">
        <f t="shared" ref="K207" si="204">(F207-F155)/F155</f>
        <v>-0.19190140845070422</v>
      </c>
      <c r="L207" s="3">
        <f t="shared" si="123"/>
        <v>595.33333333333337</v>
      </c>
    </row>
    <row r="208" spans="1:12" s="18" customFormat="1" ht="13.8" x14ac:dyDescent="0.25">
      <c r="A208" s="27">
        <f t="shared" si="102"/>
        <v>40047</v>
      </c>
      <c r="B208" s="18">
        <f>5+348+5+61</f>
        <v>419</v>
      </c>
      <c r="C208" s="18">
        <f>7+0+0+2</f>
        <v>9</v>
      </c>
      <c r="D208" s="18">
        <f>3+27+0+13</f>
        <v>43</v>
      </c>
      <c r="E208" s="13">
        <f t="shared" si="139"/>
        <v>471</v>
      </c>
      <c r="F208" s="15">
        <v>544</v>
      </c>
      <c r="G208" s="18">
        <f t="shared" ref="G208" si="205">F208-E208</f>
        <v>73</v>
      </c>
      <c r="H208" s="21">
        <f t="shared" ref="H208" si="206">(F208-F207)/F207</f>
        <v>0.18518518518518517</v>
      </c>
      <c r="I208" s="4">
        <f t="shared" ref="I208" si="207">(E208-E207)/E207</f>
        <v>-0.14981949458483754</v>
      </c>
      <c r="J208" s="3">
        <f t="shared" ref="J208" si="208">E208-E207</f>
        <v>-83</v>
      </c>
      <c r="K208" s="16">
        <f t="shared" ref="K208" si="209">(F208-F156)/F156</f>
        <v>3.619047619047619E-2</v>
      </c>
      <c r="L208" s="3">
        <f t="shared" si="123"/>
        <v>575</v>
      </c>
    </row>
    <row r="209" spans="1:19" s="18" customFormat="1" ht="13.8" x14ac:dyDescent="0.25">
      <c r="A209" s="27">
        <f t="shared" si="102"/>
        <v>40054</v>
      </c>
      <c r="B209" s="18">
        <f>7+312+0+71</f>
        <v>390</v>
      </c>
      <c r="C209" s="18">
        <f>15+0+1+6</f>
        <v>22</v>
      </c>
      <c r="D209" s="18">
        <f>11+21+0+8</f>
        <v>40</v>
      </c>
      <c r="E209" s="13">
        <f t="shared" si="139"/>
        <v>452</v>
      </c>
      <c r="F209" s="15">
        <v>544</v>
      </c>
      <c r="G209" s="18">
        <f t="shared" ref="G209" si="210">F209-E209</f>
        <v>92</v>
      </c>
      <c r="H209" s="21">
        <f t="shared" ref="H209" si="211">(F209-F208)/F208</f>
        <v>0</v>
      </c>
      <c r="I209" s="4">
        <f t="shared" ref="I209" si="212">(E209-E208)/E208</f>
        <v>-4.0339702760084924E-2</v>
      </c>
      <c r="J209" s="3">
        <f t="shared" ref="J209" si="213">E209-E208</f>
        <v>-19</v>
      </c>
      <c r="K209" s="16">
        <f t="shared" ref="K209" si="214">(F209-F157)/F157</f>
        <v>0.53239436619718306</v>
      </c>
      <c r="L209" s="3">
        <f t="shared" si="123"/>
        <v>510</v>
      </c>
    </row>
    <row r="210" spans="1:19" s="18" customFormat="1" ht="13.8" x14ac:dyDescent="0.25">
      <c r="A210" s="27">
        <f t="shared" si="102"/>
        <v>40061</v>
      </c>
      <c r="B210" s="18">
        <f>4+175+0+23</f>
        <v>202</v>
      </c>
      <c r="C210" s="18">
        <f>1+0+1+0</f>
        <v>2</v>
      </c>
      <c r="D210" s="18">
        <f>11+14+0+13</f>
        <v>38</v>
      </c>
      <c r="E210" s="13">
        <f t="shared" si="139"/>
        <v>242</v>
      </c>
      <c r="F210" s="15">
        <v>606</v>
      </c>
      <c r="G210" s="18">
        <f t="shared" ref="G210" si="215">F210-E210</f>
        <v>364</v>
      </c>
      <c r="H210" s="21">
        <f t="shared" ref="H210" si="216">(F210-F209)/F209</f>
        <v>0.11397058823529412</v>
      </c>
      <c r="I210" s="4">
        <f t="shared" ref="I210" si="217">(E210-E209)/E209</f>
        <v>-0.46460176991150443</v>
      </c>
      <c r="J210" s="3">
        <f t="shared" ref="J210" si="218">E210-E209</f>
        <v>-210</v>
      </c>
      <c r="K210" s="16">
        <f t="shared" ref="K210" si="219">(F210-F158)/F158</f>
        <v>13.428571428571429</v>
      </c>
      <c r="L210" s="3">
        <f t="shared" si="123"/>
        <v>426</v>
      </c>
      <c r="N210" s="3"/>
    </row>
    <row r="211" spans="1:19" s="18" customFormat="1" ht="13.8" x14ac:dyDescent="0.25">
      <c r="A211" s="27">
        <f t="shared" si="102"/>
        <v>40068</v>
      </c>
      <c r="B211" s="18">
        <f>10+133+0+20</f>
        <v>163</v>
      </c>
      <c r="C211" s="18">
        <f>0+3+1+2</f>
        <v>6</v>
      </c>
      <c r="D211" s="18">
        <f>16+9+0+5</f>
        <v>30</v>
      </c>
      <c r="E211" s="13">
        <f t="shared" si="139"/>
        <v>199</v>
      </c>
      <c r="F211" s="15">
        <v>457</v>
      </c>
      <c r="G211" s="18">
        <f t="shared" ref="G211" si="220">F211-E211</f>
        <v>258</v>
      </c>
      <c r="H211" s="21">
        <f t="shared" ref="H211" si="221">(F211-F210)/F210</f>
        <v>-0.24587458745874588</v>
      </c>
      <c r="I211" s="4">
        <f t="shared" ref="I211" si="222">(E211-E210)/E210</f>
        <v>-0.17768595041322313</v>
      </c>
      <c r="J211" s="3">
        <f t="shared" ref="J211" si="223">E211-E210</f>
        <v>-43</v>
      </c>
      <c r="K211" s="16">
        <f t="shared" ref="K211" si="224">(F211-F159)/F159</f>
        <v>-4.5929018789144051E-2</v>
      </c>
      <c r="L211" s="3">
        <f t="shared" si="123"/>
        <v>606.33333333333337</v>
      </c>
      <c r="N211" s="3"/>
      <c r="Q211" s="3"/>
      <c r="S211" s="30"/>
    </row>
    <row r="212" spans="1:19" s="18" customFormat="1" ht="13.8" x14ac:dyDescent="0.25">
      <c r="A212" s="27">
        <f t="shared" si="102"/>
        <v>40075</v>
      </c>
      <c r="B212" s="18">
        <f>5+99+0+15</f>
        <v>119</v>
      </c>
      <c r="C212" s="18">
        <f>16+0+0+7</f>
        <v>23</v>
      </c>
      <c r="D212" s="18">
        <f>8+6+0+4</f>
        <v>18</v>
      </c>
      <c r="E212" s="13">
        <f t="shared" si="139"/>
        <v>160</v>
      </c>
      <c r="F212" s="15">
        <v>514</v>
      </c>
      <c r="G212" s="18">
        <f t="shared" ref="G212" si="225">F212-E212</f>
        <v>354</v>
      </c>
      <c r="H212" s="21">
        <f t="shared" ref="H212" si="226">(F212-F211)/F211</f>
        <v>0.12472647702407003</v>
      </c>
      <c r="I212" s="4">
        <f t="shared" ref="I212" si="227">(E212-E211)/E211</f>
        <v>-0.19597989949748743</v>
      </c>
      <c r="J212" s="3">
        <f t="shared" ref="J212" si="228">E212-E211</f>
        <v>-39</v>
      </c>
      <c r="K212" s="16">
        <f t="shared" ref="K212" si="229">(F212-F160)/F160</f>
        <v>-0.13758389261744966</v>
      </c>
      <c r="L212" s="3">
        <f t="shared" si="123"/>
        <v>616.33333333333337</v>
      </c>
      <c r="N212" s="3"/>
    </row>
    <row r="213" spans="1:19" s="18" customFormat="1" ht="13.8" x14ac:dyDescent="0.25">
      <c r="A213" s="27">
        <f t="shared" ref="A213:A276" si="230">7+A212</f>
        <v>40082</v>
      </c>
      <c r="B213" s="18">
        <f>17+96+1+7</f>
        <v>121</v>
      </c>
      <c r="C213" s="18">
        <f>4+0+1+0</f>
        <v>5</v>
      </c>
      <c r="D213" s="18">
        <f>14+67+2+3</f>
        <v>86</v>
      </c>
      <c r="E213" s="13">
        <f t="shared" si="139"/>
        <v>212</v>
      </c>
      <c r="F213" s="15">
        <v>553</v>
      </c>
      <c r="G213" s="18">
        <f t="shared" ref="G213:G214" si="231">F213-E213</f>
        <v>341</v>
      </c>
      <c r="H213" s="21">
        <f t="shared" ref="H213" si="232">(F213-F212)/F212</f>
        <v>7.5875486381322951E-2</v>
      </c>
      <c r="I213" s="4">
        <f t="shared" ref="I213" si="233">(E213-E212)/E212</f>
        <v>0.32500000000000001</v>
      </c>
      <c r="J213" s="3">
        <f t="shared" ref="J213" si="234">E213-E212</f>
        <v>52</v>
      </c>
      <c r="K213" s="16">
        <f t="shared" ref="K213" si="235">(F213-F161)/F161</f>
        <v>-3.4904013961605584E-2</v>
      </c>
      <c r="L213" s="3">
        <f t="shared" si="123"/>
        <v>575.33333333333337</v>
      </c>
      <c r="N213" s="3"/>
    </row>
    <row r="214" spans="1:19" s="18" customFormat="1" ht="13.8" x14ac:dyDescent="0.25">
      <c r="A214" s="27">
        <f t="shared" si="230"/>
        <v>40089</v>
      </c>
      <c r="B214" s="18">
        <f>11+142+11+2</f>
        <v>166</v>
      </c>
      <c r="C214" s="18">
        <f>2+0+3+2</f>
        <v>7</v>
      </c>
      <c r="D214" s="18">
        <f>2+48+0+6</f>
        <v>56</v>
      </c>
      <c r="E214" s="13">
        <f t="shared" si="139"/>
        <v>229</v>
      </c>
      <c r="F214" s="15">
        <v>445</v>
      </c>
      <c r="G214" s="18">
        <f t="shared" si="231"/>
        <v>216</v>
      </c>
      <c r="H214" s="21">
        <f t="shared" ref="H214" si="236">(F214-F213)/F213</f>
        <v>-0.19529837251356238</v>
      </c>
      <c r="I214" s="4">
        <f t="shared" ref="I214" si="237">(E214-E213)/E213</f>
        <v>8.0188679245283015E-2</v>
      </c>
      <c r="J214" s="3">
        <f t="shared" ref="J214" si="238">E214-E213</f>
        <v>17</v>
      </c>
      <c r="K214" s="16">
        <f t="shared" ref="K214" si="239">(F214-F162)/F162</f>
        <v>-0.15879017013232513</v>
      </c>
      <c r="L214" s="3">
        <f t="shared" si="123"/>
        <v>606.66666666666663</v>
      </c>
    </row>
    <row r="215" spans="1:19" s="18" customFormat="1" ht="13.8" x14ac:dyDescent="0.25">
      <c r="A215" s="27">
        <f t="shared" si="230"/>
        <v>40096</v>
      </c>
      <c r="B215" s="18">
        <f>12+164+4+31</f>
        <v>211</v>
      </c>
      <c r="C215" s="18">
        <f>3+2+8+9</f>
        <v>22</v>
      </c>
      <c r="D215" s="18">
        <f>16+42+0+31</f>
        <v>89</v>
      </c>
      <c r="E215" s="13">
        <f t="shared" si="139"/>
        <v>322</v>
      </c>
      <c r="F215" s="15">
        <v>430</v>
      </c>
      <c r="G215" s="18">
        <f t="shared" ref="G215" si="240">F215-E215</f>
        <v>108</v>
      </c>
      <c r="H215" s="21">
        <f t="shared" ref="H215" si="241">(F215-F214)/F214</f>
        <v>-3.3707865168539325E-2</v>
      </c>
      <c r="I215" s="4">
        <f t="shared" ref="I215" si="242">(E215-E214)/E214</f>
        <v>0.40611353711790393</v>
      </c>
      <c r="J215" s="3">
        <f t="shared" ref="J215" si="243">E215-E214</f>
        <v>93</v>
      </c>
      <c r="K215" s="16">
        <f t="shared" ref="K215" si="244">(F215-F163)/F163</f>
        <v>-0.21960072595281308</v>
      </c>
      <c r="L215" s="3">
        <f t="shared" si="123"/>
        <v>621.33333333333337</v>
      </c>
    </row>
    <row r="216" spans="1:19" s="18" customFormat="1" ht="13.8" x14ac:dyDescent="0.25">
      <c r="A216" s="27">
        <f t="shared" si="230"/>
        <v>40103</v>
      </c>
      <c r="B216" s="18">
        <f>2+118+0+47</f>
        <v>167</v>
      </c>
      <c r="C216" s="18">
        <f>0+2+6+1</f>
        <v>9</v>
      </c>
      <c r="D216" s="18">
        <f>6+66+0+42</f>
        <v>114</v>
      </c>
      <c r="E216" s="13">
        <f t="shared" si="139"/>
        <v>290</v>
      </c>
      <c r="F216" s="15">
        <v>497</v>
      </c>
      <c r="G216" s="18">
        <f t="shared" ref="G216" si="245">F216-E216</f>
        <v>207</v>
      </c>
      <c r="H216" s="21">
        <f t="shared" ref="H216" si="246">(F216-F215)/F215</f>
        <v>0.1558139534883721</v>
      </c>
      <c r="I216" s="4">
        <f t="shared" ref="I216" si="247">(E216-E215)/E215</f>
        <v>-9.9378881987577633E-2</v>
      </c>
      <c r="J216" s="3">
        <f t="shared" ref="J216" si="248">E216-E215</f>
        <v>-32</v>
      </c>
      <c r="K216" s="16">
        <f t="shared" ref="K216" si="249">(F216-F164)/F164</f>
        <v>-0.13864818024263431</v>
      </c>
      <c r="L216" s="3">
        <f t="shared" si="123"/>
        <v>615.66666666666663</v>
      </c>
    </row>
    <row r="217" spans="1:19" s="18" customFormat="1" ht="13.8" x14ac:dyDescent="0.25">
      <c r="A217" s="27">
        <f t="shared" si="230"/>
        <v>40110</v>
      </c>
      <c r="B217" s="18">
        <f>12+123+1+94</f>
        <v>230</v>
      </c>
      <c r="C217" s="18">
        <f>6+0+2+9</f>
        <v>17</v>
      </c>
      <c r="D217" s="18">
        <f>1+75+0+55</f>
        <v>131</v>
      </c>
      <c r="E217" s="13">
        <f t="shared" si="139"/>
        <v>378</v>
      </c>
      <c r="F217" s="15">
        <v>593</v>
      </c>
      <c r="G217" s="18">
        <f t="shared" ref="G217" si="250">F217-E217</f>
        <v>215</v>
      </c>
      <c r="H217" s="21">
        <f t="shared" ref="H217" si="251">(F217-F216)/F216</f>
        <v>0.19315895372233399</v>
      </c>
      <c r="I217" s="4">
        <f t="shared" ref="I217" si="252">(E217-E216)/E216</f>
        <v>0.30344827586206896</v>
      </c>
      <c r="J217" s="3">
        <f t="shared" ref="J217" si="253">E217-E216</f>
        <v>88</v>
      </c>
      <c r="K217" s="16">
        <f t="shared" ref="K217" si="254">(F217-F165)/F165</f>
        <v>9.0073529411764705E-2</v>
      </c>
      <c r="L217" s="3">
        <f t="shared" si="123"/>
        <v>611</v>
      </c>
    </row>
    <row r="218" spans="1:19" s="18" customFormat="1" ht="13.8" x14ac:dyDescent="0.25">
      <c r="A218" s="27">
        <f t="shared" si="230"/>
        <v>40117</v>
      </c>
      <c r="B218" s="18">
        <f>3+114+0+198</f>
        <v>315</v>
      </c>
      <c r="C218" s="18">
        <f>3+0+2+9</f>
        <v>14</v>
      </c>
      <c r="D218" s="18">
        <f>1+41+3+119</f>
        <v>164</v>
      </c>
      <c r="E218" s="13">
        <f t="shared" si="139"/>
        <v>493</v>
      </c>
      <c r="F218" s="15">
        <v>558</v>
      </c>
      <c r="G218" s="18">
        <f t="shared" ref="G218" si="255">F218-E218</f>
        <v>65</v>
      </c>
      <c r="H218" s="21">
        <f t="shared" ref="H218" si="256">(F218-F217)/F217</f>
        <v>-5.9021922428330521E-2</v>
      </c>
      <c r="I218" s="4">
        <f t="shared" ref="I218" si="257">(E218-E217)/E217</f>
        <v>0.30423280423280424</v>
      </c>
      <c r="J218" s="3">
        <f t="shared" ref="J218" si="258">E218-E217</f>
        <v>115</v>
      </c>
      <c r="K218" s="16">
        <f t="shared" ref="K218" si="259">(F218-F166)/F166</f>
        <v>7.1017274472168906E-2</v>
      </c>
      <c r="L218" s="3">
        <f t="shared" si="123"/>
        <v>691.66666666666663</v>
      </c>
    </row>
    <row r="219" spans="1:19" s="18" customFormat="1" ht="13.8" x14ac:dyDescent="0.25">
      <c r="A219" s="27">
        <f t="shared" si="230"/>
        <v>40124</v>
      </c>
      <c r="B219" s="18">
        <f>3+99+6+155</f>
        <v>263</v>
      </c>
      <c r="C219" s="18">
        <f>1+1+7+6</f>
        <v>15</v>
      </c>
      <c r="D219" s="18">
        <f>18+63+0+86</f>
        <v>167</v>
      </c>
      <c r="E219" s="13">
        <f t="shared" si="139"/>
        <v>445</v>
      </c>
      <c r="F219" s="15">
        <v>689</v>
      </c>
      <c r="G219" s="18">
        <f t="shared" ref="G219" si="260">F219-E219</f>
        <v>244</v>
      </c>
      <c r="H219" s="21">
        <f t="shared" ref="H219" si="261">(F219-F218)/F218</f>
        <v>0.23476702508960573</v>
      </c>
      <c r="I219" s="4">
        <f t="shared" ref="I219" si="262">(E219-E218)/E218</f>
        <v>-9.7363083164300201E-2</v>
      </c>
      <c r="J219" s="3">
        <f t="shared" ref="J219" si="263">E219-E218</f>
        <v>-48</v>
      </c>
      <c r="K219" s="16">
        <f t="shared" ref="K219" si="264">(F219-F167)/F167</f>
        <v>0.18181818181818182</v>
      </c>
      <c r="L219" s="3">
        <f t="shared" si="123"/>
        <v>684.33333333333337</v>
      </c>
    </row>
    <row r="220" spans="1:19" s="18" customFormat="1" ht="13.8" x14ac:dyDescent="0.25">
      <c r="A220" s="27">
        <f t="shared" si="230"/>
        <v>40131</v>
      </c>
      <c r="B220" s="18">
        <f>6+210+1+295</f>
        <v>512</v>
      </c>
      <c r="C220" s="18">
        <f>1+0+4+15</f>
        <v>20</v>
      </c>
      <c r="D220" s="18">
        <f>18+65+2+141</f>
        <v>226</v>
      </c>
      <c r="E220" s="13">
        <f t="shared" si="139"/>
        <v>758</v>
      </c>
      <c r="F220" s="15">
        <v>719</v>
      </c>
      <c r="G220" s="18">
        <f t="shared" ref="G220" si="265">F220-E220</f>
        <v>-39</v>
      </c>
      <c r="H220" s="21">
        <f t="shared" ref="H220" si="266">(F220-F219)/F219</f>
        <v>4.3541364296081277E-2</v>
      </c>
      <c r="I220" s="4">
        <f t="shared" ref="I220" si="267">(E220-E219)/E219</f>
        <v>0.70337078651685392</v>
      </c>
      <c r="J220" s="3">
        <f t="shared" ref="J220" si="268">E220-E219</f>
        <v>313</v>
      </c>
      <c r="K220" s="16">
        <f t="shared" ref="K220" si="269">(F220-F168)/F168</f>
        <v>4.5058139534883718E-2</v>
      </c>
      <c r="L220" s="3">
        <f t="shared" si="123"/>
        <v>708</v>
      </c>
    </row>
    <row r="221" spans="1:19" s="18" customFormat="1" ht="13.8" x14ac:dyDescent="0.25">
      <c r="A221" s="27">
        <f t="shared" si="230"/>
        <v>40138</v>
      </c>
      <c r="B221" s="18">
        <f>2+139+7+252</f>
        <v>400</v>
      </c>
      <c r="C221" s="18">
        <f>5+1+1+60</f>
        <v>67</v>
      </c>
      <c r="D221" s="18">
        <f>10+71+1+81</f>
        <v>163</v>
      </c>
      <c r="E221" s="13">
        <f t="shared" si="139"/>
        <v>630</v>
      </c>
      <c r="F221" s="15">
        <v>722</v>
      </c>
      <c r="G221" s="18">
        <f t="shared" ref="G221" si="270">F221-E221</f>
        <v>92</v>
      </c>
      <c r="H221" s="21">
        <f t="shared" ref="H221" si="271">(F221-F220)/F220</f>
        <v>4.172461752433936E-3</v>
      </c>
      <c r="I221" s="4">
        <f t="shared" ref="I221" si="272">(E221-E220)/E220</f>
        <v>-0.16886543535620052</v>
      </c>
      <c r="J221" s="3">
        <f t="shared" ref="J221" si="273">E221-E220</f>
        <v>-128</v>
      </c>
      <c r="K221" s="16">
        <f t="shared" ref="K221" si="274">(F221-F169)/F169</f>
        <v>0.31034482758620691</v>
      </c>
      <c r="L221" s="3">
        <f t="shared" si="123"/>
        <v>645.33333333333337</v>
      </c>
    </row>
    <row r="222" spans="1:19" s="18" customFormat="1" ht="13.8" x14ac:dyDescent="0.25">
      <c r="A222" s="27">
        <f t="shared" si="230"/>
        <v>40145</v>
      </c>
      <c r="B222" s="18">
        <f>0+257+3+173</f>
        <v>433</v>
      </c>
      <c r="C222" s="18">
        <f>1+0+1+47</f>
        <v>49</v>
      </c>
      <c r="D222" s="18">
        <f>1+75+0+60</f>
        <v>136</v>
      </c>
      <c r="E222" s="13">
        <f t="shared" si="139"/>
        <v>618</v>
      </c>
      <c r="F222" s="15">
        <v>593</v>
      </c>
      <c r="G222" s="18">
        <f t="shared" ref="G222" si="275">F222-E222</f>
        <v>-25</v>
      </c>
      <c r="H222" s="21">
        <f t="shared" ref="H222" si="276">(F222-F221)/F221</f>
        <v>-0.17867036011080331</v>
      </c>
      <c r="I222" s="4">
        <f t="shared" ref="I222" si="277">(E222-E221)/E221</f>
        <v>-1.9047619047619049E-2</v>
      </c>
      <c r="J222" s="3">
        <f t="shared" ref="J222" si="278">E222-E221</f>
        <v>-12</v>
      </c>
      <c r="K222" s="16">
        <f t="shared" ref="K222" si="279">(F222-F170)/F170</f>
        <v>-8.4876543209876545E-2</v>
      </c>
      <c r="L222" s="3">
        <f t="shared" si="123"/>
        <v>685</v>
      </c>
    </row>
    <row r="223" spans="1:19" s="18" customFormat="1" ht="13.8" x14ac:dyDescent="0.25">
      <c r="A223" s="27">
        <f t="shared" si="230"/>
        <v>40152</v>
      </c>
      <c r="B223" s="18">
        <f>6+342+2+150</f>
        <v>500</v>
      </c>
      <c r="C223" s="18">
        <f>0+0+4+37</f>
        <v>41</v>
      </c>
      <c r="D223" s="18">
        <f>1+54+0+51</f>
        <v>106</v>
      </c>
      <c r="E223" s="13">
        <f t="shared" si="139"/>
        <v>647</v>
      </c>
      <c r="F223" s="15">
        <v>625</v>
      </c>
      <c r="G223" s="18">
        <f t="shared" ref="G223" si="280">F223-E223</f>
        <v>-22</v>
      </c>
      <c r="H223" s="21">
        <f t="shared" ref="H223" si="281">(F223-F222)/F222</f>
        <v>5.3962900505902189E-2</v>
      </c>
      <c r="I223" s="4">
        <f t="shared" ref="I223" si="282">(E223-E222)/E222</f>
        <v>4.6925566343042069E-2</v>
      </c>
      <c r="J223" s="3">
        <f t="shared" ref="J223" si="283">E223-E222</f>
        <v>29</v>
      </c>
      <c r="K223" s="16">
        <f t="shared" ref="K223" si="284">(F223-F171)/F171</f>
        <v>-0.12219101123595505</v>
      </c>
      <c r="L223" s="3">
        <f t="shared" si="123"/>
        <v>714</v>
      </c>
    </row>
    <row r="224" spans="1:19" s="18" customFormat="1" ht="13.8" x14ac:dyDescent="0.25">
      <c r="A224" s="27">
        <f t="shared" si="230"/>
        <v>40159</v>
      </c>
      <c r="B224" s="18">
        <f>0+327+2+136</f>
        <v>465</v>
      </c>
      <c r="C224" s="18">
        <f>2+0+4+41</f>
        <v>47</v>
      </c>
      <c r="D224" s="18">
        <f>1+70+0+39</f>
        <v>110</v>
      </c>
      <c r="E224" s="13">
        <f t="shared" si="139"/>
        <v>622</v>
      </c>
      <c r="F224" s="15">
        <v>599</v>
      </c>
      <c r="G224" s="18">
        <f t="shared" ref="G224" si="285">F224-E224</f>
        <v>-23</v>
      </c>
      <c r="H224" s="21">
        <f t="shared" ref="H224" si="286">(F224-F223)/F223</f>
        <v>-4.1599999999999998E-2</v>
      </c>
      <c r="I224" s="4">
        <f t="shared" ref="I224" si="287">(E224-E223)/E223</f>
        <v>-3.8639876352395672E-2</v>
      </c>
      <c r="J224" s="3">
        <f t="shared" ref="J224" si="288">E224-E223</f>
        <v>-25</v>
      </c>
      <c r="K224" s="16">
        <f t="shared" ref="K224" si="289">(F224-F172)/F172</f>
        <v>-8.2695252679938741E-2</v>
      </c>
      <c r="L224" s="3">
        <f t="shared" si="123"/>
        <v>645</v>
      </c>
    </row>
    <row r="225" spans="1:12" s="18" customFormat="1" ht="13.8" x14ac:dyDescent="0.25">
      <c r="A225" s="27">
        <f t="shared" si="230"/>
        <v>40166</v>
      </c>
      <c r="B225" s="18">
        <f>10+294+0+82</f>
        <v>386</v>
      </c>
      <c r="C225" s="18">
        <f>0+0+6+35</f>
        <v>41</v>
      </c>
      <c r="D225" s="18">
        <f>2+54+0+58</f>
        <v>114</v>
      </c>
      <c r="E225" s="13">
        <f t="shared" si="139"/>
        <v>541</v>
      </c>
      <c r="F225" s="15">
        <v>466</v>
      </c>
      <c r="G225" s="18">
        <f t="shared" ref="G225" si="290">F225-E225</f>
        <v>-75</v>
      </c>
      <c r="H225" s="21">
        <f t="shared" ref="H225" si="291">(F225-F224)/F224</f>
        <v>-0.22203672787979967</v>
      </c>
      <c r="I225" s="4">
        <f t="shared" ref="I225" si="292">(E225-E224)/E224</f>
        <v>-0.13022508038585209</v>
      </c>
      <c r="J225" s="3">
        <f t="shared" ref="J225" si="293">E225-E224</f>
        <v>-81</v>
      </c>
      <c r="K225" s="16">
        <f t="shared" ref="K225" si="294">(F225-F173)/F173</f>
        <v>-0.22975206611570248</v>
      </c>
      <c r="L225" s="3">
        <f t="shared" si="123"/>
        <v>617.66666666666663</v>
      </c>
    </row>
    <row r="226" spans="1:12" s="18" customFormat="1" ht="13.8" x14ac:dyDescent="0.25">
      <c r="A226" s="27">
        <f t="shared" si="230"/>
        <v>40173</v>
      </c>
      <c r="B226" s="18">
        <f>10+175+0+69</f>
        <v>254</v>
      </c>
      <c r="C226" s="18">
        <f>0+0+2+21</f>
        <v>23</v>
      </c>
      <c r="D226" s="18">
        <f>6+41+0+51</f>
        <v>98</v>
      </c>
      <c r="E226" s="13">
        <f t="shared" si="139"/>
        <v>375</v>
      </c>
      <c r="F226" s="15">
        <v>647</v>
      </c>
      <c r="G226" s="18">
        <f t="shared" ref="G226:G227" si="295">F226-E226</f>
        <v>272</v>
      </c>
      <c r="H226" s="21">
        <f t="shared" ref="H226" si="296">(F226-F225)/F225</f>
        <v>0.388412017167382</v>
      </c>
      <c r="I226" s="4">
        <f t="shared" ref="I226" si="297">(E226-E225)/E225</f>
        <v>-0.30683918669131238</v>
      </c>
      <c r="J226" s="3">
        <f t="shared" ref="J226" si="298">E226-E225</f>
        <v>-166</v>
      </c>
      <c r="K226" s="16">
        <f t="shared" ref="K226" si="299">(F226-F174)/F174</f>
        <v>6.0655737704918035E-2</v>
      </c>
      <c r="L226" s="3">
        <f t="shared" si="123"/>
        <v>578.66666666666663</v>
      </c>
    </row>
    <row r="227" spans="1:12" s="18" customFormat="1" ht="13.8" x14ac:dyDescent="0.25">
      <c r="A227" s="27">
        <f t="shared" si="230"/>
        <v>40180</v>
      </c>
      <c r="B227" s="18">
        <f>0+73+0+37</f>
        <v>110</v>
      </c>
      <c r="C227" s="18">
        <f>2+0+5+42</f>
        <v>49</v>
      </c>
      <c r="D227" s="18">
        <f>6+19+0+23</f>
        <v>48</v>
      </c>
      <c r="E227" s="13">
        <f t="shared" si="139"/>
        <v>207</v>
      </c>
      <c r="F227" s="15">
        <v>770</v>
      </c>
      <c r="G227" s="18">
        <f t="shared" si="295"/>
        <v>563</v>
      </c>
      <c r="H227" s="21">
        <f t="shared" ref="H227" si="300">(F227-F226)/F226</f>
        <v>0.1901081916537867</v>
      </c>
      <c r="I227" s="4">
        <f t="shared" ref="I227" si="301">(E227-E226)/E226</f>
        <v>-0.44800000000000001</v>
      </c>
      <c r="J227" s="3">
        <f t="shared" ref="J227" si="302">E227-E226</f>
        <v>-168</v>
      </c>
      <c r="K227" s="16">
        <f t="shared" ref="K227" si="303">(F227-F175)/F175</f>
        <v>0.36524822695035464</v>
      </c>
      <c r="L227" s="3">
        <f>AVERAGE(F71,F123,F175)</f>
        <v>597.33333333333337</v>
      </c>
    </row>
    <row r="228" spans="1:12" s="18" customFormat="1" ht="13.8" x14ac:dyDescent="0.25">
      <c r="A228" s="27">
        <f t="shared" si="230"/>
        <v>40187</v>
      </c>
      <c r="B228" s="18">
        <f>1+58+3+26</f>
        <v>88</v>
      </c>
      <c r="C228" s="18">
        <f>1+0+1+26</f>
        <v>28</v>
      </c>
      <c r="D228" s="18">
        <f>3+20+5+41</f>
        <v>69</v>
      </c>
      <c r="E228" s="13">
        <f t="shared" si="139"/>
        <v>185</v>
      </c>
      <c r="F228" s="15">
        <v>800</v>
      </c>
      <c r="G228" s="18">
        <f t="shared" ref="G228:G229" si="304">F228-E228</f>
        <v>615</v>
      </c>
      <c r="H228" s="21">
        <f t="shared" ref="H228:H229" si="305">(F228-F227)/F227</f>
        <v>3.896103896103896E-2</v>
      </c>
      <c r="I228" s="4">
        <f t="shared" ref="I228:I229" si="306">(E228-E227)/E227</f>
        <v>-0.10628019323671498</v>
      </c>
      <c r="J228" s="3">
        <f t="shared" ref="J228:J229" si="307">E228-E227</f>
        <v>-22</v>
      </c>
      <c r="K228" s="16">
        <f t="shared" ref="K228:K229" si="308">(F228-F176)/F176</f>
        <v>0.40845070422535212</v>
      </c>
      <c r="L228" s="3">
        <f t="shared" ref="L228:L243" si="309">AVERAGE(F72,F124,F176)</f>
        <v>697</v>
      </c>
    </row>
    <row r="229" spans="1:12" s="18" customFormat="1" ht="13.8" x14ac:dyDescent="0.25">
      <c r="A229" s="27">
        <f t="shared" si="230"/>
        <v>40194</v>
      </c>
      <c r="B229" s="18">
        <f>9+43+0+30</f>
        <v>82</v>
      </c>
      <c r="C229" s="18">
        <f>2+0+1+29</f>
        <v>32</v>
      </c>
      <c r="D229" s="18">
        <f>14+64+0+95</f>
        <v>173</v>
      </c>
      <c r="E229" s="13">
        <f t="shared" si="139"/>
        <v>287</v>
      </c>
      <c r="F229" s="15">
        <v>770</v>
      </c>
      <c r="G229" s="18">
        <f t="shared" si="304"/>
        <v>483</v>
      </c>
      <c r="H229" s="21">
        <f t="shared" si="305"/>
        <v>-3.7499999999999999E-2</v>
      </c>
      <c r="I229" s="4">
        <f t="shared" si="306"/>
        <v>0.55135135135135138</v>
      </c>
      <c r="J229" s="3">
        <f t="shared" si="307"/>
        <v>102</v>
      </c>
      <c r="K229" s="16">
        <f t="shared" si="308"/>
        <v>0.13569321533923304</v>
      </c>
      <c r="L229" s="3">
        <f t="shared" si="309"/>
        <v>677.33333333333337</v>
      </c>
    </row>
    <row r="230" spans="1:12" s="18" customFormat="1" ht="13.8" x14ac:dyDescent="0.25">
      <c r="A230" s="27">
        <f t="shared" si="230"/>
        <v>40201</v>
      </c>
      <c r="B230" s="18">
        <f>3+106+8+92</f>
        <v>209</v>
      </c>
      <c r="C230" s="18">
        <f>1+0+1+24</f>
        <v>26</v>
      </c>
      <c r="D230" s="18">
        <f>13+71+0+86</f>
        <v>170</v>
      </c>
      <c r="E230" s="13">
        <f t="shared" si="139"/>
        <v>405</v>
      </c>
      <c r="F230" s="15">
        <v>671</v>
      </c>
      <c r="G230" s="18">
        <f t="shared" ref="G230" si="310">F230-E230</f>
        <v>266</v>
      </c>
      <c r="H230" s="21">
        <f t="shared" ref="H230" si="311">(F230-F229)/F229</f>
        <v>-0.12857142857142856</v>
      </c>
      <c r="I230" s="4">
        <f t="shared" ref="I230" si="312">(E230-E229)/E229</f>
        <v>0.41114982578397213</v>
      </c>
      <c r="J230" s="3">
        <f t="shared" ref="J230" si="313">E230-E229</f>
        <v>118</v>
      </c>
      <c r="K230" s="16">
        <f t="shared" ref="K230" si="314">(F230-F178)/F178</f>
        <v>-3.3141210374639768E-2</v>
      </c>
      <c r="L230" s="3">
        <f t="shared" si="309"/>
        <v>681</v>
      </c>
    </row>
    <row r="231" spans="1:12" s="18" customFormat="1" ht="13.8" x14ac:dyDescent="0.25">
      <c r="A231" s="27">
        <f t="shared" si="230"/>
        <v>40208</v>
      </c>
      <c r="B231" s="18">
        <f>4+131+0+67</f>
        <v>202</v>
      </c>
      <c r="C231" s="18">
        <f>0+0+5+25</f>
        <v>30</v>
      </c>
      <c r="D231" s="18">
        <f>7+90+0+74</f>
        <v>171</v>
      </c>
      <c r="E231" s="13">
        <f t="shared" si="139"/>
        <v>403</v>
      </c>
      <c r="F231" s="15">
        <v>747</v>
      </c>
      <c r="G231" s="18">
        <f t="shared" ref="G231" si="315">F231-E231</f>
        <v>344</v>
      </c>
      <c r="H231" s="21">
        <f t="shared" ref="H231" si="316">(F231-F230)/F230</f>
        <v>0.11326378539493294</v>
      </c>
      <c r="I231" s="4">
        <f t="shared" ref="I231" si="317">(E231-E230)/E230</f>
        <v>-4.9382716049382715E-3</v>
      </c>
      <c r="J231" s="3">
        <f t="shared" ref="J231" si="318">E231-E230</f>
        <v>-2</v>
      </c>
      <c r="K231" s="16">
        <f t="shared" ref="K231" si="319">(F231-F179)/F179</f>
        <v>0.17452830188679244</v>
      </c>
      <c r="L231" s="3">
        <f t="shared" si="309"/>
        <v>698.33333333333337</v>
      </c>
    </row>
    <row r="232" spans="1:12" s="18" customFormat="1" ht="13.8" x14ac:dyDescent="0.25">
      <c r="A232" s="27">
        <f t="shared" si="230"/>
        <v>40215</v>
      </c>
      <c r="B232" s="18">
        <f>26+102+5+67</f>
        <v>200</v>
      </c>
      <c r="C232" s="18">
        <f>0+0+9+42</f>
        <v>51</v>
      </c>
      <c r="D232" s="18">
        <f>2+96+0+92</f>
        <v>190</v>
      </c>
      <c r="E232" s="13">
        <f t="shared" si="139"/>
        <v>441</v>
      </c>
      <c r="F232" s="15">
        <v>658</v>
      </c>
      <c r="G232" s="18">
        <f t="shared" ref="G232" si="320">F232-E232</f>
        <v>217</v>
      </c>
      <c r="H232" s="21">
        <f t="shared" ref="H232" si="321">(F232-F231)/F231</f>
        <v>-0.11914323962516733</v>
      </c>
      <c r="I232" s="4">
        <f t="shared" ref="I232" si="322">(E232-E231)/E231</f>
        <v>9.4292803970223327E-2</v>
      </c>
      <c r="J232" s="3">
        <f t="shared" ref="J232" si="323">E232-E231</f>
        <v>38</v>
      </c>
      <c r="K232" s="16">
        <f t="shared" ref="K232" si="324">(F232-F180)/F180</f>
        <v>-4.2212518195050945E-2</v>
      </c>
      <c r="L232" s="3">
        <f t="shared" si="309"/>
        <v>731.66666666666663</v>
      </c>
    </row>
    <row r="233" spans="1:12" s="18" customFormat="1" ht="13.8" x14ac:dyDescent="0.25">
      <c r="A233" s="27">
        <f t="shared" si="230"/>
        <v>40222</v>
      </c>
      <c r="B233" s="18">
        <f>10+122+0+84</f>
        <v>216</v>
      </c>
      <c r="C233" s="18">
        <f>3+0+5+33</f>
        <v>41</v>
      </c>
      <c r="D233" s="18">
        <f>2+99+0+60</f>
        <v>161</v>
      </c>
      <c r="E233" s="13">
        <f t="shared" si="139"/>
        <v>418</v>
      </c>
      <c r="F233" s="15">
        <v>598</v>
      </c>
      <c r="G233" s="18">
        <f t="shared" ref="G233" si="325">F233-E233</f>
        <v>180</v>
      </c>
      <c r="H233" s="21">
        <f t="shared" ref="H233" si="326">(F233-F232)/F232</f>
        <v>-9.1185410334346503E-2</v>
      </c>
      <c r="I233" s="4">
        <f t="shared" ref="I233" si="327">(E233-E232)/E232</f>
        <v>-5.2154195011337869E-2</v>
      </c>
      <c r="J233" s="3">
        <f t="shared" ref="J233" si="328">E233-E232</f>
        <v>-23</v>
      </c>
      <c r="K233" s="16">
        <f t="shared" ref="K233" si="329">(F233-F181)/F181</f>
        <v>-7.4303405572755415E-2</v>
      </c>
      <c r="L233" s="3">
        <f t="shared" si="309"/>
        <v>774.33333333333337</v>
      </c>
    </row>
    <row r="234" spans="1:12" s="18" customFormat="1" ht="13.8" x14ac:dyDescent="0.25">
      <c r="A234" s="27">
        <f t="shared" si="230"/>
        <v>40229</v>
      </c>
      <c r="B234" s="18">
        <f>2+102+0+59</f>
        <v>163</v>
      </c>
      <c r="C234" s="18">
        <f>3+0+6+26</f>
        <v>35</v>
      </c>
      <c r="D234" s="18">
        <f>0+96+0+51</f>
        <v>147</v>
      </c>
      <c r="E234" s="13">
        <f t="shared" si="139"/>
        <v>345</v>
      </c>
      <c r="F234" s="15">
        <v>708</v>
      </c>
      <c r="G234" s="18">
        <f t="shared" ref="G234" si="330">F234-E234</f>
        <v>363</v>
      </c>
      <c r="H234" s="21">
        <f t="shared" ref="H234" si="331">(F234-F233)/F233</f>
        <v>0.18394648829431437</v>
      </c>
      <c r="I234" s="4">
        <f t="shared" ref="I234" si="332">(E234-E233)/E233</f>
        <v>-0.17464114832535885</v>
      </c>
      <c r="J234" s="3">
        <f t="shared" ref="J234" si="333">E234-E233</f>
        <v>-73</v>
      </c>
      <c r="K234" s="16">
        <f t="shared" ref="K234" si="334">(F234-F182)/F182</f>
        <v>0.26203208556149732</v>
      </c>
      <c r="L234" s="3">
        <f t="shared" si="309"/>
        <v>647</v>
      </c>
    </row>
    <row r="235" spans="1:12" s="18" customFormat="1" ht="13.8" x14ac:dyDescent="0.25">
      <c r="A235" s="27">
        <f t="shared" si="230"/>
        <v>40236</v>
      </c>
      <c r="B235" s="18">
        <f>2+159+0+78</f>
        <v>239</v>
      </c>
      <c r="C235" s="18">
        <f>1+0+1+29</f>
        <v>31</v>
      </c>
      <c r="D235" s="18">
        <f>1+79+1+20</f>
        <v>101</v>
      </c>
      <c r="E235" s="13">
        <f t="shared" si="139"/>
        <v>371</v>
      </c>
      <c r="F235" s="15">
        <v>759</v>
      </c>
      <c r="G235" s="18">
        <f t="shared" ref="G235" si="335">F235-E235</f>
        <v>388</v>
      </c>
      <c r="H235" s="21">
        <f t="shared" ref="H235" si="336">(F235-F234)/F234</f>
        <v>7.2033898305084748E-2</v>
      </c>
      <c r="I235" s="4">
        <f t="shared" ref="I235" si="337">(E235-E234)/E234</f>
        <v>7.5362318840579715E-2</v>
      </c>
      <c r="J235" s="3">
        <f t="shared" ref="J235" si="338">E235-E234</f>
        <v>26</v>
      </c>
      <c r="K235" s="16">
        <f t="shared" ref="K235" si="339">(F235-F183)/F183</f>
        <v>0.49704142011834318</v>
      </c>
      <c r="L235" s="3">
        <f t="shared" si="309"/>
        <v>622.66666666666663</v>
      </c>
    </row>
    <row r="236" spans="1:12" s="18" customFormat="1" ht="13.8" x14ac:dyDescent="0.25">
      <c r="A236" s="27">
        <f t="shared" si="230"/>
        <v>40243</v>
      </c>
      <c r="B236" s="18">
        <f>4+258+0+74</f>
        <v>336</v>
      </c>
      <c r="C236" s="18">
        <f>2+0+5+29</f>
        <v>36</v>
      </c>
      <c r="D236" s="18">
        <f>0+78+0+30</f>
        <v>108</v>
      </c>
      <c r="E236" s="13">
        <f t="shared" si="139"/>
        <v>480</v>
      </c>
      <c r="F236" s="15">
        <v>577</v>
      </c>
      <c r="G236" s="18">
        <f t="shared" ref="G236" si="340">F236-E236</f>
        <v>97</v>
      </c>
      <c r="H236" s="21">
        <f t="shared" ref="H236" si="341">(F236-F235)/F235</f>
        <v>-0.23978919631093545</v>
      </c>
      <c r="I236" s="4">
        <f t="shared" ref="I236" si="342">(E236-E235)/E235</f>
        <v>0.29380053908355797</v>
      </c>
      <c r="J236" s="3">
        <f t="shared" ref="J236" si="343">E236-E235</f>
        <v>109</v>
      </c>
      <c r="K236" s="16">
        <f t="shared" ref="K236" si="344">(F236-F184)/F184</f>
        <v>-1.3675213675213675E-2</v>
      </c>
      <c r="L236" s="3">
        <f t="shared" si="309"/>
        <v>649.33333333333337</v>
      </c>
    </row>
    <row r="237" spans="1:12" s="18" customFormat="1" ht="13.8" x14ac:dyDescent="0.25">
      <c r="A237" s="27">
        <f t="shared" si="230"/>
        <v>40250</v>
      </c>
      <c r="B237" s="18">
        <f>2+250+0+44</f>
        <v>296</v>
      </c>
      <c r="C237" s="18">
        <f>4+0+3+24</f>
        <v>31</v>
      </c>
      <c r="D237" s="18">
        <f>3+164+0+51</f>
        <v>218</v>
      </c>
      <c r="E237" s="13">
        <f t="shared" si="139"/>
        <v>545</v>
      </c>
      <c r="F237" s="15">
        <v>583</v>
      </c>
      <c r="G237" s="18">
        <f t="shared" ref="G237" si="345">F237-E237</f>
        <v>38</v>
      </c>
      <c r="H237" s="21">
        <f t="shared" ref="H237" si="346">(F237-F236)/F236</f>
        <v>1.0398613518197574E-2</v>
      </c>
      <c r="I237" s="4">
        <f t="shared" ref="I237" si="347">(E237-E236)/E236</f>
        <v>0.13541666666666666</v>
      </c>
      <c r="J237" s="3">
        <f t="shared" ref="J237" si="348">E237-E236</f>
        <v>65</v>
      </c>
      <c r="K237" s="16">
        <f t="shared" ref="K237" si="349">(F237-F185)/F185</f>
        <v>3.5523978685612786E-2</v>
      </c>
      <c r="L237" s="3">
        <f t="shared" si="309"/>
        <v>598.33333333333337</v>
      </c>
    </row>
    <row r="238" spans="1:12" s="18" customFormat="1" ht="13.8" x14ac:dyDescent="0.25">
      <c r="A238" s="27">
        <f t="shared" si="230"/>
        <v>40257</v>
      </c>
      <c r="B238" s="18">
        <f>1+84+0+37</f>
        <v>122</v>
      </c>
      <c r="C238" s="18">
        <f>6+0+8+9</f>
        <v>23</v>
      </c>
      <c r="D238" s="18">
        <f>5+109+1+33</f>
        <v>148</v>
      </c>
      <c r="E238" s="13">
        <f t="shared" si="139"/>
        <v>293</v>
      </c>
      <c r="F238" s="15">
        <v>725</v>
      </c>
      <c r="G238" s="18">
        <f t="shared" ref="G238" si="350">F238-E238</f>
        <v>432</v>
      </c>
      <c r="H238" s="21">
        <f t="shared" ref="H238" si="351">(F238-F237)/F237</f>
        <v>0.24356775300171526</v>
      </c>
      <c r="I238" s="4">
        <f t="shared" ref="I238" si="352">(E238-E237)/E237</f>
        <v>-0.46238532110091746</v>
      </c>
      <c r="J238" s="3">
        <f t="shared" ref="J238" si="353">E238-E237</f>
        <v>-252</v>
      </c>
      <c r="K238" s="16">
        <f t="shared" ref="K238" si="354">(F238-F186)/F186</f>
        <v>0.25649913344887348</v>
      </c>
      <c r="L238" s="3">
        <f t="shared" si="309"/>
        <v>572.66666666666663</v>
      </c>
    </row>
    <row r="239" spans="1:12" s="18" customFormat="1" ht="13.8" x14ac:dyDescent="0.25">
      <c r="A239" s="27">
        <f t="shared" si="230"/>
        <v>40264</v>
      </c>
      <c r="B239" s="18">
        <f>3+105+0+42</f>
        <v>150</v>
      </c>
      <c r="C239" s="18">
        <f>6+0+10+17</f>
        <v>33</v>
      </c>
      <c r="D239" s="18">
        <f>3+105+0+38</f>
        <v>146</v>
      </c>
      <c r="E239" s="13">
        <f t="shared" si="139"/>
        <v>329</v>
      </c>
      <c r="F239" s="15">
        <v>621</v>
      </c>
      <c r="G239" s="18">
        <f t="shared" ref="G239" si="355">F239-E239</f>
        <v>292</v>
      </c>
      <c r="H239" s="21">
        <f t="shared" ref="H239" si="356">(F239-F238)/F238</f>
        <v>-0.14344827586206896</v>
      </c>
      <c r="I239" s="4">
        <f t="shared" ref="I239" si="357">(E239-E238)/E238</f>
        <v>0.12286689419795221</v>
      </c>
      <c r="J239" s="3">
        <f t="shared" ref="J239" si="358">E239-E238</f>
        <v>36</v>
      </c>
      <c r="K239" s="16">
        <f t="shared" ref="K239" si="359">(F239-F187)/F187</f>
        <v>-3.1201248049921998E-2</v>
      </c>
      <c r="L239" s="3">
        <f t="shared" si="309"/>
        <v>540</v>
      </c>
    </row>
    <row r="240" spans="1:12" s="18" customFormat="1" ht="13.8" x14ac:dyDescent="0.25">
      <c r="A240" s="27">
        <f t="shared" si="230"/>
        <v>40271</v>
      </c>
      <c r="B240" s="18">
        <f>0+173+0+46</f>
        <v>219</v>
      </c>
      <c r="C240" s="18">
        <f>8+2+4+14</f>
        <v>28</v>
      </c>
      <c r="D240" s="18">
        <f>5+60+0+30</f>
        <v>95</v>
      </c>
      <c r="E240" s="13">
        <f t="shared" si="139"/>
        <v>342</v>
      </c>
      <c r="F240" s="15">
        <v>425</v>
      </c>
      <c r="G240" s="18">
        <f t="shared" ref="G240" si="360">F240-E240</f>
        <v>83</v>
      </c>
      <c r="H240" s="21">
        <f t="shared" ref="H240" si="361">(F240-F239)/F239</f>
        <v>-0.31561996779388085</v>
      </c>
      <c r="I240" s="4">
        <f t="shared" ref="I240" si="362">(E240-E239)/E239</f>
        <v>3.9513677811550151E-2</v>
      </c>
      <c r="J240" s="3">
        <f t="shared" ref="J240" si="363">E240-E239</f>
        <v>13</v>
      </c>
      <c r="K240" s="16">
        <f t="shared" ref="K240" si="364">(F240-F188)/F188</f>
        <v>-0.35897435897435898</v>
      </c>
      <c r="L240" s="3">
        <f t="shared" si="309"/>
        <v>484</v>
      </c>
    </row>
    <row r="241" spans="1:12" s="18" customFormat="1" ht="13.8" x14ac:dyDescent="0.25">
      <c r="A241" s="27">
        <f t="shared" si="230"/>
        <v>40278</v>
      </c>
      <c r="B241" s="18">
        <f>0+121+0+27</f>
        <v>148</v>
      </c>
      <c r="C241" s="18">
        <f>12+0+2+11</f>
        <v>25</v>
      </c>
      <c r="D241" s="18">
        <f>1+94+0+22</f>
        <v>117</v>
      </c>
      <c r="E241" s="13">
        <f t="shared" si="139"/>
        <v>290</v>
      </c>
      <c r="F241" s="15">
        <v>392</v>
      </c>
      <c r="G241" s="18">
        <f t="shared" ref="G241" si="365">F241-E241</f>
        <v>102</v>
      </c>
      <c r="H241" s="21">
        <f t="shared" ref="H241" si="366">(F241-F240)/F240</f>
        <v>-7.7647058823529416E-2</v>
      </c>
      <c r="I241" s="4">
        <f t="shared" ref="I241" si="367">(E241-E240)/E240</f>
        <v>-0.15204678362573099</v>
      </c>
      <c r="J241" s="3">
        <f t="shared" ref="J241" si="368">E241-E240</f>
        <v>-52</v>
      </c>
      <c r="K241" s="16">
        <f t="shared" ref="K241" si="369">(F241-F189)/F189</f>
        <v>-0.40963855421686746</v>
      </c>
      <c r="L241" s="3">
        <f t="shared" si="309"/>
        <v>504</v>
      </c>
    </row>
    <row r="242" spans="1:12" s="18" customFormat="1" ht="13.8" x14ac:dyDescent="0.25">
      <c r="A242" s="27">
        <f t="shared" si="230"/>
        <v>40285</v>
      </c>
      <c r="B242" s="18">
        <f>5+183+0+42</f>
        <v>230</v>
      </c>
      <c r="C242" s="18">
        <f>4+0+3+4</f>
        <v>11</v>
      </c>
      <c r="D242" s="18">
        <f>1+60+0+19</f>
        <v>80</v>
      </c>
      <c r="E242" s="13">
        <f t="shared" si="139"/>
        <v>321</v>
      </c>
      <c r="F242" s="15">
        <v>461</v>
      </c>
      <c r="G242" s="18">
        <f t="shared" ref="G242" si="370">F242-E242</f>
        <v>140</v>
      </c>
      <c r="H242" s="21">
        <f t="shared" ref="H242" si="371">(F242-F241)/F241</f>
        <v>0.17602040816326531</v>
      </c>
      <c r="I242" s="4">
        <f t="shared" ref="I242" si="372">(E242-E241)/E241</f>
        <v>0.10689655172413794</v>
      </c>
      <c r="J242" s="3">
        <f t="shared" ref="J242" si="373">E242-E241</f>
        <v>31</v>
      </c>
      <c r="K242" s="16">
        <f t="shared" ref="K242" si="374">(F242-F190)/F190</f>
        <v>-0.26003210272873195</v>
      </c>
      <c r="L242" s="3">
        <f t="shared" si="309"/>
        <v>534</v>
      </c>
    </row>
    <row r="243" spans="1:12" s="18" customFormat="1" ht="13.8" x14ac:dyDescent="0.25">
      <c r="A243" s="27">
        <f t="shared" si="230"/>
        <v>40292</v>
      </c>
      <c r="B243" s="18">
        <f>15+268+0+36</f>
        <v>319</v>
      </c>
      <c r="C243" s="18">
        <f>11+0+5+0</f>
        <v>16</v>
      </c>
      <c r="D243" s="18">
        <f>1+37+2+13</f>
        <v>53</v>
      </c>
      <c r="E243" s="13">
        <f t="shared" si="139"/>
        <v>388</v>
      </c>
      <c r="F243" s="15">
        <v>320</v>
      </c>
      <c r="G243" s="18">
        <f t="shared" ref="G243" si="375">F243-E243</f>
        <v>-68</v>
      </c>
      <c r="H243" s="21">
        <f t="shared" ref="H243" si="376">(F243-F242)/F242</f>
        <v>-0.30585683297180044</v>
      </c>
      <c r="I243" s="4">
        <f t="shared" ref="I243" si="377">(E243-E242)/E242</f>
        <v>0.2087227414330218</v>
      </c>
      <c r="J243" s="3">
        <f t="shared" ref="J243" si="378">E243-E242</f>
        <v>67</v>
      </c>
      <c r="K243" s="16">
        <f t="shared" ref="K243" si="379">(F243-F191)/F191</f>
        <v>-0.1731266149870801</v>
      </c>
      <c r="L243" s="3">
        <f t="shared" si="309"/>
        <v>428.33333333333331</v>
      </c>
    </row>
    <row r="244" spans="1:12" s="18" customFormat="1" ht="13.8" x14ac:dyDescent="0.25">
      <c r="A244" s="27">
        <f t="shared" si="230"/>
        <v>40299</v>
      </c>
      <c r="B244" s="18">
        <f>5+216+0+39</f>
        <v>260</v>
      </c>
      <c r="C244" s="18">
        <f>4+2+3+4</f>
        <v>13</v>
      </c>
      <c r="D244" s="18">
        <f>2+35+0+17</f>
        <v>54</v>
      </c>
      <c r="E244" s="13">
        <f t="shared" si="139"/>
        <v>327</v>
      </c>
      <c r="F244" s="15">
        <v>305</v>
      </c>
      <c r="G244" s="18">
        <f t="shared" ref="G244" si="380">F244-E244</f>
        <v>-22</v>
      </c>
      <c r="H244" s="21">
        <f t="shared" ref="H244" si="381">(F244-F243)/F243</f>
        <v>-4.6875E-2</v>
      </c>
      <c r="I244" s="4">
        <f t="shared" ref="I244" si="382">(E244-E243)/E243</f>
        <v>-0.15721649484536082</v>
      </c>
      <c r="J244" s="3">
        <f t="shared" ref="J244" si="383">E244-E243</f>
        <v>-61</v>
      </c>
      <c r="K244" s="16">
        <f t="shared" ref="K244" si="384">(F244-F192)/F192</f>
        <v>-0.47322970639032813</v>
      </c>
      <c r="L244" s="3">
        <f t="shared" ref="L244" si="385">AVERAGE(F88,F140,F192)</f>
        <v>495</v>
      </c>
    </row>
    <row r="245" spans="1:12" s="18" customFormat="1" ht="13.8" x14ac:dyDescent="0.25">
      <c r="A245" s="27">
        <f t="shared" si="230"/>
        <v>40306</v>
      </c>
      <c r="B245" s="18">
        <f>5+343+9+84</f>
        <v>441</v>
      </c>
      <c r="C245" s="18">
        <f>10+0+2+7</f>
        <v>19</v>
      </c>
      <c r="D245" s="18">
        <f>4+72+0+19</f>
        <v>95</v>
      </c>
      <c r="E245" s="13">
        <f t="shared" si="139"/>
        <v>555</v>
      </c>
      <c r="F245" s="15">
        <v>469</v>
      </c>
      <c r="G245" s="18">
        <f t="shared" ref="G245" si="386">F245-E245</f>
        <v>-86</v>
      </c>
      <c r="H245" s="21">
        <f t="shared" ref="H245" si="387">(F245-F244)/F244</f>
        <v>0.53770491803278686</v>
      </c>
      <c r="I245" s="4">
        <f t="shared" ref="I245" si="388">(E245-E244)/E244</f>
        <v>0.69724770642201839</v>
      </c>
      <c r="J245" s="3">
        <f t="shared" ref="J245" si="389">E245-E244</f>
        <v>228</v>
      </c>
      <c r="K245" s="16">
        <f t="shared" ref="K245" si="390">(F245-F193)/F193</f>
        <v>-0.24110032362459546</v>
      </c>
      <c r="L245" s="3">
        <f t="shared" ref="L245" si="391">AVERAGE(F89,F141,F193)</f>
        <v>431</v>
      </c>
    </row>
    <row r="246" spans="1:12" s="18" customFormat="1" ht="13.8" x14ac:dyDescent="0.25">
      <c r="A246" s="27">
        <f t="shared" si="230"/>
        <v>40313</v>
      </c>
      <c r="B246" s="18">
        <f>11+369+2+63</f>
        <v>445</v>
      </c>
      <c r="C246" s="18">
        <f>10+0+4+2</f>
        <v>16</v>
      </c>
      <c r="D246" s="18">
        <f>1+57+0+9</f>
        <v>67</v>
      </c>
      <c r="E246" s="13">
        <f t="shared" si="139"/>
        <v>528</v>
      </c>
      <c r="F246" s="15">
        <v>523</v>
      </c>
      <c r="G246" s="18">
        <f t="shared" ref="G246" si="392">F246-E246</f>
        <v>-5</v>
      </c>
      <c r="H246" s="21">
        <f t="shared" ref="H246" si="393">(F246-F245)/F245</f>
        <v>0.11513859275053305</v>
      </c>
      <c r="I246" s="4">
        <f t="shared" ref="I246" si="394">(E246-E245)/E245</f>
        <v>-4.8648648648648651E-2</v>
      </c>
      <c r="J246" s="3">
        <f t="shared" ref="J246" si="395">E246-E245</f>
        <v>-27</v>
      </c>
      <c r="K246" s="16">
        <f t="shared" ref="K246" si="396">(F246-F194)/F194</f>
        <v>-0.10902896081771721</v>
      </c>
      <c r="L246" s="3">
        <f t="shared" ref="L246" si="397">AVERAGE(F90,F142,F194)</f>
        <v>409</v>
      </c>
    </row>
    <row r="247" spans="1:12" s="18" customFormat="1" ht="13.8" x14ac:dyDescent="0.25">
      <c r="A247" s="27">
        <f t="shared" si="230"/>
        <v>40320</v>
      </c>
      <c r="B247" s="18">
        <f>4+341+0+62</f>
        <v>407</v>
      </c>
      <c r="C247" s="18">
        <f>5+0+9+7</f>
        <v>21</v>
      </c>
      <c r="D247" s="18">
        <f>4+40+0+10</f>
        <v>54</v>
      </c>
      <c r="E247" s="13">
        <f t="shared" si="139"/>
        <v>482</v>
      </c>
      <c r="F247" s="15">
        <v>513</v>
      </c>
      <c r="G247" s="18">
        <f t="shared" ref="G247:G248" si="398">F247-E247</f>
        <v>31</v>
      </c>
      <c r="H247" s="21">
        <f t="shared" ref="H247:H248" si="399">(F247-F246)/F246</f>
        <v>-1.9120458891013385E-2</v>
      </c>
      <c r="I247" s="4">
        <f t="shared" ref="I247:I248" si="400">(E247-E246)/E246</f>
        <v>-8.7121212121212127E-2</v>
      </c>
      <c r="J247" s="3">
        <f t="shared" ref="J247:J248" si="401">E247-E246</f>
        <v>-46</v>
      </c>
      <c r="K247" s="16">
        <f t="shared" ref="K247" si="402">(F247-F195)/F195</f>
        <v>6.8750000000000006E-2</v>
      </c>
      <c r="L247" s="3">
        <f t="shared" ref="L247" si="403">AVERAGE(F91,F143,F195)</f>
        <v>456.66666666666669</v>
      </c>
    </row>
    <row r="248" spans="1:12" s="18" customFormat="1" ht="13.8" x14ac:dyDescent="0.25">
      <c r="A248" s="27">
        <f t="shared" si="230"/>
        <v>40327</v>
      </c>
      <c r="B248" s="18">
        <f>6+458+1+34</f>
        <v>499</v>
      </c>
      <c r="C248" s="18">
        <f>2+0+8+7</f>
        <v>17</v>
      </c>
      <c r="D248" s="18">
        <f>2+45+0+15</f>
        <v>62</v>
      </c>
      <c r="E248" s="13">
        <f t="shared" si="139"/>
        <v>578</v>
      </c>
      <c r="F248" s="15">
        <v>504</v>
      </c>
      <c r="G248" s="18">
        <f t="shared" si="398"/>
        <v>-74</v>
      </c>
      <c r="H248" s="21">
        <f t="shared" si="399"/>
        <v>-1.7543859649122806E-2</v>
      </c>
      <c r="I248" s="4">
        <f t="shared" si="400"/>
        <v>0.19917012448132779</v>
      </c>
      <c r="J248" s="3">
        <f t="shared" si="401"/>
        <v>96</v>
      </c>
      <c r="K248" s="16">
        <f t="shared" ref="K248" si="404">(F248-F196)/F196</f>
        <v>-6.839186691312385E-2</v>
      </c>
      <c r="L248" s="3">
        <f t="shared" ref="L248" si="405">AVERAGE(F92,F144,F196)</f>
        <v>469</v>
      </c>
    </row>
    <row r="249" spans="1:12" s="18" customFormat="1" ht="13.8" x14ac:dyDescent="0.25">
      <c r="A249" s="27">
        <f t="shared" si="230"/>
        <v>40334</v>
      </c>
      <c r="B249" s="18">
        <f>4+351+0+43</f>
        <v>398</v>
      </c>
      <c r="C249" s="18">
        <f>6+0+8+5</f>
        <v>19</v>
      </c>
      <c r="D249" s="18">
        <f>1+63+0+21</f>
        <v>85</v>
      </c>
      <c r="E249" s="13">
        <f t="shared" si="139"/>
        <v>502</v>
      </c>
      <c r="F249" s="15">
        <v>549</v>
      </c>
      <c r="G249" s="18">
        <f t="shared" ref="G249:G250" si="406">F249-E249</f>
        <v>47</v>
      </c>
      <c r="H249" s="21">
        <f t="shared" ref="H249" si="407">(F249-F248)/F248</f>
        <v>8.9285714285714288E-2</v>
      </c>
      <c r="I249" s="4">
        <f t="shared" ref="I249" si="408">(E249-E248)/E248</f>
        <v>-0.13148788927335639</v>
      </c>
      <c r="J249" s="3">
        <f t="shared" ref="J249" si="409">E249-E248</f>
        <v>-76</v>
      </c>
      <c r="K249" s="16">
        <f t="shared" ref="K249" si="410">(F249-F197)/F197</f>
        <v>2.6168224299065422E-2</v>
      </c>
      <c r="L249" s="3">
        <f t="shared" ref="L249" si="411">AVERAGE(F93,F145,F197)</f>
        <v>485.33333333333331</v>
      </c>
    </row>
    <row r="250" spans="1:12" s="18" customFormat="1" ht="13.8" x14ac:dyDescent="0.25">
      <c r="A250" s="27">
        <f t="shared" si="230"/>
        <v>40341</v>
      </c>
      <c r="B250" s="18">
        <f>9+375+3+61</f>
        <v>448</v>
      </c>
      <c r="C250" s="18">
        <f>8+0+1+8</f>
        <v>17</v>
      </c>
      <c r="D250" s="18">
        <f>2+16+3+7</f>
        <v>28</v>
      </c>
      <c r="E250" s="13">
        <f t="shared" si="139"/>
        <v>493</v>
      </c>
      <c r="F250" s="15">
        <v>466</v>
      </c>
      <c r="G250" s="18">
        <f t="shared" si="406"/>
        <v>-27</v>
      </c>
      <c r="H250" s="21">
        <f t="shared" ref="H250" si="412">(F250-F249)/F249</f>
        <v>-0.151183970856102</v>
      </c>
      <c r="I250" s="4">
        <f t="shared" ref="I250" si="413">(E250-E249)/E249</f>
        <v>-1.7928286852589643E-2</v>
      </c>
      <c r="J250" s="3">
        <f t="shared" ref="J250" si="414">E250-E249</f>
        <v>-9</v>
      </c>
      <c r="K250" s="16">
        <f t="shared" ref="K250" si="415">(F250-F198)/F198</f>
        <v>-0.28746177370030579</v>
      </c>
      <c r="L250" s="3">
        <f t="shared" ref="L250" si="416">AVERAGE(F94,F146,F198)</f>
        <v>567</v>
      </c>
    </row>
    <row r="251" spans="1:12" ht="13.8" x14ac:dyDescent="0.25">
      <c r="A251" s="27">
        <f t="shared" si="230"/>
        <v>40348</v>
      </c>
      <c r="B251" s="3">
        <f>9+376+0+65</f>
        <v>450</v>
      </c>
      <c r="C251" s="3">
        <f>12+0+11+3</f>
        <v>26</v>
      </c>
      <c r="D251" s="3">
        <f>3+27+1+17</f>
        <v>48</v>
      </c>
      <c r="E251" s="13">
        <f t="shared" si="139"/>
        <v>524</v>
      </c>
      <c r="F251" s="15">
        <v>457</v>
      </c>
      <c r="G251" s="18">
        <f t="shared" ref="G251" si="417">F251-E251</f>
        <v>-67</v>
      </c>
      <c r="H251" s="21">
        <f t="shared" ref="H251" si="418">(F251-F250)/F250</f>
        <v>-1.9313304721030045E-2</v>
      </c>
      <c r="I251" s="4">
        <f t="shared" ref="I251" si="419">(E251-E250)/E250</f>
        <v>6.2880324543610547E-2</v>
      </c>
      <c r="J251" s="3">
        <f t="shared" ref="J251" si="420">E251-E250</f>
        <v>31</v>
      </c>
      <c r="K251" s="16">
        <f t="shared" ref="K251" si="421">(F251-F199)/F199</f>
        <v>-0.27229299363057324</v>
      </c>
      <c r="L251" s="3">
        <f t="shared" ref="L251" si="422">AVERAGE(F95,F147,F199)</f>
        <v>555.33333333333337</v>
      </c>
    </row>
    <row r="252" spans="1:12" ht="13.8" x14ac:dyDescent="0.25">
      <c r="A252" s="27">
        <f t="shared" si="230"/>
        <v>40355</v>
      </c>
      <c r="B252" s="3">
        <f>4+348+1+29</f>
        <v>382</v>
      </c>
      <c r="C252" s="3">
        <f>20+0+2+11</f>
        <v>33</v>
      </c>
      <c r="D252" s="3">
        <f>4+17+0+6</f>
        <v>27</v>
      </c>
      <c r="E252" s="13">
        <f t="shared" si="139"/>
        <v>442</v>
      </c>
      <c r="F252" s="15">
        <v>494</v>
      </c>
      <c r="G252" s="18">
        <f t="shared" ref="G252" si="423">F252-E252</f>
        <v>52</v>
      </c>
      <c r="H252" s="21">
        <f t="shared" ref="H252" si="424">(F252-F251)/F251</f>
        <v>8.0962800875273522E-2</v>
      </c>
      <c r="I252" s="4">
        <f t="shared" ref="I252" si="425">(E252-E251)/E251</f>
        <v>-0.15648854961832062</v>
      </c>
      <c r="J252" s="3">
        <f t="shared" ref="J252" si="426">E252-E251</f>
        <v>-82</v>
      </c>
      <c r="K252" s="16">
        <f t="shared" ref="K252" si="427">(F252-F200)/F200</f>
        <v>-0.11469534050179211</v>
      </c>
      <c r="L252" s="3">
        <f t="shared" ref="L252" si="428">AVERAGE(F96,F148,F200)</f>
        <v>499.66666666666669</v>
      </c>
    </row>
    <row r="253" spans="1:12" ht="13.8" x14ac:dyDescent="0.25">
      <c r="A253" s="27">
        <f t="shared" si="230"/>
        <v>40362</v>
      </c>
      <c r="B253" s="3">
        <f>0+356+1+87</f>
        <v>444</v>
      </c>
      <c r="C253" s="3">
        <f>14+0+8+8</f>
        <v>30</v>
      </c>
      <c r="D253" s="3">
        <f>3+26+0+7</f>
        <v>36</v>
      </c>
      <c r="E253" s="13">
        <f t="shared" ref="E253:E292" si="429">SUM(B253:D253)</f>
        <v>510</v>
      </c>
      <c r="F253" s="15">
        <v>453</v>
      </c>
      <c r="G253" s="18">
        <f t="shared" ref="G253" si="430">F253-E253</f>
        <v>-57</v>
      </c>
      <c r="H253" s="21">
        <f t="shared" ref="H253" si="431">(F253-F252)/F252</f>
        <v>-8.2995951417004055E-2</v>
      </c>
      <c r="I253" s="4">
        <f t="shared" ref="I253" si="432">(E253-E252)/E252</f>
        <v>0.15384615384615385</v>
      </c>
      <c r="J253" s="3">
        <f t="shared" ref="J253" si="433">E253-E252</f>
        <v>68</v>
      </c>
      <c r="K253" s="16">
        <f t="shared" ref="K253" si="434">(F253-F201)/F201</f>
        <v>-0.25493421052631576</v>
      </c>
      <c r="L253" s="3">
        <f t="shared" ref="L253" si="435">AVERAGE(F97,F149,F201)</f>
        <v>446.33333333333331</v>
      </c>
    </row>
    <row r="254" spans="1:12" ht="13.8" x14ac:dyDescent="0.25">
      <c r="A254" s="27">
        <f t="shared" si="230"/>
        <v>40369</v>
      </c>
      <c r="B254" s="3">
        <f>5+312+0+70</f>
        <v>387</v>
      </c>
      <c r="C254" s="3">
        <f>12+1+0+8</f>
        <v>21</v>
      </c>
      <c r="D254" s="3">
        <f>4+21+0+9</f>
        <v>34</v>
      </c>
      <c r="E254" s="13">
        <f t="shared" si="429"/>
        <v>442</v>
      </c>
      <c r="F254" s="15">
        <v>490</v>
      </c>
      <c r="G254" s="18">
        <f t="shared" ref="G254" si="436">F254-E254</f>
        <v>48</v>
      </c>
      <c r="H254" s="21">
        <f t="shared" ref="H254" si="437">(F254-F253)/F253</f>
        <v>8.1677704194260486E-2</v>
      </c>
      <c r="I254" s="4">
        <f t="shared" ref="I254" si="438">(E254-E253)/E253</f>
        <v>-0.13333333333333333</v>
      </c>
      <c r="J254" s="3">
        <f t="shared" ref="J254" si="439">E254-E253</f>
        <v>-68</v>
      </c>
      <c r="K254" s="16">
        <f t="shared" ref="K254" si="440">(F254-F202)/F202</f>
        <v>-0.18333333333333332</v>
      </c>
      <c r="L254" s="3">
        <f t="shared" ref="L254" si="441">AVERAGE(F98,F150,F202)</f>
        <v>521.66666666666663</v>
      </c>
    </row>
    <row r="255" spans="1:12" ht="13.8" x14ac:dyDescent="0.25">
      <c r="A255" s="27">
        <f t="shared" si="230"/>
        <v>40376</v>
      </c>
      <c r="B255" s="3">
        <f>7+388+6+53</f>
        <v>454</v>
      </c>
      <c r="C255" s="3">
        <f>13+0+0+5</f>
        <v>18</v>
      </c>
      <c r="D255" s="3">
        <f>11+23+0+5</f>
        <v>39</v>
      </c>
      <c r="E255" s="13">
        <f t="shared" si="429"/>
        <v>511</v>
      </c>
      <c r="F255" s="15">
        <v>527</v>
      </c>
      <c r="G255" s="18">
        <f t="shared" ref="G255" si="442">F255-E255</f>
        <v>16</v>
      </c>
      <c r="H255" s="21">
        <f t="shared" ref="H255" si="443">(F255-F254)/F254</f>
        <v>7.5510204081632656E-2</v>
      </c>
      <c r="I255" s="4">
        <f t="shared" ref="I255" si="444">(E255-E254)/E254</f>
        <v>0.15610859728506787</v>
      </c>
      <c r="J255" s="3">
        <f t="shared" ref="J255" si="445">E255-E254</f>
        <v>69</v>
      </c>
      <c r="K255" s="16">
        <f t="shared" ref="K255" si="446">(F255-F203)/F203</f>
        <v>-0.11725293132328309</v>
      </c>
      <c r="L255" s="3">
        <f t="shared" ref="L255" si="447">AVERAGE(F99,F151,F203)</f>
        <v>485.66666666666669</v>
      </c>
    </row>
    <row r="256" spans="1:12" ht="13.8" x14ac:dyDescent="0.25">
      <c r="A256" s="27">
        <f t="shared" si="230"/>
        <v>40383</v>
      </c>
      <c r="B256" s="3">
        <f>5+425+6+47</f>
        <v>483</v>
      </c>
      <c r="C256" s="3">
        <f>6+0+0+6</f>
        <v>12</v>
      </c>
      <c r="D256" s="3">
        <f>7+39+0+9</f>
        <v>55</v>
      </c>
      <c r="E256" s="13">
        <f t="shared" si="429"/>
        <v>550</v>
      </c>
      <c r="F256" s="15">
        <v>410</v>
      </c>
      <c r="G256" s="18">
        <f t="shared" ref="G256:G257" si="448">F256-E256</f>
        <v>-140</v>
      </c>
      <c r="H256" s="21">
        <f t="shared" ref="H256" si="449">(F256-F255)/F255</f>
        <v>-0.22201138519924099</v>
      </c>
      <c r="I256" s="4">
        <f t="shared" ref="I256" si="450">(E256-E255)/E255</f>
        <v>7.6320939334637961E-2</v>
      </c>
      <c r="J256" s="3">
        <f t="shared" ref="J256" si="451">E256-E255</f>
        <v>39</v>
      </c>
      <c r="K256" s="16">
        <f t="shared" ref="K256" si="452">(F256-F204)/F204</f>
        <v>-0.39349112426035504</v>
      </c>
      <c r="L256" s="3">
        <f t="shared" ref="L256" si="453">AVERAGE(F100,F152,F204)</f>
        <v>532.33333333333337</v>
      </c>
    </row>
    <row r="257" spans="1:13" ht="13.8" x14ac:dyDescent="0.25">
      <c r="A257" s="27">
        <f t="shared" si="230"/>
        <v>40390</v>
      </c>
      <c r="B257" s="3">
        <f>2+355+0+66+1+95</f>
        <v>519</v>
      </c>
      <c r="C257" s="3">
        <f>17+0+0+10+0+1</f>
        <v>28</v>
      </c>
      <c r="D257" s="3">
        <f>9+49+0+14+2+9</f>
        <v>83</v>
      </c>
      <c r="E257" s="13">
        <f t="shared" si="429"/>
        <v>630</v>
      </c>
      <c r="F257" s="15">
        <v>364</v>
      </c>
      <c r="G257" s="18">
        <f t="shared" si="448"/>
        <v>-266</v>
      </c>
      <c r="H257" s="21">
        <f t="shared" ref="H257" si="454">(F257-F256)/F256</f>
        <v>-0.11219512195121951</v>
      </c>
      <c r="I257" s="4">
        <f t="shared" ref="I257" si="455">(E257-E256)/E256</f>
        <v>0.14545454545454545</v>
      </c>
      <c r="J257" s="3">
        <f t="shared" ref="J257" si="456">E257-E256</f>
        <v>80</v>
      </c>
      <c r="K257" s="16">
        <f t="shared" ref="K257" si="457">(F257-F205)/F205</f>
        <v>-0.24481327800829875</v>
      </c>
      <c r="L257" s="3">
        <f t="shared" ref="L257" si="458">AVERAGE(F101,F153,F205)</f>
        <v>488</v>
      </c>
    </row>
    <row r="258" spans="1:13" ht="13.8" x14ac:dyDescent="0.25">
      <c r="A258" s="27">
        <f t="shared" si="230"/>
        <v>40397</v>
      </c>
      <c r="B258" s="3">
        <f>5+341+0+59</f>
        <v>405</v>
      </c>
      <c r="C258" s="3">
        <f>11+1+3+8</f>
        <v>23</v>
      </c>
      <c r="D258" s="3">
        <f>7+17+2+11</f>
        <v>37</v>
      </c>
      <c r="E258" s="13">
        <f t="shared" si="429"/>
        <v>465</v>
      </c>
      <c r="F258" s="15">
        <v>455</v>
      </c>
      <c r="G258" s="18">
        <f t="shared" ref="G258" si="459">F258-E258</f>
        <v>-10</v>
      </c>
      <c r="H258" s="21">
        <f t="shared" ref="H258" si="460">(F258-F257)/F257</f>
        <v>0.25</v>
      </c>
      <c r="I258" s="4">
        <f t="shared" ref="I258" si="461">(E258-E257)/E257</f>
        <v>-0.26190476190476192</v>
      </c>
      <c r="J258" s="3">
        <f t="shared" ref="J258" si="462">E258-E257</f>
        <v>-165</v>
      </c>
      <c r="K258" s="16">
        <f t="shared" ref="K258" si="463">(F258-F206)/F206</f>
        <v>-0.18018018018018017</v>
      </c>
      <c r="L258" s="3">
        <f t="shared" ref="L258" si="464">AVERAGE(F102,F154,F206)</f>
        <v>609</v>
      </c>
    </row>
    <row r="259" spans="1:13" ht="13.8" x14ac:dyDescent="0.25">
      <c r="A259" s="27">
        <f t="shared" si="230"/>
        <v>40404</v>
      </c>
      <c r="B259" s="3">
        <f>3+340+7+59</f>
        <v>409</v>
      </c>
      <c r="C259" s="3">
        <f>13+0+2+3</f>
        <v>18</v>
      </c>
      <c r="D259" s="3">
        <f>9+7+0+3</f>
        <v>19</v>
      </c>
      <c r="E259" s="13">
        <f t="shared" si="429"/>
        <v>446</v>
      </c>
      <c r="F259" s="15">
        <v>506</v>
      </c>
      <c r="G259" s="18">
        <f t="shared" ref="G259" si="465">F259-E259</f>
        <v>60</v>
      </c>
      <c r="H259" s="21">
        <f t="shared" ref="H259" si="466">(F259-F258)/F258</f>
        <v>0.11208791208791209</v>
      </c>
      <c r="I259" s="4">
        <f t="shared" ref="I259" si="467">(E259-E258)/E258</f>
        <v>-4.0860215053763443E-2</v>
      </c>
      <c r="J259" s="3">
        <f t="shared" ref="J259" si="468">E259-E258</f>
        <v>-19</v>
      </c>
      <c r="K259" s="16">
        <f t="shared" ref="K259" si="469">(F259-F207)/F207</f>
        <v>0.10239651416122005</v>
      </c>
      <c r="L259" s="3">
        <f t="shared" ref="L259" si="470">AVERAGE(F103,F155,F207)</f>
        <v>538.66666666666663</v>
      </c>
    </row>
    <row r="260" spans="1:13" ht="13.8" x14ac:dyDescent="0.25">
      <c r="A260" s="27">
        <f t="shared" si="230"/>
        <v>40411</v>
      </c>
      <c r="B260" s="3">
        <f>6+147+3+62</f>
        <v>218</v>
      </c>
      <c r="C260" s="3">
        <f>16+0+1+13</f>
        <v>30</v>
      </c>
      <c r="D260" s="3">
        <f>2+9+0+5</f>
        <v>16</v>
      </c>
      <c r="E260" s="13">
        <f t="shared" si="429"/>
        <v>264</v>
      </c>
      <c r="F260" s="15">
        <v>528</v>
      </c>
      <c r="G260" s="18">
        <f t="shared" ref="G260" si="471">F260-E260</f>
        <v>264</v>
      </c>
      <c r="H260" s="21">
        <f t="shared" ref="H260" si="472">(F260-F259)/F259</f>
        <v>4.3478260869565216E-2</v>
      </c>
      <c r="I260" s="4">
        <f t="shared" ref="I260" si="473">(E260-E259)/E259</f>
        <v>-0.40807174887892378</v>
      </c>
      <c r="J260" s="3">
        <f t="shared" ref="J260" si="474">E260-E259</f>
        <v>-182</v>
      </c>
      <c r="K260" s="16">
        <f t="shared" ref="K260" si="475">(F260-F208)/F208</f>
        <v>-2.9411764705882353E-2</v>
      </c>
      <c r="L260" s="3">
        <f t="shared" ref="L260" si="476">AVERAGE(F104,F156,F208)</f>
        <v>557</v>
      </c>
      <c r="M260" s="35" t="s">
        <v>24</v>
      </c>
    </row>
    <row r="261" spans="1:13" ht="13.8" x14ac:dyDescent="0.25">
      <c r="A261" s="27">
        <f t="shared" si="230"/>
        <v>40418</v>
      </c>
      <c r="B261" s="3">
        <f>5+157+5+21</f>
        <v>188</v>
      </c>
      <c r="C261" s="3">
        <f>16+3+1+4</f>
        <v>24</v>
      </c>
      <c r="D261" s="3">
        <f>5+21+0+12</f>
        <v>38</v>
      </c>
      <c r="E261" s="13">
        <f t="shared" si="429"/>
        <v>250</v>
      </c>
      <c r="F261" s="15">
        <v>450</v>
      </c>
      <c r="G261" s="18">
        <f t="shared" ref="G261" si="477">F261-E261</f>
        <v>200</v>
      </c>
      <c r="H261" s="21">
        <f t="shared" ref="H261" si="478">(F261-F260)/F260</f>
        <v>-0.14772727272727273</v>
      </c>
      <c r="I261" s="4">
        <f t="shared" ref="I261" si="479">(E261-E260)/E260</f>
        <v>-5.3030303030303032E-2</v>
      </c>
      <c r="J261" s="3">
        <f t="shared" ref="J261" si="480">E261-E260</f>
        <v>-14</v>
      </c>
      <c r="K261" s="16">
        <f t="shared" ref="K261" si="481">(F261-F209)/F209</f>
        <v>-0.17279411764705882</v>
      </c>
      <c r="L261" s="3">
        <f t="shared" ref="L261" si="482">AVERAGE(F105,F157,F209)</f>
        <v>518</v>
      </c>
    </row>
    <row r="262" spans="1:13" ht="13.8" x14ac:dyDescent="0.25">
      <c r="A262" s="27">
        <f t="shared" si="230"/>
        <v>40425</v>
      </c>
      <c r="B262" s="3">
        <v>238</v>
      </c>
      <c r="C262" s="3">
        <v>16</v>
      </c>
      <c r="D262" s="3">
        <v>66</v>
      </c>
      <c r="E262" s="13">
        <f t="shared" si="429"/>
        <v>320</v>
      </c>
      <c r="F262" s="15">
        <v>537</v>
      </c>
      <c r="G262" s="18">
        <f t="shared" ref="G262" si="483">F262-E262</f>
        <v>217</v>
      </c>
      <c r="H262" s="21">
        <f t="shared" ref="H262" si="484">(F262-F261)/F261</f>
        <v>0.19333333333333333</v>
      </c>
      <c r="I262" s="4">
        <f t="shared" ref="I262" si="485">(E262-E261)/E261</f>
        <v>0.28000000000000003</v>
      </c>
      <c r="J262" s="3">
        <f t="shared" ref="J262" si="486">E262-E261</f>
        <v>70</v>
      </c>
      <c r="K262" s="16">
        <f t="shared" ref="K262" si="487">(F262-F210)/F210</f>
        <v>-0.11386138613861387</v>
      </c>
      <c r="L262" s="3">
        <f t="shared" ref="L262" si="488">AVERAGE(F106,F158,F210)</f>
        <v>440</v>
      </c>
    </row>
    <row r="263" spans="1:13" ht="13.8" x14ac:dyDescent="0.25">
      <c r="A263" s="27">
        <f t="shared" si="230"/>
        <v>40432</v>
      </c>
      <c r="B263" s="3">
        <f>7+189+4+19</f>
        <v>219</v>
      </c>
      <c r="C263" s="3">
        <f>13+2+9+2</f>
        <v>26</v>
      </c>
      <c r="D263" s="3">
        <f>5+54+0+10</f>
        <v>69</v>
      </c>
      <c r="E263" s="13">
        <f t="shared" si="429"/>
        <v>314</v>
      </c>
      <c r="F263" s="15">
        <v>428</v>
      </c>
      <c r="G263" s="18">
        <f t="shared" ref="G263" si="489">F263-E263</f>
        <v>114</v>
      </c>
      <c r="H263" s="21">
        <f t="shared" ref="H263" si="490">(F263-F262)/F262</f>
        <v>-0.20297951582867785</v>
      </c>
      <c r="I263" s="4">
        <f t="shared" ref="I263" si="491">(E263-E262)/E262</f>
        <v>-1.8749999999999999E-2</v>
      </c>
      <c r="J263" s="3">
        <f t="shared" ref="J263" si="492">E263-E262</f>
        <v>-6</v>
      </c>
      <c r="K263" s="16">
        <f t="shared" ref="K263" si="493">(F263-F211)/F211</f>
        <v>-6.3457330415754923E-2</v>
      </c>
      <c r="L263" s="3">
        <f t="shared" ref="L263" si="494">AVERAGE(F107,F159,F211)</f>
        <v>549.33333333333337</v>
      </c>
    </row>
    <row r="264" spans="1:13" ht="13.8" x14ac:dyDescent="0.25">
      <c r="A264" s="27">
        <f t="shared" si="230"/>
        <v>40439</v>
      </c>
      <c r="B264" s="3">
        <f>9+131+1+15</f>
        <v>156</v>
      </c>
      <c r="C264" s="3">
        <f>11+11+8+9</f>
        <v>39</v>
      </c>
      <c r="D264" s="3">
        <f>1+92+0+6</f>
        <v>99</v>
      </c>
      <c r="E264" s="13">
        <f t="shared" si="429"/>
        <v>294</v>
      </c>
      <c r="F264" s="15">
        <v>547</v>
      </c>
      <c r="G264" s="18">
        <f t="shared" ref="G264" si="495">F264-E264</f>
        <v>253</v>
      </c>
      <c r="H264" s="21">
        <f t="shared" ref="H264" si="496">(F264-F263)/F263</f>
        <v>0.2780373831775701</v>
      </c>
      <c r="I264" s="4">
        <f t="shared" ref="I264" si="497">(E264-E263)/E263</f>
        <v>-6.3694267515923567E-2</v>
      </c>
      <c r="J264" s="3">
        <f t="shared" ref="J264" si="498">E264-E263</f>
        <v>-20</v>
      </c>
      <c r="K264" s="16">
        <f t="shared" ref="K264" si="499">(F264-F212)/F212</f>
        <v>6.4202334630350189E-2</v>
      </c>
      <c r="L264" s="3">
        <f t="shared" ref="L264" si="500">AVERAGE(F108,F160,F212)</f>
        <v>610</v>
      </c>
    </row>
    <row r="265" spans="1:13" ht="13.8" x14ac:dyDescent="0.25">
      <c r="A265" s="27">
        <f t="shared" si="230"/>
        <v>40446</v>
      </c>
      <c r="B265" s="3">
        <f>8+189+0+13</f>
        <v>210</v>
      </c>
      <c r="C265" s="3">
        <f>9+4+1+10</f>
        <v>24</v>
      </c>
      <c r="D265" s="3">
        <f>2+103+0+29</f>
        <v>134</v>
      </c>
      <c r="E265" s="13">
        <f t="shared" si="429"/>
        <v>368</v>
      </c>
      <c r="F265" s="15">
        <v>627</v>
      </c>
      <c r="G265" s="18">
        <f t="shared" ref="G265" si="501">F265-E265</f>
        <v>259</v>
      </c>
      <c r="H265" s="21">
        <f t="shared" ref="H265" si="502">(F265-F264)/F264</f>
        <v>0.14625228519195613</v>
      </c>
      <c r="I265" s="4">
        <f t="shared" ref="I265" si="503">(E265-E264)/E264</f>
        <v>0.25170068027210885</v>
      </c>
      <c r="J265" s="3">
        <f t="shared" ref="J265" si="504">E265-E264</f>
        <v>74</v>
      </c>
      <c r="K265" s="16">
        <f t="shared" ref="K265" si="505">(F265-F213)/F213</f>
        <v>0.13381555153707053</v>
      </c>
      <c r="L265" s="3">
        <f t="shared" ref="L265" si="506">AVERAGE(F109,F161,F213)</f>
        <v>592</v>
      </c>
    </row>
    <row r="266" spans="1:13" ht="13.8" x14ac:dyDescent="0.25">
      <c r="A266" s="27">
        <f t="shared" si="230"/>
        <v>40453</v>
      </c>
      <c r="B266" s="3">
        <f>2+154+2+12</f>
        <v>170</v>
      </c>
      <c r="C266" s="3">
        <f>3+5+7+7</f>
        <v>22</v>
      </c>
      <c r="D266" s="3">
        <f>2+59+0+68</f>
        <v>129</v>
      </c>
      <c r="E266" s="13">
        <f t="shared" si="429"/>
        <v>321</v>
      </c>
      <c r="F266" s="15">
        <v>612</v>
      </c>
      <c r="G266" s="18">
        <f t="shared" ref="G266" si="507">F266-E266</f>
        <v>291</v>
      </c>
      <c r="H266" s="21">
        <f t="shared" ref="H266" si="508">(F266-F265)/F265</f>
        <v>-2.3923444976076555E-2</v>
      </c>
      <c r="I266" s="4">
        <f t="shared" ref="I266" si="509">(E266-E265)/E265</f>
        <v>-0.12771739130434784</v>
      </c>
      <c r="J266" s="3">
        <f t="shared" ref="J266" si="510">E266-E265</f>
        <v>-47</v>
      </c>
      <c r="K266" s="16">
        <f t="shared" ref="K266" si="511">(F266-F214)/F214</f>
        <v>0.37528089887640448</v>
      </c>
      <c r="L266" s="3">
        <f t="shared" ref="L266" si="512">AVERAGE(F110,F162,F214)</f>
        <v>544.33333333333337</v>
      </c>
      <c r="M266" s="35" t="s">
        <v>25</v>
      </c>
    </row>
    <row r="267" spans="1:13" ht="13.8" x14ac:dyDescent="0.25">
      <c r="A267" s="27">
        <f t="shared" si="230"/>
        <v>40460</v>
      </c>
      <c r="B267" s="3">
        <f>9+151+3+73</f>
        <v>236</v>
      </c>
      <c r="C267" s="3">
        <f>9+0+5+31</f>
        <v>45</v>
      </c>
      <c r="D267" s="3">
        <f>0+40+0+61</f>
        <v>101</v>
      </c>
      <c r="E267" s="13">
        <f t="shared" si="429"/>
        <v>382</v>
      </c>
      <c r="F267" s="15">
        <v>649</v>
      </c>
      <c r="G267" s="18">
        <f t="shared" ref="G267" si="513">F267-E267</f>
        <v>267</v>
      </c>
      <c r="H267" s="21">
        <f t="shared" ref="H267" si="514">(F267-F266)/F266</f>
        <v>6.0457516339869281E-2</v>
      </c>
      <c r="I267" s="4">
        <f t="shared" ref="I267" si="515">(E267-E266)/E266</f>
        <v>0.19003115264797507</v>
      </c>
      <c r="J267" s="3">
        <f t="shared" ref="J267" si="516">E267-E266</f>
        <v>61</v>
      </c>
      <c r="K267" s="16">
        <f t="shared" ref="K267" si="517">(F267-F215)/F215</f>
        <v>0.50930232558139532</v>
      </c>
      <c r="L267" s="3">
        <f t="shared" ref="L267" si="518">AVERAGE(F111,F163,F215)</f>
        <v>561.33333333333337</v>
      </c>
      <c r="M267" s="35" t="s">
        <v>25</v>
      </c>
    </row>
    <row r="268" spans="1:13" ht="13.8" x14ac:dyDescent="0.25">
      <c r="A268" s="27">
        <f t="shared" si="230"/>
        <v>40467</v>
      </c>
      <c r="B268" s="3">
        <f>6+123+0+304</f>
        <v>433</v>
      </c>
      <c r="C268" s="3">
        <f>4+0+1+22</f>
        <v>27</v>
      </c>
      <c r="D268" s="3">
        <f>0+56+0+129</f>
        <v>185</v>
      </c>
      <c r="E268" s="13">
        <f t="shared" si="429"/>
        <v>645</v>
      </c>
      <c r="F268" s="15">
        <v>709</v>
      </c>
      <c r="G268" s="18">
        <f t="shared" ref="G268" si="519">F268-E268</f>
        <v>64</v>
      </c>
      <c r="H268" s="21">
        <f t="shared" ref="H268" si="520">(F268-F267)/F267</f>
        <v>9.2449922958397532E-2</v>
      </c>
      <c r="I268" s="4">
        <f t="shared" ref="I268" si="521">(E268-E267)/E267</f>
        <v>0.68848167539267013</v>
      </c>
      <c r="J268" s="3">
        <f t="shared" ref="J268" si="522">E268-E267</f>
        <v>263</v>
      </c>
      <c r="K268" s="16">
        <f t="shared" ref="K268" si="523">(F268-F216)/F216</f>
        <v>0.42655935613682094</v>
      </c>
      <c r="L268" s="3">
        <f t="shared" ref="L268" si="524">AVERAGE(F112,F164,F216)</f>
        <v>571.33333333333337</v>
      </c>
      <c r="M268" s="35" t="s">
        <v>25</v>
      </c>
    </row>
    <row r="269" spans="1:13" ht="13.8" x14ac:dyDescent="0.25">
      <c r="A269" s="27">
        <f t="shared" si="230"/>
        <v>40474</v>
      </c>
      <c r="B269" s="3">
        <f>5+136+9+201</f>
        <v>351</v>
      </c>
      <c r="C269" s="3">
        <f>5+1+3+28</f>
        <v>37</v>
      </c>
      <c r="D269" s="3">
        <f>0+26+0+79</f>
        <v>105</v>
      </c>
      <c r="E269" s="13">
        <f t="shared" si="429"/>
        <v>493</v>
      </c>
      <c r="F269" s="15">
        <v>649</v>
      </c>
      <c r="G269" s="18">
        <f t="shared" ref="G269" si="525">F269-E269</f>
        <v>156</v>
      </c>
      <c r="H269" s="21">
        <f t="shared" ref="H269" si="526">(F269-F268)/F268</f>
        <v>-8.4626234132581094E-2</v>
      </c>
      <c r="I269" s="4">
        <f t="shared" ref="I269" si="527">(E269-E268)/E268</f>
        <v>-0.23565891472868217</v>
      </c>
      <c r="J269" s="3">
        <f t="shared" ref="J269" si="528">E269-E268</f>
        <v>-152</v>
      </c>
      <c r="K269" s="16">
        <f t="shared" ref="K269" si="529">(F269-F217)/F217</f>
        <v>9.4435075885328831E-2</v>
      </c>
      <c r="L269" s="3">
        <f t="shared" ref="L269" si="530">AVERAGE(F113,F165,F217)</f>
        <v>579.33333333333337</v>
      </c>
    </row>
    <row r="270" spans="1:13" ht="13.8" x14ac:dyDescent="0.25">
      <c r="A270" s="27">
        <f t="shared" si="230"/>
        <v>40481</v>
      </c>
      <c r="B270" s="3">
        <f>9+184+0+129</f>
        <v>322</v>
      </c>
      <c r="C270" s="3">
        <f>2+0+3+29</f>
        <v>34</v>
      </c>
      <c r="D270" s="3">
        <f>0+32+0+65</f>
        <v>97</v>
      </c>
      <c r="E270" s="13">
        <f t="shared" si="429"/>
        <v>453</v>
      </c>
      <c r="F270" s="15">
        <v>709</v>
      </c>
      <c r="G270" s="18">
        <f t="shared" ref="G270" si="531">F270-E270</f>
        <v>256</v>
      </c>
      <c r="H270" s="21">
        <f t="shared" ref="H270" si="532">(F270-F269)/F269</f>
        <v>9.2449922958397532E-2</v>
      </c>
      <c r="I270" s="4">
        <f t="shared" ref="I270" si="533">(E270-E269)/E269</f>
        <v>-8.1135902636916835E-2</v>
      </c>
      <c r="J270" s="3">
        <f t="shared" ref="J270" si="534">E270-E269</f>
        <v>-40</v>
      </c>
      <c r="K270" s="16">
        <f t="shared" ref="K270" si="535">(F270-F218)/F218</f>
        <v>0.27060931899641577</v>
      </c>
      <c r="L270" s="3">
        <f t="shared" ref="L270" si="536">AVERAGE(F114,F166,F218)</f>
        <v>618</v>
      </c>
    </row>
    <row r="271" spans="1:13" ht="13.8" x14ac:dyDescent="0.25">
      <c r="A271" s="27">
        <f t="shared" si="230"/>
        <v>40488</v>
      </c>
      <c r="B271" s="3">
        <f>5+152+0+85</f>
        <v>242</v>
      </c>
      <c r="C271" s="3">
        <f>1+0+0+20</f>
        <v>21</v>
      </c>
      <c r="D271" s="3">
        <f>2+32+0+49</f>
        <v>83</v>
      </c>
      <c r="E271" s="13">
        <f t="shared" si="429"/>
        <v>346</v>
      </c>
      <c r="F271" s="15">
        <v>650</v>
      </c>
      <c r="G271" s="18">
        <f t="shared" ref="G271" si="537">F271-E271</f>
        <v>304</v>
      </c>
      <c r="H271" s="21">
        <f t="shared" ref="H271" si="538">(F271-F270)/F270</f>
        <v>-8.3215796897038077E-2</v>
      </c>
      <c r="I271" s="4">
        <f t="shared" ref="I271" si="539">(E271-E270)/E270</f>
        <v>-0.23620309050772628</v>
      </c>
      <c r="J271" s="3">
        <f t="shared" ref="J271" si="540">E271-E270</f>
        <v>-107</v>
      </c>
      <c r="K271" s="16">
        <f t="shared" ref="K271" si="541">(F271-F219)/F219</f>
        <v>-5.6603773584905662E-2</v>
      </c>
      <c r="L271" s="3">
        <f t="shared" ref="L271" si="542">AVERAGE(F115,F167,F219)</f>
        <v>687.33333333333337</v>
      </c>
    </row>
    <row r="272" spans="1:13" ht="13.8" x14ac:dyDescent="0.25">
      <c r="A272" s="27">
        <f t="shared" si="230"/>
        <v>40495</v>
      </c>
      <c r="B272" s="3">
        <f>1+266+1+182</f>
        <v>450</v>
      </c>
      <c r="C272" s="3">
        <f>0+0+4+60</f>
        <v>64</v>
      </c>
      <c r="D272" s="3">
        <f>0+35+4+29</f>
        <v>68</v>
      </c>
      <c r="E272" s="13">
        <f t="shared" si="429"/>
        <v>582</v>
      </c>
      <c r="F272" s="15">
        <v>755</v>
      </c>
      <c r="G272" s="18">
        <f t="shared" ref="G272" si="543">F272-E272</f>
        <v>173</v>
      </c>
      <c r="H272" s="21">
        <f t="shared" ref="H272" si="544">(F272-F271)/F271</f>
        <v>0.16153846153846155</v>
      </c>
      <c r="I272" s="4">
        <f t="shared" ref="I272" si="545">(E272-E271)/E271</f>
        <v>0.68208092485549132</v>
      </c>
      <c r="J272" s="3">
        <f t="shared" ref="J272" si="546">E272-E271</f>
        <v>236</v>
      </c>
      <c r="K272" s="16">
        <f t="shared" ref="K272" si="547">(F272-F220)/F220</f>
        <v>5.0069541029207229E-2</v>
      </c>
      <c r="L272" s="3">
        <f t="shared" ref="L272" si="548">AVERAGE(F116,F168,F220)</f>
        <v>726</v>
      </c>
    </row>
    <row r="273" spans="1:12" ht="13.8" x14ac:dyDescent="0.25">
      <c r="A273" s="27">
        <f t="shared" si="230"/>
        <v>40502</v>
      </c>
      <c r="B273" s="3">
        <f>3+248+8+88</f>
        <v>347</v>
      </c>
      <c r="C273" s="3">
        <f>1+0+10+21</f>
        <v>32</v>
      </c>
      <c r="D273" s="3">
        <f>1+22+3+10</f>
        <v>36</v>
      </c>
      <c r="E273" s="13">
        <f t="shared" si="429"/>
        <v>415</v>
      </c>
      <c r="F273" s="15">
        <v>774</v>
      </c>
      <c r="G273" s="18">
        <f t="shared" ref="G273" si="549">F273-E273</f>
        <v>359</v>
      </c>
      <c r="H273" s="21">
        <f t="shared" ref="H273" si="550">(F273-F272)/F272</f>
        <v>2.5165562913907286E-2</v>
      </c>
      <c r="I273" s="4">
        <f t="shared" ref="I273" si="551">(E273-E272)/E272</f>
        <v>-0.28694158075601373</v>
      </c>
      <c r="J273" s="3">
        <f t="shared" ref="J273" si="552">E273-E272</f>
        <v>-167</v>
      </c>
      <c r="K273" s="16">
        <f t="shared" ref="K273" si="553">(F273-F221)/F221</f>
        <v>7.2022160664819951E-2</v>
      </c>
      <c r="L273" s="3">
        <f t="shared" ref="L273" si="554">AVERAGE(F117,F169,F221)</f>
        <v>689</v>
      </c>
    </row>
    <row r="274" spans="1:12" ht="13.8" x14ac:dyDescent="0.25">
      <c r="A274" s="27">
        <f t="shared" si="230"/>
        <v>40509</v>
      </c>
      <c r="B274" s="3">
        <f>6+242+1+123</f>
        <v>372</v>
      </c>
      <c r="C274" s="3">
        <f>3+0+1+56</f>
        <v>60</v>
      </c>
      <c r="D274" s="3">
        <f>1+37+0+50</f>
        <v>88</v>
      </c>
      <c r="E274" s="13">
        <f t="shared" si="429"/>
        <v>520</v>
      </c>
      <c r="F274" s="15">
        <v>662</v>
      </c>
      <c r="G274" s="18">
        <f t="shared" ref="G274" si="555">F274-E274</f>
        <v>142</v>
      </c>
      <c r="H274" s="21">
        <f t="shared" ref="H274" si="556">(F274-F273)/F273</f>
        <v>-0.14470284237726097</v>
      </c>
      <c r="I274" s="4">
        <f t="shared" ref="I274" si="557">(E274-E273)/E273</f>
        <v>0.25301204819277107</v>
      </c>
      <c r="J274" s="3">
        <f t="shared" ref="J274" si="558">E274-E273</f>
        <v>105</v>
      </c>
      <c r="K274" s="16">
        <f t="shared" ref="K274" si="559">(F274-F222)/F222</f>
        <v>0.1163575042158516</v>
      </c>
      <c r="L274" s="3">
        <f t="shared" ref="L274" si="560">AVERAGE(F118,F170,F222)</f>
        <v>658.66666666666663</v>
      </c>
    </row>
    <row r="275" spans="1:12" ht="13.8" x14ac:dyDescent="0.25">
      <c r="A275" s="27">
        <f t="shared" si="230"/>
        <v>40516</v>
      </c>
      <c r="B275" s="3">
        <f>3+308+1+279</f>
        <v>591</v>
      </c>
      <c r="C275" s="3">
        <f>2+0+7+44</f>
        <v>53</v>
      </c>
      <c r="D275" s="3">
        <f>1+18+0+43</f>
        <v>62</v>
      </c>
      <c r="E275" s="13">
        <f t="shared" si="429"/>
        <v>706</v>
      </c>
      <c r="F275" s="15">
        <v>798</v>
      </c>
      <c r="G275" s="18">
        <f t="shared" ref="G275" si="561">F275-E275</f>
        <v>92</v>
      </c>
      <c r="H275" s="21">
        <f t="shared" ref="H275" si="562">(F275-F274)/F274</f>
        <v>0.20543806646525681</v>
      </c>
      <c r="I275" s="4">
        <f t="shared" ref="I275" si="563">(E275-E274)/E274</f>
        <v>0.3576923076923077</v>
      </c>
      <c r="J275" s="3">
        <f t="shared" ref="J275" si="564">E275-E274</f>
        <v>186</v>
      </c>
      <c r="K275" s="16">
        <f t="shared" ref="K275" si="565">(F275-F223)/F223</f>
        <v>0.27679999999999999</v>
      </c>
      <c r="L275" s="3">
        <f t="shared" ref="L275" si="566">AVERAGE(F119,F171,F223)</f>
        <v>705</v>
      </c>
    </row>
    <row r="276" spans="1:12" ht="13.8" x14ac:dyDescent="0.25">
      <c r="A276" s="27">
        <f t="shared" si="230"/>
        <v>40523</v>
      </c>
      <c r="B276" s="3">
        <f>16+180+0+185</f>
        <v>381</v>
      </c>
      <c r="C276" s="3">
        <f>0+0+2+26</f>
        <v>28</v>
      </c>
      <c r="D276" s="3">
        <f>4+15+0+37</f>
        <v>56</v>
      </c>
      <c r="E276" s="13">
        <f t="shared" si="429"/>
        <v>465</v>
      </c>
      <c r="F276" s="15">
        <v>846</v>
      </c>
      <c r="G276" s="18">
        <f t="shared" ref="G276" si="567">F276-E276</f>
        <v>381</v>
      </c>
      <c r="H276" s="21">
        <f t="shared" ref="H276" si="568">(F276-F275)/F275</f>
        <v>6.0150375939849621E-2</v>
      </c>
      <c r="I276" s="4">
        <f t="shared" ref="I276" si="569">(E276-E275)/E275</f>
        <v>-0.34135977337110479</v>
      </c>
      <c r="J276" s="3">
        <f t="shared" ref="J276" si="570">E276-E275</f>
        <v>-241</v>
      </c>
      <c r="K276" s="16">
        <f t="shared" ref="K276" si="571">(F276-F224)/F224</f>
        <v>0.41235392320534225</v>
      </c>
      <c r="L276" s="3">
        <f t="shared" ref="L276" si="572">AVERAGE(F120,F172,F224)</f>
        <v>656.66666666666663</v>
      </c>
    </row>
    <row r="277" spans="1:12" ht="13.8" x14ac:dyDescent="0.25">
      <c r="A277" s="27">
        <f t="shared" ref="A277:A368" si="573">7+A276</f>
        <v>40530</v>
      </c>
      <c r="B277" s="3">
        <f>0+178+1+99</f>
        <v>278</v>
      </c>
      <c r="C277" s="3">
        <f>2+0+6+41</f>
        <v>49</v>
      </c>
      <c r="D277" s="3">
        <f>8+39+0+67</f>
        <v>114</v>
      </c>
      <c r="E277" s="13">
        <f t="shared" si="429"/>
        <v>441</v>
      </c>
      <c r="F277" s="15">
        <v>732</v>
      </c>
      <c r="G277" s="18">
        <f t="shared" ref="G277" si="574">F277-E277</f>
        <v>291</v>
      </c>
      <c r="H277" s="21">
        <f t="shared" ref="H277" si="575">(F277-F276)/F276</f>
        <v>-0.13475177304964539</v>
      </c>
      <c r="I277" s="4">
        <f t="shared" ref="I277" si="576">(E277-E276)/E276</f>
        <v>-5.1612903225806452E-2</v>
      </c>
      <c r="J277" s="3">
        <f t="shared" ref="J277" si="577">E277-E276</f>
        <v>-24</v>
      </c>
      <c r="K277" s="16">
        <f t="shared" ref="K277" si="578">(F277-F225)/F225</f>
        <v>0.57081545064377681</v>
      </c>
      <c r="L277" s="3">
        <f t="shared" ref="L277" si="579">AVERAGE(F121,F173,F225)</f>
        <v>597.33333333333337</v>
      </c>
    </row>
    <row r="278" spans="1:12" ht="13.8" x14ac:dyDescent="0.25">
      <c r="A278" s="27">
        <f t="shared" si="573"/>
        <v>40537</v>
      </c>
      <c r="B278" s="3">
        <f>5+224+0+125</f>
        <v>354</v>
      </c>
      <c r="C278" s="3">
        <f>6+0+4+69</f>
        <v>79</v>
      </c>
      <c r="D278" s="3">
        <f>8+52+2+53</f>
        <v>115</v>
      </c>
      <c r="E278" s="13">
        <f t="shared" si="429"/>
        <v>548</v>
      </c>
      <c r="F278" s="15">
        <v>564</v>
      </c>
      <c r="G278" s="18">
        <f t="shared" ref="G278" si="580">F278-E278</f>
        <v>16</v>
      </c>
      <c r="H278" s="21">
        <f t="shared" ref="H278" si="581">(F278-F277)/F277</f>
        <v>-0.22950819672131148</v>
      </c>
      <c r="I278" s="4">
        <f t="shared" ref="I278" si="582">(E278-E277)/E277</f>
        <v>0.24263038548752835</v>
      </c>
      <c r="J278" s="3">
        <f t="shared" ref="J278" si="583">E278-E277</f>
        <v>107</v>
      </c>
      <c r="K278" s="16">
        <f t="shared" ref="K278" si="584">(F278-F226)/F226</f>
        <v>-0.12828438948995363</v>
      </c>
      <c r="L278" s="3">
        <f t="shared" ref="L278" si="585">AVERAGE(F122,F174,F226)</f>
        <v>629.66666666666663</v>
      </c>
    </row>
    <row r="279" spans="1:12" ht="13.8" x14ac:dyDescent="0.25">
      <c r="A279" s="27">
        <f t="shared" si="573"/>
        <v>40544</v>
      </c>
      <c r="B279" s="3">
        <f>2+189+2+45</f>
        <v>238</v>
      </c>
      <c r="C279" s="3">
        <f>5+0+3+25</f>
        <v>33</v>
      </c>
      <c r="D279" s="3">
        <f>9+42+2+47</f>
        <v>100</v>
      </c>
      <c r="E279" s="13">
        <f t="shared" si="429"/>
        <v>371</v>
      </c>
      <c r="F279" s="15">
        <v>430</v>
      </c>
      <c r="G279" s="18">
        <f t="shared" ref="G279" si="586">F279-E279</f>
        <v>59</v>
      </c>
      <c r="H279" s="21">
        <f t="shared" ref="H279" si="587">(F279-F278)/F278</f>
        <v>-0.23758865248226951</v>
      </c>
      <c r="I279" s="4">
        <f t="shared" ref="I279" si="588">(E279-E278)/E278</f>
        <v>-0.32299270072992703</v>
      </c>
      <c r="J279" s="3">
        <f t="shared" ref="J279" si="589">E279-E278</f>
        <v>-177</v>
      </c>
      <c r="K279" s="16">
        <f t="shared" ref="K279" si="590">(F279-F227)/F227</f>
        <v>-0.44155844155844154</v>
      </c>
      <c r="L279" s="3">
        <f t="shared" ref="L279" si="591">AVERAGE(F123,F175,F227)</f>
        <v>660.66666666666663</v>
      </c>
    </row>
    <row r="280" spans="1:12" ht="13.8" x14ac:dyDescent="0.25">
      <c r="A280" s="27">
        <f t="shared" si="573"/>
        <v>40551</v>
      </c>
      <c r="B280" s="3">
        <f>3+121+0+90</f>
        <v>214</v>
      </c>
      <c r="C280" s="3">
        <f>5+0+1+23</f>
        <v>29</v>
      </c>
      <c r="D280" s="3">
        <f>4+56+2+58</f>
        <v>120</v>
      </c>
      <c r="E280" s="13">
        <f t="shared" si="429"/>
        <v>363</v>
      </c>
      <c r="F280" s="15">
        <v>654</v>
      </c>
      <c r="G280" s="18">
        <f t="shared" ref="G280:G281" si="592">F280-E280</f>
        <v>291</v>
      </c>
      <c r="H280" s="21">
        <f t="shared" ref="H280:H281" si="593">(F280-F279)/F279</f>
        <v>0.52093023255813953</v>
      </c>
      <c r="I280" s="4">
        <f t="shared" ref="I280:I281" si="594">(E280-E279)/E279</f>
        <v>-2.15633423180593E-2</v>
      </c>
      <c r="J280" s="3">
        <f t="shared" ref="J280:J281" si="595">E280-E279</f>
        <v>-8</v>
      </c>
      <c r="K280" s="16">
        <f t="shared" ref="K280:K281" si="596">(F280-F228)/F228</f>
        <v>-0.1825</v>
      </c>
      <c r="L280" s="3">
        <f t="shared" ref="L280:L281" si="597">AVERAGE(F124,F176,F228)</f>
        <v>706</v>
      </c>
    </row>
    <row r="281" spans="1:12" ht="13.8" x14ac:dyDescent="0.25">
      <c r="A281" s="27">
        <f t="shared" si="573"/>
        <v>40558</v>
      </c>
      <c r="B281" s="3">
        <v>138</v>
      </c>
      <c r="C281" s="3">
        <v>24</v>
      </c>
      <c r="D281" s="3">
        <v>175</v>
      </c>
      <c r="E281" s="13">
        <f t="shared" si="429"/>
        <v>337</v>
      </c>
      <c r="F281" s="15">
        <v>571</v>
      </c>
      <c r="G281" s="18">
        <f t="shared" si="592"/>
        <v>234</v>
      </c>
      <c r="H281" s="21">
        <f t="shared" si="593"/>
        <v>-0.12691131498470948</v>
      </c>
      <c r="I281" s="4">
        <f t="shared" si="594"/>
        <v>-7.1625344352617082E-2</v>
      </c>
      <c r="J281" s="3">
        <f t="shared" si="595"/>
        <v>-26</v>
      </c>
      <c r="K281" s="16">
        <f t="shared" si="596"/>
        <v>-0.25844155844155842</v>
      </c>
      <c r="L281" s="3">
        <f t="shared" si="597"/>
        <v>711</v>
      </c>
    </row>
    <row r="282" spans="1:12" ht="13.8" x14ac:dyDescent="0.25">
      <c r="A282" s="27">
        <f t="shared" si="573"/>
        <v>40565</v>
      </c>
      <c r="B282" s="3">
        <f>2+98+0+62</f>
        <v>162</v>
      </c>
      <c r="C282" s="3">
        <f>9+0+1+21</f>
        <v>31</v>
      </c>
      <c r="D282" s="3">
        <f>2+90+0+75</f>
        <v>167</v>
      </c>
      <c r="E282" s="13">
        <f t="shared" si="429"/>
        <v>360</v>
      </c>
      <c r="F282" s="15">
        <v>610</v>
      </c>
      <c r="G282" s="18">
        <f t="shared" ref="G282" si="598">F282-E282</f>
        <v>250</v>
      </c>
      <c r="H282" s="21">
        <f t="shared" ref="H282" si="599">(F282-F281)/F281</f>
        <v>6.8301225919439573E-2</v>
      </c>
      <c r="I282" s="4">
        <f t="shared" ref="I282" si="600">(E282-E281)/E281</f>
        <v>6.8249258160237386E-2</v>
      </c>
      <c r="J282" s="3">
        <f t="shared" ref="J282" si="601">E282-E281</f>
        <v>23</v>
      </c>
      <c r="K282" s="16">
        <f t="shared" ref="K282" si="602">(F282-F230)/F230</f>
        <v>-9.0909090909090912E-2</v>
      </c>
      <c r="L282" s="3">
        <f t="shared" ref="L282" si="603">AVERAGE(F126,F178,F230)</f>
        <v>671</v>
      </c>
    </row>
    <row r="283" spans="1:12" ht="13.8" x14ac:dyDescent="0.25">
      <c r="A283" s="27">
        <f t="shared" si="573"/>
        <v>40572</v>
      </c>
      <c r="B283" s="3">
        <f>3+130+0+51</f>
        <v>184</v>
      </c>
      <c r="C283" s="3">
        <f>9+0+1+22</f>
        <v>32</v>
      </c>
      <c r="D283" s="3">
        <f>3+86+2+60</f>
        <v>151</v>
      </c>
      <c r="E283" s="13">
        <f t="shared" si="429"/>
        <v>367</v>
      </c>
      <c r="F283" s="15">
        <v>701</v>
      </c>
      <c r="G283" s="18">
        <f t="shared" ref="G283" si="604">F283-E283</f>
        <v>334</v>
      </c>
      <c r="H283" s="21">
        <f t="shared" ref="H283" si="605">(F283-F282)/F282</f>
        <v>0.14918032786885246</v>
      </c>
      <c r="I283" s="4">
        <f t="shared" ref="I283" si="606">(E283-E282)/E282</f>
        <v>1.9444444444444445E-2</v>
      </c>
      <c r="J283" s="3">
        <f t="shared" ref="J283" si="607">E283-E282</f>
        <v>7</v>
      </c>
      <c r="K283" s="16">
        <f t="shared" ref="K283" si="608">(F283-F231)/F231</f>
        <v>-6.1579651941097727E-2</v>
      </c>
      <c r="L283" s="3">
        <f t="shared" ref="L283" si="609">AVERAGE(F127,F179,F231)</f>
        <v>717.66666666666663</v>
      </c>
    </row>
    <row r="284" spans="1:12" ht="13.8" x14ac:dyDescent="0.25">
      <c r="A284" s="27">
        <f t="shared" si="573"/>
        <v>40579</v>
      </c>
      <c r="B284" s="3">
        <f>0+61+0+39</f>
        <v>100</v>
      </c>
      <c r="C284" s="3">
        <f>7+0+5+22</f>
        <v>34</v>
      </c>
      <c r="D284" s="3">
        <f>3+100+0+51</f>
        <v>154</v>
      </c>
      <c r="E284" s="13">
        <f t="shared" si="429"/>
        <v>288</v>
      </c>
      <c r="F284" s="15">
        <v>637</v>
      </c>
      <c r="G284" s="18">
        <f t="shared" ref="G284" si="610">F284-E284</f>
        <v>349</v>
      </c>
      <c r="H284" s="21">
        <f t="shared" ref="H284" si="611">(F284-F283)/F283</f>
        <v>-9.1298145506419404E-2</v>
      </c>
      <c r="I284" s="4">
        <f t="shared" ref="I284" si="612">(E284-E283)/E283</f>
        <v>-0.21525885558583105</v>
      </c>
      <c r="J284" s="3">
        <f t="shared" ref="J284" si="613">E284-E283</f>
        <v>-79</v>
      </c>
      <c r="K284" s="16">
        <f t="shared" ref="K284" si="614">(F284-F232)/F232</f>
        <v>-3.1914893617021274E-2</v>
      </c>
      <c r="L284" s="3">
        <f t="shared" ref="L284" si="615">AVERAGE(F128,F180,F232)</f>
        <v>698</v>
      </c>
    </row>
    <row r="285" spans="1:12" ht="13.8" x14ac:dyDescent="0.25">
      <c r="A285" s="27">
        <f t="shared" si="573"/>
        <v>40586</v>
      </c>
      <c r="B285" s="3">
        <f>0+47+0+58</f>
        <v>105</v>
      </c>
      <c r="C285" s="3">
        <f>4+0+1+20</f>
        <v>25</v>
      </c>
      <c r="D285" s="3">
        <f>6+95+0+65</f>
        <v>166</v>
      </c>
      <c r="E285" s="13">
        <f t="shared" si="429"/>
        <v>296</v>
      </c>
      <c r="F285" s="15">
        <v>694</v>
      </c>
      <c r="G285" s="18">
        <f t="shared" ref="G285" si="616">F285-E285</f>
        <v>398</v>
      </c>
      <c r="H285" s="21">
        <f t="shared" ref="H285" si="617">(F285-F284)/F284</f>
        <v>8.9481946624803771E-2</v>
      </c>
      <c r="I285" s="4">
        <f t="shared" ref="I285" si="618">(E285-E284)/E284</f>
        <v>2.7777777777777776E-2</v>
      </c>
      <c r="J285" s="3">
        <f t="shared" ref="J285" si="619">E285-E284</f>
        <v>8</v>
      </c>
      <c r="K285" s="16">
        <f t="shared" ref="K285" si="620">(F285-F233)/F233</f>
        <v>0.16053511705685619</v>
      </c>
      <c r="L285" s="3">
        <f t="shared" ref="L285" si="621">AVERAGE(F129,F181,F233)</f>
        <v>667</v>
      </c>
    </row>
    <row r="286" spans="1:12" ht="13.8" x14ac:dyDescent="0.25">
      <c r="A286" s="27">
        <f t="shared" si="573"/>
        <v>40593</v>
      </c>
      <c r="B286" s="3">
        <f>4+120+0+91</f>
        <v>215</v>
      </c>
      <c r="C286" s="3">
        <f>3+0+6+31</f>
        <v>40</v>
      </c>
      <c r="D286" s="3">
        <f>5+112+3+59</f>
        <v>179</v>
      </c>
      <c r="E286" s="13">
        <f t="shared" si="429"/>
        <v>434</v>
      </c>
      <c r="F286" s="15">
        <v>725</v>
      </c>
      <c r="G286" s="18">
        <f t="shared" ref="G286" si="622">F286-E286</f>
        <v>291</v>
      </c>
      <c r="H286" s="21">
        <f t="shared" ref="H286" si="623">(F286-F285)/F285</f>
        <v>4.4668587896253602E-2</v>
      </c>
      <c r="I286" s="4">
        <f t="shared" ref="I286" si="624">(E286-E285)/E285</f>
        <v>0.46621621621621623</v>
      </c>
      <c r="J286" s="3">
        <f t="shared" ref="J286" si="625">E286-E285</f>
        <v>138</v>
      </c>
      <c r="K286" s="16">
        <f t="shared" ref="K286" si="626">(F286-F234)/F234</f>
        <v>2.4011299435028249E-2</v>
      </c>
      <c r="L286" s="3">
        <f t="shared" ref="L286" si="627">AVERAGE(F130,F182,F234)</f>
        <v>625.33333333333337</v>
      </c>
    </row>
    <row r="287" spans="1:12" ht="13.8" x14ac:dyDescent="0.25">
      <c r="A287" s="27">
        <f t="shared" si="573"/>
        <v>40600</v>
      </c>
      <c r="B287" s="3">
        <f>5+135+2+71</f>
        <v>213</v>
      </c>
      <c r="C287" s="3">
        <f>2+0+3+27</f>
        <v>32</v>
      </c>
      <c r="D287" s="3">
        <f>0+71+0+44</f>
        <v>115</v>
      </c>
      <c r="E287" s="13">
        <f t="shared" si="429"/>
        <v>360</v>
      </c>
      <c r="F287" s="15">
        <v>654</v>
      </c>
      <c r="G287" s="18">
        <f t="shared" ref="G287" si="628">F287-E287</f>
        <v>294</v>
      </c>
      <c r="H287" s="21">
        <f t="shared" ref="H287" si="629">(F287-F286)/F286</f>
        <v>-9.7931034482758625E-2</v>
      </c>
      <c r="I287" s="4">
        <f t="shared" ref="I287" si="630">(E287-E286)/E286</f>
        <v>-0.17050691244239632</v>
      </c>
      <c r="J287" s="3">
        <f t="shared" ref="J287" si="631">E287-E286</f>
        <v>-74</v>
      </c>
      <c r="K287" s="16">
        <f t="shared" ref="K287" si="632">(F287-F235)/F235</f>
        <v>-0.13833992094861661</v>
      </c>
      <c r="L287" s="3">
        <f t="shared" ref="L287" si="633">AVERAGE(F131,F183,F235)</f>
        <v>631</v>
      </c>
    </row>
    <row r="288" spans="1:12" ht="13.8" x14ac:dyDescent="0.25">
      <c r="A288" s="27">
        <f t="shared" si="573"/>
        <v>40607</v>
      </c>
      <c r="B288" s="3">
        <f>8+99+0+38</f>
        <v>145</v>
      </c>
      <c r="C288" s="3">
        <f>6+0+6+32</f>
        <v>44</v>
      </c>
      <c r="D288" s="3">
        <f>0+47+1+24</f>
        <v>72</v>
      </c>
      <c r="E288" s="13">
        <f t="shared" si="429"/>
        <v>261</v>
      </c>
      <c r="F288" s="15">
        <v>714</v>
      </c>
      <c r="G288" s="18">
        <f t="shared" ref="G288" si="634">F288-E288</f>
        <v>453</v>
      </c>
      <c r="H288" s="21">
        <f t="shared" ref="H288" si="635">(F288-F287)/F287</f>
        <v>9.1743119266055051E-2</v>
      </c>
      <c r="I288" s="4">
        <f t="shared" ref="I288" si="636">(E288-E287)/E287</f>
        <v>-0.27500000000000002</v>
      </c>
      <c r="J288" s="3">
        <f t="shared" ref="J288" si="637">E288-E287</f>
        <v>-99</v>
      </c>
      <c r="K288" s="16">
        <f t="shared" ref="K288" si="638">(F288-F236)/F236</f>
        <v>0.23743500866551126</v>
      </c>
      <c r="L288" s="3">
        <f t="shared" ref="L288" si="639">AVERAGE(F132,F184,F236)</f>
        <v>625</v>
      </c>
    </row>
    <row r="289" spans="1:13" ht="13.8" x14ac:dyDescent="0.25">
      <c r="A289" s="27">
        <f t="shared" si="573"/>
        <v>40614</v>
      </c>
      <c r="B289" s="3">
        <f>5+170+0+51</f>
        <v>226</v>
      </c>
      <c r="C289" s="3">
        <f>12+2+12+28</f>
        <v>54</v>
      </c>
      <c r="D289" s="3">
        <f>0+64+0+24</f>
        <v>88</v>
      </c>
      <c r="E289" s="13">
        <f t="shared" si="429"/>
        <v>368</v>
      </c>
      <c r="F289" s="15">
        <v>563</v>
      </c>
      <c r="G289" s="18">
        <f t="shared" ref="G289" si="640">F289-E289</f>
        <v>195</v>
      </c>
      <c r="H289" s="21">
        <f t="shared" ref="H289" si="641">(F289-F288)/F288</f>
        <v>-0.21148459383753501</v>
      </c>
      <c r="I289" s="4">
        <f t="shared" ref="I289" si="642">(E289-E288)/E288</f>
        <v>0.40996168582375481</v>
      </c>
      <c r="J289" s="3">
        <f t="shared" ref="J289" si="643">E289-E288</f>
        <v>107</v>
      </c>
      <c r="K289" s="16">
        <f t="shared" ref="K289" si="644">(F289-F237)/F237</f>
        <v>-3.430531732418525E-2</v>
      </c>
      <c r="L289" s="3">
        <f t="shared" ref="L289" si="645">AVERAGE(F133,F185,F237)</f>
        <v>602.33333333333337</v>
      </c>
    </row>
    <row r="290" spans="1:13" ht="13.8" x14ac:dyDescent="0.25">
      <c r="A290" s="27">
        <f t="shared" si="573"/>
        <v>40621</v>
      </c>
      <c r="B290" s="3">
        <f>8+194+0+76</f>
        <v>278</v>
      </c>
      <c r="C290" s="3">
        <f>6+2+4+24</f>
        <v>36</v>
      </c>
      <c r="D290" s="3">
        <f>0+59+0+19</f>
        <v>78</v>
      </c>
      <c r="E290" s="13">
        <f t="shared" si="429"/>
        <v>392</v>
      </c>
      <c r="F290" s="15">
        <v>607</v>
      </c>
      <c r="G290" s="18">
        <f t="shared" ref="G290" si="646">F290-E290</f>
        <v>215</v>
      </c>
      <c r="H290" s="21">
        <f t="shared" ref="H290" si="647">(F290-F289)/F289</f>
        <v>7.8152753108348141E-2</v>
      </c>
      <c r="I290" s="4">
        <f t="shared" ref="I290" si="648">(E290-E289)/E289</f>
        <v>6.5217391304347824E-2</v>
      </c>
      <c r="J290" s="3">
        <f t="shared" ref="J290" si="649">E290-E289</f>
        <v>24</v>
      </c>
      <c r="K290" s="16">
        <f t="shared" ref="K290" si="650">(F290-F238)/F238</f>
        <v>-0.16275862068965516</v>
      </c>
      <c r="L290" s="3">
        <f t="shared" ref="L290" si="651">AVERAGE(F134,F186,F238)</f>
        <v>634</v>
      </c>
    </row>
    <row r="291" spans="1:13" ht="13.8" x14ac:dyDescent="0.25">
      <c r="A291" s="27">
        <f t="shared" si="573"/>
        <v>40628</v>
      </c>
      <c r="B291" s="3">
        <f>2+214+2+71</f>
        <v>289</v>
      </c>
      <c r="C291" s="3">
        <f>14+0+2+27</f>
        <v>43</v>
      </c>
      <c r="D291" s="3">
        <f>2+63+0+19</f>
        <v>84</v>
      </c>
      <c r="E291" s="13">
        <f t="shared" si="429"/>
        <v>416</v>
      </c>
      <c r="F291" s="15">
        <v>657</v>
      </c>
      <c r="G291" s="18">
        <f t="shared" ref="G291" si="652">F291-E291</f>
        <v>241</v>
      </c>
      <c r="H291" s="21">
        <f t="shared" ref="H291" si="653">(F291-F290)/F290</f>
        <v>8.2372322899505759E-2</v>
      </c>
      <c r="I291" s="4">
        <f t="shared" ref="I291" si="654">(E291-E290)/E290</f>
        <v>6.1224489795918366E-2</v>
      </c>
      <c r="J291" s="3">
        <f t="shared" ref="J291" si="655">E291-E290</f>
        <v>24</v>
      </c>
      <c r="K291" s="16">
        <f t="shared" ref="K291" si="656">(F291-F239)/F239</f>
        <v>5.7971014492753624E-2</v>
      </c>
      <c r="L291" s="3">
        <f t="shared" ref="L291" si="657">AVERAGE(F135,F187,F239)</f>
        <v>590</v>
      </c>
    </row>
    <row r="292" spans="1:13" ht="13.8" x14ac:dyDescent="0.25">
      <c r="A292" s="27">
        <f t="shared" si="573"/>
        <v>40635</v>
      </c>
      <c r="B292" s="3">
        <f>4+211+0+63</f>
        <v>278</v>
      </c>
      <c r="C292" s="3">
        <f>19+1+8+23</f>
        <v>51</v>
      </c>
      <c r="D292" s="3">
        <f>8+77+1+22</f>
        <v>108</v>
      </c>
      <c r="E292" s="13">
        <f t="shared" si="429"/>
        <v>437</v>
      </c>
      <c r="F292" s="15">
        <v>497</v>
      </c>
      <c r="G292" s="18">
        <f t="shared" ref="G292" si="658">F292-E292</f>
        <v>60</v>
      </c>
      <c r="H292" s="21">
        <f t="shared" ref="H292" si="659">(F292-F291)/F291</f>
        <v>-0.24353120243531201</v>
      </c>
      <c r="I292" s="4">
        <f t="shared" ref="I292" si="660">(E292-E291)/E291</f>
        <v>5.0480769230769232E-2</v>
      </c>
      <c r="J292" s="3">
        <f t="shared" ref="J292" si="661">E292-E291</f>
        <v>21</v>
      </c>
      <c r="K292" s="16">
        <f t="shared" ref="K292" si="662">(F292-F240)/F240</f>
        <v>0.16941176470588235</v>
      </c>
      <c r="L292" s="3">
        <f t="shared" ref="L292" si="663">AVERAGE(F136,F188,F240)</f>
        <v>528.66666666666663</v>
      </c>
    </row>
    <row r="293" spans="1:13" ht="13.8" x14ac:dyDescent="0.25">
      <c r="A293" s="27">
        <f t="shared" si="573"/>
        <v>40642</v>
      </c>
      <c r="B293" s="3">
        <f>11+178+0+30</f>
        <v>219</v>
      </c>
      <c r="C293" s="3">
        <f>5+0+5+4</f>
        <v>14</v>
      </c>
      <c r="D293" s="3">
        <f>4+50+1+6</f>
        <v>61</v>
      </c>
      <c r="E293" s="13">
        <f t="shared" ref="E293:E297" si="664">SUM(B293:D293)</f>
        <v>294</v>
      </c>
      <c r="F293" s="15">
        <v>542</v>
      </c>
      <c r="G293" s="18">
        <f t="shared" ref="G293" si="665">F293-E293</f>
        <v>248</v>
      </c>
      <c r="H293" s="21">
        <f t="shared" ref="H293" si="666">(F293-F292)/F292</f>
        <v>9.0543259557344061E-2</v>
      </c>
      <c r="I293" s="4">
        <f t="shared" ref="I293" si="667">(E293-E292)/E292</f>
        <v>-0.32723112128146453</v>
      </c>
      <c r="J293" s="3">
        <f t="shared" ref="J293" si="668">E293-E292</f>
        <v>-143</v>
      </c>
      <c r="K293" s="16">
        <f t="shared" ref="K293" si="669">(F293-F241)/F241</f>
        <v>0.38265306122448978</v>
      </c>
      <c r="L293" s="3">
        <f t="shared" ref="L293" si="670">AVERAGE(F137,F189,F241)</f>
        <v>483.66666666666669</v>
      </c>
    </row>
    <row r="294" spans="1:13" ht="13.8" x14ac:dyDescent="0.25">
      <c r="A294" s="27">
        <f t="shared" si="573"/>
        <v>40649</v>
      </c>
      <c r="B294" s="3">
        <f>1+231+1+49</f>
        <v>282</v>
      </c>
      <c r="C294" s="3">
        <f>7+1+2+12</f>
        <v>22</v>
      </c>
      <c r="D294" s="3">
        <f>7+41+0+6</f>
        <v>54</v>
      </c>
      <c r="E294" s="13">
        <f t="shared" si="664"/>
        <v>358</v>
      </c>
      <c r="F294" s="15">
        <v>447</v>
      </c>
      <c r="G294" s="18">
        <f t="shared" ref="G294" si="671">F294-E294</f>
        <v>89</v>
      </c>
      <c r="H294" s="21">
        <f t="shared" ref="H294" si="672">(F294-F293)/F293</f>
        <v>-0.17527675276752769</v>
      </c>
      <c r="I294" s="4">
        <f t="shared" ref="I294" si="673">(E294-E293)/E293</f>
        <v>0.21768707482993196</v>
      </c>
      <c r="J294" s="3">
        <f t="shared" ref="J294" si="674">E294-E293</f>
        <v>64</v>
      </c>
      <c r="K294" s="16">
        <f t="shared" ref="K294" si="675">(F294-F242)/F242</f>
        <v>-3.0368763557483729E-2</v>
      </c>
      <c r="L294" s="3">
        <f t="shared" ref="L294" si="676">AVERAGE(F138,F190,F242)</f>
        <v>510</v>
      </c>
    </row>
    <row r="295" spans="1:13" ht="13.8" x14ac:dyDescent="0.25">
      <c r="A295" s="27">
        <f t="shared" si="573"/>
        <v>40656</v>
      </c>
      <c r="B295" s="3">
        <f>8+156+1+43</f>
        <v>208</v>
      </c>
      <c r="C295" s="3">
        <f>15+1+3+12</f>
        <v>31</v>
      </c>
      <c r="D295" s="3">
        <f>9+48+0+5</f>
        <v>62</v>
      </c>
      <c r="E295" s="13">
        <f t="shared" si="664"/>
        <v>301</v>
      </c>
      <c r="F295" s="15">
        <v>302</v>
      </c>
      <c r="G295" s="18">
        <f t="shared" ref="G295" si="677">F295-E295</f>
        <v>1</v>
      </c>
      <c r="H295" s="21">
        <f t="shared" ref="H295" si="678">(F295-F294)/F294</f>
        <v>-0.32438478747203581</v>
      </c>
      <c r="I295" s="4">
        <f t="shared" ref="I295" si="679">(E295-E294)/E294</f>
        <v>-0.15921787709497207</v>
      </c>
      <c r="J295" s="3">
        <f t="shared" ref="J295" si="680">E295-E294</f>
        <v>-57</v>
      </c>
      <c r="K295" s="16">
        <f t="shared" ref="K295" si="681">(F295-F243)/F243</f>
        <v>-5.6250000000000001E-2</v>
      </c>
      <c r="L295" s="3">
        <f t="shared" ref="L295" si="682">AVERAGE(F139,F191,F243)</f>
        <v>341.33333333333331</v>
      </c>
    </row>
    <row r="296" spans="1:13" ht="13.8" x14ac:dyDescent="0.25">
      <c r="A296" s="27">
        <f t="shared" si="573"/>
        <v>40663</v>
      </c>
      <c r="B296" s="3">
        <f>0+123+1+15</f>
        <v>139</v>
      </c>
      <c r="C296" s="3">
        <f>2+0+3+1</f>
        <v>6</v>
      </c>
      <c r="D296" s="3">
        <f>3+6+0+8</f>
        <v>17</v>
      </c>
      <c r="E296" s="13">
        <f t="shared" si="664"/>
        <v>162</v>
      </c>
      <c r="F296" s="15">
        <v>390</v>
      </c>
      <c r="G296" s="18">
        <f t="shared" ref="G296" si="683">F296-E296</f>
        <v>228</v>
      </c>
      <c r="H296" s="21">
        <f t="shared" ref="H296" si="684">(F296-F295)/F295</f>
        <v>0.29139072847682118</v>
      </c>
      <c r="I296" s="4">
        <f t="shared" ref="I296" si="685">(E296-E295)/E295</f>
        <v>-0.46179401993355484</v>
      </c>
      <c r="J296" s="3">
        <f t="shared" ref="J296" si="686">E296-E295</f>
        <v>-139</v>
      </c>
      <c r="K296" s="16">
        <f t="shared" ref="K296" si="687">(F296-F244)/F244</f>
        <v>0.27868852459016391</v>
      </c>
      <c r="L296" s="3">
        <f t="shared" ref="L296" si="688">AVERAGE(F140,F192,F244)</f>
        <v>410.33333333333331</v>
      </c>
    </row>
    <row r="297" spans="1:13" ht="13.8" x14ac:dyDescent="0.25">
      <c r="A297" s="27">
        <f t="shared" si="573"/>
        <v>40670</v>
      </c>
      <c r="B297" s="3">
        <f>0+149+3+30</f>
        <v>182</v>
      </c>
      <c r="C297" s="3">
        <f>0</f>
        <v>0</v>
      </c>
      <c r="D297" s="3">
        <f>2</f>
        <v>2</v>
      </c>
      <c r="E297" s="13">
        <f t="shared" si="664"/>
        <v>184</v>
      </c>
      <c r="F297" s="15">
        <v>340</v>
      </c>
      <c r="G297" s="18">
        <f t="shared" ref="G297" si="689">F297-E297</f>
        <v>156</v>
      </c>
      <c r="H297" s="21">
        <f t="shared" ref="H297" si="690">(F297-F296)/F296</f>
        <v>-0.12820512820512819</v>
      </c>
      <c r="I297" s="4">
        <f t="shared" ref="I297" si="691">(E297-E296)/E296</f>
        <v>0.13580246913580246</v>
      </c>
      <c r="J297" s="3">
        <f t="shared" ref="J297" si="692">E297-E296</f>
        <v>22</v>
      </c>
      <c r="K297" s="16">
        <f t="shared" ref="K297" si="693">(F297-F245)/F245</f>
        <v>-0.27505330490405117</v>
      </c>
      <c r="L297" s="3">
        <f t="shared" ref="L297" si="694">AVERAGE(F141,F193,F245)</f>
        <v>455</v>
      </c>
    </row>
    <row r="298" spans="1:13" ht="13.8" x14ac:dyDescent="0.25">
      <c r="A298" s="27">
        <f t="shared" si="573"/>
        <v>40677</v>
      </c>
      <c r="B298" s="3">
        <f>1+252+0+64</f>
        <v>317</v>
      </c>
      <c r="C298" s="3">
        <f>0</f>
        <v>0</v>
      </c>
      <c r="D298" s="3">
        <f>6+0+1</f>
        <v>7</v>
      </c>
      <c r="E298" s="13">
        <f t="shared" ref="E298:E312" si="695">SUM(B298:D298)</f>
        <v>324</v>
      </c>
      <c r="F298" s="15">
        <v>268</v>
      </c>
      <c r="G298" s="18">
        <f t="shared" ref="G298" si="696">F298-E298</f>
        <v>-56</v>
      </c>
      <c r="H298" s="21">
        <f t="shared" ref="H298" si="697">(F298-F297)/F297</f>
        <v>-0.21176470588235294</v>
      </c>
      <c r="I298" s="4">
        <f t="shared" ref="I298" si="698">(E298-E297)/E297</f>
        <v>0.76086956521739135</v>
      </c>
      <c r="J298" s="3">
        <f t="shared" ref="J298" si="699">E298-E297</f>
        <v>140</v>
      </c>
      <c r="K298" s="16">
        <f t="shared" ref="K298" si="700">(F298-F246)/F246</f>
        <v>-0.4875717017208413</v>
      </c>
      <c r="L298" s="3">
        <f t="shared" ref="L298" si="701">AVERAGE(F142,F194,F246)</f>
        <v>456.33333333333331</v>
      </c>
    </row>
    <row r="299" spans="1:13" ht="13.8" x14ac:dyDescent="0.25">
      <c r="A299" s="27">
        <f t="shared" si="573"/>
        <v>40684</v>
      </c>
      <c r="B299" s="3">
        <f>13+307+6+50</f>
        <v>376</v>
      </c>
      <c r="C299" s="3">
        <f>0</f>
        <v>0</v>
      </c>
      <c r="D299" s="3">
        <f>13+62+0+23</f>
        <v>98</v>
      </c>
      <c r="E299" s="13">
        <f t="shared" si="695"/>
        <v>474</v>
      </c>
      <c r="F299" s="15">
        <v>368</v>
      </c>
      <c r="G299" s="18">
        <f t="shared" ref="G299" si="702">F299-E299</f>
        <v>-106</v>
      </c>
      <c r="H299" s="21">
        <f t="shared" ref="H299" si="703">(F299-F298)/F298</f>
        <v>0.37313432835820898</v>
      </c>
      <c r="I299" s="4">
        <f t="shared" ref="I299" si="704">(E299-E298)/E298</f>
        <v>0.46296296296296297</v>
      </c>
      <c r="J299" s="3">
        <f t="shared" ref="J299" si="705">E299-E298</f>
        <v>150</v>
      </c>
      <c r="K299" s="16">
        <f t="shared" ref="K299" si="706">(F299-F247)/F247</f>
        <v>-0.28265107212475632</v>
      </c>
      <c r="L299" s="3">
        <f t="shared" ref="L299" si="707">AVERAGE(F143,F195,F247)</f>
        <v>476.33333333333331</v>
      </c>
    </row>
    <row r="300" spans="1:13" ht="13.8" x14ac:dyDescent="0.25">
      <c r="A300" s="27">
        <f t="shared" si="573"/>
        <v>40691</v>
      </c>
      <c r="B300" s="3">
        <f>2+296+0+34</f>
        <v>332</v>
      </c>
      <c r="C300" s="3">
        <f>29+0+0+20</f>
        <v>49</v>
      </c>
      <c r="D300" s="3">
        <f>8+38+0+18</f>
        <v>64</v>
      </c>
      <c r="E300" s="13">
        <f t="shared" si="695"/>
        <v>445</v>
      </c>
      <c r="F300" s="15">
        <v>366</v>
      </c>
      <c r="G300" s="18">
        <f t="shared" ref="G300" si="708">F300-E300</f>
        <v>-79</v>
      </c>
      <c r="H300" s="21">
        <f t="shared" ref="H300" si="709">(F300-F299)/F299</f>
        <v>-5.434782608695652E-3</v>
      </c>
      <c r="I300" s="4">
        <f t="shared" ref="I300" si="710">(E300-E299)/E299</f>
        <v>-6.118143459915612E-2</v>
      </c>
      <c r="J300" s="3">
        <f t="shared" ref="J300" si="711">E300-E299</f>
        <v>-29</v>
      </c>
      <c r="K300" s="16">
        <f t="shared" ref="K300" si="712">(F300-F248)/F248</f>
        <v>-0.27380952380952384</v>
      </c>
      <c r="L300" s="3">
        <f t="shared" ref="L300" si="713">AVERAGE(F144,F196,F248)</f>
        <v>481.66666666666669</v>
      </c>
      <c r="M300" s="3"/>
    </row>
    <row r="301" spans="1:13" ht="13.8" x14ac:dyDescent="0.25">
      <c r="A301" s="27">
        <f t="shared" si="573"/>
        <v>40698</v>
      </c>
      <c r="B301" s="3">
        <f>11+228+1+43</f>
        <v>283</v>
      </c>
      <c r="C301" s="3">
        <f>5+0+0+2</f>
        <v>7</v>
      </c>
      <c r="D301" s="3">
        <f>3+40+0+13</f>
        <v>56</v>
      </c>
      <c r="E301" s="13">
        <f t="shared" si="695"/>
        <v>346</v>
      </c>
      <c r="F301" s="15">
        <v>319</v>
      </c>
      <c r="G301" s="18">
        <f t="shared" ref="G301" si="714">F301-E301</f>
        <v>-27</v>
      </c>
      <c r="H301" s="21">
        <f t="shared" ref="H301" si="715">(F301-F300)/F300</f>
        <v>-0.12841530054644809</v>
      </c>
      <c r="I301" s="4">
        <f t="shared" ref="I301" si="716">(E301-E300)/E300</f>
        <v>-0.22247191011235956</v>
      </c>
      <c r="J301" s="3">
        <f t="shared" ref="J301" si="717">E301-E300</f>
        <v>-99</v>
      </c>
      <c r="K301" s="16">
        <f t="shared" ref="K301" si="718">(F301-F249)/F249</f>
        <v>-0.41894353369763204</v>
      </c>
      <c r="L301" s="3">
        <f t="shared" ref="L301" si="719">AVERAGE(F145,F197,F249)</f>
        <v>507.33333333333331</v>
      </c>
      <c r="M301" s="3"/>
    </row>
    <row r="302" spans="1:13" ht="13.8" x14ac:dyDescent="0.25">
      <c r="A302" s="27">
        <f t="shared" si="573"/>
        <v>40705</v>
      </c>
      <c r="B302" s="3">
        <f>3+252+1+52</f>
        <v>308</v>
      </c>
      <c r="C302" s="3">
        <f>13+2+6+3</f>
        <v>24</v>
      </c>
      <c r="D302" s="3">
        <f>3+28+0+6</f>
        <v>37</v>
      </c>
      <c r="E302" s="13">
        <f t="shared" si="695"/>
        <v>369</v>
      </c>
      <c r="F302" s="15">
        <v>297</v>
      </c>
      <c r="G302" s="18">
        <f t="shared" ref="G302" si="720">F302-E302</f>
        <v>-72</v>
      </c>
      <c r="H302" s="21">
        <f t="shared" ref="H302" si="721">(F302-F301)/F301</f>
        <v>-6.8965517241379309E-2</v>
      </c>
      <c r="I302" s="4">
        <f t="shared" ref="I302" si="722">(E302-E301)/E301</f>
        <v>6.6473988439306353E-2</v>
      </c>
      <c r="J302" s="3">
        <f t="shared" ref="J302" si="723">E302-E301</f>
        <v>23</v>
      </c>
      <c r="K302" s="16">
        <f t="shared" ref="K302" si="724">(F302-F250)/F250</f>
        <v>-0.36266094420600858</v>
      </c>
      <c r="L302" s="3">
        <f t="shared" ref="L302" si="725">AVERAGE(F146,F198,F250)</f>
        <v>541</v>
      </c>
      <c r="M302" s="3"/>
    </row>
    <row r="303" spans="1:13" ht="13.8" x14ac:dyDescent="0.25">
      <c r="A303" s="27">
        <f t="shared" si="573"/>
        <v>40712</v>
      </c>
      <c r="B303" s="3">
        <f>1+152+0+39</f>
        <v>192</v>
      </c>
      <c r="C303" s="3">
        <f>11+0+0+4</f>
        <v>15</v>
      </c>
      <c r="D303" s="3">
        <f>0+21+0+4</f>
        <v>25</v>
      </c>
      <c r="E303" s="13">
        <f t="shared" si="695"/>
        <v>232</v>
      </c>
      <c r="F303" s="15">
        <v>365</v>
      </c>
      <c r="G303" s="18">
        <f t="shared" ref="G303" si="726">F303-E303</f>
        <v>133</v>
      </c>
      <c r="H303" s="21">
        <f t="shared" ref="H303" si="727">(F303-F302)/F302</f>
        <v>0.22895622895622897</v>
      </c>
      <c r="I303" s="4">
        <f t="shared" ref="I303" si="728">(E303-E302)/E302</f>
        <v>-0.37127371273712739</v>
      </c>
      <c r="J303" s="3">
        <f t="shared" ref="J303" si="729">E303-E302</f>
        <v>-137</v>
      </c>
      <c r="K303" s="16">
        <f t="shared" ref="K303" si="730">(F303-F251)/F251</f>
        <v>-0.20131291028446391</v>
      </c>
      <c r="L303" s="3">
        <f t="shared" ref="L303" si="731">AVERAGE(F147,F199,F251)</f>
        <v>544.33333333333337</v>
      </c>
      <c r="M303" s="3"/>
    </row>
    <row r="304" spans="1:13" ht="13.8" x14ac:dyDescent="0.25">
      <c r="A304" s="27">
        <f t="shared" si="573"/>
        <v>40719</v>
      </c>
      <c r="B304" s="3">
        <f>0+207+0+61</f>
        <v>268</v>
      </c>
      <c r="C304" s="3">
        <f>16+0+7+1</f>
        <v>24</v>
      </c>
      <c r="D304" s="3">
        <f>17+12+0+3</f>
        <v>32</v>
      </c>
      <c r="E304" s="13">
        <f t="shared" si="695"/>
        <v>324</v>
      </c>
      <c r="F304" s="15">
        <v>416</v>
      </c>
      <c r="G304" s="18">
        <f t="shared" ref="G304" si="732">F304-E304</f>
        <v>92</v>
      </c>
      <c r="H304" s="21">
        <f t="shared" ref="H304" si="733">(F304-F303)/F303</f>
        <v>0.13972602739726028</v>
      </c>
      <c r="I304" s="4">
        <f t="shared" ref="I304" si="734">(E304-E303)/E303</f>
        <v>0.39655172413793105</v>
      </c>
      <c r="J304" s="3">
        <f t="shared" ref="J304" si="735">E304-E303</f>
        <v>92</v>
      </c>
      <c r="K304" s="16">
        <f t="shared" ref="K304" si="736">(F304-F252)/F252</f>
        <v>-0.15789473684210525</v>
      </c>
      <c r="L304" s="3">
        <f t="shared" ref="L304" si="737">AVERAGE(F148,F200,F252)</f>
        <v>508</v>
      </c>
      <c r="M304" s="3"/>
    </row>
    <row r="305" spans="1:13" ht="13.8" x14ac:dyDescent="0.25">
      <c r="A305" s="27">
        <f t="shared" si="573"/>
        <v>40726</v>
      </c>
      <c r="B305" s="3">
        <f>5+302+0+64</f>
        <v>371</v>
      </c>
      <c r="C305" s="3">
        <f>19+0+3+3</f>
        <v>25</v>
      </c>
      <c r="D305" s="3">
        <f>34+10+0+6</f>
        <v>50</v>
      </c>
      <c r="E305" s="13">
        <f t="shared" si="695"/>
        <v>446</v>
      </c>
      <c r="F305" s="15">
        <v>415</v>
      </c>
      <c r="G305" s="18">
        <f t="shared" ref="G305" si="738">F305-E305</f>
        <v>-31</v>
      </c>
      <c r="H305" s="21">
        <f t="shared" ref="H305" si="739">(F305-F304)/F304</f>
        <v>-2.403846153846154E-3</v>
      </c>
      <c r="I305" s="4">
        <f t="shared" ref="I305" si="740">(E305-E304)/E304</f>
        <v>0.37654320987654322</v>
      </c>
      <c r="J305" s="3">
        <f t="shared" ref="J305" si="741">E305-E304</f>
        <v>122</v>
      </c>
      <c r="K305" s="16">
        <f t="shared" ref="K305" si="742">(F305-F253)/F253</f>
        <v>-8.3885209713024281E-2</v>
      </c>
      <c r="L305" s="3">
        <f t="shared" ref="L305" si="743">AVERAGE(F149,F201,F253)</f>
        <v>480</v>
      </c>
      <c r="M305" s="3"/>
    </row>
    <row r="306" spans="1:13" ht="13.8" x14ac:dyDescent="0.25">
      <c r="A306" s="27">
        <f t="shared" si="573"/>
        <v>40733</v>
      </c>
      <c r="B306" s="3">
        <f>8+309+1+33</f>
        <v>351</v>
      </c>
      <c r="C306" s="3">
        <f>7+0+2+2</f>
        <v>11</v>
      </c>
      <c r="D306" s="3">
        <f>40+12+0+12</f>
        <v>64</v>
      </c>
      <c r="E306" s="13">
        <f t="shared" si="695"/>
        <v>426</v>
      </c>
      <c r="F306" s="15">
        <v>435</v>
      </c>
      <c r="G306" s="18">
        <f t="shared" ref="G306" si="744">F306-E306</f>
        <v>9</v>
      </c>
      <c r="H306" s="21">
        <f t="shared" ref="H306" si="745">(F306-F305)/F305</f>
        <v>4.8192771084337352E-2</v>
      </c>
      <c r="I306" s="21">
        <f t="shared" ref="I306" si="746">(E306-E305)/E305</f>
        <v>-4.4843049327354258E-2</v>
      </c>
      <c r="J306" s="3">
        <f t="shared" ref="J306" si="747">E306-E305</f>
        <v>-20</v>
      </c>
      <c r="K306" s="16">
        <f t="shared" ref="K306" si="748">(F306-F254)/F254</f>
        <v>-0.11224489795918367</v>
      </c>
      <c r="L306" s="3">
        <f t="shared" ref="L306" si="749">AVERAGE(F150,F202,F254)</f>
        <v>484</v>
      </c>
      <c r="M306" s="3"/>
    </row>
    <row r="307" spans="1:13" ht="13.8" x14ac:dyDescent="0.25">
      <c r="A307" s="27">
        <f t="shared" si="573"/>
        <v>40740</v>
      </c>
      <c r="B307" s="3">
        <f>0+330+1+61</f>
        <v>392</v>
      </c>
      <c r="C307" s="3">
        <f>18+0+3+3</f>
        <v>24</v>
      </c>
      <c r="D307" s="3">
        <f>10+7+1+29</f>
        <v>47</v>
      </c>
      <c r="E307" s="13">
        <f t="shared" si="695"/>
        <v>463</v>
      </c>
      <c r="F307" s="15">
        <v>495</v>
      </c>
      <c r="G307" s="18">
        <f t="shared" ref="G307" si="750">F307-E307</f>
        <v>32</v>
      </c>
      <c r="H307" s="21">
        <f t="shared" ref="H307" si="751">(F307-F306)/F306</f>
        <v>0.13793103448275862</v>
      </c>
      <c r="I307" s="21">
        <f t="shared" ref="I307" si="752">(E307-E306)/E306</f>
        <v>8.6854460093896718E-2</v>
      </c>
      <c r="J307" s="3">
        <f t="shared" ref="J307" si="753">E307-E306</f>
        <v>37</v>
      </c>
      <c r="K307" s="16">
        <f t="shared" ref="K307" si="754">(F307-F255)/F255</f>
        <v>-6.0721062618595827E-2</v>
      </c>
      <c r="L307" s="3">
        <f t="shared" ref="L307" si="755">AVERAGE(F151,F203,F255)</f>
        <v>494</v>
      </c>
      <c r="M307" s="3"/>
    </row>
    <row r="308" spans="1:13" ht="13.8" x14ac:dyDescent="0.25">
      <c r="A308" s="27">
        <f t="shared" si="573"/>
        <v>40747</v>
      </c>
      <c r="B308" s="3">
        <f>5+303+5+66</f>
        <v>379</v>
      </c>
      <c r="C308" s="3">
        <f>10+0+14+1</f>
        <v>25</v>
      </c>
      <c r="D308" s="3">
        <f>16+13+1+7</f>
        <v>37</v>
      </c>
      <c r="E308" s="13">
        <f t="shared" si="695"/>
        <v>441</v>
      </c>
      <c r="F308" s="15">
        <v>449</v>
      </c>
      <c r="G308" s="18">
        <f t="shared" ref="G308" si="756">F308-E308</f>
        <v>8</v>
      </c>
      <c r="H308" s="21">
        <f t="shared" ref="H308" si="757">(F308-F307)/F307</f>
        <v>-9.2929292929292931E-2</v>
      </c>
      <c r="I308" s="21">
        <f t="shared" ref="I308" si="758">(E308-E307)/E307</f>
        <v>-4.7516198704103674E-2</v>
      </c>
      <c r="J308" s="3">
        <f t="shared" ref="J308" si="759">E308-E307</f>
        <v>-22</v>
      </c>
      <c r="K308" s="16">
        <f t="shared" ref="K308" si="760">(F308-F256)/F256</f>
        <v>9.5121951219512196E-2</v>
      </c>
      <c r="L308" s="3">
        <f t="shared" ref="L308" si="761">AVERAGE(F152,F204,F256)</f>
        <v>491.66666666666669</v>
      </c>
      <c r="M308" s="3"/>
    </row>
    <row r="309" spans="1:13" ht="13.8" x14ac:dyDescent="0.25">
      <c r="A309" s="27">
        <f t="shared" si="573"/>
        <v>40754</v>
      </c>
      <c r="B309" s="3">
        <f>2+360+0+68</f>
        <v>430</v>
      </c>
      <c r="C309" s="3">
        <f>22+0+5+1</f>
        <v>28</v>
      </c>
      <c r="D309" s="3">
        <f>19+11+11+7</f>
        <v>48</v>
      </c>
      <c r="E309" s="13">
        <f t="shared" si="695"/>
        <v>506</v>
      </c>
      <c r="F309" s="15">
        <v>386</v>
      </c>
      <c r="G309" s="18">
        <f t="shared" ref="G309" si="762">F309-E309</f>
        <v>-120</v>
      </c>
      <c r="H309" s="21">
        <f t="shared" ref="H309" si="763">(F309-F308)/F308</f>
        <v>-0.14031180400890869</v>
      </c>
      <c r="I309" s="21">
        <f t="shared" ref="I309" si="764">(E309-E308)/E308</f>
        <v>0.14739229024943309</v>
      </c>
      <c r="J309" s="3">
        <f t="shared" ref="J309" si="765">E309-E308</f>
        <v>65</v>
      </c>
      <c r="K309" s="16">
        <f t="shared" ref="K309" si="766">(F309-F257)/F257</f>
        <v>6.043956043956044E-2</v>
      </c>
      <c r="L309" s="3">
        <f t="shared" ref="L309" si="767">AVERAGE(F153,F205,F257)</f>
        <v>434.33333333333331</v>
      </c>
      <c r="M309" s="3"/>
    </row>
    <row r="310" spans="1:13" ht="13.8" x14ac:dyDescent="0.25">
      <c r="A310" s="27">
        <f t="shared" si="573"/>
        <v>40761</v>
      </c>
      <c r="B310" s="3">
        <f>0+300+0+44</f>
        <v>344</v>
      </c>
      <c r="C310" s="3">
        <f>7+0+8+4</f>
        <v>19</v>
      </c>
      <c r="D310" s="3">
        <f>16+10+0+10</f>
        <v>36</v>
      </c>
      <c r="E310" s="13">
        <f t="shared" si="695"/>
        <v>399</v>
      </c>
      <c r="F310" s="15">
        <v>473</v>
      </c>
      <c r="G310" s="18">
        <f t="shared" ref="G310" si="768">F310-E310</f>
        <v>74</v>
      </c>
      <c r="H310" s="21">
        <f t="shared" ref="H310" si="769">(F310-F309)/F309</f>
        <v>0.22538860103626943</v>
      </c>
      <c r="I310" s="21">
        <f t="shared" ref="I310" si="770">(E310-E309)/E309</f>
        <v>-0.21146245059288538</v>
      </c>
      <c r="J310" s="3">
        <f t="shared" ref="J310" si="771">E310-E309</f>
        <v>-107</v>
      </c>
      <c r="K310" s="16">
        <f t="shared" ref="K310" si="772">(F310-F258)/F258</f>
        <v>3.9560439560439559E-2</v>
      </c>
      <c r="L310" s="3">
        <f t="shared" ref="L310" si="773">AVERAGE(F154,F206,F258)</f>
        <v>552.66666666666663</v>
      </c>
      <c r="M310" s="3"/>
    </row>
    <row r="311" spans="1:13" ht="13.8" x14ac:dyDescent="0.25">
      <c r="A311" s="27">
        <f t="shared" si="573"/>
        <v>40768</v>
      </c>
      <c r="B311" s="3">
        <f>0+248+0+59</f>
        <v>307</v>
      </c>
      <c r="C311" s="3">
        <f>16+0+6+0</f>
        <v>22</v>
      </c>
      <c r="D311" s="3">
        <f>18+3+0+2</f>
        <v>23</v>
      </c>
      <c r="E311" s="13">
        <f t="shared" si="695"/>
        <v>352</v>
      </c>
      <c r="F311" s="15">
        <v>532</v>
      </c>
      <c r="G311" s="18">
        <f t="shared" ref="G311:G312" si="774">F311-E311</f>
        <v>180</v>
      </c>
      <c r="H311" s="21">
        <f t="shared" ref="H311:H312" si="775">(F311-F310)/F310</f>
        <v>0.12473572938689217</v>
      </c>
      <c r="I311" s="21">
        <f t="shared" ref="I311:I312" si="776">(E311-E310)/E310</f>
        <v>-0.11779448621553884</v>
      </c>
      <c r="J311" s="3">
        <f t="shared" ref="J311:J312" si="777">E311-E310</f>
        <v>-47</v>
      </c>
      <c r="K311" s="16">
        <f t="shared" ref="K311" si="778">(F311-F259)/F259</f>
        <v>5.1383399209486168E-2</v>
      </c>
      <c r="L311" s="3">
        <f t="shared" ref="L311" si="779">AVERAGE(F155,F207,F259)</f>
        <v>511</v>
      </c>
      <c r="M311" s="3"/>
    </row>
    <row r="312" spans="1:13" ht="13.8" x14ac:dyDescent="0.25">
      <c r="A312" s="27">
        <f t="shared" si="573"/>
        <v>40775</v>
      </c>
      <c r="B312" s="3">
        <f>0+244+0+46+43</f>
        <v>333</v>
      </c>
      <c r="C312" s="3">
        <f>12+1+2</f>
        <v>15</v>
      </c>
      <c r="D312" s="3">
        <f>8+6+10+16</f>
        <v>40</v>
      </c>
      <c r="E312" s="13">
        <f t="shared" si="695"/>
        <v>388</v>
      </c>
      <c r="F312" s="15">
        <v>433</v>
      </c>
      <c r="G312" s="18">
        <f t="shared" si="774"/>
        <v>45</v>
      </c>
      <c r="H312" s="21">
        <f t="shared" si="775"/>
        <v>-0.18609022556390978</v>
      </c>
      <c r="I312" s="21">
        <f t="shared" si="776"/>
        <v>0.10227272727272728</v>
      </c>
      <c r="J312" s="3">
        <f t="shared" si="777"/>
        <v>36</v>
      </c>
      <c r="K312" s="16">
        <f t="shared" ref="K312" si="780">(F312-F260)/F260</f>
        <v>-0.17992424242424243</v>
      </c>
      <c r="L312" s="3">
        <f t="shared" ref="L312" si="781">AVERAGE(F156,F208,F260)</f>
        <v>532.33333333333337</v>
      </c>
    </row>
    <row r="313" spans="1:13" ht="13.8" x14ac:dyDescent="0.25">
      <c r="A313" s="27">
        <f t="shared" si="573"/>
        <v>40782</v>
      </c>
      <c r="B313" s="3">
        <f>1+188+4+40</f>
        <v>233</v>
      </c>
      <c r="C313" s="3">
        <f>4+9+5+1</f>
        <v>19</v>
      </c>
      <c r="D313" s="3">
        <f>18+4+0+16</f>
        <v>38</v>
      </c>
      <c r="E313" s="13">
        <f t="shared" ref="E313:E325" si="782">SUM(B313:D313)</f>
        <v>290</v>
      </c>
      <c r="F313" s="15">
        <v>489</v>
      </c>
      <c r="G313" s="18">
        <f t="shared" ref="G313:G318" si="783">F313-E313</f>
        <v>199</v>
      </c>
      <c r="H313" s="21">
        <f t="shared" ref="H313" si="784">(F313-F312)/F312</f>
        <v>0.12933025404157045</v>
      </c>
      <c r="I313" s="21">
        <f t="shared" ref="I313:I318" si="785">(E313-E312)/E312</f>
        <v>-0.25257731958762886</v>
      </c>
      <c r="J313" s="3">
        <f t="shared" ref="J313:J318" si="786">E313-E312</f>
        <v>-98</v>
      </c>
      <c r="K313" s="16">
        <f t="shared" ref="K313" si="787">(F313-F261)/F261</f>
        <v>8.666666666666667E-2</v>
      </c>
      <c r="L313" s="3">
        <f t="shared" ref="L313" si="788">AVERAGE(F157,F209,F261)</f>
        <v>449.66666666666669</v>
      </c>
    </row>
    <row r="314" spans="1:13" ht="13.8" x14ac:dyDescent="0.25">
      <c r="A314" s="27">
        <f t="shared" si="573"/>
        <v>40789</v>
      </c>
      <c r="B314" s="3">
        <f>4+134+10+26</f>
        <v>174</v>
      </c>
      <c r="C314" s="3">
        <f>8+19+1+2</f>
        <v>30</v>
      </c>
      <c r="D314" s="3">
        <f>14+4+0+7</f>
        <v>25</v>
      </c>
      <c r="E314" s="13">
        <f t="shared" si="782"/>
        <v>229</v>
      </c>
      <c r="F314" s="15">
        <v>341</v>
      </c>
      <c r="G314" s="18">
        <f t="shared" si="783"/>
        <v>112</v>
      </c>
      <c r="H314" s="21">
        <f t="shared" ref="H314" si="789">(F314-F313)/F313</f>
        <v>-0.30265848670756645</v>
      </c>
      <c r="I314" s="21">
        <f t="shared" si="785"/>
        <v>-0.2103448275862069</v>
      </c>
      <c r="J314" s="3">
        <f t="shared" si="786"/>
        <v>-61</v>
      </c>
      <c r="K314" s="16">
        <f t="shared" ref="K314" si="790">(F314-F262)/F262</f>
        <v>-0.36499068901303539</v>
      </c>
      <c r="L314" s="3">
        <f t="shared" ref="L314" si="791">AVERAGE(F158,F210,F262)</f>
        <v>395</v>
      </c>
    </row>
    <row r="315" spans="1:13" ht="13.8" x14ac:dyDescent="0.25">
      <c r="A315" s="27">
        <f t="shared" si="573"/>
        <v>40796</v>
      </c>
      <c r="B315" s="3">
        <f>1+140+6+24</f>
        <v>171</v>
      </c>
      <c r="C315" s="3">
        <f>2+12+1+0</f>
        <v>15</v>
      </c>
      <c r="D315" s="3">
        <f>10+12+0+9</f>
        <v>31</v>
      </c>
      <c r="E315" s="13">
        <f t="shared" si="782"/>
        <v>217</v>
      </c>
      <c r="F315" s="15">
        <v>420</v>
      </c>
      <c r="G315" s="18">
        <f t="shared" si="783"/>
        <v>203</v>
      </c>
      <c r="H315" s="21">
        <f t="shared" ref="H315" si="792">(F315-F314)/F314</f>
        <v>0.2316715542521994</v>
      </c>
      <c r="I315" s="21">
        <f t="shared" si="785"/>
        <v>-5.2401746724890827E-2</v>
      </c>
      <c r="J315" s="3">
        <f t="shared" si="786"/>
        <v>-12</v>
      </c>
      <c r="K315" s="16">
        <f t="shared" ref="K315" si="793">(F315-F263)/F263</f>
        <v>-1.8691588785046728E-2</v>
      </c>
      <c r="L315" s="3">
        <f t="shared" ref="L315" si="794">AVERAGE(F159,F211,F263)</f>
        <v>454.66666666666669</v>
      </c>
    </row>
    <row r="316" spans="1:13" ht="13.8" x14ac:dyDescent="0.25">
      <c r="A316" s="27">
        <f t="shared" si="573"/>
        <v>40803</v>
      </c>
      <c r="B316" s="3">
        <f>2+77+0+18</f>
        <v>97</v>
      </c>
      <c r="C316" s="3">
        <f>12+8+1+6</f>
        <v>27</v>
      </c>
      <c r="D316" s="3">
        <f>8+47+0+23</f>
        <v>78</v>
      </c>
      <c r="E316" s="13">
        <f t="shared" si="782"/>
        <v>202</v>
      </c>
      <c r="F316" s="15">
        <v>389</v>
      </c>
      <c r="G316" s="18">
        <f t="shared" si="783"/>
        <v>187</v>
      </c>
      <c r="H316" s="21">
        <f t="shared" ref="H316" si="795">(F316-F315)/F315</f>
        <v>-7.3809523809523811E-2</v>
      </c>
      <c r="I316" s="21">
        <f t="shared" si="785"/>
        <v>-6.9124423963133647E-2</v>
      </c>
      <c r="J316" s="3">
        <f t="shared" si="786"/>
        <v>-15</v>
      </c>
      <c r="K316" s="16">
        <f t="shared" ref="K316" si="796">(F316-F264)/F264</f>
        <v>-0.28884826325411334</v>
      </c>
      <c r="L316" s="3">
        <f t="shared" ref="L316" si="797">AVERAGE(F160,F212,F264)</f>
        <v>552.33333333333337</v>
      </c>
    </row>
    <row r="317" spans="1:13" ht="13.8" x14ac:dyDescent="0.25">
      <c r="A317" s="27">
        <f t="shared" si="573"/>
        <v>40810</v>
      </c>
      <c r="B317" s="3">
        <f>1+85+0+7</f>
        <v>93</v>
      </c>
      <c r="C317" s="3">
        <f>4+5+2+6</f>
        <v>17</v>
      </c>
      <c r="D317" s="3">
        <f>2+72+0+2</f>
        <v>76</v>
      </c>
      <c r="E317" s="13">
        <f t="shared" si="782"/>
        <v>186</v>
      </c>
      <c r="F317" s="15">
        <v>504</v>
      </c>
      <c r="G317" s="18">
        <f t="shared" si="783"/>
        <v>318</v>
      </c>
      <c r="H317" s="21">
        <f t="shared" ref="H317" si="798">(F317-F316)/F316</f>
        <v>0.29562982005141386</v>
      </c>
      <c r="I317" s="21">
        <f t="shared" si="785"/>
        <v>-7.9207920792079209E-2</v>
      </c>
      <c r="J317" s="3">
        <f t="shared" si="786"/>
        <v>-16</v>
      </c>
      <c r="K317" s="16">
        <f t="shared" ref="K317" si="799">(F317-F265)/F265</f>
        <v>-0.19617224880382775</v>
      </c>
      <c r="L317" s="3">
        <f t="shared" ref="L317" si="800">AVERAGE(F161,F213,F265)</f>
        <v>584.33333333333337</v>
      </c>
    </row>
    <row r="318" spans="1:13" ht="13.8" x14ac:dyDescent="0.25">
      <c r="A318" s="27">
        <f t="shared" si="573"/>
        <v>40817</v>
      </c>
      <c r="B318" s="3">
        <f>3+142+2+4</f>
        <v>151</v>
      </c>
      <c r="C318" s="3">
        <f>8+5+1+7</f>
        <v>21</v>
      </c>
      <c r="D318" s="3">
        <f>1+41+0+2</f>
        <v>44</v>
      </c>
      <c r="E318" s="13">
        <f t="shared" si="782"/>
        <v>216</v>
      </c>
      <c r="F318" s="15">
        <v>530</v>
      </c>
      <c r="G318" s="18">
        <f t="shared" si="783"/>
        <v>314</v>
      </c>
      <c r="H318" s="21">
        <f t="shared" ref="H318" si="801">(F318-F317)/F317</f>
        <v>5.1587301587301584E-2</v>
      </c>
      <c r="I318" s="21">
        <f t="shared" si="785"/>
        <v>0.16129032258064516</v>
      </c>
      <c r="J318" s="3">
        <f t="shared" si="786"/>
        <v>30</v>
      </c>
      <c r="K318" s="16">
        <f t="shared" ref="K318" si="802">(F318-F266)/F266</f>
        <v>-0.13398692810457516</v>
      </c>
      <c r="L318" s="3">
        <f t="shared" ref="L318" si="803">AVERAGE(F162,F214,F266)</f>
        <v>528.66666666666663</v>
      </c>
    </row>
    <row r="319" spans="1:13" ht="13.8" x14ac:dyDescent="0.25">
      <c r="A319" s="27">
        <f t="shared" si="573"/>
        <v>40824</v>
      </c>
      <c r="B319" s="3">
        <f>1+119+0+10</f>
        <v>130</v>
      </c>
      <c r="C319" s="3">
        <f>4+1+0+31</f>
        <v>36</v>
      </c>
      <c r="D319" s="3">
        <f>4+69+0+22</f>
        <v>95</v>
      </c>
      <c r="E319" s="13">
        <f t="shared" si="782"/>
        <v>261</v>
      </c>
      <c r="F319" s="15">
        <v>487</v>
      </c>
      <c r="G319" s="18">
        <f t="shared" ref="G319" si="804">F319-E319</f>
        <v>226</v>
      </c>
      <c r="H319" s="21">
        <f t="shared" ref="H319" si="805">(F319-F318)/F318</f>
        <v>-8.1132075471698109E-2</v>
      </c>
      <c r="I319" s="21">
        <f t="shared" ref="I319" si="806">(E319-E318)/E318</f>
        <v>0.20833333333333334</v>
      </c>
      <c r="J319" s="3">
        <f t="shared" ref="J319" si="807">E319-E318</f>
        <v>45</v>
      </c>
      <c r="K319" s="16">
        <f t="shared" ref="K319" si="808">(F319-F267)/F267</f>
        <v>-0.24961479198767333</v>
      </c>
      <c r="L319" s="3">
        <f t="shared" ref="L319" si="809">AVERAGE(F163,F215,F267)</f>
        <v>543.33333333333337</v>
      </c>
    </row>
    <row r="320" spans="1:13" ht="13.8" x14ac:dyDescent="0.25">
      <c r="A320" s="27">
        <f t="shared" si="573"/>
        <v>40831</v>
      </c>
      <c r="B320" s="3">
        <f>4+146+0+99</f>
        <v>249</v>
      </c>
      <c r="C320" s="3">
        <f>10+0+1+29</f>
        <v>40</v>
      </c>
      <c r="D320" s="3">
        <f>7+58+4+27</f>
        <v>96</v>
      </c>
      <c r="E320" s="13">
        <f t="shared" si="782"/>
        <v>385</v>
      </c>
      <c r="F320" s="15">
        <v>519</v>
      </c>
      <c r="G320" s="18">
        <f t="shared" ref="G320" si="810">F320-E320</f>
        <v>134</v>
      </c>
      <c r="H320" s="21">
        <f t="shared" ref="H320" si="811">(F320-F319)/F319</f>
        <v>6.5708418891170434E-2</v>
      </c>
      <c r="I320" s="21">
        <f t="shared" ref="I320" si="812">(E320-E319)/E319</f>
        <v>0.47509578544061304</v>
      </c>
      <c r="J320" s="3">
        <f t="shared" ref="J320" si="813">E320-E319</f>
        <v>124</v>
      </c>
      <c r="K320" s="16">
        <f t="shared" ref="K320" si="814">(F320-F268)/F268</f>
        <v>-0.26798307475317351</v>
      </c>
      <c r="L320" s="3">
        <f t="shared" ref="L320" si="815">AVERAGE(F164,F216,F268)</f>
        <v>594.33333333333337</v>
      </c>
      <c r="M320" s="35" t="s">
        <v>26</v>
      </c>
    </row>
    <row r="321" spans="1:12" ht="13.8" x14ac:dyDescent="0.25">
      <c r="A321" s="27">
        <f t="shared" si="573"/>
        <v>40838</v>
      </c>
      <c r="B321" s="3">
        <f>0+110+9+160</f>
        <v>279</v>
      </c>
      <c r="C321" s="3">
        <f>9+0+1+22</f>
        <v>32</v>
      </c>
      <c r="D321" s="3">
        <f>0+69+3+51</f>
        <v>123</v>
      </c>
      <c r="E321" s="13">
        <f t="shared" si="782"/>
        <v>434</v>
      </c>
      <c r="F321" s="15">
        <v>625</v>
      </c>
      <c r="G321" s="18">
        <f t="shared" ref="G321" si="816">F321-E321</f>
        <v>191</v>
      </c>
      <c r="H321" s="21">
        <f t="shared" ref="H321" si="817">(F321-F320)/F320</f>
        <v>0.20423892100192678</v>
      </c>
      <c r="I321" s="21">
        <f t="shared" ref="I321" si="818">(E321-E320)/E320</f>
        <v>0.12727272727272726</v>
      </c>
      <c r="J321" s="3">
        <f t="shared" ref="J321" si="819">E321-E320</f>
        <v>49</v>
      </c>
      <c r="K321" s="16">
        <f t="shared" ref="K321" si="820">(F321-F269)/F269</f>
        <v>-3.6979969183359017E-2</v>
      </c>
      <c r="L321" s="3">
        <f t="shared" ref="L321" si="821">AVERAGE(F165,F217,F269)</f>
        <v>595.33333333333337</v>
      </c>
    </row>
    <row r="322" spans="1:12" ht="13.8" x14ac:dyDescent="0.25">
      <c r="A322" s="27">
        <f t="shared" si="573"/>
        <v>40845</v>
      </c>
      <c r="B322" s="3">
        <f>0+118+12+96</f>
        <v>226</v>
      </c>
      <c r="C322" s="3">
        <f>6+0+3+21</f>
        <v>30</v>
      </c>
      <c r="D322" s="3">
        <f>0+90+0+89</f>
        <v>179</v>
      </c>
      <c r="E322" s="13">
        <f t="shared" si="782"/>
        <v>435</v>
      </c>
      <c r="F322" s="15">
        <v>693</v>
      </c>
      <c r="G322" s="18">
        <f t="shared" ref="G322" si="822">F322-E322</f>
        <v>258</v>
      </c>
      <c r="H322" s="21">
        <f t="shared" ref="H322" si="823">(F322-F321)/F321</f>
        <v>0.10879999999999999</v>
      </c>
      <c r="I322" s="21">
        <f t="shared" ref="I322" si="824">(E322-E321)/E321</f>
        <v>2.304147465437788E-3</v>
      </c>
      <c r="J322" s="3">
        <f t="shared" ref="J322" si="825">E322-E321</f>
        <v>1</v>
      </c>
      <c r="K322" s="16">
        <f t="shared" ref="K322" si="826">(F322-F270)/F270</f>
        <v>-2.2566995768688293E-2</v>
      </c>
      <c r="L322" s="3">
        <f t="shared" ref="L322" si="827">AVERAGE(F166,F218,F270)</f>
        <v>596</v>
      </c>
    </row>
    <row r="323" spans="1:12" ht="13.8" x14ac:dyDescent="0.25">
      <c r="A323" s="27">
        <f t="shared" si="573"/>
        <v>40852</v>
      </c>
      <c r="B323" s="3">
        <f>0+215+1+99</f>
        <v>315</v>
      </c>
      <c r="C323" s="3">
        <f>5+0+0+24</f>
        <v>29</v>
      </c>
      <c r="D323" s="3">
        <f>1+45+0+66</f>
        <v>112</v>
      </c>
      <c r="E323" s="13">
        <f t="shared" si="782"/>
        <v>456</v>
      </c>
      <c r="F323" s="15">
        <v>719</v>
      </c>
      <c r="G323" s="18">
        <f t="shared" ref="G323" si="828">F323-E323</f>
        <v>263</v>
      </c>
      <c r="H323" s="21">
        <f t="shared" ref="H323" si="829">(F323-F322)/F322</f>
        <v>3.751803751803752E-2</v>
      </c>
      <c r="I323" s="21">
        <f t="shared" ref="I323" si="830">(E323-E322)/E322</f>
        <v>4.8275862068965517E-2</v>
      </c>
      <c r="J323" s="3">
        <f t="shared" ref="J323" si="831">E323-E322</f>
        <v>21</v>
      </c>
      <c r="K323" s="16">
        <f t="shared" ref="K323" si="832">(F323-F271)/F271</f>
        <v>0.10615384615384615</v>
      </c>
      <c r="L323" s="3">
        <f t="shared" ref="L323" si="833">AVERAGE(F167,F219,F271)</f>
        <v>640.66666666666663</v>
      </c>
    </row>
    <row r="324" spans="1:12" ht="13.8" x14ac:dyDescent="0.25">
      <c r="A324" s="27">
        <f t="shared" si="573"/>
        <v>40859</v>
      </c>
      <c r="B324" s="3">
        <f>0+189+3+95</f>
        <v>287</v>
      </c>
      <c r="C324" s="3">
        <f>4+0+1+19</f>
        <v>24</v>
      </c>
      <c r="D324" s="3">
        <f>12+33+0+85</f>
        <v>130</v>
      </c>
      <c r="E324" s="13">
        <f t="shared" si="782"/>
        <v>441</v>
      </c>
      <c r="F324" s="15">
        <v>764</v>
      </c>
      <c r="G324" s="18">
        <f t="shared" ref="G324" si="834">F324-E324</f>
        <v>323</v>
      </c>
      <c r="H324" s="21">
        <f t="shared" ref="H324" si="835">(F324-F323)/F323</f>
        <v>6.258692628650904E-2</v>
      </c>
      <c r="I324" s="21">
        <f t="shared" ref="I324" si="836">(E324-E323)/E323</f>
        <v>-3.2894736842105261E-2</v>
      </c>
      <c r="J324" s="3">
        <f t="shared" ref="J324" si="837">E324-E323</f>
        <v>-15</v>
      </c>
      <c r="K324" s="16">
        <f t="shared" ref="K324" si="838">(F324-F272)/F272</f>
        <v>1.1920529801324504E-2</v>
      </c>
      <c r="L324" s="3">
        <f t="shared" ref="L324" si="839">AVERAGE(F168,F220,F272)</f>
        <v>720.66666666666663</v>
      </c>
    </row>
    <row r="325" spans="1:12" ht="13.8" x14ac:dyDescent="0.25">
      <c r="A325" s="27">
        <f t="shared" si="573"/>
        <v>40866</v>
      </c>
      <c r="B325" s="3">
        <f>2+338+1+102</f>
        <v>443</v>
      </c>
      <c r="C325" s="3">
        <f>5+2+2+16</f>
        <v>25</v>
      </c>
      <c r="D325" s="3">
        <f>4+35+1+59</f>
        <v>99</v>
      </c>
      <c r="E325" s="13">
        <f t="shared" si="782"/>
        <v>567</v>
      </c>
      <c r="F325" s="15">
        <v>840</v>
      </c>
      <c r="G325" s="18">
        <f t="shared" ref="G325" si="840">F325-E325</f>
        <v>273</v>
      </c>
      <c r="H325" s="21">
        <f t="shared" ref="H325" si="841">(F325-F324)/F324</f>
        <v>9.947643979057591E-2</v>
      </c>
      <c r="I325" s="21">
        <f t="shared" ref="I325" si="842">(E325-E324)/E324</f>
        <v>0.2857142857142857</v>
      </c>
      <c r="J325" s="3">
        <f t="shared" ref="J325" si="843">E325-E324</f>
        <v>126</v>
      </c>
      <c r="K325" s="16">
        <f t="shared" ref="K325" si="844">(F325-F273)/F273</f>
        <v>8.5271317829457363E-2</v>
      </c>
      <c r="L325" s="3">
        <f t="shared" ref="L325" si="845">AVERAGE(F169,F221,F273)</f>
        <v>682.33333333333337</v>
      </c>
    </row>
    <row r="326" spans="1:12" ht="13.8" x14ac:dyDescent="0.25">
      <c r="A326" s="27">
        <f t="shared" si="573"/>
        <v>40873</v>
      </c>
      <c r="B326" s="3">
        <f>10+425+15+117</f>
        <v>567</v>
      </c>
      <c r="C326" s="3">
        <f>4+0+2+5</f>
        <v>11</v>
      </c>
      <c r="D326" s="3">
        <f>2+24+0+88</f>
        <v>114</v>
      </c>
      <c r="E326" s="13">
        <f t="shared" ref="E326:E343" si="846">SUM(B326:D326)</f>
        <v>692</v>
      </c>
      <c r="F326" s="15">
        <v>667</v>
      </c>
      <c r="G326" s="18">
        <f t="shared" ref="G326" si="847">F326-E326</f>
        <v>-25</v>
      </c>
      <c r="H326" s="21">
        <f t="shared" ref="H326" si="848">(F326-F325)/F325</f>
        <v>-0.20595238095238094</v>
      </c>
      <c r="I326" s="21">
        <f t="shared" ref="I326" si="849">(E326-E325)/E325</f>
        <v>0.22045855379188711</v>
      </c>
      <c r="J326" s="3">
        <f t="shared" ref="J326" si="850">E326-E325</f>
        <v>125</v>
      </c>
      <c r="K326" s="16">
        <f t="shared" ref="K326" si="851">(F326-F274)/F274</f>
        <v>7.5528700906344415E-3</v>
      </c>
      <c r="L326" s="3">
        <f t="shared" ref="L326" si="852">AVERAGE(F170,F222,F274)</f>
        <v>634.33333333333337</v>
      </c>
    </row>
    <row r="327" spans="1:12" ht="13.8" x14ac:dyDescent="0.25">
      <c r="A327" s="27">
        <f t="shared" si="573"/>
        <v>40880</v>
      </c>
      <c r="B327" s="3">
        <f>1+392+11+86</f>
        <v>490</v>
      </c>
      <c r="C327" s="3">
        <f>5+2+2+13</f>
        <v>22</v>
      </c>
      <c r="D327" s="3">
        <f>2+36+4+51</f>
        <v>93</v>
      </c>
      <c r="E327" s="13">
        <f t="shared" si="846"/>
        <v>605</v>
      </c>
      <c r="F327" s="15">
        <v>714</v>
      </c>
      <c r="G327" s="18">
        <f t="shared" ref="G327" si="853">F327-E327</f>
        <v>109</v>
      </c>
      <c r="H327" s="21">
        <f t="shared" ref="H327" si="854">(F327-F326)/F326</f>
        <v>7.0464767616191901E-2</v>
      </c>
      <c r="I327" s="21">
        <f t="shared" ref="I327" si="855">(E327-E326)/E326</f>
        <v>-0.12572254335260116</v>
      </c>
      <c r="J327" s="3">
        <f t="shared" ref="J327" si="856">E327-E326</f>
        <v>-87</v>
      </c>
      <c r="K327" s="16">
        <f t="shared" ref="K327" si="857">(F327-F275)/F275</f>
        <v>-0.10526315789473684</v>
      </c>
      <c r="L327" s="3">
        <f t="shared" ref="L327" si="858">AVERAGE(F171,F223,F275)</f>
        <v>711.66666666666663</v>
      </c>
    </row>
    <row r="328" spans="1:12" ht="13.8" x14ac:dyDescent="0.25">
      <c r="A328" s="27">
        <f t="shared" si="573"/>
        <v>40887</v>
      </c>
      <c r="B328" s="3">
        <f>1+415+0+131</f>
        <v>547</v>
      </c>
      <c r="C328" s="3">
        <f>8+0+3+7</f>
        <v>18</v>
      </c>
      <c r="D328" s="3">
        <f>2+26+0+25</f>
        <v>53</v>
      </c>
      <c r="E328" s="13">
        <f t="shared" si="846"/>
        <v>618</v>
      </c>
      <c r="F328" s="15">
        <v>672</v>
      </c>
      <c r="G328" s="18">
        <f t="shared" ref="G328" si="859">F328-E328</f>
        <v>54</v>
      </c>
      <c r="H328" s="21">
        <f t="shared" ref="H328" si="860">(F328-F327)/F327</f>
        <v>-5.8823529411764705E-2</v>
      </c>
      <c r="I328" s="21">
        <f t="shared" ref="I328" si="861">(E328-E327)/E327</f>
        <v>2.1487603305785124E-2</v>
      </c>
      <c r="J328" s="3">
        <f t="shared" ref="J328" si="862">E328-E327</f>
        <v>13</v>
      </c>
      <c r="K328" s="16">
        <f t="shared" ref="K328" si="863">(F328-F276)/F276</f>
        <v>-0.20567375886524822</v>
      </c>
      <c r="L328" s="3">
        <f t="shared" ref="L328" si="864">AVERAGE(F172,F224,F276)</f>
        <v>699.33333333333337</v>
      </c>
    </row>
    <row r="329" spans="1:12" ht="13.8" x14ac:dyDescent="0.25">
      <c r="A329" s="27">
        <f t="shared" si="573"/>
        <v>40894</v>
      </c>
      <c r="B329" s="3">
        <f>0+259+1+185</f>
        <v>445</v>
      </c>
      <c r="C329" s="3">
        <f>7+0+0+5</f>
        <v>12</v>
      </c>
      <c r="D329" s="3">
        <f>9+39+1+54</f>
        <v>103</v>
      </c>
      <c r="E329" s="13">
        <f t="shared" si="846"/>
        <v>560</v>
      </c>
      <c r="F329" s="15">
        <v>657</v>
      </c>
      <c r="G329" s="18">
        <f t="shared" ref="G329" si="865">F329-E329</f>
        <v>97</v>
      </c>
      <c r="H329" s="21">
        <f t="shared" ref="H329" si="866">(F329-F328)/F328</f>
        <v>-2.2321428571428572E-2</v>
      </c>
      <c r="I329" s="21">
        <f t="shared" ref="I329" si="867">(E329-E328)/E328</f>
        <v>-9.3851132686084138E-2</v>
      </c>
      <c r="J329" s="3">
        <f t="shared" ref="J329" si="868">E329-E328</f>
        <v>-58</v>
      </c>
      <c r="K329" s="16">
        <f t="shared" ref="K329" si="869">(F329-F277)/F277</f>
        <v>-0.10245901639344263</v>
      </c>
      <c r="L329" s="3">
        <f t="shared" ref="L329" si="870">AVERAGE(F173,F225,F277)</f>
        <v>601</v>
      </c>
    </row>
    <row r="330" spans="1:12" ht="13.8" x14ac:dyDescent="0.25">
      <c r="A330" s="27">
        <f t="shared" si="573"/>
        <v>40901</v>
      </c>
      <c r="B330" s="3">
        <f>1+150+0+130</f>
        <v>281</v>
      </c>
      <c r="C330" s="3">
        <f>15+0+1+6</f>
        <v>22</v>
      </c>
      <c r="D330" s="3">
        <f>4+101+0+55</f>
        <v>160</v>
      </c>
      <c r="E330" s="13">
        <f t="shared" si="846"/>
        <v>463</v>
      </c>
      <c r="F330" s="15">
        <v>690</v>
      </c>
      <c r="G330" s="18">
        <f t="shared" ref="G330" si="871">F330-E330</f>
        <v>227</v>
      </c>
      <c r="H330" s="21">
        <f t="shared" ref="H330" si="872">(F330-F329)/F329</f>
        <v>5.0228310502283102E-2</v>
      </c>
      <c r="I330" s="21">
        <f t="shared" ref="I330" si="873">(E330-E329)/E329</f>
        <v>-0.17321428571428571</v>
      </c>
      <c r="J330" s="3">
        <f t="shared" ref="J330" si="874">E330-E329</f>
        <v>-97</v>
      </c>
      <c r="K330" s="16">
        <f t="shared" ref="K330" si="875">(F330-F278)/F278</f>
        <v>0.22340425531914893</v>
      </c>
      <c r="L330" s="3">
        <f t="shared" ref="L330" si="876">AVERAGE(F174,F226,F278)</f>
        <v>607</v>
      </c>
    </row>
    <row r="331" spans="1:12" ht="13.8" x14ac:dyDescent="0.25">
      <c r="A331" s="27">
        <f t="shared" si="573"/>
        <v>40908</v>
      </c>
      <c r="B331" s="3">
        <f>0+108+0+65</f>
        <v>173</v>
      </c>
      <c r="C331" s="3">
        <f>6+0+0+14</f>
        <v>20</v>
      </c>
      <c r="D331" s="3">
        <f>9+48+0+46</f>
        <v>103</v>
      </c>
      <c r="E331" s="13">
        <f t="shared" si="846"/>
        <v>296</v>
      </c>
      <c r="F331" s="15">
        <v>552</v>
      </c>
      <c r="G331" s="18">
        <f t="shared" ref="G331" si="877">F331-E331</f>
        <v>256</v>
      </c>
      <c r="H331" s="21">
        <f t="shared" ref="H331" si="878">(F331-F330)/F330</f>
        <v>-0.2</v>
      </c>
      <c r="I331" s="21">
        <f t="shared" ref="I331" si="879">(E331-E330)/E330</f>
        <v>-0.36069114470842334</v>
      </c>
      <c r="J331" s="3">
        <f t="shared" ref="J331" si="880">E331-E330</f>
        <v>-167</v>
      </c>
      <c r="K331" s="16">
        <f t="shared" ref="K331" si="881">(F331-F279)/F279</f>
        <v>0.28372093023255812</v>
      </c>
      <c r="L331" s="3">
        <f t="shared" ref="L331" si="882">AVERAGE(F175,F227,F279)</f>
        <v>588</v>
      </c>
    </row>
    <row r="332" spans="1:12" ht="13.8" x14ac:dyDescent="0.25">
      <c r="A332" s="27">
        <f t="shared" si="573"/>
        <v>40915</v>
      </c>
      <c r="B332" s="3">
        <f>1+102+0+66</f>
        <v>169</v>
      </c>
      <c r="C332" s="3">
        <f>10+0+0+7</f>
        <v>17</v>
      </c>
      <c r="D332" s="3">
        <f>3+57+0+68</f>
        <v>128</v>
      </c>
      <c r="E332" s="13">
        <f t="shared" si="846"/>
        <v>314</v>
      </c>
      <c r="F332" s="15">
        <v>681</v>
      </c>
      <c r="G332" s="18">
        <f t="shared" ref="G332" si="883">F332-E332</f>
        <v>367</v>
      </c>
      <c r="H332" s="21">
        <f t="shared" ref="H332" si="884">(F332-F331)/F331</f>
        <v>0.23369565217391305</v>
      </c>
      <c r="I332" s="21">
        <f t="shared" ref="I332" si="885">(E332-E331)/E331</f>
        <v>6.0810810810810814E-2</v>
      </c>
      <c r="J332" s="3">
        <f t="shared" ref="J332" si="886">E332-E331</f>
        <v>18</v>
      </c>
      <c r="K332" s="16">
        <f t="shared" ref="K332" si="887">(F332-F280)/F280</f>
        <v>4.1284403669724773E-2</v>
      </c>
      <c r="L332" s="3">
        <f t="shared" ref="L332" si="888">AVERAGE(F176,F228,F280)</f>
        <v>674</v>
      </c>
    </row>
    <row r="333" spans="1:12" ht="13.8" x14ac:dyDescent="0.25">
      <c r="A333" s="27">
        <f t="shared" si="573"/>
        <v>40922</v>
      </c>
      <c r="B333" s="3">
        <f>0+132+0+52</f>
        <v>184</v>
      </c>
      <c r="C333" s="3">
        <f>14+0+0+12</f>
        <v>26</v>
      </c>
      <c r="D333" s="3">
        <f>3+80+0+79</f>
        <v>162</v>
      </c>
      <c r="E333" s="13">
        <f t="shared" si="846"/>
        <v>372</v>
      </c>
      <c r="F333" s="15">
        <v>840</v>
      </c>
      <c r="G333" s="18">
        <f t="shared" ref="G333" si="889">F333-E333</f>
        <v>468</v>
      </c>
      <c r="H333" s="21">
        <f t="shared" ref="H333" si="890">(F333-F332)/F332</f>
        <v>0.23348017621145375</v>
      </c>
      <c r="I333" s="21">
        <f t="shared" ref="I333" si="891">(E333-E332)/E332</f>
        <v>0.18471337579617833</v>
      </c>
      <c r="J333" s="3">
        <f t="shared" ref="J333" si="892">E333-E332</f>
        <v>58</v>
      </c>
      <c r="K333" s="16">
        <f t="shared" ref="K333" si="893">(F333-F281)/F281</f>
        <v>0.47110332749562173</v>
      </c>
      <c r="L333" s="3">
        <f t="shared" ref="L333" si="894">AVERAGE(F177,F229,F281)</f>
        <v>673</v>
      </c>
    </row>
    <row r="334" spans="1:12" ht="13.8" x14ac:dyDescent="0.25">
      <c r="A334" s="27">
        <f t="shared" si="573"/>
        <v>40929</v>
      </c>
      <c r="B334" s="3">
        <f>10+155+0+105</f>
        <v>270</v>
      </c>
      <c r="C334" s="3">
        <f>9+0+1+13</f>
        <v>23</v>
      </c>
      <c r="D334" s="3">
        <f>6+69+0+63</f>
        <v>138</v>
      </c>
      <c r="E334" s="13">
        <f t="shared" si="846"/>
        <v>431</v>
      </c>
      <c r="F334" s="15">
        <v>772</v>
      </c>
      <c r="G334" s="18">
        <f t="shared" ref="G334" si="895">F334-E334</f>
        <v>341</v>
      </c>
      <c r="H334" s="21">
        <f t="shared" ref="H334" si="896">(F334-F333)/F333</f>
        <v>-8.0952380952380956E-2</v>
      </c>
      <c r="I334" s="21">
        <f t="shared" ref="I334" si="897">(E334-E333)/E333</f>
        <v>0.15860215053763441</v>
      </c>
      <c r="J334" s="3">
        <f t="shared" ref="J334" si="898">E334-E333</f>
        <v>59</v>
      </c>
      <c r="K334" s="16">
        <f t="shared" ref="K334" si="899">(F334-F282)/F282</f>
        <v>0.26557377049180325</v>
      </c>
      <c r="L334" s="3">
        <f t="shared" ref="L334" si="900">AVERAGE(F178,F230,F282)</f>
        <v>658.33333333333337</v>
      </c>
    </row>
    <row r="335" spans="1:12" ht="13.8" x14ac:dyDescent="0.25">
      <c r="A335" s="27">
        <f t="shared" si="573"/>
        <v>40936</v>
      </c>
      <c r="B335" s="3">
        <f>0+147+0+71</f>
        <v>218</v>
      </c>
      <c r="C335" s="3">
        <f>9+0+0+20</f>
        <v>29</v>
      </c>
      <c r="D335" s="3">
        <f>2+69+3+70</f>
        <v>144</v>
      </c>
      <c r="E335" s="13">
        <f t="shared" si="846"/>
        <v>391</v>
      </c>
      <c r="F335" s="15">
        <v>793</v>
      </c>
      <c r="G335" s="18">
        <f t="shared" ref="G335" si="901">F335-E335</f>
        <v>402</v>
      </c>
      <c r="H335" s="21">
        <f t="shared" ref="H335" si="902">(F335-F334)/F334</f>
        <v>2.7202072538860103E-2</v>
      </c>
      <c r="I335" s="21">
        <f t="shared" ref="I335" si="903">(E335-E334)/E334</f>
        <v>-9.2807424593967514E-2</v>
      </c>
      <c r="J335" s="3">
        <f t="shared" ref="J335" si="904">E335-E334</f>
        <v>-40</v>
      </c>
      <c r="K335" s="16">
        <f t="shared" ref="K335" si="905">(F335-F283)/F283</f>
        <v>0.13124108416547789</v>
      </c>
      <c r="L335" s="3">
        <f t="shared" ref="L335" si="906">AVERAGE(F179,F231,F283)</f>
        <v>694.66666666666663</v>
      </c>
    </row>
    <row r="336" spans="1:12" ht="13.8" x14ac:dyDescent="0.25">
      <c r="A336" s="27">
        <f t="shared" si="573"/>
        <v>40943</v>
      </c>
      <c r="B336" s="3">
        <f>11+166+2+104</f>
        <v>283</v>
      </c>
      <c r="C336" s="3">
        <f>5+0+3+21</f>
        <v>29</v>
      </c>
      <c r="D336" s="3">
        <f>2+68+0+71</f>
        <v>141</v>
      </c>
      <c r="E336" s="13">
        <f t="shared" si="846"/>
        <v>453</v>
      </c>
      <c r="F336" s="15">
        <v>657</v>
      </c>
      <c r="G336" s="18">
        <f t="shared" ref="G336" si="907">F336-E336</f>
        <v>204</v>
      </c>
      <c r="H336" s="21">
        <f t="shared" ref="H336" si="908">(F336-F335)/F335</f>
        <v>-0.17150063051702397</v>
      </c>
      <c r="I336" s="21">
        <f t="shared" ref="I336" si="909">(E336-E335)/E335</f>
        <v>0.15856777493606139</v>
      </c>
      <c r="J336" s="3">
        <f t="shared" ref="J336" si="910">E336-E335</f>
        <v>62</v>
      </c>
      <c r="K336" s="16">
        <f t="shared" ref="K336" si="911">(F336-F284)/F284</f>
        <v>3.1397174254317109E-2</v>
      </c>
      <c r="L336" s="3">
        <f t="shared" ref="L336" si="912">AVERAGE(F180,F232,F284)</f>
        <v>660.66666666666663</v>
      </c>
    </row>
    <row r="337" spans="1:13" ht="13.8" x14ac:dyDescent="0.25">
      <c r="A337" s="27">
        <f t="shared" si="573"/>
        <v>40950</v>
      </c>
      <c r="B337" s="3">
        <f>1+165+5+109</f>
        <v>280</v>
      </c>
      <c r="C337" s="3">
        <f>11+0+2+17</f>
        <v>30</v>
      </c>
      <c r="D337" s="3">
        <f>4+104+0+91</f>
        <v>199</v>
      </c>
      <c r="E337" s="13">
        <f t="shared" si="846"/>
        <v>509</v>
      </c>
      <c r="F337" s="15">
        <v>713</v>
      </c>
      <c r="G337" s="18">
        <f t="shared" ref="G337" si="913">F337-E337</f>
        <v>204</v>
      </c>
      <c r="H337" s="21">
        <f t="shared" ref="H337" si="914">(F337-F336)/F336</f>
        <v>8.5235920852359204E-2</v>
      </c>
      <c r="I337" s="21">
        <f t="shared" ref="I337" si="915">(E337-E336)/E336</f>
        <v>0.12362030905077263</v>
      </c>
      <c r="J337" s="3">
        <f t="shared" ref="J337" si="916">E337-E336</f>
        <v>56</v>
      </c>
      <c r="K337" s="16">
        <f t="shared" ref="K337" si="917">(F337-F285)/F285</f>
        <v>2.7377521613832854E-2</v>
      </c>
      <c r="L337" s="3">
        <f t="shared" ref="L337" si="918">AVERAGE(F181,F233,F285)</f>
        <v>646</v>
      </c>
    </row>
    <row r="338" spans="1:13" ht="13.8" x14ac:dyDescent="0.25">
      <c r="A338" s="27">
        <f t="shared" si="573"/>
        <v>40957</v>
      </c>
      <c r="B338" s="3">
        <f>12+172+6+71</f>
        <v>261</v>
      </c>
      <c r="C338" s="3">
        <f>6+1+0+14</f>
        <v>21</v>
      </c>
      <c r="D338" s="3">
        <f>4+78+0+62</f>
        <v>144</v>
      </c>
      <c r="E338" s="13">
        <f t="shared" si="846"/>
        <v>426</v>
      </c>
      <c r="F338" s="15">
        <v>601</v>
      </c>
      <c r="G338" s="18">
        <f t="shared" ref="G338" si="919">F338-E338</f>
        <v>175</v>
      </c>
      <c r="H338" s="21">
        <f t="shared" ref="H338" si="920">(F338-F337)/F337</f>
        <v>-0.15708274894810659</v>
      </c>
      <c r="I338" s="21">
        <f t="shared" ref="I338" si="921">(E338-E337)/E337</f>
        <v>-0.16306483300589392</v>
      </c>
      <c r="J338" s="3">
        <f t="shared" ref="J338" si="922">E338-E337</f>
        <v>-83</v>
      </c>
      <c r="K338" s="16">
        <f t="shared" ref="K338" si="923">(F338-F286)/F286</f>
        <v>-0.17103448275862068</v>
      </c>
      <c r="L338" s="3">
        <f t="shared" ref="L338" si="924">AVERAGE(F182,F234,F286)</f>
        <v>664.66666666666663</v>
      </c>
    </row>
    <row r="339" spans="1:13" ht="13.8" x14ac:dyDescent="0.25">
      <c r="A339" s="27">
        <f t="shared" si="573"/>
        <v>40964</v>
      </c>
      <c r="B339" s="3">
        <f>2+128+3+44</f>
        <v>177</v>
      </c>
      <c r="C339" s="3">
        <f>13+0+0+12</f>
        <v>25</v>
      </c>
      <c r="D339" s="3">
        <f>4+55+0+60</f>
        <v>119</v>
      </c>
      <c r="E339" s="13">
        <f t="shared" si="846"/>
        <v>321</v>
      </c>
      <c r="F339" s="15">
        <v>563</v>
      </c>
      <c r="G339" s="18">
        <f t="shared" ref="G339" si="925">F339-E339</f>
        <v>242</v>
      </c>
      <c r="H339" s="21">
        <f t="shared" ref="H339" si="926">(F339-F338)/F338</f>
        <v>-6.3227953410981697E-2</v>
      </c>
      <c r="I339" s="21">
        <f t="shared" ref="I339" si="927">(E339-E338)/E338</f>
        <v>-0.24647887323943662</v>
      </c>
      <c r="J339" s="3">
        <f t="shared" ref="J339" si="928">E339-E338</f>
        <v>-105</v>
      </c>
      <c r="K339" s="16">
        <f t="shared" ref="K339" si="929">(F339-F287)/F287</f>
        <v>-0.13914373088685014</v>
      </c>
      <c r="L339" s="3">
        <f t="shared" ref="L339" si="930">AVERAGE(F183,F235,F287)</f>
        <v>640</v>
      </c>
    </row>
    <row r="340" spans="1:13" ht="13.8" x14ac:dyDescent="0.25">
      <c r="A340" s="27">
        <f t="shared" si="573"/>
        <v>40971</v>
      </c>
      <c r="B340" s="3">
        <f>4+115+0+50</f>
        <v>169</v>
      </c>
      <c r="C340" s="3">
        <f>14+0+5+22</f>
        <v>41</v>
      </c>
      <c r="D340" s="3">
        <f>10+59+0+50</f>
        <v>119</v>
      </c>
      <c r="E340" s="13">
        <f t="shared" si="846"/>
        <v>329</v>
      </c>
      <c r="F340" s="15">
        <v>593</v>
      </c>
      <c r="G340" s="18">
        <f t="shared" ref="G340" si="931">F340-E340</f>
        <v>264</v>
      </c>
      <c r="H340" s="21">
        <f t="shared" ref="H340" si="932">(F340-F339)/F339</f>
        <v>5.328596802841918E-2</v>
      </c>
      <c r="I340" s="21">
        <f t="shared" ref="I340" si="933">(E340-E339)/E339</f>
        <v>2.4922118380062305E-2</v>
      </c>
      <c r="J340" s="3">
        <f t="shared" ref="J340" si="934">E340-E339</f>
        <v>8</v>
      </c>
      <c r="K340" s="16">
        <f t="shared" ref="K340" si="935">(F340-F288)/F288</f>
        <v>-0.16946778711484595</v>
      </c>
      <c r="L340" s="3">
        <f t="shared" ref="L340" si="936">AVERAGE(F184,F236,F288)</f>
        <v>625.33333333333337</v>
      </c>
    </row>
    <row r="341" spans="1:13" ht="13.8" x14ac:dyDescent="0.25">
      <c r="A341" s="27">
        <f t="shared" si="573"/>
        <v>40978</v>
      </c>
      <c r="B341" s="3">
        <f>0+75+0+83</f>
        <v>158</v>
      </c>
      <c r="C341" s="3">
        <f>13+0+4+16</f>
        <v>33</v>
      </c>
      <c r="D341" s="3">
        <f>12+84+0+77</f>
        <v>173</v>
      </c>
      <c r="E341" s="13">
        <f t="shared" si="846"/>
        <v>364</v>
      </c>
      <c r="F341" s="15">
        <v>493</v>
      </c>
      <c r="G341" s="18">
        <f t="shared" ref="G341" si="937">F341-E341</f>
        <v>129</v>
      </c>
      <c r="H341" s="21">
        <f t="shared" ref="H341" si="938">(F341-F340)/F340</f>
        <v>-0.16863406408094436</v>
      </c>
      <c r="I341" s="21">
        <f t="shared" ref="I341" si="939">(E341-E340)/E340</f>
        <v>0.10638297872340426</v>
      </c>
      <c r="J341" s="3">
        <f t="shared" ref="J341" si="940">E341-E340</f>
        <v>35</v>
      </c>
      <c r="K341" s="16">
        <f t="shared" ref="K341" si="941">(F341-F289)/F289</f>
        <v>-0.12433392539964476</v>
      </c>
      <c r="L341" s="3">
        <f t="shared" ref="L341" si="942">AVERAGE(F185,F237,F289)</f>
        <v>569.66666666666663</v>
      </c>
    </row>
    <row r="342" spans="1:13" ht="13.8" x14ac:dyDescent="0.25">
      <c r="A342" s="27">
        <f t="shared" si="573"/>
        <v>40985</v>
      </c>
      <c r="B342" s="3">
        <v>131</v>
      </c>
      <c r="C342" s="3">
        <v>32</v>
      </c>
      <c r="D342" s="3">
        <v>69</v>
      </c>
      <c r="E342" s="13">
        <f t="shared" si="846"/>
        <v>232</v>
      </c>
      <c r="F342" s="15">
        <v>457</v>
      </c>
      <c r="G342" s="18">
        <f t="shared" ref="G342:G343" si="943">F342-E342</f>
        <v>225</v>
      </c>
      <c r="H342" s="21">
        <f t="shared" ref="H342" si="944">(F342-F341)/F341</f>
        <v>-7.3022312373225151E-2</v>
      </c>
      <c r="I342" s="21">
        <f t="shared" ref="I342" si="945">(E342-E341)/E341</f>
        <v>-0.36263736263736263</v>
      </c>
      <c r="J342" s="3">
        <f t="shared" ref="J342" si="946">E342-E341</f>
        <v>-132</v>
      </c>
      <c r="K342" s="16">
        <f t="shared" ref="K342" si="947">(F342-F290)/F290</f>
        <v>-0.24711696869851729</v>
      </c>
      <c r="L342" s="3">
        <f t="shared" ref="L342" si="948">AVERAGE(F186,F238,F290)</f>
        <v>636.33333333333337</v>
      </c>
    </row>
    <row r="343" spans="1:13" ht="13.8" x14ac:dyDescent="0.25">
      <c r="A343" s="27">
        <f t="shared" si="573"/>
        <v>40992</v>
      </c>
      <c r="B343" s="3">
        <v>375</v>
      </c>
      <c r="C343" s="3">
        <v>23</v>
      </c>
      <c r="D343" s="3">
        <v>97</v>
      </c>
      <c r="E343" s="36">
        <f t="shared" si="846"/>
        <v>495</v>
      </c>
      <c r="F343" s="36">
        <v>496</v>
      </c>
      <c r="G343" s="3">
        <f t="shared" si="943"/>
        <v>1</v>
      </c>
      <c r="H343" s="21">
        <f t="shared" ref="H343" si="949">(F343-F342)/F342</f>
        <v>8.5339168490153175E-2</v>
      </c>
      <c r="I343" s="21">
        <f t="shared" ref="I343" si="950">(E343-E342)/E342</f>
        <v>1.1336206896551724</v>
      </c>
      <c r="J343" s="3">
        <f t="shared" ref="J343" si="951">E343-E342</f>
        <v>263</v>
      </c>
      <c r="K343" s="16">
        <f t="shared" ref="K343" si="952">(F343-F291)/F291</f>
        <v>-0.24505327245053271</v>
      </c>
      <c r="L343" s="3">
        <f t="shared" ref="L343" si="953">AVERAGE(F187,F239,F291)</f>
        <v>639.66666666666663</v>
      </c>
    </row>
    <row r="344" spans="1:13" ht="13.8" x14ac:dyDescent="0.25">
      <c r="A344" s="27">
        <f t="shared" si="573"/>
        <v>40999</v>
      </c>
      <c r="B344" s="3">
        <v>373</v>
      </c>
      <c r="C344" s="3">
        <v>23</v>
      </c>
      <c r="D344" s="3">
        <v>97</v>
      </c>
      <c r="E344" s="36">
        <f t="shared" ref="E344:E368" si="954">SUM(B344:D344)</f>
        <v>493</v>
      </c>
      <c r="F344" s="36">
        <v>482</v>
      </c>
      <c r="G344" s="3">
        <f t="shared" ref="G344:G345" si="955">F344-E344</f>
        <v>-11</v>
      </c>
      <c r="H344" s="21">
        <f t="shared" ref="H344" si="956">(F344-F343)/F343</f>
        <v>-2.8225806451612902E-2</v>
      </c>
      <c r="I344" s="21">
        <f t="shared" ref="I344" si="957">(E344-E343)/E343</f>
        <v>-4.0404040404040404E-3</v>
      </c>
      <c r="J344" s="3">
        <f t="shared" ref="J344" si="958">E344-E343</f>
        <v>-2</v>
      </c>
      <c r="K344" s="16">
        <f t="shared" ref="K344" si="959">(F344-F292)/F292</f>
        <v>-3.0181086519114688E-2</v>
      </c>
      <c r="L344" s="3">
        <f t="shared" ref="L344" si="960">AVERAGE(F188,F240,F292)</f>
        <v>528.33333333333337</v>
      </c>
    </row>
    <row r="345" spans="1:13" ht="13.8" x14ac:dyDescent="0.25">
      <c r="A345" s="27">
        <f t="shared" si="573"/>
        <v>41006</v>
      </c>
      <c r="B345" s="3">
        <v>328</v>
      </c>
      <c r="C345" s="3">
        <v>9</v>
      </c>
      <c r="D345" s="3">
        <v>71</v>
      </c>
      <c r="E345" s="36">
        <f t="shared" si="954"/>
        <v>408</v>
      </c>
      <c r="F345" s="36">
        <v>495</v>
      </c>
      <c r="G345" s="3">
        <f t="shared" si="955"/>
        <v>87</v>
      </c>
      <c r="H345" s="21">
        <f t="shared" ref="H345" si="961">(F345-F344)/F344</f>
        <v>2.6970954356846474E-2</v>
      </c>
      <c r="I345" s="21">
        <f t="shared" ref="I345" si="962">(E345-E344)/E344</f>
        <v>-0.17241379310344829</v>
      </c>
      <c r="J345" s="3">
        <f t="shared" ref="J345" si="963">E345-E344</f>
        <v>-85</v>
      </c>
      <c r="K345" s="16">
        <f t="shared" ref="K345" si="964">(F345-F293)/F293</f>
        <v>-8.6715867158671592E-2</v>
      </c>
      <c r="L345" s="3">
        <f t="shared" ref="L345" si="965">AVERAGE(F189,F241,F293)</f>
        <v>532.66666666666663</v>
      </c>
    </row>
    <row r="346" spans="1:13" ht="13.8" x14ac:dyDescent="0.25">
      <c r="A346" s="27">
        <f t="shared" si="573"/>
        <v>41013</v>
      </c>
      <c r="B346" s="3">
        <f>12+149+1+73</f>
        <v>235</v>
      </c>
      <c r="C346" s="3">
        <f>21+0+2+8</f>
        <v>31</v>
      </c>
      <c r="D346" s="3">
        <f>2+11+1+17</f>
        <v>31</v>
      </c>
      <c r="E346" s="36">
        <f t="shared" si="954"/>
        <v>297</v>
      </c>
      <c r="F346" s="36">
        <v>649</v>
      </c>
      <c r="G346" s="3">
        <f t="shared" ref="G346" si="966">F346-E346</f>
        <v>352</v>
      </c>
      <c r="H346" s="21">
        <f t="shared" ref="H346" si="967">(F346-F345)/F345</f>
        <v>0.31111111111111112</v>
      </c>
      <c r="I346" s="21">
        <f t="shared" ref="I346" si="968">(E346-E345)/E345</f>
        <v>-0.27205882352941174</v>
      </c>
      <c r="J346" s="3">
        <f t="shared" ref="J346" si="969">E346-E345</f>
        <v>-111</v>
      </c>
      <c r="K346" s="16">
        <f t="shared" ref="K346" si="970">(F346-F294)/F294</f>
        <v>0.45190156599552572</v>
      </c>
      <c r="L346" s="3">
        <f t="shared" ref="L346" si="971">AVERAGE(F190,F242,F294)</f>
        <v>510.33333333333331</v>
      </c>
    </row>
    <row r="347" spans="1:13" ht="14.4" thickBot="1" x14ac:dyDescent="0.3">
      <c r="A347" s="27">
        <f t="shared" si="573"/>
        <v>41020</v>
      </c>
      <c r="B347" s="3">
        <f>8+262+0+115</f>
        <v>385</v>
      </c>
      <c r="C347" s="3">
        <f>10+0+1+1</f>
        <v>12</v>
      </c>
      <c r="D347" s="3">
        <f>7+18+2+12</f>
        <v>39</v>
      </c>
      <c r="E347" s="36">
        <f t="shared" si="954"/>
        <v>436</v>
      </c>
      <c r="F347" s="36">
        <v>476</v>
      </c>
      <c r="G347" s="3">
        <f t="shared" ref="G347" si="972">F347-E347</f>
        <v>40</v>
      </c>
      <c r="H347" s="21">
        <f t="shared" ref="H347" si="973">(F347-F346)/F346</f>
        <v>-0.26656394453004623</v>
      </c>
      <c r="I347" s="21">
        <f t="shared" ref="I347" si="974">(E347-E346)/E346</f>
        <v>0.46801346801346799</v>
      </c>
      <c r="J347" s="3">
        <f t="shared" ref="J347" si="975">E347-E346</f>
        <v>139</v>
      </c>
      <c r="K347" s="16">
        <f t="shared" ref="K347" si="976">(F347-F295)/F295</f>
        <v>0.57615894039735094</v>
      </c>
      <c r="L347" s="3">
        <f t="shared" ref="L347" si="977">AVERAGE(F191,F243,F295)</f>
        <v>336.33333333333331</v>
      </c>
    </row>
    <row r="348" spans="1:13" ht="13.8" x14ac:dyDescent="0.25">
      <c r="A348" s="27">
        <f t="shared" si="573"/>
        <v>41027</v>
      </c>
      <c r="B348" s="3">
        <f>6+215+0+100</f>
        <v>321</v>
      </c>
      <c r="C348" s="3">
        <f>20+0+6+7</f>
        <v>33</v>
      </c>
      <c r="D348" s="46">
        <v>45</v>
      </c>
      <c r="E348" s="36">
        <f t="shared" si="954"/>
        <v>399</v>
      </c>
      <c r="F348" s="36">
        <v>312</v>
      </c>
      <c r="G348" s="3">
        <f t="shared" ref="G348" si="978">F348-E348</f>
        <v>-87</v>
      </c>
      <c r="H348" s="21">
        <f t="shared" ref="H348" si="979">(F348-F347)/F347</f>
        <v>-0.34453781512605042</v>
      </c>
      <c r="I348" s="21">
        <f t="shared" ref="I348" si="980">(E348-E347)/E347</f>
        <v>-8.4862385321100922E-2</v>
      </c>
      <c r="J348" s="3">
        <f t="shared" ref="J348" si="981">E348-E347</f>
        <v>-37</v>
      </c>
      <c r="K348" s="16">
        <f t="shared" ref="K348" si="982">(F348-F296)/F296</f>
        <v>-0.2</v>
      </c>
      <c r="L348" s="3">
        <f t="shared" ref="L348" si="983">AVERAGE(F192,F244,F296)</f>
        <v>424.66666666666669</v>
      </c>
      <c r="M348" s="35" t="s">
        <v>27</v>
      </c>
    </row>
    <row r="349" spans="1:13" ht="14.4" thickBot="1" x14ac:dyDescent="0.3">
      <c r="A349" s="27">
        <f t="shared" si="573"/>
        <v>41034</v>
      </c>
      <c r="B349" s="3">
        <f>7+124+0+56</f>
        <v>187</v>
      </c>
      <c r="C349" s="3">
        <f>5+0+0+3</f>
        <v>8</v>
      </c>
      <c r="D349" s="47">
        <v>49</v>
      </c>
      <c r="E349" s="36">
        <f t="shared" si="954"/>
        <v>244</v>
      </c>
      <c r="F349" s="36">
        <v>416</v>
      </c>
      <c r="G349" s="3">
        <f t="shared" ref="G349:G354" si="984">F349-E349</f>
        <v>172</v>
      </c>
      <c r="H349" s="21">
        <f t="shared" ref="H349" si="985">(F349-F348)/F348</f>
        <v>0.33333333333333331</v>
      </c>
      <c r="I349" s="21">
        <f t="shared" ref="I349" si="986">(E349-E348)/E348</f>
        <v>-0.38847117794486213</v>
      </c>
      <c r="J349" s="3">
        <f t="shared" ref="J349:J354" si="987">E349-E348</f>
        <v>-155</v>
      </c>
      <c r="K349" s="16">
        <f t="shared" ref="K349" si="988">(F349-F297)/F297</f>
        <v>0.22352941176470589</v>
      </c>
      <c r="L349" s="3">
        <f t="shared" ref="L349" si="989">AVERAGE(F193,F245,F297)</f>
        <v>475.66666666666669</v>
      </c>
      <c r="M349" s="35" t="s">
        <v>28</v>
      </c>
    </row>
    <row r="350" spans="1:13" ht="13.8" x14ac:dyDescent="0.25">
      <c r="A350" s="27">
        <f t="shared" si="573"/>
        <v>41041</v>
      </c>
      <c r="B350" s="41">
        <v>350</v>
      </c>
      <c r="C350" s="42">
        <v>28</v>
      </c>
      <c r="D350" s="5">
        <v>60</v>
      </c>
      <c r="E350" s="36">
        <f t="shared" si="954"/>
        <v>438</v>
      </c>
      <c r="F350" s="36">
        <v>651</v>
      </c>
      <c r="G350" s="3">
        <f t="shared" si="984"/>
        <v>213</v>
      </c>
      <c r="H350" s="21">
        <f t="shared" ref="H350" si="990">(F350-F349)/F349</f>
        <v>0.56490384615384615</v>
      </c>
      <c r="I350" s="21">
        <f t="shared" ref="I350" si="991">(E350-E349)/E349</f>
        <v>0.79508196721311475</v>
      </c>
      <c r="J350" s="3">
        <f t="shared" si="987"/>
        <v>194</v>
      </c>
      <c r="K350" s="16">
        <f t="shared" ref="K350" si="992">(F350-F298)/F298</f>
        <v>1.4291044776119404</v>
      </c>
      <c r="L350" s="3">
        <f t="shared" ref="L350" si="993">AVERAGE(F194,F246,F298)</f>
        <v>459.33333333333331</v>
      </c>
      <c r="M350" s="35"/>
    </row>
    <row r="351" spans="1:13" ht="13.8" x14ac:dyDescent="0.25">
      <c r="A351" s="27">
        <f t="shared" si="573"/>
        <v>41048</v>
      </c>
      <c r="B351" s="43">
        <v>364</v>
      </c>
      <c r="C351" s="5">
        <v>10</v>
      </c>
      <c r="D351" s="5">
        <v>55</v>
      </c>
      <c r="E351" s="36">
        <f t="shared" si="954"/>
        <v>429</v>
      </c>
      <c r="F351" s="36">
        <v>417</v>
      </c>
      <c r="G351" s="3">
        <f t="shared" si="984"/>
        <v>-12</v>
      </c>
      <c r="H351" s="21">
        <f t="shared" ref="H351" si="994">(F351-F350)/F350</f>
        <v>-0.35944700460829493</v>
      </c>
      <c r="I351" s="21">
        <f t="shared" ref="I351" si="995">(E351-E350)/E350</f>
        <v>-2.0547945205479451E-2</v>
      </c>
      <c r="J351" s="3">
        <f t="shared" si="987"/>
        <v>-9</v>
      </c>
      <c r="K351" s="16">
        <f t="shared" ref="K351" si="996">(F351-F299)/F299</f>
        <v>0.13315217391304349</v>
      </c>
      <c r="L351" s="3">
        <f t="shared" ref="L351" si="997">AVERAGE(F195,F247,F299)</f>
        <v>453.66666666666669</v>
      </c>
      <c r="M351" s="35"/>
    </row>
    <row r="352" spans="1:13" ht="13.8" x14ac:dyDescent="0.25">
      <c r="A352" s="27">
        <f t="shared" si="573"/>
        <v>41055</v>
      </c>
      <c r="B352" s="43">
        <v>303</v>
      </c>
      <c r="C352" s="5">
        <v>29</v>
      </c>
      <c r="D352" s="5">
        <v>45</v>
      </c>
      <c r="E352" s="36">
        <f t="shared" si="954"/>
        <v>377</v>
      </c>
      <c r="F352" s="36">
        <v>430</v>
      </c>
      <c r="G352" s="3">
        <f t="shared" si="984"/>
        <v>53</v>
      </c>
      <c r="H352" s="21">
        <f t="shared" ref="H352" si="998">(F352-F351)/F351</f>
        <v>3.117505995203837E-2</v>
      </c>
      <c r="I352" s="21">
        <f t="shared" ref="I352" si="999">(E352-E351)/E351</f>
        <v>-0.12121212121212122</v>
      </c>
      <c r="J352" s="3">
        <f t="shared" si="987"/>
        <v>-52</v>
      </c>
      <c r="K352" s="16">
        <f t="shared" ref="K352" si="1000">(F352-F300)/F300</f>
        <v>0.17486338797814208</v>
      </c>
      <c r="L352" s="3">
        <f t="shared" ref="L352" si="1001">AVERAGE(F196,F248,F300)</f>
        <v>470.33333333333331</v>
      </c>
      <c r="M352" s="35"/>
    </row>
    <row r="353" spans="1:13" ht="13.8" x14ac:dyDescent="0.25">
      <c r="A353" s="27">
        <f t="shared" si="573"/>
        <v>41062</v>
      </c>
      <c r="B353" s="43">
        <v>344</v>
      </c>
      <c r="C353" s="5">
        <v>32</v>
      </c>
      <c r="D353" s="5">
        <v>27</v>
      </c>
      <c r="E353" s="36">
        <f t="shared" si="954"/>
        <v>403</v>
      </c>
      <c r="F353" s="36">
        <v>360</v>
      </c>
      <c r="G353" s="3">
        <f t="shared" si="984"/>
        <v>-43</v>
      </c>
      <c r="H353" s="21">
        <f t="shared" ref="H353" si="1002">(F353-F352)/F352</f>
        <v>-0.16279069767441862</v>
      </c>
      <c r="I353" s="21">
        <f t="shared" ref="I353" si="1003">(E353-E352)/E352</f>
        <v>6.8965517241379309E-2</v>
      </c>
      <c r="J353" s="3">
        <f t="shared" si="987"/>
        <v>26</v>
      </c>
      <c r="K353" s="16">
        <f t="shared" ref="K353" si="1004">(F353-F301)/F301</f>
        <v>0.12852664576802508</v>
      </c>
      <c r="L353" s="3">
        <f t="shared" ref="L353" si="1005">AVERAGE(F197,F249,F301)</f>
        <v>467.66666666666669</v>
      </c>
      <c r="M353" s="35"/>
    </row>
    <row r="354" spans="1:13" ht="14.4" thickBot="1" x14ac:dyDescent="0.3">
      <c r="A354" s="27">
        <f t="shared" si="573"/>
        <v>41069</v>
      </c>
      <c r="B354" s="44">
        <v>295</v>
      </c>
      <c r="C354" s="45">
        <v>30</v>
      </c>
      <c r="D354" s="45">
        <v>57</v>
      </c>
      <c r="E354" s="36">
        <f t="shared" si="954"/>
        <v>382</v>
      </c>
      <c r="F354" s="36">
        <v>243</v>
      </c>
      <c r="G354" s="3">
        <f t="shared" si="984"/>
        <v>-139</v>
      </c>
      <c r="H354" s="21">
        <f t="shared" ref="H354" si="1006">(F354-F353)/F353</f>
        <v>-0.32500000000000001</v>
      </c>
      <c r="I354" s="21">
        <f t="shared" ref="I354" si="1007">(E354-E353)/E353</f>
        <v>-5.2109181141439205E-2</v>
      </c>
      <c r="J354" s="3">
        <f t="shared" si="987"/>
        <v>-21</v>
      </c>
      <c r="K354" s="16">
        <f t="shared" ref="K354" si="1008">(F354-F302)/F302</f>
        <v>-0.18181818181818182</v>
      </c>
      <c r="L354" s="3">
        <f t="shared" ref="L354" si="1009">AVERAGE(F198,F250,F302)</f>
        <v>472.33333333333331</v>
      </c>
      <c r="M354" s="35"/>
    </row>
    <row r="355" spans="1:13" ht="13.8" x14ac:dyDescent="0.25">
      <c r="A355" s="27">
        <f t="shared" si="573"/>
        <v>41076</v>
      </c>
      <c r="B355" s="3">
        <f>186+98</f>
        <v>284</v>
      </c>
      <c r="C355" s="3">
        <f>28+1+2</f>
        <v>31</v>
      </c>
      <c r="D355" s="3">
        <f>18+9+1+16</f>
        <v>44</v>
      </c>
      <c r="E355" s="36">
        <f t="shared" si="954"/>
        <v>359</v>
      </c>
      <c r="F355" s="36">
        <v>425</v>
      </c>
      <c r="G355" s="3">
        <f t="shared" ref="G355" si="1010">F355-E355</f>
        <v>66</v>
      </c>
      <c r="H355" s="21">
        <f t="shared" ref="H355" si="1011">(F355-F354)/F354</f>
        <v>0.74897119341563789</v>
      </c>
      <c r="I355" s="21">
        <f t="shared" ref="I355" si="1012">(E355-E354)/E354</f>
        <v>-6.0209424083769635E-2</v>
      </c>
      <c r="J355" s="3">
        <f t="shared" ref="J355" si="1013">E355-E354</f>
        <v>-23</v>
      </c>
      <c r="K355" s="16">
        <f t="shared" ref="K355" si="1014">(F355-F303)/F303</f>
        <v>0.16438356164383561</v>
      </c>
      <c r="L355" s="3">
        <f t="shared" ref="L355" si="1015">AVERAGE(F199,F251,F303)</f>
        <v>483.33333333333331</v>
      </c>
    </row>
    <row r="356" spans="1:13" ht="13.8" x14ac:dyDescent="0.25">
      <c r="A356" s="27">
        <f t="shared" si="573"/>
        <v>41083</v>
      </c>
      <c r="B356" s="3">
        <f>5+206+8+130</f>
        <v>349</v>
      </c>
      <c r="C356" s="3">
        <f>12+1</f>
        <v>13</v>
      </c>
      <c r="D356" s="3">
        <f>10+4+4+8</f>
        <v>26</v>
      </c>
      <c r="E356" s="36">
        <f t="shared" si="954"/>
        <v>388</v>
      </c>
      <c r="F356" s="36">
        <v>366</v>
      </c>
      <c r="G356" s="3">
        <f t="shared" ref="G356" si="1016">F356-E356</f>
        <v>-22</v>
      </c>
      <c r="H356" s="21">
        <f t="shared" ref="H356" si="1017">(F356-F355)/F355</f>
        <v>-0.13882352941176471</v>
      </c>
      <c r="I356" s="21">
        <f t="shared" ref="I356" si="1018">(E356-E355)/E355</f>
        <v>8.0779944289693595E-2</v>
      </c>
      <c r="J356" s="3">
        <f t="shared" ref="J356" si="1019">E356-E355</f>
        <v>29</v>
      </c>
      <c r="K356" s="16">
        <f t="shared" ref="K356" si="1020">(F356-F304)/F304</f>
        <v>-0.1201923076923077</v>
      </c>
      <c r="L356" s="3">
        <f t="shared" ref="L356" si="1021">AVERAGE(F200,F252,F304)</f>
        <v>489.33333333333331</v>
      </c>
    </row>
    <row r="357" spans="1:13" ht="13.8" x14ac:dyDescent="0.25">
      <c r="A357" s="27">
        <f t="shared" si="573"/>
        <v>41090</v>
      </c>
      <c r="B357" s="3">
        <f>7+186+0+92</f>
        <v>285</v>
      </c>
      <c r="C357" s="3">
        <f>24+0+0+0</f>
        <v>24</v>
      </c>
      <c r="D357" s="3">
        <f>5+19+6+0</f>
        <v>30</v>
      </c>
      <c r="E357" s="36">
        <f t="shared" si="954"/>
        <v>339</v>
      </c>
      <c r="F357" s="36">
        <v>498</v>
      </c>
      <c r="G357" s="3">
        <f t="shared" ref="G357" si="1022">F357-E357</f>
        <v>159</v>
      </c>
      <c r="H357" s="21">
        <f t="shared" ref="H357" si="1023">(F357-F356)/F356</f>
        <v>0.36065573770491804</v>
      </c>
      <c r="I357" s="21">
        <f t="shared" ref="I357" si="1024">(E357-E356)/E356</f>
        <v>-0.12628865979381443</v>
      </c>
      <c r="J357" s="3">
        <f t="shared" ref="J357" si="1025">E357-E356</f>
        <v>-49</v>
      </c>
      <c r="K357" s="16">
        <f t="shared" ref="K357" si="1026">(F357-F305)/F305</f>
        <v>0.2</v>
      </c>
      <c r="L357" s="3">
        <f t="shared" ref="L357" si="1027">AVERAGE(F201,F253,F305)</f>
        <v>492</v>
      </c>
    </row>
    <row r="358" spans="1:13" ht="13.8" x14ac:dyDescent="0.25">
      <c r="A358" s="27">
        <f t="shared" si="573"/>
        <v>41097</v>
      </c>
      <c r="B358" s="3">
        <f>149+3+142</f>
        <v>294</v>
      </c>
      <c r="C358" s="3">
        <f>25+1</f>
        <v>26</v>
      </c>
      <c r="D358" s="3">
        <f>16+15+17</f>
        <v>48</v>
      </c>
      <c r="E358" s="36">
        <f t="shared" si="954"/>
        <v>368</v>
      </c>
      <c r="F358" s="36">
        <v>449</v>
      </c>
      <c r="G358" s="3">
        <f t="shared" ref="G358" si="1028">F358-E358</f>
        <v>81</v>
      </c>
      <c r="H358" s="21">
        <f t="shared" ref="H358" si="1029">(F358-F357)/F357</f>
        <v>-9.8393574297188757E-2</v>
      </c>
      <c r="I358" s="21">
        <f t="shared" ref="I358" si="1030">(E358-E357)/E357</f>
        <v>8.5545722713864306E-2</v>
      </c>
      <c r="J358" s="3">
        <f t="shared" ref="J358" si="1031">E358-E357</f>
        <v>29</v>
      </c>
      <c r="K358" s="16">
        <f t="shared" ref="K358" si="1032">(F358-F306)/F306</f>
        <v>3.2183908045977011E-2</v>
      </c>
      <c r="L358" s="3">
        <f t="shared" ref="L358" si="1033">AVERAGE(F202,F254,F306)</f>
        <v>508.33333333333331</v>
      </c>
    </row>
    <row r="359" spans="1:13" ht="13.8" x14ac:dyDescent="0.25">
      <c r="A359" s="27">
        <f t="shared" si="573"/>
        <v>41104</v>
      </c>
      <c r="B359" s="3">
        <f>1+155+109</f>
        <v>265</v>
      </c>
      <c r="C359" s="3">
        <f>15+3</f>
        <v>18</v>
      </c>
      <c r="D359" s="3">
        <f>6+20+20</f>
        <v>46</v>
      </c>
      <c r="E359" s="36">
        <f t="shared" si="954"/>
        <v>329</v>
      </c>
      <c r="F359" s="36">
        <v>391</v>
      </c>
      <c r="G359" s="3">
        <f t="shared" ref="G359:G360" si="1034">F359-E359</f>
        <v>62</v>
      </c>
      <c r="H359" s="21">
        <f t="shared" ref="H359" si="1035">(F359-F358)/F358</f>
        <v>-0.1291759465478842</v>
      </c>
      <c r="I359" s="21">
        <f t="shared" ref="I359" si="1036">(E359-E358)/E358</f>
        <v>-0.10597826086956522</v>
      </c>
      <c r="J359" s="3">
        <f t="shared" ref="J359" si="1037">E359-E358</f>
        <v>-39</v>
      </c>
      <c r="K359" s="16">
        <f t="shared" ref="K359" si="1038">(F359-F307)/F307</f>
        <v>-0.21010101010101009</v>
      </c>
      <c r="L359" s="3">
        <f t="shared" ref="L359" si="1039">AVERAGE(F203,F255,F307)</f>
        <v>539.66666666666663</v>
      </c>
    </row>
    <row r="360" spans="1:13" ht="13.8" x14ac:dyDescent="0.25">
      <c r="A360" s="27">
        <f t="shared" si="573"/>
        <v>41111</v>
      </c>
      <c r="B360" s="3">
        <v>300</v>
      </c>
      <c r="C360" s="3">
        <v>15</v>
      </c>
      <c r="D360" s="3">
        <v>35</v>
      </c>
      <c r="E360" s="36">
        <f t="shared" si="954"/>
        <v>350</v>
      </c>
      <c r="F360" s="36">
        <v>506</v>
      </c>
      <c r="G360" s="3">
        <f t="shared" si="1034"/>
        <v>156</v>
      </c>
      <c r="H360" s="21">
        <f t="shared" ref="H360" si="1040">(F360-F359)/F359</f>
        <v>0.29411764705882354</v>
      </c>
      <c r="I360" s="21">
        <f t="shared" ref="I360" si="1041">(E360-E359)/E359</f>
        <v>6.3829787234042548E-2</v>
      </c>
      <c r="J360" s="3">
        <f t="shared" ref="J360" si="1042">E360-E359</f>
        <v>21</v>
      </c>
      <c r="K360" s="16">
        <f t="shared" ref="K360" si="1043">(F360-F308)/F308</f>
        <v>0.12694877505567928</v>
      </c>
      <c r="L360" s="3">
        <f t="shared" ref="L360" si="1044">AVERAGE(F204,F256,F308)</f>
        <v>511.66666666666669</v>
      </c>
    </row>
    <row r="361" spans="1:13" ht="13.8" x14ac:dyDescent="0.25">
      <c r="A361" s="27">
        <f t="shared" si="573"/>
        <v>41118</v>
      </c>
      <c r="B361" s="3">
        <f>3+235+165</f>
        <v>403</v>
      </c>
      <c r="C361" s="3">
        <f>23+4</f>
        <v>27</v>
      </c>
      <c r="D361" s="3">
        <f>2+14+5+26</f>
        <v>47</v>
      </c>
      <c r="E361" s="36">
        <f t="shared" si="954"/>
        <v>477</v>
      </c>
      <c r="F361" s="36">
        <v>456</v>
      </c>
      <c r="G361" s="3">
        <f t="shared" ref="G361" si="1045">F361-E361</f>
        <v>-21</v>
      </c>
      <c r="H361" s="21">
        <f t="shared" ref="H361" si="1046">(F361-F360)/F360</f>
        <v>-9.8814229249011856E-2</v>
      </c>
      <c r="I361" s="21">
        <f t="shared" ref="I361" si="1047">(E361-E360)/E360</f>
        <v>0.36285714285714288</v>
      </c>
      <c r="J361" s="3">
        <f t="shared" ref="J361" si="1048">E361-E360</f>
        <v>127</v>
      </c>
      <c r="K361" s="16">
        <f t="shared" ref="K361" si="1049">(F361-F309)/F309</f>
        <v>0.18134715025906736</v>
      </c>
      <c r="L361" s="3">
        <f t="shared" ref="L361" si="1050">AVERAGE(F205,F257,F309)</f>
        <v>410.66666666666669</v>
      </c>
    </row>
    <row r="362" spans="1:13" ht="13.8" x14ac:dyDescent="0.25">
      <c r="A362" s="27">
        <f t="shared" si="573"/>
        <v>41125</v>
      </c>
      <c r="B362" s="3">
        <f>3+167+1+178</f>
        <v>349</v>
      </c>
      <c r="C362" s="3">
        <f>20+3+1</f>
        <v>24</v>
      </c>
      <c r="D362" s="3">
        <f>4+29+2+41</f>
        <v>76</v>
      </c>
      <c r="E362" s="36">
        <f t="shared" si="954"/>
        <v>449</v>
      </c>
      <c r="F362" s="36">
        <v>465</v>
      </c>
      <c r="G362" s="3">
        <f t="shared" ref="G362" si="1051">F362-E362</f>
        <v>16</v>
      </c>
      <c r="H362" s="21">
        <f t="shared" ref="H362" si="1052">(F362-F361)/F361</f>
        <v>1.9736842105263157E-2</v>
      </c>
      <c r="I362" s="21">
        <f t="shared" ref="I362" si="1053">(E362-E361)/E361</f>
        <v>-5.8700209643605873E-2</v>
      </c>
      <c r="J362" s="3">
        <f t="shared" ref="J362" si="1054">E362-E361</f>
        <v>-28</v>
      </c>
      <c r="K362" s="16">
        <f t="shared" ref="K362" si="1055">(F362-F310)/F310</f>
        <v>-1.6913319238900635E-2</v>
      </c>
      <c r="L362" s="3">
        <f t="shared" ref="L362" si="1056">AVERAGE(F206,F258,F310)</f>
        <v>494.33333333333331</v>
      </c>
    </row>
    <row r="363" spans="1:13" ht="13.8" x14ac:dyDescent="0.25">
      <c r="A363" s="27">
        <f t="shared" si="573"/>
        <v>41132</v>
      </c>
      <c r="B363" s="3">
        <f>1+148+173</f>
        <v>322</v>
      </c>
      <c r="C363" s="3">
        <f>22+11+1</f>
        <v>34</v>
      </c>
      <c r="D363" s="3">
        <f>10+6+26</f>
        <v>42</v>
      </c>
      <c r="E363" s="36">
        <f t="shared" si="954"/>
        <v>398</v>
      </c>
      <c r="F363" s="36">
        <v>556</v>
      </c>
      <c r="G363" s="3">
        <f t="shared" ref="G363" si="1057">F363-E363</f>
        <v>158</v>
      </c>
      <c r="H363" s="21">
        <f t="shared" ref="H363" si="1058">(F363-F362)/F362</f>
        <v>0.19569892473118281</v>
      </c>
      <c r="I363" s="21">
        <f t="shared" ref="I363" si="1059">(E363-E362)/E362</f>
        <v>-0.11358574610244988</v>
      </c>
      <c r="J363" s="3">
        <f t="shared" ref="J363" si="1060">E363-E362</f>
        <v>-51</v>
      </c>
      <c r="K363" s="16">
        <f t="shared" ref="K363" si="1061">(F363-F311)/F311</f>
        <v>4.5112781954887216E-2</v>
      </c>
      <c r="L363" s="3">
        <f t="shared" ref="L363" si="1062">AVERAGE(F207,F259,F311)</f>
        <v>499</v>
      </c>
    </row>
    <row r="364" spans="1:13" ht="13.8" x14ac:dyDescent="0.25">
      <c r="A364" s="27">
        <f t="shared" si="573"/>
        <v>41139</v>
      </c>
      <c r="B364" s="3">
        <f>9+187+1+81</f>
        <v>278</v>
      </c>
      <c r="C364" s="3">
        <f>19+41</f>
        <v>60</v>
      </c>
      <c r="D364" s="3">
        <f>1+4+9</f>
        <v>14</v>
      </c>
      <c r="E364" s="36">
        <f t="shared" si="954"/>
        <v>352</v>
      </c>
      <c r="F364" s="36">
        <v>502</v>
      </c>
      <c r="G364" s="3">
        <f t="shared" ref="G364" si="1063">F364-E364</f>
        <v>150</v>
      </c>
      <c r="H364" s="21">
        <f t="shared" ref="H364" si="1064">(F364-F363)/F363</f>
        <v>-9.7122302158273388E-2</v>
      </c>
      <c r="I364" s="21">
        <f t="shared" ref="I364" si="1065">(E364-E363)/E363</f>
        <v>-0.11557788944723618</v>
      </c>
      <c r="J364" s="3">
        <f t="shared" ref="J364" si="1066">E364-E363</f>
        <v>-46</v>
      </c>
      <c r="K364" s="16">
        <f t="shared" ref="K364" si="1067">(F364-F312)/F312</f>
        <v>0.15935334872979215</v>
      </c>
      <c r="L364" s="3">
        <f t="shared" ref="L364" si="1068">AVERAGE(F208,F260,F312)</f>
        <v>501.66666666666669</v>
      </c>
    </row>
    <row r="365" spans="1:13" ht="13.8" x14ac:dyDescent="0.25">
      <c r="A365" s="27">
        <f t="shared" si="573"/>
        <v>41146</v>
      </c>
      <c r="B365" s="3">
        <f>6+56+1+48</f>
        <v>111</v>
      </c>
      <c r="C365" s="3">
        <f>19+33+1</f>
        <v>53</v>
      </c>
      <c r="D365" s="3">
        <f>0+9+11</f>
        <v>20</v>
      </c>
      <c r="E365" s="36">
        <f t="shared" si="954"/>
        <v>184</v>
      </c>
      <c r="F365" s="36">
        <v>554</v>
      </c>
      <c r="G365" s="3">
        <f t="shared" ref="G365" si="1069">F365-E365</f>
        <v>370</v>
      </c>
      <c r="H365" s="21">
        <f t="shared" ref="H365" si="1070">(F365-F364)/F364</f>
        <v>0.10358565737051793</v>
      </c>
      <c r="I365" s="21">
        <f t="shared" ref="I365" si="1071">(E365-E364)/E364</f>
        <v>-0.47727272727272729</v>
      </c>
      <c r="J365" s="3">
        <f t="shared" ref="J365" si="1072">E365-E364</f>
        <v>-168</v>
      </c>
      <c r="K365" s="16">
        <f t="shared" ref="K365" si="1073">(F365-F313)/F313</f>
        <v>0.1329243353783231</v>
      </c>
      <c r="L365" s="3">
        <f t="shared" ref="L365" si="1074">AVERAGE(F209,F261,F313)</f>
        <v>494.33333333333331</v>
      </c>
    </row>
    <row r="366" spans="1:13" ht="13.8" x14ac:dyDescent="0.25">
      <c r="A366" s="27">
        <f t="shared" si="573"/>
        <v>41153</v>
      </c>
      <c r="B366" s="3">
        <f>3+38+44</f>
        <v>85</v>
      </c>
      <c r="C366" s="3">
        <f>3+32+3</f>
        <v>38</v>
      </c>
      <c r="D366" s="3">
        <f>14+12+14</f>
        <v>40</v>
      </c>
      <c r="E366" s="36">
        <f t="shared" si="954"/>
        <v>163</v>
      </c>
      <c r="F366" s="36">
        <v>228</v>
      </c>
      <c r="G366" s="3">
        <f t="shared" ref="G366" si="1075">F366-E366</f>
        <v>65</v>
      </c>
      <c r="H366" s="21">
        <f t="shared" ref="H366" si="1076">(F366-F365)/F365</f>
        <v>-0.58844765342960292</v>
      </c>
      <c r="I366" s="21">
        <f t="shared" ref="I366" si="1077">(E366-E365)/E365</f>
        <v>-0.11413043478260869</v>
      </c>
      <c r="J366" s="3">
        <f t="shared" ref="J366" si="1078">E366-E365</f>
        <v>-21</v>
      </c>
      <c r="K366" s="16">
        <f t="shared" ref="K366" si="1079">(F366-F314)/F314</f>
        <v>-0.33137829912023459</v>
      </c>
      <c r="L366" s="3">
        <f t="shared" ref="L366" si="1080">AVERAGE(F210,F262,F314)</f>
        <v>494.66666666666669</v>
      </c>
    </row>
    <row r="367" spans="1:13" ht="13.8" x14ac:dyDescent="0.25">
      <c r="A367" s="27">
        <f t="shared" ref="A367:A424" si="1081">7+A366</f>
        <v>41160</v>
      </c>
      <c r="B367" s="3">
        <f>11+47+24</f>
        <v>82</v>
      </c>
      <c r="C367" s="3">
        <f>0+1+10</f>
        <v>11</v>
      </c>
      <c r="D367" s="3">
        <f>4+5+6</f>
        <v>15</v>
      </c>
      <c r="E367" s="36">
        <f t="shared" si="954"/>
        <v>108</v>
      </c>
      <c r="F367" s="36">
        <v>469</v>
      </c>
      <c r="G367" s="3">
        <f t="shared" ref="G367" si="1082">F367-E367</f>
        <v>361</v>
      </c>
      <c r="H367" s="21">
        <f t="shared" ref="H367" si="1083">(F367-F366)/F366</f>
        <v>1.0570175438596492</v>
      </c>
      <c r="I367" s="21">
        <f t="shared" ref="I367" si="1084">(E367-E366)/E366</f>
        <v>-0.33742331288343558</v>
      </c>
      <c r="J367" s="3">
        <f t="shared" ref="J367" si="1085">E367-E366</f>
        <v>-55</v>
      </c>
      <c r="K367" s="16">
        <f t="shared" ref="K367" si="1086">(F367-F315)/F315</f>
        <v>0.11666666666666667</v>
      </c>
      <c r="L367" s="3">
        <f t="shared" ref="L367" si="1087">AVERAGE(F211,F263,F315)</f>
        <v>435</v>
      </c>
    </row>
    <row r="368" spans="1:13" ht="13.8" x14ac:dyDescent="0.25">
      <c r="A368" s="27">
        <f t="shared" si="573"/>
        <v>41167</v>
      </c>
      <c r="B368" s="3">
        <f>5+29+14</f>
        <v>48</v>
      </c>
      <c r="C368" s="3">
        <f>10+18+37</f>
        <v>65</v>
      </c>
      <c r="D368" s="3">
        <f>5+22+1+7</f>
        <v>35</v>
      </c>
      <c r="E368" s="36">
        <f t="shared" si="954"/>
        <v>148</v>
      </c>
      <c r="F368" s="36">
        <v>603</v>
      </c>
      <c r="G368" s="3">
        <f t="shared" ref="G368" si="1088">F368-E368</f>
        <v>455</v>
      </c>
      <c r="H368" s="21">
        <f t="shared" ref="H368" si="1089">(F368-F367)/F367</f>
        <v>0.2857142857142857</v>
      </c>
      <c r="I368" s="21">
        <f t="shared" ref="I368" si="1090">(E368-E367)/E367</f>
        <v>0.37037037037037035</v>
      </c>
      <c r="J368" s="3">
        <f t="shared" ref="J368" si="1091">E368-E367</f>
        <v>40</v>
      </c>
      <c r="K368" s="16">
        <f t="shared" ref="K368" si="1092">(F368-F316)/F316</f>
        <v>0.55012853470437018</v>
      </c>
      <c r="L368" s="3">
        <f t="shared" ref="L368" si="1093">AVERAGE(F212,F264,F316)</f>
        <v>483.33333333333331</v>
      </c>
    </row>
    <row r="369" spans="1:13" ht="13.8" x14ac:dyDescent="0.25">
      <c r="A369" s="27">
        <f t="shared" si="1081"/>
        <v>41174</v>
      </c>
      <c r="B369" s="3">
        <f>2+52+12</f>
        <v>66</v>
      </c>
      <c r="C369" s="3">
        <f>20+4+17</f>
        <v>41</v>
      </c>
      <c r="D369" s="3">
        <f>2+3+12</f>
        <v>17</v>
      </c>
      <c r="E369" s="36">
        <f t="shared" ref="E369" si="1094">SUM(B369:D369)</f>
        <v>124</v>
      </c>
      <c r="F369" s="36">
        <v>649</v>
      </c>
      <c r="G369" s="3">
        <f t="shared" ref="G369" si="1095">F369-E369</f>
        <v>525</v>
      </c>
      <c r="H369" s="21">
        <f t="shared" ref="H369" si="1096">(F369-F368)/F368</f>
        <v>7.6285240464344942E-2</v>
      </c>
      <c r="I369" s="21">
        <f t="shared" ref="I369" si="1097">(E369-E368)/E368</f>
        <v>-0.16216216216216217</v>
      </c>
      <c r="J369" s="3">
        <f t="shared" ref="J369" si="1098">E369-E368</f>
        <v>-24</v>
      </c>
      <c r="K369" s="16">
        <f t="shared" ref="K369" si="1099">(F369-F317)/F317</f>
        <v>0.28769841269841268</v>
      </c>
      <c r="L369" s="3">
        <f t="shared" ref="L369" si="1100">AVERAGE(F213,F265,F317)</f>
        <v>561.33333333333337</v>
      </c>
    </row>
    <row r="370" spans="1:13" ht="13.8" x14ac:dyDescent="0.25">
      <c r="A370" s="27">
        <f t="shared" si="1081"/>
        <v>41181</v>
      </c>
      <c r="B370" s="3">
        <v>184</v>
      </c>
      <c r="C370" s="3">
        <v>57</v>
      </c>
      <c r="D370" s="3">
        <v>61</v>
      </c>
      <c r="E370" s="36">
        <f t="shared" ref="E370:E383" si="1101">SUM(B370:D370)</f>
        <v>302</v>
      </c>
      <c r="F370" s="36">
        <v>686</v>
      </c>
      <c r="G370" s="3">
        <f t="shared" ref="G370" si="1102">F370-E370</f>
        <v>384</v>
      </c>
      <c r="H370" s="21">
        <f t="shared" ref="H370" si="1103">(F370-F369)/F369</f>
        <v>5.7010785824345149E-2</v>
      </c>
      <c r="I370" s="21">
        <f t="shared" ref="I370" si="1104">(E370-E369)/E369</f>
        <v>1.435483870967742</v>
      </c>
      <c r="J370" s="3">
        <f t="shared" ref="J370" si="1105">E370-E369</f>
        <v>178</v>
      </c>
      <c r="K370" s="16">
        <f t="shared" ref="K370" si="1106">(F370-F318)/F318</f>
        <v>0.29433962264150942</v>
      </c>
      <c r="L370" s="3">
        <f t="shared" ref="L370" si="1107">AVERAGE(F214,F266,F318)</f>
        <v>529</v>
      </c>
    </row>
    <row r="371" spans="1:13" ht="13.8" x14ac:dyDescent="0.25">
      <c r="A371" s="27">
        <f t="shared" si="1081"/>
        <v>41188</v>
      </c>
      <c r="B371" s="3">
        <f>1+57+48</f>
        <v>106</v>
      </c>
      <c r="C371" s="3">
        <f>7+1+25</f>
        <v>33</v>
      </c>
      <c r="D371" s="3">
        <f>29+1+10</f>
        <v>40</v>
      </c>
      <c r="E371" s="36">
        <f t="shared" si="1101"/>
        <v>179</v>
      </c>
      <c r="F371" s="36">
        <v>598</v>
      </c>
      <c r="G371" s="3">
        <f t="shared" ref="G371" si="1108">F371-E371</f>
        <v>419</v>
      </c>
      <c r="H371" s="21">
        <f t="shared" ref="H371" si="1109">(F371-F370)/F370</f>
        <v>-0.1282798833819242</v>
      </c>
      <c r="I371" s="21">
        <f t="shared" ref="I371" si="1110">(E371-E370)/E370</f>
        <v>-0.40728476821192056</v>
      </c>
      <c r="J371" s="3">
        <f t="shared" ref="J371" si="1111">E371-E370</f>
        <v>-123</v>
      </c>
      <c r="K371" s="16">
        <f t="shared" ref="K371" si="1112">(F371-F319)/F319</f>
        <v>0.22792607802874743</v>
      </c>
      <c r="L371" s="3">
        <f t="shared" ref="L371" si="1113">AVERAGE(F215,F267,F319)</f>
        <v>522</v>
      </c>
    </row>
    <row r="372" spans="1:13" ht="13.8" x14ac:dyDescent="0.25">
      <c r="A372" s="27">
        <f t="shared" si="1081"/>
        <v>41195</v>
      </c>
      <c r="B372" s="3">
        <f>4+75+1+220</f>
        <v>300</v>
      </c>
      <c r="C372" s="3">
        <f>17+1+17</f>
        <v>35</v>
      </c>
      <c r="D372" s="3">
        <f>4+14+3+26</f>
        <v>47</v>
      </c>
      <c r="E372" s="36">
        <f t="shared" si="1101"/>
        <v>382</v>
      </c>
      <c r="F372" s="36">
        <v>714</v>
      </c>
      <c r="G372" s="3">
        <f t="shared" ref="G372" si="1114">F372-E372</f>
        <v>332</v>
      </c>
      <c r="H372" s="21">
        <f t="shared" ref="H372" si="1115">(F372-F371)/F371</f>
        <v>0.1939799331103679</v>
      </c>
      <c r="I372" s="21">
        <f t="shared" ref="I372" si="1116">(E372-E371)/E371</f>
        <v>1.1340782122905029</v>
      </c>
      <c r="J372" s="3">
        <f t="shared" ref="J372" si="1117">E372-E371</f>
        <v>203</v>
      </c>
      <c r="K372" s="16">
        <f t="shared" ref="K372" si="1118">(F372-F320)/F320</f>
        <v>0.37572254335260113</v>
      </c>
      <c r="L372" s="3">
        <f t="shared" ref="L372" si="1119">AVERAGE(F216,F268,F320)</f>
        <v>575</v>
      </c>
    </row>
    <row r="373" spans="1:13" ht="13.8" x14ac:dyDescent="0.25">
      <c r="A373" s="27">
        <f t="shared" si="1081"/>
        <v>41202</v>
      </c>
      <c r="B373" s="3">
        <f>7+98+0+265</f>
        <v>370</v>
      </c>
      <c r="C373" s="3">
        <f>16+25</f>
        <v>41</v>
      </c>
      <c r="D373" s="3">
        <f>15+5+51</f>
        <v>71</v>
      </c>
      <c r="E373" s="36">
        <f t="shared" si="1101"/>
        <v>482</v>
      </c>
      <c r="F373" s="36">
        <v>814</v>
      </c>
      <c r="G373" s="3">
        <f t="shared" ref="G373" si="1120">F373-E373</f>
        <v>332</v>
      </c>
      <c r="H373" s="21">
        <f t="shared" ref="H373" si="1121">(F373-F372)/F372</f>
        <v>0.14005602240896359</v>
      </c>
      <c r="I373" s="21">
        <f t="shared" ref="I373" si="1122">(E373-E372)/E372</f>
        <v>0.26178010471204188</v>
      </c>
      <c r="J373" s="3">
        <f t="shared" ref="J373" si="1123">E373-E372</f>
        <v>100</v>
      </c>
      <c r="K373" s="16">
        <f t="shared" ref="K373" si="1124">(F373-F321)/F321</f>
        <v>0.3024</v>
      </c>
      <c r="L373" s="3">
        <f t="shared" ref="L373" si="1125">AVERAGE(F217,F269,F321)</f>
        <v>622.33333333333337</v>
      </c>
    </row>
    <row r="374" spans="1:13" ht="13.8" x14ac:dyDescent="0.25">
      <c r="A374" s="27">
        <f t="shared" si="1081"/>
        <v>41209</v>
      </c>
      <c r="B374" s="3">
        <f>1+75+98</f>
        <v>174</v>
      </c>
      <c r="C374" s="3">
        <f>10+2+27</f>
        <v>39</v>
      </c>
      <c r="D374" s="3">
        <f>2+18+1+98</f>
        <v>119</v>
      </c>
      <c r="E374" s="36">
        <f t="shared" si="1101"/>
        <v>332</v>
      </c>
      <c r="F374" s="36">
        <v>843</v>
      </c>
      <c r="G374" s="3">
        <f t="shared" ref="G374" si="1126">F374-E374</f>
        <v>511</v>
      </c>
      <c r="H374" s="21">
        <f t="shared" ref="H374" si="1127">(F374-F373)/F373</f>
        <v>3.562653562653563E-2</v>
      </c>
      <c r="I374" s="21">
        <f t="shared" ref="I374" si="1128">(E374-E373)/E373</f>
        <v>-0.31120331950207469</v>
      </c>
      <c r="J374" s="3">
        <f t="shared" ref="J374" si="1129">E374-E373</f>
        <v>-150</v>
      </c>
      <c r="K374" s="16">
        <f t="shared" ref="K374" si="1130">(F374-F322)/F322</f>
        <v>0.21645021645021645</v>
      </c>
      <c r="L374" s="3">
        <f t="shared" ref="L374" si="1131">AVERAGE(F218,F270,F322)</f>
        <v>653.33333333333337</v>
      </c>
    </row>
    <row r="375" spans="1:13" ht="13.8" x14ac:dyDescent="0.25">
      <c r="A375" s="27">
        <f t="shared" si="1081"/>
        <v>41216</v>
      </c>
      <c r="B375" s="3">
        <f>3+142+167</f>
        <v>312</v>
      </c>
      <c r="C375" s="3">
        <f>3+0+32</f>
        <v>35</v>
      </c>
      <c r="D375" s="3">
        <f>1+21+1+127</f>
        <v>150</v>
      </c>
      <c r="E375" s="36">
        <f t="shared" si="1101"/>
        <v>497</v>
      </c>
      <c r="F375" s="36">
        <v>848</v>
      </c>
      <c r="G375" s="3">
        <f t="shared" ref="G375" si="1132">F375-E375</f>
        <v>351</v>
      </c>
      <c r="H375" s="21">
        <f t="shared" ref="H375" si="1133">(F375-F374)/F374</f>
        <v>5.9311981020166073E-3</v>
      </c>
      <c r="I375" s="21">
        <f t="shared" ref="I375" si="1134">(E375-E374)/E374</f>
        <v>0.49698795180722893</v>
      </c>
      <c r="J375" s="3">
        <f t="shared" ref="J375" si="1135">E375-E374</f>
        <v>165</v>
      </c>
      <c r="K375" s="16">
        <f t="shared" ref="K375" si="1136">(F375-F323)/F323</f>
        <v>0.17941585535465926</v>
      </c>
      <c r="L375" s="3">
        <f t="shared" ref="L375" si="1137">AVERAGE(F219,F271,F323)</f>
        <v>686</v>
      </c>
    </row>
    <row r="376" spans="1:13" ht="13.8" x14ac:dyDescent="0.25">
      <c r="A376" s="27">
        <f t="shared" si="1081"/>
        <v>41223</v>
      </c>
      <c r="B376" s="3">
        <f>139+3+129</f>
        <v>271</v>
      </c>
      <c r="C376" s="3">
        <f>7+27</f>
        <v>34</v>
      </c>
      <c r="D376" s="3">
        <f>13+2+97</f>
        <v>112</v>
      </c>
      <c r="E376" s="36">
        <f t="shared" si="1101"/>
        <v>417</v>
      </c>
      <c r="F376" s="36">
        <v>831</v>
      </c>
      <c r="G376" s="3">
        <f t="shared" ref="G376" si="1138">F376-E376</f>
        <v>414</v>
      </c>
      <c r="H376" s="21">
        <f t="shared" ref="H376" si="1139">(F376-F375)/F375</f>
        <v>-2.0047169811320754E-2</v>
      </c>
      <c r="I376" s="21">
        <f t="shared" ref="I376" si="1140">(E376-E375)/E375</f>
        <v>-0.16096579476861167</v>
      </c>
      <c r="J376" s="3">
        <f t="shared" ref="J376" si="1141">E376-E375</f>
        <v>-80</v>
      </c>
      <c r="K376" s="16">
        <f t="shared" ref="K376" si="1142">(F376-F324)/F324</f>
        <v>8.7696335078534027E-2</v>
      </c>
      <c r="L376" s="3">
        <f t="shared" ref="L376" si="1143">AVERAGE(F220,F272,F324)</f>
        <v>746</v>
      </c>
    </row>
    <row r="377" spans="1:13" ht="13.8" x14ac:dyDescent="0.25">
      <c r="A377" s="27">
        <f t="shared" si="1081"/>
        <v>41230</v>
      </c>
      <c r="B377" s="3">
        <f>4+100+140</f>
        <v>244</v>
      </c>
      <c r="C377" s="3">
        <f>5+6+41</f>
        <v>52</v>
      </c>
      <c r="D377" s="3">
        <f>1+25+81</f>
        <v>107</v>
      </c>
      <c r="E377" s="36">
        <f t="shared" si="1101"/>
        <v>403</v>
      </c>
      <c r="F377" s="36">
        <v>905</v>
      </c>
      <c r="G377" s="3">
        <f t="shared" ref="G377" si="1144">F377-E377</f>
        <v>502</v>
      </c>
      <c r="H377" s="21">
        <f t="shared" ref="H377" si="1145">(F377-F376)/F376</f>
        <v>8.9049338146811069E-2</v>
      </c>
      <c r="I377" s="21">
        <f t="shared" ref="I377" si="1146">(E377-E376)/E376</f>
        <v>-3.3573141486810551E-2</v>
      </c>
      <c r="J377" s="3">
        <f t="shared" ref="J377" si="1147">E377-E376</f>
        <v>-14</v>
      </c>
      <c r="K377" s="16">
        <f t="shared" ref="K377" si="1148">(F377-F325)/F325</f>
        <v>7.7380952380952384E-2</v>
      </c>
      <c r="L377" s="3">
        <f t="shared" ref="L377" si="1149">AVERAGE(F221,F273,F325)</f>
        <v>778.66666666666663</v>
      </c>
      <c r="M377" s="35" t="s">
        <v>30</v>
      </c>
    </row>
    <row r="378" spans="1:13" ht="13.8" x14ac:dyDescent="0.25">
      <c r="A378" s="27">
        <f t="shared" si="1081"/>
        <v>41237</v>
      </c>
      <c r="B378" s="3">
        <f>2+183+1+204</f>
        <v>390</v>
      </c>
      <c r="C378" s="3">
        <f>4+0+16</f>
        <v>20</v>
      </c>
      <c r="D378" s="3">
        <f>4+15+63</f>
        <v>82</v>
      </c>
      <c r="E378" s="36">
        <f t="shared" si="1101"/>
        <v>492</v>
      </c>
      <c r="F378" s="36">
        <v>655</v>
      </c>
      <c r="G378" s="3">
        <f t="shared" ref="G378" si="1150">F378-E378</f>
        <v>163</v>
      </c>
      <c r="H378" s="21">
        <f t="shared" ref="H378" si="1151">(F378-F377)/F377</f>
        <v>-0.27624309392265195</v>
      </c>
      <c r="I378" s="21">
        <f t="shared" ref="I378" si="1152">(E378-E377)/E377</f>
        <v>0.22084367245657568</v>
      </c>
      <c r="J378" s="3">
        <f t="shared" ref="J378" si="1153">E378-E377</f>
        <v>89</v>
      </c>
      <c r="K378" s="16">
        <f t="shared" ref="K378" si="1154">(F378-F326)/F326</f>
        <v>-1.7991004497751123E-2</v>
      </c>
      <c r="L378" s="3">
        <f t="shared" ref="L378" si="1155">AVERAGE(F222,F274,F326)</f>
        <v>640.66666666666663</v>
      </c>
      <c r="M378" s="35" t="s">
        <v>30</v>
      </c>
    </row>
    <row r="379" spans="1:13" ht="13.8" x14ac:dyDescent="0.25">
      <c r="A379" s="27">
        <f t="shared" si="1081"/>
        <v>41244</v>
      </c>
      <c r="B379" s="3">
        <f>1+169+1+0+290</f>
        <v>461</v>
      </c>
      <c r="C379" s="3">
        <f>13+3+27</f>
        <v>43</v>
      </c>
      <c r="D379" s="3">
        <f>1+29+59</f>
        <v>89</v>
      </c>
      <c r="E379" s="36">
        <f t="shared" si="1101"/>
        <v>593</v>
      </c>
      <c r="F379" s="36">
        <v>635</v>
      </c>
      <c r="G379" s="3">
        <f t="shared" ref="G379" si="1156">F379-E379</f>
        <v>42</v>
      </c>
      <c r="H379" s="21">
        <f t="shared" ref="H379" si="1157">(F379-F378)/F378</f>
        <v>-3.0534351145038167E-2</v>
      </c>
      <c r="I379" s="21">
        <f t="shared" ref="I379" si="1158">(E379-E378)/E378</f>
        <v>0.20528455284552846</v>
      </c>
      <c r="J379" s="3">
        <f t="shared" ref="J379" si="1159">E379-E378</f>
        <v>101</v>
      </c>
      <c r="K379" s="16">
        <f t="shared" ref="K379" si="1160">(F379-F327)/F327</f>
        <v>-0.11064425770308123</v>
      </c>
      <c r="L379" s="3">
        <f t="shared" ref="L379" si="1161">AVERAGE(F223,F275,F327)</f>
        <v>712.33333333333337</v>
      </c>
      <c r="M379" s="35" t="s">
        <v>30</v>
      </c>
    </row>
    <row r="380" spans="1:13" ht="13.8" x14ac:dyDescent="0.25">
      <c r="A380" s="27">
        <f t="shared" si="1081"/>
        <v>41251</v>
      </c>
      <c r="B380" s="3">
        <f>3+145+280</f>
        <v>428</v>
      </c>
      <c r="C380" s="3">
        <f>0</f>
        <v>0</v>
      </c>
      <c r="D380" s="3">
        <f>6+55+0+28</f>
        <v>89</v>
      </c>
      <c r="E380" s="36">
        <f t="shared" si="1101"/>
        <v>517</v>
      </c>
      <c r="F380" s="36">
        <v>632</v>
      </c>
      <c r="G380" s="3">
        <f t="shared" ref="G380" si="1162">F380-E380</f>
        <v>115</v>
      </c>
      <c r="H380" s="21">
        <f t="shared" ref="H380" si="1163">(F380-F379)/F379</f>
        <v>-4.7244094488188976E-3</v>
      </c>
      <c r="I380" s="21">
        <f t="shared" ref="I380" si="1164">(E380-E379)/E379</f>
        <v>-0.12816188870151771</v>
      </c>
      <c r="J380" s="3">
        <f t="shared" ref="J380" si="1165">E380-E379</f>
        <v>-76</v>
      </c>
      <c r="K380" s="16">
        <f t="shared" ref="K380" si="1166">(F380-F328)/F328</f>
        <v>-5.9523809523809521E-2</v>
      </c>
      <c r="L380" s="3">
        <f t="shared" ref="L380" si="1167">AVERAGE(F224,F276,F328)</f>
        <v>705.66666666666663</v>
      </c>
      <c r="M380" s="35" t="s">
        <v>30</v>
      </c>
    </row>
    <row r="381" spans="1:13" ht="13.8" x14ac:dyDescent="0.25">
      <c r="A381" s="27">
        <f t="shared" si="1081"/>
        <v>41258</v>
      </c>
      <c r="B381" s="3">
        <f>2+81+171</f>
        <v>254</v>
      </c>
      <c r="C381" s="3">
        <f>1+23</f>
        <v>24</v>
      </c>
      <c r="D381" s="3">
        <f>7+18+1+57</f>
        <v>83</v>
      </c>
      <c r="E381" s="36">
        <f t="shared" si="1101"/>
        <v>361</v>
      </c>
      <c r="F381" s="36">
        <v>634</v>
      </c>
      <c r="G381" s="3">
        <f t="shared" ref="G381" si="1168">F381-E381</f>
        <v>273</v>
      </c>
      <c r="H381" s="21">
        <f t="shared" ref="H381" si="1169">(F381-F380)/F380</f>
        <v>3.1645569620253164E-3</v>
      </c>
      <c r="I381" s="21">
        <f t="shared" ref="I381" si="1170">(E381-E380)/E380</f>
        <v>-0.30174081237911027</v>
      </c>
      <c r="J381" s="3">
        <f t="shared" ref="J381" si="1171">E381-E380</f>
        <v>-156</v>
      </c>
      <c r="K381" s="16">
        <f t="shared" ref="K381" si="1172">(F381-F329)/F329</f>
        <v>-3.5007610350076102E-2</v>
      </c>
      <c r="L381" s="3">
        <f t="shared" ref="L381" si="1173">AVERAGE(F225,F277,F329)</f>
        <v>618.33333333333337</v>
      </c>
      <c r="M381" s="35" t="s">
        <v>30</v>
      </c>
    </row>
    <row r="382" spans="1:13" ht="13.8" x14ac:dyDescent="0.25">
      <c r="A382" s="27">
        <f t="shared" si="1081"/>
        <v>41265</v>
      </c>
      <c r="B382" s="3">
        <f>6+58+99</f>
        <v>163</v>
      </c>
      <c r="C382" s="3">
        <f>10+12</f>
        <v>22</v>
      </c>
      <c r="D382" s="3">
        <f>3+26+68</f>
        <v>97</v>
      </c>
      <c r="E382" s="36">
        <f t="shared" si="1101"/>
        <v>282</v>
      </c>
      <c r="F382" s="36">
        <v>696</v>
      </c>
      <c r="G382" s="3">
        <f t="shared" ref="G382" si="1174">F382-E382</f>
        <v>414</v>
      </c>
      <c r="H382" s="21">
        <f t="shared" ref="H382" si="1175">(F382-F381)/F381</f>
        <v>9.7791798107255523E-2</v>
      </c>
      <c r="I382" s="21">
        <f t="shared" ref="I382" si="1176">(E382-E381)/E381</f>
        <v>-0.2188365650969529</v>
      </c>
      <c r="J382" s="3">
        <f t="shared" ref="J382" si="1177">E382-E381</f>
        <v>-79</v>
      </c>
      <c r="K382" s="16">
        <f t="shared" ref="K382" si="1178">(F382-F330)/F330</f>
        <v>8.6956521739130436E-3</v>
      </c>
      <c r="L382" s="3">
        <f t="shared" ref="L382:L392" si="1179">AVERAGE(F226,F278,F330)</f>
        <v>633.66666666666663</v>
      </c>
      <c r="M382" s="35" t="s">
        <v>30</v>
      </c>
    </row>
    <row r="383" spans="1:13" ht="13.8" x14ac:dyDescent="0.25">
      <c r="A383" s="27">
        <f t="shared" si="1081"/>
        <v>41272</v>
      </c>
      <c r="B383" s="3">
        <f>19+68</f>
        <v>87</v>
      </c>
      <c r="C383" s="3">
        <f>2+0+5</f>
        <v>7</v>
      </c>
      <c r="D383" s="3">
        <f>6+20+79</f>
        <v>105</v>
      </c>
      <c r="E383" s="36">
        <f t="shared" si="1101"/>
        <v>199</v>
      </c>
      <c r="F383" s="36">
        <v>600</v>
      </c>
      <c r="G383" s="3">
        <f t="shared" ref="G383" si="1180">F383-E383</f>
        <v>401</v>
      </c>
      <c r="H383" s="21">
        <f t="shared" ref="H383" si="1181">(F383-F382)/F382</f>
        <v>-0.13793103448275862</v>
      </c>
      <c r="I383" s="21">
        <f t="shared" ref="I383" si="1182">(E383-E382)/E382</f>
        <v>-0.29432624113475175</v>
      </c>
      <c r="J383" s="3">
        <f t="shared" ref="J383" si="1183">E383-E382</f>
        <v>-83</v>
      </c>
      <c r="K383" s="16">
        <f t="shared" ref="K383" si="1184">(F383-F331)/F331</f>
        <v>8.6956521739130432E-2</v>
      </c>
      <c r="L383" s="3">
        <f t="shared" ref="L383" si="1185">AVERAGE(F227,F279,F331)</f>
        <v>584</v>
      </c>
      <c r="M383" s="35" t="s">
        <v>30</v>
      </c>
    </row>
    <row r="384" spans="1:13" ht="13.8" x14ac:dyDescent="0.25">
      <c r="A384" s="27">
        <v>41279</v>
      </c>
      <c r="B384" s="3">
        <v>137</v>
      </c>
      <c r="C384" s="3">
        <v>38</v>
      </c>
      <c r="D384" s="3">
        <v>77</v>
      </c>
      <c r="E384" s="36">
        <v>252</v>
      </c>
      <c r="F384" s="36">
        <v>427</v>
      </c>
      <c r="G384" s="3">
        <f t="shared" ref="G384" si="1186">F384-E384</f>
        <v>175</v>
      </c>
      <c r="H384" s="21">
        <f t="shared" ref="H384" si="1187">(F384-F383)/F383</f>
        <v>-0.28833333333333333</v>
      </c>
      <c r="I384" s="21">
        <f t="shared" ref="I384" si="1188">(E384-E383)/E383</f>
        <v>0.26633165829145727</v>
      </c>
      <c r="J384" s="3">
        <f t="shared" ref="J384" si="1189">E384-E383</f>
        <v>53</v>
      </c>
      <c r="K384" s="16">
        <f t="shared" ref="K384" si="1190">(F384-F332)/F332</f>
        <v>-0.37298091042584436</v>
      </c>
      <c r="L384" s="3">
        <f t="shared" si="1179"/>
        <v>711.66666666666663</v>
      </c>
      <c r="M384" s="35" t="s">
        <v>30</v>
      </c>
    </row>
    <row r="385" spans="1:13" ht="13.8" x14ac:dyDescent="0.25">
      <c r="A385" s="27">
        <f t="shared" si="1081"/>
        <v>41286</v>
      </c>
      <c r="B385" s="3">
        <v>110</v>
      </c>
      <c r="C385" s="3">
        <v>16</v>
      </c>
      <c r="D385" s="3">
        <v>129</v>
      </c>
      <c r="E385" s="36">
        <v>255</v>
      </c>
      <c r="F385" s="36">
        <v>509</v>
      </c>
      <c r="G385" s="3">
        <f t="shared" ref="G385" si="1191">F385-E385</f>
        <v>254</v>
      </c>
      <c r="H385" s="21">
        <f t="shared" ref="H385" si="1192">(F385-F384)/F384</f>
        <v>0.19203747072599531</v>
      </c>
      <c r="I385" s="21">
        <f t="shared" ref="I385" si="1193">(E385-E384)/E384</f>
        <v>1.1904761904761904E-2</v>
      </c>
      <c r="J385" s="3">
        <f t="shared" ref="J385" si="1194">E385-E384</f>
        <v>3</v>
      </c>
      <c r="K385" s="16">
        <f t="shared" ref="K385" si="1195">(F385-F333)/F333</f>
        <v>-0.39404761904761904</v>
      </c>
      <c r="L385" s="3">
        <f t="shared" ref="L385" si="1196">AVERAGE(F229,F281,F333)</f>
        <v>727</v>
      </c>
      <c r="M385" s="35" t="s">
        <v>30</v>
      </c>
    </row>
    <row r="386" spans="1:13" ht="13.8" x14ac:dyDescent="0.25">
      <c r="A386" s="27">
        <f t="shared" si="1081"/>
        <v>41293</v>
      </c>
      <c r="B386" s="3">
        <v>184</v>
      </c>
      <c r="C386" s="3">
        <v>29</v>
      </c>
      <c r="D386" s="3">
        <v>145</v>
      </c>
      <c r="E386" s="36">
        <v>358</v>
      </c>
      <c r="F386" s="36">
        <v>572</v>
      </c>
      <c r="G386" s="3">
        <f t="shared" ref="G386" si="1197">F386-E386</f>
        <v>214</v>
      </c>
      <c r="H386" s="21">
        <f t="shared" ref="H386" si="1198">(F386-F385)/F385</f>
        <v>0.1237721021611002</v>
      </c>
      <c r="I386" s="21">
        <f t="shared" ref="I386" si="1199">(E386-E385)/E385</f>
        <v>0.40392156862745099</v>
      </c>
      <c r="J386" s="3">
        <f t="shared" ref="J386" si="1200">E386-E385</f>
        <v>103</v>
      </c>
      <c r="K386" s="16">
        <f t="shared" ref="K386" si="1201">(F386-F334)/F334</f>
        <v>-0.25906735751295334</v>
      </c>
      <c r="L386" s="3">
        <f t="shared" ref="L386" si="1202">AVERAGE(F230,F282,F334)</f>
        <v>684.33333333333337</v>
      </c>
    </row>
    <row r="387" spans="1:13" ht="13.8" x14ac:dyDescent="0.25">
      <c r="A387" s="27">
        <f t="shared" si="1081"/>
        <v>41300</v>
      </c>
      <c r="B387" s="3">
        <f>1+20+106</f>
        <v>127</v>
      </c>
      <c r="C387" s="3">
        <f>8+8</f>
        <v>16</v>
      </c>
      <c r="D387" s="3">
        <f>25+16+123</f>
        <v>164</v>
      </c>
      <c r="E387" s="36">
        <f>SUM(B387:D387)</f>
        <v>307</v>
      </c>
      <c r="F387" s="36">
        <v>643</v>
      </c>
      <c r="G387" s="3">
        <f t="shared" ref="G387" si="1203">F387-E387</f>
        <v>336</v>
      </c>
      <c r="H387" s="21">
        <f t="shared" ref="H387" si="1204">(F387-F386)/F386</f>
        <v>0.12412587412587413</v>
      </c>
      <c r="I387" s="21">
        <f t="shared" ref="I387" si="1205">(E387-E386)/E386</f>
        <v>-0.14245810055865921</v>
      </c>
      <c r="J387" s="3">
        <f t="shared" ref="J387" si="1206">E387-E386</f>
        <v>-51</v>
      </c>
      <c r="K387" s="16">
        <f t="shared" ref="K387" si="1207">(F387-F335)/F335</f>
        <v>-0.18915510718789408</v>
      </c>
      <c r="L387" s="3">
        <f t="shared" ref="L387" si="1208">AVERAGE(F231,F283,F335)</f>
        <v>747</v>
      </c>
    </row>
    <row r="388" spans="1:13" ht="13.8" x14ac:dyDescent="0.25">
      <c r="A388" s="27">
        <f t="shared" si="1081"/>
        <v>41307</v>
      </c>
      <c r="B388" s="3">
        <f>40+65</f>
        <v>105</v>
      </c>
      <c r="C388" s="3">
        <f>15+1+17</f>
        <v>33</v>
      </c>
      <c r="D388" s="3">
        <f>12+19+104</f>
        <v>135</v>
      </c>
      <c r="E388" s="36">
        <f>SUM(B388:D388)</f>
        <v>273</v>
      </c>
      <c r="F388" s="36">
        <v>513</v>
      </c>
      <c r="G388" s="3">
        <f t="shared" ref="G388" si="1209">F388-E388</f>
        <v>240</v>
      </c>
      <c r="H388" s="21">
        <f t="shared" ref="H388" si="1210">(F388-F387)/F387</f>
        <v>-0.20217729393468117</v>
      </c>
      <c r="I388" s="21">
        <f t="shared" ref="I388" si="1211">(E388-E387)/E387</f>
        <v>-0.11074918566775244</v>
      </c>
      <c r="J388" s="3">
        <f t="shared" ref="J388" si="1212">E388-E387</f>
        <v>-34</v>
      </c>
      <c r="K388" s="16">
        <f t="shared" ref="K388" si="1213">(F388-F336)/F336</f>
        <v>-0.21917808219178081</v>
      </c>
      <c r="L388" s="3">
        <f t="shared" ref="L388" si="1214">AVERAGE(F232,F284,F336)</f>
        <v>650.66666666666663</v>
      </c>
    </row>
    <row r="389" spans="1:13" ht="13.8" x14ac:dyDescent="0.25">
      <c r="A389" s="27">
        <f t="shared" si="1081"/>
        <v>41314</v>
      </c>
      <c r="B389" s="3">
        <f>7+36+82</f>
        <v>125</v>
      </c>
      <c r="C389" s="3">
        <f>21+0+12</f>
        <v>33</v>
      </c>
      <c r="D389" s="3">
        <f>30+10+9+98</f>
        <v>147</v>
      </c>
      <c r="E389" s="36">
        <f>SUM(B389:D389)</f>
        <v>305</v>
      </c>
      <c r="F389" s="36">
        <v>531</v>
      </c>
      <c r="G389" s="3">
        <f t="shared" ref="G389" si="1215">F389-E389</f>
        <v>226</v>
      </c>
      <c r="H389" s="21">
        <f t="shared" ref="H389" si="1216">(F389-F388)/F388</f>
        <v>3.5087719298245612E-2</v>
      </c>
      <c r="I389" s="21">
        <f t="shared" ref="I389" si="1217">(E389-E388)/E388</f>
        <v>0.11721611721611722</v>
      </c>
      <c r="J389" s="3">
        <f t="shared" ref="J389" si="1218">E389-E388</f>
        <v>32</v>
      </c>
      <c r="K389" s="16">
        <f t="shared" ref="K389" si="1219">(F389-F337)/F337</f>
        <v>-0.2552594670406732</v>
      </c>
      <c r="L389" s="3">
        <f t="shared" ref="L389" si="1220">AVERAGE(F233,F285,F337)</f>
        <v>668.33333333333337</v>
      </c>
    </row>
    <row r="390" spans="1:13" ht="13.8" x14ac:dyDescent="0.25">
      <c r="A390" s="27">
        <f t="shared" si="1081"/>
        <v>41321</v>
      </c>
      <c r="B390" s="3">
        <f>32+79+69</f>
        <v>180</v>
      </c>
      <c r="C390" s="3">
        <f>16+0+6</f>
        <v>22</v>
      </c>
      <c r="D390" s="3">
        <f>30+16+4+54</f>
        <v>104</v>
      </c>
      <c r="E390" s="36">
        <f t="shared" ref="E390:E391" si="1221">SUM(B390:D390)</f>
        <v>306</v>
      </c>
      <c r="F390" s="36">
        <v>498</v>
      </c>
      <c r="G390" s="3">
        <f t="shared" ref="G390" si="1222">F390-E390</f>
        <v>192</v>
      </c>
      <c r="H390" s="21">
        <f t="shared" ref="H390" si="1223">(F390-F389)/F389</f>
        <v>-6.2146892655367235E-2</v>
      </c>
      <c r="I390" s="21">
        <f t="shared" ref="I390" si="1224">(E390-E389)/E389</f>
        <v>3.2786885245901639E-3</v>
      </c>
      <c r="J390" s="3">
        <f t="shared" ref="J390" si="1225">E390-E389</f>
        <v>1</v>
      </c>
      <c r="K390" s="16">
        <f t="shared" ref="K390" si="1226">(F390-F338)/F338</f>
        <v>-0.17138103161397669</v>
      </c>
      <c r="L390" s="3">
        <f t="shared" ref="L390" si="1227">AVERAGE(F234,F286,F338)</f>
        <v>678</v>
      </c>
    </row>
    <row r="391" spans="1:13" ht="13.8" x14ac:dyDescent="0.25">
      <c r="A391" s="27">
        <f t="shared" si="1081"/>
        <v>41328</v>
      </c>
      <c r="B391" s="3">
        <f>33+40+47</f>
        <v>120</v>
      </c>
      <c r="C391" s="3">
        <f>36+6</f>
        <v>42</v>
      </c>
      <c r="D391" s="3">
        <f>13+28+2+65</f>
        <v>108</v>
      </c>
      <c r="E391" s="36">
        <f t="shared" si="1221"/>
        <v>270</v>
      </c>
      <c r="F391" s="36">
        <v>589</v>
      </c>
      <c r="G391" s="3">
        <f t="shared" ref="G391" si="1228">F391-E391</f>
        <v>319</v>
      </c>
      <c r="H391" s="21">
        <f t="shared" ref="H391" si="1229">(F391-F390)/F390</f>
        <v>0.18273092369477911</v>
      </c>
      <c r="I391" s="21">
        <f t="shared" ref="I391" si="1230">(E391-E390)/E390</f>
        <v>-0.11764705882352941</v>
      </c>
      <c r="J391" s="3">
        <f t="shared" ref="J391" si="1231">E391-E390</f>
        <v>-36</v>
      </c>
      <c r="K391" s="16">
        <f t="shared" ref="K391" si="1232">(F391-F339)/F339</f>
        <v>4.6181172291296625E-2</v>
      </c>
      <c r="L391" s="3">
        <f t="shared" ref="L391" si="1233">AVERAGE(F235,F287,F339)</f>
        <v>658.66666666666663</v>
      </c>
    </row>
    <row r="392" spans="1:13" ht="13.8" x14ac:dyDescent="0.25">
      <c r="A392" s="27">
        <f t="shared" si="1081"/>
        <v>41335</v>
      </c>
      <c r="B392" s="3">
        <v>97</v>
      </c>
      <c r="C392" s="3">
        <v>21</v>
      </c>
      <c r="D392" s="3">
        <v>100</v>
      </c>
      <c r="E392" s="36">
        <f t="shared" ref="E392:E399" si="1234">SUM(B392:D392)</f>
        <v>218</v>
      </c>
      <c r="F392" s="36">
        <v>503</v>
      </c>
      <c r="G392" s="3">
        <f t="shared" ref="G392:G397" si="1235">F392-E392</f>
        <v>285</v>
      </c>
      <c r="H392" s="21">
        <f t="shared" ref="H392" si="1236">(F392-F391)/F391</f>
        <v>-0.14601018675721561</v>
      </c>
      <c r="I392" s="21">
        <f t="shared" ref="I392:I397" si="1237">(E392-E391)/E391</f>
        <v>-0.19259259259259259</v>
      </c>
      <c r="J392" s="3">
        <f t="shared" ref="J392:J397" si="1238">E392-E391</f>
        <v>-52</v>
      </c>
      <c r="K392" s="16">
        <f t="shared" ref="K392" si="1239">(F392-F340)/F340</f>
        <v>-0.15177065767284992</v>
      </c>
      <c r="L392" s="3">
        <f t="shared" si="1179"/>
        <v>628</v>
      </c>
    </row>
    <row r="393" spans="1:13" ht="13.8" x14ac:dyDescent="0.25">
      <c r="A393" s="27">
        <f t="shared" si="1081"/>
        <v>41342</v>
      </c>
      <c r="B393" s="3">
        <f>73+95+68</f>
        <v>236</v>
      </c>
      <c r="C393" s="3">
        <f>18+1+7</f>
        <v>26</v>
      </c>
      <c r="D393" s="3">
        <f>19+46+2+47</f>
        <v>114</v>
      </c>
      <c r="E393" s="36">
        <f t="shared" si="1234"/>
        <v>376</v>
      </c>
      <c r="F393" s="36">
        <v>380</v>
      </c>
      <c r="G393" s="3">
        <f t="shared" si="1235"/>
        <v>4</v>
      </c>
      <c r="H393" s="21">
        <f t="shared" ref="H393" si="1240">(F393-F392)/F392</f>
        <v>-0.24453280318091453</v>
      </c>
      <c r="I393" s="21">
        <f t="shared" si="1237"/>
        <v>0.72477064220183485</v>
      </c>
      <c r="J393" s="3">
        <f t="shared" si="1238"/>
        <v>158</v>
      </c>
      <c r="K393" s="16">
        <f t="shared" ref="K393" si="1241">(F393-F341)/F341</f>
        <v>-0.22920892494929007</v>
      </c>
      <c r="L393" s="3">
        <f t="shared" ref="L393" si="1242">AVERAGE(F237,F289,F341)</f>
        <v>546.33333333333337</v>
      </c>
    </row>
    <row r="394" spans="1:13" ht="13.8" x14ac:dyDescent="0.25">
      <c r="A394" s="27">
        <f t="shared" si="1081"/>
        <v>41349</v>
      </c>
      <c r="B394" s="3">
        <f>66+65+38</f>
        <v>169</v>
      </c>
      <c r="C394" s="3">
        <f>1+7+20</f>
        <v>28</v>
      </c>
      <c r="D394" s="3">
        <f>51+1+25+16</f>
        <v>93</v>
      </c>
      <c r="E394" s="36">
        <f t="shared" si="1234"/>
        <v>290</v>
      </c>
      <c r="F394" s="36">
        <v>448</v>
      </c>
      <c r="G394" s="3">
        <f t="shared" si="1235"/>
        <v>158</v>
      </c>
      <c r="H394" s="21">
        <f t="shared" ref="H394" si="1243">(F394-F393)/F393</f>
        <v>0.17894736842105263</v>
      </c>
      <c r="I394" s="21">
        <f t="shared" si="1237"/>
        <v>-0.22872340425531915</v>
      </c>
      <c r="J394" s="3">
        <f t="shared" si="1238"/>
        <v>-86</v>
      </c>
      <c r="K394" s="16">
        <f t="shared" ref="K394" si="1244">(F394-F342)/F342</f>
        <v>-1.9693654266958426E-2</v>
      </c>
      <c r="L394" s="3">
        <f t="shared" ref="L394" si="1245">AVERAGE(F238,F290,F342)</f>
        <v>596.33333333333337</v>
      </c>
    </row>
    <row r="395" spans="1:13" ht="13.8" x14ac:dyDescent="0.25">
      <c r="A395" s="27">
        <f t="shared" si="1081"/>
        <v>41356</v>
      </c>
      <c r="B395" s="3">
        <f>36+82+3+38</f>
        <v>159</v>
      </c>
      <c r="C395" s="3">
        <f>24+7</f>
        <v>31</v>
      </c>
      <c r="D395" s="3">
        <f>19+15+24</f>
        <v>58</v>
      </c>
      <c r="E395" s="36">
        <f t="shared" si="1234"/>
        <v>248</v>
      </c>
      <c r="F395" s="36">
        <v>397</v>
      </c>
      <c r="G395" s="3">
        <f t="shared" si="1235"/>
        <v>149</v>
      </c>
      <c r="H395" s="21">
        <f t="shared" ref="H395" si="1246">(F395-F394)/F394</f>
        <v>-0.11383928571428571</v>
      </c>
      <c r="I395" s="21">
        <f t="shared" si="1237"/>
        <v>-0.14482758620689656</v>
      </c>
      <c r="J395" s="3">
        <f t="shared" si="1238"/>
        <v>-42</v>
      </c>
      <c r="K395" s="16">
        <f t="shared" ref="K395" si="1247">(F395-F343)/F343</f>
        <v>-0.19959677419354838</v>
      </c>
      <c r="L395" s="3">
        <f t="shared" ref="L395" si="1248">AVERAGE(F239,F291,F343)</f>
        <v>591.33333333333337</v>
      </c>
    </row>
    <row r="396" spans="1:13" ht="13.8" x14ac:dyDescent="0.25">
      <c r="A396" s="27">
        <f t="shared" si="1081"/>
        <v>41363</v>
      </c>
      <c r="B396" s="3">
        <f>42+103+25</f>
        <v>170</v>
      </c>
      <c r="C396" s="3">
        <f>18+0+6</f>
        <v>24</v>
      </c>
      <c r="D396" s="3">
        <f>5+32+12+7</f>
        <v>56</v>
      </c>
      <c r="E396" s="36">
        <f t="shared" si="1234"/>
        <v>250</v>
      </c>
      <c r="F396" s="36">
        <v>363</v>
      </c>
      <c r="G396" s="3">
        <f t="shared" si="1235"/>
        <v>113</v>
      </c>
      <c r="H396" s="21">
        <f t="shared" ref="H396" si="1249">(F396-F395)/F395</f>
        <v>-8.5642317380352648E-2</v>
      </c>
      <c r="I396" s="21">
        <f t="shared" si="1237"/>
        <v>8.0645161290322578E-3</v>
      </c>
      <c r="J396" s="3">
        <f t="shared" si="1238"/>
        <v>2</v>
      </c>
      <c r="K396" s="16">
        <f t="shared" ref="K396" si="1250">(F396-F344)/F344</f>
        <v>-0.24688796680497926</v>
      </c>
      <c r="L396" s="3">
        <f t="shared" ref="L396" si="1251">AVERAGE(F240,F292,F344)</f>
        <v>468</v>
      </c>
    </row>
    <row r="397" spans="1:13" ht="13.8" x14ac:dyDescent="0.25">
      <c r="A397" s="27">
        <f t="shared" si="1081"/>
        <v>41370</v>
      </c>
      <c r="B397" s="3">
        <f>10+55+3+30</f>
        <v>98</v>
      </c>
      <c r="C397" s="3">
        <f>19+0+1+1</f>
        <v>21</v>
      </c>
      <c r="D397" s="3">
        <f>7+33+1+22</f>
        <v>63</v>
      </c>
      <c r="E397" s="36">
        <f t="shared" si="1234"/>
        <v>182</v>
      </c>
      <c r="F397" s="36">
        <v>311</v>
      </c>
      <c r="G397" s="3">
        <f t="shared" si="1235"/>
        <v>129</v>
      </c>
      <c r="H397" s="21">
        <f t="shared" ref="H397" si="1252">(F397-F396)/F396</f>
        <v>-0.14325068870523416</v>
      </c>
      <c r="I397" s="21">
        <f t="shared" si="1237"/>
        <v>-0.27200000000000002</v>
      </c>
      <c r="J397" s="3">
        <f t="shared" si="1238"/>
        <v>-68</v>
      </c>
      <c r="K397" s="16">
        <f t="shared" ref="K397" si="1253">(F397-F345)/F345</f>
        <v>-0.37171717171717172</v>
      </c>
      <c r="L397" s="3">
        <f t="shared" ref="L397" si="1254">AVERAGE(F241,F293,F345)</f>
        <v>476.33333333333331</v>
      </c>
    </row>
    <row r="398" spans="1:13" ht="13.8" x14ac:dyDescent="0.25">
      <c r="A398" s="27">
        <f t="shared" si="1081"/>
        <v>41377</v>
      </c>
      <c r="B398" s="3">
        <f>20+83+33</f>
        <v>136</v>
      </c>
      <c r="C398" s="3">
        <f>24+0</f>
        <v>24</v>
      </c>
      <c r="D398" s="3">
        <f>12+27+17</f>
        <v>56</v>
      </c>
      <c r="E398" s="36">
        <f t="shared" si="1234"/>
        <v>216</v>
      </c>
      <c r="F398" s="36">
        <v>327</v>
      </c>
      <c r="G398" s="3">
        <f t="shared" ref="G398" si="1255">F398-E398</f>
        <v>111</v>
      </c>
      <c r="H398" s="21">
        <f t="shared" ref="H398" si="1256">(F398-F397)/F397</f>
        <v>5.1446945337620578E-2</v>
      </c>
      <c r="I398" s="21">
        <f t="shared" ref="I398" si="1257">(E398-E397)/E397</f>
        <v>0.18681318681318682</v>
      </c>
      <c r="J398" s="3">
        <f t="shared" ref="J398" si="1258">E398-E397</f>
        <v>34</v>
      </c>
      <c r="K398" s="16">
        <f t="shared" ref="K398" si="1259">(F398-F346)/F346</f>
        <v>-0.49614791987673346</v>
      </c>
      <c r="L398" s="3">
        <f t="shared" ref="L398" si="1260">AVERAGE(F242,F294,F346)</f>
        <v>519</v>
      </c>
    </row>
    <row r="399" spans="1:13" ht="13.8" x14ac:dyDescent="0.25">
      <c r="A399" s="27">
        <f t="shared" si="1081"/>
        <v>41384</v>
      </c>
      <c r="B399" s="3">
        <f>24+49+38</f>
        <v>111</v>
      </c>
      <c r="C399" s="3">
        <f>21+0</f>
        <v>21</v>
      </c>
      <c r="D399" s="3">
        <f>4+30+3+9</f>
        <v>46</v>
      </c>
      <c r="E399" s="36">
        <f t="shared" si="1234"/>
        <v>178</v>
      </c>
      <c r="F399" s="36">
        <v>378</v>
      </c>
      <c r="G399" s="3">
        <f t="shared" ref="G399" si="1261">F399-E399</f>
        <v>200</v>
      </c>
      <c r="H399" s="21">
        <f t="shared" ref="H399" si="1262">(F399-F398)/F398</f>
        <v>0.15596330275229359</v>
      </c>
      <c r="I399" s="21">
        <f t="shared" ref="I399" si="1263">(E399-E398)/E398</f>
        <v>-0.17592592592592593</v>
      </c>
      <c r="J399" s="3">
        <f t="shared" ref="J399" si="1264">E399-E398</f>
        <v>-38</v>
      </c>
      <c r="K399" s="16">
        <f t="shared" ref="K399" si="1265">(F399-F347)/F347</f>
        <v>-0.20588235294117646</v>
      </c>
      <c r="L399" s="3">
        <f t="shared" ref="L399" si="1266">AVERAGE(F243,F295,F347)</f>
        <v>366</v>
      </c>
    </row>
    <row r="400" spans="1:13" ht="13.8" x14ac:dyDescent="0.25">
      <c r="A400" s="27">
        <f t="shared" si="1081"/>
        <v>41391</v>
      </c>
      <c r="B400" s="3">
        <v>25</v>
      </c>
      <c r="C400" s="3">
        <v>24</v>
      </c>
      <c r="D400" s="3">
        <v>27</v>
      </c>
      <c r="E400" s="36">
        <f t="shared" ref="E400:E407" si="1267">SUM(B400:D400)</f>
        <v>76</v>
      </c>
      <c r="F400" s="36">
        <v>278</v>
      </c>
      <c r="G400" s="3">
        <f t="shared" ref="G400" si="1268">F400-E400</f>
        <v>202</v>
      </c>
      <c r="H400" s="21">
        <f t="shared" ref="H400" si="1269">(F400-F399)/F399</f>
        <v>-0.26455026455026454</v>
      </c>
      <c r="I400" s="21">
        <f t="shared" ref="I400" si="1270">(E400-E399)/E399</f>
        <v>-0.5730337078651685</v>
      </c>
      <c r="J400" s="3">
        <f t="shared" ref="J400" si="1271">E400-E399</f>
        <v>-102</v>
      </c>
      <c r="K400" s="16">
        <f t="shared" ref="K400" si="1272">(F400-F348)/F348</f>
        <v>-0.10897435897435898</v>
      </c>
      <c r="L400" s="3">
        <f t="shared" ref="L400" si="1273">AVERAGE(F244,F296,F348)</f>
        <v>335.66666666666669</v>
      </c>
    </row>
    <row r="401" spans="1:13" ht="13.8" x14ac:dyDescent="0.25">
      <c r="A401" s="27">
        <f t="shared" si="1081"/>
        <v>41398</v>
      </c>
      <c r="B401" s="3">
        <f>18+129+8+35</f>
        <v>190</v>
      </c>
      <c r="C401" s="3">
        <f>19+0+3</f>
        <v>22</v>
      </c>
      <c r="D401" s="3">
        <f>2+52+0+25</f>
        <v>79</v>
      </c>
      <c r="E401" s="36">
        <f t="shared" si="1267"/>
        <v>291</v>
      </c>
      <c r="F401" s="36">
        <v>234</v>
      </c>
      <c r="G401" s="3">
        <f t="shared" ref="G401" si="1274">F401-E401</f>
        <v>-57</v>
      </c>
      <c r="H401" s="21">
        <f t="shared" ref="H401" si="1275">(F401-F400)/F400</f>
        <v>-0.15827338129496402</v>
      </c>
      <c r="I401" s="21">
        <f t="shared" ref="I401" si="1276">(E401-E400)/E400</f>
        <v>2.8289473684210527</v>
      </c>
      <c r="J401" s="3">
        <f t="shared" ref="J401" si="1277">E401-E400</f>
        <v>215</v>
      </c>
      <c r="K401" s="16">
        <f t="shared" ref="K401" si="1278">(F401-F349)/F349</f>
        <v>-0.4375</v>
      </c>
      <c r="L401" s="3">
        <f t="shared" ref="L401" si="1279">AVERAGE(F245,F297,F349)</f>
        <v>408.33333333333331</v>
      </c>
    </row>
    <row r="402" spans="1:13" ht="13.8" x14ac:dyDescent="0.25">
      <c r="A402" s="27">
        <f t="shared" si="1081"/>
        <v>41405</v>
      </c>
      <c r="B402" s="3">
        <f>13+93+29</f>
        <v>135</v>
      </c>
      <c r="C402" s="3">
        <f>14+1</f>
        <v>15</v>
      </c>
      <c r="D402" s="3">
        <f>1+38+1+14</f>
        <v>54</v>
      </c>
      <c r="E402" s="36">
        <f t="shared" si="1267"/>
        <v>204</v>
      </c>
      <c r="F402" s="36">
        <v>202</v>
      </c>
      <c r="G402" s="3">
        <f t="shared" ref="G402" si="1280">F402-E402</f>
        <v>-2</v>
      </c>
      <c r="H402" s="21">
        <f t="shared" ref="H402" si="1281">(F402-F401)/F401</f>
        <v>-0.13675213675213677</v>
      </c>
      <c r="I402" s="21">
        <f t="shared" ref="I402" si="1282">(E402-E401)/E401</f>
        <v>-0.29896907216494845</v>
      </c>
      <c r="J402" s="3">
        <f t="shared" ref="J402" si="1283">E402-E401</f>
        <v>-87</v>
      </c>
      <c r="K402" s="16">
        <f t="shared" ref="K402" si="1284">(F402-F350)/F350</f>
        <v>-0.68970814132104452</v>
      </c>
      <c r="L402" s="3">
        <f t="shared" ref="L402" si="1285">AVERAGE(F246,F298,F350)</f>
        <v>480.66666666666669</v>
      </c>
    </row>
    <row r="403" spans="1:13" ht="13.8" x14ac:dyDescent="0.25">
      <c r="A403" s="27">
        <f t="shared" si="1081"/>
        <v>41412</v>
      </c>
      <c r="B403" s="3">
        <f>22+154+64</f>
        <v>240</v>
      </c>
      <c r="C403" s="3">
        <v>16</v>
      </c>
      <c r="D403" s="3">
        <f>7+19+1+6</f>
        <v>33</v>
      </c>
      <c r="E403" s="36">
        <f t="shared" si="1267"/>
        <v>289</v>
      </c>
      <c r="F403" s="36">
        <v>376</v>
      </c>
      <c r="G403" s="3">
        <f t="shared" ref="G403" si="1286">F403-E403</f>
        <v>87</v>
      </c>
      <c r="H403" s="21">
        <f t="shared" ref="H403" si="1287">(F403-F402)/F402</f>
        <v>0.86138613861386137</v>
      </c>
      <c r="I403" s="21">
        <f t="shared" ref="I403" si="1288">(E403-E402)/E402</f>
        <v>0.41666666666666669</v>
      </c>
      <c r="J403" s="3">
        <f t="shared" ref="J403" si="1289">E403-E402</f>
        <v>85</v>
      </c>
      <c r="K403" s="16">
        <f t="shared" ref="K403" si="1290">(F403-F351)/F351</f>
        <v>-9.8321342925659472E-2</v>
      </c>
      <c r="L403" s="3">
        <f t="shared" ref="L403" si="1291">AVERAGE(F247,F299,F351)</f>
        <v>432.66666666666669</v>
      </c>
    </row>
    <row r="404" spans="1:13" ht="13.8" x14ac:dyDescent="0.25">
      <c r="A404" s="27">
        <f t="shared" si="1081"/>
        <v>41419</v>
      </c>
      <c r="B404" s="3">
        <f>29+138+45</f>
        <v>212</v>
      </c>
      <c r="C404" s="3">
        <f>16+1+0</f>
        <v>17</v>
      </c>
      <c r="D404" s="3">
        <f>7+23+2+10</f>
        <v>42</v>
      </c>
      <c r="E404" s="36">
        <f t="shared" si="1267"/>
        <v>271</v>
      </c>
      <c r="F404" s="36">
        <v>382</v>
      </c>
      <c r="G404" s="3">
        <f t="shared" ref="G404" si="1292">F404-E404</f>
        <v>111</v>
      </c>
      <c r="H404" s="21">
        <f t="shared" ref="H404" si="1293">(F404-F403)/F403</f>
        <v>1.5957446808510637E-2</v>
      </c>
      <c r="I404" s="21">
        <f t="shared" ref="I404" si="1294">(E404-E403)/E403</f>
        <v>-6.228373702422145E-2</v>
      </c>
      <c r="J404" s="3">
        <f t="shared" ref="J404" si="1295">E404-E403</f>
        <v>-18</v>
      </c>
      <c r="K404" s="16">
        <f t="shared" ref="K404" si="1296">(F404-F352)/F352</f>
        <v>-0.11162790697674418</v>
      </c>
      <c r="L404" s="3">
        <f t="shared" ref="L404" si="1297">AVERAGE(F248,F300,F352)</f>
        <v>433.33333333333331</v>
      </c>
    </row>
    <row r="405" spans="1:13" ht="13.8" x14ac:dyDescent="0.25">
      <c r="A405" s="27">
        <f t="shared" si="1081"/>
        <v>41426</v>
      </c>
      <c r="B405" s="3">
        <f>23+129+56</f>
        <v>208</v>
      </c>
      <c r="C405" s="3">
        <f>7+0</f>
        <v>7</v>
      </c>
      <c r="D405" s="3">
        <f>3+20+1+9</f>
        <v>33</v>
      </c>
      <c r="E405" s="36">
        <f t="shared" si="1267"/>
        <v>248</v>
      </c>
      <c r="F405" s="36">
        <v>267</v>
      </c>
      <c r="G405" s="3">
        <f t="shared" ref="G405" si="1298">F405-E405</f>
        <v>19</v>
      </c>
      <c r="H405" s="21">
        <f t="shared" ref="H405" si="1299">(F405-F404)/F404</f>
        <v>-0.30104712041884818</v>
      </c>
      <c r="I405" s="21">
        <f t="shared" ref="I405" si="1300">(E405-E404)/E404</f>
        <v>-8.4870848708487087E-2</v>
      </c>
      <c r="J405" s="3">
        <f t="shared" ref="J405" si="1301">E405-E404</f>
        <v>-23</v>
      </c>
      <c r="K405" s="16">
        <f t="shared" ref="K405" si="1302">(F405-F353)/F353</f>
        <v>-0.25833333333333336</v>
      </c>
      <c r="L405" s="3">
        <f t="shared" ref="L405" si="1303">AVERAGE(F249,F301,F353)</f>
        <v>409.33333333333331</v>
      </c>
    </row>
    <row r="406" spans="1:13" ht="13.8" x14ac:dyDescent="0.25">
      <c r="A406" s="27">
        <f t="shared" si="1081"/>
        <v>41433</v>
      </c>
      <c r="B406" s="3">
        <f>29+3+15</f>
        <v>47</v>
      </c>
      <c r="C406" s="3">
        <f>12+0+2</f>
        <v>14</v>
      </c>
      <c r="D406" s="3">
        <f>7+12+16</f>
        <v>35</v>
      </c>
      <c r="E406" s="36">
        <f t="shared" si="1267"/>
        <v>96</v>
      </c>
      <c r="F406" s="36">
        <v>313</v>
      </c>
      <c r="G406" s="3">
        <f t="shared" ref="G406" si="1304">F406-E406</f>
        <v>217</v>
      </c>
      <c r="H406" s="21">
        <f t="shared" ref="H406" si="1305">(F406-F405)/F405</f>
        <v>0.17228464419475656</v>
      </c>
      <c r="I406" s="21">
        <f t="shared" ref="I406" si="1306">(E406-E405)/E405</f>
        <v>-0.61290322580645162</v>
      </c>
      <c r="J406" s="3">
        <f t="shared" ref="J406" si="1307">E406-E405</f>
        <v>-152</v>
      </c>
      <c r="K406" s="16">
        <f t="shared" ref="K406" si="1308">(F406-F354)/F354</f>
        <v>0.2880658436213992</v>
      </c>
      <c r="L406" s="3">
        <f t="shared" ref="L406" si="1309">AVERAGE(F250,F302,F354)</f>
        <v>335.33333333333331</v>
      </c>
      <c r="M406" s="35" t="s">
        <v>31</v>
      </c>
    </row>
    <row r="407" spans="1:13" ht="13.8" x14ac:dyDescent="0.25">
      <c r="A407" s="27">
        <f t="shared" si="1081"/>
        <v>41440</v>
      </c>
      <c r="B407" s="3">
        <f>16+141+38</f>
        <v>195</v>
      </c>
      <c r="C407" s="3">
        <f>11+0</f>
        <v>11</v>
      </c>
      <c r="D407" s="3">
        <f>4+17+16</f>
        <v>37</v>
      </c>
      <c r="E407" s="36">
        <f t="shared" si="1267"/>
        <v>243</v>
      </c>
      <c r="F407" s="36">
        <v>260</v>
      </c>
      <c r="G407" s="3">
        <f t="shared" ref="G407" si="1310">F407-E407</f>
        <v>17</v>
      </c>
      <c r="H407" s="21">
        <f t="shared" ref="H407" si="1311">(F407-F406)/F406</f>
        <v>-0.16932907348242812</v>
      </c>
      <c r="I407" s="21">
        <f t="shared" ref="I407" si="1312">(E407-E406)/E406</f>
        <v>1.53125</v>
      </c>
      <c r="J407" s="3">
        <f t="shared" ref="J407" si="1313">E407-E406</f>
        <v>147</v>
      </c>
      <c r="K407" s="16">
        <f t="shared" ref="K407" si="1314">(F407-F355)/F355</f>
        <v>-0.38823529411764707</v>
      </c>
      <c r="L407" s="3">
        <f t="shared" ref="L407" si="1315">AVERAGE(F251,F303,F355)</f>
        <v>415.66666666666669</v>
      </c>
    </row>
    <row r="408" spans="1:13" ht="13.8" x14ac:dyDescent="0.25">
      <c r="A408" s="27">
        <f t="shared" si="1081"/>
        <v>41447</v>
      </c>
      <c r="B408" s="3">
        <f>17+174+42</f>
        <v>233</v>
      </c>
      <c r="C408" s="3">
        <v>36</v>
      </c>
      <c r="D408" s="3">
        <v>58</v>
      </c>
      <c r="E408" s="36">
        <f t="shared" ref="E408:E449" si="1316">SUM(B408:D408)</f>
        <v>327</v>
      </c>
      <c r="F408" s="36">
        <v>328</v>
      </c>
      <c r="G408" s="3">
        <f t="shared" ref="G408" si="1317">F408-E408</f>
        <v>1</v>
      </c>
      <c r="H408" s="21">
        <f t="shared" ref="H408" si="1318">(F408-F407)/F407</f>
        <v>0.26153846153846155</v>
      </c>
      <c r="I408" s="21">
        <f t="shared" ref="I408" si="1319">(E408-E407)/E407</f>
        <v>0.34567901234567899</v>
      </c>
      <c r="J408" s="3">
        <f t="shared" ref="J408" si="1320">E408-E407</f>
        <v>84</v>
      </c>
      <c r="K408" s="16">
        <f t="shared" ref="K408" si="1321">(F408-F356)/F356</f>
        <v>-0.10382513661202186</v>
      </c>
      <c r="L408" s="3">
        <f t="shared" ref="L408" si="1322">AVERAGE(F252,F304,F356)</f>
        <v>425.33333333333331</v>
      </c>
    </row>
    <row r="409" spans="1:13" ht="13.8" x14ac:dyDescent="0.25">
      <c r="A409" s="27">
        <f t="shared" si="1081"/>
        <v>41454</v>
      </c>
      <c r="B409" s="3">
        <f>2+165+41</f>
        <v>208</v>
      </c>
      <c r="C409" s="3">
        <f>21+0+1</f>
        <v>22</v>
      </c>
      <c r="D409" s="3">
        <f>22+10+6</f>
        <v>38</v>
      </c>
      <c r="E409" s="36">
        <f t="shared" si="1316"/>
        <v>268</v>
      </c>
      <c r="F409" s="36">
        <v>394</v>
      </c>
      <c r="G409" s="3">
        <f t="shared" ref="G409" si="1323">F409-E409</f>
        <v>126</v>
      </c>
      <c r="H409" s="21">
        <f t="shared" ref="H409" si="1324">(F409-F408)/F408</f>
        <v>0.20121951219512196</v>
      </c>
      <c r="I409" s="21">
        <f t="shared" ref="I409" si="1325">(E409-E408)/E408</f>
        <v>-0.18042813455657492</v>
      </c>
      <c r="J409" s="3">
        <f t="shared" ref="J409" si="1326">E409-E408</f>
        <v>-59</v>
      </c>
      <c r="K409" s="16">
        <f t="shared" ref="K409" si="1327">(F409-F357)/F357</f>
        <v>-0.20883534136546184</v>
      </c>
      <c r="L409" s="3">
        <f t="shared" ref="L409" si="1328">AVERAGE(F253,F305,F357)</f>
        <v>455.33333333333331</v>
      </c>
    </row>
    <row r="410" spans="1:13" ht="13.8" x14ac:dyDescent="0.25">
      <c r="A410" s="27">
        <f t="shared" si="1081"/>
        <v>41461</v>
      </c>
      <c r="B410" s="3">
        <f>1+69+32</f>
        <v>102</v>
      </c>
      <c r="C410" s="3">
        <v>41</v>
      </c>
      <c r="D410" s="3">
        <f>62+28+11</f>
        <v>101</v>
      </c>
      <c r="E410" s="36">
        <f t="shared" si="1316"/>
        <v>244</v>
      </c>
      <c r="F410" s="36">
        <v>287</v>
      </c>
      <c r="G410" s="3">
        <f t="shared" ref="G410" si="1329">F410-E410</f>
        <v>43</v>
      </c>
      <c r="H410" s="21">
        <f t="shared" ref="H410" si="1330">(F410-F409)/F409</f>
        <v>-0.27157360406091369</v>
      </c>
      <c r="I410" s="21">
        <f t="shared" ref="I410" si="1331">(E410-E409)/E409</f>
        <v>-8.9552238805970144E-2</v>
      </c>
      <c r="J410" s="3">
        <f t="shared" ref="J410" si="1332">E410-E409</f>
        <v>-24</v>
      </c>
      <c r="K410" s="16">
        <f t="shared" ref="K410" si="1333">(F410-F358)/F358</f>
        <v>-0.36080178173719374</v>
      </c>
      <c r="L410" s="3">
        <f t="shared" ref="L410" si="1334">AVERAGE(F254,F306,F358)</f>
        <v>458</v>
      </c>
    </row>
    <row r="411" spans="1:13" ht="13.8" x14ac:dyDescent="0.25">
      <c r="A411" s="27">
        <f t="shared" si="1081"/>
        <v>41468</v>
      </c>
      <c r="B411" s="3">
        <f>8+169+1+73</f>
        <v>251</v>
      </c>
      <c r="C411" s="3">
        <f>63+0+1</f>
        <v>64</v>
      </c>
      <c r="D411" s="3">
        <f>59+13+11</f>
        <v>83</v>
      </c>
      <c r="E411" s="36">
        <f t="shared" si="1316"/>
        <v>398</v>
      </c>
      <c r="F411" s="36">
        <v>430</v>
      </c>
      <c r="G411" s="3">
        <f t="shared" ref="G411" si="1335">F411-E411</f>
        <v>32</v>
      </c>
      <c r="H411" s="21">
        <f t="shared" ref="H411" si="1336">(F411-F410)/F410</f>
        <v>0.49825783972125437</v>
      </c>
      <c r="I411" s="21">
        <f t="shared" ref="I411" si="1337">(E411-E410)/E410</f>
        <v>0.63114754098360659</v>
      </c>
      <c r="J411" s="3">
        <f t="shared" ref="J411" si="1338">E411-E410</f>
        <v>154</v>
      </c>
      <c r="K411" s="16">
        <f t="shared" ref="K411" si="1339">(F411-F359)/F359</f>
        <v>9.9744245524296671E-2</v>
      </c>
      <c r="L411" s="3">
        <f t="shared" ref="L411" si="1340">AVERAGE(F255,F307,F359)</f>
        <v>471</v>
      </c>
    </row>
    <row r="412" spans="1:13" ht="13.8" x14ac:dyDescent="0.25">
      <c r="A412" s="27">
        <f t="shared" si="1081"/>
        <v>41475</v>
      </c>
      <c r="B412" s="3">
        <f>7+76+42</f>
        <v>125</v>
      </c>
      <c r="C412" s="3">
        <f>25+0+4</f>
        <v>29</v>
      </c>
      <c r="D412" s="3">
        <f>44+17+6</f>
        <v>67</v>
      </c>
      <c r="E412" s="36">
        <f t="shared" si="1316"/>
        <v>221</v>
      </c>
      <c r="F412" s="36">
        <v>315</v>
      </c>
      <c r="G412" s="3">
        <f t="shared" ref="G412" si="1341">F412-E412</f>
        <v>94</v>
      </c>
      <c r="H412" s="21">
        <f t="shared" ref="H412" si="1342">(F412-F411)/F411</f>
        <v>-0.26744186046511625</v>
      </c>
      <c r="I412" s="21">
        <f t="shared" ref="I412" si="1343">(E412-E411)/E411</f>
        <v>-0.44472361809045224</v>
      </c>
      <c r="J412" s="3">
        <f t="shared" ref="J412" si="1344">E412-E411</f>
        <v>-177</v>
      </c>
      <c r="K412" s="16">
        <f t="shared" ref="K412" si="1345">(F412-F360)/F360</f>
        <v>-0.37747035573122528</v>
      </c>
      <c r="L412" s="3">
        <f t="shared" ref="L412" si="1346">AVERAGE(F256,F308,F360)</f>
        <v>455</v>
      </c>
    </row>
    <row r="413" spans="1:13" ht="13.8" x14ac:dyDescent="0.25">
      <c r="A413" s="27">
        <f t="shared" si="1081"/>
        <v>41482</v>
      </c>
      <c r="B413" s="3">
        <f>17+104+6+43</f>
        <v>170</v>
      </c>
      <c r="C413" s="3">
        <v>41</v>
      </c>
      <c r="D413" s="3">
        <f>46+19+3+4</f>
        <v>72</v>
      </c>
      <c r="E413" s="36">
        <f t="shared" si="1316"/>
        <v>283</v>
      </c>
      <c r="F413" s="36">
        <v>329</v>
      </c>
      <c r="G413" s="3">
        <f t="shared" ref="G413" si="1347">F413-E413</f>
        <v>46</v>
      </c>
      <c r="H413" s="21">
        <f t="shared" ref="H413" si="1348">(F413-F412)/F412</f>
        <v>4.4444444444444446E-2</v>
      </c>
      <c r="I413" s="21">
        <f t="shared" ref="I413" si="1349">(E413-E412)/E412</f>
        <v>0.28054298642533937</v>
      </c>
      <c r="J413" s="3">
        <f t="shared" ref="J413" si="1350">E413-E412</f>
        <v>62</v>
      </c>
      <c r="K413" s="16">
        <f t="shared" ref="K413" si="1351">(F413-F361)/F361</f>
        <v>-0.27850877192982454</v>
      </c>
      <c r="L413" s="3">
        <f t="shared" ref="L413" si="1352">AVERAGE(F257,F309,F361)</f>
        <v>402</v>
      </c>
    </row>
    <row r="414" spans="1:13" ht="13.8" x14ac:dyDescent="0.25">
      <c r="A414" s="27">
        <f t="shared" si="1081"/>
        <v>41489</v>
      </c>
      <c r="B414" s="3">
        <f>16+86+54</f>
        <v>156</v>
      </c>
      <c r="C414" s="3">
        <f>42+1</f>
        <v>43</v>
      </c>
      <c r="D414" s="3">
        <f>33+9+4</f>
        <v>46</v>
      </c>
      <c r="E414" s="36">
        <f t="shared" si="1316"/>
        <v>245</v>
      </c>
      <c r="F414" s="36">
        <v>376</v>
      </c>
      <c r="G414" s="3">
        <f t="shared" ref="G414" si="1353">F414-E414</f>
        <v>131</v>
      </c>
      <c r="H414" s="21">
        <f t="shared" ref="H414" si="1354">(F414-F413)/F413</f>
        <v>0.14285714285714285</v>
      </c>
      <c r="I414" s="21">
        <f t="shared" ref="I414" si="1355">(E414-E413)/E413</f>
        <v>-0.13427561837455831</v>
      </c>
      <c r="J414" s="3">
        <f t="shared" ref="J414" si="1356">E414-E413</f>
        <v>-38</v>
      </c>
      <c r="K414" s="16">
        <f t="shared" ref="K414" si="1357">(F414-F362)/F362</f>
        <v>-0.1913978494623656</v>
      </c>
      <c r="L414" s="3">
        <f t="shared" ref="L414" si="1358">AVERAGE(F258,F310,F362)</f>
        <v>464.33333333333331</v>
      </c>
    </row>
    <row r="415" spans="1:13" ht="13.8" x14ac:dyDescent="0.25">
      <c r="A415" s="27">
        <f t="shared" si="1081"/>
        <v>41496</v>
      </c>
      <c r="B415" s="3">
        <f>18+74+1+60</f>
        <v>153</v>
      </c>
      <c r="C415" s="3">
        <v>41</v>
      </c>
      <c r="D415" s="3">
        <f>78+11+0+1</f>
        <v>90</v>
      </c>
      <c r="E415" s="36">
        <f t="shared" si="1316"/>
        <v>284</v>
      </c>
      <c r="F415" s="36">
        <v>376</v>
      </c>
      <c r="G415" s="3">
        <f t="shared" ref="G415" si="1359">F415-E415</f>
        <v>92</v>
      </c>
      <c r="H415" s="21">
        <f t="shared" ref="H415" si="1360">(F415-F414)/F414</f>
        <v>0</v>
      </c>
      <c r="I415" s="21">
        <f t="shared" ref="I415" si="1361">(E415-E414)/E414</f>
        <v>0.15918367346938775</v>
      </c>
      <c r="J415" s="3">
        <f t="shared" ref="J415" si="1362">E415-E414</f>
        <v>39</v>
      </c>
      <c r="K415" s="16">
        <f t="shared" ref="K415" si="1363">(F415-F363)/F363</f>
        <v>-0.32374100719424459</v>
      </c>
      <c r="L415" s="3">
        <f t="shared" ref="L415" si="1364">AVERAGE(F259,F311,F363)</f>
        <v>531.33333333333337</v>
      </c>
    </row>
    <row r="416" spans="1:13" ht="13.8" x14ac:dyDescent="0.25">
      <c r="A416" s="27">
        <f t="shared" si="1081"/>
        <v>41503</v>
      </c>
      <c r="B416" s="3">
        <f>22+46+23</f>
        <v>91</v>
      </c>
      <c r="C416" s="3">
        <f>10</f>
        <v>10</v>
      </c>
      <c r="D416" s="3">
        <f>114+6+8</f>
        <v>128</v>
      </c>
      <c r="E416" s="36">
        <f t="shared" si="1316"/>
        <v>229</v>
      </c>
      <c r="F416" s="36">
        <v>380</v>
      </c>
      <c r="G416" s="3">
        <f t="shared" ref="G416" si="1365">F416-E416</f>
        <v>151</v>
      </c>
      <c r="H416" s="21">
        <f t="shared" ref="H416" si="1366">(F416-F415)/F415</f>
        <v>1.0638297872340425E-2</v>
      </c>
      <c r="I416" s="21">
        <f t="shared" ref="I416" si="1367">(E416-E415)/E415</f>
        <v>-0.19366197183098591</v>
      </c>
      <c r="J416" s="3">
        <f t="shared" ref="J416" si="1368">E416-E415</f>
        <v>-55</v>
      </c>
      <c r="K416" s="16">
        <f t="shared" ref="K416" si="1369">(F416-F364)/F364</f>
        <v>-0.24302788844621515</v>
      </c>
      <c r="L416" s="3">
        <f t="shared" ref="L416" si="1370">AVERAGE(F260,F312,F364)</f>
        <v>487.66666666666669</v>
      </c>
    </row>
    <row r="417" spans="1:12" ht="13.8" x14ac:dyDescent="0.25">
      <c r="A417" s="27">
        <f t="shared" si="1081"/>
        <v>41510</v>
      </c>
      <c r="B417" s="3">
        <f>12+17+16</f>
        <v>45</v>
      </c>
      <c r="C417" s="3">
        <f>42+3+1</f>
        <v>46</v>
      </c>
      <c r="D417" s="3">
        <f>58+1+3+6</f>
        <v>68</v>
      </c>
      <c r="E417" s="36">
        <f t="shared" si="1316"/>
        <v>159</v>
      </c>
      <c r="F417" s="36">
        <v>377</v>
      </c>
      <c r="G417" s="3">
        <f t="shared" ref="G417" si="1371">F417-E417</f>
        <v>218</v>
      </c>
      <c r="H417" s="21">
        <f t="shared" ref="H417" si="1372">(F417-F416)/F416</f>
        <v>-7.8947368421052634E-3</v>
      </c>
      <c r="I417" s="21">
        <f t="shared" ref="I417" si="1373">(E417-E416)/E416</f>
        <v>-0.3056768558951965</v>
      </c>
      <c r="J417" s="3">
        <f t="shared" ref="J417" si="1374">E417-E416</f>
        <v>-70</v>
      </c>
      <c r="K417" s="16">
        <f t="shared" ref="K417" si="1375">(F417-F365)/F365</f>
        <v>-0.31949458483754511</v>
      </c>
      <c r="L417" s="3">
        <f t="shared" ref="L417" si="1376">AVERAGE(F261,F313,F365)</f>
        <v>497.66666666666669</v>
      </c>
    </row>
    <row r="418" spans="1:12" ht="13.8" x14ac:dyDescent="0.25">
      <c r="A418" s="27">
        <f t="shared" si="1081"/>
        <v>41517</v>
      </c>
      <c r="B418" s="3">
        <f>11+15+16</f>
        <v>42</v>
      </c>
      <c r="C418" s="3">
        <f>5+14</f>
        <v>19</v>
      </c>
      <c r="D418" s="3">
        <f>18+6+4</f>
        <v>28</v>
      </c>
      <c r="E418" s="36">
        <f t="shared" si="1316"/>
        <v>89</v>
      </c>
      <c r="F418" s="36">
        <v>391</v>
      </c>
      <c r="G418" s="3">
        <f t="shared" ref="G418" si="1377">F418-E418</f>
        <v>302</v>
      </c>
      <c r="H418" s="21">
        <f t="shared" ref="H418" si="1378">(F418-F417)/F417</f>
        <v>3.7135278514588858E-2</v>
      </c>
      <c r="I418" s="21">
        <f t="shared" ref="I418" si="1379">(E418-E417)/E417</f>
        <v>-0.44025157232704404</v>
      </c>
      <c r="J418" s="3">
        <f t="shared" ref="J418" si="1380">E418-E417</f>
        <v>-70</v>
      </c>
      <c r="K418" s="16">
        <f t="shared" ref="K418" si="1381">(F418-F366)/F366</f>
        <v>0.71491228070175439</v>
      </c>
      <c r="L418" s="3">
        <f t="shared" ref="L418" si="1382">AVERAGE(F262,F314,F366)</f>
        <v>368.66666666666669</v>
      </c>
    </row>
    <row r="419" spans="1:12" ht="13.8" x14ac:dyDescent="0.25">
      <c r="A419" s="27">
        <f t="shared" si="1081"/>
        <v>41524</v>
      </c>
      <c r="B419" s="3">
        <f>11+22+14</f>
        <v>47</v>
      </c>
      <c r="C419" s="3">
        <f>62+9+12</f>
        <v>83</v>
      </c>
      <c r="D419" s="3">
        <f>34+4+3</f>
        <v>41</v>
      </c>
      <c r="E419" s="36">
        <f t="shared" si="1316"/>
        <v>171</v>
      </c>
      <c r="F419" s="36">
        <v>462</v>
      </c>
      <c r="G419" s="3">
        <f t="shared" ref="G419" si="1383">F419-E419</f>
        <v>291</v>
      </c>
      <c r="H419" s="21">
        <f t="shared" ref="H419" si="1384">(F419-F418)/F418</f>
        <v>0.1815856777493606</v>
      </c>
      <c r="I419" s="21">
        <f t="shared" ref="I419" si="1385">(E419-E418)/E418</f>
        <v>0.9213483146067416</v>
      </c>
      <c r="J419" s="3">
        <f t="shared" ref="J419" si="1386">E419-E418</f>
        <v>82</v>
      </c>
      <c r="K419" s="16">
        <f t="shared" ref="K419" si="1387">(F419-F367)/F367</f>
        <v>-1.4925373134328358E-2</v>
      </c>
      <c r="L419" s="3">
        <f t="shared" ref="L419" si="1388">AVERAGE(F263,F315,F367)</f>
        <v>439</v>
      </c>
    </row>
    <row r="420" spans="1:12" ht="13.8" x14ac:dyDescent="0.25">
      <c r="A420" s="27">
        <f t="shared" si="1081"/>
        <v>41531</v>
      </c>
      <c r="B420" s="3">
        <f>18+20+18</f>
        <v>56</v>
      </c>
      <c r="C420" s="3">
        <f>27+25</f>
        <v>52</v>
      </c>
      <c r="D420" s="3">
        <f>18+8+2+6</f>
        <v>34</v>
      </c>
      <c r="E420" s="36">
        <f t="shared" si="1316"/>
        <v>142</v>
      </c>
      <c r="F420" s="36">
        <v>527</v>
      </c>
      <c r="G420" s="3">
        <f t="shared" ref="G420" si="1389">F420-E420</f>
        <v>385</v>
      </c>
      <c r="H420" s="21">
        <f t="shared" ref="H420" si="1390">(F420-F419)/F419</f>
        <v>0.1406926406926407</v>
      </c>
      <c r="I420" s="21">
        <f t="shared" ref="I420" si="1391">(E420-E419)/E419</f>
        <v>-0.16959064327485379</v>
      </c>
      <c r="J420" s="3">
        <f t="shared" ref="J420" si="1392">E420-E419</f>
        <v>-29</v>
      </c>
      <c r="K420" s="16">
        <f t="shared" ref="K420" si="1393">(F420-F368)/F368</f>
        <v>-0.12603648424543948</v>
      </c>
      <c r="L420" s="3">
        <f t="shared" ref="L420" si="1394">AVERAGE(F264,F316,F368)</f>
        <v>513</v>
      </c>
    </row>
    <row r="421" spans="1:12" ht="13.8" x14ac:dyDescent="0.25">
      <c r="A421" s="27">
        <f t="shared" si="1081"/>
        <v>41538</v>
      </c>
      <c r="B421" s="3">
        <f>26+22+0+5</f>
        <v>53</v>
      </c>
      <c r="C421" s="3">
        <f>24+49+18</f>
        <v>91</v>
      </c>
      <c r="D421" s="3">
        <f>23+20+2</f>
        <v>45</v>
      </c>
      <c r="E421" s="36">
        <f t="shared" si="1316"/>
        <v>189</v>
      </c>
      <c r="F421" s="36">
        <v>676</v>
      </c>
      <c r="G421" s="3">
        <f t="shared" ref="G421" si="1395">F421-E421</f>
        <v>487</v>
      </c>
      <c r="H421" s="21">
        <f t="shared" ref="H421" si="1396">(F421-F420)/F420</f>
        <v>0.2827324478178368</v>
      </c>
      <c r="I421" s="21">
        <f t="shared" ref="I421" si="1397">(E421-E420)/E420</f>
        <v>0.33098591549295775</v>
      </c>
      <c r="J421" s="3">
        <f t="shared" ref="J421" si="1398">E421-E420</f>
        <v>47</v>
      </c>
      <c r="K421" s="16">
        <f t="shared" ref="K421" si="1399">(F421-F369)/F369</f>
        <v>4.1602465331278891E-2</v>
      </c>
      <c r="L421" s="3">
        <f t="shared" ref="L421" si="1400">AVERAGE(F265,F317,F369)</f>
        <v>593.33333333333337</v>
      </c>
    </row>
    <row r="422" spans="1:12" ht="13.8" x14ac:dyDescent="0.25">
      <c r="A422" s="27">
        <f t="shared" si="1081"/>
        <v>41545</v>
      </c>
      <c r="B422" s="3">
        <f>13+8+1</f>
        <v>22</v>
      </c>
      <c r="C422" s="3">
        <f>11+23+15</f>
        <v>49</v>
      </c>
      <c r="D422" s="3">
        <f>19+79+3</f>
        <v>101</v>
      </c>
      <c r="E422" s="36">
        <f t="shared" si="1316"/>
        <v>172</v>
      </c>
      <c r="F422" s="36">
        <v>680</v>
      </c>
      <c r="G422" s="3">
        <f t="shared" ref="G422:G424" si="1401">F422-E422</f>
        <v>508</v>
      </c>
      <c r="H422" s="21">
        <f t="shared" ref="H422" si="1402">(F422-F421)/F421</f>
        <v>5.9171597633136093E-3</v>
      </c>
      <c r="I422" s="21">
        <f t="shared" ref="I422" si="1403">(E422-E421)/E421</f>
        <v>-8.9947089947089942E-2</v>
      </c>
      <c r="J422" s="3">
        <f t="shared" ref="J422" si="1404">E422-E421</f>
        <v>-17</v>
      </c>
      <c r="K422" s="16">
        <f t="shared" ref="K422" si="1405">(F422-F370)/F370</f>
        <v>-8.7463556851311956E-3</v>
      </c>
      <c r="L422" s="3">
        <f t="shared" ref="L422" si="1406">AVERAGE(F266,F318,F370)</f>
        <v>609.33333333333337</v>
      </c>
    </row>
    <row r="423" spans="1:12" ht="13.8" x14ac:dyDescent="0.25">
      <c r="A423" s="27">
        <f t="shared" si="1081"/>
        <v>41552</v>
      </c>
      <c r="B423" s="3">
        <f>8+29+5</f>
        <v>42</v>
      </c>
      <c r="C423" s="3">
        <f>12+10+1+21</f>
        <v>44</v>
      </c>
      <c r="D423" s="3">
        <f>21+104+18</f>
        <v>143</v>
      </c>
      <c r="E423" s="36">
        <f t="shared" si="1316"/>
        <v>229</v>
      </c>
      <c r="F423" s="36">
        <v>744</v>
      </c>
      <c r="G423" s="3">
        <f t="shared" si="1401"/>
        <v>515</v>
      </c>
      <c r="H423" s="21">
        <f t="shared" ref="H423:H424" si="1407">(F423-F422)/F422</f>
        <v>9.4117647058823528E-2</v>
      </c>
      <c r="I423" s="21">
        <f t="shared" ref="I423:I424" si="1408">(E423-E422)/E422</f>
        <v>0.33139534883720928</v>
      </c>
      <c r="J423" s="3">
        <f t="shared" ref="J423:J424" si="1409">E423-E422</f>
        <v>57</v>
      </c>
      <c r="K423" s="16">
        <f t="shared" ref="K423:K424" si="1410">(F423-F371)/F371</f>
        <v>0.24414715719063546</v>
      </c>
      <c r="L423" s="3">
        <f t="shared" ref="L423:L424" si="1411">AVERAGE(F267,F319,F371)</f>
        <v>578</v>
      </c>
    </row>
    <row r="424" spans="1:12" ht="13.8" x14ac:dyDescent="0.25">
      <c r="A424" s="27">
        <f t="shared" si="1081"/>
        <v>41559</v>
      </c>
      <c r="B424" s="3">
        <f>3+50+89</f>
        <v>142</v>
      </c>
      <c r="C424" s="3">
        <f>6+13+2+11</f>
        <v>32</v>
      </c>
      <c r="D424" s="3">
        <f>11+69+6+19</f>
        <v>105</v>
      </c>
      <c r="E424" s="36">
        <f t="shared" si="1316"/>
        <v>279</v>
      </c>
      <c r="F424" s="36">
        <v>827</v>
      </c>
      <c r="G424" s="3">
        <f t="shared" si="1401"/>
        <v>548</v>
      </c>
      <c r="H424" s="21">
        <f t="shared" si="1407"/>
        <v>0.11155913978494623</v>
      </c>
      <c r="I424" s="21">
        <f t="shared" si="1408"/>
        <v>0.2183406113537118</v>
      </c>
      <c r="J424" s="3">
        <f t="shared" si="1409"/>
        <v>50</v>
      </c>
      <c r="K424" s="16">
        <f t="shared" si="1410"/>
        <v>0.15826330532212884</v>
      </c>
      <c r="L424" s="3">
        <f t="shared" si="1411"/>
        <v>647.33333333333337</v>
      </c>
    </row>
    <row r="425" spans="1:12" ht="13.8" x14ac:dyDescent="0.25">
      <c r="A425" s="27">
        <f t="shared" ref="A425:A449" si="1412">7+A424</f>
        <v>41566</v>
      </c>
      <c r="B425" s="3">
        <f>2+81+133</f>
        <v>216</v>
      </c>
      <c r="C425" s="3">
        <f>16+5+4+39</f>
        <v>64</v>
      </c>
      <c r="D425" s="3">
        <f>4+101+8+115</f>
        <v>228</v>
      </c>
      <c r="E425" s="36">
        <f t="shared" si="1316"/>
        <v>508</v>
      </c>
      <c r="F425" s="36">
        <v>780</v>
      </c>
      <c r="G425" s="3">
        <f t="shared" ref="G425" si="1413">F425-E425</f>
        <v>272</v>
      </c>
      <c r="H425" s="21">
        <f t="shared" ref="H425" si="1414">(F425-F424)/F424</f>
        <v>-5.6831922611850064E-2</v>
      </c>
      <c r="I425" s="21">
        <f t="shared" ref="I425" si="1415">(E425-E424)/E424</f>
        <v>0.82078853046594979</v>
      </c>
      <c r="J425" s="3">
        <f t="shared" ref="J425" si="1416">E425-E424</f>
        <v>229</v>
      </c>
      <c r="K425" s="16">
        <f t="shared" ref="K425" si="1417">(F425-F373)/F373</f>
        <v>-4.1769041769041768E-2</v>
      </c>
      <c r="L425" s="3">
        <f t="shared" ref="L425" si="1418">AVERAGE(F269,F321,F373)</f>
        <v>696</v>
      </c>
    </row>
    <row r="426" spans="1:12" ht="13.8" x14ac:dyDescent="0.25">
      <c r="A426" s="27">
        <f t="shared" si="1412"/>
        <v>41573</v>
      </c>
      <c r="B426" s="3">
        <f>5+100+239</f>
        <v>344</v>
      </c>
      <c r="C426" s="3">
        <f>5+3+3+33</f>
        <v>44</v>
      </c>
      <c r="D426" s="3">
        <f>1+52+1+91</f>
        <v>145</v>
      </c>
      <c r="E426" s="36">
        <f t="shared" si="1316"/>
        <v>533</v>
      </c>
      <c r="F426" s="36">
        <v>813</v>
      </c>
      <c r="G426" s="3">
        <f t="shared" ref="G426" si="1419">F426-E426</f>
        <v>280</v>
      </c>
      <c r="H426" s="21">
        <f t="shared" ref="H426" si="1420">(F426-F425)/F425</f>
        <v>4.230769230769231E-2</v>
      </c>
      <c r="I426" s="21">
        <f t="shared" ref="I426" si="1421">(E426-E425)/E425</f>
        <v>4.9212598425196853E-2</v>
      </c>
      <c r="J426" s="3">
        <f t="shared" ref="J426" si="1422">E426-E425</f>
        <v>25</v>
      </c>
      <c r="K426" s="16">
        <f t="shared" ref="K426" si="1423">(F426-F374)/F374</f>
        <v>-3.5587188612099648E-2</v>
      </c>
      <c r="L426" s="3">
        <f t="shared" ref="L426" si="1424">AVERAGE(F270,F322,F374)</f>
        <v>748.33333333333337</v>
      </c>
    </row>
    <row r="427" spans="1:12" ht="13.8" x14ac:dyDescent="0.25">
      <c r="A427" s="27">
        <f t="shared" si="1412"/>
        <v>41580</v>
      </c>
      <c r="B427" s="3">
        <f>4+86+264</f>
        <v>354</v>
      </c>
      <c r="C427" s="3">
        <f>12+2+47</f>
        <v>61</v>
      </c>
      <c r="D427" s="3">
        <f>55+1+78</f>
        <v>134</v>
      </c>
      <c r="E427" s="36">
        <f t="shared" si="1316"/>
        <v>549</v>
      </c>
      <c r="F427" s="36">
        <v>921</v>
      </c>
      <c r="G427" s="3">
        <f t="shared" ref="G427" si="1425">F427-E427</f>
        <v>372</v>
      </c>
      <c r="H427" s="21">
        <f t="shared" ref="H427" si="1426">(F427-F426)/F426</f>
        <v>0.13284132841328414</v>
      </c>
      <c r="I427" s="21">
        <f t="shared" ref="I427" si="1427">(E427-E426)/E426</f>
        <v>3.0018761726078799E-2</v>
      </c>
      <c r="J427" s="3">
        <f t="shared" ref="J427" si="1428">E427-E426</f>
        <v>16</v>
      </c>
      <c r="K427" s="16">
        <f t="shared" ref="K427" si="1429">(F427-F375)/F375</f>
        <v>8.6084905660377353E-2</v>
      </c>
      <c r="L427" s="3">
        <f t="shared" ref="L427" si="1430">AVERAGE(F271,F323,F375)</f>
        <v>739</v>
      </c>
    </row>
    <row r="428" spans="1:12" ht="13.8" x14ac:dyDescent="0.25">
      <c r="A428" s="27">
        <f t="shared" si="1412"/>
        <v>41587</v>
      </c>
      <c r="B428" s="3">
        <f>4+120+2+161</f>
        <v>287</v>
      </c>
      <c r="C428" s="3">
        <f>4+17</f>
        <v>21</v>
      </c>
      <c r="D428" s="3">
        <f>1+75+5+114</f>
        <v>195</v>
      </c>
      <c r="E428" s="36">
        <f t="shared" si="1316"/>
        <v>503</v>
      </c>
      <c r="F428" s="36">
        <v>934</v>
      </c>
      <c r="G428" s="3">
        <f t="shared" ref="G428" si="1431">F428-E428</f>
        <v>431</v>
      </c>
      <c r="H428" s="21">
        <f t="shared" ref="H428" si="1432">(F428-F427)/F427</f>
        <v>1.4115092290988056E-2</v>
      </c>
      <c r="I428" s="21">
        <f t="shared" ref="I428" si="1433">(E428-E427)/E427</f>
        <v>-8.3788706739526417E-2</v>
      </c>
      <c r="J428" s="3">
        <f t="shared" ref="J428" si="1434">E428-E427</f>
        <v>-46</v>
      </c>
      <c r="K428" s="16">
        <f t="shared" ref="K428" si="1435">(F428-F376)/F376</f>
        <v>0.12394705174488568</v>
      </c>
      <c r="L428" s="3">
        <f t="shared" ref="L428" si="1436">AVERAGE(F272,F324,F376)</f>
        <v>783.33333333333337</v>
      </c>
    </row>
    <row r="429" spans="1:12" ht="13.8" x14ac:dyDescent="0.25">
      <c r="A429" s="27">
        <f t="shared" si="1412"/>
        <v>41594</v>
      </c>
      <c r="B429" s="3">
        <f>5+127+0+135</f>
        <v>267</v>
      </c>
      <c r="C429" s="3">
        <f>11+1+1+46</f>
        <v>59</v>
      </c>
      <c r="D429" s="3">
        <f>0+96+0+8+119</f>
        <v>223</v>
      </c>
      <c r="E429" s="36">
        <f t="shared" si="1316"/>
        <v>549</v>
      </c>
      <c r="F429" s="36">
        <v>947</v>
      </c>
      <c r="G429" s="3">
        <f t="shared" ref="G429" si="1437">F429-E429</f>
        <v>398</v>
      </c>
      <c r="H429" s="21">
        <f t="shared" ref="H429" si="1438">(F429-F428)/F428</f>
        <v>1.3918629550321198E-2</v>
      </c>
      <c r="I429" s="21">
        <f t="shared" ref="I429" si="1439">(E429-E428)/E428</f>
        <v>9.1451292246520877E-2</v>
      </c>
      <c r="J429" s="3">
        <f t="shared" ref="J429" si="1440">E429-E428</f>
        <v>46</v>
      </c>
      <c r="K429" s="16">
        <f t="shared" ref="K429" si="1441">(F429-F377)/F377</f>
        <v>4.6408839779005527E-2</v>
      </c>
      <c r="L429" s="3">
        <f t="shared" ref="L429" si="1442">AVERAGE(F273,F325,F377)</f>
        <v>839.66666666666663</v>
      </c>
    </row>
    <row r="430" spans="1:12" ht="13.8" x14ac:dyDescent="0.25">
      <c r="A430" s="27">
        <f t="shared" si="1412"/>
        <v>41601</v>
      </c>
      <c r="B430" s="3">
        <f>3+181+117</f>
        <v>301</v>
      </c>
      <c r="C430" s="3">
        <f>7+3+33</f>
        <v>43</v>
      </c>
      <c r="D430" s="3">
        <f>0+105+0+3+151</f>
        <v>259</v>
      </c>
      <c r="E430" s="36">
        <f t="shared" si="1316"/>
        <v>603</v>
      </c>
      <c r="F430" s="36">
        <v>907</v>
      </c>
      <c r="G430" s="3">
        <f t="shared" ref="G430" si="1443">F430-E430</f>
        <v>304</v>
      </c>
      <c r="H430" s="21">
        <f t="shared" ref="H430" si="1444">(F430-F429)/F429</f>
        <v>-4.2238648363252376E-2</v>
      </c>
      <c r="I430" s="21">
        <f t="shared" ref="I430" si="1445">(E430-E429)/E429</f>
        <v>9.8360655737704916E-2</v>
      </c>
      <c r="J430" s="3">
        <f t="shared" ref="J430" si="1446">E430-E429</f>
        <v>54</v>
      </c>
      <c r="K430" s="16">
        <f t="shared" ref="K430" si="1447">(F430-F378)/F378</f>
        <v>0.38473282442748091</v>
      </c>
      <c r="L430" s="3">
        <f t="shared" ref="L430" si="1448">AVERAGE(F274,F326,F378)</f>
        <v>661.33333333333337</v>
      </c>
    </row>
    <row r="431" spans="1:12" ht="13.8" x14ac:dyDescent="0.25">
      <c r="A431" s="27">
        <f t="shared" si="1412"/>
        <v>41608</v>
      </c>
      <c r="B431" s="3">
        <f>5+174+156</f>
        <v>335</v>
      </c>
      <c r="C431" s="3">
        <f>6+5+1+38</f>
        <v>50</v>
      </c>
      <c r="D431" s="3">
        <f>2+78+2+96</f>
        <v>178</v>
      </c>
      <c r="E431" s="36">
        <f t="shared" si="1316"/>
        <v>563</v>
      </c>
      <c r="F431" s="36">
        <v>839</v>
      </c>
      <c r="G431" s="3">
        <f t="shared" ref="G431" si="1449">F431-E431</f>
        <v>276</v>
      </c>
      <c r="H431" s="21">
        <f t="shared" ref="H431" si="1450">(F431-F430)/F430</f>
        <v>-7.4972436604189632E-2</v>
      </c>
      <c r="I431" s="21">
        <f t="shared" ref="I431" si="1451">(E431-E430)/E430</f>
        <v>-6.633499170812604E-2</v>
      </c>
      <c r="J431" s="3">
        <f t="shared" ref="J431" si="1452">E431-E430</f>
        <v>-40</v>
      </c>
      <c r="K431" s="16">
        <f t="shared" ref="K431" si="1453">(F431-F379)/F379</f>
        <v>0.32125984251968503</v>
      </c>
      <c r="L431" s="3">
        <f t="shared" ref="L431" si="1454">AVERAGE(F275,F327,F379)</f>
        <v>715.66666666666663</v>
      </c>
    </row>
    <row r="432" spans="1:12" ht="13.8" x14ac:dyDescent="0.25">
      <c r="A432" s="27">
        <f t="shared" si="1412"/>
        <v>41615</v>
      </c>
      <c r="B432" s="3">
        <v>348</v>
      </c>
      <c r="C432" s="3">
        <v>27</v>
      </c>
      <c r="D432" s="3">
        <v>113</v>
      </c>
      <c r="E432" s="36">
        <f t="shared" si="1316"/>
        <v>488</v>
      </c>
      <c r="F432" s="36">
        <v>916</v>
      </c>
      <c r="G432" s="3">
        <f t="shared" ref="G432" si="1455">F432-E432</f>
        <v>428</v>
      </c>
      <c r="H432" s="21">
        <f t="shared" ref="H432" si="1456">(F432-F431)/F431</f>
        <v>9.1775923718712751E-2</v>
      </c>
      <c r="I432" s="21">
        <f t="shared" ref="I432" si="1457">(E432-E431)/E431</f>
        <v>-0.13321492007104796</v>
      </c>
      <c r="J432" s="3">
        <f t="shared" ref="J432" si="1458">E432-E431</f>
        <v>-75</v>
      </c>
      <c r="K432" s="16">
        <f t="shared" ref="K432" si="1459">(F432-F380)/F380</f>
        <v>0.44936708860759494</v>
      </c>
      <c r="L432" s="3">
        <f t="shared" ref="L432" si="1460">AVERAGE(F276,F328,F380)</f>
        <v>716.66666666666663</v>
      </c>
    </row>
    <row r="433" spans="1:12" ht="13.8" x14ac:dyDescent="0.25">
      <c r="A433" s="27">
        <f t="shared" si="1412"/>
        <v>41622</v>
      </c>
      <c r="B433" s="3">
        <v>331</v>
      </c>
      <c r="C433" s="3">
        <v>39</v>
      </c>
      <c r="D433" s="3">
        <v>163</v>
      </c>
      <c r="E433" s="36">
        <f t="shared" si="1316"/>
        <v>533</v>
      </c>
      <c r="F433" s="36">
        <v>798</v>
      </c>
      <c r="G433" s="3">
        <f t="shared" ref="G433" si="1461">F433-E433</f>
        <v>265</v>
      </c>
      <c r="H433" s="21">
        <f t="shared" ref="H433" si="1462">(F433-F432)/F432</f>
        <v>-0.12882096069868995</v>
      </c>
      <c r="I433" s="21">
        <f t="shared" ref="I433" si="1463">(E433-E432)/E432</f>
        <v>9.2213114754098366E-2</v>
      </c>
      <c r="J433" s="3">
        <f t="shared" ref="J433" si="1464">E433-E432</f>
        <v>45</v>
      </c>
      <c r="K433" s="16">
        <f t="shared" ref="K433" si="1465">(F433-F381)/F381</f>
        <v>0.25867507886435331</v>
      </c>
      <c r="L433" s="3">
        <f t="shared" ref="L433" si="1466">AVERAGE(F277,F329,F381)</f>
        <v>674.33333333333337</v>
      </c>
    </row>
    <row r="434" spans="1:12" ht="13.8" x14ac:dyDescent="0.25">
      <c r="A434" s="27">
        <f t="shared" si="1412"/>
        <v>41629</v>
      </c>
      <c r="B434" s="3">
        <f>4+123+2+140</f>
        <v>269</v>
      </c>
      <c r="C434" s="3">
        <f>6+34</f>
        <v>40</v>
      </c>
      <c r="D434" s="3">
        <f>7+80+3+58</f>
        <v>148</v>
      </c>
      <c r="E434" s="36">
        <f t="shared" si="1316"/>
        <v>457</v>
      </c>
      <c r="F434" s="36">
        <v>871</v>
      </c>
      <c r="G434" s="3">
        <f t="shared" ref="G434" si="1467">F434-E434</f>
        <v>414</v>
      </c>
      <c r="H434" s="21">
        <f t="shared" ref="H434" si="1468">(F434-F433)/F433</f>
        <v>9.1478696741854632E-2</v>
      </c>
      <c r="I434" s="21">
        <f t="shared" ref="I434" si="1469">(E434-E433)/E433</f>
        <v>-0.14258911819887429</v>
      </c>
      <c r="J434" s="3">
        <f t="shared" ref="J434" si="1470">E434-E433</f>
        <v>-76</v>
      </c>
      <c r="K434" s="16">
        <f t="shared" ref="K434" si="1471">(F434-F382)/F382</f>
        <v>0.25143678160919541</v>
      </c>
      <c r="L434" s="3">
        <f t="shared" ref="L434" si="1472">AVERAGE(F278,F330,F382)</f>
        <v>650</v>
      </c>
    </row>
    <row r="435" spans="1:12" ht="13.8" x14ac:dyDescent="0.25">
      <c r="A435" s="27">
        <f t="shared" si="1412"/>
        <v>41636</v>
      </c>
      <c r="B435" s="3">
        <f>3+56+7+136</f>
        <v>202</v>
      </c>
      <c r="C435" s="3">
        <f>9+0+31</f>
        <v>40</v>
      </c>
      <c r="D435" s="3">
        <f>2+78+0+5+90</f>
        <v>175</v>
      </c>
      <c r="E435" s="36">
        <f t="shared" si="1316"/>
        <v>417</v>
      </c>
      <c r="F435" s="36">
        <v>671</v>
      </c>
      <c r="G435" s="3">
        <f t="shared" ref="G435" si="1473">F435-E435</f>
        <v>254</v>
      </c>
      <c r="H435" s="21">
        <f t="shared" ref="H435" si="1474">(F435-F434)/F434</f>
        <v>-0.22962112514351321</v>
      </c>
      <c r="I435" s="21">
        <f t="shared" ref="I435" si="1475">(E435-E434)/E434</f>
        <v>-8.7527352297592995E-2</v>
      </c>
      <c r="J435" s="3">
        <f t="shared" ref="J435" si="1476">E435-E434</f>
        <v>-40</v>
      </c>
      <c r="K435" s="16">
        <f t="shared" ref="K435" si="1477">(F435-F383)/F383</f>
        <v>0.11833333333333333</v>
      </c>
      <c r="L435" s="3">
        <f t="shared" ref="L435" si="1478">AVERAGE(F279,F331,F383)</f>
        <v>527.33333333333337</v>
      </c>
    </row>
    <row r="436" spans="1:12" ht="13.8" x14ac:dyDescent="0.25">
      <c r="A436" s="27">
        <f t="shared" si="1412"/>
        <v>41643</v>
      </c>
      <c r="B436" s="3">
        <f>2+46+134</f>
        <v>182</v>
      </c>
      <c r="C436" s="3">
        <f>6+1+24</f>
        <v>31</v>
      </c>
      <c r="D436" s="3">
        <f>5+67+2+71</f>
        <v>145</v>
      </c>
      <c r="E436" s="36">
        <f t="shared" si="1316"/>
        <v>358</v>
      </c>
      <c r="F436" s="36">
        <v>814</v>
      </c>
      <c r="G436" s="3">
        <f t="shared" ref="G436" si="1479">F436-E436</f>
        <v>456</v>
      </c>
      <c r="H436" s="21">
        <f t="shared" ref="H436" si="1480">(F436-F435)/F435</f>
        <v>0.21311475409836064</v>
      </c>
      <c r="I436" s="21">
        <f t="shared" ref="I436" si="1481">(E436-E435)/E435</f>
        <v>-0.14148681055155876</v>
      </c>
      <c r="J436" s="3">
        <f t="shared" ref="J436" si="1482">E436-E435</f>
        <v>-59</v>
      </c>
      <c r="K436" s="16">
        <f t="shared" ref="K436" si="1483">(F436-F384)/F384</f>
        <v>0.90632318501170961</v>
      </c>
      <c r="L436" s="3">
        <f t="shared" ref="L436" si="1484">AVERAGE(F280,F332,F384)</f>
        <v>587.33333333333337</v>
      </c>
    </row>
    <row r="437" spans="1:12" ht="13.8" x14ac:dyDescent="0.25">
      <c r="A437" s="27">
        <f t="shared" si="1412"/>
        <v>41650</v>
      </c>
      <c r="B437" s="3">
        <f>3+25+3+48</f>
        <v>79</v>
      </c>
      <c r="C437" s="3">
        <f>3+16</f>
        <v>19</v>
      </c>
      <c r="D437" s="3">
        <f>15+66+2+93</f>
        <v>176</v>
      </c>
      <c r="E437" s="36">
        <f t="shared" si="1316"/>
        <v>274</v>
      </c>
      <c r="F437" s="36">
        <v>749</v>
      </c>
      <c r="G437" s="3">
        <f t="shared" ref="G437" si="1485">F437-E437</f>
        <v>475</v>
      </c>
      <c r="H437" s="21">
        <f t="shared" ref="H437" si="1486">(F437-F436)/F436</f>
        <v>-7.9852579852579847E-2</v>
      </c>
      <c r="I437" s="21">
        <f t="shared" ref="I437" si="1487">(E437-E436)/E436</f>
        <v>-0.23463687150837989</v>
      </c>
      <c r="J437" s="3">
        <f t="shared" ref="J437" si="1488">E437-E436</f>
        <v>-84</v>
      </c>
      <c r="K437" s="16">
        <f t="shared" ref="K437" si="1489">(F437-F385)/F385</f>
        <v>0.47151277013752457</v>
      </c>
      <c r="L437" s="3">
        <f t="shared" ref="L437" si="1490">AVERAGE(F281,F333,F385)</f>
        <v>640</v>
      </c>
    </row>
    <row r="438" spans="1:12" ht="13.8" x14ac:dyDescent="0.25">
      <c r="A438" s="27">
        <f t="shared" si="1412"/>
        <v>41657</v>
      </c>
      <c r="B438" s="3">
        <f>19+62</f>
        <v>81</v>
      </c>
      <c r="C438" s="3">
        <f>10+1+34</f>
        <v>45</v>
      </c>
      <c r="D438" s="3">
        <f>2+83+7+85</f>
        <v>177</v>
      </c>
      <c r="E438" s="36">
        <f t="shared" si="1316"/>
        <v>303</v>
      </c>
      <c r="F438" s="36">
        <v>888</v>
      </c>
      <c r="G438" s="3">
        <f t="shared" ref="G438" si="1491">F438-E438</f>
        <v>585</v>
      </c>
      <c r="H438" s="21">
        <f t="shared" ref="H438" si="1492">(F438-F437)/F437</f>
        <v>0.1855807743658211</v>
      </c>
      <c r="I438" s="21">
        <f t="shared" ref="I438" si="1493">(E438-E437)/E437</f>
        <v>0.10583941605839416</v>
      </c>
      <c r="J438" s="3">
        <f t="shared" ref="J438" si="1494">E438-E437</f>
        <v>29</v>
      </c>
      <c r="K438" s="16">
        <f t="shared" ref="K438" si="1495">(F438-F386)/F386</f>
        <v>0.55244755244755239</v>
      </c>
      <c r="L438" s="3">
        <f t="shared" ref="L438" si="1496">AVERAGE(F282,F334,F386)</f>
        <v>651.33333333333337</v>
      </c>
    </row>
    <row r="439" spans="1:12" ht="13.8" x14ac:dyDescent="0.25">
      <c r="A439" s="27">
        <f t="shared" si="1412"/>
        <v>41664</v>
      </c>
      <c r="B439" s="3">
        <f>4+33+145</f>
        <v>182</v>
      </c>
      <c r="C439" s="3">
        <f>5+32</f>
        <v>37</v>
      </c>
      <c r="D439" s="3">
        <f>105+156</f>
        <v>261</v>
      </c>
      <c r="E439" s="36">
        <f t="shared" si="1316"/>
        <v>480</v>
      </c>
      <c r="F439" s="36">
        <v>771</v>
      </c>
      <c r="G439" s="3">
        <f t="shared" ref="G439" si="1497">F439-E439</f>
        <v>291</v>
      </c>
      <c r="H439" s="21">
        <f t="shared" ref="H439" si="1498">(F439-F438)/F438</f>
        <v>-0.13175675675675674</v>
      </c>
      <c r="I439" s="21">
        <f t="shared" ref="I439" si="1499">(E439-E438)/E438</f>
        <v>0.58415841584158412</v>
      </c>
      <c r="J439" s="3">
        <f t="shared" ref="J439" si="1500">E439-E438</f>
        <v>177</v>
      </c>
      <c r="K439" s="16">
        <f t="shared" ref="K439" si="1501">(F439-F387)/F387</f>
        <v>0.19906687402799378</v>
      </c>
      <c r="L439" s="3">
        <f t="shared" ref="L439" si="1502">AVERAGE(F283,F335,F387)</f>
        <v>712.33333333333337</v>
      </c>
    </row>
    <row r="440" spans="1:12" ht="13.8" x14ac:dyDescent="0.25">
      <c r="A440" s="27">
        <f t="shared" si="1412"/>
        <v>41671</v>
      </c>
      <c r="B440" s="3">
        <f>1+45+117</f>
        <v>163</v>
      </c>
      <c r="C440" s="3">
        <f>3+19</f>
        <v>22</v>
      </c>
      <c r="D440" s="3">
        <f>1+93+2+97</f>
        <v>193</v>
      </c>
      <c r="E440" s="36">
        <f t="shared" si="1316"/>
        <v>378</v>
      </c>
      <c r="F440" s="36">
        <v>682</v>
      </c>
      <c r="G440" s="3">
        <f t="shared" ref="G440" si="1503">F440-E440</f>
        <v>304</v>
      </c>
      <c r="H440" s="21">
        <f t="shared" ref="H440" si="1504">(F440-F439)/F439</f>
        <v>-0.11543450064850844</v>
      </c>
      <c r="I440" s="21">
        <f t="shared" ref="I440" si="1505">(E440-E439)/E439</f>
        <v>-0.21249999999999999</v>
      </c>
      <c r="J440" s="3">
        <f t="shared" ref="J440" si="1506">E440-E439</f>
        <v>-102</v>
      </c>
      <c r="K440" s="16">
        <f t="shared" ref="K440" si="1507">(F440-F388)/F388</f>
        <v>0.32943469785575047</v>
      </c>
      <c r="L440" s="3">
        <f t="shared" ref="L440" si="1508">AVERAGE(F284,F336,F388)</f>
        <v>602.33333333333337</v>
      </c>
    </row>
    <row r="441" spans="1:12" ht="13.8" x14ac:dyDescent="0.25">
      <c r="A441" s="27">
        <f t="shared" si="1412"/>
        <v>41678</v>
      </c>
      <c r="B441" s="3">
        <f>12+48</f>
        <v>60</v>
      </c>
      <c r="C441" s="3">
        <f>8+4+1+45</f>
        <v>58</v>
      </c>
      <c r="D441" s="3">
        <f>1+135+154</f>
        <v>290</v>
      </c>
      <c r="E441" s="36">
        <f t="shared" si="1316"/>
        <v>408</v>
      </c>
      <c r="F441" s="36">
        <v>774</v>
      </c>
      <c r="G441" s="3">
        <f t="shared" ref="G441" si="1509">F441-E441</f>
        <v>366</v>
      </c>
      <c r="H441" s="21">
        <f t="shared" ref="H441" si="1510">(F441-F440)/F440</f>
        <v>0.13489736070381231</v>
      </c>
      <c r="I441" s="21">
        <f t="shared" ref="I441" si="1511">(E441-E440)/E440</f>
        <v>7.9365079365079361E-2</v>
      </c>
      <c r="J441" s="3">
        <f t="shared" ref="J441" si="1512">E441-E440</f>
        <v>30</v>
      </c>
      <c r="K441" s="16">
        <f t="shared" ref="K441" si="1513">(F441-F389)/F389</f>
        <v>0.4576271186440678</v>
      </c>
      <c r="L441" s="3">
        <f t="shared" ref="L441" si="1514">AVERAGE(F285,F337,F389)</f>
        <v>646</v>
      </c>
    </row>
    <row r="442" spans="1:12" ht="13.8" x14ac:dyDescent="0.25">
      <c r="A442" s="27">
        <f t="shared" si="1412"/>
        <v>41685</v>
      </c>
      <c r="B442" s="3">
        <f>26+57</f>
        <v>83</v>
      </c>
      <c r="C442" s="3">
        <f>8+1+33</f>
        <v>42</v>
      </c>
      <c r="D442" s="3">
        <f>58+0+155+4</f>
        <v>217</v>
      </c>
      <c r="E442" s="36">
        <f t="shared" si="1316"/>
        <v>342</v>
      </c>
      <c r="F442" s="36">
        <v>739</v>
      </c>
      <c r="G442" s="3">
        <f t="shared" ref="G442" si="1515">F442-E442</f>
        <v>397</v>
      </c>
      <c r="H442" s="21">
        <f t="shared" ref="H442" si="1516">(F442-F441)/F441</f>
        <v>-4.5219638242894059E-2</v>
      </c>
      <c r="I442" s="21">
        <f t="shared" ref="I442" si="1517">(E442-E441)/E441</f>
        <v>-0.16176470588235295</v>
      </c>
      <c r="J442" s="3">
        <f t="shared" ref="J442" si="1518">E442-E441</f>
        <v>-66</v>
      </c>
      <c r="K442" s="16">
        <f t="shared" ref="K442" si="1519">(F442-F390)/F390</f>
        <v>0.48393574297188757</v>
      </c>
      <c r="L442" s="3">
        <f t="shared" ref="L442" si="1520">AVERAGE(F286,F338,F390)</f>
        <v>608</v>
      </c>
    </row>
    <row r="443" spans="1:12" ht="13.8" x14ac:dyDescent="0.25">
      <c r="A443" s="27">
        <f t="shared" si="1412"/>
        <v>41692</v>
      </c>
      <c r="B443" s="3">
        <f>41+36</f>
        <v>77</v>
      </c>
      <c r="C443" s="3">
        <f>9+2+1+20</f>
        <v>32</v>
      </c>
      <c r="D443" s="3">
        <f>3+133+37</f>
        <v>173</v>
      </c>
      <c r="E443" s="36">
        <f t="shared" si="1316"/>
        <v>282</v>
      </c>
      <c r="F443" s="36">
        <v>819</v>
      </c>
      <c r="G443" s="3">
        <f t="shared" ref="G443" si="1521">F443-E443</f>
        <v>537</v>
      </c>
      <c r="H443" s="21">
        <f t="shared" ref="H443" si="1522">(F443-F442)/F442</f>
        <v>0.10825439783491204</v>
      </c>
      <c r="I443" s="21">
        <f t="shared" ref="I443" si="1523">(E443-E442)/E442</f>
        <v>-0.17543859649122806</v>
      </c>
      <c r="J443" s="3">
        <f t="shared" ref="J443" si="1524">E443-E442</f>
        <v>-60</v>
      </c>
      <c r="K443" s="16">
        <f t="shared" ref="K443" si="1525">(F443-F391)/F391</f>
        <v>0.39049235993208831</v>
      </c>
      <c r="L443" s="3">
        <f t="shared" ref="L443" si="1526">AVERAGE(F287,F339,F391)</f>
        <v>602</v>
      </c>
    </row>
    <row r="444" spans="1:12" ht="13.8" x14ac:dyDescent="0.25">
      <c r="A444" s="27">
        <f t="shared" si="1412"/>
        <v>41699</v>
      </c>
      <c r="B444" s="3">
        <f>1+63+63</f>
        <v>127</v>
      </c>
      <c r="C444" s="3">
        <f>17+2+1+1+23</f>
        <v>44</v>
      </c>
      <c r="D444" s="3">
        <f>7+133+1+77</f>
        <v>218</v>
      </c>
      <c r="E444" s="36">
        <f t="shared" si="1316"/>
        <v>389</v>
      </c>
      <c r="F444" s="36">
        <v>703</v>
      </c>
      <c r="G444" s="3">
        <f t="shared" ref="G444" si="1527">F444-E444</f>
        <v>314</v>
      </c>
      <c r="H444" s="21">
        <f t="shared" ref="H444" si="1528">(F444-F443)/F443</f>
        <v>-0.14163614163614163</v>
      </c>
      <c r="I444" s="21">
        <f t="shared" ref="I444" si="1529">(E444-E443)/E443</f>
        <v>0.37943262411347517</v>
      </c>
      <c r="J444" s="3">
        <f t="shared" ref="J444" si="1530">E444-E443</f>
        <v>107</v>
      </c>
      <c r="K444" s="16">
        <f t="shared" ref="K444" si="1531">(F444-F392)/F392</f>
        <v>0.39761431411530818</v>
      </c>
      <c r="L444" s="3">
        <f t="shared" ref="L444" si="1532">AVERAGE(F288,F340,F392)</f>
        <v>603.33333333333337</v>
      </c>
    </row>
    <row r="445" spans="1:12" ht="13.8" x14ac:dyDescent="0.25">
      <c r="A445" s="27">
        <f t="shared" si="1412"/>
        <v>41706</v>
      </c>
      <c r="B445" s="3">
        <f>77+56</f>
        <v>133</v>
      </c>
      <c r="C445" s="3">
        <f>15+5+17</f>
        <v>37</v>
      </c>
      <c r="D445" s="3">
        <f>4+133+32</f>
        <v>169</v>
      </c>
      <c r="E445" s="36">
        <f t="shared" si="1316"/>
        <v>339</v>
      </c>
      <c r="F445" s="36">
        <v>691</v>
      </c>
      <c r="G445" s="3">
        <f t="shared" ref="G445" si="1533">F445-E445</f>
        <v>352</v>
      </c>
      <c r="H445" s="21">
        <f t="shared" ref="H445" si="1534">(F445-F444)/F444</f>
        <v>-1.7069701280227598E-2</v>
      </c>
      <c r="I445" s="21">
        <f t="shared" ref="I445" si="1535">(E445-E444)/E444</f>
        <v>-0.12853470437017994</v>
      </c>
      <c r="J445" s="3">
        <f t="shared" ref="J445" si="1536">E445-E444</f>
        <v>-50</v>
      </c>
      <c r="K445" s="16">
        <f t="shared" ref="K445" si="1537">(F445-F393)/F393</f>
        <v>0.81842105263157894</v>
      </c>
      <c r="L445" s="3">
        <f t="shared" ref="L445" si="1538">AVERAGE(F289,F341,F393)</f>
        <v>478.66666666666669</v>
      </c>
    </row>
    <row r="446" spans="1:12" ht="13.8" x14ac:dyDescent="0.25">
      <c r="A446" s="27">
        <f t="shared" si="1412"/>
        <v>41713</v>
      </c>
      <c r="B446" s="3">
        <f>167+45</f>
        <v>212</v>
      </c>
      <c r="C446" s="3">
        <f>26+2+1+11</f>
        <v>40</v>
      </c>
      <c r="D446" s="3">
        <f>6+167+54</f>
        <v>227</v>
      </c>
      <c r="E446" s="36">
        <f>SUM(B446:D446)</f>
        <v>479</v>
      </c>
      <c r="F446" s="36">
        <v>726</v>
      </c>
      <c r="G446" s="3">
        <f t="shared" ref="G446" si="1539">F446-E446</f>
        <v>247</v>
      </c>
      <c r="H446" s="21">
        <f t="shared" ref="H446" si="1540">(F446-F445)/F445</f>
        <v>5.0651230101302458E-2</v>
      </c>
      <c r="I446" s="21">
        <f t="shared" ref="I446" si="1541">(E446-E445)/E445</f>
        <v>0.41297935103244837</v>
      </c>
      <c r="J446" s="3">
        <f t="shared" ref="J446" si="1542">E446-E445</f>
        <v>140</v>
      </c>
      <c r="K446" s="16">
        <f t="shared" ref="K446" si="1543">(F446-F394)/F394</f>
        <v>0.6205357142857143</v>
      </c>
      <c r="L446" s="3">
        <f t="shared" ref="L446" si="1544">AVERAGE(F290,F342,F394)</f>
        <v>504</v>
      </c>
    </row>
    <row r="447" spans="1:12" ht="13.8" x14ac:dyDescent="0.25">
      <c r="A447" s="27">
        <f t="shared" si="1412"/>
        <v>41720</v>
      </c>
      <c r="B447" s="3">
        <f>106+30</f>
        <v>136</v>
      </c>
      <c r="C447" s="3">
        <f>21+11+7</f>
        <v>39</v>
      </c>
      <c r="D447" s="3">
        <f>16+171+27</f>
        <v>214</v>
      </c>
      <c r="E447" s="36">
        <f t="shared" si="1316"/>
        <v>389</v>
      </c>
      <c r="F447" s="36">
        <v>757</v>
      </c>
      <c r="G447" s="3">
        <f t="shared" ref="G447" si="1545">F447-E447</f>
        <v>368</v>
      </c>
      <c r="H447" s="21">
        <f t="shared" ref="H447" si="1546">(F447-F446)/F446</f>
        <v>4.2699724517906337E-2</v>
      </c>
      <c r="I447" s="21">
        <f t="shared" ref="I447" si="1547">(E447-E446)/E446</f>
        <v>-0.18789144050104384</v>
      </c>
      <c r="J447" s="3">
        <f t="shared" ref="J447" si="1548">E447-E446</f>
        <v>-90</v>
      </c>
      <c r="K447" s="16">
        <f t="shared" ref="K447" si="1549">(F447-F395)/F395</f>
        <v>0.90680100755667503</v>
      </c>
      <c r="L447" s="3">
        <f t="shared" ref="L447" si="1550">AVERAGE(F291,F343,F395)</f>
        <v>516.66666666666663</v>
      </c>
    </row>
    <row r="448" spans="1:12" ht="13.8" x14ac:dyDescent="0.25">
      <c r="A448" s="27">
        <f t="shared" si="1412"/>
        <v>41727</v>
      </c>
      <c r="B448" s="3">
        <f>10+178+6+55</f>
        <v>249</v>
      </c>
      <c r="C448" s="3">
        <f>20+3+1+3</f>
        <v>27</v>
      </c>
      <c r="D448" s="3">
        <f>13+177+29</f>
        <v>219</v>
      </c>
      <c r="E448" s="36">
        <f t="shared" si="1316"/>
        <v>495</v>
      </c>
      <c r="F448" s="36">
        <v>761</v>
      </c>
      <c r="G448" s="3">
        <f t="shared" ref="G448" si="1551">F448-E448</f>
        <v>266</v>
      </c>
      <c r="H448" s="21">
        <f t="shared" ref="H448" si="1552">(F448-F447)/F447</f>
        <v>5.2840158520475562E-3</v>
      </c>
      <c r="I448" s="21">
        <f t="shared" ref="I448" si="1553">(E448-E447)/E447</f>
        <v>0.27249357326478146</v>
      </c>
      <c r="J448" s="3">
        <f t="shared" ref="J448" si="1554">E448-E447</f>
        <v>106</v>
      </c>
      <c r="K448" s="16">
        <f t="shared" ref="K448" si="1555">(F448-F396)/F396</f>
        <v>1.0964187327823691</v>
      </c>
      <c r="L448" s="3">
        <f t="shared" ref="L448" si="1556">AVERAGE(F292,F344,F396)</f>
        <v>447.33333333333331</v>
      </c>
    </row>
    <row r="449" spans="1:12" ht="13.8" x14ac:dyDescent="0.25">
      <c r="A449" s="27">
        <f t="shared" si="1412"/>
        <v>41734</v>
      </c>
      <c r="B449" s="3">
        <f>12+210+30</f>
        <v>252</v>
      </c>
      <c r="C449" s="3">
        <f>21+4+1+2</f>
        <v>28</v>
      </c>
      <c r="D449" s="3">
        <f>11+113+15</f>
        <v>139</v>
      </c>
      <c r="E449" s="36">
        <f t="shared" si="1316"/>
        <v>419</v>
      </c>
      <c r="F449" s="36">
        <v>709</v>
      </c>
      <c r="G449" s="3">
        <f t="shared" ref="G449" si="1557">F449-E449</f>
        <v>290</v>
      </c>
      <c r="H449" s="21">
        <f t="shared" ref="H449" si="1558">(F449-F448)/F448</f>
        <v>-6.8331143232588695E-2</v>
      </c>
      <c r="I449" s="21">
        <f t="shared" ref="I449" si="1559">(E449-E448)/E448</f>
        <v>-0.15353535353535352</v>
      </c>
      <c r="J449" s="3">
        <f t="shared" ref="J449" si="1560">E449-E448</f>
        <v>-76</v>
      </c>
      <c r="K449" s="16">
        <f t="shared" ref="K449" si="1561">(F449-F397)/F397</f>
        <v>1.279742765273312</v>
      </c>
      <c r="L449" s="3">
        <f t="shared" ref="L449" si="1562">AVERAGE(F293,F345,F397)</f>
        <v>449.33333333333331</v>
      </c>
    </row>
    <row r="450" spans="1:12" x14ac:dyDescent="0.25">
      <c r="E450" s="36"/>
      <c r="F450" s="36"/>
    </row>
  </sheetData>
  <mergeCells count="2">
    <mergeCell ref="A1:G1"/>
    <mergeCell ref="A2:K3"/>
  </mergeCells>
  <phoneticPr fontId="0" type="noConversion"/>
  <pageMargins left="0.75" right="0.75" top="1" bottom="1" header="0.5" footer="0.5"/>
  <pageSetup orientation="portrait" r:id="rId1"/>
  <headerFooter alignWithMargins="0"/>
  <ignoredErrors>
    <ignoredError sqref="E7:E21 E22:E23" formulaRange="1"/>
    <ignoredError sqref="A44 A46" formula="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8"/>
  <sheetViews>
    <sheetView tabSelected="1" zoomScale="106" zoomScaleNormal="106" workbookViewId="0">
      <selection sqref="A1:J22"/>
    </sheetView>
  </sheetViews>
  <sheetFormatPr defaultColWidth="8.77734375" defaultRowHeight="13.2" x14ac:dyDescent="0.25"/>
  <cols>
    <col min="1" max="8" width="8.77734375" style="1"/>
    <col min="9" max="9" width="7.44140625" style="1" customWidth="1"/>
    <col min="10" max="10" width="8.77734375" style="1" customWidth="1"/>
    <col min="11" max="12" width="8.77734375" style="24"/>
    <col min="13" max="16384" width="8.77734375" style="1"/>
  </cols>
  <sheetData>
    <row r="1" spans="1:11" x14ac:dyDescent="0.25">
      <c r="A1" s="8" t="s">
        <v>5</v>
      </c>
      <c r="B1" s="9"/>
      <c r="C1" s="9"/>
      <c r="D1" s="9"/>
      <c r="E1" s="9"/>
      <c r="F1" s="9"/>
      <c r="G1" s="9"/>
      <c r="H1" s="9"/>
      <c r="I1" s="9"/>
      <c r="J1" s="9"/>
      <c r="K1" s="25"/>
    </row>
    <row r="2" spans="1:11" ht="13.8" x14ac:dyDescent="0.25">
      <c r="A2" s="10" t="s">
        <v>6</v>
      </c>
      <c r="B2" s="9"/>
      <c r="C2" s="9"/>
      <c r="D2" s="9"/>
      <c r="E2" s="9"/>
      <c r="F2" s="9"/>
      <c r="G2" s="9"/>
      <c r="H2" s="9"/>
      <c r="I2" s="9"/>
      <c r="J2" s="9"/>
      <c r="K2" s="25"/>
    </row>
    <row r="3" spans="1:11" x14ac:dyDescent="0.25">
      <c r="A3" s="11"/>
      <c r="B3" s="11"/>
      <c r="C3" s="11"/>
      <c r="D3" s="11"/>
      <c r="E3" s="11"/>
      <c r="F3" s="11"/>
      <c r="G3" s="11"/>
      <c r="H3" s="11"/>
      <c r="I3" s="11"/>
      <c r="J3" s="11"/>
      <c r="K3" s="25"/>
    </row>
    <row r="4" spans="1:11" x14ac:dyDescent="0.25">
      <c r="A4" s="11"/>
      <c r="B4" s="11"/>
      <c r="C4" s="11"/>
      <c r="D4" s="11"/>
      <c r="E4" s="11"/>
      <c r="F4" s="11"/>
      <c r="G4" s="11"/>
      <c r="H4" s="11"/>
      <c r="I4" s="11"/>
      <c r="J4" s="11"/>
      <c r="K4" s="25"/>
    </row>
    <row r="5" spans="1:11" x14ac:dyDescent="0.25">
      <c r="A5" s="11"/>
      <c r="B5" s="11"/>
      <c r="C5" s="11"/>
      <c r="D5" s="11"/>
      <c r="E5" s="11"/>
      <c r="F5" s="11"/>
      <c r="G5" s="11"/>
      <c r="H5" s="11"/>
      <c r="I5" s="11"/>
      <c r="J5" s="11"/>
      <c r="K5" s="25"/>
    </row>
    <row r="6" spans="1:11" x14ac:dyDescent="0.25">
      <c r="A6" s="11"/>
      <c r="B6" s="11"/>
      <c r="C6" s="11"/>
      <c r="D6" s="11"/>
      <c r="E6" s="11"/>
      <c r="F6" s="11"/>
      <c r="G6" s="11"/>
      <c r="H6" s="11"/>
      <c r="I6" s="11"/>
      <c r="J6" s="11"/>
      <c r="K6" s="25"/>
    </row>
    <row r="7" spans="1:11" x14ac:dyDescent="0.25">
      <c r="A7" s="11"/>
      <c r="B7" s="11"/>
      <c r="C7" s="11"/>
      <c r="D7" s="11"/>
      <c r="E7" s="11"/>
      <c r="F7" s="11"/>
      <c r="G7" s="11"/>
      <c r="H7" s="11"/>
      <c r="I7" s="11"/>
      <c r="J7" s="11"/>
      <c r="K7" s="25"/>
    </row>
    <row r="8" spans="1:11" x14ac:dyDescent="0.25">
      <c r="A8" s="11"/>
      <c r="B8" s="11"/>
      <c r="C8" s="11"/>
      <c r="D8" s="11"/>
      <c r="E8" s="11"/>
      <c r="F8" s="11"/>
      <c r="G8" s="11"/>
      <c r="H8" s="11"/>
      <c r="I8" s="11"/>
      <c r="J8" s="11"/>
      <c r="K8" s="25"/>
    </row>
    <row r="9" spans="1:11" x14ac:dyDescent="0.25">
      <c r="A9" s="11"/>
      <c r="B9" s="11"/>
      <c r="C9" s="11"/>
      <c r="D9" s="11"/>
      <c r="E9" s="11"/>
      <c r="F9" s="11"/>
      <c r="G9" s="11"/>
      <c r="H9" s="11"/>
      <c r="I9" s="11"/>
      <c r="J9" s="11"/>
      <c r="K9" s="25"/>
    </row>
    <row r="10" spans="1:11" x14ac:dyDescent="0.25">
      <c r="A10" s="11"/>
      <c r="B10" s="11"/>
      <c r="C10" s="11"/>
      <c r="D10" s="11"/>
      <c r="E10" s="11"/>
      <c r="F10" s="11"/>
      <c r="G10" s="11"/>
      <c r="H10" s="11"/>
      <c r="I10" s="11"/>
      <c r="J10" s="11"/>
      <c r="K10" s="25"/>
    </row>
    <row r="11" spans="1:11" x14ac:dyDescent="0.25">
      <c r="A11" s="11"/>
      <c r="B11" s="11"/>
      <c r="C11" s="11"/>
      <c r="D11" s="11"/>
      <c r="E11" s="11"/>
      <c r="F11" s="11"/>
      <c r="G11" s="11"/>
      <c r="H11" s="11"/>
      <c r="I11" s="11"/>
      <c r="J11" s="11"/>
      <c r="K11" s="25"/>
    </row>
    <row r="12" spans="1:11" x14ac:dyDescent="0.25">
      <c r="A12" s="11"/>
      <c r="B12" s="11"/>
      <c r="C12" s="11"/>
      <c r="D12" s="11"/>
      <c r="E12" s="11"/>
      <c r="F12" s="11"/>
      <c r="G12" s="11"/>
      <c r="H12" s="11"/>
      <c r="I12" s="11"/>
      <c r="J12" s="11"/>
      <c r="K12" s="25"/>
    </row>
    <row r="13" spans="1:11" x14ac:dyDescent="0.25">
      <c r="A13" s="11"/>
      <c r="B13" s="11"/>
      <c r="C13" s="11"/>
      <c r="D13" s="11"/>
      <c r="E13" s="11"/>
      <c r="F13" s="11"/>
      <c r="G13" s="11"/>
      <c r="H13" s="11"/>
      <c r="I13" s="11"/>
      <c r="J13" s="11"/>
      <c r="K13" s="25"/>
    </row>
    <row r="14" spans="1:11" x14ac:dyDescent="0.25">
      <c r="A14" s="11"/>
      <c r="B14" s="11"/>
      <c r="C14" s="11"/>
      <c r="D14" s="11"/>
      <c r="E14" s="11"/>
      <c r="F14" s="11"/>
      <c r="G14" s="11"/>
      <c r="H14" s="11"/>
      <c r="I14" s="11"/>
      <c r="J14" s="11"/>
      <c r="K14" s="25"/>
    </row>
    <row r="15" spans="1:11" x14ac:dyDescent="0.25">
      <c r="A15" s="11"/>
      <c r="B15" s="11"/>
      <c r="C15" s="11"/>
      <c r="D15" s="11"/>
      <c r="E15" s="11"/>
      <c r="F15" s="11"/>
      <c r="G15" s="11"/>
      <c r="H15" s="11"/>
      <c r="I15" s="11"/>
      <c r="J15" s="11"/>
      <c r="K15" s="25"/>
    </row>
    <row r="16" spans="1:11" x14ac:dyDescent="0.25">
      <c r="A16" s="11"/>
      <c r="B16" s="11"/>
      <c r="C16" s="11"/>
      <c r="D16" s="11"/>
      <c r="E16" s="11"/>
      <c r="F16" s="11"/>
      <c r="G16" s="11"/>
      <c r="H16" s="11"/>
      <c r="I16" s="11"/>
      <c r="J16" s="11"/>
      <c r="K16" s="25"/>
    </row>
    <row r="17" spans="1:11" x14ac:dyDescent="0.25">
      <c r="A17" s="11"/>
      <c r="B17" s="11"/>
      <c r="C17" s="11"/>
      <c r="D17" s="11"/>
      <c r="E17" s="11"/>
      <c r="F17" s="11"/>
      <c r="G17" s="11"/>
      <c r="H17" s="11"/>
      <c r="I17" s="11"/>
      <c r="J17" s="11"/>
      <c r="K17" s="25"/>
    </row>
    <row r="18" spans="1:11" x14ac:dyDescent="0.25">
      <c r="A18" s="11"/>
      <c r="B18" s="11"/>
      <c r="C18" s="11"/>
      <c r="D18" s="11"/>
      <c r="E18" s="11"/>
      <c r="F18" s="11"/>
      <c r="G18" s="11"/>
      <c r="H18" s="11"/>
      <c r="I18" s="11"/>
      <c r="J18" s="11"/>
      <c r="K18" s="25"/>
    </row>
    <row r="19" spans="1:11" x14ac:dyDescent="0.25">
      <c r="A19" s="11"/>
      <c r="B19" s="11"/>
      <c r="C19" s="11"/>
      <c r="D19" s="11"/>
      <c r="E19" s="11"/>
      <c r="F19" s="11"/>
      <c r="G19" s="11"/>
      <c r="H19" s="11"/>
      <c r="I19" s="11"/>
      <c r="J19" s="11"/>
      <c r="K19" s="25"/>
    </row>
    <row r="20" spans="1:11" x14ac:dyDescent="0.25">
      <c r="A20" s="11"/>
      <c r="B20" s="11"/>
      <c r="C20" s="11"/>
      <c r="D20" s="11"/>
      <c r="E20" s="11"/>
      <c r="F20" s="11"/>
      <c r="G20" s="11"/>
      <c r="H20" s="11"/>
      <c r="I20" s="11"/>
      <c r="J20" s="11"/>
      <c r="K20" s="25"/>
    </row>
    <row r="21" spans="1:11" x14ac:dyDescent="0.25">
      <c r="A21" s="11"/>
      <c r="B21" s="11"/>
      <c r="C21" s="11"/>
      <c r="D21" s="11"/>
      <c r="E21" s="11"/>
      <c r="F21" s="11"/>
      <c r="G21" s="11"/>
      <c r="H21" s="11"/>
      <c r="I21" s="11"/>
      <c r="J21" s="11"/>
      <c r="K21" s="25"/>
    </row>
    <row r="22" spans="1:11" x14ac:dyDescent="0.25">
      <c r="A22" s="12" t="s">
        <v>16</v>
      </c>
      <c r="B22" s="11"/>
      <c r="C22" s="11"/>
      <c r="D22" s="11"/>
      <c r="E22" s="11"/>
      <c r="F22" s="11"/>
      <c r="G22" s="11"/>
      <c r="H22" s="11"/>
      <c r="I22" s="11"/>
      <c r="J22" s="11"/>
      <c r="K22" s="25"/>
    </row>
    <row r="23" spans="1:11" x14ac:dyDescent="0.25">
      <c r="A23" s="37"/>
      <c r="B23" s="25"/>
      <c r="C23" s="25"/>
      <c r="D23" s="25"/>
      <c r="E23" s="25"/>
      <c r="F23" s="25"/>
      <c r="G23" s="25"/>
      <c r="H23" s="25"/>
      <c r="I23" s="25"/>
      <c r="J23" s="25"/>
      <c r="K23" s="25"/>
    </row>
    <row r="24" spans="1:11" x14ac:dyDescent="0.25">
      <c r="A24" s="25"/>
      <c r="B24" s="25"/>
      <c r="C24" s="25"/>
      <c r="D24" s="25"/>
      <c r="E24" s="25"/>
      <c r="F24" s="25"/>
      <c r="G24" s="25"/>
      <c r="H24" s="25"/>
      <c r="I24" s="25"/>
      <c r="J24" s="25"/>
      <c r="K24" s="25"/>
    </row>
    <row r="25" spans="1:11" x14ac:dyDescent="0.25">
      <c r="A25" s="25"/>
      <c r="B25" s="25"/>
      <c r="C25" s="25"/>
      <c r="D25" s="25"/>
      <c r="E25" s="25"/>
      <c r="F25" s="25"/>
      <c r="G25" s="25"/>
      <c r="H25" s="25"/>
      <c r="I25" s="25"/>
      <c r="J25" s="25"/>
      <c r="K25" s="25"/>
    </row>
    <row r="26" spans="1:11" x14ac:dyDescent="0.25">
      <c r="A26" s="24"/>
      <c r="B26" s="24"/>
      <c r="C26" s="24"/>
      <c r="D26" s="24"/>
      <c r="E26" s="24"/>
      <c r="F26" s="24"/>
      <c r="G26" s="24"/>
      <c r="H26" s="24"/>
      <c r="I26" s="24"/>
      <c r="J26" s="24"/>
    </row>
    <row r="27" spans="1:11" x14ac:dyDescent="0.25">
      <c r="A27" s="24"/>
      <c r="B27" s="24"/>
      <c r="C27" s="24"/>
      <c r="D27" s="24"/>
      <c r="E27" s="24"/>
      <c r="F27" s="24"/>
      <c r="G27" s="24"/>
      <c r="H27" s="24"/>
      <c r="I27" s="24"/>
      <c r="J27" s="24"/>
    </row>
    <row r="28" spans="1:11" x14ac:dyDescent="0.25">
      <c r="A28" s="24"/>
      <c r="B28" s="24"/>
      <c r="C28" s="24"/>
      <c r="D28" s="24"/>
      <c r="E28" s="24"/>
      <c r="F28" s="24"/>
      <c r="G28" s="24"/>
      <c r="H28" s="24"/>
      <c r="I28" s="24"/>
      <c r="J28" s="24"/>
    </row>
  </sheetData>
  <phoneticPr fontId="3" type="noConversion"/>
  <pageMargins left="0.75" right="0.75" top="1" bottom="1" header="0.5" footer="0.5"/>
  <pageSetup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DB barges vs UL NO barges</vt:lpstr>
    </vt:vector>
  </TitlesOfParts>
  <Company>USDA - AMS TM</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Government User</dc:creator>
  <cp:lastModifiedBy>April</cp:lastModifiedBy>
  <cp:lastPrinted>2013-12-10T11:54:07Z</cp:lastPrinted>
  <dcterms:created xsi:type="dcterms:W3CDTF">2006-06-12T19:05:10Z</dcterms:created>
  <dcterms:modified xsi:type="dcterms:W3CDTF">2014-04-08T14:50:32Z</dcterms:modified>
</cp:coreProperties>
</file>