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20" windowHeight="8520" activeTab="1"/>
  </bookViews>
  <sheets>
    <sheet name="Team Offense" sheetId="1" r:id="rId1"/>
    <sheet name="Indy. Off." sheetId="3" r:id="rId2"/>
    <sheet name="Team Defense" sheetId="2" r:id="rId3"/>
    <sheet name="Indy. Def." sheetId="4" r:id="rId4"/>
  </sheets>
  <definedNames>
    <definedName name="_xlnm._FilterDatabase" localSheetId="3" hidden="1">'Indy. Def.'!$C$1:$O$176</definedName>
    <definedName name="_xlnm._FilterDatabase" localSheetId="1" hidden="1">'Indy. Off.'!$A$13:$G$13</definedName>
  </definedNames>
  <calcPr calcId="125725"/>
</workbook>
</file>

<file path=xl/calcChain.xml><?xml version="1.0" encoding="utf-8"?>
<calcChain xmlns="http://schemas.openxmlformats.org/spreadsheetml/2006/main">
  <c r="D170" i="4"/>
  <c r="E170"/>
  <c r="F170"/>
  <c r="G170"/>
  <c r="I170"/>
  <c r="J170"/>
  <c r="K170"/>
  <c r="D155"/>
  <c r="E155"/>
  <c r="F155"/>
  <c r="G155"/>
  <c r="H155"/>
  <c r="J155"/>
  <c r="K155"/>
  <c r="H141"/>
  <c r="G141"/>
  <c r="F141"/>
  <c r="E141"/>
  <c r="D141"/>
  <c r="D126" l="1"/>
  <c r="E126"/>
  <c r="F126"/>
  <c r="G126"/>
  <c r="H126"/>
  <c r="J126"/>
  <c r="D110"/>
  <c r="E110"/>
  <c r="F110"/>
  <c r="G110"/>
  <c r="I110"/>
  <c r="K110"/>
  <c r="D26"/>
  <c r="E26"/>
  <c r="G26"/>
  <c r="H26"/>
  <c r="I26"/>
  <c r="J26"/>
  <c r="K26"/>
  <c r="G95"/>
  <c r="I95"/>
  <c r="K95"/>
  <c r="D95"/>
  <c r="E95"/>
  <c r="F95"/>
  <c r="D74"/>
  <c r="E74"/>
  <c r="F61"/>
  <c r="D58"/>
  <c r="E58"/>
  <c r="G58"/>
  <c r="H58"/>
  <c r="J58"/>
  <c r="K58"/>
  <c r="D42"/>
  <c r="E42"/>
  <c r="G42"/>
  <c r="H42"/>
  <c r="F45"/>
  <c r="F58" s="1"/>
  <c r="F41"/>
  <c r="F40"/>
  <c r="F39"/>
  <c r="F38"/>
  <c r="F37"/>
  <c r="F36"/>
  <c r="F35"/>
  <c r="F34"/>
  <c r="F33"/>
  <c r="F32"/>
  <c r="F30"/>
  <c r="F29"/>
  <c r="F4"/>
  <c r="F6"/>
  <c r="F10"/>
  <c r="F11"/>
  <c r="F12"/>
  <c r="F13"/>
  <c r="F16"/>
  <c r="F18"/>
  <c r="F20"/>
  <c r="F21"/>
  <c r="F23"/>
  <c r="F24"/>
  <c r="F26" l="1"/>
  <c r="F74"/>
  <c r="F42"/>
</calcChain>
</file>

<file path=xl/comments1.xml><?xml version="1.0" encoding="utf-8"?>
<comments xmlns="http://schemas.openxmlformats.org/spreadsheetml/2006/main">
  <authors>
    <author>Tim Klingbeil</author>
  </authors>
  <commentList>
    <comment ref="N3" authorId="0">
      <text>
        <r>
          <rPr>
            <b/>
            <sz val="8"/>
            <color indexed="81"/>
            <rFont val="Tahoma"/>
            <family val="2"/>
          </rPr>
          <t>Tim Klingbeil:</t>
        </r>
        <r>
          <rPr>
            <sz val="8"/>
            <color indexed="81"/>
            <rFont val="Tahoma"/>
            <family val="2"/>
          </rPr>
          <t xml:space="preserve">
- Solo = 2 Pts
- Asst = 1 Pt
- Sack = 2 Pts
- FF/BK/BP = 2 Pts
- FR = 2 pts
- INT = 2 Pts
- Saftey = 3 Pts
- TD = 5 Pts</t>
        </r>
      </text>
    </comment>
  </commentList>
</comments>
</file>

<file path=xl/sharedStrings.xml><?xml version="1.0" encoding="utf-8"?>
<sst xmlns="http://schemas.openxmlformats.org/spreadsheetml/2006/main" count="1315" uniqueCount="237">
  <si>
    <t>Rushing Attempts</t>
  </si>
  <si>
    <t>Passing Attempts</t>
  </si>
  <si>
    <t>Rushing Yards</t>
  </si>
  <si>
    <t>Rushing TD's</t>
  </si>
  <si>
    <t>Passing Yards</t>
  </si>
  <si>
    <t>Passing TD's</t>
  </si>
  <si>
    <t>Passing Completions</t>
  </si>
  <si>
    <t>Passing Interceptions</t>
  </si>
  <si>
    <t>1st Downs</t>
  </si>
  <si>
    <t>Total Offense</t>
  </si>
  <si>
    <t>Points</t>
  </si>
  <si>
    <t>Rushing Average Per Play</t>
  </si>
  <si>
    <t>Team Stats (Offense) Total</t>
  </si>
  <si>
    <t>Team Stats (Offense) Per Game</t>
  </si>
  <si>
    <t>Rushing Attempts Per Game</t>
  </si>
  <si>
    <t>Rushing Yards Per Game</t>
  </si>
  <si>
    <t>Rushing TD's Per Game</t>
  </si>
  <si>
    <t>Passing Attempts Per Game</t>
  </si>
  <si>
    <t>Passing Completions Per Game</t>
  </si>
  <si>
    <t>Passing Yards Per Game</t>
  </si>
  <si>
    <t>Passing TD's Per Game</t>
  </si>
  <si>
    <t>1st Downs Per Game</t>
  </si>
  <si>
    <t>Average Points Per Game</t>
  </si>
  <si>
    <t>Defense</t>
  </si>
  <si>
    <t>Team Stats (Defense) Total</t>
  </si>
  <si>
    <t>Team Stats (Defense) Per Game</t>
  </si>
  <si>
    <t>Team Offense</t>
  </si>
  <si>
    <t>1st Downs Allowed</t>
  </si>
  <si>
    <t>Points Allowed</t>
  </si>
  <si>
    <t>Total Offense Allowed</t>
  </si>
  <si>
    <t>Interceptions</t>
  </si>
  <si>
    <t>Rushing</t>
  </si>
  <si>
    <t>Name</t>
  </si>
  <si>
    <t>Att.</t>
  </si>
  <si>
    <t>Yards</t>
  </si>
  <si>
    <t>TD</t>
  </si>
  <si>
    <t>Long</t>
  </si>
  <si>
    <t>Passing</t>
  </si>
  <si>
    <t>Pct.</t>
  </si>
  <si>
    <t>INT</t>
  </si>
  <si>
    <t>LONG</t>
  </si>
  <si>
    <t>Receiving</t>
  </si>
  <si>
    <t>Rec.</t>
  </si>
  <si>
    <t>Avg. Rec</t>
  </si>
  <si>
    <t>Individual Offense</t>
  </si>
  <si>
    <t>Att/Cop</t>
  </si>
  <si>
    <t>Solo Tackles</t>
  </si>
  <si>
    <t>Asst. Tackles</t>
  </si>
  <si>
    <t>Total Tackles</t>
  </si>
  <si>
    <t>Sacks</t>
  </si>
  <si>
    <t>FF</t>
  </si>
  <si>
    <t>FR</t>
  </si>
  <si>
    <t>Individual Defense</t>
  </si>
  <si>
    <t>Avg. Car</t>
  </si>
  <si>
    <t>Game(s)</t>
  </si>
  <si>
    <t>Rec. Yds</t>
  </si>
  <si>
    <t>Rush Yds</t>
  </si>
  <si>
    <t>Pass Yds</t>
  </si>
  <si>
    <t>Total</t>
  </si>
  <si>
    <t xml:space="preserve">RUSHING Totals </t>
  </si>
  <si>
    <t xml:space="preserve">PASSING Totals </t>
  </si>
  <si>
    <t xml:space="preserve">CONVERSION Totals </t>
  </si>
  <si>
    <t xml:space="preserve">TOTAL OFFENSE </t>
  </si>
  <si>
    <t>Season Games</t>
  </si>
  <si>
    <t>Fumbles Lost</t>
  </si>
  <si>
    <t>Fumbles Recovered</t>
  </si>
  <si>
    <t>PASSING Totals</t>
  </si>
  <si>
    <t>CONVERSION Totals</t>
  </si>
  <si>
    <t>TOTAL OFFENSE</t>
  </si>
  <si>
    <t>RUSHING Averages</t>
  </si>
  <si>
    <t>CONVERSION Averages</t>
  </si>
  <si>
    <t>TOTAL OFFENSE Averages</t>
  </si>
  <si>
    <t>Interceptions Per Game</t>
  </si>
  <si>
    <t>PASSING Averages</t>
  </si>
  <si>
    <t>Avg.</t>
  </si>
  <si>
    <t>TFL</t>
  </si>
  <si>
    <t>T-Points</t>
  </si>
  <si>
    <t>BK/P</t>
  </si>
  <si>
    <t>Redbird Football 2011 Statistics</t>
  </si>
  <si>
    <t>Kyle</t>
  </si>
  <si>
    <t>Sonnenburg*</t>
  </si>
  <si>
    <t>#3</t>
  </si>
  <si>
    <t>Mason</t>
  </si>
  <si>
    <t>Brownlee</t>
  </si>
  <si>
    <t>#4</t>
  </si>
  <si>
    <t>Jeff</t>
  </si>
  <si>
    <t>Tiede*</t>
  </si>
  <si>
    <t>#5</t>
  </si>
  <si>
    <t>Dalton</t>
  </si>
  <si>
    <t>Zeug</t>
  </si>
  <si>
    <t>#7</t>
  </si>
  <si>
    <t>Alex</t>
  </si>
  <si>
    <t>Turgeon</t>
  </si>
  <si>
    <t>#8</t>
  </si>
  <si>
    <t>Nate</t>
  </si>
  <si>
    <t>Kotek</t>
  </si>
  <si>
    <t>#14</t>
  </si>
  <si>
    <t>Mitch</t>
  </si>
  <si>
    <t>Dooley</t>
  </si>
  <si>
    <t>#21</t>
  </si>
  <si>
    <t>John</t>
  </si>
  <si>
    <t>Hanek</t>
  </si>
  <si>
    <t>#22</t>
  </si>
  <si>
    <t>Tad</t>
  </si>
  <si>
    <t>Stasney</t>
  </si>
  <si>
    <t>#26</t>
  </si>
  <si>
    <t>Matt</t>
  </si>
  <si>
    <t>Ellingsworth</t>
  </si>
  <si>
    <t>#30</t>
  </si>
  <si>
    <t>Greg</t>
  </si>
  <si>
    <t>Rynda*</t>
  </si>
  <si>
    <t>#31</t>
  </si>
  <si>
    <t>Holicky</t>
  </si>
  <si>
    <t>#42</t>
  </si>
  <si>
    <t>Joey</t>
  </si>
  <si>
    <t>Kalina</t>
  </si>
  <si>
    <t>#50</t>
  </si>
  <si>
    <t>Cody</t>
  </si>
  <si>
    <t>Sabin</t>
  </si>
  <si>
    <t>#51</t>
  </si>
  <si>
    <t>Ryan</t>
  </si>
  <si>
    <t>Iverson</t>
  </si>
  <si>
    <t>#52</t>
  </si>
  <si>
    <t>Dillon</t>
  </si>
  <si>
    <t>Braith</t>
  </si>
  <si>
    <t>#55</t>
  </si>
  <si>
    <t>Hubert</t>
  </si>
  <si>
    <t>#56</t>
  </si>
  <si>
    <t>Robbie</t>
  </si>
  <si>
    <t>D'Amato*</t>
  </si>
  <si>
    <t>#61</t>
  </si>
  <si>
    <t>Rynda</t>
  </si>
  <si>
    <t>#62</t>
  </si>
  <si>
    <t>Jared</t>
  </si>
  <si>
    <t>#65</t>
  </si>
  <si>
    <t>Justin</t>
  </si>
  <si>
    <t>Bastyr</t>
  </si>
  <si>
    <t>#72</t>
  </si>
  <si>
    <t>Jordan</t>
  </si>
  <si>
    <t>Yetzer</t>
  </si>
  <si>
    <t>#87</t>
  </si>
  <si>
    <t>#</t>
  </si>
  <si>
    <t>First</t>
  </si>
  <si>
    <t>Last</t>
  </si>
  <si>
    <t>Week 1 vs. Medford (L 26-14)</t>
  </si>
  <si>
    <t>Forward Passing</t>
  </si>
  <si>
    <t>Week 8 vs. Watertown-Mayer</t>
  </si>
  <si>
    <t>3rd Down Conversion Rate</t>
  </si>
  <si>
    <t>4th Down Conversion Rate</t>
  </si>
  <si>
    <t>#26 T. Stasney</t>
  </si>
  <si>
    <t>#7 D. Zeug</t>
  </si>
  <si>
    <t>#3 K. Sonngnburg</t>
  </si>
  <si>
    <t>#22 J. Hanek</t>
  </si>
  <si>
    <t>#5 J. Tiede</t>
  </si>
  <si>
    <t>#30 K. Ellingsworth</t>
  </si>
  <si>
    <t>#3 K. Sommenburg</t>
  </si>
  <si>
    <t>#87 J. Yetzer</t>
  </si>
  <si>
    <t>2/10</t>
  </si>
  <si>
    <t>#3. K. Sonnenburg</t>
  </si>
  <si>
    <t>1/2</t>
  </si>
  <si>
    <t>#3 K. Sonnenburg</t>
  </si>
  <si>
    <t>#52 R. Iverson</t>
  </si>
  <si>
    <t>#8 A. Turgeon</t>
  </si>
  <si>
    <t>#10 D. Trnka</t>
  </si>
  <si>
    <t>Week 2 vs. Jordan (W 10-7)</t>
  </si>
  <si>
    <t>Week 1 vs. Medford (L-26-14)</t>
  </si>
  <si>
    <t>Week 2 vs. Jordan ( W 10-7)</t>
  </si>
  <si>
    <t>Team</t>
  </si>
  <si>
    <t>5/9</t>
  </si>
  <si>
    <t>Week 3 vs. Belle Plaine (W 5-0)</t>
  </si>
  <si>
    <t>#4 J. Tiede</t>
  </si>
  <si>
    <t>#4 M. Brownlee</t>
  </si>
  <si>
    <t>#33 J. Hanek</t>
  </si>
  <si>
    <t>#10 D. Zeug</t>
  </si>
  <si>
    <t>9/13</t>
  </si>
  <si>
    <t>#4. M. Brownlee</t>
  </si>
  <si>
    <t>Joe</t>
  </si>
  <si>
    <t>Week 4 vs. NWYA (L 42-13)</t>
  </si>
  <si>
    <t>#7 Dalton Zeug</t>
  </si>
  <si>
    <t>#5 Jeff Tiede</t>
  </si>
  <si>
    <t>#22 John Hanek</t>
  </si>
  <si>
    <t>#53 Ryan Iverson</t>
  </si>
  <si>
    <t>17/27</t>
  </si>
  <si>
    <t>#3 Kyle Sonnenburg</t>
  </si>
  <si>
    <t>#8 Alex Turgeon</t>
  </si>
  <si>
    <t>#14 Nate Kotek</t>
  </si>
  <si>
    <t>#4 Mason Brownlee</t>
  </si>
  <si>
    <t>#31 Greg Rynda</t>
  </si>
  <si>
    <t>#26 Tad Stasney</t>
  </si>
  <si>
    <t>4/4</t>
  </si>
  <si>
    <t>5/20</t>
  </si>
  <si>
    <t>#10 Derick Trnka</t>
  </si>
  <si>
    <t>Week 5 vs. Mayer Lutheran (L 16-29)</t>
  </si>
  <si>
    <t>Week 4 vs. NWYA (L 13-42)</t>
  </si>
  <si>
    <t>#14 N. Kotek</t>
  </si>
  <si>
    <t>#31 G. Rynda</t>
  </si>
  <si>
    <t>NWYA (L 42-13)</t>
  </si>
  <si>
    <t>Mayer Lutheran (L 29-16)</t>
  </si>
  <si>
    <t>Week 6 vs. Le Sueur-Henderson (L 0-22)</t>
  </si>
  <si>
    <t>Le Sueur-Henderson (L 22-0)</t>
  </si>
  <si>
    <t>9/22</t>
  </si>
  <si>
    <t>Week 4 vs. NWYA (L 43-13)</t>
  </si>
  <si>
    <t>Week 5 vs. Mayer Lutheran (L 29-16)</t>
  </si>
  <si>
    <t>Week 6 vs. Le Sueur-Henderson (L 22-0)</t>
  </si>
  <si>
    <t>Week 7 vs. Sibley East (L 21-28)</t>
  </si>
  <si>
    <t>Sibley East (L 28-21)</t>
  </si>
  <si>
    <t>12/21</t>
  </si>
  <si>
    <t>0/1</t>
  </si>
  <si>
    <t>#87 Jordan Yetzer</t>
  </si>
  <si>
    <t>1/3</t>
  </si>
  <si>
    <t>Week 8 vs. Watertown-Mayer (L 12-20)</t>
  </si>
  <si>
    <t>#5 Kyle Sonnenburg</t>
  </si>
  <si>
    <t>1/1</t>
  </si>
  <si>
    <t>8/21</t>
  </si>
  <si>
    <t>5/5</t>
  </si>
  <si>
    <t>Week 8 vs. Watertown-Mayer (12-20)</t>
  </si>
  <si>
    <t>Watertown-Mayer (L 12-20)</t>
  </si>
  <si>
    <t>Triton</t>
  </si>
  <si>
    <t>Playoffs Section Qtr's vs. Triton</t>
  </si>
  <si>
    <t>Triton (L 14-33)</t>
  </si>
  <si>
    <t>1st Downs Allowed Per Game</t>
  </si>
  <si>
    <t>Points Allowed Per Game</t>
  </si>
  <si>
    <t>Total Off. Allowed Per Game</t>
  </si>
  <si>
    <t>RUSHING Totals ( 9 Games)</t>
  </si>
  <si>
    <t>PASSING Totals (9 Games)</t>
  </si>
  <si>
    <t>CONVERSION Totals (9 Games)</t>
  </si>
  <si>
    <t>TOTAL OFFENSE (9 Games)</t>
  </si>
  <si>
    <t>38/98 38%</t>
  </si>
  <si>
    <t>6/18  33%</t>
  </si>
  <si>
    <t>RUSHING Averages (9 Games)</t>
  </si>
  <si>
    <t>PASSING Averages (9 Games)</t>
  </si>
  <si>
    <t>CONVERSION Averages (9 Games)</t>
  </si>
  <si>
    <t>Average Total Off. Per Game</t>
  </si>
  <si>
    <t>TOTAL OFFENSE Averages (9 Games)</t>
  </si>
  <si>
    <t>5/22</t>
  </si>
  <si>
    <t>#5 Mason Brownlee</t>
  </si>
  <si>
    <t>72/159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</si>
</sst>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5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5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C000"/>
      <name val="Calibri"/>
      <family val="2"/>
      <scheme val="minor"/>
    </font>
    <font>
      <b/>
      <sz val="13"/>
      <color rgb="FFFFFF0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330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3"/>
      <color theme="0" tint="-4.9989318521683403E-2"/>
      <name val="Calibri"/>
      <family val="2"/>
      <scheme val="minor"/>
    </font>
    <font>
      <b/>
      <sz val="13"/>
      <color theme="0" tint="-0.24997711111789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66FF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6">
    <xf numFmtId="0" fontId="0" fillId="0" borderId="0" xfId="0"/>
    <xf numFmtId="0" fontId="0" fillId="4" borderId="1" xfId="0" applyFill="1" applyBorder="1"/>
    <xf numFmtId="0" fontId="0" fillId="4" borderId="17" xfId="0" applyFill="1" applyBorder="1"/>
    <xf numFmtId="0" fontId="0" fillId="4" borderId="19" xfId="0" applyFill="1" applyBorder="1"/>
    <xf numFmtId="0" fontId="0" fillId="4" borderId="18" xfId="0" applyFill="1" applyBorder="1"/>
    <xf numFmtId="0" fontId="0" fillId="4" borderId="15" xfId="0" applyFill="1" applyBorder="1"/>
    <xf numFmtId="0" fontId="5" fillId="0" borderId="21" xfId="0" applyFont="1" applyBorder="1"/>
    <xf numFmtId="0" fontId="5" fillId="0" borderId="23" xfId="0" applyFont="1" applyBorder="1"/>
    <xf numFmtId="0" fontId="5" fillId="0" borderId="25" xfId="0" applyFont="1" applyBorder="1"/>
    <xf numFmtId="0" fontId="5" fillId="0" borderId="27" xfId="0" applyFont="1" applyBorder="1"/>
    <xf numFmtId="0" fontId="0" fillId="0" borderId="23" xfId="0" applyBorder="1"/>
    <xf numFmtId="0" fontId="0" fillId="0" borderId="29" xfId="0" applyBorder="1"/>
    <xf numFmtId="0" fontId="0" fillId="0" borderId="25" xfId="0" applyBorder="1"/>
    <xf numFmtId="0" fontId="1" fillId="2" borderId="1" xfId="0" applyFont="1" applyFill="1" applyBorder="1"/>
    <xf numFmtId="0" fontId="1" fillId="2" borderId="38" xfId="0" applyFont="1" applyFill="1" applyBorder="1"/>
    <xf numFmtId="0" fontId="8" fillId="2" borderId="38" xfId="0" applyFont="1" applyFill="1" applyBorder="1"/>
    <xf numFmtId="0" fontId="0" fillId="4" borderId="26" xfId="0" applyFill="1" applyBorder="1"/>
    <xf numFmtId="0" fontId="1" fillId="2" borderId="19" xfId="0" applyFont="1" applyFill="1" applyBorder="1"/>
    <xf numFmtId="0" fontId="0" fillId="4" borderId="12" xfId="0" applyFill="1" applyBorder="1"/>
    <xf numFmtId="0" fontId="1" fillId="0" borderId="9" xfId="0" applyFont="1" applyBorder="1"/>
    <xf numFmtId="0" fontId="1" fillId="0" borderId="13" xfId="0" applyFont="1" applyBorder="1"/>
    <xf numFmtId="49" fontId="1" fillId="0" borderId="13" xfId="0" applyNumberFormat="1" applyFont="1" applyBorder="1" applyAlignment="1">
      <alignment horizontal="right"/>
    </xf>
    <xf numFmtId="9" fontId="1" fillId="0" borderId="13" xfId="0" applyNumberFormat="1" applyFont="1" applyBorder="1"/>
    <xf numFmtId="2" fontId="1" fillId="0" borderId="26" xfId="0" applyNumberFormat="1" applyFont="1" applyBorder="1"/>
    <xf numFmtId="2" fontId="1" fillId="0" borderId="24" xfId="0" applyNumberFormat="1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24" xfId="0" applyFont="1" applyBorder="1"/>
    <xf numFmtId="0" fontId="1" fillId="4" borderId="19" xfId="0" applyFont="1" applyFill="1" applyBorder="1"/>
    <xf numFmtId="0" fontId="0" fillId="4" borderId="34" xfId="0" applyFill="1" applyBorder="1"/>
    <xf numFmtId="0" fontId="0" fillId="4" borderId="9" xfId="0" applyFill="1" applyBorder="1"/>
    <xf numFmtId="0" fontId="0" fillId="4" borderId="24" xfId="0" applyFill="1" applyBorder="1"/>
    <xf numFmtId="0" fontId="0" fillId="4" borderId="2" xfId="0" applyFill="1" applyBorder="1"/>
    <xf numFmtId="0" fontId="0" fillId="4" borderId="23" xfId="0" applyFill="1" applyBorder="1"/>
    <xf numFmtId="0" fontId="0" fillId="4" borderId="3" xfId="0" applyFill="1" applyBorder="1"/>
    <xf numFmtId="0" fontId="0" fillId="4" borderId="25" xfId="0" applyFill="1" applyBorder="1"/>
    <xf numFmtId="0" fontId="1" fillId="4" borderId="1" xfId="0" applyFont="1" applyFill="1" applyBorder="1"/>
    <xf numFmtId="0" fontId="0" fillId="4" borderId="5" xfId="0" applyFill="1" applyBorder="1"/>
    <xf numFmtId="0" fontId="0" fillId="4" borderId="42" xfId="0" applyFill="1" applyBorder="1"/>
    <xf numFmtId="0" fontId="1" fillId="4" borderId="0" xfId="0" applyFont="1" applyFill="1" applyBorder="1"/>
    <xf numFmtId="0" fontId="0" fillId="4" borderId="22" xfId="0" applyFill="1" applyBorder="1"/>
    <xf numFmtId="0" fontId="1" fillId="0" borderId="44" xfId="0" applyFont="1" applyBorder="1"/>
    <xf numFmtId="2" fontId="1" fillId="0" borderId="45" xfId="0" applyNumberFormat="1" applyFont="1" applyBorder="1"/>
    <xf numFmtId="0" fontId="1" fillId="0" borderId="12" xfId="0" applyFont="1" applyBorder="1"/>
    <xf numFmtId="49" fontId="1" fillId="0" borderId="33" xfId="0" applyNumberFormat="1" applyFont="1" applyBorder="1" applyAlignment="1">
      <alignment horizontal="right"/>
    </xf>
    <xf numFmtId="0" fontId="1" fillId="2" borderId="2" xfId="0" applyFont="1" applyFill="1" applyBorder="1"/>
    <xf numFmtId="0" fontId="0" fillId="4" borderId="0" xfId="0" applyFill="1" applyBorder="1"/>
    <xf numFmtId="0" fontId="0" fillId="4" borderId="11" xfId="0" applyFill="1" applyBorder="1"/>
    <xf numFmtId="9" fontId="1" fillId="0" borderId="9" xfId="0" applyNumberFormat="1" applyFont="1" applyBorder="1"/>
    <xf numFmtId="0" fontId="0" fillId="4" borderId="46" xfId="0" applyFill="1" applyBorder="1"/>
    <xf numFmtId="0" fontId="0" fillId="4" borderId="41" xfId="0" applyFill="1" applyBorder="1"/>
    <xf numFmtId="0" fontId="0" fillId="4" borderId="6" xfId="0" applyFill="1" applyBorder="1"/>
    <xf numFmtId="0" fontId="0" fillId="4" borderId="7" xfId="0" applyFill="1" applyBorder="1"/>
    <xf numFmtId="2" fontId="1" fillId="0" borderId="10" xfId="0" applyNumberFormat="1" applyFont="1" applyBorder="1"/>
    <xf numFmtId="2" fontId="1" fillId="0" borderId="20" xfId="0" applyNumberFormat="1" applyFont="1" applyBorder="1"/>
    <xf numFmtId="0" fontId="1" fillId="0" borderId="10" xfId="0" applyFont="1" applyBorder="1"/>
    <xf numFmtId="0" fontId="0" fillId="4" borderId="47" xfId="0" applyFill="1" applyBorder="1"/>
    <xf numFmtId="49" fontId="1" fillId="0" borderId="9" xfId="0" applyNumberFormat="1" applyFont="1" applyBorder="1" applyAlignment="1">
      <alignment horizontal="right"/>
    </xf>
    <xf numFmtId="9" fontId="1" fillId="0" borderId="33" xfId="0" applyNumberFormat="1" applyFont="1" applyBorder="1"/>
    <xf numFmtId="0" fontId="14" fillId="0" borderId="23" xfId="0" applyFont="1" applyBorder="1"/>
    <xf numFmtId="0" fontId="15" fillId="0" borderId="9" xfId="0" applyFont="1" applyBorder="1"/>
    <xf numFmtId="0" fontId="0" fillId="4" borderId="48" xfId="0" applyFill="1" applyBorder="1"/>
    <xf numFmtId="0" fontId="15" fillId="0" borderId="9" xfId="0" applyFont="1" applyFill="1" applyBorder="1"/>
    <xf numFmtId="9" fontId="15" fillId="0" borderId="9" xfId="0" applyNumberFormat="1" applyFont="1" applyBorder="1"/>
    <xf numFmtId="0" fontId="1" fillId="0" borderId="26" xfId="0" applyFont="1" applyBorder="1"/>
    <xf numFmtId="0" fontId="1" fillId="0" borderId="22" xfId="0" applyFont="1" applyBorder="1"/>
    <xf numFmtId="0" fontId="0" fillId="4" borderId="8" xfId="0" applyFill="1" applyBorder="1"/>
    <xf numFmtId="0" fontId="15" fillId="0" borderId="33" xfId="0" applyFont="1" applyBorder="1"/>
    <xf numFmtId="0" fontId="5" fillId="4" borderId="47" xfId="0" applyFont="1" applyFill="1" applyBorder="1"/>
    <xf numFmtId="0" fontId="5" fillId="0" borderId="52" xfId="0" applyFont="1" applyBorder="1"/>
    <xf numFmtId="0" fontId="5" fillId="0" borderId="53" xfId="0" applyFont="1" applyBorder="1"/>
    <xf numFmtId="0" fontId="5" fillId="0" borderId="54" xfId="0" applyFont="1" applyBorder="1"/>
    <xf numFmtId="0" fontId="5" fillId="0" borderId="17" xfId="0" applyFont="1" applyBorder="1"/>
    <xf numFmtId="0" fontId="5" fillId="0" borderId="56" xfId="0" applyFont="1" applyBorder="1"/>
    <xf numFmtId="0" fontId="5" fillId="0" borderId="57" xfId="0" applyFont="1" applyBorder="1"/>
    <xf numFmtId="2" fontId="10" fillId="4" borderId="28" xfId="0" applyNumberFormat="1" applyFont="1" applyFill="1" applyBorder="1"/>
    <xf numFmtId="0" fontId="5" fillId="9" borderId="58" xfId="0" applyFont="1" applyFill="1" applyBorder="1"/>
    <xf numFmtId="0" fontId="10" fillId="10" borderId="17" xfId="0" applyFont="1" applyFill="1" applyBorder="1"/>
    <xf numFmtId="0" fontId="10" fillId="10" borderId="49" xfId="0" applyFont="1" applyFill="1" applyBorder="1"/>
    <xf numFmtId="0" fontId="10" fillId="10" borderId="50" xfId="0" applyFont="1" applyFill="1" applyBorder="1"/>
    <xf numFmtId="0" fontId="10" fillId="10" borderId="59" xfId="0" applyFont="1" applyFill="1" applyBorder="1"/>
    <xf numFmtId="0" fontId="10" fillId="10" borderId="22" xfId="0" applyFont="1" applyFill="1" applyBorder="1"/>
    <xf numFmtId="2" fontId="10" fillId="10" borderId="17" xfId="0" applyNumberFormat="1" applyFont="1" applyFill="1" applyBorder="1"/>
    <xf numFmtId="2" fontId="10" fillId="10" borderId="49" xfId="0" applyNumberFormat="1" applyFont="1" applyFill="1" applyBorder="1"/>
    <xf numFmtId="2" fontId="10" fillId="10" borderId="50" xfId="0" applyNumberFormat="1" applyFont="1" applyFill="1" applyBorder="1"/>
    <xf numFmtId="2" fontId="10" fillId="10" borderId="61" xfId="0" applyNumberFormat="1" applyFont="1" applyFill="1" applyBorder="1"/>
    <xf numFmtId="0" fontId="10" fillId="10" borderId="24" xfId="0" applyFont="1" applyFill="1" applyBorder="1"/>
    <xf numFmtId="0" fontId="10" fillId="10" borderId="26" xfId="0" applyFont="1" applyFill="1" applyBorder="1"/>
    <xf numFmtId="2" fontId="10" fillId="10" borderId="24" xfId="0" applyNumberFormat="1" applyFont="1" applyFill="1" applyBorder="1"/>
    <xf numFmtId="0" fontId="10" fillId="10" borderId="28" xfId="0" applyFont="1" applyFill="1" applyBorder="1"/>
    <xf numFmtId="0" fontId="10" fillId="10" borderId="13" xfId="0" applyFont="1" applyFill="1" applyBorder="1"/>
    <xf numFmtId="0" fontId="10" fillId="10" borderId="9" xfId="0" applyFont="1" applyFill="1" applyBorder="1"/>
    <xf numFmtId="0" fontId="10" fillId="10" borderId="12" xfId="0" applyFont="1" applyFill="1" applyBorder="1"/>
    <xf numFmtId="0" fontId="10" fillId="10" borderId="14" xfId="0" applyFont="1" applyFill="1" applyBorder="1"/>
    <xf numFmtId="0" fontId="10" fillId="10" borderId="17" xfId="0" applyNumberFormat="1" applyFont="1" applyFill="1" applyBorder="1"/>
    <xf numFmtId="0" fontId="10" fillId="10" borderId="49" xfId="0" applyNumberFormat="1" applyFont="1" applyFill="1" applyBorder="1"/>
    <xf numFmtId="0" fontId="10" fillId="10" borderId="55" xfId="0" applyNumberFormat="1" applyFont="1" applyFill="1" applyBorder="1"/>
    <xf numFmtId="0" fontId="10" fillId="10" borderId="50" xfId="0" applyNumberFormat="1" applyFont="1" applyFill="1" applyBorder="1"/>
    <xf numFmtId="2" fontId="1" fillId="9" borderId="34" xfId="0" applyNumberFormat="1" applyFont="1" applyFill="1" applyBorder="1"/>
    <xf numFmtId="2" fontId="1" fillId="9" borderId="24" xfId="0" applyNumberFormat="1" applyFont="1" applyFill="1" applyBorder="1"/>
    <xf numFmtId="0" fontId="1" fillId="0" borderId="30" xfId="0" applyFont="1" applyBorder="1"/>
    <xf numFmtId="0" fontId="1" fillId="0" borderId="31" xfId="0" applyFont="1" applyBorder="1"/>
    <xf numFmtId="2" fontId="1" fillId="0" borderId="31" xfId="0" applyNumberFormat="1" applyFont="1" applyBorder="1"/>
    <xf numFmtId="0" fontId="10" fillId="10" borderId="24" xfId="0" applyNumberFormat="1" applyFont="1" applyFill="1" applyBorder="1"/>
    <xf numFmtId="2" fontId="1" fillId="0" borderId="34" xfId="0" applyNumberFormat="1" applyFont="1" applyBorder="1"/>
    <xf numFmtId="0" fontId="18" fillId="2" borderId="38" xfId="0" applyFont="1" applyFill="1" applyBorder="1"/>
    <xf numFmtId="0" fontId="1" fillId="0" borderId="65" xfId="0" applyFont="1" applyBorder="1"/>
    <xf numFmtId="0" fontId="1" fillId="0" borderId="20" xfId="0" applyFont="1" applyBorder="1"/>
    <xf numFmtId="0" fontId="1" fillId="0" borderId="36" xfId="0" applyFont="1" applyBorder="1"/>
    <xf numFmtId="0" fontId="1" fillId="0" borderId="37" xfId="0" applyFont="1" applyBorder="1"/>
    <xf numFmtId="0" fontId="5" fillId="0" borderId="60" xfId="0" applyFont="1" applyBorder="1"/>
    <xf numFmtId="3" fontId="10" fillId="10" borderId="50" xfId="0" applyNumberFormat="1" applyFont="1" applyFill="1" applyBorder="1"/>
    <xf numFmtId="0" fontId="0" fillId="4" borderId="57" xfId="0" applyFill="1" applyBorder="1"/>
    <xf numFmtId="0" fontId="0" fillId="4" borderId="10" xfId="0" applyFill="1" applyBorder="1"/>
    <xf numFmtId="49" fontId="15" fillId="0" borderId="33" xfId="0" applyNumberFormat="1" applyFont="1" applyBorder="1" applyAlignment="1">
      <alignment horizontal="right"/>
    </xf>
    <xf numFmtId="9" fontId="15" fillId="0" borderId="33" xfId="0" applyNumberFormat="1" applyFont="1" applyBorder="1"/>
    <xf numFmtId="0" fontId="15" fillId="0" borderId="34" xfId="0" applyFont="1" applyBorder="1"/>
    <xf numFmtId="49" fontId="15" fillId="0" borderId="9" xfId="0" applyNumberFormat="1" applyFont="1" applyBorder="1" applyAlignment="1">
      <alignment horizontal="right"/>
    </xf>
    <xf numFmtId="0" fontId="15" fillId="0" borderId="24" xfId="0" applyFont="1" applyBorder="1"/>
    <xf numFmtId="0" fontId="15" fillId="0" borderId="30" xfId="0" applyFont="1" applyBorder="1"/>
    <xf numFmtId="0" fontId="15" fillId="0" borderId="30" xfId="0" applyFont="1" applyBorder="1" applyAlignment="1">
      <alignment horizontal="right"/>
    </xf>
    <xf numFmtId="9" fontId="15" fillId="0" borderId="30" xfId="0" applyNumberFormat="1" applyFont="1" applyBorder="1"/>
    <xf numFmtId="0" fontId="15" fillId="0" borderId="31" xfId="0" applyFont="1" applyBorder="1"/>
    <xf numFmtId="0" fontId="15" fillId="0" borderId="30" xfId="0" applyFont="1" applyFill="1" applyBorder="1"/>
    <xf numFmtId="0" fontId="1" fillId="10" borderId="34" xfId="0" applyFont="1" applyFill="1" applyBorder="1"/>
    <xf numFmtId="0" fontId="1" fillId="10" borderId="24" xfId="0" applyFont="1" applyFill="1" applyBorder="1"/>
    <xf numFmtId="0" fontId="1" fillId="10" borderId="24" xfId="0" applyFont="1" applyFill="1" applyBorder="1" applyAlignment="1">
      <alignment horizontal="left"/>
    </xf>
    <xf numFmtId="0" fontId="1" fillId="10" borderId="31" xfId="0" applyFont="1" applyFill="1" applyBorder="1"/>
    <xf numFmtId="0" fontId="1" fillId="2" borderId="4" xfId="0" applyFont="1" applyFill="1" applyBorder="1"/>
    <xf numFmtId="0" fontId="1" fillId="2" borderId="38" xfId="0" applyFont="1" applyFill="1" applyBorder="1" applyAlignment="1">
      <alignment horizontal="left"/>
    </xf>
    <xf numFmtId="0" fontId="1" fillId="0" borderId="51" xfId="0" applyFont="1" applyBorder="1"/>
    <xf numFmtId="0" fontId="1" fillId="0" borderId="11" xfId="0" applyFont="1" applyBorder="1"/>
    <xf numFmtId="0" fontId="1" fillId="10" borderId="9" xfId="0" applyFont="1" applyFill="1" applyBorder="1"/>
    <xf numFmtId="0" fontId="1" fillId="10" borderId="9" xfId="0" applyFont="1" applyFill="1" applyBorder="1" applyAlignment="1">
      <alignment horizontal="left"/>
    </xf>
    <xf numFmtId="0" fontId="0" fillId="9" borderId="32" xfId="0" applyFont="1" applyFill="1" applyBorder="1" applyAlignment="1">
      <alignment horizontal="right"/>
    </xf>
    <xf numFmtId="0" fontId="1" fillId="10" borderId="33" xfId="0" applyFont="1" applyFill="1" applyBorder="1"/>
    <xf numFmtId="0" fontId="0" fillId="9" borderId="23" xfId="0" applyFont="1" applyFill="1" applyBorder="1" applyAlignment="1">
      <alignment horizontal="right"/>
    </xf>
    <xf numFmtId="0" fontId="0" fillId="9" borderId="29" xfId="0" applyFont="1" applyFill="1" applyBorder="1" applyAlignment="1">
      <alignment horizontal="right"/>
    </xf>
    <xf numFmtId="0" fontId="1" fillId="0" borderId="47" xfId="0" applyFont="1" applyBorder="1"/>
    <xf numFmtId="0" fontId="1" fillId="0" borderId="39" xfId="0" applyFont="1" applyBorder="1"/>
    <xf numFmtId="0" fontId="1" fillId="0" borderId="66" xfId="0" applyFont="1" applyBorder="1"/>
    <xf numFmtId="0" fontId="1" fillId="0" borderId="17" xfId="0" applyFont="1" applyBorder="1"/>
    <xf numFmtId="0" fontId="1" fillId="0" borderId="49" xfId="0" applyFont="1" applyBorder="1"/>
    <xf numFmtId="0" fontId="1" fillId="0" borderId="55" xfId="0" applyFont="1" applyBorder="1"/>
    <xf numFmtId="0" fontId="1" fillId="0" borderId="1" xfId="0" applyFont="1" applyBorder="1"/>
    <xf numFmtId="0" fontId="1" fillId="0" borderId="32" xfId="0" applyFont="1" applyBorder="1"/>
    <xf numFmtId="0" fontId="1" fillId="0" borderId="23" xfId="0" applyFont="1" applyBorder="1"/>
    <xf numFmtId="0" fontId="1" fillId="0" borderId="25" xfId="0" applyFont="1" applyBorder="1"/>
    <xf numFmtId="0" fontId="1" fillId="0" borderId="35" xfId="0" applyFont="1" applyBorder="1"/>
    <xf numFmtId="49" fontId="1" fillId="0" borderId="30" xfId="0" applyNumberFormat="1" applyFont="1" applyBorder="1" applyAlignment="1">
      <alignment horizontal="right"/>
    </xf>
    <xf numFmtId="9" fontId="1" fillId="0" borderId="30" xfId="0" applyNumberFormat="1" applyFont="1" applyBorder="1"/>
    <xf numFmtId="10" fontId="1" fillId="0" borderId="33" xfId="0" applyNumberFormat="1" applyFont="1" applyBorder="1"/>
    <xf numFmtId="10" fontId="1" fillId="0" borderId="30" xfId="0" applyNumberFormat="1" applyFont="1" applyBorder="1"/>
    <xf numFmtId="0" fontId="15" fillId="9" borderId="67" xfId="0" applyFont="1" applyFill="1" applyBorder="1" applyAlignment="1">
      <alignment horizontal="right" vertical="center"/>
    </xf>
    <xf numFmtId="0" fontId="15" fillId="9" borderId="17" xfId="0" applyFont="1" applyFill="1" applyBorder="1" applyAlignment="1">
      <alignment horizontal="right" vertical="center"/>
    </xf>
    <xf numFmtId="0" fontId="15" fillId="9" borderId="51" xfId="0" applyFont="1" applyFill="1" applyBorder="1" applyAlignment="1">
      <alignment horizontal="right" vertical="center"/>
    </xf>
    <xf numFmtId="0" fontId="15" fillId="9" borderId="33" xfId="0" applyFont="1" applyFill="1" applyBorder="1" applyAlignment="1">
      <alignment horizontal="right" vertical="center"/>
    </xf>
    <xf numFmtId="0" fontId="15" fillId="9" borderId="34" xfId="0" applyFont="1" applyFill="1" applyBorder="1" applyAlignment="1">
      <alignment horizontal="right" vertical="center"/>
    </xf>
    <xf numFmtId="0" fontId="15" fillId="9" borderId="57" xfId="0" applyFont="1" applyFill="1" applyBorder="1" applyAlignment="1">
      <alignment horizontal="right" vertical="center"/>
    </xf>
    <xf numFmtId="0" fontId="15" fillId="9" borderId="49" xfId="0" applyFont="1" applyFill="1" applyBorder="1" applyAlignment="1">
      <alignment horizontal="right" vertical="center"/>
    </xf>
    <xf numFmtId="0" fontId="15" fillId="9" borderId="11" xfId="0" applyFont="1" applyFill="1" applyBorder="1" applyAlignment="1">
      <alignment horizontal="right" vertical="center"/>
    </xf>
    <xf numFmtId="0" fontId="15" fillId="9" borderId="9" xfId="0" applyFont="1" applyFill="1" applyBorder="1" applyAlignment="1">
      <alignment horizontal="right" vertical="center"/>
    </xf>
    <xf numFmtId="0" fontId="15" fillId="9" borderId="24" xfId="0" applyFont="1" applyFill="1" applyBorder="1" applyAlignment="1">
      <alignment horizontal="right" vertical="center"/>
    </xf>
    <xf numFmtId="0" fontId="0" fillId="9" borderId="25" xfId="0" applyFont="1" applyFill="1" applyBorder="1" applyAlignment="1">
      <alignment horizontal="right"/>
    </xf>
    <xf numFmtId="0" fontId="1" fillId="10" borderId="12" xfId="0" applyFont="1" applyFill="1" applyBorder="1"/>
    <xf numFmtId="0" fontId="1" fillId="10" borderId="26" xfId="0" applyFont="1" applyFill="1" applyBorder="1"/>
    <xf numFmtId="0" fontId="0" fillId="9" borderId="23" xfId="0" applyFill="1" applyBorder="1" applyAlignment="1">
      <alignment horizontal="right"/>
    </xf>
    <xf numFmtId="0" fontId="15" fillId="0" borderId="32" xfId="0" applyFont="1" applyBorder="1"/>
    <xf numFmtId="0" fontId="15" fillId="0" borderId="23" xfId="0" applyFont="1" applyBorder="1"/>
    <xf numFmtId="0" fontId="1" fillId="0" borderId="43" xfId="0" applyFont="1" applyBorder="1"/>
    <xf numFmtId="0" fontId="15" fillId="0" borderId="33" xfId="0" applyFont="1" applyFill="1" applyBorder="1"/>
    <xf numFmtId="0" fontId="1" fillId="0" borderId="61" xfId="0" applyFont="1" applyBorder="1"/>
    <xf numFmtId="0" fontId="1" fillId="0" borderId="41" xfId="0" applyFont="1" applyBorder="1"/>
    <xf numFmtId="0" fontId="1" fillId="0" borderId="57" xfId="0" applyFont="1" applyBorder="1"/>
    <xf numFmtId="0" fontId="1" fillId="0" borderId="48" xfId="0" applyFont="1" applyBorder="1"/>
    <xf numFmtId="0" fontId="1" fillId="0" borderId="15" xfId="0" applyFont="1" applyBorder="1"/>
    <xf numFmtId="0" fontId="15" fillId="9" borderId="58" xfId="0" applyFont="1" applyFill="1" applyBorder="1" applyAlignment="1">
      <alignment horizontal="right" vertical="center"/>
    </xf>
    <xf numFmtId="0" fontId="15" fillId="9" borderId="55" xfId="0" applyFont="1" applyFill="1" applyBorder="1" applyAlignment="1">
      <alignment horizontal="right" vertical="center"/>
    </xf>
    <xf numFmtId="0" fontId="15" fillId="9" borderId="47" xfId="0" applyFont="1" applyFill="1" applyBorder="1" applyAlignment="1">
      <alignment horizontal="right" vertical="center"/>
    </xf>
    <xf numFmtId="0" fontId="15" fillId="9" borderId="12" xfId="0" applyFont="1" applyFill="1" applyBorder="1" applyAlignment="1">
      <alignment horizontal="right" vertical="center"/>
    </xf>
    <xf numFmtId="0" fontId="15" fillId="9" borderId="26" xfId="0" applyFont="1" applyFill="1" applyBorder="1" applyAlignment="1">
      <alignment horizontal="right" vertical="center"/>
    </xf>
    <xf numFmtId="0" fontId="15" fillId="0" borderId="18" xfId="0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0" fontId="15" fillId="0" borderId="39" xfId="0" applyFont="1" applyBorder="1" applyAlignment="1">
      <alignment horizontal="right"/>
    </xf>
    <xf numFmtId="0" fontId="15" fillId="0" borderId="36" xfId="0" applyFont="1" applyBorder="1" applyAlignment="1">
      <alignment horizontal="right"/>
    </xf>
    <xf numFmtId="0" fontId="15" fillId="0" borderId="37" xfId="0" applyFont="1" applyBorder="1" applyAlignment="1">
      <alignment horizontal="right"/>
    </xf>
    <xf numFmtId="0" fontId="5" fillId="0" borderId="42" xfId="0" applyFont="1" applyBorder="1"/>
    <xf numFmtId="0" fontId="5" fillId="0" borderId="59" xfId="0" applyFont="1" applyBorder="1"/>
    <xf numFmtId="0" fontId="5" fillId="0" borderId="67" xfId="0" applyFont="1" applyBorder="1"/>
    <xf numFmtId="0" fontId="5" fillId="0" borderId="68" xfId="0" applyFont="1" applyBorder="1"/>
    <xf numFmtId="0" fontId="5" fillId="0" borderId="0" xfId="0" applyFont="1" applyBorder="1"/>
    <xf numFmtId="0" fontId="0" fillId="9" borderId="53" xfId="0" applyFill="1" applyBorder="1"/>
    <xf numFmtId="0" fontId="0" fillId="9" borderId="60" xfId="0" applyFill="1" applyBorder="1"/>
    <xf numFmtId="3" fontId="10" fillId="10" borderId="49" xfId="0" applyNumberFormat="1" applyFont="1" applyFill="1" applyBorder="1"/>
    <xf numFmtId="0" fontId="10" fillId="10" borderId="55" xfId="0" applyFont="1" applyFill="1" applyBorder="1"/>
    <xf numFmtId="0" fontId="10" fillId="10" borderId="1" xfId="0" applyFont="1" applyFill="1" applyBorder="1"/>
    <xf numFmtId="0" fontId="25" fillId="10" borderId="49" xfId="0" applyFont="1" applyFill="1" applyBorder="1" applyAlignment="1">
      <alignment horizontal="right"/>
    </xf>
    <xf numFmtId="0" fontId="25" fillId="10" borderId="50" xfId="0" applyFont="1" applyFill="1" applyBorder="1" applyAlignment="1">
      <alignment horizontal="right"/>
    </xf>
    <xf numFmtId="0" fontId="0" fillId="0" borderId="30" xfId="0" applyBorder="1"/>
    <xf numFmtId="0" fontId="0" fillId="0" borderId="31" xfId="0" applyBorder="1"/>
    <xf numFmtId="0" fontId="10" fillId="10" borderId="9" xfId="0" applyNumberFormat="1" applyFont="1" applyFill="1" applyBorder="1"/>
    <xf numFmtId="0" fontId="1" fillId="9" borderId="9" xfId="0" applyFont="1" applyFill="1" applyBorder="1"/>
    <xf numFmtId="0" fontId="1" fillId="9" borderId="33" xfId="0" applyFont="1" applyFill="1" applyBorder="1"/>
    <xf numFmtId="0" fontId="1" fillId="9" borderId="34" xfId="0" applyFont="1" applyFill="1" applyBorder="1"/>
    <xf numFmtId="0" fontId="1" fillId="9" borderId="24" xfId="0" applyFont="1" applyFill="1" applyBorder="1"/>
    <xf numFmtId="0" fontId="1" fillId="9" borderId="30" xfId="0" applyFont="1" applyFill="1" applyBorder="1"/>
    <xf numFmtId="0" fontId="1" fillId="9" borderId="31" xfId="0" applyFont="1" applyFill="1" applyBorder="1"/>
    <xf numFmtId="0" fontId="1" fillId="9" borderId="13" xfId="0" applyFont="1" applyFill="1" applyBorder="1"/>
    <xf numFmtId="0" fontId="1" fillId="10" borderId="33" xfId="0" applyFont="1" applyFill="1" applyBorder="1" applyAlignment="1">
      <alignment horizontal="left"/>
    </xf>
    <xf numFmtId="0" fontId="1" fillId="10" borderId="30" xfId="0" applyFont="1" applyFill="1" applyBorder="1" applyAlignment="1">
      <alignment horizontal="left"/>
    </xf>
    <xf numFmtId="0" fontId="1" fillId="9" borderId="22" xfId="0" applyFont="1" applyFill="1" applyBorder="1"/>
    <xf numFmtId="0" fontId="1" fillId="10" borderId="65" xfId="0" applyFont="1" applyFill="1" applyBorder="1" applyAlignment="1">
      <alignment horizontal="left"/>
    </xf>
    <xf numFmtId="0" fontId="1" fillId="10" borderId="10" xfId="0" applyFont="1" applyFill="1" applyBorder="1" applyAlignment="1">
      <alignment horizontal="left"/>
    </xf>
    <xf numFmtId="0" fontId="1" fillId="10" borderId="69" xfId="0" applyFont="1" applyFill="1" applyBorder="1" applyAlignment="1">
      <alignment horizontal="left"/>
    </xf>
    <xf numFmtId="0" fontId="8" fillId="9" borderId="51" xfId="0" applyFont="1" applyFill="1" applyBorder="1"/>
    <xf numFmtId="0" fontId="8" fillId="9" borderId="11" xfId="0" applyFont="1" applyFill="1" applyBorder="1"/>
    <xf numFmtId="0" fontId="8" fillId="9" borderId="40" xfId="0" applyFont="1" applyFill="1" applyBorder="1"/>
    <xf numFmtId="0" fontId="8" fillId="9" borderId="16" xfId="0" applyFont="1" applyFill="1" applyBorder="1"/>
    <xf numFmtId="0" fontId="18" fillId="9" borderId="1" xfId="0" applyFont="1" applyFill="1" applyBorder="1"/>
    <xf numFmtId="0" fontId="8" fillId="9" borderId="1" xfId="0" applyFont="1" applyFill="1" applyBorder="1"/>
    <xf numFmtId="0" fontId="1" fillId="9" borderId="17" xfId="0" applyFont="1" applyFill="1" applyBorder="1"/>
    <xf numFmtId="0" fontId="1" fillId="9" borderId="67" xfId="0" applyFont="1" applyFill="1" applyBorder="1"/>
    <xf numFmtId="0" fontId="1" fillId="9" borderId="49" xfId="0" applyFont="1" applyFill="1" applyBorder="1"/>
    <xf numFmtId="0" fontId="1" fillId="9" borderId="57" xfId="0" applyFont="1" applyFill="1" applyBorder="1"/>
    <xf numFmtId="0" fontId="1" fillId="9" borderId="50" xfId="0" applyFont="1" applyFill="1" applyBorder="1"/>
    <xf numFmtId="0" fontId="1" fillId="9" borderId="68" xfId="0" applyFont="1" applyFill="1" applyBorder="1"/>
    <xf numFmtId="0" fontId="1" fillId="2" borderId="70" xfId="0" applyFont="1" applyFill="1" applyBorder="1" applyAlignment="1">
      <alignment horizontal="left"/>
    </xf>
    <xf numFmtId="0" fontId="1" fillId="2" borderId="5" xfId="0" applyFont="1" applyFill="1" applyBorder="1"/>
    <xf numFmtId="0" fontId="18" fillId="2" borderId="70" xfId="0" applyFont="1" applyFill="1" applyBorder="1"/>
    <xf numFmtId="0" fontId="8" fillId="2" borderId="70" xfId="0" applyFont="1" applyFill="1" applyBorder="1"/>
    <xf numFmtId="0" fontId="1" fillId="2" borderId="70" xfId="0" applyFont="1" applyFill="1" applyBorder="1"/>
    <xf numFmtId="0" fontId="18" fillId="9" borderId="71" xfId="0" applyFont="1" applyFill="1" applyBorder="1"/>
    <xf numFmtId="0" fontId="8" fillId="9" borderId="71" xfId="0" applyFont="1" applyFill="1" applyBorder="1"/>
    <xf numFmtId="0" fontId="1" fillId="10" borderId="34" xfId="0" applyFont="1" applyFill="1" applyBorder="1" applyAlignment="1">
      <alignment horizontal="left"/>
    </xf>
    <xf numFmtId="0" fontId="1" fillId="10" borderId="31" xfId="0" applyFont="1" applyFill="1" applyBorder="1" applyAlignment="1">
      <alignment horizontal="left"/>
    </xf>
    <xf numFmtId="0" fontId="0" fillId="9" borderId="17" xfId="0" applyFont="1" applyFill="1" applyBorder="1" applyAlignment="1">
      <alignment horizontal="right"/>
    </xf>
    <xf numFmtId="0" fontId="0" fillId="9" borderId="49" xfId="0" applyFont="1" applyFill="1" applyBorder="1" applyAlignment="1">
      <alignment horizontal="right"/>
    </xf>
    <xf numFmtId="0" fontId="0" fillId="9" borderId="49" xfId="0" applyFill="1" applyBorder="1" applyAlignment="1">
      <alignment horizontal="right"/>
    </xf>
    <xf numFmtId="0" fontId="1" fillId="10" borderId="51" xfId="0" applyFont="1" applyFill="1" applyBorder="1" applyAlignment="1">
      <alignment horizontal="left"/>
    </xf>
    <xf numFmtId="0" fontId="1" fillId="10" borderId="11" xfId="0" applyFont="1" applyFill="1" applyBorder="1" applyAlignment="1">
      <alignment horizontal="left"/>
    </xf>
    <xf numFmtId="0" fontId="1" fillId="10" borderId="40" xfId="0" applyFont="1" applyFill="1" applyBorder="1" applyAlignment="1">
      <alignment horizontal="left"/>
    </xf>
    <xf numFmtId="0" fontId="0" fillId="9" borderId="50" xfId="0" applyFill="1" applyBorder="1" applyAlignment="1">
      <alignment horizontal="right"/>
    </xf>
    <xf numFmtId="0" fontId="8" fillId="9" borderId="35" xfId="0" applyFont="1" applyFill="1" applyBorder="1"/>
    <xf numFmtId="0" fontId="1" fillId="9" borderId="36" xfId="0" applyFont="1" applyFill="1" applyBorder="1"/>
    <xf numFmtId="0" fontId="1" fillId="9" borderId="37" xfId="0" applyFont="1" applyFill="1" applyBorder="1"/>
    <xf numFmtId="0" fontId="1" fillId="0" borderId="42" xfId="0" applyFont="1" applyBorder="1"/>
    <xf numFmtId="0" fontId="23" fillId="9" borderId="36" xfId="0" applyFont="1" applyFill="1" applyBorder="1" applyAlignment="1">
      <alignment horizontal="center" vertical="center"/>
    </xf>
    <xf numFmtId="0" fontId="23" fillId="9" borderId="37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5" fillId="9" borderId="51" xfId="0" applyFont="1" applyFill="1" applyBorder="1" applyAlignment="1">
      <alignment horizontal="center" vertical="center"/>
    </xf>
    <xf numFmtId="0" fontId="15" fillId="9" borderId="33" xfId="0" applyFont="1" applyFill="1" applyBorder="1" applyAlignment="1">
      <alignment horizontal="center" vertical="center"/>
    </xf>
    <xf numFmtId="0" fontId="15" fillId="9" borderId="34" xfId="0" applyFont="1" applyFill="1" applyBorder="1" applyAlignment="1">
      <alignment horizontal="center" vertical="center"/>
    </xf>
    <xf numFmtId="0" fontId="15" fillId="9" borderId="49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39" xfId="0" applyFont="1" applyFill="1" applyBorder="1" applyAlignment="1">
      <alignment horizontal="center" vertical="center"/>
    </xf>
    <xf numFmtId="0" fontId="15" fillId="9" borderId="36" xfId="0" applyFont="1" applyFill="1" applyBorder="1" applyAlignment="1">
      <alignment horizontal="center" vertical="center"/>
    </xf>
    <xf numFmtId="0" fontId="0" fillId="9" borderId="59" xfId="0" applyFont="1" applyFill="1" applyBorder="1" applyAlignment="1">
      <alignment horizontal="right"/>
    </xf>
    <xf numFmtId="0" fontId="0" fillId="9" borderId="53" xfId="0" applyFont="1" applyFill="1" applyBorder="1" applyAlignment="1">
      <alignment horizontal="right"/>
    </xf>
    <xf numFmtId="0" fontId="0" fillId="9" borderId="53" xfId="0" applyFill="1" applyBorder="1" applyAlignment="1">
      <alignment horizontal="right"/>
    </xf>
    <xf numFmtId="0" fontId="1" fillId="10" borderId="32" xfId="0" applyFont="1" applyFill="1" applyBorder="1" applyAlignment="1">
      <alignment horizontal="left"/>
    </xf>
    <xf numFmtId="0" fontId="1" fillId="10" borderId="23" xfId="0" applyFont="1" applyFill="1" applyBorder="1" applyAlignment="1">
      <alignment horizontal="left"/>
    </xf>
    <xf numFmtId="0" fontId="1" fillId="10" borderId="29" xfId="0" applyFont="1" applyFill="1" applyBorder="1" applyAlignment="1">
      <alignment horizontal="left"/>
    </xf>
    <xf numFmtId="0" fontId="0" fillId="9" borderId="54" xfId="0" applyFont="1" applyFill="1" applyBorder="1" applyAlignment="1">
      <alignment horizontal="right"/>
    </xf>
    <xf numFmtId="0" fontId="1" fillId="10" borderId="32" xfId="0" applyFont="1" applyFill="1" applyBorder="1"/>
    <xf numFmtId="0" fontId="1" fillId="10" borderId="23" xfId="0" applyFont="1" applyFill="1" applyBorder="1"/>
    <xf numFmtId="0" fontId="1" fillId="10" borderId="29" xfId="0" applyFont="1" applyFill="1" applyBorder="1"/>
    <xf numFmtId="0" fontId="0" fillId="9" borderId="60" xfId="0" applyFont="1" applyFill="1" applyBorder="1" applyAlignment="1">
      <alignment horizontal="right"/>
    </xf>
    <xf numFmtId="0" fontId="1" fillId="10" borderId="65" xfId="0" applyFont="1" applyFill="1" applyBorder="1"/>
    <xf numFmtId="0" fontId="1" fillId="10" borderId="10" xfId="0" applyFont="1" applyFill="1" applyBorder="1"/>
    <xf numFmtId="0" fontId="1" fillId="10" borderId="69" xfId="0" applyFont="1" applyFill="1" applyBorder="1"/>
    <xf numFmtId="0" fontId="1" fillId="4" borderId="5" xfId="0" applyFont="1" applyFill="1" applyBorder="1"/>
    <xf numFmtId="0" fontId="0" fillId="9" borderId="29" xfId="0" applyFill="1" applyBorder="1"/>
    <xf numFmtId="49" fontId="1" fillId="9" borderId="30" xfId="0" applyNumberFormat="1" applyFont="1" applyFill="1" applyBorder="1" applyAlignment="1">
      <alignment horizontal="right"/>
    </xf>
    <xf numFmtId="9" fontId="1" fillId="9" borderId="30" xfId="0" applyNumberFormat="1" applyFont="1" applyFill="1" applyBorder="1"/>
    <xf numFmtId="0" fontId="1" fillId="0" borderId="29" xfId="0" applyFont="1" applyBorder="1"/>
    <xf numFmtId="0" fontId="1" fillId="9" borderId="21" xfId="0" applyFont="1" applyFill="1" applyBorder="1"/>
    <xf numFmtId="9" fontId="1" fillId="9" borderId="13" xfId="0" applyNumberFormat="1" applyFont="1" applyFill="1" applyBorder="1"/>
    <xf numFmtId="0" fontId="1" fillId="9" borderId="33" xfId="0" applyFont="1" applyFill="1" applyBorder="1" applyAlignment="1">
      <alignment horizontal="center" vertical="center"/>
    </xf>
    <xf numFmtId="0" fontId="1" fillId="9" borderId="34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59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/>
    </xf>
    <xf numFmtId="0" fontId="0" fillId="0" borderId="9" xfId="0" applyBorder="1"/>
    <xf numFmtId="2" fontId="1" fillId="0" borderId="9" xfId="0" applyNumberFormat="1" applyFont="1" applyBorder="1"/>
    <xf numFmtId="0" fontId="0" fillId="0" borderId="63" xfId="0" applyBorder="1"/>
    <xf numFmtId="49" fontId="1" fillId="0" borderId="62" xfId="0" applyNumberFormat="1" applyFont="1" applyBorder="1" applyAlignment="1">
      <alignment horizontal="right"/>
    </xf>
    <xf numFmtId="9" fontId="1" fillId="0" borderId="62" xfId="0" applyNumberFormat="1" applyFont="1" applyBorder="1"/>
    <xf numFmtId="0" fontId="1" fillId="0" borderId="62" xfId="0" applyFont="1" applyBorder="1"/>
    <xf numFmtId="0" fontId="1" fillId="0" borderId="72" xfId="0" applyFont="1" applyBorder="1"/>
    <xf numFmtId="0" fontId="0" fillId="0" borderId="12" xfId="0" applyBorder="1"/>
    <xf numFmtId="2" fontId="1" fillId="0" borderId="12" xfId="0" applyNumberFormat="1" applyFont="1" applyBorder="1"/>
    <xf numFmtId="0" fontId="0" fillId="4" borderId="58" xfId="0" applyFill="1" applyBorder="1"/>
    <xf numFmtId="0" fontId="0" fillId="4" borderId="20" xfId="0" applyFill="1" applyBorder="1"/>
    <xf numFmtId="0" fontId="1" fillId="0" borderId="21" xfId="0" applyFont="1" applyBorder="1"/>
    <xf numFmtId="0" fontId="1" fillId="0" borderId="49" xfId="0" applyFont="1" applyBorder="1" applyAlignment="1">
      <alignment horizontal="center"/>
    </xf>
    <xf numFmtId="0" fontId="1" fillId="9" borderId="61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/>
    </xf>
    <xf numFmtId="0" fontId="1" fillId="9" borderId="50" xfId="0" applyFont="1" applyFill="1" applyBorder="1" applyAlignment="1">
      <alignment horizontal="center" vertical="center"/>
    </xf>
    <xf numFmtId="0" fontId="1" fillId="4" borderId="70" xfId="0" applyFont="1" applyFill="1" applyBorder="1" applyAlignment="1"/>
    <xf numFmtId="0" fontId="1" fillId="4" borderId="71" xfId="0" applyFont="1" applyFill="1" applyBorder="1" applyAlignment="1"/>
    <xf numFmtId="0" fontId="19" fillId="12" borderId="38" xfId="0" applyFont="1" applyFill="1" applyBorder="1"/>
    <xf numFmtId="0" fontId="1" fillId="9" borderId="17" xfId="0" applyFont="1" applyFill="1" applyBorder="1" applyAlignment="1"/>
    <xf numFmtId="0" fontId="1" fillId="9" borderId="49" xfId="0" applyFont="1" applyFill="1" applyBorder="1" applyAlignment="1"/>
    <xf numFmtId="0" fontId="1" fillId="9" borderId="50" xfId="0" applyFont="1" applyFill="1" applyBorder="1" applyAlignment="1"/>
    <xf numFmtId="0" fontId="1" fillId="0" borderId="59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50" xfId="0" applyFont="1" applyBorder="1"/>
    <xf numFmtId="0" fontId="10" fillId="0" borderId="17" xfId="0" applyFont="1" applyBorder="1"/>
    <xf numFmtId="0" fontId="10" fillId="0" borderId="49" xfId="0" applyFont="1" applyBorder="1"/>
    <xf numFmtId="0" fontId="10" fillId="0" borderId="50" xfId="0" applyFont="1" applyBorder="1"/>
    <xf numFmtId="2" fontId="10" fillId="0" borderId="49" xfId="0" applyNumberFormat="1" applyFont="1" applyBorder="1"/>
    <xf numFmtId="0" fontId="10" fillId="0" borderId="1" xfId="0" applyFont="1" applyBorder="1"/>
    <xf numFmtId="0" fontId="10" fillId="0" borderId="49" xfId="0" applyNumberFormat="1" applyFont="1" applyBorder="1"/>
    <xf numFmtId="0" fontId="23" fillId="9" borderId="2" xfId="0" applyFont="1" applyFill="1" applyBorder="1" applyAlignment="1"/>
    <xf numFmtId="0" fontId="23" fillId="9" borderId="4" xfId="0" applyFont="1" applyFill="1" applyBorder="1" applyAlignment="1"/>
    <xf numFmtId="0" fontId="23" fillId="9" borderId="42" xfId="0" applyFont="1" applyFill="1" applyBorder="1" applyAlignment="1"/>
    <xf numFmtId="0" fontId="23" fillId="9" borderId="5" xfId="0" applyFont="1" applyFill="1" applyBorder="1" applyAlignment="1"/>
    <xf numFmtId="0" fontId="1" fillId="9" borderId="32" xfId="0" applyFont="1" applyFill="1" applyBorder="1"/>
    <xf numFmtId="0" fontId="1" fillId="9" borderId="23" xfId="0" applyFont="1" applyFill="1" applyBorder="1"/>
    <xf numFmtId="10" fontId="1" fillId="9" borderId="13" xfId="0" applyNumberFormat="1" applyFont="1" applyFill="1" applyBorder="1"/>
    <xf numFmtId="0" fontId="15" fillId="0" borderId="51" xfId="0" applyFont="1" applyBorder="1"/>
    <xf numFmtId="0" fontId="15" fillId="0" borderId="11" xfId="0" applyFont="1" applyBorder="1"/>
    <xf numFmtId="0" fontId="1" fillId="0" borderId="40" xfId="0" applyFont="1" applyBorder="1"/>
    <xf numFmtId="0" fontId="15" fillId="0" borderId="17" xfId="0" applyFont="1" applyBorder="1"/>
    <xf numFmtId="0" fontId="15" fillId="0" borderId="49" xfId="0" applyFont="1" applyBorder="1"/>
    <xf numFmtId="0" fontId="15" fillId="0" borderId="50" xfId="0" applyFont="1" applyBorder="1"/>
    <xf numFmtId="0" fontId="15" fillId="0" borderId="40" xfId="0" applyFont="1" applyBorder="1"/>
    <xf numFmtId="0" fontId="14" fillId="0" borderId="49" xfId="0" applyFont="1" applyBorder="1"/>
    <xf numFmtId="0" fontId="14" fillId="0" borderId="50" xfId="0" applyFont="1" applyBorder="1"/>
    <xf numFmtId="2" fontId="1" fillId="9" borderId="31" xfId="0" applyNumberFormat="1" applyFont="1" applyFill="1" applyBorder="1"/>
    <xf numFmtId="0" fontId="15" fillId="0" borderId="0" xfId="0" applyFont="1" applyBorder="1"/>
    <xf numFmtId="2" fontId="0" fillId="0" borderId="0" xfId="0" applyNumberFormat="1" applyBorder="1"/>
    <xf numFmtId="0" fontId="1" fillId="0" borderId="0" xfId="0" applyFont="1" applyBorder="1"/>
    <xf numFmtId="0" fontId="0" fillId="0" borderId="0" xfId="0" applyBorder="1"/>
    <xf numFmtId="2" fontId="15" fillId="9" borderId="33" xfId="0" applyNumberFormat="1" applyFont="1" applyFill="1" applyBorder="1"/>
    <xf numFmtId="2" fontId="15" fillId="9" borderId="9" xfId="0" applyNumberFormat="1" applyFont="1" applyFill="1" applyBorder="1"/>
    <xf numFmtId="2" fontId="15" fillId="9" borderId="30" xfId="0" applyNumberFormat="1" applyFont="1" applyFill="1" applyBorder="1"/>
    <xf numFmtId="0" fontId="15" fillId="9" borderId="13" xfId="0" applyFont="1" applyFill="1" applyBorder="1"/>
    <xf numFmtId="0" fontId="15" fillId="9" borderId="33" xfId="0" applyFont="1" applyFill="1" applyBorder="1"/>
    <xf numFmtId="0" fontId="15" fillId="9" borderId="9" xfId="0" applyFont="1" applyFill="1" applyBorder="1"/>
    <xf numFmtId="0" fontId="15" fillId="9" borderId="16" xfId="0" applyFont="1" applyFill="1" applyBorder="1"/>
    <xf numFmtId="0" fontId="15" fillId="9" borderId="11" xfId="0" applyFont="1" applyFill="1" applyBorder="1"/>
    <xf numFmtId="0" fontId="14" fillId="9" borderId="49" xfId="0" applyFont="1" applyFill="1" applyBorder="1"/>
    <xf numFmtId="0" fontId="15" fillId="9" borderId="49" xfId="0" applyFont="1" applyFill="1" applyBorder="1"/>
    <xf numFmtId="3" fontId="15" fillId="9" borderId="33" xfId="0" applyNumberFormat="1" applyFont="1" applyFill="1" applyBorder="1"/>
    <xf numFmtId="0" fontId="15" fillId="9" borderId="17" xfId="0" applyFont="1" applyFill="1" applyBorder="1"/>
    <xf numFmtId="0" fontId="6" fillId="5" borderId="19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12" fillId="4" borderId="15" xfId="0" applyFont="1" applyFill="1" applyBorder="1" applyAlignment="1">
      <alignment horizontal="center"/>
    </xf>
    <xf numFmtId="0" fontId="16" fillId="13" borderId="19" xfId="0" applyFont="1" applyFill="1" applyBorder="1" applyAlignment="1">
      <alignment horizontal="center"/>
    </xf>
    <xf numFmtId="0" fontId="16" fillId="13" borderId="15" xfId="0" applyFont="1" applyFill="1" applyBorder="1" applyAlignment="1">
      <alignment horizontal="center"/>
    </xf>
    <xf numFmtId="0" fontId="23" fillId="9" borderId="2" xfId="0" applyFont="1" applyFill="1" applyBorder="1" applyAlignment="1">
      <alignment horizontal="center"/>
    </xf>
    <xf numFmtId="0" fontId="23" fillId="9" borderId="4" xfId="0" applyFont="1" applyFill="1" applyBorder="1" applyAlignment="1">
      <alignment horizontal="center"/>
    </xf>
    <xf numFmtId="0" fontId="23" fillId="9" borderId="42" xfId="0" applyFont="1" applyFill="1" applyBorder="1" applyAlignment="1">
      <alignment horizontal="center"/>
    </xf>
    <xf numFmtId="0" fontId="23" fillId="9" borderId="5" xfId="0" applyFont="1" applyFill="1" applyBorder="1" applyAlignment="1">
      <alignment horizontal="center"/>
    </xf>
    <xf numFmtId="0" fontId="23" fillId="9" borderId="52" xfId="0" applyFont="1" applyFill="1" applyBorder="1" applyAlignment="1">
      <alignment horizontal="center"/>
    </xf>
    <xf numFmtId="0" fontId="23" fillId="9" borderId="46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13" fillId="8" borderId="15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7" fillId="6" borderId="19" xfId="0" applyFont="1" applyFill="1" applyBorder="1" applyAlignment="1">
      <alignment horizontal="center"/>
    </xf>
    <xf numFmtId="0" fontId="17" fillId="6" borderId="15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27" fillId="7" borderId="2" xfId="0" applyFont="1" applyFill="1" applyBorder="1" applyAlignment="1">
      <alignment horizontal="center"/>
    </xf>
    <xf numFmtId="0" fontId="27" fillId="7" borderId="4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3" xfId="0" applyBorder="1"/>
    <xf numFmtId="0" fontId="0" fillId="0" borderId="15" xfId="0" applyBorder="1"/>
    <xf numFmtId="0" fontId="7" fillId="5" borderId="35" xfId="0" applyFont="1" applyFill="1" applyBorder="1" applyAlignment="1">
      <alignment horizontal="center"/>
    </xf>
    <xf numFmtId="0" fontId="7" fillId="5" borderId="39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7" fillId="5" borderId="37" xfId="0" applyFont="1" applyFill="1" applyBorder="1" applyAlignment="1">
      <alignment horizontal="center"/>
    </xf>
    <xf numFmtId="0" fontId="7" fillId="5" borderId="63" xfId="0" applyFont="1" applyFill="1" applyBorder="1" applyAlignment="1">
      <alignment horizontal="center"/>
    </xf>
    <xf numFmtId="0" fontId="7" fillId="5" borderId="64" xfId="0" applyFont="1" applyFill="1" applyBorder="1" applyAlignment="1">
      <alignment horizontal="center"/>
    </xf>
    <xf numFmtId="0" fontId="7" fillId="5" borderId="62" xfId="0" applyFont="1" applyFill="1" applyBorder="1" applyAlignment="1">
      <alignment horizontal="center"/>
    </xf>
    <xf numFmtId="0" fontId="11" fillId="8" borderId="18" xfId="0" applyFont="1" applyFill="1" applyBorder="1" applyAlignment="1">
      <alignment horizontal="center" vertical="center"/>
    </xf>
    <xf numFmtId="0" fontId="7" fillId="5" borderId="42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24" fillId="14" borderId="19" xfId="0" applyFont="1" applyFill="1" applyBorder="1" applyAlignment="1">
      <alignment horizontal="center" vertical="center"/>
    </xf>
    <xf numFmtId="0" fontId="24" fillId="14" borderId="18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11" borderId="18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27" fillId="7" borderId="19" xfId="0" applyFont="1" applyFill="1" applyBorder="1" applyAlignment="1">
      <alignment horizontal="center"/>
    </xf>
    <xf numFmtId="0" fontId="27" fillId="7" borderId="18" xfId="0" applyFont="1" applyFill="1" applyBorder="1" applyAlignment="1">
      <alignment horizontal="center"/>
    </xf>
    <xf numFmtId="0" fontId="27" fillId="7" borderId="15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3" fillId="4" borderId="19" xfId="0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6" fillId="7" borderId="42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/>
    </xf>
    <xf numFmtId="0" fontId="16" fillId="13" borderId="18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2" fillId="4" borderId="19" xfId="0" applyFont="1" applyFill="1" applyBorder="1" applyAlignment="1">
      <alignment horizontal="center"/>
    </xf>
    <xf numFmtId="0" fontId="22" fillId="4" borderId="18" xfId="0" applyFont="1" applyFill="1" applyBorder="1" applyAlignment="1">
      <alignment horizontal="center"/>
    </xf>
    <xf numFmtId="0" fontId="17" fillId="6" borderId="18" xfId="0" applyFont="1" applyFill="1" applyBorder="1" applyAlignment="1">
      <alignment horizontal="center"/>
    </xf>
    <xf numFmtId="0" fontId="27" fillId="7" borderId="19" xfId="0" applyFont="1" applyFill="1" applyBorder="1" applyAlignment="1">
      <alignment horizontal="center" vertical="center"/>
    </xf>
    <xf numFmtId="0" fontId="27" fillId="7" borderId="18" xfId="0" applyFont="1" applyFill="1" applyBorder="1" applyAlignment="1">
      <alignment horizontal="center" vertical="center"/>
    </xf>
    <xf numFmtId="0" fontId="27" fillId="7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FF3300"/>
      <color rgb="FF0066FF"/>
      <color rgb="FF006600"/>
      <color rgb="FFCC33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gif"/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Relationship Id="rId9" Type="http://schemas.openxmlformats.org/officeDocument/2006/relationships/image" Target="../media/image9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94</xdr:row>
      <xdr:rowOff>9526</xdr:rowOff>
    </xdr:from>
    <xdr:ext cx="2876550" cy="3752850"/>
    <xdr:sp macro="" textlink="">
      <xdr:nvSpPr>
        <xdr:cNvPr id="2" name="TextBox 1"/>
        <xdr:cNvSpPr txBox="1"/>
      </xdr:nvSpPr>
      <xdr:spPr>
        <a:xfrm>
          <a:off x="2971800" y="21269326"/>
          <a:ext cx="2876550" cy="3752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2000" b="1" u="sng"/>
            <a:t>Key Numbers</a:t>
          </a:r>
        </a:p>
        <a:p>
          <a:r>
            <a:rPr lang="en-US" sz="2000" b="0"/>
            <a:t>-</a:t>
          </a:r>
          <a:r>
            <a:rPr lang="en-US" sz="2000" b="1"/>
            <a:t> </a:t>
          </a:r>
          <a:r>
            <a:rPr lang="en-US" sz="2000" b="0"/>
            <a:t>Rushing Yards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tx1"/>
              </a:solidFill>
              <a:latin typeface="+mn-lt"/>
              <a:ea typeface="+mn-ea"/>
              <a:cs typeface="+mn-cs"/>
            </a:rPr>
            <a:t>1,045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(-</a:t>
          </a:r>
          <a:r>
            <a:rPr lang="en-US" sz="2000" b="0" baseline="0">
              <a:solidFill>
                <a:srgbClr val="0000FF"/>
              </a:solidFill>
              <a:latin typeface="+mn-lt"/>
              <a:ea typeface="+mn-ea"/>
              <a:cs typeface="+mn-cs"/>
            </a:rPr>
            <a:t>324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- </a:t>
          </a:r>
          <a:r>
            <a:rPr lang="en-US" sz="2000" b="0" u="sng" baseline="0">
              <a:solidFill>
                <a:schemeClr val="tx1"/>
              </a:solidFill>
              <a:latin typeface="+mn-lt"/>
              <a:ea typeface="+mn-ea"/>
              <a:cs typeface="+mn-cs"/>
            </a:rPr>
            <a:t>Rushing Att.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318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(-</a:t>
          </a:r>
          <a:r>
            <a:rPr lang="en-US" sz="2000" b="0" baseline="0">
              <a:solidFill>
                <a:srgbClr val="0000FF"/>
              </a:solidFill>
              <a:latin typeface="+mn-lt"/>
              <a:ea typeface="+mn-ea"/>
              <a:cs typeface="+mn-cs"/>
            </a:rPr>
            <a:t>59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  <a:endParaRPr lang="en-US" sz="2000" b="0"/>
        </a:p>
        <a:p>
          <a:r>
            <a:rPr lang="en-US" sz="2000" b="0"/>
            <a:t>-</a:t>
          </a:r>
          <a:r>
            <a:rPr lang="en-US" sz="2000" b="0" baseline="0"/>
            <a:t> </a:t>
          </a:r>
          <a:r>
            <a:rPr lang="en-US" sz="2000" b="0" u="sng" baseline="0"/>
            <a:t>Passing Yards</a:t>
          </a:r>
        </a:p>
        <a:p>
          <a:r>
            <a:rPr lang="en-US" sz="2000" b="1" baseline="0"/>
            <a:t>985</a:t>
          </a:r>
          <a:r>
            <a:rPr lang="en-US" sz="2000" b="0" baseline="0"/>
            <a:t> (+</a:t>
          </a:r>
          <a:r>
            <a:rPr lang="en-US" sz="2000" b="0" baseline="0">
              <a:solidFill>
                <a:srgbClr val="FF0000"/>
              </a:solidFill>
            </a:rPr>
            <a:t>477</a:t>
          </a:r>
          <a:r>
            <a:rPr lang="en-US" sz="2000" b="0" baseline="0"/>
            <a:t>)</a:t>
          </a:r>
        </a:p>
        <a:p>
          <a:r>
            <a:rPr lang="en-US" sz="2000" b="0" baseline="0"/>
            <a:t>- </a:t>
          </a:r>
          <a:r>
            <a:rPr lang="en-US" sz="2000" b="0" u="sng" baseline="0"/>
            <a:t>Passing Att.</a:t>
          </a:r>
        </a:p>
        <a:p>
          <a:r>
            <a:rPr lang="en-US" sz="2000" b="1" baseline="0"/>
            <a:t>173</a:t>
          </a:r>
          <a:r>
            <a:rPr lang="en-US" sz="2000" b="0" baseline="0"/>
            <a:t> (+</a:t>
          </a:r>
          <a:r>
            <a:rPr lang="en-US" sz="2000" b="0" baseline="0">
              <a:solidFill>
                <a:srgbClr val="FF0000"/>
              </a:solidFill>
            </a:rPr>
            <a:t>73</a:t>
          </a:r>
          <a:r>
            <a:rPr lang="en-US" sz="2000" b="0" baseline="0"/>
            <a:t>)</a:t>
          </a:r>
        </a:p>
        <a:p>
          <a:r>
            <a:rPr lang="en-US" sz="2000" b="0" baseline="0"/>
            <a:t>- </a:t>
          </a:r>
          <a:r>
            <a:rPr lang="en-US" sz="2000" b="0" u="sng" baseline="0"/>
            <a:t>Total Points</a:t>
          </a:r>
        </a:p>
        <a:p>
          <a:r>
            <a:rPr lang="en-US" sz="2000" b="1" baseline="0"/>
            <a:t>106</a:t>
          </a:r>
          <a:r>
            <a:rPr lang="en-US" sz="2000" b="0" baseline="0"/>
            <a:t> (+</a:t>
          </a:r>
          <a:r>
            <a:rPr lang="en-US" sz="2000" b="0" baseline="0">
              <a:solidFill>
                <a:srgbClr val="FF0000"/>
              </a:solidFill>
            </a:rPr>
            <a:t>2</a:t>
          </a:r>
          <a:r>
            <a:rPr lang="en-US" sz="2000" b="0" baseline="0"/>
            <a:t>)</a:t>
          </a:r>
          <a:endParaRPr lang="en-US" sz="20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104775</xdr:colOff>
      <xdr:row>82</xdr:row>
      <xdr:rowOff>9525</xdr:rowOff>
    </xdr:from>
    <xdr:to>
      <xdr:col>8</xdr:col>
      <xdr:colOff>466725</xdr:colOff>
      <xdr:row>87</xdr:row>
      <xdr:rowOff>66675</xdr:rowOff>
    </xdr:to>
    <xdr:pic>
      <xdr:nvPicPr>
        <xdr:cNvPr id="6" name="Picture 5" descr="Helmet of Belle Plaine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19625" y="16897350"/>
          <a:ext cx="15240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104</xdr:row>
      <xdr:rowOff>9525</xdr:rowOff>
    </xdr:from>
    <xdr:to>
      <xdr:col>8</xdr:col>
      <xdr:colOff>485775</xdr:colOff>
      <xdr:row>109</xdr:row>
      <xdr:rowOff>66675</xdr:rowOff>
    </xdr:to>
    <xdr:pic>
      <xdr:nvPicPr>
        <xdr:cNvPr id="7" name="Picture 6" descr="Helmet of NWYA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38675" y="20640675"/>
          <a:ext cx="15240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167</xdr:row>
      <xdr:rowOff>28575</xdr:rowOff>
    </xdr:from>
    <xdr:to>
      <xdr:col>8</xdr:col>
      <xdr:colOff>504825</xdr:colOff>
      <xdr:row>172</xdr:row>
      <xdr:rowOff>85725</xdr:rowOff>
    </xdr:to>
    <xdr:pic>
      <xdr:nvPicPr>
        <xdr:cNvPr id="8" name="Picture 7" descr="Helmet of PA.gif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657725" y="31699200"/>
          <a:ext cx="15240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147</xdr:row>
      <xdr:rowOff>47625</xdr:rowOff>
    </xdr:from>
    <xdr:to>
      <xdr:col>8</xdr:col>
      <xdr:colOff>466725</xdr:colOff>
      <xdr:row>152</xdr:row>
      <xdr:rowOff>104775</xdr:rowOff>
    </xdr:to>
    <xdr:pic>
      <xdr:nvPicPr>
        <xdr:cNvPr id="9" name="Picture 8" descr="Helmet of LH.gif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19625" y="27974925"/>
          <a:ext cx="15240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42</xdr:row>
      <xdr:rowOff>38100</xdr:rowOff>
    </xdr:from>
    <xdr:to>
      <xdr:col>8</xdr:col>
      <xdr:colOff>466725</xdr:colOff>
      <xdr:row>47</xdr:row>
      <xdr:rowOff>95250</xdr:rowOff>
    </xdr:to>
    <xdr:pic>
      <xdr:nvPicPr>
        <xdr:cNvPr id="12" name="Picture 11" descr="Helmet of Medford-El Shaddai.gif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19625" y="9648825"/>
          <a:ext cx="1524000" cy="1009650"/>
        </a:xfrm>
        <a:prstGeom prst="rect">
          <a:avLst/>
        </a:prstGeom>
      </xdr:spPr>
    </xdr:pic>
    <xdr:clientData/>
  </xdr:twoCellAnchor>
  <xdr:twoCellAnchor>
    <xdr:from>
      <xdr:col>7</xdr:col>
      <xdr:colOff>76200</xdr:colOff>
      <xdr:row>3</xdr:row>
      <xdr:rowOff>28575</xdr:rowOff>
    </xdr:from>
    <xdr:to>
      <xdr:col>7</xdr:col>
      <xdr:colOff>561975</xdr:colOff>
      <xdr:row>13</xdr:row>
      <xdr:rowOff>0</xdr:rowOff>
    </xdr:to>
    <xdr:sp macro="" textlink="">
      <xdr:nvSpPr>
        <xdr:cNvPr id="13" name="TextBox 12"/>
        <xdr:cNvSpPr txBox="1"/>
      </xdr:nvSpPr>
      <xdr:spPr>
        <a:xfrm>
          <a:off x="5172075" y="1028700"/>
          <a:ext cx="485775" cy="260032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T</a:t>
          </a:r>
        </a:p>
        <a:p>
          <a:pPr algn="ctr"/>
          <a:r>
            <a:rPr lang="en-US" sz="1600">
              <a:solidFill>
                <a:schemeClr val="bg1"/>
              </a:solidFill>
            </a:rPr>
            <a:t>E</a:t>
          </a:r>
        </a:p>
        <a:p>
          <a:pPr algn="ctr"/>
          <a:r>
            <a:rPr lang="en-US" sz="1600">
              <a:solidFill>
                <a:schemeClr val="bg1"/>
              </a:solidFill>
            </a:rPr>
            <a:t>A</a:t>
          </a:r>
        </a:p>
        <a:p>
          <a:pPr algn="ctr"/>
          <a:r>
            <a:rPr lang="en-US" sz="1600">
              <a:solidFill>
                <a:schemeClr val="bg1"/>
              </a:solidFill>
            </a:rPr>
            <a:t>M</a:t>
          </a:r>
        </a:p>
      </xdr:txBody>
    </xdr:sp>
    <xdr:clientData/>
  </xdr:twoCellAnchor>
  <xdr:twoCellAnchor>
    <xdr:from>
      <xdr:col>8</xdr:col>
      <xdr:colOff>57150</xdr:colOff>
      <xdr:row>14</xdr:row>
      <xdr:rowOff>0</xdr:rowOff>
    </xdr:from>
    <xdr:to>
      <xdr:col>8</xdr:col>
      <xdr:colOff>542925</xdr:colOff>
      <xdr:row>19</xdr:row>
      <xdr:rowOff>161925</xdr:rowOff>
    </xdr:to>
    <xdr:sp macro="" textlink="">
      <xdr:nvSpPr>
        <xdr:cNvPr id="14" name="TextBox 13"/>
        <xdr:cNvSpPr txBox="1"/>
      </xdr:nvSpPr>
      <xdr:spPr>
        <a:xfrm>
          <a:off x="5734050" y="2419350"/>
          <a:ext cx="485775" cy="112395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T</a:t>
          </a:r>
        </a:p>
        <a:p>
          <a:pPr algn="ctr"/>
          <a:r>
            <a:rPr lang="en-US" sz="1600">
              <a:solidFill>
                <a:schemeClr val="bg1"/>
              </a:solidFill>
            </a:rPr>
            <a:t>E</a:t>
          </a:r>
        </a:p>
        <a:p>
          <a:pPr algn="ctr"/>
          <a:r>
            <a:rPr lang="en-US" sz="1600">
              <a:solidFill>
                <a:schemeClr val="bg1"/>
              </a:solidFill>
            </a:rPr>
            <a:t>A</a:t>
          </a:r>
        </a:p>
        <a:p>
          <a:pPr algn="ctr"/>
          <a:r>
            <a:rPr lang="en-US" sz="1600">
              <a:solidFill>
                <a:schemeClr val="bg1"/>
              </a:solidFill>
            </a:rPr>
            <a:t>M</a:t>
          </a:r>
        </a:p>
      </xdr:txBody>
    </xdr:sp>
    <xdr:clientData/>
  </xdr:twoCellAnchor>
  <xdr:twoCellAnchor>
    <xdr:from>
      <xdr:col>7</xdr:col>
      <xdr:colOff>390525</xdr:colOff>
      <xdr:row>21</xdr:row>
      <xdr:rowOff>9525</xdr:rowOff>
    </xdr:from>
    <xdr:to>
      <xdr:col>8</xdr:col>
      <xdr:colOff>295275</xdr:colOff>
      <xdr:row>32</xdr:row>
      <xdr:rowOff>0</xdr:rowOff>
    </xdr:to>
    <xdr:sp macro="" textlink="">
      <xdr:nvSpPr>
        <xdr:cNvPr id="15" name="TextBox 14"/>
        <xdr:cNvSpPr txBox="1"/>
      </xdr:nvSpPr>
      <xdr:spPr>
        <a:xfrm>
          <a:off x="5486400" y="3848100"/>
          <a:ext cx="485775" cy="112395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T</a:t>
          </a:r>
        </a:p>
        <a:p>
          <a:pPr algn="ctr"/>
          <a:r>
            <a:rPr lang="en-US" sz="1600">
              <a:solidFill>
                <a:schemeClr val="bg1"/>
              </a:solidFill>
            </a:rPr>
            <a:t>E</a:t>
          </a:r>
        </a:p>
        <a:p>
          <a:pPr algn="ctr"/>
          <a:r>
            <a:rPr lang="en-US" sz="1600">
              <a:solidFill>
                <a:schemeClr val="bg1"/>
              </a:solidFill>
            </a:rPr>
            <a:t>A</a:t>
          </a:r>
        </a:p>
        <a:p>
          <a:pPr algn="ctr"/>
          <a:r>
            <a:rPr lang="en-US" sz="1600">
              <a:solidFill>
                <a:schemeClr val="bg1"/>
              </a:solidFill>
            </a:rPr>
            <a:t>M</a:t>
          </a:r>
        </a:p>
      </xdr:txBody>
    </xdr:sp>
    <xdr:clientData/>
  </xdr:twoCellAnchor>
  <xdr:twoCellAnchor editAs="oneCell">
    <xdr:from>
      <xdr:col>6</xdr:col>
      <xdr:colOff>123825</xdr:colOff>
      <xdr:row>125</xdr:row>
      <xdr:rowOff>9525</xdr:rowOff>
    </xdr:from>
    <xdr:to>
      <xdr:col>8</xdr:col>
      <xdr:colOff>485775</xdr:colOff>
      <xdr:row>130</xdr:row>
      <xdr:rowOff>66675</xdr:rowOff>
    </xdr:to>
    <xdr:pic>
      <xdr:nvPicPr>
        <xdr:cNvPr id="17" name="Picture 16" descr="Helmet of Mayer Luth.gif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638675" y="24384000"/>
          <a:ext cx="15240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62</xdr:row>
      <xdr:rowOff>28575</xdr:rowOff>
    </xdr:from>
    <xdr:to>
      <xdr:col>8</xdr:col>
      <xdr:colOff>504825</xdr:colOff>
      <xdr:row>67</xdr:row>
      <xdr:rowOff>85725</xdr:rowOff>
    </xdr:to>
    <xdr:pic>
      <xdr:nvPicPr>
        <xdr:cNvPr id="3" name="Picture 1" descr="http://www.mnhshp.com/Minnesota%20River/jordan1986.gif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657725" y="13001625"/>
          <a:ext cx="1524000" cy="100965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123825</xdr:colOff>
      <xdr:row>188</xdr:row>
      <xdr:rowOff>9525</xdr:rowOff>
    </xdr:from>
    <xdr:to>
      <xdr:col>8</xdr:col>
      <xdr:colOff>485775</xdr:colOff>
      <xdr:row>193</xdr:row>
      <xdr:rowOff>66675</xdr:rowOff>
    </xdr:to>
    <xdr:pic>
      <xdr:nvPicPr>
        <xdr:cNvPr id="18" name="Picture 17" descr="Helmet of Water-Town Mayer.gif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638675" y="35213925"/>
          <a:ext cx="15240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105756</xdr:colOff>
      <xdr:row>207</xdr:row>
      <xdr:rowOff>85725</xdr:rowOff>
    </xdr:from>
    <xdr:to>
      <xdr:col>8</xdr:col>
      <xdr:colOff>470137</xdr:colOff>
      <xdr:row>212</xdr:row>
      <xdr:rowOff>133349</xdr:rowOff>
    </xdr:to>
    <xdr:pic>
      <xdr:nvPicPr>
        <xdr:cNvPr id="20" name="Picture 19" descr="http://www.mnhshp.com/Hiawatha%20Valley%20Gold/triton2.gif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620606" y="43576875"/>
          <a:ext cx="1526431" cy="100964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94</xdr:row>
      <xdr:rowOff>38101</xdr:rowOff>
    </xdr:from>
    <xdr:ext cx="2876550" cy="3771900"/>
    <xdr:sp macro="" textlink="">
      <xdr:nvSpPr>
        <xdr:cNvPr id="3" name="TextBox 2"/>
        <xdr:cNvSpPr txBox="1"/>
      </xdr:nvSpPr>
      <xdr:spPr>
        <a:xfrm>
          <a:off x="2952750" y="21288376"/>
          <a:ext cx="2876550" cy="3771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2000" b="1" u="sng">
              <a:solidFill>
                <a:schemeClr val="tx1"/>
              </a:solidFill>
              <a:latin typeface="+mn-lt"/>
              <a:ea typeface="+mn-ea"/>
              <a:cs typeface="+mn-cs"/>
            </a:rPr>
            <a:t>Key Numbers</a:t>
          </a:r>
          <a:endParaRPr lang="en-US" sz="2000"/>
        </a:p>
        <a:p>
          <a:r>
            <a:rPr lang="en-US" sz="2000" b="0">
              <a:solidFill>
                <a:schemeClr val="tx1"/>
              </a:solidFill>
              <a:latin typeface="+mn-lt"/>
              <a:ea typeface="+mn-ea"/>
              <a:cs typeface="+mn-cs"/>
            </a:rPr>
            <a:t>-</a:t>
          </a:r>
          <a:r>
            <a:rPr lang="en-US" sz="2000" b="1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2000" b="0" u="sng">
              <a:solidFill>
                <a:schemeClr val="tx1"/>
              </a:solidFill>
              <a:latin typeface="+mn-lt"/>
              <a:ea typeface="+mn-ea"/>
              <a:cs typeface="+mn-cs"/>
            </a:rPr>
            <a:t>Rushing Yards</a:t>
          </a:r>
        </a:p>
        <a:p>
          <a:r>
            <a:rPr lang="en-US" sz="2000" b="1">
              <a:solidFill>
                <a:schemeClr val="tx1"/>
              </a:solidFill>
              <a:latin typeface="+mn-lt"/>
              <a:ea typeface="+mn-ea"/>
              <a:cs typeface="+mn-cs"/>
            </a:rPr>
            <a:t>1,805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(-</a:t>
          </a:r>
          <a:r>
            <a:rPr lang="en-US" sz="2000" b="0" baseline="0">
              <a:solidFill>
                <a:srgbClr val="FF0000"/>
              </a:solidFill>
              <a:latin typeface="+mn-lt"/>
              <a:ea typeface="+mn-ea"/>
              <a:cs typeface="+mn-cs"/>
            </a:rPr>
            <a:t>396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  <a:endParaRPr lang="en-US" sz="20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sz="2000" b="0">
              <a:solidFill>
                <a:schemeClr val="tx1"/>
              </a:solidFill>
              <a:latin typeface="+mn-lt"/>
              <a:ea typeface="+mn-ea"/>
              <a:cs typeface="+mn-cs"/>
            </a:rPr>
            <a:t>-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2000" b="0" u="sng" baseline="0">
              <a:solidFill>
                <a:schemeClr val="tx1"/>
              </a:solidFill>
              <a:latin typeface="+mn-lt"/>
              <a:ea typeface="+mn-ea"/>
              <a:cs typeface="+mn-cs"/>
            </a:rPr>
            <a:t>Passing Yards</a:t>
          </a:r>
        </a:p>
        <a:p>
          <a:r>
            <a:rPr lang="en-US" sz="2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786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(+</a:t>
          </a:r>
          <a:r>
            <a:rPr lang="en-US" sz="2000" b="0" baseline="0">
              <a:solidFill>
                <a:srgbClr val="0000FF"/>
              </a:solidFill>
              <a:latin typeface="+mn-lt"/>
              <a:ea typeface="+mn-ea"/>
              <a:cs typeface="+mn-cs"/>
            </a:rPr>
            <a:t>138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  <a:endParaRPr lang="en-US" sz="2000"/>
        </a:p>
        <a:p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- </a:t>
          </a:r>
          <a:r>
            <a:rPr lang="en-US" sz="2000" b="0" u="sng" baseline="0">
              <a:solidFill>
                <a:schemeClr val="tx1"/>
              </a:solidFill>
              <a:latin typeface="+mn-lt"/>
              <a:ea typeface="+mn-ea"/>
              <a:cs typeface="+mn-cs"/>
            </a:rPr>
            <a:t>Total Points</a:t>
          </a:r>
        </a:p>
        <a:p>
          <a:r>
            <a:rPr lang="en-US" sz="2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186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(-</a:t>
          </a:r>
          <a:r>
            <a:rPr lang="en-US" sz="2000" b="0" baseline="0">
              <a:solidFill>
                <a:srgbClr val="FF0000"/>
              </a:solidFill>
              <a:latin typeface="+mn-lt"/>
              <a:ea typeface="+mn-ea"/>
              <a:cs typeface="+mn-cs"/>
            </a:rPr>
            <a:t>80</a:t>
          </a:r>
          <a:r>
            <a:rPr lang="en-US" sz="20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)</a:t>
          </a:r>
          <a:endParaRPr lang="en-US" sz="2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opLeftCell="A88" workbookViewId="0">
      <selection activeCell="G105" sqref="G105"/>
    </sheetView>
  </sheetViews>
  <sheetFormatPr defaultRowHeight="15"/>
  <cols>
    <col min="1" max="1" width="32.5703125" customWidth="1"/>
    <col min="2" max="2" width="11.5703125" customWidth="1"/>
    <col min="3" max="3" width="32.5703125" customWidth="1"/>
    <col min="4" max="4" width="11.5703125" customWidth="1"/>
  </cols>
  <sheetData>
    <row r="1" spans="1:4" ht="25.5" customHeight="1" thickBot="1">
      <c r="A1" s="377" t="s">
        <v>78</v>
      </c>
      <c r="B1" s="378"/>
      <c r="C1" s="378"/>
      <c r="D1" s="379"/>
    </row>
    <row r="2" spans="1:4" ht="33" thickBot="1">
      <c r="A2" s="380" t="s">
        <v>26</v>
      </c>
      <c r="B2" s="381"/>
      <c r="C2" s="381"/>
      <c r="D2" s="382"/>
    </row>
    <row r="3" spans="1:4" ht="18" thickBot="1">
      <c r="A3" s="383" t="s">
        <v>12</v>
      </c>
      <c r="B3" s="384"/>
      <c r="C3" s="385" t="s">
        <v>13</v>
      </c>
      <c r="D3" s="384"/>
    </row>
    <row r="4" spans="1:4" ht="18" thickBot="1">
      <c r="A4" s="356" t="s">
        <v>223</v>
      </c>
      <c r="B4" s="357"/>
      <c r="C4" s="376" t="s">
        <v>229</v>
      </c>
      <c r="D4" s="357"/>
    </row>
    <row r="5" spans="1:4" ht="17.25">
      <c r="A5" s="69" t="s">
        <v>0</v>
      </c>
      <c r="B5" s="77">
        <v>318</v>
      </c>
      <c r="C5" s="187" t="s">
        <v>14</v>
      </c>
      <c r="D5" s="82">
        <v>35.33</v>
      </c>
    </row>
    <row r="6" spans="1:4" ht="17.25">
      <c r="A6" s="70" t="s">
        <v>2</v>
      </c>
      <c r="B6" s="193">
        <v>1045</v>
      </c>
      <c r="C6" s="70" t="s">
        <v>15</v>
      </c>
      <c r="D6" s="83">
        <v>116.11</v>
      </c>
    </row>
    <row r="7" spans="1:4" ht="17.25">
      <c r="A7" s="70" t="s">
        <v>11</v>
      </c>
      <c r="B7" s="78">
        <v>3.28</v>
      </c>
      <c r="C7" s="191" t="s">
        <v>147</v>
      </c>
      <c r="D7" s="196" t="s">
        <v>227</v>
      </c>
    </row>
    <row r="8" spans="1:4" ht="18" thickBot="1">
      <c r="A8" s="71" t="s">
        <v>64</v>
      </c>
      <c r="B8" s="194">
        <v>8</v>
      </c>
      <c r="C8" s="192" t="s">
        <v>148</v>
      </c>
      <c r="D8" s="197" t="s">
        <v>228</v>
      </c>
    </row>
    <row r="9" spans="1:4" ht="18" thickBot="1">
      <c r="A9" s="71" t="s">
        <v>3</v>
      </c>
      <c r="B9" s="79">
        <v>11</v>
      </c>
      <c r="C9" s="46"/>
      <c r="D9" s="37"/>
    </row>
    <row r="10" spans="1:4" ht="18" thickBot="1">
      <c r="A10" s="356" t="s">
        <v>224</v>
      </c>
      <c r="B10" s="375"/>
      <c r="C10" s="376" t="s">
        <v>230</v>
      </c>
      <c r="D10" s="357"/>
    </row>
    <row r="11" spans="1:4" ht="17.25">
      <c r="A11" s="69" t="s">
        <v>1</v>
      </c>
      <c r="B11" s="77">
        <v>173</v>
      </c>
      <c r="C11" s="73" t="s">
        <v>17</v>
      </c>
      <c r="D11" s="82">
        <v>19.22</v>
      </c>
    </row>
    <row r="12" spans="1:4" ht="17.25">
      <c r="A12" s="70" t="s">
        <v>6</v>
      </c>
      <c r="B12" s="78">
        <v>68</v>
      </c>
      <c r="C12" s="74" t="s">
        <v>18</v>
      </c>
      <c r="D12" s="83">
        <v>7.55</v>
      </c>
    </row>
    <row r="13" spans="1:4" ht="18" thickBot="1">
      <c r="A13" s="70" t="s">
        <v>4</v>
      </c>
      <c r="B13" s="78">
        <v>985</v>
      </c>
      <c r="C13" s="74" t="s">
        <v>19</v>
      </c>
      <c r="D13" s="84">
        <v>109.44</v>
      </c>
    </row>
    <row r="14" spans="1:4" ht="17.25">
      <c r="A14" s="70" t="s">
        <v>5</v>
      </c>
      <c r="B14" s="78">
        <v>3</v>
      </c>
      <c r="C14" s="46"/>
      <c r="D14" s="37"/>
    </row>
    <row r="15" spans="1:4" ht="18" thickBot="1">
      <c r="A15" s="71" t="s">
        <v>7</v>
      </c>
      <c r="B15" s="79">
        <v>11</v>
      </c>
      <c r="C15" s="46"/>
      <c r="D15" s="37"/>
    </row>
    <row r="16" spans="1:4" ht="18" thickBot="1">
      <c r="A16" s="356" t="s">
        <v>225</v>
      </c>
      <c r="B16" s="375"/>
      <c r="C16" s="376" t="s">
        <v>231</v>
      </c>
      <c r="D16" s="357"/>
    </row>
    <row r="17" spans="1:4" ht="18" thickBot="1">
      <c r="A17" s="186" t="s">
        <v>8</v>
      </c>
      <c r="B17" s="195">
        <v>104</v>
      </c>
      <c r="C17" s="190" t="s">
        <v>21</v>
      </c>
      <c r="D17" s="195">
        <v>11.55</v>
      </c>
    </row>
    <row r="18" spans="1:4" ht="18" thickBot="1">
      <c r="A18" s="356" t="s">
        <v>226</v>
      </c>
      <c r="B18" s="375"/>
      <c r="C18" s="376" t="s">
        <v>233</v>
      </c>
      <c r="D18" s="375"/>
    </row>
    <row r="19" spans="1:4" ht="17.25">
      <c r="A19" s="187" t="s">
        <v>10</v>
      </c>
      <c r="B19" s="77">
        <v>106</v>
      </c>
      <c r="C19" s="188" t="s">
        <v>22</v>
      </c>
      <c r="D19" s="82">
        <v>11.77</v>
      </c>
    </row>
    <row r="20" spans="1:4" ht="18" thickBot="1">
      <c r="A20" s="110" t="s">
        <v>9</v>
      </c>
      <c r="B20" s="111">
        <v>2037</v>
      </c>
      <c r="C20" s="189" t="s">
        <v>232</v>
      </c>
      <c r="D20" s="84">
        <v>226.33</v>
      </c>
    </row>
    <row r="21" spans="1:4" ht="18" customHeight="1">
      <c r="A21" s="368" t="s">
        <v>63</v>
      </c>
      <c r="B21" s="369"/>
      <c r="C21" s="370"/>
      <c r="D21" s="371"/>
    </row>
    <row r="22" spans="1:4" ht="15.75" thickBot="1">
      <c r="A22" s="372"/>
      <c r="B22" s="373"/>
      <c r="C22" s="373"/>
      <c r="D22" s="374"/>
    </row>
    <row r="23" spans="1:4" ht="18" thickBot="1">
      <c r="A23" s="388" t="s">
        <v>165</v>
      </c>
      <c r="B23" s="389"/>
      <c r="C23" s="390" t="s">
        <v>164</v>
      </c>
      <c r="D23" s="391"/>
    </row>
    <row r="24" spans="1:4" ht="18" thickBot="1">
      <c r="A24" s="356" t="s">
        <v>59</v>
      </c>
      <c r="B24" s="357"/>
      <c r="C24" s="356" t="s">
        <v>59</v>
      </c>
      <c r="D24" s="357"/>
    </row>
    <row r="25" spans="1:4" ht="17.25">
      <c r="A25" s="6" t="s">
        <v>0</v>
      </c>
      <c r="B25" s="90">
        <v>56</v>
      </c>
      <c r="C25" s="6" t="s">
        <v>0</v>
      </c>
      <c r="D25" s="81">
        <v>46</v>
      </c>
    </row>
    <row r="26" spans="1:4" ht="17.25">
      <c r="A26" s="7" t="s">
        <v>2</v>
      </c>
      <c r="B26" s="91">
        <v>188</v>
      </c>
      <c r="C26" s="7" t="s">
        <v>2</v>
      </c>
      <c r="D26" s="86">
        <v>99</v>
      </c>
    </row>
    <row r="27" spans="1:4" ht="17.25">
      <c r="A27" s="7" t="s">
        <v>11</v>
      </c>
      <c r="B27" s="91">
        <v>3.35</v>
      </c>
      <c r="C27" s="7" t="s">
        <v>11</v>
      </c>
      <c r="D27" s="86">
        <v>2.15</v>
      </c>
    </row>
    <row r="28" spans="1:4" ht="18" thickBot="1">
      <c r="A28" s="8" t="s">
        <v>3</v>
      </c>
      <c r="B28" s="92">
        <v>2</v>
      </c>
      <c r="C28" s="8" t="s">
        <v>3</v>
      </c>
      <c r="D28" s="87">
        <v>1</v>
      </c>
    </row>
    <row r="29" spans="1:4" ht="18" thickBot="1">
      <c r="A29" s="356" t="s">
        <v>60</v>
      </c>
      <c r="B29" s="357"/>
      <c r="C29" s="356" t="s">
        <v>60</v>
      </c>
      <c r="D29" s="357"/>
    </row>
    <row r="30" spans="1:4" ht="17.25">
      <c r="A30" s="6" t="s">
        <v>1</v>
      </c>
      <c r="B30" s="90">
        <v>12</v>
      </c>
      <c r="C30" s="6" t="s">
        <v>1</v>
      </c>
      <c r="D30" s="81">
        <v>9</v>
      </c>
    </row>
    <row r="31" spans="1:4" ht="17.25">
      <c r="A31" s="7" t="s">
        <v>6</v>
      </c>
      <c r="B31" s="91">
        <v>3</v>
      </c>
      <c r="C31" s="7" t="s">
        <v>6</v>
      </c>
      <c r="D31" s="86">
        <v>5</v>
      </c>
    </row>
    <row r="32" spans="1:4" ht="17.25">
      <c r="A32" s="7" t="s">
        <v>4</v>
      </c>
      <c r="B32" s="91">
        <v>42</v>
      </c>
      <c r="C32" s="7" t="s">
        <v>4</v>
      </c>
      <c r="D32" s="103">
        <v>74</v>
      </c>
    </row>
    <row r="33" spans="1:4" ht="17.25">
      <c r="A33" s="7" t="s">
        <v>5</v>
      </c>
      <c r="B33" s="91">
        <v>0</v>
      </c>
      <c r="C33" s="7" t="s">
        <v>5</v>
      </c>
      <c r="D33" s="86">
        <v>0</v>
      </c>
    </row>
    <row r="34" spans="1:4" ht="18" thickBot="1">
      <c r="A34" s="8" t="s">
        <v>7</v>
      </c>
      <c r="B34" s="92">
        <v>1</v>
      </c>
      <c r="C34" s="8" t="s">
        <v>7</v>
      </c>
      <c r="D34" s="87">
        <v>3</v>
      </c>
    </row>
    <row r="35" spans="1:4" ht="18" thickBot="1">
      <c r="A35" s="356" t="s">
        <v>61</v>
      </c>
      <c r="B35" s="357"/>
      <c r="C35" s="356" t="s">
        <v>61</v>
      </c>
      <c r="D35" s="357"/>
    </row>
    <row r="36" spans="1:4" ht="18" thickBot="1">
      <c r="A36" s="9" t="s">
        <v>8</v>
      </c>
      <c r="B36" s="93">
        <v>19</v>
      </c>
      <c r="C36" s="9" t="s">
        <v>8</v>
      </c>
      <c r="D36" s="89">
        <v>11</v>
      </c>
    </row>
    <row r="37" spans="1:4" ht="18" thickBot="1">
      <c r="A37" s="356" t="s">
        <v>62</v>
      </c>
      <c r="B37" s="357"/>
      <c r="C37" s="356" t="s">
        <v>62</v>
      </c>
      <c r="D37" s="357"/>
    </row>
    <row r="38" spans="1:4" ht="17.25">
      <c r="A38" s="6" t="s">
        <v>10</v>
      </c>
      <c r="B38" s="90">
        <v>14</v>
      </c>
      <c r="C38" s="6" t="s">
        <v>10</v>
      </c>
      <c r="D38" s="81">
        <v>13</v>
      </c>
    </row>
    <row r="39" spans="1:4" ht="18" thickBot="1">
      <c r="A39" s="8" t="s">
        <v>9</v>
      </c>
      <c r="B39" s="92">
        <v>239</v>
      </c>
      <c r="C39" s="8" t="s">
        <v>9</v>
      </c>
      <c r="D39" s="87">
        <v>171</v>
      </c>
    </row>
    <row r="40" spans="1:4" ht="15.75" thickBot="1">
      <c r="A40" s="3"/>
      <c r="B40" s="4"/>
      <c r="C40" s="3"/>
      <c r="D40" s="5"/>
    </row>
    <row r="41" spans="1:4" ht="18" thickBot="1">
      <c r="A41" s="386" t="s">
        <v>169</v>
      </c>
      <c r="B41" s="387"/>
      <c r="C41" s="392" t="s">
        <v>177</v>
      </c>
      <c r="D41" s="393"/>
    </row>
    <row r="42" spans="1:4" ht="18" thickBot="1">
      <c r="A42" s="356" t="s">
        <v>59</v>
      </c>
      <c r="B42" s="357"/>
      <c r="C42" s="356" t="s">
        <v>59</v>
      </c>
      <c r="D42" s="357"/>
    </row>
    <row r="43" spans="1:4" ht="17.25">
      <c r="A43" s="6" t="s">
        <v>0</v>
      </c>
      <c r="B43" s="90">
        <v>44</v>
      </c>
      <c r="C43" s="6" t="s">
        <v>0</v>
      </c>
      <c r="D43" s="81">
        <v>27</v>
      </c>
    </row>
    <row r="44" spans="1:4" ht="17.25">
      <c r="A44" s="7" t="s">
        <v>2</v>
      </c>
      <c r="B44" s="91">
        <v>187</v>
      </c>
      <c r="C44" s="7" t="s">
        <v>2</v>
      </c>
      <c r="D44" s="86">
        <v>79</v>
      </c>
    </row>
    <row r="45" spans="1:4" ht="17.25">
      <c r="A45" s="7" t="s">
        <v>11</v>
      </c>
      <c r="B45" s="91">
        <v>4.25</v>
      </c>
      <c r="C45" s="7" t="s">
        <v>11</v>
      </c>
      <c r="D45" s="86">
        <v>2.92</v>
      </c>
    </row>
    <row r="46" spans="1:4" ht="18" thickBot="1">
      <c r="A46" s="8" t="s">
        <v>3</v>
      </c>
      <c r="B46" s="92">
        <v>0</v>
      </c>
      <c r="C46" s="8" t="s">
        <v>3</v>
      </c>
      <c r="D46" s="87">
        <v>1</v>
      </c>
    </row>
    <row r="47" spans="1:4" ht="18" thickBot="1">
      <c r="A47" s="356" t="s">
        <v>60</v>
      </c>
      <c r="B47" s="357"/>
      <c r="C47" s="356" t="s">
        <v>60</v>
      </c>
      <c r="D47" s="357"/>
    </row>
    <row r="48" spans="1:4" ht="17.25">
      <c r="A48" s="6" t="s">
        <v>1</v>
      </c>
      <c r="B48" s="90">
        <v>13</v>
      </c>
      <c r="C48" s="6" t="s">
        <v>1</v>
      </c>
      <c r="D48" s="81">
        <v>27</v>
      </c>
    </row>
    <row r="49" spans="1:4" ht="17.25">
      <c r="A49" s="7" t="s">
        <v>6</v>
      </c>
      <c r="B49" s="91">
        <v>9</v>
      </c>
      <c r="C49" s="7" t="s">
        <v>6</v>
      </c>
      <c r="D49" s="86">
        <v>7</v>
      </c>
    </row>
    <row r="50" spans="1:4" ht="17.25">
      <c r="A50" s="7" t="s">
        <v>4</v>
      </c>
      <c r="B50" s="200">
        <v>134</v>
      </c>
      <c r="C50" s="7" t="s">
        <v>4</v>
      </c>
      <c r="D50" s="86">
        <v>184</v>
      </c>
    </row>
    <row r="51" spans="1:4" ht="17.25">
      <c r="A51" s="7" t="s">
        <v>5</v>
      </c>
      <c r="B51" s="91">
        <v>0</v>
      </c>
      <c r="C51" s="7" t="s">
        <v>5</v>
      </c>
      <c r="D51" s="86">
        <v>1</v>
      </c>
    </row>
    <row r="52" spans="1:4" ht="18" thickBot="1">
      <c r="A52" s="8" t="s">
        <v>7</v>
      </c>
      <c r="B52" s="92">
        <v>1</v>
      </c>
      <c r="C52" s="8" t="s">
        <v>7</v>
      </c>
      <c r="D52" s="87">
        <v>2</v>
      </c>
    </row>
    <row r="53" spans="1:4" ht="18" thickBot="1">
      <c r="A53" s="356" t="s">
        <v>61</v>
      </c>
      <c r="B53" s="357"/>
      <c r="C53" s="356" t="s">
        <v>61</v>
      </c>
      <c r="D53" s="357"/>
    </row>
    <row r="54" spans="1:4" ht="18" thickBot="1">
      <c r="A54" s="9" t="s">
        <v>8</v>
      </c>
      <c r="B54" s="93">
        <v>16</v>
      </c>
      <c r="C54" s="9" t="s">
        <v>8</v>
      </c>
      <c r="D54" s="89">
        <v>13</v>
      </c>
    </row>
    <row r="55" spans="1:4" ht="18" thickBot="1">
      <c r="A55" s="356" t="s">
        <v>62</v>
      </c>
      <c r="B55" s="357"/>
      <c r="C55" s="356" t="s">
        <v>62</v>
      </c>
      <c r="D55" s="357"/>
    </row>
    <row r="56" spans="1:4" ht="17.25">
      <c r="A56" s="6" t="s">
        <v>10</v>
      </c>
      <c r="B56" s="90">
        <v>3</v>
      </c>
      <c r="C56" s="6" t="s">
        <v>10</v>
      </c>
      <c r="D56" s="81">
        <v>13</v>
      </c>
    </row>
    <row r="57" spans="1:4" ht="18" thickBot="1">
      <c r="A57" s="8" t="s">
        <v>9</v>
      </c>
      <c r="B57" s="92">
        <v>321</v>
      </c>
      <c r="C57" s="8" t="s">
        <v>9</v>
      </c>
      <c r="D57" s="87">
        <v>263</v>
      </c>
    </row>
    <row r="58" spans="1:4" ht="15.75" thickBot="1">
      <c r="A58" s="3"/>
      <c r="B58" s="4"/>
      <c r="C58" s="3"/>
      <c r="D58" s="5"/>
    </row>
    <row r="59" spans="1:4" ht="18" thickBot="1">
      <c r="A59" s="394" t="s">
        <v>192</v>
      </c>
      <c r="B59" s="395"/>
      <c r="C59" s="396" t="s">
        <v>198</v>
      </c>
      <c r="D59" s="397"/>
    </row>
    <row r="60" spans="1:4" ht="18" thickBot="1">
      <c r="A60" s="356" t="s">
        <v>59</v>
      </c>
      <c r="B60" s="357"/>
      <c r="C60" s="356" t="s">
        <v>59</v>
      </c>
      <c r="D60" s="357"/>
    </row>
    <row r="61" spans="1:4" ht="17.25">
      <c r="A61" s="6" t="s">
        <v>0</v>
      </c>
      <c r="B61" s="90">
        <v>24</v>
      </c>
      <c r="C61" s="6" t="s">
        <v>0</v>
      </c>
      <c r="D61" s="81">
        <v>21</v>
      </c>
    </row>
    <row r="62" spans="1:4" ht="17.25">
      <c r="A62" s="7" t="s">
        <v>2</v>
      </c>
      <c r="B62" s="91">
        <v>35</v>
      </c>
      <c r="C62" s="7" t="s">
        <v>2</v>
      </c>
      <c r="D62" s="86">
        <v>-6</v>
      </c>
    </row>
    <row r="63" spans="1:4" ht="17.25">
      <c r="A63" s="7" t="s">
        <v>11</v>
      </c>
      <c r="B63" s="91">
        <v>1.29</v>
      </c>
      <c r="C63" s="7" t="s">
        <v>11</v>
      </c>
      <c r="D63" s="86">
        <v>0</v>
      </c>
    </row>
    <row r="64" spans="1:4" ht="18" thickBot="1">
      <c r="A64" s="8" t="s">
        <v>3</v>
      </c>
      <c r="B64" s="92">
        <v>0</v>
      </c>
      <c r="C64" s="8" t="s">
        <v>3</v>
      </c>
      <c r="D64" s="87">
        <v>0</v>
      </c>
    </row>
    <row r="65" spans="1:4" ht="18" thickBot="1">
      <c r="A65" s="356" t="s">
        <v>60</v>
      </c>
      <c r="B65" s="357"/>
      <c r="C65" s="356" t="s">
        <v>60</v>
      </c>
      <c r="D65" s="357"/>
    </row>
    <row r="66" spans="1:4" ht="17.25">
      <c r="A66" s="6" t="s">
        <v>1</v>
      </c>
      <c r="B66" s="90">
        <v>24</v>
      </c>
      <c r="C66" s="6" t="s">
        <v>1</v>
      </c>
      <c r="D66" s="81">
        <v>22</v>
      </c>
    </row>
    <row r="67" spans="1:4" ht="17.25">
      <c r="A67" s="7" t="s">
        <v>6</v>
      </c>
      <c r="B67" s="91">
        <v>9</v>
      </c>
      <c r="C67" s="7" t="s">
        <v>6</v>
      </c>
      <c r="D67" s="86">
        <v>9</v>
      </c>
    </row>
    <row r="68" spans="1:4" ht="17.25">
      <c r="A68" s="7" t="s">
        <v>4</v>
      </c>
      <c r="B68" s="91">
        <v>157</v>
      </c>
      <c r="C68" s="7" t="s">
        <v>4</v>
      </c>
      <c r="D68" s="86">
        <v>98</v>
      </c>
    </row>
    <row r="69" spans="1:4" ht="17.25">
      <c r="A69" s="7" t="s">
        <v>5</v>
      </c>
      <c r="B69" s="91">
        <v>2</v>
      </c>
      <c r="C69" s="7" t="s">
        <v>5</v>
      </c>
      <c r="D69" s="86">
        <v>0</v>
      </c>
    </row>
    <row r="70" spans="1:4" ht="18" thickBot="1">
      <c r="A70" s="8" t="s">
        <v>7</v>
      </c>
      <c r="B70" s="92">
        <v>2</v>
      </c>
      <c r="C70" s="8" t="s">
        <v>7</v>
      </c>
      <c r="D70" s="87">
        <v>0</v>
      </c>
    </row>
    <row r="71" spans="1:4" ht="18" thickBot="1">
      <c r="A71" s="356" t="s">
        <v>61</v>
      </c>
      <c r="B71" s="357"/>
      <c r="C71" s="356" t="s">
        <v>61</v>
      </c>
      <c r="D71" s="357"/>
    </row>
    <row r="72" spans="1:4" ht="18" thickBot="1">
      <c r="A72" s="9" t="s">
        <v>8</v>
      </c>
      <c r="B72" s="93">
        <v>6</v>
      </c>
      <c r="C72" s="9" t="s">
        <v>8</v>
      </c>
      <c r="D72" s="89">
        <v>6</v>
      </c>
    </row>
    <row r="73" spans="1:4" ht="18" thickBot="1">
      <c r="A73" s="356" t="s">
        <v>62</v>
      </c>
      <c r="B73" s="357"/>
      <c r="C73" s="356" t="s">
        <v>62</v>
      </c>
      <c r="D73" s="357"/>
    </row>
    <row r="74" spans="1:4" ht="17.25">
      <c r="A74" s="6" t="s">
        <v>10</v>
      </c>
      <c r="B74" s="90">
        <v>16</v>
      </c>
      <c r="C74" s="6" t="s">
        <v>10</v>
      </c>
      <c r="D74" s="81">
        <v>0</v>
      </c>
    </row>
    <row r="75" spans="1:4" ht="18" thickBot="1">
      <c r="A75" s="8" t="s">
        <v>9</v>
      </c>
      <c r="B75" s="92">
        <v>192</v>
      </c>
      <c r="C75" s="8" t="s">
        <v>9</v>
      </c>
      <c r="D75" s="87">
        <v>92</v>
      </c>
    </row>
    <row r="76" spans="1:4" ht="15.75" thickBot="1">
      <c r="A76" s="3"/>
      <c r="B76" s="4"/>
      <c r="C76" s="3"/>
      <c r="D76" s="5"/>
    </row>
    <row r="77" spans="1:4" ht="18" thickBot="1">
      <c r="A77" s="358" t="s">
        <v>204</v>
      </c>
      <c r="B77" s="359"/>
      <c r="C77" s="360" t="s">
        <v>210</v>
      </c>
      <c r="D77" s="361"/>
    </row>
    <row r="78" spans="1:4" ht="18" thickBot="1">
      <c r="A78" s="356" t="s">
        <v>59</v>
      </c>
      <c r="B78" s="357"/>
      <c r="C78" s="356" t="s">
        <v>59</v>
      </c>
      <c r="D78" s="357"/>
    </row>
    <row r="79" spans="1:4" ht="17.25">
      <c r="A79" s="6" t="s">
        <v>0</v>
      </c>
      <c r="B79" s="90">
        <v>29</v>
      </c>
      <c r="C79" s="6" t="s">
        <v>0</v>
      </c>
      <c r="D79" s="81">
        <v>35</v>
      </c>
    </row>
    <row r="80" spans="1:4" ht="17.25">
      <c r="A80" s="7" t="s">
        <v>2</v>
      </c>
      <c r="B80" s="91">
        <v>156</v>
      </c>
      <c r="C80" s="7" t="s">
        <v>2</v>
      </c>
      <c r="D80" s="86">
        <v>158</v>
      </c>
    </row>
    <row r="81" spans="1:4" ht="17.25">
      <c r="A81" s="7" t="s">
        <v>11</v>
      </c>
      <c r="B81" s="91">
        <v>5.3</v>
      </c>
      <c r="C81" s="7" t="s">
        <v>11</v>
      </c>
      <c r="D81" s="88">
        <v>4.51</v>
      </c>
    </row>
    <row r="82" spans="1:4" ht="18" thickBot="1">
      <c r="A82" s="8" t="s">
        <v>3</v>
      </c>
      <c r="B82" s="92">
        <v>3</v>
      </c>
      <c r="C82" s="8" t="s">
        <v>3</v>
      </c>
      <c r="D82" s="87">
        <v>2</v>
      </c>
    </row>
    <row r="83" spans="1:4" ht="18" thickBot="1">
      <c r="A83" s="356" t="s">
        <v>60</v>
      </c>
      <c r="B83" s="357"/>
      <c r="C83" s="356" t="s">
        <v>60</v>
      </c>
      <c r="D83" s="357"/>
    </row>
    <row r="84" spans="1:4" ht="17.25">
      <c r="A84" s="6" t="s">
        <v>1</v>
      </c>
      <c r="B84" s="90">
        <v>22</v>
      </c>
      <c r="C84" s="6" t="s">
        <v>1</v>
      </c>
      <c r="D84" s="81">
        <v>22</v>
      </c>
    </row>
    <row r="85" spans="1:4" ht="17.25">
      <c r="A85" s="7" t="s">
        <v>6</v>
      </c>
      <c r="B85" s="91">
        <v>12</v>
      </c>
      <c r="C85" s="7" t="s">
        <v>6</v>
      </c>
      <c r="D85" s="86">
        <v>9</v>
      </c>
    </row>
    <row r="86" spans="1:4" ht="17.25">
      <c r="A86" s="7" t="s">
        <v>4</v>
      </c>
      <c r="B86" s="91">
        <v>122</v>
      </c>
      <c r="C86" s="7" t="s">
        <v>4</v>
      </c>
      <c r="D86" s="86">
        <v>94</v>
      </c>
    </row>
    <row r="87" spans="1:4" ht="17.25">
      <c r="A87" s="7" t="s">
        <v>5</v>
      </c>
      <c r="B87" s="91">
        <v>0</v>
      </c>
      <c r="C87" s="7" t="s">
        <v>5</v>
      </c>
      <c r="D87" s="86">
        <v>0</v>
      </c>
    </row>
    <row r="88" spans="1:4" ht="18" thickBot="1">
      <c r="A88" s="8" t="s">
        <v>7</v>
      </c>
      <c r="B88" s="92">
        <v>0</v>
      </c>
      <c r="C88" s="8" t="s">
        <v>7</v>
      </c>
      <c r="D88" s="87">
        <v>1</v>
      </c>
    </row>
    <row r="89" spans="1:4" ht="18" thickBot="1">
      <c r="A89" s="356" t="s">
        <v>61</v>
      </c>
      <c r="B89" s="357"/>
      <c r="C89" s="356" t="s">
        <v>61</v>
      </c>
      <c r="D89" s="357"/>
    </row>
    <row r="90" spans="1:4" ht="18" thickBot="1">
      <c r="A90" s="9" t="s">
        <v>8</v>
      </c>
      <c r="B90" s="93">
        <v>9</v>
      </c>
      <c r="C90" s="9" t="s">
        <v>8</v>
      </c>
      <c r="D90" s="89">
        <v>13</v>
      </c>
    </row>
    <row r="91" spans="1:4" ht="18" thickBot="1">
      <c r="A91" s="356" t="s">
        <v>62</v>
      </c>
      <c r="B91" s="357"/>
      <c r="C91" s="356" t="s">
        <v>62</v>
      </c>
      <c r="D91" s="357"/>
    </row>
    <row r="92" spans="1:4" ht="17.25">
      <c r="A92" s="6" t="s">
        <v>10</v>
      </c>
      <c r="B92" s="90">
        <v>21</v>
      </c>
      <c r="C92" s="6" t="s">
        <v>10</v>
      </c>
      <c r="D92" s="81">
        <v>12</v>
      </c>
    </row>
    <row r="93" spans="1:4" ht="18" thickBot="1">
      <c r="A93" s="8" t="s">
        <v>9</v>
      </c>
      <c r="B93" s="92">
        <v>278</v>
      </c>
      <c r="C93" s="8" t="s">
        <v>9</v>
      </c>
      <c r="D93" s="87">
        <v>252</v>
      </c>
    </row>
    <row r="94" spans="1:4" ht="15.75" thickBot="1">
      <c r="A94" s="3"/>
      <c r="B94" s="4"/>
      <c r="C94" s="3"/>
      <c r="D94" s="5"/>
    </row>
    <row r="95" spans="1:4" ht="18" thickBot="1">
      <c r="A95" s="400" t="s">
        <v>217</v>
      </c>
      <c r="B95" s="401"/>
      <c r="C95" s="362"/>
      <c r="D95" s="363"/>
    </row>
    <row r="96" spans="1:4" ht="18" thickBot="1">
      <c r="A96" s="356" t="s">
        <v>59</v>
      </c>
      <c r="B96" s="357"/>
      <c r="C96" s="364"/>
      <c r="D96" s="365"/>
    </row>
    <row r="97" spans="1:4" ht="17.25">
      <c r="A97" s="6" t="s">
        <v>0</v>
      </c>
      <c r="B97" s="81">
        <v>36</v>
      </c>
      <c r="C97" s="364"/>
      <c r="D97" s="365"/>
    </row>
    <row r="98" spans="1:4" ht="17.25">
      <c r="A98" s="7" t="s">
        <v>2</v>
      </c>
      <c r="B98" s="86">
        <v>149</v>
      </c>
      <c r="C98" s="364"/>
      <c r="D98" s="365"/>
    </row>
    <row r="99" spans="1:4" ht="17.25">
      <c r="A99" s="7" t="s">
        <v>11</v>
      </c>
      <c r="B99" s="86">
        <v>4.13</v>
      </c>
      <c r="C99" s="364"/>
      <c r="D99" s="365"/>
    </row>
    <row r="100" spans="1:4" ht="18" thickBot="1">
      <c r="A100" s="8" t="s">
        <v>3</v>
      </c>
      <c r="B100" s="87">
        <v>2</v>
      </c>
      <c r="C100" s="364"/>
      <c r="D100" s="365"/>
    </row>
    <row r="101" spans="1:4" ht="18" thickBot="1">
      <c r="A101" s="356" t="s">
        <v>60</v>
      </c>
      <c r="B101" s="357"/>
      <c r="C101" s="364"/>
      <c r="D101" s="365"/>
    </row>
    <row r="102" spans="1:4" ht="17.25">
      <c r="A102" s="6" t="s">
        <v>1</v>
      </c>
      <c r="B102" s="81">
        <v>22</v>
      </c>
      <c r="C102" s="364"/>
      <c r="D102" s="365"/>
    </row>
    <row r="103" spans="1:4" ht="17.25">
      <c r="A103" s="7" t="s">
        <v>6</v>
      </c>
      <c r="B103" s="86">
        <v>5</v>
      </c>
      <c r="C103" s="364"/>
      <c r="D103" s="365"/>
    </row>
    <row r="104" spans="1:4" ht="17.25">
      <c r="A104" s="7" t="s">
        <v>4</v>
      </c>
      <c r="B104" s="86">
        <v>80</v>
      </c>
      <c r="C104" s="364"/>
      <c r="D104" s="365"/>
    </row>
    <row r="105" spans="1:4" ht="17.25">
      <c r="A105" s="7" t="s">
        <v>5</v>
      </c>
      <c r="B105" s="86">
        <v>0</v>
      </c>
      <c r="C105" s="364"/>
      <c r="D105" s="365"/>
    </row>
    <row r="106" spans="1:4" ht="18" thickBot="1">
      <c r="A106" s="8" t="s">
        <v>7</v>
      </c>
      <c r="B106" s="87">
        <v>1</v>
      </c>
      <c r="C106" s="364"/>
      <c r="D106" s="365"/>
    </row>
    <row r="107" spans="1:4" ht="18" thickBot="1">
      <c r="A107" s="356" t="s">
        <v>61</v>
      </c>
      <c r="B107" s="357"/>
      <c r="C107" s="364"/>
      <c r="D107" s="365"/>
    </row>
    <row r="108" spans="1:4" ht="18" thickBot="1">
      <c r="A108" s="9" t="s">
        <v>8</v>
      </c>
      <c r="B108" s="89">
        <v>11</v>
      </c>
      <c r="C108" s="364"/>
      <c r="D108" s="365"/>
    </row>
    <row r="109" spans="1:4" ht="17.25">
      <c r="A109" s="398" t="s">
        <v>62</v>
      </c>
      <c r="B109" s="399"/>
      <c r="C109" s="364"/>
      <c r="D109" s="365"/>
    </row>
    <row r="110" spans="1:4" ht="17.25">
      <c r="A110" s="7" t="s">
        <v>10</v>
      </c>
      <c r="B110" s="86">
        <v>14</v>
      </c>
      <c r="C110" s="364"/>
      <c r="D110" s="365"/>
    </row>
    <row r="111" spans="1:4" ht="17.25">
      <c r="A111" s="7" t="s">
        <v>9</v>
      </c>
      <c r="B111" s="86">
        <v>229</v>
      </c>
      <c r="C111" s="366"/>
      <c r="D111" s="367"/>
    </row>
    <row r="112" spans="1:4" ht="15.75" thickBot="1">
      <c r="A112" s="51"/>
      <c r="B112" s="66"/>
      <c r="C112" s="52"/>
      <c r="D112" s="66"/>
    </row>
  </sheetData>
  <mergeCells count="59">
    <mergeCell ref="A96:B96"/>
    <mergeCell ref="A95:B95"/>
    <mergeCell ref="A78:B78"/>
    <mergeCell ref="A83:B83"/>
    <mergeCell ref="A89:B89"/>
    <mergeCell ref="A91:B91"/>
    <mergeCell ref="A42:B42"/>
    <mergeCell ref="A47:B47"/>
    <mergeCell ref="A53:B53"/>
    <mergeCell ref="A55:B55"/>
    <mergeCell ref="C60:D60"/>
    <mergeCell ref="A59:B59"/>
    <mergeCell ref="C59:D59"/>
    <mergeCell ref="A60:B60"/>
    <mergeCell ref="C23:D23"/>
    <mergeCell ref="C42:D42"/>
    <mergeCell ref="C47:D47"/>
    <mergeCell ref="C53:D53"/>
    <mergeCell ref="C55:D55"/>
    <mergeCell ref="C24:D24"/>
    <mergeCell ref="C29:D29"/>
    <mergeCell ref="C35:D35"/>
    <mergeCell ref="C37:D37"/>
    <mergeCell ref="C41:D41"/>
    <mergeCell ref="A41:B41"/>
    <mergeCell ref="A23:B23"/>
    <mergeCell ref="A24:B24"/>
    <mergeCell ref="A29:B29"/>
    <mergeCell ref="A35:B35"/>
    <mergeCell ref="A37:B37"/>
    <mergeCell ref="A1:D1"/>
    <mergeCell ref="A2:D2"/>
    <mergeCell ref="A4:B4"/>
    <mergeCell ref="A3:B3"/>
    <mergeCell ref="C3:D3"/>
    <mergeCell ref="C4:D4"/>
    <mergeCell ref="A21:D22"/>
    <mergeCell ref="A10:B10"/>
    <mergeCell ref="C10:D10"/>
    <mergeCell ref="A16:B16"/>
    <mergeCell ref="A18:B18"/>
    <mergeCell ref="C16:D16"/>
    <mergeCell ref="C18:D18"/>
    <mergeCell ref="A101:B101"/>
    <mergeCell ref="A107:B107"/>
    <mergeCell ref="A77:B77"/>
    <mergeCell ref="C65:D65"/>
    <mergeCell ref="C71:D71"/>
    <mergeCell ref="C73:D73"/>
    <mergeCell ref="A65:B65"/>
    <mergeCell ref="A71:B71"/>
    <mergeCell ref="A73:B73"/>
    <mergeCell ref="C77:D77"/>
    <mergeCell ref="C95:D111"/>
    <mergeCell ref="A109:B109"/>
    <mergeCell ref="C78:D78"/>
    <mergeCell ref="C83:D83"/>
    <mergeCell ref="C89:D89"/>
    <mergeCell ref="C91:D9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25"/>
  <sheetViews>
    <sheetView tabSelected="1" zoomScaleNormal="100" workbookViewId="0">
      <selection activeCell="D84" sqref="D84"/>
    </sheetView>
  </sheetViews>
  <sheetFormatPr defaultRowHeight="15"/>
  <cols>
    <col min="1" max="1" width="24.140625" customWidth="1"/>
    <col min="2" max="9" width="8.7109375" customWidth="1"/>
  </cols>
  <sheetData>
    <row r="1" spans="1:14" ht="25.5" customHeight="1" thickBot="1">
      <c r="A1" s="419" t="s">
        <v>78</v>
      </c>
      <c r="B1" s="420"/>
      <c r="C1" s="421"/>
      <c r="D1" s="421"/>
      <c r="E1" s="421"/>
      <c r="F1" s="421"/>
      <c r="G1" s="421"/>
      <c r="H1" s="421"/>
      <c r="I1" s="422"/>
    </row>
    <row r="2" spans="1:14" ht="33" thickBot="1">
      <c r="A2" s="423" t="s">
        <v>44</v>
      </c>
      <c r="B2" s="424"/>
      <c r="C2" s="425"/>
      <c r="D2" s="425"/>
      <c r="E2" s="425"/>
      <c r="F2" s="425"/>
      <c r="G2" s="425"/>
      <c r="H2" s="425"/>
      <c r="I2" s="426"/>
    </row>
    <row r="3" spans="1:14" ht="20.25" thickBot="1">
      <c r="A3" s="414" t="s">
        <v>31</v>
      </c>
      <c r="B3" s="427"/>
      <c r="C3" s="427"/>
      <c r="D3" s="427"/>
      <c r="E3" s="427"/>
      <c r="F3" s="427"/>
      <c r="G3" s="428"/>
      <c r="H3" s="427"/>
      <c r="I3" s="429"/>
    </row>
    <row r="4" spans="1:14" ht="15.75" thickBot="1">
      <c r="A4" s="14" t="s">
        <v>32</v>
      </c>
      <c r="B4" s="14" t="s">
        <v>54</v>
      </c>
      <c r="C4" s="14" t="s">
        <v>33</v>
      </c>
      <c r="D4" s="14" t="s">
        <v>34</v>
      </c>
      <c r="E4" s="14" t="s">
        <v>35</v>
      </c>
      <c r="F4" s="45" t="s">
        <v>36</v>
      </c>
      <c r="G4" s="14" t="s">
        <v>74</v>
      </c>
      <c r="H4" s="49"/>
      <c r="I4" s="2"/>
      <c r="L4" s="340"/>
      <c r="M4" s="340"/>
      <c r="N4" s="341"/>
    </row>
    <row r="5" spans="1:14">
      <c r="A5" s="333" t="s">
        <v>150</v>
      </c>
      <c r="B5" s="330">
        <v>9</v>
      </c>
      <c r="C5" s="67">
        <v>127</v>
      </c>
      <c r="D5" s="67">
        <v>346</v>
      </c>
      <c r="E5" s="67">
        <v>2</v>
      </c>
      <c r="F5" s="67">
        <v>23</v>
      </c>
      <c r="G5" s="98">
        <v>2.72</v>
      </c>
      <c r="H5" s="49"/>
      <c r="I5" s="49"/>
      <c r="L5" s="340"/>
      <c r="M5" s="340"/>
      <c r="N5" s="341"/>
    </row>
    <row r="6" spans="1:14">
      <c r="A6" s="334" t="s">
        <v>160</v>
      </c>
      <c r="B6" s="331">
        <v>9</v>
      </c>
      <c r="C6" s="60">
        <v>29</v>
      </c>
      <c r="D6" s="60">
        <v>202</v>
      </c>
      <c r="E6" s="60">
        <v>1</v>
      </c>
      <c r="F6" s="60">
        <v>68</v>
      </c>
      <c r="G6" s="99">
        <v>6.96</v>
      </c>
      <c r="H6" s="49"/>
      <c r="I6" s="49"/>
      <c r="L6" s="340"/>
      <c r="M6" s="340"/>
      <c r="N6" s="341"/>
    </row>
    <row r="7" spans="1:14">
      <c r="A7" s="334" t="s">
        <v>149</v>
      </c>
      <c r="B7" s="331">
        <v>9</v>
      </c>
      <c r="C7" s="60">
        <v>83</v>
      </c>
      <c r="D7" s="60">
        <v>194</v>
      </c>
      <c r="E7" s="60">
        <v>3</v>
      </c>
      <c r="F7" s="60">
        <v>15</v>
      </c>
      <c r="G7" s="99">
        <v>2.33</v>
      </c>
      <c r="H7" s="49"/>
      <c r="I7" s="49"/>
      <c r="L7" s="340"/>
      <c r="M7" s="340"/>
      <c r="N7" s="341"/>
    </row>
    <row r="8" spans="1:14">
      <c r="A8" s="334" t="s">
        <v>153</v>
      </c>
      <c r="B8" s="331">
        <v>9</v>
      </c>
      <c r="C8" s="60">
        <v>19</v>
      </c>
      <c r="D8" s="60">
        <v>104</v>
      </c>
      <c r="E8" s="60">
        <v>3</v>
      </c>
      <c r="F8" s="60">
        <v>6</v>
      </c>
      <c r="G8" s="99">
        <v>5.47</v>
      </c>
      <c r="H8" s="49"/>
      <c r="I8" s="49"/>
      <c r="L8" s="342"/>
      <c r="M8" s="342"/>
      <c r="N8" s="341"/>
    </row>
    <row r="9" spans="1:14">
      <c r="A9" s="334" t="s">
        <v>175</v>
      </c>
      <c r="B9" s="131">
        <v>6</v>
      </c>
      <c r="C9" s="19">
        <v>10</v>
      </c>
      <c r="D9" s="19">
        <v>44</v>
      </c>
      <c r="E9" s="19">
        <v>1</v>
      </c>
      <c r="F9" s="19">
        <v>17</v>
      </c>
      <c r="G9" s="99">
        <v>4.4000000000000004</v>
      </c>
      <c r="H9" s="49"/>
      <c r="I9" s="49"/>
      <c r="L9" s="340"/>
      <c r="M9" s="340"/>
      <c r="N9" s="341"/>
    </row>
    <row r="10" spans="1:14">
      <c r="A10" s="334" t="s">
        <v>152</v>
      </c>
      <c r="B10" s="331">
        <v>6</v>
      </c>
      <c r="C10" s="60">
        <v>14</v>
      </c>
      <c r="D10" s="60">
        <v>15</v>
      </c>
      <c r="E10" s="60">
        <v>0</v>
      </c>
      <c r="F10" s="60">
        <v>5</v>
      </c>
      <c r="G10" s="99">
        <v>1.07</v>
      </c>
      <c r="H10" s="49"/>
      <c r="I10" s="49"/>
      <c r="L10" s="340"/>
      <c r="M10" s="342"/>
      <c r="N10" s="341"/>
    </row>
    <row r="11" spans="1:14">
      <c r="A11" s="334" t="s">
        <v>154</v>
      </c>
      <c r="B11" s="331">
        <v>6</v>
      </c>
      <c r="C11" s="60">
        <v>2</v>
      </c>
      <c r="D11" s="19">
        <v>12</v>
      </c>
      <c r="E11" s="19">
        <v>0</v>
      </c>
      <c r="F11" s="19">
        <v>9</v>
      </c>
      <c r="G11" s="99">
        <v>6</v>
      </c>
      <c r="H11" s="37"/>
      <c r="I11" s="37"/>
      <c r="L11" s="342"/>
      <c r="M11" s="342"/>
      <c r="N11" s="343"/>
    </row>
    <row r="12" spans="1:14">
      <c r="A12" s="142" t="s">
        <v>161</v>
      </c>
      <c r="B12" s="131">
        <v>7</v>
      </c>
      <c r="C12" s="19">
        <v>2</v>
      </c>
      <c r="D12" s="19">
        <v>-2</v>
      </c>
      <c r="E12" s="19">
        <v>1</v>
      </c>
      <c r="F12" s="19">
        <v>2</v>
      </c>
      <c r="G12" s="99">
        <v>0</v>
      </c>
      <c r="H12" s="46"/>
      <c r="I12" s="49"/>
    </row>
    <row r="13" spans="1:14" ht="15.75" thickBot="1">
      <c r="A13" s="335"/>
      <c r="B13" s="332"/>
      <c r="C13" s="100"/>
      <c r="D13" s="100"/>
      <c r="E13" s="100"/>
      <c r="F13" s="100"/>
      <c r="G13" s="339"/>
      <c r="H13" s="46"/>
      <c r="I13" s="49"/>
    </row>
    <row r="14" spans="1:14" ht="20.25" thickBot="1">
      <c r="A14" s="430" t="s">
        <v>145</v>
      </c>
      <c r="B14" s="431"/>
      <c r="C14" s="432"/>
      <c r="D14" s="432"/>
      <c r="E14" s="432"/>
      <c r="F14" s="432"/>
      <c r="G14" s="432"/>
      <c r="H14" s="432"/>
      <c r="I14" s="433"/>
    </row>
    <row r="15" spans="1:14" ht="15.75" thickBot="1">
      <c r="A15" s="14" t="s">
        <v>32</v>
      </c>
      <c r="B15" s="14" t="s">
        <v>54</v>
      </c>
      <c r="C15" s="14" t="s">
        <v>45</v>
      </c>
      <c r="D15" s="14" t="s">
        <v>38</v>
      </c>
      <c r="E15" s="14" t="s">
        <v>34</v>
      </c>
      <c r="F15" s="14" t="s">
        <v>35</v>
      </c>
      <c r="G15" s="14" t="s">
        <v>39</v>
      </c>
      <c r="H15" s="14" t="s">
        <v>40</v>
      </c>
      <c r="I15" s="61"/>
    </row>
    <row r="16" spans="1:14">
      <c r="A16" s="141" t="s">
        <v>150</v>
      </c>
      <c r="B16" s="330">
        <v>9</v>
      </c>
      <c r="C16" s="114" t="s">
        <v>236</v>
      </c>
      <c r="D16" s="115">
        <v>0.45200000000000001</v>
      </c>
      <c r="E16" s="67">
        <v>824</v>
      </c>
      <c r="F16" s="67">
        <v>1</v>
      </c>
      <c r="G16" s="67">
        <v>11</v>
      </c>
      <c r="H16" s="116">
        <v>50</v>
      </c>
      <c r="I16" s="61"/>
    </row>
    <row r="17" spans="1:9">
      <c r="A17" s="142" t="s">
        <v>171</v>
      </c>
      <c r="B17" s="131">
        <v>6</v>
      </c>
      <c r="C17" s="117" t="s">
        <v>214</v>
      </c>
      <c r="D17" s="48">
        <v>1</v>
      </c>
      <c r="E17" s="19">
        <v>151</v>
      </c>
      <c r="F17" s="19">
        <v>2</v>
      </c>
      <c r="G17" s="19">
        <v>0</v>
      </c>
      <c r="H17" s="27">
        <v>78</v>
      </c>
      <c r="I17" s="61"/>
    </row>
    <row r="18" spans="1:9">
      <c r="A18" s="142" t="s">
        <v>158</v>
      </c>
      <c r="B18" s="131">
        <v>7</v>
      </c>
      <c r="C18" s="117" t="s">
        <v>209</v>
      </c>
      <c r="D18" s="48">
        <v>0.5</v>
      </c>
      <c r="E18" s="19">
        <v>21</v>
      </c>
      <c r="F18" s="19">
        <v>0</v>
      </c>
      <c r="G18" s="19">
        <v>0</v>
      </c>
      <c r="H18" s="27">
        <v>21</v>
      </c>
      <c r="I18" s="61"/>
    </row>
    <row r="19" spans="1:9">
      <c r="A19" s="337"/>
      <c r="B19" s="331"/>
      <c r="C19" s="117"/>
      <c r="D19" s="63"/>
      <c r="E19" s="60"/>
      <c r="F19" s="60"/>
      <c r="G19" s="60"/>
      <c r="H19" s="118"/>
      <c r="I19" s="61"/>
    </row>
    <row r="20" spans="1:9" ht="15.75" thickBot="1">
      <c r="A20" s="338"/>
      <c r="B20" s="336"/>
      <c r="C20" s="120"/>
      <c r="D20" s="121"/>
      <c r="E20" s="119"/>
      <c r="F20" s="119"/>
      <c r="G20" s="119"/>
      <c r="H20" s="122"/>
      <c r="I20" s="61"/>
    </row>
    <row r="21" spans="1:9" ht="20.25" thickBot="1">
      <c r="A21" s="434" t="s">
        <v>41</v>
      </c>
      <c r="B21" s="435"/>
      <c r="C21" s="436"/>
      <c r="D21" s="436"/>
      <c r="E21" s="436"/>
      <c r="F21" s="436"/>
      <c r="G21" s="436"/>
      <c r="H21" s="436"/>
      <c r="I21" s="433"/>
    </row>
    <row r="22" spans="1:9" ht="15.75" thickBot="1">
      <c r="A22" s="14" t="s">
        <v>32</v>
      </c>
      <c r="B22" s="14" t="s">
        <v>54</v>
      </c>
      <c r="C22" s="14" t="s">
        <v>42</v>
      </c>
      <c r="D22" s="14" t="s">
        <v>34</v>
      </c>
      <c r="E22" s="14" t="s">
        <v>43</v>
      </c>
      <c r="F22" s="14" t="s">
        <v>35</v>
      </c>
      <c r="G22" s="14" t="s">
        <v>36</v>
      </c>
      <c r="H22" s="37"/>
      <c r="I22" s="1"/>
    </row>
    <row r="23" spans="1:9">
      <c r="A23" s="141" t="s">
        <v>160</v>
      </c>
      <c r="B23" s="330">
        <v>9</v>
      </c>
      <c r="C23" s="67">
        <v>31</v>
      </c>
      <c r="D23" s="67">
        <v>479</v>
      </c>
      <c r="E23" s="344">
        <v>15.45</v>
      </c>
      <c r="F23" s="170">
        <v>1</v>
      </c>
      <c r="G23" s="116">
        <v>78</v>
      </c>
      <c r="H23" s="37"/>
      <c r="I23" s="37"/>
    </row>
    <row r="24" spans="1:9">
      <c r="A24" s="142" t="s">
        <v>162</v>
      </c>
      <c r="B24" s="131">
        <v>9</v>
      </c>
      <c r="C24" s="19">
        <v>11</v>
      </c>
      <c r="D24" s="19">
        <v>149</v>
      </c>
      <c r="E24" s="201">
        <v>13.54</v>
      </c>
      <c r="F24" s="19">
        <v>0</v>
      </c>
      <c r="G24" s="27">
        <v>20</v>
      </c>
      <c r="H24" s="37"/>
      <c r="I24" s="37"/>
    </row>
    <row r="25" spans="1:9">
      <c r="A25" s="334" t="s">
        <v>171</v>
      </c>
      <c r="B25" s="331">
        <v>7</v>
      </c>
      <c r="C25" s="60">
        <v>14</v>
      </c>
      <c r="D25" s="60">
        <v>89</v>
      </c>
      <c r="E25" s="345">
        <v>6.35</v>
      </c>
      <c r="F25" s="62">
        <v>1</v>
      </c>
      <c r="G25" s="118">
        <v>31</v>
      </c>
      <c r="H25" s="37"/>
      <c r="I25" s="37"/>
    </row>
    <row r="26" spans="1:9">
      <c r="A26" s="334" t="s">
        <v>195</v>
      </c>
      <c r="B26" s="331">
        <v>5</v>
      </c>
      <c r="C26" s="60">
        <v>2</v>
      </c>
      <c r="D26" s="60">
        <v>67</v>
      </c>
      <c r="E26" s="345">
        <v>33.5</v>
      </c>
      <c r="F26" s="62">
        <v>0</v>
      </c>
      <c r="G26" s="118">
        <v>50</v>
      </c>
      <c r="H26" s="37"/>
      <c r="I26" s="37"/>
    </row>
    <row r="27" spans="1:9">
      <c r="A27" s="142" t="s">
        <v>156</v>
      </c>
      <c r="B27" s="131">
        <v>8</v>
      </c>
      <c r="C27" s="19">
        <v>5</v>
      </c>
      <c r="D27" s="19">
        <v>57</v>
      </c>
      <c r="E27" s="201">
        <v>11.4</v>
      </c>
      <c r="F27" s="19">
        <v>0</v>
      </c>
      <c r="G27" s="27">
        <v>21</v>
      </c>
      <c r="H27" s="37"/>
      <c r="I27" s="37"/>
    </row>
    <row r="28" spans="1:9">
      <c r="A28" s="142" t="s">
        <v>163</v>
      </c>
      <c r="B28" s="331">
        <v>6</v>
      </c>
      <c r="C28" s="60">
        <v>4</v>
      </c>
      <c r="D28" s="60">
        <v>52</v>
      </c>
      <c r="E28" s="345">
        <v>13</v>
      </c>
      <c r="F28" s="62">
        <v>1</v>
      </c>
      <c r="G28" s="118">
        <v>9</v>
      </c>
      <c r="H28" s="37"/>
      <c r="I28" s="37"/>
    </row>
    <row r="29" spans="1:9">
      <c r="A29" s="334" t="s">
        <v>152</v>
      </c>
      <c r="B29" s="331">
        <v>6</v>
      </c>
      <c r="C29" s="60">
        <v>2</v>
      </c>
      <c r="D29" s="60">
        <v>42</v>
      </c>
      <c r="E29" s="345">
        <v>21</v>
      </c>
      <c r="F29" s="62">
        <v>0</v>
      </c>
      <c r="G29" s="118">
        <v>40</v>
      </c>
      <c r="H29" s="37"/>
      <c r="I29" s="37"/>
    </row>
    <row r="30" spans="1:9">
      <c r="A30" s="334" t="s">
        <v>149</v>
      </c>
      <c r="B30" s="331">
        <v>8</v>
      </c>
      <c r="C30" s="60">
        <v>3</v>
      </c>
      <c r="D30" s="60">
        <v>7</v>
      </c>
      <c r="E30" s="345">
        <v>2.33</v>
      </c>
      <c r="F30" s="62">
        <v>0</v>
      </c>
      <c r="G30" s="118">
        <v>0</v>
      </c>
      <c r="H30" s="37"/>
      <c r="I30" s="61"/>
    </row>
    <row r="31" spans="1:9">
      <c r="A31" s="334" t="s">
        <v>194</v>
      </c>
      <c r="B31" s="331">
        <v>1</v>
      </c>
      <c r="C31" s="60">
        <v>1</v>
      </c>
      <c r="D31" s="60">
        <v>6</v>
      </c>
      <c r="E31" s="345">
        <v>6</v>
      </c>
      <c r="F31" s="62">
        <v>0</v>
      </c>
      <c r="G31" s="118">
        <v>6</v>
      </c>
      <c r="H31" s="37"/>
      <c r="I31" s="61"/>
    </row>
    <row r="32" spans="1:9" ht="15.75" thickBot="1">
      <c r="A32" s="338"/>
      <c r="B32" s="336"/>
      <c r="C32" s="119"/>
      <c r="D32" s="119"/>
      <c r="E32" s="346"/>
      <c r="F32" s="123"/>
      <c r="G32" s="122"/>
      <c r="H32" s="37"/>
      <c r="I32" s="61"/>
    </row>
    <row r="33" spans="1:9" ht="20.25" thickBot="1">
      <c r="A33" s="434" t="s">
        <v>9</v>
      </c>
      <c r="B33" s="435"/>
      <c r="C33" s="436"/>
      <c r="D33" s="436"/>
      <c r="E33" s="436"/>
      <c r="F33" s="436"/>
      <c r="G33" s="436"/>
      <c r="H33" s="432"/>
      <c r="I33" s="433"/>
    </row>
    <row r="34" spans="1:9" ht="15.75" thickBot="1">
      <c r="A34" s="13" t="s">
        <v>32</v>
      </c>
      <c r="B34" s="13" t="s">
        <v>54</v>
      </c>
      <c r="C34" s="13" t="s">
        <v>55</v>
      </c>
      <c r="D34" s="13" t="s">
        <v>56</v>
      </c>
      <c r="E34" s="13" t="s">
        <v>57</v>
      </c>
      <c r="F34" s="13" t="s">
        <v>35</v>
      </c>
      <c r="G34" s="13" t="s">
        <v>58</v>
      </c>
      <c r="H34" s="50"/>
      <c r="I34" s="1"/>
    </row>
    <row r="35" spans="1:9">
      <c r="A35" s="355" t="s">
        <v>178</v>
      </c>
      <c r="B35" s="350">
        <v>9</v>
      </c>
      <c r="C35" s="347">
        <v>0</v>
      </c>
      <c r="D35" s="348">
        <v>346</v>
      </c>
      <c r="E35" s="347">
        <v>824</v>
      </c>
      <c r="F35" s="347">
        <v>3</v>
      </c>
      <c r="G35" s="354">
        <v>1170</v>
      </c>
      <c r="H35" s="50"/>
      <c r="I35" s="49"/>
    </row>
    <row r="36" spans="1:9">
      <c r="A36" s="353" t="s">
        <v>183</v>
      </c>
      <c r="B36" s="351">
        <v>9</v>
      </c>
      <c r="C36" s="349">
        <v>479</v>
      </c>
      <c r="D36" s="349">
        <v>202</v>
      </c>
      <c r="E36" s="349">
        <v>21</v>
      </c>
      <c r="F36" s="349">
        <v>2</v>
      </c>
      <c r="G36" s="349">
        <v>702</v>
      </c>
      <c r="H36" s="50"/>
      <c r="I36" s="49"/>
    </row>
    <row r="37" spans="1:9">
      <c r="A37" s="353" t="s">
        <v>186</v>
      </c>
      <c r="B37" s="351">
        <v>7</v>
      </c>
      <c r="C37" s="349">
        <v>89</v>
      </c>
      <c r="D37" s="349">
        <v>44</v>
      </c>
      <c r="E37" s="349">
        <v>151</v>
      </c>
      <c r="F37" s="349">
        <v>4</v>
      </c>
      <c r="G37" s="349">
        <v>284</v>
      </c>
      <c r="H37" s="50"/>
      <c r="I37" s="49"/>
    </row>
    <row r="38" spans="1:9" ht="15.75" thickBot="1">
      <c r="A38" s="352"/>
      <c r="B38" s="351"/>
      <c r="C38" s="349"/>
      <c r="D38" s="349"/>
      <c r="E38" s="349"/>
      <c r="F38" s="349"/>
      <c r="G38" s="349"/>
      <c r="H38" s="50"/>
      <c r="I38" s="49"/>
    </row>
    <row r="39" spans="1:9" ht="15.75" thickBot="1">
      <c r="A39" s="51"/>
      <c r="B39" s="52"/>
      <c r="C39" s="52"/>
      <c r="D39" s="52"/>
      <c r="E39" s="52"/>
      <c r="F39" s="52"/>
      <c r="G39" s="52"/>
      <c r="H39" s="52"/>
      <c r="I39" s="5"/>
    </row>
    <row r="40" spans="1:9" ht="19.5" customHeight="1" thickBot="1">
      <c r="A40" s="388" t="s">
        <v>144</v>
      </c>
      <c r="B40" s="437"/>
      <c r="C40" s="437"/>
      <c r="D40" s="437"/>
      <c r="E40" s="437"/>
      <c r="F40" s="437"/>
      <c r="G40" s="437"/>
      <c r="H40" s="437"/>
      <c r="I40" s="389"/>
    </row>
    <row r="41" spans="1:9" ht="20.25" thickBot="1">
      <c r="A41" s="414" t="s">
        <v>31</v>
      </c>
      <c r="B41" s="415"/>
      <c r="C41" s="415"/>
      <c r="D41" s="415"/>
      <c r="E41" s="415"/>
      <c r="F41" s="415"/>
      <c r="G41" s="415"/>
      <c r="H41" s="415"/>
      <c r="I41" s="416"/>
    </row>
    <row r="42" spans="1:9" ht="15.75" thickBot="1">
      <c r="A42" s="13" t="s">
        <v>32</v>
      </c>
      <c r="B42" s="13" t="s">
        <v>33</v>
      </c>
      <c r="C42" s="13" t="s">
        <v>34</v>
      </c>
      <c r="D42" s="13" t="s">
        <v>35</v>
      </c>
      <c r="E42" s="13" t="s">
        <v>36</v>
      </c>
      <c r="F42" s="17" t="s">
        <v>53</v>
      </c>
      <c r="G42" s="32"/>
      <c r="H42" s="28"/>
      <c r="I42" s="29"/>
    </row>
    <row r="43" spans="1:9">
      <c r="A43" s="167" t="s">
        <v>149</v>
      </c>
      <c r="B43" s="67">
        <v>30</v>
      </c>
      <c r="C43" s="67">
        <v>113</v>
      </c>
      <c r="D43" s="67">
        <v>2</v>
      </c>
      <c r="E43" s="67">
        <v>15</v>
      </c>
      <c r="F43" s="98">
        <v>3.76</v>
      </c>
      <c r="G43" s="33"/>
      <c r="H43" s="30"/>
      <c r="I43" s="31"/>
    </row>
    <row r="44" spans="1:9">
      <c r="A44" s="168" t="s">
        <v>150</v>
      </c>
      <c r="B44" s="60">
        <v>17</v>
      </c>
      <c r="C44" s="60">
        <v>35</v>
      </c>
      <c r="D44" s="60">
        <v>0</v>
      </c>
      <c r="E44" s="60">
        <v>13</v>
      </c>
      <c r="F44" s="99">
        <v>2.0499999999999998</v>
      </c>
      <c r="G44" s="33"/>
      <c r="H44" s="30"/>
      <c r="I44" s="31"/>
    </row>
    <row r="45" spans="1:9">
      <c r="A45" s="168" t="s">
        <v>151</v>
      </c>
      <c r="B45" s="60">
        <v>4</v>
      </c>
      <c r="C45" s="60">
        <v>20</v>
      </c>
      <c r="D45" s="60">
        <v>0</v>
      </c>
      <c r="E45" s="60">
        <v>8</v>
      </c>
      <c r="F45" s="99">
        <v>5</v>
      </c>
      <c r="G45" s="33"/>
      <c r="H45" s="30"/>
      <c r="I45" s="31"/>
    </row>
    <row r="46" spans="1:9">
      <c r="A46" s="168" t="s">
        <v>152</v>
      </c>
      <c r="B46" s="60">
        <v>5</v>
      </c>
      <c r="C46" s="60">
        <v>8</v>
      </c>
      <c r="D46" s="60">
        <v>0</v>
      </c>
      <c r="E46" s="60">
        <v>5</v>
      </c>
      <c r="F46" s="99">
        <v>1.6</v>
      </c>
      <c r="G46" s="33"/>
      <c r="H46" s="30"/>
      <c r="I46" s="31"/>
    </row>
    <row r="47" spans="1:9">
      <c r="A47" s="168" t="s">
        <v>153</v>
      </c>
      <c r="B47" s="60">
        <v>1</v>
      </c>
      <c r="C47" s="60">
        <v>6</v>
      </c>
      <c r="D47" s="60">
        <v>0</v>
      </c>
      <c r="E47" s="60">
        <v>6</v>
      </c>
      <c r="F47" s="99">
        <v>6</v>
      </c>
      <c r="G47" s="33"/>
      <c r="H47" s="30"/>
      <c r="I47" s="31"/>
    </row>
    <row r="48" spans="1:9">
      <c r="A48" s="168" t="s">
        <v>154</v>
      </c>
      <c r="B48" s="60">
        <v>1</v>
      </c>
      <c r="C48" s="60">
        <v>9</v>
      </c>
      <c r="D48" s="60">
        <v>0</v>
      </c>
      <c r="E48" s="60">
        <v>9</v>
      </c>
      <c r="F48" s="99">
        <v>9</v>
      </c>
      <c r="G48" s="33"/>
      <c r="H48" s="30"/>
      <c r="I48" s="31"/>
    </row>
    <row r="49" spans="1:9" ht="15.75" thickBot="1">
      <c r="A49" s="59"/>
      <c r="B49" s="60"/>
      <c r="C49" s="60"/>
      <c r="D49" s="60"/>
      <c r="E49" s="60"/>
      <c r="F49" s="99"/>
      <c r="G49" s="35"/>
      <c r="H49" s="18"/>
      <c r="I49" s="16"/>
    </row>
    <row r="50" spans="1:9" ht="20.25" thickBot="1">
      <c r="A50" s="414" t="s">
        <v>41</v>
      </c>
      <c r="B50" s="415"/>
      <c r="C50" s="415"/>
      <c r="D50" s="415"/>
      <c r="E50" s="415"/>
      <c r="F50" s="415"/>
      <c r="G50" s="415"/>
      <c r="H50" s="415"/>
      <c r="I50" s="416"/>
    </row>
    <row r="51" spans="1:9" ht="15.75" thickBot="1">
      <c r="A51" s="14" t="s">
        <v>32</v>
      </c>
      <c r="B51" s="14" t="s">
        <v>42</v>
      </c>
      <c r="C51" s="14" t="s">
        <v>34</v>
      </c>
      <c r="D51" s="14" t="s">
        <v>35</v>
      </c>
      <c r="E51" s="45" t="s">
        <v>36</v>
      </c>
      <c r="F51" s="32"/>
      <c r="G51" s="34"/>
      <c r="H51" s="28"/>
      <c r="I51" s="29"/>
    </row>
    <row r="52" spans="1:9">
      <c r="A52" s="145" t="s">
        <v>156</v>
      </c>
      <c r="B52" s="25">
        <v>2</v>
      </c>
      <c r="C52" s="25">
        <v>32</v>
      </c>
      <c r="D52" s="25">
        <v>0</v>
      </c>
      <c r="E52" s="26">
        <v>21</v>
      </c>
      <c r="F52" s="47"/>
      <c r="G52" s="30"/>
      <c r="H52" s="30"/>
      <c r="I52" s="31"/>
    </row>
    <row r="53" spans="1:9">
      <c r="A53" s="146" t="s">
        <v>155</v>
      </c>
      <c r="B53" s="19">
        <v>1</v>
      </c>
      <c r="C53" s="19">
        <v>10</v>
      </c>
      <c r="D53" s="19">
        <v>0</v>
      </c>
      <c r="E53" s="27">
        <v>10</v>
      </c>
      <c r="F53" s="46"/>
      <c r="G53" s="46"/>
      <c r="H53" s="46"/>
      <c r="I53" s="37"/>
    </row>
    <row r="54" spans="1:9" ht="15.75" thickBot="1">
      <c r="A54" s="10"/>
      <c r="B54" s="19"/>
      <c r="C54" s="19"/>
      <c r="D54" s="19"/>
      <c r="E54" s="27"/>
      <c r="F54" s="46"/>
      <c r="G54" s="46"/>
      <c r="H54" s="46"/>
      <c r="I54" s="37"/>
    </row>
    <row r="55" spans="1:9" ht="20.25" thickBot="1">
      <c r="A55" s="438" t="s">
        <v>37</v>
      </c>
      <c r="B55" s="439"/>
      <c r="C55" s="439"/>
      <c r="D55" s="439"/>
      <c r="E55" s="439"/>
      <c r="F55" s="440"/>
      <c r="G55" s="440"/>
      <c r="H55" s="415"/>
      <c r="I55" s="416"/>
    </row>
    <row r="56" spans="1:9" ht="15.75" thickBot="1">
      <c r="A56" s="13" t="s">
        <v>32</v>
      </c>
      <c r="B56" s="13" t="s">
        <v>45</v>
      </c>
      <c r="C56" s="13" t="s">
        <v>38</v>
      </c>
      <c r="D56" s="13" t="s">
        <v>34</v>
      </c>
      <c r="E56" s="13" t="s">
        <v>35</v>
      </c>
      <c r="F56" s="13" t="s">
        <v>39</v>
      </c>
      <c r="G56" s="13" t="s">
        <v>40</v>
      </c>
      <c r="H56" s="34"/>
      <c r="I56" s="36"/>
    </row>
    <row r="57" spans="1:9">
      <c r="A57" s="145" t="s">
        <v>150</v>
      </c>
      <c r="B57" s="44" t="s">
        <v>157</v>
      </c>
      <c r="C57" s="58">
        <v>0.2</v>
      </c>
      <c r="D57" s="25">
        <v>22</v>
      </c>
      <c r="E57" s="25">
        <v>0</v>
      </c>
      <c r="F57" s="25">
        <v>1</v>
      </c>
      <c r="G57" s="26">
        <v>11</v>
      </c>
      <c r="H57" s="56"/>
      <c r="I57" s="16"/>
    </row>
    <row r="58" spans="1:9">
      <c r="A58" s="146" t="s">
        <v>158</v>
      </c>
      <c r="B58" s="57" t="s">
        <v>159</v>
      </c>
      <c r="C58" s="48">
        <v>0.5</v>
      </c>
      <c r="D58" s="19">
        <v>21</v>
      </c>
      <c r="E58" s="19">
        <v>0</v>
      </c>
      <c r="F58" s="19">
        <v>0</v>
      </c>
      <c r="G58" s="27">
        <v>21</v>
      </c>
      <c r="H58" s="46"/>
      <c r="I58" s="37"/>
    </row>
    <row r="59" spans="1:9" ht="15.75" thickBot="1">
      <c r="A59" s="11"/>
      <c r="B59" s="149"/>
      <c r="C59" s="150"/>
      <c r="D59" s="100"/>
      <c r="E59" s="100"/>
      <c r="F59" s="100"/>
      <c r="G59" s="101"/>
      <c r="H59" s="46"/>
      <c r="I59" s="37"/>
    </row>
    <row r="60" spans="1:9" ht="19.5" customHeight="1" thickBot="1">
      <c r="A60" s="402" t="s">
        <v>164</v>
      </c>
      <c r="B60" s="403"/>
      <c r="C60" s="403"/>
      <c r="D60" s="403"/>
      <c r="E60" s="403"/>
      <c r="F60" s="403"/>
      <c r="G60" s="403"/>
      <c r="H60" s="404"/>
      <c r="I60" s="405"/>
    </row>
    <row r="61" spans="1:9" ht="20.25" thickBot="1">
      <c r="A61" s="414" t="s">
        <v>31</v>
      </c>
      <c r="B61" s="415"/>
      <c r="C61" s="415"/>
      <c r="D61" s="415"/>
      <c r="E61" s="415"/>
      <c r="F61" s="415"/>
      <c r="G61" s="415"/>
      <c r="H61" s="415"/>
      <c r="I61" s="416"/>
    </row>
    <row r="62" spans="1:9" ht="15.75" thickBot="1">
      <c r="A62" s="13" t="s">
        <v>32</v>
      </c>
      <c r="B62" s="13" t="s">
        <v>33</v>
      </c>
      <c r="C62" s="13" t="s">
        <v>34</v>
      </c>
      <c r="D62" s="13" t="s">
        <v>35</v>
      </c>
      <c r="E62" s="13" t="s">
        <v>36</v>
      </c>
      <c r="F62" s="17" t="s">
        <v>53</v>
      </c>
      <c r="G62" s="32"/>
      <c r="H62" s="28"/>
      <c r="I62" s="29"/>
    </row>
    <row r="63" spans="1:9">
      <c r="A63" s="169" t="s">
        <v>150</v>
      </c>
      <c r="B63" s="41">
        <v>23</v>
      </c>
      <c r="C63" s="41">
        <v>73</v>
      </c>
      <c r="D63" s="41">
        <v>1</v>
      </c>
      <c r="E63" s="41">
        <v>11</v>
      </c>
      <c r="F63" s="42">
        <v>3.17</v>
      </c>
      <c r="G63" s="38"/>
      <c r="H63" s="39"/>
      <c r="I63" s="40"/>
    </row>
    <row r="64" spans="1:9">
      <c r="A64" s="146" t="s">
        <v>160</v>
      </c>
      <c r="B64" s="19">
        <v>8</v>
      </c>
      <c r="C64" s="19">
        <v>17</v>
      </c>
      <c r="D64" s="19">
        <v>0</v>
      </c>
      <c r="E64" s="19">
        <v>10</v>
      </c>
      <c r="F64" s="24">
        <v>2.12</v>
      </c>
      <c r="G64" s="38"/>
      <c r="H64" s="39"/>
      <c r="I64" s="40"/>
    </row>
    <row r="65" spans="1:9">
      <c r="A65" s="146" t="s">
        <v>153</v>
      </c>
      <c r="B65" s="19">
        <v>4</v>
      </c>
      <c r="C65" s="19">
        <v>14</v>
      </c>
      <c r="D65" s="19">
        <v>0</v>
      </c>
      <c r="E65" s="19">
        <v>10</v>
      </c>
      <c r="F65" s="24">
        <v>3.5</v>
      </c>
      <c r="G65" s="33"/>
      <c r="H65" s="30"/>
      <c r="I65" s="31"/>
    </row>
    <row r="66" spans="1:9">
      <c r="A66" s="147" t="s">
        <v>149</v>
      </c>
      <c r="B66" s="43">
        <v>11</v>
      </c>
      <c r="C66" s="43">
        <v>4</v>
      </c>
      <c r="D66" s="43">
        <v>0</v>
      </c>
      <c r="E66" s="43">
        <v>4</v>
      </c>
      <c r="F66" s="23">
        <v>0.36</v>
      </c>
      <c r="G66" s="33"/>
      <c r="H66" s="30"/>
      <c r="I66" s="31"/>
    </row>
    <row r="67" spans="1:9">
      <c r="A67" s="147" t="s">
        <v>154</v>
      </c>
      <c r="B67" s="43">
        <v>1</v>
      </c>
      <c r="C67" s="43">
        <v>3</v>
      </c>
      <c r="D67" s="43">
        <v>0</v>
      </c>
      <c r="E67" s="43">
        <v>3</v>
      </c>
      <c r="F67" s="23">
        <v>3</v>
      </c>
      <c r="G67" s="33"/>
      <c r="H67" s="30"/>
      <c r="I67" s="31"/>
    </row>
    <row r="68" spans="1:9">
      <c r="A68" s="147" t="s">
        <v>161</v>
      </c>
      <c r="B68" s="43">
        <v>1</v>
      </c>
      <c r="C68" s="43">
        <v>-4</v>
      </c>
      <c r="D68" s="43">
        <v>0</v>
      </c>
      <c r="E68" s="43">
        <v>-4</v>
      </c>
      <c r="F68" s="23">
        <v>-4</v>
      </c>
      <c r="G68" s="33"/>
      <c r="H68" s="30"/>
      <c r="I68" s="31"/>
    </row>
    <row r="69" spans="1:9" ht="15.75" thickBot="1">
      <c r="A69" s="12"/>
      <c r="B69" s="43"/>
      <c r="C69" s="43"/>
      <c r="D69" s="43"/>
      <c r="E69" s="43"/>
      <c r="F69" s="23"/>
      <c r="G69" s="33"/>
      <c r="H69" s="30"/>
      <c r="I69" s="31"/>
    </row>
    <row r="70" spans="1:9" ht="20.25" thickBot="1">
      <c r="A70" s="414" t="s">
        <v>41</v>
      </c>
      <c r="B70" s="415"/>
      <c r="C70" s="415"/>
      <c r="D70" s="415"/>
      <c r="E70" s="415"/>
      <c r="F70" s="415"/>
      <c r="G70" s="415"/>
      <c r="H70" s="415"/>
      <c r="I70" s="416"/>
    </row>
    <row r="71" spans="1:9" ht="15.75" thickBot="1">
      <c r="A71" s="13" t="s">
        <v>32</v>
      </c>
      <c r="B71" s="13" t="s">
        <v>42</v>
      </c>
      <c r="C71" s="13" t="s">
        <v>34</v>
      </c>
      <c r="D71" s="13" t="s">
        <v>35</v>
      </c>
      <c r="E71" s="13" t="s">
        <v>36</v>
      </c>
      <c r="F71" s="32"/>
      <c r="G71" s="34"/>
      <c r="H71" s="28"/>
      <c r="I71" s="29"/>
    </row>
    <row r="72" spans="1:9">
      <c r="A72" s="146" t="s">
        <v>158</v>
      </c>
      <c r="B72" s="19">
        <v>3</v>
      </c>
      <c r="C72" s="19">
        <v>35</v>
      </c>
      <c r="D72" s="19">
        <v>0</v>
      </c>
      <c r="E72" s="55">
        <v>27</v>
      </c>
      <c r="F72" s="33"/>
      <c r="G72" s="30"/>
      <c r="H72" s="30"/>
      <c r="I72" s="31"/>
    </row>
    <row r="73" spans="1:9">
      <c r="A73" s="146" t="s">
        <v>162</v>
      </c>
      <c r="B73" s="19">
        <v>1</v>
      </c>
      <c r="C73" s="19">
        <v>20</v>
      </c>
      <c r="D73" s="19">
        <v>0</v>
      </c>
      <c r="E73" s="55">
        <v>20</v>
      </c>
      <c r="F73" s="33"/>
      <c r="G73" s="30"/>
      <c r="H73" s="30"/>
      <c r="I73" s="31"/>
    </row>
    <row r="74" spans="1:9">
      <c r="A74" s="146" t="s">
        <v>163</v>
      </c>
      <c r="B74" s="19">
        <v>1</v>
      </c>
      <c r="C74" s="19">
        <v>9</v>
      </c>
      <c r="D74" s="19">
        <v>0</v>
      </c>
      <c r="E74" s="55">
        <v>9</v>
      </c>
      <c r="F74" s="33"/>
      <c r="G74" s="30"/>
      <c r="H74" s="30"/>
      <c r="I74" s="31"/>
    </row>
    <row r="75" spans="1:9" ht="15.75" thickBot="1">
      <c r="A75" s="10"/>
      <c r="B75" s="19"/>
      <c r="C75" s="19"/>
      <c r="D75" s="19"/>
      <c r="E75" s="55"/>
      <c r="F75" s="33"/>
      <c r="G75" s="30"/>
      <c r="H75" s="30"/>
      <c r="I75" s="31"/>
    </row>
    <row r="76" spans="1:9" ht="20.25" thickBot="1">
      <c r="A76" s="414" t="s">
        <v>37</v>
      </c>
      <c r="B76" s="415"/>
      <c r="C76" s="415"/>
      <c r="D76" s="415"/>
      <c r="E76" s="415"/>
      <c r="F76" s="415"/>
      <c r="G76" s="415"/>
      <c r="H76" s="415"/>
      <c r="I76" s="416"/>
    </row>
    <row r="77" spans="1:9" ht="15.75" thickBot="1">
      <c r="A77" s="13" t="s">
        <v>32</v>
      </c>
      <c r="B77" s="13" t="s">
        <v>45</v>
      </c>
      <c r="C77" s="13" t="s">
        <v>38</v>
      </c>
      <c r="D77" s="13" t="s">
        <v>34</v>
      </c>
      <c r="E77" s="13" t="s">
        <v>35</v>
      </c>
      <c r="F77" s="13" t="s">
        <v>39</v>
      </c>
      <c r="G77" s="13" t="s">
        <v>40</v>
      </c>
      <c r="H77" s="32"/>
      <c r="I77" s="36"/>
    </row>
    <row r="78" spans="1:9">
      <c r="A78" s="145" t="s">
        <v>150</v>
      </c>
      <c r="B78" s="44" t="s">
        <v>168</v>
      </c>
      <c r="C78" s="151">
        <v>0.55000000000000004</v>
      </c>
      <c r="D78" s="25">
        <v>74</v>
      </c>
      <c r="E78" s="25">
        <v>0</v>
      </c>
      <c r="F78" s="25">
        <v>2</v>
      </c>
      <c r="G78" s="26">
        <v>27</v>
      </c>
      <c r="H78" s="56"/>
      <c r="I78" s="16"/>
    </row>
    <row r="79" spans="1:9" ht="15.75" thickBot="1">
      <c r="A79" s="11"/>
      <c r="B79" s="149"/>
      <c r="C79" s="152"/>
      <c r="D79" s="100"/>
      <c r="E79" s="100"/>
      <c r="F79" s="100"/>
      <c r="G79" s="101"/>
      <c r="H79" s="46"/>
      <c r="I79" s="37"/>
    </row>
    <row r="80" spans="1:9" ht="18" thickBot="1">
      <c r="A80" s="406" t="s">
        <v>169</v>
      </c>
      <c r="B80" s="407"/>
      <c r="C80" s="407"/>
      <c r="D80" s="407"/>
      <c r="E80" s="407"/>
      <c r="F80" s="407"/>
      <c r="G80" s="407"/>
      <c r="H80" s="408"/>
      <c r="I80" s="409"/>
    </row>
    <row r="81" spans="1:9" ht="20.25" thickBot="1">
      <c r="A81" s="414" t="s">
        <v>31</v>
      </c>
      <c r="B81" s="415"/>
      <c r="C81" s="415"/>
      <c r="D81" s="415"/>
      <c r="E81" s="415"/>
      <c r="F81" s="415"/>
      <c r="G81" s="415"/>
      <c r="H81" s="415"/>
      <c r="I81" s="416"/>
    </row>
    <row r="82" spans="1:9" ht="15.75" thickBot="1">
      <c r="A82" s="14" t="s">
        <v>32</v>
      </c>
      <c r="B82" s="14" t="s">
        <v>33</v>
      </c>
      <c r="C82" s="14" t="s">
        <v>34</v>
      </c>
      <c r="D82" s="14" t="s">
        <v>35</v>
      </c>
      <c r="E82" s="14" t="s">
        <v>36</v>
      </c>
      <c r="F82" s="45" t="s">
        <v>53</v>
      </c>
      <c r="G82" s="32"/>
      <c r="H82" s="28"/>
      <c r="I82" s="29"/>
    </row>
    <row r="83" spans="1:9">
      <c r="A83" s="145" t="s">
        <v>150</v>
      </c>
      <c r="B83" s="25">
        <v>24</v>
      </c>
      <c r="C83" s="25">
        <v>86</v>
      </c>
      <c r="D83" s="25">
        <v>1</v>
      </c>
      <c r="E83" s="25">
        <v>23</v>
      </c>
      <c r="F83" s="104">
        <v>3.58</v>
      </c>
      <c r="G83" s="47"/>
      <c r="H83" s="30"/>
      <c r="I83" s="31"/>
    </row>
    <row r="84" spans="1:9">
      <c r="A84" s="146" t="s">
        <v>149</v>
      </c>
      <c r="B84" s="19">
        <v>9</v>
      </c>
      <c r="C84" s="19">
        <v>32</v>
      </c>
      <c r="D84" s="19">
        <v>0</v>
      </c>
      <c r="E84" s="19">
        <v>12</v>
      </c>
      <c r="F84" s="24">
        <v>3.55</v>
      </c>
      <c r="G84" s="47"/>
      <c r="H84" s="30"/>
      <c r="I84" s="31"/>
    </row>
    <row r="85" spans="1:9">
      <c r="A85" s="146" t="s">
        <v>171</v>
      </c>
      <c r="B85" s="19">
        <v>1</v>
      </c>
      <c r="C85" s="19">
        <v>17</v>
      </c>
      <c r="D85" s="19">
        <v>0</v>
      </c>
      <c r="E85" s="19">
        <v>17</v>
      </c>
      <c r="F85" s="24">
        <v>17</v>
      </c>
      <c r="G85" s="47"/>
      <c r="H85" s="30"/>
      <c r="I85" s="31"/>
    </row>
    <row r="86" spans="1:9">
      <c r="A86" s="146" t="s">
        <v>160</v>
      </c>
      <c r="B86" s="19">
        <v>2</v>
      </c>
      <c r="C86" s="19">
        <v>17</v>
      </c>
      <c r="D86" s="19">
        <v>0</v>
      </c>
      <c r="E86" s="19">
        <v>11</v>
      </c>
      <c r="F86" s="24">
        <v>7</v>
      </c>
      <c r="G86" s="47"/>
      <c r="H86" s="30"/>
      <c r="I86" s="31"/>
    </row>
    <row r="87" spans="1:9">
      <c r="A87" s="146" t="s">
        <v>170</v>
      </c>
      <c r="B87" s="19">
        <v>2</v>
      </c>
      <c r="C87" s="19">
        <v>11</v>
      </c>
      <c r="D87" s="19">
        <v>0</v>
      </c>
      <c r="E87" s="19">
        <v>9</v>
      </c>
      <c r="F87" s="24">
        <v>4.5</v>
      </c>
      <c r="G87" s="47"/>
      <c r="H87" s="30"/>
      <c r="I87" s="31"/>
    </row>
    <row r="88" spans="1:9">
      <c r="A88" s="146" t="s">
        <v>152</v>
      </c>
      <c r="B88" s="19">
        <v>4</v>
      </c>
      <c r="C88" s="19">
        <v>4</v>
      </c>
      <c r="D88" s="19">
        <v>0</v>
      </c>
      <c r="E88" s="19">
        <v>2</v>
      </c>
      <c r="F88" s="24">
        <v>1</v>
      </c>
      <c r="G88" s="56"/>
      <c r="H88" s="18"/>
      <c r="I88" s="16"/>
    </row>
    <row r="89" spans="1:9" ht="15.75" thickBot="1">
      <c r="A89" s="11"/>
      <c r="B89" s="198"/>
      <c r="C89" s="198"/>
      <c r="D89" s="198"/>
      <c r="E89" s="198"/>
      <c r="F89" s="199"/>
      <c r="G89" s="46"/>
      <c r="H89" s="46"/>
      <c r="I89" s="37"/>
    </row>
    <row r="90" spans="1:9" ht="20.25" thickBot="1">
      <c r="A90" s="417" t="s">
        <v>41</v>
      </c>
      <c r="B90" s="418"/>
      <c r="C90" s="418"/>
      <c r="D90" s="418"/>
      <c r="E90" s="418"/>
      <c r="F90" s="418"/>
      <c r="G90" s="415"/>
      <c r="H90" s="415"/>
      <c r="I90" s="416"/>
    </row>
    <row r="91" spans="1:9" ht="15.75" thickBot="1">
      <c r="A91" s="13" t="s">
        <v>32</v>
      </c>
      <c r="B91" s="13" t="s">
        <v>42</v>
      </c>
      <c r="C91" s="13" t="s">
        <v>34</v>
      </c>
      <c r="D91" s="13" t="s">
        <v>35</v>
      </c>
      <c r="E91" s="17" t="s">
        <v>36</v>
      </c>
      <c r="F91" s="32"/>
      <c r="G91" s="34"/>
      <c r="H91" s="28"/>
      <c r="I91" s="29"/>
    </row>
    <row r="92" spans="1:9">
      <c r="A92" s="145" t="s">
        <v>158</v>
      </c>
      <c r="B92" s="25">
        <v>4</v>
      </c>
      <c r="C92" s="25">
        <v>40</v>
      </c>
      <c r="D92" s="25">
        <v>0</v>
      </c>
      <c r="E92" s="26">
        <v>15</v>
      </c>
      <c r="F92" s="33"/>
      <c r="G92" s="30"/>
      <c r="H92" s="30"/>
      <c r="I92" s="31"/>
    </row>
    <row r="93" spans="1:9">
      <c r="A93" s="146" t="s">
        <v>172</v>
      </c>
      <c r="B93" s="19">
        <v>1</v>
      </c>
      <c r="C93" s="19">
        <v>40</v>
      </c>
      <c r="D93" s="19">
        <v>0</v>
      </c>
      <c r="E93" s="27">
        <v>40</v>
      </c>
      <c r="F93" s="33"/>
      <c r="G93" s="30"/>
      <c r="H93" s="30"/>
      <c r="I93" s="31"/>
    </row>
    <row r="94" spans="1:9">
      <c r="A94" s="146" t="s">
        <v>162</v>
      </c>
      <c r="B94" s="19">
        <v>1</v>
      </c>
      <c r="C94" s="19">
        <v>19</v>
      </c>
      <c r="D94" s="19">
        <v>0</v>
      </c>
      <c r="E94" s="27">
        <v>19</v>
      </c>
      <c r="F94" s="33"/>
      <c r="G94" s="30"/>
      <c r="H94" s="30"/>
      <c r="I94" s="31"/>
    </row>
    <row r="95" spans="1:9">
      <c r="A95" s="147" t="s">
        <v>163</v>
      </c>
      <c r="B95" s="43">
        <v>2</v>
      </c>
      <c r="C95" s="43">
        <v>12</v>
      </c>
      <c r="D95" s="43">
        <v>0</v>
      </c>
      <c r="E95" s="64">
        <v>8</v>
      </c>
      <c r="F95" s="35"/>
      <c r="G95" s="18"/>
      <c r="H95" s="18"/>
      <c r="I95" s="16"/>
    </row>
    <row r="96" spans="1:9">
      <c r="A96" s="147" t="s">
        <v>156</v>
      </c>
      <c r="B96" s="43">
        <v>1</v>
      </c>
      <c r="C96" s="43">
        <v>15</v>
      </c>
      <c r="D96" s="43">
        <v>0</v>
      </c>
      <c r="E96" s="64">
        <v>15</v>
      </c>
      <c r="F96" s="35"/>
      <c r="G96" s="18"/>
      <c r="H96" s="18"/>
      <c r="I96" s="16"/>
    </row>
    <row r="97" spans="1:9" ht="15.75" thickBot="1">
      <c r="A97" s="11"/>
      <c r="B97" s="100"/>
      <c r="C97" s="100"/>
      <c r="D97" s="100"/>
      <c r="E97" s="101"/>
      <c r="F97" s="33"/>
      <c r="G97" s="30"/>
      <c r="H97" s="30"/>
      <c r="I97" s="31"/>
    </row>
    <row r="98" spans="1:9" ht="20.25" thickBot="1">
      <c r="A98" s="414" t="s">
        <v>37</v>
      </c>
      <c r="B98" s="415"/>
      <c r="C98" s="415"/>
      <c r="D98" s="415"/>
      <c r="E98" s="415"/>
      <c r="F98" s="415"/>
      <c r="G98" s="415"/>
      <c r="H98" s="415"/>
      <c r="I98" s="416"/>
    </row>
    <row r="99" spans="1:9" ht="15.75" thickBot="1">
      <c r="A99" s="14" t="s">
        <v>32</v>
      </c>
      <c r="B99" s="14" t="s">
        <v>45</v>
      </c>
      <c r="C99" s="14" t="s">
        <v>38</v>
      </c>
      <c r="D99" s="14" t="s">
        <v>34</v>
      </c>
      <c r="E99" s="14" t="s">
        <v>35</v>
      </c>
      <c r="F99" s="14" t="s">
        <v>39</v>
      </c>
      <c r="G99" s="45" t="s">
        <v>40</v>
      </c>
      <c r="H99" s="32"/>
      <c r="I99" s="36"/>
    </row>
    <row r="100" spans="1:9">
      <c r="A100" s="145" t="s">
        <v>173</v>
      </c>
      <c r="B100" s="44" t="s">
        <v>174</v>
      </c>
      <c r="C100" s="58">
        <v>0.69</v>
      </c>
      <c r="D100" s="25">
        <v>126</v>
      </c>
      <c r="E100" s="25">
        <v>0</v>
      </c>
      <c r="F100" s="25">
        <v>1</v>
      </c>
      <c r="G100" s="26">
        <v>40</v>
      </c>
      <c r="H100" s="47"/>
      <c r="I100" s="31"/>
    </row>
    <row r="101" spans="1:9" ht="15.75" thickBot="1">
      <c r="A101" s="11"/>
      <c r="B101" s="149"/>
      <c r="C101" s="150"/>
      <c r="D101" s="100"/>
      <c r="E101" s="100"/>
      <c r="F101" s="100"/>
      <c r="G101" s="101"/>
      <c r="H101" s="46"/>
      <c r="I101" s="37"/>
    </row>
    <row r="102" spans="1:9" ht="19.5" customHeight="1" thickBot="1">
      <c r="A102" s="410" t="s">
        <v>201</v>
      </c>
      <c r="B102" s="411"/>
      <c r="C102" s="411"/>
      <c r="D102" s="411"/>
      <c r="E102" s="411"/>
      <c r="F102" s="411"/>
      <c r="G102" s="411"/>
      <c r="H102" s="412"/>
      <c r="I102" s="413"/>
    </row>
    <row r="103" spans="1:9" ht="20.25" thickBot="1">
      <c r="A103" s="414" t="s">
        <v>31</v>
      </c>
      <c r="B103" s="415"/>
      <c r="C103" s="415"/>
      <c r="D103" s="415"/>
      <c r="E103" s="415"/>
      <c r="F103" s="415"/>
      <c r="G103" s="415"/>
      <c r="H103" s="415"/>
      <c r="I103" s="416"/>
    </row>
    <row r="104" spans="1:9" ht="15.75" thickBot="1">
      <c r="A104" s="14" t="s">
        <v>32</v>
      </c>
      <c r="B104" s="14" t="s">
        <v>33</v>
      </c>
      <c r="C104" s="14" t="s">
        <v>34</v>
      </c>
      <c r="D104" s="14" t="s">
        <v>35</v>
      </c>
      <c r="E104" s="14" t="s">
        <v>36</v>
      </c>
      <c r="F104" s="45" t="s">
        <v>53</v>
      </c>
      <c r="G104" s="32"/>
      <c r="H104" s="28"/>
      <c r="I104" s="29"/>
    </row>
    <row r="105" spans="1:9">
      <c r="A105" s="145" t="s">
        <v>178</v>
      </c>
      <c r="B105" s="25">
        <v>17</v>
      </c>
      <c r="C105" s="25">
        <v>63</v>
      </c>
      <c r="D105" s="25">
        <v>0</v>
      </c>
      <c r="E105" s="25">
        <v>19</v>
      </c>
      <c r="F105" s="104">
        <v>3.7</v>
      </c>
      <c r="G105" s="47"/>
      <c r="H105" s="30"/>
      <c r="I105" s="31"/>
    </row>
    <row r="106" spans="1:9">
      <c r="A106" s="146" t="s">
        <v>179</v>
      </c>
      <c r="B106" s="19">
        <v>2</v>
      </c>
      <c r="C106" s="19">
        <v>7</v>
      </c>
      <c r="D106" s="19">
        <v>0</v>
      </c>
      <c r="E106" s="19">
        <v>6</v>
      </c>
      <c r="F106" s="24">
        <v>3.5</v>
      </c>
      <c r="G106" s="47"/>
      <c r="H106" s="30"/>
      <c r="I106" s="31"/>
    </row>
    <row r="107" spans="1:9">
      <c r="A107" s="146" t="s">
        <v>180</v>
      </c>
      <c r="B107" s="19">
        <v>5</v>
      </c>
      <c r="C107" s="19">
        <v>5</v>
      </c>
      <c r="D107" s="19">
        <v>0</v>
      </c>
      <c r="E107" s="19">
        <v>3</v>
      </c>
      <c r="F107" s="24">
        <v>1</v>
      </c>
      <c r="G107" s="47"/>
      <c r="H107" s="30"/>
      <c r="I107" s="31"/>
    </row>
    <row r="108" spans="1:9">
      <c r="A108" s="146" t="s">
        <v>181</v>
      </c>
      <c r="B108" s="19">
        <v>1</v>
      </c>
      <c r="C108" s="19">
        <v>2</v>
      </c>
      <c r="D108" s="19">
        <v>1</v>
      </c>
      <c r="E108" s="19">
        <v>2</v>
      </c>
      <c r="F108" s="24">
        <v>2</v>
      </c>
      <c r="G108" s="47"/>
      <c r="H108" s="30"/>
      <c r="I108" s="31"/>
    </row>
    <row r="109" spans="1:9">
      <c r="A109" s="146"/>
      <c r="B109" s="19"/>
      <c r="C109" s="19"/>
      <c r="D109" s="19"/>
      <c r="E109" s="19"/>
      <c r="F109" s="24"/>
      <c r="G109" s="47"/>
      <c r="H109" s="30"/>
      <c r="I109" s="31"/>
    </row>
    <row r="110" spans="1:9" ht="15.75" thickBot="1">
      <c r="A110" s="146"/>
      <c r="B110" s="19"/>
      <c r="C110" s="19"/>
      <c r="D110" s="19"/>
      <c r="E110" s="19"/>
      <c r="F110" s="24"/>
      <c r="G110" s="56"/>
      <c r="H110" s="18"/>
      <c r="I110" s="16"/>
    </row>
    <row r="111" spans="1:9" ht="20.25" thickBot="1">
      <c r="A111" s="417" t="s">
        <v>41</v>
      </c>
      <c r="B111" s="418"/>
      <c r="C111" s="418"/>
      <c r="D111" s="418"/>
      <c r="E111" s="418"/>
      <c r="F111" s="418"/>
      <c r="G111" s="415"/>
      <c r="H111" s="415"/>
      <c r="I111" s="416"/>
    </row>
    <row r="112" spans="1:9" ht="15.75" thickBot="1">
      <c r="A112" s="13" t="s">
        <v>32</v>
      </c>
      <c r="B112" s="13" t="s">
        <v>42</v>
      </c>
      <c r="C112" s="13" t="s">
        <v>34</v>
      </c>
      <c r="D112" s="13" t="s">
        <v>35</v>
      </c>
      <c r="E112" s="17" t="s">
        <v>36</v>
      </c>
      <c r="F112" s="32"/>
      <c r="G112" s="34"/>
      <c r="H112" s="28"/>
      <c r="I112" s="29"/>
    </row>
    <row r="113" spans="1:9">
      <c r="A113" s="145" t="s">
        <v>187</v>
      </c>
      <c r="B113" s="25">
        <v>2</v>
      </c>
      <c r="C113" s="25">
        <v>67</v>
      </c>
      <c r="D113" s="25">
        <v>0</v>
      </c>
      <c r="E113" s="26">
        <v>50</v>
      </c>
      <c r="F113" s="33"/>
      <c r="G113" s="30"/>
      <c r="H113" s="30"/>
      <c r="I113" s="31"/>
    </row>
    <row r="114" spans="1:9">
      <c r="A114" s="146" t="s">
        <v>184</v>
      </c>
      <c r="B114" s="19">
        <v>4</v>
      </c>
      <c r="C114" s="19">
        <v>37</v>
      </c>
      <c r="D114" s="19">
        <v>0</v>
      </c>
      <c r="E114" s="27">
        <v>9</v>
      </c>
      <c r="F114" s="33"/>
      <c r="G114" s="30"/>
      <c r="H114" s="30"/>
      <c r="I114" s="31"/>
    </row>
    <row r="115" spans="1:9">
      <c r="A115" s="146" t="s">
        <v>186</v>
      </c>
      <c r="B115" s="19">
        <v>5</v>
      </c>
      <c r="C115" s="19">
        <v>37</v>
      </c>
      <c r="D115" s="19">
        <v>1</v>
      </c>
      <c r="E115" s="27">
        <v>17</v>
      </c>
      <c r="F115" s="33"/>
      <c r="G115" s="30"/>
      <c r="H115" s="30"/>
      <c r="I115" s="31"/>
    </row>
    <row r="116" spans="1:9">
      <c r="A116" s="146" t="s">
        <v>185</v>
      </c>
      <c r="B116" s="19">
        <v>1</v>
      </c>
      <c r="C116" s="19">
        <v>6</v>
      </c>
      <c r="D116" s="19">
        <v>0</v>
      </c>
      <c r="E116" s="27">
        <v>6</v>
      </c>
      <c r="F116" s="33"/>
      <c r="G116" s="30"/>
      <c r="H116" s="30"/>
      <c r="I116" s="31"/>
    </row>
    <row r="117" spans="1:9">
      <c r="A117" s="245" t="s">
        <v>183</v>
      </c>
      <c r="B117" s="19">
        <v>2</v>
      </c>
      <c r="C117" s="19">
        <v>6</v>
      </c>
      <c r="D117" s="19">
        <v>0</v>
      </c>
      <c r="E117" s="27">
        <v>7</v>
      </c>
      <c r="F117" s="33"/>
      <c r="G117" s="30"/>
      <c r="H117" s="30"/>
      <c r="I117" s="31"/>
    </row>
    <row r="118" spans="1:9" ht="15.75" thickBot="1">
      <c r="A118" s="11"/>
      <c r="B118" s="100"/>
      <c r="C118" s="100"/>
      <c r="D118" s="100"/>
      <c r="E118" s="101"/>
      <c r="F118" s="33"/>
      <c r="G118" s="30"/>
      <c r="H118" s="30"/>
      <c r="I118" s="31"/>
    </row>
    <row r="119" spans="1:9" ht="20.25" thickBot="1">
      <c r="A119" s="414" t="s">
        <v>37</v>
      </c>
      <c r="B119" s="415"/>
      <c r="C119" s="415"/>
      <c r="D119" s="415"/>
      <c r="E119" s="415"/>
      <c r="F119" s="415"/>
      <c r="G119" s="415"/>
      <c r="H119" s="415"/>
      <c r="I119" s="416"/>
    </row>
    <row r="120" spans="1:9" ht="15.75" thickBot="1">
      <c r="A120" s="14" t="s">
        <v>32</v>
      </c>
      <c r="B120" s="14" t="s">
        <v>45</v>
      </c>
      <c r="C120" s="14" t="s">
        <v>38</v>
      </c>
      <c r="D120" s="14" t="s">
        <v>34</v>
      </c>
      <c r="E120" s="14" t="s">
        <v>35</v>
      </c>
      <c r="F120" s="14" t="s">
        <v>39</v>
      </c>
      <c r="G120" s="45" t="s">
        <v>40</v>
      </c>
      <c r="H120" s="32"/>
      <c r="I120" s="36"/>
    </row>
    <row r="121" spans="1:9">
      <c r="A121" s="145" t="s">
        <v>178</v>
      </c>
      <c r="B121" s="44" t="s">
        <v>182</v>
      </c>
      <c r="C121" s="58">
        <v>0.629</v>
      </c>
      <c r="D121" s="25">
        <v>184</v>
      </c>
      <c r="E121" s="25">
        <v>1</v>
      </c>
      <c r="F121" s="25">
        <v>2</v>
      </c>
      <c r="G121" s="26">
        <v>50</v>
      </c>
      <c r="H121" s="56"/>
      <c r="I121" s="16"/>
    </row>
    <row r="122" spans="1:9" ht="15.75" thickBot="1">
      <c r="A122" s="11"/>
      <c r="B122" s="149"/>
      <c r="C122" s="150"/>
      <c r="D122" s="100"/>
      <c r="E122" s="100"/>
      <c r="F122" s="100"/>
      <c r="G122" s="101"/>
      <c r="H122" s="46"/>
      <c r="I122" s="37"/>
    </row>
    <row r="123" spans="1:9" ht="19.5" customHeight="1" thickBot="1">
      <c r="A123" s="441" t="s">
        <v>202</v>
      </c>
      <c r="B123" s="442"/>
      <c r="C123" s="442"/>
      <c r="D123" s="442"/>
      <c r="E123" s="442"/>
      <c r="F123" s="442"/>
      <c r="G123" s="442"/>
      <c r="H123" s="443"/>
      <c r="I123" s="444"/>
    </row>
    <row r="124" spans="1:9" ht="20.25" thickBot="1">
      <c r="A124" s="414" t="s">
        <v>31</v>
      </c>
      <c r="B124" s="415"/>
      <c r="C124" s="415"/>
      <c r="D124" s="415"/>
      <c r="E124" s="415"/>
      <c r="F124" s="415"/>
      <c r="G124" s="415"/>
      <c r="H124" s="415"/>
      <c r="I124" s="416"/>
    </row>
    <row r="125" spans="1:9" ht="15.75" thickBot="1">
      <c r="A125" s="14" t="s">
        <v>32</v>
      </c>
      <c r="B125" s="14" t="s">
        <v>33</v>
      </c>
      <c r="C125" s="14" t="s">
        <v>34</v>
      </c>
      <c r="D125" s="14" t="s">
        <v>35</v>
      </c>
      <c r="E125" s="14" t="s">
        <v>36</v>
      </c>
      <c r="F125" s="45" t="s">
        <v>53</v>
      </c>
      <c r="G125" s="32"/>
      <c r="H125" s="28"/>
      <c r="I125" s="29"/>
    </row>
    <row r="126" spans="1:9">
      <c r="A126" s="145" t="s">
        <v>178</v>
      </c>
      <c r="B126" s="25">
        <v>12</v>
      </c>
      <c r="C126" s="25">
        <v>12</v>
      </c>
      <c r="D126" s="25">
        <v>0</v>
      </c>
      <c r="E126" s="25">
        <v>6</v>
      </c>
      <c r="F126" s="104">
        <v>1</v>
      </c>
      <c r="G126" s="47"/>
      <c r="H126" s="30"/>
      <c r="I126" s="31"/>
    </row>
    <row r="127" spans="1:9">
      <c r="A127" s="146" t="s">
        <v>188</v>
      </c>
      <c r="B127" s="19">
        <v>6</v>
      </c>
      <c r="C127" s="19">
        <v>11</v>
      </c>
      <c r="D127" s="19">
        <v>0</v>
      </c>
      <c r="E127" s="19">
        <v>12</v>
      </c>
      <c r="F127" s="24">
        <v>1.83</v>
      </c>
      <c r="G127" s="47"/>
      <c r="H127" s="30"/>
      <c r="I127" s="31"/>
    </row>
    <row r="128" spans="1:9">
      <c r="A128" s="146" t="s">
        <v>179</v>
      </c>
      <c r="B128" s="19">
        <v>1</v>
      </c>
      <c r="C128" s="19">
        <v>5</v>
      </c>
      <c r="D128" s="19">
        <v>0</v>
      </c>
      <c r="E128" s="19">
        <v>5</v>
      </c>
      <c r="F128" s="24">
        <v>5</v>
      </c>
      <c r="G128" s="47"/>
      <c r="H128" s="30"/>
      <c r="I128" s="31"/>
    </row>
    <row r="129" spans="1:9">
      <c r="A129" s="146" t="s">
        <v>183</v>
      </c>
      <c r="B129" s="19">
        <v>1</v>
      </c>
      <c r="C129" s="19">
        <v>4</v>
      </c>
      <c r="D129" s="19">
        <v>0</v>
      </c>
      <c r="E129" s="19">
        <v>4</v>
      </c>
      <c r="F129" s="24">
        <v>4</v>
      </c>
      <c r="G129" s="47"/>
      <c r="H129" s="30"/>
      <c r="I129" s="31"/>
    </row>
    <row r="130" spans="1:9">
      <c r="A130" s="146" t="s">
        <v>186</v>
      </c>
      <c r="B130" s="19">
        <v>4</v>
      </c>
      <c r="C130" s="19">
        <v>3</v>
      </c>
      <c r="D130" s="19">
        <v>0</v>
      </c>
      <c r="E130" s="19">
        <v>13</v>
      </c>
      <c r="F130" s="24">
        <v>0.75</v>
      </c>
      <c r="G130" s="47"/>
      <c r="H130" s="30"/>
      <c r="I130" s="31"/>
    </row>
    <row r="131" spans="1:9" ht="15.75" thickBot="1">
      <c r="A131" s="146"/>
      <c r="B131" s="19"/>
      <c r="C131" s="19"/>
      <c r="D131" s="19"/>
      <c r="E131" s="19"/>
      <c r="F131" s="24"/>
      <c r="G131" s="46"/>
      <c r="H131" s="46"/>
      <c r="I131" s="37"/>
    </row>
    <row r="132" spans="1:9" ht="20.25" thickBot="1">
      <c r="A132" s="417" t="s">
        <v>41</v>
      </c>
      <c r="B132" s="418"/>
      <c r="C132" s="418"/>
      <c r="D132" s="418"/>
      <c r="E132" s="418"/>
      <c r="F132" s="418"/>
      <c r="G132" s="415"/>
      <c r="H132" s="415"/>
      <c r="I132" s="416"/>
    </row>
    <row r="133" spans="1:9" ht="15.75" thickBot="1">
      <c r="A133" s="13" t="s">
        <v>32</v>
      </c>
      <c r="B133" s="13" t="s">
        <v>42</v>
      </c>
      <c r="C133" s="13" t="s">
        <v>34</v>
      </c>
      <c r="D133" s="13" t="s">
        <v>35</v>
      </c>
      <c r="E133" s="17" t="s">
        <v>36</v>
      </c>
      <c r="F133" s="32"/>
      <c r="G133" s="34"/>
      <c r="H133" s="28"/>
      <c r="I133" s="29"/>
    </row>
    <row r="134" spans="1:9">
      <c r="A134" s="145" t="s">
        <v>183</v>
      </c>
      <c r="B134" s="25">
        <v>5</v>
      </c>
      <c r="C134" s="25">
        <v>110</v>
      </c>
      <c r="D134" s="25">
        <v>1</v>
      </c>
      <c r="E134" s="26">
        <v>78</v>
      </c>
      <c r="F134" s="33"/>
      <c r="G134" s="30"/>
      <c r="H134" s="30"/>
      <c r="I134" s="31"/>
    </row>
    <row r="135" spans="1:9">
      <c r="A135" s="146" t="s">
        <v>191</v>
      </c>
      <c r="B135" s="19">
        <v>1</v>
      </c>
      <c r="C135" s="19">
        <v>31</v>
      </c>
      <c r="D135" s="19">
        <v>1</v>
      </c>
      <c r="E135" s="27">
        <v>31</v>
      </c>
      <c r="F135" s="33"/>
      <c r="G135" s="30"/>
      <c r="H135" s="30"/>
      <c r="I135" s="31"/>
    </row>
    <row r="136" spans="1:9">
      <c r="A136" s="146" t="s">
        <v>180</v>
      </c>
      <c r="B136" s="19">
        <v>1</v>
      </c>
      <c r="C136" s="19">
        <v>11</v>
      </c>
      <c r="D136" s="19">
        <v>0</v>
      </c>
      <c r="E136" s="27">
        <v>11</v>
      </c>
      <c r="F136" s="33"/>
      <c r="G136" s="30"/>
      <c r="H136" s="30"/>
      <c r="I136" s="31"/>
    </row>
    <row r="137" spans="1:9">
      <c r="A137" s="146" t="s">
        <v>186</v>
      </c>
      <c r="B137" s="19">
        <v>1</v>
      </c>
      <c r="C137" s="19">
        <v>5</v>
      </c>
      <c r="D137" s="19">
        <v>0</v>
      </c>
      <c r="E137" s="27">
        <v>5</v>
      </c>
      <c r="F137" s="33"/>
      <c r="G137" s="30"/>
      <c r="H137" s="30"/>
      <c r="I137" s="31"/>
    </row>
    <row r="138" spans="1:9">
      <c r="A138" s="146" t="s">
        <v>188</v>
      </c>
      <c r="B138" s="19">
        <v>1</v>
      </c>
      <c r="C138" s="19">
        <v>0</v>
      </c>
      <c r="D138" s="19">
        <v>0</v>
      </c>
      <c r="E138" s="27">
        <v>0</v>
      </c>
      <c r="F138" s="33"/>
      <c r="G138" s="30"/>
      <c r="H138" s="30"/>
      <c r="I138" s="31"/>
    </row>
    <row r="139" spans="1:9" ht="15.75" thickBot="1">
      <c r="A139" s="11"/>
      <c r="B139" s="100"/>
      <c r="C139" s="100"/>
      <c r="D139" s="100"/>
      <c r="E139" s="101"/>
      <c r="F139" s="33"/>
      <c r="G139" s="30"/>
      <c r="H139" s="30"/>
      <c r="I139" s="31"/>
    </row>
    <row r="140" spans="1:9" ht="20.25" thickBot="1">
      <c r="A140" s="414" t="s">
        <v>37</v>
      </c>
      <c r="B140" s="415"/>
      <c r="C140" s="415"/>
      <c r="D140" s="415"/>
      <c r="E140" s="415"/>
      <c r="F140" s="415"/>
      <c r="G140" s="415"/>
      <c r="H140" s="415"/>
      <c r="I140" s="416"/>
    </row>
    <row r="141" spans="1:9" ht="15.75" thickBot="1">
      <c r="A141" s="14" t="s">
        <v>32</v>
      </c>
      <c r="B141" s="14" t="s">
        <v>45</v>
      </c>
      <c r="C141" s="14" t="s">
        <v>38</v>
      </c>
      <c r="D141" s="14" t="s">
        <v>34</v>
      </c>
      <c r="E141" s="14" t="s">
        <v>35</v>
      </c>
      <c r="F141" s="14" t="s">
        <v>39</v>
      </c>
      <c r="G141" s="45" t="s">
        <v>40</v>
      </c>
      <c r="H141" s="32"/>
      <c r="I141" s="36"/>
    </row>
    <row r="142" spans="1:9">
      <c r="A142" s="145" t="s">
        <v>186</v>
      </c>
      <c r="B142" s="44" t="s">
        <v>189</v>
      </c>
      <c r="C142" s="58">
        <v>1</v>
      </c>
      <c r="D142" s="25">
        <v>135</v>
      </c>
      <c r="E142" s="25">
        <v>2</v>
      </c>
      <c r="F142" s="25">
        <v>0</v>
      </c>
      <c r="G142" s="26">
        <v>78</v>
      </c>
      <c r="H142" s="56"/>
      <c r="I142" s="16"/>
    </row>
    <row r="143" spans="1:9">
      <c r="A143" s="146" t="s">
        <v>178</v>
      </c>
      <c r="B143" s="57" t="s">
        <v>190</v>
      </c>
      <c r="C143" s="48">
        <v>0.25</v>
      </c>
      <c r="D143" s="19">
        <v>22</v>
      </c>
      <c r="E143" s="19">
        <v>0</v>
      </c>
      <c r="F143" s="19">
        <v>2</v>
      </c>
      <c r="G143" s="27">
        <v>7</v>
      </c>
      <c r="H143" s="46"/>
      <c r="I143" s="37"/>
    </row>
    <row r="144" spans="1:9" ht="15.75" thickBot="1">
      <c r="A144" s="10"/>
      <c r="B144" s="57"/>
      <c r="C144" s="48"/>
      <c r="D144" s="19"/>
      <c r="E144" s="19"/>
      <c r="F144" s="19"/>
      <c r="G144" s="27"/>
      <c r="H144" s="46"/>
      <c r="I144" s="37"/>
    </row>
    <row r="145" spans="1:9" ht="19.5" customHeight="1" thickBot="1">
      <c r="A145" s="448" t="s">
        <v>203</v>
      </c>
      <c r="B145" s="449"/>
      <c r="C145" s="449"/>
      <c r="D145" s="449"/>
      <c r="E145" s="449"/>
      <c r="F145" s="449"/>
      <c r="G145" s="449"/>
      <c r="H145" s="450"/>
      <c r="I145" s="451"/>
    </row>
    <row r="146" spans="1:9" ht="20.25" thickBot="1">
      <c r="A146" s="414" t="s">
        <v>31</v>
      </c>
      <c r="B146" s="415"/>
      <c r="C146" s="415"/>
      <c r="D146" s="415"/>
      <c r="E146" s="415"/>
      <c r="F146" s="415"/>
      <c r="G146" s="415"/>
      <c r="H146" s="415"/>
      <c r="I146" s="416"/>
    </row>
    <row r="147" spans="1:9" ht="15.75" thickBot="1">
      <c r="A147" s="14" t="s">
        <v>32</v>
      </c>
      <c r="B147" s="14" t="s">
        <v>33</v>
      </c>
      <c r="C147" s="14" t="s">
        <v>34</v>
      </c>
      <c r="D147" s="14" t="s">
        <v>35</v>
      </c>
      <c r="E147" s="14" t="s">
        <v>36</v>
      </c>
      <c r="F147" s="45" t="s">
        <v>53</v>
      </c>
      <c r="G147" s="32"/>
      <c r="H147" s="28"/>
      <c r="I147" s="29"/>
    </row>
    <row r="148" spans="1:9">
      <c r="A148" s="145" t="s">
        <v>183</v>
      </c>
      <c r="B148" s="25">
        <v>3</v>
      </c>
      <c r="C148" s="25">
        <v>9</v>
      </c>
      <c r="D148" s="25">
        <v>0</v>
      </c>
      <c r="E148" s="25">
        <v>12</v>
      </c>
      <c r="F148" s="104">
        <v>3</v>
      </c>
      <c r="G148" s="46"/>
      <c r="H148" s="39"/>
      <c r="I148" s="40"/>
    </row>
    <row r="149" spans="1:9">
      <c r="A149" s="146" t="s">
        <v>188</v>
      </c>
      <c r="B149" s="19">
        <v>4</v>
      </c>
      <c r="C149" s="19">
        <v>5</v>
      </c>
      <c r="D149" s="19">
        <v>0</v>
      </c>
      <c r="E149" s="19">
        <v>4</v>
      </c>
      <c r="F149" s="24">
        <v>1.25</v>
      </c>
      <c r="G149" s="46"/>
      <c r="H149" s="39"/>
      <c r="I149" s="40"/>
    </row>
    <row r="150" spans="1:9">
      <c r="A150" s="146" t="s">
        <v>179</v>
      </c>
      <c r="B150" s="19">
        <v>2</v>
      </c>
      <c r="C150" s="19">
        <v>4</v>
      </c>
      <c r="D150" s="19">
        <v>0</v>
      </c>
      <c r="E150" s="19">
        <v>4</v>
      </c>
      <c r="F150" s="24">
        <v>2</v>
      </c>
      <c r="G150" s="46"/>
      <c r="H150" s="39"/>
      <c r="I150" s="40"/>
    </row>
    <row r="151" spans="1:9">
      <c r="A151" s="146" t="s">
        <v>186</v>
      </c>
      <c r="B151" s="19">
        <v>2</v>
      </c>
      <c r="C151" s="19">
        <v>0</v>
      </c>
      <c r="D151" s="19">
        <v>0</v>
      </c>
      <c r="E151" s="19">
        <v>3</v>
      </c>
      <c r="F151" s="24">
        <v>0</v>
      </c>
      <c r="G151" s="46"/>
      <c r="H151" s="39"/>
      <c r="I151" s="40"/>
    </row>
    <row r="152" spans="1:9">
      <c r="A152" s="146" t="s">
        <v>178</v>
      </c>
      <c r="B152" s="19">
        <v>10</v>
      </c>
      <c r="C152" s="19">
        <v>-21</v>
      </c>
      <c r="D152" s="19">
        <v>0</v>
      </c>
      <c r="E152" s="19">
        <v>9</v>
      </c>
      <c r="F152" s="24">
        <v>0</v>
      </c>
      <c r="G152" s="46"/>
      <c r="H152" s="39"/>
      <c r="I152" s="40"/>
    </row>
    <row r="153" spans="1:9" ht="15.75" thickBot="1">
      <c r="A153" s="11"/>
      <c r="B153" s="100"/>
      <c r="C153" s="100"/>
      <c r="D153" s="100"/>
      <c r="E153" s="100"/>
      <c r="F153" s="102"/>
      <c r="G153" s="47"/>
      <c r="H153" s="30"/>
      <c r="I153" s="31"/>
    </row>
    <row r="154" spans="1:9" ht="20.25" thickBot="1">
      <c r="A154" s="417" t="s">
        <v>41</v>
      </c>
      <c r="B154" s="418"/>
      <c r="C154" s="418"/>
      <c r="D154" s="418"/>
      <c r="E154" s="418"/>
      <c r="F154" s="418"/>
      <c r="G154" s="415"/>
      <c r="H154" s="415"/>
      <c r="I154" s="416"/>
    </row>
    <row r="155" spans="1:9" ht="15.75" thickBot="1">
      <c r="A155" s="14" t="s">
        <v>32</v>
      </c>
      <c r="B155" s="14" t="s">
        <v>42</v>
      </c>
      <c r="C155" s="14" t="s">
        <v>34</v>
      </c>
      <c r="D155" s="14" t="s">
        <v>35</v>
      </c>
      <c r="E155" s="45" t="s">
        <v>36</v>
      </c>
      <c r="F155" s="32"/>
      <c r="G155" s="34"/>
      <c r="H155" s="28"/>
      <c r="I155" s="29"/>
    </row>
    <row r="156" spans="1:9">
      <c r="A156" s="145" t="s">
        <v>183</v>
      </c>
      <c r="B156" s="25">
        <v>5</v>
      </c>
      <c r="C156" s="25">
        <v>81</v>
      </c>
      <c r="D156" s="25">
        <v>0</v>
      </c>
      <c r="E156" s="26">
        <v>24</v>
      </c>
      <c r="F156" s="47"/>
      <c r="G156" s="30"/>
      <c r="H156" s="30"/>
      <c r="I156" s="31"/>
    </row>
    <row r="157" spans="1:9">
      <c r="A157" s="146" t="s">
        <v>184</v>
      </c>
      <c r="B157" s="19">
        <v>1</v>
      </c>
      <c r="C157" s="19">
        <v>17</v>
      </c>
      <c r="D157" s="19">
        <v>0</v>
      </c>
      <c r="E157" s="27">
        <v>17</v>
      </c>
      <c r="F157" s="47"/>
      <c r="G157" s="30"/>
      <c r="H157" s="30"/>
      <c r="I157" s="31"/>
    </row>
    <row r="158" spans="1:9">
      <c r="A158" s="146" t="s">
        <v>188</v>
      </c>
      <c r="B158" s="19">
        <v>1</v>
      </c>
      <c r="C158" s="19">
        <v>3</v>
      </c>
      <c r="D158" s="19">
        <v>0</v>
      </c>
      <c r="E158" s="27">
        <v>3</v>
      </c>
      <c r="F158" s="47"/>
      <c r="G158" s="30"/>
      <c r="H158" s="30"/>
      <c r="I158" s="31"/>
    </row>
    <row r="159" spans="1:9">
      <c r="A159" s="146" t="s">
        <v>186</v>
      </c>
      <c r="B159" s="19">
        <v>2</v>
      </c>
      <c r="C159" s="19">
        <v>-1</v>
      </c>
      <c r="D159" s="19">
        <v>0</v>
      </c>
      <c r="E159" s="27">
        <v>0</v>
      </c>
      <c r="F159" s="47"/>
      <c r="G159" s="30"/>
      <c r="H159" s="30"/>
      <c r="I159" s="31"/>
    </row>
    <row r="160" spans="1:9" ht="15.75" thickBot="1">
      <c r="A160" s="277"/>
      <c r="B160" s="100"/>
      <c r="C160" s="100"/>
      <c r="D160" s="100"/>
      <c r="E160" s="101"/>
      <c r="F160" s="47"/>
      <c r="G160" s="30"/>
      <c r="H160" s="30"/>
      <c r="I160" s="31"/>
    </row>
    <row r="161" spans="1:9" ht="20.25" thickBot="1">
      <c r="A161" s="417" t="s">
        <v>37</v>
      </c>
      <c r="B161" s="418"/>
      <c r="C161" s="418"/>
      <c r="D161" s="418"/>
      <c r="E161" s="418"/>
      <c r="F161" s="415"/>
      <c r="G161" s="415"/>
      <c r="H161" s="415"/>
      <c r="I161" s="416"/>
    </row>
    <row r="162" spans="1:9" ht="15.75" thickBot="1">
      <c r="A162" s="13" t="s">
        <v>32</v>
      </c>
      <c r="B162" s="13" t="s">
        <v>45</v>
      </c>
      <c r="C162" s="13" t="s">
        <v>38</v>
      </c>
      <c r="D162" s="13" t="s">
        <v>34</v>
      </c>
      <c r="E162" s="13" t="s">
        <v>35</v>
      </c>
      <c r="F162" s="13" t="s">
        <v>39</v>
      </c>
      <c r="G162" s="13" t="s">
        <v>40</v>
      </c>
      <c r="H162" s="32"/>
      <c r="I162" s="36"/>
    </row>
    <row r="163" spans="1:9">
      <c r="A163" s="278" t="s">
        <v>178</v>
      </c>
      <c r="B163" s="21" t="s">
        <v>200</v>
      </c>
      <c r="C163" s="279">
        <v>0.4</v>
      </c>
      <c r="D163" s="207">
        <v>98</v>
      </c>
      <c r="E163" s="207">
        <v>0</v>
      </c>
      <c r="F163" s="207">
        <v>1</v>
      </c>
      <c r="G163" s="210">
        <v>24</v>
      </c>
      <c r="H163" s="46"/>
      <c r="I163" s="273"/>
    </row>
    <row r="164" spans="1:9" ht="15.75" thickBot="1">
      <c r="A164" s="274"/>
      <c r="B164" s="275"/>
      <c r="C164" s="276"/>
      <c r="D164" s="205"/>
      <c r="E164" s="205"/>
      <c r="F164" s="205"/>
      <c r="G164" s="206"/>
      <c r="H164" s="56"/>
      <c r="I164" s="16"/>
    </row>
    <row r="165" spans="1:9" ht="19.5" customHeight="1" thickBot="1">
      <c r="A165" s="452" t="s">
        <v>204</v>
      </c>
      <c r="B165" s="453"/>
      <c r="C165" s="453"/>
      <c r="D165" s="453"/>
      <c r="E165" s="453"/>
      <c r="F165" s="453"/>
      <c r="G165" s="453"/>
      <c r="H165" s="454"/>
      <c r="I165" s="455"/>
    </row>
    <row r="166" spans="1:9" ht="20.25" thickBot="1">
      <c r="A166" s="414" t="s">
        <v>31</v>
      </c>
      <c r="B166" s="415"/>
      <c r="C166" s="415"/>
      <c r="D166" s="415"/>
      <c r="E166" s="415"/>
      <c r="F166" s="415"/>
      <c r="G166" s="415"/>
      <c r="H166" s="415"/>
      <c r="I166" s="416"/>
    </row>
    <row r="167" spans="1:9" ht="15.75" thickBot="1">
      <c r="A167" s="14" t="s">
        <v>32</v>
      </c>
      <c r="B167" s="14" t="s">
        <v>33</v>
      </c>
      <c r="C167" s="14" t="s">
        <v>34</v>
      </c>
      <c r="D167" s="14" t="s">
        <v>35</v>
      </c>
      <c r="E167" s="14" t="s">
        <v>36</v>
      </c>
      <c r="F167" s="45" t="s">
        <v>53</v>
      </c>
      <c r="G167" s="32"/>
      <c r="H167" s="28"/>
      <c r="I167" s="29"/>
    </row>
    <row r="168" spans="1:9">
      <c r="A168" s="19" t="s">
        <v>183</v>
      </c>
      <c r="B168" s="19">
        <v>3</v>
      </c>
      <c r="C168" s="19">
        <v>67</v>
      </c>
      <c r="D168" s="19">
        <v>0</v>
      </c>
      <c r="E168" s="19">
        <v>68</v>
      </c>
      <c r="F168" s="291"/>
      <c r="G168" s="46"/>
      <c r="H168" s="39"/>
      <c r="I168" s="40"/>
    </row>
    <row r="169" spans="1:9">
      <c r="A169" s="19" t="s">
        <v>179</v>
      </c>
      <c r="B169" s="19">
        <v>3</v>
      </c>
      <c r="C169" s="19">
        <v>38</v>
      </c>
      <c r="D169" s="19">
        <v>2</v>
      </c>
      <c r="E169" s="19">
        <v>24</v>
      </c>
      <c r="F169" s="290"/>
      <c r="G169" s="47"/>
      <c r="H169" s="30"/>
      <c r="I169" s="31"/>
    </row>
    <row r="170" spans="1:9">
      <c r="A170" s="19" t="s">
        <v>188</v>
      </c>
      <c r="B170" s="19">
        <v>11</v>
      </c>
      <c r="C170" s="19">
        <v>30</v>
      </c>
      <c r="D170" s="19">
        <v>1</v>
      </c>
      <c r="E170" s="19">
        <v>8</v>
      </c>
      <c r="F170" s="291"/>
      <c r="G170" s="47"/>
      <c r="H170" s="30"/>
      <c r="I170" s="31"/>
    </row>
    <row r="171" spans="1:9">
      <c r="A171" s="19" t="s">
        <v>178</v>
      </c>
      <c r="B171" s="19">
        <v>7</v>
      </c>
      <c r="C171" s="19">
        <v>11</v>
      </c>
      <c r="D171" s="19">
        <v>0</v>
      </c>
      <c r="E171" s="19">
        <v>7</v>
      </c>
      <c r="F171" s="291"/>
      <c r="G171" s="47"/>
      <c r="H171" s="30"/>
      <c r="I171" s="31"/>
    </row>
    <row r="172" spans="1:9">
      <c r="A172" s="290"/>
      <c r="B172" s="19"/>
      <c r="C172" s="19"/>
      <c r="D172" s="19"/>
      <c r="E172" s="19"/>
      <c r="F172" s="291"/>
      <c r="G172" s="112"/>
      <c r="H172" s="113"/>
      <c r="I172" s="31"/>
    </row>
    <row r="173" spans="1:9" ht="15.75" thickBot="1">
      <c r="A173" s="297"/>
      <c r="B173" s="43"/>
      <c r="C173" s="43"/>
      <c r="D173" s="43"/>
      <c r="E173" s="43"/>
      <c r="F173" s="298"/>
      <c r="G173" s="299"/>
      <c r="H173" s="300"/>
      <c r="I173" s="16"/>
    </row>
    <row r="174" spans="1:9" ht="20.25" thickBot="1">
      <c r="A174" s="414" t="s">
        <v>41</v>
      </c>
      <c r="B174" s="415"/>
      <c r="C174" s="415"/>
      <c r="D174" s="415"/>
      <c r="E174" s="415"/>
      <c r="F174" s="415"/>
      <c r="G174" s="415"/>
      <c r="H174" s="415"/>
      <c r="I174" s="416"/>
    </row>
    <row r="175" spans="1:9" ht="15.75" thickBot="1">
      <c r="A175" s="14" t="s">
        <v>32</v>
      </c>
      <c r="B175" s="14" t="s">
        <v>42</v>
      </c>
      <c r="C175" s="14" t="s">
        <v>34</v>
      </c>
      <c r="D175" s="14" t="s">
        <v>35</v>
      </c>
      <c r="E175" s="45" t="s">
        <v>36</v>
      </c>
      <c r="F175" s="32"/>
      <c r="G175" s="34"/>
      <c r="H175" s="28"/>
      <c r="I175" s="29"/>
    </row>
    <row r="176" spans="1:9">
      <c r="A176" s="145" t="s">
        <v>183</v>
      </c>
      <c r="B176" s="25">
        <v>5</v>
      </c>
      <c r="C176" s="25">
        <v>89</v>
      </c>
      <c r="D176" s="25">
        <v>0</v>
      </c>
      <c r="E176" s="26">
        <v>30</v>
      </c>
      <c r="F176" s="46"/>
      <c r="G176" s="46"/>
      <c r="H176" s="39"/>
      <c r="I176" s="40"/>
    </row>
    <row r="177" spans="1:9">
      <c r="A177" s="146" t="s">
        <v>186</v>
      </c>
      <c r="B177" s="19">
        <v>3</v>
      </c>
      <c r="C177" s="19">
        <v>29</v>
      </c>
      <c r="D177" s="19">
        <v>0</v>
      </c>
      <c r="E177" s="27">
        <v>13</v>
      </c>
      <c r="F177" s="46"/>
      <c r="G177" s="46"/>
      <c r="H177" s="39"/>
      <c r="I177" s="37"/>
    </row>
    <row r="178" spans="1:9">
      <c r="A178" s="146" t="s">
        <v>208</v>
      </c>
      <c r="B178" s="19">
        <v>2</v>
      </c>
      <c r="C178" s="19">
        <v>9</v>
      </c>
      <c r="D178" s="19">
        <v>0</v>
      </c>
      <c r="E178" s="27">
        <v>7</v>
      </c>
      <c r="F178" s="46"/>
      <c r="G178" s="46"/>
      <c r="H178" s="39"/>
      <c r="I178" s="37"/>
    </row>
    <row r="179" spans="1:9">
      <c r="A179" s="146" t="s">
        <v>105</v>
      </c>
      <c r="B179" s="19">
        <v>1</v>
      </c>
      <c r="C179" s="19">
        <v>4</v>
      </c>
      <c r="D179" s="19">
        <v>0</v>
      </c>
      <c r="E179" s="27">
        <v>4</v>
      </c>
      <c r="F179" s="46"/>
      <c r="G179" s="46"/>
      <c r="H179" s="39"/>
      <c r="I179" s="37"/>
    </row>
    <row r="180" spans="1:9" ht="15.75" thickBot="1">
      <c r="A180" s="277"/>
      <c r="B180" s="100"/>
      <c r="C180" s="100"/>
      <c r="D180" s="100"/>
      <c r="E180" s="101"/>
      <c r="F180" s="46"/>
      <c r="G180" s="46"/>
      <c r="H180" s="39"/>
      <c r="I180" s="37"/>
    </row>
    <row r="181" spans="1:9" ht="20.25" thickBot="1">
      <c r="A181" s="417" t="s">
        <v>37</v>
      </c>
      <c r="B181" s="418"/>
      <c r="C181" s="418"/>
      <c r="D181" s="418"/>
      <c r="E181" s="418"/>
      <c r="F181" s="415"/>
      <c r="G181" s="415"/>
      <c r="H181" s="415"/>
      <c r="I181" s="416"/>
    </row>
    <row r="182" spans="1:9" ht="15.75" thickBot="1">
      <c r="A182" s="13" t="s">
        <v>32</v>
      </c>
      <c r="B182" s="13" t="s">
        <v>45</v>
      </c>
      <c r="C182" s="13" t="s">
        <v>38</v>
      </c>
      <c r="D182" s="13" t="s">
        <v>34</v>
      </c>
      <c r="E182" s="13" t="s">
        <v>35</v>
      </c>
      <c r="F182" s="13" t="s">
        <v>39</v>
      </c>
      <c r="G182" s="17" t="s">
        <v>40</v>
      </c>
      <c r="H182" s="32"/>
      <c r="I182" s="36"/>
    </row>
    <row r="183" spans="1:9">
      <c r="A183" s="145" t="s">
        <v>178</v>
      </c>
      <c r="B183" s="44" t="s">
        <v>206</v>
      </c>
      <c r="C183" s="58">
        <v>0.54</v>
      </c>
      <c r="D183" s="25">
        <v>122</v>
      </c>
      <c r="E183" s="25">
        <v>0</v>
      </c>
      <c r="F183" s="25">
        <v>0</v>
      </c>
      <c r="G183" s="26">
        <v>30</v>
      </c>
      <c r="H183" s="33"/>
      <c r="I183" s="31"/>
    </row>
    <row r="184" spans="1:9">
      <c r="A184" s="301" t="s">
        <v>183</v>
      </c>
      <c r="B184" s="21" t="s">
        <v>207</v>
      </c>
      <c r="C184" s="22">
        <v>0</v>
      </c>
      <c r="D184" s="20">
        <v>0</v>
      </c>
      <c r="E184" s="20">
        <v>0</v>
      </c>
      <c r="F184" s="20">
        <v>0</v>
      </c>
      <c r="G184" s="65">
        <v>0</v>
      </c>
      <c r="H184" s="33"/>
      <c r="I184" s="31"/>
    </row>
    <row r="185" spans="1:9" ht="15.75" thickBot="1">
      <c r="A185" s="292"/>
      <c r="B185" s="293"/>
      <c r="C185" s="294"/>
      <c r="D185" s="295"/>
      <c r="E185" s="295"/>
      <c r="F185" s="295"/>
      <c r="G185" s="296"/>
      <c r="H185" s="33"/>
      <c r="I185" s="31"/>
    </row>
    <row r="186" spans="1:9" ht="18" thickBot="1">
      <c r="A186" s="445" t="s">
        <v>146</v>
      </c>
      <c r="B186" s="446"/>
      <c r="C186" s="446"/>
      <c r="D186" s="446"/>
      <c r="E186" s="446"/>
      <c r="F186" s="446"/>
      <c r="G186" s="446"/>
      <c r="H186" s="446"/>
      <c r="I186" s="447"/>
    </row>
    <row r="187" spans="1:9" ht="20.25" thickBot="1">
      <c r="A187" s="414" t="s">
        <v>31</v>
      </c>
      <c r="B187" s="415"/>
      <c r="C187" s="415"/>
      <c r="D187" s="415"/>
      <c r="E187" s="415"/>
      <c r="F187" s="415"/>
      <c r="G187" s="415"/>
      <c r="H187" s="415"/>
      <c r="I187" s="416"/>
    </row>
    <row r="188" spans="1:9" ht="15.75" thickBot="1">
      <c r="A188" s="13" t="s">
        <v>32</v>
      </c>
      <c r="B188" s="13" t="s">
        <v>33</v>
      </c>
      <c r="C188" s="13" t="s">
        <v>34</v>
      </c>
      <c r="D188" s="13" t="s">
        <v>35</v>
      </c>
      <c r="E188" s="13" t="s">
        <v>36</v>
      </c>
      <c r="F188" s="17" t="s">
        <v>53</v>
      </c>
      <c r="G188" s="32"/>
      <c r="H188" s="28"/>
      <c r="I188" s="29"/>
    </row>
    <row r="189" spans="1:9">
      <c r="A189" s="145" t="s">
        <v>211</v>
      </c>
      <c r="B189" s="25">
        <v>5</v>
      </c>
      <c r="C189" s="25">
        <v>54</v>
      </c>
      <c r="D189" s="25">
        <v>1</v>
      </c>
      <c r="E189" s="25">
        <v>36</v>
      </c>
      <c r="F189" s="104">
        <v>10.8</v>
      </c>
      <c r="G189" s="33"/>
      <c r="H189" s="30"/>
      <c r="I189" s="31"/>
    </row>
    <row r="190" spans="1:9">
      <c r="A190" s="146" t="s">
        <v>178</v>
      </c>
      <c r="B190" s="19">
        <v>13</v>
      </c>
      <c r="C190" s="19">
        <v>49</v>
      </c>
      <c r="D190" s="19">
        <v>0</v>
      </c>
      <c r="E190" s="19">
        <v>12</v>
      </c>
      <c r="F190" s="24">
        <v>3.76</v>
      </c>
      <c r="G190" s="33"/>
      <c r="H190" s="30"/>
      <c r="I190" s="31"/>
    </row>
    <row r="191" spans="1:9">
      <c r="A191" s="146" t="s">
        <v>186</v>
      </c>
      <c r="B191" s="19">
        <v>3</v>
      </c>
      <c r="C191" s="19">
        <v>24</v>
      </c>
      <c r="D191" s="19">
        <v>1</v>
      </c>
      <c r="E191" s="19">
        <v>12</v>
      </c>
      <c r="F191" s="24">
        <v>8</v>
      </c>
      <c r="G191" s="33"/>
      <c r="H191" s="30"/>
      <c r="I191" s="31"/>
    </row>
    <row r="192" spans="1:9">
      <c r="A192" s="146" t="s">
        <v>188</v>
      </c>
      <c r="B192" s="19">
        <v>10</v>
      </c>
      <c r="C192" s="19">
        <v>18</v>
      </c>
      <c r="D192" s="19">
        <v>0</v>
      </c>
      <c r="E192" s="19">
        <v>7</v>
      </c>
      <c r="F192" s="24">
        <v>1.8</v>
      </c>
      <c r="G192" s="33"/>
      <c r="H192" s="30"/>
      <c r="I192" s="31"/>
    </row>
    <row r="193" spans="1:9">
      <c r="A193" s="146" t="s">
        <v>179</v>
      </c>
      <c r="B193" s="19">
        <v>2</v>
      </c>
      <c r="C193" s="19">
        <v>6</v>
      </c>
      <c r="D193" s="19">
        <v>0</v>
      </c>
      <c r="E193" s="19">
        <v>5</v>
      </c>
      <c r="F193" s="24">
        <v>3</v>
      </c>
      <c r="G193" s="33"/>
      <c r="H193" s="30"/>
      <c r="I193" s="31"/>
    </row>
    <row r="194" spans="1:9" ht="15.75" thickBot="1">
      <c r="A194" s="11"/>
      <c r="B194" s="100"/>
      <c r="C194" s="100"/>
      <c r="D194" s="100"/>
      <c r="E194" s="100"/>
      <c r="F194" s="102"/>
      <c r="G194" s="33"/>
      <c r="H194" s="30"/>
      <c r="I194" s="31"/>
    </row>
    <row r="195" spans="1:9" ht="20.25" thickBot="1">
      <c r="A195" s="414" t="s">
        <v>41</v>
      </c>
      <c r="B195" s="415"/>
      <c r="C195" s="415"/>
      <c r="D195" s="415"/>
      <c r="E195" s="415"/>
      <c r="F195" s="415"/>
      <c r="G195" s="415"/>
      <c r="H195" s="415"/>
      <c r="I195" s="416"/>
    </row>
    <row r="196" spans="1:9" ht="15.75" thickBot="1">
      <c r="A196" s="13" t="s">
        <v>32</v>
      </c>
      <c r="B196" s="13" t="s">
        <v>42</v>
      </c>
      <c r="C196" s="13" t="s">
        <v>34</v>
      </c>
      <c r="D196" s="13" t="s">
        <v>35</v>
      </c>
      <c r="E196" s="17" t="s">
        <v>36</v>
      </c>
      <c r="F196" s="32"/>
      <c r="G196" s="34"/>
      <c r="H196" s="28"/>
      <c r="I196" s="29"/>
    </row>
    <row r="197" spans="1:9">
      <c r="A197" s="146" t="s">
        <v>183</v>
      </c>
      <c r="B197" s="19">
        <v>4</v>
      </c>
      <c r="C197" s="19">
        <v>66</v>
      </c>
      <c r="D197" s="19">
        <v>0</v>
      </c>
      <c r="E197" s="55">
        <v>16.5</v>
      </c>
      <c r="F197" s="33"/>
      <c r="G197" s="30"/>
      <c r="H197" s="30"/>
      <c r="I197" s="31"/>
    </row>
    <row r="198" spans="1:9">
      <c r="A198" s="146" t="s">
        <v>186</v>
      </c>
      <c r="B198" s="19">
        <v>2</v>
      </c>
      <c r="C198" s="19">
        <v>12</v>
      </c>
      <c r="D198" s="19">
        <v>0</v>
      </c>
      <c r="E198" s="53">
        <v>9</v>
      </c>
      <c r="F198" s="33"/>
      <c r="G198" s="30"/>
      <c r="H198" s="30"/>
      <c r="I198" s="31"/>
    </row>
    <row r="199" spans="1:9">
      <c r="A199" s="146" t="s">
        <v>184</v>
      </c>
      <c r="B199" s="19">
        <v>2</v>
      </c>
      <c r="C199" s="19">
        <v>26</v>
      </c>
      <c r="D199" s="19">
        <v>0</v>
      </c>
      <c r="E199" s="53">
        <v>16</v>
      </c>
      <c r="F199" s="33"/>
      <c r="G199" s="30"/>
      <c r="H199" s="30"/>
      <c r="I199" s="31"/>
    </row>
    <row r="200" spans="1:9" ht="15.75" thickBot="1">
      <c r="A200" s="146"/>
      <c r="B200" s="19"/>
      <c r="C200" s="19"/>
      <c r="D200" s="19"/>
      <c r="E200" s="53"/>
      <c r="F200" s="33"/>
      <c r="G200" s="30"/>
      <c r="H200" s="30"/>
      <c r="I200" s="31"/>
    </row>
    <row r="201" spans="1:9" ht="20.25" thickBot="1">
      <c r="A201" s="414" t="s">
        <v>37</v>
      </c>
      <c r="B201" s="415"/>
      <c r="C201" s="415"/>
      <c r="D201" s="415"/>
      <c r="E201" s="415"/>
      <c r="F201" s="415"/>
      <c r="G201" s="415"/>
      <c r="H201" s="415"/>
      <c r="I201" s="416"/>
    </row>
    <row r="202" spans="1:9" ht="15.75" thickBot="1">
      <c r="A202" s="13" t="s">
        <v>32</v>
      </c>
      <c r="B202" s="13" t="s">
        <v>45</v>
      </c>
      <c r="C202" s="13" t="s">
        <v>38</v>
      </c>
      <c r="D202" s="13" t="s">
        <v>34</v>
      </c>
      <c r="E202" s="13" t="s">
        <v>35</v>
      </c>
      <c r="F202" s="13" t="s">
        <v>39</v>
      </c>
      <c r="G202" s="17" t="s">
        <v>40</v>
      </c>
      <c r="H202" s="32"/>
      <c r="I202" s="36"/>
    </row>
    <row r="203" spans="1:9">
      <c r="A203" s="146" t="s">
        <v>178</v>
      </c>
      <c r="B203" s="57" t="s">
        <v>213</v>
      </c>
      <c r="C203" s="48">
        <v>0.38</v>
      </c>
      <c r="D203" s="19">
        <v>88</v>
      </c>
      <c r="E203" s="19">
        <v>0</v>
      </c>
      <c r="F203" s="19">
        <v>1</v>
      </c>
      <c r="G203" s="55">
        <v>29</v>
      </c>
      <c r="H203" s="33"/>
      <c r="I203" s="31"/>
    </row>
    <row r="204" spans="1:9">
      <c r="A204" s="146" t="s">
        <v>186</v>
      </c>
      <c r="B204" s="57" t="s">
        <v>212</v>
      </c>
      <c r="C204" s="48">
        <v>1</v>
      </c>
      <c r="D204" s="19">
        <v>16</v>
      </c>
      <c r="E204" s="19">
        <v>0</v>
      </c>
      <c r="F204" s="19">
        <v>0</v>
      </c>
      <c r="G204" s="55">
        <v>16</v>
      </c>
      <c r="H204" s="33"/>
      <c r="I204" s="31"/>
    </row>
    <row r="205" spans="1:9" ht="15.75" thickBot="1">
      <c r="A205" s="10"/>
      <c r="B205" s="57"/>
      <c r="C205" s="48"/>
      <c r="D205" s="19"/>
      <c r="E205" s="19"/>
      <c r="F205" s="19"/>
      <c r="G205" s="55"/>
      <c r="H205" s="33"/>
      <c r="I205" s="31"/>
    </row>
    <row r="206" spans="1:9" ht="18" thickBot="1">
      <c r="A206" s="456" t="s">
        <v>218</v>
      </c>
      <c r="B206" s="457"/>
      <c r="C206" s="457"/>
      <c r="D206" s="457"/>
      <c r="E206" s="457"/>
      <c r="F206" s="457"/>
      <c r="G206" s="457"/>
      <c r="H206" s="457"/>
      <c r="I206" s="458"/>
    </row>
    <row r="207" spans="1:9" ht="20.25" thickBot="1">
      <c r="A207" s="414" t="s">
        <v>31</v>
      </c>
      <c r="B207" s="415"/>
      <c r="C207" s="415"/>
      <c r="D207" s="415"/>
      <c r="E207" s="415"/>
      <c r="F207" s="415"/>
      <c r="G207" s="415"/>
      <c r="H207" s="415"/>
      <c r="I207" s="416"/>
    </row>
    <row r="208" spans="1:9" ht="15.75" thickBot="1">
      <c r="A208" s="13" t="s">
        <v>32</v>
      </c>
      <c r="B208" s="13" t="s">
        <v>33</v>
      </c>
      <c r="C208" s="13" t="s">
        <v>34</v>
      </c>
      <c r="D208" s="13" t="s">
        <v>35</v>
      </c>
      <c r="E208" s="13" t="s">
        <v>36</v>
      </c>
      <c r="F208" s="17" t="s">
        <v>53</v>
      </c>
      <c r="G208" s="32"/>
      <c r="H208" s="28"/>
      <c r="I208" s="29"/>
    </row>
    <row r="209" spans="1:9">
      <c r="A209" s="146" t="s">
        <v>186</v>
      </c>
      <c r="B209" s="19">
        <v>16</v>
      </c>
      <c r="C209" s="19">
        <v>77</v>
      </c>
      <c r="D209" s="19">
        <v>0</v>
      </c>
      <c r="E209" s="19">
        <v>20</v>
      </c>
      <c r="F209" s="55">
        <v>4.8099999999999996</v>
      </c>
      <c r="G209" s="38"/>
      <c r="H209" s="39"/>
      <c r="I209" s="40"/>
    </row>
    <row r="210" spans="1:9">
      <c r="A210" s="147" t="s">
        <v>178</v>
      </c>
      <c r="B210" s="43">
        <v>10</v>
      </c>
      <c r="C210" s="43">
        <v>38</v>
      </c>
      <c r="D210" s="43">
        <v>1</v>
      </c>
      <c r="E210" s="43">
        <v>11</v>
      </c>
      <c r="F210" s="54">
        <v>3.8</v>
      </c>
      <c r="G210" s="33"/>
      <c r="H210" s="30"/>
      <c r="I210" s="31"/>
    </row>
    <row r="211" spans="1:9">
      <c r="A211" s="147" t="s">
        <v>179</v>
      </c>
      <c r="B211" s="43">
        <v>2</v>
      </c>
      <c r="C211" s="43">
        <v>15</v>
      </c>
      <c r="D211" s="43">
        <v>1</v>
      </c>
      <c r="E211" s="43">
        <v>9</v>
      </c>
      <c r="F211" s="54">
        <v>7.5</v>
      </c>
      <c r="G211" s="33"/>
      <c r="H211" s="30"/>
      <c r="I211" s="31"/>
    </row>
    <row r="212" spans="1:9">
      <c r="A212" s="147" t="s">
        <v>183</v>
      </c>
      <c r="B212" s="43">
        <v>5</v>
      </c>
      <c r="C212" s="43">
        <v>14</v>
      </c>
      <c r="D212" s="43">
        <v>0</v>
      </c>
      <c r="E212" s="43">
        <v>6</v>
      </c>
      <c r="F212" s="54">
        <v>2.8</v>
      </c>
      <c r="G212" s="33"/>
      <c r="H212" s="30"/>
      <c r="I212" s="31"/>
    </row>
    <row r="213" spans="1:9">
      <c r="A213" s="147" t="s">
        <v>188</v>
      </c>
      <c r="B213" s="43">
        <v>2</v>
      </c>
      <c r="C213" s="43">
        <v>3</v>
      </c>
      <c r="D213" s="43">
        <v>0</v>
      </c>
      <c r="E213" s="43">
        <v>3</v>
      </c>
      <c r="F213" s="54">
        <v>1.5</v>
      </c>
      <c r="G213" s="33"/>
      <c r="H213" s="30"/>
      <c r="I213" s="31"/>
    </row>
    <row r="214" spans="1:9" ht="15.75" thickBot="1">
      <c r="A214" s="10"/>
      <c r="B214" s="19"/>
      <c r="C214" s="19"/>
      <c r="D214" s="19"/>
      <c r="E214" s="19"/>
      <c r="F214" s="55"/>
      <c r="G214" s="33"/>
      <c r="H214" s="30"/>
      <c r="I214" s="31"/>
    </row>
    <row r="215" spans="1:9" ht="20.25" thickBot="1">
      <c r="A215" s="414" t="s">
        <v>41</v>
      </c>
      <c r="B215" s="415"/>
      <c r="C215" s="415"/>
      <c r="D215" s="415"/>
      <c r="E215" s="415"/>
      <c r="F215" s="415"/>
      <c r="G215" s="415"/>
      <c r="H215" s="415"/>
      <c r="I215" s="416"/>
    </row>
    <row r="216" spans="1:9" ht="15.75" thickBot="1">
      <c r="A216" s="14" t="s">
        <v>32</v>
      </c>
      <c r="B216" s="14" t="s">
        <v>42</v>
      </c>
      <c r="C216" s="14" t="s">
        <v>34</v>
      </c>
      <c r="D216" s="14" t="s">
        <v>35</v>
      </c>
      <c r="E216" s="45" t="s">
        <v>36</v>
      </c>
      <c r="F216" s="32"/>
      <c r="G216" s="34"/>
      <c r="H216" s="28"/>
      <c r="I216" s="29"/>
    </row>
    <row r="217" spans="1:9">
      <c r="A217" s="327" t="s">
        <v>183</v>
      </c>
      <c r="B217" s="202">
        <v>2</v>
      </c>
      <c r="C217" s="202">
        <v>42</v>
      </c>
      <c r="D217" s="202">
        <v>0</v>
      </c>
      <c r="E217" s="203">
        <v>39</v>
      </c>
      <c r="F217" s="46"/>
      <c r="G217" s="46"/>
      <c r="H217" s="39"/>
      <c r="I217" s="40"/>
    </row>
    <row r="218" spans="1:9">
      <c r="A218" s="328" t="s">
        <v>184</v>
      </c>
      <c r="B218" s="201">
        <v>2</v>
      </c>
      <c r="C218" s="201">
        <v>30</v>
      </c>
      <c r="D218" s="201">
        <v>0</v>
      </c>
      <c r="E218" s="204">
        <v>17</v>
      </c>
      <c r="F218" s="46"/>
      <c r="G218" s="46"/>
      <c r="H218" s="39"/>
      <c r="I218" s="40"/>
    </row>
    <row r="219" spans="1:9">
      <c r="A219" s="328" t="s">
        <v>235</v>
      </c>
      <c r="B219" s="201">
        <v>1</v>
      </c>
      <c r="C219" s="201">
        <v>8</v>
      </c>
      <c r="D219" s="201">
        <v>0</v>
      </c>
      <c r="E219" s="204">
        <v>8</v>
      </c>
      <c r="F219" s="46"/>
      <c r="G219" s="46"/>
      <c r="H219" s="39"/>
      <c r="I219" s="40"/>
    </row>
    <row r="220" spans="1:9" ht="15.75" thickBot="1">
      <c r="A220" s="274"/>
      <c r="B220" s="205"/>
      <c r="C220" s="205"/>
      <c r="D220" s="205"/>
      <c r="E220" s="206"/>
      <c r="F220" s="47"/>
      <c r="G220" s="30"/>
      <c r="H220" s="30"/>
      <c r="I220" s="31"/>
    </row>
    <row r="221" spans="1:9" ht="20.25" thickBot="1">
      <c r="A221" s="417" t="s">
        <v>37</v>
      </c>
      <c r="B221" s="418"/>
      <c r="C221" s="418"/>
      <c r="D221" s="418"/>
      <c r="E221" s="418"/>
      <c r="F221" s="415"/>
      <c r="G221" s="415"/>
      <c r="H221" s="415"/>
      <c r="I221" s="416"/>
    </row>
    <row r="222" spans="1:9" ht="15.75" thickBot="1">
      <c r="A222" s="13" t="s">
        <v>32</v>
      </c>
      <c r="B222" s="13" t="s">
        <v>45</v>
      </c>
      <c r="C222" s="13" t="s">
        <v>38</v>
      </c>
      <c r="D222" s="13" t="s">
        <v>34</v>
      </c>
      <c r="E222" s="13" t="s">
        <v>35</v>
      </c>
      <c r="F222" s="13" t="s">
        <v>39</v>
      </c>
      <c r="G222" s="13" t="s">
        <v>40</v>
      </c>
      <c r="H222" s="32"/>
      <c r="I222" s="36"/>
    </row>
    <row r="223" spans="1:9">
      <c r="A223" s="278" t="s">
        <v>178</v>
      </c>
      <c r="B223" s="21" t="s">
        <v>234</v>
      </c>
      <c r="C223" s="329">
        <v>0.22700000000000001</v>
      </c>
      <c r="D223" s="207">
        <v>80</v>
      </c>
      <c r="E223" s="207">
        <v>0</v>
      </c>
      <c r="F223" s="207">
        <v>1</v>
      </c>
      <c r="G223" s="210">
        <v>39</v>
      </c>
      <c r="H223" s="46"/>
      <c r="I223" s="273"/>
    </row>
    <row r="224" spans="1:9" ht="15.75" thickBot="1">
      <c r="A224" s="274"/>
      <c r="B224" s="275"/>
      <c r="C224" s="276"/>
      <c r="D224" s="205"/>
      <c r="E224" s="205"/>
      <c r="F224" s="205"/>
      <c r="G224" s="206"/>
      <c r="H224" s="47"/>
      <c r="I224" s="31"/>
    </row>
    <row r="225" spans="1:9" ht="15.75" thickBot="1">
      <c r="A225" s="51"/>
      <c r="B225" s="52"/>
      <c r="C225" s="52"/>
      <c r="D225" s="52"/>
      <c r="E225" s="52"/>
      <c r="F225" s="52"/>
      <c r="G225" s="52"/>
      <c r="H225" s="52"/>
      <c r="I225" s="66"/>
    </row>
  </sheetData>
  <mergeCells count="42">
    <mergeCell ref="A215:I215"/>
    <mergeCell ref="A221:I221"/>
    <mergeCell ref="A187:I187"/>
    <mergeCell ref="A195:I195"/>
    <mergeCell ref="A201:I201"/>
    <mergeCell ref="A206:I206"/>
    <mergeCell ref="A140:I140"/>
    <mergeCell ref="A123:I123"/>
    <mergeCell ref="A186:I186"/>
    <mergeCell ref="A207:I207"/>
    <mergeCell ref="A174:I174"/>
    <mergeCell ref="A181:I181"/>
    <mergeCell ref="A166:I166"/>
    <mergeCell ref="A145:I145"/>
    <mergeCell ref="A146:I146"/>
    <mergeCell ref="A154:I154"/>
    <mergeCell ref="A161:I161"/>
    <mergeCell ref="A165:I165"/>
    <mergeCell ref="A103:I103"/>
    <mergeCell ref="A111:I111"/>
    <mergeCell ref="A119:I119"/>
    <mergeCell ref="A124:I124"/>
    <mergeCell ref="A132:I132"/>
    <mergeCell ref="A40:I40"/>
    <mergeCell ref="A41:I41"/>
    <mergeCell ref="A50:I50"/>
    <mergeCell ref="A55:I55"/>
    <mergeCell ref="A33:I33"/>
    <mergeCell ref="A1:I1"/>
    <mergeCell ref="A2:I2"/>
    <mergeCell ref="A3:I3"/>
    <mergeCell ref="A14:I14"/>
    <mergeCell ref="A21:I21"/>
    <mergeCell ref="A60:I60"/>
    <mergeCell ref="A80:I80"/>
    <mergeCell ref="A102:I102"/>
    <mergeCell ref="A81:I81"/>
    <mergeCell ref="A90:I90"/>
    <mergeCell ref="A98:I98"/>
    <mergeCell ref="A61:I61"/>
    <mergeCell ref="A70:I70"/>
    <mergeCell ref="A76:I76"/>
  </mergeCells>
  <pageMargins left="0.7" right="0.7" top="0.75" bottom="0.75" header="0.3" footer="0.3"/>
  <pageSetup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2"/>
  <sheetViews>
    <sheetView workbookViewId="0">
      <selection activeCell="F102" sqref="F102"/>
    </sheetView>
  </sheetViews>
  <sheetFormatPr defaultRowHeight="15"/>
  <cols>
    <col min="1" max="1" width="32.5703125" customWidth="1"/>
    <col min="2" max="2" width="11.28515625" customWidth="1"/>
    <col min="3" max="3" width="32.5703125" customWidth="1"/>
    <col min="4" max="4" width="11.28515625" customWidth="1"/>
  </cols>
  <sheetData>
    <row r="1" spans="1:4" ht="25.5" customHeight="1" thickBot="1">
      <c r="A1" s="377" t="s">
        <v>78</v>
      </c>
      <c r="B1" s="378"/>
      <c r="C1" s="378"/>
      <c r="D1" s="379"/>
    </row>
    <row r="2" spans="1:4" ht="33" thickBot="1">
      <c r="A2" s="465" t="s">
        <v>23</v>
      </c>
      <c r="B2" s="466"/>
      <c r="C2" s="466"/>
      <c r="D2" s="467"/>
    </row>
    <row r="3" spans="1:4" ht="18" thickBot="1">
      <c r="A3" s="468" t="s">
        <v>24</v>
      </c>
      <c r="B3" s="469"/>
      <c r="C3" s="468" t="s">
        <v>25</v>
      </c>
      <c r="D3" s="469"/>
    </row>
    <row r="4" spans="1:4" ht="18" thickBot="1">
      <c r="A4" s="356" t="s">
        <v>59</v>
      </c>
      <c r="B4" s="357"/>
      <c r="C4" s="356" t="s">
        <v>69</v>
      </c>
      <c r="D4" s="357"/>
    </row>
    <row r="5" spans="1:4" ht="17.25">
      <c r="A5" s="69" t="s">
        <v>0</v>
      </c>
      <c r="B5" s="94">
        <v>408</v>
      </c>
      <c r="C5" s="73" t="s">
        <v>14</v>
      </c>
      <c r="D5" s="82">
        <v>45.33</v>
      </c>
    </row>
    <row r="6" spans="1:4" ht="17.25">
      <c r="A6" s="70" t="s">
        <v>2</v>
      </c>
      <c r="B6" s="193">
        <v>1805</v>
      </c>
      <c r="C6" s="74" t="s">
        <v>15</v>
      </c>
      <c r="D6" s="83">
        <v>200.55</v>
      </c>
    </row>
    <row r="7" spans="1:4" ht="18" thickBot="1">
      <c r="A7" s="70" t="s">
        <v>11</v>
      </c>
      <c r="B7" s="95">
        <v>4.42</v>
      </c>
      <c r="C7" s="74" t="s">
        <v>16</v>
      </c>
      <c r="D7" s="84">
        <v>3</v>
      </c>
    </row>
    <row r="8" spans="1:4" ht="17.25">
      <c r="A8" s="71" t="s">
        <v>65</v>
      </c>
      <c r="B8" s="96">
        <v>11</v>
      </c>
      <c r="C8" s="68"/>
      <c r="D8" s="75"/>
    </row>
    <row r="9" spans="1:4" ht="18" thickBot="1">
      <c r="A9" s="71" t="s">
        <v>3</v>
      </c>
      <c r="B9" s="97">
        <v>24</v>
      </c>
      <c r="C9" s="56"/>
      <c r="D9" s="16"/>
    </row>
    <row r="10" spans="1:4" ht="18" thickBot="1">
      <c r="A10" s="356" t="s">
        <v>66</v>
      </c>
      <c r="B10" s="357"/>
      <c r="C10" s="356" t="s">
        <v>73</v>
      </c>
      <c r="D10" s="357"/>
    </row>
    <row r="11" spans="1:4" ht="17.25">
      <c r="A11" s="69" t="s">
        <v>1</v>
      </c>
      <c r="B11" s="77">
        <v>120</v>
      </c>
      <c r="C11" s="73" t="s">
        <v>17</v>
      </c>
      <c r="D11" s="82">
        <v>13.33</v>
      </c>
    </row>
    <row r="12" spans="1:4" ht="17.25">
      <c r="A12" s="70" t="s">
        <v>6</v>
      </c>
      <c r="B12" s="78">
        <v>65</v>
      </c>
      <c r="C12" s="74" t="s">
        <v>18</v>
      </c>
      <c r="D12" s="83">
        <v>7.22</v>
      </c>
    </row>
    <row r="13" spans="1:4" ht="17.25">
      <c r="A13" s="70" t="s">
        <v>4</v>
      </c>
      <c r="B13" s="78">
        <v>786</v>
      </c>
      <c r="C13" s="74" t="s">
        <v>19</v>
      </c>
      <c r="D13" s="83">
        <v>87.33</v>
      </c>
    </row>
    <row r="14" spans="1:4" ht="17.25">
      <c r="A14" s="70" t="s">
        <v>5</v>
      </c>
      <c r="B14" s="78">
        <v>2</v>
      </c>
      <c r="C14" s="74" t="s">
        <v>20</v>
      </c>
      <c r="D14" s="83">
        <v>0.22</v>
      </c>
    </row>
    <row r="15" spans="1:4" ht="18" thickBot="1">
      <c r="A15" s="71" t="s">
        <v>30</v>
      </c>
      <c r="B15" s="79">
        <v>7</v>
      </c>
      <c r="C15" s="76" t="s">
        <v>72</v>
      </c>
      <c r="D15" s="84">
        <v>0.77</v>
      </c>
    </row>
    <row r="16" spans="1:4" ht="18" thickBot="1">
      <c r="A16" s="356" t="s">
        <v>67</v>
      </c>
      <c r="B16" s="357"/>
      <c r="C16" s="356" t="s">
        <v>70</v>
      </c>
      <c r="D16" s="357"/>
    </row>
    <row r="17" spans="1:4" ht="18" thickBot="1">
      <c r="A17" s="72" t="s">
        <v>27</v>
      </c>
      <c r="B17" s="80">
        <v>118</v>
      </c>
      <c r="C17" s="72" t="s">
        <v>220</v>
      </c>
      <c r="D17" s="85">
        <v>13.11</v>
      </c>
    </row>
    <row r="18" spans="1:4" ht="18" thickBot="1">
      <c r="A18" s="356" t="s">
        <v>68</v>
      </c>
      <c r="B18" s="357"/>
      <c r="C18" s="356" t="s">
        <v>71</v>
      </c>
      <c r="D18" s="357"/>
    </row>
    <row r="19" spans="1:4" ht="17.25">
      <c r="A19" s="69" t="s">
        <v>28</v>
      </c>
      <c r="B19" s="77">
        <v>186</v>
      </c>
      <c r="C19" s="69" t="s">
        <v>221</v>
      </c>
      <c r="D19" s="82">
        <v>20.66</v>
      </c>
    </row>
    <row r="20" spans="1:4" ht="18" thickBot="1">
      <c r="A20" s="71" t="s">
        <v>29</v>
      </c>
      <c r="B20" s="111">
        <v>2595</v>
      </c>
      <c r="C20" s="71" t="s">
        <v>222</v>
      </c>
      <c r="D20" s="84">
        <v>288.33</v>
      </c>
    </row>
    <row r="21" spans="1:4" ht="18" customHeight="1">
      <c r="A21" s="459" t="s">
        <v>63</v>
      </c>
      <c r="B21" s="460"/>
      <c r="C21" s="460"/>
      <c r="D21" s="461"/>
    </row>
    <row r="22" spans="1:4" ht="15.75" thickBot="1">
      <c r="A22" s="462"/>
      <c r="B22" s="463"/>
      <c r="C22" s="463"/>
      <c r="D22" s="464"/>
    </row>
    <row r="23" spans="1:4" ht="18" thickBot="1">
      <c r="A23" s="388" t="s">
        <v>144</v>
      </c>
      <c r="B23" s="389"/>
      <c r="C23" s="390" t="s">
        <v>164</v>
      </c>
      <c r="D23" s="391"/>
    </row>
    <row r="24" spans="1:4" ht="18" thickBot="1">
      <c r="A24" s="356" t="s">
        <v>59</v>
      </c>
      <c r="B24" s="357"/>
      <c r="C24" s="356" t="s">
        <v>59</v>
      </c>
      <c r="D24" s="357"/>
    </row>
    <row r="25" spans="1:4" ht="17.25">
      <c r="A25" s="69" t="s">
        <v>0</v>
      </c>
      <c r="B25" s="317">
        <v>32</v>
      </c>
      <c r="C25" s="69" t="s">
        <v>0</v>
      </c>
      <c r="D25" s="317">
        <v>35</v>
      </c>
    </row>
    <row r="26" spans="1:4" ht="17.25">
      <c r="A26" s="70" t="s">
        <v>2</v>
      </c>
      <c r="B26" s="318">
        <v>98</v>
      </c>
      <c r="C26" s="70" t="s">
        <v>2</v>
      </c>
      <c r="D26" s="318">
        <v>99</v>
      </c>
    </row>
    <row r="27" spans="1:4" ht="17.25">
      <c r="A27" s="70" t="s">
        <v>11</v>
      </c>
      <c r="B27" s="318">
        <v>3.06</v>
      </c>
      <c r="C27" s="70" t="s">
        <v>11</v>
      </c>
      <c r="D27" s="320">
        <v>2.82</v>
      </c>
    </row>
    <row r="28" spans="1:4" ht="18" thickBot="1">
      <c r="A28" s="71" t="s">
        <v>3</v>
      </c>
      <c r="B28" s="319">
        <v>3</v>
      </c>
      <c r="C28" s="71" t="s">
        <v>3</v>
      </c>
      <c r="D28" s="319">
        <v>1</v>
      </c>
    </row>
    <row r="29" spans="1:4" ht="18" thickBot="1">
      <c r="A29" s="356" t="s">
        <v>60</v>
      </c>
      <c r="B29" s="357"/>
      <c r="C29" s="356" t="s">
        <v>60</v>
      </c>
      <c r="D29" s="357"/>
    </row>
    <row r="30" spans="1:4" ht="17.25">
      <c r="A30" s="69" t="s">
        <v>1</v>
      </c>
      <c r="B30" s="317">
        <v>8</v>
      </c>
      <c r="C30" s="69" t="s">
        <v>1</v>
      </c>
      <c r="D30" s="317">
        <v>16</v>
      </c>
    </row>
    <row r="31" spans="1:4" ht="17.25">
      <c r="A31" s="70" t="s">
        <v>6</v>
      </c>
      <c r="B31" s="318">
        <v>4</v>
      </c>
      <c r="C31" s="70" t="s">
        <v>6</v>
      </c>
      <c r="D31" s="318">
        <v>5</v>
      </c>
    </row>
    <row r="32" spans="1:4" ht="17.25">
      <c r="A32" s="70" t="s">
        <v>4</v>
      </c>
      <c r="B32" s="318">
        <v>55</v>
      </c>
      <c r="C32" s="70" t="s">
        <v>4</v>
      </c>
      <c r="D32" s="318">
        <v>34</v>
      </c>
    </row>
    <row r="33" spans="1:4" ht="17.25">
      <c r="A33" s="70" t="s">
        <v>5</v>
      </c>
      <c r="B33" s="318">
        <v>0</v>
      </c>
      <c r="C33" s="70" t="s">
        <v>5</v>
      </c>
      <c r="D33" s="318">
        <v>0</v>
      </c>
    </row>
    <row r="34" spans="1:4" ht="18" thickBot="1">
      <c r="A34" s="71" t="s">
        <v>30</v>
      </c>
      <c r="B34" s="319">
        <v>0</v>
      </c>
      <c r="C34" s="71" t="s">
        <v>30</v>
      </c>
      <c r="D34" s="319">
        <v>1</v>
      </c>
    </row>
    <row r="35" spans="1:4" ht="18" thickBot="1">
      <c r="A35" s="356" t="s">
        <v>61</v>
      </c>
      <c r="B35" s="357"/>
      <c r="C35" s="356" t="s">
        <v>61</v>
      </c>
      <c r="D35" s="357"/>
    </row>
    <row r="36" spans="1:4" ht="18" thickBot="1">
      <c r="A36" s="186" t="s">
        <v>27</v>
      </c>
      <c r="B36" s="321">
        <v>6</v>
      </c>
      <c r="C36" s="186" t="s">
        <v>27</v>
      </c>
      <c r="D36" s="321">
        <v>7</v>
      </c>
    </row>
    <row r="37" spans="1:4" ht="18" thickBot="1">
      <c r="A37" s="356" t="s">
        <v>62</v>
      </c>
      <c r="B37" s="357"/>
      <c r="C37" s="356" t="s">
        <v>62</v>
      </c>
      <c r="D37" s="357"/>
    </row>
    <row r="38" spans="1:4" ht="17.25">
      <c r="A38" s="69" t="s">
        <v>28</v>
      </c>
      <c r="B38" s="317">
        <v>19</v>
      </c>
      <c r="C38" s="69" t="s">
        <v>28</v>
      </c>
      <c r="D38" s="317">
        <v>7</v>
      </c>
    </row>
    <row r="39" spans="1:4" ht="18" thickBot="1">
      <c r="A39" s="71" t="s">
        <v>29</v>
      </c>
      <c r="B39" s="319">
        <v>153</v>
      </c>
      <c r="C39" s="71" t="s">
        <v>29</v>
      </c>
      <c r="D39" s="319">
        <v>133</v>
      </c>
    </row>
    <row r="40" spans="1:4" ht="15.75" thickBot="1">
      <c r="A40" s="3"/>
      <c r="B40" s="4"/>
      <c r="C40" s="3"/>
      <c r="D40" s="5"/>
    </row>
    <row r="41" spans="1:4" ht="18" thickBot="1">
      <c r="A41" s="386" t="s">
        <v>169</v>
      </c>
      <c r="B41" s="387"/>
      <c r="C41" s="392" t="s">
        <v>193</v>
      </c>
      <c r="D41" s="393"/>
    </row>
    <row r="42" spans="1:4" ht="18" thickBot="1">
      <c r="A42" s="356" t="s">
        <v>59</v>
      </c>
      <c r="B42" s="357"/>
      <c r="C42" s="356" t="s">
        <v>59</v>
      </c>
      <c r="D42" s="357"/>
    </row>
    <row r="43" spans="1:4" ht="17.25">
      <c r="A43" s="69" t="s">
        <v>0</v>
      </c>
      <c r="B43" s="317">
        <v>31</v>
      </c>
      <c r="C43" s="69" t="s">
        <v>0</v>
      </c>
      <c r="D43" s="317">
        <v>49</v>
      </c>
    </row>
    <row r="44" spans="1:4" ht="17.25">
      <c r="A44" s="70" t="s">
        <v>2</v>
      </c>
      <c r="B44" s="318">
        <v>103</v>
      </c>
      <c r="C44" s="70" t="s">
        <v>2</v>
      </c>
      <c r="D44" s="318">
        <v>325</v>
      </c>
    </row>
    <row r="45" spans="1:4" ht="17.25">
      <c r="A45" s="70" t="s">
        <v>11</v>
      </c>
      <c r="B45" s="318">
        <v>3.32</v>
      </c>
      <c r="C45" s="70" t="s">
        <v>11</v>
      </c>
      <c r="D45" s="318">
        <v>6.63</v>
      </c>
    </row>
    <row r="46" spans="1:4" ht="18" thickBot="1">
      <c r="A46" s="71" t="s">
        <v>3</v>
      </c>
      <c r="B46" s="319">
        <v>0</v>
      </c>
      <c r="C46" s="71" t="s">
        <v>3</v>
      </c>
      <c r="D46" s="319">
        <v>6</v>
      </c>
    </row>
    <row r="47" spans="1:4" ht="18" thickBot="1">
      <c r="A47" s="356" t="s">
        <v>60</v>
      </c>
      <c r="B47" s="357"/>
      <c r="C47" s="356" t="s">
        <v>60</v>
      </c>
      <c r="D47" s="357"/>
    </row>
    <row r="48" spans="1:4" ht="17.25">
      <c r="A48" s="69" t="s">
        <v>1</v>
      </c>
      <c r="B48" s="317">
        <v>22</v>
      </c>
      <c r="C48" s="69" t="s">
        <v>1</v>
      </c>
      <c r="D48" s="317">
        <v>10</v>
      </c>
    </row>
    <row r="49" spans="1:4" ht="17.25">
      <c r="A49" s="70" t="s">
        <v>6</v>
      </c>
      <c r="B49" s="318">
        <v>12</v>
      </c>
      <c r="C49" s="70" t="s">
        <v>6</v>
      </c>
      <c r="D49" s="318">
        <v>5</v>
      </c>
    </row>
    <row r="50" spans="1:4" ht="17.25">
      <c r="A50" s="70" t="s">
        <v>4</v>
      </c>
      <c r="B50" s="318">
        <v>154</v>
      </c>
      <c r="C50" s="70" t="s">
        <v>4</v>
      </c>
      <c r="D50" s="318">
        <v>76</v>
      </c>
    </row>
    <row r="51" spans="1:4" ht="17.25">
      <c r="A51" s="70" t="s">
        <v>5</v>
      </c>
      <c r="B51" s="318">
        <v>0</v>
      </c>
      <c r="C51" s="70" t="s">
        <v>5</v>
      </c>
      <c r="D51" s="318">
        <v>0</v>
      </c>
    </row>
    <row r="52" spans="1:4" ht="18" thickBot="1">
      <c r="A52" s="71" t="s">
        <v>30</v>
      </c>
      <c r="B52" s="319">
        <v>2</v>
      </c>
      <c r="C52" s="71" t="s">
        <v>30</v>
      </c>
      <c r="D52" s="319">
        <v>2</v>
      </c>
    </row>
    <row r="53" spans="1:4" ht="18" thickBot="1">
      <c r="A53" s="356" t="s">
        <v>61</v>
      </c>
      <c r="B53" s="357"/>
      <c r="C53" s="356" t="s">
        <v>61</v>
      </c>
      <c r="D53" s="357"/>
    </row>
    <row r="54" spans="1:4" ht="18" thickBot="1">
      <c r="A54" s="186" t="s">
        <v>27</v>
      </c>
      <c r="B54" s="321">
        <v>14</v>
      </c>
      <c r="C54" s="186" t="s">
        <v>27</v>
      </c>
      <c r="D54" s="321">
        <v>20</v>
      </c>
    </row>
    <row r="55" spans="1:4" ht="18" thickBot="1">
      <c r="A55" s="356" t="s">
        <v>62</v>
      </c>
      <c r="B55" s="357"/>
      <c r="C55" s="356" t="s">
        <v>62</v>
      </c>
      <c r="D55" s="357"/>
    </row>
    <row r="56" spans="1:4" ht="17.25">
      <c r="A56" s="69" t="s">
        <v>28</v>
      </c>
      <c r="B56" s="317">
        <v>0</v>
      </c>
      <c r="C56" s="69" t="s">
        <v>28</v>
      </c>
      <c r="D56" s="317">
        <v>42</v>
      </c>
    </row>
    <row r="57" spans="1:4" ht="18" thickBot="1">
      <c r="A57" s="71" t="s">
        <v>29</v>
      </c>
      <c r="B57" s="319">
        <v>262</v>
      </c>
      <c r="C57" s="71" t="s">
        <v>29</v>
      </c>
      <c r="D57" s="319">
        <v>401</v>
      </c>
    </row>
    <row r="58" spans="1:4" ht="15.75" thickBot="1">
      <c r="A58" s="3"/>
      <c r="B58" s="4"/>
      <c r="C58" s="3"/>
      <c r="D58" s="5"/>
    </row>
    <row r="59" spans="1:4" ht="18" thickBot="1">
      <c r="A59" s="394" t="s">
        <v>192</v>
      </c>
      <c r="B59" s="395"/>
      <c r="C59" s="396" t="s">
        <v>198</v>
      </c>
      <c r="D59" s="397"/>
    </row>
    <row r="60" spans="1:4" ht="18" thickBot="1">
      <c r="A60" s="356" t="s">
        <v>59</v>
      </c>
      <c r="B60" s="357"/>
      <c r="C60" s="356" t="s">
        <v>59</v>
      </c>
      <c r="D60" s="357"/>
    </row>
    <row r="61" spans="1:4" ht="17.25">
      <c r="A61" s="69" t="s">
        <v>0</v>
      </c>
      <c r="B61" s="317">
        <v>43</v>
      </c>
      <c r="C61" s="69" t="s">
        <v>0</v>
      </c>
      <c r="D61" s="317">
        <v>52</v>
      </c>
    </row>
    <row r="62" spans="1:4" ht="17.25">
      <c r="A62" s="70" t="s">
        <v>2</v>
      </c>
      <c r="B62" s="318">
        <v>124</v>
      </c>
      <c r="C62" s="70" t="s">
        <v>2</v>
      </c>
      <c r="D62" s="318">
        <v>211</v>
      </c>
    </row>
    <row r="63" spans="1:4" ht="17.25">
      <c r="A63" s="70" t="s">
        <v>11</v>
      </c>
      <c r="B63" s="318">
        <v>2.88</v>
      </c>
      <c r="C63" s="70" t="s">
        <v>11</v>
      </c>
      <c r="D63" s="318">
        <v>4.0599999999999996</v>
      </c>
    </row>
    <row r="64" spans="1:4" ht="18" thickBot="1">
      <c r="A64" s="71" t="s">
        <v>3</v>
      </c>
      <c r="B64" s="319">
        <v>1</v>
      </c>
      <c r="C64" s="71" t="s">
        <v>3</v>
      </c>
      <c r="D64" s="319">
        <v>3</v>
      </c>
    </row>
    <row r="65" spans="1:4" ht="18" thickBot="1">
      <c r="A65" s="356" t="s">
        <v>60</v>
      </c>
      <c r="B65" s="357"/>
      <c r="C65" s="356" t="s">
        <v>60</v>
      </c>
      <c r="D65" s="357"/>
    </row>
    <row r="66" spans="1:4" ht="17.25">
      <c r="A66" s="69" t="s">
        <v>1</v>
      </c>
      <c r="B66" s="317">
        <v>21</v>
      </c>
      <c r="C66" s="69" t="s">
        <v>1</v>
      </c>
      <c r="D66" s="317">
        <v>10</v>
      </c>
    </row>
    <row r="67" spans="1:4" ht="17.25">
      <c r="A67" s="70" t="s">
        <v>6</v>
      </c>
      <c r="B67" s="318">
        <v>10</v>
      </c>
      <c r="C67" s="70" t="s">
        <v>6</v>
      </c>
      <c r="D67" s="318">
        <v>5</v>
      </c>
    </row>
    <row r="68" spans="1:4" ht="17.25">
      <c r="A68" s="70" t="s">
        <v>4</v>
      </c>
      <c r="B68" s="318">
        <v>91</v>
      </c>
      <c r="C68" s="70" t="s">
        <v>4</v>
      </c>
      <c r="D68" s="318">
        <v>86</v>
      </c>
    </row>
    <row r="69" spans="1:4" ht="17.25">
      <c r="A69" s="70" t="s">
        <v>5</v>
      </c>
      <c r="B69" s="318">
        <v>0</v>
      </c>
      <c r="C69" s="70" t="s">
        <v>5</v>
      </c>
      <c r="D69" s="318">
        <v>0</v>
      </c>
    </row>
    <row r="70" spans="1:4" ht="18" thickBot="1">
      <c r="A70" s="71" t="s">
        <v>30</v>
      </c>
      <c r="B70" s="319">
        <v>1</v>
      </c>
      <c r="C70" s="71" t="s">
        <v>30</v>
      </c>
      <c r="D70" s="319">
        <v>0</v>
      </c>
    </row>
    <row r="71" spans="1:4" ht="18" thickBot="1">
      <c r="A71" s="356" t="s">
        <v>61</v>
      </c>
      <c r="B71" s="357"/>
      <c r="C71" s="356" t="s">
        <v>61</v>
      </c>
      <c r="D71" s="357"/>
    </row>
    <row r="72" spans="1:4" ht="18" thickBot="1">
      <c r="A72" s="186" t="s">
        <v>27</v>
      </c>
      <c r="B72" s="321">
        <v>11</v>
      </c>
      <c r="C72" s="186" t="s">
        <v>27</v>
      </c>
      <c r="D72" s="321">
        <v>15</v>
      </c>
    </row>
    <row r="73" spans="1:4" ht="18" thickBot="1">
      <c r="A73" s="356" t="s">
        <v>62</v>
      </c>
      <c r="B73" s="357"/>
      <c r="C73" s="356" t="s">
        <v>62</v>
      </c>
      <c r="D73" s="357"/>
    </row>
    <row r="74" spans="1:4" ht="17.25">
      <c r="A74" s="69" t="s">
        <v>28</v>
      </c>
      <c r="B74" s="317">
        <v>15</v>
      </c>
      <c r="C74" s="69" t="s">
        <v>28</v>
      </c>
      <c r="D74" s="317">
        <v>22</v>
      </c>
    </row>
    <row r="75" spans="1:4" ht="18" thickBot="1">
      <c r="A75" s="71" t="s">
        <v>29</v>
      </c>
      <c r="B75" s="319">
        <v>215</v>
      </c>
      <c r="C75" s="71" t="s">
        <v>29</v>
      </c>
      <c r="D75" s="319">
        <v>296</v>
      </c>
    </row>
    <row r="76" spans="1:4" ht="15.75" thickBot="1">
      <c r="A76" s="3"/>
      <c r="B76" s="4"/>
      <c r="C76" s="3"/>
      <c r="D76" s="5"/>
    </row>
    <row r="77" spans="1:4" ht="18" thickBot="1">
      <c r="A77" s="358" t="s">
        <v>204</v>
      </c>
      <c r="B77" s="359"/>
      <c r="C77" s="360" t="s">
        <v>215</v>
      </c>
      <c r="D77" s="361"/>
    </row>
    <row r="78" spans="1:4" ht="18" thickBot="1">
      <c r="A78" s="356" t="s">
        <v>59</v>
      </c>
      <c r="B78" s="357"/>
      <c r="C78" s="356" t="s">
        <v>59</v>
      </c>
      <c r="D78" s="357"/>
    </row>
    <row r="79" spans="1:4" ht="17.25">
      <c r="A79" s="69" t="s">
        <v>0</v>
      </c>
      <c r="B79" s="317">
        <v>67</v>
      </c>
      <c r="C79" s="69" t="s">
        <v>0</v>
      </c>
      <c r="D79" s="317">
        <v>43</v>
      </c>
    </row>
    <row r="80" spans="1:4" ht="17.25">
      <c r="A80" s="70" t="s">
        <v>2</v>
      </c>
      <c r="B80" s="318">
        <v>266</v>
      </c>
      <c r="C80" s="70" t="s">
        <v>2</v>
      </c>
      <c r="D80" s="318">
        <v>138</v>
      </c>
    </row>
    <row r="81" spans="1:4" ht="17.25">
      <c r="A81" s="70" t="s">
        <v>11</v>
      </c>
      <c r="B81" s="318">
        <v>3.97</v>
      </c>
      <c r="C81" s="70" t="s">
        <v>11</v>
      </c>
      <c r="D81" s="318">
        <v>3.76</v>
      </c>
    </row>
    <row r="82" spans="1:4" ht="18" thickBot="1">
      <c r="A82" s="71" t="s">
        <v>3</v>
      </c>
      <c r="B82" s="319">
        <v>3</v>
      </c>
      <c r="C82" s="71" t="s">
        <v>3</v>
      </c>
      <c r="D82" s="319">
        <v>2</v>
      </c>
    </row>
    <row r="83" spans="1:4" ht="18" thickBot="1">
      <c r="A83" s="356" t="s">
        <v>60</v>
      </c>
      <c r="B83" s="357"/>
      <c r="C83" s="356" t="s">
        <v>60</v>
      </c>
      <c r="D83" s="357"/>
    </row>
    <row r="84" spans="1:4" ht="17.25">
      <c r="A84" s="69" t="s">
        <v>1</v>
      </c>
      <c r="B84" s="317">
        <v>3</v>
      </c>
      <c r="C84" s="69" t="s">
        <v>1</v>
      </c>
      <c r="D84" s="317">
        <v>19</v>
      </c>
    </row>
    <row r="85" spans="1:4" ht="17.25">
      <c r="A85" s="70" t="s">
        <v>6</v>
      </c>
      <c r="B85" s="318">
        <v>6</v>
      </c>
      <c r="C85" s="70" t="s">
        <v>6</v>
      </c>
      <c r="D85" s="318">
        <v>12</v>
      </c>
    </row>
    <row r="86" spans="1:4" ht="17.25">
      <c r="A86" s="70" t="s">
        <v>4</v>
      </c>
      <c r="B86" s="318">
        <v>62</v>
      </c>
      <c r="C86" s="70" t="s">
        <v>4</v>
      </c>
      <c r="D86" s="318">
        <v>144</v>
      </c>
    </row>
    <row r="87" spans="1:4" ht="17.25">
      <c r="A87" s="70" t="s">
        <v>5</v>
      </c>
      <c r="B87" s="318">
        <v>1</v>
      </c>
      <c r="C87" s="70" t="s">
        <v>5</v>
      </c>
      <c r="D87" s="318">
        <v>1</v>
      </c>
    </row>
    <row r="88" spans="1:4" ht="18" thickBot="1">
      <c r="A88" s="71" t="s">
        <v>30</v>
      </c>
      <c r="B88" s="319">
        <v>1</v>
      </c>
      <c r="C88" s="71" t="s">
        <v>30</v>
      </c>
      <c r="D88" s="319">
        <v>0</v>
      </c>
    </row>
    <row r="89" spans="1:4" ht="18" thickBot="1">
      <c r="A89" s="356" t="s">
        <v>61</v>
      </c>
      <c r="B89" s="357"/>
      <c r="C89" s="356" t="s">
        <v>61</v>
      </c>
      <c r="D89" s="357"/>
    </row>
    <row r="90" spans="1:4" ht="18" thickBot="1">
      <c r="A90" s="186" t="s">
        <v>27</v>
      </c>
      <c r="B90" s="321">
        <v>18</v>
      </c>
      <c r="C90" s="186" t="s">
        <v>27</v>
      </c>
      <c r="D90" s="321">
        <v>13</v>
      </c>
    </row>
    <row r="91" spans="1:4" ht="18" thickBot="1">
      <c r="A91" s="356" t="s">
        <v>62</v>
      </c>
      <c r="B91" s="357"/>
      <c r="C91" s="356" t="s">
        <v>62</v>
      </c>
      <c r="D91" s="357"/>
    </row>
    <row r="92" spans="1:4" ht="17.25">
      <c r="A92" s="69" t="s">
        <v>28</v>
      </c>
      <c r="B92" s="317">
        <v>28</v>
      </c>
      <c r="C92" s="69" t="s">
        <v>28</v>
      </c>
      <c r="D92" s="317">
        <v>20</v>
      </c>
    </row>
    <row r="93" spans="1:4" ht="18" thickBot="1">
      <c r="A93" s="71" t="s">
        <v>29</v>
      </c>
      <c r="B93" s="319">
        <v>328</v>
      </c>
      <c r="C93" s="71" t="s">
        <v>29</v>
      </c>
      <c r="D93" s="319">
        <v>282</v>
      </c>
    </row>
    <row r="94" spans="1:4" ht="15.75" thickBot="1">
      <c r="A94" s="3"/>
      <c r="B94" s="4"/>
      <c r="C94" s="3"/>
      <c r="D94" s="5"/>
    </row>
    <row r="95" spans="1:4" ht="18" thickBot="1">
      <c r="A95" s="456" t="s">
        <v>219</v>
      </c>
      <c r="B95" s="458"/>
      <c r="C95" s="323"/>
      <c r="D95" s="324"/>
    </row>
    <row r="96" spans="1:4" ht="18" thickBot="1">
      <c r="A96" s="356" t="s">
        <v>59</v>
      </c>
      <c r="B96" s="357"/>
      <c r="C96" s="325"/>
      <c r="D96" s="326"/>
    </row>
    <row r="97" spans="1:4" ht="17.25">
      <c r="A97" s="69" t="s">
        <v>0</v>
      </c>
      <c r="B97" s="317">
        <v>56</v>
      </c>
      <c r="C97" s="325"/>
      <c r="D97" s="326"/>
    </row>
    <row r="98" spans="1:4" ht="17.25">
      <c r="A98" s="70" t="s">
        <v>2</v>
      </c>
      <c r="B98" s="318">
        <v>441</v>
      </c>
      <c r="C98" s="325"/>
      <c r="D98" s="326"/>
    </row>
    <row r="99" spans="1:4" ht="17.25">
      <c r="A99" s="70" t="s">
        <v>11</v>
      </c>
      <c r="B99" s="318">
        <v>7.87</v>
      </c>
      <c r="C99" s="325"/>
      <c r="D99" s="326"/>
    </row>
    <row r="100" spans="1:4" ht="18" thickBot="1">
      <c r="A100" s="71" t="s">
        <v>3</v>
      </c>
      <c r="B100" s="319">
        <v>5</v>
      </c>
      <c r="C100" s="325"/>
      <c r="D100" s="326"/>
    </row>
    <row r="101" spans="1:4" ht="18" thickBot="1">
      <c r="A101" s="356" t="s">
        <v>60</v>
      </c>
      <c r="B101" s="357"/>
      <c r="C101" s="325"/>
      <c r="D101" s="326"/>
    </row>
    <row r="102" spans="1:4" ht="17.25">
      <c r="A102" s="69" t="s">
        <v>1</v>
      </c>
      <c r="B102" s="317">
        <v>11</v>
      </c>
      <c r="C102" s="325"/>
      <c r="D102" s="326"/>
    </row>
    <row r="103" spans="1:4" ht="17.25">
      <c r="A103" s="70" t="s">
        <v>6</v>
      </c>
      <c r="B103" s="322">
        <v>6</v>
      </c>
      <c r="C103" s="325"/>
      <c r="D103" s="326"/>
    </row>
    <row r="104" spans="1:4" ht="17.25">
      <c r="A104" s="70" t="s">
        <v>4</v>
      </c>
      <c r="B104" s="318">
        <v>84</v>
      </c>
      <c r="C104" s="325"/>
      <c r="D104" s="326"/>
    </row>
    <row r="105" spans="1:4" ht="17.25">
      <c r="A105" s="70" t="s">
        <v>5</v>
      </c>
      <c r="B105" s="318">
        <v>0</v>
      </c>
      <c r="C105" s="325"/>
      <c r="D105" s="326"/>
    </row>
    <row r="106" spans="1:4" ht="18" thickBot="1">
      <c r="A106" s="71" t="s">
        <v>30</v>
      </c>
      <c r="B106" s="319">
        <v>1</v>
      </c>
      <c r="C106" s="325"/>
      <c r="D106" s="326"/>
    </row>
    <row r="107" spans="1:4" ht="18" thickBot="1">
      <c r="A107" s="356" t="s">
        <v>61</v>
      </c>
      <c r="B107" s="357"/>
      <c r="C107" s="325"/>
      <c r="D107" s="326"/>
    </row>
    <row r="108" spans="1:4" ht="18" thickBot="1">
      <c r="A108" s="186" t="s">
        <v>27</v>
      </c>
      <c r="B108" s="321">
        <v>14</v>
      </c>
      <c r="C108" s="325"/>
      <c r="D108" s="326"/>
    </row>
    <row r="109" spans="1:4" ht="18" thickBot="1">
      <c r="A109" s="356" t="s">
        <v>62</v>
      </c>
      <c r="B109" s="357"/>
      <c r="C109" s="325"/>
      <c r="D109" s="326"/>
    </row>
    <row r="110" spans="1:4" ht="17.25">
      <c r="A110" s="69" t="s">
        <v>28</v>
      </c>
      <c r="B110" s="317">
        <v>33</v>
      </c>
      <c r="C110" s="325"/>
      <c r="D110" s="326"/>
    </row>
    <row r="111" spans="1:4" ht="18" thickBot="1">
      <c r="A111" s="110" t="s">
        <v>29</v>
      </c>
      <c r="B111" s="319">
        <v>525</v>
      </c>
      <c r="C111" s="325"/>
      <c r="D111" s="326"/>
    </row>
    <row r="112" spans="1:4" ht="15.75" customHeight="1" thickBot="1">
      <c r="A112" s="3"/>
      <c r="B112" s="5"/>
      <c r="C112" s="470"/>
      <c r="D112" s="471"/>
    </row>
  </sheetData>
  <mergeCells count="59">
    <mergeCell ref="C112:D112"/>
    <mergeCell ref="C77:D77"/>
    <mergeCell ref="A95:B95"/>
    <mergeCell ref="A96:B96"/>
    <mergeCell ref="A101:B101"/>
    <mergeCell ref="A107:B107"/>
    <mergeCell ref="A77:B77"/>
    <mergeCell ref="A109:B109"/>
    <mergeCell ref="C78:D78"/>
    <mergeCell ref="C83:D83"/>
    <mergeCell ref="C89:D89"/>
    <mergeCell ref="C91:D91"/>
    <mergeCell ref="A78:B78"/>
    <mergeCell ref="A83:B83"/>
    <mergeCell ref="A89:B89"/>
    <mergeCell ref="A91:B91"/>
    <mergeCell ref="C59:D59"/>
    <mergeCell ref="C60:D60"/>
    <mergeCell ref="C65:D65"/>
    <mergeCell ref="C71:D71"/>
    <mergeCell ref="C73:D73"/>
    <mergeCell ref="A59:B59"/>
    <mergeCell ref="A60:B60"/>
    <mergeCell ref="A65:B65"/>
    <mergeCell ref="A71:B71"/>
    <mergeCell ref="A73:B73"/>
    <mergeCell ref="C41:D41"/>
    <mergeCell ref="C42:D42"/>
    <mergeCell ref="C47:D47"/>
    <mergeCell ref="C53:D53"/>
    <mergeCell ref="C55:D55"/>
    <mergeCell ref="A41:B41"/>
    <mergeCell ref="A42:B42"/>
    <mergeCell ref="A47:B47"/>
    <mergeCell ref="A53:B53"/>
    <mergeCell ref="A55:B55"/>
    <mergeCell ref="C23:D23"/>
    <mergeCell ref="C24:D24"/>
    <mergeCell ref="C29:D29"/>
    <mergeCell ref="C35:D35"/>
    <mergeCell ref="C37:D37"/>
    <mergeCell ref="A1:D1"/>
    <mergeCell ref="A2:D2"/>
    <mergeCell ref="A3:B3"/>
    <mergeCell ref="C3:D3"/>
    <mergeCell ref="A4:B4"/>
    <mergeCell ref="C4:D4"/>
    <mergeCell ref="A21:D22"/>
    <mergeCell ref="A10:B10"/>
    <mergeCell ref="C10:D10"/>
    <mergeCell ref="A16:B16"/>
    <mergeCell ref="C16:D16"/>
    <mergeCell ref="A18:B18"/>
    <mergeCell ref="C18:D18"/>
    <mergeCell ref="A23:B23"/>
    <mergeCell ref="A24:B24"/>
    <mergeCell ref="A29:B29"/>
    <mergeCell ref="A35:B35"/>
    <mergeCell ref="A37:B3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71"/>
  <sheetViews>
    <sheetView zoomScaleNormal="100" workbookViewId="0">
      <selection activeCell="A18" sqref="A18:XFD18"/>
    </sheetView>
  </sheetViews>
  <sheetFormatPr defaultRowHeight="15"/>
  <cols>
    <col min="1" max="1" width="4.5703125" customWidth="1"/>
    <col min="3" max="3" width="13.7109375" customWidth="1"/>
    <col min="4" max="4" width="9.28515625" customWidth="1"/>
    <col min="5" max="6" width="11.42578125" customWidth="1"/>
    <col min="7" max="7" width="6.42578125" customWidth="1"/>
    <col min="8" max="9" width="6.85546875" customWidth="1"/>
    <col min="10" max="10" width="5.42578125" customWidth="1"/>
    <col min="11" max="12" width="7.42578125" customWidth="1"/>
    <col min="13" max="13" width="6.5703125" customWidth="1"/>
  </cols>
  <sheetData>
    <row r="1" spans="1:14" ht="25.5" customHeight="1">
      <c r="A1" s="475" t="s">
        <v>78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6"/>
    </row>
    <row r="2" spans="1:14" ht="29.25" customHeight="1" thickBot="1">
      <c r="A2" s="487" t="s">
        <v>52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</row>
    <row r="3" spans="1:14" ht="15.75" thickBot="1">
      <c r="A3" s="129" t="s">
        <v>141</v>
      </c>
      <c r="B3" s="129" t="s">
        <v>142</v>
      </c>
      <c r="C3" s="128" t="s">
        <v>143</v>
      </c>
      <c r="D3" s="105" t="s">
        <v>46</v>
      </c>
      <c r="E3" s="15" t="s">
        <v>47</v>
      </c>
      <c r="F3" s="15" t="s">
        <v>48</v>
      </c>
      <c r="G3" s="15" t="s">
        <v>75</v>
      </c>
      <c r="H3" s="14" t="s">
        <v>49</v>
      </c>
      <c r="I3" s="14" t="s">
        <v>39</v>
      </c>
      <c r="J3" s="14" t="s">
        <v>50</v>
      </c>
      <c r="K3" s="14" t="s">
        <v>51</v>
      </c>
      <c r="L3" s="14" t="s">
        <v>77</v>
      </c>
      <c r="M3" s="14" t="s">
        <v>35</v>
      </c>
      <c r="N3" s="309" t="s">
        <v>76</v>
      </c>
    </row>
    <row r="4" spans="1:14">
      <c r="A4" s="259" t="s">
        <v>81</v>
      </c>
      <c r="B4" s="266" t="s">
        <v>79</v>
      </c>
      <c r="C4" s="124" t="s">
        <v>80</v>
      </c>
      <c r="D4" s="313">
        <v>28</v>
      </c>
      <c r="E4" s="141">
        <v>30</v>
      </c>
      <c r="F4" s="141">
        <f>SUM(D4:E4)</f>
        <v>58</v>
      </c>
      <c r="G4" s="130"/>
      <c r="H4" s="25"/>
      <c r="I4" s="25">
        <v>1</v>
      </c>
      <c r="J4" s="25">
        <v>1</v>
      </c>
      <c r="K4" s="25"/>
      <c r="L4" s="25"/>
      <c r="M4" s="106"/>
      <c r="N4" s="310">
        <v>90</v>
      </c>
    </row>
    <row r="5" spans="1:14">
      <c r="A5" s="260" t="s">
        <v>84</v>
      </c>
      <c r="B5" s="267" t="s">
        <v>82</v>
      </c>
      <c r="C5" s="125" t="s">
        <v>83</v>
      </c>
      <c r="D5" s="314">
        <v>13</v>
      </c>
      <c r="E5" s="142">
        <v>13</v>
      </c>
      <c r="F5" s="142">
        <v>26</v>
      </c>
      <c r="G5" s="131"/>
      <c r="H5" s="19"/>
      <c r="I5" s="19">
        <v>1</v>
      </c>
      <c r="J5" s="19"/>
      <c r="K5" s="19">
        <v>1</v>
      </c>
      <c r="L5" s="19"/>
      <c r="M5" s="55"/>
      <c r="N5" s="311">
        <v>43</v>
      </c>
    </row>
    <row r="6" spans="1:14">
      <c r="A6" s="260" t="s">
        <v>87</v>
      </c>
      <c r="B6" s="267" t="s">
        <v>85</v>
      </c>
      <c r="C6" s="125" t="s">
        <v>86</v>
      </c>
      <c r="D6" s="314">
        <v>40</v>
      </c>
      <c r="E6" s="142">
        <v>37</v>
      </c>
      <c r="F6" s="142">
        <f>SUM(D6:E6)</f>
        <v>77</v>
      </c>
      <c r="G6" s="131">
        <v>5</v>
      </c>
      <c r="H6" s="19">
        <v>1</v>
      </c>
      <c r="I6" s="19">
        <v>1</v>
      </c>
      <c r="J6" s="19"/>
      <c r="K6" s="19">
        <v>3</v>
      </c>
      <c r="L6" s="19"/>
      <c r="M6" s="55"/>
      <c r="N6" s="311">
        <v>127</v>
      </c>
    </row>
    <row r="7" spans="1:14">
      <c r="A7" s="260" t="s">
        <v>90</v>
      </c>
      <c r="B7" s="267" t="s">
        <v>88</v>
      </c>
      <c r="C7" s="125" t="s">
        <v>89</v>
      </c>
      <c r="D7" s="314">
        <v>33</v>
      </c>
      <c r="E7" s="142">
        <v>32</v>
      </c>
      <c r="F7" s="142">
        <v>65</v>
      </c>
      <c r="G7" s="131">
        <v>5</v>
      </c>
      <c r="H7" s="19">
        <v>1</v>
      </c>
      <c r="I7" s="19">
        <v>1</v>
      </c>
      <c r="J7" s="19">
        <v>2</v>
      </c>
      <c r="K7" s="19">
        <v>2</v>
      </c>
      <c r="L7" s="19"/>
      <c r="M7" s="55"/>
      <c r="N7" s="311">
        <v>110</v>
      </c>
    </row>
    <row r="8" spans="1:14">
      <c r="A8" s="260" t="s">
        <v>93</v>
      </c>
      <c r="B8" s="267" t="s">
        <v>91</v>
      </c>
      <c r="C8" s="125" t="s">
        <v>92</v>
      </c>
      <c r="D8" s="314">
        <v>12</v>
      </c>
      <c r="E8" s="142">
        <v>12</v>
      </c>
      <c r="F8" s="142">
        <v>24</v>
      </c>
      <c r="G8" s="131"/>
      <c r="H8" s="19"/>
      <c r="I8" s="19">
        <v>2</v>
      </c>
      <c r="J8" s="19"/>
      <c r="K8" s="19">
        <v>1</v>
      </c>
      <c r="L8" s="19"/>
      <c r="M8" s="55"/>
      <c r="N8" s="311">
        <v>41</v>
      </c>
    </row>
    <row r="9" spans="1:14">
      <c r="A9" s="260" t="s">
        <v>96</v>
      </c>
      <c r="B9" s="267" t="s">
        <v>94</v>
      </c>
      <c r="C9" s="125" t="s">
        <v>95</v>
      </c>
      <c r="D9" s="314">
        <v>0</v>
      </c>
      <c r="E9" s="142">
        <v>1</v>
      </c>
      <c r="F9" s="142">
        <v>1</v>
      </c>
      <c r="G9" s="131"/>
      <c r="H9" s="19"/>
      <c r="I9" s="19"/>
      <c r="J9" s="19"/>
      <c r="K9" s="19"/>
      <c r="L9" s="19"/>
      <c r="M9" s="55"/>
      <c r="N9" s="311">
        <v>1</v>
      </c>
    </row>
    <row r="10" spans="1:14">
      <c r="A10" s="260" t="s">
        <v>99</v>
      </c>
      <c r="B10" s="267" t="s">
        <v>97</v>
      </c>
      <c r="C10" s="125" t="s">
        <v>98</v>
      </c>
      <c r="D10" s="314">
        <v>1</v>
      </c>
      <c r="E10" s="142">
        <v>3</v>
      </c>
      <c r="F10" s="142">
        <f>SUM(D10:E10)</f>
        <v>4</v>
      </c>
      <c r="G10" s="131"/>
      <c r="H10" s="19"/>
      <c r="I10" s="19"/>
      <c r="J10" s="19"/>
      <c r="K10" s="19"/>
      <c r="L10" s="19"/>
      <c r="M10" s="55"/>
      <c r="N10" s="311">
        <v>5</v>
      </c>
    </row>
    <row r="11" spans="1:14">
      <c r="A11" s="260" t="s">
        <v>102</v>
      </c>
      <c r="B11" s="267" t="s">
        <v>100</v>
      </c>
      <c r="C11" s="125" t="s">
        <v>101</v>
      </c>
      <c r="D11" s="314">
        <v>3</v>
      </c>
      <c r="E11" s="142">
        <v>8</v>
      </c>
      <c r="F11" s="142">
        <f>SUM(D11:E11)</f>
        <v>11</v>
      </c>
      <c r="G11" s="131"/>
      <c r="H11" s="19"/>
      <c r="I11" s="19">
        <v>1</v>
      </c>
      <c r="J11" s="19"/>
      <c r="K11" s="19"/>
      <c r="L11" s="19"/>
      <c r="M11" s="55"/>
      <c r="N11" s="311">
        <v>16</v>
      </c>
    </row>
    <row r="12" spans="1:14">
      <c r="A12" s="260" t="s">
        <v>105</v>
      </c>
      <c r="B12" s="267" t="s">
        <v>103</v>
      </c>
      <c r="C12" s="125" t="s">
        <v>104</v>
      </c>
      <c r="D12" s="314">
        <v>4</v>
      </c>
      <c r="E12" s="142">
        <v>7</v>
      </c>
      <c r="F12" s="142">
        <f>SUM(D12:E12)</f>
        <v>11</v>
      </c>
      <c r="G12" s="131"/>
      <c r="H12" s="19"/>
      <c r="I12" s="19"/>
      <c r="J12" s="19"/>
      <c r="K12" s="19"/>
      <c r="L12" s="19"/>
      <c r="M12" s="55"/>
      <c r="N12" s="311">
        <v>15</v>
      </c>
    </row>
    <row r="13" spans="1:14">
      <c r="A13" s="260" t="s">
        <v>108</v>
      </c>
      <c r="B13" s="267" t="s">
        <v>79</v>
      </c>
      <c r="C13" s="125" t="s">
        <v>107</v>
      </c>
      <c r="D13" s="314">
        <v>28</v>
      </c>
      <c r="E13" s="142">
        <v>28</v>
      </c>
      <c r="F13" s="142">
        <f>SUM(D13:E13)</f>
        <v>56</v>
      </c>
      <c r="G13" s="131">
        <v>1</v>
      </c>
      <c r="H13" s="19"/>
      <c r="I13" s="19">
        <v>1</v>
      </c>
      <c r="J13" s="19"/>
      <c r="K13" s="19">
        <v>3</v>
      </c>
      <c r="L13" s="19"/>
      <c r="M13" s="55"/>
      <c r="N13" s="311">
        <v>92</v>
      </c>
    </row>
    <row r="14" spans="1:14">
      <c r="A14" s="260" t="s">
        <v>111</v>
      </c>
      <c r="B14" s="263" t="s">
        <v>109</v>
      </c>
      <c r="C14" s="126" t="s">
        <v>110</v>
      </c>
      <c r="D14" s="314">
        <v>16</v>
      </c>
      <c r="E14" s="142">
        <v>19</v>
      </c>
      <c r="F14" s="142">
        <v>35</v>
      </c>
      <c r="G14" s="131">
        <v>1</v>
      </c>
      <c r="H14" s="19"/>
      <c r="I14" s="19"/>
      <c r="J14" s="19"/>
      <c r="K14" s="19"/>
      <c r="L14" s="19"/>
      <c r="M14" s="55"/>
      <c r="N14" s="311">
        <v>51</v>
      </c>
    </row>
    <row r="15" spans="1:14">
      <c r="A15" s="260" t="s">
        <v>113</v>
      </c>
      <c r="B15" s="267" t="s">
        <v>106</v>
      </c>
      <c r="C15" s="125" t="s">
        <v>112</v>
      </c>
      <c r="D15" s="314">
        <v>0</v>
      </c>
      <c r="E15" s="142">
        <v>1</v>
      </c>
      <c r="F15" s="142">
        <v>1</v>
      </c>
      <c r="G15" s="131"/>
      <c r="H15" s="19"/>
      <c r="I15" s="19"/>
      <c r="J15" s="19"/>
      <c r="K15" s="19"/>
      <c r="L15" s="19"/>
      <c r="M15" s="55"/>
      <c r="N15" s="311">
        <v>1</v>
      </c>
    </row>
    <row r="16" spans="1:14">
      <c r="A16" s="260" t="s">
        <v>116</v>
      </c>
      <c r="B16" s="267" t="s">
        <v>114</v>
      </c>
      <c r="C16" s="125" t="s">
        <v>115</v>
      </c>
      <c r="D16" s="314">
        <v>11</v>
      </c>
      <c r="E16" s="142">
        <v>12</v>
      </c>
      <c r="F16" s="142">
        <f>SUM(D16:E16)</f>
        <v>23</v>
      </c>
      <c r="G16" s="131"/>
      <c r="H16" s="19"/>
      <c r="I16" s="19"/>
      <c r="J16" s="19"/>
      <c r="K16" s="19"/>
      <c r="L16" s="19"/>
      <c r="M16" s="55"/>
      <c r="N16" s="311">
        <v>34</v>
      </c>
    </row>
    <row r="17" spans="1:14">
      <c r="A17" s="260" t="s">
        <v>119</v>
      </c>
      <c r="B17" s="267" t="s">
        <v>117</v>
      </c>
      <c r="C17" s="125" t="s">
        <v>118</v>
      </c>
      <c r="D17" s="314">
        <v>0</v>
      </c>
      <c r="E17" s="142">
        <v>2</v>
      </c>
      <c r="F17" s="142">
        <v>2</v>
      </c>
      <c r="G17" s="131"/>
      <c r="H17" s="19"/>
      <c r="I17" s="19"/>
      <c r="J17" s="19"/>
      <c r="K17" s="19"/>
      <c r="L17" s="19"/>
      <c r="M17" s="55"/>
      <c r="N17" s="311">
        <v>2</v>
      </c>
    </row>
    <row r="18" spans="1:14">
      <c r="A18" s="260" t="s">
        <v>122</v>
      </c>
      <c r="B18" s="263" t="s">
        <v>120</v>
      </c>
      <c r="C18" s="126" t="s">
        <v>121</v>
      </c>
      <c r="D18" s="314">
        <v>18</v>
      </c>
      <c r="E18" s="142">
        <v>16</v>
      </c>
      <c r="F18" s="142">
        <f>SUM(D18:E18)</f>
        <v>34</v>
      </c>
      <c r="G18" s="131">
        <v>7</v>
      </c>
      <c r="H18" s="19">
        <v>2</v>
      </c>
      <c r="I18" s="19"/>
      <c r="J18" s="19">
        <v>1</v>
      </c>
      <c r="K18" s="19"/>
      <c r="L18" s="19"/>
      <c r="M18" s="55"/>
      <c r="N18" s="311">
        <v>58</v>
      </c>
    </row>
    <row r="19" spans="1:14">
      <c r="A19" s="260" t="s">
        <v>125</v>
      </c>
      <c r="B19" s="267" t="s">
        <v>123</v>
      </c>
      <c r="C19" s="125" t="s">
        <v>124</v>
      </c>
      <c r="D19" s="314">
        <v>0</v>
      </c>
      <c r="E19" s="142">
        <v>1</v>
      </c>
      <c r="F19" s="142"/>
      <c r="G19" s="131"/>
      <c r="H19" s="19"/>
      <c r="I19" s="19"/>
      <c r="J19" s="19"/>
      <c r="K19" s="19"/>
      <c r="L19" s="19"/>
      <c r="M19" s="55"/>
      <c r="N19" s="311">
        <v>1</v>
      </c>
    </row>
    <row r="20" spans="1:14">
      <c r="A20" s="260" t="s">
        <v>127</v>
      </c>
      <c r="B20" s="267" t="s">
        <v>79</v>
      </c>
      <c r="C20" s="125" t="s">
        <v>126</v>
      </c>
      <c r="D20" s="314">
        <v>1</v>
      </c>
      <c r="E20" s="142">
        <v>4</v>
      </c>
      <c r="F20" s="142">
        <f>SUM(D20:E20)</f>
        <v>5</v>
      </c>
      <c r="G20" s="131"/>
      <c r="H20" s="19"/>
      <c r="I20" s="19"/>
      <c r="J20" s="19"/>
      <c r="K20" s="19"/>
      <c r="L20" s="19"/>
      <c r="M20" s="55"/>
      <c r="N20" s="311">
        <v>5</v>
      </c>
    </row>
    <row r="21" spans="1:14">
      <c r="A21" s="260" t="s">
        <v>130</v>
      </c>
      <c r="B21" s="267" t="s">
        <v>128</v>
      </c>
      <c r="C21" s="125" t="s">
        <v>129</v>
      </c>
      <c r="D21" s="314">
        <v>19</v>
      </c>
      <c r="E21" s="142">
        <v>20</v>
      </c>
      <c r="F21" s="142">
        <f>SUM(D21:E21)</f>
        <v>39</v>
      </c>
      <c r="G21" s="131">
        <v>8</v>
      </c>
      <c r="H21" s="19">
        <v>3</v>
      </c>
      <c r="I21" s="19"/>
      <c r="J21" s="19"/>
      <c r="K21" s="19">
        <v>1</v>
      </c>
      <c r="L21" s="19"/>
      <c r="M21" s="55"/>
      <c r="N21" s="311">
        <v>66</v>
      </c>
    </row>
    <row r="22" spans="1:14">
      <c r="A22" s="260" t="s">
        <v>132</v>
      </c>
      <c r="B22" s="267" t="s">
        <v>114</v>
      </c>
      <c r="C22" s="125" t="s">
        <v>131</v>
      </c>
      <c r="D22" s="314">
        <v>16</v>
      </c>
      <c r="E22" s="142">
        <v>10</v>
      </c>
      <c r="F22" s="142">
        <v>26</v>
      </c>
      <c r="G22" s="131"/>
      <c r="H22" s="19"/>
      <c r="I22" s="19"/>
      <c r="J22" s="19"/>
      <c r="K22" s="19"/>
      <c r="L22" s="19"/>
      <c r="M22" s="55"/>
      <c r="N22" s="311">
        <v>42</v>
      </c>
    </row>
    <row r="23" spans="1:14">
      <c r="A23" s="260" t="s">
        <v>134</v>
      </c>
      <c r="B23" s="267" t="s">
        <v>133</v>
      </c>
      <c r="C23" s="125" t="s">
        <v>95</v>
      </c>
      <c r="D23" s="314">
        <v>4</v>
      </c>
      <c r="E23" s="142">
        <v>8</v>
      </c>
      <c r="F23" s="142">
        <f>SUM(D23:E23)</f>
        <v>12</v>
      </c>
      <c r="G23" s="131">
        <v>1</v>
      </c>
      <c r="H23" s="19">
        <v>1</v>
      </c>
      <c r="I23" s="19"/>
      <c r="J23" s="19"/>
      <c r="K23" s="19"/>
      <c r="L23" s="19"/>
      <c r="M23" s="55"/>
      <c r="N23" s="311">
        <v>18</v>
      </c>
    </row>
    <row r="24" spans="1:14">
      <c r="A24" s="260" t="s">
        <v>137</v>
      </c>
      <c r="B24" s="267" t="s">
        <v>135</v>
      </c>
      <c r="C24" s="125" t="s">
        <v>136</v>
      </c>
      <c r="D24" s="314">
        <v>1</v>
      </c>
      <c r="E24" s="142">
        <v>8</v>
      </c>
      <c r="F24" s="142">
        <f>SUM(D24:E24)</f>
        <v>9</v>
      </c>
      <c r="G24" s="131"/>
      <c r="H24" s="19"/>
      <c r="I24" s="19"/>
      <c r="J24" s="19">
        <v>1</v>
      </c>
      <c r="K24" s="19"/>
      <c r="L24" s="19"/>
      <c r="M24" s="55"/>
      <c r="N24" s="311">
        <v>12</v>
      </c>
    </row>
    <row r="25" spans="1:14" ht="15.75" thickBot="1">
      <c r="A25" s="269" t="s">
        <v>140</v>
      </c>
      <c r="B25" s="268" t="s">
        <v>138</v>
      </c>
      <c r="C25" s="127" t="s">
        <v>139</v>
      </c>
      <c r="D25" s="315"/>
      <c r="E25" s="316">
        <v>2</v>
      </c>
      <c r="F25" s="143">
        <v>2</v>
      </c>
      <c r="G25" s="138"/>
      <c r="H25" s="43"/>
      <c r="I25" s="43"/>
      <c r="J25" s="43"/>
      <c r="K25" s="43"/>
      <c r="L25" s="43"/>
      <c r="M25" s="107"/>
      <c r="N25" s="312">
        <v>2</v>
      </c>
    </row>
    <row r="26" spans="1:14" ht="15.75" thickBot="1">
      <c r="A26" s="500" t="s">
        <v>58</v>
      </c>
      <c r="B26" s="501"/>
      <c r="C26" s="501"/>
      <c r="D26" s="148">
        <f t="shared" ref="D26:K26" si="0">SUM(D4:D25)</f>
        <v>248</v>
      </c>
      <c r="E26" s="140">
        <f t="shared" si="0"/>
        <v>274</v>
      </c>
      <c r="F26" s="144">
        <f t="shared" si="0"/>
        <v>521</v>
      </c>
      <c r="G26" s="139">
        <f t="shared" si="0"/>
        <v>28</v>
      </c>
      <c r="H26" s="108">
        <f t="shared" si="0"/>
        <v>8</v>
      </c>
      <c r="I26" s="108">
        <f t="shared" si="0"/>
        <v>8</v>
      </c>
      <c r="J26" s="108">
        <f t="shared" si="0"/>
        <v>5</v>
      </c>
      <c r="K26" s="108">
        <f t="shared" si="0"/>
        <v>11</v>
      </c>
      <c r="L26" s="108"/>
      <c r="M26" s="109"/>
      <c r="N26" s="307"/>
    </row>
    <row r="27" spans="1:14" ht="15.75" customHeight="1" thickBot="1">
      <c r="A27" s="477" t="s">
        <v>144</v>
      </c>
      <c r="B27" s="477"/>
      <c r="C27" s="477"/>
      <c r="D27" s="477"/>
      <c r="E27" s="477"/>
      <c r="F27" s="477"/>
      <c r="G27" s="477"/>
      <c r="H27" s="477"/>
      <c r="I27" s="477"/>
      <c r="J27" s="477"/>
      <c r="K27" s="477"/>
      <c r="L27" s="477"/>
      <c r="M27" s="478"/>
      <c r="N27" s="307"/>
    </row>
    <row r="28" spans="1:14" ht="15.75" thickBot="1">
      <c r="A28" s="129" t="s">
        <v>141</v>
      </c>
      <c r="B28" s="129" t="s">
        <v>142</v>
      </c>
      <c r="C28" s="128" t="s">
        <v>143</v>
      </c>
      <c r="D28" s="105" t="s">
        <v>46</v>
      </c>
      <c r="E28" s="15" t="s">
        <v>47</v>
      </c>
      <c r="F28" s="15" t="s">
        <v>48</v>
      </c>
      <c r="G28" s="15" t="s">
        <v>75</v>
      </c>
      <c r="H28" s="14" t="s">
        <v>49</v>
      </c>
      <c r="I28" s="14" t="s">
        <v>39</v>
      </c>
      <c r="J28" s="14" t="s">
        <v>50</v>
      </c>
      <c r="K28" s="14" t="s">
        <v>51</v>
      </c>
      <c r="L28" s="14" t="s">
        <v>77</v>
      </c>
      <c r="M28" s="14" t="s">
        <v>35</v>
      </c>
      <c r="N28" s="307"/>
    </row>
    <row r="29" spans="1:14">
      <c r="A29" s="259" t="s">
        <v>81</v>
      </c>
      <c r="B29" s="266" t="s">
        <v>79</v>
      </c>
      <c r="C29" s="124" t="s">
        <v>80</v>
      </c>
      <c r="D29" s="141">
        <v>1</v>
      </c>
      <c r="E29" s="171">
        <v>2</v>
      </c>
      <c r="F29" s="141">
        <f>SUM(D29:E29)</f>
        <v>3</v>
      </c>
      <c r="G29" s="130"/>
      <c r="H29" s="25"/>
      <c r="I29" s="25"/>
      <c r="J29" s="25"/>
      <c r="K29" s="25"/>
      <c r="L29" s="25"/>
      <c r="M29" s="26"/>
      <c r="N29" s="307"/>
    </row>
    <row r="30" spans="1:14">
      <c r="A30" s="260" t="s">
        <v>87</v>
      </c>
      <c r="B30" s="267" t="s">
        <v>85</v>
      </c>
      <c r="C30" s="125" t="s">
        <v>86</v>
      </c>
      <c r="D30" s="142">
        <v>5</v>
      </c>
      <c r="E30" s="172">
        <v>2</v>
      </c>
      <c r="F30" s="142">
        <f>SUM(D30:E30)</f>
        <v>7</v>
      </c>
      <c r="G30" s="131"/>
      <c r="H30" s="19"/>
      <c r="I30" s="19"/>
      <c r="J30" s="19"/>
      <c r="K30" s="19"/>
      <c r="L30" s="19"/>
      <c r="M30" s="27"/>
      <c r="N30" s="307"/>
    </row>
    <row r="31" spans="1:14">
      <c r="A31" s="260" t="s">
        <v>90</v>
      </c>
      <c r="B31" s="267" t="s">
        <v>88</v>
      </c>
      <c r="C31" s="125" t="s">
        <v>89</v>
      </c>
      <c r="D31" s="142">
        <v>5</v>
      </c>
      <c r="E31" s="173">
        <v>5</v>
      </c>
      <c r="F31" s="142">
        <v>10</v>
      </c>
      <c r="G31" s="131"/>
      <c r="H31" s="19"/>
      <c r="I31" s="19"/>
      <c r="J31" s="19"/>
      <c r="K31" s="19"/>
      <c r="L31" s="19"/>
      <c r="M31" s="27"/>
      <c r="N31" s="307"/>
    </row>
    <row r="32" spans="1:14">
      <c r="A32" s="260" t="s">
        <v>99</v>
      </c>
      <c r="B32" s="267" t="s">
        <v>97</v>
      </c>
      <c r="C32" s="125" t="s">
        <v>98</v>
      </c>
      <c r="D32" s="142">
        <v>1</v>
      </c>
      <c r="E32" s="172">
        <v>1</v>
      </c>
      <c r="F32" s="142">
        <f t="shared" ref="F32:F41" si="1">SUM(D32:E32)</f>
        <v>2</v>
      </c>
      <c r="G32" s="131"/>
      <c r="H32" s="19"/>
      <c r="I32" s="19"/>
      <c r="J32" s="19"/>
      <c r="K32" s="19"/>
      <c r="L32" s="19"/>
      <c r="M32" s="27"/>
      <c r="N32" s="307"/>
    </row>
    <row r="33" spans="1:14">
      <c r="A33" s="260" t="s">
        <v>102</v>
      </c>
      <c r="B33" s="267" t="s">
        <v>100</v>
      </c>
      <c r="C33" s="125" t="s">
        <v>101</v>
      </c>
      <c r="D33" s="142"/>
      <c r="E33" s="172">
        <v>1</v>
      </c>
      <c r="F33" s="142">
        <f t="shared" si="1"/>
        <v>1</v>
      </c>
      <c r="G33" s="131"/>
      <c r="H33" s="19"/>
      <c r="I33" s="19"/>
      <c r="J33" s="19"/>
      <c r="K33" s="19"/>
      <c r="L33" s="19"/>
      <c r="M33" s="27"/>
      <c r="N33" s="307"/>
    </row>
    <row r="34" spans="1:14">
      <c r="A34" s="260" t="s">
        <v>105</v>
      </c>
      <c r="B34" s="267" t="s">
        <v>103</v>
      </c>
      <c r="C34" s="125" t="s">
        <v>104</v>
      </c>
      <c r="D34" s="142">
        <v>1</v>
      </c>
      <c r="E34" s="172">
        <v>2</v>
      </c>
      <c r="F34" s="142">
        <f t="shared" si="1"/>
        <v>3</v>
      </c>
      <c r="G34" s="131"/>
      <c r="H34" s="19"/>
      <c r="I34" s="19"/>
      <c r="J34" s="19"/>
      <c r="K34" s="19"/>
      <c r="L34" s="19"/>
      <c r="M34" s="27"/>
      <c r="N34" s="307"/>
    </row>
    <row r="35" spans="1:14">
      <c r="A35" s="260" t="s">
        <v>108</v>
      </c>
      <c r="B35" s="267" t="s">
        <v>79</v>
      </c>
      <c r="C35" s="125" t="s">
        <v>107</v>
      </c>
      <c r="D35" s="142">
        <v>1</v>
      </c>
      <c r="E35" s="172">
        <v>2</v>
      </c>
      <c r="F35" s="142">
        <f t="shared" si="1"/>
        <v>3</v>
      </c>
      <c r="G35" s="131"/>
      <c r="H35" s="19"/>
      <c r="I35" s="19"/>
      <c r="J35" s="19"/>
      <c r="K35" s="19"/>
      <c r="L35" s="19"/>
      <c r="M35" s="27"/>
      <c r="N35" s="307"/>
    </row>
    <row r="36" spans="1:14">
      <c r="A36" s="260" t="s">
        <v>116</v>
      </c>
      <c r="B36" s="267" t="s">
        <v>114</v>
      </c>
      <c r="C36" s="125" t="s">
        <v>115</v>
      </c>
      <c r="D36" s="142">
        <v>1</v>
      </c>
      <c r="E36" s="172">
        <v>2</v>
      </c>
      <c r="F36" s="142">
        <f t="shared" si="1"/>
        <v>3</v>
      </c>
      <c r="G36" s="131"/>
      <c r="H36" s="19"/>
      <c r="I36" s="19"/>
      <c r="J36" s="19"/>
      <c r="K36" s="19"/>
      <c r="L36" s="19"/>
      <c r="M36" s="27"/>
      <c r="N36" s="307"/>
    </row>
    <row r="37" spans="1:14">
      <c r="A37" s="260" t="s">
        <v>122</v>
      </c>
      <c r="B37" s="263" t="s">
        <v>120</v>
      </c>
      <c r="C37" s="126" t="s">
        <v>121</v>
      </c>
      <c r="D37" s="142">
        <v>2</v>
      </c>
      <c r="E37" s="172">
        <v>4</v>
      </c>
      <c r="F37" s="142">
        <f t="shared" si="1"/>
        <v>6</v>
      </c>
      <c r="G37" s="131">
        <v>1</v>
      </c>
      <c r="H37" s="19">
        <v>1</v>
      </c>
      <c r="I37" s="19"/>
      <c r="J37" s="19">
        <v>1</v>
      </c>
      <c r="K37" s="19"/>
      <c r="L37" s="19"/>
      <c r="M37" s="27"/>
      <c r="N37" s="307"/>
    </row>
    <row r="38" spans="1:14">
      <c r="A38" s="260" t="s">
        <v>127</v>
      </c>
      <c r="B38" s="267" t="s">
        <v>79</v>
      </c>
      <c r="C38" s="125" t="s">
        <v>126</v>
      </c>
      <c r="D38" s="142"/>
      <c r="E38" s="172">
        <v>2</v>
      </c>
      <c r="F38" s="142">
        <f t="shared" si="1"/>
        <v>2</v>
      </c>
      <c r="G38" s="131"/>
      <c r="H38" s="19"/>
      <c r="I38" s="19"/>
      <c r="J38" s="19"/>
      <c r="K38" s="19"/>
      <c r="L38" s="19"/>
      <c r="M38" s="27"/>
      <c r="N38" s="307"/>
    </row>
    <row r="39" spans="1:14">
      <c r="A39" s="260" t="s">
        <v>130</v>
      </c>
      <c r="B39" s="267" t="s">
        <v>128</v>
      </c>
      <c r="C39" s="125" t="s">
        <v>129</v>
      </c>
      <c r="D39" s="142">
        <v>2</v>
      </c>
      <c r="E39" s="172">
        <v>2</v>
      </c>
      <c r="F39" s="142">
        <f t="shared" si="1"/>
        <v>4</v>
      </c>
      <c r="G39" s="131">
        <v>1</v>
      </c>
      <c r="H39" s="19">
        <v>1</v>
      </c>
      <c r="I39" s="19"/>
      <c r="J39" s="19"/>
      <c r="K39" s="19"/>
      <c r="L39" s="19"/>
      <c r="M39" s="27"/>
      <c r="N39" s="307"/>
    </row>
    <row r="40" spans="1:14">
      <c r="A40" s="260" t="s">
        <v>134</v>
      </c>
      <c r="B40" s="267" t="s">
        <v>133</v>
      </c>
      <c r="C40" s="125" t="s">
        <v>95</v>
      </c>
      <c r="D40" s="142">
        <v>1</v>
      </c>
      <c r="E40" s="172">
        <v>2</v>
      </c>
      <c r="F40" s="142">
        <f t="shared" si="1"/>
        <v>3</v>
      </c>
      <c r="G40" s="131">
        <v>1</v>
      </c>
      <c r="H40" s="19">
        <v>1</v>
      </c>
      <c r="I40" s="19"/>
      <c r="J40" s="19"/>
      <c r="K40" s="19"/>
      <c r="L40" s="19"/>
      <c r="M40" s="27"/>
      <c r="N40" s="307"/>
    </row>
    <row r="41" spans="1:14" ht="15.75" thickBot="1">
      <c r="A41" s="265" t="s">
        <v>137</v>
      </c>
      <c r="B41" s="268" t="s">
        <v>135</v>
      </c>
      <c r="C41" s="127" t="s">
        <v>136</v>
      </c>
      <c r="D41" s="143"/>
      <c r="E41" s="174">
        <v>2</v>
      </c>
      <c r="F41" s="143">
        <f t="shared" si="1"/>
        <v>2</v>
      </c>
      <c r="G41" s="138"/>
      <c r="H41" s="43"/>
      <c r="I41" s="43"/>
      <c r="J41" s="43"/>
      <c r="K41" s="43"/>
      <c r="L41" s="43"/>
      <c r="M41" s="64"/>
      <c r="N41" s="307"/>
    </row>
    <row r="42" spans="1:14" ht="15.75" thickBot="1">
      <c r="A42" s="495" t="s">
        <v>167</v>
      </c>
      <c r="B42" s="496"/>
      <c r="C42" s="497"/>
      <c r="D42" s="144">
        <f>SUM(D29:D41)</f>
        <v>20</v>
      </c>
      <c r="E42" s="175">
        <f>SUM(E29:E41)</f>
        <v>29</v>
      </c>
      <c r="F42" s="144">
        <f>SUM(F29:F41)</f>
        <v>49</v>
      </c>
      <c r="G42" s="139">
        <f>SUM(G29:G41)</f>
        <v>3</v>
      </c>
      <c r="H42" s="108">
        <f>SUM(H29:H41)</f>
        <v>3</v>
      </c>
      <c r="I42" s="108"/>
      <c r="J42" s="108">
        <v>1</v>
      </c>
      <c r="K42" s="108"/>
      <c r="L42" s="108"/>
      <c r="M42" s="109"/>
      <c r="N42" s="307"/>
    </row>
    <row r="43" spans="1:14" ht="18" customHeight="1" thickBot="1">
      <c r="A43" s="479" t="s">
        <v>166</v>
      </c>
      <c r="B43" s="479"/>
      <c r="C43" s="479"/>
      <c r="D43" s="479"/>
      <c r="E43" s="479"/>
      <c r="F43" s="479"/>
      <c r="G43" s="479"/>
      <c r="H43" s="479"/>
      <c r="I43" s="479"/>
      <c r="J43" s="479"/>
      <c r="K43" s="479"/>
      <c r="L43" s="479"/>
      <c r="M43" s="480"/>
      <c r="N43" s="307"/>
    </row>
    <row r="44" spans="1:14" ht="15" customHeight="1" thickBot="1">
      <c r="A44" s="129" t="s">
        <v>141</v>
      </c>
      <c r="B44" s="129" t="s">
        <v>142</v>
      </c>
      <c r="C44" s="128" t="s">
        <v>143</v>
      </c>
      <c r="D44" s="105" t="s">
        <v>46</v>
      </c>
      <c r="E44" s="15" t="s">
        <v>47</v>
      </c>
      <c r="F44" s="15" t="s">
        <v>48</v>
      </c>
      <c r="G44" s="15" t="s">
        <v>75</v>
      </c>
      <c r="H44" s="14" t="s">
        <v>49</v>
      </c>
      <c r="I44" s="14" t="s">
        <v>39</v>
      </c>
      <c r="J44" s="14" t="s">
        <v>50</v>
      </c>
      <c r="K44" s="14" t="s">
        <v>51</v>
      </c>
      <c r="L44" s="14" t="s">
        <v>77</v>
      </c>
      <c r="M44" s="14" t="s">
        <v>35</v>
      </c>
      <c r="N44" s="307"/>
    </row>
    <row r="45" spans="1:14" ht="15" customHeight="1">
      <c r="A45" s="134" t="s">
        <v>81</v>
      </c>
      <c r="B45" s="135" t="s">
        <v>79</v>
      </c>
      <c r="C45" s="124" t="s">
        <v>80</v>
      </c>
      <c r="D45" s="153">
        <v>2</v>
      </c>
      <c r="E45" s="154">
        <v>4</v>
      </c>
      <c r="F45" s="154">
        <f>SUM(D45:E45)</f>
        <v>6</v>
      </c>
      <c r="G45" s="155"/>
      <c r="H45" s="156"/>
      <c r="I45" s="156"/>
      <c r="J45" s="156"/>
      <c r="K45" s="156"/>
      <c r="L45" s="156"/>
      <c r="M45" s="157"/>
      <c r="N45" s="307"/>
    </row>
    <row r="46" spans="1:14" ht="15" customHeight="1">
      <c r="A46" s="136" t="s">
        <v>87</v>
      </c>
      <c r="B46" s="132" t="s">
        <v>85</v>
      </c>
      <c r="C46" s="125" t="s">
        <v>86</v>
      </c>
      <c r="D46" s="158">
        <v>4</v>
      </c>
      <c r="E46" s="159">
        <v>5</v>
      </c>
      <c r="F46" s="159">
        <v>9</v>
      </c>
      <c r="G46" s="160">
        <v>1</v>
      </c>
      <c r="H46" s="161"/>
      <c r="I46" s="161"/>
      <c r="J46" s="161"/>
      <c r="K46" s="161"/>
      <c r="L46" s="161"/>
      <c r="M46" s="162"/>
      <c r="N46" s="307"/>
    </row>
    <row r="47" spans="1:14" ht="15" customHeight="1">
      <c r="A47" s="136" t="s">
        <v>90</v>
      </c>
      <c r="B47" s="132" t="s">
        <v>88</v>
      </c>
      <c r="C47" s="125" t="s">
        <v>89</v>
      </c>
      <c r="D47" s="158">
        <v>4</v>
      </c>
      <c r="E47" s="159">
        <v>5</v>
      </c>
      <c r="F47" s="159">
        <v>9</v>
      </c>
      <c r="G47" s="160"/>
      <c r="H47" s="161"/>
      <c r="I47" s="161"/>
      <c r="J47" s="161">
        <v>1</v>
      </c>
      <c r="K47" s="161">
        <v>2</v>
      </c>
      <c r="L47" s="161"/>
      <c r="M47" s="162"/>
      <c r="N47" s="307"/>
    </row>
    <row r="48" spans="1:14" ht="15" customHeight="1">
      <c r="A48" s="166" t="s">
        <v>93</v>
      </c>
      <c r="B48" s="132" t="s">
        <v>91</v>
      </c>
      <c r="C48" s="125" t="s">
        <v>92</v>
      </c>
      <c r="D48" s="158"/>
      <c r="E48" s="159"/>
      <c r="F48" s="159"/>
      <c r="G48" s="160"/>
      <c r="H48" s="161"/>
      <c r="I48" s="161">
        <v>1</v>
      </c>
      <c r="J48" s="161"/>
      <c r="K48" s="161"/>
      <c r="L48" s="161"/>
      <c r="M48" s="162"/>
      <c r="N48" s="307"/>
    </row>
    <row r="49" spans="1:14" ht="15" customHeight="1">
      <c r="A49" s="136" t="s">
        <v>99</v>
      </c>
      <c r="B49" s="132" t="s">
        <v>97</v>
      </c>
      <c r="C49" s="125" t="s">
        <v>98</v>
      </c>
      <c r="D49" s="158"/>
      <c r="E49" s="159">
        <v>2</v>
      </c>
      <c r="F49" s="159">
        <v>2</v>
      </c>
      <c r="G49" s="160"/>
      <c r="H49" s="161"/>
      <c r="I49" s="161"/>
      <c r="J49" s="161"/>
      <c r="K49" s="161"/>
      <c r="L49" s="161"/>
      <c r="M49" s="162"/>
      <c r="N49" s="307"/>
    </row>
    <row r="50" spans="1:14" ht="15" customHeight="1">
      <c r="A50" s="136" t="s">
        <v>102</v>
      </c>
      <c r="B50" s="132" t="s">
        <v>100</v>
      </c>
      <c r="C50" s="125" t="s">
        <v>101</v>
      </c>
      <c r="D50" s="158"/>
      <c r="E50" s="159">
        <v>2</v>
      </c>
      <c r="F50" s="159">
        <v>2</v>
      </c>
      <c r="G50" s="160"/>
      <c r="H50" s="161"/>
      <c r="I50" s="161"/>
      <c r="J50" s="161"/>
      <c r="K50" s="161"/>
      <c r="L50" s="161"/>
      <c r="M50" s="162"/>
      <c r="N50" s="307"/>
    </row>
    <row r="51" spans="1:14" ht="15" customHeight="1">
      <c r="A51" s="136" t="s">
        <v>105</v>
      </c>
      <c r="B51" s="132" t="s">
        <v>103</v>
      </c>
      <c r="C51" s="125" t="s">
        <v>104</v>
      </c>
      <c r="D51" s="158">
        <v>2</v>
      </c>
      <c r="E51" s="159">
        <v>2</v>
      </c>
      <c r="F51" s="159">
        <v>4</v>
      </c>
      <c r="G51" s="160"/>
      <c r="H51" s="161"/>
      <c r="I51" s="161"/>
      <c r="J51" s="161"/>
      <c r="K51" s="161"/>
      <c r="L51" s="161"/>
      <c r="M51" s="162"/>
      <c r="N51" s="307"/>
    </row>
    <row r="52" spans="1:14" ht="15" customHeight="1">
      <c r="A52" s="136" t="s">
        <v>108</v>
      </c>
      <c r="B52" s="132" t="s">
        <v>79</v>
      </c>
      <c r="C52" s="125" t="s">
        <v>107</v>
      </c>
      <c r="D52" s="158">
        <v>3</v>
      </c>
      <c r="E52" s="159">
        <v>2</v>
      </c>
      <c r="F52" s="159">
        <v>5</v>
      </c>
      <c r="G52" s="160"/>
      <c r="H52" s="161"/>
      <c r="I52" s="161"/>
      <c r="J52" s="161"/>
      <c r="K52" s="161">
        <v>1</v>
      </c>
      <c r="L52" s="161"/>
      <c r="M52" s="162"/>
      <c r="N52" s="307"/>
    </row>
    <row r="53" spans="1:14" ht="15" customHeight="1">
      <c r="A53" s="136" t="s">
        <v>116</v>
      </c>
      <c r="B53" s="132" t="s">
        <v>114</v>
      </c>
      <c r="C53" s="125" t="s">
        <v>115</v>
      </c>
      <c r="D53" s="158">
        <v>1</v>
      </c>
      <c r="E53" s="159">
        <v>1</v>
      </c>
      <c r="F53" s="159">
        <v>2</v>
      </c>
      <c r="G53" s="160"/>
      <c r="H53" s="161"/>
      <c r="I53" s="161"/>
      <c r="J53" s="161"/>
      <c r="K53" s="161"/>
      <c r="L53" s="161"/>
      <c r="M53" s="162"/>
      <c r="N53" s="307"/>
    </row>
    <row r="54" spans="1:14" ht="15" customHeight="1">
      <c r="A54" s="136" t="s">
        <v>122</v>
      </c>
      <c r="B54" s="133" t="s">
        <v>120</v>
      </c>
      <c r="C54" s="126" t="s">
        <v>121</v>
      </c>
      <c r="D54" s="158">
        <v>4</v>
      </c>
      <c r="E54" s="159">
        <v>3</v>
      </c>
      <c r="F54" s="159">
        <v>7</v>
      </c>
      <c r="G54" s="160">
        <v>2</v>
      </c>
      <c r="H54" s="161">
        <v>1</v>
      </c>
      <c r="I54" s="161"/>
      <c r="J54" s="161">
        <v>1</v>
      </c>
      <c r="K54" s="161"/>
      <c r="L54" s="161"/>
      <c r="M54" s="162"/>
      <c r="N54" s="307"/>
    </row>
    <row r="55" spans="1:14" ht="15" customHeight="1">
      <c r="A55" s="136" t="s">
        <v>130</v>
      </c>
      <c r="B55" s="132" t="s">
        <v>128</v>
      </c>
      <c r="C55" s="125" t="s">
        <v>129</v>
      </c>
      <c r="D55" s="158">
        <v>3</v>
      </c>
      <c r="E55" s="159">
        <v>4</v>
      </c>
      <c r="F55" s="159">
        <v>7</v>
      </c>
      <c r="G55" s="160">
        <v>1</v>
      </c>
      <c r="H55" s="161"/>
      <c r="I55" s="161"/>
      <c r="J55" s="161"/>
      <c r="K55" s="161"/>
      <c r="L55" s="161"/>
      <c r="M55" s="162"/>
      <c r="N55" s="307"/>
    </row>
    <row r="56" spans="1:14" ht="15" customHeight="1">
      <c r="A56" s="136" t="s">
        <v>134</v>
      </c>
      <c r="B56" s="132" t="s">
        <v>133</v>
      </c>
      <c r="C56" s="125" t="s">
        <v>95</v>
      </c>
      <c r="D56" s="158">
        <v>1</v>
      </c>
      <c r="E56" s="159">
        <v>3</v>
      </c>
      <c r="F56" s="159">
        <v>4</v>
      </c>
      <c r="G56" s="160"/>
      <c r="H56" s="161"/>
      <c r="I56" s="161"/>
      <c r="J56" s="161"/>
      <c r="K56" s="161"/>
      <c r="L56" s="161"/>
      <c r="M56" s="162"/>
      <c r="N56" s="307"/>
    </row>
    <row r="57" spans="1:14" ht="15" customHeight="1" thickBot="1">
      <c r="A57" s="163" t="s">
        <v>137</v>
      </c>
      <c r="B57" s="164" t="s">
        <v>135</v>
      </c>
      <c r="C57" s="165" t="s">
        <v>136</v>
      </c>
      <c r="D57" s="176"/>
      <c r="E57" s="177">
        <v>2</v>
      </c>
      <c r="F57" s="177">
        <v>3</v>
      </c>
      <c r="G57" s="178"/>
      <c r="H57" s="179"/>
      <c r="I57" s="179"/>
      <c r="J57" s="179">
        <v>1</v>
      </c>
      <c r="K57" s="179"/>
      <c r="L57" s="179"/>
      <c r="M57" s="180"/>
      <c r="N57" s="307"/>
    </row>
    <row r="58" spans="1:14" ht="15.75" thickBot="1">
      <c r="A58" s="495" t="s">
        <v>167</v>
      </c>
      <c r="B58" s="496"/>
      <c r="C58" s="497"/>
      <c r="D58" s="181">
        <f>SUM(D45:D57)</f>
        <v>24</v>
      </c>
      <c r="E58" s="182">
        <f>SUM(E45:E57)</f>
        <v>35</v>
      </c>
      <c r="F58" s="182">
        <f>SUM(F45:F57)</f>
        <v>60</v>
      </c>
      <c r="G58" s="183">
        <f>SUM(G45:G57)</f>
        <v>4</v>
      </c>
      <c r="H58" s="184">
        <f>SUM(H45:H57)</f>
        <v>1</v>
      </c>
      <c r="I58" s="184">
        <v>1</v>
      </c>
      <c r="J58" s="184">
        <f>SUM(J45:J57)</f>
        <v>3</v>
      </c>
      <c r="K58" s="184">
        <f>SUM(K45:K57)</f>
        <v>3</v>
      </c>
      <c r="L58" s="184"/>
      <c r="M58" s="185"/>
      <c r="N58" s="307"/>
    </row>
    <row r="59" spans="1:14" ht="18" customHeight="1" thickBot="1">
      <c r="A59" s="406" t="s">
        <v>169</v>
      </c>
      <c r="B59" s="407"/>
      <c r="C59" s="407"/>
      <c r="D59" s="407"/>
      <c r="E59" s="407"/>
      <c r="F59" s="407"/>
      <c r="G59" s="407"/>
      <c r="H59" s="407"/>
      <c r="I59" s="407"/>
      <c r="J59" s="407"/>
      <c r="K59" s="407"/>
      <c r="L59" s="407"/>
      <c r="M59" s="481"/>
      <c r="N59" s="307"/>
    </row>
    <row r="60" spans="1:14" ht="15.75" thickBot="1">
      <c r="A60" s="129" t="s">
        <v>141</v>
      </c>
      <c r="B60" s="129" t="s">
        <v>142</v>
      </c>
      <c r="C60" s="128" t="s">
        <v>143</v>
      </c>
      <c r="D60" s="105" t="s">
        <v>46</v>
      </c>
      <c r="E60" s="15" t="s">
        <v>47</v>
      </c>
      <c r="F60" s="15" t="s">
        <v>48</v>
      </c>
      <c r="G60" s="15" t="s">
        <v>75</v>
      </c>
      <c r="H60" s="14" t="s">
        <v>49</v>
      </c>
      <c r="I60" s="14" t="s">
        <v>39</v>
      </c>
      <c r="J60" s="14" t="s">
        <v>50</v>
      </c>
      <c r="K60" s="14" t="s">
        <v>51</v>
      </c>
      <c r="L60" s="14" t="s">
        <v>77</v>
      </c>
      <c r="M60" s="14" t="s">
        <v>35</v>
      </c>
      <c r="N60" s="307"/>
    </row>
    <row r="61" spans="1:14">
      <c r="A61" s="134" t="s">
        <v>81</v>
      </c>
      <c r="B61" s="208" t="s">
        <v>79</v>
      </c>
      <c r="C61" s="211" t="s">
        <v>80</v>
      </c>
      <c r="D61" s="220">
        <v>4</v>
      </c>
      <c r="E61" s="221">
        <v>3</v>
      </c>
      <c r="F61" s="220">
        <f>SUM(D61:E61)</f>
        <v>7</v>
      </c>
      <c r="G61" s="214"/>
      <c r="H61" s="202"/>
      <c r="I61" s="202">
        <v>1</v>
      </c>
      <c r="J61" s="202">
        <v>1</v>
      </c>
      <c r="K61" s="202"/>
      <c r="L61" s="202"/>
      <c r="M61" s="203"/>
      <c r="N61" s="307"/>
    </row>
    <row r="62" spans="1:14">
      <c r="A62" s="136" t="s">
        <v>84</v>
      </c>
      <c r="B62" s="133" t="s">
        <v>82</v>
      </c>
      <c r="C62" s="212" t="s">
        <v>83</v>
      </c>
      <c r="D62" s="222">
        <v>2</v>
      </c>
      <c r="E62" s="223">
        <v>3</v>
      </c>
      <c r="F62" s="222">
        <v>5</v>
      </c>
      <c r="G62" s="215"/>
      <c r="H62" s="201"/>
      <c r="I62" s="201"/>
      <c r="J62" s="201"/>
      <c r="K62" s="201"/>
      <c r="L62" s="201"/>
      <c r="M62" s="204"/>
      <c r="N62" s="307"/>
    </row>
    <row r="63" spans="1:14">
      <c r="A63" s="136" t="s">
        <v>87</v>
      </c>
      <c r="B63" s="133" t="s">
        <v>85</v>
      </c>
      <c r="C63" s="212" t="s">
        <v>86</v>
      </c>
      <c r="D63" s="222">
        <v>4</v>
      </c>
      <c r="E63" s="223">
        <v>4</v>
      </c>
      <c r="F63" s="222">
        <v>8</v>
      </c>
      <c r="G63" s="215"/>
      <c r="H63" s="201">
        <v>1</v>
      </c>
      <c r="I63" s="201"/>
      <c r="J63" s="201"/>
      <c r="K63" s="201"/>
      <c r="L63" s="201"/>
      <c r="M63" s="204"/>
      <c r="N63" s="307"/>
    </row>
    <row r="64" spans="1:14">
      <c r="A64" s="136" t="s">
        <v>90</v>
      </c>
      <c r="B64" s="133" t="s">
        <v>88</v>
      </c>
      <c r="C64" s="212" t="s">
        <v>89</v>
      </c>
      <c r="D64" s="222">
        <v>1</v>
      </c>
      <c r="E64" s="223">
        <v>1</v>
      </c>
      <c r="F64" s="222">
        <v>2</v>
      </c>
      <c r="G64" s="215"/>
      <c r="H64" s="201"/>
      <c r="I64" s="201">
        <v>1</v>
      </c>
      <c r="J64" s="201"/>
      <c r="K64" s="201"/>
      <c r="L64" s="201"/>
      <c r="M64" s="204"/>
      <c r="N64" s="307"/>
    </row>
    <row r="65" spans="1:14">
      <c r="A65" s="136" t="s">
        <v>93</v>
      </c>
      <c r="B65" s="133" t="s">
        <v>91</v>
      </c>
      <c r="C65" s="212" t="s">
        <v>92</v>
      </c>
      <c r="D65" s="222">
        <v>3</v>
      </c>
      <c r="E65" s="223">
        <v>2</v>
      </c>
      <c r="F65" s="222">
        <v>5</v>
      </c>
      <c r="G65" s="215"/>
      <c r="H65" s="201"/>
      <c r="I65" s="201"/>
      <c r="J65" s="201"/>
      <c r="K65" s="201"/>
      <c r="L65" s="201"/>
      <c r="M65" s="204"/>
      <c r="N65" s="307"/>
    </row>
    <row r="66" spans="1:14">
      <c r="A66" s="136" t="s">
        <v>105</v>
      </c>
      <c r="B66" s="133" t="s">
        <v>103</v>
      </c>
      <c r="C66" s="212" t="s">
        <v>104</v>
      </c>
      <c r="D66" s="222">
        <v>1</v>
      </c>
      <c r="E66" s="223">
        <v>1</v>
      </c>
      <c r="F66" s="222">
        <v>2</v>
      </c>
      <c r="G66" s="215"/>
      <c r="H66" s="201"/>
      <c r="I66" s="201"/>
      <c r="J66" s="201"/>
      <c r="K66" s="201"/>
      <c r="L66" s="201"/>
      <c r="M66" s="204"/>
      <c r="N66" s="307"/>
    </row>
    <row r="67" spans="1:14">
      <c r="A67" s="136" t="s">
        <v>108</v>
      </c>
      <c r="B67" s="133" t="s">
        <v>79</v>
      </c>
      <c r="C67" s="212" t="s">
        <v>107</v>
      </c>
      <c r="D67" s="222">
        <v>4</v>
      </c>
      <c r="E67" s="223">
        <v>4</v>
      </c>
      <c r="F67" s="222">
        <v>8</v>
      </c>
      <c r="G67" s="215"/>
      <c r="H67" s="201"/>
      <c r="I67" s="201"/>
      <c r="J67" s="201"/>
      <c r="K67" s="201">
        <v>1</v>
      </c>
      <c r="L67" s="201"/>
      <c r="M67" s="204"/>
      <c r="N67" s="307"/>
    </row>
    <row r="68" spans="1:14">
      <c r="A68" s="136" t="s">
        <v>116</v>
      </c>
      <c r="B68" s="133" t="s">
        <v>114</v>
      </c>
      <c r="C68" s="212" t="s">
        <v>115</v>
      </c>
      <c r="D68" s="222">
        <v>1</v>
      </c>
      <c r="E68" s="223">
        <v>1</v>
      </c>
      <c r="F68" s="222">
        <v>2</v>
      </c>
      <c r="G68" s="215"/>
      <c r="H68" s="201"/>
      <c r="I68" s="201"/>
      <c r="J68" s="201"/>
      <c r="K68" s="201"/>
      <c r="L68" s="201"/>
      <c r="M68" s="204"/>
      <c r="N68" s="307"/>
    </row>
    <row r="69" spans="1:14">
      <c r="A69" s="136" t="s">
        <v>122</v>
      </c>
      <c r="B69" s="133" t="s">
        <v>120</v>
      </c>
      <c r="C69" s="212" t="s">
        <v>121</v>
      </c>
      <c r="D69" s="222">
        <v>3</v>
      </c>
      <c r="E69" s="223">
        <v>2</v>
      </c>
      <c r="F69" s="222">
        <v>5</v>
      </c>
      <c r="G69" s="215"/>
      <c r="H69" s="201"/>
      <c r="I69" s="201"/>
      <c r="J69" s="201"/>
      <c r="K69" s="201"/>
      <c r="L69" s="201"/>
      <c r="M69" s="204"/>
      <c r="N69" s="307"/>
    </row>
    <row r="70" spans="1:14">
      <c r="A70" s="136" t="s">
        <v>132</v>
      </c>
      <c r="B70" s="133" t="s">
        <v>176</v>
      </c>
      <c r="C70" s="212" t="s">
        <v>131</v>
      </c>
      <c r="D70" s="222">
        <v>0</v>
      </c>
      <c r="E70" s="223">
        <v>1</v>
      </c>
      <c r="F70" s="222">
        <v>1</v>
      </c>
      <c r="G70" s="215"/>
      <c r="H70" s="201"/>
      <c r="I70" s="201"/>
      <c r="J70" s="201"/>
      <c r="K70" s="201">
        <v>1</v>
      </c>
      <c r="L70" s="201"/>
      <c r="M70" s="204"/>
      <c r="N70" s="307"/>
    </row>
    <row r="71" spans="1:14">
      <c r="A71" s="136" t="s">
        <v>130</v>
      </c>
      <c r="B71" s="133" t="s">
        <v>128</v>
      </c>
      <c r="C71" s="212" t="s">
        <v>129</v>
      </c>
      <c r="D71" s="222">
        <v>2</v>
      </c>
      <c r="E71" s="223">
        <v>1</v>
      </c>
      <c r="F71" s="222">
        <v>3</v>
      </c>
      <c r="G71" s="215">
        <v>2</v>
      </c>
      <c r="H71" s="201">
        <v>2</v>
      </c>
      <c r="I71" s="201"/>
      <c r="J71" s="201"/>
      <c r="K71" s="201"/>
      <c r="L71" s="201"/>
      <c r="M71" s="204"/>
      <c r="N71" s="307"/>
    </row>
    <row r="72" spans="1:14">
      <c r="A72" s="136" t="s">
        <v>134</v>
      </c>
      <c r="B72" s="133" t="s">
        <v>133</v>
      </c>
      <c r="C72" s="212" t="s">
        <v>95</v>
      </c>
      <c r="D72" s="222">
        <v>2</v>
      </c>
      <c r="E72" s="223">
        <v>1</v>
      </c>
      <c r="F72" s="222">
        <v>3</v>
      </c>
      <c r="G72" s="215"/>
      <c r="H72" s="201"/>
      <c r="I72" s="201"/>
      <c r="J72" s="201"/>
      <c r="K72" s="201"/>
      <c r="L72" s="201"/>
      <c r="M72" s="204"/>
      <c r="N72" s="307"/>
    </row>
    <row r="73" spans="1:14" ht="15.75" thickBot="1">
      <c r="A73" s="137" t="s">
        <v>137</v>
      </c>
      <c r="B73" s="209" t="s">
        <v>135</v>
      </c>
      <c r="C73" s="213" t="s">
        <v>136</v>
      </c>
      <c r="D73" s="224">
        <v>1</v>
      </c>
      <c r="E73" s="225">
        <v>1</v>
      </c>
      <c r="F73" s="224">
        <v>2</v>
      </c>
      <c r="G73" s="216"/>
      <c r="H73" s="205"/>
      <c r="I73" s="205"/>
      <c r="J73" s="205"/>
      <c r="K73" s="205"/>
      <c r="L73" s="205"/>
      <c r="M73" s="206"/>
      <c r="N73" s="307"/>
    </row>
    <row r="74" spans="1:14" ht="15.75" thickBot="1">
      <c r="A74" s="485" t="s">
        <v>167</v>
      </c>
      <c r="B74" s="486"/>
      <c r="C74" s="486"/>
      <c r="D74" s="218">
        <f>SUM(D61:D73)</f>
        <v>28</v>
      </c>
      <c r="E74" s="219">
        <f>SUM(E61:E73)</f>
        <v>25</v>
      </c>
      <c r="F74" s="219">
        <f>SUM(D74:E74)</f>
        <v>53</v>
      </c>
      <c r="G74" s="217">
        <v>2</v>
      </c>
      <c r="H74" s="207">
        <v>3</v>
      </c>
      <c r="I74" s="207">
        <v>2</v>
      </c>
      <c r="J74" s="207">
        <v>1</v>
      </c>
      <c r="K74" s="207">
        <v>2</v>
      </c>
      <c r="L74" s="207"/>
      <c r="M74" s="210"/>
      <c r="N74" s="307"/>
    </row>
    <row r="75" spans="1:14" ht="18" customHeight="1" thickBot="1">
      <c r="A75" s="482" t="s">
        <v>196</v>
      </c>
      <c r="B75" s="483"/>
      <c r="C75" s="483"/>
      <c r="D75" s="483"/>
      <c r="E75" s="483"/>
      <c r="F75" s="483"/>
      <c r="G75" s="483"/>
      <c r="H75" s="483"/>
      <c r="I75" s="483"/>
      <c r="J75" s="483"/>
      <c r="K75" s="483"/>
      <c r="L75" s="483"/>
      <c r="M75" s="484"/>
      <c r="N75" s="307"/>
    </row>
    <row r="76" spans="1:14" ht="15.75" thickBot="1">
      <c r="A76" s="129" t="s">
        <v>141</v>
      </c>
      <c r="B76" s="129" t="s">
        <v>142</v>
      </c>
      <c r="C76" s="128" t="s">
        <v>143</v>
      </c>
      <c r="D76" s="105" t="s">
        <v>46</v>
      </c>
      <c r="E76" s="15" t="s">
        <v>47</v>
      </c>
      <c r="F76" s="15" t="s">
        <v>48</v>
      </c>
      <c r="G76" s="15" t="s">
        <v>75</v>
      </c>
      <c r="H76" s="14" t="s">
        <v>49</v>
      </c>
      <c r="I76" s="14" t="s">
        <v>39</v>
      </c>
      <c r="J76" s="14" t="s">
        <v>50</v>
      </c>
      <c r="K76" s="14" t="s">
        <v>51</v>
      </c>
      <c r="L76" s="14" t="s">
        <v>77</v>
      </c>
      <c r="M76" s="14" t="s">
        <v>35</v>
      </c>
      <c r="N76" s="307"/>
    </row>
    <row r="77" spans="1:14">
      <c r="A77" s="235" t="s">
        <v>81</v>
      </c>
      <c r="B77" s="238" t="s">
        <v>79</v>
      </c>
      <c r="C77" s="233" t="s">
        <v>80</v>
      </c>
      <c r="D77" s="221">
        <v>3</v>
      </c>
      <c r="E77" s="220">
        <v>3</v>
      </c>
      <c r="F77" s="220">
        <v>6</v>
      </c>
      <c r="G77" s="214"/>
      <c r="H77" s="202"/>
      <c r="I77" s="202"/>
      <c r="J77" s="202"/>
      <c r="K77" s="202"/>
      <c r="L77" s="202"/>
      <c r="M77" s="203"/>
      <c r="N77" s="307"/>
    </row>
    <row r="78" spans="1:14">
      <c r="A78" s="236" t="s">
        <v>84</v>
      </c>
      <c r="B78" s="239" t="s">
        <v>82</v>
      </c>
      <c r="C78" s="126" t="s">
        <v>83</v>
      </c>
      <c r="D78" s="223">
        <v>2</v>
      </c>
      <c r="E78" s="222">
        <v>3</v>
      </c>
      <c r="F78" s="222">
        <v>5</v>
      </c>
      <c r="G78" s="215"/>
      <c r="H78" s="201"/>
      <c r="I78" s="201"/>
      <c r="J78" s="201"/>
      <c r="K78" s="201"/>
      <c r="L78" s="201"/>
      <c r="M78" s="204"/>
      <c r="N78" s="307"/>
    </row>
    <row r="79" spans="1:14">
      <c r="A79" s="236" t="s">
        <v>87</v>
      </c>
      <c r="B79" s="239" t="s">
        <v>85</v>
      </c>
      <c r="C79" s="126" t="s">
        <v>86</v>
      </c>
      <c r="D79" s="223">
        <v>5</v>
      </c>
      <c r="E79" s="222">
        <v>5</v>
      </c>
      <c r="F79" s="222">
        <v>10</v>
      </c>
      <c r="G79" s="215"/>
      <c r="H79" s="201"/>
      <c r="I79" s="201"/>
      <c r="J79" s="201"/>
      <c r="K79" s="201"/>
      <c r="L79" s="201"/>
      <c r="M79" s="204"/>
      <c r="N79" s="307"/>
    </row>
    <row r="80" spans="1:14">
      <c r="A80" s="236" t="s">
        <v>90</v>
      </c>
      <c r="B80" s="239" t="s">
        <v>88</v>
      </c>
      <c r="C80" s="126" t="s">
        <v>89</v>
      </c>
      <c r="D80" s="223">
        <v>3</v>
      </c>
      <c r="E80" s="222">
        <v>4</v>
      </c>
      <c r="F80" s="222">
        <v>7</v>
      </c>
      <c r="G80" s="215"/>
      <c r="H80" s="201"/>
      <c r="I80" s="201"/>
      <c r="J80" s="201"/>
      <c r="K80" s="201"/>
      <c r="L80" s="201"/>
      <c r="M80" s="204"/>
      <c r="N80" s="307"/>
    </row>
    <row r="81" spans="1:14">
      <c r="A81" s="236" t="s">
        <v>93</v>
      </c>
      <c r="B81" s="239" t="s">
        <v>91</v>
      </c>
      <c r="C81" s="126" t="s">
        <v>92</v>
      </c>
      <c r="D81" s="223">
        <v>3</v>
      </c>
      <c r="E81" s="222">
        <v>3</v>
      </c>
      <c r="F81" s="222">
        <v>6</v>
      </c>
      <c r="G81" s="215"/>
      <c r="H81" s="201"/>
      <c r="I81" s="201">
        <v>1</v>
      </c>
      <c r="J81" s="201"/>
      <c r="K81" s="201">
        <v>1</v>
      </c>
      <c r="L81" s="201"/>
      <c r="M81" s="204"/>
      <c r="N81" s="307"/>
    </row>
    <row r="82" spans="1:14">
      <c r="A82" s="237" t="s">
        <v>96</v>
      </c>
      <c r="B82" s="239" t="s">
        <v>94</v>
      </c>
      <c r="C82" s="126" t="s">
        <v>95</v>
      </c>
      <c r="D82" s="223">
        <v>0</v>
      </c>
      <c r="E82" s="222">
        <v>1</v>
      </c>
      <c r="F82" s="222">
        <v>1</v>
      </c>
      <c r="G82" s="215"/>
      <c r="H82" s="201"/>
      <c r="I82" s="201"/>
      <c r="J82" s="201"/>
      <c r="K82" s="201"/>
      <c r="L82" s="201"/>
      <c r="M82" s="204"/>
      <c r="N82" s="307"/>
    </row>
    <row r="83" spans="1:14">
      <c r="A83" s="237" t="s">
        <v>102</v>
      </c>
      <c r="B83" s="239" t="s">
        <v>100</v>
      </c>
      <c r="C83" s="126" t="s">
        <v>101</v>
      </c>
      <c r="D83" s="223">
        <v>1</v>
      </c>
      <c r="E83" s="222">
        <v>2</v>
      </c>
      <c r="F83" s="222">
        <v>3</v>
      </c>
      <c r="G83" s="215"/>
      <c r="H83" s="201"/>
      <c r="I83" s="201">
        <v>1</v>
      </c>
      <c r="J83" s="201"/>
      <c r="K83" s="201"/>
      <c r="L83" s="201"/>
      <c r="M83" s="204"/>
      <c r="N83" s="307"/>
    </row>
    <row r="84" spans="1:14">
      <c r="A84" s="236" t="s">
        <v>108</v>
      </c>
      <c r="B84" s="239" t="s">
        <v>79</v>
      </c>
      <c r="C84" s="126" t="s">
        <v>107</v>
      </c>
      <c r="D84" s="223">
        <v>3</v>
      </c>
      <c r="E84" s="222">
        <v>3</v>
      </c>
      <c r="F84" s="222">
        <v>6</v>
      </c>
      <c r="G84" s="215"/>
      <c r="H84" s="201"/>
      <c r="I84" s="201"/>
      <c r="J84" s="201"/>
      <c r="K84" s="201"/>
      <c r="L84" s="201"/>
      <c r="M84" s="204"/>
      <c r="N84" s="307"/>
    </row>
    <row r="85" spans="1:14">
      <c r="A85" s="237" t="s">
        <v>111</v>
      </c>
      <c r="B85" s="239" t="s">
        <v>109</v>
      </c>
      <c r="C85" s="126" t="s">
        <v>131</v>
      </c>
      <c r="D85" s="223">
        <v>2</v>
      </c>
      <c r="E85" s="222">
        <v>2</v>
      </c>
      <c r="F85" s="222">
        <v>4</v>
      </c>
      <c r="G85" s="215"/>
      <c r="H85" s="201"/>
      <c r="I85" s="201"/>
      <c r="J85" s="201"/>
      <c r="K85" s="201"/>
      <c r="L85" s="201"/>
      <c r="M85" s="204"/>
      <c r="N85" s="307"/>
    </row>
    <row r="86" spans="1:14">
      <c r="A86" s="237" t="s">
        <v>113</v>
      </c>
      <c r="B86" s="239" t="s">
        <v>106</v>
      </c>
      <c r="C86" s="126" t="s">
        <v>112</v>
      </c>
      <c r="D86" s="223">
        <v>0</v>
      </c>
      <c r="E86" s="222">
        <v>1</v>
      </c>
      <c r="F86" s="222">
        <v>1</v>
      </c>
      <c r="G86" s="215"/>
      <c r="H86" s="201"/>
      <c r="I86" s="201"/>
      <c r="J86" s="201"/>
      <c r="K86" s="201"/>
      <c r="L86" s="201"/>
      <c r="M86" s="204"/>
      <c r="N86" s="307"/>
    </row>
    <row r="87" spans="1:14">
      <c r="A87" s="236" t="s">
        <v>116</v>
      </c>
      <c r="B87" s="239" t="s">
        <v>114</v>
      </c>
      <c r="C87" s="126" t="s">
        <v>115</v>
      </c>
      <c r="D87" s="223">
        <v>0</v>
      </c>
      <c r="E87" s="222">
        <v>1</v>
      </c>
      <c r="F87" s="222">
        <v>1</v>
      </c>
      <c r="G87" s="215"/>
      <c r="H87" s="201"/>
      <c r="I87" s="201"/>
      <c r="J87" s="201"/>
      <c r="K87" s="201"/>
      <c r="L87" s="201"/>
      <c r="M87" s="204"/>
      <c r="N87" s="307"/>
    </row>
    <row r="88" spans="1:14">
      <c r="A88" s="237" t="s">
        <v>119</v>
      </c>
      <c r="B88" s="239" t="s">
        <v>117</v>
      </c>
      <c r="C88" s="126" t="s">
        <v>118</v>
      </c>
      <c r="D88" s="223">
        <v>0</v>
      </c>
      <c r="E88" s="222">
        <v>2</v>
      </c>
      <c r="F88" s="222">
        <v>2</v>
      </c>
      <c r="G88" s="215"/>
      <c r="H88" s="201"/>
      <c r="I88" s="201"/>
      <c r="J88" s="201"/>
      <c r="K88" s="201"/>
      <c r="L88" s="201"/>
      <c r="M88" s="204"/>
      <c r="N88" s="307"/>
    </row>
    <row r="89" spans="1:14">
      <c r="A89" s="236" t="s">
        <v>122</v>
      </c>
      <c r="B89" s="239" t="s">
        <v>120</v>
      </c>
      <c r="C89" s="126" t="s">
        <v>121</v>
      </c>
      <c r="D89" s="223">
        <v>1</v>
      </c>
      <c r="E89" s="222">
        <v>1</v>
      </c>
      <c r="F89" s="222">
        <v>2</v>
      </c>
      <c r="G89" s="215">
        <v>1</v>
      </c>
      <c r="H89" s="201"/>
      <c r="I89" s="201"/>
      <c r="J89" s="201"/>
      <c r="K89" s="201"/>
      <c r="L89" s="201"/>
      <c r="M89" s="204"/>
      <c r="N89" s="307"/>
    </row>
    <row r="90" spans="1:14">
      <c r="A90" s="236" t="s">
        <v>132</v>
      </c>
      <c r="B90" s="239" t="s">
        <v>176</v>
      </c>
      <c r="C90" s="126" t="s">
        <v>131</v>
      </c>
      <c r="D90" s="223">
        <v>1</v>
      </c>
      <c r="E90" s="222">
        <v>3</v>
      </c>
      <c r="F90" s="222">
        <v>4</v>
      </c>
      <c r="G90" s="215"/>
      <c r="H90" s="201"/>
      <c r="I90" s="201"/>
      <c r="J90" s="201"/>
      <c r="K90" s="201"/>
      <c r="L90" s="201"/>
      <c r="M90" s="204"/>
      <c r="N90" s="307"/>
    </row>
    <row r="91" spans="1:14">
      <c r="A91" s="236" t="s">
        <v>130</v>
      </c>
      <c r="B91" s="239" t="s">
        <v>128</v>
      </c>
      <c r="C91" s="126" t="s">
        <v>129</v>
      </c>
      <c r="D91" s="223">
        <v>1</v>
      </c>
      <c r="E91" s="222">
        <v>2</v>
      </c>
      <c r="F91" s="222">
        <v>3</v>
      </c>
      <c r="G91" s="215"/>
      <c r="H91" s="201"/>
      <c r="I91" s="201"/>
      <c r="J91" s="201"/>
      <c r="K91" s="201"/>
      <c r="L91" s="201"/>
      <c r="M91" s="204"/>
      <c r="N91" s="307"/>
    </row>
    <row r="92" spans="1:14">
      <c r="A92" s="236" t="s">
        <v>134</v>
      </c>
      <c r="B92" s="239" t="s">
        <v>133</v>
      </c>
      <c r="C92" s="126" t="s">
        <v>95</v>
      </c>
      <c r="D92" s="223">
        <v>0</v>
      </c>
      <c r="E92" s="222">
        <v>1</v>
      </c>
      <c r="F92" s="222">
        <v>1</v>
      </c>
      <c r="G92" s="215"/>
      <c r="H92" s="201"/>
      <c r="I92" s="201"/>
      <c r="J92" s="201"/>
      <c r="K92" s="201"/>
      <c r="L92" s="201"/>
      <c r="M92" s="204"/>
      <c r="N92" s="307"/>
    </row>
    <row r="93" spans="1:14">
      <c r="A93" s="236" t="s">
        <v>137</v>
      </c>
      <c r="B93" s="239" t="s">
        <v>135</v>
      </c>
      <c r="C93" s="126" t="s">
        <v>136</v>
      </c>
      <c r="D93" s="223">
        <v>0</v>
      </c>
      <c r="E93" s="222">
        <v>1</v>
      </c>
      <c r="F93" s="222">
        <v>1</v>
      </c>
      <c r="G93" s="215"/>
      <c r="H93" s="201"/>
      <c r="I93" s="201"/>
      <c r="J93" s="201"/>
      <c r="K93" s="201"/>
      <c r="L93" s="201"/>
      <c r="M93" s="204"/>
      <c r="N93" s="307"/>
    </row>
    <row r="94" spans="1:14" ht="15.75" thickBot="1">
      <c r="A94" s="241" t="s">
        <v>140</v>
      </c>
      <c r="B94" s="240" t="s">
        <v>138</v>
      </c>
      <c r="C94" s="234" t="s">
        <v>139</v>
      </c>
      <c r="D94" s="225">
        <v>0</v>
      </c>
      <c r="E94" s="224">
        <v>2</v>
      </c>
      <c r="F94" s="224">
        <v>2</v>
      </c>
      <c r="G94" s="216"/>
      <c r="H94" s="205"/>
      <c r="I94" s="205"/>
      <c r="J94" s="205"/>
      <c r="K94" s="205"/>
      <c r="L94" s="205"/>
      <c r="M94" s="206"/>
      <c r="N94" s="307"/>
    </row>
    <row r="95" spans="1:14" ht="15.75" thickBot="1">
      <c r="A95" s="498" t="s">
        <v>167</v>
      </c>
      <c r="B95" s="499"/>
      <c r="C95" s="499"/>
      <c r="D95" s="231">
        <f>SUM(D77:D94)</f>
        <v>25</v>
      </c>
      <c r="E95" s="232">
        <f>SUM(E77:E94)</f>
        <v>40</v>
      </c>
      <c r="F95" s="232">
        <f>SUM(F77:F94)</f>
        <v>65</v>
      </c>
      <c r="G95" s="242">
        <f>SUM(G81:G94)</f>
        <v>1</v>
      </c>
      <c r="H95" s="243"/>
      <c r="I95" s="243">
        <f>SUM(I81:I94)</f>
        <v>2</v>
      </c>
      <c r="J95" s="243"/>
      <c r="K95" s="243">
        <f>SUM(K81:K94)</f>
        <v>1</v>
      </c>
      <c r="L95" s="243"/>
      <c r="M95" s="244"/>
      <c r="N95" s="307"/>
    </row>
    <row r="96" spans="1:14" ht="15.75" thickBot="1">
      <c r="A96" s="226" t="s">
        <v>141</v>
      </c>
      <c r="B96" s="226" t="s">
        <v>142</v>
      </c>
      <c r="C96" s="227" t="s">
        <v>143</v>
      </c>
      <c r="D96" s="228" t="s">
        <v>46</v>
      </c>
      <c r="E96" s="229" t="s">
        <v>47</v>
      </c>
      <c r="F96" s="229" t="s">
        <v>48</v>
      </c>
      <c r="G96" s="229" t="s">
        <v>75</v>
      </c>
      <c r="H96" s="230" t="s">
        <v>49</v>
      </c>
      <c r="I96" s="230" t="s">
        <v>39</v>
      </c>
      <c r="J96" s="230" t="s">
        <v>50</v>
      </c>
      <c r="K96" s="230" t="s">
        <v>51</v>
      </c>
      <c r="L96" s="230" t="s">
        <v>77</v>
      </c>
      <c r="M96" s="230" t="s">
        <v>35</v>
      </c>
      <c r="N96" s="307"/>
    </row>
    <row r="97" spans="1:14" ht="18" customHeight="1" thickBot="1">
      <c r="A97" s="488" t="s">
        <v>197</v>
      </c>
      <c r="B97" s="489"/>
      <c r="C97" s="489"/>
      <c r="D97" s="489"/>
      <c r="E97" s="489"/>
      <c r="F97" s="489"/>
      <c r="G97" s="489"/>
      <c r="H97" s="489"/>
      <c r="I97" s="489"/>
      <c r="J97" s="489"/>
      <c r="K97" s="489"/>
      <c r="L97" s="489"/>
      <c r="M97" s="490"/>
      <c r="N97" s="307"/>
    </row>
    <row r="98" spans="1:14" ht="15" customHeight="1">
      <c r="A98" s="259" t="s">
        <v>81</v>
      </c>
      <c r="B98" s="262" t="s">
        <v>79</v>
      </c>
      <c r="C98" s="233" t="s">
        <v>80</v>
      </c>
      <c r="D98" s="248">
        <v>2</v>
      </c>
      <c r="E98" s="248">
        <v>3</v>
      </c>
      <c r="F98" s="248">
        <v>5</v>
      </c>
      <c r="G98" s="249"/>
      <c r="H98" s="250"/>
      <c r="I98" s="250"/>
      <c r="J98" s="250"/>
      <c r="K98" s="250"/>
      <c r="L98" s="250"/>
      <c r="M98" s="251"/>
      <c r="N98" s="307"/>
    </row>
    <row r="99" spans="1:14" ht="15" customHeight="1">
      <c r="A99" s="260" t="s">
        <v>84</v>
      </c>
      <c r="B99" s="263" t="s">
        <v>82</v>
      </c>
      <c r="C99" s="126" t="s">
        <v>83</v>
      </c>
      <c r="D99" s="252">
        <v>3</v>
      </c>
      <c r="E99" s="252">
        <v>1</v>
      </c>
      <c r="F99" s="252">
        <v>4</v>
      </c>
      <c r="G99" s="253">
        <v>1</v>
      </c>
      <c r="H99" s="254"/>
      <c r="I99" s="254">
        <v>1</v>
      </c>
      <c r="J99" s="254"/>
      <c r="K99" s="254"/>
      <c r="L99" s="254"/>
      <c r="M99" s="255"/>
      <c r="N99" s="307"/>
    </row>
    <row r="100" spans="1:14" ht="15" customHeight="1">
      <c r="A100" s="260" t="s">
        <v>87</v>
      </c>
      <c r="B100" s="263" t="s">
        <v>85</v>
      </c>
      <c r="C100" s="126" t="s">
        <v>86</v>
      </c>
      <c r="D100" s="252">
        <v>5</v>
      </c>
      <c r="E100" s="252">
        <v>5</v>
      </c>
      <c r="F100" s="252">
        <v>10</v>
      </c>
      <c r="G100" s="253">
        <v>1</v>
      </c>
      <c r="H100" s="254"/>
      <c r="I100" s="254"/>
      <c r="J100" s="254"/>
      <c r="K100" s="254">
        <v>1</v>
      </c>
      <c r="L100" s="254"/>
      <c r="M100" s="255"/>
      <c r="N100" s="307"/>
    </row>
    <row r="101" spans="1:14" ht="15" customHeight="1">
      <c r="A101" s="260" t="s">
        <v>90</v>
      </c>
      <c r="B101" s="263" t="s">
        <v>88</v>
      </c>
      <c r="C101" s="126" t="s">
        <v>89</v>
      </c>
      <c r="D101" s="252">
        <v>5</v>
      </c>
      <c r="E101" s="252">
        <v>5</v>
      </c>
      <c r="F101" s="252">
        <v>10</v>
      </c>
      <c r="G101" s="253">
        <v>2</v>
      </c>
      <c r="H101" s="254"/>
      <c r="I101" s="254"/>
      <c r="J101" s="254"/>
      <c r="K101" s="254"/>
      <c r="L101" s="254"/>
      <c r="M101" s="255"/>
      <c r="N101" s="307"/>
    </row>
    <row r="102" spans="1:14" ht="15" customHeight="1">
      <c r="A102" s="260" t="s">
        <v>93</v>
      </c>
      <c r="B102" s="263" t="s">
        <v>91</v>
      </c>
      <c r="C102" s="126" t="s">
        <v>92</v>
      </c>
      <c r="D102" s="252">
        <v>1</v>
      </c>
      <c r="E102" s="252">
        <v>2</v>
      </c>
      <c r="F102" s="252">
        <v>3</v>
      </c>
      <c r="G102" s="253"/>
      <c r="H102" s="254"/>
      <c r="I102" s="254"/>
      <c r="J102" s="254"/>
      <c r="K102" s="254"/>
      <c r="L102" s="254"/>
      <c r="M102" s="255"/>
      <c r="N102" s="307"/>
    </row>
    <row r="103" spans="1:14" ht="15" customHeight="1">
      <c r="A103" s="261" t="s">
        <v>105</v>
      </c>
      <c r="B103" s="263" t="s">
        <v>103</v>
      </c>
      <c r="C103" s="126" t="s">
        <v>104</v>
      </c>
      <c r="D103" s="252">
        <v>0</v>
      </c>
      <c r="E103" s="252">
        <v>1</v>
      </c>
      <c r="F103" s="252">
        <v>1</v>
      </c>
      <c r="G103" s="253"/>
      <c r="H103" s="254"/>
      <c r="I103" s="254"/>
      <c r="J103" s="254"/>
      <c r="K103" s="254"/>
      <c r="L103" s="254"/>
      <c r="M103" s="255"/>
      <c r="N103" s="307"/>
    </row>
    <row r="104" spans="1:14" ht="15" customHeight="1">
      <c r="A104" s="260" t="s">
        <v>108</v>
      </c>
      <c r="B104" s="263" t="s">
        <v>79</v>
      </c>
      <c r="C104" s="126" t="s">
        <v>107</v>
      </c>
      <c r="D104" s="252">
        <v>3</v>
      </c>
      <c r="E104" s="252">
        <v>3</v>
      </c>
      <c r="F104" s="252">
        <v>6</v>
      </c>
      <c r="G104" s="253"/>
      <c r="H104" s="254"/>
      <c r="I104" s="254"/>
      <c r="J104" s="254"/>
      <c r="K104" s="254"/>
      <c r="L104" s="254"/>
      <c r="M104" s="255"/>
      <c r="N104" s="307"/>
    </row>
    <row r="105" spans="1:14" ht="15" customHeight="1">
      <c r="A105" s="261" t="s">
        <v>111</v>
      </c>
      <c r="B105" s="263" t="s">
        <v>109</v>
      </c>
      <c r="C105" s="126" t="s">
        <v>131</v>
      </c>
      <c r="D105" s="252">
        <v>3</v>
      </c>
      <c r="E105" s="252">
        <v>3</v>
      </c>
      <c r="F105" s="252">
        <v>6</v>
      </c>
      <c r="G105" s="253"/>
      <c r="H105" s="254"/>
      <c r="I105" s="254"/>
      <c r="J105" s="254"/>
      <c r="K105" s="254"/>
      <c r="L105" s="254"/>
      <c r="M105" s="255"/>
      <c r="N105" s="307"/>
    </row>
    <row r="106" spans="1:14" ht="15" customHeight="1">
      <c r="A106" s="260" t="s">
        <v>116</v>
      </c>
      <c r="B106" s="263" t="s">
        <v>114</v>
      </c>
      <c r="C106" s="126" t="s">
        <v>115</v>
      </c>
      <c r="D106" s="252">
        <v>1</v>
      </c>
      <c r="E106" s="252">
        <v>1</v>
      </c>
      <c r="F106" s="252">
        <v>2</v>
      </c>
      <c r="G106" s="253">
        <v>1</v>
      </c>
      <c r="H106" s="254"/>
      <c r="I106" s="254"/>
      <c r="J106" s="254"/>
      <c r="K106" s="254"/>
      <c r="L106" s="254"/>
      <c r="M106" s="255"/>
      <c r="N106" s="307"/>
    </row>
    <row r="107" spans="1:14" ht="15" customHeight="1">
      <c r="A107" s="260" t="s">
        <v>132</v>
      </c>
      <c r="B107" s="263" t="s">
        <v>176</v>
      </c>
      <c r="C107" s="126" t="s">
        <v>131</v>
      </c>
      <c r="D107" s="252">
        <v>0</v>
      </c>
      <c r="E107" s="252">
        <v>1</v>
      </c>
      <c r="F107" s="252">
        <v>1</v>
      </c>
      <c r="G107" s="253"/>
      <c r="H107" s="254"/>
      <c r="I107" s="254"/>
      <c r="J107" s="254"/>
      <c r="K107" s="254"/>
      <c r="L107" s="254"/>
      <c r="M107" s="255"/>
      <c r="N107" s="307"/>
    </row>
    <row r="108" spans="1:14" ht="15" customHeight="1">
      <c r="A108" s="260" t="s">
        <v>130</v>
      </c>
      <c r="B108" s="263" t="s">
        <v>128</v>
      </c>
      <c r="C108" s="126" t="s">
        <v>129</v>
      </c>
      <c r="D108" s="252">
        <v>1</v>
      </c>
      <c r="E108" s="252">
        <v>1</v>
      </c>
      <c r="F108" s="252">
        <v>2</v>
      </c>
      <c r="G108" s="253"/>
      <c r="H108" s="254"/>
      <c r="I108" s="254"/>
      <c r="J108" s="254"/>
      <c r="K108" s="254"/>
      <c r="L108" s="254"/>
      <c r="M108" s="255"/>
      <c r="N108" s="307"/>
    </row>
    <row r="109" spans="1:14" ht="15" customHeight="1" thickBot="1">
      <c r="A109" s="260" t="s">
        <v>137</v>
      </c>
      <c r="B109" s="264" t="s">
        <v>135</v>
      </c>
      <c r="C109" s="234" t="s">
        <v>136</v>
      </c>
      <c r="D109" s="252">
        <v>0</v>
      </c>
      <c r="E109" s="252">
        <v>1</v>
      </c>
      <c r="F109" s="252"/>
      <c r="G109" s="253"/>
      <c r="H109" s="254"/>
      <c r="I109" s="254"/>
      <c r="J109" s="254"/>
      <c r="K109" s="254"/>
      <c r="L109" s="254"/>
      <c r="M109" s="255"/>
      <c r="N109" s="307"/>
    </row>
    <row r="110" spans="1:14" ht="15" customHeight="1" thickBot="1">
      <c r="A110" s="485" t="s">
        <v>167</v>
      </c>
      <c r="B110" s="486"/>
      <c r="C110" s="486"/>
      <c r="D110" s="256">
        <f>SUM(D98:D109)</f>
        <v>24</v>
      </c>
      <c r="E110" s="256">
        <f>SUM(E98:E109)</f>
        <v>27</v>
      </c>
      <c r="F110" s="256">
        <f>SUM(F98:F109)</f>
        <v>50</v>
      </c>
      <c r="G110" s="257">
        <f>SUM(G98:G109)</f>
        <v>5</v>
      </c>
      <c r="H110" s="258"/>
      <c r="I110" s="258">
        <f>SUM(I98:I109)</f>
        <v>1</v>
      </c>
      <c r="J110" s="258"/>
      <c r="K110" s="258">
        <f>SUM(K98:K109)</f>
        <v>1</v>
      </c>
      <c r="L110" s="246"/>
      <c r="M110" s="247"/>
      <c r="N110" s="307"/>
    </row>
    <row r="111" spans="1:14" ht="15.75" thickBot="1">
      <c r="A111" s="226" t="s">
        <v>141</v>
      </c>
      <c r="B111" s="226" t="s">
        <v>142</v>
      </c>
      <c r="C111" s="227" t="s">
        <v>143</v>
      </c>
      <c r="D111" s="228" t="s">
        <v>46</v>
      </c>
      <c r="E111" s="229" t="s">
        <v>47</v>
      </c>
      <c r="F111" s="229" t="s">
        <v>48</v>
      </c>
      <c r="G111" s="229" t="s">
        <v>75</v>
      </c>
      <c r="H111" s="230" t="s">
        <v>49</v>
      </c>
      <c r="I111" s="230" t="s">
        <v>39</v>
      </c>
      <c r="J111" s="230" t="s">
        <v>50</v>
      </c>
      <c r="K111" s="230" t="s">
        <v>51</v>
      </c>
      <c r="L111" s="230" t="s">
        <v>77</v>
      </c>
      <c r="M111" s="230" t="s">
        <v>35</v>
      </c>
      <c r="N111" s="307"/>
    </row>
    <row r="112" spans="1:14" ht="18" thickBot="1">
      <c r="A112" s="396" t="s">
        <v>199</v>
      </c>
      <c r="B112" s="502"/>
      <c r="C112" s="502"/>
      <c r="D112" s="502"/>
      <c r="E112" s="502"/>
      <c r="F112" s="502"/>
      <c r="G112" s="502"/>
      <c r="H112" s="502"/>
      <c r="I112" s="502"/>
      <c r="J112" s="502"/>
      <c r="K112" s="502"/>
      <c r="L112" s="502"/>
      <c r="M112" s="397"/>
      <c r="N112" s="307"/>
    </row>
    <row r="113" spans="1:14">
      <c r="A113" s="260" t="s">
        <v>81</v>
      </c>
      <c r="B113" s="262" t="s">
        <v>79</v>
      </c>
      <c r="C113" s="270" t="s">
        <v>80</v>
      </c>
      <c r="D113" s="220">
        <v>3</v>
      </c>
      <c r="E113" s="220">
        <v>5</v>
      </c>
      <c r="F113" s="220">
        <v>8</v>
      </c>
      <c r="G113" s="215"/>
      <c r="H113" s="201"/>
      <c r="I113" s="201"/>
      <c r="J113" s="201"/>
      <c r="K113" s="201"/>
      <c r="L113" s="201"/>
      <c r="M113" s="204"/>
      <c r="N113" s="307"/>
    </row>
    <row r="114" spans="1:14">
      <c r="A114" s="260" t="s">
        <v>84</v>
      </c>
      <c r="B114" s="263" t="s">
        <v>82</v>
      </c>
      <c r="C114" s="271" t="s">
        <v>83</v>
      </c>
      <c r="D114" s="222">
        <v>1</v>
      </c>
      <c r="E114" s="222">
        <v>0</v>
      </c>
      <c r="F114" s="222">
        <v>1</v>
      </c>
      <c r="G114" s="215"/>
      <c r="H114" s="201"/>
      <c r="I114" s="201"/>
      <c r="J114" s="201"/>
      <c r="K114" s="201"/>
      <c r="L114" s="201"/>
      <c r="M114" s="204"/>
      <c r="N114" s="307"/>
    </row>
    <row r="115" spans="1:14">
      <c r="A115" s="260" t="s">
        <v>87</v>
      </c>
      <c r="B115" s="263" t="s">
        <v>85</v>
      </c>
      <c r="C115" s="271" t="s">
        <v>86</v>
      </c>
      <c r="D115" s="222">
        <v>4</v>
      </c>
      <c r="E115" s="222">
        <v>3</v>
      </c>
      <c r="F115" s="222">
        <v>7</v>
      </c>
      <c r="G115" s="215"/>
      <c r="H115" s="201"/>
      <c r="I115" s="201"/>
      <c r="J115" s="201"/>
      <c r="K115" s="201"/>
      <c r="L115" s="201"/>
      <c r="M115" s="204"/>
      <c r="N115" s="307"/>
    </row>
    <row r="116" spans="1:14">
      <c r="A116" s="260" t="s">
        <v>90</v>
      </c>
      <c r="B116" s="263" t="s">
        <v>88</v>
      </c>
      <c r="C116" s="271" t="s">
        <v>89</v>
      </c>
      <c r="D116" s="222">
        <v>4</v>
      </c>
      <c r="E116" s="222">
        <v>3</v>
      </c>
      <c r="F116" s="222">
        <v>7</v>
      </c>
      <c r="G116" s="215">
        <v>1</v>
      </c>
      <c r="H116" s="201">
        <v>1</v>
      </c>
      <c r="I116" s="201"/>
      <c r="J116" s="201"/>
      <c r="K116" s="201"/>
      <c r="L116" s="201"/>
      <c r="M116" s="204"/>
      <c r="N116" s="307"/>
    </row>
    <row r="117" spans="1:14">
      <c r="A117" s="260" t="s">
        <v>102</v>
      </c>
      <c r="B117" s="263" t="s">
        <v>100</v>
      </c>
      <c r="C117" s="271" t="s">
        <v>101</v>
      </c>
      <c r="D117" s="222">
        <v>2</v>
      </c>
      <c r="E117" s="222">
        <v>3</v>
      </c>
      <c r="F117" s="222">
        <v>5</v>
      </c>
      <c r="G117" s="215"/>
      <c r="H117" s="201"/>
      <c r="I117" s="201"/>
      <c r="J117" s="201"/>
      <c r="K117" s="201"/>
      <c r="L117" s="201"/>
      <c r="M117" s="204"/>
      <c r="N117" s="307"/>
    </row>
    <row r="118" spans="1:14">
      <c r="A118" s="260" t="s">
        <v>105</v>
      </c>
      <c r="B118" s="263" t="s">
        <v>103</v>
      </c>
      <c r="C118" s="271" t="s">
        <v>104</v>
      </c>
      <c r="D118" s="222">
        <v>0</v>
      </c>
      <c r="E118" s="222">
        <v>1</v>
      </c>
      <c r="F118" s="222">
        <v>1</v>
      </c>
      <c r="G118" s="215"/>
      <c r="H118" s="201"/>
      <c r="I118" s="201"/>
      <c r="J118" s="201"/>
      <c r="K118" s="201"/>
      <c r="L118" s="201"/>
      <c r="M118" s="204"/>
      <c r="N118" s="307"/>
    </row>
    <row r="119" spans="1:14">
      <c r="A119" s="260" t="s">
        <v>108</v>
      </c>
      <c r="B119" s="263" t="s">
        <v>79</v>
      </c>
      <c r="C119" s="271" t="s">
        <v>107</v>
      </c>
      <c r="D119" s="222">
        <v>3</v>
      </c>
      <c r="E119" s="222">
        <v>3</v>
      </c>
      <c r="F119" s="222">
        <v>6</v>
      </c>
      <c r="G119" s="215"/>
      <c r="H119" s="201"/>
      <c r="I119" s="201"/>
      <c r="J119" s="201">
        <v>1</v>
      </c>
      <c r="K119" s="201"/>
      <c r="L119" s="201"/>
      <c r="M119" s="204"/>
      <c r="N119" s="307"/>
    </row>
    <row r="120" spans="1:14">
      <c r="A120" s="260" t="s">
        <v>111</v>
      </c>
      <c r="B120" s="263" t="s">
        <v>109</v>
      </c>
      <c r="C120" s="271" t="s">
        <v>131</v>
      </c>
      <c r="D120" s="222">
        <v>3</v>
      </c>
      <c r="E120" s="222">
        <v>5</v>
      </c>
      <c r="F120" s="222">
        <v>8</v>
      </c>
      <c r="G120" s="215"/>
      <c r="H120" s="201"/>
      <c r="I120" s="201"/>
      <c r="J120" s="201"/>
      <c r="K120" s="201"/>
      <c r="L120" s="201"/>
      <c r="M120" s="204"/>
      <c r="N120" s="307"/>
    </row>
    <row r="121" spans="1:14">
      <c r="A121" s="260" t="s">
        <v>122</v>
      </c>
      <c r="B121" s="263" t="s">
        <v>120</v>
      </c>
      <c r="C121" s="271" t="s">
        <v>121</v>
      </c>
      <c r="D121" s="222">
        <v>1</v>
      </c>
      <c r="E121" s="222">
        <v>2</v>
      </c>
      <c r="F121" s="222">
        <v>3</v>
      </c>
      <c r="G121" s="215">
        <v>1</v>
      </c>
      <c r="H121" s="201"/>
      <c r="I121" s="201"/>
      <c r="J121" s="201"/>
      <c r="K121" s="201"/>
      <c r="L121" s="201"/>
      <c r="M121" s="204"/>
      <c r="N121" s="307"/>
    </row>
    <row r="122" spans="1:14">
      <c r="A122" s="260" t="s">
        <v>127</v>
      </c>
      <c r="B122" s="263" t="s">
        <v>79</v>
      </c>
      <c r="C122" s="271" t="s">
        <v>126</v>
      </c>
      <c r="D122" s="222">
        <v>0</v>
      </c>
      <c r="E122" s="222">
        <v>1</v>
      </c>
      <c r="F122" s="222">
        <v>1</v>
      </c>
      <c r="G122" s="215"/>
      <c r="H122" s="201"/>
      <c r="I122" s="201"/>
      <c r="J122" s="201"/>
      <c r="K122" s="201"/>
      <c r="L122" s="201"/>
      <c r="M122" s="204"/>
      <c r="N122" s="307"/>
    </row>
    <row r="123" spans="1:14">
      <c r="A123" s="260" t="s">
        <v>130</v>
      </c>
      <c r="B123" s="263" t="s">
        <v>128</v>
      </c>
      <c r="C123" s="271" t="s">
        <v>129</v>
      </c>
      <c r="D123" s="222">
        <v>4</v>
      </c>
      <c r="E123" s="222">
        <v>4</v>
      </c>
      <c r="F123" s="222">
        <v>8</v>
      </c>
      <c r="G123" s="215">
        <v>1</v>
      </c>
      <c r="H123" s="201"/>
      <c r="I123" s="201"/>
      <c r="J123" s="201"/>
      <c r="K123" s="201"/>
      <c r="L123" s="201"/>
      <c r="M123" s="204"/>
      <c r="N123" s="307"/>
    </row>
    <row r="124" spans="1:14">
      <c r="A124" s="260" t="s">
        <v>132</v>
      </c>
      <c r="B124" s="263" t="s">
        <v>176</v>
      </c>
      <c r="C124" s="271" t="s">
        <v>131</v>
      </c>
      <c r="D124" s="222">
        <v>2</v>
      </c>
      <c r="E124" s="222">
        <v>2</v>
      </c>
      <c r="F124" s="222">
        <v>4</v>
      </c>
      <c r="G124" s="215"/>
      <c r="H124" s="201"/>
      <c r="I124" s="201"/>
      <c r="J124" s="201"/>
      <c r="K124" s="201"/>
      <c r="L124" s="201"/>
      <c r="M124" s="204"/>
      <c r="N124" s="307"/>
    </row>
    <row r="125" spans="1:14" ht="15.75" thickBot="1">
      <c r="A125" s="260" t="s">
        <v>137</v>
      </c>
      <c r="B125" s="264" t="s">
        <v>135</v>
      </c>
      <c r="C125" s="272" t="s">
        <v>136</v>
      </c>
      <c r="D125" s="224">
        <v>0</v>
      </c>
      <c r="E125" s="224">
        <v>1</v>
      </c>
      <c r="F125" s="224">
        <v>1</v>
      </c>
      <c r="G125" s="215"/>
      <c r="H125" s="201"/>
      <c r="I125" s="201"/>
      <c r="J125" s="201"/>
      <c r="K125" s="201"/>
      <c r="L125" s="201"/>
      <c r="M125" s="204"/>
      <c r="N125" s="307"/>
    </row>
    <row r="126" spans="1:14" ht="18" thickBot="1">
      <c r="A126" s="485" t="s">
        <v>167</v>
      </c>
      <c r="B126" s="486"/>
      <c r="C126" s="486"/>
      <c r="D126" s="256">
        <f>SUM(D113:D125)</f>
        <v>27</v>
      </c>
      <c r="E126" s="256">
        <f>SUM(E113:E125)</f>
        <v>33</v>
      </c>
      <c r="F126" s="256">
        <f>SUM(F113:F125)</f>
        <v>60</v>
      </c>
      <c r="G126" s="257">
        <f>SUM(G113:G125)</f>
        <v>3</v>
      </c>
      <c r="H126" s="258">
        <f>SUM(H113:H125)</f>
        <v>1</v>
      </c>
      <c r="I126" s="258"/>
      <c r="J126" s="258">
        <f>SUM(J113:J125)</f>
        <v>1</v>
      </c>
      <c r="K126" s="258"/>
      <c r="L126" s="246"/>
      <c r="M126" s="247"/>
      <c r="N126" s="307"/>
    </row>
    <row r="127" spans="1:14" ht="18" customHeight="1" thickBot="1">
      <c r="A127" s="491" t="s">
        <v>205</v>
      </c>
      <c r="B127" s="454"/>
      <c r="C127" s="454"/>
      <c r="D127" s="454"/>
      <c r="E127" s="454"/>
      <c r="F127" s="454"/>
      <c r="G127" s="454"/>
      <c r="H127" s="454"/>
      <c r="I127" s="454"/>
      <c r="J127" s="454"/>
      <c r="K127" s="454"/>
      <c r="L127" s="454"/>
      <c r="M127" s="455"/>
      <c r="N127" s="307"/>
    </row>
    <row r="128" spans="1:14" ht="18" customHeight="1" thickBot="1">
      <c r="A128" s="226" t="s">
        <v>141</v>
      </c>
      <c r="B128" s="226" t="s">
        <v>142</v>
      </c>
      <c r="C128" s="227" t="s">
        <v>143</v>
      </c>
      <c r="D128" s="228" t="s">
        <v>46</v>
      </c>
      <c r="E128" s="229" t="s">
        <v>47</v>
      </c>
      <c r="F128" s="229" t="s">
        <v>48</v>
      </c>
      <c r="G128" s="229" t="s">
        <v>75</v>
      </c>
      <c r="H128" s="230" t="s">
        <v>49</v>
      </c>
      <c r="I128" s="230" t="s">
        <v>39</v>
      </c>
      <c r="J128" s="230" t="s">
        <v>50</v>
      </c>
      <c r="K128" s="230" t="s">
        <v>51</v>
      </c>
      <c r="L128" s="230" t="s">
        <v>77</v>
      </c>
      <c r="M128" s="230" t="s">
        <v>35</v>
      </c>
      <c r="N128" s="307"/>
    </row>
    <row r="129" spans="1:14" ht="15" customHeight="1">
      <c r="A129" s="259" t="s">
        <v>81</v>
      </c>
      <c r="B129" s="262" t="s">
        <v>79</v>
      </c>
      <c r="C129" s="124" t="s">
        <v>80</v>
      </c>
      <c r="D129" s="284">
        <v>5</v>
      </c>
      <c r="E129" s="288">
        <v>5</v>
      </c>
      <c r="F129" s="288">
        <v>10</v>
      </c>
      <c r="G129" s="286"/>
      <c r="H129" s="280"/>
      <c r="I129" s="280"/>
      <c r="J129" s="280"/>
      <c r="K129" s="280"/>
      <c r="L129" s="280"/>
      <c r="M129" s="281"/>
      <c r="N129" s="307"/>
    </row>
    <row r="130" spans="1:14" ht="15" customHeight="1">
      <c r="A130" s="260" t="s">
        <v>84</v>
      </c>
      <c r="B130" s="263" t="s">
        <v>82</v>
      </c>
      <c r="C130" s="125" t="s">
        <v>83</v>
      </c>
      <c r="D130" s="285">
        <v>2</v>
      </c>
      <c r="E130" s="289">
        <v>2</v>
      </c>
      <c r="F130" s="289">
        <v>4</v>
      </c>
      <c r="G130" s="287"/>
      <c r="H130" s="282"/>
      <c r="I130" s="282"/>
      <c r="J130" s="282"/>
      <c r="K130" s="282">
        <v>1</v>
      </c>
      <c r="L130" s="282"/>
      <c r="M130" s="283"/>
      <c r="N130" s="307"/>
    </row>
    <row r="131" spans="1:14" ht="15" customHeight="1">
      <c r="A131" s="260" t="s">
        <v>87</v>
      </c>
      <c r="B131" s="263" t="s">
        <v>85</v>
      </c>
      <c r="C131" s="125" t="s">
        <v>86</v>
      </c>
      <c r="D131" s="285">
        <v>5</v>
      </c>
      <c r="E131" s="289">
        <v>6</v>
      </c>
      <c r="F131" s="289">
        <v>11</v>
      </c>
      <c r="G131" s="287">
        <v>1</v>
      </c>
      <c r="H131" s="282"/>
      <c r="I131" s="282"/>
      <c r="J131" s="282"/>
      <c r="K131" s="282"/>
      <c r="L131" s="282"/>
      <c r="M131" s="283"/>
      <c r="N131" s="307"/>
    </row>
    <row r="132" spans="1:14" ht="15" customHeight="1">
      <c r="A132" s="260" t="s">
        <v>90</v>
      </c>
      <c r="B132" s="263" t="s">
        <v>88</v>
      </c>
      <c r="C132" s="125" t="s">
        <v>89</v>
      </c>
      <c r="D132" s="285">
        <v>3</v>
      </c>
      <c r="E132" s="289">
        <v>3</v>
      </c>
      <c r="F132" s="289">
        <v>7</v>
      </c>
      <c r="G132" s="287">
        <v>1</v>
      </c>
      <c r="H132" s="282"/>
      <c r="I132" s="282"/>
      <c r="J132" s="282"/>
      <c r="K132" s="282"/>
      <c r="L132" s="282"/>
      <c r="M132" s="283"/>
      <c r="N132" s="307"/>
    </row>
    <row r="133" spans="1:14" ht="15" customHeight="1">
      <c r="A133" s="260" t="s">
        <v>93</v>
      </c>
      <c r="B133" s="263" t="s">
        <v>91</v>
      </c>
      <c r="C133" s="126" t="s">
        <v>92</v>
      </c>
      <c r="D133" s="285">
        <v>3</v>
      </c>
      <c r="E133" s="289">
        <v>3</v>
      </c>
      <c r="F133" s="289">
        <v>6</v>
      </c>
      <c r="G133" s="287"/>
      <c r="H133" s="282"/>
      <c r="I133" s="282"/>
      <c r="J133" s="282"/>
      <c r="K133" s="282"/>
      <c r="L133" s="282"/>
      <c r="M133" s="283"/>
      <c r="N133" s="307"/>
    </row>
    <row r="134" spans="1:14" ht="15" customHeight="1">
      <c r="A134" s="260" t="s">
        <v>108</v>
      </c>
      <c r="B134" s="263" t="s">
        <v>79</v>
      </c>
      <c r="C134" s="125" t="s">
        <v>107</v>
      </c>
      <c r="D134" s="285">
        <v>3</v>
      </c>
      <c r="E134" s="289">
        <v>4</v>
      </c>
      <c r="F134" s="289">
        <v>7</v>
      </c>
      <c r="G134" s="287"/>
      <c r="H134" s="282"/>
      <c r="I134" s="282">
        <v>1</v>
      </c>
      <c r="J134" s="282"/>
      <c r="K134" s="282"/>
      <c r="L134" s="282"/>
      <c r="M134" s="283"/>
      <c r="N134" s="307"/>
    </row>
    <row r="135" spans="1:14" ht="15" customHeight="1">
      <c r="A135" s="260" t="s">
        <v>111</v>
      </c>
      <c r="B135" s="263" t="s">
        <v>109</v>
      </c>
      <c r="C135" s="125" t="s">
        <v>131</v>
      </c>
      <c r="D135" s="285">
        <v>3</v>
      </c>
      <c r="E135" s="289">
        <v>4</v>
      </c>
      <c r="F135" s="289">
        <v>7</v>
      </c>
      <c r="G135" s="287"/>
      <c r="H135" s="282"/>
      <c r="I135" s="282"/>
      <c r="J135" s="282"/>
      <c r="K135" s="282"/>
      <c r="L135" s="282"/>
      <c r="M135" s="283"/>
      <c r="N135" s="307"/>
    </row>
    <row r="136" spans="1:14" ht="15" customHeight="1">
      <c r="A136" s="260" t="s">
        <v>116</v>
      </c>
      <c r="B136" s="267" t="s">
        <v>114</v>
      </c>
      <c r="C136" s="125" t="s">
        <v>115</v>
      </c>
      <c r="D136" s="285">
        <v>2</v>
      </c>
      <c r="E136" s="289">
        <v>1</v>
      </c>
      <c r="F136" s="289">
        <v>3</v>
      </c>
      <c r="G136" s="287"/>
      <c r="H136" s="282"/>
      <c r="I136" s="282"/>
      <c r="J136" s="282"/>
      <c r="K136" s="282"/>
      <c r="L136" s="282"/>
      <c r="M136" s="283"/>
      <c r="N136" s="307"/>
    </row>
    <row r="137" spans="1:14" ht="15" customHeight="1">
      <c r="A137" s="260" t="s">
        <v>122</v>
      </c>
      <c r="B137" s="263" t="s">
        <v>120</v>
      </c>
      <c r="C137" s="125" t="s">
        <v>121</v>
      </c>
      <c r="D137" s="285">
        <v>2</v>
      </c>
      <c r="E137" s="289">
        <v>2</v>
      </c>
      <c r="F137" s="289">
        <v>4</v>
      </c>
      <c r="G137" s="287"/>
      <c r="H137" s="282"/>
      <c r="I137" s="282"/>
      <c r="J137" s="282"/>
      <c r="K137" s="282"/>
      <c r="L137" s="282"/>
      <c r="M137" s="283"/>
      <c r="N137" s="307"/>
    </row>
    <row r="138" spans="1:14" ht="15" customHeight="1">
      <c r="A138" s="260" t="s">
        <v>127</v>
      </c>
      <c r="B138" s="263" t="s">
        <v>79</v>
      </c>
      <c r="C138" s="125" t="s">
        <v>126</v>
      </c>
      <c r="D138" s="285">
        <v>1</v>
      </c>
      <c r="E138" s="289">
        <v>1</v>
      </c>
      <c r="F138" s="289">
        <v>2</v>
      </c>
      <c r="G138" s="287">
        <v>1</v>
      </c>
      <c r="H138" s="282"/>
      <c r="I138" s="282"/>
      <c r="J138" s="282"/>
      <c r="K138" s="282"/>
      <c r="L138" s="282"/>
      <c r="M138" s="283"/>
      <c r="N138" s="307"/>
    </row>
    <row r="139" spans="1:14" ht="15" customHeight="1">
      <c r="A139" s="260" t="s">
        <v>130</v>
      </c>
      <c r="B139" s="263" t="s">
        <v>128</v>
      </c>
      <c r="C139" s="125" t="s">
        <v>129</v>
      </c>
      <c r="D139" s="285">
        <v>2</v>
      </c>
      <c r="E139" s="289">
        <v>2</v>
      </c>
      <c r="F139" s="289">
        <v>4</v>
      </c>
      <c r="G139" s="287"/>
      <c r="H139" s="282"/>
      <c r="I139" s="282"/>
      <c r="J139" s="282"/>
      <c r="K139" s="282"/>
      <c r="L139" s="282"/>
      <c r="M139" s="283"/>
      <c r="N139" s="307"/>
    </row>
    <row r="140" spans="1:14" ht="15" customHeight="1" thickBot="1">
      <c r="A140" s="260" t="s">
        <v>132</v>
      </c>
      <c r="B140" s="263" t="s">
        <v>176</v>
      </c>
      <c r="C140" s="125" t="s">
        <v>131</v>
      </c>
      <c r="D140" s="285">
        <v>1</v>
      </c>
      <c r="E140" s="289">
        <v>1</v>
      </c>
      <c r="F140" s="289">
        <v>2</v>
      </c>
      <c r="G140" s="287"/>
      <c r="H140" s="282"/>
      <c r="I140" s="282"/>
      <c r="J140" s="282"/>
      <c r="K140" s="282"/>
      <c r="L140" s="282"/>
      <c r="M140" s="283"/>
      <c r="N140" s="307"/>
    </row>
    <row r="141" spans="1:14" ht="18" thickBot="1">
      <c r="A141" s="485" t="s">
        <v>167</v>
      </c>
      <c r="B141" s="486"/>
      <c r="C141" s="486"/>
      <c r="D141" s="256">
        <f>SUM(D130:D140)</f>
        <v>27</v>
      </c>
      <c r="E141" s="256">
        <f>SUM(E130:E140)</f>
        <v>29</v>
      </c>
      <c r="F141" s="256">
        <f>SUM(F130:F140)</f>
        <v>57</v>
      </c>
      <c r="G141" s="257">
        <f>SUM(G130:G140)</f>
        <v>3</v>
      </c>
      <c r="H141" s="258">
        <f>SUM(H130:H140)</f>
        <v>0</v>
      </c>
      <c r="I141" s="258">
        <v>1</v>
      </c>
      <c r="J141" s="258"/>
      <c r="K141" s="258">
        <v>1</v>
      </c>
      <c r="L141" s="246"/>
      <c r="M141" s="247"/>
      <c r="N141" s="307"/>
    </row>
    <row r="142" spans="1:14" ht="18" thickBot="1">
      <c r="A142" s="492" t="s">
        <v>216</v>
      </c>
      <c r="B142" s="493"/>
      <c r="C142" s="493"/>
      <c r="D142" s="493"/>
      <c r="E142" s="493"/>
      <c r="F142" s="493"/>
      <c r="G142" s="493"/>
      <c r="H142" s="493"/>
      <c r="I142" s="493"/>
      <c r="J142" s="493"/>
      <c r="K142" s="493"/>
      <c r="L142" s="493"/>
      <c r="M142" s="494"/>
      <c r="N142" s="307"/>
    </row>
    <row r="143" spans="1:14" ht="15.75" thickBot="1">
      <c r="A143" s="129" t="s">
        <v>141</v>
      </c>
      <c r="B143" s="129" t="s">
        <v>142</v>
      </c>
      <c r="C143" s="128" t="s">
        <v>143</v>
      </c>
      <c r="D143" s="105" t="s">
        <v>46</v>
      </c>
      <c r="E143" s="15" t="s">
        <v>47</v>
      </c>
      <c r="F143" s="15" t="s">
        <v>48</v>
      </c>
      <c r="G143" s="15" t="s">
        <v>75</v>
      </c>
      <c r="H143" s="14" t="s">
        <v>49</v>
      </c>
      <c r="I143" s="14" t="s">
        <v>39</v>
      </c>
      <c r="J143" s="14" t="s">
        <v>50</v>
      </c>
      <c r="K143" s="14" t="s">
        <v>51</v>
      </c>
      <c r="L143" s="14" t="s">
        <v>77</v>
      </c>
      <c r="M143" s="14" t="s">
        <v>35</v>
      </c>
      <c r="N143" s="307"/>
    </row>
    <row r="144" spans="1:14">
      <c r="A144" s="259" t="s">
        <v>81</v>
      </c>
      <c r="B144" s="262" t="s">
        <v>79</v>
      </c>
      <c r="C144" s="124" t="s">
        <v>80</v>
      </c>
      <c r="D144" s="284">
        <v>2</v>
      </c>
      <c r="E144" s="288">
        <v>1</v>
      </c>
      <c r="F144" s="288">
        <v>3</v>
      </c>
      <c r="G144" s="286"/>
      <c r="H144" s="280"/>
      <c r="I144" s="280"/>
      <c r="J144" s="280"/>
      <c r="K144" s="280"/>
      <c r="L144" s="280"/>
      <c r="M144" s="281"/>
      <c r="N144" s="307"/>
    </row>
    <row r="145" spans="1:14">
      <c r="A145" s="260" t="s">
        <v>84</v>
      </c>
      <c r="B145" s="263" t="s">
        <v>82</v>
      </c>
      <c r="C145" s="125" t="s">
        <v>83</v>
      </c>
      <c r="D145" s="285">
        <v>3</v>
      </c>
      <c r="E145" s="289">
        <v>3</v>
      </c>
      <c r="F145" s="289">
        <v>6</v>
      </c>
      <c r="G145" s="287"/>
      <c r="H145" s="282"/>
      <c r="I145" s="282"/>
      <c r="J145" s="282"/>
      <c r="K145" s="282"/>
      <c r="L145" s="282"/>
      <c r="M145" s="283"/>
      <c r="N145" s="307"/>
    </row>
    <row r="146" spans="1:14">
      <c r="A146" s="260" t="s">
        <v>87</v>
      </c>
      <c r="B146" s="263" t="s">
        <v>85</v>
      </c>
      <c r="C146" s="125" t="s">
        <v>86</v>
      </c>
      <c r="D146" s="285">
        <v>4</v>
      </c>
      <c r="E146" s="289">
        <v>4</v>
      </c>
      <c r="F146" s="289">
        <v>8</v>
      </c>
      <c r="G146" s="287">
        <v>1</v>
      </c>
      <c r="H146" s="282"/>
      <c r="I146" s="282"/>
      <c r="J146" s="282"/>
      <c r="K146" s="282">
        <v>1</v>
      </c>
      <c r="L146" s="282"/>
      <c r="M146" s="283"/>
      <c r="N146" s="307"/>
    </row>
    <row r="147" spans="1:14">
      <c r="A147" s="260" t="s">
        <v>90</v>
      </c>
      <c r="B147" s="263" t="s">
        <v>88</v>
      </c>
      <c r="C147" s="125" t="s">
        <v>89</v>
      </c>
      <c r="D147" s="285">
        <v>4</v>
      </c>
      <c r="E147" s="289">
        <v>3</v>
      </c>
      <c r="F147" s="289">
        <v>7</v>
      </c>
      <c r="G147" s="287">
        <v>1</v>
      </c>
      <c r="H147" s="282"/>
      <c r="I147" s="282"/>
      <c r="J147" s="282"/>
      <c r="K147" s="282"/>
      <c r="L147" s="282"/>
      <c r="M147" s="283"/>
      <c r="N147" s="307"/>
    </row>
    <row r="148" spans="1:14">
      <c r="A148" s="260" t="s">
        <v>93</v>
      </c>
      <c r="B148" s="263" t="s">
        <v>91</v>
      </c>
      <c r="C148" s="126" t="s">
        <v>92</v>
      </c>
      <c r="D148" s="285">
        <v>2</v>
      </c>
      <c r="E148" s="289">
        <v>1</v>
      </c>
      <c r="F148" s="289">
        <v>3</v>
      </c>
      <c r="G148" s="287"/>
      <c r="H148" s="282"/>
      <c r="I148" s="282"/>
      <c r="J148" s="282"/>
      <c r="K148" s="282"/>
      <c r="L148" s="282"/>
      <c r="M148" s="283"/>
      <c r="N148" s="307"/>
    </row>
    <row r="149" spans="1:14">
      <c r="A149" s="260" t="s">
        <v>108</v>
      </c>
      <c r="B149" s="263" t="s">
        <v>79</v>
      </c>
      <c r="C149" s="125" t="s">
        <v>107</v>
      </c>
      <c r="D149" s="285">
        <v>4</v>
      </c>
      <c r="E149" s="289">
        <v>1</v>
      </c>
      <c r="F149" s="289">
        <v>1</v>
      </c>
      <c r="G149" s="287"/>
      <c r="H149" s="282"/>
      <c r="I149" s="282"/>
      <c r="J149" s="282"/>
      <c r="K149" s="282"/>
      <c r="L149" s="282"/>
      <c r="M149" s="283"/>
      <c r="N149" s="307"/>
    </row>
    <row r="150" spans="1:14">
      <c r="A150" s="260" t="s">
        <v>111</v>
      </c>
      <c r="B150" s="263" t="s">
        <v>109</v>
      </c>
      <c r="C150" s="125" t="s">
        <v>131</v>
      </c>
      <c r="D150" s="285">
        <v>1</v>
      </c>
      <c r="E150" s="289">
        <v>1</v>
      </c>
      <c r="F150" s="289">
        <v>1</v>
      </c>
      <c r="G150" s="287">
        <v>1</v>
      </c>
      <c r="H150" s="282"/>
      <c r="I150" s="282"/>
      <c r="J150" s="282"/>
      <c r="K150" s="282"/>
      <c r="L150" s="282"/>
      <c r="M150" s="283"/>
      <c r="N150" s="307"/>
    </row>
    <row r="151" spans="1:14">
      <c r="A151" s="260" t="s">
        <v>116</v>
      </c>
      <c r="B151" s="267" t="s">
        <v>114</v>
      </c>
      <c r="C151" s="125" t="s">
        <v>115</v>
      </c>
      <c r="D151" s="285">
        <v>2</v>
      </c>
      <c r="E151" s="289">
        <v>2</v>
      </c>
      <c r="F151" s="289">
        <v>4</v>
      </c>
      <c r="G151" s="287"/>
      <c r="H151" s="282"/>
      <c r="I151" s="282"/>
      <c r="J151" s="282"/>
      <c r="K151" s="282"/>
      <c r="L151" s="282"/>
      <c r="M151" s="283"/>
      <c r="N151" s="307"/>
    </row>
    <row r="152" spans="1:14">
      <c r="A152" s="260" t="s">
        <v>122</v>
      </c>
      <c r="B152" s="263" t="s">
        <v>120</v>
      </c>
      <c r="C152" s="125" t="s">
        <v>121</v>
      </c>
      <c r="D152" s="285">
        <v>1</v>
      </c>
      <c r="E152" s="289">
        <v>1</v>
      </c>
      <c r="F152" s="289">
        <v>2</v>
      </c>
      <c r="G152" s="287">
        <v>1</v>
      </c>
      <c r="H152" s="282"/>
      <c r="I152" s="282"/>
      <c r="J152" s="282">
        <v>1</v>
      </c>
      <c r="K152" s="282"/>
      <c r="L152" s="282"/>
      <c r="M152" s="283"/>
      <c r="N152" s="307"/>
    </row>
    <row r="153" spans="1:14">
      <c r="A153" s="260" t="s">
        <v>130</v>
      </c>
      <c r="B153" s="263" t="s">
        <v>128</v>
      </c>
      <c r="C153" s="125" t="s">
        <v>129</v>
      </c>
      <c r="D153" s="285">
        <v>2</v>
      </c>
      <c r="E153" s="289">
        <v>1</v>
      </c>
      <c r="F153" s="289">
        <v>3</v>
      </c>
      <c r="G153" s="287">
        <v>1</v>
      </c>
      <c r="H153" s="282">
        <v>1</v>
      </c>
      <c r="I153" s="282"/>
      <c r="J153" s="282"/>
      <c r="K153" s="282"/>
      <c r="L153" s="282"/>
      <c r="M153" s="283"/>
      <c r="N153" s="307"/>
    </row>
    <row r="154" spans="1:14" ht="15.75" thickBot="1">
      <c r="A154" s="260" t="s">
        <v>132</v>
      </c>
      <c r="B154" s="263" t="s">
        <v>176</v>
      </c>
      <c r="C154" s="125" t="s">
        <v>131</v>
      </c>
      <c r="D154" s="285">
        <v>2</v>
      </c>
      <c r="E154" s="289">
        <v>2</v>
      </c>
      <c r="F154" s="289">
        <v>4</v>
      </c>
      <c r="G154" s="287"/>
      <c r="H154" s="282"/>
      <c r="I154" s="282"/>
      <c r="J154" s="282"/>
      <c r="K154" s="282"/>
      <c r="L154" s="282"/>
      <c r="M154" s="283"/>
      <c r="N154" s="307"/>
    </row>
    <row r="155" spans="1:14" ht="18" customHeight="1" thickBot="1">
      <c r="A155" s="485" t="s">
        <v>167</v>
      </c>
      <c r="B155" s="486"/>
      <c r="C155" s="486"/>
      <c r="D155" s="256">
        <f>SUM(D144:D154)</f>
        <v>27</v>
      </c>
      <c r="E155" s="256">
        <f>SUM(E144:E154)</f>
        <v>20</v>
      </c>
      <c r="F155" s="256">
        <f>SUM(F144:F154)</f>
        <v>42</v>
      </c>
      <c r="G155" s="257">
        <f>SUM(G144:G154)</f>
        <v>5</v>
      </c>
      <c r="H155" s="258">
        <f>SUM(H144:H154)</f>
        <v>1</v>
      </c>
      <c r="I155" s="258"/>
      <c r="J155" s="258">
        <f>SUM(J144:J154)</f>
        <v>1</v>
      </c>
      <c r="K155" s="258">
        <f>SUM(K144:K154)</f>
        <v>1</v>
      </c>
      <c r="L155" s="246"/>
      <c r="M155" s="247"/>
      <c r="N155" s="307"/>
    </row>
    <row r="156" spans="1:14" ht="18" customHeight="1" thickBot="1">
      <c r="A156" s="503" t="s">
        <v>217</v>
      </c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5"/>
      <c r="N156" s="307"/>
    </row>
    <row r="157" spans="1:14" ht="18" customHeight="1" thickBot="1">
      <c r="A157" s="129" t="s">
        <v>141</v>
      </c>
      <c r="B157" s="129" t="s">
        <v>142</v>
      </c>
      <c r="C157" s="128" t="s">
        <v>143</v>
      </c>
      <c r="D157" s="105" t="s">
        <v>46</v>
      </c>
      <c r="E157" s="15" t="s">
        <v>47</v>
      </c>
      <c r="F157" s="15" t="s">
        <v>48</v>
      </c>
      <c r="G157" s="15" t="s">
        <v>75</v>
      </c>
      <c r="H157" s="14" t="s">
        <v>49</v>
      </c>
      <c r="I157" s="14" t="s">
        <v>39</v>
      </c>
      <c r="J157" s="14" t="s">
        <v>50</v>
      </c>
      <c r="K157" s="14" t="s">
        <v>51</v>
      </c>
      <c r="L157" s="14" t="s">
        <v>77</v>
      </c>
      <c r="M157" s="14" t="s">
        <v>35</v>
      </c>
      <c r="N157" s="307"/>
    </row>
    <row r="158" spans="1:14">
      <c r="A158" s="259" t="s">
        <v>81</v>
      </c>
      <c r="B158" s="262" t="s">
        <v>79</v>
      </c>
      <c r="C158" s="124" t="s">
        <v>80</v>
      </c>
      <c r="D158" s="288">
        <v>4</v>
      </c>
      <c r="E158" s="303">
        <v>4</v>
      </c>
      <c r="F158" s="288">
        <v>8</v>
      </c>
      <c r="G158" s="286"/>
      <c r="H158" s="280"/>
      <c r="I158" s="280"/>
      <c r="J158" s="280"/>
      <c r="K158" s="280"/>
      <c r="L158" s="280"/>
      <c r="M158" s="281"/>
      <c r="N158" s="307"/>
    </row>
    <row r="159" spans="1:14">
      <c r="A159" s="260" t="s">
        <v>84</v>
      </c>
      <c r="B159" s="263" t="s">
        <v>82</v>
      </c>
      <c r="C159" s="125" t="s">
        <v>83</v>
      </c>
      <c r="D159" s="289">
        <v>0</v>
      </c>
      <c r="E159" s="304">
        <v>1</v>
      </c>
      <c r="F159" s="289">
        <v>1</v>
      </c>
      <c r="G159" s="287"/>
      <c r="H159" s="282"/>
      <c r="I159" s="282">
        <v>1</v>
      </c>
      <c r="J159" s="282"/>
      <c r="K159" s="282"/>
      <c r="L159" s="282"/>
      <c r="M159" s="283"/>
      <c r="N159" s="307"/>
    </row>
    <row r="160" spans="1:14">
      <c r="A160" s="260" t="s">
        <v>87</v>
      </c>
      <c r="B160" s="263" t="s">
        <v>85</v>
      </c>
      <c r="C160" s="125" t="s">
        <v>86</v>
      </c>
      <c r="D160" s="289">
        <v>3</v>
      </c>
      <c r="E160" s="304">
        <v>3</v>
      </c>
      <c r="F160" s="289">
        <v>6</v>
      </c>
      <c r="G160" s="287">
        <v>1</v>
      </c>
      <c r="H160" s="282"/>
      <c r="I160" s="282"/>
      <c r="J160" s="282"/>
      <c r="K160" s="282">
        <v>1</v>
      </c>
      <c r="L160" s="282"/>
      <c r="M160" s="283"/>
      <c r="N160" s="307"/>
    </row>
    <row r="161" spans="1:14">
      <c r="A161" s="260" t="s">
        <v>90</v>
      </c>
      <c r="B161" s="263" t="s">
        <v>88</v>
      </c>
      <c r="C161" s="125" t="s">
        <v>89</v>
      </c>
      <c r="D161" s="289">
        <v>3</v>
      </c>
      <c r="E161" s="304">
        <v>3</v>
      </c>
      <c r="F161" s="289">
        <v>6</v>
      </c>
      <c r="G161" s="287"/>
      <c r="H161" s="282"/>
      <c r="I161" s="282"/>
      <c r="J161" s="282">
        <v>1</v>
      </c>
      <c r="K161" s="282"/>
      <c r="L161" s="282"/>
      <c r="M161" s="283"/>
      <c r="N161" s="307"/>
    </row>
    <row r="162" spans="1:14">
      <c r="A162" s="260" t="s">
        <v>93</v>
      </c>
      <c r="B162" s="263" t="s">
        <v>91</v>
      </c>
      <c r="C162" s="126" t="s">
        <v>92</v>
      </c>
      <c r="D162" s="289">
        <v>0</v>
      </c>
      <c r="E162" s="304">
        <v>1</v>
      </c>
      <c r="F162" s="289">
        <v>1</v>
      </c>
      <c r="G162" s="287"/>
      <c r="H162" s="282"/>
      <c r="I162" s="282"/>
      <c r="J162" s="282"/>
      <c r="K162" s="282"/>
      <c r="L162" s="282"/>
      <c r="M162" s="283"/>
      <c r="N162" s="307"/>
    </row>
    <row r="163" spans="1:14">
      <c r="A163" s="260" t="s">
        <v>108</v>
      </c>
      <c r="B163" s="263" t="s">
        <v>79</v>
      </c>
      <c r="C163" s="125" t="s">
        <v>107</v>
      </c>
      <c r="D163" s="289">
        <v>5</v>
      </c>
      <c r="E163" s="304">
        <v>6</v>
      </c>
      <c r="F163" s="289">
        <v>11</v>
      </c>
      <c r="G163" s="287">
        <v>1</v>
      </c>
      <c r="H163" s="282"/>
      <c r="I163" s="282"/>
      <c r="J163" s="282"/>
      <c r="K163" s="282"/>
      <c r="L163" s="282"/>
      <c r="M163" s="283"/>
      <c r="N163" s="307"/>
    </row>
    <row r="164" spans="1:14">
      <c r="A164" s="260" t="s">
        <v>111</v>
      </c>
      <c r="B164" s="263" t="s">
        <v>109</v>
      </c>
      <c r="C164" s="125" t="s">
        <v>131</v>
      </c>
      <c r="D164" s="289">
        <v>4</v>
      </c>
      <c r="E164" s="304">
        <v>4</v>
      </c>
      <c r="F164" s="289">
        <v>8</v>
      </c>
      <c r="G164" s="287"/>
      <c r="H164" s="282"/>
      <c r="I164" s="282"/>
      <c r="J164" s="282"/>
      <c r="K164" s="282"/>
      <c r="L164" s="282"/>
      <c r="M164" s="283"/>
      <c r="N164" s="307"/>
    </row>
    <row r="165" spans="1:14">
      <c r="A165" s="260" t="s">
        <v>116</v>
      </c>
      <c r="B165" s="267" t="s">
        <v>114</v>
      </c>
      <c r="C165" s="125" t="s">
        <v>115</v>
      </c>
      <c r="D165" s="289">
        <v>3</v>
      </c>
      <c r="E165" s="304">
        <v>3</v>
      </c>
      <c r="F165" s="289">
        <v>6</v>
      </c>
      <c r="G165" s="287"/>
      <c r="H165" s="282"/>
      <c r="I165" s="282"/>
      <c r="J165" s="282"/>
      <c r="K165" s="282"/>
      <c r="L165" s="282"/>
      <c r="M165" s="283"/>
      <c r="N165" s="307"/>
    </row>
    <row r="166" spans="1:14">
      <c r="A166" s="260" t="s">
        <v>122</v>
      </c>
      <c r="B166" s="263" t="s">
        <v>120</v>
      </c>
      <c r="C166" s="125" t="s">
        <v>121</v>
      </c>
      <c r="D166" s="289">
        <v>3</v>
      </c>
      <c r="E166" s="304">
        <v>1</v>
      </c>
      <c r="F166" s="289">
        <v>4</v>
      </c>
      <c r="G166" s="287">
        <v>1</v>
      </c>
      <c r="H166" s="282"/>
      <c r="I166" s="282"/>
      <c r="J166" s="282"/>
      <c r="K166" s="282"/>
      <c r="L166" s="282"/>
      <c r="M166" s="283"/>
      <c r="N166" s="307"/>
    </row>
    <row r="167" spans="1:14">
      <c r="A167" s="260" t="s">
        <v>125</v>
      </c>
      <c r="B167" s="267" t="s">
        <v>123</v>
      </c>
      <c r="C167" s="125" t="s">
        <v>124</v>
      </c>
      <c r="D167" s="302">
        <v>0</v>
      </c>
      <c r="E167" s="305">
        <v>1</v>
      </c>
      <c r="F167" s="302">
        <v>1</v>
      </c>
      <c r="G167" s="131"/>
      <c r="H167" s="19"/>
      <c r="I167" s="19"/>
      <c r="J167" s="19"/>
      <c r="K167" s="19"/>
      <c r="L167" s="19"/>
      <c r="M167" s="27"/>
      <c r="N167" s="307"/>
    </row>
    <row r="168" spans="1:14">
      <c r="A168" s="260" t="s">
        <v>130</v>
      </c>
      <c r="B168" s="263" t="s">
        <v>128</v>
      </c>
      <c r="C168" s="125" t="s">
        <v>129</v>
      </c>
      <c r="D168" s="289">
        <v>2</v>
      </c>
      <c r="E168" s="304">
        <v>2</v>
      </c>
      <c r="F168" s="289">
        <v>4</v>
      </c>
      <c r="G168" s="287"/>
      <c r="H168" s="282"/>
      <c r="I168" s="282"/>
      <c r="J168" s="282"/>
      <c r="K168" s="282"/>
      <c r="L168" s="282"/>
      <c r="M168" s="283"/>
      <c r="N168" s="307"/>
    </row>
    <row r="169" spans="1:14" ht="15.75" thickBot="1">
      <c r="A169" s="261" t="s">
        <v>134</v>
      </c>
      <c r="B169" s="263" t="s">
        <v>133</v>
      </c>
      <c r="C169" s="125" t="s">
        <v>95</v>
      </c>
      <c r="D169" s="306">
        <v>0</v>
      </c>
      <c r="E169" s="304">
        <v>1</v>
      </c>
      <c r="F169" s="289">
        <v>1</v>
      </c>
      <c r="G169" s="287"/>
      <c r="H169" s="282"/>
      <c r="I169" s="282"/>
      <c r="J169" s="282"/>
      <c r="K169" s="282"/>
      <c r="L169" s="282"/>
      <c r="M169" s="283"/>
      <c r="N169" s="307"/>
    </row>
    <row r="170" spans="1:14" ht="18" customHeight="1" thickBot="1">
      <c r="A170" s="485" t="s">
        <v>167</v>
      </c>
      <c r="B170" s="486"/>
      <c r="C170" s="486"/>
      <c r="D170" s="256">
        <f>SUM(D158:D169)</f>
        <v>27</v>
      </c>
      <c r="E170" s="256">
        <f>SUM(E158:E169)</f>
        <v>30</v>
      </c>
      <c r="F170" s="256">
        <f>SUM(F158:F169)</f>
        <v>57</v>
      </c>
      <c r="G170" s="257">
        <f>SUM(G158:G169)</f>
        <v>3</v>
      </c>
      <c r="H170" s="258"/>
      <c r="I170" s="258">
        <f>SUM(I158:I169)</f>
        <v>1</v>
      </c>
      <c r="J170" s="258">
        <f>SUM(J158:J169)</f>
        <v>1</v>
      </c>
      <c r="K170" s="258">
        <f>SUM(K158:K169)</f>
        <v>1</v>
      </c>
      <c r="L170" s="246"/>
      <c r="M170" s="247"/>
      <c r="N170" s="307"/>
    </row>
    <row r="171" spans="1:14" ht="15.75" thickBot="1">
      <c r="A171" s="472"/>
      <c r="B171" s="473"/>
      <c r="C171" s="473"/>
      <c r="D171" s="473"/>
      <c r="E171" s="473"/>
      <c r="F171" s="473"/>
      <c r="G171" s="473"/>
      <c r="H171" s="473"/>
      <c r="I171" s="473"/>
      <c r="J171" s="473"/>
      <c r="K171" s="473"/>
      <c r="L171" s="473"/>
      <c r="M171" s="474"/>
      <c r="N171" s="308"/>
    </row>
  </sheetData>
  <mergeCells count="22">
    <mergeCell ref="A26:C26"/>
    <mergeCell ref="A112:M112"/>
    <mergeCell ref="A141:C141"/>
    <mergeCell ref="A155:C155"/>
    <mergeCell ref="A170:C170"/>
    <mergeCell ref="A156:M156"/>
    <mergeCell ref="A171:M171"/>
    <mergeCell ref="A1:N1"/>
    <mergeCell ref="A27:M27"/>
    <mergeCell ref="A43:M43"/>
    <mergeCell ref="A59:M59"/>
    <mergeCell ref="A75:M75"/>
    <mergeCell ref="A74:C74"/>
    <mergeCell ref="A2:N2"/>
    <mergeCell ref="A97:M97"/>
    <mergeCell ref="A127:M127"/>
    <mergeCell ref="A142:M142"/>
    <mergeCell ref="A42:C42"/>
    <mergeCell ref="A58:C58"/>
    <mergeCell ref="A95:C95"/>
    <mergeCell ref="A110:C110"/>
    <mergeCell ref="A126:C126"/>
  </mergeCells>
  <pageMargins left="0.7" right="0.7" top="0.75" bottom="0.75" header="0.3" footer="0.3"/>
  <pageSetup scale="88" orientation="portrait" r:id="rId1"/>
  <colBreaks count="1" manualBreakCount="1">
    <brk id="14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Offense</vt:lpstr>
      <vt:lpstr>Indy. Off.</vt:lpstr>
      <vt:lpstr>Team Defense</vt:lpstr>
      <vt:lpstr>Indy. Def.</vt:lpstr>
    </vt:vector>
  </TitlesOfParts>
  <Company>Concordia University - St. Paul, MN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Klingbeil</dc:creator>
  <cp:lastModifiedBy>Tim Klingbeil</cp:lastModifiedBy>
  <cp:lastPrinted>2011-11-02T17:04:43Z</cp:lastPrinted>
  <dcterms:created xsi:type="dcterms:W3CDTF">2009-09-06T22:53:28Z</dcterms:created>
  <dcterms:modified xsi:type="dcterms:W3CDTF">2011-11-02T23:20:17Z</dcterms:modified>
</cp:coreProperties>
</file>