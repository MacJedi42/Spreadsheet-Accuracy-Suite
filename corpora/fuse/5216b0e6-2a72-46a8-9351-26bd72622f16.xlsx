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748" windowWidth="9672" windowHeight="5472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H9" i="6" l="1"/>
  <c r="H7" i="6"/>
  <c r="H6" i="6"/>
  <c r="F9" i="6"/>
  <c r="E9" i="6"/>
  <c r="E8" i="6"/>
  <c r="E7" i="6"/>
  <c r="E6" i="6"/>
  <c r="D9" i="6"/>
  <c r="D7" i="6"/>
  <c r="D6" i="6"/>
  <c r="C9" i="6"/>
  <c r="C8" i="6"/>
  <c r="C7" i="6"/>
  <c r="C6" i="6"/>
  <c r="B9" i="6"/>
  <c r="B7" i="6"/>
  <c r="B6" i="6"/>
  <c r="R6" i="8"/>
  <c r="R5" i="8"/>
  <c r="R4" i="8"/>
  <c r="Q6" i="8"/>
  <c r="Q5" i="8"/>
  <c r="Q4" i="8"/>
  <c r="O6" i="8"/>
  <c r="O5" i="8"/>
  <c r="O4" i="8"/>
  <c r="J6" i="8"/>
  <c r="I6" i="8"/>
  <c r="I5" i="8"/>
  <c r="I4" i="8"/>
  <c r="H6" i="8"/>
  <c r="H5" i="8"/>
  <c r="H4" i="8"/>
  <c r="F6" i="8"/>
  <c r="F5" i="8"/>
  <c r="F4" i="8"/>
  <c r="E6" i="8"/>
  <c r="E5" i="8"/>
  <c r="E4" i="8"/>
  <c r="D6" i="8"/>
  <c r="D5" i="8"/>
  <c r="D4" i="8"/>
  <c r="S1104" i="7"/>
  <c r="T1104" i="7"/>
  <c r="U1104" i="7"/>
  <c r="V1104" i="7"/>
  <c r="W1104" i="7"/>
  <c r="X1104" i="7"/>
  <c r="Y1104" i="7"/>
  <c r="S1105" i="7"/>
  <c r="T1105" i="7"/>
  <c r="U1105" i="7"/>
  <c r="V1105" i="7"/>
  <c r="W1105" i="7"/>
  <c r="X1105" i="7"/>
  <c r="Y1105" i="7"/>
  <c r="S1106" i="7"/>
  <c r="T1106" i="7"/>
  <c r="U1106" i="7"/>
  <c r="V1106" i="7"/>
  <c r="W1106" i="7"/>
  <c r="X1106" i="7"/>
  <c r="Y1106" i="7"/>
  <c r="S1107" i="7"/>
  <c r="T1107" i="7"/>
  <c r="U1107" i="7"/>
  <c r="V1107" i="7"/>
  <c r="W1107" i="7"/>
  <c r="X1107" i="7"/>
  <c r="Y1107" i="7"/>
  <c r="S1108" i="7"/>
  <c r="T1108" i="7"/>
  <c r="U1108" i="7"/>
  <c r="V1108" i="7"/>
  <c r="W1108" i="7"/>
  <c r="X1108" i="7"/>
  <c r="Y1108" i="7"/>
  <c r="S1109" i="7"/>
  <c r="T1109" i="7"/>
  <c r="U1109" i="7"/>
  <c r="V1109" i="7"/>
  <c r="W1109" i="7"/>
  <c r="X1109" i="7"/>
  <c r="Y1109" i="7"/>
  <c r="S1110" i="7"/>
  <c r="T1110" i="7"/>
  <c r="U1110" i="7"/>
  <c r="V1110" i="7"/>
  <c r="W1110" i="7"/>
  <c r="X1110" i="7"/>
  <c r="Y1110" i="7"/>
  <c r="S1111" i="7"/>
  <c r="T1111" i="7"/>
  <c r="U1111" i="7"/>
  <c r="V1111" i="7"/>
  <c r="W1111" i="7"/>
  <c r="X1111" i="7"/>
  <c r="Y1111" i="7"/>
  <c r="S1112" i="7"/>
  <c r="T1112" i="7"/>
  <c r="U1112" i="7"/>
  <c r="V1112" i="7"/>
  <c r="W1112" i="7"/>
  <c r="X1112" i="7"/>
  <c r="Y1112" i="7"/>
  <c r="S1113" i="7"/>
  <c r="T1113" i="7"/>
  <c r="U1113" i="7"/>
  <c r="V1113" i="7"/>
  <c r="W1113" i="7"/>
  <c r="X1113" i="7"/>
  <c r="Y1113" i="7"/>
  <c r="S1114" i="7"/>
  <c r="T1114" i="7"/>
  <c r="U1114" i="7"/>
  <c r="V1114" i="7"/>
  <c r="W1114" i="7"/>
  <c r="X1114" i="7"/>
  <c r="Y1114" i="7"/>
  <c r="S1115" i="7"/>
  <c r="T1115" i="7"/>
  <c r="U1115" i="7"/>
  <c r="V1115" i="7"/>
  <c r="W1115" i="7"/>
  <c r="X1115" i="7"/>
  <c r="Y1115" i="7"/>
  <c r="S1116" i="7"/>
  <c r="T1116" i="7"/>
  <c r="U1116" i="7"/>
  <c r="V1116" i="7"/>
  <c r="W1116" i="7"/>
  <c r="X1116" i="7"/>
  <c r="Y1116" i="7"/>
  <c r="S1117" i="7"/>
  <c r="T1117" i="7"/>
  <c r="U1117" i="7"/>
  <c r="V1117" i="7"/>
  <c r="W1117" i="7"/>
  <c r="X1117" i="7"/>
  <c r="Y1117" i="7"/>
  <c r="S1118" i="7"/>
  <c r="T1118" i="7"/>
  <c r="U1118" i="7"/>
  <c r="V1118" i="7"/>
  <c r="W1118" i="7"/>
  <c r="X1118" i="7"/>
  <c r="Y1118" i="7"/>
  <c r="S1119" i="7"/>
  <c r="T1119" i="7"/>
  <c r="U1119" i="7"/>
  <c r="V1119" i="7"/>
  <c r="W1119" i="7"/>
  <c r="X1119" i="7"/>
  <c r="Y1119" i="7"/>
  <c r="S1120" i="7"/>
  <c r="T1120" i="7"/>
  <c r="U1120" i="7"/>
  <c r="V1120" i="7"/>
  <c r="W1120" i="7"/>
  <c r="X1120" i="7"/>
  <c r="Y1120" i="7"/>
  <c r="S1121" i="7"/>
  <c r="T1121" i="7"/>
  <c r="U1121" i="7"/>
  <c r="V1121" i="7"/>
  <c r="W1121" i="7"/>
  <c r="X1121" i="7"/>
  <c r="Y1121" i="7"/>
  <c r="S1122" i="7"/>
  <c r="T1122" i="7"/>
  <c r="U1122" i="7"/>
  <c r="V1122" i="7"/>
  <c r="W1122" i="7"/>
  <c r="X1122" i="7"/>
  <c r="Y1122" i="7"/>
  <c r="B1104" i="7"/>
  <c r="C1104" i="7"/>
  <c r="E1104" i="7"/>
  <c r="F1104" i="7"/>
  <c r="G1104" i="7"/>
  <c r="H1104" i="7"/>
  <c r="J1104" i="7"/>
  <c r="K1104" i="7"/>
  <c r="L1104" i="7"/>
  <c r="M1104" i="7"/>
  <c r="N1104" i="7"/>
  <c r="O1104" i="7"/>
  <c r="P1104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B1105" i="7"/>
  <c r="C1105" i="7"/>
  <c r="E1105" i="7"/>
  <c r="F1105" i="7"/>
  <c r="G1105" i="7"/>
  <c r="H1105" i="7"/>
  <c r="J1105" i="7"/>
  <c r="K1105" i="7"/>
  <c r="L1105" i="7"/>
  <c r="M1105" i="7"/>
  <c r="N1105" i="7"/>
  <c r="O1105" i="7"/>
  <c r="P1105" i="7"/>
  <c r="B1106" i="7"/>
  <c r="C1106" i="7"/>
  <c r="E1106" i="7"/>
  <c r="F1106" i="7"/>
  <c r="G1106" i="7"/>
  <c r="H1106" i="7"/>
  <c r="J1106" i="7"/>
  <c r="K1106" i="7"/>
  <c r="L1106" i="7"/>
  <c r="M1106" i="7"/>
  <c r="N1106" i="7"/>
  <c r="O1106" i="7"/>
  <c r="P1106" i="7"/>
  <c r="B1107" i="7"/>
  <c r="C1107" i="7"/>
  <c r="E1107" i="7"/>
  <c r="F1107" i="7"/>
  <c r="G1107" i="7"/>
  <c r="H1107" i="7"/>
  <c r="J1107" i="7"/>
  <c r="K1107" i="7"/>
  <c r="L1107" i="7"/>
  <c r="M1107" i="7"/>
  <c r="N1107" i="7"/>
  <c r="O1107" i="7"/>
  <c r="P1107" i="7"/>
  <c r="B1108" i="7"/>
  <c r="C1108" i="7"/>
  <c r="E1108" i="7"/>
  <c r="F1108" i="7"/>
  <c r="G1108" i="7"/>
  <c r="H1108" i="7"/>
  <c r="J1108" i="7"/>
  <c r="K1108" i="7"/>
  <c r="L1108" i="7"/>
  <c r="M1108" i="7"/>
  <c r="N1108" i="7"/>
  <c r="O1108" i="7"/>
  <c r="P1108" i="7"/>
  <c r="B1109" i="7"/>
  <c r="C1109" i="7"/>
  <c r="E1109" i="7"/>
  <c r="F1109" i="7"/>
  <c r="G1109" i="7"/>
  <c r="H1109" i="7"/>
  <c r="J1109" i="7"/>
  <c r="K1109" i="7"/>
  <c r="L1109" i="7"/>
  <c r="M1109" i="7"/>
  <c r="N1109" i="7"/>
  <c r="O1109" i="7"/>
  <c r="P1109" i="7"/>
  <c r="B1110" i="7"/>
  <c r="C1110" i="7"/>
  <c r="E1110" i="7"/>
  <c r="F1110" i="7"/>
  <c r="G1110" i="7"/>
  <c r="H1110" i="7"/>
  <c r="J1110" i="7"/>
  <c r="K1110" i="7"/>
  <c r="L1110" i="7"/>
  <c r="M1110" i="7"/>
  <c r="N1110" i="7"/>
  <c r="O1110" i="7"/>
  <c r="P1110" i="7"/>
  <c r="B1111" i="7"/>
  <c r="C1111" i="7"/>
  <c r="E1111" i="7"/>
  <c r="F1111" i="7"/>
  <c r="G1111" i="7"/>
  <c r="H1111" i="7"/>
  <c r="J1111" i="7"/>
  <c r="K1111" i="7"/>
  <c r="L1111" i="7"/>
  <c r="M1111" i="7"/>
  <c r="N1111" i="7"/>
  <c r="O1111" i="7"/>
  <c r="P1111" i="7"/>
  <c r="B1112" i="7"/>
  <c r="C1112" i="7"/>
  <c r="E1112" i="7"/>
  <c r="F1112" i="7"/>
  <c r="G1112" i="7"/>
  <c r="H1112" i="7"/>
  <c r="J1112" i="7"/>
  <c r="K1112" i="7"/>
  <c r="L1112" i="7"/>
  <c r="M1112" i="7"/>
  <c r="N1112" i="7"/>
  <c r="O1112" i="7"/>
  <c r="P1112" i="7"/>
  <c r="B1113" i="7"/>
  <c r="C1113" i="7"/>
  <c r="E1113" i="7"/>
  <c r="F1113" i="7"/>
  <c r="G1113" i="7"/>
  <c r="H1113" i="7"/>
  <c r="J1113" i="7"/>
  <c r="K1113" i="7"/>
  <c r="L1113" i="7"/>
  <c r="M1113" i="7"/>
  <c r="N1113" i="7"/>
  <c r="O1113" i="7"/>
  <c r="P1113" i="7"/>
  <c r="B1114" i="7"/>
  <c r="C1114" i="7"/>
  <c r="E1114" i="7"/>
  <c r="F1114" i="7"/>
  <c r="G1114" i="7"/>
  <c r="H1114" i="7"/>
  <c r="J1114" i="7"/>
  <c r="K1114" i="7"/>
  <c r="L1114" i="7"/>
  <c r="M1114" i="7"/>
  <c r="N1114" i="7"/>
  <c r="O1114" i="7"/>
  <c r="P1114" i="7"/>
  <c r="B1115" i="7"/>
  <c r="C1115" i="7"/>
  <c r="E1115" i="7"/>
  <c r="F1115" i="7"/>
  <c r="G1115" i="7"/>
  <c r="H1115" i="7"/>
  <c r="J1115" i="7"/>
  <c r="K1115" i="7"/>
  <c r="L1115" i="7"/>
  <c r="M1115" i="7"/>
  <c r="N1115" i="7"/>
  <c r="O1115" i="7"/>
  <c r="P1115" i="7"/>
  <c r="B1116" i="7"/>
  <c r="C1116" i="7"/>
  <c r="E1116" i="7"/>
  <c r="F1116" i="7"/>
  <c r="G1116" i="7"/>
  <c r="H1116" i="7"/>
  <c r="J1116" i="7"/>
  <c r="K1116" i="7"/>
  <c r="L1116" i="7"/>
  <c r="M1116" i="7"/>
  <c r="N1116" i="7"/>
  <c r="O1116" i="7"/>
  <c r="P1116" i="7"/>
  <c r="B1117" i="7"/>
  <c r="C1117" i="7"/>
  <c r="E1117" i="7"/>
  <c r="F1117" i="7"/>
  <c r="G1117" i="7"/>
  <c r="H1117" i="7"/>
  <c r="J1117" i="7"/>
  <c r="K1117" i="7"/>
  <c r="L1117" i="7"/>
  <c r="M1117" i="7"/>
  <c r="N1117" i="7"/>
  <c r="O1117" i="7"/>
  <c r="P1117" i="7"/>
  <c r="B1118" i="7"/>
  <c r="C1118" i="7"/>
  <c r="E1118" i="7"/>
  <c r="F1118" i="7"/>
  <c r="G1118" i="7"/>
  <c r="H1118" i="7"/>
  <c r="J1118" i="7"/>
  <c r="K1118" i="7"/>
  <c r="L1118" i="7"/>
  <c r="M1118" i="7"/>
  <c r="N1118" i="7"/>
  <c r="O1118" i="7"/>
  <c r="P1118" i="7"/>
  <c r="B1119" i="7"/>
  <c r="C1119" i="7"/>
  <c r="E1119" i="7"/>
  <c r="F1119" i="7"/>
  <c r="G1119" i="7"/>
  <c r="H1119" i="7"/>
  <c r="J1119" i="7"/>
  <c r="K1119" i="7"/>
  <c r="L1119" i="7"/>
  <c r="M1119" i="7"/>
  <c r="N1119" i="7"/>
  <c r="O1119" i="7"/>
  <c r="P1119" i="7"/>
  <c r="B1120" i="7"/>
  <c r="C1120" i="7"/>
  <c r="E1120" i="7"/>
  <c r="F1120" i="7"/>
  <c r="G1120" i="7"/>
  <c r="H1120" i="7"/>
  <c r="J1120" i="7"/>
  <c r="K1120" i="7"/>
  <c r="L1120" i="7"/>
  <c r="M1120" i="7"/>
  <c r="N1120" i="7"/>
  <c r="O1120" i="7"/>
  <c r="P1120" i="7"/>
  <c r="B1121" i="7"/>
  <c r="C1121" i="7"/>
  <c r="E1121" i="7"/>
  <c r="F1121" i="7"/>
  <c r="G1121" i="7"/>
  <c r="H1121" i="7"/>
  <c r="J1121" i="7"/>
  <c r="K1121" i="7"/>
  <c r="L1121" i="7"/>
  <c r="M1121" i="7"/>
  <c r="N1121" i="7"/>
  <c r="O1121" i="7"/>
  <c r="P1121" i="7"/>
  <c r="B1122" i="7"/>
  <c r="C1122" i="7"/>
  <c r="E1122" i="7"/>
  <c r="F1122" i="7"/>
  <c r="G1122" i="7"/>
  <c r="H1122" i="7"/>
  <c r="J1122" i="7"/>
  <c r="K1122" i="7"/>
  <c r="L1122" i="7"/>
  <c r="M1122" i="7"/>
  <c r="N1122" i="7"/>
  <c r="O1122" i="7"/>
  <c r="P1122" i="7"/>
  <c r="I1091" i="1"/>
  <c r="F6" i="6" s="1"/>
  <c r="J4" i="8"/>
  <c r="H1091" i="1"/>
  <c r="C10" i="6"/>
  <c r="D12" i="6"/>
  <c r="I1090" i="1"/>
  <c r="H1090" i="1"/>
  <c r="I1089" i="1"/>
  <c r="G1089" i="7" s="1"/>
  <c r="H1089" i="1"/>
  <c r="E10" i="6"/>
  <c r="B1103" i="7"/>
  <c r="C1103" i="7"/>
  <c r="E1103" i="7"/>
  <c r="F1103" i="7"/>
  <c r="G1103" i="7"/>
  <c r="H1103" i="7"/>
  <c r="H1088" i="1"/>
  <c r="I1088" i="1"/>
  <c r="E11" i="6"/>
  <c r="I1087" i="1"/>
  <c r="G1088" i="7" s="1"/>
  <c r="H1087" i="1"/>
  <c r="I1086" i="1"/>
  <c r="H1086" i="1"/>
  <c r="I1085" i="1"/>
  <c r="G1085" i="7"/>
  <c r="H1085" i="1"/>
  <c r="H1084" i="1"/>
  <c r="I1084" i="1"/>
  <c r="H11" i="8"/>
  <c r="F11" i="8"/>
  <c r="E11" i="8"/>
  <c r="D11" i="8"/>
  <c r="H10" i="8"/>
  <c r="H12" i="8"/>
  <c r="F10" i="8"/>
  <c r="F12" i="8"/>
  <c r="E10" i="8"/>
  <c r="E12" i="8"/>
  <c r="D10" i="8"/>
  <c r="D12" i="8"/>
  <c r="H1036" i="7"/>
  <c r="H1083" i="1"/>
  <c r="B1083" i="7"/>
  <c r="C1083" i="7"/>
  <c r="E1083" i="7"/>
  <c r="H1083" i="7"/>
  <c r="B1084" i="7"/>
  <c r="C1084" i="7"/>
  <c r="E1084" i="7"/>
  <c r="H1084" i="7"/>
  <c r="B1085" i="7"/>
  <c r="C1085" i="7"/>
  <c r="E1085" i="7"/>
  <c r="H1085" i="7"/>
  <c r="B1086" i="7"/>
  <c r="C1086" i="7"/>
  <c r="E1086" i="7"/>
  <c r="H1086" i="7"/>
  <c r="B1087" i="7"/>
  <c r="C1087" i="7"/>
  <c r="E1087" i="7"/>
  <c r="F1087" i="7"/>
  <c r="H1087" i="7"/>
  <c r="B1088" i="7"/>
  <c r="C1088" i="7"/>
  <c r="E1088" i="7"/>
  <c r="F1088" i="7"/>
  <c r="H1088" i="7"/>
  <c r="B1089" i="7"/>
  <c r="C1089" i="7"/>
  <c r="E1089" i="7"/>
  <c r="F1089" i="7"/>
  <c r="H1089" i="7"/>
  <c r="B1090" i="7"/>
  <c r="C1090" i="7"/>
  <c r="E1090" i="7"/>
  <c r="D11" i="6"/>
  <c r="F1090" i="7"/>
  <c r="H1090" i="7"/>
  <c r="B1091" i="7"/>
  <c r="M6" i="8" s="1"/>
  <c r="B12" i="6" s="1"/>
  <c r="C1091" i="7"/>
  <c r="E1091" i="7"/>
  <c r="F1091" i="7"/>
  <c r="H1091" i="7"/>
  <c r="B1092" i="7"/>
  <c r="C1092" i="7"/>
  <c r="E1092" i="7"/>
  <c r="F1092" i="7"/>
  <c r="H1092" i="7"/>
  <c r="B1093" i="7"/>
  <c r="C1093" i="7"/>
  <c r="E1093" i="7"/>
  <c r="F1093" i="7"/>
  <c r="H1093" i="7"/>
  <c r="B1094" i="7"/>
  <c r="C1094" i="7"/>
  <c r="E1094" i="7"/>
  <c r="F1094" i="7"/>
  <c r="G1094" i="7"/>
  <c r="H1094" i="7"/>
  <c r="B1095" i="7"/>
  <c r="C1095" i="7"/>
  <c r="E1095" i="7"/>
  <c r="F1095" i="7"/>
  <c r="G1095" i="7"/>
  <c r="H1095" i="7"/>
  <c r="B1096" i="7"/>
  <c r="C1096" i="7"/>
  <c r="E1096" i="7"/>
  <c r="F1096" i="7"/>
  <c r="G1096" i="7"/>
  <c r="H1096" i="7"/>
  <c r="B1097" i="7"/>
  <c r="C1097" i="7"/>
  <c r="E1097" i="7"/>
  <c r="F1097" i="7"/>
  <c r="G1097" i="7"/>
  <c r="H1097" i="7"/>
  <c r="B1098" i="7"/>
  <c r="C1098" i="7"/>
  <c r="E1098" i="7"/>
  <c r="F1098" i="7"/>
  <c r="G1098" i="7"/>
  <c r="H1098" i="7"/>
  <c r="B1099" i="7"/>
  <c r="C1099" i="7"/>
  <c r="E1099" i="7"/>
  <c r="F1099" i="7"/>
  <c r="G1099" i="7"/>
  <c r="H1099" i="7"/>
  <c r="B1100" i="7"/>
  <c r="C1100" i="7"/>
  <c r="E1100" i="7"/>
  <c r="F1100" i="7"/>
  <c r="G1100" i="7"/>
  <c r="H1100" i="7"/>
  <c r="B1101" i="7"/>
  <c r="C1101" i="7"/>
  <c r="E1101" i="7"/>
  <c r="F1101" i="7"/>
  <c r="G1101" i="7"/>
  <c r="H1101" i="7"/>
  <c r="B1102" i="7"/>
  <c r="C1102" i="7"/>
  <c r="E1102" i="7"/>
  <c r="F1102" i="7"/>
  <c r="G1102" i="7"/>
  <c r="H1102" i="7"/>
  <c r="Y1102" i="7"/>
  <c r="P1098" i="7"/>
  <c r="P1099" i="7"/>
  <c r="P1100" i="7"/>
  <c r="P1101" i="7"/>
  <c r="P1102" i="7"/>
  <c r="P1103" i="7"/>
  <c r="J1083" i="7"/>
  <c r="K1083" i="7"/>
  <c r="L1083" i="7"/>
  <c r="M1083" i="7"/>
  <c r="J1084" i="7"/>
  <c r="K1084" i="7"/>
  <c r="L1084" i="7"/>
  <c r="M1084" i="7"/>
  <c r="J1085" i="7"/>
  <c r="K1085" i="7"/>
  <c r="L1085" i="7"/>
  <c r="M1085" i="7"/>
  <c r="J1086" i="7"/>
  <c r="K1086" i="7"/>
  <c r="L1086" i="7"/>
  <c r="M1086" i="7"/>
  <c r="J1087" i="7"/>
  <c r="K1087" i="7"/>
  <c r="L1087" i="7"/>
  <c r="M1087" i="7"/>
  <c r="J1088" i="7"/>
  <c r="K1088" i="7"/>
  <c r="L1088" i="7"/>
  <c r="M1088" i="7"/>
  <c r="J1089" i="7"/>
  <c r="K1089" i="7"/>
  <c r="L1089" i="7"/>
  <c r="M1089" i="7"/>
  <c r="J1090" i="7"/>
  <c r="K1090" i="7"/>
  <c r="L1090" i="7"/>
  <c r="M1090" i="7"/>
  <c r="J1091" i="7"/>
  <c r="K1091" i="7"/>
  <c r="L1091" i="7"/>
  <c r="M1091" i="7"/>
  <c r="J1092" i="7"/>
  <c r="K1092" i="7"/>
  <c r="L1092" i="7"/>
  <c r="M1092" i="7"/>
  <c r="J1093" i="7"/>
  <c r="K1093" i="7"/>
  <c r="L1093" i="7"/>
  <c r="M1093" i="7"/>
  <c r="J1094" i="7"/>
  <c r="K1094" i="7"/>
  <c r="L1094" i="7"/>
  <c r="M1094" i="7"/>
  <c r="J1095" i="7"/>
  <c r="K1095" i="7"/>
  <c r="L1095" i="7"/>
  <c r="M1095" i="7"/>
  <c r="J1096" i="7"/>
  <c r="K1096" i="7"/>
  <c r="L1096" i="7"/>
  <c r="M1096" i="7"/>
  <c r="J1097" i="7"/>
  <c r="K1097" i="7"/>
  <c r="L1097" i="7"/>
  <c r="M1097" i="7"/>
  <c r="J1098" i="7"/>
  <c r="K1098" i="7"/>
  <c r="L1098" i="7"/>
  <c r="M1098" i="7"/>
  <c r="J1099" i="7"/>
  <c r="K1099" i="7"/>
  <c r="L1099" i="7"/>
  <c r="M1099" i="7"/>
  <c r="J1100" i="7"/>
  <c r="K1100" i="7"/>
  <c r="L1100" i="7"/>
  <c r="M1100" i="7"/>
  <c r="J1101" i="7"/>
  <c r="K1101" i="7"/>
  <c r="L1101" i="7"/>
  <c r="M1101" i="7"/>
  <c r="J1102" i="7"/>
  <c r="K1102" i="7"/>
  <c r="L1102" i="7"/>
  <c r="M1102" i="7"/>
  <c r="J1103" i="7"/>
  <c r="K1103" i="7"/>
  <c r="L1103" i="7"/>
  <c r="M1103" i="7"/>
  <c r="B1082" i="7"/>
  <c r="C1082" i="7"/>
  <c r="E1082" i="7"/>
  <c r="H1082" i="7"/>
  <c r="J1082" i="7"/>
  <c r="K1082" i="7"/>
  <c r="L1082" i="7"/>
  <c r="M1082" i="7"/>
  <c r="H1082" i="1"/>
  <c r="B1081" i="7"/>
  <c r="C1081" i="7"/>
  <c r="E1081" i="7"/>
  <c r="H1081" i="7"/>
  <c r="J1081" i="7"/>
  <c r="K1081" i="7"/>
  <c r="L1081" i="7"/>
  <c r="M1081" i="7"/>
  <c r="H1081" i="1"/>
  <c r="I1081" i="1"/>
  <c r="B1080" i="7"/>
  <c r="C1080" i="7"/>
  <c r="E1080" i="7"/>
  <c r="H1080" i="7"/>
  <c r="J1080" i="7"/>
  <c r="K1080" i="7"/>
  <c r="L1080" i="7"/>
  <c r="M1080" i="7"/>
  <c r="H1080" i="1"/>
  <c r="B1079" i="7"/>
  <c r="C1079" i="7"/>
  <c r="E1079" i="7"/>
  <c r="H1079" i="7"/>
  <c r="J1079" i="7"/>
  <c r="K1079" i="7"/>
  <c r="L1079" i="7"/>
  <c r="M1079" i="7"/>
  <c r="H1079" i="1"/>
  <c r="I1079" i="1"/>
  <c r="B1078" i="7"/>
  <c r="C1078" i="7"/>
  <c r="E1078" i="7"/>
  <c r="H1078" i="7"/>
  <c r="J1078" i="7"/>
  <c r="K1078" i="7"/>
  <c r="L1078" i="7"/>
  <c r="M1078" i="7"/>
  <c r="H1078" i="1"/>
  <c r="B1077" i="7"/>
  <c r="C1077" i="7"/>
  <c r="E1077" i="7"/>
  <c r="H1077" i="7"/>
  <c r="J1077" i="7"/>
  <c r="K1077" i="7"/>
  <c r="L1077" i="7"/>
  <c r="M1077" i="7"/>
  <c r="H1077" i="1"/>
  <c r="B1076" i="7"/>
  <c r="C1076" i="7"/>
  <c r="E1076" i="7"/>
  <c r="H1076" i="7"/>
  <c r="J1076" i="7"/>
  <c r="K1076" i="7"/>
  <c r="L1076" i="7"/>
  <c r="M1076" i="7"/>
  <c r="H1076" i="1"/>
  <c r="B1075" i="7"/>
  <c r="C1075" i="7"/>
  <c r="E1075" i="7"/>
  <c r="H1075" i="7"/>
  <c r="J1075" i="7"/>
  <c r="K1075" i="7"/>
  <c r="L1075" i="7"/>
  <c r="M1075" i="7"/>
  <c r="H1075" i="1"/>
  <c r="B1074" i="7"/>
  <c r="C1074" i="7"/>
  <c r="E1074" i="7"/>
  <c r="H1074" i="7"/>
  <c r="J1074" i="7"/>
  <c r="K1074" i="7"/>
  <c r="L1074" i="7"/>
  <c r="M1074" i="7"/>
  <c r="H1074" i="1"/>
  <c r="I1074" i="1"/>
  <c r="B1073" i="7"/>
  <c r="C1073" i="7"/>
  <c r="E1073" i="7"/>
  <c r="H1073" i="7"/>
  <c r="J1073" i="7"/>
  <c r="K1073" i="7"/>
  <c r="L1073" i="7"/>
  <c r="M1073" i="7"/>
  <c r="H1073" i="1"/>
  <c r="B1072" i="7"/>
  <c r="C1072" i="7"/>
  <c r="E1072" i="7"/>
  <c r="H1072" i="7"/>
  <c r="J1072" i="7"/>
  <c r="K1072" i="7"/>
  <c r="L1072" i="7"/>
  <c r="M1072" i="7"/>
  <c r="H1072" i="1"/>
  <c r="I1072" i="1"/>
  <c r="P1097" i="7"/>
  <c r="B1071" i="7"/>
  <c r="C1071" i="7"/>
  <c r="E1071" i="7"/>
  <c r="H1071" i="7"/>
  <c r="J1071" i="7"/>
  <c r="K1071" i="7"/>
  <c r="L1071" i="7"/>
  <c r="M1071" i="7"/>
  <c r="H1071" i="1"/>
  <c r="I1071" i="1"/>
  <c r="B1070" i="7"/>
  <c r="C1070" i="7"/>
  <c r="E1070" i="7"/>
  <c r="H1070" i="7"/>
  <c r="J1070" i="7"/>
  <c r="K1070" i="7"/>
  <c r="L1070" i="7"/>
  <c r="M1070" i="7"/>
  <c r="H1070" i="1"/>
  <c r="B1069" i="7"/>
  <c r="C1069" i="7"/>
  <c r="E1069" i="7"/>
  <c r="H1069" i="7"/>
  <c r="J1069" i="7"/>
  <c r="K1069" i="7"/>
  <c r="L1069" i="7"/>
  <c r="M1069" i="7"/>
  <c r="H1069" i="1"/>
  <c r="I1068" i="1"/>
  <c r="H1068" i="1"/>
  <c r="B1068" i="7"/>
  <c r="C1068" i="7"/>
  <c r="E1068" i="7"/>
  <c r="H1068" i="7"/>
  <c r="J1068" i="7"/>
  <c r="K1068" i="7"/>
  <c r="L1068" i="7"/>
  <c r="M1068" i="7"/>
  <c r="B1067" i="7"/>
  <c r="C1067" i="7"/>
  <c r="E1067" i="7"/>
  <c r="H1067" i="7"/>
  <c r="J1067" i="7"/>
  <c r="K1067" i="7"/>
  <c r="L1067" i="7"/>
  <c r="M1067" i="7"/>
  <c r="H1067" i="1"/>
  <c r="B1066" i="7"/>
  <c r="C1066" i="7"/>
  <c r="E1066" i="7"/>
  <c r="H1066" i="7"/>
  <c r="J1066" i="7"/>
  <c r="K1066" i="7"/>
  <c r="L1066" i="7"/>
  <c r="M1066" i="7"/>
  <c r="H1066" i="1"/>
  <c r="I1066" i="1"/>
  <c r="B1065" i="7"/>
  <c r="C1065" i="7"/>
  <c r="E1065" i="7"/>
  <c r="H1065" i="7"/>
  <c r="J1065" i="7"/>
  <c r="K1065" i="7"/>
  <c r="L1065" i="7"/>
  <c r="M1065" i="7"/>
  <c r="H1065" i="1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B1064" i="7"/>
  <c r="C1064" i="7"/>
  <c r="E1064" i="7"/>
  <c r="H1064" i="7"/>
  <c r="J1064" i="7"/>
  <c r="K1064" i="7"/>
  <c r="L1064" i="7"/>
  <c r="M1064" i="7"/>
  <c r="H1064" i="1"/>
  <c r="B1063" i="7"/>
  <c r="C1063" i="7"/>
  <c r="E1063" i="7"/>
  <c r="H1063" i="7"/>
  <c r="J1063" i="7"/>
  <c r="K1063" i="7"/>
  <c r="L1063" i="7"/>
  <c r="M1063" i="7"/>
  <c r="P1063" i="7"/>
  <c r="H1063" i="1"/>
  <c r="B1062" i="7"/>
  <c r="C1062" i="7"/>
  <c r="E1062" i="7"/>
  <c r="H1062" i="7"/>
  <c r="J1062" i="7"/>
  <c r="K1062" i="7"/>
  <c r="L1062" i="7"/>
  <c r="M1062" i="7"/>
  <c r="P1062" i="7"/>
  <c r="H1062" i="1"/>
  <c r="I1062" i="1"/>
  <c r="H8" i="6"/>
  <c r="H10" i="6"/>
  <c r="B1061" i="7"/>
  <c r="C1061" i="7"/>
  <c r="E1061" i="7"/>
  <c r="H1061" i="7"/>
  <c r="J1061" i="7"/>
  <c r="K1061" i="7"/>
  <c r="L1061" i="7"/>
  <c r="M1061" i="7"/>
  <c r="P1061" i="7"/>
  <c r="H1061" i="1"/>
  <c r="B1060" i="7"/>
  <c r="C1060" i="7"/>
  <c r="E1060" i="7"/>
  <c r="H1060" i="7"/>
  <c r="J1060" i="7"/>
  <c r="K1060" i="7"/>
  <c r="L1060" i="7"/>
  <c r="M1060" i="7"/>
  <c r="P1060" i="7"/>
  <c r="H1060" i="1"/>
  <c r="I1060" i="1"/>
  <c r="B1059" i="7"/>
  <c r="C1059" i="7"/>
  <c r="E1059" i="7"/>
  <c r="H1059" i="7"/>
  <c r="J1059" i="7"/>
  <c r="K1059" i="7"/>
  <c r="L1059" i="7"/>
  <c r="M1059" i="7"/>
  <c r="P1059" i="7"/>
  <c r="H1059" i="1"/>
  <c r="B1058" i="7"/>
  <c r="C1058" i="7"/>
  <c r="E1058" i="7"/>
  <c r="H1058" i="7"/>
  <c r="J1058" i="7"/>
  <c r="K1058" i="7"/>
  <c r="L1058" i="7"/>
  <c r="M1058" i="7"/>
  <c r="P1058" i="7"/>
  <c r="H1058" i="1"/>
  <c r="B1057" i="7"/>
  <c r="C1057" i="7"/>
  <c r="E1057" i="7"/>
  <c r="H1057" i="7"/>
  <c r="J1057" i="7"/>
  <c r="K1057" i="7"/>
  <c r="L1057" i="7"/>
  <c r="M1057" i="7"/>
  <c r="P1057" i="7"/>
  <c r="H1057" i="1"/>
  <c r="I1057" i="1"/>
  <c r="B1056" i="7"/>
  <c r="C1056" i="7"/>
  <c r="E1056" i="7"/>
  <c r="H1056" i="7"/>
  <c r="J1056" i="7"/>
  <c r="K1056" i="7"/>
  <c r="L1056" i="7"/>
  <c r="M1056" i="7"/>
  <c r="P1056" i="7"/>
  <c r="H1056" i="1"/>
  <c r="B1055" i="7"/>
  <c r="C1055" i="7"/>
  <c r="E1055" i="7"/>
  <c r="H1055" i="7"/>
  <c r="J1055" i="7"/>
  <c r="K1055" i="7"/>
  <c r="L1055" i="7"/>
  <c r="M1055" i="7"/>
  <c r="P1055" i="7"/>
  <c r="H1055" i="1"/>
  <c r="I1055" i="1"/>
  <c r="B1054" i="7"/>
  <c r="C1054" i="7"/>
  <c r="E1054" i="7"/>
  <c r="H1054" i="7"/>
  <c r="J1054" i="7"/>
  <c r="K1054" i="7"/>
  <c r="L1054" i="7"/>
  <c r="M1054" i="7"/>
  <c r="P1054" i="7"/>
  <c r="H1054" i="1"/>
  <c r="I1054" i="1"/>
  <c r="B1053" i="7"/>
  <c r="C1053" i="7"/>
  <c r="E1053" i="7"/>
  <c r="H1053" i="7"/>
  <c r="J1053" i="7"/>
  <c r="K1053" i="7"/>
  <c r="L1053" i="7"/>
  <c r="M1053" i="7"/>
  <c r="P1053" i="7"/>
  <c r="H1053" i="1"/>
  <c r="I1053" i="1"/>
  <c r="B1052" i="7"/>
  <c r="C1052" i="7"/>
  <c r="E1052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 s="1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K1104" i="1"/>
  <c r="K1105" i="1"/>
  <c r="K1106" i="1"/>
  <c r="K1107" i="1"/>
  <c r="K1108" i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T1097" i="7"/>
  <c r="E1045" i="7"/>
  <c r="H1045" i="7"/>
  <c r="J1045" i="7"/>
  <c r="K1045" i="7"/>
  <c r="L1045" i="7"/>
  <c r="M1045" i="7"/>
  <c r="P1045" i="7"/>
  <c r="H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/>
  <c r="H1037" i="1"/>
  <c r="B1036" i="7"/>
  <c r="C1036" i="7"/>
  <c r="T1088" i="7"/>
  <c r="E1036" i="7"/>
  <c r="J1036" i="7"/>
  <c r="K1036" i="7"/>
  <c r="L1036" i="7"/>
  <c r="M1036" i="7"/>
  <c r="P1036" i="7"/>
  <c r="H1036" i="1"/>
  <c r="B1035" i="7"/>
  <c r="S1087" i="7"/>
  <c r="C1035" i="7"/>
  <c r="E1035" i="7"/>
  <c r="H1035" i="7"/>
  <c r="J1035" i="7"/>
  <c r="K1035" i="7"/>
  <c r="L1035" i="7"/>
  <c r="M1035" i="7"/>
  <c r="P1035" i="7"/>
  <c r="H1035" i="1"/>
  <c r="I1035" i="1"/>
  <c r="B1034" i="7"/>
  <c r="C1034" i="7"/>
  <c r="E1034" i="7"/>
  <c r="H1034" i="7"/>
  <c r="J1034" i="7"/>
  <c r="K1034" i="7"/>
  <c r="L1034" i="7"/>
  <c r="M1034" i="7"/>
  <c r="P1034" i="7"/>
  <c r="H1034" i="1"/>
  <c r="B1033" i="7"/>
  <c r="C1033" i="7"/>
  <c r="E1033" i="7"/>
  <c r="H1033" i="7"/>
  <c r="J1033" i="7"/>
  <c r="K1033" i="7"/>
  <c r="L1033" i="7"/>
  <c r="M1033" i="7"/>
  <c r="P1033" i="7"/>
  <c r="H1033" i="1"/>
  <c r="I1033" i="1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1" i="8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B1003" i="7"/>
  <c r="C1003" i="7"/>
  <c r="E1003" i="7"/>
  <c r="H1003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Y1094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H780" i="7"/>
  <c r="Y832" i="7"/>
  <c r="H781" i="7"/>
  <c r="H782" i="7"/>
  <c r="H783" i="7"/>
  <c r="H784" i="7"/>
  <c r="H785" i="7"/>
  <c r="Y837" i="7"/>
  <c r="H786" i="7"/>
  <c r="H787" i="7"/>
  <c r="H788" i="7"/>
  <c r="H789" i="7"/>
  <c r="H790" i="7"/>
  <c r="H791" i="7"/>
  <c r="Y895" i="7"/>
  <c r="H792" i="7"/>
  <c r="Y844" i="7"/>
  <c r="H793" i="7"/>
  <c r="Y845" i="7"/>
  <c r="H794" i="7"/>
  <c r="Y846" i="7"/>
  <c r="H795" i="7"/>
  <c r="Y847" i="7"/>
  <c r="H796" i="7"/>
  <c r="Y848" i="7"/>
  <c r="H797" i="7"/>
  <c r="H798" i="7"/>
  <c r="Y902" i="7"/>
  <c r="H799" i="7"/>
  <c r="H800" i="7"/>
  <c r="Y852" i="7"/>
  <c r="H801" i="7"/>
  <c r="Y853" i="7"/>
  <c r="H802" i="7"/>
  <c r="H803" i="7"/>
  <c r="Y855" i="7"/>
  <c r="H804" i="7"/>
  <c r="H805" i="7"/>
  <c r="Y857" i="7"/>
  <c r="H806" i="7"/>
  <c r="H807" i="7"/>
  <c r="H808" i="7"/>
  <c r="Y860" i="7"/>
  <c r="H809" i="7"/>
  <c r="Y861" i="7"/>
  <c r="H810" i="7"/>
  <c r="Y862" i="7"/>
  <c r="H811" i="7"/>
  <c r="H812" i="7"/>
  <c r="H813" i="7"/>
  <c r="Y865" i="7"/>
  <c r="H814" i="7"/>
  <c r="H815" i="7"/>
  <c r="Y867" i="7"/>
  <c r="H816" i="7"/>
  <c r="H817" i="7"/>
  <c r="H818" i="7"/>
  <c r="H819" i="7"/>
  <c r="Y871" i="7"/>
  <c r="H820" i="7"/>
  <c r="Y872" i="7"/>
  <c r="H821" i="7"/>
  <c r="H822" i="7"/>
  <c r="H823" i="7"/>
  <c r="H824" i="7"/>
  <c r="H825" i="7"/>
  <c r="H826" i="7"/>
  <c r="Y982" i="7"/>
  <c r="H827" i="7"/>
  <c r="Y879" i="7"/>
  <c r="H828" i="7"/>
  <c r="H829" i="7"/>
  <c r="H830" i="7"/>
  <c r="H831" i="7"/>
  <c r="H832" i="7"/>
  <c r="Y884" i="7"/>
  <c r="H833" i="7"/>
  <c r="Y885" i="7"/>
  <c r="H834" i="7"/>
  <c r="H835" i="7"/>
  <c r="H836" i="7"/>
  <c r="H837" i="7"/>
  <c r="H838" i="7"/>
  <c r="Y890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Y903" i="7"/>
  <c r="H852" i="7"/>
  <c r="Y956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Y919" i="7"/>
  <c r="H868" i="7"/>
  <c r="H869" i="7"/>
  <c r="H870" i="7"/>
  <c r="H871" i="7"/>
  <c r="H872" i="7"/>
  <c r="H873" i="7"/>
  <c r="H874" i="7"/>
  <c r="H875" i="7"/>
  <c r="Y927" i="7"/>
  <c r="H876" i="7"/>
  <c r="H877" i="7"/>
  <c r="H878" i="7"/>
  <c r="H879" i="7"/>
  <c r="H880" i="7"/>
  <c r="H881" i="7"/>
  <c r="H882" i="7"/>
  <c r="H883" i="7"/>
  <c r="Y935" i="7"/>
  <c r="H884" i="7"/>
  <c r="H885" i="7"/>
  <c r="H886" i="7"/>
  <c r="H887" i="7"/>
  <c r="H888" i="7"/>
  <c r="H889" i="7"/>
  <c r="H890" i="7"/>
  <c r="Y942" i="7"/>
  <c r="H891" i="7"/>
  <c r="H892" i="7"/>
  <c r="H893" i="7"/>
  <c r="Y997" i="7"/>
  <c r="H894" i="7"/>
  <c r="H895" i="7"/>
  <c r="H896" i="7"/>
  <c r="H897" i="7"/>
  <c r="Y949" i="7"/>
  <c r="H898" i="7"/>
  <c r="H899" i="7"/>
  <c r="H900" i="7"/>
  <c r="H901" i="7"/>
  <c r="H902" i="7"/>
  <c r="H903" i="7"/>
  <c r="Y955" i="7"/>
  <c r="H904" i="7"/>
  <c r="H905" i="7"/>
  <c r="H906" i="7"/>
  <c r="H907" i="7"/>
  <c r="H908" i="7"/>
  <c r="H909" i="7"/>
  <c r="H910" i="7"/>
  <c r="Y962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Y1031" i="7"/>
  <c r="H928" i="7"/>
  <c r="H929" i="7"/>
  <c r="H930" i="7"/>
  <c r="H931" i="7"/>
  <c r="Y983" i="7"/>
  <c r="H932" i="7"/>
  <c r="H933" i="7"/>
  <c r="H934" i="7"/>
  <c r="H935" i="7"/>
  <c r="H936" i="7"/>
  <c r="H937" i="7"/>
  <c r="H938" i="7"/>
  <c r="H939" i="7"/>
  <c r="H940" i="7"/>
  <c r="H941" i="7"/>
  <c r="H942" i="7"/>
  <c r="Y1098" i="7"/>
  <c r="H943" i="7"/>
  <c r="H944" i="7"/>
  <c r="H945" i="7"/>
  <c r="H946" i="7"/>
  <c r="H947" i="7"/>
  <c r="H948" i="7"/>
  <c r="H949" i="7"/>
  <c r="H950" i="7"/>
  <c r="Y1002" i="7"/>
  <c r="H951" i="7"/>
  <c r="Y1003" i="7"/>
  <c r="H952" i="7"/>
  <c r="H953" i="7"/>
  <c r="H954" i="7"/>
  <c r="H955" i="7"/>
  <c r="H956" i="7"/>
  <c r="H957" i="7"/>
  <c r="H958" i="7"/>
  <c r="Y1062" i="7"/>
  <c r="H959" i="7"/>
  <c r="Y1011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Y1075" i="7"/>
  <c r="H972" i="7"/>
  <c r="Y1076" i="7"/>
  <c r="H973" i="7"/>
  <c r="H974" i="7"/>
  <c r="H975" i="7"/>
  <c r="H976" i="7"/>
  <c r="Y1080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V1085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U1074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B966" i="7"/>
  <c r="C966" i="7"/>
  <c r="D966" i="7"/>
  <c r="E966" i="7"/>
  <c r="J966" i="7"/>
  <c r="K966" i="7"/>
  <c r="L966" i="7"/>
  <c r="M966" i="7"/>
  <c r="H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D962" i="7"/>
  <c r="E962" i="7"/>
  <c r="J962" i="7"/>
  <c r="K962" i="7"/>
  <c r="L962" i="7"/>
  <c r="M962" i="7"/>
  <c r="H962" i="1"/>
  <c r="B961" i="7"/>
  <c r="C961" i="7"/>
  <c r="D961" i="7"/>
  <c r="E961" i="7"/>
  <c r="J961" i="7"/>
  <c r="K961" i="7"/>
  <c r="L961" i="7"/>
  <c r="M961" i="7"/>
  <c r="H961" i="1"/>
  <c r="B960" i="7"/>
  <c r="C960" i="7"/>
  <c r="D960" i="7"/>
  <c r="E960" i="7"/>
  <c r="J960" i="7"/>
  <c r="K960" i="7"/>
  <c r="L960" i="7"/>
  <c r="M960" i="7"/>
  <c r="H960" i="1"/>
  <c r="B959" i="7"/>
  <c r="C959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H954" i="1"/>
  <c r="H953" i="1"/>
  <c r="I953" i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U1098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U1095" i="7"/>
  <c r="E939" i="7"/>
  <c r="J939" i="7"/>
  <c r="K939" i="7"/>
  <c r="L939" i="7"/>
  <c r="M939" i="7"/>
  <c r="H939" i="1"/>
  <c r="I939" i="1"/>
  <c r="B938" i="7"/>
  <c r="C938" i="7"/>
  <c r="D938" i="7"/>
  <c r="U1094" i="7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B935" i="7"/>
  <c r="C935" i="7"/>
  <c r="T1091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U1085" i="7"/>
  <c r="E929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F922" i="7"/>
  <c r="H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I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D894" i="7"/>
  <c r="U1103" i="7"/>
  <c r="C894" i="7"/>
  <c r="B894" i="7"/>
  <c r="H894" i="1"/>
  <c r="B893" i="7"/>
  <c r="C893" i="7"/>
  <c r="D893" i="7"/>
  <c r="U1102" i="7"/>
  <c r="E893" i="7"/>
  <c r="H893" i="1"/>
  <c r="B892" i="7"/>
  <c r="C892" i="7"/>
  <c r="D892" i="7"/>
  <c r="U1101" i="7"/>
  <c r="E892" i="7"/>
  <c r="H892" i="1"/>
  <c r="B891" i="7"/>
  <c r="C891" i="7"/>
  <c r="D891" i="7"/>
  <c r="U1100" i="7"/>
  <c r="E891" i="7"/>
  <c r="H891" i="1"/>
  <c r="E890" i="7"/>
  <c r="D890" i="7"/>
  <c r="U1099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B882" i="7"/>
  <c r="H882" i="1"/>
  <c r="E881" i="7"/>
  <c r="D881" i="7"/>
  <c r="U1090" i="7"/>
  <c r="C881" i="7"/>
  <c r="B881" i="7"/>
  <c r="S1090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C876" i="7"/>
  <c r="T1085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T925" i="7"/>
  <c r="B873" i="7"/>
  <c r="H873" i="1"/>
  <c r="H872" i="1"/>
  <c r="E872" i="7"/>
  <c r="D872" i="7"/>
  <c r="C872" i="7"/>
  <c r="B872" i="7"/>
  <c r="D871" i="7"/>
  <c r="U975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H860" i="1"/>
  <c r="E864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C860" i="7"/>
  <c r="B860" i="7"/>
  <c r="E859" i="7"/>
  <c r="D859" i="7"/>
  <c r="C859" i="7"/>
  <c r="B859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H855" i="1"/>
  <c r="H854" i="1"/>
  <c r="N1062" i="7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V1009" i="7"/>
  <c r="D853" i="7"/>
  <c r="C853" i="7"/>
  <c r="B853" i="7"/>
  <c r="E852" i="7"/>
  <c r="D852" i="7"/>
  <c r="C852" i="7"/>
  <c r="B852" i="7"/>
  <c r="H852" i="1"/>
  <c r="H851" i="1"/>
  <c r="E851" i="7"/>
  <c r="V1060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T1006" i="7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M844" i="7"/>
  <c r="L844" i="7"/>
  <c r="K844" i="7"/>
  <c r="J844" i="7"/>
  <c r="E844" i="7"/>
  <c r="D844" i="7"/>
  <c r="U1000" i="7"/>
  <c r="C844" i="7"/>
  <c r="T896" i="7"/>
  <c r="B844" i="7"/>
  <c r="H844" i="1"/>
  <c r="H843" i="1"/>
  <c r="H842" i="1"/>
  <c r="H841" i="1"/>
  <c r="H840" i="1"/>
  <c r="I840" i="1"/>
  <c r="H839" i="1"/>
  <c r="H838" i="1"/>
  <c r="H837" i="1"/>
  <c r="I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V946" i="7"/>
  <c r="D842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U1045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U990" i="7"/>
  <c r="C834" i="7"/>
  <c r="B834" i="7"/>
  <c r="M833" i="7"/>
  <c r="L833" i="7"/>
  <c r="K833" i="7"/>
  <c r="J833" i="7"/>
  <c r="E833" i="7"/>
  <c r="V1042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V987" i="7"/>
  <c r="D831" i="7"/>
  <c r="C831" i="7"/>
  <c r="B831" i="7"/>
  <c r="M830" i="7"/>
  <c r="L830" i="7"/>
  <c r="K830" i="7"/>
  <c r="J830" i="7"/>
  <c r="E830" i="7"/>
  <c r="D830" i="7"/>
  <c r="C830" i="7"/>
  <c r="B830" i="7"/>
  <c r="S934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M818" i="7"/>
  <c r="L818" i="7"/>
  <c r="K818" i="7"/>
  <c r="J818" i="7"/>
  <c r="E818" i="7"/>
  <c r="D818" i="7"/>
  <c r="C818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C807" i="7"/>
  <c r="T1016" i="7"/>
  <c r="B807" i="7"/>
  <c r="M806" i="7"/>
  <c r="L806" i="7"/>
  <c r="K806" i="7"/>
  <c r="J806" i="7"/>
  <c r="E806" i="7"/>
  <c r="V1015" i="7"/>
  <c r="D806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C804" i="7"/>
  <c r="B804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C800" i="7"/>
  <c r="B800" i="7"/>
  <c r="M799" i="7"/>
  <c r="L799" i="7"/>
  <c r="K799" i="7"/>
  <c r="J799" i="7"/>
  <c r="E799" i="7"/>
  <c r="D799" i="7"/>
  <c r="C799" i="7"/>
  <c r="T955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V953" i="7"/>
  <c r="D797" i="7"/>
  <c r="U1006" i="7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V1001" i="7"/>
  <c r="D792" i="7"/>
  <c r="C792" i="7"/>
  <c r="B792" i="7"/>
  <c r="M791" i="7"/>
  <c r="L791" i="7"/>
  <c r="K791" i="7"/>
  <c r="J791" i="7"/>
  <c r="E791" i="7"/>
  <c r="D791" i="7"/>
  <c r="C791" i="7"/>
  <c r="T1000" i="7"/>
  <c r="B791" i="7"/>
  <c r="M790" i="7"/>
  <c r="L790" i="7"/>
  <c r="K790" i="7"/>
  <c r="J790" i="7"/>
  <c r="E790" i="7"/>
  <c r="D790" i="7"/>
  <c r="C790" i="7"/>
  <c r="T842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D787" i="7"/>
  <c r="C787" i="7"/>
  <c r="B787" i="7"/>
  <c r="M786" i="7"/>
  <c r="L786" i="7"/>
  <c r="K786" i="7"/>
  <c r="J786" i="7"/>
  <c r="E786" i="7"/>
  <c r="V995" i="7"/>
  <c r="D786" i="7"/>
  <c r="C786" i="7"/>
  <c r="B786" i="7"/>
  <c r="M785" i="7"/>
  <c r="L785" i="7"/>
  <c r="K785" i="7"/>
  <c r="J785" i="7"/>
  <c r="E785" i="7"/>
  <c r="D785" i="7"/>
  <c r="C785" i="7"/>
  <c r="T994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V832" i="7"/>
  <c r="D780" i="7"/>
  <c r="C780" i="7"/>
  <c r="T989" i="7"/>
  <c r="B780" i="7"/>
  <c r="M779" i="7"/>
  <c r="L779" i="7"/>
  <c r="K779" i="7"/>
  <c r="J779" i="7"/>
  <c r="E779" i="7"/>
  <c r="D779" i="7"/>
  <c r="C779" i="7"/>
  <c r="T935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C776" i="7"/>
  <c r="T828" i="7"/>
  <c r="B776" i="7"/>
  <c r="M775" i="7"/>
  <c r="L775" i="7"/>
  <c r="K775" i="7"/>
  <c r="J775" i="7"/>
  <c r="E775" i="7"/>
  <c r="V931" i="7"/>
  <c r="D775" i="7"/>
  <c r="C775" i="7"/>
  <c r="T931" i="7"/>
  <c r="B775" i="7"/>
  <c r="M774" i="7"/>
  <c r="L774" i="7"/>
  <c r="K774" i="7"/>
  <c r="J774" i="7"/>
  <c r="E774" i="7"/>
  <c r="D774" i="7"/>
  <c r="C774" i="7"/>
  <c r="B774" i="7"/>
  <c r="M773" i="7"/>
  <c r="L773" i="7"/>
  <c r="K773" i="7"/>
  <c r="J773" i="7"/>
  <c r="E773" i="7"/>
  <c r="V929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V820" i="7"/>
  <c r="D768" i="7"/>
  <c r="C768" i="7"/>
  <c r="B768" i="7"/>
  <c r="M767" i="7"/>
  <c r="L767" i="7"/>
  <c r="K767" i="7"/>
  <c r="J767" i="7"/>
  <c r="E767" i="7"/>
  <c r="V871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V921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U970" i="7"/>
  <c r="C761" i="7"/>
  <c r="B761" i="7"/>
  <c r="M760" i="7"/>
  <c r="L760" i="7"/>
  <c r="K760" i="7"/>
  <c r="J760" i="7"/>
  <c r="E760" i="7"/>
  <c r="D760" i="7"/>
  <c r="C760" i="7"/>
  <c r="B760" i="7"/>
  <c r="M759" i="7"/>
  <c r="L759" i="7"/>
  <c r="K759" i="7"/>
  <c r="J759" i="7"/>
  <c r="E759" i="7"/>
  <c r="D759" i="7"/>
  <c r="C759" i="7"/>
  <c r="T863" i="7"/>
  <c r="B759" i="7"/>
  <c r="M758" i="7"/>
  <c r="L758" i="7"/>
  <c r="K758" i="7"/>
  <c r="J758" i="7"/>
  <c r="E758" i="7"/>
  <c r="D758" i="7"/>
  <c r="C758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T965" i="7"/>
  <c r="B756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V960" i="7"/>
  <c r="D751" i="7"/>
  <c r="U960" i="7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U958" i="7"/>
  <c r="C749" i="7"/>
  <c r="B749" i="7"/>
  <c r="M748" i="7"/>
  <c r="L748" i="7"/>
  <c r="K748" i="7"/>
  <c r="J748" i="7"/>
  <c r="E748" i="7"/>
  <c r="V957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V950" i="7"/>
  <c r="D741" i="7"/>
  <c r="C741" i="7"/>
  <c r="T845" i="7"/>
  <c r="B741" i="7"/>
  <c r="M740" i="7"/>
  <c r="L740" i="7"/>
  <c r="K740" i="7"/>
  <c r="J740" i="7"/>
  <c r="E740" i="7"/>
  <c r="V792" i="7"/>
  <c r="D740" i="7"/>
  <c r="U844" i="7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B738" i="7"/>
  <c r="M737" i="7"/>
  <c r="L737" i="7"/>
  <c r="K737" i="7"/>
  <c r="J737" i="7"/>
  <c r="E737" i="7"/>
  <c r="D737" i="7"/>
  <c r="C737" i="7"/>
  <c r="B737" i="7"/>
  <c r="S893" i="7"/>
  <c r="M736" i="7"/>
  <c r="L736" i="7"/>
  <c r="K736" i="7"/>
  <c r="J736" i="7"/>
  <c r="E736" i="7"/>
  <c r="D736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C734" i="7"/>
  <c r="B734" i="7"/>
  <c r="M733" i="7"/>
  <c r="L733" i="7"/>
  <c r="K733" i="7"/>
  <c r="J733" i="7"/>
  <c r="E733" i="7"/>
  <c r="D733" i="7"/>
  <c r="C733" i="7"/>
  <c r="B733" i="7"/>
  <c r="S785" i="7"/>
  <c r="M732" i="7"/>
  <c r="L732" i="7"/>
  <c r="K732" i="7"/>
  <c r="J732" i="7"/>
  <c r="E732" i="7"/>
  <c r="D732" i="7"/>
  <c r="C732" i="7"/>
  <c r="B732" i="7"/>
  <c r="M731" i="7"/>
  <c r="L731" i="7"/>
  <c r="K731" i="7"/>
  <c r="J731" i="7"/>
  <c r="E731" i="7"/>
  <c r="D731" i="7"/>
  <c r="C731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S936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S926" i="7"/>
  <c r="M716" i="7"/>
  <c r="L716" i="7"/>
  <c r="K716" i="7"/>
  <c r="J716" i="7"/>
  <c r="E716" i="7"/>
  <c r="V925" i="7"/>
  <c r="D716" i="7"/>
  <c r="C716" i="7"/>
  <c r="B716" i="7"/>
  <c r="M715" i="7"/>
  <c r="L715" i="7"/>
  <c r="K715" i="7"/>
  <c r="J715" i="7"/>
  <c r="E715" i="7"/>
  <c r="D715" i="7"/>
  <c r="C715" i="7"/>
  <c r="B715" i="7"/>
  <c r="M714" i="7"/>
  <c r="L714" i="7"/>
  <c r="K714" i="7"/>
  <c r="J714" i="7"/>
  <c r="E714" i="7"/>
  <c r="D714" i="7"/>
  <c r="C714" i="7"/>
  <c r="B714" i="7"/>
  <c r="S870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C712" i="7"/>
  <c r="B712" i="7"/>
  <c r="S868" i="7"/>
  <c r="M711" i="7"/>
  <c r="L711" i="7"/>
  <c r="K711" i="7"/>
  <c r="J711" i="7"/>
  <c r="E711" i="7"/>
  <c r="D711" i="7"/>
  <c r="C711" i="7"/>
  <c r="B711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B709" i="7"/>
  <c r="M708" i="7"/>
  <c r="L708" i="7"/>
  <c r="K708" i="7"/>
  <c r="J708" i="7"/>
  <c r="E708" i="7"/>
  <c r="D708" i="7"/>
  <c r="C708" i="7"/>
  <c r="T917" i="7"/>
  <c r="B708" i="7"/>
  <c r="M707" i="7"/>
  <c r="L707" i="7"/>
  <c r="K707" i="7"/>
  <c r="J707" i="7"/>
  <c r="E707" i="7"/>
  <c r="V811" i="7"/>
  <c r="D707" i="7"/>
  <c r="C707" i="7"/>
  <c r="B707" i="7"/>
  <c r="M706" i="7"/>
  <c r="L706" i="7"/>
  <c r="K706" i="7"/>
  <c r="J706" i="7"/>
  <c r="E706" i="7"/>
  <c r="D706" i="7"/>
  <c r="C706" i="7"/>
  <c r="T862" i="7"/>
  <c r="B706" i="7"/>
  <c r="M705" i="7"/>
  <c r="L705" i="7"/>
  <c r="K705" i="7"/>
  <c r="J705" i="7"/>
  <c r="E705" i="7"/>
  <c r="D705" i="7"/>
  <c r="U757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T911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S749" i="7"/>
  <c r="M696" i="7"/>
  <c r="L696" i="7"/>
  <c r="K696" i="7"/>
  <c r="J696" i="7"/>
  <c r="E696" i="7"/>
  <c r="D696" i="7"/>
  <c r="C696" i="7"/>
  <c r="T800" i="7"/>
  <c r="B696" i="7"/>
  <c r="M695" i="7"/>
  <c r="L695" i="7"/>
  <c r="K695" i="7"/>
  <c r="J695" i="7"/>
  <c r="E695" i="7"/>
  <c r="D695" i="7"/>
  <c r="U747" i="7"/>
  <c r="C695" i="7"/>
  <c r="B695" i="7"/>
  <c r="M694" i="7"/>
  <c r="L694" i="7"/>
  <c r="K694" i="7"/>
  <c r="J694" i="7"/>
  <c r="E694" i="7"/>
  <c r="V746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C687" i="7"/>
  <c r="B687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T788" i="7"/>
  <c r="B684" i="7"/>
  <c r="M683" i="7"/>
  <c r="L683" i="7"/>
  <c r="K683" i="7"/>
  <c r="E683" i="7"/>
  <c r="D683" i="7"/>
  <c r="C683" i="7"/>
  <c r="B683" i="7"/>
  <c r="S787" i="7"/>
  <c r="M682" i="7"/>
  <c r="L682" i="7"/>
  <c r="K682" i="7"/>
  <c r="E682" i="7"/>
  <c r="D682" i="7"/>
  <c r="C682" i="7"/>
  <c r="B682" i="7"/>
  <c r="M681" i="7"/>
  <c r="L681" i="7"/>
  <c r="K681" i="7"/>
  <c r="E681" i="7"/>
  <c r="D681" i="7"/>
  <c r="U890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M677" i="7"/>
  <c r="L677" i="7"/>
  <c r="K677" i="7"/>
  <c r="E677" i="7"/>
  <c r="D677" i="7"/>
  <c r="C677" i="7"/>
  <c r="T781" i="7"/>
  <c r="B677" i="7"/>
  <c r="M676" i="7"/>
  <c r="L676" i="7"/>
  <c r="K676" i="7"/>
  <c r="E676" i="7"/>
  <c r="D676" i="7"/>
  <c r="C676" i="7"/>
  <c r="B676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B674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878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T719" i="7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M664" i="7"/>
  <c r="L664" i="7"/>
  <c r="K664" i="7"/>
  <c r="E664" i="7"/>
  <c r="D664" i="7"/>
  <c r="C664" i="7"/>
  <c r="B664" i="7"/>
  <c r="S873" i="7"/>
  <c r="M663" i="7"/>
  <c r="L663" i="7"/>
  <c r="K663" i="7"/>
  <c r="E663" i="7"/>
  <c r="D663" i="7"/>
  <c r="U715" i="7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U870" i="7"/>
  <c r="C661" i="7"/>
  <c r="T817" i="7"/>
  <c r="B661" i="7"/>
  <c r="M660" i="7"/>
  <c r="L660" i="7"/>
  <c r="K660" i="7"/>
  <c r="E660" i="7"/>
  <c r="D660" i="7"/>
  <c r="C660" i="7"/>
  <c r="B660" i="7"/>
  <c r="M659" i="7"/>
  <c r="L659" i="7"/>
  <c r="K659" i="7"/>
  <c r="E659" i="7"/>
  <c r="V711" i="7"/>
  <c r="D659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M651" i="7"/>
  <c r="L651" i="7"/>
  <c r="K651" i="7"/>
  <c r="E651" i="7"/>
  <c r="D651" i="7"/>
  <c r="U860" i="7"/>
  <c r="C651" i="7"/>
  <c r="B651" i="7"/>
  <c r="M650" i="7"/>
  <c r="L650" i="7"/>
  <c r="K650" i="7"/>
  <c r="E650" i="7"/>
  <c r="V806" i="7"/>
  <c r="D650" i="7"/>
  <c r="C650" i="7"/>
  <c r="B650" i="7"/>
  <c r="M649" i="7"/>
  <c r="L649" i="7"/>
  <c r="K649" i="7"/>
  <c r="E649" i="7"/>
  <c r="D649" i="7"/>
  <c r="C649" i="7"/>
  <c r="B649" i="7"/>
  <c r="M648" i="7"/>
  <c r="L648" i="7"/>
  <c r="K648" i="7"/>
  <c r="E648" i="7"/>
  <c r="D648" i="7"/>
  <c r="U804" i="7"/>
  <c r="C648" i="7"/>
  <c r="B648" i="7"/>
  <c r="M647" i="7"/>
  <c r="L647" i="7"/>
  <c r="K647" i="7"/>
  <c r="E647" i="7"/>
  <c r="D647" i="7"/>
  <c r="C647" i="7"/>
  <c r="B647" i="7"/>
  <c r="S699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S697" i="7"/>
  <c r="M644" i="7"/>
  <c r="L644" i="7"/>
  <c r="K644" i="7"/>
  <c r="E644" i="7"/>
  <c r="D644" i="7"/>
  <c r="C644" i="7"/>
  <c r="B644" i="7"/>
  <c r="M643" i="7"/>
  <c r="L643" i="7"/>
  <c r="K643" i="7"/>
  <c r="E643" i="7"/>
  <c r="V695" i="7"/>
  <c r="D643" i="7"/>
  <c r="C643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M639" i="7"/>
  <c r="L639" i="7"/>
  <c r="K639" i="7"/>
  <c r="E639" i="7"/>
  <c r="D639" i="7"/>
  <c r="U795" i="7"/>
  <c r="C639" i="7"/>
  <c r="B639" i="7"/>
  <c r="M638" i="7"/>
  <c r="L638" i="7"/>
  <c r="K638" i="7"/>
  <c r="E638" i="7"/>
  <c r="D638" i="7"/>
  <c r="C638" i="7"/>
  <c r="B638" i="7"/>
  <c r="S690" i="7"/>
  <c r="M637" i="7"/>
  <c r="L637" i="7"/>
  <c r="K637" i="7"/>
  <c r="E637" i="7"/>
  <c r="D637" i="7"/>
  <c r="C637" i="7"/>
  <c r="T846" i="7"/>
  <c r="B637" i="7"/>
  <c r="S689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T791" i="7"/>
  <c r="B635" i="7"/>
  <c r="M634" i="7"/>
  <c r="K634" i="7"/>
  <c r="E634" i="7"/>
  <c r="V843" i="7"/>
  <c r="D634" i="7"/>
  <c r="C634" i="7"/>
  <c r="B634" i="7"/>
  <c r="M633" i="7"/>
  <c r="K633" i="7"/>
  <c r="E633" i="7"/>
  <c r="V737" i="7"/>
  <c r="D633" i="7"/>
  <c r="C633" i="7"/>
  <c r="B633" i="7"/>
  <c r="M632" i="7"/>
  <c r="K632" i="7"/>
  <c r="E632" i="7"/>
  <c r="V788" i="7"/>
  <c r="D632" i="7"/>
  <c r="C632" i="7"/>
  <c r="B632" i="7"/>
  <c r="M631" i="7"/>
  <c r="K631" i="7"/>
  <c r="E631" i="7"/>
  <c r="D631" i="7"/>
  <c r="C631" i="7"/>
  <c r="B631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D627" i="7"/>
  <c r="C627" i="7"/>
  <c r="B627" i="7"/>
  <c r="S731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B624" i="7"/>
  <c r="M623" i="7"/>
  <c r="K623" i="7"/>
  <c r="E623" i="7"/>
  <c r="D623" i="7"/>
  <c r="C623" i="7"/>
  <c r="T675" i="7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B619" i="7"/>
  <c r="M618" i="7"/>
  <c r="K618" i="7"/>
  <c r="E618" i="7"/>
  <c r="D618" i="7"/>
  <c r="C618" i="7"/>
  <c r="B618" i="7"/>
  <c r="S827" i="7"/>
  <c r="M617" i="7"/>
  <c r="K617" i="7"/>
  <c r="E617" i="7"/>
  <c r="D617" i="7"/>
  <c r="C617" i="7"/>
  <c r="B617" i="7"/>
  <c r="S773" i="7"/>
  <c r="M616" i="7"/>
  <c r="K616" i="7"/>
  <c r="E616" i="7"/>
  <c r="D616" i="7"/>
  <c r="C616" i="7"/>
  <c r="B616" i="7"/>
  <c r="M615" i="7"/>
  <c r="K615" i="7"/>
  <c r="E615" i="7"/>
  <c r="V667" i="7"/>
  <c r="D615" i="7"/>
  <c r="C615" i="7"/>
  <c r="B615" i="7"/>
  <c r="M614" i="7"/>
  <c r="K614" i="7"/>
  <c r="E614" i="7"/>
  <c r="D614" i="7"/>
  <c r="C614" i="7"/>
  <c r="B614" i="7"/>
  <c r="M613" i="7"/>
  <c r="K613" i="7"/>
  <c r="E613" i="7"/>
  <c r="V665" i="7"/>
  <c r="D613" i="7"/>
  <c r="C613" i="7"/>
  <c r="T769" i="7"/>
  <c r="B613" i="7"/>
  <c r="M612" i="7"/>
  <c r="K612" i="7"/>
  <c r="E612" i="7"/>
  <c r="D612" i="7"/>
  <c r="C612" i="7"/>
  <c r="B612" i="7"/>
  <c r="S821" i="7"/>
  <c r="M611" i="7"/>
  <c r="K611" i="7"/>
  <c r="E611" i="7"/>
  <c r="D611" i="7"/>
  <c r="C611" i="7"/>
  <c r="B611" i="7"/>
  <c r="M610" i="7"/>
  <c r="K610" i="7"/>
  <c r="E610" i="7"/>
  <c r="D610" i="7"/>
  <c r="C610" i="7"/>
  <c r="B610" i="7"/>
  <c r="M609" i="7"/>
  <c r="K609" i="7"/>
  <c r="E609" i="7"/>
  <c r="D609" i="7"/>
  <c r="C609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M606" i="7"/>
  <c r="K606" i="7"/>
  <c r="E606" i="7"/>
  <c r="D606" i="7"/>
  <c r="C606" i="7"/>
  <c r="B606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S757" i="7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U807" i="7"/>
  <c r="C598" i="7"/>
  <c r="B598" i="7"/>
  <c r="S754" i="7"/>
  <c r="M597" i="7"/>
  <c r="K597" i="7"/>
  <c r="E597" i="7"/>
  <c r="D597" i="7"/>
  <c r="C597" i="7"/>
  <c r="B597" i="7"/>
  <c r="S806" i="7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D594" i="7"/>
  <c r="C594" i="7"/>
  <c r="B594" i="7"/>
  <c r="M593" i="7"/>
  <c r="K593" i="7"/>
  <c r="E593" i="7"/>
  <c r="D593" i="7"/>
  <c r="U749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C590" i="7"/>
  <c r="B590" i="7"/>
  <c r="M589" i="7"/>
  <c r="K589" i="7"/>
  <c r="E589" i="7"/>
  <c r="V641" i="7"/>
  <c r="D589" i="7"/>
  <c r="C589" i="7"/>
  <c r="B589" i="7"/>
  <c r="M588" i="7"/>
  <c r="K588" i="7"/>
  <c r="E588" i="7"/>
  <c r="D588" i="7"/>
  <c r="C588" i="7"/>
  <c r="B588" i="7"/>
  <c r="M587" i="7"/>
  <c r="K587" i="7"/>
  <c r="E587" i="7"/>
  <c r="D587" i="7"/>
  <c r="C587" i="7"/>
  <c r="B587" i="7"/>
  <c r="S691" i="7"/>
  <c r="M586" i="7"/>
  <c r="K586" i="7"/>
  <c r="E586" i="7"/>
  <c r="D586" i="7"/>
  <c r="C586" i="7"/>
  <c r="B586" i="7"/>
  <c r="M585" i="7"/>
  <c r="K585" i="7"/>
  <c r="E585" i="7"/>
  <c r="V741" i="7"/>
  <c r="D585" i="7"/>
  <c r="U689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S739" i="7"/>
  <c r="M582" i="7"/>
  <c r="K582" i="7"/>
  <c r="E582" i="7"/>
  <c r="D582" i="7"/>
  <c r="C582" i="7"/>
  <c r="B582" i="7"/>
  <c r="M581" i="7"/>
  <c r="K581" i="7"/>
  <c r="E581" i="7"/>
  <c r="D581" i="7"/>
  <c r="C581" i="7"/>
  <c r="B581" i="7"/>
  <c r="E580" i="7"/>
  <c r="D580" i="7"/>
  <c r="C580" i="7"/>
  <c r="B580" i="7"/>
  <c r="E579" i="7"/>
  <c r="D579" i="7"/>
  <c r="C579" i="7"/>
  <c r="B579" i="7"/>
  <c r="E578" i="7"/>
  <c r="V630" i="7"/>
  <c r="D578" i="7"/>
  <c r="C578" i="7"/>
  <c r="B578" i="7"/>
  <c r="E577" i="7"/>
  <c r="D577" i="7"/>
  <c r="C577" i="7"/>
  <c r="B577" i="7"/>
  <c r="E576" i="7"/>
  <c r="V628" i="7"/>
  <c r="D576" i="7"/>
  <c r="C576" i="7"/>
  <c r="B576" i="7"/>
  <c r="E575" i="7"/>
  <c r="D575" i="7"/>
  <c r="U784" i="7"/>
  <c r="C575" i="7"/>
  <c r="B575" i="7"/>
  <c r="E574" i="7"/>
  <c r="D574" i="7"/>
  <c r="C574" i="7"/>
  <c r="B574" i="7"/>
  <c r="E573" i="7"/>
  <c r="D573" i="7"/>
  <c r="C573" i="7"/>
  <c r="B573" i="7"/>
  <c r="E572" i="7"/>
  <c r="V728" i="7"/>
  <c r="D572" i="7"/>
  <c r="C572" i="7"/>
  <c r="B572" i="7"/>
  <c r="E571" i="7"/>
  <c r="D571" i="7"/>
  <c r="C571" i="7"/>
  <c r="B571" i="7"/>
  <c r="E570" i="7"/>
  <c r="D570" i="7"/>
  <c r="C570" i="7"/>
  <c r="B570" i="7"/>
  <c r="E569" i="7"/>
  <c r="D569" i="7"/>
  <c r="C569" i="7"/>
  <c r="B569" i="7"/>
  <c r="E568" i="7"/>
  <c r="D568" i="7"/>
  <c r="C568" i="7"/>
  <c r="B568" i="7"/>
  <c r="E567" i="7"/>
  <c r="D567" i="7"/>
  <c r="C567" i="7"/>
  <c r="B567" i="7"/>
  <c r="E566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T715" i="7"/>
  <c r="B559" i="7"/>
  <c r="E558" i="7"/>
  <c r="D558" i="7"/>
  <c r="C558" i="7"/>
  <c r="B558" i="7"/>
  <c r="E557" i="7"/>
  <c r="D557" i="7"/>
  <c r="U713" i="7"/>
  <c r="C557" i="7"/>
  <c r="T661" i="7"/>
  <c r="B557" i="7"/>
  <c r="E556" i="7"/>
  <c r="D556" i="7"/>
  <c r="U660" i="7"/>
  <c r="C556" i="7"/>
  <c r="B556" i="7"/>
  <c r="E555" i="7"/>
  <c r="D555" i="7"/>
  <c r="C555" i="7"/>
  <c r="B555" i="7"/>
  <c r="S711" i="7"/>
  <c r="E554" i="7"/>
  <c r="D554" i="7"/>
  <c r="C554" i="7"/>
  <c r="B554" i="7"/>
  <c r="E553" i="7"/>
  <c r="D553" i="7"/>
  <c r="U762" i="7"/>
  <c r="C553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C548" i="7"/>
  <c r="B548" i="7"/>
  <c r="E547" i="7"/>
  <c r="D547" i="7"/>
  <c r="C547" i="7"/>
  <c r="B547" i="7"/>
  <c r="E546" i="7"/>
  <c r="D546" i="7"/>
  <c r="C546" i="7"/>
  <c r="B546" i="7"/>
  <c r="S702" i="7"/>
  <c r="E545" i="7"/>
  <c r="D545" i="7"/>
  <c r="U754" i="7"/>
  <c r="C545" i="7"/>
  <c r="B545" i="7"/>
  <c r="E544" i="7"/>
  <c r="D544" i="7"/>
  <c r="C544" i="7"/>
  <c r="B544" i="7"/>
  <c r="E543" i="7"/>
  <c r="V595" i="7"/>
  <c r="D543" i="7"/>
  <c r="C543" i="7"/>
  <c r="B543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C539" i="7"/>
  <c r="B539" i="7"/>
  <c r="E538" i="7"/>
  <c r="D538" i="7"/>
  <c r="C538" i="7"/>
  <c r="B538" i="7"/>
  <c r="S694" i="7"/>
  <c r="E537" i="7"/>
  <c r="D537" i="7"/>
  <c r="C537" i="7"/>
  <c r="B537" i="7"/>
  <c r="S746" i="7"/>
  <c r="E536" i="7"/>
  <c r="D536" i="7"/>
  <c r="C536" i="7"/>
  <c r="T588" i="7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C532" i="7"/>
  <c r="B532" i="7"/>
  <c r="E531" i="7"/>
  <c r="D531" i="7"/>
  <c r="U740" i="7"/>
  <c r="C531" i="7"/>
  <c r="E530" i="7"/>
  <c r="D530" i="7"/>
  <c r="C530" i="7"/>
  <c r="E529" i="7"/>
  <c r="D529" i="7"/>
  <c r="C529" i="7"/>
  <c r="E528" i="7"/>
  <c r="D528" i="7"/>
  <c r="C528" i="7"/>
  <c r="E527" i="7"/>
  <c r="D527" i="7"/>
  <c r="C527" i="7"/>
  <c r="E526" i="7"/>
  <c r="D526" i="7"/>
  <c r="U735" i="7"/>
  <c r="C526" i="7"/>
  <c r="E525" i="7"/>
  <c r="D525" i="7"/>
  <c r="C525" i="7"/>
  <c r="E524" i="7"/>
  <c r="D524" i="7"/>
  <c r="C524" i="7"/>
  <c r="E523" i="7"/>
  <c r="V679" i="7"/>
  <c r="D523" i="7"/>
  <c r="C523" i="7"/>
  <c r="E522" i="7"/>
  <c r="D522" i="7"/>
  <c r="C522" i="7"/>
  <c r="E521" i="7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C512" i="7"/>
  <c r="E511" i="7"/>
  <c r="D511" i="7"/>
  <c r="C511" i="7"/>
  <c r="E510" i="7"/>
  <c r="V719" i="7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U661" i="7"/>
  <c r="C505" i="7"/>
  <c r="E504" i="7"/>
  <c r="D504" i="7"/>
  <c r="C504" i="7"/>
  <c r="E503" i="7"/>
  <c r="D503" i="7"/>
  <c r="C503" i="7"/>
  <c r="T712" i="7"/>
  <c r="E502" i="7"/>
  <c r="D502" i="7"/>
  <c r="C502" i="7"/>
  <c r="E501" i="7"/>
  <c r="D501" i="7"/>
  <c r="C501" i="7"/>
  <c r="E500" i="7"/>
  <c r="D500" i="7"/>
  <c r="U656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T652" i="7"/>
  <c r="E495" i="7"/>
  <c r="D495" i="7"/>
  <c r="C495" i="7"/>
  <c r="E494" i="7"/>
  <c r="D494" i="7"/>
  <c r="C494" i="7"/>
  <c r="E493" i="7"/>
  <c r="D493" i="7"/>
  <c r="C493" i="7"/>
  <c r="T702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U644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U685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T628" i="7"/>
  <c r="E471" i="7"/>
  <c r="V627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D460" i="7"/>
  <c r="C460" i="7"/>
  <c r="T616" i="7"/>
  <c r="E459" i="7"/>
  <c r="D459" i="7"/>
  <c r="C459" i="7"/>
  <c r="E458" i="7"/>
  <c r="D458" i="7"/>
  <c r="U667" i="7"/>
  <c r="C458" i="7"/>
  <c r="E457" i="7"/>
  <c r="D457" i="7"/>
  <c r="C457" i="7"/>
  <c r="E456" i="7"/>
  <c r="D456" i="7"/>
  <c r="C456" i="7"/>
  <c r="T665" i="7"/>
  <c r="E455" i="7"/>
  <c r="D455" i="7"/>
  <c r="C455" i="7"/>
  <c r="E454" i="7"/>
  <c r="D454" i="7"/>
  <c r="C454" i="7"/>
  <c r="E453" i="7"/>
  <c r="D453" i="7"/>
  <c r="U662" i="7"/>
  <c r="C453" i="7"/>
  <c r="E452" i="7"/>
  <c r="D452" i="7"/>
  <c r="C452" i="7"/>
  <c r="E451" i="7"/>
  <c r="D451" i="7"/>
  <c r="C451" i="7"/>
  <c r="T660" i="7"/>
  <c r="E450" i="7"/>
  <c r="D450" i="7"/>
  <c r="U659" i="7"/>
  <c r="C450" i="7"/>
  <c r="E449" i="7"/>
  <c r="D449" i="7"/>
  <c r="U658" i="7"/>
  <c r="C449" i="7"/>
  <c r="T605" i="7"/>
  <c r="E448" i="7"/>
  <c r="V604" i="7"/>
  <c r="D448" i="7"/>
  <c r="C448" i="7"/>
  <c r="E447" i="7"/>
  <c r="D447" i="7"/>
  <c r="C447" i="7"/>
  <c r="E446" i="7"/>
  <c r="V655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C436" i="7"/>
  <c r="E435" i="7"/>
  <c r="D435" i="7"/>
  <c r="C435" i="7"/>
  <c r="E434" i="7"/>
  <c r="D434" i="7"/>
  <c r="C434" i="7"/>
  <c r="E433" i="7"/>
  <c r="V589" i="7"/>
  <c r="D433" i="7"/>
  <c r="C433" i="7"/>
  <c r="E432" i="7"/>
  <c r="D432" i="7"/>
  <c r="C432" i="7"/>
  <c r="E431" i="7"/>
  <c r="D431" i="7"/>
  <c r="C431" i="7"/>
  <c r="T587" i="7"/>
  <c r="E430" i="7"/>
  <c r="D430" i="7"/>
  <c r="C430" i="7"/>
  <c r="E429" i="7"/>
  <c r="D429" i="7"/>
  <c r="U638" i="7"/>
  <c r="C429" i="7"/>
  <c r="T638" i="7"/>
  <c r="E428" i="7"/>
  <c r="D428" i="7"/>
  <c r="C428" i="7"/>
  <c r="T584" i="7"/>
  <c r="E427" i="7"/>
  <c r="D427" i="7"/>
  <c r="C427" i="7"/>
  <c r="E426" i="7"/>
  <c r="C426" i="7"/>
  <c r="E425" i="7"/>
  <c r="C425" i="7"/>
  <c r="E424" i="7"/>
  <c r="C424" i="7"/>
  <c r="E423" i="7"/>
  <c r="C423" i="7"/>
  <c r="E422" i="7"/>
  <c r="C422" i="7"/>
  <c r="E421" i="7"/>
  <c r="C421" i="7"/>
  <c r="E420" i="7"/>
  <c r="C420" i="7"/>
  <c r="E419" i="7"/>
  <c r="C419" i="7"/>
  <c r="E418" i="7"/>
  <c r="C418" i="7"/>
  <c r="E417" i="7"/>
  <c r="C417" i="7"/>
  <c r="E416" i="7"/>
  <c r="C416" i="7"/>
  <c r="E415" i="7"/>
  <c r="C415" i="7"/>
  <c r="E414" i="7"/>
  <c r="C414" i="7"/>
  <c r="E413" i="7"/>
  <c r="C413" i="7"/>
  <c r="E412" i="7"/>
  <c r="C412" i="7"/>
  <c r="E411" i="7"/>
  <c r="C411" i="7"/>
  <c r="E410" i="7"/>
  <c r="V618" i="7"/>
  <c r="C410" i="7"/>
  <c r="E409" i="7"/>
  <c r="C409" i="7"/>
  <c r="E408" i="7"/>
  <c r="C408" i="7"/>
  <c r="E407" i="7"/>
  <c r="C407" i="7"/>
  <c r="E406" i="7"/>
  <c r="C406" i="7"/>
  <c r="E405" i="7"/>
  <c r="V613" i="7"/>
  <c r="C405" i="7"/>
  <c r="E404" i="7"/>
  <c r="C404" i="7"/>
  <c r="E403" i="7"/>
  <c r="C403" i="7"/>
  <c r="E402" i="7"/>
  <c r="C402" i="7"/>
  <c r="E401" i="7"/>
  <c r="C401" i="7"/>
  <c r="E400" i="7"/>
  <c r="C400" i="7"/>
  <c r="E399" i="7"/>
  <c r="C399" i="7"/>
  <c r="E398" i="7"/>
  <c r="C398" i="7"/>
  <c r="E397" i="7"/>
  <c r="V605" i="7"/>
  <c r="C397" i="7"/>
  <c r="E396" i="7"/>
  <c r="C396" i="7"/>
  <c r="E395" i="7"/>
  <c r="C395" i="7"/>
  <c r="E394" i="7"/>
  <c r="C394" i="7"/>
  <c r="E393" i="7"/>
  <c r="C393" i="7"/>
  <c r="E392" i="7"/>
  <c r="C392" i="7"/>
  <c r="E391" i="7"/>
  <c r="C391" i="7"/>
  <c r="E390" i="7"/>
  <c r="C390" i="7"/>
  <c r="E389" i="7"/>
  <c r="C389" i="7"/>
  <c r="E388" i="7"/>
  <c r="C388" i="7"/>
  <c r="E387" i="7"/>
  <c r="C387" i="7"/>
  <c r="E386" i="7"/>
  <c r="C386" i="7"/>
  <c r="E385" i="7"/>
  <c r="C385" i="7"/>
  <c r="E384" i="7"/>
  <c r="C384" i="7"/>
  <c r="E383" i="7"/>
  <c r="C383" i="7"/>
  <c r="E382" i="7"/>
  <c r="C382" i="7"/>
  <c r="E381" i="7"/>
  <c r="C381" i="7"/>
  <c r="E380" i="7"/>
  <c r="V588" i="7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H831" i="1"/>
  <c r="H830" i="1"/>
  <c r="H829" i="1"/>
  <c r="H828" i="1"/>
  <c r="H827" i="1"/>
  <c r="H826" i="1"/>
  <c r="H825" i="1"/>
  <c r="F828" i="7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I810" i="1"/>
  <c r="H809" i="1"/>
  <c r="H808" i="1"/>
  <c r="H807" i="1"/>
  <c r="H806" i="1"/>
  <c r="H805" i="1"/>
  <c r="F808" i="7"/>
  <c r="H804" i="1"/>
  <c r="H803" i="1"/>
  <c r="H802" i="1"/>
  <c r="H801" i="1"/>
  <c r="N1009" i="7"/>
  <c r="H800" i="1"/>
  <c r="I800" i="1"/>
  <c r="H799" i="1"/>
  <c r="H798" i="1"/>
  <c r="H797" i="1"/>
  <c r="H796" i="1"/>
  <c r="N1004" i="7"/>
  <c r="H795" i="1"/>
  <c r="H794" i="1"/>
  <c r="I794" i="1"/>
  <c r="H79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H792" i="1"/>
  <c r="I792" i="1"/>
  <c r="H791" i="1"/>
  <c r="H790" i="1"/>
  <c r="N998" i="7"/>
  <c r="H789" i="1"/>
  <c r="H788" i="1"/>
  <c r="H787" i="1"/>
  <c r="N943" i="7"/>
  <c r="H786" i="1"/>
  <c r="F786" i="7"/>
  <c r="H785" i="1"/>
  <c r="H784" i="1"/>
  <c r="H783" i="1"/>
  <c r="H782" i="1"/>
  <c r="H781" i="1"/>
  <c r="H780" i="1"/>
  <c r="N988" i="7"/>
  <c r="H779" i="1"/>
  <c r="H778" i="1"/>
  <c r="I778" i="1"/>
  <c r="H777" i="1"/>
  <c r="H776" i="1"/>
  <c r="H775" i="1"/>
  <c r="I775" i="1"/>
  <c r="H774" i="1"/>
  <c r="H773" i="1"/>
  <c r="H772" i="1"/>
  <c r="N980" i="7"/>
  <c r="H771" i="1"/>
  <c r="I771" i="1"/>
  <c r="H770" i="1"/>
  <c r="H769" i="1"/>
  <c r="H768" i="1"/>
  <c r="H767" i="1"/>
  <c r="I767" i="1"/>
  <c r="H766" i="1"/>
  <c r="H765" i="1"/>
  <c r="H764" i="1"/>
  <c r="H763" i="1"/>
  <c r="I763" i="1"/>
  <c r="H710" i="1"/>
  <c r="H762" i="1"/>
  <c r="H761" i="1"/>
  <c r="H760" i="1"/>
  <c r="I760" i="1"/>
  <c r="H759" i="1"/>
  <c r="H758" i="1"/>
  <c r="N966" i="7"/>
  <c r="H757" i="1"/>
  <c r="I757" i="1"/>
  <c r="H756" i="1"/>
  <c r="H755" i="1"/>
  <c r="H754" i="1"/>
  <c r="I754" i="1"/>
  <c r="H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/>
  <c r="H741" i="1"/>
  <c r="I741" i="1"/>
  <c r="H740" i="1"/>
  <c r="H739" i="1"/>
  <c r="H737" i="1"/>
  <c r="I737" i="1"/>
  <c r="H738" i="1"/>
  <c r="H736" i="1"/>
  <c r="H735" i="1"/>
  <c r="H734" i="1"/>
  <c r="H733" i="1"/>
  <c r="I733" i="1"/>
  <c r="H732" i="1"/>
  <c r="H731" i="1"/>
  <c r="H730" i="1"/>
  <c r="I730" i="1"/>
  <c r="H729" i="1"/>
  <c r="H728" i="1"/>
  <c r="H727" i="1"/>
  <c r="H726" i="1"/>
  <c r="H725" i="1"/>
  <c r="I725" i="1"/>
  <c r="H724" i="1"/>
  <c r="I724" i="1"/>
  <c r="H723" i="1"/>
  <c r="H722" i="1"/>
  <c r="H721" i="1"/>
  <c r="I721" i="1"/>
  <c r="H720" i="1"/>
  <c r="H719" i="1"/>
  <c r="I719" i="1"/>
  <c r="H718" i="1"/>
  <c r="H717" i="1"/>
  <c r="H716" i="1"/>
  <c r="H714" i="1"/>
  <c r="H715" i="1"/>
  <c r="I715" i="1"/>
  <c r="H713" i="1"/>
  <c r="F716" i="7"/>
  <c r="I713" i="1"/>
  <c r="H712" i="1"/>
  <c r="H711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2" i="1"/>
  <c r="H693" i="1"/>
  <c r="H694" i="1"/>
  <c r="H695" i="1"/>
  <c r="H696" i="1"/>
  <c r="H691" i="1"/>
  <c r="H690" i="1"/>
  <c r="N846" i="7"/>
  <c r="H689" i="1"/>
  <c r="I689" i="1"/>
  <c r="H688" i="1"/>
  <c r="H687" i="1"/>
  <c r="I687" i="1"/>
  <c r="H686" i="1"/>
  <c r="H685" i="1"/>
  <c r="H684" i="1"/>
  <c r="H683" i="1"/>
  <c r="I683" i="1"/>
  <c r="H682" i="1"/>
  <c r="I682" i="1"/>
  <c r="H681" i="1"/>
  <c r="H680" i="1"/>
  <c r="H679" i="1"/>
  <c r="H678" i="1"/>
  <c r="I678" i="1"/>
  <c r="H677" i="1"/>
  <c r="H676" i="1"/>
  <c r="H675" i="1"/>
  <c r="H674" i="1"/>
  <c r="I674" i="1"/>
  <c r="H673" i="1"/>
  <c r="H672" i="1"/>
  <c r="H671" i="1"/>
  <c r="H670" i="1"/>
  <c r="H669" i="1"/>
  <c r="H668" i="1"/>
  <c r="H667" i="1"/>
  <c r="H666" i="1"/>
  <c r="I666" i="1"/>
  <c r="H665" i="1"/>
  <c r="H662" i="1"/>
  <c r="H663" i="1"/>
  <c r="H664" i="1"/>
  <c r="I664" i="1"/>
  <c r="H610" i="1"/>
  <c r="H611" i="1"/>
  <c r="H612" i="1"/>
  <c r="H613" i="1"/>
  <c r="H558" i="1"/>
  <c r="H559" i="1"/>
  <c r="H560" i="1"/>
  <c r="I560" i="1"/>
  <c r="H561" i="1"/>
  <c r="H506" i="1"/>
  <c r="N714" i="7"/>
  <c r="H507" i="1"/>
  <c r="H508" i="1"/>
  <c r="H509" i="1"/>
  <c r="H454" i="1"/>
  <c r="H455" i="1"/>
  <c r="H456" i="1"/>
  <c r="H457" i="1"/>
  <c r="F457" i="7"/>
  <c r="H661" i="1"/>
  <c r="H581" i="1"/>
  <c r="H582" i="1"/>
  <c r="H583" i="1"/>
  <c r="H584" i="1"/>
  <c r="H585" i="1"/>
  <c r="H586" i="1"/>
  <c r="H587" i="1"/>
  <c r="H588" i="1"/>
  <c r="H589" i="1"/>
  <c r="H590" i="1"/>
  <c r="I590" i="1"/>
  <c r="G592" i="7"/>
  <c r="H591" i="1"/>
  <c r="H592" i="1"/>
  <c r="H593" i="1"/>
  <c r="H594" i="1"/>
  <c r="H595" i="1"/>
  <c r="H596" i="1"/>
  <c r="H597" i="1"/>
  <c r="H598" i="1"/>
  <c r="H599" i="1"/>
  <c r="H600" i="1"/>
  <c r="H601" i="1"/>
  <c r="I601" i="1"/>
  <c r="H602" i="1"/>
  <c r="I602" i="1"/>
  <c r="H603" i="1"/>
  <c r="H604" i="1"/>
  <c r="I604" i="1"/>
  <c r="H605" i="1"/>
  <c r="H606" i="1"/>
  <c r="I606" i="1"/>
  <c r="H607" i="1"/>
  <c r="I607" i="1"/>
  <c r="H608" i="1"/>
  <c r="H609" i="1"/>
  <c r="H633" i="1"/>
  <c r="H634" i="1"/>
  <c r="H635" i="1"/>
  <c r="N791" i="7"/>
  <c r="H636" i="1"/>
  <c r="I636" i="1"/>
  <c r="H637" i="1"/>
  <c r="N845" i="7"/>
  <c r="H638" i="1"/>
  <c r="H639" i="1"/>
  <c r="H640" i="1"/>
  <c r="H641" i="1"/>
  <c r="F642" i="7"/>
  <c r="H642" i="1"/>
  <c r="H643" i="1"/>
  <c r="H644" i="1"/>
  <c r="H645" i="1"/>
  <c r="H646" i="1"/>
  <c r="H647" i="1"/>
  <c r="I647" i="1"/>
  <c r="H648" i="1"/>
  <c r="I648" i="1"/>
  <c r="H649" i="1"/>
  <c r="I649" i="1"/>
  <c r="H650" i="1"/>
  <c r="H651" i="1"/>
  <c r="H652" i="1"/>
  <c r="H653" i="1"/>
  <c r="H654" i="1"/>
  <c r="N862" i="7"/>
  <c r="H655" i="1"/>
  <c r="I655" i="1"/>
  <c r="H656" i="1"/>
  <c r="H657" i="1"/>
  <c r="H658" i="1"/>
  <c r="I658" i="1"/>
  <c r="H659" i="1"/>
  <c r="H660" i="1"/>
  <c r="H557" i="1"/>
  <c r="H505" i="1"/>
  <c r="H453" i="1"/>
  <c r="H556" i="1"/>
  <c r="I556" i="1"/>
  <c r="H504" i="1"/>
  <c r="H452" i="1"/>
  <c r="H555" i="1"/>
  <c r="H503" i="1"/>
  <c r="H451" i="1"/>
  <c r="H554" i="1"/>
  <c r="H502" i="1"/>
  <c r="H450" i="1"/>
  <c r="H553" i="1"/>
  <c r="H501" i="1"/>
  <c r="H449" i="1"/>
  <c r="F451" i="7"/>
  <c r="H552" i="1"/>
  <c r="H500" i="1"/>
  <c r="H448" i="1"/>
  <c r="H551" i="1"/>
  <c r="I551" i="1"/>
  <c r="H499" i="1"/>
  <c r="H447" i="1"/>
  <c r="H550" i="1"/>
  <c r="H498" i="1"/>
  <c r="H446" i="1"/>
  <c r="H549" i="1"/>
  <c r="H497" i="1"/>
  <c r="H445" i="1"/>
  <c r="H548" i="1"/>
  <c r="H496" i="1"/>
  <c r="H444" i="1"/>
  <c r="H547" i="1"/>
  <c r="H495" i="1"/>
  <c r="N703" i="7"/>
  <c r="H443" i="1"/>
  <c r="H529" i="1"/>
  <c r="H530" i="1"/>
  <c r="H531" i="1"/>
  <c r="I531" i="1"/>
  <c r="H532" i="1"/>
  <c r="F533" i="7"/>
  <c r="H533" i="1"/>
  <c r="H534" i="1"/>
  <c r="I534" i="1"/>
  <c r="H535" i="1"/>
  <c r="H536" i="1"/>
  <c r="H537" i="1"/>
  <c r="H538" i="1"/>
  <c r="N642" i="7"/>
  <c r="I538" i="1"/>
  <c r="H539" i="1"/>
  <c r="H540" i="1"/>
  <c r="H541" i="1"/>
  <c r="H542" i="1"/>
  <c r="H543" i="1"/>
  <c r="H544" i="1"/>
  <c r="H545" i="1"/>
  <c r="H546" i="1"/>
  <c r="H562" i="1"/>
  <c r="H563" i="1"/>
  <c r="H564" i="1"/>
  <c r="I564" i="1"/>
  <c r="H565" i="1"/>
  <c r="H566" i="1"/>
  <c r="I566" i="1"/>
  <c r="H567" i="1"/>
  <c r="H568" i="1"/>
  <c r="N672" i="7"/>
  <c r="H569" i="1"/>
  <c r="I569" i="1"/>
  <c r="H570" i="1"/>
  <c r="H571" i="1"/>
  <c r="H572" i="1"/>
  <c r="I572" i="1"/>
  <c r="H573" i="1"/>
  <c r="I573" i="1"/>
  <c r="H574" i="1"/>
  <c r="I574" i="1"/>
  <c r="H575" i="1"/>
  <c r="I575" i="1"/>
  <c r="H576" i="1"/>
  <c r="H577" i="1"/>
  <c r="H578" i="1"/>
  <c r="H579" i="1"/>
  <c r="H528" i="1"/>
  <c r="H580" i="1"/>
  <c r="H614" i="1"/>
  <c r="H615" i="1"/>
  <c r="H616" i="1"/>
  <c r="I616" i="1"/>
  <c r="H617" i="1"/>
  <c r="I617" i="1"/>
  <c r="H618" i="1"/>
  <c r="H619" i="1"/>
  <c r="H620" i="1"/>
  <c r="I620" i="1"/>
  <c r="H621" i="1"/>
  <c r="H622" i="1"/>
  <c r="H623" i="1"/>
  <c r="I623" i="1"/>
  <c r="H624" i="1"/>
  <c r="H625" i="1"/>
  <c r="H626" i="1"/>
  <c r="H627" i="1"/>
  <c r="H628" i="1"/>
  <c r="H629" i="1"/>
  <c r="I629" i="1"/>
  <c r="H630" i="1"/>
  <c r="H631" i="1"/>
  <c r="I631" i="1"/>
  <c r="H63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F50" i="7"/>
  <c r="H48" i="1"/>
  <c r="H49" i="1"/>
  <c r="H50" i="1"/>
  <c r="H51" i="1"/>
  <c r="H52" i="1"/>
  <c r="H53" i="1"/>
  <c r="F54" i="7"/>
  <c r="H54" i="1"/>
  <c r="H55" i="1"/>
  <c r="H56" i="1"/>
  <c r="H57" i="1"/>
  <c r="H58" i="1"/>
  <c r="H59" i="1"/>
  <c r="H60" i="1"/>
  <c r="H61" i="1"/>
  <c r="F64" i="7"/>
  <c r="H62" i="1"/>
  <c r="F65" i="7"/>
  <c r="H63" i="1"/>
  <c r="H64" i="1"/>
  <c r="H65" i="1"/>
  <c r="H66" i="1"/>
  <c r="H67" i="1"/>
  <c r="H68" i="1"/>
  <c r="F71" i="7"/>
  <c r="H69" i="1"/>
  <c r="F72" i="7"/>
  <c r="H70" i="1"/>
  <c r="H71" i="1"/>
  <c r="H72" i="1"/>
  <c r="H73" i="1"/>
  <c r="H74" i="1"/>
  <c r="H75" i="1"/>
  <c r="H76" i="1"/>
  <c r="H77" i="1"/>
  <c r="F80" i="7"/>
  <c r="H78" i="1"/>
  <c r="H79" i="1"/>
  <c r="H80" i="1"/>
  <c r="C81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F100" i="7"/>
  <c r="H99" i="1"/>
  <c r="H100" i="1"/>
  <c r="H101" i="1"/>
  <c r="H102" i="1"/>
  <c r="F102" i="7"/>
  <c r="H103" i="1"/>
  <c r="H104" i="1"/>
  <c r="H105" i="1"/>
  <c r="H106" i="1"/>
  <c r="F109" i="7"/>
  <c r="H107" i="1"/>
  <c r="H108" i="1"/>
  <c r="H109" i="1"/>
  <c r="H110" i="1"/>
  <c r="H111" i="1"/>
  <c r="H112" i="1"/>
  <c r="H113" i="1"/>
  <c r="H114" i="1"/>
  <c r="H115" i="1"/>
  <c r="H116" i="1"/>
  <c r="H117" i="1"/>
  <c r="H118" i="1"/>
  <c r="F121" i="7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F136" i="7"/>
  <c r="H134" i="1"/>
  <c r="F137" i="7"/>
  <c r="H135" i="1"/>
  <c r="H136" i="1"/>
  <c r="H137" i="1"/>
  <c r="H138" i="1"/>
  <c r="F140" i="7"/>
  <c r="H139" i="1"/>
  <c r="H140" i="1"/>
  <c r="H141" i="1"/>
  <c r="H142" i="1"/>
  <c r="H143" i="1"/>
  <c r="H144" i="1"/>
  <c r="F145" i="7"/>
  <c r="H145" i="1"/>
  <c r="H146" i="1"/>
  <c r="H147" i="1"/>
  <c r="H148" i="1"/>
  <c r="H149" i="1"/>
  <c r="F151" i="7"/>
  <c r="H150" i="1"/>
  <c r="H151" i="1"/>
  <c r="H152" i="1"/>
  <c r="H153" i="1"/>
  <c r="H154" i="1"/>
  <c r="H155" i="1"/>
  <c r="H156" i="1"/>
  <c r="H157" i="1"/>
  <c r="H158" i="1"/>
  <c r="H159" i="1"/>
  <c r="H160" i="1"/>
  <c r="F161" i="7"/>
  <c r="H161" i="1"/>
  <c r="H162" i="1"/>
  <c r="H163" i="1"/>
  <c r="H164" i="1"/>
  <c r="H165" i="1"/>
  <c r="F168" i="7"/>
  <c r="H166" i="1"/>
  <c r="H167" i="1"/>
  <c r="F169" i="7"/>
  <c r="H168" i="1"/>
  <c r="H169" i="1"/>
  <c r="H170" i="1"/>
  <c r="F173" i="7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F186" i="7"/>
  <c r="H184" i="1"/>
  <c r="H185" i="1"/>
  <c r="H186" i="1"/>
  <c r="H187" i="1"/>
  <c r="H188" i="1"/>
  <c r="H189" i="1"/>
  <c r="H190" i="1"/>
  <c r="H191" i="1"/>
  <c r="H192" i="1"/>
  <c r="F195" i="7"/>
  <c r="H193" i="1"/>
  <c r="H194" i="1"/>
  <c r="H195" i="1"/>
  <c r="H196" i="1"/>
  <c r="H197" i="1"/>
  <c r="H198" i="1"/>
  <c r="H199" i="1"/>
  <c r="F202" i="7"/>
  <c r="H200" i="1"/>
  <c r="H201" i="1"/>
  <c r="H202" i="1"/>
  <c r="H203" i="1"/>
  <c r="H204" i="1"/>
  <c r="H205" i="1"/>
  <c r="H206" i="1"/>
  <c r="H207" i="1"/>
  <c r="F210" i="7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F242" i="7"/>
  <c r="H240" i="1"/>
  <c r="H241" i="1"/>
  <c r="H242" i="1"/>
  <c r="H243" i="1"/>
  <c r="H244" i="1"/>
  <c r="H245" i="1"/>
  <c r="H246" i="1"/>
  <c r="F249" i="7"/>
  <c r="H247" i="1"/>
  <c r="H248" i="1"/>
  <c r="F250" i="7"/>
  <c r="H249" i="1"/>
  <c r="H250" i="1"/>
  <c r="H251" i="1"/>
  <c r="H252" i="1"/>
  <c r="H253" i="1"/>
  <c r="H254" i="1"/>
  <c r="H255" i="1"/>
  <c r="H256" i="1"/>
  <c r="F259" i="7"/>
  <c r="H257" i="1"/>
  <c r="H258" i="1"/>
  <c r="H259" i="1"/>
  <c r="H260" i="1"/>
  <c r="F263" i="7"/>
  <c r="H261" i="1"/>
  <c r="H262" i="1"/>
  <c r="H263" i="1"/>
  <c r="H264" i="1"/>
  <c r="H265" i="1"/>
  <c r="H266" i="1"/>
  <c r="F267" i="7"/>
  <c r="H267" i="1"/>
  <c r="H268" i="1"/>
  <c r="F271" i="7"/>
  <c r="H269" i="1"/>
  <c r="H270" i="1"/>
  <c r="H271" i="1"/>
  <c r="H272" i="1"/>
  <c r="H273" i="1"/>
  <c r="H274" i="1"/>
  <c r="H275" i="1"/>
  <c r="H276" i="1"/>
  <c r="H277" i="1"/>
  <c r="H278" i="1"/>
  <c r="H279" i="1"/>
  <c r="F280" i="7"/>
  <c r="H280" i="1"/>
  <c r="H281" i="1"/>
  <c r="H282" i="1"/>
  <c r="F285" i="7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F299" i="7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F329" i="7"/>
  <c r="H330" i="1"/>
  <c r="H331" i="1"/>
  <c r="F334" i="7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F353" i="7"/>
  <c r="H351" i="1"/>
  <c r="H352" i="1"/>
  <c r="H353" i="1"/>
  <c r="H354" i="1"/>
  <c r="H355" i="1"/>
  <c r="H356" i="1"/>
  <c r="F359" i="7"/>
  <c r="H357" i="1"/>
  <c r="H358" i="1"/>
  <c r="F361" i="7"/>
  <c r="H359" i="1"/>
  <c r="H360" i="1"/>
  <c r="H361" i="1"/>
  <c r="H362" i="1"/>
  <c r="H363" i="1"/>
  <c r="F366" i="7"/>
  <c r="H364" i="1"/>
  <c r="H365" i="1"/>
  <c r="F368" i="7"/>
  <c r="H366" i="1"/>
  <c r="H367" i="1"/>
  <c r="H368" i="1"/>
  <c r="H369" i="1"/>
  <c r="H370" i="1"/>
  <c r="F373" i="7"/>
  <c r="H371" i="1"/>
  <c r="H372" i="1"/>
  <c r="H373" i="1"/>
  <c r="H374" i="1"/>
  <c r="H375" i="1"/>
  <c r="H376" i="1"/>
  <c r="H377" i="1"/>
  <c r="H378" i="1"/>
  <c r="H379" i="1"/>
  <c r="H380" i="1"/>
  <c r="F383" i="7"/>
  <c r="H381" i="1"/>
  <c r="H382" i="1"/>
  <c r="H383" i="1"/>
  <c r="H384" i="1"/>
  <c r="H385" i="1"/>
  <c r="F388" i="7"/>
  <c r="H386" i="1"/>
  <c r="H387" i="1"/>
  <c r="H388" i="1"/>
  <c r="F391" i="7"/>
  <c r="H389" i="1"/>
  <c r="H390" i="1"/>
  <c r="H391" i="1"/>
  <c r="H392" i="1"/>
  <c r="F394" i="7"/>
  <c r="H393" i="1"/>
  <c r="H394" i="1"/>
  <c r="F397" i="7"/>
  <c r="H395" i="1"/>
  <c r="F398" i="7"/>
  <c r="H396" i="1"/>
  <c r="H397" i="1"/>
  <c r="H398" i="1"/>
  <c r="N606" i="7"/>
  <c r="H399" i="1"/>
  <c r="H400" i="1"/>
  <c r="H401" i="1"/>
  <c r="H402" i="1"/>
  <c r="F405" i="7"/>
  <c r="H403" i="1"/>
  <c r="H404" i="1"/>
  <c r="H405" i="1"/>
  <c r="H406" i="1"/>
  <c r="H407" i="1"/>
  <c r="H408" i="1"/>
  <c r="F411" i="7"/>
  <c r="H409" i="1"/>
  <c r="H410" i="1"/>
  <c r="F413" i="7"/>
  <c r="H411" i="1"/>
  <c r="H412" i="1"/>
  <c r="H413" i="1"/>
  <c r="N621" i="7"/>
  <c r="H414" i="1"/>
  <c r="H415" i="1"/>
  <c r="H416" i="1"/>
  <c r="H417" i="1"/>
  <c r="H418" i="1"/>
  <c r="F420" i="7"/>
  <c r="H419" i="1"/>
  <c r="H420" i="1"/>
  <c r="H421" i="1"/>
  <c r="H422" i="1"/>
  <c r="H423" i="1"/>
  <c r="F424" i="7"/>
  <c r="H424" i="1"/>
  <c r="H425" i="1"/>
  <c r="H426" i="1"/>
  <c r="F428" i="7"/>
  <c r="H427" i="1"/>
  <c r="H428" i="1"/>
  <c r="H429" i="1"/>
  <c r="H430" i="1"/>
  <c r="H431" i="1"/>
  <c r="F433" i="7"/>
  <c r="H432" i="1"/>
  <c r="H433" i="1"/>
  <c r="F436" i="7"/>
  <c r="H434" i="1"/>
  <c r="H435" i="1"/>
  <c r="H436" i="1"/>
  <c r="H437" i="1"/>
  <c r="H438" i="1"/>
  <c r="H439" i="1"/>
  <c r="H440" i="1"/>
  <c r="H441" i="1"/>
  <c r="H442" i="1"/>
  <c r="H458" i="1"/>
  <c r="H459" i="1"/>
  <c r="H460" i="1"/>
  <c r="H461" i="1"/>
  <c r="H462" i="1"/>
  <c r="H463" i="1"/>
  <c r="H464" i="1"/>
  <c r="H465" i="1"/>
  <c r="H466" i="1"/>
  <c r="H467" i="1"/>
  <c r="F467" i="7"/>
  <c r="H468" i="1"/>
  <c r="H469" i="1"/>
  <c r="F469" i="7"/>
  <c r="H470" i="1"/>
  <c r="F473" i="7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N641" i="7"/>
  <c r="H486" i="1"/>
  <c r="H487" i="1"/>
  <c r="F489" i="7"/>
  <c r="H488" i="1"/>
  <c r="H489" i="1"/>
  <c r="H490" i="1"/>
  <c r="H491" i="1"/>
  <c r="H492" i="1"/>
  <c r="F495" i="7"/>
  <c r="H493" i="1"/>
  <c r="H494" i="1"/>
  <c r="H510" i="1"/>
  <c r="H511" i="1"/>
  <c r="H512" i="1"/>
  <c r="H513" i="1"/>
  <c r="H514" i="1"/>
  <c r="N722" i="7"/>
  <c r="H515" i="1"/>
  <c r="H516" i="1"/>
  <c r="F519" i="7"/>
  <c r="H517" i="1"/>
  <c r="H518" i="1"/>
  <c r="F518" i="7"/>
  <c r="H519" i="1"/>
  <c r="H520" i="1"/>
  <c r="H521" i="1"/>
  <c r="H522" i="1"/>
  <c r="H523" i="1"/>
  <c r="H524" i="1"/>
  <c r="H525" i="1"/>
  <c r="N629" i="7"/>
  <c r="H526" i="1"/>
  <c r="H527" i="1"/>
  <c r="C82" i="7"/>
  <c r="Y854" i="7"/>
  <c r="I970" i="1"/>
  <c r="I880" i="1"/>
  <c r="T943" i="7"/>
  <c r="I541" i="1"/>
  <c r="I761" i="1"/>
  <c r="C83" i="7"/>
  <c r="I871" i="1"/>
  <c r="I904" i="1"/>
  <c r="F904" i="7"/>
  <c r="I957" i="1"/>
  <c r="O1009" i="7"/>
  <c r="Y843" i="7"/>
  <c r="Y912" i="7"/>
  <c r="I653" i="1"/>
  <c r="S862" i="7"/>
  <c r="T998" i="7"/>
  <c r="I951" i="1"/>
  <c r="F995" i="7"/>
  <c r="I591" i="1"/>
  <c r="I930" i="1"/>
  <c r="I851" i="1"/>
  <c r="I864" i="1"/>
  <c r="F975" i="7"/>
  <c r="Y866" i="7"/>
  <c r="Y918" i="7"/>
  <c r="I845" i="1"/>
  <c r="I834" i="1"/>
  <c r="Y1008" i="7"/>
  <c r="I1006" i="1"/>
  <c r="I1002" i="1"/>
  <c r="I536" i="1"/>
  <c r="I796" i="1"/>
  <c r="I954" i="1"/>
  <c r="Y936" i="7"/>
  <c r="Y904" i="7"/>
  <c r="I1022" i="1"/>
  <c r="I998" i="1"/>
  <c r="Y873" i="7"/>
  <c r="S685" i="7"/>
  <c r="S972" i="7"/>
  <c r="S977" i="7"/>
  <c r="I920" i="1"/>
  <c r="S938" i="7"/>
  <c r="S940" i="7"/>
  <c r="S992" i="7"/>
  <c r="S998" i="7"/>
  <c r="I873" i="1"/>
  <c r="I876" i="1"/>
  <c r="F70" i="7"/>
  <c r="S989" i="7"/>
  <c r="S993" i="7"/>
  <c r="I801" i="1"/>
  <c r="I582" i="1"/>
  <c r="I944" i="1"/>
  <c r="I987" i="1"/>
  <c r="I981" i="1"/>
  <c r="Y891" i="7"/>
  <c r="Y875" i="7"/>
  <c r="Y888" i="7"/>
  <c r="Y836" i="7"/>
  <c r="I892" i="1"/>
  <c r="Y898" i="7"/>
  <c r="Y874" i="7"/>
  <c r="Y868" i="7"/>
  <c r="I905" i="1"/>
  <c r="F905" i="7"/>
  <c r="T963" i="7"/>
  <c r="S966" i="7"/>
  <c r="I1018" i="1"/>
  <c r="S973" i="7"/>
  <c r="Y913" i="7"/>
  <c r="Y881" i="7"/>
  <c r="I898" i="1"/>
  <c r="F901" i="7"/>
  <c r="I929" i="1"/>
  <c r="I936" i="1"/>
  <c r="I1014" i="1"/>
  <c r="S841" i="7"/>
  <c r="S925" i="7"/>
  <c r="F927" i="7"/>
  <c r="S879" i="7"/>
  <c r="U918" i="7"/>
  <c r="T913" i="7"/>
  <c r="T970" i="7"/>
  <c r="F930" i="7"/>
  <c r="I907" i="1"/>
  <c r="F908" i="7"/>
  <c r="U941" i="7"/>
  <c r="T936" i="7"/>
  <c r="S997" i="7"/>
  <c r="S945" i="7"/>
  <c r="I765" i="1"/>
  <c r="S928" i="7"/>
  <c r="T870" i="7"/>
  <c r="T978" i="7"/>
  <c r="S982" i="7"/>
  <c r="Y958" i="7"/>
  <c r="V965" i="7"/>
  <c r="I675" i="1"/>
  <c r="F883" i="7"/>
  <c r="S985" i="7"/>
  <c r="I820" i="1"/>
  <c r="I681" i="1"/>
  <c r="I709" i="1"/>
  <c r="I731" i="1"/>
  <c r="F884" i="7"/>
  <c r="Y851" i="7"/>
  <c r="I872" i="1"/>
  <c r="I948" i="1"/>
  <c r="Y838" i="7"/>
  <c r="S877" i="7"/>
  <c r="S988" i="7"/>
  <c r="F889" i="7"/>
  <c r="I889" i="1"/>
  <c r="I958" i="1"/>
  <c r="I934" i="1"/>
  <c r="I923" i="1"/>
  <c r="F926" i="7"/>
  <c r="S980" i="7"/>
  <c r="T880" i="7"/>
  <c r="T879" i="7"/>
  <c r="S933" i="7"/>
  <c r="I638" i="1"/>
  <c r="I599" i="1"/>
  <c r="I593" i="1"/>
  <c r="V715" i="7"/>
  <c r="I909" i="1"/>
  <c r="F911" i="7"/>
  <c r="F909" i="7"/>
  <c r="F910" i="7"/>
  <c r="F912" i="7"/>
  <c r="F952" i="7"/>
  <c r="F951" i="7"/>
  <c r="I949" i="1"/>
  <c r="I843" i="1"/>
  <c r="I704" i="1"/>
  <c r="S917" i="7"/>
  <c r="S969" i="7"/>
  <c r="S921" i="7"/>
  <c r="I703" i="1"/>
  <c r="G705" i="7"/>
  <c r="I895" i="1"/>
  <c r="I933" i="1"/>
  <c r="F935" i="7"/>
  <c r="F936" i="7"/>
  <c r="Y858" i="7"/>
  <c r="Y834" i="7"/>
  <c r="I790" i="1"/>
  <c r="I902" i="1"/>
  <c r="F903" i="7"/>
  <c r="T945" i="7"/>
  <c r="I1010" i="1"/>
  <c r="F1010" i="7"/>
  <c r="I960" i="1"/>
  <c r="Y896" i="7"/>
  <c r="S968" i="7"/>
  <c r="I968" i="1"/>
  <c r="G970" i="7"/>
  <c r="X1074" i="7"/>
  <c r="F1012" i="7"/>
  <c r="I959" i="1"/>
  <c r="I776" i="1"/>
  <c r="T808" i="7"/>
  <c r="S876" i="7"/>
  <c r="S719" i="7"/>
  <c r="U817" i="7"/>
  <c r="U957" i="7"/>
  <c r="U876" i="7"/>
  <c r="U931" i="7"/>
  <c r="U983" i="7"/>
  <c r="U934" i="7"/>
  <c r="U986" i="7"/>
  <c r="U943" i="7"/>
  <c r="I846" i="1"/>
  <c r="N1002" i="7"/>
  <c r="T914" i="7"/>
  <c r="I814" i="1"/>
  <c r="O970" i="7"/>
  <c r="T739" i="7"/>
  <c r="U688" i="7"/>
  <c r="U696" i="7"/>
  <c r="V749" i="7"/>
  <c r="V750" i="7"/>
  <c r="V768" i="7"/>
  <c r="V876" i="7"/>
  <c r="U924" i="7"/>
  <c r="Y1014" i="7"/>
  <c r="Y1006" i="7"/>
  <c r="Y976" i="7"/>
  <c r="N1022" i="7"/>
  <c r="U902" i="7"/>
  <c r="U1022" i="7"/>
  <c r="U921" i="7"/>
  <c r="U933" i="7"/>
  <c r="U881" i="7"/>
  <c r="U944" i="7"/>
  <c r="T969" i="7"/>
  <c r="T979" i="7"/>
  <c r="I976" i="1"/>
  <c r="F978" i="7"/>
  <c r="T1021" i="7"/>
  <c r="Y979" i="7"/>
  <c r="F28" i="7"/>
  <c r="I549" i="1"/>
  <c r="I722" i="1"/>
  <c r="F873" i="7"/>
  <c r="T792" i="7"/>
  <c r="S799" i="7"/>
  <c r="T869" i="7"/>
  <c r="U863" i="7"/>
  <c r="U889" i="7"/>
  <c r="S952" i="7"/>
  <c r="T964" i="7"/>
  <c r="U982" i="7"/>
  <c r="U930" i="7"/>
  <c r="U793" i="7"/>
  <c r="U861" i="7"/>
  <c r="U935" i="7"/>
  <c r="U987" i="7"/>
  <c r="U939" i="7"/>
  <c r="U942" i="7"/>
  <c r="S951" i="7"/>
  <c r="T968" i="7"/>
  <c r="T972" i="7"/>
  <c r="V982" i="7"/>
  <c r="V941" i="7"/>
  <c r="V906" i="7"/>
  <c r="F940" i="7"/>
  <c r="I946" i="1"/>
  <c r="F946" i="7"/>
  <c r="F948" i="7"/>
  <c r="F949" i="7"/>
  <c r="Y917" i="7"/>
  <c r="Y878" i="7"/>
  <c r="Y986" i="7"/>
  <c r="F954" i="7"/>
  <c r="T650" i="7"/>
  <c r="T666" i="7"/>
  <c r="I931" i="1"/>
  <c r="F931" i="7"/>
  <c r="Y924" i="7"/>
  <c r="F1013" i="7"/>
  <c r="I938" i="1"/>
  <c r="G941" i="7"/>
  <c r="Y910" i="7"/>
  <c r="F955" i="7"/>
  <c r="I807" i="1"/>
  <c r="V904" i="7"/>
  <c r="S978" i="7"/>
  <c r="Y925" i="7"/>
  <c r="Y977" i="7"/>
  <c r="F793" i="7"/>
  <c r="T758" i="7"/>
  <c r="T706" i="7"/>
  <c r="T811" i="7"/>
  <c r="S804" i="7"/>
  <c r="U955" i="7"/>
  <c r="F950" i="7"/>
  <c r="I947" i="1"/>
  <c r="F941" i="7"/>
  <c r="V620" i="7"/>
  <c r="F963" i="7"/>
  <c r="I659" i="1"/>
  <c r="V866" i="7"/>
  <c r="V978" i="7"/>
  <c r="V885" i="7"/>
  <c r="U916" i="7"/>
  <c r="F962" i="7"/>
  <c r="F961" i="7"/>
  <c r="Y966" i="7"/>
  <c r="F1050" i="7"/>
  <c r="W1102" i="7"/>
  <c r="I1049" i="1"/>
  <c r="F1049" i="7"/>
  <c r="S929" i="7"/>
  <c r="U1003" i="7"/>
  <c r="Y1013" i="7"/>
  <c r="Y909" i="7"/>
  <c r="Y961" i="7"/>
  <c r="F947" i="7"/>
  <c r="U993" i="7"/>
  <c r="I971" i="1"/>
  <c r="F974" i="7"/>
  <c r="I982" i="1"/>
  <c r="F982" i="7"/>
  <c r="Y994" i="7"/>
  <c r="I634" i="1"/>
  <c r="V821" i="7"/>
  <c r="V894" i="7"/>
  <c r="U1016" i="7"/>
  <c r="U964" i="7"/>
  <c r="U976" i="7"/>
  <c r="I874" i="1"/>
  <c r="F875" i="7"/>
  <c r="F971" i="7"/>
  <c r="I969" i="1"/>
  <c r="S714" i="7"/>
  <c r="V736" i="7"/>
  <c r="U1009" i="7"/>
  <c r="Y916" i="7"/>
  <c r="Y877" i="7"/>
  <c r="Y929" i="7"/>
  <c r="F934" i="7"/>
  <c r="F972" i="7"/>
  <c r="T890" i="7"/>
  <c r="I537" i="1"/>
  <c r="I633" i="1"/>
  <c r="I679" i="1"/>
  <c r="U946" i="7"/>
  <c r="S984" i="7"/>
  <c r="U994" i="7"/>
  <c r="F1021" i="7"/>
  <c r="U979" i="7"/>
  <c r="I667" i="1"/>
  <c r="F882" i="7"/>
  <c r="Y938" i="7"/>
  <c r="U858" i="7"/>
  <c r="S1025" i="7"/>
  <c r="U1036" i="7"/>
  <c r="Y1027" i="7"/>
  <c r="Y923" i="7"/>
  <c r="T593" i="7"/>
  <c r="S937" i="7"/>
  <c r="F896" i="7"/>
  <c r="S987" i="7"/>
  <c r="S995" i="7"/>
  <c r="U1050" i="7"/>
  <c r="F953" i="7"/>
  <c r="F977" i="7"/>
  <c r="T1036" i="7"/>
  <c r="Y950" i="7"/>
  <c r="V599" i="7"/>
  <c r="T606" i="7"/>
  <c r="T614" i="7"/>
  <c r="S986" i="7"/>
  <c r="T937" i="7"/>
  <c r="F890" i="7"/>
  <c r="S975" i="7"/>
  <c r="Y969" i="7"/>
  <c r="T928" i="7"/>
  <c r="S939" i="7"/>
  <c r="S996" i="7"/>
  <c r="U840" i="7"/>
  <c r="V810" i="7"/>
  <c r="V955" i="7"/>
  <c r="V851" i="7"/>
  <c r="V864" i="7"/>
  <c r="V976" i="7"/>
  <c r="V872" i="7"/>
  <c r="V924" i="7"/>
  <c r="V879" i="7"/>
  <c r="T806" i="7"/>
  <c r="S813" i="7"/>
  <c r="U839" i="7"/>
  <c r="U892" i="7"/>
  <c r="U1021" i="7"/>
  <c r="U969" i="7"/>
  <c r="N904" i="7"/>
  <c r="T766" i="7"/>
  <c r="T819" i="7"/>
  <c r="T971" i="7"/>
  <c r="Y1005" i="7"/>
  <c r="V918" i="7"/>
  <c r="T891" i="7"/>
  <c r="T785" i="7"/>
  <c r="V694" i="7"/>
  <c r="I603" i="1"/>
  <c r="F563" i="7"/>
  <c r="I695" i="1"/>
  <c r="I701" i="1"/>
  <c r="I716" i="1"/>
  <c r="T636" i="7"/>
  <c r="T592" i="7"/>
  <c r="T668" i="7"/>
  <c r="T729" i="7"/>
  <c r="V801" i="7"/>
  <c r="V809" i="7"/>
  <c r="V854" i="7"/>
  <c r="V1014" i="7"/>
  <c r="V857" i="7"/>
  <c r="V909" i="7"/>
  <c r="V863" i="7"/>
  <c r="V915" i="7"/>
  <c r="V989" i="7"/>
  <c r="V937" i="7"/>
  <c r="V1000" i="7"/>
  <c r="V1010" i="7"/>
  <c r="V912" i="7"/>
  <c r="V917" i="7"/>
  <c r="F998" i="7"/>
  <c r="F1000" i="7"/>
  <c r="F347" i="7"/>
  <c r="I669" i="1"/>
  <c r="V687" i="7"/>
  <c r="T753" i="7"/>
  <c r="U778" i="7"/>
  <c r="U883" i="7"/>
  <c r="V1004" i="7"/>
  <c r="F867" i="7"/>
  <c r="U922" i="7"/>
  <c r="U974" i="7"/>
  <c r="Y840" i="7"/>
  <c r="Y944" i="7"/>
  <c r="Y892" i="7"/>
  <c r="U1012" i="7"/>
  <c r="S1017" i="7"/>
  <c r="S709" i="7"/>
  <c r="U972" i="7"/>
  <c r="V905" i="7"/>
  <c r="F991" i="7"/>
  <c r="F988" i="7"/>
  <c r="F990" i="7"/>
  <c r="S734" i="7"/>
  <c r="V812" i="7"/>
  <c r="V852" i="7"/>
  <c r="V959" i="7"/>
  <c r="V907" i="7"/>
  <c r="V1012" i="7"/>
  <c r="V911" i="7"/>
  <c r="V963" i="7"/>
  <c r="V859" i="7"/>
  <c r="V865" i="7"/>
  <c r="V973" i="7"/>
  <c r="V877" i="7"/>
  <c r="V981" i="7"/>
  <c r="V991" i="7"/>
  <c r="V945" i="7"/>
  <c r="Y842" i="7"/>
  <c r="Y894" i="7"/>
  <c r="Y999" i="7"/>
  <c r="F992" i="7"/>
  <c r="I989" i="1"/>
  <c r="V855" i="7"/>
  <c r="I759" i="1"/>
  <c r="S807" i="7"/>
  <c r="U767" i="7"/>
  <c r="U663" i="7"/>
  <c r="V956" i="7"/>
  <c r="Y841" i="7"/>
  <c r="Y945" i="7"/>
  <c r="T790" i="7"/>
  <c r="U702" i="7"/>
  <c r="U814" i="7"/>
  <c r="S776" i="7"/>
  <c r="S881" i="7"/>
  <c r="U786" i="7"/>
  <c r="U838" i="7"/>
  <c r="U891" i="7"/>
  <c r="V898" i="7"/>
  <c r="Y833" i="7"/>
  <c r="Y990" i="7"/>
  <c r="F1004" i="7"/>
  <c r="V1020" i="7"/>
  <c r="T821" i="7"/>
  <c r="V967" i="7"/>
  <c r="T883" i="7"/>
  <c r="V652" i="7"/>
  <c r="I825" i="1"/>
  <c r="S770" i="7"/>
  <c r="V799" i="7"/>
  <c r="V954" i="7"/>
  <c r="V908" i="7"/>
  <c r="V861" i="7"/>
  <c r="V873" i="7"/>
  <c r="U1010" i="7"/>
  <c r="U906" i="7"/>
  <c r="U966" i="7"/>
  <c r="U914" i="7"/>
  <c r="U1018" i="7"/>
  <c r="I867" i="1"/>
  <c r="S979" i="7"/>
  <c r="I1000" i="1"/>
  <c r="F1002" i="7"/>
  <c r="F1001" i="7"/>
  <c r="T710" i="7"/>
  <c r="S882" i="7"/>
  <c r="S829" i="7"/>
  <c r="Y849" i="7"/>
  <c r="Y901" i="7"/>
  <c r="I700" i="1"/>
  <c r="I714" i="1"/>
  <c r="V706" i="7"/>
  <c r="V662" i="7"/>
  <c r="V1003" i="7"/>
  <c r="Y960" i="7"/>
  <c r="Y856" i="7"/>
  <c r="Y908" i="7"/>
  <c r="Y991" i="7"/>
  <c r="V856" i="7"/>
  <c r="V862" i="7"/>
  <c r="V919" i="7"/>
  <c r="U726" i="7"/>
  <c r="I640" i="1"/>
  <c r="I694" i="1"/>
  <c r="I791" i="1"/>
  <c r="N863" i="7"/>
  <c r="I826" i="1"/>
  <c r="T599" i="7"/>
  <c r="T663" i="7"/>
  <c r="T611" i="7"/>
  <c r="T621" i="7"/>
  <c r="T637" i="7"/>
  <c r="U670" i="7"/>
  <c r="U774" i="7"/>
  <c r="S781" i="7"/>
  <c r="S834" i="7"/>
  <c r="U835" i="7"/>
  <c r="S795" i="7"/>
  <c r="S743" i="7"/>
  <c r="S848" i="7"/>
  <c r="U717" i="7"/>
  <c r="V883" i="7"/>
  <c r="S835" i="7"/>
  <c r="S888" i="7"/>
  <c r="V1008" i="7"/>
  <c r="F966" i="7"/>
  <c r="I973" i="1"/>
  <c r="F973" i="7"/>
  <c r="F976" i="7"/>
  <c r="I979" i="1"/>
  <c r="F979" i="7"/>
  <c r="Y899" i="7"/>
  <c r="Y951" i="7"/>
  <c r="Y876" i="7"/>
  <c r="Y928" i="7"/>
  <c r="Y870" i="7"/>
  <c r="Y922" i="7"/>
  <c r="F251" i="7"/>
  <c r="T804" i="7"/>
  <c r="F144" i="7"/>
  <c r="N999" i="7"/>
  <c r="F243" i="7"/>
  <c r="S737" i="7"/>
  <c r="N947" i="7"/>
  <c r="T703" i="7"/>
  <c r="T647" i="7"/>
  <c r="N710" i="7"/>
  <c r="I777" i="1"/>
  <c r="I784" i="1"/>
  <c r="N992" i="7"/>
  <c r="T749" i="7"/>
  <c r="S794" i="7"/>
  <c r="S742" i="7"/>
  <c r="V949" i="7"/>
  <c r="F928" i="7"/>
  <c r="F929" i="7"/>
  <c r="U996" i="7"/>
  <c r="F983" i="7"/>
  <c r="I980" i="1"/>
  <c r="F146" i="7"/>
  <c r="F135" i="7"/>
  <c r="F561" i="7"/>
  <c r="W613" i="7"/>
  <c r="N857" i="7"/>
  <c r="U940" i="7"/>
  <c r="I899" i="1"/>
  <c r="F902" i="7"/>
  <c r="Y965" i="7"/>
  <c r="Y905" i="7"/>
  <c r="Y941" i="7"/>
  <c r="Y889" i="7"/>
  <c r="I592" i="1"/>
  <c r="T1001" i="7"/>
  <c r="U991" i="7"/>
  <c r="Y980" i="7"/>
  <c r="Y880" i="7"/>
  <c r="Y932" i="7"/>
  <c r="U905" i="7"/>
  <c r="U945" i="7"/>
  <c r="S976" i="7"/>
  <c r="F881" i="7"/>
  <c r="W933" i="7"/>
  <c r="N1028" i="7"/>
  <c r="I558" i="1"/>
  <c r="U657" i="7"/>
  <c r="S712" i="7"/>
  <c r="U830" i="7"/>
  <c r="U681" i="7"/>
  <c r="T750" i="7"/>
  <c r="S705" i="7"/>
  <c r="V813" i="7"/>
  <c r="S826" i="7"/>
  <c r="Y1023" i="7"/>
  <c r="F994" i="7"/>
  <c r="U636" i="7"/>
  <c r="S721" i="7"/>
  <c r="U827" i="7"/>
  <c r="S798" i="7"/>
  <c r="S820" i="7"/>
  <c r="S874" i="7"/>
  <c r="S830" i="7"/>
  <c r="Y946" i="7"/>
  <c r="N799" i="7"/>
  <c r="V624" i="7"/>
  <c r="T849" i="7"/>
  <c r="U985" i="7"/>
  <c r="U642" i="7"/>
  <c r="S1024" i="7"/>
  <c r="F980" i="7"/>
  <c r="T1042" i="7"/>
  <c r="Y1004" i="7"/>
  <c r="F897" i="7"/>
  <c r="F1019" i="7"/>
  <c r="I1016" i="1"/>
  <c r="F1018" i="7"/>
  <c r="F1017" i="7"/>
  <c r="F821" i="7"/>
  <c r="U980" i="7"/>
  <c r="I884" i="1"/>
  <c r="F886" i="7"/>
  <c r="U951" i="7"/>
  <c r="N1014" i="7"/>
  <c r="F837" i="7"/>
  <c r="I835" i="1"/>
  <c r="T795" i="7"/>
  <c r="U700" i="7"/>
  <c r="N912" i="7"/>
  <c r="I860" i="1"/>
  <c r="I861" i="1"/>
  <c r="V1002" i="7"/>
  <c r="V850" i="7"/>
  <c r="N991" i="7"/>
  <c r="I887" i="1"/>
  <c r="T751" i="7"/>
  <c r="S872" i="7"/>
  <c r="N747" i="7"/>
  <c r="N591" i="7"/>
  <c r="I805" i="1"/>
  <c r="N1013" i="7"/>
  <c r="U1001" i="7"/>
  <c r="U949" i="7"/>
  <c r="U953" i="7"/>
  <c r="F876" i="7"/>
  <c r="F877" i="7"/>
  <c r="F880" i="7"/>
  <c r="F879" i="7"/>
  <c r="I1008" i="1"/>
  <c r="F1009" i="7"/>
  <c r="F1011" i="7"/>
  <c r="U1002" i="7"/>
  <c r="F888" i="7"/>
  <c r="N1007" i="7"/>
  <c r="I828" i="1"/>
  <c r="V678" i="7"/>
  <c r="V858" i="7"/>
  <c r="S863" i="7"/>
  <c r="S810" i="7"/>
  <c r="V734" i="7"/>
  <c r="F1048" i="7"/>
  <c r="F1045" i="7"/>
  <c r="F1046" i="7"/>
  <c r="U849" i="7"/>
  <c r="N910" i="7"/>
  <c r="T673" i="7"/>
  <c r="T974" i="7"/>
  <c r="U992" i="7"/>
  <c r="S944" i="7"/>
  <c r="F443" i="7"/>
  <c r="N590" i="7"/>
  <c r="N610" i="7"/>
  <c r="I554" i="1"/>
  <c r="I827" i="1"/>
  <c r="V1018" i="7"/>
  <c r="V966" i="7"/>
  <c r="U1029" i="7"/>
  <c r="U977" i="7"/>
  <c r="I1013" i="1"/>
  <c r="F1015" i="7"/>
  <c r="W1067" i="7"/>
  <c r="F1016" i="7"/>
  <c r="I546" i="1"/>
  <c r="T789" i="7"/>
  <c r="U882" i="7"/>
  <c r="U725" i="7"/>
  <c r="U733" i="7"/>
  <c r="U837" i="7"/>
  <c r="I842" i="1"/>
  <c r="S915" i="7"/>
  <c r="S967" i="7"/>
  <c r="I865" i="1"/>
  <c r="G866" i="7"/>
  <c r="F868" i="7"/>
  <c r="N1021" i="7"/>
  <c r="I1045" i="1"/>
  <c r="N761" i="7"/>
  <c r="V770" i="7"/>
  <c r="I806" i="1"/>
  <c r="N932" i="7"/>
  <c r="V914" i="7"/>
  <c r="I1020" i="1"/>
  <c r="I894" i="1"/>
  <c r="G897" i="7"/>
  <c r="N813" i="7"/>
  <c r="I848" i="1"/>
  <c r="I859" i="1"/>
  <c r="F861" i="7"/>
  <c r="S919" i="7"/>
  <c r="S971" i="7"/>
  <c r="T934" i="7"/>
  <c r="F1007" i="7"/>
  <c r="I1004" i="1"/>
  <c r="F878" i="7"/>
  <c r="N939" i="7"/>
  <c r="S991" i="7"/>
  <c r="U1004" i="7"/>
  <c r="T716" i="7"/>
  <c r="T820" i="7"/>
  <c r="V897" i="7"/>
  <c r="U909" i="7"/>
  <c r="U1013" i="7"/>
  <c r="F1027" i="7"/>
  <c r="N1015" i="7"/>
  <c r="N865" i="7"/>
  <c r="N598" i="7"/>
  <c r="N702" i="7"/>
  <c r="S783" i="7"/>
  <c r="F822" i="7"/>
  <c r="T681" i="7"/>
  <c r="F815" i="7"/>
  <c r="F871" i="7"/>
  <c r="I815" i="1"/>
  <c r="I821" i="1"/>
  <c r="T742" i="7"/>
  <c r="S730" i="7"/>
  <c r="S887" i="7"/>
  <c r="V964" i="7"/>
  <c r="I985" i="1"/>
  <c r="F987" i="7"/>
  <c r="I1005" i="1"/>
  <c r="F1008" i="7"/>
  <c r="N872" i="7"/>
  <c r="N820" i="7"/>
  <c r="I822" i="1"/>
  <c r="S696" i="7"/>
  <c r="V677" i="7"/>
  <c r="V781" i="7"/>
  <c r="T809" i="7"/>
  <c r="V708" i="7"/>
  <c r="S790" i="7"/>
  <c r="S902" i="7"/>
  <c r="S745" i="7"/>
  <c r="S803" i="7"/>
  <c r="S752" i="7"/>
  <c r="S753" i="7"/>
  <c r="S912" i="7"/>
  <c r="S809" i="7"/>
  <c r="S760" i="7"/>
  <c r="S923" i="7"/>
  <c r="S818" i="7"/>
  <c r="S871" i="7"/>
  <c r="S774" i="7"/>
  <c r="S880" i="7"/>
  <c r="T835" i="7"/>
  <c r="T704" i="7"/>
  <c r="T829" i="7"/>
  <c r="I605" i="1"/>
  <c r="I589" i="1"/>
  <c r="N859" i="7"/>
  <c r="I762" i="1"/>
  <c r="F765" i="7"/>
  <c r="N814" i="7"/>
  <c r="I808" i="1"/>
  <c r="S900" i="7"/>
  <c r="S901" i="7"/>
  <c r="T888" i="7"/>
  <c r="U801" i="7"/>
  <c r="F996" i="7"/>
  <c r="I993" i="1"/>
  <c r="Y1048" i="7"/>
  <c r="I584" i="1"/>
  <c r="I702" i="1"/>
  <c r="N806" i="7"/>
  <c r="I708" i="1"/>
  <c r="Y952" i="7"/>
  <c r="Y900" i="7"/>
  <c r="I994" i="1"/>
  <c r="F997" i="7"/>
  <c r="N807" i="7"/>
  <c r="V958" i="7"/>
  <c r="Y920" i="7"/>
  <c r="F999" i="7"/>
  <c r="I996" i="1"/>
  <c r="I785" i="1"/>
  <c r="S908" i="7"/>
  <c r="U961" i="7"/>
  <c r="V1024" i="7"/>
  <c r="T773" i="7"/>
  <c r="T776" i="7"/>
  <c r="S886" i="7"/>
  <c r="N985" i="7"/>
  <c r="Y1049" i="7"/>
  <c r="Y981" i="7"/>
  <c r="Y957" i="7"/>
  <c r="Y886" i="7"/>
  <c r="F490" i="7"/>
  <c r="F196" i="7"/>
  <c r="F575" i="7"/>
  <c r="N811" i="7"/>
  <c r="T634" i="7"/>
  <c r="V700" i="7"/>
  <c r="V1011" i="7"/>
  <c r="Y996" i="7"/>
  <c r="Y1001" i="7"/>
  <c r="N613" i="7"/>
  <c r="T1040" i="7"/>
  <c r="Y948" i="7"/>
  <c r="Y968" i="7"/>
  <c r="Y864" i="7"/>
  <c r="F1034" i="7"/>
  <c r="F133" i="7"/>
  <c r="T976" i="7"/>
  <c r="U1048" i="7"/>
  <c r="F960" i="7"/>
  <c r="S1040" i="7"/>
  <c r="Y1034" i="7"/>
  <c r="S750" i="7"/>
  <c r="V726" i="7"/>
  <c r="T727" i="7"/>
  <c r="U765" i="7"/>
  <c r="U819" i="7"/>
  <c r="U777" i="7"/>
  <c r="S793" i="7"/>
  <c r="Y1017" i="7"/>
  <c r="T600" i="7"/>
  <c r="T642" i="7"/>
  <c r="V804" i="7"/>
  <c r="T864" i="7"/>
  <c r="S935" i="7"/>
  <c r="S1034" i="7"/>
  <c r="Y1032" i="7"/>
  <c r="U912" i="7"/>
  <c r="U1031" i="7"/>
  <c r="U1044" i="7"/>
  <c r="T1030" i="7"/>
  <c r="T720" i="7"/>
  <c r="S733" i="7"/>
  <c r="V828" i="7"/>
  <c r="V830" i="7"/>
  <c r="V831" i="7"/>
  <c r="V833" i="7"/>
  <c r="S1030" i="7"/>
  <c r="Y1038" i="7"/>
  <c r="Y975" i="7"/>
  <c r="Y914" i="7"/>
  <c r="F1047" i="7"/>
  <c r="U923" i="7"/>
  <c r="G877" i="7"/>
  <c r="S983" i="7"/>
  <c r="S931" i="7"/>
  <c r="V932" i="7"/>
  <c r="G908" i="7"/>
  <c r="G907" i="7"/>
  <c r="F389" i="7"/>
  <c r="I921" i="1"/>
  <c r="G924" i="7"/>
  <c r="F923" i="7"/>
  <c r="F924" i="7"/>
  <c r="T1032" i="7"/>
  <c r="U1047" i="7"/>
  <c r="U995" i="7"/>
  <c r="F956" i="7"/>
  <c r="F957" i="7"/>
  <c r="F958" i="7"/>
  <c r="I956" i="1"/>
  <c r="F959" i="7"/>
  <c r="N1016" i="7"/>
  <c r="I964" i="1"/>
  <c r="O1068" i="7"/>
  <c r="Y869" i="7"/>
  <c r="Y921" i="7"/>
  <c r="Y915" i="7"/>
  <c r="Y1020" i="7"/>
  <c r="Y863" i="7"/>
  <c r="Y967" i="7"/>
  <c r="G879" i="7"/>
  <c r="N658" i="7"/>
  <c r="F452" i="7"/>
  <c r="F454" i="7"/>
  <c r="F595" i="7"/>
  <c r="I594" i="1"/>
  <c r="F596" i="7"/>
  <c r="F594" i="7"/>
  <c r="N698" i="7"/>
  <c r="N691" i="7"/>
  <c r="N869" i="7"/>
  <c r="N720" i="7"/>
  <c r="I668" i="1"/>
  <c r="F669" i="7"/>
  <c r="F671" i="7"/>
  <c r="I676" i="1"/>
  <c r="N728" i="7"/>
  <c r="I710" i="1"/>
  <c r="O918" i="7"/>
  <c r="I891" i="1"/>
  <c r="F894" i="7"/>
  <c r="F893" i="7"/>
  <c r="F891" i="7"/>
  <c r="T996" i="7"/>
  <c r="I897" i="1"/>
  <c r="F900" i="7"/>
  <c r="F899" i="7"/>
  <c r="F898" i="7"/>
  <c r="T950" i="7"/>
  <c r="T1002" i="7"/>
  <c r="G906" i="7"/>
  <c r="V1013" i="7"/>
  <c r="V961" i="7"/>
  <c r="U1020" i="7"/>
  <c r="U968" i="7"/>
  <c r="V969" i="7"/>
  <c r="V1021" i="7"/>
  <c r="V970" i="7"/>
  <c r="V1022" i="7"/>
  <c r="T977" i="7"/>
  <c r="F944" i="7"/>
  <c r="I942" i="1"/>
  <c r="F943" i="7"/>
  <c r="F942" i="7"/>
  <c r="S1046" i="7"/>
  <c r="S994" i="7"/>
  <c r="I568" i="1"/>
  <c r="G570" i="7"/>
  <c r="I608" i="1"/>
  <c r="I586" i="1"/>
  <c r="O690" i="7"/>
  <c r="F587" i="7"/>
  <c r="N638" i="7"/>
  <c r="F750" i="7"/>
  <c r="N802" i="7"/>
  <c r="F609" i="7"/>
  <c r="I750" i="1"/>
  <c r="F110" i="7"/>
  <c r="N828" i="7"/>
  <c r="I567" i="1"/>
  <c r="O775" i="7"/>
  <c r="F567" i="7"/>
  <c r="I547" i="1"/>
  <c r="N599" i="7"/>
  <c r="F550" i="7"/>
  <c r="N651" i="7"/>
  <c r="N755" i="7"/>
  <c r="I644" i="1"/>
  <c r="N696" i="7"/>
  <c r="F640" i="7"/>
  <c r="F607" i="7"/>
  <c r="N612" i="7"/>
  <c r="N664" i="7"/>
  <c r="I691" i="1"/>
  <c r="I698" i="1"/>
  <c r="I770" i="1"/>
  <c r="I783" i="1"/>
  <c r="F784" i="7"/>
  <c r="W993" i="7"/>
  <c r="N887" i="7"/>
  <c r="T770" i="7"/>
  <c r="T613" i="7"/>
  <c r="T615" i="7"/>
  <c r="T772" i="7"/>
  <c r="T774" i="7"/>
  <c r="T721" i="7"/>
  <c r="S725" i="7"/>
  <c r="S778" i="7"/>
  <c r="S814" i="7"/>
  <c r="S867" i="7"/>
  <c r="S762" i="7"/>
  <c r="S710" i="7"/>
  <c r="T815" i="7"/>
  <c r="U816" i="7"/>
  <c r="V817" i="7"/>
  <c r="I1003" i="1"/>
  <c r="F1006" i="7"/>
  <c r="F1005" i="7"/>
  <c r="F1003" i="7"/>
  <c r="N626" i="7"/>
  <c r="I600" i="1"/>
  <c r="F601" i="7"/>
  <c r="F603" i="7"/>
  <c r="N827" i="7"/>
  <c r="I1030" i="1"/>
  <c r="F1033" i="7"/>
  <c r="I626" i="1"/>
  <c r="U703" i="7"/>
  <c r="T627" i="7"/>
  <c r="T679" i="7"/>
  <c r="T786" i="7"/>
  <c r="T733" i="7"/>
  <c r="T629" i="7"/>
  <c r="T683" i="7"/>
  <c r="T631" i="7"/>
  <c r="T737" i="7"/>
  <c r="V686" i="7"/>
  <c r="V738" i="7"/>
  <c r="T798" i="7"/>
  <c r="S802" i="7"/>
  <c r="F412" i="7"/>
  <c r="F106" i="7"/>
  <c r="F103" i="7"/>
  <c r="F104" i="7"/>
  <c r="N690" i="7"/>
  <c r="N742" i="7"/>
  <c r="N794" i="7"/>
  <c r="I561" i="1"/>
  <c r="F562" i="7"/>
  <c r="N938" i="7"/>
  <c r="F153" i="7"/>
  <c r="I610" i="1"/>
  <c r="F832" i="7"/>
  <c r="V622" i="7"/>
  <c r="V674" i="7"/>
  <c r="V752" i="7"/>
  <c r="V699" i="7"/>
  <c r="V649" i="7"/>
  <c r="V705" i="7"/>
  <c r="V1051" i="7"/>
  <c r="N582" i="7"/>
  <c r="F429" i="7"/>
  <c r="I562" i="1"/>
  <c r="N660" i="7"/>
  <c r="F152" i="7"/>
  <c r="I797" i="1"/>
  <c r="V717" i="7"/>
  <c r="V730" i="7"/>
  <c r="V625" i="7"/>
  <c r="S751" i="7"/>
  <c r="S698" i="7"/>
  <c r="S769" i="7"/>
  <c r="S716" i="7"/>
  <c r="F860" i="7"/>
  <c r="I857" i="1"/>
  <c r="F859" i="7"/>
  <c r="N961" i="7"/>
  <c r="V910" i="7"/>
  <c r="V962" i="7"/>
  <c r="F205" i="7"/>
  <c r="F79" i="7"/>
  <c r="V837" i="7"/>
  <c r="I841" i="1"/>
  <c r="G843" i="7"/>
  <c r="F842" i="7"/>
  <c r="T900" i="7"/>
  <c r="T901" i="7"/>
  <c r="T953" i="7"/>
  <c r="I847" i="1"/>
  <c r="F849" i="7"/>
  <c r="N922" i="7"/>
  <c r="I818" i="1"/>
  <c r="S756" i="7"/>
  <c r="S861" i="7"/>
  <c r="S704" i="7"/>
  <c r="S729" i="7"/>
  <c r="S833" i="7"/>
  <c r="U888" i="7"/>
  <c r="S832" i="7"/>
  <c r="S885" i="7"/>
  <c r="S728" i="7"/>
  <c r="T778" i="7"/>
  <c r="T882" i="7"/>
  <c r="T832" i="7"/>
  <c r="T884" i="7"/>
  <c r="N1005" i="7"/>
  <c r="I849" i="1"/>
  <c r="U1007" i="7"/>
  <c r="F872" i="7"/>
  <c r="T833" i="7"/>
  <c r="F500" i="7"/>
  <c r="N611" i="7"/>
  <c r="N793" i="7"/>
  <c r="I780" i="1"/>
  <c r="F783" i="7"/>
  <c r="U766" i="7"/>
  <c r="U775" i="7"/>
  <c r="U879" i="7"/>
  <c r="U828" i="7"/>
  <c r="U776" i="7"/>
  <c r="I882" i="1"/>
  <c r="G883" i="7"/>
  <c r="Y1041" i="7"/>
  <c r="Y992" i="7"/>
  <c r="Y887" i="7"/>
  <c r="F281" i="7"/>
  <c r="I813" i="1"/>
  <c r="U673" i="7"/>
  <c r="F892" i="7"/>
  <c r="N941" i="7"/>
  <c r="N993" i="7"/>
  <c r="V943" i="7"/>
  <c r="V1007" i="7"/>
  <c r="N962" i="7"/>
  <c r="N1047" i="7"/>
  <c r="I943" i="1"/>
  <c r="U1049" i="7"/>
  <c r="U997" i="7"/>
  <c r="S1039" i="7"/>
  <c r="F350" i="7"/>
  <c r="I618" i="1"/>
  <c r="F456" i="7"/>
  <c r="F866" i="7"/>
  <c r="I863" i="1"/>
  <c r="I893" i="1"/>
  <c r="F895" i="7"/>
  <c r="I911" i="1"/>
  <c r="G911" i="7"/>
  <c r="N963" i="7"/>
  <c r="U971" i="7"/>
  <c r="N717" i="7"/>
  <c r="I665" i="1"/>
  <c r="G667" i="7"/>
  <c r="V827" i="7"/>
  <c r="V840" i="7"/>
  <c r="V880" i="7"/>
  <c r="V884" i="7"/>
  <c r="V992" i="7"/>
  <c r="V999" i="7"/>
  <c r="I839" i="1"/>
  <c r="I856" i="1"/>
  <c r="F858" i="7"/>
  <c r="F937" i="7"/>
  <c r="F938" i="7"/>
  <c r="U1030" i="7"/>
  <c r="Y831" i="7"/>
  <c r="Y988" i="7"/>
  <c r="G954" i="7"/>
  <c r="I613" i="1"/>
  <c r="N665" i="7"/>
  <c r="T741" i="7"/>
  <c r="V1006" i="7"/>
  <c r="I885" i="1"/>
  <c r="F887" i="7"/>
  <c r="Y907" i="7"/>
  <c r="Y959" i="7"/>
  <c r="Y883" i="7"/>
  <c r="Y859" i="7"/>
  <c r="Y911" i="7"/>
  <c r="Y963" i="7"/>
  <c r="Y893" i="7"/>
  <c r="Y998" i="7"/>
  <c r="N933" i="7"/>
  <c r="S763" i="7"/>
  <c r="T768" i="7"/>
  <c r="T952" i="7"/>
  <c r="V1048" i="7"/>
  <c r="V998" i="7"/>
  <c r="I965" i="1"/>
  <c r="F968" i="7"/>
  <c r="V1034" i="7"/>
  <c r="V1035" i="7"/>
  <c r="U1037" i="7"/>
  <c r="S1042" i="7"/>
  <c r="Y973" i="7"/>
  <c r="I1051" i="1"/>
  <c r="G1054" i="7"/>
  <c r="F651" i="7"/>
  <c r="W703" i="7"/>
  <c r="F606" i="7"/>
  <c r="N923" i="7"/>
  <c r="U1043" i="7"/>
  <c r="U1051" i="7"/>
  <c r="T585" i="7"/>
  <c r="S764" i="7"/>
  <c r="V751" i="7"/>
  <c r="I926" i="1"/>
  <c r="N978" i="7"/>
  <c r="T991" i="7"/>
  <c r="I945" i="1"/>
  <c r="N1049" i="7"/>
  <c r="S1050" i="7"/>
  <c r="V1023" i="7"/>
  <c r="T1029" i="7"/>
  <c r="T1028" i="7"/>
  <c r="S1035" i="7"/>
  <c r="Y1040" i="7"/>
  <c r="F245" i="7"/>
  <c r="T760" i="7"/>
  <c r="T708" i="7"/>
  <c r="U797" i="7"/>
  <c r="U800" i="7"/>
  <c r="U854" i="7"/>
  <c r="N1043" i="7"/>
  <c r="V1046" i="7"/>
  <c r="N1036" i="7"/>
  <c r="I1041" i="1"/>
  <c r="F1044" i="7"/>
  <c r="T623" i="7"/>
  <c r="T803" i="7"/>
  <c r="S924" i="7"/>
  <c r="S953" i="7"/>
  <c r="N1037" i="7"/>
  <c r="U1038" i="7"/>
  <c r="V1030" i="7"/>
  <c r="N1045" i="7"/>
  <c r="T1046" i="7"/>
  <c r="V983" i="7"/>
  <c r="F964" i="7"/>
  <c r="W1016" i="7"/>
  <c r="U1023" i="7"/>
  <c r="S1029" i="7"/>
  <c r="S1028" i="7"/>
  <c r="V1031" i="7"/>
  <c r="N1035" i="7"/>
  <c r="I983" i="1"/>
  <c r="F989" i="7"/>
  <c r="S1047" i="7"/>
  <c r="T1048" i="7"/>
  <c r="V646" i="7"/>
  <c r="T834" i="7"/>
  <c r="T893" i="7"/>
  <c r="U1040" i="7"/>
  <c r="S1044" i="7"/>
  <c r="T1023" i="7"/>
  <c r="U1024" i="7"/>
  <c r="V1025" i="7"/>
  <c r="Y947" i="7"/>
  <c r="F1039" i="7"/>
  <c r="F1036" i="7"/>
  <c r="I1036" i="1"/>
  <c r="U637" i="7"/>
  <c r="T754" i="7"/>
  <c r="I963" i="1"/>
  <c r="O1015" i="7"/>
  <c r="F965" i="7"/>
  <c r="S1023" i="7"/>
  <c r="V1026" i="7"/>
  <c r="T1031" i="7"/>
  <c r="U1033" i="7"/>
  <c r="U1032" i="7"/>
  <c r="S1041" i="7"/>
  <c r="Y1029" i="7"/>
  <c r="Y954" i="7"/>
  <c r="Y931" i="7"/>
  <c r="I1011" i="1"/>
  <c r="G1013" i="7"/>
  <c r="F1014" i="7"/>
  <c r="F1025" i="7"/>
  <c r="F1024" i="7"/>
  <c r="F1023" i="7"/>
  <c r="W1075" i="7"/>
  <c r="I1039" i="1"/>
  <c r="U1039" i="7"/>
  <c r="I972" i="1"/>
  <c r="T1025" i="7"/>
  <c r="U1026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T1027" i="7"/>
  <c r="V1029" i="7"/>
  <c r="V1028" i="7"/>
  <c r="U1034" i="7"/>
  <c r="U1035" i="7"/>
  <c r="T1038" i="7"/>
  <c r="T1037" i="7"/>
  <c r="Y1026" i="7"/>
  <c r="N1044" i="7"/>
  <c r="I992" i="1"/>
  <c r="Y1043" i="7"/>
  <c r="N1050" i="7"/>
  <c r="T1050" i="7"/>
  <c r="F1032" i="7"/>
  <c r="W1084" i="7"/>
  <c r="F1051" i="7"/>
  <c r="N1027" i="7"/>
  <c r="S1027" i="7"/>
  <c r="U1028" i="7"/>
  <c r="N1033" i="7"/>
  <c r="T1034" i="7"/>
  <c r="T1035" i="7"/>
  <c r="S1038" i="7"/>
  <c r="S1037" i="7"/>
  <c r="Y1033" i="7"/>
  <c r="Y971" i="7"/>
  <c r="Y1016" i="7"/>
  <c r="Y964" i="7"/>
  <c r="S1045" i="7"/>
  <c r="V1047" i="7"/>
  <c r="Y1042" i="7"/>
  <c r="Y1051" i="7"/>
  <c r="F1031" i="7"/>
  <c r="F1030" i="7"/>
  <c r="I1028" i="1"/>
  <c r="G1028" i="7"/>
  <c r="F1029" i="7"/>
  <c r="T1024" i="7"/>
  <c r="U1025" i="7"/>
  <c r="N1029" i="7"/>
  <c r="V1033" i="7"/>
  <c r="V1032" i="7"/>
  <c r="Y1025" i="7"/>
  <c r="N1046" i="7"/>
  <c r="T1047" i="7"/>
  <c r="T1049" i="7"/>
  <c r="F1022" i="7"/>
  <c r="I1019" i="1"/>
  <c r="F1026" i="7"/>
  <c r="I1024" i="1"/>
  <c r="N1030" i="7"/>
  <c r="S1031" i="7"/>
  <c r="T1033" i="7"/>
  <c r="V1041" i="7"/>
  <c r="N1040" i="7"/>
  <c r="V1043" i="7"/>
  <c r="S1048" i="7"/>
  <c r="F1037" i="7"/>
  <c r="F1038" i="7"/>
  <c r="T1026" i="7"/>
  <c r="U1027" i="7"/>
  <c r="S1033" i="7"/>
  <c r="S1032" i="7"/>
  <c r="N1034" i="7"/>
  <c r="T1041" i="7"/>
  <c r="Y1030" i="7"/>
  <c r="N1041" i="7"/>
  <c r="Y1046" i="7"/>
  <c r="S1051" i="7"/>
  <c r="N1051" i="7"/>
  <c r="T1051" i="7"/>
  <c r="F1020" i="7"/>
  <c r="F1028" i="7"/>
  <c r="W1080" i="7"/>
  <c r="I1025" i="1"/>
  <c r="V1045" i="7"/>
  <c r="Y1044" i="7"/>
  <c r="S1049" i="7"/>
  <c r="F1035" i="7"/>
  <c r="W1087" i="7"/>
  <c r="O932" i="7"/>
  <c r="G998" i="7"/>
  <c r="G901" i="7"/>
  <c r="X953" i="7"/>
  <c r="G1007" i="7"/>
  <c r="O993" i="7"/>
  <c r="G889" i="7"/>
  <c r="G997" i="7"/>
  <c r="O720" i="7"/>
  <c r="G1020" i="7"/>
  <c r="T765" i="7"/>
  <c r="T608" i="7"/>
  <c r="T767" i="7"/>
  <c r="T714" i="7"/>
  <c r="S718" i="7"/>
  <c r="S771" i="7"/>
  <c r="S777" i="7"/>
  <c r="S724" i="7"/>
  <c r="F216" i="7"/>
  <c r="F16" i="7"/>
  <c r="S722" i="7"/>
  <c r="G808" i="7"/>
  <c r="O1034" i="7"/>
  <c r="I693" i="1"/>
  <c r="N901" i="7"/>
  <c r="I788" i="1"/>
  <c r="N840" i="7"/>
  <c r="N996" i="7"/>
  <c r="F335" i="7"/>
  <c r="F211" i="7"/>
  <c r="F203" i="7"/>
  <c r="S720" i="7"/>
  <c r="T610" i="7"/>
  <c r="G604" i="7"/>
  <c r="G959" i="7"/>
  <c r="I543" i="1"/>
  <c r="F545" i="7"/>
  <c r="I548" i="1"/>
  <c r="F548" i="7"/>
  <c r="W704" i="7"/>
  <c r="N630" i="7"/>
  <c r="F414" i="7"/>
  <c r="N614" i="7"/>
  <c r="F406" i="7"/>
  <c r="F233" i="7"/>
  <c r="F43" i="7"/>
  <c r="F38" i="7"/>
  <c r="O1029" i="7"/>
  <c r="G875" i="7"/>
  <c r="G876" i="7"/>
  <c r="F430" i="7"/>
  <c r="F422" i="7"/>
  <c r="F421" i="7"/>
  <c r="S758" i="7"/>
  <c r="S706" i="7"/>
  <c r="U812" i="7"/>
  <c r="U668" i="7"/>
  <c r="S723" i="7"/>
  <c r="S828" i="7"/>
  <c r="U724" i="7"/>
  <c r="U672" i="7"/>
  <c r="U829" i="7"/>
  <c r="S727" i="7"/>
  <c r="U676" i="7"/>
  <c r="U728" i="7"/>
  <c r="U780" i="7"/>
  <c r="V763" i="7"/>
  <c r="V920" i="7"/>
  <c r="V868" i="7"/>
  <c r="V816" i="7"/>
  <c r="V764" i="7"/>
  <c r="V922" i="7"/>
  <c r="V869" i="7"/>
  <c r="V818" i="7"/>
  <c r="V923" i="7"/>
  <c r="V766" i="7"/>
  <c r="U768" i="7"/>
  <c r="U820" i="7"/>
  <c r="U872" i="7"/>
  <c r="U821" i="7"/>
  <c r="U926" i="7"/>
  <c r="U873" i="7"/>
  <c r="U927" i="7"/>
  <c r="U822" i="7"/>
  <c r="U874" i="7"/>
  <c r="U823" i="7"/>
  <c r="U875" i="7"/>
  <c r="U771" i="7"/>
  <c r="U928" i="7"/>
  <c r="V582" i="7"/>
  <c r="V634" i="7"/>
  <c r="V590" i="7"/>
  <c r="T649" i="7"/>
  <c r="T596" i="7"/>
  <c r="V808" i="7"/>
  <c r="V703" i="7"/>
  <c r="V651" i="7"/>
  <c r="T667" i="7"/>
  <c r="T771" i="7"/>
  <c r="T671" i="7"/>
  <c r="T723" i="7"/>
  <c r="N583" i="7"/>
  <c r="F474" i="7"/>
  <c r="N783" i="7"/>
  <c r="I643" i="1"/>
  <c r="N695" i="7"/>
  <c r="T591" i="7"/>
  <c r="T695" i="7"/>
  <c r="T752" i="7"/>
  <c r="T700" i="7"/>
  <c r="F481" i="7"/>
  <c r="F321" i="7"/>
  <c r="F323" i="7"/>
  <c r="I625" i="1"/>
  <c r="I580" i="1"/>
  <c r="F583" i="7"/>
  <c r="T619" i="7"/>
  <c r="T635" i="7"/>
  <c r="T640" i="7"/>
  <c r="V663" i="7"/>
  <c r="V611" i="7"/>
  <c r="S784" i="7"/>
  <c r="S941" i="7"/>
  <c r="S942" i="7"/>
  <c r="S837" i="7"/>
  <c r="S890" i="7"/>
  <c r="S838" i="7"/>
  <c r="S786" i="7"/>
  <c r="S943" i="7"/>
  <c r="S891" i="7"/>
  <c r="S839" i="7"/>
  <c r="F634" i="7"/>
  <c r="N919" i="7"/>
  <c r="N815" i="7"/>
  <c r="I711" i="1"/>
  <c r="I811" i="1"/>
  <c r="G811" i="7"/>
  <c r="F835" i="7"/>
  <c r="I832" i="1"/>
  <c r="T582" i="7"/>
  <c r="T601" i="7"/>
  <c r="S801" i="7"/>
  <c r="T929" i="7"/>
  <c r="T824" i="7"/>
  <c r="T877" i="7"/>
  <c r="T825" i="7"/>
  <c r="T930" i="7"/>
  <c r="F352" i="7"/>
  <c r="F344" i="7"/>
  <c r="I535" i="1"/>
  <c r="G537" i="7"/>
  <c r="F536" i="7"/>
  <c r="I553" i="1"/>
  <c r="F762" i="7"/>
  <c r="N970" i="7"/>
  <c r="N976" i="7"/>
  <c r="N833" i="7"/>
  <c r="U654" i="7"/>
  <c r="T626" i="7"/>
  <c r="U645" i="7"/>
  <c r="T894" i="7"/>
  <c r="T946" i="7"/>
  <c r="T999" i="7"/>
  <c r="T843" i="7"/>
  <c r="T947" i="7"/>
  <c r="T895" i="7"/>
  <c r="T844" i="7"/>
  <c r="T948" i="7"/>
  <c r="T949" i="7"/>
  <c r="T897" i="7"/>
  <c r="T898" i="7"/>
  <c r="T954" i="7"/>
  <c r="T903" i="7"/>
  <c r="T1008" i="7"/>
  <c r="N593" i="7"/>
  <c r="F460" i="7"/>
  <c r="F437" i="7"/>
  <c r="F36" i="7"/>
  <c r="N925" i="7"/>
  <c r="F776" i="7"/>
  <c r="F777" i="7"/>
  <c r="V598" i="7"/>
  <c r="V704" i="7"/>
  <c r="V757" i="7"/>
  <c r="V600" i="7"/>
  <c r="V878" i="7"/>
  <c r="V825" i="7"/>
  <c r="U887" i="7"/>
  <c r="U834" i="7"/>
  <c r="V783" i="7"/>
  <c r="V888" i="7"/>
  <c r="S842" i="7"/>
  <c r="F97" i="7"/>
  <c r="N622" i="7"/>
  <c r="I637" i="1"/>
  <c r="F639" i="7"/>
  <c r="I585" i="1"/>
  <c r="F458" i="7"/>
  <c r="N768" i="7"/>
  <c r="F560" i="7"/>
  <c r="I749" i="1"/>
  <c r="N957" i="7"/>
  <c r="U719" i="7"/>
  <c r="V772" i="7"/>
  <c r="N680" i="7"/>
  <c r="F749" i="7"/>
  <c r="F160" i="7"/>
  <c r="F138" i="7"/>
  <c r="I734" i="1"/>
  <c r="T598" i="7"/>
  <c r="U759" i="7"/>
  <c r="I922" i="1"/>
  <c r="O1026" i="7"/>
  <c r="F925" i="7"/>
  <c r="V729" i="7"/>
  <c r="V747" i="7"/>
  <c r="V755" i="7"/>
  <c r="F666" i="7"/>
  <c r="V661" i="7"/>
  <c r="V691" i="7"/>
  <c r="T886" i="7"/>
  <c r="V1019" i="7"/>
  <c r="I746" i="1"/>
  <c r="N823" i="7"/>
  <c r="N895" i="7"/>
  <c r="T632" i="7"/>
  <c r="U938" i="7"/>
  <c r="U841" i="7"/>
  <c r="U998" i="7"/>
  <c r="V786" i="7"/>
  <c r="V787" i="7"/>
  <c r="S932" i="7"/>
  <c r="F763" i="7"/>
  <c r="T924" i="7"/>
  <c r="T982" i="7"/>
  <c r="T906" i="7"/>
  <c r="T908" i="7"/>
  <c r="S949" i="7"/>
  <c r="F559" i="7"/>
  <c r="V1017" i="7"/>
  <c r="F865" i="7"/>
  <c r="S981" i="7"/>
  <c r="S930" i="7"/>
  <c r="T1017" i="7"/>
  <c r="S1052" i="7"/>
  <c r="T922" i="7"/>
  <c r="S990" i="7"/>
  <c r="Y953" i="7"/>
  <c r="T984" i="7"/>
  <c r="Y1019" i="7"/>
  <c r="V1052" i="7"/>
  <c r="V977" i="7"/>
  <c r="T1052" i="7"/>
  <c r="T1022" i="7"/>
  <c r="S1022" i="7"/>
  <c r="Y934" i="7"/>
  <c r="Y1010" i="7"/>
  <c r="T988" i="7"/>
  <c r="U1053" i="7"/>
  <c r="S1053" i="7"/>
  <c r="Y940" i="7"/>
  <c r="I1052" i="1"/>
  <c r="G1055" i="7"/>
  <c r="I1001" i="1"/>
  <c r="N1053" i="7"/>
  <c r="T1053" i="7"/>
  <c r="U1052" i="7"/>
  <c r="Y1053" i="7"/>
  <c r="N1052" i="7"/>
  <c r="V1053" i="7"/>
  <c r="F1053" i="7"/>
  <c r="F1052" i="7"/>
  <c r="O988" i="7"/>
  <c r="O793" i="7"/>
  <c r="O957" i="7"/>
  <c r="I1056" i="1"/>
  <c r="G1056" i="7"/>
  <c r="F1063" i="7"/>
  <c r="I1063" i="1"/>
  <c r="I1069" i="1"/>
  <c r="F1069" i="7"/>
  <c r="I10" i="8"/>
  <c r="I12" i="8"/>
  <c r="F1075" i="7"/>
  <c r="I1075" i="1"/>
  <c r="F1076" i="7"/>
  <c r="I717" i="1"/>
  <c r="F719" i="7"/>
  <c r="N769" i="7"/>
  <c r="N775" i="7"/>
  <c r="F725" i="7"/>
  <c r="F724" i="7"/>
  <c r="I723" i="1"/>
  <c r="O946" i="7"/>
  <c r="I816" i="1"/>
  <c r="F818" i="7"/>
  <c r="N979" i="7"/>
  <c r="I823" i="1"/>
  <c r="V647" i="7"/>
  <c r="V594" i="7"/>
  <c r="T664" i="7"/>
  <c r="V614" i="7"/>
  <c r="T725" i="7"/>
  <c r="T620" i="7"/>
  <c r="U748" i="7"/>
  <c r="U695" i="7"/>
  <c r="U750" i="7"/>
  <c r="U697" i="7"/>
  <c r="U647" i="7"/>
  <c r="I803" i="1"/>
  <c r="F803" i="7"/>
  <c r="F806" i="7"/>
  <c r="W1015" i="7"/>
  <c r="I824" i="1"/>
  <c r="N1032" i="7"/>
  <c r="F827" i="7"/>
  <c r="N879" i="7"/>
  <c r="G861" i="7"/>
  <c r="F143" i="7"/>
  <c r="G902" i="7"/>
  <c r="F690" i="7"/>
  <c r="N792" i="7"/>
  <c r="F691" i="7"/>
  <c r="N844" i="7"/>
  <c r="I688" i="1"/>
  <c r="F689" i="7"/>
  <c r="F744" i="7"/>
  <c r="F743" i="7"/>
  <c r="N795" i="7"/>
  <c r="I743" i="1"/>
  <c r="F187" i="7"/>
  <c r="O710" i="7"/>
  <c r="F673" i="7"/>
  <c r="N774" i="7"/>
  <c r="I670" i="1"/>
  <c r="F670" i="7"/>
  <c r="W722" i="7"/>
  <c r="I718" i="1"/>
  <c r="N874" i="7"/>
  <c r="N926" i="7"/>
  <c r="G603" i="7"/>
  <c r="O866" i="7"/>
  <c r="O762" i="7"/>
  <c r="O1016" i="7"/>
  <c r="I662" i="1"/>
  <c r="F665" i="7"/>
  <c r="N818" i="7"/>
  <c r="N870" i="7"/>
  <c r="N766" i="7"/>
  <c r="N723" i="7"/>
  <c r="I671" i="1"/>
  <c r="F684" i="7"/>
  <c r="F683" i="7"/>
  <c r="G925" i="7"/>
  <c r="O799" i="7"/>
  <c r="O1049" i="7"/>
  <c r="G895" i="7"/>
  <c r="I677" i="1"/>
  <c r="F677" i="7"/>
  <c r="W729" i="7"/>
  <c r="F680" i="7"/>
  <c r="N729" i="7"/>
  <c r="F679" i="7"/>
  <c r="F678" i="7"/>
  <c r="W730" i="7"/>
  <c r="F697" i="7"/>
  <c r="I697" i="1"/>
  <c r="N749" i="7"/>
  <c r="N905" i="7"/>
  <c r="I712" i="1"/>
  <c r="F713" i="7"/>
  <c r="N790" i="7"/>
  <c r="F740" i="7"/>
  <c r="F741" i="7"/>
  <c r="I738" i="1"/>
  <c r="N842" i="7"/>
  <c r="N946" i="7"/>
  <c r="G668" i="7"/>
  <c r="G887" i="7"/>
  <c r="W1044" i="7"/>
  <c r="O1033" i="7"/>
  <c r="G828" i="7"/>
  <c r="F239" i="7"/>
  <c r="F222" i="7"/>
  <c r="F225" i="7"/>
  <c r="F214" i="7"/>
  <c r="F200" i="7"/>
  <c r="F81" i="7"/>
  <c r="F82" i="7"/>
  <c r="F83" i="7"/>
  <c r="T658" i="7"/>
  <c r="V607" i="7"/>
  <c r="V660" i="7"/>
  <c r="T735" i="7"/>
  <c r="V684" i="7"/>
  <c r="V632" i="7"/>
  <c r="U652" i="7"/>
  <c r="U809" i="7"/>
  <c r="U756" i="7"/>
  <c r="S812" i="7"/>
  <c r="S759" i="7"/>
  <c r="S707" i="7"/>
  <c r="U708" i="7"/>
  <c r="O1056" i="7"/>
  <c r="G1006" i="7"/>
  <c r="X1058" i="7"/>
  <c r="G874" i="7"/>
  <c r="F252" i="7"/>
  <c r="F254" i="7"/>
  <c r="F253" i="7"/>
  <c r="I571" i="1"/>
  <c r="N727" i="7"/>
  <c r="N648" i="7"/>
  <c r="N596" i="7"/>
  <c r="G873" i="7"/>
  <c r="G1005" i="7"/>
  <c r="G946" i="7"/>
  <c r="I544" i="1"/>
  <c r="G973" i="7"/>
  <c r="N628" i="7"/>
  <c r="I576" i="1"/>
  <c r="F576" i="7"/>
  <c r="N732" i="7"/>
  <c r="N784" i="7"/>
  <c r="F577" i="7"/>
  <c r="N697" i="7"/>
  <c r="F544" i="7"/>
  <c r="F542" i="7"/>
  <c r="N705" i="7"/>
  <c r="F497" i="7"/>
  <c r="N707" i="7"/>
  <c r="F735" i="7"/>
  <c r="F736" i="7"/>
  <c r="F737" i="7"/>
  <c r="F710" i="7"/>
  <c r="W919" i="7"/>
  <c r="F711" i="7"/>
  <c r="N866" i="7"/>
  <c r="N924" i="7"/>
  <c r="F768" i="7"/>
  <c r="N944" i="7"/>
  <c r="F791" i="7"/>
  <c r="S894" i="7"/>
  <c r="S844" i="7"/>
  <c r="S897" i="7"/>
  <c r="S950" i="7"/>
  <c r="S846" i="7"/>
  <c r="S847" i="7"/>
  <c r="F668" i="7"/>
  <c r="F667" i="7"/>
  <c r="F807" i="7"/>
  <c r="F813" i="7"/>
  <c r="W917" i="7"/>
  <c r="T595" i="7"/>
  <c r="T648" i="7"/>
  <c r="F230" i="7"/>
  <c r="O998" i="7"/>
  <c r="F278" i="7"/>
  <c r="N671" i="7"/>
  <c r="I619" i="1"/>
  <c r="F620" i="7"/>
  <c r="G1057" i="7"/>
  <c r="G882" i="7"/>
  <c r="F224" i="7"/>
  <c r="F279" i="7"/>
  <c r="F122" i="7"/>
  <c r="F120" i="7"/>
  <c r="I728" i="1"/>
  <c r="N884" i="7"/>
  <c r="N832" i="7"/>
  <c r="F731" i="7"/>
  <c r="N936" i="7"/>
  <c r="I735" i="1"/>
  <c r="N854" i="7"/>
  <c r="N809" i="7"/>
  <c r="F760" i="7"/>
  <c r="N873" i="7"/>
  <c r="N821" i="7"/>
  <c r="N931" i="7"/>
  <c r="N983" i="7"/>
  <c r="T848" i="7"/>
  <c r="T1005" i="7"/>
  <c r="S850" i="7"/>
  <c r="S1007" i="7"/>
  <c r="S851" i="7"/>
  <c r="S1008" i="7"/>
  <c r="S955" i="7"/>
  <c r="S903" i="7"/>
  <c r="F336" i="7"/>
  <c r="F337" i="7"/>
  <c r="F270" i="7"/>
  <c r="F246" i="7"/>
  <c r="F244" i="7"/>
  <c r="F229" i="7"/>
  <c r="F228" i="7"/>
  <c r="F30" i="7"/>
  <c r="F1056" i="7"/>
  <c r="F1054" i="7"/>
  <c r="F1079" i="7"/>
  <c r="I1076" i="1"/>
  <c r="G1076" i="7"/>
  <c r="I1080" i="1"/>
  <c r="F572" i="7"/>
  <c r="F546" i="7"/>
  <c r="G849" i="7"/>
  <c r="G670" i="7"/>
  <c r="I804" i="1"/>
  <c r="S948" i="7"/>
  <c r="F367" i="7"/>
  <c r="F360" i="7"/>
  <c r="F345" i="7"/>
  <c r="F31" i="7"/>
  <c r="F23" i="7"/>
  <c r="F627" i="7"/>
  <c r="F628" i="7"/>
  <c r="I570" i="1"/>
  <c r="F573" i="7"/>
  <c r="N588" i="7"/>
  <c r="F549" i="7"/>
  <c r="N756" i="7"/>
  <c r="F558" i="7"/>
  <c r="G629" i="7"/>
  <c r="F287" i="7"/>
  <c r="F256" i="7"/>
  <c r="N713" i="7"/>
  <c r="I557" i="1"/>
  <c r="F331" i="7"/>
  <c r="F286" i="7"/>
  <c r="F284" i="7"/>
  <c r="F261" i="7"/>
  <c r="F262" i="7"/>
  <c r="F260" i="7"/>
  <c r="F236" i="7"/>
  <c r="F237" i="7"/>
  <c r="F629" i="7"/>
  <c r="N678" i="7"/>
  <c r="I565" i="1"/>
  <c r="N721" i="7"/>
  <c r="I552" i="1"/>
  <c r="N604" i="7"/>
  <c r="F616" i="7"/>
  <c r="N949" i="7"/>
  <c r="F794" i="7"/>
  <c r="I793" i="1"/>
  <c r="F796" i="7"/>
  <c r="N903" i="7"/>
  <c r="N851" i="7"/>
  <c r="F799" i="7"/>
  <c r="I799" i="1"/>
  <c r="G1004" i="7"/>
  <c r="N782" i="7"/>
  <c r="F330" i="7"/>
  <c r="G824" i="7"/>
  <c r="O962" i="7"/>
  <c r="F801" i="7"/>
  <c r="N645" i="7"/>
  <c r="F512" i="7"/>
  <c r="F511" i="7"/>
  <c r="F513" i="7"/>
  <c r="F483" i="7"/>
  <c r="N689" i="7"/>
  <c r="F374" i="7"/>
  <c r="F108" i="7"/>
  <c r="F107" i="7"/>
  <c r="I542" i="1"/>
  <c r="G544" i="7"/>
  <c r="N743" i="7"/>
  <c r="I529" i="1"/>
  <c r="F455" i="7"/>
  <c r="F453" i="7"/>
  <c r="O950" i="7"/>
  <c r="F305" i="7"/>
  <c r="F298" i="7"/>
  <c r="F297" i="7"/>
  <c r="I628" i="1"/>
  <c r="N709" i="7"/>
  <c r="I657" i="1"/>
  <c r="I646" i="1"/>
  <c r="F649" i="7"/>
  <c r="F509" i="7"/>
  <c r="N911" i="7"/>
  <c r="I755" i="1"/>
  <c r="I773" i="1"/>
  <c r="N929" i="7"/>
  <c r="N877" i="7"/>
  <c r="N981" i="7"/>
  <c r="N825" i="7"/>
  <c r="T603" i="7"/>
  <c r="T655" i="7"/>
  <c r="V644" i="7"/>
  <c r="V592" i="7"/>
  <c r="V602" i="7"/>
  <c r="V606" i="7"/>
  <c r="V608" i="7"/>
  <c r="V712" i="7"/>
  <c r="V610" i="7"/>
  <c r="V802" i="7"/>
  <c r="F863" i="7"/>
  <c r="I862" i="1"/>
  <c r="F862" i="7"/>
  <c r="F864" i="7"/>
  <c r="W1073" i="7"/>
  <c r="N1018" i="7"/>
  <c r="G999" i="7"/>
  <c r="O1057" i="7"/>
  <c r="O1061" i="7"/>
  <c r="G960" i="7"/>
  <c r="F468" i="7"/>
  <c r="F333" i="7"/>
  <c r="I627" i="1"/>
  <c r="O731" i="7"/>
  <c r="O835" i="7"/>
  <c r="N835" i="7"/>
  <c r="I748" i="1"/>
  <c r="N956" i="7"/>
  <c r="N989" i="7"/>
  <c r="T740" i="7"/>
  <c r="T583" i="7"/>
  <c r="T687" i="7"/>
  <c r="T818" i="7"/>
  <c r="T975" i="7"/>
  <c r="T871" i="7"/>
  <c r="T923" i="7"/>
  <c r="T874" i="7"/>
  <c r="T822" i="7"/>
  <c r="T875" i="7"/>
  <c r="T980" i="7"/>
  <c r="N1012" i="7"/>
  <c r="U1014" i="7"/>
  <c r="U910" i="7"/>
  <c r="U962" i="7"/>
  <c r="O1055" i="7"/>
  <c r="F282" i="7"/>
  <c r="F283" i="7"/>
  <c r="F275" i="7"/>
  <c r="F277" i="7"/>
  <c r="F618" i="7"/>
  <c r="I615" i="1"/>
  <c r="N719" i="7"/>
  <c r="G669" i="7"/>
  <c r="N730" i="7"/>
  <c r="I684" i="1"/>
  <c r="I690" i="1"/>
  <c r="O898" i="7"/>
  <c r="N898" i="7"/>
  <c r="F708" i="7"/>
  <c r="F707" i="7"/>
  <c r="N771" i="7"/>
  <c r="T827" i="7"/>
  <c r="V731" i="7"/>
  <c r="V836" i="7"/>
  <c r="V683" i="7"/>
  <c r="T851" i="7"/>
  <c r="T746" i="7"/>
  <c r="V748" i="7"/>
  <c r="T755" i="7"/>
  <c r="T860" i="7"/>
  <c r="T807" i="7"/>
  <c r="T782" i="7"/>
  <c r="F885" i="7"/>
  <c r="I883" i="1"/>
  <c r="N987" i="7"/>
  <c r="U948" i="7"/>
  <c r="T1003" i="7"/>
  <c r="G793" i="7"/>
  <c r="N836" i="7"/>
  <c r="F306" i="7"/>
  <c r="F291" i="7"/>
  <c r="I621" i="1"/>
  <c r="N829" i="7"/>
  <c r="I651" i="1"/>
  <c r="F653" i="7"/>
  <c r="I639" i="1"/>
  <c r="I595" i="1"/>
  <c r="G595" i="7"/>
  <c r="N744" i="7"/>
  <c r="I779" i="1"/>
  <c r="I786" i="1"/>
  <c r="N942" i="7"/>
  <c r="T676" i="7"/>
  <c r="T624" i="7"/>
  <c r="V702" i="7"/>
  <c r="V650" i="7"/>
  <c r="V823" i="7"/>
  <c r="U674" i="7"/>
  <c r="U831" i="7"/>
  <c r="F119" i="7"/>
  <c r="F829" i="7"/>
  <c r="I829" i="1"/>
  <c r="O985" i="7"/>
  <c r="T718" i="7"/>
  <c r="I914" i="1"/>
  <c r="I917" i="1"/>
  <c r="N773" i="7"/>
  <c r="N896" i="7"/>
  <c r="F742" i="7"/>
  <c r="N861" i="7"/>
  <c r="U650" i="7"/>
  <c r="S701" i="7"/>
  <c r="T747" i="7"/>
  <c r="T713" i="7"/>
  <c r="F303" i="7"/>
  <c r="F113" i="7"/>
  <c r="F105" i="7"/>
  <c r="F459" i="7"/>
  <c r="V615" i="7"/>
  <c r="U932" i="7"/>
  <c r="N968" i="7"/>
  <c r="F703" i="7"/>
  <c r="V603" i="7"/>
  <c r="V761" i="7"/>
  <c r="U686" i="7"/>
  <c r="U739" i="7"/>
  <c r="U742" i="7"/>
  <c r="U743" i="7"/>
  <c r="S883" i="7"/>
  <c r="S884" i="7"/>
  <c r="Y1068" i="7"/>
  <c r="U723" i="7"/>
  <c r="U671" i="7"/>
  <c r="V676" i="7"/>
  <c r="V759" i="7"/>
  <c r="S964" i="7"/>
  <c r="S1020" i="7"/>
  <c r="S916" i="7"/>
  <c r="V637" i="7"/>
  <c r="U868" i="7"/>
  <c r="T872" i="7"/>
  <c r="T873" i="7"/>
  <c r="T926" i="7"/>
  <c r="T981" i="7"/>
  <c r="I844" i="1"/>
  <c r="N1000" i="7"/>
  <c r="V1016" i="7"/>
  <c r="U1078" i="7"/>
  <c r="F296" i="7"/>
  <c r="V626" i="7"/>
  <c r="U643" i="7"/>
  <c r="V777" i="7"/>
  <c r="U790" i="7"/>
  <c r="U826" i="7"/>
  <c r="T831" i="7"/>
  <c r="T941" i="7"/>
  <c r="T840" i="7"/>
  <c r="S920" i="7"/>
  <c r="S726" i="7"/>
  <c r="T709" i="7"/>
  <c r="T814" i="7"/>
  <c r="S808" i="7"/>
  <c r="S816" i="7"/>
  <c r="S1079" i="7"/>
  <c r="S1069" i="7"/>
  <c r="T1076" i="7"/>
  <c r="T1069" i="7"/>
  <c r="S965" i="7"/>
  <c r="T1071" i="7"/>
  <c r="I950" i="1"/>
  <c r="N1054" i="7"/>
  <c r="T1059" i="7"/>
  <c r="T1061" i="7"/>
  <c r="N1067" i="7"/>
  <c r="N1066" i="7"/>
  <c r="I962" i="1"/>
  <c r="T1073" i="7"/>
  <c r="N1080" i="7"/>
  <c r="Y1015" i="7"/>
  <c r="S1055" i="7"/>
  <c r="N1055" i="7"/>
  <c r="T1075" i="7"/>
  <c r="U1076" i="7"/>
  <c r="I978" i="1"/>
  <c r="F981" i="7"/>
  <c r="Y1021" i="7"/>
  <c r="N1060" i="7"/>
  <c r="T1060" i="7"/>
  <c r="S1077" i="7"/>
  <c r="F874" i="7"/>
  <c r="S1064" i="7"/>
  <c r="U1065" i="7"/>
  <c r="U1079" i="7"/>
  <c r="I1073" i="1"/>
  <c r="F1074" i="7"/>
  <c r="S1080" i="7"/>
  <c r="V1054" i="7"/>
  <c r="T1065" i="7"/>
  <c r="Y933" i="7"/>
  <c r="Y829" i="7"/>
  <c r="Y972" i="7"/>
  <c r="V1055" i="7"/>
  <c r="Y1073" i="7"/>
  <c r="T985" i="7"/>
  <c r="U1060" i="7"/>
  <c r="S1062" i="7"/>
  <c r="U1063" i="7"/>
  <c r="U1069" i="7"/>
  <c r="Y1060" i="7"/>
  <c r="Y1000" i="7"/>
  <c r="Y1052" i="7"/>
  <c r="Y1009" i="7"/>
  <c r="T1056" i="7"/>
  <c r="S1059" i="7"/>
  <c r="T1063" i="7"/>
  <c r="V1070" i="7"/>
  <c r="N1077" i="7"/>
  <c r="I1064" i="1"/>
  <c r="F1067" i="7"/>
  <c r="N1057" i="7"/>
  <c r="T1057" i="7"/>
  <c r="Y1058" i="7"/>
  <c r="S1060" i="7"/>
  <c r="V1064" i="7"/>
  <c r="O1067" i="7"/>
  <c r="S1070" i="7"/>
  <c r="V1071" i="7"/>
  <c r="S1074" i="7"/>
  <c r="O1078" i="7"/>
  <c r="V1078" i="7"/>
  <c r="F1061" i="7"/>
  <c r="I1058" i="1"/>
  <c r="G1059" i="7"/>
  <c r="V1058" i="7"/>
  <c r="V1062" i="7"/>
  <c r="S1065" i="7"/>
  <c r="V1073" i="7"/>
  <c r="S1078" i="7"/>
  <c r="Y974" i="7"/>
  <c r="S1058" i="7"/>
  <c r="S1061" i="7"/>
  <c r="Y1069" i="7"/>
  <c r="S1075" i="7"/>
  <c r="V1076" i="7"/>
  <c r="F1070" i="7"/>
  <c r="I1067" i="1"/>
  <c r="G1069" i="7"/>
  <c r="U1059" i="7"/>
  <c r="N1059" i="7"/>
  <c r="I955" i="1"/>
  <c r="U1062" i="7"/>
  <c r="U1061" i="7"/>
  <c r="T1066" i="7"/>
  <c r="U1067" i="7"/>
  <c r="V1074" i="7"/>
  <c r="Y1054" i="7"/>
  <c r="U1073" i="7"/>
  <c r="T1079" i="7"/>
  <c r="U1080" i="7"/>
  <c r="Y1066" i="7"/>
  <c r="Y906" i="7"/>
  <c r="S1056" i="7"/>
  <c r="V1057" i="7"/>
  <c r="S1063" i="7"/>
  <c r="S1067" i="7"/>
  <c r="N1070" i="7"/>
  <c r="Y1071" i="7"/>
  <c r="N1074" i="7"/>
  <c r="T1074" i="7"/>
  <c r="Y1078" i="7"/>
  <c r="F1065" i="7"/>
  <c r="U1075" i="7"/>
  <c r="Y1079" i="7"/>
  <c r="S1057" i="7"/>
  <c r="N1064" i="7"/>
  <c r="V1068" i="7"/>
  <c r="F1077" i="7"/>
  <c r="U1054" i="7"/>
  <c r="N1058" i="7"/>
  <c r="U1071" i="7"/>
  <c r="N1076" i="7"/>
  <c r="V1059" i="7"/>
  <c r="S1072" i="7"/>
  <c r="F1080" i="7"/>
  <c r="U1055" i="7"/>
  <c r="U1058" i="7"/>
  <c r="U1057" i="7"/>
  <c r="U1056" i="7"/>
  <c r="U1066" i="7"/>
  <c r="V1067" i="7"/>
  <c r="T1078" i="7"/>
  <c r="T1054" i="7"/>
  <c r="V1056" i="7"/>
  <c r="V1063" i="7"/>
  <c r="N1073" i="7"/>
  <c r="I1021" i="1"/>
  <c r="V1077" i="7"/>
  <c r="V1080" i="7"/>
  <c r="F1059" i="7"/>
  <c r="F1062" i="7"/>
  <c r="I1059" i="1"/>
  <c r="F1066" i="7"/>
  <c r="T1055" i="7"/>
  <c r="Y1056" i="7"/>
  <c r="T1062" i="7"/>
  <c r="Y1063" i="7"/>
  <c r="V1066" i="7"/>
  <c r="Y1067" i="7"/>
  <c r="V1069" i="7"/>
  <c r="F1057" i="7"/>
  <c r="F1058" i="7"/>
  <c r="S1066" i="7"/>
  <c r="S1073" i="7"/>
  <c r="T1077" i="7"/>
  <c r="T1080" i="7"/>
  <c r="F1055" i="7"/>
  <c r="F1060" i="7"/>
  <c r="V1061" i="7"/>
  <c r="T1064" i="7"/>
  <c r="Y1065" i="7"/>
  <c r="V1075" i="7"/>
  <c r="F1071" i="7"/>
  <c r="T1058" i="7"/>
  <c r="N1061" i="7"/>
  <c r="V1065" i="7"/>
  <c r="N1068" i="7"/>
  <c r="T1068" i="7"/>
  <c r="V1072" i="7"/>
  <c r="F1064" i="7"/>
  <c r="I1061" i="1"/>
  <c r="G1064" i="7"/>
  <c r="G786" i="7"/>
  <c r="G807" i="7"/>
  <c r="O1024" i="7"/>
  <c r="O823" i="7"/>
  <c r="G864" i="7"/>
  <c r="G576" i="7"/>
  <c r="G671" i="7"/>
  <c r="G885" i="7"/>
  <c r="O723" i="7"/>
  <c r="O1000" i="7"/>
  <c r="G847" i="7"/>
  <c r="G846" i="7"/>
  <c r="O955" i="7"/>
  <c r="O1031" i="7"/>
  <c r="G1063" i="7"/>
  <c r="G1023" i="7"/>
  <c r="G1021" i="7"/>
  <c r="G1022" i="7"/>
  <c r="G620" i="7"/>
  <c r="G806" i="7"/>
  <c r="W646" i="7"/>
  <c r="O845" i="7"/>
  <c r="G794" i="7"/>
  <c r="O1001" i="7"/>
  <c r="O1002" i="7"/>
  <c r="O703" i="7"/>
  <c r="G979" i="7"/>
  <c r="O783" i="7"/>
  <c r="O936" i="7"/>
  <c r="G1058" i="7"/>
  <c r="G717" i="7"/>
  <c r="G677" i="7"/>
  <c r="G678" i="7"/>
  <c r="G827" i="7"/>
  <c r="O827" i="7"/>
  <c r="G724" i="7"/>
  <c r="G725" i="7"/>
  <c r="O879" i="7"/>
  <c r="O802" i="7"/>
  <c r="O1032" i="7"/>
  <c r="G981" i="7"/>
  <c r="G980" i="7"/>
  <c r="G870" i="7"/>
  <c r="W1041" i="7"/>
  <c r="O705" i="7"/>
  <c r="G780" i="7"/>
  <c r="G779" i="7"/>
  <c r="G778" i="7"/>
  <c r="W1078" i="7"/>
  <c r="O1005" i="7"/>
  <c r="G1077" i="7"/>
  <c r="V680" i="7"/>
  <c r="F442" i="7"/>
  <c r="F66" i="7"/>
  <c r="F68" i="7"/>
  <c r="F67" i="7"/>
  <c r="F58" i="7"/>
  <c r="F59" i="7"/>
  <c r="F51" i="7"/>
  <c r="F52" i="7"/>
  <c r="F53" i="7"/>
  <c r="F45" i="7"/>
  <c r="F44" i="7"/>
  <c r="F22" i="7"/>
  <c r="F14" i="7"/>
  <c r="F15" i="7"/>
  <c r="F632" i="7"/>
  <c r="I630" i="1"/>
  <c r="O838" i="7"/>
  <c r="N786" i="7"/>
  <c r="F633" i="7"/>
  <c r="N682" i="7"/>
  <c r="F631" i="7"/>
  <c r="F630" i="7"/>
  <c r="N838" i="7"/>
  <c r="N726" i="7"/>
  <c r="I622" i="1"/>
  <c r="G625" i="7"/>
  <c r="N674" i="7"/>
  <c r="F625" i="7"/>
  <c r="N772" i="7"/>
  <c r="I720" i="1"/>
  <c r="F721" i="7"/>
  <c r="F723" i="7"/>
  <c r="F720" i="7"/>
  <c r="I727" i="1"/>
  <c r="N883" i="7"/>
  <c r="N831" i="7"/>
  <c r="N779" i="7"/>
  <c r="N935" i="7"/>
  <c r="F728" i="7"/>
  <c r="F730" i="7"/>
  <c r="O714" i="7"/>
  <c r="O766" i="7"/>
  <c r="G992" i="7"/>
  <c r="G995" i="7"/>
  <c r="G934" i="7"/>
  <c r="G933" i="7"/>
  <c r="G932" i="7"/>
  <c r="O983" i="7"/>
  <c r="O1035" i="7"/>
  <c r="G1075" i="7"/>
  <c r="T617" i="7"/>
  <c r="V672" i="7"/>
  <c r="T678" i="7"/>
  <c r="T589" i="7"/>
  <c r="T694" i="7"/>
  <c r="T641" i="7"/>
  <c r="T594" i="7"/>
  <c r="T646" i="7"/>
  <c r="U651" i="7"/>
  <c r="U704" i="7"/>
  <c r="V656" i="7"/>
  <c r="V709" i="7"/>
  <c r="W1052" i="7"/>
  <c r="O774" i="7"/>
  <c r="O722" i="7"/>
  <c r="G618" i="7"/>
  <c r="G955" i="7"/>
  <c r="O1059" i="7"/>
  <c r="G958" i="7"/>
  <c r="T609" i="7"/>
  <c r="T662" i="7"/>
  <c r="T581" i="7"/>
  <c r="T686" i="7"/>
  <c r="V583" i="7"/>
  <c r="V635" i="7"/>
  <c r="V596" i="7"/>
  <c r="V701" i="7"/>
  <c r="V648" i="7"/>
  <c r="T654" i="7"/>
  <c r="T707" i="7"/>
  <c r="T602" i="7"/>
  <c r="G1074" i="7"/>
  <c r="G829" i="7"/>
  <c r="O933" i="7"/>
  <c r="O1037" i="7"/>
  <c r="O931" i="7"/>
  <c r="O1028" i="7"/>
  <c r="O887" i="7"/>
  <c r="O1090" i="7"/>
  <c r="F258" i="7"/>
  <c r="F257" i="7"/>
  <c r="I685" i="1"/>
  <c r="N789" i="7"/>
  <c r="F688" i="7"/>
  <c r="F686" i="7"/>
  <c r="N841" i="7"/>
  <c r="F913" i="7"/>
  <c r="I913" i="1"/>
  <c r="F916" i="7"/>
  <c r="I967" i="1"/>
  <c r="F970" i="7"/>
  <c r="E14" i="6"/>
  <c r="T1020" i="7"/>
  <c r="T1072" i="7"/>
  <c r="S1088" i="7"/>
  <c r="S1036" i="7"/>
  <c r="Y993" i="7"/>
  <c r="Y1045" i="7"/>
  <c r="Y1037" i="7"/>
  <c r="Y985" i="7"/>
  <c r="Y1022" i="7"/>
  <c r="Y970" i="7"/>
  <c r="I1077" i="1"/>
  <c r="F1078" i="7"/>
  <c r="O1052" i="7"/>
  <c r="N677" i="7"/>
  <c r="F316" i="7"/>
  <c r="F317" i="7"/>
  <c r="F315" i="7"/>
  <c r="F539" i="7"/>
  <c r="F538" i="7"/>
  <c r="T837" i="7"/>
  <c r="T732" i="7"/>
  <c r="T680" i="7"/>
  <c r="T784" i="7"/>
  <c r="T689" i="7"/>
  <c r="T793" i="7"/>
  <c r="O884" i="7"/>
  <c r="G719" i="7"/>
  <c r="O874" i="7"/>
  <c r="Y1074" i="7"/>
  <c r="W1068" i="7"/>
  <c r="F914" i="7"/>
  <c r="N914" i="7"/>
  <c r="N738" i="7"/>
  <c r="F201" i="7"/>
  <c r="F171" i="7"/>
  <c r="F157" i="7"/>
  <c r="G639" i="7"/>
  <c r="G640" i="7"/>
  <c r="F300" i="7"/>
  <c r="F517" i="7"/>
  <c r="F139" i="7"/>
  <c r="G865" i="7"/>
  <c r="O909" i="7"/>
  <c r="F699" i="7"/>
  <c r="F967" i="7"/>
  <c r="Y1035" i="7"/>
  <c r="O984" i="7"/>
  <c r="I744" i="1"/>
  <c r="G957" i="7"/>
  <c r="G956" i="7"/>
  <c r="F521" i="7"/>
  <c r="F520" i="7"/>
  <c r="F515" i="7"/>
  <c r="F514" i="7"/>
  <c r="F516" i="7"/>
  <c r="F322" i="7"/>
  <c r="F324" i="7"/>
  <c r="F248" i="7"/>
  <c r="F238" i="7"/>
  <c r="F240" i="7"/>
  <c r="F241" i="7"/>
  <c r="F207" i="7"/>
  <c r="F206" i="7"/>
  <c r="F192" i="7"/>
  <c r="F185" i="7"/>
  <c r="F182" i="7"/>
  <c r="F176" i="7"/>
  <c r="F566" i="7"/>
  <c r="N669" i="7"/>
  <c r="F600" i="7"/>
  <c r="N701" i="7"/>
  <c r="I597" i="1"/>
  <c r="N649" i="7"/>
  <c r="N753" i="7"/>
  <c r="F592" i="7"/>
  <c r="F593" i="7"/>
  <c r="I673" i="1"/>
  <c r="F676" i="7"/>
  <c r="N881" i="7"/>
  <c r="F681" i="7"/>
  <c r="F682" i="7"/>
  <c r="I680" i="1"/>
  <c r="N953" i="7"/>
  <c r="F748" i="7"/>
  <c r="I745" i="1"/>
  <c r="I753" i="1"/>
  <c r="F756" i="7"/>
  <c r="N909" i="7"/>
  <c r="N805" i="7"/>
  <c r="G762" i="7"/>
  <c r="I766" i="1"/>
  <c r="N974" i="7"/>
  <c r="G716" i="7"/>
  <c r="N1010" i="7"/>
  <c r="I854" i="1"/>
  <c r="U963" i="7"/>
  <c r="U1068" i="7"/>
  <c r="U911" i="7"/>
  <c r="T967" i="7"/>
  <c r="T915" i="7"/>
  <c r="T1019" i="7"/>
  <c r="O1048" i="7"/>
  <c r="O996" i="7"/>
  <c r="F219" i="7"/>
  <c r="G923" i="7"/>
  <c r="F170" i="7"/>
  <c r="G1029" i="7"/>
  <c r="O1080" i="7"/>
  <c r="F255" i="7"/>
  <c r="G554" i="7"/>
  <c r="G593" i="7"/>
  <c r="I672" i="1"/>
  <c r="F675" i="7"/>
  <c r="N880" i="7"/>
  <c r="F672" i="7"/>
  <c r="W828" i="7"/>
  <c r="V838" i="7"/>
  <c r="V733" i="7"/>
  <c r="V785" i="7"/>
  <c r="U690" i="7"/>
  <c r="U847" i="7"/>
  <c r="F747" i="7"/>
  <c r="O981" i="7"/>
  <c r="O877" i="7"/>
  <c r="O929" i="7"/>
  <c r="O698" i="7"/>
  <c r="N686" i="7"/>
  <c r="N906" i="7"/>
  <c r="F530" i="7"/>
  <c r="F209" i="7"/>
  <c r="F674" i="7"/>
  <c r="F184" i="7"/>
  <c r="F155" i="7"/>
  <c r="F537" i="7"/>
  <c r="O707" i="7"/>
  <c r="G899" i="7"/>
  <c r="O717" i="7"/>
  <c r="Y937" i="7"/>
  <c r="N1017" i="7"/>
  <c r="G602" i="7"/>
  <c r="F529" i="7"/>
  <c r="F528" i="7"/>
  <c r="F527" i="7"/>
  <c r="F522" i="7"/>
  <c r="W731" i="7"/>
  <c r="F382" i="7"/>
  <c r="F379" i="7"/>
  <c r="F266" i="7"/>
  <c r="F268" i="7"/>
  <c r="F269" i="7"/>
  <c r="F232" i="7"/>
  <c r="I578" i="1"/>
  <c r="O734" i="7"/>
  <c r="F581" i="7"/>
  <c r="F578" i="7"/>
  <c r="N675" i="7"/>
  <c r="F574" i="7"/>
  <c r="F598" i="7"/>
  <c r="F599" i="7"/>
  <c r="F597" i="7"/>
  <c r="N752" i="7"/>
  <c r="N700" i="7"/>
  <c r="I596" i="1"/>
  <c r="O752" i="7"/>
  <c r="I581" i="1"/>
  <c r="F584" i="7"/>
  <c r="N685" i="7"/>
  <c r="I612" i="1"/>
  <c r="N716" i="7"/>
  <c r="N847" i="7"/>
  <c r="F797" i="7"/>
  <c r="I795" i="1"/>
  <c r="N1003" i="7"/>
  <c r="N951" i="7"/>
  <c r="N899" i="7"/>
  <c r="F809" i="7"/>
  <c r="F812" i="7"/>
  <c r="I809" i="1"/>
  <c r="F811" i="7"/>
  <c r="N913" i="7"/>
  <c r="F869" i="7"/>
  <c r="N1025" i="7"/>
  <c r="N921" i="7"/>
  <c r="N973" i="7"/>
  <c r="I869" i="1"/>
  <c r="G869" i="7"/>
  <c r="F870" i="7"/>
  <c r="O852" i="7"/>
  <c r="G1053" i="7"/>
  <c r="G867" i="7"/>
  <c r="G868" i="7"/>
  <c r="X1077" i="7"/>
  <c r="G538" i="7"/>
  <c r="O1062" i="7"/>
  <c r="F142" i="7"/>
  <c r="F141" i="7"/>
  <c r="F74" i="7"/>
  <c r="F75" i="7"/>
  <c r="O782" i="7"/>
  <c r="O730" i="7"/>
  <c r="I699" i="1"/>
  <c r="F702" i="7"/>
  <c r="N803" i="7"/>
  <c r="N751" i="7"/>
  <c r="N907" i="7"/>
  <c r="T1018" i="7"/>
  <c r="T966" i="7"/>
  <c r="I916" i="1"/>
  <c r="F919" i="7"/>
  <c r="N1020" i="7"/>
  <c r="F917" i="7"/>
  <c r="F918" i="7"/>
  <c r="W1022" i="7"/>
  <c r="I919" i="1"/>
  <c r="F920" i="7"/>
  <c r="N971" i="7"/>
  <c r="N1023" i="7"/>
  <c r="V975" i="7"/>
  <c r="V1027" i="7"/>
  <c r="V1079" i="7"/>
  <c r="S1019" i="7"/>
  <c r="S1071" i="7"/>
  <c r="G884" i="7"/>
  <c r="O1021" i="7"/>
  <c r="O769" i="7"/>
  <c r="G1051" i="7"/>
  <c r="G1025" i="7"/>
  <c r="G1026" i="7"/>
  <c r="O1076" i="7"/>
  <c r="T1039" i="7"/>
  <c r="F856" i="7"/>
  <c r="W1012" i="7"/>
  <c r="N893" i="7"/>
  <c r="G893" i="7"/>
  <c r="G585" i="7"/>
  <c r="F309" i="7"/>
  <c r="F294" i="7"/>
  <c r="F293" i="7"/>
  <c r="F295" i="7"/>
  <c r="F162" i="7"/>
  <c r="F163" i="7"/>
  <c r="F88" i="7"/>
  <c r="I758" i="1"/>
  <c r="F761" i="7"/>
  <c r="F758" i="7"/>
  <c r="I764" i="1"/>
  <c r="N972" i="7"/>
  <c r="F767" i="7"/>
  <c r="N920" i="7"/>
  <c r="F779" i="7"/>
  <c r="F778" i="7"/>
  <c r="N830" i="7"/>
  <c r="F781" i="7"/>
  <c r="O926" i="7"/>
  <c r="F915" i="7"/>
  <c r="W967" i="7"/>
  <c r="G1052" i="7"/>
  <c r="F700" i="7"/>
  <c r="F494" i="7"/>
  <c r="O1064" i="7"/>
  <c r="F447" i="7"/>
  <c r="N653" i="7"/>
  <c r="F585" i="7"/>
  <c r="I583" i="1"/>
  <c r="N635" i="7"/>
  <c r="F586" i="7"/>
  <c r="N900" i="7"/>
  <c r="N952" i="7"/>
  <c r="T684" i="7"/>
  <c r="T841" i="7"/>
  <c r="O949" i="7"/>
  <c r="G718" i="7"/>
  <c r="G844" i="7"/>
  <c r="T1070" i="7"/>
  <c r="N1075" i="7"/>
  <c r="N633" i="7"/>
  <c r="N737" i="7"/>
  <c r="F208" i="7"/>
  <c r="W795" i="7"/>
  <c r="F156" i="7"/>
  <c r="O1050" i="7"/>
  <c r="O1053" i="7"/>
  <c r="G1001" i="7"/>
  <c r="G1003" i="7"/>
  <c r="G896" i="7"/>
  <c r="Y989" i="7"/>
  <c r="G842" i="7"/>
  <c r="F921" i="7"/>
  <c r="Y1024" i="7"/>
  <c r="V681" i="7"/>
  <c r="G890" i="7"/>
  <c r="F404" i="7"/>
  <c r="F117" i="7"/>
  <c r="F115" i="7"/>
  <c r="F114" i="7"/>
  <c r="F101" i="7"/>
  <c r="F98" i="7"/>
  <c r="F91" i="7"/>
  <c r="F90" i="7"/>
  <c r="F46" i="7"/>
  <c r="F29" i="7"/>
  <c r="F32" i="7"/>
  <c r="I624" i="1"/>
  <c r="N780" i="7"/>
  <c r="N676" i="7"/>
  <c r="F626" i="7"/>
  <c r="F645" i="7"/>
  <c r="I645" i="1"/>
  <c r="F646" i="7"/>
  <c r="F648" i="7"/>
  <c r="N801" i="7"/>
  <c r="G605" i="7"/>
  <c r="S999" i="7"/>
  <c r="S946" i="7"/>
  <c r="S1000" i="7"/>
  <c r="S895" i="7"/>
  <c r="S896" i="7"/>
  <c r="S1001" i="7"/>
  <c r="S845" i="7"/>
  <c r="S1002" i="7"/>
  <c r="S1003" i="7"/>
  <c r="S898" i="7"/>
  <c r="S1004" i="7"/>
  <c r="S899" i="7"/>
  <c r="G1024" i="7"/>
  <c r="F687" i="7"/>
  <c r="G1027" i="7"/>
  <c r="N958" i="7"/>
  <c r="G679" i="7"/>
  <c r="F492" i="7"/>
  <c r="N595" i="7"/>
  <c r="F493" i="7"/>
  <c r="N647" i="7"/>
  <c r="F491" i="7"/>
  <c r="I530" i="1"/>
  <c r="O686" i="7"/>
  <c r="F531" i="7"/>
  <c r="F753" i="7"/>
  <c r="N856" i="7"/>
  <c r="I752" i="1"/>
  <c r="N908" i="7"/>
  <c r="V842" i="7"/>
  <c r="V685" i="7"/>
  <c r="S740" i="7"/>
  <c r="S688" i="7"/>
  <c r="V743" i="7"/>
  <c r="V848" i="7"/>
  <c r="G684" i="7"/>
  <c r="O897" i="7"/>
  <c r="G720" i="7"/>
  <c r="O1012" i="7"/>
  <c r="N804" i="7"/>
  <c r="N960" i="7"/>
  <c r="F755" i="7"/>
  <c r="N699" i="7"/>
  <c r="F759" i="7"/>
  <c r="F685" i="7"/>
  <c r="F89" i="7"/>
  <c r="F764" i="7"/>
  <c r="N1019" i="7"/>
  <c r="O910" i="7"/>
  <c r="O1091" i="7"/>
  <c r="G1012" i="7"/>
  <c r="G948" i="7"/>
  <c r="F301" i="7"/>
  <c r="G944" i="7"/>
  <c r="Y930" i="7"/>
  <c r="F435" i="7"/>
  <c r="F409" i="7"/>
  <c r="N616" i="7"/>
  <c r="F130" i="7"/>
  <c r="F129" i="7"/>
  <c r="N760" i="7"/>
  <c r="N656" i="7"/>
  <c r="N708" i="7"/>
  <c r="F554" i="7"/>
  <c r="N609" i="7"/>
  <c r="V631" i="7"/>
  <c r="V735" i="7"/>
  <c r="S797" i="7"/>
  <c r="S692" i="7"/>
  <c r="U641" i="7"/>
  <c r="U693" i="7"/>
  <c r="S805" i="7"/>
  <c r="S700" i="7"/>
  <c r="W1054" i="7"/>
  <c r="O1101" i="7"/>
  <c r="G930" i="7"/>
  <c r="G931" i="7"/>
  <c r="F332" i="7"/>
  <c r="F310" i="7"/>
  <c r="F307" i="7"/>
  <c r="F272" i="7"/>
  <c r="F617" i="7"/>
  <c r="N668" i="7"/>
  <c r="F619" i="7"/>
  <c r="N785" i="7"/>
  <c r="I559" i="1"/>
  <c r="I696" i="1"/>
  <c r="N800" i="7"/>
  <c r="T586" i="7"/>
  <c r="S889" i="7"/>
  <c r="S732" i="7"/>
  <c r="S836" i="7"/>
  <c r="W1096" i="7"/>
  <c r="F276" i="7"/>
  <c r="F231" i="7"/>
  <c r="F181" i="7"/>
  <c r="F183" i="7"/>
  <c r="F73" i="7"/>
  <c r="I539" i="1"/>
  <c r="O695" i="7"/>
  <c r="N643" i="7"/>
  <c r="F445" i="7"/>
  <c r="F650" i="7"/>
  <c r="F652" i="7"/>
  <c r="N754" i="7"/>
  <c r="F647" i="7"/>
  <c r="F608" i="7"/>
  <c r="F610" i="7"/>
  <c r="I739" i="1"/>
  <c r="I802" i="1"/>
  <c r="F802" i="7"/>
  <c r="C84" i="7"/>
  <c r="C81" i="7"/>
  <c r="I852" i="1"/>
  <c r="O904" i="7"/>
  <c r="G854" i="7"/>
  <c r="F852" i="7"/>
  <c r="N1008" i="7"/>
  <c r="T907" i="7"/>
  <c r="T1011" i="7"/>
  <c r="W1086" i="7"/>
  <c r="G936" i="7"/>
  <c r="F354" i="7"/>
  <c r="N597" i="7"/>
  <c r="I545" i="1"/>
  <c r="F604" i="7"/>
  <c r="F605" i="7"/>
  <c r="F602" i="7"/>
  <c r="I705" i="1"/>
  <c r="N757" i="7"/>
  <c r="G722" i="7"/>
  <c r="N948" i="7"/>
  <c r="I740" i="1"/>
  <c r="T656" i="7"/>
  <c r="T604" i="7"/>
  <c r="U691" i="7"/>
  <c r="T643" i="7"/>
  <c r="T697" i="7"/>
  <c r="T645" i="7"/>
  <c r="T699" i="7"/>
  <c r="T701" i="7"/>
  <c r="T597" i="7"/>
  <c r="T653" i="7"/>
  <c r="T657" i="7"/>
  <c r="T762" i="7"/>
  <c r="T607" i="7"/>
  <c r="T764" i="7"/>
  <c r="S892" i="7"/>
  <c r="S735" i="7"/>
  <c r="T736" i="7"/>
  <c r="U894" i="7"/>
  <c r="U737" i="7"/>
  <c r="U738" i="7"/>
  <c r="U842" i="7"/>
  <c r="U791" i="7"/>
  <c r="U843" i="7"/>
  <c r="U741" i="7"/>
  <c r="U898" i="7"/>
  <c r="U794" i="7"/>
  <c r="U899" i="7"/>
  <c r="U901" i="7"/>
  <c r="U848" i="7"/>
  <c r="U796" i="7"/>
  <c r="U745" i="7"/>
  <c r="T853" i="7"/>
  <c r="T856" i="7"/>
  <c r="T909" i="7"/>
  <c r="T912" i="7"/>
  <c r="T859" i="7"/>
  <c r="T756" i="7"/>
  <c r="S761" i="7"/>
  <c r="S865" i="7"/>
  <c r="V934" i="7"/>
  <c r="V986" i="7"/>
  <c r="V988" i="7"/>
  <c r="V936" i="7"/>
  <c r="V938" i="7"/>
  <c r="V990" i="7"/>
  <c r="V939" i="7"/>
  <c r="V1044" i="7"/>
  <c r="V942" i="7"/>
  <c r="V890" i="7"/>
  <c r="V947" i="7"/>
  <c r="V895" i="7"/>
  <c r="U896" i="7"/>
  <c r="F847" i="7"/>
  <c r="N897" i="7"/>
  <c r="F845" i="7"/>
  <c r="N1001" i="7"/>
  <c r="F848" i="7"/>
  <c r="W1057" i="7"/>
  <c r="U907" i="7"/>
  <c r="U1011" i="7"/>
  <c r="G935" i="7"/>
  <c r="F722" i="7"/>
  <c r="F376" i="7"/>
  <c r="F375" i="7"/>
  <c r="F304" i="7"/>
  <c r="F288" i="7"/>
  <c r="F212" i="7"/>
  <c r="F123" i="7"/>
  <c r="I632" i="1"/>
  <c r="N736" i="7"/>
  <c r="N684" i="7"/>
  <c r="F547" i="7"/>
  <c r="W599" i="7"/>
  <c r="I706" i="1"/>
  <c r="F709" i="7"/>
  <c r="F729" i="7"/>
  <c r="F727" i="7"/>
  <c r="N1006" i="7"/>
  <c r="N902" i="7"/>
  <c r="V585" i="7"/>
  <c r="V689" i="7"/>
  <c r="U764" i="7"/>
  <c r="U711" i="7"/>
  <c r="U665" i="7"/>
  <c r="U770" i="7"/>
  <c r="T839" i="7"/>
  <c r="T892" i="7"/>
  <c r="U788" i="7"/>
  <c r="U893" i="7"/>
  <c r="V739" i="7"/>
  <c r="V896" i="7"/>
  <c r="V740" i="7"/>
  <c r="V844" i="7"/>
  <c r="V845" i="7"/>
  <c r="V849" i="7"/>
  <c r="V902" i="7"/>
  <c r="U904" i="7"/>
  <c r="U799" i="7"/>
  <c r="U802" i="7"/>
  <c r="U855" i="7"/>
  <c r="U908" i="7"/>
  <c r="U752" i="7"/>
  <c r="U857" i="7"/>
  <c r="U805" i="7"/>
  <c r="U755" i="7"/>
  <c r="U859" i="7"/>
  <c r="U862" i="7"/>
  <c r="U810" i="7"/>
  <c r="T916" i="7"/>
  <c r="T759" i="7"/>
  <c r="S819" i="7"/>
  <c r="S767" i="7"/>
  <c r="F843" i="7"/>
  <c r="N1048" i="7"/>
  <c r="W1098" i="7"/>
  <c r="F273" i="7"/>
  <c r="F247" i="7"/>
  <c r="F220" i="7"/>
  <c r="F57" i="7"/>
  <c r="N733" i="7"/>
  <c r="U806" i="7"/>
  <c r="U808" i="7"/>
  <c r="T816" i="7"/>
  <c r="S823" i="7"/>
  <c r="S927" i="7"/>
  <c r="S824" i="7"/>
  <c r="F308" i="7"/>
  <c r="F99" i="7"/>
  <c r="N734" i="7"/>
  <c r="N853" i="7"/>
  <c r="I782" i="1"/>
  <c r="G785" i="7"/>
  <c r="N834" i="7"/>
  <c r="N984" i="7"/>
  <c r="U640" i="7"/>
  <c r="U648" i="7"/>
  <c r="S717" i="7"/>
  <c r="V771" i="7"/>
  <c r="V779" i="7"/>
  <c r="V789" i="7"/>
  <c r="V791" i="7"/>
  <c r="V948" i="7"/>
  <c r="V846" i="7"/>
  <c r="V899" i="7"/>
  <c r="S970" i="7"/>
  <c r="S918" i="7"/>
  <c r="S866" i="7"/>
  <c r="O1097" i="7"/>
  <c r="W1100" i="7"/>
  <c r="O1042" i="7"/>
  <c r="F188" i="7"/>
  <c r="I652" i="1"/>
  <c r="T651" i="7"/>
  <c r="U836" i="7"/>
  <c r="S703" i="7"/>
  <c r="U714" i="7"/>
  <c r="U871" i="7"/>
  <c r="V819" i="7"/>
  <c r="T861" i="7"/>
  <c r="S1068" i="7"/>
  <c r="S963" i="7"/>
  <c r="V916" i="7"/>
  <c r="V968" i="7"/>
  <c r="F906" i="7"/>
  <c r="F907" i="7"/>
  <c r="F932" i="7"/>
  <c r="F933" i="7"/>
  <c r="G594" i="7"/>
  <c r="F218" i="7"/>
  <c r="F780" i="7"/>
  <c r="U639" i="7"/>
  <c r="T659" i="7"/>
  <c r="N955" i="7"/>
  <c r="F854" i="7"/>
  <c r="W1063" i="7"/>
  <c r="W906" i="7"/>
  <c r="F851" i="7"/>
  <c r="F116" i="7"/>
  <c r="F85" i="7"/>
  <c r="F715" i="7"/>
  <c r="T940" i="7"/>
  <c r="S782" i="7"/>
  <c r="S775" i="7"/>
  <c r="S840" i="7"/>
  <c r="S788" i="7"/>
  <c r="S853" i="7"/>
  <c r="N950" i="7"/>
  <c r="T956" i="7"/>
  <c r="U646" i="7"/>
  <c r="T878" i="7"/>
  <c r="F795" i="7"/>
  <c r="S741" i="7"/>
  <c r="T973" i="7"/>
  <c r="U936" i="7"/>
  <c r="S974" i="7"/>
  <c r="Y835" i="7"/>
  <c r="Y939" i="7"/>
  <c r="I1037" i="1"/>
  <c r="N1089" i="7"/>
  <c r="S1021" i="7"/>
  <c r="V974" i="7"/>
  <c r="I1082" i="1"/>
  <c r="F1084" i="7"/>
  <c r="F1085" i="7"/>
  <c r="T933" i="7"/>
  <c r="N1093" i="7"/>
  <c r="I937" i="1"/>
  <c r="G937" i="7"/>
  <c r="N1098" i="7"/>
  <c r="S1098" i="7"/>
  <c r="V1093" i="7"/>
  <c r="Y1082" i="7"/>
  <c r="Y1007" i="7"/>
  <c r="Y1059" i="7"/>
  <c r="I988" i="1"/>
  <c r="G989" i="7"/>
  <c r="S1099" i="7"/>
  <c r="N1100" i="7"/>
  <c r="T1100" i="7"/>
  <c r="N1086" i="7"/>
  <c r="I1034" i="1"/>
  <c r="T1086" i="7"/>
  <c r="U1083" i="7"/>
  <c r="T1093" i="7"/>
  <c r="Y1089" i="7"/>
  <c r="Y850" i="7"/>
  <c r="F1083" i="7"/>
  <c r="F1082" i="7"/>
  <c r="F945" i="7"/>
  <c r="N1081" i="7"/>
  <c r="S1082" i="7"/>
  <c r="T1083" i="7"/>
  <c r="Y1072" i="7"/>
  <c r="T1067" i="7"/>
  <c r="Y1081" i="7"/>
  <c r="U1093" i="7"/>
  <c r="N1097" i="7"/>
  <c r="N1079" i="7"/>
  <c r="I975" i="1"/>
  <c r="N1096" i="7"/>
  <c r="S1085" i="7"/>
  <c r="V1091" i="7"/>
  <c r="Y1090" i="7"/>
  <c r="S1095" i="7"/>
  <c r="T1094" i="7"/>
  <c r="Y1092" i="7"/>
  <c r="N1090" i="7"/>
  <c r="U1096" i="7"/>
  <c r="T1101" i="7"/>
  <c r="T1084" i="7"/>
  <c r="T1043" i="7"/>
  <c r="S1100" i="7"/>
  <c r="N1056" i="7"/>
  <c r="Y1057" i="7"/>
  <c r="U1091" i="7"/>
  <c r="F969" i="7"/>
  <c r="W1021" i="7"/>
  <c r="I966" i="1"/>
  <c r="V1087" i="7"/>
  <c r="T1092" i="7"/>
  <c r="Y1086" i="7"/>
  <c r="Y830" i="7"/>
  <c r="Y882" i="7"/>
  <c r="S1101" i="7"/>
  <c r="F1073" i="7"/>
  <c r="I1070" i="1"/>
  <c r="U1097" i="7"/>
  <c r="N1102" i="7"/>
  <c r="N1084" i="7"/>
  <c r="S1092" i="7"/>
  <c r="Y1077" i="7"/>
  <c r="S1054" i="7"/>
  <c r="S1097" i="7"/>
  <c r="T1096" i="7"/>
  <c r="V1095" i="7"/>
  <c r="O1095" i="7"/>
  <c r="U1082" i="7"/>
  <c r="S1091" i="7"/>
  <c r="V1101" i="7"/>
  <c r="Y1055" i="7"/>
  <c r="O1083" i="7"/>
  <c r="V1086" i="7"/>
  <c r="Y1091" i="7"/>
  <c r="T1095" i="7"/>
  <c r="Y1093" i="7"/>
  <c r="N1095" i="7"/>
  <c r="T1099" i="7"/>
  <c r="O1102" i="7"/>
  <c r="F1072" i="7"/>
  <c r="N1094" i="7"/>
  <c r="S1084" i="7"/>
  <c r="Y1088" i="7"/>
  <c r="Y1061" i="7"/>
  <c r="Y1097" i="7"/>
  <c r="S1103" i="7"/>
  <c r="U1086" i="7"/>
  <c r="U1087" i="7"/>
  <c r="U1089" i="7"/>
  <c r="U1088" i="7"/>
  <c r="Y897" i="7"/>
  <c r="N1101" i="7"/>
  <c r="S1089" i="7"/>
  <c r="V1097" i="7"/>
  <c r="T1102" i="7"/>
  <c r="U1092" i="7"/>
  <c r="N1069" i="7"/>
  <c r="U1081" i="7"/>
  <c r="Y1096" i="7"/>
  <c r="V1102" i="7"/>
  <c r="N1082" i="7"/>
  <c r="T1082" i="7"/>
  <c r="N1088" i="7"/>
  <c r="O1094" i="7"/>
  <c r="Y1099" i="7"/>
  <c r="S1102" i="7"/>
  <c r="Y1083" i="7"/>
  <c r="O1085" i="7"/>
  <c r="V1096" i="7"/>
  <c r="Y1095" i="7"/>
  <c r="Y1101" i="7"/>
  <c r="N1103" i="7"/>
  <c r="T1103" i="7"/>
  <c r="Y1064" i="7"/>
  <c r="O1081" i="7"/>
  <c r="V1081" i="7"/>
  <c r="Y1084" i="7"/>
  <c r="S1086" i="7"/>
  <c r="Y1087" i="7"/>
  <c r="N1091" i="7"/>
  <c r="V1090" i="7"/>
  <c r="S1094" i="7"/>
  <c r="V1092" i="7"/>
  <c r="O1096" i="7"/>
  <c r="N1099" i="7"/>
  <c r="I1047" i="1"/>
  <c r="O1099" i="7"/>
  <c r="F1081" i="7"/>
  <c r="I1078" i="1"/>
  <c r="N1085" i="7"/>
  <c r="F1086" i="7"/>
  <c r="E12" i="6"/>
  <c r="N1071" i="7"/>
  <c r="N1078" i="7"/>
  <c r="T1081" i="7"/>
  <c r="O1084" i="7"/>
  <c r="V1084" i="7"/>
  <c r="O1087" i="7"/>
  <c r="T1090" i="7"/>
  <c r="V1089" i="7"/>
  <c r="S1093" i="7"/>
  <c r="V1098" i="7"/>
  <c r="Y1100" i="7"/>
  <c r="I1083" i="1"/>
  <c r="V1082" i="7"/>
  <c r="Y1085" i="7"/>
  <c r="N1087" i="7"/>
  <c r="T1087" i="7"/>
  <c r="V1088" i="7"/>
  <c r="T1098" i="7"/>
  <c r="O1100" i="7"/>
  <c r="V1100" i="7"/>
  <c r="Y1103" i="7"/>
  <c r="G1049" i="7"/>
  <c r="G1050" i="7"/>
  <c r="X1102" i="7"/>
  <c r="G1037" i="7"/>
  <c r="W1056" i="7"/>
  <c r="O844" i="7"/>
  <c r="G743" i="7"/>
  <c r="G742" i="7"/>
  <c r="G740" i="7"/>
  <c r="G698" i="7"/>
  <c r="G697" i="7"/>
  <c r="G699" i="7"/>
  <c r="O948" i="7"/>
  <c r="W698" i="7"/>
  <c r="G626" i="7"/>
  <c r="G627" i="7"/>
  <c r="O780" i="7"/>
  <c r="O728" i="7"/>
  <c r="G809" i="7"/>
  <c r="G810" i="7"/>
  <c r="O913" i="7"/>
  <c r="G584" i="7"/>
  <c r="O685" i="7"/>
  <c r="G583" i="7"/>
  <c r="W783" i="7"/>
  <c r="O857" i="7"/>
  <c r="O805" i="7"/>
  <c r="O896" i="7"/>
  <c r="G1034" i="7"/>
  <c r="G1071" i="7"/>
  <c r="G969" i="7"/>
  <c r="G967" i="7"/>
  <c r="W1008" i="7"/>
  <c r="G648" i="7"/>
  <c r="O749" i="7"/>
  <c r="G647" i="7"/>
  <c r="G634" i="7"/>
  <c r="G586" i="7"/>
  <c r="G872" i="7"/>
  <c r="G871" i="7"/>
  <c r="O1077" i="7"/>
  <c r="O700" i="7"/>
  <c r="W1018" i="7"/>
  <c r="O974" i="7"/>
  <c r="O870" i="7"/>
  <c r="O818" i="7"/>
  <c r="O922" i="7"/>
  <c r="O1071" i="7"/>
  <c r="W775" i="7"/>
  <c r="G559" i="7"/>
  <c r="W1077" i="7"/>
  <c r="W723" i="7"/>
  <c r="W1070" i="7"/>
  <c r="W835" i="7"/>
  <c r="O832" i="7"/>
  <c r="O768" i="7"/>
  <c r="O716" i="7"/>
  <c r="W651" i="7"/>
  <c r="O906" i="7"/>
  <c r="O958" i="7"/>
  <c r="G745" i="7"/>
  <c r="G744" i="7"/>
  <c r="G746" i="7"/>
  <c r="W751" i="7"/>
  <c r="O1060" i="7"/>
  <c r="O1008" i="7"/>
  <c r="O701" i="7"/>
  <c r="G913" i="7"/>
  <c r="O965" i="7"/>
  <c r="O1069" i="7"/>
  <c r="O1017" i="7"/>
  <c r="G978" i="7"/>
  <c r="G976" i="7"/>
  <c r="O1079" i="7"/>
  <c r="G977" i="7"/>
  <c r="X1081" i="7"/>
  <c r="W952" i="7"/>
  <c r="W900" i="7"/>
  <c r="O809" i="7"/>
  <c r="O757" i="7"/>
  <c r="G539" i="7"/>
  <c r="G761" i="7"/>
  <c r="W1017" i="7"/>
  <c r="G990" i="7"/>
  <c r="O1040" i="7"/>
  <c r="G991" i="7"/>
  <c r="O990" i="7"/>
  <c r="O938" i="7"/>
  <c r="O886" i="7"/>
  <c r="O834" i="7"/>
  <c r="W897" i="7"/>
  <c r="G805" i="7"/>
  <c r="G803" i="7"/>
  <c r="G706" i="7"/>
  <c r="O751" i="7"/>
  <c r="G597" i="7"/>
  <c r="W776" i="7"/>
  <c r="G975" i="7"/>
  <c r="O779" i="7"/>
  <c r="O831" i="7"/>
  <c r="G755" i="7"/>
  <c r="G921" i="7"/>
  <c r="G922" i="7"/>
  <c r="O971" i="7"/>
  <c r="O1075" i="7"/>
  <c r="G624" i="7"/>
  <c r="G623" i="7"/>
  <c r="O726" i="7"/>
  <c r="G672" i="7"/>
  <c r="G674" i="7"/>
  <c r="G673" i="7"/>
  <c r="O829" i="7"/>
  <c r="O737" i="7"/>
  <c r="G632" i="7"/>
  <c r="G633" i="7"/>
  <c r="G630" i="7"/>
  <c r="G631" i="7"/>
  <c r="O786" i="7"/>
  <c r="W962" i="7"/>
  <c r="W953" i="7"/>
  <c r="W1071" i="7"/>
  <c r="W884" i="7"/>
  <c r="W936" i="7"/>
  <c r="O772" i="7"/>
  <c r="G721" i="7"/>
  <c r="G723" i="7"/>
  <c r="W1101" i="7"/>
  <c r="G1039" i="7"/>
  <c r="W985" i="7"/>
  <c r="O1093" i="7"/>
  <c r="O747" i="7"/>
  <c r="G766" i="7"/>
  <c r="G764" i="7"/>
  <c r="O920" i="7"/>
  <c r="G918" i="7"/>
  <c r="G919" i="7"/>
  <c r="G797" i="7"/>
  <c r="O1003" i="7"/>
  <c r="O899" i="7"/>
  <c r="O951" i="7"/>
  <c r="G795" i="7"/>
  <c r="X951" i="7"/>
  <c r="W912" i="7"/>
  <c r="O853" i="7"/>
  <c r="O881" i="7"/>
  <c r="G760" i="7"/>
  <c r="W772" i="7"/>
  <c r="W787" i="7"/>
  <c r="W1060" i="7"/>
  <c r="X1080" i="7"/>
  <c r="X1079" i="7"/>
  <c r="G1084" i="7"/>
  <c r="X1103" i="7"/>
  <c r="W694" i="7"/>
  <c r="X724" i="7"/>
  <c r="G1081" i="7"/>
  <c r="G1080" i="7"/>
  <c r="G1079" i="7"/>
  <c r="W749" i="7"/>
  <c r="W702" i="7"/>
  <c r="W754" i="7"/>
  <c r="G655" i="7"/>
  <c r="O756" i="7"/>
  <c r="O704" i="7"/>
  <c r="W648" i="7"/>
  <c r="W585" i="7"/>
  <c r="W847" i="7"/>
  <c r="W899" i="7"/>
  <c r="W1004" i="7"/>
  <c r="W911" i="7"/>
  <c r="W859" i="7"/>
  <c r="W964" i="7"/>
  <c r="W807" i="7"/>
  <c r="G660" i="7"/>
  <c r="O761" i="7"/>
  <c r="O709" i="7"/>
  <c r="G826" i="7"/>
  <c r="G823" i="7"/>
  <c r="O979" i="7"/>
  <c r="O927" i="7"/>
  <c r="G825" i="7"/>
  <c r="W755" i="7"/>
  <c r="G1038" i="7"/>
  <c r="O1089" i="7"/>
  <c r="G547" i="7"/>
  <c r="G545" i="7"/>
  <c r="O753" i="7"/>
  <c r="G548" i="7"/>
  <c r="G560" i="7"/>
  <c r="G561" i="7"/>
  <c r="G562" i="7"/>
  <c r="W833" i="7"/>
  <c r="W630" i="7"/>
  <c r="W682" i="7"/>
  <c r="O953" i="7"/>
  <c r="O901" i="7"/>
  <c r="G747" i="7"/>
  <c r="G748" i="7"/>
  <c r="W780" i="7"/>
  <c r="O875" i="7"/>
  <c r="W843" i="7"/>
  <c r="G713" i="7"/>
  <c r="G714" i="7"/>
  <c r="G715" i="7"/>
  <c r="F657" i="7"/>
  <c r="F465" i="7"/>
  <c r="N618" i="7"/>
  <c r="N670" i="7"/>
  <c r="F427" i="7"/>
  <c r="N632" i="7"/>
  <c r="F419" i="7"/>
  <c r="N624" i="7"/>
  <c r="N608" i="7"/>
  <c r="F403" i="7"/>
  <c r="F396" i="7"/>
  <c r="N601" i="7"/>
  <c r="N586" i="7"/>
  <c r="F381" i="7"/>
  <c r="F357" i="7"/>
  <c r="F356" i="7"/>
  <c r="F358" i="7"/>
  <c r="F355" i="7"/>
  <c r="F328" i="7"/>
  <c r="F325" i="7"/>
  <c r="F127" i="7"/>
  <c r="F126" i="7"/>
  <c r="F125" i="7"/>
  <c r="F86" i="7"/>
  <c r="F87" i="7"/>
  <c r="F48" i="7"/>
  <c r="F47" i="7"/>
  <c r="F49" i="7"/>
  <c r="I660" i="1"/>
  <c r="F662" i="7"/>
  <c r="W714" i="7"/>
  <c r="N712" i="7"/>
  <c r="F660" i="7"/>
  <c r="F661" i="7"/>
  <c r="F663" i="7"/>
  <c r="N816" i="7"/>
  <c r="I641" i="1"/>
  <c r="F643" i="7"/>
  <c r="F641" i="7"/>
  <c r="W693" i="7"/>
  <c r="N745" i="7"/>
  <c r="F644" i="7"/>
  <c r="W696" i="7"/>
  <c r="N797" i="7"/>
  <c r="N849" i="7"/>
  <c r="N693" i="7"/>
  <c r="F635" i="7"/>
  <c r="F638" i="7"/>
  <c r="N843" i="7"/>
  <c r="F636" i="7"/>
  <c r="W688" i="7"/>
  <c r="N687" i="7"/>
  <c r="F637" i="7"/>
  <c r="I635" i="1"/>
  <c r="N739" i="7"/>
  <c r="F790" i="7"/>
  <c r="I787" i="1"/>
  <c r="F787" i="7"/>
  <c r="W839" i="7"/>
  <c r="F788" i="7"/>
  <c r="W840" i="7"/>
  <c r="N839" i="7"/>
  <c r="N995" i="7"/>
  <c r="N891" i="7"/>
  <c r="F789" i="7"/>
  <c r="O905" i="7"/>
  <c r="O801" i="7"/>
  <c r="G549" i="7"/>
  <c r="W958" i="7"/>
  <c r="W801" i="7"/>
  <c r="O978" i="7"/>
  <c r="G927" i="7"/>
  <c r="G926" i="7"/>
  <c r="G929" i="7"/>
  <c r="O1030" i="7"/>
  <c r="G928" i="7"/>
  <c r="W1099" i="7"/>
  <c r="F525" i="7"/>
  <c r="W734" i="7"/>
  <c r="N679" i="7"/>
  <c r="N731" i="7"/>
  <c r="N627" i="7"/>
  <c r="F526" i="7"/>
  <c r="F524" i="7"/>
  <c r="F472" i="7"/>
  <c r="N625" i="7"/>
  <c r="F470" i="7"/>
  <c r="W626" i="7"/>
  <c r="F438" i="7"/>
  <c r="W594" i="7"/>
  <c r="F441" i="7"/>
  <c r="W597" i="7"/>
  <c r="N594" i="7"/>
  <c r="F439" i="7"/>
  <c r="F426" i="7"/>
  <c r="F423" i="7"/>
  <c r="F425" i="7"/>
  <c r="W633" i="7"/>
  <c r="F410" i="7"/>
  <c r="F407" i="7"/>
  <c r="W615" i="7"/>
  <c r="F408" i="7"/>
  <c r="F401" i="7"/>
  <c r="F400" i="7"/>
  <c r="F402" i="7"/>
  <c r="F385" i="7"/>
  <c r="F387" i="7"/>
  <c r="F386" i="7"/>
  <c r="F370" i="7"/>
  <c r="F372" i="7"/>
  <c r="F371" i="7"/>
  <c r="F369" i="7"/>
  <c r="F341" i="7"/>
  <c r="F339" i="7"/>
  <c r="F338" i="7"/>
  <c r="F340" i="7"/>
  <c r="F166" i="7"/>
  <c r="F164" i="7"/>
  <c r="F134" i="7"/>
  <c r="F131" i="7"/>
  <c r="F94" i="7"/>
  <c r="F93" i="7"/>
  <c r="F92" i="7"/>
  <c r="V669" i="7"/>
  <c r="V721" i="7"/>
  <c r="V617" i="7"/>
  <c r="V690" i="7"/>
  <c r="V742" i="7"/>
  <c r="V638" i="7"/>
  <c r="W1020" i="7"/>
  <c r="W916" i="7"/>
  <c r="W782" i="7"/>
  <c r="O856" i="7"/>
  <c r="O908" i="7"/>
  <c r="O960" i="7"/>
  <c r="O804" i="7"/>
  <c r="X1076" i="7"/>
  <c r="W700" i="7"/>
  <c r="W1079" i="7"/>
  <c r="W974" i="7"/>
  <c r="W1026" i="7"/>
  <c r="F471" i="7"/>
  <c r="W773" i="7"/>
  <c r="F440" i="7"/>
  <c r="W649" i="7"/>
  <c r="W995" i="7"/>
  <c r="W1003" i="7"/>
  <c r="W1055" i="7"/>
  <c r="W951" i="7"/>
  <c r="T799" i="7"/>
  <c r="T904" i="7"/>
  <c r="X1073" i="7"/>
  <c r="O846" i="7"/>
  <c r="G692" i="7"/>
  <c r="O794" i="7"/>
  <c r="O742" i="7"/>
  <c r="G690" i="7"/>
  <c r="W949" i="7"/>
  <c r="O967" i="7"/>
  <c r="G812" i="7"/>
  <c r="W1083" i="7"/>
  <c r="W1031" i="7"/>
  <c r="I654" i="1"/>
  <c r="F655" i="7"/>
  <c r="N706" i="7"/>
  <c r="F656" i="7"/>
  <c r="F654" i="7"/>
  <c r="W706" i="7"/>
  <c r="N758" i="7"/>
  <c r="I772" i="1"/>
  <c r="F775" i="7"/>
  <c r="F773" i="7"/>
  <c r="W825" i="7"/>
  <c r="N824" i="7"/>
  <c r="F774" i="7"/>
  <c r="N928" i="7"/>
  <c r="N876" i="7"/>
  <c r="X920" i="7"/>
  <c r="G1032" i="7"/>
  <c r="X1084" i="7"/>
  <c r="G1031" i="7"/>
  <c r="X1083" i="7"/>
  <c r="G1030" i="7"/>
  <c r="X1082" i="7"/>
  <c r="O1082" i="7"/>
  <c r="G1033" i="7"/>
  <c r="X776" i="7"/>
  <c r="W800" i="7"/>
  <c r="G1061" i="7"/>
  <c r="G1062" i="7"/>
  <c r="G1009" i="7"/>
  <c r="G1008" i="7"/>
  <c r="G1011" i="7"/>
  <c r="X1063" i="7"/>
  <c r="F486" i="7"/>
  <c r="W590" i="7"/>
  <c r="F487" i="7"/>
  <c r="W591" i="7"/>
  <c r="N589" i="7"/>
  <c r="F485" i="7"/>
  <c r="W589" i="7"/>
  <c r="F464" i="7"/>
  <c r="F463" i="7"/>
  <c r="W619" i="7"/>
  <c r="F461" i="7"/>
  <c r="W670" i="7"/>
  <c r="N617" i="7"/>
  <c r="N587" i="7"/>
  <c r="F431" i="7"/>
  <c r="F434" i="7"/>
  <c r="F432" i="7"/>
  <c r="F418" i="7"/>
  <c r="F417" i="7"/>
  <c r="F416" i="7"/>
  <c r="W624" i="7"/>
  <c r="N623" i="7"/>
  <c r="F393" i="7"/>
  <c r="W601" i="7"/>
  <c r="F395" i="7"/>
  <c r="F392" i="7"/>
  <c r="F377" i="7"/>
  <c r="F378" i="7"/>
  <c r="F380" i="7"/>
  <c r="N585" i="7"/>
  <c r="F362" i="7"/>
  <c r="F363" i="7"/>
  <c r="F365" i="7"/>
  <c r="F364" i="7"/>
  <c r="F148" i="7"/>
  <c r="F150" i="7"/>
  <c r="F149" i="7"/>
  <c r="F147" i="7"/>
  <c r="F62" i="7"/>
  <c r="F61" i="7"/>
  <c r="F63" i="7"/>
  <c r="F60" i="7"/>
  <c r="F55" i="7"/>
  <c r="F56" i="7"/>
  <c r="V671" i="7"/>
  <c r="V723" i="7"/>
  <c r="V619" i="7"/>
  <c r="U677" i="7"/>
  <c r="U782" i="7"/>
  <c r="H11" i="6"/>
  <c r="H12" i="6"/>
  <c r="W752" i="7"/>
  <c r="W701" i="7"/>
  <c r="W596" i="7"/>
  <c r="N810" i="7"/>
  <c r="W864" i="7"/>
  <c r="G683" i="7"/>
  <c r="O732" i="7"/>
  <c r="G680" i="7"/>
  <c r="X732" i="7"/>
  <c r="G682" i="7"/>
  <c r="X734" i="7"/>
  <c r="G681" i="7"/>
  <c r="W968" i="7"/>
  <c r="O813" i="7"/>
  <c r="O1054" i="7"/>
  <c r="G953" i="7"/>
  <c r="G951" i="7"/>
  <c r="G952" i="7"/>
  <c r="O969" i="7"/>
  <c r="O1073" i="7"/>
  <c r="G920" i="7"/>
  <c r="G1010" i="7"/>
  <c r="O903" i="7"/>
  <c r="O851" i="7"/>
  <c r="O1007" i="7"/>
  <c r="G802" i="7"/>
  <c r="W720" i="7"/>
  <c r="W677" i="7"/>
  <c r="W625" i="7"/>
  <c r="G1083" i="7"/>
  <c r="G1082" i="7"/>
  <c r="X1072" i="7"/>
  <c r="O1014" i="7"/>
  <c r="O1066" i="7"/>
  <c r="G965" i="7"/>
  <c r="X1017" i="7"/>
  <c r="O1019" i="7"/>
  <c r="W829" i="7"/>
  <c r="W881" i="7"/>
  <c r="W637" i="7"/>
  <c r="W737" i="7"/>
  <c r="W977" i="7"/>
  <c r="F480" i="7"/>
  <c r="F477" i="7"/>
  <c r="F478" i="7"/>
  <c r="W582" i="7"/>
  <c r="N581" i="7"/>
  <c r="F479" i="7"/>
  <c r="V778" i="7"/>
  <c r="V725" i="7"/>
  <c r="V673" i="7"/>
  <c r="V621" i="7"/>
  <c r="V623" i="7"/>
  <c r="V675" i="7"/>
  <c r="V727" i="7"/>
  <c r="V780" i="7"/>
  <c r="W832" i="7"/>
  <c r="U731" i="7"/>
  <c r="W831" i="7"/>
  <c r="W988" i="7"/>
  <c r="X899" i="7"/>
  <c r="G546" i="7"/>
  <c r="W1072" i="7"/>
  <c r="O776" i="7"/>
  <c r="W903" i="7"/>
  <c r="W1074" i="7"/>
  <c r="G1072" i="7"/>
  <c r="G1073" i="7"/>
  <c r="O1018" i="7"/>
  <c r="G968" i="7"/>
  <c r="O1070" i="7"/>
  <c r="G966" i="7"/>
  <c r="G708" i="7"/>
  <c r="F488" i="7"/>
  <c r="W644" i="7"/>
  <c r="N868" i="7"/>
  <c r="G701" i="7"/>
  <c r="G700" i="7"/>
  <c r="G702" i="7"/>
  <c r="F523" i="7"/>
  <c r="G1060" i="7"/>
  <c r="W1085" i="7"/>
  <c r="O966" i="7"/>
  <c r="G917" i="7"/>
  <c r="G916" i="7"/>
  <c r="G915" i="7"/>
  <c r="X1019" i="7"/>
  <c r="G622" i="7"/>
  <c r="X726" i="7"/>
  <c r="G621" i="7"/>
  <c r="X725" i="7"/>
  <c r="O725" i="7"/>
  <c r="G571" i="7"/>
  <c r="W812" i="7"/>
  <c r="G578" i="7"/>
  <c r="F326" i="7"/>
  <c r="W939" i="7"/>
  <c r="W887" i="7"/>
  <c r="F18" i="7"/>
  <c r="F20" i="7"/>
  <c r="F21" i="7"/>
  <c r="F19" i="7"/>
  <c r="F12" i="7"/>
  <c r="F11" i="7"/>
  <c r="F13" i="7"/>
  <c r="X730" i="7"/>
  <c r="W813" i="7"/>
  <c r="W669" i="7"/>
  <c r="W969" i="7"/>
  <c r="F571" i="7"/>
  <c r="W623" i="7"/>
  <c r="G1078" i="7"/>
  <c r="O789" i="7"/>
  <c r="G685" i="7"/>
  <c r="G982" i="7"/>
  <c r="G983" i="7"/>
  <c r="X1035" i="7"/>
  <c r="O999" i="7"/>
  <c r="G949" i="7"/>
  <c r="O1051" i="7"/>
  <c r="G947" i="7"/>
  <c r="G950" i="7"/>
  <c r="O1103" i="7"/>
  <c r="N812" i="7"/>
  <c r="F658" i="7"/>
  <c r="I656" i="1"/>
  <c r="F659" i="7"/>
  <c r="N864" i="7"/>
  <c r="O815" i="7"/>
  <c r="N640" i="7"/>
  <c r="I588" i="1"/>
  <c r="F590" i="7"/>
  <c r="F588" i="7"/>
  <c r="F589" i="7"/>
  <c r="W641" i="7"/>
  <c r="F591" i="7"/>
  <c r="N692" i="7"/>
  <c r="I661" i="1"/>
  <c r="N817" i="7"/>
  <c r="N765" i="7"/>
  <c r="F664" i="7"/>
  <c r="F614" i="7"/>
  <c r="N663" i="7"/>
  <c r="I611" i="1"/>
  <c r="F612" i="7"/>
  <c r="N819" i="7"/>
  <c r="N767" i="7"/>
  <c r="F613" i="7"/>
  <c r="O1041" i="7"/>
  <c r="G938" i="7"/>
  <c r="G940" i="7"/>
  <c r="N636" i="7"/>
  <c r="O1010" i="7"/>
  <c r="G804" i="7"/>
  <c r="O854" i="7"/>
  <c r="G798" i="7"/>
  <c r="O847" i="7"/>
  <c r="G796" i="7"/>
  <c r="W678" i="7"/>
  <c r="W965" i="7"/>
  <c r="W1069" i="7"/>
  <c r="O727" i="7"/>
  <c r="G574" i="7"/>
  <c r="W932" i="7"/>
  <c r="W880" i="7"/>
  <c r="W910" i="7"/>
  <c r="W1014" i="7"/>
  <c r="F621" i="7"/>
  <c r="F622" i="7"/>
  <c r="F624" i="7"/>
  <c r="N777" i="7"/>
  <c r="F623" i="7"/>
  <c r="W727" i="7"/>
  <c r="N725" i="7"/>
  <c r="N666" i="7"/>
  <c r="I614" i="1"/>
  <c r="N770" i="7"/>
  <c r="F615" i="7"/>
  <c r="W771" i="7"/>
  <c r="N822" i="7"/>
  <c r="F508" i="7"/>
  <c r="W612" i="7"/>
  <c r="F507" i="7"/>
  <c r="N661" i="7"/>
  <c r="I1040" i="1"/>
  <c r="F1041" i="7"/>
  <c r="W1093" i="7"/>
  <c r="E13" i="6"/>
  <c r="F1042" i="7"/>
  <c r="W1094" i="7"/>
  <c r="F1043" i="7"/>
  <c r="N1092" i="7"/>
  <c r="F1040" i="7"/>
  <c r="W1092" i="7"/>
  <c r="G1045" i="7"/>
  <c r="G1044" i="7"/>
  <c r="X1096" i="7"/>
  <c r="O1098" i="7"/>
  <c r="G1047" i="7"/>
  <c r="G1046" i="7"/>
  <c r="G1048" i="7"/>
  <c r="O1072" i="7"/>
  <c r="G971" i="7"/>
  <c r="G903" i="7"/>
  <c r="G905" i="7"/>
  <c r="G904" i="7"/>
  <c r="O1058" i="7"/>
  <c r="G703" i="7"/>
  <c r="G704" i="7"/>
  <c r="O755" i="7"/>
  <c r="O859" i="7"/>
  <c r="F312" i="7"/>
  <c r="F314" i="7"/>
  <c r="F313" i="7"/>
  <c r="F311" i="7"/>
  <c r="I579" i="1"/>
  <c r="G579" i="7"/>
  <c r="N787" i="7"/>
  <c r="F579" i="7"/>
  <c r="F582" i="7"/>
  <c r="N735" i="7"/>
  <c r="F580" i="7"/>
  <c r="N683" i="7"/>
  <c r="N631" i="7"/>
  <c r="G575" i="7"/>
  <c r="X731" i="7"/>
  <c r="O729" i="7"/>
  <c r="F570" i="7"/>
  <c r="F569" i="7"/>
  <c r="N620" i="7"/>
  <c r="N724" i="7"/>
  <c r="N776" i="7"/>
  <c r="F568" i="7"/>
  <c r="N688" i="7"/>
  <c r="F535" i="7"/>
  <c r="W691" i="7"/>
  <c r="F532" i="7"/>
  <c r="N740" i="7"/>
  <c r="N584" i="7"/>
  <c r="F534" i="7"/>
  <c r="I532" i="1"/>
  <c r="G534" i="7"/>
  <c r="F444" i="7"/>
  <c r="W653" i="7"/>
  <c r="F446" i="7"/>
  <c r="I550" i="1"/>
  <c r="G550" i="7"/>
  <c r="N654" i="7"/>
  <c r="N602" i="7"/>
  <c r="F552" i="7"/>
  <c r="W656" i="7"/>
  <c r="F551" i="7"/>
  <c r="F553" i="7"/>
  <c r="F556" i="7"/>
  <c r="W765" i="7"/>
  <c r="N659" i="7"/>
  <c r="N711" i="7"/>
  <c r="N763" i="7"/>
  <c r="N607" i="7"/>
  <c r="F557" i="7"/>
  <c r="F555" i="7"/>
  <c r="S817" i="7"/>
  <c r="S765" i="7"/>
  <c r="S922" i="7"/>
  <c r="S869" i="7"/>
  <c r="G573" i="7"/>
  <c r="X729" i="7"/>
  <c r="O807" i="7"/>
  <c r="W810" i="7"/>
  <c r="W1076" i="7"/>
  <c r="W1024" i="7"/>
  <c r="O724" i="7"/>
  <c r="O828" i="7"/>
  <c r="O880" i="7"/>
  <c r="G675" i="7"/>
  <c r="X727" i="7"/>
  <c r="G939" i="7"/>
  <c r="G1070" i="7"/>
  <c r="G649" i="7"/>
  <c r="X701" i="7"/>
  <c r="O750" i="7"/>
  <c r="I555" i="1"/>
  <c r="N673" i="7"/>
  <c r="F40" i="7"/>
  <c r="F42" i="7"/>
  <c r="F41" i="7"/>
  <c r="O721" i="7"/>
  <c r="O773" i="7"/>
  <c r="G619" i="7"/>
  <c r="F496" i="7"/>
  <c r="W705" i="7"/>
  <c r="N704" i="7"/>
  <c r="N652" i="7"/>
  <c r="N600" i="7"/>
  <c r="F498" i="7"/>
  <c r="W602" i="7"/>
  <c r="F499" i="7"/>
  <c r="N603" i="7"/>
  <c r="N655" i="7"/>
  <c r="F450" i="7"/>
  <c r="F448" i="7"/>
  <c r="N657" i="7"/>
  <c r="N605" i="7"/>
  <c r="F502" i="7"/>
  <c r="F504" i="7"/>
  <c r="F503" i="7"/>
  <c r="O1086" i="7"/>
  <c r="G1035" i="7"/>
  <c r="G1036" i="7"/>
  <c r="O972" i="7"/>
  <c r="G767" i="7"/>
  <c r="O816" i="7"/>
  <c r="W960" i="7"/>
  <c r="W1065" i="7"/>
  <c r="G676" i="7"/>
  <c r="X728" i="7"/>
  <c r="O777" i="7"/>
  <c r="O699" i="7"/>
  <c r="G596" i="7"/>
  <c r="X700" i="7"/>
  <c r="G569" i="7"/>
  <c r="W1081" i="7"/>
  <c r="G888" i="7"/>
  <c r="O937" i="7"/>
  <c r="G886" i="7"/>
  <c r="O917" i="7"/>
  <c r="O865" i="7"/>
  <c r="G816" i="7"/>
  <c r="F172" i="7"/>
  <c r="F175" i="7"/>
  <c r="F174" i="7"/>
  <c r="F159" i="7"/>
  <c r="F158" i="7"/>
  <c r="F33" i="7"/>
  <c r="F34" i="7"/>
  <c r="F35" i="7"/>
  <c r="F25" i="7"/>
  <c r="F26" i="7"/>
  <c r="F27" i="7"/>
  <c r="F24" i="7"/>
  <c r="I563" i="1"/>
  <c r="F565" i="7"/>
  <c r="F564" i="7"/>
  <c r="W616" i="7"/>
  <c r="N615" i="7"/>
  <c r="N667" i="7"/>
  <c r="N592" i="7"/>
  <c r="F541" i="7"/>
  <c r="I540" i="1"/>
  <c r="N748" i="7"/>
  <c r="F540" i="7"/>
  <c r="F543" i="7"/>
  <c r="I533" i="1"/>
  <c r="N637" i="7"/>
  <c r="N741" i="7"/>
  <c r="F506" i="7"/>
  <c r="W610" i="7"/>
  <c r="F505" i="7"/>
  <c r="G651" i="7"/>
  <c r="N746" i="7"/>
  <c r="I642" i="1"/>
  <c r="N798" i="7"/>
  <c r="N694" i="7"/>
  <c r="G608" i="7"/>
  <c r="G606" i="7"/>
  <c r="G607" i="7"/>
  <c r="I692" i="1"/>
  <c r="F695" i="7"/>
  <c r="W747" i="7"/>
  <c r="F693" i="7"/>
  <c r="N796" i="7"/>
  <c r="F694" i="7"/>
  <c r="W746" i="7"/>
  <c r="F692" i="7"/>
  <c r="N848" i="7"/>
  <c r="T761" i="7"/>
  <c r="T865" i="7"/>
  <c r="T918" i="7"/>
  <c r="T866" i="7"/>
  <c r="T919" i="7"/>
  <c r="T920" i="7"/>
  <c r="T867" i="7"/>
  <c r="T763" i="7"/>
  <c r="T868" i="7"/>
  <c r="T921" i="7"/>
  <c r="G993" i="7"/>
  <c r="G996" i="7"/>
  <c r="G994" i="7"/>
  <c r="O1045" i="7"/>
  <c r="O867" i="7"/>
  <c r="O919" i="7"/>
  <c r="W1046" i="7"/>
  <c r="O1023" i="7"/>
  <c r="G974" i="7"/>
  <c r="W1091" i="7"/>
  <c r="O895" i="7"/>
  <c r="G845" i="7"/>
  <c r="O947" i="7"/>
  <c r="G910" i="7"/>
  <c r="G909" i="7"/>
  <c r="G912" i="7"/>
  <c r="O961" i="7"/>
  <c r="O1022" i="7"/>
  <c r="O1074" i="7"/>
  <c r="F234" i="7"/>
  <c r="F235" i="7"/>
  <c r="F180" i="7"/>
  <c r="F179" i="7"/>
  <c r="F177" i="7"/>
  <c r="F800" i="7"/>
  <c r="F798" i="7"/>
  <c r="N954" i="7"/>
  <c r="N850" i="7"/>
  <c r="I798" i="1"/>
  <c r="T618" i="7"/>
  <c r="T722" i="7"/>
  <c r="T670" i="7"/>
  <c r="T775" i="7"/>
  <c r="T724" i="7"/>
  <c r="T672" i="7"/>
  <c r="T777" i="7"/>
  <c r="T622" i="7"/>
  <c r="T674" i="7"/>
  <c r="T726" i="7"/>
  <c r="T779" i="7"/>
  <c r="S736" i="7"/>
  <c r="S789" i="7"/>
  <c r="T692" i="7"/>
  <c r="T744" i="7"/>
  <c r="T696" i="7"/>
  <c r="T644" i="7"/>
  <c r="T748" i="7"/>
  <c r="T801" i="7"/>
  <c r="S849" i="7"/>
  <c r="S796" i="7"/>
  <c r="S744" i="7"/>
  <c r="T745" i="7"/>
  <c r="T693" i="7"/>
  <c r="T797" i="7"/>
  <c r="U694" i="7"/>
  <c r="U746" i="7"/>
  <c r="V853" i="7"/>
  <c r="V696" i="7"/>
  <c r="V800" i="7"/>
  <c r="V795" i="7"/>
  <c r="V901" i="7"/>
  <c r="V744" i="7"/>
  <c r="V796" i="7"/>
  <c r="V797" i="7"/>
  <c r="V745" i="7"/>
  <c r="T847" i="7"/>
  <c r="T899" i="7"/>
  <c r="T951" i="7"/>
  <c r="S956" i="7"/>
  <c r="S852" i="7"/>
  <c r="S1009" i="7"/>
  <c r="S1010" i="7"/>
  <c r="S905" i="7"/>
  <c r="S957" i="7"/>
  <c r="S1011" i="7"/>
  <c r="S854" i="7"/>
  <c r="S958" i="7"/>
  <c r="S906" i="7"/>
  <c r="S1012" i="7"/>
  <c r="S959" i="7"/>
  <c r="S855" i="7"/>
  <c r="S1013" i="7"/>
  <c r="S856" i="7"/>
  <c r="S960" i="7"/>
  <c r="S857" i="7"/>
  <c r="S909" i="7"/>
  <c r="S961" i="7"/>
  <c r="S1014" i="7"/>
  <c r="S858" i="7"/>
  <c r="S962" i="7"/>
  <c r="S910" i="7"/>
  <c r="S1015" i="7"/>
  <c r="V892" i="7"/>
  <c r="V944" i="7"/>
  <c r="V1049" i="7"/>
  <c r="V996" i="7"/>
  <c r="V893" i="7"/>
  <c r="V997" i="7"/>
  <c r="V1050" i="7"/>
  <c r="U895" i="7"/>
  <c r="U947" i="7"/>
  <c r="U999" i="7"/>
  <c r="I838" i="1"/>
  <c r="N994" i="7"/>
  <c r="F841" i="7"/>
  <c r="F840" i="7"/>
  <c r="N890" i="7"/>
  <c r="S1006" i="7"/>
  <c r="S954" i="7"/>
  <c r="W781" i="7"/>
  <c r="O736" i="7"/>
  <c r="G741" i="7"/>
  <c r="G696" i="7"/>
  <c r="O748" i="7"/>
  <c r="O697" i="7"/>
  <c r="G646" i="7"/>
  <c r="W863" i="7"/>
  <c r="W779" i="7"/>
  <c r="W860" i="7"/>
  <c r="O796" i="7"/>
  <c r="G568" i="7"/>
  <c r="W759" i="7"/>
  <c r="O956" i="7"/>
  <c r="O800" i="7"/>
  <c r="G751" i="7"/>
  <c r="X803" i="7"/>
  <c r="G750" i="7"/>
  <c r="G863" i="7"/>
  <c r="O914" i="7"/>
  <c r="G862" i="7"/>
  <c r="O825" i="7"/>
  <c r="G567" i="7"/>
  <c r="G572" i="7"/>
  <c r="G691" i="7"/>
  <c r="O792" i="7"/>
  <c r="W1027" i="7"/>
  <c r="O798" i="7"/>
  <c r="G749" i="7"/>
  <c r="W1097" i="7"/>
  <c r="G616" i="7"/>
  <c r="G615" i="7"/>
  <c r="G914" i="7"/>
  <c r="O963" i="7"/>
  <c r="G860" i="7"/>
  <c r="G859" i="7"/>
  <c r="W946" i="7"/>
  <c r="W1050" i="7"/>
  <c r="W1103" i="7"/>
  <c r="W1010" i="7"/>
  <c r="O941" i="7"/>
  <c r="O889" i="7"/>
  <c r="O837" i="7"/>
  <c r="G788" i="7"/>
  <c r="W971" i="7"/>
  <c r="O952" i="7"/>
  <c r="V629" i="7"/>
  <c r="V682" i="7"/>
  <c r="T730" i="7"/>
  <c r="T677" i="7"/>
  <c r="T625" i="7"/>
  <c r="T685" i="7"/>
  <c r="T738" i="7"/>
  <c r="T633" i="7"/>
  <c r="S766" i="7"/>
  <c r="S713" i="7"/>
  <c r="V714" i="7"/>
  <c r="V767" i="7"/>
  <c r="U664" i="7"/>
  <c r="U769" i="7"/>
  <c r="U716" i="7"/>
  <c r="U718" i="7"/>
  <c r="U666" i="7"/>
  <c r="T734" i="7"/>
  <c r="T682" i="7"/>
  <c r="T630" i="7"/>
  <c r="T787" i="7"/>
  <c r="V793" i="7"/>
  <c r="V688" i="7"/>
  <c r="V636" i="7"/>
  <c r="S695" i="7"/>
  <c r="S747" i="7"/>
  <c r="O911" i="7"/>
  <c r="O770" i="7"/>
  <c r="W588" i="7"/>
  <c r="G712" i="7"/>
  <c r="W1005" i="7"/>
  <c r="W1058" i="7"/>
  <c r="G892" i="7"/>
  <c r="G891" i="7"/>
  <c r="G894" i="7"/>
  <c r="O1047" i="7"/>
  <c r="G988" i="7"/>
  <c r="W867" i="7"/>
  <c r="W1061" i="7"/>
  <c r="G835" i="7"/>
  <c r="O1043" i="7"/>
  <c r="O939" i="7"/>
  <c r="O991" i="7"/>
  <c r="G838" i="7"/>
  <c r="W1059" i="7"/>
  <c r="W955" i="7"/>
  <c r="W1082" i="7"/>
  <c r="W1030" i="7"/>
  <c r="F732" i="7"/>
  <c r="I729" i="1"/>
  <c r="N781" i="7"/>
  <c r="N885" i="7"/>
  <c r="I736" i="1"/>
  <c r="N892" i="7"/>
  <c r="N788" i="7"/>
  <c r="F738" i="7"/>
  <c r="W790" i="7"/>
  <c r="F739" i="7"/>
  <c r="G763" i="7"/>
  <c r="G765" i="7"/>
  <c r="N977" i="7"/>
  <c r="F772" i="7"/>
  <c r="W824" i="7"/>
  <c r="F769" i="7"/>
  <c r="F770" i="7"/>
  <c r="I769" i="1"/>
  <c r="N927" i="7"/>
  <c r="N1031" i="7"/>
  <c r="F823" i="7"/>
  <c r="F824" i="7"/>
  <c r="W1033" i="7"/>
  <c r="F825" i="7"/>
  <c r="F826" i="7"/>
  <c r="N875" i="7"/>
  <c r="N934" i="7"/>
  <c r="F833" i="7"/>
  <c r="F830" i="7"/>
  <c r="W986" i="7"/>
  <c r="F831" i="7"/>
  <c r="N986" i="7"/>
  <c r="I830" i="1"/>
  <c r="N1038" i="7"/>
  <c r="N882" i="7"/>
  <c r="T612" i="7"/>
  <c r="T717" i="7"/>
  <c r="U669" i="7"/>
  <c r="U722" i="7"/>
  <c r="U705" i="7"/>
  <c r="U653" i="7"/>
  <c r="U707" i="7"/>
  <c r="U655" i="7"/>
  <c r="S715" i="7"/>
  <c r="S768" i="7"/>
  <c r="V664" i="7"/>
  <c r="V769" i="7"/>
  <c r="V612" i="7"/>
  <c r="V716" i="7"/>
  <c r="V666" i="7"/>
  <c r="V718" i="7"/>
  <c r="V773" i="7"/>
  <c r="V720" i="7"/>
  <c r="V616" i="7"/>
  <c r="V668" i="7"/>
  <c r="U730" i="7"/>
  <c r="U678" i="7"/>
  <c r="U783" i="7"/>
  <c r="U680" i="7"/>
  <c r="U785" i="7"/>
  <c r="U732" i="7"/>
  <c r="U682" i="7"/>
  <c r="U684" i="7"/>
  <c r="U789" i="7"/>
  <c r="U736" i="7"/>
  <c r="S738" i="7"/>
  <c r="S791" i="7"/>
  <c r="S686" i="7"/>
  <c r="U635" i="7"/>
  <c r="U792" i="7"/>
  <c r="U687" i="7"/>
  <c r="T691" i="7"/>
  <c r="T743" i="7"/>
  <c r="T639" i="7"/>
  <c r="T796" i="7"/>
  <c r="V640" i="7"/>
  <c r="V692" i="7"/>
  <c r="V951" i="7"/>
  <c r="V847" i="7"/>
  <c r="V952" i="7"/>
  <c r="V1005" i="7"/>
  <c r="V900" i="7"/>
  <c r="U850" i="7"/>
  <c r="U954" i="7"/>
  <c r="U851" i="7"/>
  <c r="U959" i="7"/>
  <c r="U1064" i="7"/>
  <c r="I855" i="1"/>
  <c r="N959" i="7"/>
  <c r="F855" i="7"/>
  <c r="F857" i="7"/>
  <c r="N1011" i="7"/>
  <c r="N1063" i="7"/>
  <c r="U913" i="7"/>
  <c r="U965" i="7"/>
  <c r="U1070" i="7"/>
  <c r="U1017" i="7"/>
  <c r="U1019" i="7"/>
  <c r="U967" i="7"/>
  <c r="U915" i="7"/>
  <c r="U1072" i="7"/>
  <c r="O861" i="7"/>
  <c r="F466" i="7"/>
  <c r="N619" i="7"/>
  <c r="F349" i="7"/>
  <c r="F351" i="7"/>
  <c r="F318" i="7"/>
  <c r="F319" i="7"/>
  <c r="F320" i="7"/>
  <c r="F112" i="7"/>
  <c r="F111" i="7"/>
  <c r="F95" i="7"/>
  <c r="F96" i="7"/>
  <c r="F704" i="7"/>
  <c r="F705" i="7"/>
  <c r="W757" i="7"/>
  <c r="F706" i="7"/>
  <c r="W758" i="7"/>
  <c r="F714" i="7"/>
  <c r="N764" i="7"/>
  <c r="F718" i="7"/>
  <c r="W770" i="7"/>
  <c r="F717" i="7"/>
  <c r="F745" i="7"/>
  <c r="W901" i="7"/>
  <c r="F746" i="7"/>
  <c r="F751" i="7"/>
  <c r="I751" i="1"/>
  <c r="G752" i="7"/>
  <c r="X804" i="7"/>
  <c r="F752" i="7"/>
  <c r="W804" i="7"/>
  <c r="N855" i="7"/>
  <c r="F754" i="7"/>
  <c r="V587" i="7"/>
  <c r="V639" i="7"/>
  <c r="U649" i="7"/>
  <c r="V754" i="7"/>
  <c r="V807" i="7"/>
  <c r="T757" i="7"/>
  <c r="T705" i="7"/>
  <c r="T810" i="7"/>
  <c r="V758" i="7"/>
  <c r="V654" i="7"/>
  <c r="V658" i="7"/>
  <c r="V815" i="7"/>
  <c r="V710" i="7"/>
  <c r="V762" i="7"/>
  <c r="T711" i="7"/>
  <c r="U869" i="7"/>
  <c r="U712" i="7"/>
  <c r="V765" i="7"/>
  <c r="V713" i="7"/>
  <c r="S875" i="7"/>
  <c r="S822" i="7"/>
  <c r="U824" i="7"/>
  <c r="U720" i="7"/>
  <c r="U772" i="7"/>
  <c r="U877" i="7"/>
  <c r="U721" i="7"/>
  <c r="U878" i="7"/>
  <c r="U773" i="7"/>
  <c r="U825" i="7"/>
  <c r="V774" i="7"/>
  <c r="V722" i="7"/>
  <c r="S831" i="7"/>
  <c r="S779" i="7"/>
  <c r="T728" i="7"/>
  <c r="T780" i="7"/>
  <c r="T885" i="7"/>
  <c r="U886" i="7"/>
  <c r="U781" i="7"/>
  <c r="U833" i="7"/>
  <c r="U729" i="7"/>
  <c r="S800" i="7"/>
  <c r="S748" i="7"/>
  <c r="U917" i="7"/>
  <c r="U864" i="7"/>
  <c r="U760" i="7"/>
  <c r="U813" i="7"/>
  <c r="U865" i="7"/>
  <c r="U761" i="7"/>
  <c r="U919" i="7"/>
  <c r="U866" i="7"/>
  <c r="U920" i="7"/>
  <c r="U763" i="7"/>
  <c r="U815" i="7"/>
  <c r="U867" i="7"/>
  <c r="U845" i="7"/>
  <c r="U897" i="7"/>
  <c r="U950" i="7"/>
  <c r="U846" i="7"/>
  <c r="U900" i="7"/>
  <c r="U1005" i="7"/>
  <c r="U952" i="7"/>
  <c r="T1007" i="7"/>
  <c r="T902" i="7"/>
  <c r="T850" i="7"/>
  <c r="T1009" i="7"/>
  <c r="T852" i="7"/>
  <c r="T1010" i="7"/>
  <c r="T957" i="7"/>
  <c r="T905" i="7"/>
  <c r="T854" i="7"/>
  <c r="T958" i="7"/>
  <c r="T855" i="7"/>
  <c r="T959" i="7"/>
  <c r="T1012" i="7"/>
  <c r="T960" i="7"/>
  <c r="T1013" i="7"/>
  <c r="T961" i="7"/>
  <c r="T857" i="7"/>
  <c r="T1014" i="7"/>
  <c r="T962" i="7"/>
  <c r="T910" i="7"/>
  <c r="T1015" i="7"/>
  <c r="T858" i="7"/>
  <c r="S859" i="7"/>
  <c r="S911" i="7"/>
  <c r="G628" i="7"/>
  <c r="W661" i="7"/>
  <c r="G945" i="7"/>
  <c r="X1101" i="7"/>
  <c r="G942" i="7"/>
  <c r="X994" i="7"/>
  <c r="G711" i="7"/>
  <c r="G1017" i="7"/>
  <c r="X1069" i="7"/>
  <c r="G1016" i="7"/>
  <c r="G1014" i="7"/>
  <c r="G1015" i="7"/>
  <c r="G1018" i="7"/>
  <c r="G1019" i="7"/>
  <c r="X1071" i="7"/>
  <c r="F194" i="7"/>
  <c r="F132" i="7"/>
  <c r="F124" i="7"/>
  <c r="F84" i="7"/>
  <c r="F78" i="7"/>
  <c r="F77" i="7"/>
  <c r="I707" i="1"/>
  <c r="O863" i="7"/>
  <c r="N759" i="7"/>
  <c r="N915" i="7"/>
  <c r="I726" i="1"/>
  <c r="N778" i="7"/>
  <c r="F726" i="7"/>
  <c r="F816" i="7"/>
  <c r="N1024" i="7"/>
  <c r="F817" i="7"/>
  <c r="F819" i="7"/>
  <c r="I831" i="1"/>
  <c r="G831" i="7"/>
  <c r="F834" i="7"/>
  <c r="N1039" i="7"/>
  <c r="V609" i="7"/>
  <c r="V591" i="7"/>
  <c r="V643" i="7"/>
  <c r="V593" i="7"/>
  <c r="V645" i="7"/>
  <c r="V697" i="7"/>
  <c r="V601" i="7"/>
  <c r="V653" i="7"/>
  <c r="V760" i="7"/>
  <c r="V707" i="7"/>
  <c r="U709" i="7"/>
  <c r="U978" i="7"/>
  <c r="U925" i="7"/>
  <c r="Y1070" i="7"/>
  <c r="Y1018" i="7"/>
  <c r="Y995" i="7"/>
  <c r="Y1047" i="7"/>
  <c r="Y1039" i="7"/>
  <c r="Y987" i="7"/>
  <c r="J11" i="8"/>
  <c r="G943" i="7"/>
  <c r="W944" i="7"/>
  <c r="G900" i="7"/>
  <c r="G898" i="7"/>
  <c r="X950" i="7"/>
  <c r="G972" i="7"/>
  <c r="F215" i="7"/>
  <c r="F217" i="7"/>
  <c r="F193" i="7"/>
  <c r="F191" i="7"/>
  <c r="I686" i="1"/>
  <c r="G688" i="7"/>
  <c r="N894" i="7"/>
  <c r="N852" i="7"/>
  <c r="F698" i="7"/>
  <c r="F696" i="7"/>
  <c r="N964" i="7"/>
  <c r="N860" i="7"/>
  <c r="I756" i="1"/>
  <c r="N808" i="7"/>
  <c r="F757" i="7"/>
  <c r="I774" i="1"/>
  <c r="N826" i="7"/>
  <c r="N878" i="7"/>
  <c r="F782" i="7"/>
  <c r="W834" i="7"/>
  <c r="N937" i="7"/>
  <c r="I781" i="1"/>
  <c r="O989" i="7"/>
  <c r="N945" i="7"/>
  <c r="I789" i="1"/>
  <c r="N997" i="7"/>
  <c r="F792" i="7"/>
  <c r="F805" i="7"/>
  <c r="F804" i="7"/>
  <c r="F810" i="7"/>
  <c r="N965" i="7"/>
  <c r="F820" i="7"/>
  <c r="I817" i="1"/>
  <c r="V581" i="7"/>
  <c r="V633" i="7"/>
  <c r="V597" i="7"/>
  <c r="S792" i="7"/>
  <c r="T698" i="7"/>
  <c r="T802" i="7"/>
  <c r="U751" i="7"/>
  <c r="U699" i="7"/>
  <c r="U856" i="7"/>
  <c r="U803" i="7"/>
  <c r="V860" i="7"/>
  <c r="V913" i="7"/>
  <c r="V756" i="7"/>
  <c r="S947" i="7"/>
  <c r="S843" i="7"/>
  <c r="V881" i="7"/>
  <c r="V933" i="7"/>
  <c r="V985" i="7"/>
  <c r="V1038" i="7"/>
  <c r="V882" i="7"/>
  <c r="V1039" i="7"/>
  <c r="U988" i="7"/>
  <c r="U884" i="7"/>
  <c r="U937" i="7"/>
  <c r="U885" i="7"/>
  <c r="U989" i="7"/>
  <c r="U1042" i="7"/>
  <c r="T990" i="7"/>
  <c r="T938" i="7"/>
  <c r="T887" i="7"/>
  <c r="T939" i="7"/>
  <c r="T1044" i="7"/>
  <c r="T992" i="7"/>
  <c r="T1045" i="7"/>
  <c r="T889" i="7"/>
  <c r="T993" i="7"/>
  <c r="U903" i="7"/>
  <c r="O741" i="7"/>
  <c r="O814" i="7"/>
  <c r="G1002" i="7"/>
  <c r="G1000" i="7"/>
  <c r="X1052" i="7"/>
  <c r="F482" i="7"/>
  <c r="F484" i="7"/>
  <c r="F475" i="7"/>
  <c r="F476" i="7"/>
  <c r="W685" i="7"/>
  <c r="F342" i="7"/>
  <c r="F343" i="7"/>
  <c r="F292" i="7"/>
  <c r="F290" i="7"/>
  <c r="F221" i="7"/>
  <c r="F223" i="7"/>
  <c r="F199" i="7"/>
  <c r="F197" i="7"/>
  <c r="N889" i="7"/>
  <c r="N837" i="7"/>
  <c r="N918" i="7"/>
  <c r="F712" i="7"/>
  <c r="N762" i="7"/>
  <c r="F771" i="7"/>
  <c r="I768" i="1"/>
  <c r="N886" i="7"/>
  <c r="F785" i="7"/>
  <c r="V776" i="7"/>
  <c r="V724" i="7"/>
  <c r="T836" i="7"/>
  <c r="T731" i="7"/>
  <c r="V732" i="7"/>
  <c r="V784" i="7"/>
  <c r="W845" i="7"/>
  <c r="F167" i="7"/>
  <c r="F128" i="7"/>
  <c r="F118" i="7"/>
  <c r="F449" i="7"/>
  <c r="F501" i="7"/>
  <c r="N646" i="7"/>
  <c r="I587" i="1"/>
  <c r="O691" i="7"/>
  <c r="N639" i="7"/>
  <c r="N662" i="7"/>
  <c r="N718" i="7"/>
  <c r="N969" i="7"/>
  <c r="N917" i="7"/>
  <c r="F839" i="7"/>
  <c r="I836" i="1"/>
  <c r="N940" i="7"/>
  <c r="N888" i="7"/>
  <c r="F838" i="7"/>
  <c r="W890" i="7"/>
  <c r="F836" i="7"/>
  <c r="V642" i="7"/>
  <c r="V803" i="7"/>
  <c r="V698" i="7"/>
  <c r="U758" i="7"/>
  <c r="U706" i="7"/>
  <c r="U811" i="7"/>
  <c r="U675" i="7"/>
  <c r="U779" i="7"/>
  <c r="U832" i="7"/>
  <c r="U679" i="7"/>
  <c r="U683" i="7"/>
  <c r="U787" i="7"/>
  <c r="V814" i="7"/>
  <c r="V971" i="7"/>
  <c r="V972" i="7"/>
  <c r="V867" i="7"/>
  <c r="V870" i="7"/>
  <c r="V874" i="7"/>
  <c r="V926" i="7"/>
  <c r="V822" i="7"/>
  <c r="V875" i="7"/>
  <c r="V980" i="7"/>
  <c r="V927" i="7"/>
  <c r="V928" i="7"/>
  <c r="V824" i="7"/>
  <c r="V930" i="7"/>
  <c r="V826" i="7"/>
  <c r="V829" i="7"/>
  <c r="V886" i="7"/>
  <c r="V834" i="7"/>
  <c r="V835" i="7"/>
  <c r="V887" i="7"/>
  <c r="V993" i="7"/>
  <c r="V940" i="7"/>
  <c r="V994" i="7"/>
  <c r="V889" i="7"/>
  <c r="V839" i="7"/>
  <c r="V891" i="7"/>
  <c r="V841" i="7"/>
  <c r="V935" i="7"/>
  <c r="F844" i="7"/>
  <c r="F846" i="7"/>
  <c r="I850" i="1"/>
  <c r="F850" i="7"/>
  <c r="F853" i="7"/>
  <c r="W1051" i="7"/>
  <c r="O1004" i="7"/>
  <c r="F415" i="7"/>
  <c r="F327" i="7"/>
  <c r="F274" i="7"/>
  <c r="F190" i="7"/>
  <c r="F69" i="7"/>
  <c r="N681" i="7"/>
  <c r="N650" i="7"/>
  <c r="I598" i="1"/>
  <c r="G599" i="7"/>
  <c r="F766" i="7"/>
  <c r="N867" i="7"/>
  <c r="S825" i="7"/>
  <c r="S772" i="7"/>
  <c r="S708" i="7"/>
  <c r="U710" i="7"/>
  <c r="U727" i="7"/>
  <c r="V798" i="7"/>
  <c r="S755" i="7"/>
  <c r="S860" i="7"/>
  <c r="S913" i="7"/>
  <c r="S904" i="7"/>
  <c r="G878" i="7"/>
  <c r="U929" i="7"/>
  <c r="U981" i="7"/>
  <c r="G880" i="7"/>
  <c r="G881" i="7"/>
  <c r="T932" i="7"/>
  <c r="I577" i="1"/>
  <c r="G577" i="7"/>
  <c r="F399" i="7"/>
  <c r="F289" i="7"/>
  <c r="F154" i="7"/>
  <c r="F76" i="7"/>
  <c r="I609" i="1"/>
  <c r="F611" i="7"/>
  <c r="N750" i="7"/>
  <c r="F733" i="7"/>
  <c r="W785" i="7"/>
  <c r="I732" i="1"/>
  <c r="F734" i="7"/>
  <c r="N967" i="7"/>
  <c r="F814" i="7"/>
  <c r="W1023" i="7"/>
  <c r="N975" i="7"/>
  <c r="N871" i="7"/>
  <c r="I819" i="1"/>
  <c r="N930" i="7"/>
  <c r="N982" i="7"/>
  <c r="U744" i="7"/>
  <c r="U692" i="7"/>
  <c r="V693" i="7"/>
  <c r="U701" i="7"/>
  <c r="U753" i="7"/>
  <c r="U798" i="7"/>
  <c r="T805" i="7"/>
  <c r="T812" i="7"/>
  <c r="T1004" i="7"/>
  <c r="S1016" i="7"/>
  <c r="S914" i="7"/>
  <c r="S1018" i="7"/>
  <c r="F986" i="7"/>
  <c r="I984" i="1"/>
  <c r="F985" i="7"/>
  <c r="F984" i="7"/>
  <c r="F189" i="7"/>
  <c r="W1034" i="7"/>
  <c r="F346" i="7"/>
  <c r="F265" i="7"/>
  <c r="F264" i="7"/>
  <c r="F226" i="7"/>
  <c r="F227" i="7"/>
  <c r="F213" i="7"/>
  <c r="I650" i="1"/>
  <c r="N858" i="7"/>
  <c r="F510" i="7"/>
  <c r="W614" i="7"/>
  <c r="F701" i="7"/>
  <c r="I812" i="1"/>
  <c r="N916" i="7"/>
  <c r="V584" i="7"/>
  <c r="S687" i="7"/>
  <c r="T690" i="7"/>
  <c r="T794" i="7"/>
  <c r="V805" i="7"/>
  <c r="V753" i="7"/>
  <c r="S811" i="7"/>
  <c r="V782" i="7"/>
  <c r="V790" i="7"/>
  <c r="V794" i="7"/>
  <c r="V903" i="7"/>
  <c r="T823" i="7"/>
  <c r="T927" i="7"/>
  <c r="T876" i="7"/>
  <c r="T826" i="7"/>
  <c r="T983" i="7"/>
  <c r="T881" i="7"/>
  <c r="T986" i="7"/>
  <c r="T830" i="7"/>
  <c r="T987" i="7"/>
  <c r="T942" i="7"/>
  <c r="T995" i="7"/>
  <c r="T838" i="7"/>
  <c r="T997" i="7"/>
  <c r="T944" i="7"/>
  <c r="U880" i="7"/>
  <c r="U984" i="7"/>
  <c r="U956" i="7"/>
  <c r="U1008" i="7"/>
  <c r="F390" i="7"/>
  <c r="W598" i="7"/>
  <c r="F37" i="7"/>
  <c r="N634" i="7"/>
  <c r="U698" i="7"/>
  <c r="V659" i="7"/>
  <c r="T813" i="7"/>
  <c r="S815" i="7"/>
  <c r="V984" i="7"/>
  <c r="F462" i="7"/>
  <c r="W671" i="7"/>
  <c r="F302" i="7"/>
  <c r="F198" i="7"/>
  <c r="F178" i="7"/>
  <c r="F165" i="7"/>
  <c r="V586" i="7"/>
  <c r="T590" i="7"/>
  <c r="V657" i="7"/>
  <c r="T688" i="7"/>
  <c r="T783" i="7"/>
  <c r="S780" i="7"/>
  <c r="U852" i="7"/>
  <c r="U853" i="7"/>
  <c r="S864" i="7"/>
  <c r="G848" i="7"/>
  <c r="X900" i="7"/>
  <c r="F204" i="7"/>
  <c r="F17" i="7"/>
  <c r="N644" i="7"/>
  <c r="U734" i="7"/>
  <c r="U818" i="7"/>
  <c r="S907" i="7"/>
  <c r="T1089" i="7"/>
  <c r="N990" i="7"/>
  <c r="F939" i="7"/>
  <c r="F384" i="7"/>
  <c r="F348" i="7"/>
  <c r="F39" i="7"/>
  <c r="I663" i="1"/>
  <c r="N715" i="7"/>
  <c r="S693" i="7"/>
  <c r="T669" i="7"/>
  <c r="V670" i="7"/>
  <c r="V775" i="7"/>
  <c r="S1005" i="7"/>
  <c r="I961" i="1"/>
  <c r="N1065" i="7"/>
  <c r="U1015" i="7"/>
  <c r="N1072" i="7"/>
  <c r="Y839" i="7"/>
  <c r="Y943" i="7"/>
  <c r="V979" i="7"/>
  <c r="U1077" i="7"/>
  <c r="S1081" i="7"/>
  <c r="F1068" i="7"/>
  <c r="I1065" i="1"/>
  <c r="S1083" i="7"/>
  <c r="U1084" i="7"/>
  <c r="Y978" i="7"/>
  <c r="Y926" i="7"/>
  <c r="S1096" i="7"/>
  <c r="V1099" i="7"/>
  <c r="V1103" i="7"/>
  <c r="V1094" i="7"/>
  <c r="Y984" i="7"/>
  <c r="S1076" i="7"/>
  <c r="V1083" i="7"/>
  <c r="N1083" i="7"/>
  <c r="X987" i="7"/>
  <c r="X935" i="7"/>
  <c r="X883" i="7"/>
  <c r="X1043" i="7"/>
  <c r="X932" i="7"/>
  <c r="W873" i="7"/>
  <c r="W925" i="7"/>
  <c r="W821" i="7"/>
  <c r="O916" i="7"/>
  <c r="G815" i="7"/>
  <c r="O864" i="7"/>
  <c r="O1020" i="7"/>
  <c r="O968" i="7"/>
  <c r="G987" i="7"/>
  <c r="O1036" i="7"/>
  <c r="O1088" i="7"/>
  <c r="G984" i="7"/>
  <c r="X1036" i="7"/>
  <c r="G986" i="7"/>
  <c r="X1038" i="7"/>
  <c r="O975" i="7"/>
  <c r="O923" i="7"/>
  <c r="O871" i="7"/>
  <c r="G821" i="7"/>
  <c r="G822" i="7"/>
  <c r="X978" i="7"/>
  <c r="O1027" i="7"/>
  <c r="W1053" i="7"/>
  <c r="W1000" i="7"/>
  <c r="W896" i="7"/>
  <c r="W948" i="7"/>
  <c r="X1054" i="7"/>
  <c r="O826" i="7"/>
  <c r="O930" i="7"/>
  <c r="G777" i="7"/>
  <c r="X933" i="7"/>
  <c r="O878" i="7"/>
  <c r="G776" i="7"/>
  <c r="O982" i="7"/>
  <c r="W803" i="7"/>
  <c r="W855" i="7"/>
  <c r="O821" i="7"/>
  <c r="O873" i="7"/>
  <c r="O977" i="7"/>
  <c r="G772" i="7"/>
  <c r="X981" i="7"/>
  <c r="O925" i="7"/>
  <c r="X698" i="7"/>
  <c r="G695" i="7"/>
  <c r="X747" i="7"/>
  <c r="O744" i="7"/>
  <c r="O848" i="7"/>
  <c r="G694" i="7"/>
  <c r="O900" i="7"/>
  <c r="X703" i="7"/>
  <c r="O719" i="7"/>
  <c r="G566" i="7"/>
  <c r="X722" i="7"/>
  <c r="O771" i="7"/>
  <c r="W621" i="7"/>
  <c r="W738" i="7"/>
  <c r="W686" i="7"/>
  <c r="W634" i="7"/>
  <c r="X1099" i="7"/>
  <c r="W673" i="7"/>
  <c r="W725" i="7"/>
  <c r="W666" i="7"/>
  <c r="W718" i="7"/>
  <c r="W640" i="7"/>
  <c r="W692" i="7"/>
  <c r="W815" i="7"/>
  <c r="W711" i="7"/>
  <c r="W763" i="7"/>
  <c r="X1053" i="7"/>
  <c r="W707" i="7"/>
  <c r="G814" i="7"/>
  <c r="W874" i="7"/>
  <c r="X1033" i="7"/>
  <c r="G637" i="7"/>
  <c r="X689" i="7"/>
  <c r="G638" i="7"/>
  <c r="X690" i="7"/>
  <c r="O687" i="7"/>
  <c r="O739" i="7"/>
  <c r="O843" i="7"/>
  <c r="G636" i="7"/>
  <c r="X688" i="7"/>
  <c r="W715" i="7"/>
  <c r="W819" i="7"/>
  <c r="W767" i="7"/>
  <c r="W753" i="7"/>
  <c r="W805" i="7"/>
  <c r="W1038" i="7"/>
  <c r="W1090" i="7"/>
  <c r="W663" i="7"/>
  <c r="X985" i="7"/>
  <c r="W818" i="7"/>
  <c r="W992" i="7"/>
  <c r="W940" i="7"/>
  <c r="W888" i="7"/>
  <c r="O973" i="7"/>
  <c r="O921" i="7"/>
  <c r="G820" i="7"/>
  <c r="O1025" i="7"/>
  <c r="G818" i="7"/>
  <c r="G817" i="7"/>
  <c r="O869" i="7"/>
  <c r="O997" i="7"/>
  <c r="O893" i="7"/>
  <c r="G792" i="7"/>
  <c r="O841" i="7"/>
  <c r="O945" i="7"/>
  <c r="G791" i="7"/>
  <c r="W861" i="7"/>
  <c r="W809" i="7"/>
  <c r="X952" i="7"/>
  <c r="W938" i="7"/>
  <c r="W990" i="7"/>
  <c r="W886" i="7"/>
  <c r="G728" i="7"/>
  <c r="G726" i="7"/>
  <c r="G727" i="7"/>
  <c r="O830" i="7"/>
  <c r="G729" i="7"/>
  <c r="X781" i="7"/>
  <c r="O778" i="7"/>
  <c r="X763" i="7"/>
  <c r="W798" i="7"/>
  <c r="W808" i="7"/>
  <c r="W756" i="7"/>
  <c r="W909" i="7"/>
  <c r="W1013" i="7"/>
  <c r="W1066" i="7"/>
  <c r="W961" i="7"/>
  <c r="W822" i="7"/>
  <c r="W926" i="7"/>
  <c r="W915" i="7"/>
  <c r="W870" i="7"/>
  <c r="G800" i="7"/>
  <c r="X852" i="7"/>
  <c r="G801" i="7"/>
  <c r="G799" i="7"/>
  <c r="X851" i="7"/>
  <c r="O850" i="7"/>
  <c r="O696" i="7"/>
  <c r="G543" i="7"/>
  <c r="X699" i="7"/>
  <c r="G542" i="7"/>
  <c r="X751" i="7"/>
  <c r="G541" i="7"/>
  <c r="X750" i="7"/>
  <c r="G540" i="7"/>
  <c r="X938" i="7"/>
  <c r="W584" i="7"/>
  <c r="W636" i="7"/>
  <c r="W622" i="7"/>
  <c r="W631" i="7"/>
  <c r="W735" i="7"/>
  <c r="W683" i="7"/>
  <c r="W788" i="7"/>
  <c r="X1023" i="7"/>
  <c r="X1075" i="7"/>
  <c r="O718" i="7"/>
  <c r="G617" i="7"/>
  <c r="O822" i="7"/>
  <c r="W820" i="7"/>
  <c r="W768" i="7"/>
  <c r="W716" i="7"/>
  <c r="W642" i="7"/>
  <c r="O812" i="7"/>
  <c r="O760" i="7"/>
  <c r="G658" i="7"/>
  <c r="X710" i="7"/>
  <c r="G659" i="7"/>
  <c r="O708" i="7"/>
  <c r="O758" i="7"/>
  <c r="W851" i="7"/>
  <c r="X958" i="7"/>
  <c r="X854" i="7"/>
  <c r="X906" i="7"/>
  <c r="X1004" i="7"/>
  <c r="X1056" i="7"/>
  <c r="X733" i="7"/>
  <c r="G693" i="7"/>
  <c r="G657" i="7"/>
  <c r="O810" i="7"/>
  <c r="G656" i="7"/>
  <c r="X708" i="7"/>
  <c r="O706" i="7"/>
  <c r="O862" i="7"/>
  <c r="W618" i="7"/>
  <c r="W741" i="7"/>
  <c r="W689" i="7"/>
  <c r="W846" i="7"/>
  <c r="W793" i="7"/>
  <c r="W713" i="7"/>
  <c r="W817" i="7"/>
  <c r="W650" i="7"/>
  <c r="W991" i="7"/>
  <c r="W1043" i="7"/>
  <c r="G611" i="7"/>
  <c r="G610" i="7"/>
  <c r="G612" i="7"/>
  <c r="W872" i="7"/>
  <c r="W924" i="7"/>
  <c r="O738" i="7"/>
  <c r="G689" i="7"/>
  <c r="O790" i="7"/>
  <c r="G686" i="7"/>
  <c r="X738" i="7"/>
  <c r="O842" i="7"/>
  <c r="G687" i="7"/>
  <c r="W930" i="7"/>
  <c r="W982" i="7"/>
  <c r="W1035" i="7"/>
  <c r="W878" i="7"/>
  <c r="W593" i="7"/>
  <c r="W645" i="7"/>
  <c r="G557" i="7"/>
  <c r="G555" i="7"/>
  <c r="G558" i="7"/>
  <c r="G556" i="7"/>
  <c r="G1042" i="7"/>
  <c r="X1094" i="7"/>
  <c r="G1043" i="7"/>
  <c r="X1095" i="7"/>
  <c r="O1092" i="7"/>
  <c r="G1041" i="7"/>
  <c r="X1093" i="7"/>
  <c r="X856" i="7"/>
  <c r="O692" i="7"/>
  <c r="G591" i="7"/>
  <c r="W942" i="7"/>
  <c r="W712" i="7"/>
  <c r="G756" i="7"/>
  <c r="X912" i="7"/>
  <c r="O808" i="7"/>
  <c r="O912" i="7"/>
  <c r="O860" i="7"/>
  <c r="G758" i="7"/>
  <c r="X914" i="7"/>
  <c r="O964" i="7"/>
  <c r="G757" i="7"/>
  <c r="G759" i="7"/>
  <c r="G737" i="7"/>
  <c r="X789" i="7"/>
  <c r="O788" i="7"/>
  <c r="O892" i="7"/>
  <c r="O944" i="7"/>
  <c r="G739" i="7"/>
  <c r="O840" i="7"/>
  <c r="G738" i="7"/>
  <c r="G736" i="7"/>
  <c r="X788" i="7"/>
  <c r="X771" i="7"/>
  <c r="X719" i="7"/>
  <c r="W744" i="7"/>
  <c r="G598" i="7"/>
  <c r="X755" i="7"/>
  <c r="X807" i="7"/>
  <c r="W732" i="7"/>
  <c r="W679" i="7"/>
  <c r="W627" i="7"/>
  <c r="O928" i="7"/>
  <c r="G775" i="7"/>
  <c r="O876" i="7"/>
  <c r="O980" i="7"/>
  <c r="O824" i="7"/>
  <c r="G774" i="7"/>
  <c r="G773" i="7"/>
  <c r="X825" i="7"/>
  <c r="X800" i="7"/>
  <c r="G587" i="7"/>
  <c r="G588" i="7"/>
  <c r="O795" i="7"/>
  <c r="O743" i="7"/>
  <c r="G590" i="7"/>
  <c r="G589" i="7"/>
  <c r="X1070" i="7"/>
  <c r="O1011" i="7"/>
  <c r="G857" i="7"/>
  <c r="O1063" i="7"/>
  <c r="O907" i="7"/>
  <c r="O959" i="7"/>
  <c r="G858" i="7"/>
  <c r="X910" i="7"/>
  <c r="G855" i="7"/>
  <c r="G856" i="7"/>
  <c r="W996" i="7"/>
  <c r="W1049" i="7"/>
  <c r="W892" i="7"/>
  <c r="W611" i="7"/>
  <c r="O817" i="7"/>
  <c r="O765" i="7"/>
  <c r="O713" i="7"/>
  <c r="G664" i="7"/>
  <c r="X1034" i="7"/>
  <c r="X754" i="7"/>
  <c r="W635" i="7"/>
  <c r="W583" i="7"/>
  <c r="G1068" i="7"/>
  <c r="G1065" i="7"/>
  <c r="J10" i="8"/>
  <c r="J12" i="8"/>
  <c r="G1066" i="7"/>
  <c r="G1067" i="7"/>
  <c r="W786" i="7"/>
  <c r="W838" i="7"/>
  <c r="W823" i="7"/>
  <c r="W856" i="7"/>
  <c r="W908" i="7"/>
  <c r="O733" i="7"/>
  <c r="W935" i="7"/>
  <c r="W883" i="7"/>
  <c r="W927" i="7"/>
  <c r="W1032" i="7"/>
  <c r="W979" i="7"/>
  <c r="W875" i="7"/>
  <c r="G819" i="7"/>
  <c r="O791" i="7"/>
  <c r="W893" i="7"/>
  <c r="W945" i="7"/>
  <c r="W997" i="7"/>
  <c r="W852" i="7"/>
  <c r="W956" i="7"/>
  <c r="W904" i="7"/>
  <c r="W987" i="7"/>
  <c r="X1046" i="7"/>
  <c r="G536" i="7"/>
  <c r="O689" i="7"/>
  <c r="W1040" i="7"/>
  <c r="W605" i="7"/>
  <c r="W657" i="7"/>
  <c r="O688" i="7"/>
  <c r="G535" i="7"/>
  <c r="G533" i="7"/>
  <c r="O740" i="7"/>
  <c r="G532" i="7"/>
  <c r="X1044" i="7"/>
  <c r="W664" i="7"/>
  <c r="X1002" i="7"/>
  <c r="X968" i="7"/>
  <c r="X752" i="7"/>
  <c r="X1020" i="7"/>
  <c r="X735" i="7"/>
  <c r="X1060" i="7"/>
  <c r="W654" i="7"/>
  <c r="W792" i="7"/>
  <c r="X777" i="7"/>
  <c r="O839" i="7"/>
  <c r="G790" i="7"/>
  <c r="O943" i="7"/>
  <c r="G787" i="7"/>
  <c r="O891" i="7"/>
  <c r="G789" i="7"/>
  <c r="O995" i="7"/>
  <c r="W794" i="7"/>
  <c r="W742" i="7"/>
  <c r="W690" i="7"/>
  <c r="W695" i="7"/>
  <c r="O712" i="7"/>
  <c r="G663" i="7"/>
  <c r="G661" i="7"/>
  <c r="X713" i="7"/>
  <c r="G662" i="7"/>
  <c r="X714" i="7"/>
  <c r="O868" i="7"/>
  <c r="O764" i="7"/>
  <c r="G565" i="7"/>
  <c r="X774" i="7"/>
  <c r="W947" i="7"/>
  <c r="X1090" i="7"/>
  <c r="G654" i="7"/>
  <c r="W697" i="7"/>
  <c r="W797" i="7"/>
  <c r="W849" i="7"/>
  <c r="X897" i="7"/>
  <c r="X949" i="7"/>
  <c r="X723" i="7"/>
  <c r="W587" i="7"/>
  <c r="W639" i="7"/>
  <c r="W665" i="7"/>
  <c r="W717" i="7"/>
  <c r="W710" i="7"/>
  <c r="W814" i="7"/>
  <c r="W1029" i="7"/>
  <c r="W879" i="7"/>
  <c r="W827" i="7"/>
  <c r="W931" i="7"/>
  <c r="X901" i="7"/>
  <c r="O833" i="7"/>
  <c r="G782" i="7"/>
  <c r="O885" i="7"/>
  <c r="G784" i="7"/>
  <c r="X836" i="7"/>
  <c r="G781" i="7"/>
  <c r="X833" i="7"/>
  <c r="G783" i="7"/>
  <c r="X835" i="7"/>
  <c r="X1047" i="7"/>
  <c r="W871" i="7"/>
  <c r="W975" i="7"/>
  <c r="W923" i="7"/>
  <c r="W769" i="7"/>
  <c r="G833" i="7"/>
  <c r="G832" i="7"/>
  <c r="O934" i="7"/>
  <c r="O1038" i="7"/>
  <c r="O986" i="7"/>
  <c r="G830" i="7"/>
  <c r="O882" i="7"/>
  <c r="X1040" i="7"/>
  <c r="X764" i="7"/>
  <c r="X816" i="7"/>
  <c r="X1097" i="7"/>
  <c r="G985" i="7"/>
  <c r="X1018" i="7"/>
  <c r="W994" i="7"/>
  <c r="O806" i="7"/>
  <c r="O702" i="7"/>
  <c r="G652" i="7"/>
  <c r="X704" i="7"/>
  <c r="G650" i="7"/>
  <c r="X702" i="7"/>
  <c r="O858" i="7"/>
  <c r="G653" i="7"/>
  <c r="O754" i="7"/>
  <c r="W914" i="7"/>
  <c r="W966" i="7"/>
  <c r="W1019" i="7"/>
  <c r="W862" i="7"/>
  <c r="G710" i="7"/>
  <c r="O759" i="7"/>
  <c r="G709" i="7"/>
  <c r="O811" i="7"/>
  <c r="W858" i="7"/>
  <c r="W806" i="7"/>
  <c r="W963" i="7"/>
  <c r="W928" i="7"/>
  <c r="W876" i="7"/>
  <c r="W980" i="7"/>
  <c r="X890" i="7"/>
  <c r="X942" i="7"/>
  <c r="X795" i="7"/>
  <c r="X743" i="7"/>
  <c r="X847" i="7"/>
  <c r="X845" i="7"/>
  <c r="W1007" i="7"/>
  <c r="W850" i="7"/>
  <c r="W658" i="7"/>
  <c r="W606" i="7"/>
  <c r="W796" i="7"/>
  <c r="W620" i="7"/>
  <c r="W724" i="7"/>
  <c r="W672" i="7"/>
  <c r="G609" i="7"/>
  <c r="W777" i="7"/>
  <c r="W1047" i="7"/>
  <c r="G563" i="7"/>
  <c r="X772" i="7"/>
  <c r="G1040" i="7"/>
  <c r="X1092" i="7"/>
  <c r="W1006" i="7"/>
  <c r="W954" i="7"/>
  <c r="W902" i="7"/>
  <c r="O767" i="7"/>
  <c r="G666" i="7"/>
  <c r="G665" i="7"/>
  <c r="O715" i="7"/>
  <c r="O819" i="7"/>
  <c r="O836" i="7"/>
  <c r="G735" i="7"/>
  <c r="X787" i="7"/>
  <c r="G733" i="7"/>
  <c r="G734" i="7"/>
  <c r="O784" i="7"/>
  <c r="G851" i="7"/>
  <c r="G850" i="7"/>
  <c r="G853" i="7"/>
  <c r="X905" i="7"/>
  <c r="G852" i="7"/>
  <c r="X904" i="7"/>
  <c r="O902" i="7"/>
  <c r="O954" i="7"/>
  <c r="W891" i="7"/>
  <c r="W1048" i="7"/>
  <c r="W943" i="7"/>
  <c r="W857" i="7"/>
  <c r="W748" i="7"/>
  <c r="W1025" i="7"/>
  <c r="W868" i="7"/>
  <c r="W920" i="7"/>
  <c r="W972" i="7"/>
  <c r="X1066" i="7"/>
  <c r="O763" i="7"/>
  <c r="W766" i="7"/>
  <c r="W882" i="7"/>
  <c r="W934" i="7"/>
  <c r="X815" i="7"/>
  <c r="G731" i="7"/>
  <c r="X783" i="7"/>
  <c r="G732" i="7"/>
  <c r="X784" i="7"/>
  <c r="G730" i="7"/>
  <c r="X782" i="7"/>
  <c r="O781" i="7"/>
  <c r="X943" i="7"/>
  <c r="W1045" i="7"/>
  <c r="X964" i="7"/>
  <c r="W1039" i="7"/>
  <c r="W745" i="7"/>
  <c r="O694" i="7"/>
  <c r="G645" i="7"/>
  <c r="O746" i="7"/>
  <c r="W699" i="7"/>
  <c r="W647" i="7"/>
  <c r="W595" i="7"/>
  <c r="X868" i="7"/>
  <c r="X1025" i="7"/>
  <c r="W740" i="7"/>
  <c r="W811" i="7"/>
  <c r="W607" i="7"/>
  <c r="W659" i="7"/>
  <c r="W603" i="7"/>
  <c r="W655" i="7"/>
  <c r="W586" i="7"/>
  <c r="W743" i="7"/>
  <c r="W638" i="7"/>
  <c r="W632" i="7"/>
  <c r="W736" i="7"/>
  <c r="W789" i="7"/>
  <c r="W684" i="7"/>
  <c r="O1006" i="7"/>
  <c r="X1100" i="7"/>
  <c r="W1095" i="7"/>
  <c r="W676" i="7"/>
  <c r="W728" i="7"/>
  <c r="X848" i="7"/>
  <c r="X990" i="7"/>
  <c r="G613" i="7"/>
  <c r="G614" i="7"/>
  <c r="W643" i="7"/>
  <c r="O711" i="7"/>
  <c r="X999" i="7"/>
  <c r="X1051" i="7"/>
  <c r="X753" i="7"/>
  <c r="G707" i="7"/>
  <c r="X759" i="7"/>
  <c r="X972" i="7"/>
  <c r="W708" i="7"/>
  <c r="W865" i="7"/>
  <c r="W760" i="7"/>
  <c r="O915" i="7"/>
  <c r="W853" i="7"/>
  <c r="W922" i="7"/>
  <c r="W680" i="7"/>
  <c r="W628" i="7"/>
  <c r="W733" i="7"/>
  <c r="X980" i="7"/>
  <c r="X1032" i="7"/>
  <c r="W894" i="7"/>
  <c r="W842" i="7"/>
  <c r="W999" i="7"/>
  <c r="W687" i="7"/>
  <c r="W739" i="7"/>
  <c r="G643" i="7"/>
  <c r="X695" i="7"/>
  <c r="O745" i="7"/>
  <c r="G644" i="7"/>
  <c r="X696" i="7"/>
  <c r="G641" i="7"/>
  <c r="O849" i="7"/>
  <c r="G642" i="7"/>
  <c r="O693" i="7"/>
  <c r="W652" i="7"/>
  <c r="G564" i="7"/>
  <c r="X720" i="7"/>
  <c r="O797" i="7"/>
  <c r="X1086" i="7"/>
  <c r="X875" i="7"/>
  <c r="X927" i="7"/>
  <c r="G600" i="7"/>
  <c r="G601" i="7"/>
  <c r="W889" i="7"/>
  <c r="W837" i="7"/>
  <c r="W941" i="7"/>
  <c r="O883" i="7"/>
  <c r="O987" i="7"/>
  <c r="O1039" i="7"/>
  <c r="O935" i="7"/>
  <c r="G834" i="7"/>
  <c r="X886" i="7"/>
  <c r="W959" i="7"/>
  <c r="W907" i="7"/>
  <c r="W1011" i="7"/>
  <c r="W1064" i="7"/>
  <c r="X991" i="7"/>
  <c r="G553" i="7"/>
  <c r="G552" i="7"/>
  <c r="X1003" i="7"/>
  <c r="X1055" i="7"/>
  <c r="X864" i="7"/>
  <c r="X765" i="7"/>
  <c r="X712" i="7"/>
  <c r="W866" i="7"/>
  <c r="W918" i="7"/>
  <c r="W970" i="7"/>
  <c r="W929" i="7"/>
  <c r="W981" i="7"/>
  <c r="W877" i="7"/>
  <c r="X915" i="7"/>
  <c r="X940" i="7"/>
  <c r="W848" i="7"/>
  <c r="O735" i="7"/>
  <c r="G582" i="7"/>
  <c r="X686" i="7"/>
  <c r="O787" i="7"/>
  <c r="G581" i="7"/>
  <c r="X685" i="7"/>
  <c r="W976" i="7"/>
  <c r="X1057" i="7"/>
  <c r="X1005" i="7"/>
  <c r="W629" i="7"/>
  <c r="W681" i="7"/>
  <c r="G551" i="7"/>
  <c r="X707" i="7"/>
  <c r="W1009" i="7"/>
  <c r="W957" i="7"/>
  <c r="W1062" i="7"/>
  <c r="W905" i="7"/>
  <c r="O976" i="7"/>
  <c r="G770" i="7"/>
  <c r="X822" i="7"/>
  <c r="O820" i="7"/>
  <c r="G769" i="7"/>
  <c r="X821" i="7"/>
  <c r="G771" i="7"/>
  <c r="X823" i="7"/>
  <c r="O924" i="7"/>
  <c r="O872" i="7"/>
  <c r="G768" i="7"/>
  <c r="W973" i="7"/>
  <c r="W921" i="7"/>
  <c r="W869" i="7"/>
  <c r="X802" i="7"/>
  <c r="W608" i="7"/>
  <c r="W660" i="7"/>
  <c r="W1028" i="7"/>
  <c r="W675" i="7"/>
  <c r="X967" i="7"/>
  <c r="X855" i="7"/>
  <c r="F13" i="6"/>
  <c r="O894" i="7"/>
  <c r="X930" i="7"/>
  <c r="O1044" i="7"/>
  <c r="O888" i="7"/>
  <c r="O992" i="7"/>
  <c r="O940" i="7"/>
  <c r="G837" i="7"/>
  <c r="G839" i="7"/>
  <c r="G836" i="7"/>
  <c r="W1036" i="7"/>
  <c r="W1088" i="7"/>
  <c r="G961" i="7"/>
  <c r="G962" i="7"/>
  <c r="O1065" i="7"/>
  <c r="O1013" i="7"/>
  <c r="G964" i="7"/>
  <c r="X1016" i="7"/>
  <c r="F14" i="6"/>
  <c r="G963" i="7"/>
  <c r="X1015" i="7"/>
  <c r="W1089" i="7"/>
  <c r="W1037" i="7"/>
  <c r="G580" i="7"/>
  <c r="X736" i="7"/>
  <c r="O785" i="7"/>
  <c r="W950" i="7"/>
  <c r="W898" i="7"/>
  <c r="W1002" i="7"/>
  <c r="W764" i="7"/>
  <c r="W816" i="7"/>
  <c r="W1001" i="7"/>
  <c r="W844" i="7"/>
  <c r="W750" i="7"/>
  <c r="W802" i="7"/>
  <c r="W854" i="7"/>
  <c r="X1024" i="7"/>
  <c r="W830" i="7"/>
  <c r="W778" i="7"/>
  <c r="X1068" i="7"/>
  <c r="G753" i="7"/>
  <c r="O855" i="7"/>
  <c r="G754" i="7"/>
  <c r="O803" i="7"/>
  <c r="W885" i="7"/>
  <c r="W937" i="7"/>
  <c r="W1042" i="7"/>
  <c r="W989" i="7"/>
  <c r="W791" i="7"/>
  <c r="W895" i="7"/>
  <c r="W784" i="7"/>
  <c r="W836" i="7"/>
  <c r="X996" i="7"/>
  <c r="W762" i="7"/>
  <c r="X840" i="7"/>
  <c r="X911" i="7"/>
  <c r="X801" i="7"/>
  <c r="G635" i="7"/>
  <c r="X687" i="7"/>
  <c r="G840" i="7"/>
  <c r="O942" i="7"/>
  <c r="O1046" i="7"/>
  <c r="G841" i="7"/>
  <c r="O890" i="7"/>
  <c r="O994" i="7"/>
  <c r="X961" i="7"/>
  <c r="X1078" i="7"/>
  <c r="X1026" i="7"/>
  <c r="X1045" i="7"/>
  <c r="W592" i="7"/>
  <c r="W617" i="7"/>
  <c r="W721" i="7"/>
  <c r="W774" i="7"/>
  <c r="X1087" i="7"/>
  <c r="W913" i="7"/>
  <c r="X796" i="7"/>
  <c r="W609" i="7"/>
  <c r="W604" i="7"/>
  <c r="X1009" i="7"/>
  <c r="X957" i="7"/>
  <c r="X1098" i="7"/>
  <c r="W667" i="7"/>
  <c r="W719" i="7"/>
  <c r="W674" i="7"/>
  <c r="W726" i="7"/>
  <c r="X737" i="7"/>
  <c r="W761" i="7"/>
  <c r="X1042" i="7"/>
  <c r="W581" i="7"/>
  <c r="W662" i="7"/>
  <c r="W668" i="7"/>
  <c r="W799" i="7"/>
  <c r="X1085" i="7"/>
  <c r="W826" i="7"/>
  <c r="W983" i="7"/>
  <c r="G813" i="7"/>
  <c r="X742" i="7"/>
  <c r="W978" i="7"/>
  <c r="X794" i="7"/>
  <c r="W841" i="7"/>
  <c r="W998" i="7"/>
  <c r="W600" i="7"/>
  <c r="W709" i="7"/>
  <c r="W984" i="7"/>
  <c r="X1021" i="7"/>
  <c r="X1013" i="7"/>
  <c r="X1065" i="7"/>
  <c r="X893" i="7"/>
  <c r="X945" i="7"/>
  <c r="X693" i="7"/>
  <c r="X944" i="7"/>
  <c r="X983" i="7"/>
  <c r="X826" i="7"/>
  <c r="X962" i="7"/>
  <c r="X888" i="7"/>
  <c r="X916" i="7"/>
  <c r="X1006" i="7"/>
  <c r="X954" i="7"/>
  <c r="X902" i="7"/>
  <c r="X986" i="7"/>
  <c r="X882" i="7"/>
  <c r="X934" i="7"/>
  <c r="X861" i="7"/>
  <c r="X913" i="7"/>
  <c r="X809" i="7"/>
  <c r="X1059" i="7"/>
  <c r="X873" i="7"/>
  <c r="X925" i="7"/>
  <c r="X977" i="7"/>
  <c r="X892" i="7"/>
  <c r="X891" i="7"/>
  <c r="X1088" i="7"/>
  <c r="X697" i="7"/>
  <c r="X749" i="7"/>
  <c r="X903" i="7"/>
  <c r="X717" i="7"/>
  <c r="X769" i="7"/>
  <c r="X834" i="7"/>
  <c r="X839" i="7"/>
  <c r="X992" i="7"/>
  <c r="X1050" i="7"/>
  <c r="X692" i="7"/>
  <c r="X818" i="7"/>
  <c r="X745" i="7"/>
  <c r="X797" i="7"/>
  <c r="X849" i="7"/>
  <c r="X779" i="7"/>
  <c r="X831" i="7"/>
  <c r="X869" i="7"/>
  <c r="X973" i="7"/>
  <c r="X921" i="7"/>
  <c r="X918" i="7"/>
  <c r="X866" i="7"/>
  <c r="X970" i="7"/>
  <c r="X955" i="7"/>
  <c r="X792" i="7"/>
  <c r="X860" i="7"/>
  <c r="X808" i="7"/>
  <c r="X965" i="7"/>
  <c r="X841" i="7"/>
  <c r="X811" i="7"/>
  <c r="X863" i="7"/>
  <c r="X741" i="7"/>
  <c r="X898" i="7"/>
  <c r="X874" i="7"/>
  <c r="X926" i="7"/>
  <c r="X982" i="7"/>
  <c r="X775" i="7"/>
  <c r="X790" i="7"/>
  <c r="X799" i="7"/>
  <c r="X1061" i="7"/>
  <c r="X770" i="7"/>
  <c r="X718" i="7"/>
  <c r="X761" i="7"/>
  <c r="X813" i="7"/>
  <c r="X705" i="7"/>
  <c r="X757" i="7"/>
  <c r="X1037" i="7"/>
  <c r="X1089" i="7"/>
  <c r="X1062" i="7"/>
  <c r="X1008" i="7"/>
  <c r="X946" i="7"/>
  <c r="X909" i="7"/>
  <c r="X691" i="7"/>
  <c r="X791" i="7"/>
  <c r="X862" i="7"/>
  <c r="X810" i="7"/>
  <c r="X766" i="7"/>
  <c r="X1030" i="7"/>
  <c r="X830" i="7"/>
  <c r="X778" i="7"/>
  <c r="X843" i="7"/>
  <c r="X947" i="7"/>
  <c r="X1000" i="7"/>
  <c r="X895" i="7"/>
  <c r="X1027" i="7"/>
  <c r="X870" i="7"/>
  <c r="X922" i="7"/>
  <c r="X974" i="7"/>
  <c r="X1049" i="7"/>
  <c r="X939" i="7"/>
  <c r="X740" i="7"/>
  <c r="X885" i="7"/>
  <c r="X937" i="7"/>
  <c r="X989" i="7"/>
  <c r="X844" i="7"/>
  <c r="X948" i="7"/>
  <c r="X896" i="7"/>
  <c r="X820" i="7"/>
  <c r="X1010" i="7"/>
  <c r="X853" i="7"/>
  <c r="X812" i="7"/>
  <c r="X706" i="7"/>
  <c r="X758" i="7"/>
  <c r="X871" i="7"/>
  <c r="X1028" i="7"/>
  <c r="X975" i="7"/>
  <c r="X923" i="7"/>
  <c r="X756" i="7"/>
  <c r="X709" i="7"/>
  <c r="X806" i="7"/>
  <c r="X858" i="7"/>
  <c r="X941" i="7"/>
  <c r="X889" i="7"/>
  <c r="X993" i="7"/>
  <c r="X1031" i="7"/>
  <c r="X786" i="7"/>
  <c r="X838" i="7"/>
  <c r="X979" i="7"/>
  <c r="X842" i="7"/>
  <c r="X894" i="7"/>
  <c r="X956" i="7"/>
  <c r="X1007" i="7"/>
  <c r="X998" i="7"/>
  <c r="X716" i="7"/>
  <c r="X768" i="7"/>
  <c r="X929" i="7"/>
  <c r="X827" i="7"/>
  <c r="X879" i="7"/>
  <c r="X931" i="7"/>
  <c r="X739" i="7"/>
  <c r="X711" i="7"/>
  <c r="X780" i="7"/>
  <c r="X832" i="7"/>
  <c r="X1001" i="7"/>
  <c r="X798" i="7"/>
  <c r="X746" i="7"/>
  <c r="X887" i="7"/>
  <c r="X963" i="7"/>
  <c r="X865" i="7"/>
  <c r="X1022" i="7"/>
  <c r="X917" i="7"/>
  <c r="X959" i="7"/>
  <c r="X907" i="7"/>
  <c r="X1064" i="7"/>
  <c r="X1011" i="7"/>
  <c r="X824" i="7"/>
  <c r="X876" i="7"/>
  <c r="X928" i="7"/>
  <c r="X829" i="7"/>
  <c r="X881" i="7"/>
  <c r="X760" i="7"/>
  <c r="X969" i="7"/>
  <c r="X997" i="7"/>
  <c r="X715" i="7"/>
  <c r="X1039" i="7"/>
  <c r="X1091" i="7"/>
  <c r="X819" i="7"/>
  <c r="X878" i="7"/>
  <c r="X846" i="7"/>
  <c r="X805" i="7"/>
  <c r="X857" i="7"/>
  <c r="X1014" i="7"/>
  <c r="X694" i="7"/>
  <c r="X1048" i="7"/>
  <c r="X785" i="7"/>
  <c r="X837" i="7"/>
  <c r="X793" i="7"/>
  <c r="X762" i="7"/>
  <c r="X814" i="7"/>
  <c r="X988" i="7"/>
  <c r="X884" i="7"/>
  <c r="X936" i="7"/>
  <c r="X1041" i="7"/>
  <c r="X995" i="7"/>
  <c r="X744" i="7"/>
  <c r="X966" i="7"/>
  <c r="X817" i="7"/>
  <c r="X1067" i="7"/>
  <c r="X908" i="7"/>
  <c r="X1012" i="7"/>
  <c r="X960" i="7"/>
  <c r="X877" i="7"/>
  <c r="X748" i="7"/>
  <c r="X721" i="7"/>
  <c r="X773" i="7"/>
  <c r="X872" i="7"/>
  <c r="X1029" i="7"/>
  <c r="X976" i="7"/>
  <c r="X924" i="7"/>
  <c r="X767" i="7"/>
  <c r="X850" i="7"/>
  <c r="X828" i="7"/>
  <c r="X880" i="7"/>
  <c r="X919" i="7"/>
  <c r="X867" i="7"/>
  <c r="X971" i="7"/>
  <c r="X984" i="7"/>
  <c r="X859" i="7"/>
  <c r="G1086" i="7"/>
  <c r="G1087" i="7"/>
  <c r="N4" i="8"/>
  <c r="N5" i="8"/>
  <c r="N6" i="8"/>
  <c r="C12" i="6"/>
  <c r="J5" i="8"/>
  <c r="F7" i="6"/>
  <c r="G1093" i="7"/>
  <c r="C11" i="6"/>
  <c r="G1091" i="7" l="1"/>
  <c r="M4" i="8"/>
  <c r="G1092" i="7"/>
  <c r="M5" i="8"/>
  <c r="B11" i="6" s="1"/>
  <c r="G1090" i="7"/>
  <c r="F8" i="6"/>
  <c r="F10" i="6" s="1"/>
  <c r="S4" i="8" l="1"/>
  <c r="S6" i="8"/>
  <c r="F12" i="6" s="1"/>
  <c r="S5" i="8"/>
  <c r="F11" i="6" s="1"/>
</calcChain>
</file>

<file path=xl/sharedStrings.xml><?xml version="1.0" encoding="utf-8"?>
<sst xmlns="http://schemas.openxmlformats.org/spreadsheetml/2006/main" count="879" uniqueCount="82">
  <si>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</si>
  <si>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</si>
  <si>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</si>
  <si>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</si>
  <si>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</si>
  <si>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</si>
  <si>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</si>
  <si>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</si>
  <si>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</si>
  <si>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</si>
  <si>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</si>
  <si>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</si>
  <si>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</si>
  <si>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</si>
  <si>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</si>
  <si>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</si>
  <si>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</si>
  <si>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</si>
  <si>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</si>
  <si>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</si>
  <si>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</si>
  <si>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</si>
  <si>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</si>
  <si>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</si>
  <si>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</si>
  <si>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</si>
  <si>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</si>
  <si>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</si>
  <si>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</si>
  <si>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</si>
  <si>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</si>
  <si>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</si>
  <si>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</si>
  <si>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</si>
  <si>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</si>
  <si>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</si>
  <si>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</si>
  <si>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</si>
  <si>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</si>
  <si>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</si>
  <si>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</si>
  <si>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</si>
  <si>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</si>
  <si>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</si>
  <si>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</si>
  <si>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</si>
  <si>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</si>
  <si>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</si>
  <si>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</si>
  <si>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</si>
  <si>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</si>
  <si>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</si>
  <si>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</si>
  <si>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</si>
  <si>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</si>
  <si>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</si>
  <si>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</si>
  <si>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</si>
  <si>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</si>
  <si>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</si>
  <si>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</si>
  <si>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</si>
  <si>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</si>
  <si>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</si>
  <si>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</si>
  <si>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</si>
  <si>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</si>
  <si>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</si>
  <si>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</si>
  <si>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</si>
  <si>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</si>
  <si>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</si>
  <si>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</si>
  <si>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</si>
  <si>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</si>
  <si>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</si>
  <si>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</si>
  <si>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4-week averages</t>
  </si>
  <si>
    <t>3rd Quarter 2014</t>
  </si>
  <si>
    <t>3rd Quarter 2013</t>
  </si>
  <si>
    <r>
      <t>10/15/2014</t>
    </r>
    <r>
      <rPr>
        <vertAlign val="superscript"/>
        <sz val="9"/>
        <color indexed="8"/>
        <rFont val="Times New Roman"/>
        <family val="1"/>
      </rPr>
      <t>p</t>
    </r>
  </si>
  <si>
    <r>
      <t>10/08/2014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</si>
</sst>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  <numFmt numFmtId="174" formatCode="0_);[Red]\(0\)"/>
  </numFmts>
  <fonts count="59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4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5" fillId="0" borderId="5" xfId="0" applyFont="1" applyFill="1" applyBorder="1" applyAlignment="1">
      <alignment horizontal="center"/>
    </xf>
    <xf numFmtId="0" fontId="55" fillId="0" borderId="5" xfId="0" applyFont="1" applyFill="1" applyBorder="1"/>
    <xf numFmtId="0" fontId="56" fillId="0" borderId="0" xfId="0" applyFont="1" applyFill="1"/>
    <xf numFmtId="0" fontId="55" fillId="0" borderId="7" xfId="0" applyFont="1" applyFill="1" applyBorder="1" applyAlignment="1">
      <alignment horizontal="center"/>
    </xf>
    <xf numFmtId="0" fontId="57" fillId="0" borderId="7" xfId="0" applyFont="1" applyFill="1" applyBorder="1" applyAlignment="1">
      <alignment horizontal="center"/>
    </xf>
    <xf numFmtId="0" fontId="55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8" fillId="0" borderId="0" xfId="0" applyNumberFormat="1" applyFont="1" applyFill="1" applyAlignment="1" applyProtection="1">
      <alignment horizontal="center"/>
    </xf>
    <xf numFmtId="37" fontId="58" fillId="0" borderId="0" xfId="0" applyNumberFormat="1" applyFont="1" applyAlignment="1" applyProtection="1">
      <alignment horizontal="center"/>
    </xf>
    <xf numFmtId="169" fontId="55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5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5" fillId="10" borderId="0" xfId="0" applyNumberFormat="1" applyFont="1" applyFill="1" applyAlignment="1">
      <alignment horizontal="center"/>
    </xf>
    <xf numFmtId="170" fontId="55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5" fillId="10" borderId="0" xfId="1" applyNumberFormat="1" applyFon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14" fontId="11" fillId="11" borderId="15" xfId="0" applyNumberFormat="1" applyFont="1" applyFill="1" applyBorder="1" applyAlignment="1" applyProtection="1">
      <alignment horizontal="left"/>
    </xf>
    <xf numFmtId="3" fontId="55" fillId="10" borderId="0" xfId="1" applyNumberFormat="1" applyFont="1" applyFill="1" applyAlignment="1">
      <alignment horizontal="center"/>
    </xf>
    <xf numFmtId="3" fontId="55" fillId="10" borderId="0" xfId="0" applyNumberFormat="1" applyFont="1" applyFill="1"/>
    <xf numFmtId="0" fontId="3" fillId="0" borderId="0" xfId="0" applyFont="1" applyProtection="1"/>
    <xf numFmtId="0" fontId="54" fillId="0" borderId="0" xfId="0" applyFont="1" applyProtection="1"/>
    <xf numFmtId="174" fontId="1" fillId="0" borderId="0" xfId="0" applyNumberFormat="1" applyFont="1" applyAlignment="1">
      <alignment horizontal="center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3355198108798047"/>
          <c:y val="4.304930633670791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Averages'!$L$997:$L$1049</c:f>
              <c:numCache>
                <c:formatCode>#,##0_);\(#,##0\)</c:formatCode>
                <c:ptCount val="53"/>
                <c:pt idx="0">
                  <c:v>577.5</c:v>
                </c:pt>
                <c:pt idx="1">
                  <c:v>770.5</c:v>
                </c:pt>
                <c:pt idx="2">
                  <c:v>637.75</c:v>
                </c:pt>
                <c:pt idx="3">
                  <c:v>707.75</c:v>
                </c:pt>
                <c:pt idx="4">
                  <c:v>889.25</c:v>
                </c:pt>
                <c:pt idx="5">
                  <c:v>623.5</c:v>
                </c:pt>
                <c:pt idx="6">
                  <c:v>1012.75</c:v>
                </c:pt>
                <c:pt idx="7">
                  <c:v>699</c:v>
                </c:pt>
                <c:pt idx="8">
                  <c:v>1108.5</c:v>
                </c:pt>
                <c:pt idx="9">
                  <c:v>918.75</c:v>
                </c:pt>
                <c:pt idx="10">
                  <c:v>1154.5</c:v>
                </c:pt>
                <c:pt idx="11">
                  <c:v>896</c:v>
                </c:pt>
                <c:pt idx="12">
                  <c:v>1038</c:v>
                </c:pt>
                <c:pt idx="13">
                  <c:v>951.25</c:v>
                </c:pt>
                <c:pt idx="14">
                  <c:v>1404</c:v>
                </c:pt>
                <c:pt idx="15">
                  <c:v>1026.75</c:v>
                </c:pt>
                <c:pt idx="16">
                  <c:v>1215</c:v>
                </c:pt>
                <c:pt idx="17">
                  <c:v>957.5</c:v>
                </c:pt>
                <c:pt idx="18">
                  <c:v>1098.5</c:v>
                </c:pt>
                <c:pt idx="19">
                  <c:v>1194.75</c:v>
                </c:pt>
                <c:pt idx="20">
                  <c:v>1027.5</c:v>
                </c:pt>
                <c:pt idx="21">
                  <c:v>983</c:v>
                </c:pt>
                <c:pt idx="22">
                  <c:v>1089.75</c:v>
                </c:pt>
                <c:pt idx="23">
                  <c:v>994.75</c:v>
                </c:pt>
                <c:pt idx="24">
                  <c:v>764.75</c:v>
                </c:pt>
                <c:pt idx="25">
                  <c:v>935</c:v>
                </c:pt>
                <c:pt idx="26">
                  <c:v>715</c:v>
                </c:pt>
                <c:pt idx="27">
                  <c:v>821.75</c:v>
                </c:pt>
                <c:pt idx="28">
                  <c:v>875.25</c:v>
                </c:pt>
                <c:pt idx="29">
                  <c:v>859</c:v>
                </c:pt>
                <c:pt idx="30">
                  <c:v>942</c:v>
                </c:pt>
                <c:pt idx="31">
                  <c:v>692.5</c:v>
                </c:pt>
                <c:pt idx="32">
                  <c:v>824</c:v>
                </c:pt>
                <c:pt idx="33">
                  <c:v>695.75</c:v>
                </c:pt>
                <c:pt idx="34">
                  <c:v>668</c:v>
                </c:pt>
                <c:pt idx="35">
                  <c:v>507.75</c:v>
                </c:pt>
                <c:pt idx="36">
                  <c:v>538.25</c:v>
                </c:pt>
                <c:pt idx="37">
                  <c:v>847.25</c:v>
                </c:pt>
                <c:pt idx="38">
                  <c:v>653.25</c:v>
                </c:pt>
                <c:pt idx="39">
                  <c:v>631.25</c:v>
                </c:pt>
                <c:pt idx="40">
                  <c:v>551.5</c:v>
                </c:pt>
                <c:pt idx="41">
                  <c:v>532</c:v>
                </c:pt>
                <c:pt idx="42">
                  <c:v>738.5</c:v>
                </c:pt>
                <c:pt idx="43">
                  <c:v>937.5</c:v>
                </c:pt>
                <c:pt idx="44">
                  <c:v>682.25</c:v>
                </c:pt>
                <c:pt idx="45">
                  <c:v>708.75</c:v>
                </c:pt>
                <c:pt idx="46">
                  <c:v>724</c:v>
                </c:pt>
                <c:pt idx="47">
                  <c:v>884.33333333333337</c:v>
                </c:pt>
                <c:pt idx="48">
                  <c:v>604</c:v>
                </c:pt>
                <c:pt idx="49">
                  <c:v>917</c:v>
                </c:pt>
                <c:pt idx="50">
                  <c:v>715</c:v>
                </c:pt>
                <c:pt idx="51">
                  <c:v>704.33333333333337</c:v>
                </c:pt>
                <c:pt idx="52">
                  <c:v>615.66666666666663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3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78816"/>
        <c:axId val="109785088"/>
      </c:lineChart>
      <c:dateAx>
        <c:axId val="10977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294143026642"/>
              <c:y val="0.772325111146821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850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9785088"/>
        <c:scaling>
          <c:orientation val="minMax"/>
          <c:max val="6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788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2614290080178338E-2"/>
          <c:y val="0.83876178424125558"/>
          <c:w val="0.87865341746665238"/>
          <c:h val="0.1276250066955916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5447171718432184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Data'!$G$1050:$G$1070</c:f>
              <c:numCache>
                <c:formatCode>#,##0_);\(#,##0\)</c:formatCode>
                <c:ptCount val="21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0064"/>
        <c:axId val="119276288"/>
      </c:lineChart>
      <c:dateAx>
        <c:axId val="109800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48283980349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2762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192762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</a:t>
                </a:r>
              </a:p>
            </c:rich>
          </c:tx>
          <c:layout>
            <c:manualLayout>
              <c:xMode val="edge"/>
              <c:yMode val="edge"/>
              <c:x val="1.0162388576229872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80006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6518150167837578"/>
          <c:y val="0.88287889885857285"/>
          <c:w val="0.76819925045027049"/>
          <c:h val="9.415033876579381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581391251"/>
          <c:y val="3.57638813153895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88416"/>
        <c:axId val="130190336"/>
      </c:lineChart>
      <c:dateAx>
        <c:axId val="1301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72268315456"/>
              <c:y val="0.7985607927817887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9033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190336"/>
        <c:scaling>
          <c:orientation val="minMax"/>
          <c:max val="9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884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txPr>
          <a:bodyPr/>
          <a:lstStyle/>
          <a:p>
            <a:pPr>
              <a:defRPr sz="46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0749572830241856"/>
          <c:y val="0.87226281617844859"/>
          <c:w val="0.86876508305589317"/>
          <c:h val="9.58030696301466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55515175987"/>
          <c:y val="3.59486314210723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Data'!$J$998:$J$1048</c:f>
              <c:numCache>
                <c:formatCode>#,##0</c:formatCode>
                <c:ptCount val="51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60352"/>
        <c:axId val="85862272"/>
      </c:lineChart>
      <c:dateAx>
        <c:axId val="8586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3235300716"/>
              <c:y val="0.813623056733292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8622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5862272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8603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459900845727617E-2"/>
          <c:y val="0.90497750281214839"/>
          <c:w val="0.91643986809341149"/>
          <c:h val="9.502249718785149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53184"/>
        <c:axId val="130255104"/>
      </c:lineChart>
      <c:dateAx>
        <c:axId val="13025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255104"/>
        <c:crosses val="autoZero"/>
        <c:auto val="1"/>
        <c:lblOffset val="100"/>
        <c:baseTimeUnit val="days"/>
        <c:minorUnit val="7"/>
        <c:minorTimeUnit val="days"/>
      </c:dateAx>
      <c:valAx>
        <c:axId val="130255104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25318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166696687423878"/>
          <c:y val="0.87429049817048732"/>
          <c:w val="0.71265010378604632"/>
          <c:h val="0.109488900094384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1259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68640"/>
        <c:axId val="130370560"/>
      </c:lineChart>
      <c:dateAx>
        <c:axId val="13036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793326237928392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37056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370560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3686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140720414998631"/>
          <c:y val="0.86209609564354683"/>
          <c:w val="0.7864765326051415"/>
          <c:h val="0.1103231862763566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5810902549866607"/>
          <c:y val="3.62305902238410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Averages'!$L$998:$L$1049</c:f>
              <c:numCache>
                <c:formatCode>#,##0_);\(#,##0\)</c:formatCode>
                <c:ptCount val="52"/>
                <c:pt idx="0">
                  <c:v>770.5</c:v>
                </c:pt>
                <c:pt idx="1">
                  <c:v>637.75</c:v>
                </c:pt>
                <c:pt idx="2">
                  <c:v>707.75</c:v>
                </c:pt>
                <c:pt idx="3">
                  <c:v>889.25</c:v>
                </c:pt>
                <c:pt idx="4">
                  <c:v>623.5</c:v>
                </c:pt>
                <c:pt idx="5">
                  <c:v>1012.75</c:v>
                </c:pt>
                <c:pt idx="6">
                  <c:v>699</c:v>
                </c:pt>
                <c:pt idx="7">
                  <c:v>1108.5</c:v>
                </c:pt>
                <c:pt idx="8">
                  <c:v>918.75</c:v>
                </c:pt>
                <c:pt idx="9">
                  <c:v>1154.5</c:v>
                </c:pt>
                <c:pt idx="10">
                  <c:v>896</c:v>
                </c:pt>
                <c:pt idx="11">
                  <c:v>1038</c:v>
                </c:pt>
                <c:pt idx="12">
                  <c:v>951.25</c:v>
                </c:pt>
                <c:pt idx="13">
                  <c:v>1404</c:v>
                </c:pt>
                <c:pt idx="14">
                  <c:v>1026.75</c:v>
                </c:pt>
                <c:pt idx="15">
                  <c:v>1215</c:v>
                </c:pt>
                <c:pt idx="16">
                  <c:v>957.5</c:v>
                </c:pt>
                <c:pt idx="17">
                  <c:v>1098.5</c:v>
                </c:pt>
                <c:pt idx="18">
                  <c:v>1194.75</c:v>
                </c:pt>
                <c:pt idx="19">
                  <c:v>1027.5</c:v>
                </c:pt>
                <c:pt idx="20">
                  <c:v>983</c:v>
                </c:pt>
                <c:pt idx="21">
                  <c:v>1089.75</c:v>
                </c:pt>
                <c:pt idx="22">
                  <c:v>994.75</c:v>
                </c:pt>
                <c:pt idx="23">
                  <c:v>764.75</c:v>
                </c:pt>
                <c:pt idx="24">
                  <c:v>935</c:v>
                </c:pt>
                <c:pt idx="25">
                  <c:v>715</c:v>
                </c:pt>
                <c:pt idx="26">
                  <c:v>821.75</c:v>
                </c:pt>
                <c:pt idx="27">
                  <c:v>875.25</c:v>
                </c:pt>
                <c:pt idx="28">
                  <c:v>859</c:v>
                </c:pt>
                <c:pt idx="29">
                  <c:v>942</c:v>
                </c:pt>
                <c:pt idx="30">
                  <c:v>692.5</c:v>
                </c:pt>
                <c:pt idx="31">
                  <c:v>824</c:v>
                </c:pt>
                <c:pt idx="32">
                  <c:v>695.75</c:v>
                </c:pt>
                <c:pt idx="33">
                  <c:v>668</c:v>
                </c:pt>
                <c:pt idx="34">
                  <c:v>507.75</c:v>
                </c:pt>
                <c:pt idx="35">
                  <c:v>538.25</c:v>
                </c:pt>
                <c:pt idx="36">
                  <c:v>847.25</c:v>
                </c:pt>
                <c:pt idx="37">
                  <c:v>653.25</c:v>
                </c:pt>
                <c:pt idx="38">
                  <c:v>631.25</c:v>
                </c:pt>
                <c:pt idx="39">
                  <c:v>551.5</c:v>
                </c:pt>
                <c:pt idx="40">
                  <c:v>532</c:v>
                </c:pt>
                <c:pt idx="41">
                  <c:v>738.5</c:v>
                </c:pt>
                <c:pt idx="42">
                  <c:v>937.5</c:v>
                </c:pt>
                <c:pt idx="43">
                  <c:v>682.25</c:v>
                </c:pt>
                <c:pt idx="44">
                  <c:v>708.75</c:v>
                </c:pt>
                <c:pt idx="45">
                  <c:v>724</c:v>
                </c:pt>
                <c:pt idx="46">
                  <c:v>884.33333333333337</c:v>
                </c:pt>
                <c:pt idx="47">
                  <c:v>604</c:v>
                </c:pt>
                <c:pt idx="48">
                  <c:v>917</c:v>
                </c:pt>
                <c:pt idx="49">
                  <c:v>715</c:v>
                </c:pt>
                <c:pt idx="50">
                  <c:v>704.33333333333337</c:v>
                </c:pt>
                <c:pt idx="51">
                  <c:v>615.66666666666663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91616"/>
        <c:axId val="119533568"/>
      </c:lineChart>
      <c:dateAx>
        <c:axId val="7619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7393099755"/>
              <c:y val="0.851156700650513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53356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19533568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619161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4619141511759137"/>
          <c:y val="0.91490587486088037"/>
          <c:w val="0.81822136318627392"/>
          <c:h val="4.753780777402827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7678846716"/>
          <c:y val="3.584512358118823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7.5701087624012342E-2"/>
          <c:w val="0.80566801619433315"/>
          <c:h val="0.5703844211847869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rgbClr val="0000CC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Averages'!$O$998:$O$1049</c:f>
              <c:numCache>
                <c:formatCode>#,##0_);\(#,##0\)</c:formatCode>
                <c:ptCount val="52"/>
                <c:pt idx="0">
                  <c:v>5614.75</c:v>
                </c:pt>
                <c:pt idx="1">
                  <c:v>6094.25</c:v>
                </c:pt>
                <c:pt idx="2">
                  <c:v>6631</c:v>
                </c:pt>
                <c:pt idx="3">
                  <c:v>6577.25</c:v>
                </c:pt>
                <c:pt idx="4">
                  <c:v>7193.25</c:v>
                </c:pt>
                <c:pt idx="5">
                  <c:v>7190.5</c:v>
                </c:pt>
                <c:pt idx="6">
                  <c:v>6981.5</c:v>
                </c:pt>
                <c:pt idx="7">
                  <c:v>6768</c:v>
                </c:pt>
                <c:pt idx="8">
                  <c:v>6658</c:v>
                </c:pt>
                <c:pt idx="9">
                  <c:v>7310.75</c:v>
                </c:pt>
                <c:pt idx="10">
                  <c:v>6203</c:v>
                </c:pt>
                <c:pt idx="11">
                  <c:v>6990.75</c:v>
                </c:pt>
                <c:pt idx="12">
                  <c:v>6664.75</c:v>
                </c:pt>
                <c:pt idx="13">
                  <c:v>6437.25</c:v>
                </c:pt>
                <c:pt idx="14">
                  <c:v>5690.25</c:v>
                </c:pt>
                <c:pt idx="15">
                  <c:v>5417</c:v>
                </c:pt>
                <c:pt idx="16">
                  <c:v>5199.5</c:v>
                </c:pt>
                <c:pt idx="17">
                  <c:v>5405.75</c:v>
                </c:pt>
                <c:pt idx="18">
                  <c:v>4791.75</c:v>
                </c:pt>
                <c:pt idx="19">
                  <c:v>4590.5</c:v>
                </c:pt>
                <c:pt idx="20">
                  <c:v>5110.25</c:v>
                </c:pt>
                <c:pt idx="21">
                  <c:v>5046.5</c:v>
                </c:pt>
                <c:pt idx="22">
                  <c:v>4283.5</c:v>
                </c:pt>
                <c:pt idx="23">
                  <c:v>4121</c:v>
                </c:pt>
                <c:pt idx="24">
                  <c:v>4368.75</c:v>
                </c:pt>
                <c:pt idx="25">
                  <c:v>4422.5</c:v>
                </c:pt>
                <c:pt idx="26">
                  <c:v>4028.25</c:v>
                </c:pt>
                <c:pt idx="27">
                  <c:v>4952.25</c:v>
                </c:pt>
                <c:pt idx="28">
                  <c:v>4677.75</c:v>
                </c:pt>
                <c:pt idx="29">
                  <c:v>5138.5</c:v>
                </c:pt>
                <c:pt idx="30">
                  <c:v>4355.25</c:v>
                </c:pt>
                <c:pt idx="31">
                  <c:v>4873.25</c:v>
                </c:pt>
                <c:pt idx="32">
                  <c:v>4567</c:v>
                </c:pt>
                <c:pt idx="33">
                  <c:v>5041.25</c:v>
                </c:pt>
                <c:pt idx="34">
                  <c:v>4502.5</c:v>
                </c:pt>
                <c:pt idx="35">
                  <c:v>4622.75</c:v>
                </c:pt>
                <c:pt idx="36">
                  <c:v>4503.5</c:v>
                </c:pt>
                <c:pt idx="37">
                  <c:v>4603</c:v>
                </c:pt>
                <c:pt idx="38">
                  <c:v>5038.5</c:v>
                </c:pt>
                <c:pt idx="39">
                  <c:v>6047.75</c:v>
                </c:pt>
                <c:pt idx="40">
                  <c:v>8152.25</c:v>
                </c:pt>
                <c:pt idx="41">
                  <c:v>7988.5</c:v>
                </c:pt>
                <c:pt idx="42">
                  <c:v>7476.25</c:v>
                </c:pt>
                <c:pt idx="43">
                  <c:v>8040</c:v>
                </c:pt>
                <c:pt idx="44">
                  <c:v>7949.75</c:v>
                </c:pt>
                <c:pt idx="45">
                  <c:v>7776</c:v>
                </c:pt>
                <c:pt idx="46">
                  <c:v>7613.75</c:v>
                </c:pt>
                <c:pt idx="47">
                  <c:v>7327.25</c:v>
                </c:pt>
                <c:pt idx="48">
                  <c:v>7266.5</c:v>
                </c:pt>
                <c:pt idx="49">
                  <c:v>7102</c:v>
                </c:pt>
                <c:pt idx="50">
                  <c:v>7342</c:v>
                </c:pt>
                <c:pt idx="51">
                  <c:v>5529.75</c:v>
                </c:pt>
              </c:numCache>
            </c:numRef>
          </c:val>
          <c:smooth val="0"/>
        </c:ser>
        <c:ser>
          <c:idx val="4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Data'!$I$1050:$I$1070</c:f>
              <c:numCache>
                <c:formatCode>#,##0</c:formatCode>
                <c:ptCount val="21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88960"/>
        <c:axId val="130491136"/>
      </c:lineChart>
      <c:dateAx>
        <c:axId val="13048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28652595629"/>
              <c:y val="0.7932977375189579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49113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49113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4889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076914678510443"/>
          <c:y val="0.86617462724811112"/>
          <c:w val="0.69007275712832061"/>
          <c:h val="0.107829001585883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6637348958525269"/>
          <c:y val="4.521030183727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Data'!$H$1050:$H$1070</c:f>
              <c:numCache>
                <c:formatCode>#,##0_);\(#,##0\)</c:formatCode>
                <c:ptCount val="21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14752"/>
        <c:axId val="102761984"/>
      </c:lineChart>
      <c:dateAx>
        <c:axId val="10271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62328382895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276198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2761984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2714752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832520544916284"/>
          <c:y val="0.88888877952755907"/>
          <c:w val="0.67821174264293393"/>
          <c:h val="0.1111112204724409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3030351071887822"/>
          <c:y val="1.785709163403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2"/>
          <c:order val="0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5468</c:v>
                </c:pt>
                <c:pt idx="36">
                  <c:v>5850</c:v>
                </c:pt>
                <c:pt idx="37">
                  <c:v>5359</c:v>
                </c:pt>
                <c:pt idx="38">
                  <c:v>4218</c:v>
                </c:pt>
                <c:pt idx="39">
                  <c:v>4823</c:v>
                </c:pt>
                <c:pt idx="40">
                  <c:v>7817</c:v>
                </c:pt>
                <c:pt idx="41">
                  <c:v>11157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39904"/>
        <c:axId val="130541824"/>
      </c:lineChart>
      <c:dateAx>
        <c:axId val="130539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4742905459"/>
              <c:y val="0.8103581314630754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54182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0541824"/>
        <c:scaling>
          <c:orientation val="minMax"/>
          <c:max val="13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5399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517003117898852"/>
          <c:y val="0.87748411571504392"/>
          <c:w val="0.68884294245098554"/>
          <c:h val="0.122515884284956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41245256431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8284692435424"/>
          <c:y val="0.137820857835808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  <c:pt idx="37">
                  <c:v>237</c:v>
                </c:pt>
                <c:pt idx="38">
                  <c:v>71</c:v>
                </c:pt>
                <c:pt idx="39">
                  <c:v>170</c:v>
                </c:pt>
                <c:pt idx="40">
                  <c:v>408</c:v>
                </c:pt>
                <c:pt idx="41">
                  <c:v>1085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67488"/>
        <c:axId val="119569408"/>
      </c:lineChart>
      <c:dateAx>
        <c:axId val="119567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97587114802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5694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19569408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5674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382114323621635"/>
          <c:y val="0.87280907194293023"/>
          <c:w val="0.73697120277547734"/>
          <c:h val="0.1018746214415505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8767209039244884"/>
          <c:y val="2.6663181329976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88104915334"/>
          <c:y val="0.15921877963292055"/>
          <c:w val="0.81506529606406164"/>
          <c:h val="0.46868305154986761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3509</c:v>
                </c:pt>
                <c:pt idx="37">
                  <c:v>3552</c:v>
                </c:pt>
                <c:pt idx="38">
                  <c:v>2995</c:v>
                </c:pt>
                <c:pt idx="39">
                  <c:v>2699</c:v>
                </c:pt>
                <c:pt idx="40">
                  <c:v>4648</c:v>
                </c:pt>
                <c:pt idx="41">
                  <c:v>6948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59424"/>
        <c:axId val="151977984"/>
      </c:lineChart>
      <c:dateAx>
        <c:axId val="151959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9593332358"/>
              <c:y val="0.7992858616250204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97798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1977984"/>
        <c:scaling>
          <c:orientation val="minMax"/>
          <c:max val="10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9594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381829400796791"/>
          <c:y val="0.87909224761538951"/>
          <c:w val="0.81962065218849356"/>
          <c:h val="8.522501760450673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2170408597573952"/>
          <c:y val="1.79854134612483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50136195168420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97984"/>
        <c:axId val="102700160"/>
      </c:lineChart>
      <c:dateAx>
        <c:axId val="10269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59324679016"/>
              <c:y val="0.798560955742601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270016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2700160"/>
        <c:scaling>
          <c:orientation val="minMax"/>
          <c:max val="5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26979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0524890047527845E-2"/>
          <c:y val="0.87790901137357824"/>
          <c:w val="0.84928353550400804"/>
          <c:h val="9.846177632968289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0"/>
          <c:order val="0"/>
          <c:tx>
            <c:v>4-yr avg (4-week avg)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36480"/>
        <c:axId val="152038400"/>
      </c:lineChart>
      <c:catAx>
        <c:axId val="15203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203840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2038400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203648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894365532739781"/>
          <c:y val="0.89051109990561517"/>
          <c:w val="0.72757406549671488"/>
          <c:h val="8.515799749169283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0"/>
          <c:order val="1"/>
          <c:tx>
            <c:v>4-yr avg (4-week)</c:v>
          </c:tx>
          <c:spPr>
            <a:ln w="317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1259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13824"/>
        <c:axId val="155624192"/>
      </c:lineChart>
      <c:dateAx>
        <c:axId val="155613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793326237928392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6241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624192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61382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140720414998631"/>
          <c:y val="0.87785637142247164"/>
          <c:w val="0.73699550182489826"/>
          <c:h val="9.850274397518488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9877054841828981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2"/>
          <c:order val="0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Averages'!$H$998:$H$1049</c:f>
              <c:numCache>
                <c:formatCode>#,##0_);\(#,##0\)</c:formatCode>
                <c:ptCount val="52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  <c:pt idx="24">
                  <c:v>1073</c:v>
                </c:pt>
                <c:pt idx="25">
                  <c:v>1070.75</c:v>
                </c:pt>
                <c:pt idx="26">
                  <c:v>1087.25</c:v>
                </c:pt>
                <c:pt idx="27">
                  <c:v>1139</c:v>
                </c:pt>
                <c:pt idx="28">
                  <c:v>1357.75</c:v>
                </c:pt>
                <c:pt idx="29">
                  <c:v>1374.5</c:v>
                </c:pt>
                <c:pt idx="30">
                  <c:v>1265.5</c:v>
                </c:pt>
                <c:pt idx="31">
                  <c:v>1375.25</c:v>
                </c:pt>
                <c:pt idx="32">
                  <c:v>1218.5</c:v>
                </c:pt>
                <c:pt idx="33">
                  <c:v>1237.5</c:v>
                </c:pt>
                <c:pt idx="34">
                  <c:v>1239.75</c:v>
                </c:pt>
                <c:pt idx="35">
                  <c:v>1193.5</c:v>
                </c:pt>
                <c:pt idx="36">
                  <c:v>1170.5</c:v>
                </c:pt>
                <c:pt idx="37">
                  <c:v>1233.25</c:v>
                </c:pt>
                <c:pt idx="38">
                  <c:v>1410.5</c:v>
                </c:pt>
                <c:pt idx="39">
                  <c:v>1435.75</c:v>
                </c:pt>
                <c:pt idx="40">
                  <c:v>1629.75</c:v>
                </c:pt>
                <c:pt idx="41">
                  <c:v>1742.25</c:v>
                </c:pt>
                <c:pt idx="42">
                  <c:v>1753.25</c:v>
                </c:pt>
                <c:pt idx="43">
                  <c:v>1952.25</c:v>
                </c:pt>
                <c:pt idx="44">
                  <c:v>1838.75</c:v>
                </c:pt>
                <c:pt idx="45">
                  <c:v>1865</c:v>
                </c:pt>
                <c:pt idx="46">
                  <c:v>2001.5</c:v>
                </c:pt>
                <c:pt idx="47">
                  <c:v>1800</c:v>
                </c:pt>
                <c:pt idx="48">
                  <c:v>1936</c:v>
                </c:pt>
                <c:pt idx="49">
                  <c:v>1747</c:v>
                </c:pt>
                <c:pt idx="50">
                  <c:v>1605.25</c:v>
                </c:pt>
                <c:pt idx="51">
                  <c:v>1699.5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val>
            <c:numRef>
              <c:f>'Weekly Averages'!$H$1050:$H$1086</c:f>
              <c:numCache>
                <c:formatCode>#,##0_);\(#,##0\)</c:formatCode>
                <c:ptCount val="37"/>
                <c:pt idx="0">
                  <c:v>1717.25</c:v>
                </c:pt>
                <c:pt idx="1">
                  <c:v>1734.5</c:v>
                </c:pt>
                <c:pt idx="2">
                  <c:v>1691.75</c:v>
                </c:pt>
                <c:pt idx="3">
                  <c:v>1623.75</c:v>
                </c:pt>
                <c:pt idx="4">
                  <c:v>1620.5</c:v>
                </c:pt>
                <c:pt idx="5">
                  <c:v>1694.75</c:v>
                </c:pt>
                <c:pt idx="6">
                  <c:v>1840</c:v>
                </c:pt>
                <c:pt idx="7">
                  <c:v>1782.5</c:v>
                </c:pt>
                <c:pt idx="8">
                  <c:v>1656.25</c:v>
                </c:pt>
                <c:pt idx="9">
                  <c:v>1643.5</c:v>
                </c:pt>
                <c:pt idx="10">
                  <c:v>1493.75</c:v>
                </c:pt>
                <c:pt idx="11">
                  <c:v>1692</c:v>
                </c:pt>
                <c:pt idx="12">
                  <c:v>1812</c:v>
                </c:pt>
                <c:pt idx="13">
                  <c:v>1836.5</c:v>
                </c:pt>
                <c:pt idx="14">
                  <c:v>1876.5</c:v>
                </c:pt>
                <c:pt idx="15">
                  <c:v>1877</c:v>
                </c:pt>
                <c:pt idx="16">
                  <c:v>1878</c:v>
                </c:pt>
                <c:pt idx="17">
                  <c:v>2007</c:v>
                </c:pt>
                <c:pt idx="18">
                  <c:v>2071</c:v>
                </c:pt>
                <c:pt idx="19">
                  <c:v>2325.75</c:v>
                </c:pt>
                <c:pt idx="20">
                  <c:v>2355.75</c:v>
                </c:pt>
                <c:pt idx="21">
                  <c:v>2236.75</c:v>
                </c:pt>
                <c:pt idx="22">
                  <c:v>2161.25</c:v>
                </c:pt>
                <c:pt idx="23">
                  <c:v>2115.5</c:v>
                </c:pt>
                <c:pt idx="24">
                  <c:v>2053.25</c:v>
                </c:pt>
                <c:pt idx="25">
                  <c:v>2175.75</c:v>
                </c:pt>
                <c:pt idx="26">
                  <c:v>2186.25</c:v>
                </c:pt>
                <c:pt idx="27">
                  <c:v>1853.5</c:v>
                </c:pt>
                <c:pt idx="28">
                  <c:v>1962.75</c:v>
                </c:pt>
                <c:pt idx="29">
                  <c:v>1877.75</c:v>
                </c:pt>
                <c:pt idx="30">
                  <c:v>1871</c:v>
                </c:pt>
                <c:pt idx="31">
                  <c:v>1760.25</c:v>
                </c:pt>
                <c:pt idx="32">
                  <c:v>1640.75</c:v>
                </c:pt>
                <c:pt idx="33">
                  <c:v>1705.5</c:v>
                </c:pt>
                <c:pt idx="34">
                  <c:v>1730.25</c:v>
                </c:pt>
                <c:pt idx="35">
                  <c:v>1954.25</c:v>
                </c:pt>
                <c:pt idx="36">
                  <c:v>2039.75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08704"/>
        <c:axId val="129619072"/>
      </c:lineChart>
      <c:dateAx>
        <c:axId val="12960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9289645247"/>
              <c:y val="0.8082619951797578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61907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9619072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801193356774E-2"/>
              <c:y val="0.153846538937401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6087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69529742568257"/>
          <c:y val="0.88758537335421639"/>
          <c:w val="0.74702997651609349"/>
          <c:h val="0.1034456864554056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the Pacific Northwest</a:t>
            </a:r>
          </a:p>
        </c:rich>
      </c:tx>
      <c:layout>
        <c:manualLayout>
          <c:xMode val="edge"/>
          <c:yMode val="edge"/>
          <c:x val="0.23975422368320462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5064.75</c:v>
                </c:pt>
                <c:pt idx="61">
                  <c:v>4982.75</c:v>
                </c:pt>
                <c:pt idx="62">
                  <c:v>5114</c:v>
                </c:pt>
                <c:pt idx="63">
                  <c:v>4760.5</c:v>
                </c:pt>
                <c:pt idx="64">
                  <c:v>4800</c:v>
                </c:pt>
                <c:pt idx="65">
                  <c:v>5024.75</c:v>
                </c:pt>
                <c:pt idx="66">
                  <c:v>5187</c:v>
                </c:pt>
                <c:pt idx="67">
                  <c:v>5325.5</c:v>
                </c:pt>
                <c:pt idx="68">
                  <c:v>5221.75</c:v>
                </c:pt>
                <c:pt idx="69">
                  <c:v>5219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Averages'!$E$1050:$E$1084</c:f>
              <c:numCache>
                <c:formatCode>#,##0_);\(#,##0\)</c:formatCode>
                <c:ptCount val="35"/>
                <c:pt idx="0">
                  <c:v>5039</c:v>
                </c:pt>
                <c:pt idx="1">
                  <c:v>4868</c:v>
                </c:pt>
                <c:pt idx="2">
                  <c:v>5036.5</c:v>
                </c:pt>
                <c:pt idx="3">
                  <c:v>5374.75</c:v>
                </c:pt>
                <c:pt idx="4">
                  <c:v>5914.25</c:v>
                </c:pt>
                <c:pt idx="5">
                  <c:v>5967</c:v>
                </c:pt>
                <c:pt idx="6">
                  <c:v>5578.5</c:v>
                </c:pt>
                <c:pt idx="7">
                  <c:v>5448.5</c:v>
                </c:pt>
                <c:pt idx="8">
                  <c:v>5064.75</c:v>
                </c:pt>
                <c:pt idx="9">
                  <c:v>4982.75</c:v>
                </c:pt>
                <c:pt idx="10">
                  <c:v>5114</c:v>
                </c:pt>
                <c:pt idx="11">
                  <c:v>4760.5</c:v>
                </c:pt>
                <c:pt idx="12">
                  <c:v>4800</c:v>
                </c:pt>
                <c:pt idx="13">
                  <c:v>5024.75</c:v>
                </c:pt>
                <c:pt idx="14">
                  <c:v>5187</c:v>
                </c:pt>
                <c:pt idx="15">
                  <c:v>5325.5</c:v>
                </c:pt>
                <c:pt idx="16">
                  <c:v>5221.75</c:v>
                </c:pt>
                <c:pt idx="17">
                  <c:v>5219</c:v>
                </c:pt>
                <c:pt idx="18">
                  <c:v>4797</c:v>
                </c:pt>
                <c:pt idx="19">
                  <c:v>4448.75</c:v>
                </c:pt>
                <c:pt idx="20">
                  <c:v>3968.5</c:v>
                </c:pt>
                <c:pt idx="21">
                  <c:v>3751.25</c:v>
                </c:pt>
                <c:pt idx="22">
                  <c:v>3591.25</c:v>
                </c:pt>
                <c:pt idx="23">
                  <c:v>3565.5</c:v>
                </c:pt>
                <c:pt idx="24">
                  <c:v>3693.75</c:v>
                </c:pt>
                <c:pt idx="25">
                  <c:v>3554</c:v>
                </c:pt>
                <c:pt idx="26">
                  <c:v>3371.5</c:v>
                </c:pt>
                <c:pt idx="27">
                  <c:v>3401</c:v>
                </c:pt>
                <c:pt idx="28">
                  <c:v>3198.5</c:v>
                </c:pt>
                <c:pt idx="29">
                  <c:v>3168</c:v>
                </c:pt>
                <c:pt idx="30">
                  <c:v>3312.5</c:v>
                </c:pt>
                <c:pt idx="31">
                  <c:v>3310</c:v>
                </c:pt>
                <c:pt idx="32">
                  <c:v>3516.75</c:v>
                </c:pt>
                <c:pt idx="33">
                  <c:v>3799.5</c:v>
                </c:pt>
                <c:pt idx="34">
                  <c:v>4027.75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59648"/>
        <c:axId val="129661568"/>
      </c:lineChart>
      <c:dateAx>
        <c:axId val="12965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82469909708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66156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9661568"/>
        <c:scaling>
          <c:orientation val="minMax"/>
          <c:max val="1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4.8522454110711882E-3"/>
              <c:y val="0.27076582093904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6596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47233052179159"/>
          <c:y val="0.90376232137649459"/>
          <c:w val="0.75693202184678388"/>
          <c:h val="8.89276757072032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06922016103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Averages'!$F$1050:$F$1086</c:f>
              <c:numCache>
                <c:formatCode>#,##0_);\(#,##0\)</c:formatCode>
                <c:ptCount val="37"/>
                <c:pt idx="0">
                  <c:v>948.5</c:v>
                </c:pt>
                <c:pt idx="1">
                  <c:v>770</c:v>
                </c:pt>
                <c:pt idx="2">
                  <c:v>644</c:v>
                </c:pt>
                <c:pt idx="3">
                  <c:v>722</c:v>
                </c:pt>
                <c:pt idx="4">
                  <c:v>744.5</c:v>
                </c:pt>
                <c:pt idx="5">
                  <c:v>816</c:v>
                </c:pt>
                <c:pt idx="6">
                  <c:v>952</c:v>
                </c:pt>
                <c:pt idx="7">
                  <c:v>934</c:v>
                </c:pt>
                <c:pt idx="8">
                  <c:v>1055.75</c:v>
                </c:pt>
                <c:pt idx="9">
                  <c:v>998.25</c:v>
                </c:pt>
                <c:pt idx="10">
                  <c:v>940</c:v>
                </c:pt>
                <c:pt idx="11">
                  <c:v>912.5</c:v>
                </c:pt>
                <c:pt idx="12">
                  <c:v>823.25</c:v>
                </c:pt>
                <c:pt idx="13">
                  <c:v>788</c:v>
                </c:pt>
                <c:pt idx="14">
                  <c:v>744.5</c:v>
                </c:pt>
                <c:pt idx="15">
                  <c:v>746.5</c:v>
                </c:pt>
                <c:pt idx="16">
                  <c:v>620</c:v>
                </c:pt>
                <c:pt idx="17">
                  <c:v>598</c:v>
                </c:pt>
                <c:pt idx="18">
                  <c:v>514.25</c:v>
                </c:pt>
                <c:pt idx="19">
                  <c:v>357.25</c:v>
                </c:pt>
                <c:pt idx="20">
                  <c:v>296.75</c:v>
                </c:pt>
                <c:pt idx="21">
                  <c:v>244.5</c:v>
                </c:pt>
                <c:pt idx="22">
                  <c:v>275.25</c:v>
                </c:pt>
                <c:pt idx="23">
                  <c:v>259.5</c:v>
                </c:pt>
                <c:pt idx="24">
                  <c:v>202.25</c:v>
                </c:pt>
                <c:pt idx="25">
                  <c:v>121.75</c:v>
                </c:pt>
                <c:pt idx="26">
                  <c:v>109</c:v>
                </c:pt>
                <c:pt idx="27">
                  <c:v>116.5</c:v>
                </c:pt>
                <c:pt idx="28">
                  <c:v>141.5</c:v>
                </c:pt>
                <c:pt idx="29">
                  <c:v>194.25</c:v>
                </c:pt>
                <c:pt idx="30">
                  <c:v>197.5</c:v>
                </c:pt>
                <c:pt idx="31">
                  <c:v>191.5</c:v>
                </c:pt>
                <c:pt idx="32">
                  <c:v>263.5</c:v>
                </c:pt>
                <c:pt idx="33">
                  <c:v>249</c:v>
                </c:pt>
                <c:pt idx="34">
                  <c:v>273</c:v>
                </c:pt>
                <c:pt idx="35">
                  <c:v>304.5</c:v>
                </c:pt>
                <c:pt idx="36">
                  <c:v>330.75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13216"/>
        <c:axId val="129915136"/>
      </c:lineChart>
      <c:dateAx>
        <c:axId val="12991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7208705903287512"/>
              <c:y val="0.76834695731153502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91513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99151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5030917745451E-2"/>
              <c:y val="0.1355317642515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9132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48342897815739"/>
          <c:y val="0.8520178506297067"/>
          <c:w val="0.72505760932425833"/>
          <c:h val="0.1210764015533480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rail grain deliveries to U.S. ports</a:t>
            </a:r>
          </a:p>
        </c:rich>
      </c:tx>
      <c:layout>
        <c:manualLayout>
          <c:xMode val="edge"/>
          <c:yMode val="edge"/>
          <c:x val="0.23926430182849215"/>
          <c:y val="1.82481013011671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1452138267992575"/>
          <c:w val="0.81595254975185538"/>
          <c:h val="0.55767526758541686"/>
        </c:manualLayout>
      </c:layout>
      <c:lineChart>
        <c:grouping val="standard"/>
        <c:varyColors val="0"/>
        <c:ser>
          <c:idx val="1"/>
          <c:order val="0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Averages'!$X$998:$X$1049</c:f>
              <c:numCache>
                <c:formatCode>_(* #,##0_);_(* \(#,##0\);_(* "-"??_);_(@_)</c:formatCode>
                <c:ptCount val="52"/>
                <c:pt idx="0">
                  <c:v>6207.25</c:v>
                </c:pt>
                <c:pt idx="1">
                  <c:v>5815.1875</c:v>
                </c:pt>
                <c:pt idx="2">
                  <c:v>5717.75</c:v>
                </c:pt>
                <c:pt idx="3">
                  <c:v>6146.8125</c:v>
                </c:pt>
                <c:pt idx="4">
                  <c:v>6372.6875</c:v>
                </c:pt>
                <c:pt idx="5">
                  <c:v>6752.6875</c:v>
                </c:pt>
                <c:pt idx="6">
                  <c:v>6940.1875</c:v>
                </c:pt>
                <c:pt idx="7">
                  <c:v>7011.5625</c:v>
                </c:pt>
                <c:pt idx="8">
                  <c:v>6965.8125</c:v>
                </c:pt>
                <c:pt idx="9">
                  <c:v>6993</c:v>
                </c:pt>
                <c:pt idx="10">
                  <c:v>6836.6875</c:v>
                </c:pt>
                <c:pt idx="11">
                  <c:v>6820.0625</c:v>
                </c:pt>
                <c:pt idx="12">
                  <c:v>6853.5</c:v>
                </c:pt>
                <c:pt idx="13">
                  <c:v>6648</c:v>
                </c:pt>
                <c:pt idx="14">
                  <c:v>6412.375</c:v>
                </c:pt>
                <c:pt idx="15">
                  <c:v>6137.25</c:v>
                </c:pt>
                <c:pt idx="16">
                  <c:v>5739.25</c:v>
                </c:pt>
                <c:pt idx="17">
                  <c:v>5447.25</c:v>
                </c:pt>
                <c:pt idx="18">
                  <c:v>5350.4375</c:v>
                </c:pt>
                <c:pt idx="19">
                  <c:v>5080.3125</c:v>
                </c:pt>
                <c:pt idx="20">
                  <c:v>5056.1875</c:v>
                </c:pt>
                <c:pt idx="21">
                  <c:v>4938.25</c:v>
                </c:pt>
                <c:pt idx="22">
                  <c:v>4812</c:v>
                </c:pt>
                <c:pt idx="23">
                  <c:v>4633.0625</c:v>
                </c:pt>
                <c:pt idx="24">
                  <c:v>4425.9375</c:v>
                </c:pt>
                <c:pt idx="25">
                  <c:v>4310.75</c:v>
                </c:pt>
                <c:pt idx="26">
                  <c:v>4117.9375</c:v>
                </c:pt>
                <c:pt idx="27">
                  <c:v>4323.8125</c:v>
                </c:pt>
                <c:pt idx="28">
                  <c:v>4469.5625</c:v>
                </c:pt>
                <c:pt idx="29">
                  <c:v>4643.1875</c:v>
                </c:pt>
                <c:pt idx="30">
                  <c:v>4795.875</c:v>
                </c:pt>
                <c:pt idx="31">
                  <c:v>4729.5</c:v>
                </c:pt>
                <c:pt idx="32">
                  <c:v>4776.5625</c:v>
                </c:pt>
                <c:pt idx="33">
                  <c:v>4738.875</c:v>
                </c:pt>
                <c:pt idx="34">
                  <c:v>4688.0625</c:v>
                </c:pt>
                <c:pt idx="35">
                  <c:v>4719.75</c:v>
                </c:pt>
                <c:pt idx="36">
                  <c:v>4605.0625</c:v>
                </c:pt>
                <c:pt idx="37">
                  <c:v>4522</c:v>
                </c:pt>
                <c:pt idx="38">
                  <c:v>4744.625</c:v>
                </c:pt>
                <c:pt idx="39">
                  <c:v>4922.5625</c:v>
                </c:pt>
                <c:pt idx="40">
                  <c:v>5732.625</c:v>
                </c:pt>
                <c:pt idx="41">
                  <c:v>6551.75</c:v>
                </c:pt>
                <c:pt idx="42">
                  <c:v>7133.625</c:v>
                </c:pt>
                <c:pt idx="43">
                  <c:v>7704.1875</c:v>
                </c:pt>
                <c:pt idx="44">
                  <c:v>7798.3125</c:v>
                </c:pt>
                <c:pt idx="45">
                  <c:v>7769.5</c:v>
                </c:pt>
                <c:pt idx="46">
                  <c:v>7761.625</c:v>
                </c:pt>
                <c:pt idx="47">
                  <c:v>7768.6875</c:v>
                </c:pt>
                <c:pt idx="48">
                  <c:v>7615.5625</c:v>
                </c:pt>
                <c:pt idx="49">
                  <c:v>7472.0625</c:v>
                </c:pt>
                <c:pt idx="50">
                  <c:v>7406.875</c:v>
                </c:pt>
                <c:pt idx="51">
                  <c:v>7071.25</c:v>
                </c:pt>
              </c:numCache>
            </c:numRef>
          </c:val>
          <c:smooth val="0"/>
        </c:ser>
        <c:ser>
          <c:idx val="2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Averages'!$G$946:$G$997</c:f>
              <c:numCache>
                <c:formatCode>#,##0_);\(#,##0\)</c:formatCode>
                <c:ptCount val="52"/>
                <c:pt idx="0">
                  <c:v>6374.75</c:v>
                </c:pt>
                <c:pt idx="1">
                  <c:v>5945.5</c:v>
                </c:pt>
                <c:pt idx="2">
                  <c:v>5581.25</c:v>
                </c:pt>
                <c:pt idx="3">
                  <c:v>5477</c:v>
                </c:pt>
                <c:pt idx="4">
                  <c:v>5460.5</c:v>
                </c:pt>
                <c:pt idx="5">
                  <c:v>5625.25</c:v>
                </c:pt>
                <c:pt idx="6">
                  <c:v>5959.25</c:v>
                </c:pt>
                <c:pt idx="7">
                  <c:v>6498.5</c:v>
                </c:pt>
                <c:pt idx="8">
                  <c:v>6541</c:v>
                </c:pt>
                <c:pt idx="9">
                  <c:v>6523.5</c:v>
                </c:pt>
                <c:pt idx="10">
                  <c:v>6410</c:v>
                </c:pt>
                <c:pt idx="11">
                  <c:v>6192.75</c:v>
                </c:pt>
                <c:pt idx="12">
                  <c:v>6245.25</c:v>
                </c:pt>
                <c:pt idx="13">
                  <c:v>6035.25</c:v>
                </c:pt>
                <c:pt idx="14">
                  <c:v>5617</c:v>
                </c:pt>
                <c:pt idx="15">
                  <c:v>5483.75</c:v>
                </c:pt>
                <c:pt idx="16">
                  <c:v>4884.25</c:v>
                </c:pt>
                <c:pt idx="17">
                  <c:v>4653.25</c:v>
                </c:pt>
                <c:pt idx="18">
                  <c:v>4605.25</c:v>
                </c:pt>
                <c:pt idx="19">
                  <c:v>4365.25</c:v>
                </c:pt>
                <c:pt idx="20">
                  <c:v>4709</c:v>
                </c:pt>
                <c:pt idx="21">
                  <c:v>4895.25</c:v>
                </c:pt>
                <c:pt idx="22">
                  <c:v>5005</c:v>
                </c:pt>
                <c:pt idx="23">
                  <c:v>5117.75</c:v>
                </c:pt>
                <c:pt idx="24">
                  <c:v>4750.25</c:v>
                </c:pt>
                <c:pt idx="25">
                  <c:v>4533</c:v>
                </c:pt>
                <c:pt idx="26">
                  <c:v>4370</c:v>
                </c:pt>
                <c:pt idx="27">
                  <c:v>4154</c:v>
                </c:pt>
                <c:pt idx="28">
                  <c:v>4088.25</c:v>
                </c:pt>
                <c:pt idx="29">
                  <c:v>4119.75</c:v>
                </c:pt>
                <c:pt idx="30">
                  <c:v>3905.5</c:v>
                </c:pt>
                <c:pt idx="31">
                  <c:v>4288</c:v>
                </c:pt>
                <c:pt idx="32">
                  <c:v>4680</c:v>
                </c:pt>
                <c:pt idx="33">
                  <c:v>4904.5</c:v>
                </c:pt>
                <c:pt idx="34">
                  <c:v>5168.5</c:v>
                </c:pt>
                <c:pt idx="35">
                  <c:v>4719</c:v>
                </c:pt>
                <c:pt idx="36">
                  <c:v>4407.75</c:v>
                </c:pt>
                <c:pt idx="37">
                  <c:v>4176.25</c:v>
                </c:pt>
                <c:pt idx="38">
                  <c:v>4709.5</c:v>
                </c:pt>
                <c:pt idx="39">
                  <c:v>5534</c:v>
                </c:pt>
                <c:pt idx="40">
                  <c:v>6484</c:v>
                </c:pt>
                <c:pt idx="41">
                  <c:v>6967.75</c:v>
                </c:pt>
                <c:pt idx="42">
                  <c:v>6825.75</c:v>
                </c:pt>
                <c:pt idx="43">
                  <c:v>6861.25</c:v>
                </c:pt>
                <c:pt idx="44">
                  <c:v>6525.5</c:v>
                </c:pt>
                <c:pt idx="45">
                  <c:v>6305.75</c:v>
                </c:pt>
                <c:pt idx="46">
                  <c:v>6529.75</c:v>
                </c:pt>
                <c:pt idx="47">
                  <c:v>6675</c:v>
                </c:pt>
                <c:pt idx="48">
                  <c:v>6729.25</c:v>
                </c:pt>
                <c:pt idx="49">
                  <c:v>6718.5</c:v>
                </c:pt>
                <c:pt idx="50">
                  <c:v>6757.5</c:v>
                </c:pt>
                <c:pt idx="51">
                  <c:v>6499.25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Averages'!$G$998:$G$1049</c:f>
              <c:numCache>
                <c:formatCode>#,##0_);\(#,##0\)</c:formatCode>
                <c:ptCount val="52"/>
                <c:pt idx="0">
                  <c:v>6455</c:v>
                </c:pt>
                <c:pt idx="1">
                  <c:v>6759.75</c:v>
                </c:pt>
                <c:pt idx="2">
                  <c:v>6731.75</c:v>
                </c:pt>
                <c:pt idx="3">
                  <c:v>6878.75</c:v>
                </c:pt>
                <c:pt idx="4">
                  <c:v>7004</c:v>
                </c:pt>
                <c:pt idx="5">
                  <c:v>6736</c:v>
                </c:pt>
                <c:pt idx="6">
                  <c:v>6780.75</c:v>
                </c:pt>
                <c:pt idx="7">
                  <c:v>6725.5</c:v>
                </c:pt>
                <c:pt idx="8">
                  <c:v>6308.5</c:v>
                </c:pt>
                <c:pt idx="9">
                  <c:v>6218.25</c:v>
                </c:pt>
                <c:pt idx="10">
                  <c:v>5742</c:v>
                </c:pt>
                <c:pt idx="11">
                  <c:v>5279.25</c:v>
                </c:pt>
                <c:pt idx="12">
                  <c:v>5250.75</c:v>
                </c:pt>
                <c:pt idx="13">
                  <c:v>5098</c:v>
                </c:pt>
                <c:pt idx="14">
                  <c:v>4537.75</c:v>
                </c:pt>
                <c:pt idx="15">
                  <c:v>4042.75</c:v>
                </c:pt>
                <c:pt idx="16">
                  <c:v>3616.75</c:v>
                </c:pt>
                <c:pt idx="17">
                  <c:v>3198.75</c:v>
                </c:pt>
                <c:pt idx="18">
                  <c:v>3198</c:v>
                </c:pt>
                <c:pt idx="19">
                  <c:v>3031.5</c:v>
                </c:pt>
                <c:pt idx="20">
                  <c:v>2759.5</c:v>
                </c:pt>
                <c:pt idx="21">
                  <c:v>2704.75</c:v>
                </c:pt>
                <c:pt idx="22">
                  <c:v>2788.25</c:v>
                </c:pt>
                <c:pt idx="23">
                  <c:v>2852.5</c:v>
                </c:pt>
                <c:pt idx="24">
                  <c:v>2720.75</c:v>
                </c:pt>
                <c:pt idx="25">
                  <c:v>2768.5</c:v>
                </c:pt>
                <c:pt idx="26">
                  <c:v>2760.5</c:v>
                </c:pt>
                <c:pt idx="27">
                  <c:v>2837</c:v>
                </c:pt>
                <c:pt idx="28">
                  <c:v>2963.5</c:v>
                </c:pt>
                <c:pt idx="29">
                  <c:v>2716.25</c:v>
                </c:pt>
                <c:pt idx="30">
                  <c:v>2637.25</c:v>
                </c:pt>
                <c:pt idx="31">
                  <c:v>2745.75</c:v>
                </c:pt>
                <c:pt idx="32">
                  <c:v>3046.25</c:v>
                </c:pt>
                <c:pt idx="33">
                  <c:v>3607.75</c:v>
                </c:pt>
                <c:pt idx="34">
                  <c:v>4122.75</c:v>
                </c:pt>
                <c:pt idx="35">
                  <c:v>4637</c:v>
                </c:pt>
                <c:pt idx="36">
                  <c:v>5114</c:v>
                </c:pt>
                <c:pt idx="37">
                  <c:v>5445</c:v>
                </c:pt>
                <c:pt idx="38">
                  <c:v>5176.25</c:v>
                </c:pt>
                <c:pt idx="39">
                  <c:v>4987.5</c:v>
                </c:pt>
                <c:pt idx="40">
                  <c:v>6159.5</c:v>
                </c:pt>
                <c:pt idx="41">
                  <c:v>7154.25</c:v>
                </c:pt>
                <c:pt idx="42">
                  <c:v>8786</c:v>
                </c:pt>
                <c:pt idx="43">
                  <c:v>10210.5</c:v>
                </c:pt>
                <c:pt idx="44">
                  <c:v>10245.75</c:v>
                </c:pt>
                <c:pt idx="45">
                  <c:v>10718</c:v>
                </c:pt>
                <c:pt idx="46">
                  <c:v>11097.25</c:v>
                </c:pt>
                <c:pt idx="47">
                  <c:v>11331.5</c:v>
                </c:pt>
                <c:pt idx="48">
                  <c:v>11064.25</c:v>
                </c:pt>
                <c:pt idx="49">
                  <c:v>10320.25</c:v>
                </c:pt>
                <c:pt idx="50">
                  <c:v>9584</c:v>
                </c:pt>
                <c:pt idx="51">
                  <c:v>8699.5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Averages'!$G$1050:$G$1084</c:f>
              <c:numCache>
                <c:formatCode>#,##0_);\(#,##0\)</c:formatCode>
                <c:ptCount val="35"/>
                <c:pt idx="0">
                  <c:v>8586</c:v>
                </c:pt>
                <c:pt idx="1">
                  <c:v>8206.75</c:v>
                </c:pt>
                <c:pt idx="2">
                  <c:v>8229.25</c:v>
                </c:pt>
                <c:pt idx="3">
                  <c:v>8983.5</c:v>
                </c:pt>
                <c:pt idx="4">
                  <c:v>9458.5</c:v>
                </c:pt>
                <c:pt idx="5">
                  <c:v>9508</c:v>
                </c:pt>
                <c:pt idx="6">
                  <c:v>9450.25</c:v>
                </c:pt>
                <c:pt idx="7">
                  <c:v>9150.75</c:v>
                </c:pt>
                <c:pt idx="8">
                  <c:v>8932.25</c:v>
                </c:pt>
                <c:pt idx="9">
                  <c:v>8834.75</c:v>
                </c:pt>
                <c:pt idx="10">
                  <c:v>8760.25</c:v>
                </c:pt>
                <c:pt idx="11">
                  <c:v>8249.75</c:v>
                </c:pt>
                <c:pt idx="12">
                  <c:v>8055.75</c:v>
                </c:pt>
                <c:pt idx="13">
                  <c:v>8292.5</c:v>
                </c:pt>
                <c:pt idx="14">
                  <c:v>8582.25</c:v>
                </c:pt>
                <c:pt idx="15">
                  <c:v>8880.25</c:v>
                </c:pt>
                <c:pt idx="16">
                  <c:v>8752.5</c:v>
                </c:pt>
                <c:pt idx="17">
                  <c:v>8654.75</c:v>
                </c:pt>
                <c:pt idx="18">
                  <c:v>8150.25</c:v>
                </c:pt>
                <c:pt idx="19">
                  <c:v>7341.75</c:v>
                </c:pt>
                <c:pt idx="20">
                  <c:v>6945.5</c:v>
                </c:pt>
                <c:pt idx="21">
                  <c:v>6562.75</c:v>
                </c:pt>
                <c:pt idx="22">
                  <c:v>5939.25</c:v>
                </c:pt>
                <c:pt idx="23">
                  <c:v>5804</c:v>
                </c:pt>
                <c:pt idx="24">
                  <c:v>5398.25</c:v>
                </c:pt>
                <c:pt idx="25">
                  <c:v>4921</c:v>
                </c:pt>
                <c:pt idx="26">
                  <c:v>4583</c:v>
                </c:pt>
                <c:pt idx="27">
                  <c:v>4761.5</c:v>
                </c:pt>
                <c:pt idx="28">
                  <c:v>4588.5</c:v>
                </c:pt>
                <c:pt idx="29">
                  <c:v>4611.5</c:v>
                </c:pt>
                <c:pt idx="30">
                  <c:v>4940.25</c:v>
                </c:pt>
                <c:pt idx="31">
                  <c:v>4922.25</c:v>
                </c:pt>
                <c:pt idx="32">
                  <c:v>5380.25</c:v>
                </c:pt>
                <c:pt idx="33">
                  <c:v>5852.25</c:v>
                </c:pt>
                <c:pt idx="34">
                  <c:v>6236.75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55712"/>
        <c:axId val="129966080"/>
      </c:lineChart>
      <c:dateAx>
        <c:axId val="129955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07910884049196"/>
              <c:y val="0.80309062098620654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96608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9966080"/>
        <c:scaling>
          <c:orientation val="minMax"/>
          <c:max val="15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69902299001921E-2"/>
              <c:y val="0.14598550846037864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9557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982395386195452"/>
          <c:y val="0.88221610264142514"/>
          <c:w val="0.6744853799629561"/>
          <c:h val="9.59118640755012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22541000050152965"/>
          <c:y val="1.83153450212316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463968077032539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Averages'!$C$998:$C$1049</c:f>
              <c:numCache>
                <c:formatCode>#,##0_);\(#,##0\)</c:formatCode>
                <c:ptCount val="52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  <c:pt idx="23">
                  <c:v>1647.5</c:v>
                </c:pt>
                <c:pt idx="24">
                  <c:v>1614.75</c:v>
                </c:pt>
                <c:pt idx="25">
                  <c:v>1521.25</c:v>
                </c:pt>
                <c:pt idx="26">
                  <c:v>1375</c:v>
                </c:pt>
                <c:pt idx="27">
                  <c:v>1403.75</c:v>
                </c:pt>
                <c:pt idx="28">
                  <c:v>1445.25</c:v>
                </c:pt>
                <c:pt idx="29">
                  <c:v>1360.5</c:v>
                </c:pt>
                <c:pt idx="30">
                  <c:v>1396.75</c:v>
                </c:pt>
                <c:pt idx="31">
                  <c:v>1642</c:v>
                </c:pt>
                <c:pt idx="32">
                  <c:v>1675.25</c:v>
                </c:pt>
                <c:pt idx="33">
                  <c:v>1967.75</c:v>
                </c:pt>
                <c:pt idx="34">
                  <c:v>2085.25</c:v>
                </c:pt>
                <c:pt idx="35">
                  <c:v>2034.75</c:v>
                </c:pt>
                <c:pt idx="36">
                  <c:v>2283.25</c:v>
                </c:pt>
                <c:pt idx="37">
                  <c:v>2359.75</c:v>
                </c:pt>
                <c:pt idx="38">
                  <c:v>2325.25</c:v>
                </c:pt>
                <c:pt idx="39">
                  <c:v>2188.5</c:v>
                </c:pt>
                <c:pt idx="40">
                  <c:v>1996.75</c:v>
                </c:pt>
                <c:pt idx="41">
                  <c:v>1613.5</c:v>
                </c:pt>
                <c:pt idx="42">
                  <c:v>1419.25</c:v>
                </c:pt>
                <c:pt idx="43">
                  <c:v>1206</c:v>
                </c:pt>
                <c:pt idx="44">
                  <c:v>1046.75</c:v>
                </c:pt>
                <c:pt idx="45">
                  <c:v>1029.25</c:v>
                </c:pt>
                <c:pt idx="46">
                  <c:v>995</c:v>
                </c:pt>
                <c:pt idx="47">
                  <c:v>1215.5</c:v>
                </c:pt>
                <c:pt idx="48">
                  <c:v>1254.25</c:v>
                </c:pt>
                <c:pt idx="49">
                  <c:v>1237.5</c:v>
                </c:pt>
                <c:pt idx="50">
                  <c:v>1307.25</c:v>
                </c:pt>
                <c:pt idx="51">
                  <c:v>1017.5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Averages'!$C$1050:$C$1084</c:f>
              <c:numCache>
                <c:formatCode>#,##0_);\(#,##0\)</c:formatCode>
                <c:ptCount val="35"/>
                <c:pt idx="0">
                  <c:v>1125</c:v>
                </c:pt>
                <c:pt idx="1">
                  <c:v>1280.5</c:v>
                </c:pt>
                <c:pt idx="2">
                  <c:v>1289.25</c:v>
                </c:pt>
                <c:pt idx="3">
                  <c:v>1598.5</c:v>
                </c:pt>
                <c:pt idx="4">
                  <c:v>1545</c:v>
                </c:pt>
                <c:pt idx="5">
                  <c:v>1537.25</c:v>
                </c:pt>
                <c:pt idx="6">
                  <c:v>1525.5</c:v>
                </c:pt>
                <c:pt idx="7">
                  <c:v>1541.75</c:v>
                </c:pt>
                <c:pt idx="8">
                  <c:v>1627</c:v>
                </c:pt>
                <c:pt idx="9">
                  <c:v>1530.5</c:v>
                </c:pt>
                <c:pt idx="10">
                  <c:v>1633.75</c:v>
                </c:pt>
                <c:pt idx="11">
                  <c:v>1543.75</c:v>
                </c:pt>
                <c:pt idx="12">
                  <c:v>1445</c:v>
                </c:pt>
                <c:pt idx="13">
                  <c:v>1561.5</c:v>
                </c:pt>
                <c:pt idx="14">
                  <c:v>1704.75</c:v>
                </c:pt>
                <c:pt idx="15">
                  <c:v>1860.75</c:v>
                </c:pt>
                <c:pt idx="16">
                  <c:v>2061.25</c:v>
                </c:pt>
                <c:pt idx="17">
                  <c:v>2113.75</c:v>
                </c:pt>
                <c:pt idx="18">
                  <c:v>2267.25</c:v>
                </c:pt>
                <c:pt idx="19">
                  <c:v>2053.5</c:v>
                </c:pt>
                <c:pt idx="20">
                  <c:v>2302.25</c:v>
                </c:pt>
                <c:pt idx="21">
                  <c:v>2296.5</c:v>
                </c:pt>
                <c:pt idx="22">
                  <c:v>1905.5</c:v>
                </c:pt>
                <c:pt idx="23">
                  <c:v>1910.25</c:v>
                </c:pt>
                <c:pt idx="24">
                  <c:v>1440.5</c:v>
                </c:pt>
                <c:pt idx="25">
                  <c:v>1215.25</c:v>
                </c:pt>
                <c:pt idx="26">
                  <c:v>1075.25</c:v>
                </c:pt>
                <c:pt idx="27">
                  <c:v>1182.5</c:v>
                </c:pt>
                <c:pt idx="28">
                  <c:v>1204.5</c:v>
                </c:pt>
                <c:pt idx="29">
                  <c:v>1204.25</c:v>
                </c:pt>
                <c:pt idx="30">
                  <c:v>1357.5</c:v>
                </c:pt>
                <c:pt idx="31">
                  <c:v>1331.75</c:v>
                </c:pt>
                <c:pt idx="32">
                  <c:v>1455</c:v>
                </c:pt>
                <c:pt idx="33">
                  <c:v>1652.75</c:v>
                </c:pt>
                <c:pt idx="34">
                  <c:v>1754.5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06400"/>
        <c:axId val="130008576"/>
      </c:lineChart>
      <c:dateAx>
        <c:axId val="13000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662144540849586"/>
              <c:y val="0.8181060319405154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00857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0008576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0005105197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0064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614733269806242"/>
          <c:y val="0.88059064127281583"/>
          <c:w val="0.73160932510824683"/>
          <c:h val="9.305392889961983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22541000050152965"/>
          <c:y val="1.8315475976461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Averages'!$B$998:$B$1049</c:f>
              <c:numCache>
                <c:formatCode>#,##0_);\(#,##0\)</c:formatCode>
                <c:ptCount val="52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  <c:pt idx="23">
                  <c:v>179.5</c:v>
                </c:pt>
                <c:pt idx="24">
                  <c:v>127.75</c:v>
                </c:pt>
                <c:pt idx="25">
                  <c:v>94.25</c:v>
                </c:pt>
                <c:pt idx="26">
                  <c:v>104.5</c:v>
                </c:pt>
                <c:pt idx="27">
                  <c:v>183</c:v>
                </c:pt>
                <c:pt idx="28">
                  <c:v>216.25</c:v>
                </c:pt>
                <c:pt idx="29">
                  <c:v>177.5</c:v>
                </c:pt>
                <c:pt idx="30">
                  <c:v>141.5</c:v>
                </c:pt>
                <c:pt idx="31">
                  <c:v>63</c:v>
                </c:pt>
                <c:pt idx="32">
                  <c:v>28.75</c:v>
                </c:pt>
                <c:pt idx="33">
                  <c:v>1.5</c:v>
                </c:pt>
                <c:pt idx="34">
                  <c:v>29</c:v>
                </c:pt>
                <c:pt idx="35">
                  <c:v>37.25</c:v>
                </c:pt>
                <c:pt idx="36">
                  <c:v>37.25</c:v>
                </c:pt>
                <c:pt idx="37">
                  <c:v>63.5</c:v>
                </c:pt>
                <c:pt idx="38">
                  <c:v>35.75</c:v>
                </c:pt>
                <c:pt idx="39">
                  <c:v>75.25</c:v>
                </c:pt>
                <c:pt idx="40">
                  <c:v>468</c:v>
                </c:pt>
                <c:pt idx="41">
                  <c:v>922.75</c:v>
                </c:pt>
                <c:pt idx="42">
                  <c:v>1392.75</c:v>
                </c:pt>
                <c:pt idx="43">
                  <c:v>1791.5</c:v>
                </c:pt>
                <c:pt idx="44">
                  <c:v>1887.5</c:v>
                </c:pt>
                <c:pt idx="45">
                  <c:v>1892.5</c:v>
                </c:pt>
                <c:pt idx="46">
                  <c:v>2001</c:v>
                </c:pt>
                <c:pt idx="47">
                  <c:v>2054.75</c:v>
                </c:pt>
                <c:pt idx="48">
                  <c:v>1928</c:v>
                </c:pt>
                <c:pt idx="49">
                  <c:v>1890</c:v>
                </c:pt>
                <c:pt idx="50">
                  <c:v>1616.5</c:v>
                </c:pt>
                <c:pt idx="51">
                  <c:v>1484.75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Averages'!$B$1050:$B$1102</c:f>
              <c:numCache>
                <c:formatCode>#,##0_);\(#,##0\)</c:formatCode>
                <c:ptCount val="53"/>
                <c:pt idx="0">
                  <c:v>1473.5</c:v>
                </c:pt>
                <c:pt idx="1">
                  <c:v>1288.25</c:v>
                </c:pt>
                <c:pt idx="2">
                  <c:v>1259.5</c:v>
                </c:pt>
                <c:pt idx="3">
                  <c:v>1288.25</c:v>
                </c:pt>
                <c:pt idx="4">
                  <c:v>1254.75</c:v>
                </c:pt>
                <c:pt idx="5">
                  <c:v>1187.75</c:v>
                </c:pt>
                <c:pt idx="6">
                  <c:v>1394.25</c:v>
                </c:pt>
                <c:pt idx="7">
                  <c:v>1226.5</c:v>
                </c:pt>
                <c:pt idx="8">
                  <c:v>1184.75</c:v>
                </c:pt>
                <c:pt idx="9">
                  <c:v>1323.25</c:v>
                </c:pt>
                <c:pt idx="10">
                  <c:v>1072.5</c:v>
                </c:pt>
                <c:pt idx="11">
                  <c:v>1033</c:v>
                </c:pt>
                <c:pt idx="12">
                  <c:v>987.5</c:v>
                </c:pt>
                <c:pt idx="13">
                  <c:v>918.25</c:v>
                </c:pt>
                <c:pt idx="14">
                  <c:v>946</c:v>
                </c:pt>
                <c:pt idx="15">
                  <c:v>947.5</c:v>
                </c:pt>
                <c:pt idx="16">
                  <c:v>849.5</c:v>
                </c:pt>
                <c:pt idx="17">
                  <c:v>724</c:v>
                </c:pt>
                <c:pt idx="18">
                  <c:v>571.75</c:v>
                </c:pt>
                <c:pt idx="19">
                  <c:v>482.25</c:v>
                </c:pt>
                <c:pt idx="20">
                  <c:v>378</c:v>
                </c:pt>
                <c:pt idx="21">
                  <c:v>270.5</c:v>
                </c:pt>
                <c:pt idx="22">
                  <c:v>167.25</c:v>
                </c:pt>
                <c:pt idx="23">
                  <c:v>68.75</c:v>
                </c:pt>
                <c:pt idx="24">
                  <c:v>61.75</c:v>
                </c:pt>
                <c:pt idx="25">
                  <c:v>30</c:v>
                </c:pt>
                <c:pt idx="26">
                  <c:v>27.25</c:v>
                </c:pt>
                <c:pt idx="27">
                  <c:v>61.5</c:v>
                </c:pt>
                <c:pt idx="28">
                  <c:v>44</c:v>
                </c:pt>
                <c:pt idx="29">
                  <c:v>45</c:v>
                </c:pt>
                <c:pt idx="30">
                  <c:v>72.75</c:v>
                </c:pt>
                <c:pt idx="31">
                  <c:v>89</c:v>
                </c:pt>
                <c:pt idx="32">
                  <c:v>145</c:v>
                </c:pt>
                <c:pt idx="33">
                  <c:v>151</c:v>
                </c:pt>
                <c:pt idx="34">
                  <c:v>181.5</c:v>
                </c:pt>
                <c:pt idx="35">
                  <c:v>240</c:v>
                </c:pt>
                <c:pt idx="36">
                  <c:v>201.25</c:v>
                </c:pt>
                <c:pt idx="37">
                  <c:v>258.25</c:v>
                </c:pt>
                <c:pt idx="38">
                  <c:v>232.5</c:v>
                </c:pt>
                <c:pt idx="39">
                  <c:v>230.75</c:v>
                </c:pt>
                <c:pt idx="40">
                  <c:v>550.25</c:v>
                </c:pt>
                <c:pt idx="41">
                  <c:v>951</c:v>
                </c:pt>
                <c:pt idx="42">
                  <c:v>917</c:v>
                </c:pt>
                <c:pt idx="43">
                  <c:v>806.25</c:v>
                </c:pt>
                <c:pt idx="44">
                  <c:v>466.25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53248"/>
        <c:axId val="130055168"/>
      </c:lineChart>
      <c:dateAx>
        <c:axId val="13005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444812977144979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05516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30055168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1006124234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0532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1591019275456"/>
          <c:y val="0.91346882153429443"/>
          <c:w val="0.80326537606366089"/>
          <c:h val="8.653117846570546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19648"/>
        <c:axId val="99421184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19552"/>
        <c:axId val="102521088"/>
      </c:lineChart>
      <c:dateAx>
        <c:axId val="99419648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21184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99421184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19648"/>
        <c:crosses val="autoZero"/>
        <c:crossBetween val="between"/>
      </c:valAx>
      <c:dateAx>
        <c:axId val="102519552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102521088"/>
        <c:crosses val="autoZero"/>
        <c:auto val="1"/>
        <c:lblOffset val="100"/>
        <c:baseTimeUnit val="days"/>
      </c:dateAx>
      <c:valAx>
        <c:axId val="102521088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19552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t"/>
      <c:layout>
        <c:manualLayout>
          <c:xMode val="edge"/>
          <c:yMode val="edge"/>
          <c:x val="0.30650011749792311"/>
          <c:y val="7.5217735550277123E-2"/>
          <c:w val="0.36901778355889631"/>
          <c:h val="7.158714721229918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541020</xdr:colOff>
      <xdr:row>22</xdr:row>
      <xdr:rowOff>15240</xdr:rowOff>
    </xdr:from>
    <xdr:to>
      <xdr:col>20</xdr:col>
      <xdr:colOff>601980</xdr:colOff>
      <xdr:row>37</xdr:row>
      <xdr:rowOff>137160</xdr:rowOff>
    </xdr:to>
    <xdr:graphicFrame macro="">
      <xdr:nvGraphicFramePr>
        <xdr:cNvPr id="1739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548640</xdr:colOff>
      <xdr:row>2</xdr:row>
      <xdr:rowOff>106680</xdr:rowOff>
    </xdr:from>
    <xdr:to>
      <xdr:col>28</xdr:col>
      <xdr:colOff>236220</xdr:colOff>
      <xdr:row>19</xdr:row>
      <xdr:rowOff>137160</xdr:rowOff>
    </xdr:to>
    <xdr:graphicFrame macro="">
      <xdr:nvGraphicFramePr>
        <xdr:cNvPr id="1740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579120</xdr:colOff>
      <xdr:row>22</xdr:row>
      <xdr:rowOff>53340</xdr:rowOff>
    </xdr:from>
    <xdr:to>
      <xdr:col>28</xdr:col>
      <xdr:colOff>0</xdr:colOff>
      <xdr:row>36</xdr:row>
      <xdr:rowOff>129540</xdr:rowOff>
    </xdr:to>
    <xdr:graphicFrame macro="">
      <xdr:nvGraphicFramePr>
        <xdr:cNvPr id="1741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99060</xdr:colOff>
      <xdr:row>21</xdr:row>
      <xdr:rowOff>167640</xdr:rowOff>
    </xdr:from>
    <xdr:to>
      <xdr:col>35</xdr:col>
      <xdr:colOff>167640</xdr:colOff>
      <xdr:row>36</xdr:row>
      <xdr:rowOff>76200</xdr:rowOff>
    </xdr:to>
    <xdr:graphicFrame macro="">
      <xdr:nvGraphicFramePr>
        <xdr:cNvPr id="1742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365760</xdr:colOff>
      <xdr:row>2</xdr:row>
      <xdr:rowOff>7620</xdr:rowOff>
    </xdr:from>
    <xdr:to>
      <xdr:col>6</xdr:col>
      <xdr:colOff>640080</xdr:colOff>
      <xdr:row>18</xdr:row>
      <xdr:rowOff>45720</xdr:rowOff>
    </xdr:to>
    <xdr:graphicFrame macro="">
      <xdr:nvGraphicFramePr>
        <xdr:cNvPr id="1743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15240</xdr:colOff>
      <xdr:row>2</xdr:row>
      <xdr:rowOff>45720</xdr:rowOff>
    </xdr:from>
    <xdr:to>
      <xdr:col>14</xdr:col>
      <xdr:colOff>152400</xdr:colOff>
      <xdr:row>18</xdr:row>
      <xdr:rowOff>175260</xdr:rowOff>
    </xdr:to>
    <xdr:graphicFrame macro="">
      <xdr:nvGraphicFramePr>
        <xdr:cNvPr id="174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53340</xdr:colOff>
      <xdr:row>1</xdr:row>
      <xdr:rowOff>114300</xdr:rowOff>
    </xdr:from>
    <xdr:to>
      <xdr:col>21</xdr:col>
      <xdr:colOff>289560</xdr:colOff>
      <xdr:row>19</xdr:row>
      <xdr:rowOff>38100</xdr:rowOff>
    </xdr:to>
    <xdr:graphicFrame macro="">
      <xdr:nvGraphicFramePr>
        <xdr:cNvPr id="1745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60960</xdr:colOff>
      <xdr:row>3</xdr:row>
      <xdr:rowOff>175260</xdr:rowOff>
    </xdr:from>
    <xdr:to>
      <xdr:col>42</xdr:col>
      <xdr:colOff>251460</xdr:colOff>
      <xdr:row>19</xdr:row>
      <xdr:rowOff>7620</xdr:rowOff>
    </xdr:to>
    <xdr:graphicFrame macro="">
      <xdr:nvGraphicFramePr>
        <xdr:cNvPr id="1746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7620</xdr:colOff>
      <xdr:row>2</xdr:row>
      <xdr:rowOff>30480</xdr:rowOff>
    </xdr:from>
    <xdr:to>
      <xdr:col>35</xdr:col>
      <xdr:colOff>502920</xdr:colOff>
      <xdr:row>18</xdr:row>
      <xdr:rowOff>22860</xdr:rowOff>
    </xdr:to>
    <xdr:grpSp>
      <xdr:nvGrpSpPr>
        <xdr:cNvPr id="1747" name="Group 77"/>
        <xdr:cNvGrpSpPr>
          <a:grpSpLocks/>
        </xdr:cNvGrpSpPr>
      </xdr:nvGrpSpPr>
      <xdr:grpSpPr bwMode="auto">
        <a:xfrm>
          <a:off x="21221700" y="419100"/>
          <a:ext cx="4884420" cy="3048000"/>
          <a:chOff x="2318" y="21"/>
          <a:chExt cx="494" cy="287"/>
        </a:xfrm>
      </xdr:grpSpPr>
      <xdr:graphicFrame macro="">
        <xdr:nvGraphicFramePr>
          <xdr:cNvPr id="1754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0" y="84"/>
            <a:ext cx="306" cy="29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182880</xdr:colOff>
      <xdr:row>21</xdr:row>
      <xdr:rowOff>53340</xdr:rowOff>
    </xdr:from>
    <xdr:to>
      <xdr:col>42</xdr:col>
      <xdr:colOff>335280</xdr:colOff>
      <xdr:row>35</xdr:row>
      <xdr:rowOff>167640</xdr:rowOff>
    </xdr:to>
    <xdr:graphicFrame macro="">
      <xdr:nvGraphicFramePr>
        <xdr:cNvPr id="1748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45720</xdr:colOff>
      <xdr:row>37</xdr:row>
      <xdr:rowOff>76200</xdr:rowOff>
    </xdr:from>
    <xdr:to>
      <xdr:col>35</xdr:col>
      <xdr:colOff>510540</xdr:colOff>
      <xdr:row>52</xdr:row>
      <xdr:rowOff>190500</xdr:rowOff>
    </xdr:to>
    <xdr:graphicFrame macro="">
      <xdr:nvGraphicFramePr>
        <xdr:cNvPr id="1749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746760</xdr:colOff>
      <xdr:row>38</xdr:row>
      <xdr:rowOff>38100</xdr:rowOff>
    </xdr:from>
    <xdr:to>
      <xdr:col>28</xdr:col>
      <xdr:colOff>83820</xdr:colOff>
      <xdr:row>52</xdr:row>
      <xdr:rowOff>182880</xdr:rowOff>
    </xdr:to>
    <xdr:graphicFrame macro="">
      <xdr:nvGraphicFramePr>
        <xdr:cNvPr id="1750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510540</xdr:colOff>
      <xdr:row>37</xdr:row>
      <xdr:rowOff>182880</xdr:rowOff>
    </xdr:from>
    <xdr:to>
      <xdr:col>20</xdr:col>
      <xdr:colOff>632460</xdr:colOff>
      <xdr:row>51</xdr:row>
      <xdr:rowOff>167640</xdr:rowOff>
    </xdr:to>
    <xdr:graphicFrame macro="">
      <xdr:nvGraphicFramePr>
        <xdr:cNvPr id="1751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274320</xdr:colOff>
      <xdr:row>40</xdr:row>
      <xdr:rowOff>38100</xdr:rowOff>
    </xdr:to>
    <xdr:graphicFrame macro="">
      <xdr:nvGraphicFramePr>
        <xdr:cNvPr id="1752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53340</xdr:colOff>
      <xdr:row>22</xdr:row>
      <xdr:rowOff>76200</xdr:rowOff>
    </xdr:from>
    <xdr:to>
      <xdr:col>14</xdr:col>
      <xdr:colOff>190500</xdr:colOff>
      <xdr:row>39</xdr:row>
      <xdr:rowOff>15240</xdr:rowOff>
    </xdr:to>
    <xdr:graphicFrame macro="">
      <xdr:nvGraphicFramePr>
        <xdr:cNvPr id="175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0.80029</cdr:y>
    </cdr:from>
    <cdr:to>
      <cdr:x>0.24993</cdr:x>
      <cdr:y>0.87356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0.22766</cdr:y>
    </cdr:from>
    <cdr:to>
      <cdr:x>0.0628</cdr:x>
      <cdr:y>0.59206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0.19404</cdr:x>
      <cdr:y>0.1718</cdr:y>
    </cdr:from>
    <cdr:to>
      <cdr:x>0.74244</cdr:x>
      <cdr:y>0.28152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3489" y="519275"/>
          <a:ext cx="2440424" cy="3316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0.05534</cdr:x>
      <cdr:y>0.81313</cdr:y>
    </cdr:from>
    <cdr:to>
      <cdr:x>0.31913</cdr:x>
      <cdr:y>0.895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0.2542</cdr:x>
      <cdr:y>0.14002</cdr:y>
    </cdr:from>
    <cdr:to>
      <cdr:x>0.738</cdr:x>
      <cdr:y>0.23899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2252" y="464493"/>
          <a:ext cx="2326217" cy="3283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0.00448</cdr:x>
      <cdr:y>0.82131</cdr:y>
    </cdr:from>
    <cdr:to>
      <cdr:x>0.24722</cdr:x>
      <cdr:y>0.89483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46" y="2286383"/>
          <a:ext cx="1102409" cy="204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: USDA/T&amp;M</a:t>
          </a:r>
        </a:p>
      </cdr:txBody>
    </cdr:sp>
  </cdr:relSizeAnchor>
  <cdr:relSizeAnchor xmlns:cdr="http://schemas.openxmlformats.org/drawingml/2006/chartDrawing">
    <cdr:from>
      <cdr:x>0.01012</cdr:x>
      <cdr:y>0.22811</cdr:y>
    </cdr:from>
    <cdr:to>
      <cdr:x>0.06866</cdr:x>
      <cdr:y>0.59352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0.23204</cdr:x>
      <cdr:y>0.19526</cdr:y>
    </cdr:from>
    <cdr:to>
      <cdr:x>0.7472</cdr:x>
      <cdr:y>0.33577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3827" y="543568"/>
          <a:ext cx="2339613" cy="3911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0.82014</cdr:y>
    </cdr:from>
    <cdr:to>
      <cdr:x>0.24966</cdr:x>
      <cdr:y>0.8997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0.00202</cdr:x>
      <cdr:y>0.22184</cdr:y>
    </cdr:from>
    <cdr:to>
      <cdr:x>0.07113</cdr:x>
      <cdr:y>0.57501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0.65741</cdr:x>
      <cdr:y>0.25872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0.02251</cdr:x>
      <cdr:y>0.81208</cdr:y>
    </cdr:from>
    <cdr:to>
      <cdr:x>0.24782</cdr:x>
      <cdr:y>0.88416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0.24901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0.02192</cdr:x>
      <cdr:y>0.23661</cdr:y>
    </cdr:from>
    <cdr:to>
      <cdr:x>0.15173</cdr:x>
      <cdr:y>0.59012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0.23504</cdr:x>
      <cdr:y>0.12597</cdr:y>
    </cdr:from>
    <cdr:to>
      <cdr:x>0.79572</cdr:x>
      <cdr:y>0.22612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120" y="428758"/>
          <a:ext cx="2593340" cy="340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9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0.11367</cdr:x>
      <cdr:y>0.85649</cdr:y>
    </cdr:from>
    <cdr:to>
      <cdr:x>0.36299</cdr:x>
      <cdr:y>0.92077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62" y="2915150"/>
          <a:ext cx="1153190" cy="21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0.08506</cdr:x>
      <cdr:y>0.79061</cdr:y>
    </cdr:from>
    <cdr:to>
      <cdr:x>0.31678</cdr:x>
      <cdr:y>0.86679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0.21048</cdr:y>
    </cdr:from>
    <cdr:to>
      <cdr:x>0.0853</cdr:x>
      <cdr:y>0.59547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0.22128</cdr:x>
      <cdr:y>0.07968</cdr:y>
    </cdr:from>
    <cdr:to>
      <cdr:x>0.79423</cdr:x>
      <cdr:y>0.19705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3378" y="233152"/>
          <a:ext cx="2623902" cy="3434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0.0212</cdr:x>
      <cdr:y>0.87342</cdr:y>
    </cdr:from>
    <cdr:to>
      <cdr:x>0.26148</cdr:x>
      <cdr:y>0.96224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51" y="2703676"/>
          <a:ext cx="1173628" cy="268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</cdr:x>
      <cdr:y>0.25557</cdr:y>
    </cdr:from>
    <cdr:to>
      <cdr:x>0.09584</cdr:x>
      <cdr:y>0.54831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0.82935</cdr:y>
    </cdr:from>
    <cdr:to>
      <cdr:x>0.26704</cdr:x>
      <cdr:y>0.90529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0.00043</cdr:x>
      <cdr:y>0.20727</cdr:y>
    </cdr:from>
    <cdr:to>
      <cdr:x>0.07318</cdr:x>
      <cdr:y>0.59424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0.259</cdr:x>
      <cdr:y>0.10711</cdr:y>
    </cdr:from>
    <cdr:to>
      <cdr:x>0.72819</cdr:x>
      <cdr:y>0.22587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76260" y="302258"/>
          <a:ext cx="2130836" cy="33513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0.83035</cdr:y>
    </cdr:from>
    <cdr:to>
      <cdr:x>0.25545</cdr:x>
      <cdr:y>0.90586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0.00315</cdr:x>
      <cdr:y>0.21321</cdr:y>
    </cdr:from>
    <cdr:to>
      <cdr:x>0.07355</cdr:x>
      <cdr:y>0.58301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93" y="641741"/>
          <a:ext cx="341717" cy="11130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0.13575</cdr:x>
      <cdr:y>0.14061</cdr:y>
    </cdr:from>
    <cdr:to>
      <cdr:x>0.62485</cdr:x>
      <cdr:y>0.23629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8922" y="423223"/>
          <a:ext cx="2374062" cy="287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0.03622</cdr:x>
      <cdr:y>0.7956</cdr:y>
    </cdr:from>
    <cdr:to>
      <cdr:x>0.29048</cdr:x>
      <cdr:y>0.86889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017" y="2265350"/>
          <a:ext cx="1137289" cy="2086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0.22783</cdr:y>
    </cdr:from>
    <cdr:to>
      <cdr:x>0.0684</cdr:x>
      <cdr:y>0.5945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0.16198</cdr:x>
      <cdr:y>0.16146</cdr:y>
    </cdr:from>
    <cdr:to>
      <cdr:x>0.7757</cdr:x>
      <cdr:y>0.27921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4526" y="459740"/>
          <a:ext cx="2745113" cy="33528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5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period</a:t>
          </a: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0.80106</cdr:y>
    </cdr:from>
    <cdr:to>
      <cdr:x>0.26045</cdr:x>
      <cdr:y>0.87385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0.22762</cdr:y>
    </cdr:from>
    <cdr:to>
      <cdr:x>0.06254</cdr:x>
      <cdr:y>0.59424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0.14933</cdr:x>
      <cdr:y>0.15379</cdr:y>
    </cdr:from>
    <cdr:to>
      <cdr:x>0.7558</cdr:x>
      <cdr:y>0.27032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634" y="413283"/>
          <a:ext cx="2735810" cy="3131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0.65741</cdr:x>
      <cdr:y>0.25872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0.02251</cdr:x>
      <cdr:y>0.81208</cdr:y>
    </cdr:from>
    <cdr:to>
      <cdr:x>0.24782</cdr:x>
      <cdr:y>0.88416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0.24901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45720</xdr:rowOff>
    </xdr:from>
    <xdr:to>
      <xdr:col>14</xdr:col>
      <xdr:colOff>106680</xdr:colOff>
      <xdr:row>16</xdr:row>
      <xdr:rowOff>175260</xdr:rowOff>
    </xdr:to>
    <xdr:graphicFrame macro="">
      <xdr:nvGraphicFramePr>
        <xdr:cNvPr id="2301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20</xdr:row>
      <xdr:rowOff>30480</xdr:rowOff>
    </xdr:from>
    <xdr:to>
      <xdr:col>14</xdr:col>
      <xdr:colOff>342900</xdr:colOff>
      <xdr:row>38</xdr:row>
      <xdr:rowOff>30480</xdr:rowOff>
    </xdr:to>
    <xdr:graphicFrame macro="">
      <xdr:nvGraphicFramePr>
        <xdr:cNvPr id="230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106680</xdr:colOff>
      <xdr:row>16</xdr:row>
      <xdr:rowOff>129540</xdr:rowOff>
    </xdr:to>
    <xdr:graphicFrame macro="">
      <xdr:nvGraphicFramePr>
        <xdr:cNvPr id="230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23</xdr:row>
      <xdr:rowOff>38100</xdr:rowOff>
    </xdr:from>
    <xdr:to>
      <xdr:col>21</xdr:col>
      <xdr:colOff>243840</xdr:colOff>
      <xdr:row>38</xdr:row>
      <xdr:rowOff>45720</xdr:rowOff>
    </xdr:to>
    <xdr:graphicFrame macro="">
      <xdr:nvGraphicFramePr>
        <xdr:cNvPr id="2304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662940</xdr:colOff>
      <xdr:row>21</xdr:row>
      <xdr:rowOff>106680</xdr:rowOff>
    </xdr:from>
    <xdr:to>
      <xdr:col>7</xdr:col>
      <xdr:colOff>327660</xdr:colOff>
      <xdr:row>39</xdr:row>
      <xdr:rowOff>7620</xdr:rowOff>
    </xdr:to>
    <xdr:graphicFrame macro="">
      <xdr:nvGraphicFramePr>
        <xdr:cNvPr id="230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327660</xdr:colOff>
      <xdr:row>0</xdr:row>
      <xdr:rowOff>83820</xdr:rowOff>
    </xdr:from>
    <xdr:to>
      <xdr:col>6</xdr:col>
      <xdr:colOff>723900</xdr:colOff>
      <xdr:row>17</xdr:row>
      <xdr:rowOff>167640</xdr:rowOff>
    </xdr:to>
    <xdr:graphicFrame macro="">
      <xdr:nvGraphicFramePr>
        <xdr:cNvPr id="230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0.81752</cdr:y>
    </cdr:from>
    <cdr:to>
      <cdr:x>0.37295</cdr:x>
      <cdr:y>0.88521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69" y="2315303"/>
          <a:ext cx="1627991" cy="191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0.42275</cdr:x>
      <cdr:y>0.10768</cdr:y>
    </cdr:from>
    <cdr:to>
      <cdr:x>0.93802</cdr:x>
      <cdr:y>0.23498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7380" y="304961"/>
          <a:ext cx="2312623" cy="3605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0.84021</cdr:y>
    </cdr:from>
    <cdr:to>
      <cdr:x>0.40678</cdr:x>
      <cdr:y>0.92355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1" y="2919501"/>
          <a:ext cx="1887761" cy="289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0.16017</cdr:x>
      <cdr:y>0.25992</cdr:y>
    </cdr:from>
    <cdr:to>
      <cdr:x>0.89436</cdr:x>
      <cdr:y>0.37374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4272" y="903162"/>
          <a:ext cx="3457418" cy="39549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0.01022</cdr:x>
      <cdr:y>0.78231</cdr:y>
    </cdr:from>
    <cdr:to>
      <cdr:x>0.38466</cdr:x>
      <cdr:y>0.85385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0.30508</cdr:x>
      <cdr:y>0.14127</cdr:y>
    </cdr:from>
    <cdr:to>
      <cdr:x>0.75454</cdr:x>
      <cdr:y>0.27085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71600" y="400085"/>
          <a:ext cx="2020661" cy="3669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0.02659</cdr:x>
      <cdr:y>0.79777</cdr:y>
    </cdr:from>
    <cdr:to>
      <cdr:x>0.35598</cdr:x>
      <cdr:y>0.86908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166" y="2316115"/>
          <a:ext cx="1500951" cy="20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0.19749</cdr:x>
      <cdr:y>0.14119</cdr:y>
    </cdr:from>
    <cdr:to>
      <cdr:x>0.89765</cdr:x>
      <cdr:y>0.24286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9894" y="409894"/>
          <a:ext cx="3190461" cy="29517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0.01128</cdr:x>
      <cdr:y>0.82791</cdr:y>
    </cdr:from>
    <cdr:to>
      <cdr:x>0.362</cdr:x>
      <cdr:y>0.9086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986" y="2792631"/>
          <a:ext cx="1678294" cy="272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0.16651</cdr:x>
      <cdr:y>0.15136</cdr:y>
    </cdr:from>
    <cdr:to>
      <cdr:x>0.88305</cdr:x>
      <cdr:y>0.26009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822" y="510540"/>
          <a:ext cx="3428902" cy="3667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0.3604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06" y="2906578"/>
          <a:ext cx="1675754" cy="2723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0.16439</cdr:x>
      <cdr:y>0.16793</cdr:y>
    </cdr:from>
    <cdr:to>
      <cdr:x>0.88093</cdr:x>
      <cdr:y>0.27666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2</xdr:row>
      <xdr:rowOff>106680</xdr:rowOff>
    </xdr:from>
    <xdr:to>
      <xdr:col>9</xdr:col>
      <xdr:colOff>259080</xdr:colOff>
      <xdr:row>19</xdr:row>
      <xdr:rowOff>76200</xdr:rowOff>
    </xdr:to>
    <xdr:graphicFrame macro="">
      <xdr:nvGraphicFramePr>
        <xdr:cNvPr id="31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K53" sqref="AK53"/>
    </sheetView>
  </sheetViews>
  <sheetFormatPr defaultRowHeight="15" x14ac:dyDescent="0.25"/>
  <sheetData>
    <row r="1" spans="1:43" ht="15.6" x14ac:dyDescent="0.3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6" x14ac:dyDescent="0.3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6" x14ac:dyDescent="0.3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08"/>
  <sheetViews>
    <sheetView defaultGridColor="0" colorId="22" zoomScale="150" zoomScaleNormal="150" workbookViewId="0">
      <pane xSplit="1" ySplit="7" topLeftCell="B1085" activePane="bottomRight" state="frozen"/>
      <selection pane="topRight" activeCell="B1" sqref="B1"/>
      <selection pane="bottomLeft" activeCell="A9" sqref="A9"/>
      <selection pane="bottomRight" activeCell="D1093" sqref="D1093"/>
    </sheetView>
  </sheetViews>
  <sheetFormatPr defaultRowHeight="15" x14ac:dyDescent="0.25"/>
  <cols>
    <col min="1" max="1" width="10.08984375" bestFit="1" customWidth="1"/>
    <col min="2" max="3" width="7.81640625" customWidth="1"/>
    <col min="4" max="4" width="10.7265625" customWidth="1"/>
    <col min="5" max="6" width="7.81640625" customWidth="1"/>
    <col min="7" max="7" width="9.1796875" customWidth="1"/>
    <col min="8" max="8" width="9.90625" customWidth="1"/>
    <col min="9" max="10" width="10.54296875" customWidth="1"/>
    <col min="11" max="11" width="9.81640625" customWidth="1"/>
    <col min="12" max="12" width="9.90625" bestFit="1" customWidth="1"/>
    <col min="13" max="13" width="8.90625" bestFit="1" customWidth="1"/>
    <col min="15" max="15" width="9.90625" bestFit="1" customWidth="1"/>
  </cols>
  <sheetData>
    <row r="1" spans="1:11" x14ac:dyDescent="0.25">
      <c r="A1" s="39" t="s">
        <v>52</v>
      </c>
      <c r="B1" s="142"/>
      <c r="C1" s="143"/>
      <c r="D1" s="144"/>
      <c r="E1" s="144"/>
      <c r="F1" s="144"/>
      <c r="G1" s="144"/>
    </row>
    <row r="2" spans="1:11" ht="15.6" x14ac:dyDescent="0.3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ht="15.6" x14ac:dyDescent="0.3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6" x14ac:dyDescent="0.3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6" x14ac:dyDescent="0.3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5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5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5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5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5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5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5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5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5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5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5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5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5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5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5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5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5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5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5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5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5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5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5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5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5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5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5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5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5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5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5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5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5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5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5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5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5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5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5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5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5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5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5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5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5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5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5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5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5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5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5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5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5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5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5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5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5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5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5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5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5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5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5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5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5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5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5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5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5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5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5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5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5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5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5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5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5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5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5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5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5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5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5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5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5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5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5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5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5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5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5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5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5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5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5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5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5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5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5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5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5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5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5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5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5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5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5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5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5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5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5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5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5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5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5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5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5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5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5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5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5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5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5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5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5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5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5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5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5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5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5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5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5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5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5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5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5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5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5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5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5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5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5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5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5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5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5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5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5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5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5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5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5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5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5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5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5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5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5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5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5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5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5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5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5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5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5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5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5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5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5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5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5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5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5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5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5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5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5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5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5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5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5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5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5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5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5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5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5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5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5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5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5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5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5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5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5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5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5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5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5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5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5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5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5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5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5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5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5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5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5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5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5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5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5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5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5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5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5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5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5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5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5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5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5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5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5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5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5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5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5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5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5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5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5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5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5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5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5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5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5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5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5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5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5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5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5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5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5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5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5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5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5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5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5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5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5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5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5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5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5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5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5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5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5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5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5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5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5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5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5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5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5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5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5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5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5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5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5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5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5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5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5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5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5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5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5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5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5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5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5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5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5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5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5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5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5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5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5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5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5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5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5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5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5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5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5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5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5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5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5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5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5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5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5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5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5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5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5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5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5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5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5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5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5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5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5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5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5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5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5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5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5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5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5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5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5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5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5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5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5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5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5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5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5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5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5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5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5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5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5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5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5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5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5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5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5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5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5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5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5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5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5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5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5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5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5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5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5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5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5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5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5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5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5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5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5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5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5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5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5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5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5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5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5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5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5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5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5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5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5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5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5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5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5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5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5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5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5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5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5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5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5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5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5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5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5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5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5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5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5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5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5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5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5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5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5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5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5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5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5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5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5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5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5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5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5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5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5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5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5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5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5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5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5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5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5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5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5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5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5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5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5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5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5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5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5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5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5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5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5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5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5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5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5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5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5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5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5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5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5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5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5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5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5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5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5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5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5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5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5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5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5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5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5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5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5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5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5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5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5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5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5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5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5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5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5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5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5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5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5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5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5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5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5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5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5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5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5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5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5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5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5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5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5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5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5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5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5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5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5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5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5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5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5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5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5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5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5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5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5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5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5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5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5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5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5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5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5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5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5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5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5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5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5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5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5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5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5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5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5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5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5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5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5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5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5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5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5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5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5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5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5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5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5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5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5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5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5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5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5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5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5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5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5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5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5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5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5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5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5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5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5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5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5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5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5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5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5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5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5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5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5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5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5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5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5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5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5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5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5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5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5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5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5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5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5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5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5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5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5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5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5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5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5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5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5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5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5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5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5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5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5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5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5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5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5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5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5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5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5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5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5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5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5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5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5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5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5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5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5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5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5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5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5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5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5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5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5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5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5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5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5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5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5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5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5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5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5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5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5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5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5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5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5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5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5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5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5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5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5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5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5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5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5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5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5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5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5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5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5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5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5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5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5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5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5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5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5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5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5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5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5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5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5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5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5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5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5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5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5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5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5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5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5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5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5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5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5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5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5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5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5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5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5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5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5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5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5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5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5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5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5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5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5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5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5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5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5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5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5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5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5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5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5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5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5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5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5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5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5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5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5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5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5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5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5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5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5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5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5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5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5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5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5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5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5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5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5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5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5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5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5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5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5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5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5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5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5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5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5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5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5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5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5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5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5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5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5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5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5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5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5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5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5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5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5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5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5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5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5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5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5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5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5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5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5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5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5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5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5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5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5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5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5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5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5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5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5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5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5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5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5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5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5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5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5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5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5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5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5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5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5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5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5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5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5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5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5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5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5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5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5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5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5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5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5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5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5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5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5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5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5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5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5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5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5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5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5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5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5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5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5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5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5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5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5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5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5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5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5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5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5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5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5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5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5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5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5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5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5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5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5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5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5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5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5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5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5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5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5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5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5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5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5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5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5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5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5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5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5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5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5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5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5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5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5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5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5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5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5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5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5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5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5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5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5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5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5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5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5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5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5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5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5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5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5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5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5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5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5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5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5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5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5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5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5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5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5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5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5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5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5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5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5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5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5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5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5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5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5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5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5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5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5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5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5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5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5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5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5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5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5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5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5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5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5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5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5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5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5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5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5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5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5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5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5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5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5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5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5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5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5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5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5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5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5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5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5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5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5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5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5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5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5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5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5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5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5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5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5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5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5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5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5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5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5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5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5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5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5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5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5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5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5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5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5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5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5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5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5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5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5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5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5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5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68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5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5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5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5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5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5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5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5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5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5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5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5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5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5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5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5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5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5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5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5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5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5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5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5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5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5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5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5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5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5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5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5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5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5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5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5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5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5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5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5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68" si="47">SUM(D1051:H1051)-F1051</f>
        <v>7283</v>
      </c>
      <c r="J1051" s="221">
        <v>1408</v>
      </c>
      <c r="K1051" s="47">
        <f t="shared" si="45"/>
        <v>2</v>
      </c>
      <c r="L1051" s="220">
        <f t="shared" ref="L1051:L1106" si="48">L1050+7</f>
        <v>41643</v>
      </c>
    </row>
    <row r="1052" spans="1:12" x14ac:dyDescent="0.25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5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5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1">
        <v>1942</v>
      </c>
      <c r="K1054" s="47">
        <f t="shared" si="45"/>
        <v>5</v>
      </c>
      <c r="L1054" s="220">
        <f t="shared" si="48"/>
        <v>41664</v>
      </c>
    </row>
    <row r="1055" spans="1:12" x14ac:dyDescent="0.25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1">
        <v>1705</v>
      </c>
      <c r="K1055" s="47">
        <f t="shared" si="45"/>
        <v>6</v>
      </c>
      <c r="L1055" s="220">
        <f t="shared" si="48"/>
        <v>41671</v>
      </c>
    </row>
    <row r="1056" spans="1:12" x14ac:dyDescent="0.25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1">
        <v>2188</v>
      </c>
      <c r="K1056" s="47">
        <f t="shared" si="45"/>
        <v>7</v>
      </c>
      <c r="L1056" s="220">
        <f t="shared" si="48"/>
        <v>41678</v>
      </c>
    </row>
    <row r="1057" spans="1:12" x14ac:dyDescent="0.25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1791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9621</v>
      </c>
      <c r="J1057" s="251">
        <v>1295</v>
      </c>
      <c r="K1057" s="47">
        <f t="shared" si="45"/>
        <v>8</v>
      </c>
      <c r="L1057" s="220">
        <f t="shared" si="48"/>
        <v>41685</v>
      </c>
    </row>
    <row r="1058" spans="1:12" x14ac:dyDescent="0.25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1792</v>
      </c>
      <c r="F1058" s="228" t="s">
        <v>34</v>
      </c>
      <c r="G1058" s="242">
        <v>5534</v>
      </c>
      <c r="H1058" s="30">
        <f t="shared" si="43"/>
        <v>1334</v>
      </c>
      <c r="I1058" s="113">
        <f t="shared" si="47"/>
        <v>9762</v>
      </c>
      <c r="J1058" s="251">
        <v>1437</v>
      </c>
      <c r="K1058" s="47">
        <f t="shared" si="45"/>
        <v>9</v>
      </c>
      <c r="L1058" s="220">
        <f t="shared" si="48"/>
        <v>41692</v>
      </c>
    </row>
    <row r="1059" spans="1:12" x14ac:dyDescent="0.25">
      <c r="A1059" s="13">
        <f t="shared" si="46"/>
        <v>41703</v>
      </c>
      <c r="B1059" s="243">
        <v>447</v>
      </c>
      <c r="C1059" s="246">
        <v>313</v>
      </c>
      <c r="D1059" s="243">
        <v>1342</v>
      </c>
      <c r="E1059" s="246">
        <v>1198</v>
      </c>
      <c r="F1059" s="228" t="s">
        <v>34</v>
      </c>
      <c r="G1059" s="242">
        <v>3791</v>
      </c>
      <c r="H1059" s="30">
        <f t="shared" si="43"/>
        <v>760</v>
      </c>
      <c r="I1059" s="113">
        <f t="shared" si="47"/>
        <v>7091</v>
      </c>
      <c r="J1059" s="251">
        <v>1654</v>
      </c>
      <c r="K1059" s="47">
        <f t="shared" si="45"/>
        <v>10</v>
      </c>
      <c r="L1059" s="220">
        <f t="shared" si="48"/>
        <v>41699</v>
      </c>
    </row>
    <row r="1060" spans="1:12" x14ac:dyDescent="0.25">
      <c r="A1060" s="13">
        <f t="shared" si="46"/>
        <v>41710</v>
      </c>
      <c r="B1060" s="243">
        <v>435</v>
      </c>
      <c r="C1060" s="246">
        <v>276</v>
      </c>
      <c r="D1060" s="243">
        <v>928</v>
      </c>
      <c r="E1060" s="246">
        <v>1754</v>
      </c>
      <c r="F1060" s="228" t="s">
        <v>34</v>
      </c>
      <c r="G1060" s="242">
        <v>5174</v>
      </c>
      <c r="H1060" s="30">
        <f t="shared" si="43"/>
        <v>711</v>
      </c>
      <c r="I1060" s="113">
        <f t="shared" si="47"/>
        <v>8567</v>
      </c>
      <c r="J1060" s="257">
        <v>1589</v>
      </c>
      <c r="K1060" s="47">
        <f t="shared" si="45"/>
        <v>11</v>
      </c>
      <c r="L1060" s="220">
        <f t="shared" si="48"/>
        <v>41706</v>
      </c>
    </row>
    <row r="1061" spans="1:12" x14ac:dyDescent="0.25">
      <c r="A1061" s="13">
        <f t="shared" si="46"/>
        <v>41717</v>
      </c>
      <c r="B1061" s="243">
        <v>353</v>
      </c>
      <c r="C1061" s="246">
        <v>492</v>
      </c>
      <c r="D1061" s="243">
        <v>760</v>
      </c>
      <c r="E1061" s="246">
        <v>1431</v>
      </c>
      <c r="F1061" s="228" t="s">
        <v>34</v>
      </c>
      <c r="G1061" s="242">
        <v>4543</v>
      </c>
      <c r="H1061" s="30">
        <f t="shared" si="43"/>
        <v>845</v>
      </c>
      <c r="I1061" s="113">
        <f t="shared" si="47"/>
        <v>7579</v>
      </c>
      <c r="J1061" s="257">
        <v>2088</v>
      </c>
      <c r="K1061" s="47">
        <f t="shared" si="45"/>
        <v>12</v>
      </c>
      <c r="L1061" s="220">
        <f t="shared" si="48"/>
        <v>41713</v>
      </c>
    </row>
    <row r="1062" spans="1:12" x14ac:dyDescent="0.25">
      <c r="A1062" s="13">
        <f t="shared" si="46"/>
        <v>41724</v>
      </c>
      <c r="B1062" s="243">
        <v>522</v>
      </c>
      <c r="C1062" s="246">
        <v>455</v>
      </c>
      <c r="D1062" s="243">
        <v>920</v>
      </c>
      <c r="E1062" s="246">
        <v>1397</v>
      </c>
      <c r="F1062" s="228" t="s">
        <v>34</v>
      </c>
      <c r="G1062" s="242">
        <v>5692</v>
      </c>
      <c r="H1062" s="30">
        <f t="shared" si="43"/>
        <v>977</v>
      </c>
      <c r="I1062" s="113">
        <f t="shared" si="47"/>
        <v>8986</v>
      </c>
      <c r="J1062" s="257">
        <v>1917</v>
      </c>
      <c r="K1062" s="47">
        <f t="shared" si="45"/>
        <v>13</v>
      </c>
      <c r="L1062" s="220">
        <f t="shared" si="48"/>
        <v>41720</v>
      </c>
    </row>
    <row r="1063" spans="1:12" x14ac:dyDescent="0.25">
      <c r="A1063" s="13">
        <f t="shared" si="46"/>
        <v>41731</v>
      </c>
      <c r="B1063" s="243">
        <v>326</v>
      </c>
      <c r="C1063" s="246">
        <v>293</v>
      </c>
      <c r="D1063" s="243">
        <v>1065</v>
      </c>
      <c r="E1063" s="246">
        <v>1664</v>
      </c>
      <c r="F1063" s="228" t="s">
        <v>34</v>
      </c>
      <c r="G1063" s="242">
        <v>4690</v>
      </c>
      <c r="H1063" s="30">
        <f t="shared" si="43"/>
        <v>619</v>
      </c>
      <c r="I1063" s="113">
        <f t="shared" si="47"/>
        <v>8038</v>
      </c>
      <c r="J1063" s="221">
        <v>1752</v>
      </c>
      <c r="K1063" s="47">
        <f t="shared" si="45"/>
        <v>14</v>
      </c>
      <c r="L1063" s="220">
        <f t="shared" si="48"/>
        <v>41727</v>
      </c>
    </row>
    <row r="1064" spans="1:12" x14ac:dyDescent="0.25">
      <c r="A1064" s="13">
        <f t="shared" si="46"/>
        <v>41738</v>
      </c>
      <c r="B1064" s="47">
        <v>414</v>
      </c>
      <c r="C1064" s="47">
        <v>123</v>
      </c>
      <c r="D1064" s="243">
        <v>1039</v>
      </c>
      <c r="E1064" s="47">
        <v>2327</v>
      </c>
      <c r="F1064" s="228" t="s">
        <v>34</v>
      </c>
      <c r="G1064" s="242">
        <v>5823</v>
      </c>
      <c r="H1064" s="30">
        <f t="shared" si="43"/>
        <v>537</v>
      </c>
      <c r="I1064" s="113">
        <f t="shared" si="47"/>
        <v>9726</v>
      </c>
      <c r="J1064" s="221">
        <v>1749</v>
      </c>
      <c r="K1064" s="47">
        <f t="shared" si="45"/>
        <v>15</v>
      </c>
      <c r="L1064" s="220">
        <f t="shared" si="48"/>
        <v>41734</v>
      </c>
    </row>
    <row r="1065" spans="1:12" x14ac:dyDescent="0.25">
      <c r="A1065" s="13">
        <f t="shared" si="46"/>
        <v>41745</v>
      </c>
      <c r="B1065" s="243">
        <v>350</v>
      </c>
      <c r="C1065" s="246">
        <v>503</v>
      </c>
      <c r="D1065" s="243">
        <v>766</v>
      </c>
      <c r="E1065" s="246">
        <v>2055</v>
      </c>
      <c r="F1065" s="228" t="s">
        <v>34</v>
      </c>
      <c r="G1065" s="242">
        <v>5097</v>
      </c>
      <c r="H1065" s="30">
        <f t="shared" si="43"/>
        <v>853</v>
      </c>
      <c r="I1065" s="113">
        <f t="shared" si="47"/>
        <v>8771</v>
      </c>
      <c r="J1065" s="221">
        <v>2090</v>
      </c>
      <c r="K1065" s="47">
        <f t="shared" si="45"/>
        <v>16</v>
      </c>
      <c r="L1065" s="220">
        <f t="shared" si="48"/>
        <v>41741</v>
      </c>
    </row>
    <row r="1066" spans="1:12" x14ac:dyDescent="0.25">
      <c r="A1066" s="13">
        <f t="shared" si="46"/>
        <v>41752</v>
      </c>
      <c r="B1066" s="243">
        <v>252</v>
      </c>
      <c r="C1066" s="246">
        <v>219</v>
      </c>
      <c r="D1066" s="243">
        <v>528</v>
      </c>
      <c r="E1066" s="246">
        <v>2199</v>
      </c>
      <c r="F1066" s="228" t="s">
        <v>34</v>
      </c>
      <c r="G1066" s="242">
        <v>5277</v>
      </c>
      <c r="H1066" s="30">
        <f t="shared" si="43"/>
        <v>471</v>
      </c>
      <c r="I1066" s="113">
        <f t="shared" si="47"/>
        <v>8475</v>
      </c>
      <c r="J1066" s="221">
        <v>1921</v>
      </c>
      <c r="K1066" s="47">
        <f t="shared" si="45"/>
        <v>17</v>
      </c>
      <c r="L1066" s="220">
        <f t="shared" si="48"/>
        <v>41748</v>
      </c>
    </row>
    <row r="1067" spans="1:12" x14ac:dyDescent="0.25">
      <c r="A1067" s="13">
        <f t="shared" si="46"/>
        <v>41759</v>
      </c>
      <c r="B1067" s="243">
        <v>333</v>
      </c>
      <c r="C1067" s="246">
        <v>198</v>
      </c>
      <c r="D1067" s="243">
        <v>563</v>
      </c>
      <c r="E1067" s="246">
        <v>1874</v>
      </c>
      <c r="F1067" s="228" t="s">
        <v>34</v>
      </c>
      <c r="G1067" s="242">
        <v>4679</v>
      </c>
      <c r="H1067" s="30">
        <f t="shared" si="43"/>
        <v>531</v>
      </c>
      <c r="I1067" s="113">
        <f t="shared" si="47"/>
        <v>7647</v>
      </c>
      <c r="J1067" s="221">
        <v>2268</v>
      </c>
      <c r="K1067" s="47">
        <f t="shared" si="45"/>
        <v>18</v>
      </c>
      <c r="L1067" s="220">
        <f t="shared" si="48"/>
        <v>41755</v>
      </c>
    </row>
    <row r="1068" spans="1:12" x14ac:dyDescent="0.25">
      <c r="A1068" s="13">
        <f t="shared" si="46"/>
        <v>41766</v>
      </c>
      <c r="B1068" s="243">
        <v>183</v>
      </c>
      <c r="C1068" s="246">
        <v>19</v>
      </c>
      <c r="D1068" s="243">
        <v>430</v>
      </c>
      <c r="E1068" s="246">
        <v>2941</v>
      </c>
      <c r="F1068" s="228" t="s">
        <v>34</v>
      </c>
      <c r="G1068" s="242">
        <v>4135</v>
      </c>
      <c r="H1068" s="30">
        <f t="shared" si="43"/>
        <v>202</v>
      </c>
      <c r="I1068" s="113">
        <f t="shared" si="47"/>
        <v>7708</v>
      </c>
      <c r="J1068" s="221">
        <v>2005</v>
      </c>
      <c r="K1068" s="47">
        <f t="shared" si="45"/>
        <v>19</v>
      </c>
      <c r="L1068" s="220">
        <f t="shared" si="48"/>
        <v>41762</v>
      </c>
    </row>
    <row r="1069" spans="1:12" x14ac:dyDescent="0.25">
      <c r="A1069" s="13">
        <f t="shared" si="46"/>
        <v>41773</v>
      </c>
      <c r="B1069" s="261">
        <v>225</v>
      </c>
      <c r="C1069" s="261">
        <v>0</v>
      </c>
      <c r="D1069" s="261">
        <v>408</v>
      </c>
      <c r="E1069" s="243">
        <v>1200</v>
      </c>
      <c r="F1069" s="228" t="s">
        <v>34</v>
      </c>
      <c r="G1069" s="242">
        <v>3704</v>
      </c>
      <c r="H1069" s="30">
        <f t="shared" ref="H1069:H1091" si="49">B1069+C1069</f>
        <v>225</v>
      </c>
      <c r="I1069" s="113">
        <f t="shared" ref="I1069:I1091" si="50">SUM(D1069:H1069)-F1069</f>
        <v>5537</v>
      </c>
      <c r="J1069" s="221">
        <v>3109</v>
      </c>
      <c r="K1069" s="47">
        <f t="shared" si="45"/>
        <v>20</v>
      </c>
      <c r="L1069" s="220">
        <f t="shared" si="48"/>
        <v>41769</v>
      </c>
    </row>
    <row r="1070" spans="1:12" x14ac:dyDescent="0.25">
      <c r="A1070" s="13">
        <f t="shared" si="46"/>
        <v>41780</v>
      </c>
      <c r="B1070" s="243">
        <v>229</v>
      </c>
      <c r="C1070" s="246">
        <v>0</v>
      </c>
      <c r="D1070" s="243">
        <v>111</v>
      </c>
      <c r="E1070" s="243">
        <v>3194</v>
      </c>
      <c r="F1070" s="228" t="s">
        <v>34</v>
      </c>
      <c r="G1070" s="242">
        <v>3356</v>
      </c>
      <c r="H1070" s="30">
        <f t="shared" si="49"/>
        <v>229</v>
      </c>
      <c r="I1070" s="113">
        <f t="shared" si="50"/>
        <v>6890</v>
      </c>
      <c r="J1070" s="221">
        <v>2041</v>
      </c>
      <c r="K1070" s="47">
        <f t="shared" si="45"/>
        <v>21</v>
      </c>
      <c r="L1070" s="220">
        <f t="shared" si="48"/>
        <v>41776</v>
      </c>
    </row>
    <row r="1071" spans="1:12" x14ac:dyDescent="0.25">
      <c r="A1071" s="13">
        <f t="shared" si="46"/>
        <v>41787</v>
      </c>
      <c r="B1071" s="243">
        <v>322</v>
      </c>
      <c r="C1071" s="243">
        <v>0</v>
      </c>
      <c r="D1071" s="243">
        <v>133</v>
      </c>
      <c r="E1071" s="243">
        <v>1851</v>
      </c>
      <c r="F1071" s="228" t="s">
        <v>34</v>
      </c>
      <c r="G1071" s="242">
        <v>3810</v>
      </c>
      <c r="H1071" s="30">
        <f t="shared" si="49"/>
        <v>322</v>
      </c>
      <c r="I1071" s="113">
        <f t="shared" si="50"/>
        <v>6116</v>
      </c>
      <c r="J1071" s="221">
        <v>1792</v>
      </c>
      <c r="K1071" s="47">
        <f t="shared" si="45"/>
        <v>22</v>
      </c>
      <c r="L1071" s="220">
        <f t="shared" si="48"/>
        <v>41783</v>
      </c>
    </row>
    <row r="1072" spans="1:12" x14ac:dyDescent="0.25">
      <c r="A1072" s="13">
        <f t="shared" si="46"/>
        <v>41794</v>
      </c>
      <c r="B1072" s="243">
        <v>325</v>
      </c>
      <c r="C1072" s="243">
        <v>0</v>
      </c>
      <c r="D1072" s="243">
        <v>17</v>
      </c>
      <c r="E1072" s="246">
        <v>1377</v>
      </c>
      <c r="F1072" s="228" t="s">
        <v>34</v>
      </c>
      <c r="G1072" s="242">
        <v>3495</v>
      </c>
      <c r="H1072" s="30">
        <f t="shared" si="49"/>
        <v>325</v>
      </c>
      <c r="I1072" s="113">
        <f t="shared" si="50"/>
        <v>5214</v>
      </c>
      <c r="J1072" s="221">
        <v>1703</v>
      </c>
      <c r="K1072" s="47">
        <f t="shared" si="45"/>
        <v>23</v>
      </c>
      <c r="L1072" s="220">
        <f t="shared" si="48"/>
        <v>41790</v>
      </c>
    </row>
    <row r="1073" spans="1:12" x14ac:dyDescent="0.25">
      <c r="A1073" s="13">
        <f t="shared" si="46"/>
        <v>41801</v>
      </c>
      <c r="B1073" s="243">
        <v>151</v>
      </c>
      <c r="C1073" s="243">
        <v>11</v>
      </c>
      <c r="D1073" s="243">
        <v>14</v>
      </c>
      <c r="E1073" s="246">
        <v>1219</v>
      </c>
      <c r="F1073" s="228" t="s">
        <v>34</v>
      </c>
      <c r="G1073" s="242">
        <v>3601</v>
      </c>
      <c r="H1073" s="30">
        <f t="shared" si="49"/>
        <v>162</v>
      </c>
      <c r="I1073" s="113">
        <f t="shared" si="50"/>
        <v>4996</v>
      </c>
      <c r="J1073" s="221">
        <v>2926</v>
      </c>
      <c r="K1073" s="47">
        <f t="shared" si="45"/>
        <v>24</v>
      </c>
      <c r="L1073" s="220">
        <f t="shared" si="48"/>
        <v>41797</v>
      </c>
    </row>
    <row r="1074" spans="1:12" x14ac:dyDescent="0.25">
      <c r="A1074" s="13">
        <f t="shared" si="46"/>
        <v>41808</v>
      </c>
      <c r="B1074" s="243">
        <v>0</v>
      </c>
      <c r="C1074" s="243">
        <v>0</v>
      </c>
      <c r="D1074" s="243">
        <v>83</v>
      </c>
      <c r="E1074" s="246">
        <v>1315</v>
      </c>
      <c r="F1074" s="228" t="s">
        <v>34</v>
      </c>
      <c r="G1074" s="242">
        <v>3869</v>
      </c>
      <c r="H1074" s="30">
        <f t="shared" si="49"/>
        <v>0</v>
      </c>
      <c r="I1074" s="113">
        <f t="shared" si="50"/>
        <v>5267</v>
      </c>
      <c r="J1074" s="221">
        <v>1792</v>
      </c>
      <c r="K1074" s="47">
        <f t="shared" si="45"/>
        <v>25</v>
      </c>
      <c r="L1074" s="220">
        <f t="shared" si="48"/>
        <v>41804</v>
      </c>
    </row>
    <row r="1075" spans="1:12" x14ac:dyDescent="0.25">
      <c r="A1075" s="13">
        <f t="shared" si="46"/>
        <v>41815</v>
      </c>
      <c r="B1075" s="243">
        <v>0</v>
      </c>
      <c r="C1075" s="243">
        <v>0</v>
      </c>
      <c r="D1075" s="243">
        <v>6</v>
      </c>
      <c r="E1075" s="246">
        <v>950</v>
      </c>
      <c r="F1075" s="228" t="s">
        <v>34</v>
      </c>
      <c r="G1075" s="242">
        <v>3251</v>
      </c>
      <c r="H1075" s="30">
        <f t="shared" si="49"/>
        <v>0</v>
      </c>
      <c r="I1075" s="113">
        <f t="shared" si="50"/>
        <v>4207</v>
      </c>
      <c r="J1075" s="221">
        <v>2282</v>
      </c>
      <c r="K1075" s="47">
        <f t="shared" si="45"/>
        <v>26</v>
      </c>
      <c r="L1075" s="220">
        <f t="shared" si="48"/>
        <v>41811</v>
      </c>
    </row>
    <row r="1076" spans="1:12" x14ac:dyDescent="0.25">
      <c r="A1076" s="13">
        <f t="shared" si="46"/>
        <v>41822</v>
      </c>
      <c r="B1076" s="243">
        <v>265</v>
      </c>
      <c r="C1076" s="243">
        <v>9</v>
      </c>
      <c r="D1076" s="243">
        <v>6</v>
      </c>
      <c r="E1076" s="246">
        <v>817</v>
      </c>
      <c r="F1076" s="228" t="s">
        <v>34</v>
      </c>
      <c r="G1076" s="242">
        <v>2765</v>
      </c>
      <c r="H1076" s="30">
        <f t="shared" si="49"/>
        <v>274</v>
      </c>
      <c r="I1076" s="113">
        <f t="shared" si="50"/>
        <v>3862</v>
      </c>
      <c r="J1076" s="221">
        <v>1745</v>
      </c>
      <c r="K1076" s="47">
        <f t="shared" si="45"/>
        <v>27</v>
      </c>
      <c r="L1076" s="220">
        <f t="shared" si="48"/>
        <v>41818</v>
      </c>
    </row>
    <row r="1077" spans="1:12" x14ac:dyDescent="0.25">
      <c r="A1077" s="13">
        <f t="shared" si="46"/>
        <v>41829</v>
      </c>
      <c r="B1077" s="246">
        <v>192</v>
      </c>
      <c r="C1077" s="246">
        <v>0</v>
      </c>
      <c r="D1077" s="243">
        <v>151</v>
      </c>
      <c r="E1077" s="246">
        <v>1648</v>
      </c>
      <c r="F1077" s="228" t="s">
        <v>34</v>
      </c>
      <c r="G1077" s="242">
        <v>3719</v>
      </c>
      <c r="H1077" s="30">
        <f t="shared" si="49"/>
        <v>192</v>
      </c>
      <c r="I1077" s="113">
        <f t="shared" si="50"/>
        <v>5710</v>
      </c>
      <c r="J1077" s="221">
        <v>1595</v>
      </c>
      <c r="K1077" s="47">
        <f t="shared" si="45"/>
        <v>28</v>
      </c>
      <c r="L1077" s="220">
        <f t="shared" si="48"/>
        <v>41825</v>
      </c>
    </row>
    <row r="1078" spans="1:12" x14ac:dyDescent="0.25">
      <c r="A1078" s="13">
        <f t="shared" si="46"/>
        <v>41836</v>
      </c>
      <c r="B1078" s="246">
        <v>100</v>
      </c>
      <c r="C1078" s="246">
        <v>0</v>
      </c>
      <c r="D1078" s="243">
        <v>13</v>
      </c>
      <c r="E1078" s="246">
        <v>1403</v>
      </c>
      <c r="F1078" s="228" t="s">
        <v>34</v>
      </c>
      <c r="G1078" s="242">
        <v>3059</v>
      </c>
      <c r="H1078" s="30">
        <f t="shared" si="49"/>
        <v>100</v>
      </c>
      <c r="I1078" s="113">
        <f t="shared" si="50"/>
        <v>4575</v>
      </c>
      <c r="J1078" s="221">
        <v>2229</v>
      </c>
      <c r="K1078" s="47">
        <f t="shared" si="45"/>
        <v>29</v>
      </c>
      <c r="L1078" s="220">
        <f t="shared" si="48"/>
        <v>41832</v>
      </c>
    </row>
    <row r="1079" spans="1:12" x14ac:dyDescent="0.25">
      <c r="A1079" s="13">
        <f t="shared" si="46"/>
        <v>41843</v>
      </c>
      <c r="B1079" s="246">
        <v>210</v>
      </c>
      <c r="C1079" s="246">
        <v>1</v>
      </c>
      <c r="D1079" s="243">
        <v>10</v>
      </c>
      <c r="E1079" s="246">
        <v>949</v>
      </c>
      <c r="F1079" s="228" t="s">
        <v>34</v>
      </c>
      <c r="G1079" s="242">
        <v>3129</v>
      </c>
      <c r="H1079" s="30">
        <f t="shared" si="49"/>
        <v>211</v>
      </c>
      <c r="I1079" s="113">
        <f t="shared" si="50"/>
        <v>4299</v>
      </c>
      <c r="J1079" s="221">
        <v>1942</v>
      </c>
      <c r="K1079" s="47">
        <f t="shared" si="45"/>
        <v>30</v>
      </c>
      <c r="L1079" s="220">
        <f t="shared" si="48"/>
        <v>41839</v>
      </c>
    </row>
    <row r="1080" spans="1:12" x14ac:dyDescent="0.25">
      <c r="A1080" s="13">
        <f t="shared" si="46"/>
        <v>41850</v>
      </c>
      <c r="B1080" s="246">
        <v>287</v>
      </c>
      <c r="C1080" s="246">
        <v>0</v>
      </c>
      <c r="D1080" s="243">
        <v>117</v>
      </c>
      <c r="E1080" s="246">
        <v>1430</v>
      </c>
      <c r="F1080" s="228" t="s">
        <v>34</v>
      </c>
      <c r="G1080" s="242">
        <v>3343</v>
      </c>
      <c r="H1080" s="30">
        <f t="shared" si="49"/>
        <v>287</v>
      </c>
      <c r="I1080" s="113">
        <f t="shared" si="50"/>
        <v>5177</v>
      </c>
      <c r="J1080" s="221">
        <v>1718</v>
      </c>
      <c r="K1080" s="47">
        <f t="shared" si="45"/>
        <v>31</v>
      </c>
      <c r="L1080" s="220">
        <f t="shared" si="48"/>
        <v>41846</v>
      </c>
    </row>
    <row r="1081" spans="1:12" x14ac:dyDescent="0.25">
      <c r="A1081" s="13">
        <f t="shared" si="46"/>
        <v>41857</v>
      </c>
      <c r="B1081" s="246">
        <v>168</v>
      </c>
      <c r="C1081" s="246">
        <v>0</v>
      </c>
      <c r="D1081" s="243">
        <v>216</v>
      </c>
      <c r="E1081" s="246">
        <v>1545</v>
      </c>
      <c r="F1081" s="228" t="s">
        <v>34</v>
      </c>
      <c r="G1081" s="242">
        <v>3709</v>
      </c>
      <c r="H1081" s="30">
        <f t="shared" si="49"/>
        <v>168</v>
      </c>
      <c r="I1081" s="113">
        <f t="shared" si="50"/>
        <v>5638</v>
      </c>
      <c r="J1081" s="221">
        <v>1152</v>
      </c>
      <c r="K1081" s="47">
        <f t="shared" si="45"/>
        <v>32</v>
      </c>
      <c r="L1081" s="220">
        <f t="shared" si="48"/>
        <v>41853</v>
      </c>
    </row>
    <row r="1082" spans="1:12" x14ac:dyDescent="0.25">
      <c r="A1082" s="13">
        <f t="shared" si="46"/>
        <v>41864</v>
      </c>
      <c r="B1082" s="246">
        <v>374</v>
      </c>
      <c r="C1082" s="246">
        <v>14</v>
      </c>
      <c r="D1082" s="243">
        <v>237</v>
      </c>
      <c r="E1082" s="246">
        <v>1896</v>
      </c>
      <c r="F1082" s="228" t="s">
        <v>34</v>
      </c>
      <c r="G1082" s="242">
        <v>3886</v>
      </c>
      <c r="H1082" s="30">
        <f t="shared" si="49"/>
        <v>388</v>
      </c>
      <c r="I1082" s="113">
        <f t="shared" si="50"/>
        <v>6407</v>
      </c>
      <c r="J1082" s="221">
        <v>1751</v>
      </c>
      <c r="K1082" s="47">
        <f t="shared" si="45"/>
        <v>33</v>
      </c>
      <c r="L1082" s="220">
        <f t="shared" si="48"/>
        <v>41860</v>
      </c>
    </row>
    <row r="1083" spans="1:12" x14ac:dyDescent="0.25">
      <c r="A1083" s="13">
        <f t="shared" si="46"/>
        <v>41871</v>
      </c>
      <c r="B1083" s="246">
        <v>133</v>
      </c>
      <c r="C1083" s="246">
        <v>20</v>
      </c>
      <c r="D1083" s="243">
        <v>34</v>
      </c>
      <c r="E1083" s="246">
        <v>1740</v>
      </c>
      <c r="F1083" s="228" t="s">
        <v>34</v>
      </c>
      <c r="G1083" s="242">
        <v>4260</v>
      </c>
      <c r="H1083" s="30">
        <f t="shared" si="49"/>
        <v>153</v>
      </c>
      <c r="I1083" s="113">
        <f t="shared" si="50"/>
        <v>6187</v>
      </c>
      <c r="J1083" s="221">
        <v>2201</v>
      </c>
      <c r="K1083" s="47">
        <f t="shared" si="45"/>
        <v>34</v>
      </c>
      <c r="L1083" s="220">
        <f t="shared" si="48"/>
        <v>41867</v>
      </c>
    </row>
    <row r="1084" spans="1:12" x14ac:dyDescent="0.25">
      <c r="A1084" s="13">
        <f t="shared" si="46"/>
        <v>41878</v>
      </c>
      <c r="B1084" s="246">
        <v>320</v>
      </c>
      <c r="C1084" s="246">
        <v>63</v>
      </c>
      <c r="D1084" s="243">
        <v>239</v>
      </c>
      <c r="E1084" s="246">
        <v>1837</v>
      </c>
      <c r="F1084" s="228" t="s">
        <v>34</v>
      </c>
      <c r="G1084" s="242">
        <v>4256</v>
      </c>
      <c r="H1084" s="30">
        <f t="shared" si="49"/>
        <v>383</v>
      </c>
      <c r="I1084" s="113">
        <f t="shared" si="50"/>
        <v>6715</v>
      </c>
      <c r="J1084" s="221">
        <v>1817</v>
      </c>
      <c r="K1084" s="47">
        <f t="shared" si="45"/>
        <v>35</v>
      </c>
      <c r="L1084" s="220">
        <f t="shared" si="48"/>
        <v>41874</v>
      </c>
    </row>
    <row r="1085" spans="1:12" x14ac:dyDescent="0.25">
      <c r="A1085" s="13">
        <f t="shared" si="46"/>
        <v>41885</v>
      </c>
      <c r="B1085" s="246">
        <v>294</v>
      </c>
      <c r="C1085" s="246">
        <v>0</v>
      </c>
      <c r="D1085" s="243">
        <v>450</v>
      </c>
      <c r="E1085" s="246">
        <v>1096</v>
      </c>
      <c r="F1085" s="228" t="s">
        <v>34</v>
      </c>
      <c r="G1085" s="242">
        <v>3628</v>
      </c>
      <c r="H1085" s="30">
        <f t="shared" si="49"/>
        <v>294</v>
      </c>
      <c r="I1085" s="113">
        <f t="shared" si="50"/>
        <v>5468</v>
      </c>
      <c r="J1085" s="221">
        <v>2048</v>
      </c>
      <c r="K1085" s="47">
        <f t="shared" si="45"/>
        <v>36</v>
      </c>
      <c r="L1085" s="220">
        <f t="shared" si="48"/>
        <v>41881</v>
      </c>
    </row>
    <row r="1086" spans="1:12" x14ac:dyDescent="0.25">
      <c r="A1086" s="13">
        <f t="shared" si="46"/>
        <v>41892</v>
      </c>
      <c r="B1086" s="246">
        <v>489</v>
      </c>
      <c r="C1086" s="246">
        <v>4</v>
      </c>
      <c r="D1086" s="243">
        <v>82</v>
      </c>
      <c r="E1086" s="246">
        <v>1766</v>
      </c>
      <c r="F1086" s="228" t="s">
        <v>34</v>
      </c>
      <c r="G1086" s="242">
        <v>3509</v>
      </c>
      <c r="H1086" s="30">
        <f t="shared" si="49"/>
        <v>493</v>
      </c>
      <c r="I1086" s="113">
        <f t="shared" si="50"/>
        <v>5850</v>
      </c>
      <c r="J1086" s="221">
        <v>2093</v>
      </c>
      <c r="K1086" s="47">
        <f t="shared" si="45"/>
        <v>37</v>
      </c>
      <c r="L1086" s="220">
        <f t="shared" si="48"/>
        <v>41888</v>
      </c>
    </row>
    <row r="1087" spans="1:12" x14ac:dyDescent="0.25">
      <c r="A1087" s="13">
        <f t="shared" si="46"/>
        <v>41899</v>
      </c>
      <c r="B1087" s="246">
        <v>226</v>
      </c>
      <c r="C1087" s="246">
        <v>11</v>
      </c>
      <c r="D1087" s="243">
        <v>262</v>
      </c>
      <c r="E1087" s="246">
        <v>1308</v>
      </c>
      <c r="F1087" s="228" t="s">
        <v>34</v>
      </c>
      <c r="G1087" s="242">
        <v>3552</v>
      </c>
      <c r="H1087" s="30">
        <f t="shared" si="49"/>
        <v>237</v>
      </c>
      <c r="I1087" s="113">
        <f t="shared" si="50"/>
        <v>5359</v>
      </c>
      <c r="J1087" s="221">
        <v>2240</v>
      </c>
      <c r="K1087" s="47">
        <f t="shared" si="45"/>
        <v>38</v>
      </c>
      <c r="L1087" s="220">
        <f t="shared" si="48"/>
        <v>41895</v>
      </c>
    </row>
    <row r="1088" spans="1:12" x14ac:dyDescent="0.25">
      <c r="A1088" s="13">
        <f t="shared" si="46"/>
        <v>41906</v>
      </c>
      <c r="B1088" s="246">
        <v>65</v>
      </c>
      <c r="C1088" s="246">
        <v>6</v>
      </c>
      <c r="D1088" s="243">
        <v>136</v>
      </c>
      <c r="E1088" s="246">
        <v>1016</v>
      </c>
      <c r="F1088" s="228" t="s">
        <v>34</v>
      </c>
      <c r="G1088" s="242">
        <v>2995</v>
      </c>
      <c r="H1088" s="30">
        <f t="shared" si="49"/>
        <v>71</v>
      </c>
      <c r="I1088" s="113">
        <f t="shared" si="50"/>
        <v>4218</v>
      </c>
      <c r="J1088" s="221">
        <v>1814</v>
      </c>
      <c r="K1088" s="47">
        <f t="shared" ref="K1088:K1108" si="51">K1087+1</f>
        <v>39</v>
      </c>
      <c r="L1088" s="220">
        <f t="shared" si="48"/>
        <v>41902</v>
      </c>
    </row>
    <row r="1089" spans="1:12" x14ac:dyDescent="0.25">
      <c r="A1089" s="13">
        <f t="shared" si="46"/>
        <v>41913</v>
      </c>
      <c r="B1089" s="246">
        <v>170</v>
      </c>
      <c r="C1089" s="246">
        <v>0</v>
      </c>
      <c r="D1089" s="243">
        <v>443</v>
      </c>
      <c r="E1089" s="246">
        <v>1511</v>
      </c>
      <c r="F1089" s="228" t="s">
        <v>34</v>
      </c>
      <c r="G1089" s="242">
        <v>2699</v>
      </c>
      <c r="H1089" s="30">
        <f t="shared" si="49"/>
        <v>170</v>
      </c>
      <c r="I1089" s="113">
        <f t="shared" si="50"/>
        <v>4823</v>
      </c>
      <c r="J1089" s="221">
        <v>1485</v>
      </c>
      <c r="K1089" s="47">
        <f t="shared" si="51"/>
        <v>40</v>
      </c>
      <c r="L1089" s="220">
        <f t="shared" si="48"/>
        <v>41909</v>
      </c>
    </row>
    <row r="1090" spans="1:12" x14ac:dyDescent="0.25">
      <c r="A1090" s="13">
        <f t="shared" si="46"/>
        <v>41920</v>
      </c>
      <c r="B1090" s="246">
        <v>179</v>
      </c>
      <c r="C1090" s="246">
        <v>229</v>
      </c>
      <c r="D1090" s="243">
        <v>1360</v>
      </c>
      <c r="E1090" s="246">
        <v>1401</v>
      </c>
      <c r="F1090" s="228" t="s">
        <v>34</v>
      </c>
      <c r="G1090" s="242">
        <v>4648</v>
      </c>
      <c r="H1090" s="30">
        <f t="shared" si="49"/>
        <v>408</v>
      </c>
      <c r="I1090" s="113">
        <f t="shared" si="50"/>
        <v>7817</v>
      </c>
      <c r="J1090" s="221">
        <v>2152</v>
      </c>
      <c r="K1090" s="47">
        <f t="shared" si="51"/>
        <v>41</v>
      </c>
      <c r="L1090" s="220">
        <f t="shared" si="48"/>
        <v>41916</v>
      </c>
    </row>
    <row r="1091" spans="1:12" x14ac:dyDescent="0.25">
      <c r="A1091" s="13">
        <f t="shared" si="46"/>
        <v>41927</v>
      </c>
      <c r="B1091" s="246">
        <v>398</v>
      </c>
      <c r="C1091" s="246">
        <v>687</v>
      </c>
      <c r="D1091" s="243">
        <v>1865</v>
      </c>
      <c r="E1091" s="246">
        <v>1259</v>
      </c>
      <c r="F1091" s="228" t="s">
        <v>34</v>
      </c>
      <c r="G1091" s="242">
        <v>6948</v>
      </c>
      <c r="H1091" s="30">
        <f t="shared" si="49"/>
        <v>1085</v>
      </c>
      <c r="I1091" s="113">
        <f t="shared" si="50"/>
        <v>11157</v>
      </c>
      <c r="J1091" s="221">
        <v>1879</v>
      </c>
      <c r="K1091" s="47">
        <f t="shared" si="51"/>
        <v>42</v>
      </c>
      <c r="L1091" s="220">
        <f t="shared" si="48"/>
        <v>41923</v>
      </c>
    </row>
    <row r="1092" spans="1:12" x14ac:dyDescent="0.25">
      <c r="A1092" s="13">
        <f t="shared" si="46"/>
        <v>41934</v>
      </c>
      <c r="F1092" s="228" t="s">
        <v>34</v>
      </c>
      <c r="I1092" s="102"/>
      <c r="J1092" s="221"/>
      <c r="K1092" s="47">
        <f t="shared" si="51"/>
        <v>43</v>
      </c>
      <c r="L1092" s="220">
        <f t="shared" si="48"/>
        <v>41930</v>
      </c>
    </row>
    <row r="1093" spans="1:12" x14ac:dyDescent="0.25">
      <c r="A1093" s="13">
        <f t="shared" si="46"/>
        <v>41941</v>
      </c>
      <c r="F1093" s="228" t="s">
        <v>34</v>
      </c>
      <c r="I1093" s="102"/>
      <c r="J1093" s="221"/>
      <c r="K1093" s="47">
        <f t="shared" si="51"/>
        <v>44</v>
      </c>
      <c r="L1093" s="220">
        <f t="shared" si="48"/>
        <v>41937</v>
      </c>
    </row>
    <row r="1094" spans="1:12" x14ac:dyDescent="0.25">
      <c r="A1094" s="13">
        <f t="shared" si="46"/>
        <v>41948</v>
      </c>
      <c r="F1094" s="228" t="s">
        <v>34</v>
      </c>
      <c r="I1094" s="102"/>
      <c r="J1094" s="221"/>
      <c r="K1094" s="47">
        <f t="shared" si="51"/>
        <v>45</v>
      </c>
      <c r="L1094" s="220">
        <f t="shared" si="48"/>
        <v>41944</v>
      </c>
    </row>
    <row r="1095" spans="1:12" x14ac:dyDescent="0.25">
      <c r="A1095" s="13">
        <f t="shared" ref="A1095:A1108" si="52">A1094+7</f>
        <v>41955</v>
      </c>
      <c r="F1095" s="228" t="s">
        <v>34</v>
      </c>
      <c r="I1095" s="102"/>
      <c r="J1095" s="221"/>
      <c r="K1095" s="47">
        <f t="shared" si="51"/>
        <v>46</v>
      </c>
      <c r="L1095" s="220">
        <f t="shared" si="48"/>
        <v>41951</v>
      </c>
    </row>
    <row r="1096" spans="1:12" x14ac:dyDescent="0.25">
      <c r="A1096" s="13">
        <f t="shared" si="52"/>
        <v>41962</v>
      </c>
      <c r="F1096" s="228" t="s">
        <v>34</v>
      </c>
      <c r="I1096" s="102"/>
      <c r="J1096" s="221"/>
      <c r="K1096" s="47">
        <f t="shared" si="51"/>
        <v>47</v>
      </c>
      <c r="L1096" s="220">
        <f t="shared" si="48"/>
        <v>41958</v>
      </c>
    </row>
    <row r="1097" spans="1:12" x14ac:dyDescent="0.25">
      <c r="A1097" s="13">
        <f t="shared" si="52"/>
        <v>41969</v>
      </c>
      <c r="F1097" s="228" t="s">
        <v>34</v>
      </c>
      <c r="I1097" s="102"/>
      <c r="J1097" s="221"/>
      <c r="K1097" s="47">
        <f t="shared" si="51"/>
        <v>48</v>
      </c>
      <c r="L1097" s="220">
        <f t="shared" si="48"/>
        <v>41965</v>
      </c>
    </row>
    <row r="1098" spans="1:12" x14ac:dyDescent="0.25">
      <c r="A1098" s="13">
        <f t="shared" si="52"/>
        <v>41976</v>
      </c>
      <c r="F1098" s="228" t="s">
        <v>34</v>
      </c>
      <c r="I1098" s="102"/>
      <c r="J1098" s="221"/>
      <c r="K1098" s="47">
        <f t="shared" si="51"/>
        <v>49</v>
      </c>
      <c r="L1098" s="220">
        <f t="shared" si="48"/>
        <v>41972</v>
      </c>
    </row>
    <row r="1099" spans="1:12" x14ac:dyDescent="0.25">
      <c r="A1099" s="13">
        <f t="shared" si="52"/>
        <v>41983</v>
      </c>
      <c r="F1099" s="228" t="s">
        <v>34</v>
      </c>
      <c r="I1099" s="102"/>
      <c r="J1099" s="221"/>
      <c r="K1099" s="47">
        <f t="shared" si="51"/>
        <v>50</v>
      </c>
      <c r="L1099" s="220">
        <f t="shared" si="48"/>
        <v>41979</v>
      </c>
    </row>
    <row r="1100" spans="1:12" x14ac:dyDescent="0.25">
      <c r="A1100" s="13">
        <f t="shared" si="52"/>
        <v>41990</v>
      </c>
      <c r="F1100" s="228" t="s">
        <v>34</v>
      </c>
      <c r="I1100" s="102"/>
      <c r="J1100" s="221"/>
      <c r="K1100" s="47">
        <f t="shared" si="51"/>
        <v>51</v>
      </c>
      <c r="L1100" s="220">
        <f t="shared" si="48"/>
        <v>41986</v>
      </c>
    </row>
    <row r="1101" spans="1:12" x14ac:dyDescent="0.25">
      <c r="A1101" s="13">
        <f t="shared" si="52"/>
        <v>41997</v>
      </c>
      <c r="F1101" s="228" t="s">
        <v>34</v>
      </c>
      <c r="I1101" s="102"/>
      <c r="J1101" s="221"/>
      <c r="K1101" s="47">
        <f t="shared" si="51"/>
        <v>52</v>
      </c>
      <c r="L1101" s="220">
        <f t="shared" si="48"/>
        <v>41993</v>
      </c>
    </row>
    <row r="1102" spans="1:12" x14ac:dyDescent="0.25">
      <c r="A1102" s="13">
        <f t="shared" si="52"/>
        <v>42004</v>
      </c>
      <c r="F1102" s="228" t="s">
        <v>34</v>
      </c>
      <c r="I1102" s="102"/>
      <c r="J1102" s="221"/>
      <c r="K1102" s="47">
        <f t="shared" si="51"/>
        <v>53</v>
      </c>
      <c r="L1102" s="220">
        <f t="shared" si="48"/>
        <v>42000</v>
      </c>
    </row>
    <row r="1103" spans="1:12" x14ac:dyDescent="0.25">
      <c r="A1103" s="13">
        <f t="shared" si="52"/>
        <v>42011</v>
      </c>
      <c r="F1103" s="228" t="s">
        <v>34</v>
      </c>
      <c r="I1103" s="102"/>
      <c r="J1103" s="221"/>
      <c r="K1103" s="47">
        <v>1</v>
      </c>
      <c r="L1103" s="220">
        <f t="shared" si="48"/>
        <v>42007</v>
      </c>
    </row>
    <row r="1104" spans="1:12" x14ac:dyDescent="0.25">
      <c r="A1104" s="13">
        <f t="shared" si="52"/>
        <v>42018</v>
      </c>
      <c r="F1104" s="228" t="s">
        <v>34</v>
      </c>
      <c r="I1104" s="102"/>
      <c r="J1104" s="258"/>
      <c r="K1104" s="47">
        <f t="shared" si="51"/>
        <v>2</v>
      </c>
      <c r="L1104" s="220">
        <f t="shared" si="48"/>
        <v>42014</v>
      </c>
    </row>
    <row r="1105" spans="1:12" x14ac:dyDescent="0.25">
      <c r="A1105" s="13">
        <f t="shared" si="52"/>
        <v>42025</v>
      </c>
      <c r="F1105" s="228" t="s">
        <v>34</v>
      </c>
      <c r="I1105" s="102"/>
      <c r="J1105" s="258"/>
      <c r="K1105" s="47">
        <f t="shared" si="51"/>
        <v>3</v>
      </c>
      <c r="L1105" s="220">
        <f t="shared" si="48"/>
        <v>42021</v>
      </c>
    </row>
    <row r="1106" spans="1:12" x14ac:dyDescent="0.25">
      <c r="A1106" s="13">
        <f t="shared" si="52"/>
        <v>42032</v>
      </c>
      <c r="F1106" s="228" t="s">
        <v>34</v>
      </c>
      <c r="I1106" s="102"/>
      <c r="J1106" s="258"/>
      <c r="K1106" s="47">
        <f t="shared" si="51"/>
        <v>4</v>
      </c>
      <c r="L1106" s="220">
        <f t="shared" si="48"/>
        <v>42028</v>
      </c>
    </row>
    <row r="1107" spans="1:12" x14ac:dyDescent="0.25">
      <c r="A1107" s="13">
        <f t="shared" si="52"/>
        <v>42039</v>
      </c>
      <c r="F1107" s="228" t="s">
        <v>34</v>
      </c>
      <c r="I1107" s="102"/>
      <c r="J1107" s="142"/>
      <c r="K1107" s="47">
        <f t="shared" si="51"/>
        <v>5</v>
      </c>
    </row>
    <row r="1108" spans="1:12" x14ac:dyDescent="0.25">
      <c r="A1108" s="13">
        <f t="shared" si="52"/>
        <v>42046</v>
      </c>
      <c r="F1108" s="228" t="s">
        <v>34</v>
      </c>
      <c r="I1108" s="102"/>
      <c r="J1108" s="142"/>
      <c r="K1108" s="47">
        <f t="shared" si="51"/>
        <v>6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156"/>
  <sheetViews>
    <sheetView workbookViewId="0">
      <pane xSplit="1" ySplit="8" topLeftCell="B1104" activePane="bottomRight" state="frozen"/>
      <selection pane="topRight" activeCell="B1" sqref="B1"/>
      <selection pane="bottomLeft" activeCell="A8" sqref="A8"/>
      <selection pane="bottomRight" activeCell="E1116" sqref="E1116"/>
    </sheetView>
  </sheetViews>
  <sheetFormatPr defaultRowHeight="15" x14ac:dyDescent="0.25"/>
  <cols>
    <col min="1" max="1" width="16.54296875" customWidth="1"/>
    <col min="2" max="2" width="7.90625" customWidth="1"/>
    <col min="3" max="3" width="9.08984375" customWidth="1"/>
    <col min="4" max="4" width="10.7265625" customWidth="1"/>
    <col min="5" max="7" width="9.81640625" customWidth="1"/>
    <col min="8" max="8" width="13" customWidth="1"/>
    <col min="9" max="9" width="3.90625" customWidth="1"/>
    <col min="10" max="12" width="9.81640625" customWidth="1"/>
    <col min="13" max="13" width="9.6328125" customWidth="1"/>
    <col min="14" max="15" width="9.81640625" customWidth="1"/>
    <col min="16" max="16" width="12.453125" customWidth="1"/>
    <col min="17" max="17" width="1.81640625" customWidth="1"/>
    <col min="18" max="18" width="9.6328125" customWidth="1"/>
    <col min="19" max="20" width="9.81640625" customWidth="1"/>
    <col min="21" max="21" width="9.54296875" customWidth="1"/>
    <col min="22" max="24" width="9.81640625" customWidth="1"/>
    <col min="25" max="25" width="11.36328125" customWidth="1"/>
    <col min="26" max="26" width="1.81640625" customWidth="1"/>
    <col min="27" max="28" width="9.81640625" customWidth="1"/>
    <col min="29" max="29" width="1.81640625" customWidth="1"/>
    <col min="30" max="31" width="9.81640625" customWidth="1"/>
    <col min="32" max="32" width="1.81640625" customWidth="1"/>
  </cols>
  <sheetData>
    <row r="2" spans="1:34" x14ac:dyDescent="0.25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5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2" thickBot="1" x14ac:dyDescent="0.35">
      <c r="A4" s="10"/>
      <c r="B4" s="53" t="s">
        <v>25</v>
      </c>
      <c r="C4" s="9"/>
      <c r="D4" s="259"/>
      <c r="E4" s="114" t="s">
        <v>77</v>
      </c>
      <c r="F4" s="114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62"/>
      <c r="T4" s="262"/>
      <c r="U4" s="6"/>
      <c r="V4" s="262"/>
      <c r="W4" s="262"/>
      <c r="X4" s="262"/>
      <c r="Y4" s="262"/>
      <c r="AA4" s="262"/>
      <c r="AB4" s="262"/>
      <c r="AD4" s="262"/>
      <c r="AE4" s="262"/>
      <c r="AG4" s="262"/>
      <c r="AH4" s="262"/>
    </row>
    <row r="5" spans="1:34" ht="15.6" x14ac:dyDescent="0.3">
      <c r="A5" s="10"/>
      <c r="B5" s="53" t="s">
        <v>26</v>
      </c>
      <c r="C5" s="12"/>
      <c r="D5" s="114"/>
      <c r="E5" s="114"/>
      <c r="F5" s="260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6.2" thickBot="1" x14ac:dyDescent="0.3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62" t="s">
        <v>40</v>
      </c>
      <c r="K6" s="262"/>
      <c r="L6" s="262"/>
      <c r="M6" s="262"/>
      <c r="N6" s="262"/>
      <c r="O6" s="262"/>
      <c r="P6" s="187" t="s">
        <v>21</v>
      </c>
      <c r="Q6" s="6"/>
      <c r="S6" s="262" t="s">
        <v>41</v>
      </c>
      <c r="T6" s="262"/>
      <c r="U6" s="262"/>
      <c r="V6" s="262"/>
      <c r="W6" s="262"/>
      <c r="X6" s="262"/>
      <c r="Y6" s="187" t="s">
        <v>21</v>
      </c>
      <c r="AA6" s="41"/>
      <c r="AB6" s="41"/>
      <c r="AD6" s="41"/>
      <c r="AE6" s="41"/>
      <c r="AG6" s="41"/>
      <c r="AH6" s="41"/>
    </row>
    <row r="7" spans="1:34" ht="15.6" x14ac:dyDescent="0.3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6.2" thickBot="1" x14ac:dyDescent="0.3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5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5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5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5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5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5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5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5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5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5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5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5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5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5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5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5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5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5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5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5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5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5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5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5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5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5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5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5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5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5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5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5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5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5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5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5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5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5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5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5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5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5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5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5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5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5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5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5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5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5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5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5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5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5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5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5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5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5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5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5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5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5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5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5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5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5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5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5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5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5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5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5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5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5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5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5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5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5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5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5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5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5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5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5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5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5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5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5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5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5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5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5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5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5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5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5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5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5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5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5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5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5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5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5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5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5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5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5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5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5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5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5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5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5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5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5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5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5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5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5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5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5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5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5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5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5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5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5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5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5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5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5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5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5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5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5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5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5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5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5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5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5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5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5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5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5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5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5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5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5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5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5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5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5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5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5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5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5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5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5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5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5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5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5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5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5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5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5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5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5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5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5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5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5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5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5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5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5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5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5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5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5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5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5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5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5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5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5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5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5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5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5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5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5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5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5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5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5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5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5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5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5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5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5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5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5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5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5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5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5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5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5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5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5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5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5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5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5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5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5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5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5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5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5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5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5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5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5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5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5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5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5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5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5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5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5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5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5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5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5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5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5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5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5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5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5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5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5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5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5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5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5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5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5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5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5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5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5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5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5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5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5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5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5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5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5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5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5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5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5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5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5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5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5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5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5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5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5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5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5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5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5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5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5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5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5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5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5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5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5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5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5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5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5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5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5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5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5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5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5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5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5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5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5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5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5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5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5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5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5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5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5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5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5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5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5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5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5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5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5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5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5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5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5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5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5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5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5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5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5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5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5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5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5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5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5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5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5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5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5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5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5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5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5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5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5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5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5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5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5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5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5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5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5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5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5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5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5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5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5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5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5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5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5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5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5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5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5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5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5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5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5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5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5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5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5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5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5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5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5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5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5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5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5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5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5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5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5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5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5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5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5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5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5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5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5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5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5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5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5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5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5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5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5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5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5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5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5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5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5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5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5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5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5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5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5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5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5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5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5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5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5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5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5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5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5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5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5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5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5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5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5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5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5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5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5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5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5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5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5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5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5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5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5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5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5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5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5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5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5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5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5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5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5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5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5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5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5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5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5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5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5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5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5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5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5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5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5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5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5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5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5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5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5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5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5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5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5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5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5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5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5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5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5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5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5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5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5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5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5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5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5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5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5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5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5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5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5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5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5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5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5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5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5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5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5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5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5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5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5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5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5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5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5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5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5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5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5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5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5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5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5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5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5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5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5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5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5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5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5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5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5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5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5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5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5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5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5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5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5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5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5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5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5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5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5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5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5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5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5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5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5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5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5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5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5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5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5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5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5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5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5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5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5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5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5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5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5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5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5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5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5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5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5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5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5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5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5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5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5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5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5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5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5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5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5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5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5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5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5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5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5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5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5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5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5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5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5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5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5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5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5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5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5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5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5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ht="15.6" x14ac:dyDescent="0.25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ht="15.6" x14ac:dyDescent="0.25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5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5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5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5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5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5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5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5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5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5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5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5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5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5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5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5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5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5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5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5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5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5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5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5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5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5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5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5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5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5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5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5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5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5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5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5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5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5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5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5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5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5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5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5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5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5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5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5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5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5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5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5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5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5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5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5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5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5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5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5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5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5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5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5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5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5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5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5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5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5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5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5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5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5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5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5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5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5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5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5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5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5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5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5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5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5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5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5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5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5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5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5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5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5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5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5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5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5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5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5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5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5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5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5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5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5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5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5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5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5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5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5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5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5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5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5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5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5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5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5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5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5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5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5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5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5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5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5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5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5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5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5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5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5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5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5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5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5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5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5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5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5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5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5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5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5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5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5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5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5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5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5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5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5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5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5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5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5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5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5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5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5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5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5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5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5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5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5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5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5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5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5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5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5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5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5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5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5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5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5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5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5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5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5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5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5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5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5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5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5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5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5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5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5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5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5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5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5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5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5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5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5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5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5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5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5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5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5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5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5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5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5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5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5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5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5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5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5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5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5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5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5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5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5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5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5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5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5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5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5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5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5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5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5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5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5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5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5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5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5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5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5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5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5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5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5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5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5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5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5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5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5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5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5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5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5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5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5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5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5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5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5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5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5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5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5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5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5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5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5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5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5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5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5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5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5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5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5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5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5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5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5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5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5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5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5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5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5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5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5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5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5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5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5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5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5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5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5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5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5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5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5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5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5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5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5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5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5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5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5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5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5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5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5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5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5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5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5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5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5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5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5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5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5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5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5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5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5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5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5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5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5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5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5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5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5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5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5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5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5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5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5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5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5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5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5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5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5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5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5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5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5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5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5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5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5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5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5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5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5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5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5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5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5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5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5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5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5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5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5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5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5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5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5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5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5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5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5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5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5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5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5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5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5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5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5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5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5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5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5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5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5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5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5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5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5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5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5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5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78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5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5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5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5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5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5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5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5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5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5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5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5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5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5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5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5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5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5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5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5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5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5">
      <c r="A1037" s="104">
        <f t="shared" ref="A1037:A1068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5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5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5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5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5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5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5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5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5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5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5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5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5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5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5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5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5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5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5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5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1541.75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9150.75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5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1627</v>
      </c>
      <c r="D1058" s="90" t="s">
        <v>34</v>
      </c>
      <c r="E1058" s="90">
        <f>SUM('Weekly Data'!G1055:G1058)/4</f>
        <v>5064.75</v>
      </c>
      <c r="F1058" s="90">
        <f>SUM('Weekly Data'!H1055:H1058)/4</f>
        <v>1055.75</v>
      </c>
      <c r="G1058" s="90">
        <f>SUM('Weekly Data'!I1055:I1058)/4</f>
        <v>8932.25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X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>AVERAGE(H1006,H954,H902,H849)</f>
        <v>1457.035422109851</v>
      </c>
    </row>
    <row r="1059" spans="1:25" x14ac:dyDescent="0.25">
      <c r="A1059" s="104">
        <f t="shared" si="142"/>
        <v>41703</v>
      </c>
      <c r="B1059" s="59">
        <f>SUM('Weekly Data'!D1056:D1059)/4</f>
        <v>1323.25</v>
      </c>
      <c r="C1059" s="90">
        <f>SUM('Weekly Data'!E1056:E1059)/4</f>
        <v>1530.5</v>
      </c>
      <c r="D1059" s="90" t="s">
        <v>34</v>
      </c>
      <c r="E1059" s="90">
        <f>SUM('Weekly Data'!G1056:G1059)/4</f>
        <v>4982.75</v>
      </c>
      <c r="F1059" s="90">
        <f>SUM('Weekly Data'!H1056:H1059)/4</f>
        <v>998.25</v>
      </c>
      <c r="G1059" s="90">
        <f>SUM('Weekly Data'!I1056:I1059)/4</f>
        <v>8834.75</v>
      </c>
      <c r="H1059" s="200">
        <f>SUM('Weekly Data'!J1056:J1059)/4</f>
        <v>1643.5</v>
      </c>
      <c r="J1059" s="100">
        <f>AVERAGE('Weekly Data'!D1007,'Weekly Data'!D955,'Weekly Data'!D903,'Weekly Data'!D851)</f>
        <v>518.5</v>
      </c>
      <c r="K1059" s="16">
        <f>AVERAGE('Weekly Data'!E1007,'Weekly Data'!E955,'Weekly Data'!E903,'Weekly Data'!E851)</f>
        <v>1716.75</v>
      </c>
      <c r="L1059" s="16">
        <f>AVERAGE('Weekly Data'!F1007,'Weekly Data'!F955,'Weekly Data'!F903,'Weekly Data'!F851)</f>
        <v>1097.6666666666667</v>
      </c>
      <c r="M1059" s="16">
        <f>AVERAGE('Weekly Data'!G1007,'Weekly Data'!G955,'Weekly Data'!G903,'Weekly Data'!G851)</f>
        <v>4213.25</v>
      </c>
      <c r="N1059" s="16">
        <f>AVERAGE('Weekly Data'!H1007,'Weekly Data'!H955,'Weekly Data'!H903,'Weekly Data'!H851)</f>
        <v>661.25</v>
      </c>
      <c r="O1059" s="100">
        <f>AVERAGE('Weekly Data'!I1007,'Weekly Data'!I955,'Weekly Data'!I903,'Weekly Data'!I851)</f>
        <v>7109.75</v>
      </c>
      <c r="P1059" s="201">
        <f>AVERAGE('Weekly Data'!J1007,'Weekly Data'!J955,'Weekly Data'!J903,'Weekly Data'!J851)</f>
        <v>1584.0434862137665</v>
      </c>
      <c r="R1059" s="13">
        <f t="shared" si="119"/>
        <v>41703</v>
      </c>
      <c r="S1059" s="105">
        <f t="shared" ref="S1059:Y1059" si="163">AVERAGE(B1007,B955,B903,B850)</f>
        <v>596.5</v>
      </c>
      <c r="T1059" s="105">
        <f t="shared" si="163"/>
        <v>1375.5625</v>
      </c>
      <c r="U1059" s="108">
        <f t="shared" si="163"/>
        <v>944.5</v>
      </c>
      <c r="V1059" s="108">
        <f t="shared" si="163"/>
        <v>4106.375</v>
      </c>
      <c r="W1059" s="109">
        <f t="shared" si="163"/>
        <v>774.5625</v>
      </c>
      <c r="X1059" s="105">
        <f t="shared" si="163"/>
        <v>6853</v>
      </c>
      <c r="Y1059" s="202">
        <f t="shared" si="163"/>
        <v>1519.7281254470827</v>
      </c>
    </row>
    <row r="1060" spans="1:25" x14ac:dyDescent="0.25">
      <c r="A1060" s="104">
        <f t="shared" si="142"/>
        <v>41710</v>
      </c>
      <c r="B1060" s="59">
        <f>SUM('Weekly Data'!D1057:D1060)/4</f>
        <v>1072.5</v>
      </c>
      <c r="C1060" s="90">
        <f>SUM('Weekly Data'!E1057:E1060)/4</f>
        <v>1633.75</v>
      </c>
      <c r="D1060" s="90" t="s">
        <v>34</v>
      </c>
      <c r="E1060" s="90">
        <f>SUM('Weekly Data'!G1057:G1060)/4</f>
        <v>5114</v>
      </c>
      <c r="F1060" s="90">
        <f>SUM('Weekly Data'!H1057:H1060)/4</f>
        <v>940</v>
      </c>
      <c r="G1060" s="90">
        <f>SUM('Weekly Data'!I1057:I1060)/4</f>
        <v>8760.25</v>
      </c>
      <c r="H1060" s="200">
        <f>SUM('Weekly Data'!J1057:J1060)/4</f>
        <v>1493.75</v>
      </c>
      <c r="J1060" s="100">
        <f>AVERAGE('Weekly Data'!D1008,'Weekly Data'!D956,'Weekly Data'!D904,'Weekly Data'!D852)</f>
        <v>416.25</v>
      </c>
      <c r="K1060" s="16">
        <f>AVERAGE('Weekly Data'!E1008,'Weekly Data'!E956,'Weekly Data'!E904,'Weekly Data'!E852)</f>
        <v>1385.25</v>
      </c>
      <c r="L1060" s="16">
        <f>AVERAGE('Weekly Data'!F1008,'Weekly Data'!F956,'Weekly Data'!F904,'Weekly Data'!F852)</f>
        <v>1079.6666666666667</v>
      </c>
      <c r="M1060" s="16">
        <f>AVERAGE('Weekly Data'!G1008,'Weekly Data'!G956,'Weekly Data'!G904,'Weekly Data'!G852)</f>
        <v>3939.75</v>
      </c>
      <c r="N1060" s="16">
        <f>AVERAGE('Weekly Data'!H1008,'Weekly Data'!H956,'Weekly Data'!H904,'Weekly Data'!H852)</f>
        <v>537.5</v>
      </c>
      <c r="O1060" s="100">
        <f>AVERAGE('Weekly Data'!I1008,'Weekly Data'!I956,'Weekly Data'!I904,'Weekly Data'!I852)</f>
        <v>6278.75</v>
      </c>
      <c r="P1060" s="201">
        <f>AVERAGE('Weekly Data'!J1008,'Weekly Data'!J956,'Weekly Data'!J904,'Weekly Data'!J852)</f>
        <v>2188.3217079454116</v>
      </c>
      <c r="R1060" s="13">
        <f t="shared" si="119"/>
        <v>41710</v>
      </c>
      <c r="S1060" s="105">
        <f t="shared" ref="S1060:Y1060" si="164">AVERAGE(B1008,B956,B904,B851)</f>
        <v>513.375</v>
      </c>
      <c r="T1060" s="105">
        <f t="shared" si="164"/>
        <v>1376.625</v>
      </c>
      <c r="U1060" s="108">
        <f t="shared" si="164"/>
        <v>1033.6666666666667</v>
      </c>
      <c r="V1060" s="108">
        <f t="shared" si="164"/>
        <v>4113.25</v>
      </c>
      <c r="W1060" s="109">
        <f t="shared" si="164"/>
        <v>697.6875</v>
      </c>
      <c r="X1060" s="105">
        <f t="shared" si="164"/>
        <v>6700.9375</v>
      </c>
      <c r="Y1060" s="202">
        <f t="shared" si="164"/>
        <v>1683.5234046149606</v>
      </c>
    </row>
    <row r="1061" spans="1:25" x14ac:dyDescent="0.25">
      <c r="A1061" s="104">
        <f t="shared" si="142"/>
        <v>41717</v>
      </c>
      <c r="B1061" s="59">
        <f>SUM('Weekly Data'!D1058:D1061)/4</f>
        <v>1033</v>
      </c>
      <c r="C1061" s="90">
        <f>SUM('Weekly Data'!E1058:E1061)/4</f>
        <v>1543.75</v>
      </c>
      <c r="D1061" s="90" t="s">
        <v>34</v>
      </c>
      <c r="E1061" s="90">
        <f>SUM('Weekly Data'!G1058:G1061)/4</f>
        <v>4760.5</v>
      </c>
      <c r="F1061" s="90">
        <f>SUM('Weekly Data'!H1058:H1061)/4</f>
        <v>912.5</v>
      </c>
      <c r="G1061" s="90">
        <f>SUM('Weekly Data'!I1058:I1061)/4</f>
        <v>8249.75</v>
      </c>
      <c r="H1061" s="200">
        <f>SUM('Weekly Data'!J1058:J1061)/4</f>
        <v>1692</v>
      </c>
      <c r="J1061" s="100">
        <f>AVERAGE('Weekly Data'!D1009,'Weekly Data'!D957,'Weekly Data'!D905,'Weekly Data'!D853)</f>
        <v>629</v>
      </c>
      <c r="K1061" s="16">
        <f>AVERAGE('Weekly Data'!E1009,'Weekly Data'!E957,'Weekly Data'!E905,'Weekly Data'!E853)</f>
        <v>1364</v>
      </c>
      <c r="L1061" s="16">
        <f>AVERAGE('Weekly Data'!F1009,'Weekly Data'!F957,'Weekly Data'!F905,'Weekly Data'!F853)</f>
        <v>1065</v>
      </c>
      <c r="M1061" s="16">
        <f>AVERAGE('Weekly Data'!G1009,'Weekly Data'!G957,'Weekly Data'!G905,'Weekly Data'!G853)</f>
        <v>4175.25</v>
      </c>
      <c r="N1061" s="16">
        <f>AVERAGE('Weekly Data'!H1009,'Weekly Data'!H957,'Weekly Data'!H905,'Weekly Data'!H853)</f>
        <v>689</v>
      </c>
      <c r="O1061" s="100">
        <f>AVERAGE('Weekly Data'!I1009,'Weekly Data'!I957,'Weekly Data'!I905,'Weekly Data'!I853)</f>
        <v>6857.25</v>
      </c>
      <c r="P1061" s="201">
        <f>AVERAGE('Weekly Data'!J1009,'Weekly Data'!J957,'Weekly Data'!J905,'Weekly Data'!J853)</f>
        <v>1672.5850841768306</v>
      </c>
      <c r="R1061" s="13">
        <f t="shared" si="119"/>
        <v>41717</v>
      </c>
      <c r="S1061" s="105">
        <f t="shared" ref="S1061:Y1061" si="165">AVERAGE(B1009,B957,B905,B852)</f>
        <v>508.9375</v>
      </c>
      <c r="T1061" s="105">
        <f t="shared" si="165"/>
        <v>1421.0625</v>
      </c>
      <c r="U1061" s="108">
        <f t="shared" si="165"/>
        <v>1051.9166666666667</v>
      </c>
      <c r="V1061" s="108">
        <f t="shared" si="165"/>
        <v>3998.25</v>
      </c>
      <c r="W1061" s="109">
        <f t="shared" si="165"/>
        <v>663.25</v>
      </c>
      <c r="X1061" s="105">
        <f t="shared" si="165"/>
        <v>6591.5</v>
      </c>
      <c r="Y1061" s="202">
        <f t="shared" si="165"/>
        <v>1705.9806541885866</v>
      </c>
    </row>
    <row r="1062" spans="1:25" x14ac:dyDescent="0.25">
      <c r="A1062" s="104">
        <f t="shared" si="142"/>
        <v>41724</v>
      </c>
      <c r="B1062" s="59">
        <f>SUM('Weekly Data'!D1059:D1062)/4</f>
        <v>987.5</v>
      </c>
      <c r="C1062" s="90">
        <f>SUM('Weekly Data'!E1059:E1062)/4</f>
        <v>1445</v>
      </c>
      <c r="D1062" s="90" t="s">
        <v>34</v>
      </c>
      <c r="E1062" s="90">
        <f>SUM('Weekly Data'!G1059:G1062)/4</f>
        <v>4800</v>
      </c>
      <c r="F1062" s="90">
        <f>SUM('Weekly Data'!H1059:H1062)/4</f>
        <v>823.25</v>
      </c>
      <c r="G1062" s="90">
        <f>SUM('Weekly Data'!I1059:I1062)/4</f>
        <v>8055.75</v>
      </c>
      <c r="H1062" s="200">
        <f>SUM('Weekly Data'!J1059:J1062)/4</f>
        <v>1812</v>
      </c>
      <c r="J1062" s="100">
        <f>AVERAGE('Weekly Data'!D1010,'Weekly Data'!D958,'Weekly Data'!D906,'Weekly Data'!D854)</f>
        <v>343.25</v>
      </c>
      <c r="K1062" s="16">
        <f>AVERAGE('Weekly Data'!E1010,'Weekly Data'!E958,'Weekly Data'!E906,'Weekly Data'!E854)</f>
        <v>1648.75</v>
      </c>
      <c r="L1062" s="16">
        <f>AVERAGE('Weekly Data'!F1010,'Weekly Data'!F958,'Weekly Data'!F906,'Weekly Data'!F854)</f>
        <v>1121.3333333333333</v>
      </c>
      <c r="M1062" s="16">
        <f>AVERAGE('Weekly Data'!G1010,'Weekly Data'!G958,'Weekly Data'!G906,'Weekly Data'!G854)</f>
        <v>4036.75</v>
      </c>
      <c r="N1062" s="16">
        <f>AVERAGE('Weekly Data'!H1010,'Weekly Data'!H958,'Weekly Data'!H906,'Weekly Data'!H854)</f>
        <v>481</v>
      </c>
      <c r="O1062" s="100">
        <f>AVERAGE('Weekly Data'!I1010,'Weekly Data'!I958,'Weekly Data'!I906,'Weekly Data'!I854)</f>
        <v>6509.75</v>
      </c>
      <c r="P1062" s="201">
        <f>AVERAGE('Weekly Data'!J1010,'Weekly Data'!J958,'Weekly Data'!J906,'Weekly Data'!J854)</f>
        <v>2099.9188740360628</v>
      </c>
      <c r="R1062" s="13">
        <f t="shared" si="119"/>
        <v>41724</v>
      </c>
      <c r="S1062" s="105">
        <f t="shared" ref="S1062:Y1062" si="166">AVERAGE(B1010,B958,B906,B853)</f>
        <v>503</v>
      </c>
      <c r="T1062" s="105">
        <f t="shared" si="166"/>
        <v>1482.9375</v>
      </c>
      <c r="U1062" s="108">
        <f t="shared" si="166"/>
        <v>1140.75</v>
      </c>
      <c r="V1062" s="108">
        <f t="shared" si="166"/>
        <v>4148.5625</v>
      </c>
      <c r="W1062" s="109">
        <f t="shared" si="166"/>
        <v>644</v>
      </c>
      <c r="X1062" s="105">
        <f t="shared" si="166"/>
        <v>6778.5</v>
      </c>
      <c r="Y1062" s="202">
        <f t="shared" si="166"/>
        <v>1849.7284140306983</v>
      </c>
    </row>
    <row r="1063" spans="1:25" x14ac:dyDescent="0.25">
      <c r="A1063" s="104">
        <f t="shared" si="142"/>
        <v>41731</v>
      </c>
      <c r="B1063" s="59">
        <f>SUM('Weekly Data'!D1060:D1063)/4</f>
        <v>918.25</v>
      </c>
      <c r="C1063" s="90">
        <f>SUM('Weekly Data'!E1060:E1063)/4</f>
        <v>1561.5</v>
      </c>
      <c r="D1063" s="90" t="s">
        <v>34</v>
      </c>
      <c r="E1063" s="90">
        <f>SUM('Weekly Data'!G1060:G1063)/4</f>
        <v>5024.75</v>
      </c>
      <c r="F1063" s="90">
        <f>SUM('Weekly Data'!H1060:H1063)/4</f>
        <v>788</v>
      </c>
      <c r="G1063" s="90">
        <f>SUM('Weekly Data'!I1060:I1063)/4</f>
        <v>8292.5</v>
      </c>
      <c r="H1063" s="200">
        <f>SUM('Weekly Data'!J1060:J1063)/4</f>
        <v>1836.5</v>
      </c>
      <c r="J1063" s="100">
        <f>AVERAGE('Weekly Data'!D1011,'Weekly Data'!D959,'Weekly Data'!D907,'Weekly Data'!D855)</f>
        <v>431</v>
      </c>
      <c r="K1063" s="16">
        <f>AVERAGE('Weekly Data'!E1011,'Weekly Data'!E959,'Weekly Data'!E907,'Weekly Data'!E855)</f>
        <v>1745</v>
      </c>
      <c r="L1063" s="16">
        <f>AVERAGE('Weekly Data'!F1011,'Weekly Data'!F959,'Weekly Data'!F907,'Weekly Data'!F855)</f>
        <v>1538.6666666666667</v>
      </c>
      <c r="M1063" s="16">
        <f>AVERAGE('Weekly Data'!G1011,'Weekly Data'!G959,'Weekly Data'!G907,'Weekly Data'!G855)</f>
        <v>3769.25</v>
      </c>
      <c r="N1063" s="16">
        <f>AVERAGE('Weekly Data'!H1011,'Weekly Data'!H959,'Weekly Data'!H907,'Weekly Data'!H855)</f>
        <v>434.5</v>
      </c>
      <c r="O1063" s="100">
        <f>AVERAGE('Weekly Data'!I1011,'Weekly Data'!I959,'Weekly Data'!I907,'Weekly Data'!I855)</f>
        <v>6379.75</v>
      </c>
      <c r="P1063" s="201">
        <f>AVERAGE('Weekly Data'!J1011,'Weekly Data'!J959,'Weekly Data'!J907,'Weekly Data'!J855)</f>
        <v>1994.7674957814511</v>
      </c>
      <c r="R1063" s="13">
        <f t="shared" si="119"/>
        <v>41731</v>
      </c>
      <c r="S1063" s="105">
        <f t="shared" ref="S1063:Y1063" si="167">AVERAGE(B1011,B959,B907,B854)</f>
        <v>477.0625</v>
      </c>
      <c r="T1063" s="105">
        <f t="shared" si="167"/>
        <v>1573.5625</v>
      </c>
      <c r="U1063" s="108">
        <f t="shared" si="167"/>
        <v>1225.75</v>
      </c>
      <c r="V1063" s="108">
        <f t="shared" si="167"/>
        <v>4005.3125</v>
      </c>
      <c r="W1063" s="109">
        <f t="shared" si="167"/>
        <v>554.5</v>
      </c>
      <c r="X1063" s="105">
        <f t="shared" si="167"/>
        <v>6610.4375</v>
      </c>
      <c r="Y1063" s="202">
        <f t="shared" si="167"/>
        <v>1996.6936408527984</v>
      </c>
    </row>
    <row r="1064" spans="1:25" x14ac:dyDescent="0.25">
      <c r="A1064" s="104">
        <f t="shared" si="142"/>
        <v>41738</v>
      </c>
      <c r="B1064" s="59">
        <f>SUM('Weekly Data'!D1061:D1064)/4</f>
        <v>946</v>
      </c>
      <c r="C1064" s="90">
        <f>SUM('Weekly Data'!E1061:E1064)/4</f>
        <v>1704.75</v>
      </c>
      <c r="D1064" s="90" t="s">
        <v>34</v>
      </c>
      <c r="E1064" s="90">
        <f>SUM('Weekly Data'!G1061:G1064)/4</f>
        <v>5187</v>
      </c>
      <c r="F1064" s="90">
        <f>SUM('Weekly Data'!H1061:H1064)/4</f>
        <v>744.5</v>
      </c>
      <c r="G1064" s="90">
        <f>SUM('Weekly Data'!I1061:I1064)/4</f>
        <v>8582.25</v>
      </c>
      <c r="H1064" s="200">
        <f>SUM('Weekly Data'!J1061:J1064)/4</f>
        <v>1876.5</v>
      </c>
      <c r="J1064" s="100">
        <f>AVERAGE('Weekly Data'!D1012,'Weekly Data'!D960,'Weekly Data'!D908,'Weekly Data'!D856)</f>
        <v>279.5</v>
      </c>
      <c r="K1064" s="16">
        <f>AVERAGE('Weekly Data'!E1012,'Weekly Data'!E960,'Weekly Data'!E908,'Weekly Data'!E856)</f>
        <v>1311.25</v>
      </c>
      <c r="L1064" s="16">
        <f>AVERAGE('Weekly Data'!F1012,'Weekly Data'!F960,'Weekly Data'!F908,'Weekly Data'!F856)</f>
        <v>1147.3333333333333</v>
      </c>
      <c r="M1064" s="16">
        <f>AVERAGE('Weekly Data'!G1012,'Weekly Data'!G960,'Weekly Data'!G908,'Weekly Data'!G856)</f>
        <v>3110.5</v>
      </c>
      <c r="N1064" s="16">
        <f>AVERAGE('Weekly Data'!H1012,'Weekly Data'!H960,'Weekly Data'!H908,'Weekly Data'!H856)</f>
        <v>371</v>
      </c>
      <c r="O1064" s="100">
        <f>AVERAGE('Weekly Data'!I1012,'Weekly Data'!I960,'Weekly Data'!I908,'Weekly Data'!I856)</f>
        <v>5072.25</v>
      </c>
      <c r="P1064" s="201">
        <f>AVERAGE('Weekly Data'!J1012,'Weekly Data'!J960,'Weekly Data'!J908,'Weekly Data'!J856)</f>
        <v>2525.2288448771778</v>
      </c>
      <c r="R1064" s="13">
        <f t="shared" si="119"/>
        <v>41738</v>
      </c>
      <c r="S1064" s="105">
        <f t="shared" ref="S1064:Y1064" si="168">AVERAGE(B1012,B960,B908,B855)</f>
        <v>420.9375</v>
      </c>
      <c r="T1064" s="105">
        <f t="shared" si="168"/>
        <v>1558</v>
      </c>
      <c r="U1064" s="108">
        <f t="shared" si="168"/>
        <v>1206.4166666666667</v>
      </c>
      <c r="V1064" s="108">
        <f t="shared" si="168"/>
        <v>3770.875</v>
      </c>
      <c r="W1064" s="109">
        <f t="shared" si="168"/>
        <v>513.4375</v>
      </c>
      <c r="X1064" s="105">
        <f t="shared" si="168"/>
        <v>6263.25</v>
      </c>
      <c r="Y1064" s="202">
        <f t="shared" si="168"/>
        <v>2099.4965791538298</v>
      </c>
    </row>
    <row r="1065" spans="1:25" x14ac:dyDescent="0.25">
      <c r="A1065" s="104">
        <f t="shared" si="142"/>
        <v>41745</v>
      </c>
      <c r="B1065" s="59">
        <f>SUM('Weekly Data'!D1062:D1065)/4</f>
        <v>947.5</v>
      </c>
      <c r="C1065" s="90">
        <f>SUM('Weekly Data'!E1062:E1065)/4</f>
        <v>1860.75</v>
      </c>
      <c r="D1065" s="90" t="s">
        <v>34</v>
      </c>
      <c r="E1065" s="90">
        <f>SUM('Weekly Data'!G1062:G1065)/4</f>
        <v>5325.5</v>
      </c>
      <c r="F1065" s="90">
        <f>SUM('Weekly Data'!H1062:H1065)/4</f>
        <v>746.5</v>
      </c>
      <c r="G1065" s="90">
        <f>SUM('Weekly Data'!I1062:I1065)/4</f>
        <v>8880.25</v>
      </c>
      <c r="H1065" s="200">
        <f>SUM('Weekly Data'!J1062:J1065)/4</f>
        <v>1877</v>
      </c>
      <c r="J1065" s="100">
        <f>AVERAGE('Weekly Data'!D1013,'Weekly Data'!D961,'Weekly Data'!D909,'Weekly Data'!D857)</f>
        <v>82.25</v>
      </c>
      <c r="K1065" s="16">
        <f>AVERAGE('Weekly Data'!E1013,'Weekly Data'!E961,'Weekly Data'!E909,'Weekly Data'!E857)</f>
        <v>1477</v>
      </c>
      <c r="L1065" s="16">
        <f>AVERAGE('Weekly Data'!F1013,'Weekly Data'!F961,'Weekly Data'!F909,'Weekly Data'!F857)</f>
        <v>1405</v>
      </c>
      <c r="M1065" s="16">
        <f>AVERAGE('Weekly Data'!G1013,'Weekly Data'!G961,'Weekly Data'!G909,'Weekly Data'!G857)</f>
        <v>3220.25</v>
      </c>
      <c r="N1065" s="16">
        <f>AVERAGE('Weekly Data'!H1013,'Weekly Data'!H961,'Weekly Data'!H909,'Weekly Data'!H857)</f>
        <v>348.75</v>
      </c>
      <c r="O1065" s="100">
        <f>AVERAGE('Weekly Data'!I1013,'Weekly Data'!I961,'Weekly Data'!I909,'Weekly Data'!I857)</f>
        <v>5128.25</v>
      </c>
      <c r="P1065" s="201">
        <f>AVERAGE('Weekly Data'!J1013,'Weekly Data'!J961,'Weekly Data'!J909,'Weekly Data'!J857)</f>
        <v>2111.2449899847061</v>
      </c>
      <c r="R1065" s="13">
        <f t="shared" si="119"/>
        <v>41745</v>
      </c>
      <c r="S1065" s="105">
        <f t="shared" ref="S1065:Y1065" si="169">AVERAGE(B1013,B961,B909,B856)</f>
        <v>314.875</v>
      </c>
      <c r="T1065" s="105">
        <f t="shared" si="169"/>
        <v>1546.8125</v>
      </c>
      <c r="U1065" s="108">
        <f t="shared" si="169"/>
        <v>1292.1666666666667</v>
      </c>
      <c r="V1065" s="108">
        <f t="shared" si="169"/>
        <v>3579.0625</v>
      </c>
      <c r="W1065" s="109">
        <f t="shared" si="169"/>
        <v>449.4375</v>
      </c>
      <c r="X1065" s="105">
        <f t="shared" si="169"/>
        <v>5890.1875</v>
      </c>
      <c r="Y1065" s="202">
        <f t="shared" si="169"/>
        <v>2183.066482033958</v>
      </c>
    </row>
    <row r="1066" spans="1:25" x14ac:dyDescent="0.25">
      <c r="A1066" s="104">
        <f t="shared" si="142"/>
        <v>41752</v>
      </c>
      <c r="B1066" s="59">
        <f>SUM('Weekly Data'!D1063:D1066)/4</f>
        <v>849.5</v>
      </c>
      <c r="C1066" s="90">
        <f>SUM('Weekly Data'!E1063:E1066)/4</f>
        <v>2061.25</v>
      </c>
      <c r="D1066" s="90" t="s">
        <v>34</v>
      </c>
      <c r="E1066" s="90">
        <f>SUM('Weekly Data'!G1063:G1066)/4</f>
        <v>5221.75</v>
      </c>
      <c r="F1066" s="90">
        <f>SUM('Weekly Data'!H1063:H1066)/4</f>
        <v>620</v>
      </c>
      <c r="G1066" s="90">
        <f>SUM('Weekly Data'!I1063:I1066)/4</f>
        <v>8752.5</v>
      </c>
      <c r="H1066" s="200">
        <f>SUM('Weekly Data'!J1063:J1066)/4</f>
        <v>1878</v>
      </c>
      <c r="J1066" s="100">
        <f>AVERAGE('Weekly Data'!D1014,'Weekly Data'!D962,'Weekly Data'!D910,'Weekly Data'!D858)</f>
        <v>183</v>
      </c>
      <c r="K1066" s="16">
        <f>AVERAGE('Weekly Data'!E1014,'Weekly Data'!E962,'Weekly Data'!E910,'Weekly Data'!E858)</f>
        <v>1362.25</v>
      </c>
      <c r="L1066" s="16">
        <f>AVERAGE('Weekly Data'!F1014,'Weekly Data'!F962,'Weekly Data'!F910,'Weekly Data'!F858)</f>
        <v>1039.3333333333333</v>
      </c>
      <c r="M1066" s="16">
        <f>AVERAGE('Weekly Data'!G1014,'Weekly Data'!G962,'Weekly Data'!G910,'Weekly Data'!G858)</f>
        <v>2879.25</v>
      </c>
      <c r="N1066" s="16">
        <f>AVERAGE('Weekly Data'!H1014,'Weekly Data'!H962,'Weekly Data'!H910,'Weekly Data'!H858)</f>
        <v>407</v>
      </c>
      <c r="O1066" s="100">
        <f>AVERAGE('Weekly Data'!I1014,'Weekly Data'!I962,'Weekly Data'!I910,'Weekly Data'!I858)</f>
        <v>4831.5</v>
      </c>
      <c r="P1066" s="201">
        <f>AVERAGE('Weekly Data'!J1014,'Weekly Data'!J962,'Weekly Data'!J910,'Weekly Data'!J858)</f>
        <v>2249.6584129489765</v>
      </c>
      <c r="R1066" s="13">
        <f t="shared" si="119"/>
        <v>41752</v>
      </c>
      <c r="S1066" s="105">
        <f t="shared" ref="S1066:Y1067" si="170">AVERAGE(B1014,B962,B910,B857)</f>
        <v>236.8125</v>
      </c>
      <c r="T1066" s="105">
        <f t="shared" si="170"/>
        <v>1523.1875</v>
      </c>
      <c r="U1066" s="108">
        <f t="shared" si="170"/>
        <v>1254.3333333333333</v>
      </c>
      <c r="V1066" s="108">
        <f t="shared" si="170"/>
        <v>3238.3125</v>
      </c>
      <c r="W1066" s="109">
        <f t="shared" si="170"/>
        <v>405.125</v>
      </c>
      <c r="X1066" s="105">
        <f t="shared" si="170"/>
        <v>5403.4375</v>
      </c>
      <c r="Y1066" s="202">
        <f t="shared" si="170"/>
        <v>2201.0959201017708</v>
      </c>
    </row>
    <row r="1067" spans="1:25" x14ac:dyDescent="0.25">
      <c r="A1067" s="104">
        <f t="shared" si="142"/>
        <v>41759</v>
      </c>
      <c r="B1067" s="59">
        <f>SUM('Weekly Data'!D1064:D1067)/4</f>
        <v>724</v>
      </c>
      <c r="C1067" s="90">
        <f>SUM('Weekly Data'!E1064:E1067)/4</f>
        <v>2113.75</v>
      </c>
      <c r="D1067" s="90" t="s">
        <v>34</v>
      </c>
      <c r="E1067" s="90">
        <f>SUM('Weekly Data'!G1064:G1067)/4</f>
        <v>5219</v>
      </c>
      <c r="F1067" s="90">
        <f>SUM('Weekly Data'!H1064:H1067)/4</f>
        <v>598</v>
      </c>
      <c r="G1067" s="90">
        <f>SUM('Weekly Data'!I1064:I1067)/4</f>
        <v>8654.75</v>
      </c>
      <c r="H1067" s="200">
        <f>SUM('Weekly Data'!J1064:J1067)/4</f>
        <v>2007</v>
      </c>
      <c r="J1067" s="100">
        <f>AVERAGE('Weekly Data'!D1015,'Weekly Data'!D963,'Weekly Data'!D911,'Weekly Data'!D859)</f>
        <v>172.75</v>
      </c>
      <c r="K1067" s="16">
        <f>AVERAGE('Weekly Data'!E1015,'Weekly Data'!E963,'Weekly Data'!E911,'Weekly Data'!E859)</f>
        <v>1486.5</v>
      </c>
      <c r="L1067" s="16">
        <f>AVERAGE('Weekly Data'!F1015,'Weekly Data'!F963,'Weekly Data'!F911,'Weekly Data'!F859)</f>
        <v>1245</v>
      </c>
      <c r="M1067" s="16">
        <f>AVERAGE('Weekly Data'!G1015,'Weekly Data'!G963,'Weekly Data'!G911,'Weekly Data'!G859)</f>
        <v>3064.5</v>
      </c>
      <c r="N1067" s="16">
        <f>AVERAGE('Weekly Data'!H1015,'Weekly Data'!H963,'Weekly Data'!H911,'Weekly Data'!H859)</f>
        <v>283</v>
      </c>
      <c r="O1067" s="100">
        <f>AVERAGE('Weekly Data'!I1015,'Weekly Data'!I963,'Weekly Data'!I911,'Weekly Data'!I859)</f>
        <v>5006.75</v>
      </c>
      <c r="P1067" s="201">
        <f>AVERAGE('Weekly Data'!J1015,'Weekly Data'!J963,'Weekly Data'!J911,'Weekly Data'!J859)</f>
        <v>2033.0790087881578</v>
      </c>
      <c r="R1067" s="13">
        <f t="shared" si="119"/>
        <v>41759</v>
      </c>
      <c r="S1067" s="105">
        <f t="shared" si="170"/>
        <v>185.1875</v>
      </c>
      <c r="T1067" s="105">
        <f t="shared" ref="T1067:Y1067" si="171">AVERAGE(C1015,C963,C911,C858)</f>
        <v>1435.875</v>
      </c>
      <c r="U1067" s="108">
        <f t="shared" si="171"/>
        <v>1207.5833333333333</v>
      </c>
      <c r="V1067" s="108">
        <f t="shared" si="171"/>
        <v>3070.3125</v>
      </c>
      <c r="W1067" s="109">
        <f t="shared" si="171"/>
        <v>373.375</v>
      </c>
      <c r="X1067" s="105">
        <f t="shared" si="171"/>
        <v>5064.75</v>
      </c>
      <c r="Y1067" s="202">
        <f t="shared" si="171"/>
        <v>2227.9783704466386</v>
      </c>
    </row>
    <row r="1068" spans="1:25" x14ac:dyDescent="0.25">
      <c r="A1068" s="104">
        <f t="shared" si="142"/>
        <v>41766</v>
      </c>
      <c r="B1068" s="59">
        <f>SUM('Weekly Data'!D1065:D1068)/4</f>
        <v>571.75</v>
      </c>
      <c r="C1068" s="90">
        <f>SUM('Weekly Data'!E1065:E1068)/4</f>
        <v>2267.25</v>
      </c>
      <c r="D1068" s="90" t="s">
        <v>34</v>
      </c>
      <c r="E1068" s="90">
        <f>SUM('Weekly Data'!G1065:G1068)/4</f>
        <v>4797</v>
      </c>
      <c r="F1068" s="90">
        <f>SUM('Weekly Data'!H1065:H1068)/4</f>
        <v>514.25</v>
      </c>
      <c r="G1068" s="90">
        <f>SUM('Weekly Data'!I1065:I1068)/4</f>
        <v>8150.25</v>
      </c>
      <c r="H1068" s="200">
        <f>SUM('Weekly Data'!J1065:J1068)/4</f>
        <v>2071</v>
      </c>
      <c r="J1068" s="100">
        <f>AVERAGE('Weekly Data'!D1016,'Weekly Data'!D964,'Weekly Data'!D912,'Weekly Data'!D860)</f>
        <v>227.25</v>
      </c>
      <c r="K1068" s="16">
        <f>AVERAGE('Weekly Data'!E1016,'Weekly Data'!E964,'Weekly Data'!E912,'Weekly Data'!E860)</f>
        <v>1215</v>
      </c>
      <c r="L1068" s="16">
        <f>AVERAGE('Weekly Data'!F1016,'Weekly Data'!F964,'Weekly Data'!F912,'Weekly Data'!F860)</f>
        <v>1169</v>
      </c>
      <c r="M1068" s="16">
        <f>AVERAGE('Weekly Data'!G1016,'Weekly Data'!G964,'Weekly Data'!G912,'Weekly Data'!G860)</f>
        <v>2960.5</v>
      </c>
      <c r="N1068" s="16">
        <f>AVERAGE('Weekly Data'!H1016,'Weekly Data'!H964,'Weekly Data'!H912,'Weekly Data'!H860)</f>
        <v>358</v>
      </c>
      <c r="O1068" s="100">
        <f>AVERAGE('Weekly Data'!I1016,'Weekly Data'!I964,'Weekly Data'!I912,'Weekly Data'!I860)</f>
        <v>4760.75</v>
      </c>
      <c r="P1068" s="201">
        <f>AVERAGE('Weekly Data'!J1016,'Weekly Data'!J964,'Weekly Data'!J912,'Weekly Data'!J860)</f>
        <v>2095.7403215583117</v>
      </c>
      <c r="R1068" s="13">
        <f t="shared" si="119"/>
        <v>41766</v>
      </c>
      <c r="S1068" s="105">
        <f t="shared" ref="S1068:Y1068" si="172">AVERAGE(B1016,B964,B912,B859)</f>
        <v>173.4375</v>
      </c>
      <c r="T1068" s="105">
        <f t="shared" si="172"/>
        <v>1383.0625</v>
      </c>
      <c r="U1068" s="108">
        <f t="shared" si="172"/>
        <v>1237</v>
      </c>
      <c r="V1068" s="108">
        <f t="shared" si="172"/>
        <v>3064.625</v>
      </c>
      <c r="W1068" s="109">
        <f t="shared" si="172"/>
        <v>351.3125</v>
      </c>
      <c r="X1068" s="105">
        <f t="shared" si="172"/>
        <v>4972.4375</v>
      </c>
      <c r="Y1068" s="202">
        <f t="shared" si="172"/>
        <v>2117.7313586301939</v>
      </c>
    </row>
    <row r="1069" spans="1:25" x14ac:dyDescent="0.25">
      <c r="A1069" s="104">
        <f t="shared" ref="A1069:A1100" si="173">A1068+7</f>
        <v>41773</v>
      </c>
      <c r="B1069" s="59">
        <f>SUM('Weekly Data'!D1066:D1069)/4</f>
        <v>482.25</v>
      </c>
      <c r="C1069" s="90">
        <f>SUM('Weekly Data'!E1066:E1069)/4</f>
        <v>2053.5</v>
      </c>
      <c r="D1069" s="90" t="s">
        <v>34</v>
      </c>
      <c r="E1069" s="90">
        <f>SUM('Weekly Data'!G1066:G1069)/4</f>
        <v>4448.75</v>
      </c>
      <c r="F1069" s="90">
        <f>SUM('Weekly Data'!H1066:H1069)/4</f>
        <v>357.25</v>
      </c>
      <c r="G1069" s="90">
        <f>SUM('Weekly Data'!I1066:I1069)/4</f>
        <v>7341.75</v>
      </c>
      <c r="H1069" s="200">
        <f>SUM('Weekly Data'!J1066:J1069)/4</f>
        <v>2325.75</v>
      </c>
      <c r="J1069" s="100">
        <f>AVERAGE('Weekly Data'!D1017,'Weekly Data'!D965,'Weekly Data'!D913,'Weekly Data'!D861)</f>
        <v>214.25</v>
      </c>
      <c r="K1069" s="16">
        <f>AVERAGE('Weekly Data'!E1017,'Weekly Data'!E965,'Weekly Data'!E913,'Weekly Data'!E861)</f>
        <v>1048</v>
      </c>
      <c r="L1069" s="16">
        <f>AVERAGE('Weekly Data'!F1017,'Weekly Data'!F965,'Weekly Data'!F913,'Weekly Data'!F861)</f>
        <v>1147</v>
      </c>
      <c r="M1069" s="16">
        <f>AVERAGE('Weekly Data'!G1017,'Weekly Data'!G965,'Weekly Data'!G913,'Weekly Data'!G861)</f>
        <v>2928.5</v>
      </c>
      <c r="N1069" s="16">
        <f>AVERAGE('Weekly Data'!H1017,'Weekly Data'!H965,'Weekly Data'!H913,'Weekly Data'!H861)</f>
        <v>278.25</v>
      </c>
      <c r="O1069" s="100">
        <f>AVERAGE('Weekly Data'!I1017,'Weekly Data'!I965,'Weekly Data'!I913,'Weekly Data'!I861)</f>
        <v>4469</v>
      </c>
      <c r="P1069" s="201">
        <f>AVERAGE('Weekly Data'!J1017,'Weekly Data'!J965,'Weekly Data'!J913,'Weekly Data'!J861)</f>
        <v>1752.3516470248076</v>
      </c>
      <c r="R1069" s="13">
        <f t="shared" si="119"/>
        <v>41773</v>
      </c>
      <c r="S1069" s="105">
        <f t="shared" ref="S1069:Y1069" si="174">AVERAGE(B1017,B965,B913,B860)</f>
        <v>193.1875</v>
      </c>
      <c r="T1069" s="105">
        <f t="shared" si="174"/>
        <v>1283.75</v>
      </c>
      <c r="U1069" s="108">
        <f t="shared" si="174"/>
        <v>1160</v>
      </c>
      <c r="V1069" s="108">
        <f t="shared" si="174"/>
        <v>2952.4375</v>
      </c>
      <c r="W1069" s="109">
        <f t="shared" si="174"/>
        <v>352</v>
      </c>
      <c r="X1069" s="105">
        <f t="shared" si="174"/>
        <v>4781.375</v>
      </c>
      <c r="Y1069" s="202">
        <f t="shared" si="174"/>
        <v>2034.9187944929313</v>
      </c>
    </row>
    <row r="1070" spans="1:25" x14ac:dyDescent="0.25">
      <c r="A1070" s="104">
        <f t="shared" si="173"/>
        <v>41780</v>
      </c>
      <c r="B1070" s="59">
        <f>SUM('Weekly Data'!D1067:D1070)/4</f>
        <v>378</v>
      </c>
      <c r="C1070" s="90">
        <f>SUM('Weekly Data'!E1067:E1070)/4</f>
        <v>2302.25</v>
      </c>
      <c r="D1070" s="90" t="s">
        <v>34</v>
      </c>
      <c r="E1070" s="90">
        <f>SUM('Weekly Data'!G1067:G1070)/4</f>
        <v>3968.5</v>
      </c>
      <c r="F1070" s="90">
        <f>SUM('Weekly Data'!H1067:H1070)/4</f>
        <v>296.75</v>
      </c>
      <c r="G1070" s="90">
        <f>SUM('Weekly Data'!I1067:I1070)/4</f>
        <v>6945.5</v>
      </c>
      <c r="H1070" s="200">
        <f>SUM('Weekly Data'!J1067:J1070)/4</f>
        <v>2355.75</v>
      </c>
      <c r="J1070" s="100">
        <f>AVERAGE('Weekly Data'!D1018,'Weekly Data'!D966,'Weekly Data'!D914,'Weekly Data'!D862)</f>
        <v>241.5</v>
      </c>
      <c r="K1070" s="16">
        <f>AVERAGE('Weekly Data'!E1018,'Weekly Data'!E966,'Weekly Data'!E914,'Weekly Data'!E862)</f>
        <v>1243.75</v>
      </c>
      <c r="L1070" s="16">
        <f>AVERAGE('Weekly Data'!F1018,'Weekly Data'!F966,'Weekly Data'!F914,'Weekly Data'!F862)</f>
        <v>1129</v>
      </c>
      <c r="M1070" s="16">
        <f>AVERAGE('Weekly Data'!G1018,'Weekly Data'!G966,'Weekly Data'!G914,'Weekly Data'!G862)</f>
        <v>3048.25</v>
      </c>
      <c r="N1070" s="16">
        <f>AVERAGE('Weekly Data'!H1018,'Weekly Data'!H966,'Weekly Data'!H914,'Weekly Data'!H862)</f>
        <v>263.25</v>
      </c>
      <c r="O1070" s="100">
        <f>AVERAGE('Weekly Data'!I1018,'Weekly Data'!I966,'Weekly Data'!I914,'Weekly Data'!I862)</f>
        <v>4796.75</v>
      </c>
      <c r="P1070" s="201">
        <f>AVERAGE('Weekly Data'!J1018,'Weekly Data'!J966,'Weekly Data'!J914,'Weekly Data'!J862)</f>
        <v>1944.971253821303</v>
      </c>
      <c r="R1070" s="13">
        <f t="shared" si="119"/>
        <v>41780</v>
      </c>
      <c r="S1070" s="105">
        <f t="shared" ref="S1070:Y1070" si="175">AVERAGE(B1018,B966,B914,B861)</f>
        <v>213.75</v>
      </c>
      <c r="T1070" s="105">
        <f t="shared" si="175"/>
        <v>1263.875</v>
      </c>
      <c r="U1070" s="108">
        <f t="shared" si="175"/>
        <v>1165.1666666666667</v>
      </c>
      <c r="V1070" s="108">
        <f t="shared" si="175"/>
        <v>2981.1875</v>
      </c>
      <c r="W1070" s="109">
        <f t="shared" si="175"/>
        <v>304</v>
      </c>
      <c r="X1070" s="105">
        <f t="shared" si="175"/>
        <v>4762.8125</v>
      </c>
      <c r="Y1070" s="202">
        <f t="shared" si="175"/>
        <v>1986.9429528500782</v>
      </c>
    </row>
    <row r="1071" spans="1:25" x14ac:dyDescent="0.25">
      <c r="A1071" s="104">
        <f t="shared" si="173"/>
        <v>41787</v>
      </c>
      <c r="B1071" s="59">
        <f>SUM('Weekly Data'!D1068:D1071)/4</f>
        <v>270.5</v>
      </c>
      <c r="C1071" s="90">
        <f>SUM('Weekly Data'!E1068:E1071)/4</f>
        <v>2296.5</v>
      </c>
      <c r="D1071" s="90" t="s">
        <v>34</v>
      </c>
      <c r="E1071" s="90">
        <f>SUM('Weekly Data'!G1068:G1071)/4</f>
        <v>3751.25</v>
      </c>
      <c r="F1071" s="90">
        <f>SUM('Weekly Data'!H1068:H1071)/4</f>
        <v>244.5</v>
      </c>
      <c r="G1071" s="90">
        <f>SUM('Weekly Data'!I1068:I1071)/4</f>
        <v>6562.75</v>
      </c>
      <c r="H1071" s="200">
        <f>SUM('Weekly Data'!J1068:J1071)/4</f>
        <v>2236.75</v>
      </c>
      <c r="J1071" s="100">
        <f>AVERAGE('Weekly Data'!D1019,'Weekly Data'!D967,'Weekly Data'!D915,'Weekly Data'!D863)</f>
        <v>266.25</v>
      </c>
      <c r="K1071" s="16">
        <f>AVERAGE('Weekly Data'!E1019,'Weekly Data'!E967,'Weekly Data'!E915,'Weekly Data'!E863)</f>
        <v>1655.5</v>
      </c>
      <c r="L1071" s="16">
        <f>AVERAGE('Weekly Data'!F1019,'Weekly Data'!F967,'Weekly Data'!F915,'Weekly Data'!F863)</f>
        <v>1096.3333333333333</v>
      </c>
      <c r="M1071" s="16">
        <f>AVERAGE('Weekly Data'!G1019,'Weekly Data'!G967,'Weekly Data'!G915,'Weekly Data'!G863)</f>
        <v>2727.5</v>
      </c>
      <c r="N1071" s="16">
        <f>AVERAGE('Weekly Data'!H1019,'Weekly Data'!H967,'Weekly Data'!H915,'Weekly Data'!H863)</f>
        <v>157.5</v>
      </c>
      <c r="O1071" s="100">
        <f>AVERAGE('Weekly Data'!I1019,'Weekly Data'!I967,'Weekly Data'!I915,'Weekly Data'!I863)</f>
        <v>4806.75</v>
      </c>
      <c r="P1071" s="201">
        <f>AVERAGE('Weekly Data'!J1019,'Weekly Data'!J967,'Weekly Data'!J915,'Weekly Data'!J863)</f>
        <v>1844.66537790549</v>
      </c>
      <c r="R1071" s="13">
        <f t="shared" si="119"/>
        <v>41787</v>
      </c>
      <c r="S1071" s="105">
        <f t="shared" ref="S1071:Y1071" si="176">AVERAGE(B1019,B967,B915,B862)</f>
        <v>231</v>
      </c>
      <c r="T1071" s="105">
        <f t="shared" si="176"/>
        <v>1320.25</v>
      </c>
      <c r="U1071" s="108">
        <f t="shared" si="176"/>
        <v>1157.6666666666667</v>
      </c>
      <c r="V1071" s="108">
        <f t="shared" si="176"/>
        <v>2950.125</v>
      </c>
      <c r="W1071" s="109">
        <f t="shared" si="176"/>
        <v>266.6875</v>
      </c>
      <c r="X1071" s="105">
        <f t="shared" si="176"/>
        <v>4768.0625</v>
      </c>
      <c r="Y1071" s="202">
        <f t="shared" si="176"/>
        <v>1907.9394234112924</v>
      </c>
    </row>
    <row r="1072" spans="1:25" x14ac:dyDescent="0.25">
      <c r="A1072" s="104">
        <f t="shared" si="173"/>
        <v>41794</v>
      </c>
      <c r="B1072" s="59">
        <f>SUM('Weekly Data'!D1069:D1072)/4</f>
        <v>167.25</v>
      </c>
      <c r="C1072" s="90">
        <f>SUM('Weekly Data'!E1069:E1072)/4</f>
        <v>1905.5</v>
      </c>
      <c r="D1072" s="90" t="s">
        <v>34</v>
      </c>
      <c r="E1072" s="90">
        <f>SUM('Weekly Data'!G1069:G1072)/4</f>
        <v>3591.25</v>
      </c>
      <c r="F1072" s="90">
        <f>SUM('Weekly Data'!H1069:H1072)/4</f>
        <v>275.25</v>
      </c>
      <c r="G1072" s="90">
        <f>SUM('Weekly Data'!I1069:I1072)/4</f>
        <v>5939.25</v>
      </c>
      <c r="H1072" s="200">
        <f>SUM('Weekly Data'!J1069:J1072)/4</f>
        <v>2161.25</v>
      </c>
      <c r="J1072" s="100">
        <f>AVERAGE('Weekly Data'!D1020,'Weekly Data'!D968,'Weekly Data'!D916,'Weekly Data'!D864)</f>
        <v>173</v>
      </c>
      <c r="K1072" s="16">
        <f>AVERAGE('Weekly Data'!E1020,'Weekly Data'!E968,'Weekly Data'!E916,'Weekly Data'!E864)</f>
        <v>1581.25</v>
      </c>
      <c r="L1072" s="16">
        <f>AVERAGE('Weekly Data'!F1020,'Weekly Data'!F968,'Weekly Data'!F916,'Weekly Data'!F864)</f>
        <v>1040</v>
      </c>
      <c r="M1072" s="16">
        <f>AVERAGE('Weekly Data'!G1020,'Weekly Data'!G968,'Weekly Data'!G916,'Weekly Data'!G864)</f>
        <v>2696.25</v>
      </c>
      <c r="N1072" s="16">
        <f>AVERAGE('Weekly Data'!H1020,'Weekly Data'!H968,'Weekly Data'!H916,'Weekly Data'!H864)</f>
        <v>102.75</v>
      </c>
      <c r="O1072" s="100">
        <f>AVERAGE('Weekly Data'!I1020,'Weekly Data'!I968,'Weekly Data'!I916,'Weekly Data'!I864)</f>
        <v>4553.25</v>
      </c>
      <c r="P1072" s="201">
        <f>AVERAGE('Weekly Data'!J1020,'Weekly Data'!J968,'Weekly Data'!J916,'Weekly Data'!J864)</f>
        <v>1881.7941949782735</v>
      </c>
      <c r="R1072" s="13">
        <f t="shared" si="119"/>
        <v>41794</v>
      </c>
      <c r="S1072" s="105">
        <f t="shared" ref="S1072:Y1072" si="177">AVERAGE(B1020,B968,B916,B863)</f>
        <v>230.5</v>
      </c>
      <c r="T1072" s="105">
        <f t="shared" si="177"/>
        <v>1377.8125</v>
      </c>
      <c r="U1072" s="108">
        <f t="shared" si="177"/>
        <v>1111.9166666666667</v>
      </c>
      <c r="V1072" s="108">
        <f t="shared" si="177"/>
        <v>2823.875</v>
      </c>
      <c r="W1072" s="109">
        <f t="shared" si="177"/>
        <v>217.5625</v>
      </c>
      <c r="X1072" s="105">
        <f t="shared" si="177"/>
        <v>4649.75</v>
      </c>
      <c r="Y1072" s="202">
        <f t="shared" si="177"/>
        <v>1832.1172779463172</v>
      </c>
    </row>
    <row r="1073" spans="1:25" x14ac:dyDescent="0.25">
      <c r="A1073" s="104">
        <f t="shared" si="173"/>
        <v>41801</v>
      </c>
      <c r="B1073" s="59">
        <f>SUM('Weekly Data'!D1070:D1073)/4</f>
        <v>68.75</v>
      </c>
      <c r="C1073" s="90">
        <f>SUM('Weekly Data'!E1070:E1073)/4</f>
        <v>1910.25</v>
      </c>
      <c r="D1073" s="90" t="s">
        <v>34</v>
      </c>
      <c r="E1073" s="90">
        <f>SUM('Weekly Data'!G1070:G1073)/4</f>
        <v>3565.5</v>
      </c>
      <c r="F1073" s="90">
        <f>SUM('Weekly Data'!H1070:H1073)/4</f>
        <v>259.5</v>
      </c>
      <c r="G1073" s="90">
        <f>SUM('Weekly Data'!I1070:I1073)/4</f>
        <v>5804</v>
      </c>
      <c r="H1073" s="200">
        <f>SUM('Weekly Data'!J1070:J1073)/4</f>
        <v>2115.5</v>
      </c>
      <c r="J1073" s="100">
        <f>AVERAGE('Weekly Data'!D1021,'Weekly Data'!D969,'Weekly Data'!D917,'Weekly Data'!D865)</f>
        <v>174</v>
      </c>
      <c r="K1073" s="16">
        <f>AVERAGE('Weekly Data'!E1021,'Weekly Data'!E969,'Weekly Data'!E917,'Weekly Data'!E865)</f>
        <v>1061.75</v>
      </c>
      <c r="L1073" s="16">
        <f>AVERAGE('Weekly Data'!F1021,'Weekly Data'!F969,'Weekly Data'!F917,'Weekly Data'!F865)</f>
        <v>775.66666666666663</v>
      </c>
      <c r="M1073" s="16">
        <f>AVERAGE('Weekly Data'!G1021,'Weekly Data'!G969,'Weekly Data'!G917,'Weekly Data'!G865)</f>
        <v>2654</v>
      </c>
      <c r="N1073" s="16">
        <f>AVERAGE('Weekly Data'!H1021,'Weekly Data'!H969,'Weekly Data'!H917,'Weekly Data'!H865)</f>
        <v>145</v>
      </c>
      <c r="O1073" s="100">
        <f>AVERAGE('Weekly Data'!I1021,'Weekly Data'!I969,'Weekly Data'!I917,'Weekly Data'!I865)</f>
        <v>4034.75</v>
      </c>
      <c r="P1073" s="201">
        <f>AVERAGE('Weekly Data'!J1021,'Weekly Data'!J969,'Weekly Data'!J917,'Weekly Data'!J865)</f>
        <v>1775.0902347576823</v>
      </c>
      <c r="R1073" s="13">
        <f t="shared" si="119"/>
        <v>41801</v>
      </c>
      <c r="S1073" s="105">
        <f t="shared" ref="S1073:Y1073" si="178">AVERAGE(B1021,B969,B917,B864)</f>
        <v>199.1875</v>
      </c>
      <c r="T1073" s="105">
        <f t="shared" si="178"/>
        <v>1398</v>
      </c>
      <c r="U1073" s="108">
        <f t="shared" si="178"/>
        <v>1022.3333333333334</v>
      </c>
      <c r="V1073" s="108">
        <f t="shared" si="178"/>
        <v>2843.5625</v>
      </c>
      <c r="W1073" s="109">
        <f t="shared" si="178"/>
        <v>168.625</v>
      </c>
      <c r="X1073" s="105">
        <f t="shared" si="178"/>
        <v>4609.375</v>
      </c>
      <c r="Y1073" s="202">
        <f t="shared" si="178"/>
        <v>1855.2170693183705</v>
      </c>
    </row>
    <row r="1074" spans="1:25" x14ac:dyDescent="0.25">
      <c r="A1074" s="104">
        <f t="shared" si="173"/>
        <v>41808</v>
      </c>
      <c r="B1074" s="59">
        <f>SUM('Weekly Data'!D1071:D1074)/4</f>
        <v>61.75</v>
      </c>
      <c r="C1074" s="90">
        <f>SUM('Weekly Data'!E1071:E1074)/4</f>
        <v>1440.5</v>
      </c>
      <c r="D1074" s="90" t="s">
        <v>34</v>
      </c>
      <c r="E1074" s="90">
        <f>SUM('Weekly Data'!G1071:G1074)/4</f>
        <v>3693.75</v>
      </c>
      <c r="F1074" s="90">
        <f>SUM('Weekly Data'!H1071:H1074)/4</f>
        <v>202.25</v>
      </c>
      <c r="G1074" s="90">
        <f>SUM('Weekly Data'!I1071:I1074)/4</f>
        <v>5398.25</v>
      </c>
      <c r="H1074" s="200">
        <f>SUM('Weekly Data'!J1071:J1074)/4</f>
        <v>2053.25</v>
      </c>
      <c r="J1074" s="100">
        <f>AVERAGE('Weekly Data'!D1022,'Weekly Data'!D970,'Weekly Data'!D918,'Weekly Data'!D866)</f>
        <v>98.25</v>
      </c>
      <c r="K1074" s="16">
        <f>AVERAGE('Weekly Data'!E1022,'Weekly Data'!E970,'Weekly Data'!E918,'Weekly Data'!E866)</f>
        <v>1082</v>
      </c>
      <c r="L1074" s="16">
        <f>AVERAGE('Weekly Data'!F1022,'Weekly Data'!F970,'Weekly Data'!F918,'Weekly Data'!F866)</f>
        <v>899.33333333333337</v>
      </c>
      <c r="M1074" s="16">
        <f>AVERAGE('Weekly Data'!G1022,'Weekly Data'!G970,'Weekly Data'!G918,'Weekly Data'!G866)</f>
        <v>2470</v>
      </c>
      <c r="N1074" s="16">
        <f>AVERAGE('Weekly Data'!H1022,'Weekly Data'!H970,'Weekly Data'!H918,'Weekly Data'!H866)</f>
        <v>157.25</v>
      </c>
      <c r="O1074" s="100">
        <f>AVERAGE('Weekly Data'!I1022,'Weekly Data'!I970,'Weekly Data'!I918,'Weekly Data'!I866)</f>
        <v>3807.5</v>
      </c>
      <c r="P1074" s="201">
        <f>AVERAGE('Weekly Data'!J1022,'Weekly Data'!J970,'Weekly Data'!J918,'Weekly Data'!J866)</f>
        <v>1434.2980806627816</v>
      </c>
      <c r="R1074" s="13">
        <f t="shared" si="119"/>
        <v>41808</v>
      </c>
      <c r="S1074" s="105">
        <f t="shared" ref="S1074:Y1074" si="179">AVERAGE(B1022,B970,B918,B865)</f>
        <v>180.5625</v>
      </c>
      <c r="T1074" s="105">
        <f t="shared" si="179"/>
        <v>1327.8125</v>
      </c>
      <c r="U1074" s="108">
        <f t="shared" si="179"/>
        <v>947.66666666666663</v>
      </c>
      <c r="V1074" s="108">
        <f t="shared" si="179"/>
        <v>2674.5625</v>
      </c>
      <c r="W1074" s="109">
        <f t="shared" si="179"/>
        <v>146.6875</v>
      </c>
      <c r="X1074" s="105">
        <f t="shared" si="179"/>
        <v>4329.625</v>
      </c>
      <c r="Y1074" s="202">
        <f t="shared" si="179"/>
        <v>1769.8979844101596</v>
      </c>
    </row>
    <row r="1075" spans="1:25" x14ac:dyDescent="0.25">
      <c r="A1075" s="104">
        <f t="shared" si="173"/>
        <v>41815</v>
      </c>
      <c r="B1075" s="59">
        <f>SUM('Weekly Data'!D1072:D1075)/4</f>
        <v>30</v>
      </c>
      <c r="C1075" s="90">
        <f>SUM('Weekly Data'!E1072:E1075)/4</f>
        <v>1215.25</v>
      </c>
      <c r="D1075" s="90" t="s">
        <v>34</v>
      </c>
      <c r="E1075" s="90">
        <f>SUM('Weekly Data'!G1072:G1075)/4</f>
        <v>3554</v>
      </c>
      <c r="F1075" s="90">
        <f>SUM('Weekly Data'!H1072:H1075)/4</f>
        <v>121.75</v>
      </c>
      <c r="G1075" s="90">
        <f>SUM('Weekly Data'!I1072:I1075)/4</f>
        <v>4921</v>
      </c>
      <c r="H1075" s="200">
        <f>SUM('Weekly Data'!J1072:J1075)/4</f>
        <v>2175.75</v>
      </c>
      <c r="J1075" s="100">
        <f>AVERAGE('Weekly Data'!D1023,'Weekly Data'!D971,'Weekly Data'!D919,'Weekly Data'!D867)</f>
        <v>175.25</v>
      </c>
      <c r="K1075" s="16">
        <f>AVERAGE('Weekly Data'!E1023,'Weekly Data'!E971,'Weekly Data'!E919,'Weekly Data'!E867)</f>
        <v>1162.25</v>
      </c>
      <c r="L1075" s="16">
        <f>AVERAGE('Weekly Data'!F1023,'Weekly Data'!F971,'Weekly Data'!F919,'Weekly Data'!F867)</f>
        <v>745</v>
      </c>
      <c r="M1075" s="16">
        <f>AVERAGE('Weekly Data'!G1023,'Weekly Data'!G971,'Weekly Data'!G919,'Weekly Data'!G867)</f>
        <v>2781</v>
      </c>
      <c r="N1075" s="16">
        <f>AVERAGE('Weekly Data'!H1023,'Weekly Data'!H971,'Weekly Data'!H919,'Weekly Data'!H867)</f>
        <v>159.25</v>
      </c>
      <c r="O1075" s="100">
        <f>AVERAGE('Weekly Data'!I1023,'Weekly Data'!I971,'Weekly Data'!I919,'Weekly Data'!I867)</f>
        <v>4277.75</v>
      </c>
      <c r="P1075" s="201">
        <f>AVERAGE('Weekly Data'!J1023,'Weekly Data'!J971,'Weekly Data'!J919,'Weekly Data'!J867)</f>
        <v>1902.1017736351378</v>
      </c>
      <c r="R1075" s="13">
        <f t="shared" si="119"/>
        <v>41815</v>
      </c>
      <c r="S1075" s="105">
        <f t="shared" ref="S1075:Y1075" si="180">AVERAGE(B1023,B971,B919,B866)</f>
        <v>154.75</v>
      </c>
      <c r="T1075" s="105">
        <f t="shared" si="180"/>
        <v>1202.875</v>
      </c>
      <c r="U1075" s="108">
        <f t="shared" si="180"/>
        <v>848.91666666666663</v>
      </c>
      <c r="V1075" s="108">
        <f t="shared" si="180"/>
        <v>2658</v>
      </c>
      <c r="W1075" s="109">
        <f t="shared" si="180"/>
        <v>145.25</v>
      </c>
      <c r="X1075" s="105">
        <f t="shared" si="180"/>
        <v>4160.875</v>
      </c>
      <c r="Y1075" s="202">
        <f t="shared" si="180"/>
        <v>1734.3336692845796</v>
      </c>
    </row>
    <row r="1076" spans="1:25" x14ac:dyDescent="0.25">
      <c r="A1076" s="104">
        <f t="shared" si="173"/>
        <v>41822</v>
      </c>
      <c r="B1076" s="59">
        <f>SUM('Weekly Data'!D1073:D1076)/4</f>
        <v>27.25</v>
      </c>
      <c r="C1076" s="90">
        <f>SUM('Weekly Data'!E1073:E1076)/4</f>
        <v>1075.25</v>
      </c>
      <c r="D1076" s="90" t="s">
        <v>34</v>
      </c>
      <c r="E1076" s="90">
        <f>SUM('Weekly Data'!G1073:G1076)/4</f>
        <v>3371.5</v>
      </c>
      <c r="F1076" s="90">
        <f>SUM('Weekly Data'!H1073:H1076)/4</f>
        <v>109</v>
      </c>
      <c r="G1076" s="90">
        <f>SUM('Weekly Data'!I1073:I1076)/4</f>
        <v>4583</v>
      </c>
      <c r="H1076" s="200">
        <f>SUM('Weekly Data'!J1073:J1076)/4</f>
        <v>2186.25</v>
      </c>
      <c r="J1076" s="100">
        <f>AVERAGE('Weekly Data'!D1024,'Weekly Data'!D972,'Weekly Data'!D920,'Weekly Data'!D868)</f>
        <v>117.25</v>
      </c>
      <c r="K1076" s="16">
        <f>AVERAGE('Weekly Data'!E1024,'Weekly Data'!E972,'Weekly Data'!E920,'Weekly Data'!E868)</f>
        <v>1149.25</v>
      </c>
      <c r="L1076" s="16">
        <f>AVERAGE('Weekly Data'!F1024,'Weekly Data'!F972,'Weekly Data'!F920,'Weekly Data'!F868)</f>
        <v>858</v>
      </c>
      <c r="M1076" s="16">
        <f>AVERAGE('Weekly Data'!G1024,'Weekly Data'!G972,'Weekly Data'!G920,'Weekly Data'!G868)</f>
        <v>2410</v>
      </c>
      <c r="N1076" s="16">
        <f>AVERAGE('Weekly Data'!H1024,'Weekly Data'!H972,'Weekly Data'!H920,'Weekly Data'!H868)</f>
        <v>144.75</v>
      </c>
      <c r="O1076" s="100">
        <f>AVERAGE('Weekly Data'!I1024,'Weekly Data'!I972,'Weekly Data'!I920,'Weekly Data'!I868)</f>
        <v>3821.25</v>
      </c>
      <c r="P1076" s="201">
        <f>AVERAGE('Weekly Data'!J1024,'Weekly Data'!J972,'Weekly Data'!J920,'Weekly Data'!J868)</f>
        <v>1619.0056507392183</v>
      </c>
      <c r="R1076" s="13">
        <f t="shared" si="119"/>
        <v>41822</v>
      </c>
      <c r="S1076" s="105">
        <f t="shared" ref="S1076:Y1076" si="181">AVERAGE(B1024,B972,B920,B867)</f>
        <v>140.875</v>
      </c>
      <c r="T1076" s="105">
        <f t="shared" si="181"/>
        <v>1087.9375</v>
      </c>
      <c r="U1076" s="108">
        <f t="shared" si="181"/>
        <v>864.16666666666663</v>
      </c>
      <c r="V1076" s="108">
        <f t="shared" si="181"/>
        <v>2616.625</v>
      </c>
      <c r="W1076" s="109">
        <f t="shared" si="181"/>
        <v>154.25</v>
      </c>
      <c r="X1076" s="105">
        <f>AVERAGE(G1024,G972,G920,G867)</f>
        <v>3999.6875</v>
      </c>
      <c r="Y1076" s="202">
        <f t="shared" si="181"/>
        <v>1750.1283519639965</v>
      </c>
    </row>
    <row r="1077" spans="1:25" x14ac:dyDescent="0.25">
      <c r="A1077" s="104">
        <f t="shared" si="173"/>
        <v>41829</v>
      </c>
      <c r="B1077" s="59">
        <f>SUM('Weekly Data'!D1074:D1077)/4</f>
        <v>61.5</v>
      </c>
      <c r="C1077" s="90">
        <f>SUM('Weekly Data'!E1074:E1077)/4</f>
        <v>1182.5</v>
      </c>
      <c r="D1077" s="90" t="s">
        <v>34</v>
      </c>
      <c r="E1077" s="90">
        <f>SUM('Weekly Data'!G1074:G1077)/4</f>
        <v>3401</v>
      </c>
      <c r="F1077" s="90">
        <f>SUM('Weekly Data'!H1074:H1077)/4</f>
        <v>116.5</v>
      </c>
      <c r="G1077" s="90">
        <f>SUM('Weekly Data'!I1074:I1077)/4</f>
        <v>4761.5</v>
      </c>
      <c r="H1077" s="200">
        <f>SUM('Weekly Data'!J1074:J1077)/4</f>
        <v>1853.5</v>
      </c>
      <c r="J1077" s="100">
        <f>AVERAGE('Weekly Data'!D1025,'Weekly Data'!D973,'Weekly Data'!D921,'Weekly Data'!D869)</f>
        <v>146.5</v>
      </c>
      <c r="K1077" s="16">
        <f>AVERAGE('Weekly Data'!E1025,'Weekly Data'!E973,'Weekly Data'!E921,'Weekly Data'!E869)</f>
        <v>1186.75</v>
      </c>
      <c r="L1077" s="16">
        <f>AVERAGE('Weekly Data'!F1025,'Weekly Data'!F973,'Weekly Data'!F921,'Weekly Data'!F869)</f>
        <v>1014.6666666666666</v>
      </c>
      <c r="M1077" s="16">
        <f>AVERAGE('Weekly Data'!G1025,'Weekly Data'!G973,'Weekly Data'!G921,'Weekly Data'!G869)</f>
        <v>2937.75</v>
      </c>
      <c r="N1077" s="16">
        <f>AVERAGE('Weekly Data'!H1025,'Weekly Data'!H973,'Weekly Data'!H921,'Weekly Data'!H869)</f>
        <v>195</v>
      </c>
      <c r="O1077" s="100">
        <f>AVERAGE('Weekly Data'!I1025,'Weekly Data'!I973,'Weekly Data'!I921,'Weekly Data'!I869)</f>
        <v>4466</v>
      </c>
      <c r="P1077" s="201">
        <f>AVERAGE('Weekly Data'!J1025,'Weekly Data'!J973,'Weekly Data'!J921,'Weekly Data'!J869)</f>
        <v>1389.5921883610829</v>
      </c>
      <c r="R1077" s="13">
        <f t="shared" si="119"/>
        <v>41829</v>
      </c>
      <c r="S1077" s="105">
        <f t="shared" ref="S1077:Y1077" si="182">AVERAGE(B1025,B973,B921,B868)</f>
        <v>154.625</v>
      </c>
      <c r="T1077" s="105">
        <f t="shared" si="182"/>
        <v>1111</v>
      </c>
      <c r="U1077" s="108">
        <f t="shared" si="182"/>
        <v>844.08333333333337</v>
      </c>
      <c r="V1077" s="108">
        <f t="shared" si="182"/>
        <v>2565.5</v>
      </c>
      <c r="W1077" s="109">
        <f t="shared" si="182"/>
        <v>158.375</v>
      </c>
      <c r="X1077" s="105">
        <f t="shared" si="182"/>
        <v>3989.5</v>
      </c>
      <c r="Y1077" s="202">
        <f t="shared" si="182"/>
        <v>1644.4104771579798</v>
      </c>
    </row>
    <row r="1078" spans="1:25" x14ac:dyDescent="0.25">
      <c r="A1078" s="104">
        <f t="shared" si="173"/>
        <v>41836</v>
      </c>
      <c r="B1078" s="59">
        <f>SUM('Weekly Data'!D1075:D1078)/4</f>
        <v>44</v>
      </c>
      <c r="C1078" s="90">
        <f>SUM('Weekly Data'!E1075:E1078)/4</f>
        <v>1204.5</v>
      </c>
      <c r="D1078" s="90" t="s">
        <v>34</v>
      </c>
      <c r="E1078" s="90">
        <f>SUM('Weekly Data'!G1075:G1078)/4</f>
        <v>3198.5</v>
      </c>
      <c r="F1078" s="90">
        <f>SUM('Weekly Data'!H1075:H1078)/4</f>
        <v>141.5</v>
      </c>
      <c r="G1078" s="90">
        <f>SUM('Weekly Data'!I1075:I1078)/4</f>
        <v>4588.5</v>
      </c>
      <c r="H1078" s="200">
        <f>SUM('Weekly Data'!J1075:J1078)/4</f>
        <v>1962.75</v>
      </c>
      <c r="J1078" s="100">
        <f>AVERAGE('Weekly Data'!D1026,'Weekly Data'!D974,'Weekly Data'!D922,'Weekly Data'!D870)</f>
        <v>218.75</v>
      </c>
      <c r="K1078" s="16">
        <f>AVERAGE('Weekly Data'!E1026,'Weekly Data'!E974,'Weekly Data'!E922,'Weekly Data'!E870)</f>
        <v>869.5</v>
      </c>
      <c r="L1078" s="16">
        <f>AVERAGE('Weekly Data'!F1026,'Weekly Data'!F974,'Weekly Data'!F922,'Weekly Data'!F870)</f>
        <v>930</v>
      </c>
      <c r="M1078" s="16">
        <f>AVERAGE('Weekly Data'!G1026,'Weekly Data'!G974,'Weekly Data'!G922,'Weekly Data'!G870)</f>
        <v>2787.5</v>
      </c>
      <c r="N1078" s="16">
        <f>AVERAGE('Weekly Data'!H1026,'Weekly Data'!H974,'Weekly Data'!H922,'Weekly Data'!H870)</f>
        <v>164.75</v>
      </c>
      <c r="O1078" s="100">
        <f>AVERAGE('Weekly Data'!I1026,'Weekly Data'!I974,'Weekly Data'!I922,'Weekly Data'!I870)</f>
        <v>4040.5</v>
      </c>
      <c r="P1078" s="201">
        <f>AVERAGE('Weekly Data'!J1026,'Weekly Data'!J974,'Weekly Data'!J922,'Weekly Data'!J870)</f>
        <v>1688.5097784701225</v>
      </c>
      <c r="R1078" s="13">
        <f t="shared" si="119"/>
        <v>41836</v>
      </c>
      <c r="S1078" s="105">
        <f t="shared" ref="S1078:Y1078" si="183">AVERAGE(B1026,B974,B922,B869)</f>
        <v>159.875</v>
      </c>
      <c r="T1078" s="105">
        <f t="shared" si="183"/>
        <v>1092.6875</v>
      </c>
      <c r="U1078" s="108">
        <f t="shared" si="183"/>
        <v>956.25</v>
      </c>
      <c r="V1078" s="108">
        <f t="shared" si="183"/>
        <v>2622.75</v>
      </c>
      <c r="W1078" s="109">
        <f t="shared" si="183"/>
        <v>156.3125</v>
      </c>
      <c r="X1078" s="105">
        <f t="shared" si="183"/>
        <v>4031.625</v>
      </c>
      <c r="Y1078" s="202">
        <f t="shared" si="183"/>
        <v>1672.9119680408594</v>
      </c>
    </row>
    <row r="1079" spans="1:25" x14ac:dyDescent="0.25">
      <c r="A1079" s="104">
        <f t="shared" si="173"/>
        <v>41843</v>
      </c>
      <c r="B1079" s="59">
        <f>SUM('Weekly Data'!D1076:D1079)/4</f>
        <v>45</v>
      </c>
      <c r="C1079" s="90">
        <f>SUM('Weekly Data'!E1076:E1079)/4</f>
        <v>1204.25</v>
      </c>
      <c r="D1079" s="90" t="s">
        <v>34</v>
      </c>
      <c r="E1079" s="90">
        <f>SUM('Weekly Data'!G1076:G1079)/4</f>
        <v>3168</v>
      </c>
      <c r="F1079" s="90">
        <f>SUM('Weekly Data'!H1076:H1079)/4</f>
        <v>194.25</v>
      </c>
      <c r="G1079" s="90">
        <f>SUM('Weekly Data'!I1076:I1079)/4</f>
        <v>4611.5</v>
      </c>
      <c r="H1079" s="200">
        <f>SUM('Weekly Data'!J1076:J1079)/4</f>
        <v>1877.75</v>
      </c>
      <c r="J1079" s="100">
        <f>AVERAGE('Weekly Data'!D1027,'Weekly Data'!D975,'Weekly Data'!D923,'Weekly Data'!D871)</f>
        <v>236.75</v>
      </c>
      <c r="K1079" s="16">
        <f>AVERAGE('Weekly Data'!E1027,'Weekly Data'!E975,'Weekly Data'!E923,'Weekly Data'!E871)</f>
        <v>1145</v>
      </c>
      <c r="L1079" s="16">
        <f>AVERAGE('Weekly Data'!F1027,'Weekly Data'!F975,'Weekly Data'!F923,'Weekly Data'!F871)</f>
        <v>1031.6666666666667</v>
      </c>
      <c r="M1079" s="16">
        <f>AVERAGE('Weekly Data'!G1027,'Weekly Data'!G975,'Weekly Data'!G923,'Weekly Data'!G871)</f>
        <v>2948</v>
      </c>
      <c r="N1079" s="16">
        <f>AVERAGE('Weekly Data'!H1027,'Weekly Data'!H975,'Weekly Data'!H923,'Weekly Data'!H871)</f>
        <v>192.75</v>
      </c>
      <c r="O1079" s="100">
        <f>AVERAGE('Weekly Data'!I1027,'Weekly Data'!I975,'Weekly Data'!I923,'Weekly Data'!I871)</f>
        <v>4522.5</v>
      </c>
      <c r="P1079" s="201">
        <f>AVERAGE('Weekly Data'!J1027,'Weekly Data'!J975,'Weekly Data'!J923,'Weekly Data'!J871)</f>
        <v>1418.0517986524085</v>
      </c>
      <c r="R1079" s="13">
        <f t="shared" ref="R1079:R1122" si="184">R1078+7</f>
        <v>41843</v>
      </c>
      <c r="S1079" s="105">
        <f t="shared" ref="S1079:Y1079" si="185">AVERAGE(B1027,B975,B923,B870)</f>
        <v>165.5625</v>
      </c>
      <c r="T1079" s="105">
        <f t="shared" si="185"/>
        <v>1041.1875</v>
      </c>
      <c r="U1079" s="108">
        <f t="shared" si="185"/>
        <v>898.33333333333337</v>
      </c>
      <c r="V1079" s="108">
        <f t="shared" si="185"/>
        <v>2707.6875</v>
      </c>
      <c r="W1079" s="109">
        <f t="shared" si="185"/>
        <v>182.125</v>
      </c>
      <c r="X1079" s="105">
        <f t="shared" si="185"/>
        <v>4096.5625</v>
      </c>
      <c r="Y1079" s="202">
        <f t="shared" si="185"/>
        <v>1570.5862007089106</v>
      </c>
    </row>
    <row r="1080" spans="1:25" x14ac:dyDescent="0.25">
      <c r="A1080" s="104">
        <f t="shared" si="173"/>
        <v>41850</v>
      </c>
      <c r="B1080" s="59">
        <f>SUM('Weekly Data'!D1077:D1080)/4</f>
        <v>72.75</v>
      </c>
      <c r="C1080" s="90">
        <f>SUM('Weekly Data'!E1077:E1080)/4</f>
        <v>1357.5</v>
      </c>
      <c r="D1080" s="90" t="s">
        <v>34</v>
      </c>
      <c r="E1080" s="90">
        <f>SUM('Weekly Data'!G1077:G1080)/4</f>
        <v>3312.5</v>
      </c>
      <c r="F1080" s="90">
        <f>SUM('Weekly Data'!H1077:H1080)/4</f>
        <v>197.5</v>
      </c>
      <c r="G1080" s="90">
        <f>SUM('Weekly Data'!I1077:I1080)/4</f>
        <v>4940.25</v>
      </c>
      <c r="H1080" s="200">
        <f>SUM('Weekly Data'!J1077:J1080)/4</f>
        <v>1871</v>
      </c>
      <c r="J1080" s="100">
        <f>AVERAGE('Weekly Data'!D1028,'Weekly Data'!D976,'Weekly Data'!D924,'Weekly Data'!D872)</f>
        <v>175.25</v>
      </c>
      <c r="K1080" s="16">
        <f>AVERAGE('Weekly Data'!E1028,'Weekly Data'!E976,'Weekly Data'!E924,'Weekly Data'!E872)</f>
        <v>1123.5</v>
      </c>
      <c r="L1080" s="16">
        <f>AVERAGE('Weekly Data'!F1028,'Weekly Data'!F976,'Weekly Data'!F924,'Weekly Data'!F872)</f>
        <v>735.33333333333337</v>
      </c>
      <c r="M1080" s="16">
        <f>AVERAGE('Weekly Data'!G1028,'Weekly Data'!G976,'Weekly Data'!G924,'Weekly Data'!G872)</f>
        <v>2718.75</v>
      </c>
      <c r="N1080" s="16">
        <f>AVERAGE('Weekly Data'!H1028,'Weekly Data'!H976,'Weekly Data'!H924,'Weekly Data'!H872)</f>
        <v>111.5</v>
      </c>
      <c r="O1080" s="100">
        <f>AVERAGE('Weekly Data'!I1028,'Weekly Data'!I976,'Weekly Data'!I924,'Weekly Data'!I872)</f>
        <v>4129</v>
      </c>
      <c r="P1080" s="201">
        <f>AVERAGE('Weekly Data'!J1028,'Weekly Data'!J976,'Weekly Data'!J924,'Weekly Data'!J872)</f>
        <v>1567.3323810154268</v>
      </c>
      <c r="R1080" s="13">
        <f t="shared" si="184"/>
        <v>41850</v>
      </c>
      <c r="S1080" s="105">
        <f t="shared" ref="S1080:Y1080" si="186">AVERAGE(B1028,B976,B924,B871)</f>
        <v>188.3125</v>
      </c>
      <c r="T1080" s="105">
        <f t="shared" si="186"/>
        <v>1090.3125</v>
      </c>
      <c r="U1080" s="108">
        <f t="shared" si="186"/>
        <v>925.66666666666663</v>
      </c>
      <c r="V1080" s="108">
        <f t="shared" si="186"/>
        <v>2804</v>
      </c>
      <c r="W1080" s="109">
        <f t="shared" si="186"/>
        <v>165.625</v>
      </c>
      <c r="X1080" s="105">
        <f t="shared" si="186"/>
        <v>4248.25</v>
      </c>
      <c r="Y1080" s="202">
        <f t="shared" si="186"/>
        <v>1450.6338526951581</v>
      </c>
    </row>
    <row r="1081" spans="1:25" x14ac:dyDescent="0.25">
      <c r="A1081" s="104">
        <f t="shared" si="173"/>
        <v>41857</v>
      </c>
      <c r="B1081" s="59">
        <f>SUM('Weekly Data'!D1078:D1081)/4</f>
        <v>89</v>
      </c>
      <c r="C1081" s="90">
        <f>SUM('Weekly Data'!E1078:E1081)/4</f>
        <v>1331.75</v>
      </c>
      <c r="D1081" s="90" t="s">
        <v>34</v>
      </c>
      <c r="E1081" s="90">
        <f>SUM('Weekly Data'!G1078:G1081)/4</f>
        <v>3310</v>
      </c>
      <c r="F1081" s="90">
        <f>SUM('Weekly Data'!H1078:H1081)/4</f>
        <v>191.5</v>
      </c>
      <c r="G1081" s="90">
        <f>SUM('Weekly Data'!I1078:I1081)/4</f>
        <v>4922.25</v>
      </c>
      <c r="H1081" s="200">
        <f>SUM('Weekly Data'!J1078:J1081)/4</f>
        <v>1760.25</v>
      </c>
      <c r="J1081" s="100">
        <f>AVERAGE('Weekly Data'!D1029,'Weekly Data'!D977,'Weekly Data'!D925,'Weekly Data'!D873)</f>
        <v>263.25</v>
      </c>
      <c r="K1081" s="16">
        <f>AVERAGE('Weekly Data'!E1029,'Weekly Data'!E977,'Weekly Data'!E925,'Weekly Data'!E873)</f>
        <v>1334.25</v>
      </c>
      <c r="L1081" s="16">
        <f>AVERAGE('Weekly Data'!F1029,'Weekly Data'!F977,'Weekly Data'!F925,'Weekly Data'!F873)</f>
        <v>884.66666666666663</v>
      </c>
      <c r="M1081" s="16">
        <f>AVERAGE('Weekly Data'!G1029,'Weekly Data'!G977,'Weekly Data'!G925,'Weekly Data'!G873)</f>
        <v>2656</v>
      </c>
      <c r="N1081" s="16">
        <f>AVERAGE('Weekly Data'!H1029,'Weekly Data'!H977,'Weekly Data'!H925,'Weekly Data'!H873)</f>
        <v>115.25</v>
      </c>
      <c r="O1081" s="100">
        <f>AVERAGE('Weekly Data'!I1029,'Weekly Data'!I977,'Weekly Data'!I925,'Weekly Data'!I873)</f>
        <v>4368.75</v>
      </c>
      <c r="P1081" s="201">
        <f>AVERAGE('Weekly Data'!J1029,'Weekly Data'!J977,'Weekly Data'!J925,'Weekly Data'!J873)</f>
        <v>1506.2704149172325</v>
      </c>
      <c r="R1081" s="13">
        <f t="shared" si="184"/>
        <v>41857</v>
      </c>
      <c r="S1081" s="105">
        <f t="shared" ref="S1081:Y1081" si="187">AVERAGE(B1029,B977,B925,B872)</f>
        <v>213.6875</v>
      </c>
      <c r="T1081" s="105">
        <f t="shared" si="187"/>
        <v>1116.375</v>
      </c>
      <c r="U1081" s="108">
        <f t="shared" si="187"/>
        <v>929.16666666666663</v>
      </c>
      <c r="V1081" s="108">
        <f t="shared" si="187"/>
        <v>2795.5625</v>
      </c>
      <c r="W1081" s="109">
        <f t="shared" si="187"/>
        <v>154.125</v>
      </c>
      <c r="X1081" s="105">
        <f t="shared" si="187"/>
        <v>4279.75</v>
      </c>
      <c r="Y1081" s="202">
        <f t="shared" si="187"/>
        <v>1553.6657362239821</v>
      </c>
    </row>
    <row r="1082" spans="1:25" x14ac:dyDescent="0.25">
      <c r="A1082" s="104">
        <f t="shared" si="173"/>
        <v>41864</v>
      </c>
      <c r="B1082" s="59">
        <f>SUM('Weekly Data'!D1079:D1082)/4</f>
        <v>145</v>
      </c>
      <c r="C1082" s="90">
        <f>SUM('Weekly Data'!E1079:E1082)/4</f>
        <v>1455</v>
      </c>
      <c r="D1082" s="90" t="s">
        <v>34</v>
      </c>
      <c r="E1082" s="90">
        <f>SUM('Weekly Data'!G1079:G1082)/4</f>
        <v>3516.75</v>
      </c>
      <c r="F1082" s="90">
        <f>SUM('Weekly Data'!H1079:H1082)/4</f>
        <v>263.5</v>
      </c>
      <c r="G1082" s="90">
        <f>SUM('Weekly Data'!I1079:I1082)/4</f>
        <v>5380.25</v>
      </c>
      <c r="H1082" s="200">
        <f>SUM('Weekly Data'!J1079:J1082)/4</f>
        <v>1640.75</v>
      </c>
      <c r="J1082" s="100">
        <f>AVERAGE('Weekly Data'!D1030,'Weekly Data'!D978,'Weekly Data'!D926,'Weekly Data'!D874)</f>
        <v>194.5</v>
      </c>
      <c r="K1082" s="16">
        <f>AVERAGE('Weekly Data'!E1030,'Weekly Data'!E978,'Weekly Data'!E926,'Weekly Data'!E874)</f>
        <v>1312.75</v>
      </c>
      <c r="L1082" s="16">
        <f>AVERAGE('Weekly Data'!F1030,'Weekly Data'!F978,'Weekly Data'!F926,'Weekly Data'!F874)</f>
        <v>682</v>
      </c>
      <c r="M1082" s="16">
        <f>AVERAGE('Weekly Data'!G1030,'Weekly Data'!G978,'Weekly Data'!G926,'Weekly Data'!G874)</f>
        <v>2766.5</v>
      </c>
      <c r="N1082" s="16">
        <f>AVERAGE('Weekly Data'!H1030,'Weekly Data'!H978,'Weekly Data'!H926,'Weekly Data'!H874)</f>
        <v>128.75</v>
      </c>
      <c r="O1082" s="100">
        <f>AVERAGE('Weekly Data'!I1030,'Weekly Data'!I978,'Weekly Data'!I926,'Weekly Data'!I874)</f>
        <v>4402.5</v>
      </c>
      <c r="P1082" s="201">
        <f>AVERAGE('Weekly Data'!J1030,'Weekly Data'!J978,'Weekly Data'!J926,'Weekly Data'!J874)</f>
        <v>1462.8425107994085</v>
      </c>
      <c r="R1082" s="13">
        <f t="shared" si="184"/>
        <v>41864</v>
      </c>
      <c r="S1082" s="105">
        <f t="shared" ref="S1082:Y1082" si="188">AVERAGE(B1030,B978,B926,B873)</f>
        <v>207.3125</v>
      </c>
      <c r="T1082" s="105">
        <f t="shared" si="188"/>
        <v>1193.8125</v>
      </c>
      <c r="U1082" s="108">
        <f t="shared" si="188"/>
        <v>802</v>
      </c>
      <c r="V1082" s="108">
        <f t="shared" si="188"/>
        <v>2861.3125</v>
      </c>
      <c r="W1082" s="109">
        <f t="shared" si="188"/>
        <v>138.0625</v>
      </c>
      <c r="X1082" s="105">
        <f t="shared" si="188"/>
        <v>4400.5</v>
      </c>
      <c r="Y1082" s="202">
        <f t="shared" si="188"/>
        <v>1487.0762635071119</v>
      </c>
    </row>
    <row r="1083" spans="1:25" x14ac:dyDescent="0.25">
      <c r="A1083" s="104">
        <f t="shared" si="173"/>
        <v>41871</v>
      </c>
      <c r="B1083" s="59">
        <f>SUM('Weekly Data'!D1080:D1083)/4</f>
        <v>151</v>
      </c>
      <c r="C1083" s="90">
        <f>SUM('Weekly Data'!E1080:E1083)/4</f>
        <v>1652.75</v>
      </c>
      <c r="D1083" s="90" t="s">
        <v>34</v>
      </c>
      <c r="E1083" s="90">
        <f>SUM('Weekly Data'!G1080:G1083)/4</f>
        <v>3799.5</v>
      </c>
      <c r="F1083" s="90">
        <f>SUM('Weekly Data'!H1080:H1083)/4</f>
        <v>249</v>
      </c>
      <c r="G1083" s="90">
        <f>SUM('Weekly Data'!I1080:I1083)/4</f>
        <v>5852.25</v>
      </c>
      <c r="H1083" s="200">
        <f>SUM('Weekly Data'!J1080:J1083)/4</f>
        <v>1705.5</v>
      </c>
      <c r="J1083" s="100">
        <f>AVERAGE('Weekly Data'!D1031,'Weekly Data'!D979,'Weekly Data'!D927,'Weekly Data'!D875)</f>
        <v>309</v>
      </c>
      <c r="K1083" s="16">
        <f>AVERAGE('Weekly Data'!E1031,'Weekly Data'!E979,'Weekly Data'!E927,'Weekly Data'!E875)</f>
        <v>1343</v>
      </c>
      <c r="L1083" s="16">
        <f>AVERAGE('Weekly Data'!F1031,'Weekly Data'!F979,'Weekly Data'!F927,'Weekly Data'!F875)</f>
        <v>644.66666666666663</v>
      </c>
      <c r="M1083" s="16">
        <f>AVERAGE('Weekly Data'!G1031,'Weekly Data'!G979,'Weekly Data'!G927,'Weekly Data'!G875)</f>
        <v>3325.75</v>
      </c>
      <c r="N1083" s="16">
        <f>AVERAGE('Weekly Data'!H1031,'Weekly Data'!H979,'Weekly Data'!H927,'Weekly Data'!H875)</f>
        <v>127.75</v>
      </c>
      <c r="O1083" s="100">
        <f>AVERAGE('Weekly Data'!I1031,'Weekly Data'!I979,'Weekly Data'!I927,'Weekly Data'!I875)</f>
        <v>5105.5</v>
      </c>
      <c r="P1083" s="201">
        <f>AVERAGE('Weekly Data'!J1031,'Weekly Data'!J979,'Weekly Data'!J927,'Weekly Data'!J875)</f>
        <v>1558.8410985228593</v>
      </c>
      <c r="R1083" s="13">
        <f t="shared" si="184"/>
        <v>41871</v>
      </c>
      <c r="S1083" s="105">
        <f t="shared" ref="S1083:S1103" si="189">AVERAGE(B1031,B979,B927,B874)</f>
        <v>232.25</v>
      </c>
      <c r="T1083" s="105">
        <f t="shared" ref="T1083:T1103" si="190">AVERAGE(C1031,C979,C927,C874)</f>
        <v>1292.1875</v>
      </c>
      <c r="U1083" s="108">
        <f t="shared" ref="U1083:U1103" si="191">AVERAGE(D1031,D979,D927,D874)</f>
        <v>803.91666666666663</v>
      </c>
      <c r="V1083" s="108">
        <f t="shared" ref="V1083:V1103" si="192">AVERAGE(E1031,E979,E927,E874)</f>
        <v>2889.5</v>
      </c>
      <c r="W1083" s="109">
        <f t="shared" ref="W1083:W1103" si="193">AVERAGE(F1031,F979,F927,F874)</f>
        <v>113.9375</v>
      </c>
      <c r="X1083" s="105">
        <f t="shared" ref="X1083:X1103" si="194">AVERAGE(G1031,G979,G927,G874)</f>
        <v>4527.875</v>
      </c>
      <c r="Y1083" s="202">
        <f t="shared" ref="Y1083:Y1103" si="195">AVERAGE(H1031,H979,H927,H874)</f>
        <v>1519.3434213151745</v>
      </c>
    </row>
    <row r="1084" spans="1:25" x14ac:dyDescent="0.25">
      <c r="A1084" s="104">
        <f t="shared" si="173"/>
        <v>41878</v>
      </c>
      <c r="B1084" s="59">
        <f>SUM('Weekly Data'!D1081:D1084)/4</f>
        <v>181.5</v>
      </c>
      <c r="C1084" s="90">
        <f>SUM('Weekly Data'!E1081:E1084)/4</f>
        <v>1754.5</v>
      </c>
      <c r="D1084" s="90" t="s">
        <v>34</v>
      </c>
      <c r="E1084" s="90">
        <f>SUM('Weekly Data'!G1081:G1084)/4</f>
        <v>4027.75</v>
      </c>
      <c r="F1084" s="90">
        <f>SUM('Weekly Data'!H1081:H1084)/4</f>
        <v>273</v>
      </c>
      <c r="G1084" s="90">
        <f>SUM('Weekly Data'!I1081:I1084)/4</f>
        <v>6236.75</v>
      </c>
      <c r="H1084" s="200">
        <f>SUM('Weekly Data'!J1081:J1084)/4</f>
        <v>1730.25</v>
      </c>
      <c r="J1084" s="100">
        <f>AVERAGE('Weekly Data'!D1032,'Weekly Data'!D980,'Weekly Data'!D928,'Weekly Data'!D876)</f>
        <v>121.25</v>
      </c>
      <c r="K1084" s="16">
        <f>AVERAGE('Weekly Data'!E1032,'Weekly Data'!E980,'Weekly Data'!E928,'Weekly Data'!E876)</f>
        <v>1455.75</v>
      </c>
      <c r="L1084" s="16">
        <f>AVERAGE('Weekly Data'!F1032,'Weekly Data'!F980,'Weekly Data'!F928,'Weekly Data'!F876)</f>
        <v>575.33333333333337</v>
      </c>
      <c r="M1084" s="16">
        <f>AVERAGE('Weekly Data'!G1032,'Weekly Data'!G980,'Weekly Data'!G928,'Weekly Data'!G876)</f>
        <v>2926.5</v>
      </c>
      <c r="N1084" s="16">
        <f>AVERAGE('Weekly Data'!H1032,'Weekly Data'!H980,'Weekly Data'!H928,'Weekly Data'!H876)</f>
        <v>56</v>
      </c>
      <c r="O1084" s="100">
        <f>AVERAGE('Weekly Data'!I1032,'Weekly Data'!I980,'Weekly Data'!I928,'Weekly Data'!I876)</f>
        <v>4559.5</v>
      </c>
      <c r="P1084" s="201">
        <f>AVERAGE('Weekly Data'!J1032,'Weekly Data'!J980,'Weekly Data'!J928,'Weekly Data'!J876)</f>
        <v>1219.3301858521031</v>
      </c>
      <c r="R1084" s="13">
        <f t="shared" si="184"/>
        <v>41878</v>
      </c>
      <c r="S1084" s="105">
        <f t="shared" si="189"/>
        <v>205.0625</v>
      </c>
      <c r="T1084" s="105">
        <f t="shared" si="190"/>
        <v>1322.3125</v>
      </c>
      <c r="U1084" s="108">
        <f t="shared" si="191"/>
        <v>684.66666666666663</v>
      </c>
      <c r="V1084" s="108">
        <f t="shared" si="192"/>
        <v>2955</v>
      </c>
      <c r="W1084" s="109">
        <f t="shared" si="193"/>
        <v>104.5625</v>
      </c>
      <c r="X1084" s="105">
        <f t="shared" si="194"/>
        <v>4586.9375</v>
      </c>
      <c r="Y1084" s="202">
        <f t="shared" si="195"/>
        <v>1520.579604347771</v>
      </c>
    </row>
    <row r="1085" spans="1:25" x14ac:dyDescent="0.25">
      <c r="A1085" s="104">
        <f t="shared" si="173"/>
        <v>41885</v>
      </c>
      <c r="B1085" s="59">
        <f>SUM('Weekly Data'!D1082:D1085)/4</f>
        <v>240</v>
      </c>
      <c r="C1085" s="90">
        <f>SUM('Weekly Data'!E1082:E1085)/4</f>
        <v>1642.25</v>
      </c>
      <c r="D1085" s="90" t="s">
        <v>34</v>
      </c>
      <c r="E1085" s="90">
        <f>SUM('Weekly Data'!G1082:G1085)/4</f>
        <v>4007.5</v>
      </c>
      <c r="F1085" s="90">
        <f>SUM('Weekly Data'!H1082:H1085)/4</f>
        <v>304.5</v>
      </c>
      <c r="G1085" s="90">
        <f>SUM('Weekly Data'!I1082:I1085)/4</f>
        <v>6194.25</v>
      </c>
      <c r="H1085" s="200">
        <f>SUM('Weekly Data'!J1082:J1085)/4</f>
        <v>1954.25</v>
      </c>
      <c r="J1085" s="100">
        <f>AVERAGE('Weekly Data'!D1033,'Weekly Data'!D981,'Weekly Data'!D929,'Weekly Data'!D877)</f>
        <v>246</v>
      </c>
      <c r="K1085" s="16">
        <f>AVERAGE('Weekly Data'!E1033,'Weekly Data'!E981,'Weekly Data'!E929,'Weekly Data'!E877)</f>
        <v>1575.25</v>
      </c>
      <c r="L1085" s="16">
        <f>AVERAGE('Weekly Data'!F1033,'Weekly Data'!F981,'Weekly Data'!F929,'Weekly Data'!F877)</f>
        <v>481.66666666666669</v>
      </c>
      <c r="M1085" s="16">
        <f>AVERAGE('Weekly Data'!G1033,'Weekly Data'!G981,'Weekly Data'!G929,'Weekly Data'!G877)</f>
        <v>2824.75</v>
      </c>
      <c r="N1085" s="16">
        <f>AVERAGE('Weekly Data'!H1033,'Weekly Data'!H981,'Weekly Data'!H929,'Weekly Data'!H877)</f>
        <v>132</v>
      </c>
      <c r="O1085" s="100">
        <f>AVERAGE('Weekly Data'!I1033,'Weekly Data'!I981,'Weekly Data'!I929,'Weekly Data'!I877)</f>
        <v>4778</v>
      </c>
      <c r="P1085" s="201">
        <f>AVERAGE('Weekly Data'!J1033,'Weekly Data'!J981,'Weekly Data'!J929,'Weekly Data'!J877)</f>
        <v>1512.9608243560315</v>
      </c>
      <c r="R1085" s="13">
        <f t="shared" si="184"/>
        <v>41885</v>
      </c>
      <c r="S1085" s="105">
        <f t="shared" si="189"/>
        <v>186.75</v>
      </c>
      <c r="T1085" s="105">
        <f t="shared" si="190"/>
        <v>1354.6875</v>
      </c>
      <c r="U1085" s="108">
        <f t="shared" si="191"/>
        <v>634</v>
      </c>
      <c r="V1085" s="108">
        <f t="shared" si="192"/>
        <v>3008.625</v>
      </c>
      <c r="W1085" s="109">
        <f t="shared" si="193"/>
        <v>99.3125</v>
      </c>
      <c r="X1085" s="105">
        <f t="shared" si="194"/>
        <v>4649.375</v>
      </c>
      <c r="Y1085" s="202">
        <f t="shared" si="195"/>
        <v>1378.6187297167035</v>
      </c>
    </row>
    <row r="1086" spans="1:25" x14ac:dyDescent="0.25">
      <c r="A1086" s="104">
        <f t="shared" si="173"/>
        <v>41892</v>
      </c>
      <c r="B1086" s="59">
        <f>SUM('Weekly Data'!D1083:D1086)/4</f>
        <v>201.25</v>
      </c>
      <c r="C1086" s="90">
        <f>SUM('Weekly Data'!E1083:E1086)/4</f>
        <v>1609.75</v>
      </c>
      <c r="D1086" s="90" t="s">
        <v>34</v>
      </c>
      <c r="E1086" s="90">
        <f>SUM('Weekly Data'!G1083:G1086)/4</f>
        <v>3913.25</v>
      </c>
      <c r="F1086" s="90">
        <f>SUM('Weekly Data'!H1083:H1086)/4</f>
        <v>330.75</v>
      </c>
      <c r="G1086" s="90">
        <f>SUM('Weekly Data'!I1083:I1086)/4</f>
        <v>6055</v>
      </c>
      <c r="H1086" s="200">
        <f>SUM('Weekly Data'!J1083:J1086)/4</f>
        <v>2039.75</v>
      </c>
      <c r="J1086" s="100">
        <f>AVERAGE('Weekly Data'!D1034,'Weekly Data'!D982,'Weekly Data'!D930,'Weekly Data'!D878)</f>
        <v>261</v>
      </c>
      <c r="K1086" s="16">
        <f>AVERAGE('Weekly Data'!E1034,'Weekly Data'!E982,'Weekly Data'!E930,'Weekly Data'!E878)</f>
        <v>2060.25</v>
      </c>
      <c r="L1086" s="16">
        <f>AVERAGE('Weekly Data'!F1034,'Weekly Data'!F982,'Weekly Data'!F930,'Weekly Data'!F878)</f>
        <v>1017.3333333333334</v>
      </c>
      <c r="M1086" s="16">
        <f>AVERAGE('Weekly Data'!G1034,'Weekly Data'!G982,'Weekly Data'!G930,'Weekly Data'!G878)</f>
        <v>2146.5</v>
      </c>
      <c r="N1086" s="16">
        <f>AVERAGE('Weekly Data'!H1034,'Weekly Data'!H982,'Weekly Data'!H930,'Weekly Data'!H878)</f>
        <v>98.5</v>
      </c>
      <c r="O1086" s="100">
        <f>AVERAGE('Weekly Data'!I1034,'Weekly Data'!I982,'Weekly Data'!I930,'Weekly Data'!I878)</f>
        <v>4566.25</v>
      </c>
      <c r="P1086" s="201">
        <f>AVERAGE('Weekly Data'!J1034,'Weekly Data'!J982,'Weekly Data'!J930,'Weekly Data'!J878)</f>
        <v>1230.6534979214614</v>
      </c>
      <c r="R1086" s="13">
        <f t="shared" si="184"/>
        <v>41892</v>
      </c>
      <c r="S1086" s="105">
        <f t="shared" si="189"/>
        <v>203.625</v>
      </c>
      <c r="T1086" s="105">
        <f t="shared" si="190"/>
        <v>1535.875</v>
      </c>
      <c r="U1086" s="108">
        <f t="shared" si="191"/>
        <v>648.25</v>
      </c>
      <c r="V1086" s="108">
        <f t="shared" si="192"/>
        <v>2905</v>
      </c>
      <c r="W1086" s="109">
        <f t="shared" si="193"/>
        <v>103.75</v>
      </c>
      <c r="X1086" s="105">
        <f t="shared" si="194"/>
        <v>4748.25</v>
      </c>
      <c r="Y1086" s="202">
        <f t="shared" si="195"/>
        <v>1407.1496231359934</v>
      </c>
    </row>
    <row r="1087" spans="1:25" x14ac:dyDescent="0.25">
      <c r="A1087" s="104">
        <f t="shared" si="173"/>
        <v>41899</v>
      </c>
      <c r="B1087" s="59">
        <f>SUM('Weekly Data'!D1084:D1087)/4</f>
        <v>258.25</v>
      </c>
      <c r="C1087" s="90">
        <f>SUM('Weekly Data'!E1084:E1087)/4</f>
        <v>1501.75</v>
      </c>
      <c r="D1087" s="90" t="s">
        <v>34</v>
      </c>
      <c r="E1087" s="90">
        <f>SUM('Weekly Data'!G1084:G1087)/4</f>
        <v>3736.25</v>
      </c>
      <c r="F1087" s="90">
        <f>SUM('Weekly Data'!H1084:H1087)/4</f>
        <v>351.75</v>
      </c>
      <c r="G1087" s="90">
        <f>SUM('Weekly Data'!I1084:I1087)/4</f>
        <v>5848</v>
      </c>
      <c r="H1087" s="200">
        <f>SUM('Weekly Data'!J1084:J1087)/4</f>
        <v>2049.5</v>
      </c>
      <c r="J1087" s="100">
        <f>AVERAGE('Weekly Data'!D1035,'Weekly Data'!D983,'Weekly Data'!D931,'Weekly Data'!D879)</f>
        <v>470</v>
      </c>
      <c r="K1087" s="16">
        <f>AVERAGE('Weekly Data'!E1035,'Weekly Data'!E983,'Weekly Data'!E931,'Weekly Data'!E879)</f>
        <v>1795</v>
      </c>
      <c r="L1087" s="16">
        <f>AVERAGE('Weekly Data'!F1035,'Weekly Data'!F983,'Weekly Data'!F931,'Weekly Data'!F879)</f>
        <v>643.33333333333337</v>
      </c>
      <c r="M1087" s="16">
        <f>AVERAGE('Weekly Data'!G1035,'Weekly Data'!G983,'Weekly Data'!G931,'Weekly Data'!G879)</f>
        <v>2391.25</v>
      </c>
      <c r="N1087" s="16">
        <f>AVERAGE('Weekly Data'!H1035,'Weekly Data'!H983,'Weekly Data'!H931,'Weekly Data'!H879)</f>
        <v>198.25</v>
      </c>
      <c r="O1087" s="100">
        <f>AVERAGE('Weekly Data'!I1035,'Weekly Data'!I983,'Weekly Data'!I931,'Weekly Data'!I879)</f>
        <v>4854.5</v>
      </c>
      <c r="P1087" s="201">
        <f>AVERAGE('Weekly Data'!J1035,'Weekly Data'!J983,'Weekly Data'!J931,'Weekly Data'!J879)</f>
        <v>1685.7003934154927</v>
      </c>
      <c r="R1087" s="13">
        <f t="shared" si="184"/>
        <v>41899</v>
      </c>
      <c r="S1087" s="105">
        <f t="shared" si="189"/>
        <v>224.9375</v>
      </c>
      <c r="T1087" s="105">
        <f t="shared" si="190"/>
        <v>1707.3125</v>
      </c>
      <c r="U1087" s="108">
        <f t="shared" si="191"/>
        <v>696.33333333333337</v>
      </c>
      <c r="V1087" s="108">
        <f t="shared" si="192"/>
        <v>2729.875</v>
      </c>
      <c r="W1087" s="109">
        <f t="shared" si="193"/>
        <v>106.25</v>
      </c>
      <c r="X1087" s="105">
        <f t="shared" si="194"/>
        <v>4768.375</v>
      </c>
      <c r="Y1087" s="202">
        <f t="shared" si="195"/>
        <v>1408.3464794615752</v>
      </c>
    </row>
    <row r="1088" spans="1:25" x14ac:dyDescent="0.25">
      <c r="A1088" s="104">
        <f t="shared" si="173"/>
        <v>41906</v>
      </c>
      <c r="B1088" s="59">
        <f>SUM('Weekly Data'!D1085:D1088)/4</f>
        <v>232.5</v>
      </c>
      <c r="C1088" s="90">
        <f>SUM('Weekly Data'!E1085:E1088)/4</f>
        <v>1296.5</v>
      </c>
      <c r="D1088" s="90" t="s">
        <v>34</v>
      </c>
      <c r="E1088" s="90">
        <f>SUM('Weekly Data'!G1085:G1088)/4</f>
        <v>3421</v>
      </c>
      <c r="F1088" s="90">
        <f>SUM('Weekly Data'!H1085:H1088)/4</f>
        <v>273.75</v>
      </c>
      <c r="G1088" s="90">
        <f>SUM('Weekly Data'!I1085:I1088)/4</f>
        <v>5223.75</v>
      </c>
      <c r="H1088" s="200">
        <f>SUM('Weekly Data'!J1085:J1088)/4</f>
        <v>2048.75</v>
      </c>
      <c r="J1088" s="100">
        <f>AVERAGE('Weekly Data'!D1036,'Weekly Data'!D984,'Weekly Data'!D932,'Weekly Data'!D880)</f>
        <v>493</v>
      </c>
      <c r="K1088" s="16">
        <f>AVERAGE('Weekly Data'!E1036,'Weekly Data'!E984,'Weekly Data'!E932,'Weekly Data'!E880)</f>
        <v>1736.5</v>
      </c>
      <c r="L1088" s="16">
        <f>AVERAGE('Weekly Data'!F1036,'Weekly Data'!F984,'Weekly Data'!F932,'Weekly Data'!F880)</f>
        <v>621.33333333333337</v>
      </c>
      <c r="M1088" s="16">
        <f>AVERAGE('Weekly Data'!G1036,'Weekly Data'!G984,'Weekly Data'!G932,'Weekly Data'!G880)</f>
        <v>2482</v>
      </c>
      <c r="N1088" s="16">
        <f>AVERAGE('Weekly Data'!H1036,'Weekly Data'!H984,'Weekly Data'!H932,'Weekly Data'!H880)</f>
        <v>326</v>
      </c>
      <c r="O1088" s="100">
        <f>AVERAGE('Weekly Data'!I1036,'Weekly Data'!I984,'Weekly Data'!I932,'Weekly Data'!I880)</f>
        <v>5037.5</v>
      </c>
      <c r="P1088" s="201">
        <f>AVERAGE('Weekly Data'!J1036,'Weekly Data'!J984,'Weekly Data'!J932,'Weekly Data'!J880)</f>
        <v>1452.1703425036262</v>
      </c>
      <c r="R1088" s="13">
        <f t="shared" si="184"/>
        <v>41906</v>
      </c>
      <c r="S1088" s="105">
        <f t="shared" si="189"/>
        <v>337.6875</v>
      </c>
      <c r="T1088" s="105">
        <f t="shared" si="190"/>
        <v>1791.5</v>
      </c>
      <c r="U1088" s="108">
        <f t="shared" si="191"/>
        <v>669</v>
      </c>
      <c r="V1088" s="108">
        <f t="shared" si="192"/>
        <v>2497.5</v>
      </c>
      <c r="W1088" s="109">
        <f t="shared" si="193"/>
        <v>145.8125</v>
      </c>
      <c r="X1088" s="105">
        <f t="shared" si="194"/>
        <v>4772.5</v>
      </c>
      <c r="Y1088" s="202">
        <f t="shared" si="195"/>
        <v>1459.3693161576355</v>
      </c>
    </row>
    <row r="1089" spans="1:25" x14ac:dyDescent="0.25">
      <c r="A1089" s="104">
        <f t="shared" si="173"/>
        <v>41913</v>
      </c>
      <c r="B1089" s="59">
        <f>SUM('Weekly Data'!D1086:D1089)/4</f>
        <v>230.75</v>
      </c>
      <c r="C1089" s="90">
        <f>SUM('Weekly Data'!E1086:E1089)/4</f>
        <v>1400.25</v>
      </c>
      <c r="D1089" s="90" t="s">
        <v>34</v>
      </c>
      <c r="E1089" s="90">
        <f>SUM('Weekly Data'!G1086:G1089)/4</f>
        <v>3188.75</v>
      </c>
      <c r="F1089" s="90">
        <f>SUM('Weekly Data'!H1086:H1089)/4</f>
        <v>242.75</v>
      </c>
      <c r="G1089" s="90">
        <f>SUM('Weekly Data'!I1086:I1089)/4</f>
        <v>5062.5</v>
      </c>
      <c r="H1089" s="200">
        <f>SUM('Weekly Data'!J1086:J1089)/4</f>
        <v>1908</v>
      </c>
      <c r="J1089" s="100">
        <f>AVERAGE('Weekly Data'!D1037,'Weekly Data'!D985,'Weekly Data'!D933,'Weekly Data'!D881)</f>
        <v>836.5</v>
      </c>
      <c r="K1089" s="16">
        <f>AVERAGE('Weekly Data'!E1037,'Weekly Data'!E985,'Weekly Data'!E933,'Weekly Data'!E881)</f>
        <v>1337</v>
      </c>
      <c r="L1089" s="16">
        <f>AVERAGE('Weekly Data'!F1037,'Weekly Data'!F985,'Weekly Data'!F933,'Weekly Data'!F881)</f>
        <v>551</v>
      </c>
      <c r="M1089" s="16">
        <f>AVERAGE('Weekly Data'!G1037,'Weekly Data'!G985,'Weekly Data'!G933,'Weekly Data'!G881)</f>
        <v>2997.25</v>
      </c>
      <c r="N1089" s="16">
        <f>AVERAGE('Weekly Data'!H1037,'Weekly Data'!H985,'Weekly Data'!H933,'Weekly Data'!H881)</f>
        <v>341</v>
      </c>
      <c r="O1089" s="100">
        <f>AVERAGE('Weekly Data'!I1037,'Weekly Data'!I985,'Weekly Data'!I933,'Weekly Data'!I881)</f>
        <v>5511.75</v>
      </c>
      <c r="P1089" s="201">
        <f>AVERAGE('Weekly Data'!J1037,'Weekly Data'!J985,'Weekly Data'!J933,'Weekly Data'!J881)</f>
        <v>1454.2392156924884</v>
      </c>
      <c r="R1089" s="13">
        <f t="shared" si="184"/>
        <v>41913</v>
      </c>
      <c r="S1089" s="105">
        <f t="shared" si="189"/>
        <v>471.3125</v>
      </c>
      <c r="T1089" s="105">
        <f t="shared" si="190"/>
        <v>1776.375</v>
      </c>
      <c r="U1089" s="108">
        <f t="shared" si="191"/>
        <v>714.91666666666663</v>
      </c>
      <c r="V1089" s="108">
        <f t="shared" si="192"/>
        <v>2509.0625</v>
      </c>
      <c r="W1089" s="109">
        <f t="shared" si="193"/>
        <v>210.8125</v>
      </c>
      <c r="X1089" s="105">
        <f t="shared" si="194"/>
        <v>4967.5625</v>
      </c>
      <c r="Y1089" s="202">
        <f t="shared" si="195"/>
        <v>1496.9896334810746</v>
      </c>
    </row>
    <row r="1090" spans="1:25" x14ac:dyDescent="0.25">
      <c r="A1090" s="104">
        <f t="shared" si="173"/>
        <v>41920</v>
      </c>
      <c r="B1090" s="59">
        <f>SUM('Weekly Data'!D1087:D1090)/4</f>
        <v>550.25</v>
      </c>
      <c r="C1090" s="90">
        <f>SUM('Weekly Data'!E1087:E1090)/4</f>
        <v>1309</v>
      </c>
      <c r="D1090" s="90" t="s">
        <v>34</v>
      </c>
      <c r="E1090" s="90">
        <f>SUM('Weekly Data'!G1087:G1090)/4</f>
        <v>3473.5</v>
      </c>
      <c r="F1090" s="90">
        <f>SUM('Weekly Data'!H1087:H1090)/4</f>
        <v>221.5</v>
      </c>
      <c r="G1090" s="90">
        <f>SUM('Weekly Data'!I1087:I1090)/4</f>
        <v>5554.25</v>
      </c>
      <c r="H1090" s="200">
        <f>SUM('Weekly Data'!J1087:J1090)/4</f>
        <v>1922.75</v>
      </c>
      <c r="J1090" s="100">
        <f>AVERAGE('Weekly Data'!D1038,'Weekly Data'!D986,'Weekly Data'!D934,'Weekly Data'!D882)</f>
        <v>1209.25</v>
      </c>
      <c r="K1090" s="16">
        <f>AVERAGE('Weekly Data'!E1038,'Weekly Data'!E986,'Weekly Data'!E934,'Weekly Data'!E882)</f>
        <v>1482.5</v>
      </c>
      <c r="L1090" s="16">
        <f>AVERAGE('Weekly Data'!F1038,'Weekly Data'!F986,'Weekly Data'!F934,'Weekly Data'!F882)</f>
        <v>516</v>
      </c>
      <c r="M1090" s="16">
        <f>AVERAGE('Weekly Data'!G1038,'Weekly Data'!G986,'Weekly Data'!G934,'Weekly Data'!G882)</f>
        <v>4999.5</v>
      </c>
      <c r="N1090" s="16">
        <f>AVERAGE('Weekly Data'!H1038,'Weekly Data'!H986,'Weekly Data'!H934,'Weekly Data'!H882)</f>
        <v>784.75</v>
      </c>
      <c r="O1090" s="100">
        <f>AVERAGE('Weekly Data'!I1038,'Weekly Data'!I986,'Weekly Data'!I934,'Weekly Data'!I882)</f>
        <v>8476</v>
      </c>
      <c r="P1090" s="201">
        <f>AVERAGE('Weekly Data'!J1038,'Weekly Data'!J986,'Weekly Data'!J934,'Weekly Data'!J882)</f>
        <v>1949.4876319525792</v>
      </c>
      <c r="R1090" s="13">
        <f t="shared" si="184"/>
        <v>41920</v>
      </c>
      <c r="S1090" s="105">
        <f t="shared" si="189"/>
        <v>710.6875</v>
      </c>
      <c r="T1090" s="105">
        <f t="shared" si="190"/>
        <v>1610.25</v>
      </c>
      <c r="U1090" s="108">
        <f t="shared" si="191"/>
        <v>664.375</v>
      </c>
      <c r="V1090" s="108">
        <f t="shared" si="192"/>
        <v>2947</v>
      </c>
      <c r="W1090" s="109">
        <f t="shared" si="193"/>
        <v>365.5</v>
      </c>
      <c r="X1090" s="105">
        <f t="shared" si="194"/>
        <v>5633.4375</v>
      </c>
      <c r="Y1090" s="202">
        <f t="shared" si="195"/>
        <v>1591.8891778803716</v>
      </c>
    </row>
    <row r="1091" spans="1:25" x14ac:dyDescent="0.25">
      <c r="A1091" s="104">
        <f t="shared" si="173"/>
        <v>41927</v>
      </c>
      <c r="B1091" s="59">
        <f>SUM('Weekly Data'!D1088:D1091)/4</f>
        <v>951</v>
      </c>
      <c r="C1091" s="90">
        <f>SUM('Weekly Data'!E1088:E1091)/4</f>
        <v>1296.75</v>
      </c>
      <c r="D1091" s="90" t="s">
        <v>34</v>
      </c>
      <c r="E1091" s="90">
        <f>SUM('Weekly Data'!G1088:G1091)/4</f>
        <v>4322.5</v>
      </c>
      <c r="F1091" s="90">
        <f>SUM('Weekly Data'!H1088:H1091)/4</f>
        <v>433.5</v>
      </c>
      <c r="G1091" s="90">
        <f>SUM('Weekly Data'!I1088:I1091)/4</f>
        <v>7003.75</v>
      </c>
      <c r="H1091" s="200">
        <f>SUM('Weekly Data'!J1088:J1091)/4</f>
        <v>1832.5</v>
      </c>
      <c r="J1091" s="100">
        <f>AVERAGE('Weekly Data'!D1039,'Weekly Data'!D987,'Weekly Data'!D935,'Weekly Data'!D883)</f>
        <v>1679.75</v>
      </c>
      <c r="K1091" s="16">
        <f>AVERAGE('Weekly Data'!E1039,'Weekly Data'!E987,'Weekly Data'!E935,'Weekly Data'!E883)</f>
        <v>1173.75</v>
      </c>
      <c r="L1091" s="16">
        <f>AVERAGE('Weekly Data'!F1039,'Weekly Data'!F987,'Weekly Data'!F935,'Weekly Data'!F883)</f>
        <v>777.66666666666663</v>
      </c>
      <c r="M1091" s="16">
        <f>AVERAGE('Weekly Data'!G1039,'Weekly Data'!G987,'Weekly Data'!G935,'Weekly Data'!G883)</f>
        <v>4448</v>
      </c>
      <c r="N1091" s="16">
        <f>AVERAGE('Weekly Data'!H1039,'Weekly Data'!H987,'Weekly Data'!H935,'Weekly Data'!H883)</f>
        <v>913.25</v>
      </c>
      <c r="O1091" s="100">
        <f>AVERAGE('Weekly Data'!I1039,'Weekly Data'!I987,'Weekly Data'!I935,'Weekly Data'!I883)</f>
        <v>8214.75</v>
      </c>
      <c r="P1091" s="201">
        <f>AVERAGE('Weekly Data'!J1039,'Weekly Data'!J987,'Weekly Data'!J935,'Weekly Data'!J883)</f>
        <v>1531.1318524124697</v>
      </c>
      <c r="R1091" s="13">
        <f t="shared" si="184"/>
        <v>41927</v>
      </c>
      <c r="S1091" s="105">
        <f t="shared" si="189"/>
        <v>1004.25</v>
      </c>
      <c r="T1091" s="105">
        <f t="shared" si="190"/>
        <v>1401.625</v>
      </c>
      <c r="U1091" s="108">
        <f t="shared" si="191"/>
        <v>707.125</v>
      </c>
      <c r="V1091" s="108">
        <f t="shared" si="192"/>
        <v>3512.1875</v>
      </c>
      <c r="W1091" s="109">
        <f t="shared" si="193"/>
        <v>546.75</v>
      </c>
      <c r="X1091" s="105">
        <f t="shared" si="194"/>
        <v>6464.8125</v>
      </c>
      <c r="Y1091" s="202">
        <f t="shared" si="195"/>
        <v>1602.3411640952822</v>
      </c>
    </row>
    <row r="1092" spans="1:25" x14ac:dyDescent="0.25">
      <c r="A1092" s="104">
        <f t="shared" si="173"/>
        <v>41934</v>
      </c>
      <c r="B1092" s="59">
        <f>SUM('Weekly Data'!D1089:D1092)/4</f>
        <v>917</v>
      </c>
      <c r="C1092" s="90">
        <f>SUM('Weekly Data'!E1089:E1092)/4</f>
        <v>1042.75</v>
      </c>
      <c r="D1092" s="90" t="s">
        <v>34</v>
      </c>
      <c r="E1092" s="90">
        <f>SUM('Weekly Data'!G1089:G1092)/4</f>
        <v>3573.75</v>
      </c>
      <c r="F1092" s="90">
        <f>SUM('Weekly Data'!H1089:H1092)/4</f>
        <v>415.75</v>
      </c>
      <c r="G1092" s="90">
        <f>SUM('Weekly Data'!I1089:I1092)/4</f>
        <v>5949.25</v>
      </c>
      <c r="H1092" s="200">
        <f>SUM('Weekly Data'!J1089:J1092)/4</f>
        <v>1379</v>
      </c>
      <c r="J1092" s="100">
        <f>AVERAGE('Weekly Data'!D1040,'Weekly Data'!D988,'Weekly Data'!D936,'Weekly Data'!D884)</f>
        <v>1246.25</v>
      </c>
      <c r="K1092" s="16">
        <f>AVERAGE('Weekly Data'!E1040,'Weekly Data'!E988,'Weekly Data'!E936,'Weekly Data'!E884)</f>
        <v>1064.25</v>
      </c>
      <c r="L1092" s="16">
        <f>AVERAGE('Weekly Data'!F1040,'Weekly Data'!F988,'Weekly Data'!F936,'Weekly Data'!F884)</f>
        <v>1027.3333333333333</v>
      </c>
      <c r="M1092" s="16">
        <f>AVERAGE('Weekly Data'!G1040,'Weekly Data'!G988,'Weekly Data'!G936,'Weekly Data'!G884)</f>
        <v>4521</v>
      </c>
      <c r="N1092" s="16">
        <f>AVERAGE('Weekly Data'!H1040,'Weekly Data'!H988,'Weekly Data'!H936,'Weekly Data'!H884)</f>
        <v>1145.25</v>
      </c>
      <c r="O1092" s="100">
        <f>AVERAGE('Weekly Data'!I1040,'Weekly Data'!I988,'Weekly Data'!I936,'Weekly Data'!I884)</f>
        <v>7976.75</v>
      </c>
      <c r="P1092" s="201">
        <f>AVERAGE('Weekly Data'!J1040,'Weekly Data'!J988,'Weekly Data'!J936,'Weekly Data'!J884)</f>
        <v>1890.4267335623604</v>
      </c>
      <c r="R1092" s="13">
        <f t="shared" si="184"/>
        <v>41934</v>
      </c>
      <c r="S1092" s="105">
        <f t="shared" si="189"/>
        <v>1197.0625</v>
      </c>
      <c r="T1092" s="105">
        <f t="shared" si="190"/>
        <v>1263.125</v>
      </c>
      <c r="U1092" s="108">
        <f t="shared" si="191"/>
        <v>881.125</v>
      </c>
      <c r="V1092" s="108">
        <f t="shared" si="192"/>
        <v>4086.1875</v>
      </c>
      <c r="W1092" s="109">
        <f t="shared" si="193"/>
        <v>779.1875</v>
      </c>
      <c r="X1092" s="105">
        <f t="shared" si="194"/>
        <v>7325.5625</v>
      </c>
      <c r="Y1092" s="202">
        <f t="shared" si="195"/>
        <v>1668.0080406395386</v>
      </c>
    </row>
    <row r="1093" spans="1:25" x14ac:dyDescent="0.25">
      <c r="A1093" s="104">
        <f t="shared" si="173"/>
        <v>41941</v>
      </c>
      <c r="B1093" s="59">
        <f>SUM('Weekly Data'!D1090:D1093)/4</f>
        <v>806.25</v>
      </c>
      <c r="C1093" s="90">
        <f>SUM('Weekly Data'!E1090:E1093)/4</f>
        <v>665</v>
      </c>
      <c r="D1093" s="90" t="s">
        <v>34</v>
      </c>
      <c r="E1093" s="90">
        <f>SUM('Weekly Data'!G1090:G1093)/4</f>
        <v>2899</v>
      </c>
      <c r="F1093" s="90">
        <f>SUM('Weekly Data'!H1090:H1093)/4</f>
        <v>373.25</v>
      </c>
      <c r="G1093" s="90">
        <f>SUM('Weekly Data'!I1090:I1093)/4</f>
        <v>4743.5</v>
      </c>
      <c r="H1093" s="200">
        <f>SUM('Weekly Data'!J1090:J1093)/4</f>
        <v>1007.75</v>
      </c>
      <c r="J1093" s="100">
        <f>AVERAGE('Weekly Data'!D1041,'Weekly Data'!D989,'Weekly Data'!D937,'Weekly Data'!D885)</f>
        <v>1190.5</v>
      </c>
      <c r="K1093" s="16">
        <f>AVERAGE('Weekly Data'!E1041,'Weekly Data'!E989,'Weekly Data'!E937,'Weekly Data'!E885)</f>
        <v>927.25</v>
      </c>
      <c r="L1093" s="16">
        <f>AVERAGE('Weekly Data'!F1041,'Weekly Data'!F989,'Weekly Data'!F937,'Weekly Data'!F885)</f>
        <v>718.33333333333337</v>
      </c>
      <c r="M1093" s="16">
        <f>AVERAGE('Weekly Data'!G1041,'Weekly Data'!G989,'Weekly Data'!G937,'Weekly Data'!G885)</f>
        <v>4913.75</v>
      </c>
      <c r="N1093" s="16">
        <f>AVERAGE('Weekly Data'!H1041,'Weekly Data'!H989,'Weekly Data'!H937,'Weekly Data'!H885)</f>
        <v>1056.75</v>
      </c>
      <c r="O1093" s="100">
        <f>AVERAGE('Weekly Data'!I1041,'Weekly Data'!I989,'Weekly Data'!I937,'Weekly Data'!I885)</f>
        <v>8088.25</v>
      </c>
      <c r="P1093" s="201">
        <f>AVERAGE('Weekly Data'!J1041,'Weekly Data'!J989,'Weekly Data'!J937,'Weekly Data'!J885)</f>
        <v>1973.3763243463841</v>
      </c>
      <c r="R1093" s="13">
        <f t="shared" si="184"/>
        <v>41941</v>
      </c>
      <c r="S1093" s="105">
        <f t="shared" si="189"/>
        <v>1303.5625</v>
      </c>
      <c r="T1093" s="105">
        <f t="shared" si="190"/>
        <v>1155.125</v>
      </c>
      <c r="U1093" s="108">
        <f t="shared" si="191"/>
        <v>1002.625</v>
      </c>
      <c r="V1093" s="108">
        <f t="shared" si="192"/>
        <v>4592.5625</v>
      </c>
      <c r="W1093" s="109">
        <f t="shared" si="193"/>
        <v>950.1875</v>
      </c>
      <c r="X1093" s="105">
        <f t="shared" si="194"/>
        <v>8001.4375</v>
      </c>
      <c r="Y1093" s="202">
        <f t="shared" si="195"/>
        <v>1801.6623499005316</v>
      </c>
    </row>
    <row r="1094" spans="1:25" x14ac:dyDescent="0.25">
      <c r="A1094" s="104">
        <f t="shared" si="173"/>
        <v>41948</v>
      </c>
      <c r="B1094" s="59">
        <f>SUM('Weekly Data'!D1091:D1094)/4</f>
        <v>466.25</v>
      </c>
      <c r="C1094" s="90">
        <f>SUM('Weekly Data'!E1091:E1094)/4</f>
        <v>314.75</v>
      </c>
      <c r="D1094" s="90" t="s">
        <v>34</v>
      </c>
      <c r="E1094" s="90">
        <f>SUM('Weekly Data'!G1091:G1094)/4</f>
        <v>1737</v>
      </c>
      <c r="F1094" s="90">
        <f>SUM('Weekly Data'!H1091:H1094)/4</f>
        <v>271.25</v>
      </c>
      <c r="G1094" s="90">
        <f>SUM('Weekly Data'!I1091:I1094)/4</f>
        <v>2789.25</v>
      </c>
      <c r="H1094" s="200">
        <f>SUM('Weekly Data'!J1091:J1094)/4</f>
        <v>469.75</v>
      </c>
      <c r="J1094" s="100">
        <f>AVERAGE('Weekly Data'!D1042,'Weekly Data'!D990,'Weekly Data'!D938,'Weekly Data'!D886)</f>
        <v>1239.25</v>
      </c>
      <c r="K1094" s="16">
        <f>AVERAGE('Weekly Data'!E1042,'Weekly Data'!E990,'Weekly Data'!E938,'Weekly Data'!E886)</f>
        <v>1167.75</v>
      </c>
      <c r="L1094" s="16">
        <f>AVERAGE('Weekly Data'!F1042,'Weekly Data'!F990,'Weekly Data'!F938,'Weekly Data'!F886)</f>
        <v>664.33333333333337</v>
      </c>
      <c r="M1094" s="16">
        <f>AVERAGE('Weekly Data'!G1042,'Weekly Data'!G990,'Weekly Data'!G938,'Weekly Data'!G886)</f>
        <v>4587</v>
      </c>
      <c r="N1094" s="16">
        <f>AVERAGE('Weekly Data'!H1042,'Weekly Data'!H990,'Weekly Data'!H938,'Weekly Data'!H886)</f>
        <v>1053.5</v>
      </c>
      <c r="O1094" s="100">
        <f>AVERAGE('Weekly Data'!I1042,'Weekly Data'!I990,'Weekly Data'!I938,'Weekly Data'!I886)</f>
        <v>8047.5</v>
      </c>
      <c r="P1094" s="201">
        <f>AVERAGE('Weekly Data'!J1042,'Weekly Data'!J990,'Weekly Data'!J938,'Weekly Data'!J886)</f>
        <v>1642.8727567617436</v>
      </c>
      <c r="R1094" s="13">
        <f t="shared" si="184"/>
        <v>41948</v>
      </c>
      <c r="S1094" s="105">
        <f t="shared" si="189"/>
        <v>1324.6875</v>
      </c>
      <c r="T1094" s="105">
        <f t="shared" si="190"/>
        <v>1076.0625</v>
      </c>
      <c r="U1094" s="108">
        <f t="shared" si="191"/>
        <v>1073.5</v>
      </c>
      <c r="V1094" s="108">
        <f t="shared" si="192"/>
        <v>4683.625</v>
      </c>
      <c r="W1094" s="109">
        <f t="shared" si="193"/>
        <v>1040.875</v>
      </c>
      <c r="X1094" s="105">
        <f t="shared" si="194"/>
        <v>8125.25</v>
      </c>
      <c r="Y1094" s="202">
        <f t="shared" si="195"/>
        <v>1763.321948868258</v>
      </c>
    </row>
    <row r="1095" spans="1:25" x14ac:dyDescent="0.25">
      <c r="A1095" s="104">
        <f t="shared" si="173"/>
        <v>41955</v>
      </c>
      <c r="B1095" s="59">
        <f>SUM('Weekly Data'!D1092:D1095)/4</f>
        <v>0</v>
      </c>
      <c r="C1095" s="90">
        <f>SUM('Weekly Data'!E1092:E1095)/4</f>
        <v>0</v>
      </c>
      <c r="D1095" s="90" t="s">
        <v>34</v>
      </c>
      <c r="E1095" s="90">
        <f>SUM('Weekly Data'!G1092:G1095)/4</f>
        <v>0</v>
      </c>
      <c r="F1095" s="90">
        <f>SUM('Weekly Data'!H1092:H1095)/4</f>
        <v>0</v>
      </c>
      <c r="G1095" s="90">
        <f>SUM('Weekly Data'!I1092:I1095)/4</f>
        <v>0</v>
      </c>
      <c r="H1095" s="200">
        <f>SUM('Weekly Data'!J1092:J1095)/4</f>
        <v>0</v>
      </c>
      <c r="J1095" s="100">
        <f>AVERAGE('Weekly Data'!D1043,'Weekly Data'!D991,'Weekly Data'!D939,'Weekly Data'!D887)</f>
        <v>1077.5</v>
      </c>
      <c r="K1095" s="16">
        <f>AVERAGE('Weekly Data'!E1043,'Weekly Data'!E991,'Weekly Data'!E939,'Weekly Data'!E887)</f>
        <v>1220</v>
      </c>
      <c r="L1095" s="16">
        <f>AVERAGE('Weekly Data'!F1043,'Weekly Data'!F991,'Weekly Data'!F939,'Weekly Data'!F887)</f>
        <v>930</v>
      </c>
      <c r="M1095" s="16">
        <f>AVERAGE('Weekly Data'!G1043,'Weekly Data'!G991,'Weekly Data'!G939,'Weekly Data'!G887)</f>
        <v>4887.5</v>
      </c>
      <c r="N1095" s="16">
        <f>AVERAGE('Weekly Data'!H1043,'Weekly Data'!H991,'Weekly Data'!H939,'Weekly Data'!H887)</f>
        <v>1125.5</v>
      </c>
      <c r="O1095" s="100">
        <f>AVERAGE('Weekly Data'!I1043,'Weekly Data'!I991,'Weekly Data'!I939,'Weekly Data'!I887)</f>
        <v>8310.5</v>
      </c>
      <c r="P1095" s="201">
        <f>AVERAGE('Weekly Data'!J1043,'Weekly Data'!J991,'Weekly Data'!J939,'Weekly Data'!J887)</f>
        <v>1757.8720448317151</v>
      </c>
      <c r="R1095" s="13">
        <f t="shared" si="184"/>
        <v>41955</v>
      </c>
      <c r="S1095" s="105">
        <f t="shared" si="189"/>
        <v>1216.5</v>
      </c>
      <c r="T1095" s="105">
        <f t="shared" si="190"/>
        <v>1073.375</v>
      </c>
      <c r="U1095" s="108">
        <f t="shared" si="191"/>
        <v>1076.75</v>
      </c>
      <c r="V1095" s="108">
        <f t="shared" si="192"/>
        <v>4717.6875</v>
      </c>
      <c r="W1095" s="109">
        <f t="shared" si="193"/>
        <v>1076.125</v>
      </c>
      <c r="X1095" s="105">
        <f t="shared" si="194"/>
        <v>8083.6875</v>
      </c>
      <c r="Y1095" s="202">
        <f t="shared" si="195"/>
        <v>1836.2058456098268</v>
      </c>
    </row>
    <row r="1096" spans="1:25" x14ac:dyDescent="0.25">
      <c r="A1096" s="104">
        <f t="shared" si="173"/>
        <v>41962</v>
      </c>
      <c r="B1096" s="59">
        <f>SUM('Weekly Data'!D1093:D1096)/4</f>
        <v>0</v>
      </c>
      <c r="C1096" s="90">
        <f>SUM('Weekly Data'!E1093:E1096)/4</f>
        <v>0</v>
      </c>
      <c r="D1096" s="90" t="s">
        <v>34</v>
      </c>
      <c r="E1096" s="90">
        <f>SUM('Weekly Data'!G1093:G1096)/4</f>
        <v>0</v>
      </c>
      <c r="F1096" s="90">
        <f>SUM('Weekly Data'!H1093:H1096)/4</f>
        <v>0</v>
      </c>
      <c r="G1096" s="90">
        <f>SUM('Weekly Data'!I1093:I1096)/4</f>
        <v>0</v>
      </c>
      <c r="H1096" s="200">
        <f>SUM('Weekly Data'!J1093:J1096)/4</f>
        <v>0</v>
      </c>
      <c r="J1096" s="100">
        <f>AVERAGE('Weekly Data'!D1044,'Weekly Data'!D992,'Weekly Data'!D940,'Weekly Data'!D888)</f>
        <v>1242.25</v>
      </c>
      <c r="K1096" s="16">
        <f>AVERAGE('Weekly Data'!E1044,'Weekly Data'!E992,'Weekly Data'!E940,'Weekly Data'!E888)</f>
        <v>1288.75</v>
      </c>
      <c r="L1096" s="16">
        <f>AVERAGE('Weekly Data'!F1044,'Weekly Data'!F992,'Weekly Data'!F940,'Weekly Data'!F888)</f>
        <v>983</v>
      </c>
      <c r="M1096" s="16">
        <f>AVERAGE('Weekly Data'!G1044,'Weekly Data'!G992,'Weekly Data'!G940,'Weekly Data'!G888)</f>
        <v>4547.25</v>
      </c>
      <c r="N1096" s="16">
        <f>AVERAGE('Weekly Data'!H1044,'Weekly Data'!H992,'Weekly Data'!H940,'Weekly Data'!H888)</f>
        <v>1082.25</v>
      </c>
      <c r="O1096" s="100">
        <f>AVERAGE('Weekly Data'!I1044,'Weekly Data'!I992,'Weekly Data'!I940,'Weekly Data'!I888)</f>
        <v>8160.5</v>
      </c>
      <c r="P1096" s="201">
        <f>AVERAGE('Weekly Data'!J1044,'Weekly Data'!J992,'Weekly Data'!J940,'Weekly Data'!J888)</f>
        <v>1793.0049442357983</v>
      </c>
      <c r="R1096" s="13">
        <f t="shared" si="184"/>
        <v>41962</v>
      </c>
      <c r="S1096" s="105">
        <f t="shared" si="189"/>
        <v>1216.125</v>
      </c>
      <c r="T1096" s="105">
        <f t="shared" si="190"/>
        <v>1121.4375</v>
      </c>
      <c r="U1096" s="108">
        <f t="shared" si="191"/>
        <v>932.75</v>
      </c>
      <c r="V1096" s="108">
        <f t="shared" si="192"/>
        <v>4819.5</v>
      </c>
      <c r="W1096" s="109">
        <f t="shared" si="193"/>
        <v>1060.75</v>
      </c>
      <c r="X1096" s="105">
        <f t="shared" si="194"/>
        <v>8217.8125</v>
      </c>
      <c r="Y1096" s="202">
        <f t="shared" si="195"/>
        <v>1812.6796908705116</v>
      </c>
    </row>
    <row r="1097" spans="1:25" x14ac:dyDescent="0.25">
      <c r="A1097" s="104">
        <f t="shared" si="173"/>
        <v>41969</v>
      </c>
      <c r="B1097" s="59">
        <f>SUM('Weekly Data'!D1094:D1097)/4</f>
        <v>0</v>
      </c>
      <c r="C1097" s="90">
        <f>SUM('Weekly Data'!E1094:E1097)/4</f>
        <v>0</v>
      </c>
      <c r="D1097" s="90" t="s">
        <v>34</v>
      </c>
      <c r="E1097" s="90">
        <f>SUM('Weekly Data'!G1094:G1097)/4</f>
        <v>0</v>
      </c>
      <c r="F1097" s="90">
        <f>SUM('Weekly Data'!H1094:H1097)/4</f>
        <v>0</v>
      </c>
      <c r="G1097" s="90">
        <f>SUM('Weekly Data'!I1094:I1097)/4</f>
        <v>0</v>
      </c>
      <c r="H1097" s="200">
        <f>SUM('Weekly Data'!J1094:J1097)/4</f>
        <v>0</v>
      </c>
      <c r="J1097" s="100">
        <f>AVERAGE('Weekly Data'!D1045,'Weekly Data'!D993,'Weekly Data'!D941,'Weekly Data'!D889)</f>
        <v>1188.25</v>
      </c>
      <c r="K1097" s="16">
        <f>AVERAGE('Weekly Data'!E1045,'Weekly Data'!E993,'Weekly Data'!E941,'Weekly Data'!E889)</f>
        <v>1322.5</v>
      </c>
      <c r="L1097" s="16">
        <f>AVERAGE('Weekly Data'!F1045,'Weekly Data'!F993,'Weekly Data'!F941,'Weekly Data'!F889)</f>
        <v>698.5</v>
      </c>
      <c r="M1097" s="16">
        <f>AVERAGE('Weekly Data'!G1045,'Weekly Data'!G993,'Weekly Data'!G941,'Weekly Data'!G889)</f>
        <v>4678.5</v>
      </c>
      <c r="N1097" s="16">
        <f>AVERAGE('Weekly Data'!H1045,'Weekly Data'!H993,'Weekly Data'!H941,'Weekly Data'!H889)</f>
        <v>828.5</v>
      </c>
      <c r="O1097" s="100">
        <f>AVERAGE('Weekly Data'!I1045,'Weekly Data'!I993,'Weekly Data'!I941,'Weekly Data'!I889)</f>
        <v>8017.75</v>
      </c>
      <c r="P1097" s="201">
        <f>AVERAGE('Weekly Data'!J1045,'Weekly Data'!J993,'Weekly Data'!J941,'Weekly Data'!J889)</f>
        <v>1377.4550129932636</v>
      </c>
      <c r="R1097" s="13">
        <f t="shared" si="184"/>
        <v>41969</v>
      </c>
      <c r="S1097" s="105">
        <f t="shared" si="189"/>
        <v>1223.5625</v>
      </c>
      <c r="T1097" s="105">
        <f t="shared" si="190"/>
        <v>1255.625</v>
      </c>
      <c r="U1097" s="108">
        <f t="shared" si="191"/>
        <v>877.75</v>
      </c>
      <c r="V1097" s="108">
        <f t="shared" si="192"/>
        <v>4745.75</v>
      </c>
      <c r="W1097" s="109">
        <f t="shared" si="193"/>
        <v>1038.6875</v>
      </c>
      <c r="X1097" s="105">
        <f t="shared" si="194"/>
        <v>8263.625</v>
      </c>
      <c r="Y1097" s="202">
        <f t="shared" si="195"/>
        <v>1678.4607711756244</v>
      </c>
    </row>
    <row r="1098" spans="1:25" x14ac:dyDescent="0.25">
      <c r="A1098" s="104">
        <f t="shared" si="173"/>
        <v>41976</v>
      </c>
      <c r="B1098" s="59">
        <f>SUM('Weekly Data'!D1095:D1098)/4</f>
        <v>0</v>
      </c>
      <c r="C1098" s="90">
        <f>SUM('Weekly Data'!E1095:E1098)/4</f>
        <v>0</v>
      </c>
      <c r="D1098" s="90" t="s">
        <v>34</v>
      </c>
      <c r="E1098" s="90">
        <f>SUM('Weekly Data'!G1095:G1098)/4</f>
        <v>0</v>
      </c>
      <c r="F1098" s="90">
        <f>SUM('Weekly Data'!H1095:H1098)/4</f>
        <v>0</v>
      </c>
      <c r="G1098" s="90">
        <f>SUM('Weekly Data'!I1095:I1098)/4</f>
        <v>0</v>
      </c>
      <c r="H1098" s="200">
        <f>SUM('Weekly Data'!J1095:J1098)/4</f>
        <v>0</v>
      </c>
      <c r="J1098" s="100">
        <f>AVERAGE('Weekly Data'!D1046,'Weekly Data'!D994,'Weekly Data'!D942,'Weekly Data'!D890)</f>
        <v>1164.75</v>
      </c>
      <c r="K1098" s="16">
        <f>AVERAGE('Weekly Data'!E1046,'Weekly Data'!E994,'Weekly Data'!E942,'Weekly Data'!E890)</f>
        <v>1108.5</v>
      </c>
      <c r="L1098" s="16">
        <f>AVERAGE('Weekly Data'!F1046,'Weekly Data'!F994,'Weekly Data'!F942,'Weekly Data'!F890)</f>
        <v>793.5</v>
      </c>
      <c r="M1098" s="16">
        <f>AVERAGE('Weekly Data'!G1046,'Weekly Data'!G994,'Weekly Data'!G942,'Weekly Data'!G890)</f>
        <v>4322.25</v>
      </c>
      <c r="N1098" s="16">
        <f>AVERAGE('Weekly Data'!H1046,'Weekly Data'!H994,'Weekly Data'!H942,'Weekly Data'!H890)</f>
        <v>980.25</v>
      </c>
      <c r="O1098" s="100">
        <f>AVERAGE('Weekly Data'!I1046,'Weekly Data'!I994,'Weekly Data'!I942,'Weekly Data'!I890)</f>
        <v>7575.75</v>
      </c>
      <c r="P1098" s="201">
        <f>AVERAGE('Weekly Data'!J1046,'Weekly Data'!J994,'Weekly Data'!J942,'Weekly Data'!J890)</f>
        <v>1493.560918106936</v>
      </c>
      <c r="R1098" s="13">
        <f t="shared" si="184"/>
        <v>41976</v>
      </c>
      <c r="S1098" s="105">
        <f t="shared" si="189"/>
        <v>1170.75</v>
      </c>
      <c r="T1098" s="105">
        <f t="shared" si="190"/>
        <v>1290.625</v>
      </c>
      <c r="U1098" s="108">
        <f t="shared" si="191"/>
        <v>847.875</v>
      </c>
      <c r="V1098" s="108">
        <f t="shared" si="192"/>
        <v>4595.5</v>
      </c>
      <c r="W1098" s="109">
        <f t="shared" si="193"/>
        <v>1008.5625</v>
      </c>
      <c r="X1098" s="105">
        <f t="shared" si="194"/>
        <v>8065.4375</v>
      </c>
      <c r="Y1098" s="202">
        <f t="shared" si="195"/>
        <v>1632.1211653419859</v>
      </c>
    </row>
    <row r="1099" spans="1:25" x14ac:dyDescent="0.25">
      <c r="A1099" s="104">
        <f t="shared" si="173"/>
        <v>41983</v>
      </c>
      <c r="B1099" s="59">
        <f>SUM('Weekly Data'!D1096:D1099)/4</f>
        <v>0</v>
      </c>
      <c r="C1099" s="90">
        <f>SUM('Weekly Data'!E1096:E1099)/4</f>
        <v>0</v>
      </c>
      <c r="D1099" s="90" t="s">
        <v>34</v>
      </c>
      <c r="E1099" s="90">
        <f>SUM('Weekly Data'!G1096:G1099)/4</f>
        <v>0</v>
      </c>
      <c r="F1099" s="90">
        <f>SUM('Weekly Data'!H1096:H1099)/4</f>
        <v>0</v>
      </c>
      <c r="G1099" s="90">
        <f>SUM('Weekly Data'!I1096:I1099)/4</f>
        <v>0</v>
      </c>
      <c r="H1099" s="200">
        <f>SUM('Weekly Data'!J1096:J1099)/4</f>
        <v>0</v>
      </c>
      <c r="J1099" s="100">
        <f>AVERAGE('Weekly Data'!D1047,'Weekly Data'!D995,'Weekly Data'!D943,'Weekly Data'!D891)</f>
        <v>1004</v>
      </c>
      <c r="K1099" s="16">
        <f>AVERAGE('Weekly Data'!E1047,'Weekly Data'!E995,'Weekly Data'!E943,'Weekly Data'!E891)</f>
        <v>1078.5</v>
      </c>
      <c r="L1099" s="16">
        <f>AVERAGE('Weekly Data'!F1047,'Weekly Data'!F995,'Weekly Data'!F943,'Weekly Data'!F891)</f>
        <v>848.5</v>
      </c>
      <c r="M1099" s="16">
        <f>AVERAGE('Weekly Data'!G1047,'Weekly Data'!G995,'Weekly Data'!G943,'Weekly Data'!G891)</f>
        <v>4442.25</v>
      </c>
      <c r="N1099" s="16">
        <f>AVERAGE('Weekly Data'!H1047,'Weekly Data'!H995,'Weekly Data'!H943,'Weekly Data'!H891)</f>
        <v>946.5</v>
      </c>
      <c r="O1099" s="100">
        <f>AVERAGE('Weekly Data'!I1047,'Weekly Data'!I995,'Weekly Data'!I943,'Weekly Data'!I891)</f>
        <v>7471.25</v>
      </c>
      <c r="P1099" s="201">
        <f>AVERAGE('Weekly Data'!J1047,'Weekly Data'!J995,'Weekly Data'!J943,'Weekly Data'!J891)</f>
        <v>1418.4093212594266</v>
      </c>
      <c r="R1099" s="13">
        <f t="shared" si="184"/>
        <v>41983</v>
      </c>
      <c r="S1099" s="105">
        <f t="shared" si="189"/>
        <v>1185.375</v>
      </c>
      <c r="T1099" s="105">
        <f t="shared" si="190"/>
        <v>1242.875</v>
      </c>
      <c r="U1099" s="108">
        <f t="shared" si="191"/>
        <v>838.625</v>
      </c>
      <c r="V1099" s="108">
        <f t="shared" si="192"/>
        <v>4555.5</v>
      </c>
      <c r="W1099" s="109">
        <f t="shared" si="193"/>
        <v>1011.3125</v>
      </c>
      <c r="X1099" s="105">
        <f t="shared" si="194"/>
        <v>7995.0625</v>
      </c>
      <c r="Y1099" s="202">
        <f t="shared" si="195"/>
        <v>1494.3466170585502</v>
      </c>
    </row>
    <row r="1100" spans="1:25" x14ac:dyDescent="0.25">
      <c r="A1100" s="104">
        <f t="shared" si="173"/>
        <v>41990</v>
      </c>
      <c r="B1100" s="59">
        <f>SUM('Weekly Data'!D1097:D1100)/4</f>
        <v>0</v>
      </c>
      <c r="C1100" s="90">
        <f>SUM('Weekly Data'!E1097:E1100)/4</f>
        <v>0</v>
      </c>
      <c r="D1100" s="90" t="s">
        <v>34</v>
      </c>
      <c r="E1100" s="90">
        <f>SUM('Weekly Data'!G1097:G1100)/4</f>
        <v>0</v>
      </c>
      <c r="F1100" s="90">
        <f>SUM('Weekly Data'!H1097:H1100)/4</f>
        <v>0</v>
      </c>
      <c r="G1100" s="90">
        <f>SUM('Weekly Data'!I1097:I1100)/4</f>
        <v>0</v>
      </c>
      <c r="H1100" s="200">
        <f>SUM('Weekly Data'!J1097:J1100)/4</f>
        <v>0</v>
      </c>
      <c r="J1100" s="100">
        <f>AVERAGE('Weekly Data'!D1048,'Weekly Data'!D996,'Weekly Data'!D944,'Weekly Data'!D892)</f>
        <v>958.5</v>
      </c>
      <c r="K1100" s="16">
        <f>AVERAGE('Weekly Data'!E1048,'Weekly Data'!E996,'Weekly Data'!E944,'Weekly Data'!E892)</f>
        <v>1246.5</v>
      </c>
      <c r="L1100" s="16">
        <f>AVERAGE('Weekly Data'!F1048,'Weekly Data'!F996,'Weekly Data'!F944,'Weekly Data'!F892)</f>
        <v>693</v>
      </c>
      <c r="M1100" s="16">
        <f>AVERAGE('Weekly Data'!G1048,'Weekly Data'!G996,'Weekly Data'!G944,'Weekly Data'!G892)</f>
        <v>4756.25</v>
      </c>
      <c r="N1100" s="16">
        <f>AVERAGE('Weekly Data'!H1048,'Weekly Data'!H996,'Weekly Data'!H944,'Weekly Data'!H892)</f>
        <v>781</v>
      </c>
      <c r="O1100" s="100">
        <f>AVERAGE('Weekly Data'!I1048,'Weekly Data'!I996,'Weekly Data'!I944,'Weekly Data'!I892)</f>
        <v>7742.25</v>
      </c>
      <c r="P1100" s="201">
        <f>AVERAGE('Weekly Data'!J1048,'Weekly Data'!J996,'Weekly Data'!J944,'Weekly Data'!J892)</f>
        <v>1364.7879084447268</v>
      </c>
      <c r="R1100" s="13">
        <f t="shared" si="184"/>
        <v>41990</v>
      </c>
      <c r="S1100" s="105">
        <f t="shared" si="189"/>
        <v>1079.6875</v>
      </c>
      <c r="T1100" s="105">
        <f t="shared" si="190"/>
        <v>1207.1875</v>
      </c>
      <c r="U1100" s="108">
        <f t="shared" si="191"/>
        <v>811.625</v>
      </c>
      <c r="V1100" s="108">
        <f t="shared" si="192"/>
        <v>4507.5625</v>
      </c>
      <c r="W1100" s="109">
        <f t="shared" si="193"/>
        <v>910</v>
      </c>
      <c r="X1100" s="105">
        <f t="shared" si="194"/>
        <v>7704.4375</v>
      </c>
      <c r="Y1100" s="202">
        <f t="shared" si="195"/>
        <v>1432.5717336517519</v>
      </c>
    </row>
    <row r="1101" spans="1:25" x14ac:dyDescent="0.25">
      <c r="A1101" s="104">
        <f t="shared" ref="A1101:A1156" si="196">A1100+7</f>
        <v>41997</v>
      </c>
      <c r="B1101" s="59">
        <f>SUM('Weekly Data'!D1098:D1101)/4</f>
        <v>0</v>
      </c>
      <c r="C1101" s="90">
        <f>SUM('Weekly Data'!E1098:E1101)/4</f>
        <v>0</v>
      </c>
      <c r="D1101" s="90" t="s">
        <v>34</v>
      </c>
      <c r="E1101" s="90">
        <f>SUM('Weekly Data'!G1098:G1101)/4</f>
        <v>0</v>
      </c>
      <c r="F1101" s="90">
        <f>SUM('Weekly Data'!H1098:H1101)/4</f>
        <v>0</v>
      </c>
      <c r="G1101" s="90">
        <f>SUM('Weekly Data'!I1098:I1101)/4</f>
        <v>0</v>
      </c>
      <c r="H1101" s="200">
        <f>SUM('Weekly Data'!J1098:J1101)/4</f>
        <v>0</v>
      </c>
      <c r="J1101" s="100">
        <f>AVERAGE('Weekly Data'!D1049,'Weekly Data'!D997,'Weekly Data'!D945,'Weekly Data'!D893)</f>
        <v>993</v>
      </c>
      <c r="K1101" s="16">
        <f>AVERAGE('Weekly Data'!E1049,'Weekly Data'!E997,'Weekly Data'!E945,'Weekly Data'!E893)</f>
        <v>715.5</v>
      </c>
      <c r="L1101" s="16">
        <f>AVERAGE('Weekly Data'!F1049,'Weekly Data'!F997,'Weekly Data'!F945,'Weekly Data'!F893)</f>
        <v>773.5</v>
      </c>
      <c r="M1101" s="16">
        <f>AVERAGE('Weekly Data'!G1049,'Weekly Data'!G997,'Weekly Data'!G945,'Weekly Data'!G893)</f>
        <v>4070.5</v>
      </c>
      <c r="N1101" s="16">
        <f>AVERAGE('Weekly Data'!H1049,'Weekly Data'!H997,'Weekly Data'!H945,'Weekly Data'!H893)</f>
        <v>601.5</v>
      </c>
      <c r="O1101" s="100">
        <f>AVERAGE('Weekly Data'!I1049,'Weekly Data'!I997,'Weekly Data'!I945,'Weekly Data'!I893)</f>
        <v>6380.5</v>
      </c>
      <c r="P1101" s="201">
        <f>AVERAGE('Weekly Data'!J1049,'Weekly Data'!J997,'Weekly Data'!J945,'Weekly Data'!J893)</f>
        <v>1831.0228347522714</v>
      </c>
      <c r="R1101" s="13">
        <f t="shared" si="184"/>
        <v>41997</v>
      </c>
      <c r="S1101" s="105">
        <f t="shared" si="189"/>
        <v>1044.0625</v>
      </c>
      <c r="T1101" s="105">
        <f t="shared" si="190"/>
        <v>1048.625</v>
      </c>
      <c r="U1101" s="108">
        <f t="shared" si="191"/>
        <v>784</v>
      </c>
      <c r="V1101" s="108">
        <f t="shared" si="192"/>
        <v>4428.0625</v>
      </c>
      <c r="W1101" s="109">
        <f t="shared" si="193"/>
        <v>854.625</v>
      </c>
      <c r="X1101" s="105">
        <f t="shared" si="194"/>
        <v>7375.375</v>
      </c>
      <c r="Y1101" s="202">
        <f t="shared" si="195"/>
        <v>1533.3584416881572</v>
      </c>
    </row>
    <row r="1102" spans="1:25" x14ac:dyDescent="0.25">
      <c r="A1102" s="104">
        <f t="shared" si="196"/>
        <v>42004</v>
      </c>
      <c r="B1102" s="59">
        <f>SUM('Weekly Data'!D1099:D1102)/4</f>
        <v>0</v>
      </c>
      <c r="C1102" s="90">
        <f>SUM('Weekly Data'!E1099:E1102)/4</f>
        <v>0</v>
      </c>
      <c r="D1102" s="90" t="s">
        <v>34</v>
      </c>
      <c r="E1102" s="90">
        <f>SUM('Weekly Data'!G1099:G1102)/4</f>
        <v>0</v>
      </c>
      <c r="F1102" s="90">
        <f>SUM('Weekly Data'!H1099:H1102)/4</f>
        <v>0</v>
      </c>
      <c r="G1102" s="90">
        <f>SUM('Weekly Data'!I1099:I1102)/4</f>
        <v>0</v>
      </c>
      <c r="H1102" s="200">
        <f>SUM('Weekly Data'!J1099:J1102)/4</f>
        <v>0</v>
      </c>
      <c r="J1102" s="100">
        <f>AVERAGE('Weekly Data'!D1050,'Weekly Data'!D998,'Weekly Data'!D946,'Weekly Data'!D894)</f>
        <v>885.75</v>
      </c>
      <c r="K1102" s="16">
        <f>AVERAGE('Weekly Data'!E1050,'Weekly Data'!E998,'Weekly Data'!E946,'Weekly Data'!E894)</f>
        <v>1288.5</v>
      </c>
      <c r="L1102" s="16">
        <f>AVERAGE('Weekly Data'!F1050,'Weekly Data'!F998,'Weekly Data'!F946,'Weekly Data'!F894)</f>
        <v>630.5</v>
      </c>
      <c r="M1102" s="16">
        <f>AVERAGE('Weekly Data'!G1050,'Weekly Data'!G998,'Weekly Data'!G946,'Weekly Data'!G894)</f>
        <v>4172.5</v>
      </c>
      <c r="N1102" s="16">
        <f>AVERAGE('Weekly Data'!H1050,'Weekly Data'!H998,'Weekly Data'!H946,'Weekly Data'!H894)</f>
        <v>689.75</v>
      </c>
      <c r="O1102" s="100">
        <f>AVERAGE('Weekly Data'!I1050,'Weekly Data'!I998,'Weekly Data'!I946,'Weekly Data'!I894)</f>
        <v>7036.5</v>
      </c>
      <c r="P1102" s="201">
        <f>AVERAGE('Weekly Data'!J1050,'Weekly Data'!J998,'Weekly Data'!J946,'Weekly Data'!J894)</f>
        <v>1344.5129337680482</v>
      </c>
      <c r="R1102" s="13">
        <f t="shared" si="184"/>
        <v>42004</v>
      </c>
      <c r="S1102" s="105">
        <f t="shared" si="189"/>
        <v>1000</v>
      </c>
      <c r="T1102" s="105">
        <f t="shared" si="190"/>
        <v>1079.6875</v>
      </c>
      <c r="U1102" s="108">
        <f t="shared" si="191"/>
        <v>779</v>
      </c>
      <c r="V1102" s="108">
        <f t="shared" si="192"/>
        <v>4445.8125</v>
      </c>
      <c r="W1102" s="109">
        <f t="shared" si="193"/>
        <v>761.875</v>
      </c>
      <c r="X1102" s="105">
        <f t="shared" si="194"/>
        <v>7287.375</v>
      </c>
      <c r="Y1102" s="202">
        <f t="shared" si="195"/>
        <v>1503.7259374528292</v>
      </c>
    </row>
    <row r="1103" spans="1:25" x14ac:dyDescent="0.25">
      <c r="A1103" s="104">
        <f t="shared" si="196"/>
        <v>42011</v>
      </c>
      <c r="B1103" s="59">
        <f>SUM('Weekly Data'!D1100:D1103)/4</f>
        <v>0</v>
      </c>
      <c r="C1103" s="90">
        <f>SUM('Weekly Data'!E1100:E1103)/4</f>
        <v>0</v>
      </c>
      <c r="D1103" s="90" t="s">
        <v>34</v>
      </c>
      <c r="E1103" s="90">
        <f>SUM('Weekly Data'!G1100:G1103)/4</f>
        <v>0</v>
      </c>
      <c r="F1103" s="90">
        <f>SUM('Weekly Data'!H1100:H1103)/4</f>
        <v>0</v>
      </c>
      <c r="G1103" s="90">
        <f>SUM('Weekly Data'!I1100:I1103)/4</f>
        <v>0</v>
      </c>
      <c r="H1103" s="200">
        <f>SUM('Weekly Data'!J1100:J1103)/4</f>
        <v>0</v>
      </c>
      <c r="J1103" s="100">
        <f>AVERAGE('Weekly Data'!D1051,'Weekly Data'!D999,'Weekly Data'!D947,'Weekly Data'!D895)</f>
        <v>814</v>
      </c>
      <c r="K1103" s="16">
        <f>AVERAGE('Weekly Data'!E1051,'Weekly Data'!E999,'Weekly Data'!E947,'Weekly Data'!E895)</f>
        <v>1265.5</v>
      </c>
      <c r="L1103" s="16">
        <f>AVERAGE('Weekly Data'!F1051,'Weekly Data'!F999,'Weekly Data'!F947,'Weekly Data'!F895)</f>
        <v>684</v>
      </c>
      <c r="M1103" s="16">
        <f>AVERAGE('Weekly Data'!G1051,'Weekly Data'!G999,'Weekly Data'!G947,'Weekly Data'!G895)</f>
        <v>4223.75</v>
      </c>
      <c r="N1103" s="16">
        <f>AVERAGE('Weekly Data'!H1051,'Weekly Data'!H999,'Weekly Data'!H947,'Weekly Data'!H895)</f>
        <v>660.25</v>
      </c>
      <c r="O1103" s="100">
        <f>AVERAGE('Weekly Data'!I1051,'Weekly Data'!I999,'Weekly Data'!I947,'Weekly Data'!I895)</f>
        <v>6963.5</v>
      </c>
      <c r="P1103" s="201">
        <f>AVERAGE('Weekly Data'!J1051,'Weekly Data'!J999,'Weekly Data'!J947,'Weekly Data'!J895)</f>
        <v>1585.0995046685791</v>
      </c>
      <c r="R1103" s="13">
        <f t="shared" si="184"/>
        <v>42011</v>
      </c>
      <c r="S1103" s="105">
        <f t="shared" si="189"/>
        <v>926.6875</v>
      </c>
      <c r="T1103" s="105">
        <f t="shared" si="190"/>
        <v>1111.5</v>
      </c>
      <c r="U1103" s="108">
        <f t="shared" si="191"/>
        <v>701.5</v>
      </c>
      <c r="V1103" s="108">
        <f t="shared" si="192"/>
        <v>4325.6875</v>
      </c>
      <c r="W1103" s="109">
        <f t="shared" si="193"/>
        <v>667.8125</v>
      </c>
      <c r="X1103" s="105">
        <f t="shared" si="194"/>
        <v>7031.6875</v>
      </c>
      <c r="Y1103" s="202">
        <f t="shared" si="195"/>
        <v>1553.2282351313365</v>
      </c>
    </row>
    <row r="1104" spans="1:25" x14ac:dyDescent="0.25">
      <c r="A1104" s="104">
        <f t="shared" si="196"/>
        <v>42018</v>
      </c>
      <c r="B1104" s="59">
        <f>SUM('Weekly Data'!D1101:D1104)/4</f>
        <v>0</v>
      </c>
      <c r="C1104" s="90">
        <f>SUM('Weekly Data'!E1101:E1104)/4</f>
        <v>0</v>
      </c>
      <c r="D1104" s="90" t="s">
        <v>34</v>
      </c>
      <c r="E1104" s="90">
        <f>SUM('Weekly Data'!G1101:G1104)/4</f>
        <v>0</v>
      </c>
      <c r="F1104" s="90">
        <f>SUM('Weekly Data'!H1101:H1104)/4</f>
        <v>0</v>
      </c>
      <c r="G1104" s="90">
        <f>SUM('Weekly Data'!I1101:I1104)/4</f>
        <v>0</v>
      </c>
      <c r="H1104" s="200">
        <f>SUM('Weekly Data'!J1101:J1104)/4</f>
        <v>0</v>
      </c>
      <c r="J1104" s="100">
        <f>AVERAGE('Weekly Data'!D1052,'Weekly Data'!D1000,'Weekly Data'!D948,'Weekly Data'!D896)</f>
        <v>881.5</v>
      </c>
      <c r="K1104" s="16">
        <f>AVERAGE('Weekly Data'!E1052,'Weekly Data'!E1000,'Weekly Data'!E948,'Weekly Data'!E896)</f>
        <v>1341.25</v>
      </c>
      <c r="L1104" s="16">
        <f>AVERAGE('Weekly Data'!F1052,'Weekly Data'!F1000,'Weekly Data'!F948,'Weekly Data'!F896)</f>
        <v>775</v>
      </c>
      <c r="M1104" s="16">
        <f>AVERAGE('Weekly Data'!G1052,'Weekly Data'!G1000,'Weekly Data'!G948,'Weekly Data'!G896)</f>
        <v>4727</v>
      </c>
      <c r="N1104" s="16">
        <f>AVERAGE('Weekly Data'!H1052,'Weekly Data'!H1000,'Weekly Data'!H948,'Weekly Data'!H896)</f>
        <v>588.5</v>
      </c>
      <c r="O1104" s="100">
        <f>AVERAGE('Weekly Data'!I1052,'Weekly Data'!I1000,'Weekly Data'!I948,'Weekly Data'!I896)</f>
        <v>7538.25</v>
      </c>
      <c r="P1104" s="201">
        <f>AVERAGE('Weekly Data'!J1052,'Weekly Data'!J1000,'Weekly Data'!J948,'Weekly Data'!J896)</f>
        <v>1622.8297184078478</v>
      </c>
      <c r="R1104" s="13">
        <f t="shared" si="184"/>
        <v>42018</v>
      </c>
      <c r="S1104" s="105">
        <f t="shared" ref="S1104:S1122" si="197">AVERAGE(B1052,B1000,B948,B895)</f>
        <v>875.25</v>
      </c>
      <c r="T1104" s="105">
        <f t="shared" ref="T1104:T1122" si="198">AVERAGE(C1052,C1000,C948,C895)</f>
        <v>1123.0625</v>
      </c>
      <c r="U1104" s="108">
        <f t="shared" ref="U1104:U1122" si="199">AVERAGE(D1052,D1000,D948,D895)</f>
        <v>725.625</v>
      </c>
      <c r="V1104" s="108">
        <f t="shared" ref="V1104:V1122" si="200">AVERAGE(E1052,E1000,E948,E895)</f>
        <v>4306.75</v>
      </c>
      <c r="W1104" s="109">
        <f t="shared" ref="W1104:W1122" si="201">AVERAGE(F1052,F1000,F948,F895)</f>
        <v>633.1875</v>
      </c>
      <c r="X1104" s="105">
        <f t="shared" ref="X1104:X1122" si="202">AVERAGE(G1052,G1000,G948,G895)</f>
        <v>6938.25</v>
      </c>
      <c r="Y1104" s="202">
        <f t="shared" ref="Y1104:Y1122" si="203">AVERAGE(H1052,H1000,H948,H895)</f>
        <v>1577.3713787054762</v>
      </c>
    </row>
    <row r="1105" spans="1:25" x14ac:dyDescent="0.25">
      <c r="A1105" s="104">
        <f t="shared" si="196"/>
        <v>42025</v>
      </c>
      <c r="B1105" s="59">
        <f>SUM('Weekly Data'!D1102:D1105)/4</f>
        <v>0</v>
      </c>
      <c r="C1105" s="90">
        <f>SUM('Weekly Data'!E1102:E1105)/4</f>
        <v>0</v>
      </c>
      <c r="D1105" s="90" t="s">
        <v>34</v>
      </c>
      <c r="E1105" s="90">
        <f>SUM('Weekly Data'!G1102:G1105)/4</f>
        <v>0</v>
      </c>
      <c r="F1105" s="90">
        <f>SUM('Weekly Data'!H1102:H1105)/4</f>
        <v>0</v>
      </c>
      <c r="G1105" s="90">
        <f>SUM('Weekly Data'!I1102:I1105)/4</f>
        <v>0</v>
      </c>
      <c r="H1105" s="200">
        <f>SUM('Weekly Data'!J1102:J1105)/4</f>
        <v>0</v>
      </c>
      <c r="J1105" s="100">
        <f>AVERAGE('Weekly Data'!D1053,'Weekly Data'!D1001,'Weekly Data'!D949,'Weekly Data'!D897)</f>
        <v>944.75</v>
      </c>
      <c r="K1105" s="16">
        <f>AVERAGE('Weekly Data'!E1053,'Weekly Data'!E1001,'Weekly Data'!E949,'Weekly Data'!E897)</f>
        <v>1245</v>
      </c>
      <c r="L1105" s="16">
        <f>AVERAGE('Weekly Data'!F1053,'Weekly Data'!F1001,'Weekly Data'!F949,'Weekly Data'!F897)</f>
        <v>970</v>
      </c>
      <c r="M1105" s="16">
        <f>AVERAGE('Weekly Data'!G1053,'Weekly Data'!G1001,'Weekly Data'!G949,'Weekly Data'!G897)</f>
        <v>4723.5</v>
      </c>
      <c r="N1105" s="16">
        <f>AVERAGE('Weekly Data'!H1053,'Weekly Data'!H1001,'Weekly Data'!H949,'Weekly Data'!H897)</f>
        <v>819.75</v>
      </c>
      <c r="O1105" s="100">
        <f>AVERAGE('Weekly Data'!I1053,'Weekly Data'!I1001,'Weekly Data'!I949,'Weekly Data'!I897)</f>
        <v>7733</v>
      </c>
      <c r="P1105" s="201">
        <f>AVERAGE('Weekly Data'!J1053,'Weekly Data'!J1001,'Weekly Data'!J949,'Weekly Data'!J897)</f>
        <v>1435.1329827869645</v>
      </c>
      <c r="R1105" s="13">
        <f t="shared" si="184"/>
        <v>42025</v>
      </c>
      <c r="S1105" s="105">
        <f t="shared" si="197"/>
        <v>874.75</v>
      </c>
      <c r="T1105" s="105">
        <f t="shared" si="198"/>
        <v>1271.25</v>
      </c>
      <c r="U1105" s="108">
        <f t="shared" si="199"/>
        <v>779.125</v>
      </c>
      <c r="V1105" s="108">
        <f t="shared" si="200"/>
        <v>4365.625</v>
      </c>
      <c r="W1105" s="109">
        <f t="shared" si="201"/>
        <v>667.3125</v>
      </c>
      <c r="X1105" s="105">
        <f t="shared" si="202"/>
        <v>7178.9375</v>
      </c>
      <c r="Y1105" s="202">
        <f t="shared" si="203"/>
        <v>1478.4952333830749</v>
      </c>
    </row>
    <row r="1106" spans="1:25" x14ac:dyDescent="0.25">
      <c r="A1106" s="104">
        <f t="shared" si="196"/>
        <v>42032</v>
      </c>
      <c r="B1106" s="59">
        <f>SUM('Weekly Data'!D1103:D1106)/4</f>
        <v>0</v>
      </c>
      <c r="C1106" s="90">
        <f>SUM('Weekly Data'!E1103:E1106)/4</f>
        <v>0</v>
      </c>
      <c r="D1106" s="90" t="s">
        <v>34</v>
      </c>
      <c r="E1106" s="90">
        <f>SUM('Weekly Data'!G1103:G1106)/4</f>
        <v>0</v>
      </c>
      <c r="F1106" s="90">
        <f>SUM('Weekly Data'!H1103:H1106)/4</f>
        <v>0</v>
      </c>
      <c r="G1106" s="90">
        <f>SUM('Weekly Data'!I1103:I1106)/4</f>
        <v>0</v>
      </c>
      <c r="H1106" s="200">
        <f>SUM('Weekly Data'!J1103:J1106)/4</f>
        <v>0</v>
      </c>
      <c r="J1106" s="100">
        <f>AVERAGE('Weekly Data'!D1054,'Weekly Data'!D1002,'Weekly Data'!D950,'Weekly Data'!D898)</f>
        <v>926.75</v>
      </c>
      <c r="K1106" s="16">
        <f>AVERAGE('Weekly Data'!E1054,'Weekly Data'!E1002,'Weekly Data'!E950,'Weekly Data'!E898)</f>
        <v>1341.75</v>
      </c>
      <c r="L1106" s="16">
        <f>AVERAGE('Weekly Data'!F1054,'Weekly Data'!F1002,'Weekly Data'!F950,'Weekly Data'!F898)</f>
        <v>679</v>
      </c>
      <c r="M1106" s="16">
        <f>AVERAGE('Weekly Data'!G1054,'Weekly Data'!G1002,'Weekly Data'!G950,'Weekly Data'!G898)</f>
        <v>5063.75</v>
      </c>
      <c r="N1106" s="16">
        <f>AVERAGE('Weekly Data'!H1054,'Weekly Data'!H1002,'Weekly Data'!H950,'Weekly Data'!H898)</f>
        <v>654.5</v>
      </c>
      <c r="O1106" s="100">
        <f>AVERAGE('Weekly Data'!I1054,'Weekly Data'!I1002,'Weekly Data'!I950,'Weekly Data'!I898)</f>
        <v>7986.75</v>
      </c>
      <c r="P1106" s="201">
        <f>AVERAGE('Weekly Data'!J1054,'Weekly Data'!J1002,'Weekly Data'!J950,'Weekly Data'!J898)</f>
        <v>1605.1402597803781</v>
      </c>
      <c r="R1106" s="13">
        <f t="shared" si="184"/>
        <v>42032</v>
      </c>
      <c r="S1106" s="105">
        <f t="shared" si="197"/>
        <v>901.75</v>
      </c>
      <c r="T1106" s="105">
        <f t="shared" si="198"/>
        <v>1259.3125</v>
      </c>
      <c r="U1106" s="108">
        <f t="shared" si="199"/>
        <v>741.125</v>
      </c>
      <c r="V1106" s="108">
        <f t="shared" si="200"/>
        <v>4612.375</v>
      </c>
      <c r="W1106" s="109">
        <f t="shared" si="201"/>
        <v>690.3125</v>
      </c>
      <c r="X1106" s="105">
        <f t="shared" si="202"/>
        <v>7463.75</v>
      </c>
      <c r="Y1106" s="202">
        <f t="shared" si="203"/>
        <v>1530.9037664470943</v>
      </c>
    </row>
    <row r="1107" spans="1:25" x14ac:dyDescent="0.25">
      <c r="A1107" s="104">
        <f t="shared" si="196"/>
        <v>42039</v>
      </c>
      <c r="B1107" s="59">
        <f>SUM('Weekly Data'!D1104:D1107)/4</f>
        <v>0</v>
      </c>
      <c r="C1107" s="90">
        <f>SUM('Weekly Data'!E1104:E1107)/4</f>
        <v>0</v>
      </c>
      <c r="D1107" s="90" t="s">
        <v>34</v>
      </c>
      <c r="E1107" s="90">
        <f>SUM('Weekly Data'!G1104:G1107)/4</f>
        <v>0</v>
      </c>
      <c r="F1107" s="90">
        <f>SUM('Weekly Data'!H1104:H1107)/4</f>
        <v>0</v>
      </c>
      <c r="G1107" s="90">
        <f>SUM('Weekly Data'!I1104:I1107)/4</f>
        <v>0</v>
      </c>
      <c r="H1107" s="200">
        <f>SUM('Weekly Data'!J1104:J1107)/4</f>
        <v>0</v>
      </c>
      <c r="J1107" s="100">
        <f>AVERAGE('Weekly Data'!D1055,'Weekly Data'!D1003,'Weekly Data'!D951,'Weekly Data'!D899)</f>
        <v>670</v>
      </c>
      <c r="K1107" s="16">
        <f>AVERAGE('Weekly Data'!E1055,'Weekly Data'!E1003,'Weekly Data'!E951,'Weekly Data'!E899)</f>
        <v>1166.5</v>
      </c>
      <c r="L1107" s="16">
        <f>AVERAGE('Weekly Data'!F1055,'Weekly Data'!F1003,'Weekly Data'!F951,'Weekly Data'!F899)</f>
        <v>1103.5</v>
      </c>
      <c r="M1107" s="16">
        <f>AVERAGE('Weekly Data'!G1055,'Weekly Data'!G1003,'Weekly Data'!G951,'Weekly Data'!G899)</f>
        <v>4237</v>
      </c>
      <c r="N1107" s="16">
        <f>AVERAGE('Weekly Data'!H1055,'Weekly Data'!H1003,'Weekly Data'!H951,'Weekly Data'!H899)</f>
        <v>755.5</v>
      </c>
      <c r="O1107" s="100">
        <f>AVERAGE('Weekly Data'!I1055,'Weekly Data'!I1003,'Weekly Data'!I951,'Weekly Data'!I899)</f>
        <v>6829</v>
      </c>
      <c r="P1107" s="201">
        <f>AVERAGE('Weekly Data'!J1055,'Weekly Data'!J1003,'Weekly Data'!J951,'Weekly Data'!J899)</f>
        <v>1370.5291608913817</v>
      </c>
      <c r="R1107" s="13">
        <f t="shared" si="184"/>
        <v>42039</v>
      </c>
      <c r="S1107" s="105">
        <f t="shared" si="197"/>
        <v>863.5625</v>
      </c>
      <c r="T1107" s="105">
        <f t="shared" si="198"/>
        <v>1286.4375</v>
      </c>
      <c r="U1107" s="108">
        <f t="shared" si="199"/>
        <v>810.25</v>
      </c>
      <c r="V1107" s="108">
        <f t="shared" si="200"/>
        <v>4684.5</v>
      </c>
      <c r="W1107" s="109">
        <f t="shared" si="201"/>
        <v>707.4375</v>
      </c>
      <c r="X1107" s="105">
        <f t="shared" si="202"/>
        <v>7541.9375</v>
      </c>
      <c r="Y1107" s="202">
        <f t="shared" si="203"/>
        <v>1526.3693664109426</v>
      </c>
    </row>
    <row r="1108" spans="1:25" x14ac:dyDescent="0.25">
      <c r="A1108" s="104">
        <f t="shared" si="196"/>
        <v>42046</v>
      </c>
      <c r="B1108" s="59">
        <f>SUM('Weekly Data'!D1105:D1108)/4</f>
        <v>0</v>
      </c>
      <c r="C1108" s="90">
        <f>SUM('Weekly Data'!E1105:E1108)/4</f>
        <v>0</v>
      </c>
      <c r="D1108" s="90" t="s">
        <v>34</v>
      </c>
      <c r="E1108" s="90">
        <f>SUM('Weekly Data'!G1105:G1108)/4</f>
        <v>0</v>
      </c>
      <c r="F1108" s="90">
        <f>SUM('Weekly Data'!H1105:H1108)/4</f>
        <v>0</v>
      </c>
      <c r="G1108" s="90">
        <f>SUM('Weekly Data'!I1105:I1108)/4</f>
        <v>0</v>
      </c>
      <c r="H1108" s="200">
        <f>SUM('Weekly Data'!J1105:J1108)/4</f>
        <v>0</v>
      </c>
      <c r="J1108" s="100">
        <f>AVERAGE('Weekly Data'!D1056,'Weekly Data'!D1004,'Weekly Data'!D952,'Weekly Data'!D900)</f>
        <v>1118</v>
      </c>
      <c r="K1108" s="16">
        <f>AVERAGE('Weekly Data'!E1056,'Weekly Data'!E1004,'Weekly Data'!E952,'Weekly Data'!E900)</f>
        <v>1340.75</v>
      </c>
      <c r="L1108" s="16">
        <f>AVERAGE('Weekly Data'!F1056,'Weekly Data'!F1004,'Weekly Data'!F952,'Weekly Data'!F900)</f>
        <v>607.5</v>
      </c>
      <c r="M1108" s="16">
        <f>AVERAGE('Weekly Data'!G1056,'Weekly Data'!G1004,'Weekly Data'!G952,'Weekly Data'!G900)</f>
        <v>4428</v>
      </c>
      <c r="N1108" s="16">
        <f>AVERAGE('Weekly Data'!H1056,'Weekly Data'!H1004,'Weekly Data'!H952,'Weekly Data'!H900)</f>
        <v>858.75</v>
      </c>
      <c r="O1108" s="100">
        <f>AVERAGE('Weekly Data'!I1056,'Weekly Data'!I1004,'Weekly Data'!I952,'Weekly Data'!I900)</f>
        <v>7745.5</v>
      </c>
      <c r="P1108" s="201">
        <f>AVERAGE('Weekly Data'!J1056,'Weekly Data'!J1004,'Weekly Data'!J952,'Weekly Data'!J900)</f>
        <v>1611.5349904372024</v>
      </c>
      <c r="R1108" s="13">
        <f t="shared" si="184"/>
        <v>42046</v>
      </c>
      <c r="S1108" s="105">
        <f t="shared" si="197"/>
        <v>927.0625</v>
      </c>
      <c r="T1108" s="105">
        <f t="shared" si="198"/>
        <v>1281</v>
      </c>
      <c r="U1108" s="108">
        <f t="shared" si="199"/>
        <v>879.25</v>
      </c>
      <c r="V1108" s="108">
        <f t="shared" si="200"/>
        <v>4589.875</v>
      </c>
      <c r="W1108" s="109">
        <f t="shared" si="201"/>
        <v>804.0625</v>
      </c>
      <c r="X1108" s="105">
        <f t="shared" si="202"/>
        <v>7602</v>
      </c>
      <c r="Y1108" s="202">
        <f t="shared" si="203"/>
        <v>1543.779905466643</v>
      </c>
    </row>
    <row r="1109" spans="1:25" x14ac:dyDescent="0.25">
      <c r="A1109" s="104">
        <f t="shared" si="196"/>
        <v>42053</v>
      </c>
      <c r="B1109" s="59">
        <f>SUM('Weekly Data'!D1106:D1109)/4</f>
        <v>0</v>
      </c>
      <c r="C1109" s="90">
        <f>SUM('Weekly Data'!E1106:E1109)/4</f>
        <v>0</v>
      </c>
      <c r="D1109" s="90" t="s">
        <v>34</v>
      </c>
      <c r="E1109" s="90">
        <f>SUM('Weekly Data'!G1106:G1109)/4</f>
        <v>0</v>
      </c>
      <c r="F1109" s="90">
        <f>SUM('Weekly Data'!H1106:H1109)/4</f>
        <v>0</v>
      </c>
      <c r="G1109" s="90">
        <f>SUM('Weekly Data'!I1106:I1109)/4</f>
        <v>0</v>
      </c>
      <c r="H1109" s="200">
        <f>SUM('Weekly Data'!J1106:J1109)/4</f>
        <v>0</v>
      </c>
      <c r="J1109" s="100">
        <f>AVERAGE('Weekly Data'!D1057,'Weekly Data'!D1005,'Weekly Data'!D953,'Weekly Data'!D901)</f>
        <v>692.5</v>
      </c>
      <c r="K1109" s="16">
        <f>AVERAGE('Weekly Data'!E1057,'Weekly Data'!E1005,'Weekly Data'!E953,'Weekly Data'!E901)</f>
        <v>1322.75</v>
      </c>
      <c r="L1109" s="16">
        <f>AVERAGE('Weekly Data'!F1057,'Weekly Data'!F1005,'Weekly Data'!F953,'Weekly Data'!F901)</f>
        <v>1031</v>
      </c>
      <c r="M1109" s="16">
        <f>AVERAGE('Weekly Data'!G1057,'Weekly Data'!G1005,'Weekly Data'!G953,'Weekly Data'!G901)</f>
        <v>5048.5</v>
      </c>
      <c r="N1109" s="16">
        <f>AVERAGE('Weekly Data'!H1057,'Weekly Data'!H1005,'Weekly Data'!H953,'Weekly Data'!H901)</f>
        <v>734</v>
      </c>
      <c r="O1109" s="100">
        <f>AVERAGE('Weekly Data'!I1057,'Weekly Data'!I1005,'Weekly Data'!I953,'Weekly Data'!I901)</f>
        <v>7797.75</v>
      </c>
      <c r="P1109" s="201">
        <f>AVERAGE('Weekly Data'!J1057,'Weekly Data'!J1005,'Weekly Data'!J953,'Weekly Data'!J901)</f>
        <v>1490.3117768805939</v>
      </c>
      <c r="R1109" s="13">
        <f t="shared" si="184"/>
        <v>42053</v>
      </c>
      <c r="S1109" s="105">
        <f t="shared" si="197"/>
        <v>862.0625</v>
      </c>
      <c r="T1109" s="105">
        <f t="shared" si="198"/>
        <v>1280</v>
      </c>
      <c r="U1109" s="108">
        <f t="shared" si="199"/>
        <v>843</v>
      </c>
      <c r="V1109" s="108">
        <f t="shared" si="200"/>
        <v>4728.0625</v>
      </c>
      <c r="W1109" s="109">
        <f t="shared" si="201"/>
        <v>749.5625</v>
      </c>
      <c r="X1109" s="105">
        <f t="shared" si="202"/>
        <v>7619.6875</v>
      </c>
      <c r="Y1109" s="202">
        <f t="shared" si="203"/>
        <v>1509.0124734739816</v>
      </c>
    </row>
    <row r="1110" spans="1:25" x14ac:dyDescent="0.25">
      <c r="A1110" s="104">
        <f t="shared" si="196"/>
        <v>42060</v>
      </c>
      <c r="B1110" s="59">
        <f>SUM('Weekly Data'!D1107:D1110)/4</f>
        <v>0</v>
      </c>
      <c r="C1110" s="90">
        <f>SUM('Weekly Data'!E1107:E1110)/4</f>
        <v>0</v>
      </c>
      <c r="D1110" s="90" t="s">
        <v>34</v>
      </c>
      <c r="E1110" s="90">
        <f>SUM('Weekly Data'!G1107:G1110)/4</f>
        <v>0</v>
      </c>
      <c r="F1110" s="90">
        <f>SUM('Weekly Data'!H1107:H1110)/4</f>
        <v>0</v>
      </c>
      <c r="G1110" s="90">
        <f>SUM('Weekly Data'!I1107:I1110)/4</f>
        <v>0</v>
      </c>
      <c r="H1110" s="200">
        <f>SUM('Weekly Data'!J1107:J1110)/4</f>
        <v>0</v>
      </c>
      <c r="J1110" s="100">
        <f>AVERAGE('Weekly Data'!D1058,'Weekly Data'!D1006,'Weekly Data'!D954,'Weekly Data'!D902)</f>
        <v>712.5</v>
      </c>
      <c r="K1110" s="16">
        <f>AVERAGE('Weekly Data'!E1058,'Weekly Data'!E1006,'Weekly Data'!E954,'Weekly Data'!E902)</f>
        <v>1331.25</v>
      </c>
      <c r="L1110" s="16">
        <f>AVERAGE('Weekly Data'!F1058,'Weekly Data'!F1006,'Weekly Data'!F954,'Weekly Data'!F902)</f>
        <v>845.5</v>
      </c>
      <c r="M1110" s="16">
        <f>AVERAGE('Weekly Data'!G1058,'Weekly Data'!G1006,'Weekly Data'!G954,'Weekly Data'!G902)</f>
        <v>4238.5</v>
      </c>
      <c r="N1110" s="16">
        <f>AVERAGE('Weekly Data'!H1058,'Weekly Data'!H1006,'Weekly Data'!H954,'Weekly Data'!H902)</f>
        <v>782.25</v>
      </c>
      <c r="O1110" s="100">
        <f>AVERAGE('Weekly Data'!I1058,'Weekly Data'!I1006,'Weekly Data'!I954,'Weekly Data'!I902)</f>
        <v>7064.5</v>
      </c>
      <c r="P1110" s="201">
        <f>AVERAGE('Weekly Data'!J1058,'Weekly Data'!J1006,'Weekly Data'!J954,'Weekly Data'!J902)</f>
        <v>1477.9350367737916</v>
      </c>
      <c r="R1110" s="13">
        <f t="shared" si="184"/>
        <v>42060</v>
      </c>
      <c r="S1110" s="105">
        <f t="shared" si="197"/>
        <v>785.3125</v>
      </c>
      <c r="T1110" s="105">
        <f t="shared" si="198"/>
        <v>1303.875</v>
      </c>
      <c r="U1110" s="108">
        <f t="shared" si="199"/>
        <v>944.5</v>
      </c>
      <c r="V1110" s="108">
        <f t="shared" si="200"/>
        <v>4583.0625</v>
      </c>
      <c r="W1110" s="109">
        <f t="shared" si="201"/>
        <v>769.25</v>
      </c>
      <c r="X1110" s="105">
        <f t="shared" si="202"/>
        <v>7441.5</v>
      </c>
      <c r="Y1110" s="202">
        <f t="shared" si="203"/>
        <v>1496.0040469973892</v>
      </c>
    </row>
    <row r="1111" spans="1:25" x14ac:dyDescent="0.25">
      <c r="A1111" s="104">
        <f t="shared" si="196"/>
        <v>42067</v>
      </c>
      <c r="B1111" s="59">
        <f>SUM('Weekly Data'!D1108:D1111)/4</f>
        <v>0</v>
      </c>
      <c r="C1111" s="90">
        <f>SUM('Weekly Data'!E1108:E1111)/4</f>
        <v>0</v>
      </c>
      <c r="D1111" s="90" t="s">
        <v>34</v>
      </c>
      <c r="E1111" s="90">
        <f>SUM('Weekly Data'!G1108:G1111)/4</f>
        <v>0</v>
      </c>
      <c r="F1111" s="90">
        <f>SUM('Weekly Data'!H1108:H1111)/4</f>
        <v>0</v>
      </c>
      <c r="G1111" s="90">
        <f>SUM('Weekly Data'!I1108:I1111)/4</f>
        <v>0</v>
      </c>
      <c r="H1111" s="200">
        <f>SUM('Weekly Data'!J1108:J1111)/4</f>
        <v>0</v>
      </c>
      <c r="J1111" s="100">
        <f>AVERAGE('Weekly Data'!D1059,'Weekly Data'!D1007,'Weekly Data'!D955,'Weekly Data'!D903)</f>
        <v>715.25</v>
      </c>
      <c r="K1111" s="16">
        <f>AVERAGE('Weekly Data'!E1059,'Weekly Data'!E1007,'Weekly Data'!E955,'Weekly Data'!E903)</f>
        <v>1461</v>
      </c>
      <c r="L1111" s="16">
        <f>AVERAGE('Weekly Data'!F1059,'Weekly Data'!F1007,'Weekly Data'!F955,'Weekly Data'!F903)</f>
        <v>1066.5</v>
      </c>
      <c r="M1111" s="16">
        <f>AVERAGE('Weekly Data'!G1059,'Weekly Data'!G1007,'Weekly Data'!G955,'Weekly Data'!G903)</f>
        <v>4129.75</v>
      </c>
      <c r="N1111" s="16">
        <f>AVERAGE('Weekly Data'!H1059,'Weekly Data'!H1007,'Weekly Data'!H955,'Weekly Data'!H903)</f>
        <v>618.75</v>
      </c>
      <c r="O1111" s="100">
        <f>AVERAGE('Weekly Data'!I1059,'Weekly Data'!I1007,'Weekly Data'!I955,'Weekly Data'!I903)</f>
        <v>6924.75</v>
      </c>
      <c r="P1111" s="201">
        <f>AVERAGE('Weekly Data'!J1059,'Weekly Data'!J1007,'Weekly Data'!J955,'Weekly Data'!J903)</f>
        <v>1458.8350182391559</v>
      </c>
      <c r="R1111" s="13">
        <f t="shared" si="184"/>
        <v>42067</v>
      </c>
      <c r="S1111" s="105">
        <f t="shared" si="197"/>
        <v>785.5</v>
      </c>
      <c r="T1111" s="105">
        <f t="shared" si="198"/>
        <v>1308.9375</v>
      </c>
      <c r="U1111" s="108">
        <f t="shared" si="199"/>
        <v>894.375</v>
      </c>
      <c r="V1111" s="108">
        <f t="shared" si="200"/>
        <v>4462.0625</v>
      </c>
      <c r="W1111" s="109">
        <f t="shared" si="201"/>
        <v>751.375</v>
      </c>
      <c r="X1111" s="105">
        <f t="shared" si="202"/>
        <v>7307.875</v>
      </c>
      <c r="Y1111" s="202">
        <f t="shared" si="203"/>
        <v>1510.8183662457423</v>
      </c>
    </row>
    <row r="1112" spans="1:25" x14ac:dyDescent="0.25">
      <c r="A1112" s="104">
        <f t="shared" si="196"/>
        <v>42074</v>
      </c>
      <c r="B1112" s="59">
        <f>SUM('Weekly Data'!D1109:D1112)/4</f>
        <v>0</v>
      </c>
      <c r="C1112" s="90">
        <f>SUM('Weekly Data'!E1109:E1112)/4</f>
        <v>0</v>
      </c>
      <c r="D1112" s="90" t="s">
        <v>34</v>
      </c>
      <c r="E1112" s="90">
        <f>SUM('Weekly Data'!G1109:G1112)/4</f>
        <v>0</v>
      </c>
      <c r="F1112" s="90">
        <f>SUM('Weekly Data'!H1109:H1112)/4</f>
        <v>0</v>
      </c>
      <c r="G1112" s="90">
        <f>SUM('Weekly Data'!I1109:I1112)/4</f>
        <v>0</v>
      </c>
      <c r="H1112" s="200">
        <f>SUM('Weekly Data'!J1109:J1112)/4</f>
        <v>0</v>
      </c>
      <c r="J1112" s="100">
        <f>AVERAGE('Weekly Data'!D1060,'Weekly Data'!D1008,'Weekly Data'!D956,'Weekly Data'!D904)</f>
        <v>591.75</v>
      </c>
      <c r="K1112" s="16">
        <f>AVERAGE('Weekly Data'!E1060,'Weekly Data'!E1008,'Weekly Data'!E956,'Weekly Data'!E904)</f>
        <v>1428.75</v>
      </c>
      <c r="L1112" s="16">
        <f>AVERAGE('Weekly Data'!F1060,'Weekly Data'!F1008,'Weekly Data'!F956,'Weekly Data'!F904)</f>
        <v>1037</v>
      </c>
      <c r="M1112" s="16">
        <f>AVERAGE('Weekly Data'!G1060,'Weekly Data'!G1008,'Weekly Data'!G956,'Weekly Data'!G904)</f>
        <v>4425.75</v>
      </c>
      <c r="N1112" s="16">
        <f>AVERAGE('Weekly Data'!H1060,'Weekly Data'!H1008,'Weekly Data'!H956,'Weekly Data'!H904)</f>
        <v>526</v>
      </c>
      <c r="O1112" s="100">
        <f>AVERAGE('Weekly Data'!I1060,'Weekly Data'!I1008,'Weekly Data'!I956,'Weekly Data'!I904)</f>
        <v>6972.25</v>
      </c>
      <c r="P1112" s="201">
        <f>AVERAGE('Weekly Data'!J1060,'Weekly Data'!J1008,'Weekly Data'!J956,'Weekly Data'!J904)</f>
        <v>1991.5770671491046</v>
      </c>
      <c r="R1112" s="13">
        <f t="shared" si="184"/>
        <v>42074</v>
      </c>
      <c r="S1112" s="105">
        <f t="shared" si="197"/>
        <v>684.0625</v>
      </c>
      <c r="T1112" s="105">
        <f t="shared" si="198"/>
        <v>1398.9375</v>
      </c>
      <c r="U1112" s="108">
        <f t="shared" si="199"/>
        <v>946.75</v>
      </c>
      <c r="V1112" s="108">
        <f t="shared" si="200"/>
        <v>4477.5</v>
      </c>
      <c r="W1112" s="109">
        <f t="shared" si="201"/>
        <v>656.5625</v>
      </c>
      <c r="X1112" s="105">
        <f t="shared" si="202"/>
        <v>7217.0625</v>
      </c>
      <c r="Y1112" s="202">
        <f t="shared" si="203"/>
        <v>1518.7385805826862</v>
      </c>
    </row>
    <row r="1113" spans="1:25" x14ac:dyDescent="0.25">
      <c r="A1113" s="104">
        <f t="shared" si="196"/>
        <v>42081</v>
      </c>
      <c r="B1113" s="59">
        <f>SUM('Weekly Data'!D1110:D1113)/4</f>
        <v>0</v>
      </c>
      <c r="C1113" s="90">
        <f>SUM('Weekly Data'!E1110:E1113)/4</f>
        <v>0</v>
      </c>
      <c r="D1113" s="90" t="s">
        <v>34</v>
      </c>
      <c r="E1113" s="90">
        <f>SUM('Weekly Data'!G1110:G1113)/4</f>
        <v>0</v>
      </c>
      <c r="F1113" s="90">
        <f>SUM('Weekly Data'!H1110:H1113)/4</f>
        <v>0</v>
      </c>
      <c r="G1113" s="90">
        <f>SUM('Weekly Data'!I1110:I1113)/4</f>
        <v>0</v>
      </c>
      <c r="H1113" s="200">
        <f>SUM('Weekly Data'!J1110:J1113)/4</f>
        <v>0</v>
      </c>
      <c r="J1113" s="100">
        <f>AVERAGE('Weekly Data'!D1061,'Weekly Data'!D1009,'Weekly Data'!D957,'Weekly Data'!D905)</f>
        <v>670.5</v>
      </c>
      <c r="K1113" s="16">
        <f>AVERAGE('Weekly Data'!E1061,'Weekly Data'!E1009,'Weekly Data'!E957,'Weekly Data'!E905)</f>
        <v>1429.5</v>
      </c>
      <c r="L1113" s="16">
        <f>AVERAGE('Weekly Data'!F1061,'Weekly Data'!F1009,'Weekly Data'!F957,'Weekly Data'!F905)</f>
        <v>1039</v>
      </c>
      <c r="M1113" s="16">
        <f>AVERAGE('Weekly Data'!G1061,'Weekly Data'!G1009,'Weekly Data'!G957,'Weekly Data'!G905)</f>
        <v>4274.25</v>
      </c>
      <c r="N1113" s="16">
        <f>AVERAGE('Weekly Data'!H1061,'Weekly Data'!H1009,'Weekly Data'!H957,'Weekly Data'!H905)</f>
        <v>624.25</v>
      </c>
      <c r="O1113" s="100">
        <f>AVERAGE('Weekly Data'!I1061,'Weekly Data'!I1009,'Weekly Data'!I957,'Weekly Data'!I905)</f>
        <v>6998.5</v>
      </c>
      <c r="P1113" s="201">
        <f>AVERAGE('Weekly Data'!J1061,'Weekly Data'!J1009,'Weekly Data'!J957,'Weekly Data'!J905)</f>
        <v>1669.3664423707141</v>
      </c>
      <c r="R1113" s="13">
        <f t="shared" si="184"/>
        <v>42081</v>
      </c>
      <c r="S1113" s="105">
        <f t="shared" si="197"/>
        <v>630.625</v>
      </c>
      <c r="T1113" s="105">
        <f t="shared" si="198"/>
        <v>1393.0625</v>
      </c>
      <c r="U1113" s="108">
        <f t="shared" si="199"/>
        <v>956.625</v>
      </c>
      <c r="V1113" s="108">
        <f t="shared" si="200"/>
        <v>4232.375</v>
      </c>
      <c r="W1113" s="109">
        <f t="shared" si="201"/>
        <v>636.125</v>
      </c>
      <c r="X1113" s="105">
        <f t="shared" si="202"/>
        <v>6892.1875</v>
      </c>
      <c r="Y1113" s="202">
        <f t="shared" si="203"/>
        <v>1662.0678497606614</v>
      </c>
    </row>
    <row r="1114" spans="1:25" x14ac:dyDescent="0.25">
      <c r="A1114" s="104">
        <f t="shared" si="196"/>
        <v>42088</v>
      </c>
      <c r="B1114" s="59">
        <f>SUM('Weekly Data'!D1111:D1114)/4</f>
        <v>0</v>
      </c>
      <c r="C1114" s="90">
        <f>SUM('Weekly Data'!E1111:E1114)/4</f>
        <v>0</v>
      </c>
      <c r="D1114" s="90" t="s">
        <v>34</v>
      </c>
      <c r="E1114" s="90">
        <f>SUM('Weekly Data'!G1111:G1114)/4</f>
        <v>0</v>
      </c>
      <c r="F1114" s="90">
        <f>SUM('Weekly Data'!H1111:H1114)/4</f>
        <v>0</v>
      </c>
      <c r="G1114" s="90">
        <f>SUM('Weekly Data'!I1111:I1114)/4</f>
        <v>0</v>
      </c>
      <c r="H1114" s="200">
        <f>SUM('Weekly Data'!J1111:J1114)/4</f>
        <v>0</v>
      </c>
      <c r="J1114" s="100">
        <f>AVERAGE('Weekly Data'!D1062,'Weekly Data'!D1010,'Weekly Data'!D958,'Weekly Data'!D906)</f>
        <v>552.25</v>
      </c>
      <c r="K1114" s="16">
        <f>AVERAGE('Weekly Data'!E1062,'Weekly Data'!E1010,'Weekly Data'!E958,'Weekly Data'!E906)</f>
        <v>1542.5</v>
      </c>
      <c r="L1114" s="16">
        <f>AVERAGE('Weekly Data'!F1062,'Weekly Data'!F1010,'Weekly Data'!F958,'Weekly Data'!F906)</f>
        <v>1406</v>
      </c>
      <c r="M1114" s="16">
        <f>AVERAGE('Weekly Data'!G1062,'Weekly Data'!G1010,'Weekly Data'!G958,'Weekly Data'!G906)</f>
        <v>4758.75</v>
      </c>
      <c r="N1114" s="16">
        <f>AVERAGE('Weekly Data'!H1062,'Weekly Data'!H1010,'Weekly Data'!H958,'Weekly Data'!H906)</f>
        <v>598.5</v>
      </c>
      <c r="O1114" s="100">
        <f>AVERAGE('Weekly Data'!I1062,'Weekly Data'!I1010,'Weekly Data'!I958,'Weekly Data'!I906)</f>
        <v>7452</v>
      </c>
      <c r="P1114" s="201">
        <f>AVERAGE('Weekly Data'!J1062,'Weekly Data'!J1010,'Weekly Data'!J958,'Weekly Data'!J906)</f>
        <v>1960.1848831243487</v>
      </c>
      <c r="R1114" s="13">
        <f t="shared" si="184"/>
        <v>42088</v>
      </c>
      <c r="S1114" s="105">
        <f t="shared" si="197"/>
        <v>624</v>
      </c>
      <c r="T1114" s="105">
        <f t="shared" si="198"/>
        <v>1445.375</v>
      </c>
      <c r="U1114" s="108">
        <f t="shared" si="199"/>
        <v>1019.125</v>
      </c>
      <c r="V1114" s="108">
        <f t="shared" si="200"/>
        <v>4280.3125</v>
      </c>
      <c r="W1114" s="109">
        <f t="shared" si="201"/>
        <v>597.8125</v>
      </c>
      <c r="X1114" s="105">
        <f t="shared" si="202"/>
        <v>6947.5</v>
      </c>
      <c r="Y1114" s="202">
        <f t="shared" si="203"/>
        <v>1708.6783911331913</v>
      </c>
    </row>
    <row r="1115" spans="1:25" x14ac:dyDescent="0.25">
      <c r="A1115" s="104">
        <f t="shared" si="196"/>
        <v>42095</v>
      </c>
      <c r="B1115" s="59">
        <f>SUM('Weekly Data'!D1112:D1115)/4</f>
        <v>0</v>
      </c>
      <c r="C1115" s="90">
        <f>SUM('Weekly Data'!E1112:E1115)/4</f>
        <v>0</v>
      </c>
      <c r="D1115" s="90" t="s">
        <v>34</v>
      </c>
      <c r="E1115" s="90">
        <f>SUM('Weekly Data'!G1112:G1115)/4</f>
        <v>0</v>
      </c>
      <c r="F1115" s="90">
        <f>SUM('Weekly Data'!H1112:H1115)/4</f>
        <v>0</v>
      </c>
      <c r="G1115" s="90">
        <f>SUM('Weekly Data'!I1112:I1115)/4</f>
        <v>0</v>
      </c>
      <c r="H1115" s="200">
        <f>SUM('Weekly Data'!J1112:J1115)/4</f>
        <v>0</v>
      </c>
      <c r="J1115" s="100">
        <f>AVERAGE('Weekly Data'!D1063,'Weekly Data'!D1011,'Weekly Data'!D959,'Weekly Data'!D907)</f>
        <v>647.25</v>
      </c>
      <c r="K1115" s="16">
        <f>AVERAGE('Weekly Data'!E1063,'Weekly Data'!E1011,'Weekly Data'!E959,'Weekly Data'!E907)</f>
        <v>1757</v>
      </c>
      <c r="L1115" s="16">
        <f>AVERAGE('Weekly Data'!F1063,'Weekly Data'!F1011,'Weekly Data'!F959,'Weekly Data'!F907)</f>
        <v>1875.5</v>
      </c>
      <c r="M1115" s="16">
        <f>AVERAGE('Weekly Data'!G1063,'Weekly Data'!G1011,'Weekly Data'!G959,'Weekly Data'!G907)</f>
        <v>4010.75</v>
      </c>
      <c r="N1115" s="16">
        <f>AVERAGE('Weekly Data'!H1063,'Weekly Data'!H1011,'Weekly Data'!H959,'Weekly Data'!H907)</f>
        <v>432.75</v>
      </c>
      <c r="O1115" s="100">
        <f>AVERAGE('Weekly Data'!I1063,'Weekly Data'!I1011,'Weekly Data'!I959,'Weekly Data'!I907)</f>
        <v>6847.75</v>
      </c>
      <c r="P1115" s="201">
        <f>AVERAGE('Weekly Data'!J1063,'Weekly Data'!J1011,'Weekly Data'!J959,'Weekly Data'!J907)</f>
        <v>1925.2404292782774</v>
      </c>
      <c r="R1115" s="13">
        <f t="shared" si="184"/>
        <v>42095</v>
      </c>
      <c r="S1115" s="105">
        <f t="shared" si="197"/>
        <v>616</v>
      </c>
      <c r="T1115" s="105">
        <f t="shared" si="198"/>
        <v>1533.25</v>
      </c>
      <c r="U1115" s="108">
        <f t="shared" si="199"/>
        <v>1265.875</v>
      </c>
      <c r="V1115" s="108">
        <f t="shared" si="200"/>
        <v>4351.5</v>
      </c>
      <c r="W1115" s="109">
        <f t="shared" si="201"/>
        <v>554.625</v>
      </c>
      <c r="X1115" s="105">
        <f t="shared" si="202"/>
        <v>7055.375</v>
      </c>
      <c r="Y1115" s="202">
        <f t="shared" si="203"/>
        <v>1844.9596027208308</v>
      </c>
    </row>
    <row r="1116" spans="1:25" x14ac:dyDescent="0.25">
      <c r="A1116" s="104">
        <f t="shared" si="196"/>
        <v>42102</v>
      </c>
      <c r="B1116" s="59">
        <f>SUM('Weekly Data'!D1113:D1116)/4</f>
        <v>0</v>
      </c>
      <c r="C1116" s="90">
        <f>SUM('Weekly Data'!E1113:E1116)/4</f>
        <v>0</v>
      </c>
      <c r="D1116" s="90" t="s">
        <v>34</v>
      </c>
      <c r="E1116" s="90">
        <f>SUM('Weekly Data'!G1113:G1116)/4</f>
        <v>0</v>
      </c>
      <c r="F1116" s="90">
        <f>SUM('Weekly Data'!H1113:H1116)/4</f>
        <v>0</v>
      </c>
      <c r="G1116" s="90">
        <f>SUM('Weekly Data'!I1113:I1116)/4</f>
        <v>0</v>
      </c>
      <c r="H1116" s="200">
        <f>SUM('Weekly Data'!J1113:J1116)/4</f>
        <v>0</v>
      </c>
      <c r="J1116" s="100">
        <f>AVERAGE('Weekly Data'!D1064,'Weekly Data'!D1012,'Weekly Data'!D960,'Weekly Data'!D908)</f>
        <v>483.75</v>
      </c>
      <c r="K1116" s="16">
        <f>AVERAGE('Weekly Data'!E1064,'Weekly Data'!E1012,'Weekly Data'!E960,'Weekly Data'!E908)</f>
        <v>1661</v>
      </c>
      <c r="L1116" s="16">
        <f>AVERAGE('Weekly Data'!F1064,'Weekly Data'!F1012,'Weekly Data'!F960,'Weekly Data'!F908)</f>
        <v>1068.5</v>
      </c>
      <c r="M1116" s="16">
        <f>AVERAGE('Weekly Data'!G1064,'Weekly Data'!G1012,'Weekly Data'!G960,'Weekly Data'!G908)</f>
        <v>3750.5</v>
      </c>
      <c r="N1116" s="16">
        <f>AVERAGE('Weekly Data'!H1064,'Weekly Data'!H1012,'Weekly Data'!H960,'Weekly Data'!H908)</f>
        <v>394.25</v>
      </c>
      <c r="O1116" s="100">
        <f>AVERAGE('Weekly Data'!I1064,'Weekly Data'!I1012,'Weekly Data'!I960,'Weekly Data'!I908)</f>
        <v>6289.5</v>
      </c>
      <c r="P1116" s="201">
        <f>AVERAGE('Weekly Data'!J1064,'Weekly Data'!J1012,'Weekly Data'!J960,'Weekly Data'!J908)</f>
        <v>2473.9702218246675</v>
      </c>
      <c r="R1116" s="13">
        <f t="shared" si="184"/>
        <v>42102</v>
      </c>
      <c r="S1116" s="105">
        <f t="shared" si="197"/>
        <v>613.9375</v>
      </c>
      <c r="T1116" s="105">
        <f t="shared" si="198"/>
        <v>1573.875</v>
      </c>
      <c r="U1116" s="108">
        <f t="shared" si="199"/>
        <v>1291.625</v>
      </c>
      <c r="V1116" s="108">
        <f t="shared" si="200"/>
        <v>4189.1875</v>
      </c>
      <c r="W1116" s="109">
        <f t="shared" si="201"/>
        <v>518.4375</v>
      </c>
      <c r="X1116" s="105">
        <f t="shared" si="202"/>
        <v>6895.4375</v>
      </c>
      <c r="Y1116" s="202">
        <f t="shared" si="203"/>
        <v>1900.420330480611</v>
      </c>
    </row>
    <row r="1117" spans="1:25" x14ac:dyDescent="0.25">
      <c r="A1117" s="104">
        <f t="shared" si="196"/>
        <v>42109</v>
      </c>
      <c r="B1117" s="59">
        <f>SUM('Weekly Data'!D1114:D1117)/4</f>
        <v>0</v>
      </c>
      <c r="C1117" s="90">
        <f>SUM('Weekly Data'!E1114:E1117)/4</f>
        <v>0</v>
      </c>
      <c r="D1117" s="90" t="s">
        <v>34</v>
      </c>
      <c r="E1117" s="90">
        <f>SUM('Weekly Data'!G1114:G1117)/4</f>
        <v>0</v>
      </c>
      <c r="F1117" s="90">
        <f>SUM('Weekly Data'!H1114:H1117)/4</f>
        <v>0</v>
      </c>
      <c r="G1117" s="90">
        <f>SUM('Weekly Data'!I1114:I1117)/4</f>
        <v>0</v>
      </c>
      <c r="H1117" s="200">
        <f>SUM('Weekly Data'!J1114:J1117)/4</f>
        <v>0</v>
      </c>
      <c r="J1117" s="100">
        <f>AVERAGE('Weekly Data'!D1065,'Weekly Data'!D1013,'Weekly Data'!D961,'Weekly Data'!D909)</f>
        <v>248.75</v>
      </c>
      <c r="K1117" s="16">
        <f>AVERAGE('Weekly Data'!E1065,'Weekly Data'!E1013,'Weekly Data'!E961,'Weekly Data'!E909)</f>
        <v>1703.75</v>
      </c>
      <c r="L1117" s="16">
        <f>AVERAGE('Weekly Data'!F1065,'Weekly Data'!F1013,'Weekly Data'!F961,'Weekly Data'!F909)</f>
        <v>1483.5</v>
      </c>
      <c r="M1117" s="16">
        <f>AVERAGE('Weekly Data'!G1065,'Weekly Data'!G1013,'Weekly Data'!G961,'Weekly Data'!G909)</f>
        <v>3637.25</v>
      </c>
      <c r="N1117" s="16">
        <f>AVERAGE('Weekly Data'!H1065,'Weekly Data'!H1013,'Weekly Data'!H961,'Weekly Data'!H909)</f>
        <v>448.5</v>
      </c>
      <c r="O1117" s="100">
        <f>AVERAGE('Weekly Data'!I1065,'Weekly Data'!I1013,'Weekly Data'!I961,'Weekly Data'!I909)</f>
        <v>6038.25</v>
      </c>
      <c r="P1117" s="201">
        <f>AVERAGE('Weekly Data'!J1065,'Weekly Data'!J1013,'Weekly Data'!J961,'Weekly Data'!J909)</f>
        <v>2109.6320716350237</v>
      </c>
      <c r="R1117" s="13">
        <f t="shared" si="184"/>
        <v>42109</v>
      </c>
      <c r="S1117" s="105">
        <f t="shared" si="197"/>
        <v>575.375</v>
      </c>
      <c r="T1117" s="105">
        <f t="shared" si="198"/>
        <v>1675.6875</v>
      </c>
      <c r="U1117" s="108">
        <f t="shared" si="199"/>
        <v>1394.75</v>
      </c>
      <c r="V1117" s="108">
        <f t="shared" si="200"/>
        <v>4077.75</v>
      </c>
      <c r="W1117" s="109">
        <f t="shared" si="201"/>
        <v>485.5625</v>
      </c>
      <c r="X1117" s="105">
        <f t="shared" si="202"/>
        <v>6814.375</v>
      </c>
      <c r="Y1117" s="202">
        <f t="shared" si="203"/>
        <v>2040.034244149502</v>
      </c>
    </row>
    <row r="1118" spans="1:25" x14ac:dyDescent="0.25">
      <c r="A1118" s="104">
        <f t="shared" si="196"/>
        <v>42116</v>
      </c>
      <c r="B1118" s="59">
        <f>SUM('Weekly Data'!D1115:D1118)/4</f>
        <v>0</v>
      </c>
      <c r="C1118" s="90">
        <f>SUM('Weekly Data'!E1115:E1118)/4</f>
        <v>0</v>
      </c>
      <c r="D1118" s="90" t="s">
        <v>34</v>
      </c>
      <c r="E1118" s="90">
        <f>SUM('Weekly Data'!G1115:G1118)/4</f>
        <v>0</v>
      </c>
      <c r="F1118" s="90">
        <f>SUM('Weekly Data'!H1115:H1118)/4</f>
        <v>0</v>
      </c>
      <c r="G1118" s="90">
        <f>SUM('Weekly Data'!I1115:I1118)/4</f>
        <v>0</v>
      </c>
      <c r="H1118" s="200">
        <f>SUM('Weekly Data'!J1115:J1118)/4</f>
        <v>0</v>
      </c>
      <c r="J1118" s="100">
        <f>AVERAGE('Weekly Data'!D1066,'Weekly Data'!D1014,'Weekly Data'!D962,'Weekly Data'!D910)</f>
        <v>265.5</v>
      </c>
      <c r="K1118" s="16">
        <f>AVERAGE('Weekly Data'!E1066,'Weekly Data'!E1014,'Weekly Data'!E962,'Weekly Data'!E910)</f>
        <v>1653.75</v>
      </c>
      <c r="L1118" s="16">
        <f>AVERAGE('Weekly Data'!F1066,'Weekly Data'!F1014,'Weekly Data'!F962,'Weekly Data'!F910)</f>
        <v>1113.5</v>
      </c>
      <c r="M1118" s="16">
        <f>AVERAGE('Weekly Data'!G1066,'Weekly Data'!G1014,'Weekly Data'!G962,'Weekly Data'!G910)</f>
        <v>3471.5</v>
      </c>
      <c r="N1118" s="16">
        <f>AVERAGE('Weekly Data'!H1066,'Weekly Data'!H1014,'Weekly Data'!H962,'Weekly Data'!H910)</f>
        <v>457.25</v>
      </c>
      <c r="O1118" s="100">
        <f>AVERAGE('Weekly Data'!I1066,'Weekly Data'!I1014,'Weekly Data'!I962,'Weekly Data'!I910)</f>
        <v>5848</v>
      </c>
      <c r="P1118" s="201">
        <f>AVERAGE('Weekly Data'!J1066,'Weekly Data'!J1014,'Weekly Data'!J962,'Weekly Data'!J910)</f>
        <v>2034.4083588520343</v>
      </c>
      <c r="R1118" s="13">
        <f t="shared" si="184"/>
        <v>42116</v>
      </c>
      <c r="S1118" s="105">
        <f t="shared" si="197"/>
        <v>461.3125</v>
      </c>
      <c r="T1118" s="105">
        <f t="shared" si="198"/>
        <v>1688.5625</v>
      </c>
      <c r="U1118" s="108">
        <f t="shared" si="199"/>
        <v>1401.5</v>
      </c>
      <c r="V1118" s="108">
        <f t="shared" si="200"/>
        <v>3779.1875</v>
      </c>
      <c r="W1118" s="109">
        <f t="shared" si="201"/>
        <v>439.5</v>
      </c>
      <c r="X1118" s="105">
        <f t="shared" si="202"/>
        <v>6368.5625</v>
      </c>
      <c r="Y1118" s="202">
        <f t="shared" si="203"/>
        <v>2113.8600264655793</v>
      </c>
    </row>
    <row r="1119" spans="1:25" x14ac:dyDescent="0.25">
      <c r="A1119" s="104">
        <f t="shared" si="196"/>
        <v>42123</v>
      </c>
      <c r="B1119" s="59">
        <f>SUM('Weekly Data'!D1116:D1119)/4</f>
        <v>0</v>
      </c>
      <c r="C1119" s="90">
        <f>SUM('Weekly Data'!E1116:E1119)/4</f>
        <v>0</v>
      </c>
      <c r="D1119" s="90" t="s">
        <v>34</v>
      </c>
      <c r="E1119" s="90">
        <f>SUM('Weekly Data'!G1116:G1119)/4</f>
        <v>0</v>
      </c>
      <c r="F1119" s="90">
        <f>SUM('Weekly Data'!H1116:H1119)/4</f>
        <v>0</v>
      </c>
      <c r="G1119" s="90">
        <f>SUM('Weekly Data'!I1116:I1119)/4</f>
        <v>0</v>
      </c>
      <c r="H1119" s="200">
        <f>SUM('Weekly Data'!J1116:J1119)/4</f>
        <v>0</v>
      </c>
      <c r="J1119" s="100">
        <f>AVERAGE('Weekly Data'!D1067,'Weekly Data'!D1015,'Weekly Data'!D963,'Weekly Data'!D911)</f>
        <v>286.75</v>
      </c>
      <c r="K1119" s="16">
        <f>AVERAGE('Weekly Data'!E1067,'Weekly Data'!E1015,'Weekly Data'!E963,'Weekly Data'!E911)</f>
        <v>1657.5</v>
      </c>
      <c r="L1119" s="16">
        <f>AVERAGE('Weekly Data'!F1067,'Weekly Data'!F1015,'Weekly Data'!F963,'Weekly Data'!F911)</f>
        <v>1425.5</v>
      </c>
      <c r="M1119" s="16">
        <f>AVERAGE('Weekly Data'!G1067,'Weekly Data'!G1015,'Weekly Data'!G963,'Weekly Data'!G911)</f>
        <v>3310</v>
      </c>
      <c r="N1119" s="16">
        <f>AVERAGE('Weekly Data'!H1067,'Weekly Data'!H1015,'Weekly Data'!H963,'Weekly Data'!H911)</f>
        <v>343</v>
      </c>
      <c r="O1119" s="100">
        <f>AVERAGE('Weekly Data'!I1067,'Weekly Data'!I1015,'Weekly Data'!I963,'Weekly Data'!I911)</f>
        <v>5597.25</v>
      </c>
      <c r="P1119" s="201">
        <f>AVERAGE('Weekly Data'!J1067,'Weekly Data'!J1015,'Weekly Data'!J963,'Weekly Data'!J911)</f>
        <v>2085.2541674725207</v>
      </c>
      <c r="R1119" s="13">
        <f t="shared" si="184"/>
        <v>42123</v>
      </c>
      <c r="S1119" s="105">
        <f t="shared" si="197"/>
        <v>364.9375</v>
      </c>
      <c r="T1119" s="105">
        <f t="shared" si="198"/>
        <v>1697.5625</v>
      </c>
      <c r="U1119" s="108">
        <f t="shared" si="199"/>
        <v>1331.125</v>
      </c>
      <c r="V1119" s="108">
        <f t="shared" si="200"/>
        <v>3582.875</v>
      </c>
      <c r="W1119" s="109">
        <f t="shared" si="201"/>
        <v>423.8125</v>
      </c>
      <c r="X1119" s="105">
        <f t="shared" si="202"/>
        <v>6069.1875</v>
      </c>
      <c r="Y1119" s="202">
        <f t="shared" si="203"/>
        <v>2137.7315203975008</v>
      </c>
    </row>
    <row r="1120" spans="1:25" x14ac:dyDescent="0.25">
      <c r="A1120" s="104">
        <f t="shared" si="196"/>
        <v>42130</v>
      </c>
      <c r="B1120" s="59">
        <f>SUM('Weekly Data'!D1117:D1120)/4</f>
        <v>0</v>
      </c>
      <c r="C1120" s="90">
        <f>SUM('Weekly Data'!E1117:E1120)/4</f>
        <v>0</v>
      </c>
      <c r="D1120" s="90" t="s">
        <v>34</v>
      </c>
      <c r="E1120" s="90">
        <f>SUM('Weekly Data'!G1117:G1120)/4</f>
        <v>0</v>
      </c>
      <c r="F1120" s="90">
        <f>SUM('Weekly Data'!H1117:H1120)/4</f>
        <v>0</v>
      </c>
      <c r="G1120" s="90">
        <f>SUM('Weekly Data'!I1117:I1120)/4</f>
        <v>0</v>
      </c>
      <c r="H1120" s="200">
        <f>SUM('Weekly Data'!J1117:J1120)/4</f>
        <v>0</v>
      </c>
      <c r="J1120" s="100">
        <f>AVERAGE('Weekly Data'!D1068,'Weekly Data'!D1016,'Weekly Data'!D964,'Weekly Data'!D912)</f>
        <v>307.75</v>
      </c>
      <c r="K1120" s="16">
        <f>AVERAGE('Weekly Data'!E1068,'Weekly Data'!E1016,'Weekly Data'!E964,'Weekly Data'!E912)</f>
        <v>1709.75</v>
      </c>
      <c r="L1120" s="16">
        <f>AVERAGE('Weekly Data'!F1068,'Weekly Data'!F1016,'Weekly Data'!F964,'Weekly Data'!F912)</f>
        <v>1235.5</v>
      </c>
      <c r="M1120" s="16">
        <f>AVERAGE('Weekly Data'!G1068,'Weekly Data'!G1016,'Weekly Data'!G964,'Weekly Data'!G912)</f>
        <v>3312.5</v>
      </c>
      <c r="N1120" s="16">
        <f>AVERAGE('Weekly Data'!H1068,'Weekly Data'!H1016,'Weekly Data'!H964,'Weekly Data'!H912)</f>
        <v>306</v>
      </c>
      <c r="O1120" s="100">
        <f>AVERAGE('Weekly Data'!I1068,'Weekly Data'!I1016,'Weekly Data'!I964,'Weekly Data'!I912)</f>
        <v>5636</v>
      </c>
      <c r="P1120" s="201">
        <f>AVERAGE('Weekly Data'!J1068,'Weekly Data'!J1016,'Weekly Data'!J964,'Weekly Data'!J912)</f>
        <v>2089.6843997464248</v>
      </c>
      <c r="R1120" s="13">
        <f t="shared" si="184"/>
        <v>42130</v>
      </c>
      <c r="S1120" s="105">
        <f t="shared" si="197"/>
        <v>272.5</v>
      </c>
      <c r="T1120" s="105">
        <f t="shared" si="198"/>
        <v>1715.875</v>
      </c>
      <c r="U1120" s="108">
        <f t="shared" si="199"/>
        <v>1317.125</v>
      </c>
      <c r="V1120" s="108">
        <f t="shared" si="200"/>
        <v>3433.5</v>
      </c>
      <c r="W1120" s="109">
        <f t="shared" si="201"/>
        <v>383.0625</v>
      </c>
      <c r="X1120" s="105">
        <f t="shared" si="202"/>
        <v>5804.9375</v>
      </c>
      <c r="Y1120" s="202">
        <f t="shared" si="203"/>
        <v>2163.009954946062</v>
      </c>
    </row>
    <row r="1121" spans="1:25" x14ac:dyDescent="0.25">
      <c r="A1121" s="104">
        <f t="shared" si="196"/>
        <v>42137</v>
      </c>
      <c r="B1121" s="59">
        <f>SUM('Weekly Data'!D1118:D1121)/4</f>
        <v>0</v>
      </c>
      <c r="C1121" s="90">
        <f>SUM('Weekly Data'!E1118:E1121)/4</f>
        <v>0</v>
      </c>
      <c r="D1121" s="90" t="s">
        <v>34</v>
      </c>
      <c r="E1121" s="90">
        <f>SUM('Weekly Data'!G1118:G1121)/4</f>
        <v>0</v>
      </c>
      <c r="F1121" s="90">
        <f>SUM('Weekly Data'!H1118:H1121)/4</f>
        <v>0</v>
      </c>
      <c r="G1121" s="90">
        <f>SUM('Weekly Data'!I1118:I1121)/4</f>
        <v>0</v>
      </c>
      <c r="H1121" s="200">
        <f>SUM('Weekly Data'!J1118:J1121)/4</f>
        <v>0</v>
      </c>
      <c r="J1121" s="100">
        <f>AVERAGE('Weekly Data'!D1069,'Weekly Data'!D1017,'Weekly Data'!D965,'Weekly Data'!D913)</f>
        <v>266.75</v>
      </c>
      <c r="K1121" s="16">
        <f>AVERAGE('Weekly Data'!E1069,'Weekly Data'!E1017,'Weekly Data'!E965,'Weekly Data'!E913)</f>
        <v>1084.25</v>
      </c>
      <c r="L1121" s="16">
        <f>AVERAGE('Weekly Data'!F1069,'Weekly Data'!F1017,'Weekly Data'!F965,'Weekly Data'!F913)</f>
        <v>1156</v>
      </c>
      <c r="M1121" s="16">
        <f>AVERAGE('Weekly Data'!G1069,'Weekly Data'!G1017,'Weekly Data'!G965,'Weekly Data'!G913)</f>
        <v>2974.25</v>
      </c>
      <c r="N1121" s="16">
        <f>AVERAGE('Weekly Data'!H1069,'Weekly Data'!H1017,'Weekly Data'!H965,'Weekly Data'!H913)</f>
        <v>302.75</v>
      </c>
      <c r="O1121" s="100">
        <f>AVERAGE('Weekly Data'!I1069,'Weekly Data'!I1017,'Weekly Data'!I965,'Weekly Data'!I913)</f>
        <v>4628</v>
      </c>
      <c r="P1121" s="201">
        <f>AVERAGE('Weekly Data'!J1069,'Weekly Data'!J1017,'Weekly Data'!J965,'Weekly Data'!J913)</f>
        <v>2014.3345163265963</v>
      </c>
      <c r="R1121" s="13">
        <f t="shared" si="184"/>
        <v>42137</v>
      </c>
      <c r="S1121" s="105">
        <f t="shared" si="197"/>
        <v>262.375</v>
      </c>
      <c r="T1121" s="105">
        <f t="shared" si="198"/>
        <v>1564.875</v>
      </c>
      <c r="U1121" s="108">
        <f t="shared" si="199"/>
        <v>1262.375</v>
      </c>
      <c r="V1121" s="108">
        <f t="shared" si="200"/>
        <v>3287</v>
      </c>
      <c r="W1121" s="109">
        <f t="shared" si="201"/>
        <v>361.875</v>
      </c>
      <c r="X1121" s="105">
        <f t="shared" si="202"/>
        <v>5476.125</v>
      </c>
      <c r="Y1121" s="202">
        <f t="shared" si="203"/>
        <v>2147.500999426501</v>
      </c>
    </row>
    <row r="1122" spans="1:25" x14ac:dyDescent="0.25">
      <c r="A1122" s="104">
        <f t="shared" si="196"/>
        <v>42144</v>
      </c>
      <c r="B1122" s="59">
        <f>SUM('Weekly Data'!D1119:D1122)/4</f>
        <v>0</v>
      </c>
      <c r="C1122" s="90">
        <f>SUM('Weekly Data'!E1119:E1122)/4</f>
        <v>0</v>
      </c>
      <c r="D1122" s="90" t="s">
        <v>34</v>
      </c>
      <c r="E1122" s="90">
        <f>SUM('Weekly Data'!G1119:G1122)/4</f>
        <v>0</v>
      </c>
      <c r="F1122" s="90">
        <f>SUM('Weekly Data'!H1119:H1122)/4</f>
        <v>0</v>
      </c>
      <c r="G1122" s="90">
        <f>SUM('Weekly Data'!I1119:I1122)/4</f>
        <v>0</v>
      </c>
      <c r="H1122" s="200">
        <f>SUM('Weekly Data'!J1119:J1122)/4</f>
        <v>0</v>
      </c>
      <c r="J1122" s="100">
        <f>AVERAGE('Weekly Data'!D1070,'Weekly Data'!D1018,'Weekly Data'!D966,'Weekly Data'!D914)</f>
        <v>219</v>
      </c>
      <c r="K1122" s="16">
        <f>AVERAGE('Weekly Data'!E1070,'Weekly Data'!E1018,'Weekly Data'!E966,'Weekly Data'!E914)</f>
        <v>1846.25</v>
      </c>
      <c r="L1122" s="16">
        <f>AVERAGE('Weekly Data'!F1070,'Weekly Data'!F1018,'Weekly Data'!F966,'Weekly Data'!F914)</f>
        <v>1204</v>
      </c>
      <c r="M1122" s="16">
        <f>AVERAGE('Weekly Data'!G1070,'Weekly Data'!G1018,'Weekly Data'!G966,'Weekly Data'!G914)</f>
        <v>3083.25</v>
      </c>
      <c r="N1122" s="16">
        <f>AVERAGE('Weekly Data'!H1070,'Weekly Data'!H1018,'Weekly Data'!H966,'Weekly Data'!H914)</f>
        <v>286.5</v>
      </c>
      <c r="O1122" s="100">
        <f>AVERAGE('Weekly Data'!I1070,'Weekly Data'!I1018,'Weekly Data'!I966,'Weekly Data'!I914)</f>
        <v>5435</v>
      </c>
      <c r="P1122" s="201">
        <f>AVERAGE('Weekly Data'!J1070,'Weekly Data'!J1018,'Weekly Data'!J966,'Weekly Data'!J914)</f>
        <v>1881.3507799320935</v>
      </c>
      <c r="R1122" s="13">
        <f t="shared" si="184"/>
        <v>42144</v>
      </c>
      <c r="S1122" s="105">
        <f t="shared" si="197"/>
        <v>265.5625</v>
      </c>
      <c r="T1122" s="105">
        <f t="shared" si="198"/>
        <v>1614.3125</v>
      </c>
      <c r="U1122" s="108">
        <f t="shared" si="199"/>
        <v>1236.5</v>
      </c>
      <c r="V1122" s="108">
        <f t="shared" si="200"/>
        <v>3144.6875</v>
      </c>
      <c r="W1122" s="109">
        <f t="shared" si="201"/>
        <v>321.625</v>
      </c>
      <c r="X1122" s="105">
        <f t="shared" si="202"/>
        <v>5346.1875</v>
      </c>
      <c r="Y1122" s="202">
        <f t="shared" si="203"/>
        <v>2033.0672355993941</v>
      </c>
    </row>
    <row r="1123" spans="1:25" x14ac:dyDescent="0.25">
      <c r="A1123" s="104">
        <f t="shared" si="196"/>
        <v>42151</v>
      </c>
    </row>
    <row r="1124" spans="1:25" x14ac:dyDescent="0.25">
      <c r="A1124" s="104">
        <f t="shared" si="196"/>
        <v>42158</v>
      </c>
    </row>
    <row r="1125" spans="1:25" x14ac:dyDescent="0.25">
      <c r="A1125" s="104">
        <f t="shared" si="196"/>
        <v>42165</v>
      </c>
    </row>
    <row r="1126" spans="1:25" x14ac:dyDescent="0.25">
      <c r="A1126" s="104">
        <f t="shared" si="196"/>
        <v>42172</v>
      </c>
    </row>
    <row r="1127" spans="1:25" x14ac:dyDescent="0.25">
      <c r="A1127" s="104">
        <f t="shared" si="196"/>
        <v>42179</v>
      </c>
    </row>
    <row r="1128" spans="1:25" x14ac:dyDescent="0.25">
      <c r="A1128" s="104">
        <f t="shared" si="196"/>
        <v>42186</v>
      </c>
    </row>
    <row r="1129" spans="1:25" x14ac:dyDescent="0.25">
      <c r="A1129" s="104">
        <f t="shared" si="196"/>
        <v>42193</v>
      </c>
    </row>
    <row r="1130" spans="1:25" x14ac:dyDescent="0.25">
      <c r="A1130" s="104">
        <f t="shared" si="196"/>
        <v>42200</v>
      </c>
    </row>
    <row r="1131" spans="1:25" x14ac:dyDescent="0.25">
      <c r="A1131" s="104">
        <f t="shared" si="196"/>
        <v>42207</v>
      </c>
    </row>
    <row r="1132" spans="1:25" x14ac:dyDescent="0.25">
      <c r="A1132" s="104">
        <f t="shared" si="196"/>
        <v>42214</v>
      </c>
    </row>
    <row r="1133" spans="1:25" x14ac:dyDescent="0.25">
      <c r="A1133" s="104">
        <f t="shared" si="196"/>
        <v>42221</v>
      </c>
    </row>
    <row r="1134" spans="1:25" x14ac:dyDescent="0.25">
      <c r="A1134" s="104">
        <f t="shared" si="196"/>
        <v>42228</v>
      </c>
    </row>
    <row r="1135" spans="1:25" x14ac:dyDescent="0.25">
      <c r="A1135" s="104">
        <f t="shared" si="196"/>
        <v>42235</v>
      </c>
    </row>
    <row r="1136" spans="1:25" x14ac:dyDescent="0.25">
      <c r="A1136" s="104">
        <f t="shared" si="196"/>
        <v>42242</v>
      </c>
    </row>
    <row r="1137" spans="1:1" x14ac:dyDescent="0.25">
      <c r="A1137" s="104">
        <f t="shared" si="196"/>
        <v>42249</v>
      </c>
    </row>
    <row r="1138" spans="1:1" x14ac:dyDescent="0.25">
      <c r="A1138" s="104">
        <f t="shared" si="196"/>
        <v>42256</v>
      </c>
    </row>
    <row r="1139" spans="1:1" x14ac:dyDescent="0.25">
      <c r="A1139" s="104">
        <f t="shared" si="196"/>
        <v>42263</v>
      </c>
    </row>
    <row r="1140" spans="1:1" x14ac:dyDescent="0.25">
      <c r="A1140" s="104">
        <f t="shared" si="196"/>
        <v>42270</v>
      </c>
    </row>
    <row r="1141" spans="1:1" x14ac:dyDescent="0.25">
      <c r="A1141" s="104">
        <f t="shared" si="196"/>
        <v>42277</v>
      </c>
    </row>
    <row r="1142" spans="1:1" x14ac:dyDescent="0.25">
      <c r="A1142" s="104">
        <f t="shared" si="196"/>
        <v>42284</v>
      </c>
    </row>
    <row r="1143" spans="1:1" x14ac:dyDescent="0.25">
      <c r="A1143" s="104">
        <f t="shared" si="196"/>
        <v>42291</v>
      </c>
    </row>
    <row r="1144" spans="1:1" x14ac:dyDescent="0.25">
      <c r="A1144" s="104">
        <f t="shared" si="196"/>
        <v>42298</v>
      </c>
    </row>
    <row r="1145" spans="1:1" x14ac:dyDescent="0.25">
      <c r="A1145" s="104">
        <f t="shared" si="196"/>
        <v>42305</v>
      </c>
    </row>
    <row r="1146" spans="1:1" x14ac:dyDescent="0.25">
      <c r="A1146" s="104">
        <f t="shared" si="196"/>
        <v>42312</v>
      </c>
    </row>
    <row r="1147" spans="1:1" x14ac:dyDescent="0.25">
      <c r="A1147" s="104">
        <f t="shared" si="196"/>
        <v>42319</v>
      </c>
    </row>
    <row r="1148" spans="1:1" x14ac:dyDescent="0.25">
      <c r="A1148" s="104">
        <f t="shared" si="196"/>
        <v>42326</v>
      </c>
    </row>
    <row r="1149" spans="1:1" x14ac:dyDescent="0.25">
      <c r="A1149" s="104">
        <f t="shared" si="196"/>
        <v>42333</v>
      </c>
    </row>
    <row r="1150" spans="1:1" x14ac:dyDescent="0.25">
      <c r="A1150" s="104">
        <f t="shared" si="196"/>
        <v>42340</v>
      </c>
    </row>
    <row r="1151" spans="1:1" x14ac:dyDescent="0.25">
      <c r="A1151" s="104">
        <f t="shared" si="196"/>
        <v>42347</v>
      </c>
    </row>
    <row r="1152" spans="1:1" x14ac:dyDescent="0.25">
      <c r="A1152" s="104">
        <f t="shared" si="196"/>
        <v>42354</v>
      </c>
    </row>
    <row r="1153" spans="1:1" x14ac:dyDescent="0.25">
      <c r="A1153" s="104">
        <f t="shared" si="196"/>
        <v>42361</v>
      </c>
    </row>
    <row r="1154" spans="1:1" x14ac:dyDescent="0.25">
      <c r="A1154" s="104">
        <f t="shared" si="196"/>
        <v>42368</v>
      </c>
    </row>
    <row r="1155" spans="1:1" x14ac:dyDescent="0.25">
      <c r="A1155" s="104">
        <f t="shared" si="196"/>
        <v>42375</v>
      </c>
    </row>
    <row r="1156" spans="1:1" x14ac:dyDescent="0.25">
      <c r="A1156" s="104">
        <f t="shared" si="196"/>
        <v>42382</v>
      </c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7:H1039 B1040:H1044 B1045:H1045 B1046:J1046 B1047:I1047 B1048:H1048 B1049:J1050 B1051:H1051 B1052:H1052 B1053:I1053 B1054:J1054 B1055:H1056 B1057:H1057 B1058:H1058 B1059:H1059 B1060:H1061 B1062:J1062 B1063:H1063 B1064:H1064 B1065:H1065 B1066:I1066 B1067:J1067 B1068:H1068 B1069:H1070 B1071:I1071 B1072:I1072 B1073:H1073 B1074:H1074 B1075:H1075 B1076:H1076 B1077:H1077 B1078:H1078 B1079:H1079 B1080:H1080 B1081:H1081 B1082:H1082 B1083:H1087 B1036:G1036 B1088:H1088 B1089:H1089 B1090:I1090 B1091:H1092 B1093:H1093 B1094:G1094 B1095:G109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topLeftCell="H1" workbookViewId="0">
      <selection activeCell="L15" sqref="L15"/>
    </sheetView>
  </sheetViews>
  <sheetFormatPr defaultRowHeight="15" x14ac:dyDescent="0.25"/>
  <cols>
    <col min="1" max="1" width="15.1796875" customWidth="1"/>
    <col min="2" max="2" width="10.54296875" customWidth="1"/>
    <col min="3" max="3" width="9.7265625" customWidth="1"/>
    <col min="6" max="6" width="10.81640625" customWidth="1"/>
    <col min="7" max="7" width="9.453125" customWidth="1"/>
    <col min="12" max="12" width="15.90625" customWidth="1"/>
    <col min="13" max="13" width="7.36328125" customWidth="1"/>
    <col min="14" max="14" width="7.453125" customWidth="1"/>
    <col min="15" max="15" width="10.90625" customWidth="1"/>
    <col min="16" max="16" width="7.08984375" customWidth="1"/>
    <col min="17" max="17" width="6.90625" customWidth="1"/>
    <col min="18" max="18" width="7.453125" customWidth="1"/>
    <col min="19" max="19" width="7.36328125" customWidth="1"/>
  </cols>
  <sheetData>
    <row r="2" spans="1:20" ht="15.6" thickBot="1" x14ac:dyDescent="0.3">
      <c r="A2" s="13"/>
      <c r="B2" s="39"/>
      <c r="C2" s="39"/>
      <c r="D2" s="263" t="s">
        <v>39</v>
      </c>
      <c r="E2" s="263"/>
      <c r="F2" s="263"/>
      <c r="G2" s="263"/>
      <c r="H2" s="263"/>
      <c r="I2" s="263"/>
      <c r="J2" s="263"/>
      <c r="L2" s="86"/>
      <c r="M2" s="263" t="s">
        <v>38</v>
      </c>
      <c r="N2" s="263"/>
      <c r="O2" s="263"/>
      <c r="P2" s="263"/>
      <c r="Q2" s="263"/>
      <c r="R2" s="263"/>
      <c r="S2" s="263"/>
      <c r="T2" s="199"/>
    </row>
    <row r="3" spans="1:20" x14ac:dyDescent="0.25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x14ac:dyDescent="0.25">
      <c r="A4" s="99" t="s">
        <v>28</v>
      </c>
      <c r="B4" s="99"/>
      <c r="C4" s="39"/>
      <c r="D4" s="85">
        <f>('Weekly Data'!D1091/'Weekly Data'!D1090)*100</f>
        <v>137.13235294117646</v>
      </c>
      <c r="E4" s="85">
        <f>('Weekly Data'!E1091/'Weekly Data'!E1090)*100</f>
        <v>89.864382583868661</v>
      </c>
      <c r="F4" s="85">
        <f>('Weekly Data'!J1091/'Weekly Data'!J1090)*100</f>
        <v>87.314126394052053</v>
      </c>
      <c r="G4" s="186" t="s">
        <v>34</v>
      </c>
      <c r="H4" s="85">
        <f>('Weekly Data'!G1091/'Weekly Data'!G1090)*100</f>
        <v>149.48364888123925</v>
      </c>
      <c r="I4" s="85">
        <f>('Weekly Data'!H1091/'Weekly Data'!H1090)*100</f>
        <v>265.93137254901961</v>
      </c>
      <c r="J4" s="85">
        <f>('Weekly Data'!I1091/'Weekly Data'!I1090)*100</f>
        <v>142.7273890239222</v>
      </c>
      <c r="L4" s="39" t="s">
        <v>28</v>
      </c>
      <c r="M4" s="85">
        <f>('Weekly Averages'!B1091/'Weekly Averages'!B1090)*100</f>
        <v>172.8305315765561</v>
      </c>
      <c r="N4" s="85">
        <f>('Weekly Averages'!C1091/'Weekly Averages'!C1090)*100</f>
        <v>99.064171122994651</v>
      </c>
      <c r="O4" s="85">
        <f>('Weekly Averages'!H1091/'Weekly Averages'!H1090)*100</f>
        <v>95.306202054349242</v>
      </c>
      <c r="P4" s="186" t="s">
        <v>34</v>
      </c>
      <c r="Q4" s="85">
        <f>('Weekly Averages'!E1091/'Weekly Averages'!E1090)*100</f>
        <v>124.44220526846121</v>
      </c>
      <c r="R4" s="85">
        <f>('Weekly Averages'!F1091/'Weekly Averages'!F1090)*100</f>
        <v>195.71106094808127</v>
      </c>
      <c r="S4" s="85">
        <f>('Weekly Averages'!G1091/'Weekly Averages'!G1090)*100</f>
        <v>126.09713282621415</v>
      </c>
      <c r="T4" s="171"/>
    </row>
    <row r="5" spans="1:20" x14ac:dyDescent="0.25">
      <c r="A5" s="97" t="s">
        <v>29</v>
      </c>
      <c r="B5" s="39"/>
      <c r="C5" s="39"/>
      <c r="D5" s="85">
        <f>('Weekly Data'!D1091/'Weekly Data'!D1039)*100</f>
        <v>96.682218766200094</v>
      </c>
      <c r="E5" s="85">
        <f>('Weekly Data'!E1091/'Weekly Data'!E1039)*100</f>
        <v>111.41592920353982</v>
      </c>
      <c r="F5" s="85">
        <f>('Weekly Data'!J1091/'Weekly Data'!J1039)*100</f>
        <v>94.422110552763812</v>
      </c>
      <c r="G5" s="186" t="s">
        <v>34</v>
      </c>
      <c r="H5" s="85">
        <f>('Weekly Data'!G1091/'Weekly Data'!G1039)*100</f>
        <v>126.742064939803</v>
      </c>
      <c r="I5" s="85">
        <f>('Weekly Data'!H1091/'Weekly Data'!H1039)*100</f>
        <v>80.609212481426454</v>
      </c>
      <c r="J5" s="85">
        <f>('Weekly Data'!I1091/'Weekly Data'!I1039)*100</f>
        <v>112.84515019722869</v>
      </c>
      <c r="L5" s="39" t="s">
        <v>29</v>
      </c>
      <c r="M5" s="171">
        <f>('Weekly Averages'!B1091/'Weekly Averages'!B1039)*100</f>
        <v>103.0615009482525</v>
      </c>
      <c r="N5" s="171">
        <f>('Weekly Averages'!C1091/'Weekly Averages'!C1039)*100</f>
        <v>80.368763557483732</v>
      </c>
      <c r="O5" s="171">
        <f>('Weekly Averages'!H1091/'Weekly Averages'!H1039)*100</f>
        <v>105.18008322571389</v>
      </c>
      <c r="P5" s="186" t="s">
        <v>34</v>
      </c>
      <c r="Q5" s="171">
        <f>('Weekly Averages'!E1091/'Weekly Averages'!E1039)*100</f>
        <v>109.61770113485071</v>
      </c>
      <c r="R5" s="171">
        <f>('Weekly Averages'!F1091/'Weekly Averages'!F1039)*100</f>
        <v>64.246017043349397</v>
      </c>
      <c r="S5" s="171">
        <f>('Weekly Averages'!G1091/'Weekly Averages'!G1039)*100</f>
        <v>97.896355313275336</v>
      </c>
      <c r="T5" s="171"/>
    </row>
    <row r="6" spans="1:20" x14ac:dyDescent="0.25">
      <c r="A6" s="97" t="s">
        <v>30</v>
      </c>
      <c r="B6" s="39"/>
      <c r="C6" s="39"/>
      <c r="D6" s="85">
        <f>('Weekly Data'!D1091/'Weekly Averages'!J1091)*100</f>
        <v>111.02842684923351</v>
      </c>
      <c r="E6" s="85">
        <f>('Weekly Data'!E1091/'Weekly Averages'!K1091)*100</f>
        <v>107.26304579339723</v>
      </c>
      <c r="F6" s="85">
        <f>('Weekly Data'!J1091/'Weekly Averages'!P1091)*100</f>
        <v>122.71967283806585</v>
      </c>
      <c r="G6" s="186" t="s">
        <v>34</v>
      </c>
      <c r="H6" s="85">
        <f>('Weekly Data'!G1091/'Weekly Averages'!M1091)*100</f>
        <v>156.20503597122303</v>
      </c>
      <c r="I6" s="85">
        <f>('Weekly Data'!H1091/'Weekly Averages'!N1091)*100</f>
        <v>118.80646044347112</v>
      </c>
      <c r="J6" s="85">
        <f>('Weekly Data'!I1091/'Weekly Averages'!O1091)*100</f>
        <v>135.81667123162603</v>
      </c>
      <c r="L6" s="39" t="s">
        <v>30</v>
      </c>
      <c r="M6" s="171">
        <f>('Weekly Averages'!B1091/'Weekly Averages'!S1091)*100</f>
        <v>94.697535474234513</v>
      </c>
      <c r="N6" s="171">
        <f>('Weekly Averages'!C1091/'Weekly Averages'!T1091)*100</f>
        <v>92.51761348434853</v>
      </c>
      <c r="O6" s="171">
        <f>('Weekly Averages'!H1091/'Weekly Averages'!Y1091)*100</f>
        <v>114.3639095756908</v>
      </c>
      <c r="P6" s="186" t="s">
        <v>34</v>
      </c>
      <c r="Q6" s="171">
        <f>('Weekly Averages'!E1091/'Weekly Averages'!V1091)*100</f>
        <v>123.07144763769018</v>
      </c>
      <c r="R6" s="171">
        <f>('Weekly Averages'!F1091/'Weekly Averages'!W1091)*100</f>
        <v>79.286694101508914</v>
      </c>
      <c r="S6" s="171">
        <f>('Weekly Averages'!G1091/'Weekly Averages'!X1091)*100</f>
        <v>108.33647534247899</v>
      </c>
      <c r="T6" s="171"/>
    </row>
    <row r="7" spans="1:20" x14ac:dyDescent="0.25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5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5">
      <c r="A10" s="39" t="s">
        <v>78</v>
      </c>
      <c r="B10" s="39"/>
      <c r="C10" s="39"/>
      <c r="D10" s="254">
        <f>SUM('Weekly Data'!D1076:D1088)</f>
        <v>1953</v>
      </c>
      <c r="E10" s="254">
        <f>SUM('Weekly Data'!E1076:E1088)</f>
        <v>18451</v>
      </c>
      <c r="F10" s="254">
        <f>SUM('Weekly Data'!J1076:J1088)</f>
        <v>24345</v>
      </c>
      <c r="G10" s="255" t="s">
        <v>34</v>
      </c>
      <c r="H10" s="254">
        <f>SUM('Weekly Data'!G1076:G1088)</f>
        <v>45810</v>
      </c>
      <c r="I10" s="254">
        <f>SUM('Weekly Data'!H1063:H1075)</f>
        <v>4476</v>
      </c>
      <c r="J10" s="254">
        <f>SUM('Weekly Data'!I1063:I1075)</f>
        <v>88592</v>
      </c>
    </row>
    <row r="11" spans="1:20" x14ac:dyDescent="0.25">
      <c r="A11" s="39" t="s">
        <v>79</v>
      </c>
      <c r="B11" s="39"/>
      <c r="C11" s="39"/>
      <c r="D11" s="252">
        <f>SUM('Weekly Data'!D1024:D1036)</f>
        <v>970</v>
      </c>
      <c r="E11" s="252">
        <f>SUM('Weekly Data'!E1024:E1036)</f>
        <v>24740</v>
      </c>
      <c r="F11" s="252">
        <f>SUM('Weekly Data'!J1024:J1036)</f>
        <v>17136</v>
      </c>
      <c r="G11" s="253" t="s">
        <v>34</v>
      </c>
      <c r="H11" s="252">
        <f>SUM('Weekly Data'!G1024:G1036)</f>
        <v>24132</v>
      </c>
      <c r="I11" s="252">
        <f>SUM('Weekly Data'!H1024:H1036)</f>
        <v>1141</v>
      </c>
      <c r="J11" s="252">
        <f>SUM('Weekly Data'!I1024:I1036)</f>
        <v>50983</v>
      </c>
    </row>
    <row r="12" spans="1:20" x14ac:dyDescent="0.25">
      <c r="A12" s="39" t="s">
        <v>42</v>
      </c>
      <c r="B12" s="39"/>
      <c r="C12" s="39"/>
      <c r="D12" s="40">
        <f>(D10/D11)-1</f>
        <v>1.0134020618556701</v>
      </c>
      <c r="E12" s="40">
        <f>(E10/E11)-1</f>
        <v>-0.25420371867421176</v>
      </c>
      <c r="F12" s="40">
        <f>(F10/F11)-1</f>
        <v>0.42069327731092443</v>
      </c>
      <c r="G12" s="186" t="s">
        <v>34</v>
      </c>
      <c r="H12" s="40">
        <f>(H10/H11)-1</f>
        <v>0.89830929885629041</v>
      </c>
      <c r="I12" s="40">
        <f>(I10/I11)-1</f>
        <v>2.9228746713409288</v>
      </c>
      <c r="J12" s="40">
        <f>(J10/J11)-1</f>
        <v>0.73767726497067643</v>
      </c>
      <c r="L12" s="145"/>
    </row>
    <row r="18" spans="8:8" x14ac:dyDescent="0.25">
      <c r="H18" s="145"/>
    </row>
  </sheetData>
  <mergeCells count="2">
    <mergeCell ref="D2:J2"/>
    <mergeCell ref="M2:S2"/>
  </mergeCells>
  <pageMargins left="0.7" right="0.7" top="0.75" bottom="0.75" header="0.3" footer="0.3"/>
  <pageSetup scale="54" orientation="landscape" r:id="rId1"/>
  <ignoredErrors>
    <ignoredError sqref="K11 H11:H12 G10:H10 F11:G11 D10:F10 D11:E11" formulaRange="1"/>
    <ignoredError sqref="D12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50" zoomScaleNormal="150" workbookViewId="0">
      <selection sqref="A1:H20"/>
    </sheetView>
  </sheetViews>
  <sheetFormatPr defaultRowHeight="15" x14ac:dyDescent="0.25"/>
  <cols>
    <col min="1" max="1" width="21.26953125" customWidth="1"/>
    <col min="2" max="2" width="8.81640625" customWidth="1"/>
    <col min="3" max="3" width="7.453125" customWidth="1"/>
    <col min="4" max="4" width="8.1796875" customWidth="1"/>
    <col min="5" max="5" width="7.36328125" customWidth="1"/>
    <col min="6" max="6" width="8.36328125" customWidth="1"/>
    <col min="7" max="7" width="11.7265625" customWidth="1"/>
    <col min="8" max="8" width="10.7265625" customWidth="1"/>
    <col min="9" max="9" width="9.1796875" customWidth="1"/>
    <col min="10" max="10" width="9" customWidth="1"/>
  </cols>
  <sheetData>
    <row r="1" spans="1:12" x14ac:dyDescent="0.25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5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5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5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5">
      <c r="A6" s="25" t="s">
        <v>80</v>
      </c>
      <c r="B6" s="173">
        <f>'Weekly Data'!D1091</f>
        <v>1865</v>
      </c>
      <c r="C6" s="173">
        <f>'Weekly Data'!E1091</f>
        <v>1259</v>
      </c>
      <c r="D6" s="173">
        <f>'Weekly Data'!G1091</f>
        <v>6948</v>
      </c>
      <c r="E6" s="173">
        <f>'Weekly Data'!H1091</f>
        <v>1085</v>
      </c>
      <c r="F6" s="173">
        <f>'Weekly Data'!I1091</f>
        <v>11157</v>
      </c>
      <c r="G6" s="256">
        <v>41923</v>
      </c>
      <c r="H6" s="173">
        <f>'Weekly Data'!J1091</f>
        <v>1879</v>
      </c>
      <c r="I6" s="204"/>
    </row>
    <row r="7" spans="1:12" ht="12.6" customHeight="1" x14ac:dyDescent="0.25">
      <c r="A7" s="25" t="s">
        <v>81</v>
      </c>
      <c r="B7" s="173">
        <f>'Weekly Data'!D1090</f>
        <v>1360</v>
      </c>
      <c r="C7" s="173">
        <f>'Weekly Data'!E1090</f>
        <v>1401</v>
      </c>
      <c r="D7" s="173">
        <f>'Weekly Data'!G1090</f>
        <v>4648</v>
      </c>
      <c r="E7" s="173">
        <f>'Weekly Data'!H1090</f>
        <v>408</v>
      </c>
      <c r="F7" s="173">
        <f>'Weekly Data'!I1090</f>
        <v>7817</v>
      </c>
      <c r="G7" s="256">
        <v>41916</v>
      </c>
      <c r="H7" s="173">
        <f>'Weekly Data'!J1090</f>
        <v>2152</v>
      </c>
      <c r="I7" s="204"/>
    </row>
    <row r="8" spans="1:12" ht="12.6" customHeight="1" x14ac:dyDescent="0.25">
      <c r="A8" s="25" t="s">
        <v>70</v>
      </c>
      <c r="B8" s="173">
        <f>SUM('Weekly Data'!D1050:D1102)</f>
        <v>25895</v>
      </c>
      <c r="C8" s="173">
        <f>SUM('Weekly Data'!E1050:E1102)</f>
        <v>66921</v>
      </c>
      <c r="D8" s="173">
        <f>SUM('Weekly Data'!G1050:G1102)</f>
        <v>182919</v>
      </c>
      <c r="E8" s="173">
        <f>SUM('Weekly Data'!H1050:H1102)</f>
        <v>20641</v>
      </c>
      <c r="F8" s="173">
        <f>SUM('Weekly Data'!I1050:I1102)</f>
        <v>296376</v>
      </c>
      <c r="G8" s="227" t="s">
        <v>75</v>
      </c>
      <c r="H8" s="198">
        <f>SUM('Weekly Data'!J1050:J1102)</f>
        <v>79601</v>
      </c>
      <c r="I8" s="204"/>
    </row>
    <row r="9" spans="1:12" ht="12.6" customHeight="1" x14ac:dyDescent="0.25">
      <c r="A9" s="25" t="s">
        <v>61</v>
      </c>
      <c r="B9" s="166">
        <f>SUM('Weekly Data'!D998:D1039)</f>
        <v>13822</v>
      </c>
      <c r="C9" s="166">
        <f>SUM('Weekly Data'!E998:E1039)</f>
        <v>60479</v>
      </c>
      <c r="D9" s="166">
        <f>SUM('Weekly Data'!G998:G1039)</f>
        <v>108741</v>
      </c>
      <c r="E9" s="166">
        <f>SUM('Weekly Data'!H998:H1039)</f>
        <v>13033</v>
      </c>
      <c r="F9" s="166">
        <f>SUM('Weekly Data'!I998:I1039)</f>
        <v>196075</v>
      </c>
      <c r="G9" s="227" t="s">
        <v>63</v>
      </c>
      <c r="H9" s="223">
        <f>SUM('Weekly Data'!J998:J1039)</f>
        <v>52275</v>
      </c>
      <c r="I9" s="204"/>
    </row>
    <row r="10" spans="1:12" ht="12.75" customHeight="1" x14ac:dyDescent="0.25">
      <c r="A10" s="25" t="s">
        <v>71</v>
      </c>
      <c r="B10" s="173">
        <f>B8/B9*100</f>
        <v>187.34625958616698</v>
      </c>
      <c r="C10" s="175">
        <f>C8/C9*100</f>
        <v>110.65163114469485</v>
      </c>
      <c r="D10" s="175">
        <f>D8/D9*100</f>
        <v>168.21530057659945</v>
      </c>
      <c r="E10" s="175">
        <f>E8/E9*100</f>
        <v>158.37489449858055</v>
      </c>
      <c r="F10" s="194">
        <f>F8/F9*100</f>
        <v>151.15440520209106</v>
      </c>
      <c r="G10" s="23" t="s">
        <v>56</v>
      </c>
      <c r="H10" s="198">
        <f>H8/H9*100</f>
        <v>152.27355332376854</v>
      </c>
      <c r="I10" s="205"/>
    </row>
    <row r="11" spans="1:12" ht="13.5" customHeight="1" x14ac:dyDescent="0.25">
      <c r="A11" s="87" t="s">
        <v>72</v>
      </c>
      <c r="B11" s="166">
        <f>'Weekly Changes'!M5</f>
        <v>103.0615009482525</v>
      </c>
      <c r="C11" s="29">
        <f>'Weekly Changes'!N5</f>
        <v>80.368763557483732</v>
      </c>
      <c r="D11" s="29">
        <f>'Weekly Changes'!Q5</f>
        <v>109.61770113485071</v>
      </c>
      <c r="E11" s="29">
        <f>'Weekly Changes'!R5</f>
        <v>64.246017043349397</v>
      </c>
      <c r="F11" s="194">
        <f>'Weekly Changes'!S5</f>
        <v>97.896355313275336</v>
      </c>
      <c r="G11" s="37" t="s">
        <v>76</v>
      </c>
      <c r="H11" s="198">
        <f>'Weekly Changes'!O5</f>
        <v>105.18008322571389</v>
      </c>
      <c r="I11" s="204"/>
    </row>
    <row r="12" spans="1:12" ht="13.5" customHeight="1" x14ac:dyDescent="0.25">
      <c r="A12" s="87" t="s">
        <v>47</v>
      </c>
      <c r="B12" s="166">
        <f>'Weekly Changes'!M6</f>
        <v>94.697535474234513</v>
      </c>
      <c r="C12" s="88">
        <f>'Weekly Changes'!N6</f>
        <v>92.51761348434853</v>
      </c>
      <c r="D12" s="88">
        <f>'Weekly Changes'!Q6</f>
        <v>123.07144763769018</v>
      </c>
      <c r="E12" s="88">
        <f>'Weekly Changes'!R6</f>
        <v>79.286694101508914</v>
      </c>
      <c r="F12" s="195">
        <f>'Weekly Changes'!S6</f>
        <v>108.33647534247899</v>
      </c>
      <c r="G12" s="37" t="s">
        <v>55</v>
      </c>
      <c r="H12" s="203">
        <f>'Weekly Changes'!O6</f>
        <v>114.3639095756908</v>
      </c>
      <c r="I12" s="204"/>
    </row>
    <row r="13" spans="1:12" ht="12.75" customHeight="1" x14ac:dyDescent="0.25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49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5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8">
        <f>SUM('Weekly Data'!I946:I997)</f>
        <v>287462</v>
      </c>
      <c r="G14" s="101" t="s">
        <v>62</v>
      </c>
      <c r="H14" s="250">
        <v>92008</v>
      </c>
      <c r="I14" s="204"/>
      <c r="K14" s="214"/>
    </row>
    <row r="15" spans="1:12" ht="12" customHeight="1" x14ac:dyDescent="0.25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5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5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5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5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5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5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5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5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5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5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5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4:E14 B13:D13 B8:B9 G9:H9 H8 D8:D9 C8:C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V32" sqref="V32"/>
    </sheetView>
  </sheetViews>
  <sheetFormatPr defaultRowHeight="15" x14ac:dyDescent="0.25"/>
  <sheetData>
    <row r="1" spans="1:22" ht="15.6" x14ac:dyDescent="0.3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6" x14ac:dyDescent="0.3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5"/>
  <cols>
    <col min="4" max="4" width="9.1796875" bestFit="1" customWidth="1"/>
  </cols>
  <sheetData>
    <row r="24" spans="2:4" x14ac:dyDescent="0.25">
      <c r="B24" s="145" t="s">
        <v>57</v>
      </c>
    </row>
    <row r="25" spans="2:4" x14ac:dyDescent="0.25">
      <c r="B25" s="145">
        <v>2009</v>
      </c>
      <c r="C25">
        <v>2010</v>
      </c>
      <c r="D25">
        <v>2011</v>
      </c>
    </row>
    <row r="27" spans="2:4" x14ac:dyDescent="0.25">
      <c r="B27" s="207">
        <v>1814.1448093683048</v>
      </c>
      <c r="C27" s="208">
        <v>2185.333180800244</v>
      </c>
      <c r="D27" s="208">
        <v>1739.0574148414694</v>
      </c>
    </row>
    <row r="28" spans="2:4" x14ac:dyDescent="0.25">
      <c r="B28" s="207">
        <v>1880.1930930243843</v>
      </c>
      <c r="C28" s="208">
        <v>2427.9968245384139</v>
      </c>
      <c r="D28" s="208">
        <v>2532.1406632416056</v>
      </c>
    </row>
    <row r="29" spans="2:4" x14ac:dyDescent="0.25">
      <c r="B29" s="207">
        <v>2225.0744292142467</v>
      </c>
      <c r="C29" s="208">
        <v>2537.1322392550837</v>
      </c>
      <c r="D29" s="208">
        <v>2502.7315209628996</v>
      </c>
    </row>
    <row r="30" spans="2:4" x14ac:dyDescent="0.25">
      <c r="B30" s="207">
        <v>2072.7846995444806</v>
      </c>
      <c r="C30" s="208">
        <v>2733.2895840699989</v>
      </c>
      <c r="D30" s="208">
        <v>2616.5514348510374</v>
      </c>
    </row>
    <row r="31" spans="2:4" x14ac:dyDescent="0.25">
      <c r="B31" s="207">
        <v>2622.7555795910725</v>
      </c>
      <c r="C31" s="208">
        <v>2362.666763733178</v>
      </c>
      <c r="D31" s="208">
        <v>2789.5674993586672</v>
      </c>
    </row>
    <row r="32" spans="2:4" x14ac:dyDescent="0.25">
      <c r="B32" s="207">
        <v>2440.4707725800972</v>
      </c>
      <c r="C32" s="208">
        <v>2144.2429852112236</v>
      </c>
      <c r="D32" s="208">
        <v>2294.6458112333685</v>
      </c>
    </row>
    <row r="33" spans="2:4" x14ac:dyDescent="0.25">
      <c r="B33" s="207">
        <v>1842.4063481498429</v>
      </c>
      <c r="C33" s="208">
        <v>2810.2658235746821</v>
      </c>
      <c r="D33" s="208">
        <v>3004.8830001871997</v>
      </c>
    </row>
    <row r="34" spans="2:4" x14ac:dyDescent="0.25">
      <c r="B34" s="207">
        <v>1956.0605556364444</v>
      </c>
      <c r="C34" s="208">
        <v>2691.9692021826095</v>
      </c>
      <c r="D34" s="208">
        <v>2547.7993635210182</v>
      </c>
    </row>
    <row r="35" spans="2:4" x14ac:dyDescent="0.25">
      <c r="B35" s="207">
        <v>2314.2895078034544</v>
      </c>
      <c r="C35" s="208">
        <v>2498.9138950711013</v>
      </c>
      <c r="D35" s="208">
        <v>2475.1506957588867</v>
      </c>
    </row>
    <row r="36" spans="2:4" x14ac:dyDescent="0.25">
      <c r="B36" s="207">
        <v>1840.228522301031</v>
      </c>
      <c r="C36" s="208">
        <v>2116.6360213823655</v>
      </c>
      <c r="D36" s="208">
        <v>2657.138895244434</v>
      </c>
    </row>
    <row r="37" spans="2:4" x14ac:dyDescent="0.25">
      <c r="B37" s="207">
        <v>2003.1701229278033</v>
      </c>
      <c r="C37" s="208">
        <v>2599.1251533997547</v>
      </c>
      <c r="D37" s="208">
        <v>2313.5964529123416</v>
      </c>
    </row>
    <row r="38" spans="2:4" x14ac:dyDescent="0.25">
      <c r="B38" s="207">
        <v>2103.9280043818599</v>
      </c>
      <c r="C38" s="208">
        <v>2252.3397882563386</v>
      </c>
      <c r="D38" s="208">
        <v>2721.4059390838306</v>
      </c>
    </row>
    <row r="39" spans="2:4" x14ac:dyDescent="0.25">
      <c r="B39" s="207">
        <v>2181.3280085418533</v>
      </c>
      <c r="C39" s="208">
        <v>2143.3770825966681</v>
      </c>
      <c r="D39" s="208">
        <v>2501.1451768343836</v>
      </c>
    </row>
    <row r="40" spans="2:4" x14ac:dyDescent="0.25">
      <c r="B40" s="207">
        <v>2075.9919850794904</v>
      </c>
      <c r="C40" s="208">
        <v>1853.0727790835535</v>
      </c>
      <c r="D40" s="208">
        <v>2396.8750129999789</v>
      </c>
    </row>
    <row r="41" spans="2:4" x14ac:dyDescent="0.25">
      <c r="B41" s="207">
        <v>2050.5645110967821</v>
      </c>
      <c r="C41" s="208">
        <v>1966.1176862117022</v>
      </c>
      <c r="D41" s="208">
        <v>2464.2302972315247</v>
      </c>
    </row>
    <row r="42" spans="2:4" x14ac:dyDescent="0.25">
      <c r="B42" s="207">
        <v>1469.3761396648433</v>
      </c>
      <c r="C42" s="208">
        <v>1504.5258647586165</v>
      </c>
      <c r="D42" s="208">
        <v>2018.4529678085846</v>
      </c>
    </row>
    <row r="43" spans="2:4" x14ac:dyDescent="0.25">
      <c r="B43" s="207">
        <v>1693.8516685039972</v>
      </c>
      <c r="C43" s="208">
        <v>1611.0743876143131</v>
      </c>
      <c r="D43" s="208">
        <v>2137.5877585262529</v>
      </c>
    </row>
    <row r="44" spans="2:4" x14ac:dyDescent="0.25">
      <c r="B44" s="207">
        <v>1798.172445590754</v>
      </c>
      <c r="C44" s="208">
        <v>1818.2189681829843</v>
      </c>
      <c r="D44" s="208">
        <v>1996.2810352836768</v>
      </c>
    </row>
    <row r="45" spans="2:4" x14ac:dyDescent="0.25">
      <c r="B45" s="207">
        <v>1651.0592036386074</v>
      </c>
      <c r="C45" s="208">
        <v>1600.0059626571265</v>
      </c>
      <c r="D45" s="208">
        <v>1961.3899231094563</v>
      </c>
    </row>
    <row r="46" spans="2:4" x14ac:dyDescent="0.25">
      <c r="B46" s="207">
        <v>1835.5757777454223</v>
      </c>
      <c r="C46" s="208">
        <v>1852.8412754539593</v>
      </c>
      <c r="D46" s="208">
        <v>2025.4102793435529</v>
      </c>
    </row>
    <row r="47" spans="2:4" x14ac:dyDescent="0.25">
      <c r="B47" s="207">
        <v>1379.2398998828271</v>
      </c>
      <c r="C47" s="208">
        <v>1748.3482746427605</v>
      </c>
      <c r="D47" s="208">
        <v>1935.5754310793104</v>
      </c>
    </row>
    <row r="48" spans="2:4" x14ac:dyDescent="0.25">
      <c r="B48" s="207">
        <v>1445.5651004291724</v>
      </c>
      <c r="C48" s="208">
        <v>1486.1872967669919</v>
      </c>
      <c r="D48" s="208">
        <v>1705.291580866804</v>
      </c>
    </row>
    <row r="49" spans="2:4" x14ac:dyDescent="0.25">
      <c r="B49" s="207">
        <v>1557.7910435343304</v>
      </c>
      <c r="C49" s="208">
        <v>1611.5303228848168</v>
      </c>
      <c r="D49" s="208">
        <v>1787.7993635210184</v>
      </c>
    </row>
    <row r="50" spans="2:4" x14ac:dyDescent="0.25">
      <c r="B50" s="207">
        <v>1880.147125097933</v>
      </c>
      <c r="C50" s="208">
        <v>1377.7266329707206</v>
      </c>
      <c r="D50" s="208">
        <v>1807.4267667838396</v>
      </c>
    </row>
    <row r="51" spans="2:4" x14ac:dyDescent="0.25">
      <c r="B51" s="207">
        <v>1447.6518224237507</v>
      </c>
      <c r="C51" s="208">
        <v>1635.502284529678</v>
      </c>
      <c r="D51" s="208">
        <v>1671.7222372444205</v>
      </c>
    </row>
    <row r="52" spans="2:4" x14ac:dyDescent="0.25">
      <c r="B52" s="207">
        <v>1709.7113657951481</v>
      </c>
      <c r="C52" s="208">
        <v>1634.4882168188531</v>
      </c>
      <c r="D52" s="208">
        <v>1792.4816440293694</v>
      </c>
    </row>
    <row r="53" spans="2:4" x14ac:dyDescent="0.25">
      <c r="B53" s="207">
        <v>1576.9294395795632</v>
      </c>
      <c r="C53" s="208">
        <v>1568.1873522335698</v>
      </c>
      <c r="D53" s="208">
        <v>1649.536160742143</v>
      </c>
    </row>
    <row r="54" spans="2:4" x14ac:dyDescent="0.25">
      <c r="B54" s="207">
        <v>1769.4788221672179</v>
      </c>
      <c r="C54" s="208">
        <v>1956.123371535939</v>
      </c>
      <c r="D54" s="208">
        <v>1546.5992747744938</v>
      </c>
    </row>
    <row r="55" spans="2:4" x14ac:dyDescent="0.25">
      <c r="B55" s="207">
        <v>1984.0840041322601</v>
      </c>
      <c r="C55" s="208">
        <v>1725.1133944852354</v>
      </c>
      <c r="D55" s="208">
        <v>1782.0207167668532</v>
      </c>
    </row>
    <row r="56" spans="2:4" x14ac:dyDescent="0.25">
      <c r="B56" s="207">
        <v>1766.0202730342298</v>
      </c>
      <c r="C56" s="208">
        <v>1815.5869403942288</v>
      </c>
      <c r="D56" s="208">
        <v>1567.0534073812148</v>
      </c>
    </row>
    <row r="57" spans="2:4" x14ac:dyDescent="0.25">
      <c r="B57" s="207">
        <v>1647.5187026367425</v>
      </c>
      <c r="C57" s="208">
        <v>1745.7959800597653</v>
      </c>
      <c r="D57" s="208">
        <v>1837.5643932303042</v>
      </c>
    </row>
    <row r="58" spans="2:4" x14ac:dyDescent="0.25">
      <c r="B58" s="207">
        <v>1790.5527937821967</v>
      </c>
      <c r="C58" s="208">
        <v>1891.4788083005733</v>
      </c>
      <c r="D58" s="208">
        <v>1797.9595925979852</v>
      </c>
    </row>
    <row r="59" spans="2:4" x14ac:dyDescent="0.25">
      <c r="B59" s="207">
        <v>1866.5506721855911</v>
      </c>
      <c r="C59" s="208">
        <v>2134.4636728581231</v>
      </c>
      <c r="D59" s="208">
        <v>1604.9392294305662</v>
      </c>
    </row>
    <row r="60" spans="2:4" x14ac:dyDescent="0.25">
      <c r="B60" s="207">
        <v>1874.5104727832436</v>
      </c>
      <c r="C60" s="208">
        <v>2345.9428278248088</v>
      </c>
      <c r="D60" s="208">
        <v>1648.4698157816281</v>
      </c>
    </row>
    <row r="61" spans="2:4" x14ac:dyDescent="0.25">
      <c r="B61" s="207">
        <v>2067.0375300732853</v>
      </c>
      <c r="C61" s="208">
        <v>2077.9237473220046</v>
      </c>
      <c r="D61" s="208">
        <v>1523.3883839119189</v>
      </c>
    </row>
    <row r="62" spans="2:4" x14ac:dyDescent="0.25">
      <c r="B62" s="207">
        <v>1984.782952347276</v>
      </c>
      <c r="C62" s="208">
        <v>2179.1315320562153</v>
      </c>
      <c r="D62" s="208">
        <v>1242.4751267064639</v>
      </c>
    </row>
    <row r="63" spans="2:4" x14ac:dyDescent="0.25">
      <c r="B63" s="207">
        <v>1797.5729905498818</v>
      </c>
      <c r="C63" s="208">
        <v>2176.6253440661162</v>
      </c>
      <c r="D63" s="208">
        <v>1849.9839840256254</v>
      </c>
    </row>
    <row r="64" spans="2:4" x14ac:dyDescent="0.25">
      <c r="B64" s="207">
        <v>1706.9973861375156</v>
      </c>
      <c r="C64" s="208">
        <v>2146.7286505674924</v>
      </c>
      <c r="D64" s="208">
        <v>1748.6348981841627</v>
      </c>
    </row>
    <row r="65" spans="2:4" x14ac:dyDescent="0.25">
      <c r="B65" s="207">
        <v>2148.7653139754975</v>
      </c>
      <c r="C65" s="208">
        <v>2475.9235531889817</v>
      </c>
      <c r="D65" s="208">
        <v>1656.9964154724018</v>
      </c>
    </row>
    <row r="66" spans="2:4" x14ac:dyDescent="0.25">
      <c r="B66" s="207">
        <v>1813.888761777981</v>
      </c>
      <c r="C66" s="208">
        <v>2838.857943160624</v>
      </c>
      <c r="D66" s="208">
        <v>1800.0351519437568</v>
      </c>
    </row>
    <row r="67" spans="2:4" x14ac:dyDescent="0.25">
      <c r="B67" s="207">
        <v>2406.8416637200048</v>
      </c>
      <c r="C67" s="208">
        <v>3106.7303838980524</v>
      </c>
      <c r="D67" s="208">
        <v>2228.2926000651732</v>
      </c>
    </row>
    <row r="68" spans="2:4" x14ac:dyDescent="0.25">
      <c r="B68" s="207">
        <v>2401.5894641235241</v>
      </c>
      <c r="C68" s="208">
        <v>3210.2792048866049</v>
      </c>
      <c r="D68" s="208">
        <v>2432.7040650068293</v>
      </c>
    </row>
    <row r="69" spans="2:4" x14ac:dyDescent="0.25">
      <c r="B69" s="207">
        <v>2789.216742586545</v>
      </c>
      <c r="C69" s="208">
        <v>3207.140420575327</v>
      </c>
      <c r="D69" s="208">
        <v>2712.07146868565</v>
      </c>
    </row>
    <row r="70" spans="2:4" x14ac:dyDescent="0.25">
      <c r="B70" s="207">
        <v>2899.3036171142126</v>
      </c>
      <c r="C70" s="208">
        <v>3000.1468477650433</v>
      </c>
      <c r="D70" s="208">
        <v>2332.7666035734342</v>
      </c>
    </row>
    <row r="71" spans="2:4" x14ac:dyDescent="0.25">
      <c r="B71" s="207">
        <v>2775.0131386456451</v>
      </c>
      <c r="C71" s="208">
        <v>3269.0217082319332</v>
      </c>
      <c r="D71" s="208">
        <v>2783.996228272701</v>
      </c>
    </row>
    <row r="72" spans="2:4" x14ac:dyDescent="0.25">
      <c r="B72" s="207">
        <v>3389.5098834508531</v>
      </c>
      <c r="C72" s="208">
        <v>2913.9022817563491</v>
      </c>
      <c r="D72" s="208">
        <v>2394.740797748057</v>
      </c>
    </row>
    <row r="73" spans="2:4" x14ac:dyDescent="0.25">
      <c r="B73" s="207">
        <v>2508.3852292502997</v>
      </c>
      <c r="C73" s="208">
        <v>3115.600668372264</v>
      </c>
      <c r="D73" s="208">
        <v>2507.1016633040053</v>
      </c>
    </row>
    <row r="74" spans="2:4" x14ac:dyDescent="0.25">
      <c r="B74" s="207">
        <v>2767.0493167210934</v>
      </c>
      <c r="C74" s="208">
        <v>2594.9976080038268</v>
      </c>
      <c r="D74" s="208">
        <v>2261.6517253572392</v>
      </c>
    </row>
    <row r="75" spans="2:4" x14ac:dyDescent="0.25">
      <c r="B75" s="207">
        <v>2788.9768496370407</v>
      </c>
      <c r="C75" s="208">
        <v>2706.4470190181028</v>
      </c>
      <c r="D75" s="208">
        <v>2214.8910428409981</v>
      </c>
    </row>
    <row r="76" spans="2:4" x14ac:dyDescent="0.25">
      <c r="B76" s="207">
        <v>1717.6168091464388</v>
      </c>
      <c r="C76" s="208">
        <v>3015.3919060396165</v>
      </c>
      <c r="D76" s="208">
        <v>2406.7110399290027</v>
      </c>
    </row>
    <row r="77" spans="2:4" x14ac:dyDescent="0.25">
      <c r="B77" s="207">
        <v>2771.8906476416305</v>
      </c>
      <c r="C77" s="208">
        <v>2650.2417649465096</v>
      </c>
      <c r="D77" s="208">
        <v>2560.0009706651135</v>
      </c>
    </row>
    <row r="78" spans="2:4" x14ac:dyDescent="0.25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2014-04-15T13:31:18Z</cp:lastPrinted>
  <dcterms:created xsi:type="dcterms:W3CDTF">2003-12-04T20:28:17Z</dcterms:created>
  <dcterms:modified xsi:type="dcterms:W3CDTF">2014-10-22T12:12:27Z</dcterms:modified>
</cp:coreProperties>
</file>