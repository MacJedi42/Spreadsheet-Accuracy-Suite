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20730" windowHeight="10680"/>
  </bookViews>
  <sheets>
    <sheet name="Primary Layout" sheetId="1" r:id="rId1"/>
  </sheets>
  <definedNames>
    <definedName name="_xlnm.Print_Area" localSheetId="0">'Primary Layout'!$A$1:$AG$49</definedName>
  </definedNames>
  <calcPr calcId="145621"/>
</workbook>
</file>

<file path=xl/sharedStrings.xml><?xml version="1.0" encoding="utf-8"?>
<sst xmlns="http://schemas.openxmlformats.org/spreadsheetml/2006/main" count="89" uniqueCount="89">
  <si>
    <t/>
  </si>
  <si>
    <t>ID:</t>
  </si>
  <si>
    <t>00075880</t>
  </si>
  <si>
    <t>Notes/Supplemental Information:</t>
  </si>
  <si>
    <t>The common stock distribution with a record date of December 31, 2012 will be a split-year distribution with $0.032034 allocable to 2012 for federal income tax purposes and $0.015466 allocable to 2013 for federal income tax purposes.</t>
  </si>
  <si>
    <t>REIT Name:</t>
  </si>
  <si>
    <t>Inland Real Estate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</si>
  <si>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</si>
  <si>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</si>
  <si>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</si>
  <si>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</si>
  <si>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</si>
  <si>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</si>
  <si>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</si>
  <si>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</si>
  <si>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</si>
  <si>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</si>
  <si>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</si>
  <si>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</si>
  <si>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</si>
  <si>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</si>
  <si>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</si>
  <si>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</si>
  <si>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</si>
  <si>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</si>
  <si>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</si>
  <si>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</si>
  <si>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</si>
  <si>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</si>
  <si>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</si>
  <si>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</si>
  <si>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</si>
  <si>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</si>
  <si>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</si>
  <si>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</si>
  <si>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</si>
  <si>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</si>
  <si>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</si>
  <si>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</si>
  <si>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</si>
  <si>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</si>
  <si>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</si>
  <si>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</si>
  <si>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</si>
  <si>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</si>
  <si>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</si>
  <si>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</si>
  <si>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</si>
  <si>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</si>
  <si>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</si>
  <si>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</si>
  <si>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</si>
  <si>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</si>
  <si>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</si>
  <si>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</si>
  <si>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</si>
  <si>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</si>
  <si>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</si>
  <si>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</si>
  <si>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</si>
  <si>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</si>
  <si>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</si>
  <si>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</si>
  <si>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</si>
  <si>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</si>
  <si>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</si>
  <si>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</si>
  <si>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</si>
  <si>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</si>
  <si>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</si>
  <si>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</si>
  <si>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</si>
  <si>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</si>
  <si>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</si>
  <si>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</si>
  <si>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</si>
  <si>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</si>
  <si>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</si>
  <si>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</si>
  <si>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</si>
  <si>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</si>
  <si>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</si>
  <si>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</si>
  <si>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</si>
  <si>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</si>
  <si>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Inland Real Estate Corp. Common</t>
  </si>
  <si>
    <t>IRC</t>
  </si>
  <si>
    <t>Inland Real Estate Corp. Preferred</t>
  </si>
  <si>
    <t>IRC-PA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</si>
</sst>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 #,##0.000000_);_(* \(#,##0.000000\);_(*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0">
      <protection locked="0"/>
    </xf>
    <xf numFmtId="0" fontId="1" fillId="0" borderId="0" xfId="0">
      <alignment horizontal="center"/>
      <protection locked="0"/>
    </xf>
    <xf numFmtId="165" fontId="1" fillId="0" borderId="0" xfId="0">
      <protection locked="0"/>
    </xf>
    <xf numFmtId="0" fontId="3"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87"/>
  <sheetViews>
    <sheetView tabSelected="1" zoomScaleNormal="100" workbookViewId="0">
      <pane ySplit="18" topLeftCell="A20" activePane="bottomLeft" state="frozen"/>
      <selection pane="bottomLeft" activeCell="I32" sqref="I32"/>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4" t="s">
        <v>4</v>
      </c>
      <c r="L2" s="95"/>
      <c r="M2" s="95"/>
      <c r="N2" s="95"/>
      <c r="O2" s="95"/>
      <c r="P2" s="95"/>
      <c r="Q2" s="96"/>
    </row>
    <row r="3">
      <c r="A3" s="4" t="s">
        <v>5</v>
      </c>
      <c r="B3" s="9" t="s">
        <v>6</v>
      </c>
      <c r="C3" s="10"/>
      <c r="D3" s="10"/>
      <c r="E3" s="10"/>
      <c r="F3" s="11"/>
      <c r="G3" s="12"/>
      <c r="H3" s="13"/>
      <c r="J3" s="13"/>
      <c r="K3" s="97"/>
      <c r="L3" s="98"/>
      <c r="M3" s="98"/>
      <c r="N3" s="98"/>
      <c r="O3" s="98"/>
      <c r="P3" s="98"/>
      <c r="Q3" s="99"/>
      <c r="R3" s="13"/>
      <c r="S3" s="13"/>
      <c r="T3" s="13"/>
      <c r="U3" s="13"/>
      <c r="V3" s="13"/>
      <c r="W3" s="13"/>
      <c r="X3" s="13"/>
      <c r="Y3" s="13"/>
      <c r="Z3" s="13"/>
      <c r="AA3" s="13"/>
      <c r="AB3" s="13"/>
      <c r="AC3" s="13"/>
      <c r="AD3" s="13"/>
    </row>
    <row r="4">
      <c r="A4" s="4" t="s">
        <v>7</v>
      </c>
      <c r="B4" s="14">
        <v>2012</v>
      </c>
      <c r="C4" s="15"/>
      <c r="D4" s="15"/>
      <c r="E4" s="15"/>
      <c r="F4" s="15"/>
      <c r="G4" s="16"/>
      <c r="K4" s="97"/>
      <c r="L4" s="98"/>
      <c r="M4" s="98"/>
      <c r="N4" s="98"/>
      <c r="O4" s="98"/>
      <c r="P4" s="98"/>
      <c r="Q4" s="99"/>
    </row>
    <row r="5">
      <c r="A5" s="13"/>
      <c r="B5" s="13"/>
      <c r="C5" s="13"/>
      <c r="D5" s="13"/>
      <c r="E5" s="13"/>
      <c r="F5" s="13"/>
      <c r="G5" s="13"/>
      <c r="H5" s="13"/>
      <c r="J5" s="13"/>
      <c r="K5" s="100"/>
      <c r="L5" s="101"/>
      <c r="M5" s="101"/>
      <c r="N5" s="101"/>
      <c r="O5" s="101"/>
      <c r="P5" s="101"/>
      <c r="Q5" s="102"/>
      <c r="R5" s="13"/>
      <c r="S5" s="13"/>
      <c r="T5" s="13"/>
      <c r="U5" s="13"/>
      <c r="V5" s="13"/>
      <c r="W5" s="13"/>
      <c r="X5" s="13"/>
      <c r="Y5" s="13"/>
      <c r="Z5" s="13"/>
      <c r="AA5" s="13"/>
      <c r="AB5" s="13"/>
      <c r="AC5" s="13"/>
      <c r="AD5" s="13"/>
    </row>
    <row r="6">
      <c r="A6" s="8" t="s">
        <v>8</v>
      </c>
      <c r="B6" s="90">
        <v>41292</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3" t="s">
        <v>10</v>
      </c>
      <c r="B9" s="103"/>
      <c r="C9" s="103"/>
      <c r="D9" s="103"/>
      <c r="E9" s="103"/>
      <c r="F9" s="103"/>
      <c r="G9" s="103"/>
      <c r="H9" s="103"/>
      <c r="I9" s="103"/>
      <c r="J9" s="103"/>
      <c r="K9" s="103"/>
      <c r="L9" s="103"/>
      <c r="M9" s="103"/>
      <c r="N9" s="20"/>
      <c r="O9" s="20"/>
      <c r="P9" s="20"/>
      <c r="Q9" s="13"/>
      <c r="R9" s="13"/>
      <c r="S9" s="13"/>
      <c r="T9" s="13"/>
      <c r="U9" s="13"/>
      <c r="V9" s="13"/>
      <c r="W9" s="13"/>
      <c r="X9" s="13"/>
      <c r="Y9" s="13"/>
      <c r="Z9" s="13"/>
      <c r="AA9" s="13"/>
      <c r="AB9" s="13"/>
      <c r="AC9" s="13"/>
      <c r="AD9" s="13"/>
    </row>
    <row r="10">
      <c r="A10" s="103"/>
      <c r="B10" s="103"/>
      <c r="C10" s="103"/>
      <c r="D10" s="103"/>
      <c r="E10" s="103"/>
      <c r="F10" s="103"/>
      <c r="G10" s="103"/>
      <c r="H10" s="103"/>
      <c r="I10" s="103"/>
      <c r="J10" s="103"/>
      <c r="K10" s="103"/>
      <c r="L10" s="103"/>
      <c r="M10" s="103"/>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4" t="s">
        <v>11</v>
      </c>
      <c r="B13" s="104"/>
      <c r="C13" s="104"/>
      <c r="D13" s="104"/>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05" t="s">
        <v>13</v>
      </c>
      <c r="L15" s="106"/>
      <c r="M15" s="107"/>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85</v>
      </c>
      <c r="B20" s="61">
        <v>457461200</v>
      </c>
      <c r="C20" s="61" t="s">
        <v>86</v>
      </c>
      <c r="D20" s="62"/>
      <c r="E20" s="62"/>
      <c r="F20" s="62"/>
      <c r="G20" s="63">
        <v>40911</v>
      </c>
      <c r="H20" s="63">
        <v>40907</v>
      </c>
      <c r="I20" s="63">
        <v>40925</v>
      </c>
      <c r="J20" s="64">
        <v>0.0475</v>
      </c>
      <c r="K20" s="54"/>
      <c r="L20" s="54"/>
      <c r="M20" s="93">
        <f ref="M20:M32" t="shared" si="1">+N20+O20+V20+Z20+AB20</f>
      </c>
      <c r="N20" s="64">
        <f>J20*1</f>
      </c>
      <c r="O20" s="65"/>
      <c r="P20" s="56"/>
      <c r="Q20" s="66">
        <f>N20+O20</f>
      </c>
      <c r="R20" s="64">
        <f>J20*0.162121</f>
      </c>
      <c r="S20" s="56"/>
      <c r="T20" s="56"/>
      <c r="U20" s="64">
        <f>R20</f>
      </c>
      <c r="V20" s="64">
        <v>0</v>
      </c>
      <c r="W20" s="64">
        <v>0</v>
      </c>
      <c r="X20" s="56"/>
      <c r="Y20" s="64">
        <v>0</v>
      </c>
      <c r="Z20" s="64">
        <f>0.0475*0</f>
      </c>
      <c r="AA20" s="56"/>
      <c r="AB20" s="64">
        <v>0</v>
      </c>
      <c r="AC20" s="64">
        <v>0</v>
      </c>
      <c r="AD20" s="56"/>
      <c r="AE20" s="56"/>
      <c r="AF20" s="67"/>
      <c r="AG20" s="38"/>
    </row>
    <row r="21" s="2" customFormat="1">
      <c r="A21" s="60" t="s">
        <v>85</v>
      </c>
      <c r="B21" s="61">
        <v>457461200</v>
      </c>
      <c r="C21" s="61" t="s">
        <v>86</v>
      </c>
      <c r="D21" s="62"/>
      <c r="E21" s="62"/>
      <c r="F21" s="62"/>
      <c r="G21" s="63">
        <v>40939</v>
      </c>
      <c r="H21" s="63">
        <v>40935</v>
      </c>
      <c r="I21" s="63">
        <v>40956</v>
      </c>
      <c r="J21" s="64">
        <v>0.0475</v>
      </c>
      <c r="K21" s="54"/>
      <c r="L21" s="54"/>
      <c r="M21" s="93">
        <f t="shared" si="1"/>
      </c>
      <c r="N21" s="64">
        <f ref="N21:N32" t="shared" si="2">J21*1</f>
      </c>
      <c r="O21" s="65"/>
      <c r="P21" s="56"/>
      <c r="Q21" s="66">
        <f ref="Q21:Q32" t="shared" si="3">N21+O21</f>
      </c>
      <c r="R21" s="64">
        <f ref="R21:R32" t="shared" si="4">J21*0.162121</f>
      </c>
      <c r="S21" s="56"/>
      <c r="T21" s="56"/>
      <c r="U21" s="64">
        <f ref="U21:U32" t="shared" si="5">R21</f>
      </c>
      <c r="V21" s="64">
        <v>0</v>
      </c>
      <c r="W21" s="64">
        <v>0</v>
      </c>
      <c r="X21" s="56"/>
      <c r="Y21" s="64">
        <v>0</v>
      </c>
      <c r="Z21" s="64">
        <f ref="Z21:Z32" t="shared" si="6">0.0475*0</f>
      </c>
      <c r="AA21" s="56"/>
      <c r="AB21" s="64">
        <v>0</v>
      </c>
      <c r="AC21" s="64">
        <v>0</v>
      </c>
      <c r="AD21" s="56"/>
      <c r="AE21" s="56"/>
      <c r="AF21" s="67"/>
      <c r="AG21" s="38"/>
    </row>
    <row r="22" s="2" customFormat="1">
      <c r="A22" s="60" t="s">
        <v>85</v>
      </c>
      <c r="B22" s="61">
        <v>457461200</v>
      </c>
      <c r="C22" s="61" t="s">
        <v>86</v>
      </c>
      <c r="D22" s="62"/>
      <c r="E22" s="62"/>
      <c r="F22" s="62"/>
      <c r="G22" s="63">
        <v>40968</v>
      </c>
      <c r="H22" s="63">
        <v>40966</v>
      </c>
      <c r="I22" s="63">
        <v>40987</v>
      </c>
      <c r="J22" s="64">
        <v>0.0475</v>
      </c>
      <c r="K22" s="54"/>
      <c r="L22" s="54"/>
      <c r="M22" s="93">
        <f t="shared" si="1"/>
      </c>
      <c r="N22" s="64">
        <f t="shared" si="2"/>
      </c>
      <c r="O22" s="65"/>
      <c r="P22" s="56"/>
      <c r="Q22" s="66">
        <f t="shared" si="3"/>
      </c>
      <c r="R22" s="64">
        <f t="shared" si="4"/>
      </c>
      <c r="S22" s="56"/>
      <c r="T22" s="56"/>
      <c r="U22" s="64">
        <f t="shared" si="5"/>
      </c>
      <c r="V22" s="64">
        <v>0</v>
      </c>
      <c r="W22" s="64">
        <v>0</v>
      </c>
      <c r="X22" s="56"/>
      <c r="Y22" s="64">
        <v>0</v>
      </c>
      <c r="Z22" s="64">
        <f t="shared" si="6"/>
      </c>
      <c r="AA22" s="56"/>
      <c r="AB22" s="64">
        <v>0</v>
      </c>
      <c r="AC22" s="64">
        <v>0</v>
      </c>
      <c r="AD22" s="56"/>
      <c r="AE22" s="56"/>
      <c r="AF22" s="67"/>
      <c r="AG22" s="38"/>
    </row>
    <row r="23" s="2" customFormat="1">
      <c r="A23" s="60" t="s">
        <v>85</v>
      </c>
      <c r="B23" s="61">
        <v>457461200</v>
      </c>
      <c r="C23" s="61" t="s">
        <v>86</v>
      </c>
      <c r="D23" s="62"/>
      <c r="E23" s="62"/>
      <c r="F23" s="62"/>
      <c r="G23" s="63">
        <v>41001</v>
      </c>
      <c r="H23" s="63">
        <v>40997</v>
      </c>
      <c r="I23" s="63">
        <v>41016</v>
      </c>
      <c r="J23" s="64">
        <v>0.0475</v>
      </c>
      <c r="K23" s="54"/>
      <c r="L23" s="54"/>
      <c r="M23" s="93">
        <f t="shared" si="1"/>
      </c>
      <c r="N23" s="64">
        <f t="shared" si="2"/>
      </c>
      <c r="O23" s="65"/>
      <c r="P23" s="56"/>
      <c r="Q23" s="66">
        <f t="shared" si="3"/>
      </c>
      <c r="R23" s="64">
        <f t="shared" si="4"/>
      </c>
      <c r="S23" s="56"/>
      <c r="T23" s="56"/>
      <c r="U23" s="64">
        <f t="shared" si="5"/>
      </c>
      <c r="V23" s="64">
        <v>0</v>
      </c>
      <c r="W23" s="64">
        <v>0</v>
      </c>
      <c r="X23" s="56"/>
      <c r="Y23" s="64">
        <v>0</v>
      </c>
      <c r="Z23" s="64">
        <f t="shared" si="6"/>
      </c>
      <c r="AA23" s="56"/>
      <c r="AB23" s="64">
        <v>0</v>
      </c>
      <c r="AC23" s="64">
        <v>0</v>
      </c>
      <c r="AD23" s="56"/>
      <c r="AE23" s="56"/>
      <c r="AF23" s="67"/>
      <c r="AG23" s="38"/>
    </row>
    <row r="24">
      <c r="A24" s="60" t="s">
        <v>85</v>
      </c>
      <c r="B24" s="61">
        <v>457461200</v>
      </c>
      <c r="C24" s="61" t="s">
        <v>86</v>
      </c>
      <c r="D24" s="62"/>
      <c r="E24" s="62"/>
      <c r="F24" s="62"/>
      <c r="G24" s="63">
        <v>41029</v>
      </c>
      <c r="H24" s="63">
        <v>41025</v>
      </c>
      <c r="I24" s="63">
        <v>41046</v>
      </c>
      <c r="J24" s="64">
        <v>0.0475</v>
      </c>
      <c r="K24" s="54"/>
      <c r="L24" s="54"/>
      <c r="M24" s="93">
        <f t="shared" si="1"/>
      </c>
      <c r="N24" s="64">
        <f t="shared" si="2"/>
      </c>
      <c r="O24" s="65"/>
      <c r="P24" s="56"/>
      <c r="Q24" s="66">
        <f t="shared" si="3"/>
      </c>
      <c r="R24" s="64">
        <f t="shared" si="4"/>
      </c>
      <c r="S24" s="56"/>
      <c r="T24" s="56"/>
      <c r="U24" s="64">
        <f t="shared" si="5"/>
      </c>
      <c r="V24" s="64">
        <v>0</v>
      </c>
      <c r="W24" s="64">
        <v>0</v>
      </c>
      <c r="X24" s="56"/>
      <c r="Y24" s="64">
        <v>0</v>
      </c>
      <c r="Z24" s="64">
        <f t="shared" si="6"/>
      </c>
      <c r="AA24" s="56"/>
      <c r="AB24" s="64">
        <v>0</v>
      </c>
      <c r="AC24" s="64">
        <v>0</v>
      </c>
      <c r="AD24" s="56"/>
      <c r="AE24" s="56"/>
      <c r="AF24" s="67"/>
      <c r="AG24" s="38"/>
    </row>
    <row r="25" s="2" customFormat="1">
      <c r="A25" s="60" t="s">
        <v>85</v>
      </c>
      <c r="B25" s="61">
        <v>457461200</v>
      </c>
      <c r="C25" s="61" t="s">
        <v>86</v>
      </c>
      <c r="D25" s="62"/>
      <c r="E25" s="62"/>
      <c r="F25" s="62"/>
      <c r="G25" s="63">
        <v>41060</v>
      </c>
      <c r="H25" s="63">
        <v>41058</v>
      </c>
      <c r="I25" s="63">
        <v>41078</v>
      </c>
      <c r="J25" s="64">
        <v>0.0475</v>
      </c>
      <c r="K25" s="54"/>
      <c r="L25" s="54"/>
      <c r="M25" s="93">
        <f t="shared" si="1"/>
      </c>
      <c r="N25" s="64">
        <f t="shared" si="2"/>
      </c>
      <c r="O25" s="65"/>
      <c r="P25" s="56"/>
      <c r="Q25" s="66">
        <f t="shared" si="3"/>
      </c>
      <c r="R25" s="64">
        <f t="shared" si="4"/>
      </c>
      <c r="S25" s="56"/>
      <c r="T25" s="56"/>
      <c r="U25" s="64">
        <f t="shared" si="5"/>
      </c>
      <c r="V25" s="64">
        <v>0</v>
      </c>
      <c r="W25" s="64">
        <v>0</v>
      </c>
      <c r="X25" s="56"/>
      <c r="Y25" s="64">
        <v>0</v>
      </c>
      <c r="Z25" s="64">
        <f t="shared" si="6"/>
      </c>
      <c r="AA25" s="56"/>
      <c r="AB25" s="64">
        <v>0</v>
      </c>
      <c r="AC25" s="64">
        <v>0</v>
      </c>
      <c r="AD25" s="56"/>
      <c r="AE25" s="56"/>
      <c r="AF25" s="67"/>
      <c r="AG25" s="38"/>
    </row>
    <row r="26" s="2" customFormat="1">
      <c r="A26" s="60" t="s">
        <v>85</v>
      </c>
      <c r="B26" s="61">
        <v>457461200</v>
      </c>
      <c r="C26" s="61" t="s">
        <v>86</v>
      </c>
      <c r="D26" s="62"/>
      <c r="E26" s="62"/>
      <c r="F26" s="62"/>
      <c r="G26" s="63">
        <v>41092</v>
      </c>
      <c r="H26" s="63">
        <v>41088</v>
      </c>
      <c r="I26" s="63">
        <v>41107</v>
      </c>
      <c r="J26" s="64">
        <v>0.0475</v>
      </c>
      <c r="K26" s="54"/>
      <c r="L26" s="54"/>
      <c r="M26" s="93">
        <f t="shared" si="1"/>
      </c>
      <c r="N26" s="64">
        <f t="shared" si="2"/>
      </c>
      <c r="O26" s="65"/>
      <c r="P26" s="56"/>
      <c r="Q26" s="66">
        <f t="shared" si="3"/>
      </c>
      <c r="R26" s="64">
        <f t="shared" si="4"/>
      </c>
      <c r="S26" s="56"/>
      <c r="T26" s="56"/>
      <c r="U26" s="64">
        <f t="shared" si="5"/>
      </c>
      <c r="V26" s="64">
        <v>0</v>
      </c>
      <c r="W26" s="64">
        <v>0</v>
      </c>
      <c r="X26" s="56"/>
      <c r="Y26" s="64">
        <v>0</v>
      </c>
      <c r="Z26" s="64">
        <f t="shared" si="6"/>
      </c>
      <c r="AA26" s="56"/>
      <c r="AB26" s="64">
        <v>0</v>
      </c>
      <c r="AC26" s="64">
        <v>0</v>
      </c>
      <c r="AD26" s="56"/>
      <c r="AE26" s="56"/>
      <c r="AF26" s="67"/>
      <c r="AG26" s="38"/>
    </row>
    <row r="27" s="2" customFormat="1">
      <c r="A27" s="60" t="s">
        <v>85</v>
      </c>
      <c r="B27" s="61">
        <v>457461200</v>
      </c>
      <c r="C27" s="61" t="s">
        <v>86</v>
      </c>
      <c r="D27" s="62"/>
      <c r="E27" s="62"/>
      <c r="F27" s="62"/>
      <c r="G27" s="63">
        <v>41121</v>
      </c>
      <c r="H27" s="63">
        <v>41117</v>
      </c>
      <c r="I27" s="63">
        <v>41138</v>
      </c>
      <c r="J27" s="64">
        <v>0.0475</v>
      </c>
      <c r="K27" s="54"/>
      <c r="L27" s="54"/>
      <c r="M27" s="93">
        <f t="shared" si="1"/>
      </c>
      <c r="N27" s="64">
        <f t="shared" si="2"/>
      </c>
      <c r="O27" s="65"/>
      <c r="P27" s="56"/>
      <c r="Q27" s="66">
        <f t="shared" si="3"/>
      </c>
      <c r="R27" s="64">
        <f t="shared" si="4"/>
      </c>
      <c r="S27" s="56"/>
      <c r="T27" s="56"/>
      <c r="U27" s="64">
        <f t="shared" si="5"/>
      </c>
      <c r="V27" s="64">
        <v>0</v>
      </c>
      <c r="W27" s="64">
        <v>0</v>
      </c>
      <c r="X27" s="56"/>
      <c r="Y27" s="64">
        <v>0</v>
      </c>
      <c r="Z27" s="64">
        <f t="shared" si="6"/>
      </c>
      <c r="AA27" s="56"/>
      <c r="AB27" s="64">
        <v>0</v>
      </c>
      <c r="AC27" s="64">
        <v>0</v>
      </c>
      <c r="AD27" s="56"/>
      <c r="AE27" s="56"/>
      <c r="AF27" s="67"/>
      <c r="AG27" s="38"/>
    </row>
    <row r="28" s="2" customFormat="1">
      <c r="A28" s="60" t="s">
        <v>85</v>
      </c>
      <c r="B28" s="61">
        <v>457461200</v>
      </c>
      <c r="C28" s="61" t="s">
        <v>86</v>
      </c>
      <c r="D28" s="62"/>
      <c r="E28" s="62"/>
      <c r="F28" s="62"/>
      <c r="G28" s="63">
        <v>41152</v>
      </c>
      <c r="H28" s="63">
        <v>41150</v>
      </c>
      <c r="I28" s="63">
        <v>41169</v>
      </c>
      <c r="J28" s="64">
        <v>0.0475</v>
      </c>
      <c r="K28" s="54"/>
      <c r="L28" s="54"/>
      <c r="M28" s="93">
        <f t="shared" si="1"/>
      </c>
      <c r="N28" s="64">
        <f t="shared" si="2"/>
      </c>
      <c r="O28" s="65"/>
      <c r="P28" s="56"/>
      <c r="Q28" s="66">
        <f t="shared" si="3"/>
      </c>
      <c r="R28" s="64">
        <f t="shared" si="4"/>
      </c>
      <c r="S28" s="56"/>
      <c r="T28" s="56"/>
      <c r="U28" s="64">
        <f t="shared" si="5"/>
      </c>
      <c r="V28" s="64">
        <v>0</v>
      </c>
      <c r="W28" s="64">
        <v>0</v>
      </c>
      <c r="X28" s="56"/>
      <c r="Y28" s="64">
        <v>0</v>
      </c>
      <c r="Z28" s="64">
        <f t="shared" si="6"/>
      </c>
      <c r="AA28" s="56"/>
      <c r="AB28" s="64">
        <v>0</v>
      </c>
      <c r="AC28" s="64">
        <v>0</v>
      </c>
      <c r="AD28" s="56"/>
      <c r="AE28" s="56"/>
      <c r="AF28" s="67"/>
      <c r="AG28" s="38"/>
    </row>
    <row r="29" s="2" customFormat="1">
      <c r="A29" s="60" t="s">
        <v>85</v>
      </c>
      <c r="B29" s="61">
        <v>457461200</v>
      </c>
      <c r="C29" s="61" t="s">
        <v>86</v>
      </c>
      <c r="D29" s="62"/>
      <c r="E29" s="62"/>
      <c r="F29" s="62"/>
      <c r="G29" s="63">
        <v>41183</v>
      </c>
      <c r="H29" s="63">
        <v>41179</v>
      </c>
      <c r="I29" s="63">
        <v>41199</v>
      </c>
      <c r="J29" s="64">
        <v>0.0475</v>
      </c>
      <c r="K29" s="54"/>
      <c r="L29" s="54"/>
      <c r="M29" s="93">
        <f t="shared" si="1"/>
      </c>
      <c r="N29" s="64">
        <f t="shared" si="2"/>
      </c>
      <c r="O29" s="65"/>
      <c r="P29" s="56"/>
      <c r="Q29" s="66">
        <f t="shared" si="3"/>
      </c>
      <c r="R29" s="64">
        <f t="shared" si="4"/>
      </c>
      <c r="S29" s="56"/>
      <c r="T29" s="56"/>
      <c r="U29" s="64">
        <f t="shared" si="5"/>
      </c>
      <c r="V29" s="64">
        <v>0</v>
      </c>
      <c r="W29" s="64">
        <v>0</v>
      </c>
      <c r="X29" s="56"/>
      <c r="Y29" s="64">
        <v>0</v>
      </c>
      <c r="Z29" s="64">
        <f t="shared" si="6"/>
      </c>
      <c r="AA29" s="56"/>
      <c r="AB29" s="64">
        <v>0</v>
      </c>
      <c r="AC29" s="64">
        <v>0</v>
      </c>
      <c r="AD29" s="56"/>
      <c r="AE29" s="56"/>
      <c r="AF29" s="67"/>
      <c r="AG29" s="38"/>
    </row>
    <row r="30" s="2" customFormat="1">
      <c r="A30" s="60" t="s">
        <v>85</v>
      </c>
      <c r="B30" s="61">
        <v>457461200</v>
      </c>
      <c r="C30" s="61" t="s">
        <v>86</v>
      </c>
      <c r="D30" s="62"/>
      <c r="E30" s="62"/>
      <c r="F30" s="62"/>
      <c r="G30" s="63">
        <v>41213</v>
      </c>
      <c r="H30" s="63">
        <v>41211</v>
      </c>
      <c r="I30" s="63">
        <v>41232</v>
      </c>
      <c r="J30" s="64">
        <v>0.0475</v>
      </c>
      <c r="K30" s="54"/>
      <c r="L30" s="54"/>
      <c r="M30" s="93">
        <f t="shared" si="1"/>
      </c>
      <c r="N30" s="64">
        <f t="shared" si="2"/>
      </c>
      <c r="O30" s="65"/>
      <c r="P30" s="56"/>
      <c r="Q30" s="66">
        <f t="shared" si="3"/>
      </c>
      <c r="R30" s="64">
        <f t="shared" si="4"/>
      </c>
      <c r="S30" s="56"/>
      <c r="T30" s="56"/>
      <c r="U30" s="64">
        <f t="shared" si="5"/>
      </c>
      <c r="V30" s="64">
        <v>0</v>
      </c>
      <c r="W30" s="64">
        <v>0</v>
      </c>
      <c r="X30" s="56"/>
      <c r="Y30" s="64">
        <v>0</v>
      </c>
      <c r="Z30" s="64">
        <f t="shared" si="6"/>
      </c>
      <c r="AA30" s="56"/>
      <c r="AB30" s="64">
        <v>0</v>
      </c>
      <c r="AC30" s="64">
        <v>0</v>
      </c>
      <c r="AD30" s="56"/>
      <c r="AE30" s="56"/>
      <c r="AF30" s="67"/>
      <c r="AG30" s="38"/>
    </row>
    <row r="31">
      <c r="A31" s="60" t="s">
        <v>85</v>
      </c>
      <c r="B31" s="61">
        <v>457461200</v>
      </c>
      <c r="C31" s="61" t="s">
        <v>86</v>
      </c>
      <c r="D31" s="62"/>
      <c r="E31" s="62"/>
      <c r="F31" s="62"/>
      <c r="G31" s="63">
        <v>41243</v>
      </c>
      <c r="H31" s="63">
        <v>41241</v>
      </c>
      <c r="I31" s="63">
        <v>41260</v>
      </c>
      <c r="J31" s="64">
        <v>0.0475</v>
      </c>
      <c r="K31" s="54"/>
      <c r="L31" s="54"/>
      <c r="M31" s="93">
        <f t="shared" si="1"/>
      </c>
      <c r="N31" s="64">
        <f t="shared" si="2"/>
      </c>
      <c r="O31" s="68"/>
      <c r="P31" s="69"/>
      <c r="Q31" s="66">
        <f t="shared" si="3"/>
      </c>
      <c r="R31" s="64">
        <f t="shared" si="4"/>
      </c>
      <c r="S31" s="69"/>
      <c r="T31" s="69"/>
      <c r="U31" s="64">
        <f t="shared" si="5"/>
      </c>
      <c r="V31" s="64">
        <v>0</v>
      </c>
      <c r="W31" s="64">
        <v>0</v>
      </c>
      <c r="X31" s="69"/>
      <c r="Y31" s="64">
        <v>0</v>
      </c>
      <c r="Z31" s="64">
        <f t="shared" si="6"/>
      </c>
      <c r="AA31" s="69"/>
      <c r="AB31" s="64">
        <v>0</v>
      </c>
      <c r="AC31" s="64">
        <v>0</v>
      </c>
      <c r="AD31" s="69"/>
      <c r="AE31" s="69"/>
      <c r="AF31" s="71"/>
      <c r="AG31" s="38"/>
    </row>
    <row r="32" s="2" customFormat="1">
      <c r="A32" s="60" t="s">
        <v>85</v>
      </c>
      <c r="B32" s="61">
        <v>457461200</v>
      </c>
      <c r="C32" s="61" t="s">
        <v>86</v>
      </c>
      <c r="D32" s="62"/>
      <c r="E32" s="62"/>
      <c r="F32" s="62"/>
      <c r="G32" s="75">
        <v>41274</v>
      </c>
      <c r="H32" s="75">
        <v>41270</v>
      </c>
      <c r="I32" s="75">
        <v>41291</v>
      </c>
      <c r="J32" s="64">
        <f>(2862775/4244887)*0.0475</f>
      </c>
      <c r="K32" s="54"/>
      <c r="L32" s="54"/>
      <c r="M32" s="93">
        <f t="shared" si="1"/>
      </c>
      <c r="N32" s="64">
        <f t="shared" si="2"/>
      </c>
      <c r="O32" s="68"/>
      <c r="P32" s="69"/>
      <c r="Q32" s="66">
        <f t="shared" si="3"/>
      </c>
      <c r="R32" s="64">
        <f t="shared" si="4"/>
      </c>
      <c r="S32" s="69"/>
      <c r="T32" s="69"/>
      <c r="U32" s="64">
        <f t="shared" si="5"/>
      </c>
      <c r="V32" s="64">
        <v>0</v>
      </c>
      <c r="W32" s="64">
        <v>0</v>
      </c>
      <c r="X32" s="69"/>
      <c r="Y32" s="64">
        <v>0</v>
      </c>
      <c r="Z32" s="64">
        <f t="shared" si="6"/>
      </c>
      <c r="AA32" s="69"/>
      <c r="AB32" s="64">
        <v>0</v>
      </c>
      <c r="AC32" s="64">
        <v>0</v>
      </c>
      <c r="AD32" s="69"/>
      <c r="AE32" s="69"/>
      <c r="AF32" s="71"/>
      <c r="AG32" s="38"/>
    </row>
    <row r="33">
      <c r="A33" s="72"/>
      <c r="B33" s="73"/>
      <c r="C33" s="73"/>
      <c r="D33" s="74"/>
      <c r="E33" s="74"/>
      <c r="F33" s="74"/>
      <c r="G33" s="75"/>
      <c r="H33" s="75"/>
      <c r="I33" s="75"/>
      <c r="J33" s="54"/>
      <c r="K33" s="54"/>
      <c r="L33" s="54"/>
      <c r="M33" s="54"/>
      <c r="N33" s="54"/>
      <c r="O33" s="68"/>
      <c r="P33" s="69"/>
      <c r="Q33" s="70"/>
      <c r="R33" s="54"/>
      <c r="S33" s="69"/>
      <c r="T33" s="69"/>
      <c r="U33" s="54"/>
      <c r="V33" s="54"/>
      <c r="W33" s="54"/>
      <c r="X33" s="69"/>
      <c r="Y33" s="54"/>
      <c r="Z33" s="54"/>
      <c r="AA33" s="69"/>
      <c r="AB33" s="54"/>
      <c r="AC33" s="54"/>
      <c r="AD33" s="69"/>
      <c r="AE33" s="69"/>
      <c r="AF33" s="71"/>
      <c r="AG33" s="38"/>
    </row>
    <row r="34">
      <c r="A34" s="84">
        <f>IF(COUNTA(M20:M33)=0,"",IF(COUNTA(F20:F33)=0,IF(COUNTA(D20:D33)=0,"Totals - Final","Totals - Estimated"),"Totals - Corrected"))</f>
      </c>
      <c r="B34" s="87">
        <f>IF(ISNA(INDEX(B20:B33,MAX(MATCH(REPT("z",255),B20:B33)))),"",INDEX(B20:B33,MAX(MATCH(REPT("z",255),B20:B33))))</f>
      </c>
      <c r="C34" s="87">
        <f>IF(ISNA(INDEX(C20:C33,MAX(MATCH(REPT("z",255),C20:C33)))),"",INDEX(C20:C33,MAX(MATCH(REPT("z",255),C20:C33))))</f>
      </c>
      <c r="D34" s="87">
        <f>IF(ISNA(INDEX(A20:A33,MAX(MATCH(REPT("z",255),A20:A33)))),"",INDEX(A20:A33,MAX(MATCH(REPT("z",255),A20:A33))))</f>
      </c>
      <c r="E34" s="85"/>
      <c r="F34" s="85"/>
      <c r="G34" s="86"/>
      <c r="H34" s="86"/>
      <c r="I34" s="86"/>
      <c r="J34" s="76">
        <f>SUM(IF(NOT(ISBLANK($B19:$B33)),J19:J33,""))</f>
      </c>
      <c r="K34" s="76">
        <f ref="K34:K34" t="array">SUM(IF(NOT(ISBLANK($B19:$B33)),K19:K33,""))</f>
      </c>
      <c r="L34" s="76">
        <f ref="L34:L34" t="array">SUM(IF(NOT(ISBLANK($B19:$B33)),L19:L33,""))</f>
      </c>
      <c r="M34" s="76">
        <f ref="M34:M34" t="array">SUM(IF(NOT(ISBLANK($B19:$B33)),M19:M33,""))</f>
      </c>
      <c r="N34" s="76">
        <f ref="N34:N34" t="array">SUM(IF(NOT(ISBLANK($B19:$B33)),N19:N33,""))</f>
      </c>
      <c r="O34" s="76">
        <f ref="O34:O34" t="array">SUM(IF(NOT(ISBLANK($B19:$B33)),O19:O33,""))</f>
      </c>
      <c r="P34" s="77"/>
      <c r="Q34" s="76">
        <f ref="Q34:Q34" t="array">SUM(IF(NOT(ISBLANK($B19:$B33)),Q19:Q33,""))</f>
      </c>
      <c r="R34" s="76">
        <f ref="R34:R34" t="array">SUM(IF(NOT(ISBLANK($B19:$B33)),R19:R33,""))</f>
      </c>
      <c r="S34" s="77"/>
      <c r="T34" s="77"/>
      <c r="U34" s="76">
        <f ref="U34:U34" t="array">SUM(IF(NOT(ISBLANK($B19:$B33)),U19:U33,""))</f>
      </c>
      <c r="V34" s="76">
        <f ref="V34:V34" t="array">SUM(IF(NOT(ISBLANK($B19:$B33)),V19:V33,""))</f>
      </c>
      <c r="W34" s="76">
        <f ref="W34:W34" t="array">SUM(IF(NOT(ISBLANK($B19:$B33)),W19:W33,""))</f>
      </c>
      <c r="X34" s="77"/>
      <c r="Y34" s="76">
        <f ref="Y34:Y34" t="array">SUM(IF(NOT(ISBLANK($B19:$B33)),Y19:Y33,""))</f>
      </c>
      <c r="Z34" s="76">
        <f ref="Z34:Z34" t="array">SUM(IF(NOT(ISBLANK($B19:$B33)),Z19:Z33,""))</f>
      </c>
      <c r="AA34" s="77"/>
      <c r="AB34" s="76">
        <f ref="AB34:AB34" t="array">SUM(IF(NOT(ISBLANK($B19:$B33)),AB19:AB33,""))</f>
      </c>
      <c r="AC34" s="76">
        <f ref="AC34:AC34" t="array">SUM(IF(NOT(ISBLANK($B19:$B33)),AC19:AC33,""))</f>
      </c>
      <c r="AD34" s="77"/>
      <c r="AE34" s="77"/>
      <c r="AF34" s="78"/>
      <c r="AG34" s="79">
        <v>1</v>
      </c>
    </row>
    <row r="35" ht="0" hidden="1">
      <c r="A35" s="50"/>
      <c r="B35" s="51"/>
      <c r="C35" s="51"/>
      <c r="D35" s="80"/>
      <c r="E35" s="80"/>
      <c r="F35" s="80"/>
      <c r="G35" s="81"/>
      <c r="H35" s="81"/>
      <c r="I35" s="81"/>
      <c r="J35" s="53"/>
      <c r="K35" s="54"/>
      <c r="L35" s="54"/>
      <c r="M35" s="54"/>
      <c r="N35" s="53"/>
      <c r="O35" s="55"/>
      <c r="P35" s="82"/>
      <c r="Q35" s="57"/>
      <c r="R35" s="53"/>
      <c r="S35" s="82"/>
      <c r="T35" s="82"/>
      <c r="U35" s="53"/>
      <c r="V35" s="53"/>
      <c r="W35" s="53"/>
      <c r="X35" s="82"/>
      <c r="Y35" s="53"/>
      <c r="Z35" s="53"/>
      <c r="AA35" s="82"/>
      <c r="AB35" s="53"/>
      <c r="AC35" s="53"/>
      <c r="AD35" s="82"/>
      <c r="AE35" s="82"/>
      <c r="AF35" s="83"/>
      <c r="AG35" s="38"/>
    </row>
    <row r="36">
      <c r="A36" s="91" t="s">
        <v>87</v>
      </c>
      <c r="B36" s="92">
        <v>457461408</v>
      </c>
      <c r="C36" s="92" t="s">
        <v>88</v>
      </c>
      <c r="D36" s="62"/>
      <c r="E36" s="62"/>
      <c r="F36" s="62"/>
      <c r="G36" s="63">
        <v>40910</v>
      </c>
      <c r="H36" s="63">
        <v>40906</v>
      </c>
      <c r="I36" s="63">
        <v>40925</v>
      </c>
      <c r="J36" s="64">
        <f>K36+L36+M36</f>
      </c>
      <c r="K36" s="54"/>
      <c r="L36" s="54"/>
      <c r="M36" s="93">
        <f>+N36+O36+V36+Z36+AB36</f>
      </c>
      <c r="N36" s="64">
        <f>0.169271*1</f>
      </c>
      <c r="O36" s="65"/>
      <c r="P36" s="56"/>
      <c r="Q36" s="66">
        <f ref="Q36:Q47" t="shared" si="7">N36+O36</f>
      </c>
      <c r="R36" s="64">
        <f ref="R36:R47" t="shared" si="8">J36*0.162121</f>
      </c>
      <c r="S36" s="56"/>
      <c r="T36" s="56"/>
      <c r="U36" s="64">
        <f ref="U36:U47" t="shared" si="9">R36</f>
      </c>
      <c r="V36" s="64">
        <v>0</v>
      </c>
      <c r="W36" s="64">
        <v>0</v>
      </c>
      <c r="X36" s="56"/>
      <c r="Y36" s="64">
        <v>0</v>
      </c>
      <c r="Z36" s="64">
        <f ref="Z36:Z47" t="shared" si="10">0.0475*0</f>
      </c>
      <c r="AA36" s="56"/>
      <c r="AB36" s="64">
        <v>0</v>
      </c>
      <c r="AC36" s="64">
        <v>0</v>
      </c>
      <c r="AD36" s="56"/>
      <c r="AE36" s="56"/>
      <c r="AF36" s="67"/>
      <c r="AG36" s="38"/>
    </row>
    <row r="37" s="2" customFormat="1">
      <c r="A37" s="91" t="s">
        <v>87</v>
      </c>
      <c r="B37" s="92">
        <v>457461408</v>
      </c>
      <c r="C37" s="92" t="s">
        <v>88</v>
      </c>
      <c r="D37" s="62"/>
      <c r="E37" s="62"/>
      <c r="F37" s="62"/>
      <c r="G37" s="63">
        <v>40940</v>
      </c>
      <c r="H37" s="63">
        <v>40938</v>
      </c>
      <c r="I37" s="63">
        <v>40954</v>
      </c>
      <c r="J37" s="64">
        <f ref="J37:J47" t="shared" si="11">K37+L37+M37</f>
      </c>
      <c r="K37" s="54"/>
      <c r="L37" s="54"/>
      <c r="M37" s="93">
        <f ref="M37:M47" t="shared" si="12">+N37+O37+V37+Z37+AB37</f>
      </c>
      <c r="N37" s="64">
        <f ref="N37:N47" t="shared" si="13">0.169271*1</f>
      </c>
      <c r="O37" s="65"/>
      <c r="P37" s="56"/>
      <c r="Q37" s="66">
        <f t="shared" si="7"/>
      </c>
      <c r="R37" s="64">
        <f t="shared" si="8"/>
      </c>
      <c r="S37" s="56"/>
      <c r="T37" s="56"/>
      <c r="U37" s="64">
        <f t="shared" si="9"/>
      </c>
      <c r="V37" s="64">
        <v>0</v>
      </c>
      <c r="W37" s="64">
        <v>0</v>
      </c>
      <c r="X37" s="56"/>
      <c r="Y37" s="64">
        <v>0</v>
      </c>
      <c r="Z37" s="64">
        <f t="shared" si="10"/>
      </c>
      <c r="AA37" s="56"/>
      <c r="AB37" s="64">
        <v>0</v>
      </c>
      <c r="AC37" s="64">
        <v>0</v>
      </c>
      <c r="AD37" s="56"/>
      <c r="AE37" s="56"/>
      <c r="AF37" s="67"/>
      <c r="AG37" s="38"/>
    </row>
    <row r="38" s="2" customFormat="1">
      <c r="A38" s="91" t="s">
        <v>87</v>
      </c>
      <c r="B38" s="92">
        <v>457461408</v>
      </c>
      <c r="C38" s="92" t="s">
        <v>88</v>
      </c>
      <c r="D38" s="62"/>
      <c r="E38" s="62"/>
      <c r="F38" s="62"/>
      <c r="G38" s="63">
        <v>40969</v>
      </c>
      <c r="H38" s="63">
        <v>40967</v>
      </c>
      <c r="I38" s="63">
        <v>40983</v>
      </c>
      <c r="J38" s="64">
        <f t="shared" si="11"/>
      </c>
      <c r="K38" s="54"/>
      <c r="L38" s="54"/>
      <c r="M38" s="93">
        <f t="shared" si="12"/>
      </c>
      <c r="N38" s="64">
        <f t="shared" si="13"/>
      </c>
      <c r="O38" s="65"/>
      <c r="P38" s="56"/>
      <c r="Q38" s="66">
        <f t="shared" si="7"/>
      </c>
      <c r="R38" s="64">
        <f t="shared" si="8"/>
      </c>
      <c r="S38" s="56"/>
      <c r="T38" s="56"/>
      <c r="U38" s="64">
        <f t="shared" si="9"/>
      </c>
      <c r="V38" s="64">
        <v>0</v>
      </c>
      <c r="W38" s="64">
        <v>0</v>
      </c>
      <c r="X38" s="56"/>
      <c r="Y38" s="64">
        <v>0</v>
      </c>
      <c r="Z38" s="64">
        <f t="shared" si="10"/>
      </c>
      <c r="AA38" s="56"/>
      <c r="AB38" s="64">
        <v>0</v>
      </c>
      <c r="AC38" s="64">
        <v>0</v>
      </c>
      <c r="AD38" s="56"/>
      <c r="AE38" s="56"/>
      <c r="AF38" s="67"/>
      <c r="AG38" s="38"/>
    </row>
    <row r="39" s="2" customFormat="1">
      <c r="A39" s="91" t="s">
        <v>87</v>
      </c>
      <c r="B39" s="92">
        <v>457461408</v>
      </c>
      <c r="C39" s="92" t="s">
        <v>88</v>
      </c>
      <c r="D39" s="62"/>
      <c r="E39" s="62"/>
      <c r="F39" s="62"/>
      <c r="G39" s="63">
        <v>41001</v>
      </c>
      <c r="H39" s="63">
        <v>40997</v>
      </c>
      <c r="I39" s="63">
        <v>41015</v>
      </c>
      <c r="J39" s="64">
        <f t="shared" si="11"/>
      </c>
      <c r="K39" s="54"/>
      <c r="L39" s="54"/>
      <c r="M39" s="93">
        <f t="shared" si="12"/>
      </c>
      <c r="N39" s="64">
        <f t="shared" si="13"/>
      </c>
      <c r="O39" s="65"/>
      <c r="P39" s="56"/>
      <c r="Q39" s="66">
        <f t="shared" si="7"/>
      </c>
      <c r="R39" s="64">
        <f t="shared" si="8"/>
      </c>
      <c r="S39" s="56"/>
      <c r="T39" s="56"/>
      <c r="U39" s="64">
        <f t="shared" si="9"/>
      </c>
      <c r="V39" s="64">
        <v>0</v>
      </c>
      <c r="W39" s="64">
        <v>0</v>
      </c>
      <c r="X39" s="56"/>
      <c r="Y39" s="64">
        <v>0</v>
      </c>
      <c r="Z39" s="64">
        <f t="shared" si="10"/>
      </c>
      <c r="AA39" s="56"/>
      <c r="AB39" s="64">
        <v>0</v>
      </c>
      <c r="AC39" s="64">
        <v>0</v>
      </c>
      <c r="AD39" s="56"/>
      <c r="AE39" s="56"/>
      <c r="AF39" s="67"/>
      <c r="AG39" s="38"/>
    </row>
    <row r="40" s="2" customFormat="1">
      <c r="A40" s="91" t="s">
        <v>87</v>
      </c>
      <c r="B40" s="92">
        <v>457461408</v>
      </c>
      <c r="C40" s="92" t="s">
        <v>88</v>
      </c>
      <c r="D40" s="62"/>
      <c r="E40" s="62"/>
      <c r="F40" s="62"/>
      <c r="G40" s="63">
        <v>41030</v>
      </c>
      <c r="H40" s="63">
        <v>41028</v>
      </c>
      <c r="I40" s="63">
        <v>41044</v>
      </c>
      <c r="J40" s="64">
        <f t="shared" si="11"/>
      </c>
      <c r="K40" s="54"/>
      <c r="L40" s="54"/>
      <c r="M40" s="93">
        <f t="shared" si="12"/>
      </c>
      <c r="N40" s="64">
        <f t="shared" si="13"/>
      </c>
      <c r="O40" s="65"/>
      <c r="P40" s="56"/>
      <c r="Q40" s="66">
        <f t="shared" si="7"/>
      </c>
      <c r="R40" s="64">
        <f t="shared" si="8"/>
      </c>
      <c r="S40" s="56"/>
      <c r="T40" s="56"/>
      <c r="U40" s="64">
        <f t="shared" si="9"/>
      </c>
      <c r="V40" s="64">
        <v>0</v>
      </c>
      <c r="W40" s="64">
        <v>0</v>
      </c>
      <c r="X40" s="56"/>
      <c r="Y40" s="64">
        <v>0</v>
      </c>
      <c r="Z40" s="64">
        <f t="shared" si="10"/>
      </c>
      <c r="AA40" s="56"/>
      <c r="AB40" s="64">
        <v>0</v>
      </c>
      <c r="AC40" s="64">
        <v>0</v>
      </c>
      <c r="AD40" s="56"/>
      <c r="AE40" s="56"/>
      <c r="AF40" s="67"/>
      <c r="AG40" s="38"/>
    </row>
    <row r="41" s="2" customFormat="1">
      <c r="A41" s="91" t="s">
        <v>87</v>
      </c>
      <c r="B41" s="92">
        <v>457461408</v>
      </c>
      <c r="C41" s="92" t="s">
        <v>88</v>
      </c>
      <c r="D41" s="62"/>
      <c r="E41" s="62"/>
      <c r="F41" s="62"/>
      <c r="G41" s="63">
        <v>41061</v>
      </c>
      <c r="H41" s="63">
        <v>41059</v>
      </c>
      <c r="I41" s="63">
        <v>41075</v>
      </c>
      <c r="J41" s="64">
        <f t="shared" si="11"/>
      </c>
      <c r="K41" s="54"/>
      <c r="L41" s="54"/>
      <c r="M41" s="93">
        <f t="shared" si="12"/>
      </c>
      <c r="N41" s="64">
        <f t="shared" si="13"/>
      </c>
      <c r="O41" s="65"/>
      <c r="P41" s="56"/>
      <c r="Q41" s="66">
        <f t="shared" si="7"/>
      </c>
      <c r="R41" s="64">
        <f t="shared" si="8"/>
      </c>
      <c r="S41" s="56"/>
      <c r="T41" s="56"/>
      <c r="U41" s="64">
        <f t="shared" si="9"/>
      </c>
      <c r="V41" s="64">
        <v>0</v>
      </c>
      <c r="W41" s="64">
        <v>0</v>
      </c>
      <c r="X41" s="56"/>
      <c r="Y41" s="64">
        <v>0</v>
      </c>
      <c r="Z41" s="64">
        <f t="shared" si="10"/>
      </c>
      <c r="AA41" s="56"/>
      <c r="AB41" s="64">
        <v>0</v>
      </c>
      <c r="AC41" s="64">
        <v>0</v>
      </c>
      <c r="AD41" s="56"/>
      <c r="AE41" s="56"/>
      <c r="AF41" s="67"/>
      <c r="AG41" s="38"/>
    </row>
    <row r="42" s="2" customFormat="1">
      <c r="A42" s="91" t="s">
        <v>87</v>
      </c>
      <c r="B42" s="92">
        <v>457461408</v>
      </c>
      <c r="C42" s="92" t="s">
        <v>88</v>
      </c>
      <c r="D42" s="62"/>
      <c r="E42" s="62"/>
      <c r="F42" s="62"/>
      <c r="G42" s="63">
        <v>41092</v>
      </c>
      <c r="H42" s="63">
        <v>41088</v>
      </c>
      <c r="I42" s="63">
        <v>41106</v>
      </c>
      <c r="J42" s="64">
        <f t="shared" si="11"/>
      </c>
      <c r="K42" s="54"/>
      <c r="L42" s="54"/>
      <c r="M42" s="93">
        <f t="shared" si="12"/>
      </c>
      <c r="N42" s="64">
        <f t="shared" si="13"/>
      </c>
      <c r="O42" s="65"/>
      <c r="P42" s="56"/>
      <c r="Q42" s="66">
        <f t="shared" si="7"/>
      </c>
      <c r="R42" s="64">
        <f t="shared" si="8"/>
      </c>
      <c r="S42" s="56"/>
      <c r="T42" s="56"/>
      <c r="U42" s="64">
        <f t="shared" si="9"/>
      </c>
      <c r="V42" s="64">
        <v>0</v>
      </c>
      <c r="W42" s="64">
        <v>0</v>
      </c>
      <c r="X42" s="56"/>
      <c r="Y42" s="64">
        <v>0</v>
      </c>
      <c r="Z42" s="64">
        <f t="shared" si="10"/>
      </c>
      <c r="AA42" s="56"/>
      <c r="AB42" s="64">
        <v>0</v>
      </c>
      <c r="AC42" s="64">
        <v>0</v>
      </c>
      <c r="AD42" s="56"/>
      <c r="AE42" s="56"/>
      <c r="AF42" s="67"/>
      <c r="AG42" s="38"/>
    </row>
    <row r="43" s="2" customFormat="1">
      <c r="A43" s="91" t="s">
        <v>87</v>
      </c>
      <c r="B43" s="92">
        <v>457461408</v>
      </c>
      <c r="C43" s="92" t="s">
        <v>88</v>
      </c>
      <c r="D43" s="62"/>
      <c r="E43" s="62"/>
      <c r="F43" s="62"/>
      <c r="G43" s="63">
        <v>41122</v>
      </c>
      <c r="H43" s="63">
        <v>41120</v>
      </c>
      <c r="I43" s="63">
        <v>41136</v>
      </c>
      <c r="J43" s="64">
        <f t="shared" si="11"/>
      </c>
      <c r="K43" s="54"/>
      <c r="L43" s="54"/>
      <c r="M43" s="93">
        <f t="shared" si="12"/>
      </c>
      <c r="N43" s="64">
        <f t="shared" si="13"/>
      </c>
      <c r="O43" s="65"/>
      <c r="P43" s="56"/>
      <c r="Q43" s="66">
        <f t="shared" si="7"/>
      </c>
      <c r="R43" s="64">
        <f t="shared" si="8"/>
      </c>
      <c r="S43" s="56"/>
      <c r="T43" s="56"/>
      <c r="U43" s="64">
        <f t="shared" si="9"/>
      </c>
      <c r="V43" s="64">
        <v>0</v>
      </c>
      <c r="W43" s="64">
        <v>0</v>
      </c>
      <c r="X43" s="56"/>
      <c r="Y43" s="64">
        <v>0</v>
      </c>
      <c r="Z43" s="64">
        <f t="shared" si="10"/>
      </c>
      <c r="AA43" s="56"/>
      <c r="AB43" s="64">
        <v>0</v>
      </c>
      <c r="AC43" s="64">
        <v>0</v>
      </c>
      <c r="AD43" s="56"/>
      <c r="AE43" s="56"/>
      <c r="AF43" s="67"/>
      <c r="AG43" s="38"/>
    </row>
    <row r="44" s="2" customFormat="1">
      <c r="A44" s="91" t="s">
        <v>87</v>
      </c>
      <c r="B44" s="92">
        <v>457461408</v>
      </c>
      <c r="C44" s="92" t="s">
        <v>88</v>
      </c>
      <c r="D44" s="62"/>
      <c r="E44" s="62"/>
      <c r="F44" s="62"/>
      <c r="G44" s="63">
        <v>41156</v>
      </c>
      <c r="H44" s="63">
        <v>41151</v>
      </c>
      <c r="I44" s="63">
        <v>41169</v>
      </c>
      <c r="J44" s="64">
        <f t="shared" si="11"/>
      </c>
      <c r="K44" s="54"/>
      <c r="L44" s="54"/>
      <c r="M44" s="93">
        <f t="shared" si="12"/>
      </c>
      <c r="N44" s="64">
        <f t="shared" si="13"/>
      </c>
      <c r="O44" s="65"/>
      <c r="P44" s="56"/>
      <c r="Q44" s="66">
        <f t="shared" si="7"/>
      </c>
      <c r="R44" s="64">
        <f t="shared" si="8"/>
      </c>
      <c r="S44" s="56"/>
      <c r="T44" s="56"/>
      <c r="U44" s="64">
        <f t="shared" si="9"/>
      </c>
      <c r="V44" s="64">
        <v>0</v>
      </c>
      <c r="W44" s="64">
        <v>0</v>
      </c>
      <c r="X44" s="56"/>
      <c r="Y44" s="64">
        <v>0</v>
      </c>
      <c r="Z44" s="64">
        <f t="shared" si="10"/>
      </c>
      <c r="AA44" s="56"/>
      <c r="AB44" s="64">
        <v>0</v>
      </c>
      <c r="AC44" s="64">
        <v>0</v>
      </c>
      <c r="AD44" s="56"/>
      <c r="AE44" s="56"/>
      <c r="AF44" s="67"/>
      <c r="AG44" s="38"/>
    </row>
    <row r="45" s="2" customFormat="1">
      <c r="A45" s="91" t="s">
        <v>87</v>
      </c>
      <c r="B45" s="92">
        <v>457461408</v>
      </c>
      <c r="C45" s="92" t="s">
        <v>88</v>
      </c>
      <c r="D45" s="62"/>
      <c r="E45" s="62"/>
      <c r="F45" s="62"/>
      <c r="G45" s="63">
        <v>41183</v>
      </c>
      <c r="H45" s="63">
        <v>41179</v>
      </c>
      <c r="I45" s="63">
        <v>41197</v>
      </c>
      <c r="J45" s="64">
        <f t="shared" si="11"/>
      </c>
      <c r="K45" s="54"/>
      <c r="L45" s="54"/>
      <c r="M45" s="93">
        <f t="shared" si="12"/>
      </c>
      <c r="N45" s="64">
        <f t="shared" si="13"/>
      </c>
      <c r="O45" s="65"/>
      <c r="P45" s="56"/>
      <c r="Q45" s="66">
        <f t="shared" si="7"/>
      </c>
      <c r="R45" s="64">
        <f t="shared" si="8"/>
      </c>
      <c r="S45" s="56"/>
      <c r="T45" s="56"/>
      <c r="U45" s="64">
        <f t="shared" si="9"/>
      </c>
      <c r="V45" s="64">
        <v>0</v>
      </c>
      <c r="W45" s="64">
        <v>0</v>
      </c>
      <c r="X45" s="56"/>
      <c r="Y45" s="64">
        <v>0</v>
      </c>
      <c r="Z45" s="64">
        <f t="shared" si="10"/>
      </c>
      <c r="AA45" s="56"/>
      <c r="AB45" s="64">
        <v>0</v>
      </c>
      <c r="AC45" s="64">
        <v>0</v>
      </c>
      <c r="AD45" s="56"/>
      <c r="AE45" s="56"/>
      <c r="AF45" s="67"/>
      <c r="AG45" s="38"/>
    </row>
    <row r="46">
      <c r="A46" s="91" t="s">
        <v>87</v>
      </c>
      <c r="B46" s="92">
        <v>457461408</v>
      </c>
      <c r="C46" s="92" t="s">
        <v>88</v>
      </c>
      <c r="D46" s="62"/>
      <c r="E46" s="62"/>
      <c r="F46" s="62"/>
      <c r="G46" s="63">
        <v>41214</v>
      </c>
      <c r="H46" s="63">
        <v>41212</v>
      </c>
      <c r="I46" s="63">
        <v>41228</v>
      </c>
      <c r="J46" s="64">
        <f t="shared" si="11"/>
      </c>
      <c r="K46" s="54"/>
      <c r="L46" s="54"/>
      <c r="M46" s="93">
        <f t="shared" si="12"/>
      </c>
      <c r="N46" s="64">
        <f t="shared" si="13"/>
      </c>
      <c r="O46" s="65"/>
      <c r="P46" s="56"/>
      <c r="Q46" s="66">
        <f t="shared" si="7"/>
      </c>
      <c r="R46" s="64">
        <f t="shared" si="8"/>
      </c>
      <c r="S46" s="56"/>
      <c r="T46" s="56"/>
      <c r="U46" s="64">
        <f t="shared" si="9"/>
      </c>
      <c r="V46" s="64">
        <v>0</v>
      </c>
      <c r="W46" s="64">
        <v>0</v>
      </c>
      <c r="X46" s="56"/>
      <c r="Y46" s="64">
        <v>0</v>
      </c>
      <c r="Z46" s="64">
        <f t="shared" si="10"/>
      </c>
      <c r="AA46" s="56"/>
      <c r="AB46" s="64">
        <v>0</v>
      </c>
      <c r="AC46" s="64">
        <v>0</v>
      </c>
      <c r="AD46" s="56"/>
      <c r="AE46" s="56"/>
      <c r="AF46" s="67"/>
      <c r="AG46" s="38"/>
    </row>
    <row r="47">
      <c r="A47" s="91" t="s">
        <v>87</v>
      </c>
      <c r="B47" s="92">
        <v>457461408</v>
      </c>
      <c r="C47" s="92" t="s">
        <v>88</v>
      </c>
      <c r="D47" s="62"/>
      <c r="E47" s="62"/>
      <c r="F47" s="62"/>
      <c r="G47" s="63">
        <v>41246</v>
      </c>
      <c r="H47" s="63">
        <v>41242</v>
      </c>
      <c r="I47" s="63">
        <v>41260</v>
      </c>
      <c r="J47" s="64">
        <f t="shared" si="11"/>
      </c>
      <c r="K47" s="54"/>
      <c r="L47" s="54"/>
      <c r="M47" s="93">
        <f t="shared" si="12"/>
      </c>
      <c r="N47" s="64">
        <f t="shared" si="13"/>
      </c>
      <c r="O47" s="68"/>
      <c r="P47" s="69"/>
      <c r="Q47" s="66">
        <f t="shared" si="7"/>
      </c>
      <c r="R47" s="64">
        <f t="shared" si="8"/>
      </c>
      <c r="S47" s="69"/>
      <c r="T47" s="69"/>
      <c r="U47" s="64">
        <f t="shared" si="9"/>
      </c>
      <c r="V47" s="64">
        <v>0</v>
      </c>
      <c r="W47" s="64">
        <v>0</v>
      </c>
      <c r="X47" s="69"/>
      <c r="Y47" s="64">
        <v>0</v>
      </c>
      <c r="Z47" s="64">
        <f t="shared" si="10"/>
      </c>
      <c r="AA47" s="69"/>
      <c r="AB47" s="64">
        <v>0</v>
      </c>
      <c r="AC47" s="64">
        <v>0</v>
      </c>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IF(COUNTA(M36:M48)=0,"",IF(COUNTA(F36:F48)=0,IF(COUNTA(D36:D48)=0,"Totals - Final","Totals - Estimated"),"Totals - Corrected"))</f>
      </c>
      <c r="B49" s="87">
        <f>IF(ISNA(INDEX(B36:B48,MAX(MATCH(REPT("z",255),B36:B48)))),"",INDEX(B36:B48,MAX(MATCH(REPT("z",255),B36:B48))))</f>
      </c>
      <c r="C49" s="87">
        <f>IF(ISNA(INDEX(C36:C48,MAX(MATCH(REPT("z",255),C36:C48)))),"",INDEX(C36:C48,MAX(MATCH(REPT("z",255),C36:C48))))</f>
      </c>
      <c r="D49" s="87">
        <f>IF(ISNA(INDEX(A36:A48,MAX(MATCH(REPT("z",255),A36:A48)))),"",INDEX(A36:A48,MAX(MATCH(REPT("z",255),A36:A48))))</f>
      </c>
      <c r="E49" s="85"/>
      <c r="F49" s="85"/>
      <c r="G49" s="86"/>
      <c r="H49" s="86"/>
      <c r="I49" s="86"/>
      <c r="J49" s="76">
        <f ref="J49:J49" t="array">SUM(IF(NOT(ISBLANK($B35:$B48)),J35:J48,""))</f>
      </c>
      <c r="K49" s="76">
        <f ref="K49:K49" t="array">SUM(IF(NOT(ISBLANK($B35:$B48)),K35:K48,""))</f>
      </c>
      <c r="L49" s="76">
        <f ref="L49:L49" t="array">SUM(IF(NOT(ISBLANK($B35:$B48)),L35:L48,""))</f>
      </c>
      <c r="M49" s="76">
        <f ref="M49:M49" t="array">SUM(IF(NOT(ISBLANK($B35:$B48)),M35:M48,""))</f>
      </c>
      <c r="N49" s="76">
        <f ref="N49:N49" t="array">SUM(IF(NOT(ISBLANK($B35:$B48)),N35:N48,""))</f>
      </c>
      <c r="O49" s="76">
        <f ref="O49:O49" t="array">SUM(IF(NOT(ISBLANK($B35:$B48)),O35:O48,""))</f>
      </c>
      <c r="P49" s="77"/>
      <c r="Q49" s="76">
        <f ref="Q49:Q49" t="array">SUM(IF(NOT(ISBLANK($B35:$B48)),Q35:Q48,""))</f>
      </c>
      <c r="R49" s="76">
        <f ref="R49:R49" t="array">SUM(IF(NOT(ISBLANK($B35:$B48)),R35:R48,""))</f>
      </c>
      <c r="S49" s="77"/>
      <c r="T49" s="77"/>
      <c r="U49" s="76">
        <f ref="U49:U49" t="array">SUM(IF(NOT(ISBLANK($B35:$B48)),U35:U48,""))</f>
      </c>
      <c r="V49" s="76">
        <f ref="V49:V49" t="array">SUM(IF(NOT(ISBLANK($B35:$B48)),V35:V48,""))</f>
      </c>
      <c r="W49" s="76">
        <f ref="W49:W49" t="array">SUM(IF(NOT(ISBLANK($B35:$B48)),W35:W48,""))</f>
      </c>
      <c r="X49" s="77"/>
      <c r="Y49" s="76">
        <f ref="Y49:Y49" t="array">SUM(IF(NOT(ISBLANK($B35:$B48)),Y35:Y48,""))</f>
      </c>
      <c r="Z49" s="76">
        <f ref="Z49:Z49" t="array">SUM(IF(NOT(ISBLANK($B35:$B48)),Z35:Z48,""))</f>
      </c>
      <c r="AA49" s="77"/>
      <c r="AB49" s="76">
        <f ref="AB49:AB49" t="array">SUM(IF(NOT(ISBLANK($B35:$B48)),AB35:AB48,""))</f>
      </c>
      <c r="AC49" s="76">
        <f ref="AC49:AC49" t="array">SUM(IF(NOT(ISBLANK($B35:$B48)),AC35:AC48,""))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row r="170" ht="0" hidden="1">
      <c r="A170" s="50"/>
      <c r="B170" s="51"/>
      <c r="C170" s="51"/>
      <c r="D170" s="80"/>
      <c r="E170" s="80"/>
      <c r="F170" s="80"/>
      <c r="G170" s="81"/>
      <c r="H170" s="81"/>
      <c r="I170" s="81"/>
      <c r="J170" s="53"/>
      <c r="K170" s="54"/>
      <c r="L170" s="54"/>
      <c r="M170" s="54"/>
      <c r="N170" s="53"/>
      <c r="O170" s="55"/>
      <c r="P170" s="82"/>
      <c r="Q170" s="57"/>
      <c r="R170" s="53"/>
      <c r="S170" s="82"/>
      <c r="T170" s="82"/>
      <c r="U170" s="53"/>
      <c r="V170" s="53"/>
      <c r="W170" s="53"/>
      <c r="X170" s="82"/>
      <c r="Y170" s="53"/>
      <c r="Z170" s="53"/>
      <c r="AA170" s="82"/>
      <c r="AB170" s="53"/>
      <c r="AC170" s="53"/>
      <c r="AD170" s="82"/>
      <c r="AE170" s="82"/>
      <c r="AF170" s="83"/>
      <c r="AG170" s="38"/>
    </row>
    <row r="171">
      <c r="A171" s="60"/>
      <c r="B171" s="61"/>
      <c r="C171" s="61"/>
      <c r="D171" s="62"/>
      <c r="E171" s="62"/>
      <c r="F171" s="62"/>
      <c r="G171" s="63"/>
      <c r="H171" s="63"/>
      <c r="I171" s="63"/>
      <c r="J171" s="64"/>
      <c r="K171" s="54"/>
      <c r="L171" s="54"/>
      <c r="M171" s="54"/>
      <c r="N171" s="64"/>
      <c r="O171" s="65"/>
      <c r="P171" s="56"/>
      <c r="Q171" s="66"/>
      <c r="R171" s="64"/>
      <c r="S171" s="56"/>
      <c r="T171" s="56"/>
      <c r="U171" s="64"/>
      <c r="V171" s="64"/>
      <c r="W171" s="64"/>
      <c r="X171" s="56"/>
      <c r="Y171" s="64"/>
      <c r="Z171" s="64"/>
      <c r="AA171" s="56"/>
      <c r="AB171" s="64"/>
      <c r="AC171" s="64"/>
      <c r="AD171" s="56"/>
      <c r="AE171" s="56"/>
      <c r="AF171" s="67"/>
      <c r="AG171" s="38"/>
    </row>
    <row r="172">
      <c r="A172" s="60"/>
      <c r="B172" s="61"/>
      <c r="C172" s="61"/>
      <c r="D172" s="62"/>
      <c r="E172" s="62"/>
      <c r="F172" s="62"/>
      <c r="G172" s="63"/>
      <c r="H172" s="63"/>
      <c r="I172" s="63"/>
      <c r="J172" s="64"/>
      <c r="K172" s="54"/>
      <c r="L172" s="54"/>
      <c r="M172" s="54"/>
      <c r="N172" s="64"/>
      <c r="O172" s="65"/>
      <c r="P172" s="56"/>
      <c r="Q172" s="66"/>
      <c r="R172" s="64"/>
      <c r="S172" s="56"/>
      <c r="T172" s="56"/>
      <c r="U172" s="64"/>
      <c r="V172" s="64"/>
      <c r="W172" s="64"/>
      <c r="X172" s="56"/>
      <c r="Y172" s="64"/>
      <c r="Z172" s="64"/>
      <c r="AA172" s="56"/>
      <c r="AB172" s="64"/>
      <c r="AC172" s="64"/>
      <c r="AD172" s="56"/>
      <c r="AE172" s="56"/>
      <c r="AF172" s="67"/>
      <c r="AG172" s="38"/>
    </row>
    <row r="173">
      <c r="A173" s="72"/>
      <c r="B173" s="73"/>
      <c r="C173" s="73"/>
      <c r="D173" s="74"/>
      <c r="E173" s="74"/>
      <c r="F173" s="74"/>
      <c r="G173" s="75"/>
      <c r="H173" s="75"/>
      <c r="I173" s="75"/>
      <c r="J173" s="54"/>
      <c r="K173" s="54"/>
      <c r="L173" s="54"/>
      <c r="M173" s="54"/>
      <c r="N173" s="54"/>
      <c r="O173" s="68"/>
      <c r="P173" s="69"/>
      <c r="Q173" s="70"/>
      <c r="R173" s="54"/>
      <c r="S173" s="69"/>
      <c r="T173" s="69"/>
      <c r="U173" s="54"/>
      <c r="V173" s="54"/>
      <c r="W173" s="54"/>
      <c r="X173" s="69"/>
      <c r="Y173" s="54"/>
      <c r="Z173" s="54"/>
      <c r="AA173" s="69"/>
      <c r="AB173" s="54"/>
      <c r="AC173" s="54"/>
      <c r="AD173" s="69"/>
      <c r="AE173" s="69"/>
      <c r="AF173" s="71"/>
      <c r="AG173" s="38"/>
    </row>
    <row r="174">
      <c r="A174" s="72"/>
      <c r="B174" s="73"/>
      <c r="C174" s="73"/>
      <c r="D174" s="74"/>
      <c r="E174" s="74"/>
      <c r="F174" s="74"/>
      <c r="G174" s="75"/>
      <c r="H174" s="75"/>
      <c r="I174" s="75"/>
      <c r="J174" s="54"/>
      <c r="K174" s="54"/>
      <c r="L174" s="54"/>
      <c r="M174" s="54"/>
      <c r="N174" s="54"/>
      <c r="O174" s="68"/>
      <c r="P174" s="69"/>
      <c r="Q174" s="70"/>
      <c r="R174" s="54"/>
      <c r="S174" s="69"/>
      <c r="T174" s="69"/>
      <c r="U174" s="54"/>
      <c r="V174" s="54"/>
      <c r="W174" s="54"/>
      <c r="X174" s="69"/>
      <c r="Y174" s="54"/>
      <c r="Z174" s="54"/>
      <c r="AA174" s="69"/>
      <c r="AB174" s="54"/>
      <c r="AC174" s="54"/>
      <c r="AD174" s="69"/>
      <c r="AE174" s="69"/>
      <c r="AF174" s="71"/>
      <c r="AG174" s="38"/>
    </row>
    <row r="175">
      <c r="A175" s="84">
        <f>IF(COUNTA(M171:M174)=0,"",IF(COUNTA(F171:F174)=0,IF(COUNTA(D171:D174)=0,"Totals - Final","Totals - Estimated"),"Totals - Corrected"))</f>
      </c>
      <c r="B175" s="87">
        <f>IF(ISNA(INDEX(B171:B174,MAX(MATCH(REPT("z",255),B171:B174)))),"",INDEX(B171:B174,MAX(MATCH(REPT("z",255),B171:B174))))</f>
      </c>
      <c r="C175" s="87">
        <f>IF(ISNA(INDEX(C171:C174,MAX(MATCH(REPT("z",255),C171:C174)))),"",INDEX(C171:C174,MAX(MATCH(REPT("z",255),C171:C174))))</f>
      </c>
      <c r="D175" s="87">
        <f>IF(ISNA(INDEX(A171:A174,MAX(MATCH(REPT("z",255),A171:A174)))),"",INDEX(A171:A174,MAX(MATCH(REPT("z",255),A171:A174))))</f>
      </c>
      <c r="E175" s="85"/>
      <c r="F175" s="85"/>
      <c r="G175" s="86"/>
      <c r="H175" s="86"/>
      <c r="I175" s="86"/>
      <c r="J175" s="76">
        <f ref="J175:J175" t="array">SUM(IF(NOT(ISBLANK($B170:$B174)),J170:J174,""))</f>
      </c>
      <c r="K175" s="76">
        <f ref="K175:K175" t="array">SUM(IF(NOT(ISBLANK($B170:$B174)),K170:K174,""))</f>
      </c>
      <c r="L175" s="76">
        <f ref="L175:L175" t="array">SUM(IF(NOT(ISBLANK($B170:$B174)),L170:L174,""))</f>
      </c>
      <c r="M175" s="76">
        <f ref="M175:M175" t="array">SUM(IF(NOT(ISBLANK($B170:$B174)),M170:M174,""))</f>
      </c>
      <c r="N175" s="76">
        <f ref="N175:N175" t="array">SUM(IF(NOT(ISBLANK($B170:$B174)),N170:N174,""))</f>
      </c>
      <c r="O175" s="76">
        <f ref="O175:O175" t="array">SUM(IF(NOT(ISBLANK($B170:$B174)),O170:O174,""))</f>
      </c>
      <c r="P175" s="77"/>
      <c r="Q175" s="76">
        <f ref="Q175:Q175" t="array">SUM(IF(NOT(ISBLANK($B170:$B174)),Q170:Q174,""))</f>
      </c>
      <c r="R175" s="76">
        <f ref="R175:R175" t="array">SUM(IF(NOT(ISBLANK($B170:$B174)),R170:R174,""))</f>
      </c>
      <c r="S175" s="77"/>
      <c r="T175" s="77"/>
      <c r="U175" s="76">
        <f ref="U175:U175" t="array">SUM(IF(NOT(ISBLANK($B170:$B174)),U170:U174,""))</f>
      </c>
      <c r="V175" s="76">
        <f ref="V175:V175" t="array">SUM(IF(NOT(ISBLANK($B170:$B174)),V170:V174,""))</f>
      </c>
      <c r="W175" s="76">
        <f ref="W175:W175" t="array">SUM(IF(NOT(ISBLANK($B170:$B174)),W170:W174,""))</f>
      </c>
      <c r="X175" s="77"/>
      <c r="Y175" s="76">
        <f ref="Y175:Y175" t="array">SUM(IF(NOT(ISBLANK($B170:$B174)),Y170:Y174,""))</f>
      </c>
      <c r="Z175" s="76">
        <f ref="Z175:Z175" t="array">SUM(IF(NOT(ISBLANK($B170:$B174)),Z170:Z174,""))</f>
      </c>
      <c r="AA175" s="77"/>
      <c r="AB175" s="76">
        <f ref="AB175:AB175" t="array">SUM(IF(NOT(ISBLANK($B170:$B174)),AB170:AB174,""))</f>
      </c>
      <c r="AC175" s="76">
        <f ref="AC175:AC175" t="array">SUM(IF(NOT(ISBLANK($B170:$B174)),AC170:AC174,""))</f>
      </c>
      <c r="AD175" s="77"/>
      <c r="AE175" s="77"/>
      <c r="AF175" s="78"/>
      <c r="AG175" s="79">
        <v>1</v>
      </c>
    </row>
    <row r="176" ht="0" hidden="1">
      <c r="A176" s="50"/>
      <c r="B176" s="51"/>
      <c r="C176" s="51"/>
      <c r="D176" s="80"/>
      <c r="E176" s="80"/>
      <c r="F176" s="80"/>
      <c r="G176" s="81"/>
      <c r="H176" s="81"/>
      <c r="I176" s="81"/>
      <c r="J176" s="53"/>
      <c r="K176" s="54"/>
      <c r="L176" s="54"/>
      <c r="M176" s="54"/>
      <c r="N176" s="53"/>
      <c r="O176" s="55"/>
      <c r="P176" s="82"/>
      <c r="Q176" s="57"/>
      <c r="R176" s="53"/>
      <c r="S176" s="82"/>
      <c r="T176" s="82"/>
      <c r="U176" s="53"/>
      <c r="V176" s="53"/>
      <c r="W176" s="53"/>
      <c r="X176" s="82"/>
      <c r="Y176" s="53"/>
      <c r="Z176" s="53"/>
      <c r="AA176" s="82"/>
      <c r="AB176" s="53"/>
      <c r="AC176" s="53"/>
      <c r="AD176" s="82"/>
      <c r="AE176" s="82"/>
      <c r="AF176" s="83"/>
      <c r="AG176" s="38"/>
    </row>
    <row r="177">
      <c r="A177" s="60"/>
      <c r="B177" s="61"/>
      <c r="C177" s="61"/>
      <c r="D177" s="62"/>
      <c r="E177" s="62"/>
      <c r="F177" s="62"/>
      <c r="G177" s="63"/>
      <c r="H177" s="63"/>
      <c r="I177" s="63"/>
      <c r="J177" s="64"/>
      <c r="K177" s="54"/>
      <c r="L177" s="54"/>
      <c r="M177" s="54"/>
      <c r="N177" s="64"/>
      <c r="O177" s="65"/>
      <c r="P177" s="56"/>
      <c r="Q177" s="66"/>
      <c r="R177" s="64"/>
      <c r="S177" s="56"/>
      <c r="T177" s="56"/>
      <c r="U177" s="64"/>
      <c r="V177" s="64"/>
      <c r="W177" s="64"/>
      <c r="X177" s="56"/>
      <c r="Y177" s="64"/>
      <c r="Z177" s="64"/>
      <c r="AA177" s="56"/>
      <c r="AB177" s="64"/>
      <c r="AC177" s="64"/>
      <c r="AD177" s="56"/>
      <c r="AE177" s="56"/>
      <c r="AF177" s="67"/>
      <c r="AG177" s="38"/>
    </row>
    <row r="178">
      <c r="A178" s="60"/>
      <c r="B178" s="61"/>
      <c r="C178" s="61"/>
      <c r="D178" s="62"/>
      <c r="E178" s="62"/>
      <c r="F178" s="62"/>
      <c r="G178" s="63"/>
      <c r="H178" s="63"/>
      <c r="I178" s="63"/>
      <c r="J178" s="64"/>
      <c r="K178" s="54"/>
      <c r="L178" s="54"/>
      <c r="M178" s="54"/>
      <c r="N178" s="64"/>
      <c r="O178" s="65"/>
      <c r="P178" s="56"/>
      <c r="Q178" s="66"/>
      <c r="R178" s="64"/>
      <c r="S178" s="56"/>
      <c r="T178" s="56"/>
      <c r="U178" s="64"/>
      <c r="V178" s="64"/>
      <c r="W178" s="64"/>
      <c r="X178" s="56"/>
      <c r="Y178" s="64"/>
      <c r="Z178" s="64"/>
      <c r="AA178" s="56"/>
      <c r="AB178" s="64"/>
      <c r="AC178" s="64"/>
      <c r="AD178" s="56"/>
      <c r="AE178" s="56"/>
      <c r="AF178" s="67"/>
      <c r="AG178" s="38"/>
    </row>
    <row r="179">
      <c r="A179" s="72"/>
      <c r="B179" s="73"/>
      <c r="C179" s="73"/>
      <c r="D179" s="74"/>
      <c r="E179" s="74"/>
      <c r="F179" s="74"/>
      <c r="G179" s="75"/>
      <c r="H179" s="75"/>
      <c r="I179" s="75"/>
      <c r="J179" s="54"/>
      <c r="K179" s="54"/>
      <c r="L179" s="54"/>
      <c r="M179" s="54"/>
      <c r="N179" s="54"/>
      <c r="O179" s="68"/>
      <c r="P179" s="69"/>
      <c r="Q179" s="70"/>
      <c r="R179" s="54"/>
      <c r="S179" s="69"/>
      <c r="T179" s="69"/>
      <c r="U179" s="54"/>
      <c r="V179" s="54"/>
      <c r="W179" s="54"/>
      <c r="X179" s="69"/>
      <c r="Y179" s="54"/>
      <c r="Z179" s="54"/>
      <c r="AA179" s="69"/>
      <c r="AB179" s="54"/>
      <c r="AC179" s="54"/>
      <c r="AD179" s="69"/>
      <c r="AE179" s="69"/>
      <c r="AF179" s="71"/>
      <c r="AG179" s="38"/>
    </row>
    <row r="180">
      <c r="A180" s="72"/>
      <c r="B180" s="73"/>
      <c r="C180" s="73"/>
      <c r="D180" s="74"/>
      <c r="E180" s="74"/>
      <c r="F180" s="74"/>
      <c r="G180" s="75"/>
      <c r="H180" s="75"/>
      <c r="I180" s="75"/>
      <c r="J180" s="54"/>
      <c r="K180" s="54"/>
      <c r="L180" s="54"/>
      <c r="M180" s="54"/>
      <c r="N180" s="54"/>
      <c r="O180" s="68"/>
      <c r="P180" s="69"/>
      <c r="Q180" s="70"/>
      <c r="R180" s="54"/>
      <c r="S180" s="69"/>
      <c r="T180" s="69"/>
      <c r="U180" s="54"/>
      <c r="V180" s="54"/>
      <c r="W180" s="54"/>
      <c r="X180" s="69"/>
      <c r="Y180" s="54"/>
      <c r="Z180" s="54"/>
      <c r="AA180" s="69"/>
      <c r="AB180" s="54"/>
      <c r="AC180" s="54"/>
      <c r="AD180" s="69"/>
      <c r="AE180" s="69"/>
      <c r="AF180" s="71"/>
      <c r="AG180" s="38"/>
    </row>
    <row r="181">
      <c r="A181" s="84">
        <f>IF(COUNTA(M177:M180)=0,"",IF(COUNTA(F177:F180)=0,IF(COUNTA(D177:D180)=0,"Totals - Final","Totals - Estimated"),"Totals - Corrected"))</f>
      </c>
      <c r="B181" s="87">
        <f>IF(ISNA(INDEX(B177:B180,MAX(MATCH(REPT("z",255),B177:B180)))),"",INDEX(B177:B180,MAX(MATCH(REPT("z",255),B177:B180))))</f>
      </c>
      <c r="C181" s="87">
        <f>IF(ISNA(INDEX(C177:C180,MAX(MATCH(REPT("z",255),C177:C180)))),"",INDEX(C177:C180,MAX(MATCH(REPT("z",255),C177:C180))))</f>
      </c>
      <c r="D181" s="87">
        <f>IF(ISNA(INDEX(A177:A180,MAX(MATCH(REPT("z",255),A177:A180)))),"",INDEX(A177:A180,MAX(MATCH(REPT("z",255),A177:A180))))</f>
      </c>
      <c r="E181" s="85"/>
      <c r="F181" s="85"/>
      <c r="G181" s="86"/>
      <c r="H181" s="86"/>
      <c r="I181" s="86"/>
      <c r="J181" s="76">
        <f ref="J181:J181" t="array">SUM(IF(NOT(ISBLANK($B176:$B180)),J176:J180,""))</f>
      </c>
      <c r="K181" s="76">
        <f ref="K181:K181" t="array">SUM(IF(NOT(ISBLANK($B176:$B180)),K176:K180,""))</f>
      </c>
      <c r="L181" s="76">
        <f ref="L181:L181" t="array">SUM(IF(NOT(ISBLANK($B176:$B180)),L176:L180,""))</f>
      </c>
      <c r="M181" s="76">
        <f ref="M181:M181" t="array">SUM(IF(NOT(ISBLANK($B176:$B180)),M176:M180,""))</f>
      </c>
      <c r="N181" s="76">
        <f ref="N181:N181" t="array">SUM(IF(NOT(ISBLANK($B176:$B180)),N176:N180,""))</f>
      </c>
      <c r="O181" s="76">
        <f ref="O181:O181" t="array">SUM(IF(NOT(ISBLANK($B176:$B180)),O176:O180,""))</f>
      </c>
      <c r="P181" s="77"/>
      <c r="Q181" s="76">
        <f ref="Q181:Q181" t="array">SUM(IF(NOT(ISBLANK($B176:$B180)),Q176:Q180,""))</f>
      </c>
      <c r="R181" s="76">
        <f ref="R181:R181" t="array">SUM(IF(NOT(ISBLANK($B176:$B180)),R176:R180,""))</f>
      </c>
      <c r="S181" s="77"/>
      <c r="T181" s="77"/>
      <c r="U181" s="76">
        <f ref="U181:U181" t="array">SUM(IF(NOT(ISBLANK($B176:$B180)),U176:U180,""))</f>
      </c>
      <c r="V181" s="76">
        <f ref="V181:V181" t="array">SUM(IF(NOT(ISBLANK($B176:$B180)),V176:V180,""))</f>
      </c>
      <c r="W181" s="76">
        <f ref="W181:W181" t="array">SUM(IF(NOT(ISBLANK($B176:$B180)),W176:W180,""))</f>
      </c>
      <c r="X181" s="77"/>
      <c r="Y181" s="76">
        <f ref="Y181:Y181" t="array">SUM(IF(NOT(ISBLANK($B176:$B180)),Y176:Y180,""))</f>
      </c>
      <c r="Z181" s="76">
        <f ref="Z181:Z181" t="array">SUM(IF(NOT(ISBLANK($B176:$B180)),Z176:Z180,""))</f>
      </c>
      <c r="AA181" s="77"/>
      <c r="AB181" s="76">
        <f ref="AB181:AB181" t="array">SUM(IF(NOT(ISBLANK($B176:$B180)),AB176:AB180,""))</f>
      </c>
      <c r="AC181" s="76">
        <f ref="AC181:AC181" t="array">SUM(IF(NOT(ISBLANK($B176:$B180)),AC176:AC180,""))</f>
      </c>
      <c r="AD181" s="77"/>
      <c r="AE181" s="77"/>
      <c r="AF181" s="78"/>
      <c r="AG181" s="79">
        <v>1</v>
      </c>
    </row>
    <row r="182" ht="0" hidden="1">
      <c r="A182" s="50"/>
      <c r="B182" s="51"/>
      <c r="C182" s="51"/>
      <c r="D182" s="80"/>
      <c r="E182" s="80"/>
      <c r="F182" s="80"/>
      <c r="G182" s="81"/>
      <c r="H182" s="81"/>
      <c r="I182" s="81"/>
      <c r="J182" s="53"/>
      <c r="K182" s="54"/>
      <c r="L182" s="54"/>
      <c r="M182" s="54"/>
      <c r="N182" s="53"/>
      <c r="O182" s="55"/>
      <c r="P182" s="82"/>
      <c r="Q182" s="57"/>
      <c r="R182" s="53"/>
      <c r="S182" s="82"/>
      <c r="T182" s="82"/>
      <c r="U182" s="53"/>
      <c r="V182" s="53"/>
      <c r="W182" s="53"/>
      <c r="X182" s="82"/>
      <c r="Y182" s="53"/>
      <c r="Z182" s="53"/>
      <c r="AA182" s="82"/>
      <c r="AB182" s="53"/>
      <c r="AC182" s="53"/>
      <c r="AD182" s="82"/>
      <c r="AE182" s="82"/>
      <c r="AF182" s="83"/>
      <c r="AG182" s="38"/>
    </row>
    <row r="183">
      <c r="A183" s="60"/>
      <c r="B183" s="61"/>
      <c r="C183" s="61"/>
      <c r="D183" s="62"/>
      <c r="E183" s="62"/>
      <c r="F183" s="62"/>
      <c r="G183" s="63"/>
      <c r="H183" s="63"/>
      <c r="I183" s="63"/>
      <c r="J183" s="64"/>
      <c r="K183" s="54"/>
      <c r="L183" s="54"/>
      <c r="M183" s="54"/>
      <c r="N183" s="64"/>
      <c r="O183" s="65"/>
      <c r="P183" s="56"/>
      <c r="Q183" s="66"/>
      <c r="R183" s="64"/>
      <c r="S183" s="56"/>
      <c r="T183" s="56"/>
      <c r="U183" s="64"/>
      <c r="V183" s="64"/>
      <c r="W183" s="64"/>
      <c r="X183" s="56"/>
      <c r="Y183" s="64"/>
      <c r="Z183" s="64"/>
      <c r="AA183" s="56"/>
      <c r="AB183" s="64"/>
      <c r="AC183" s="64"/>
      <c r="AD183" s="56"/>
      <c r="AE183" s="56"/>
      <c r="AF183" s="67"/>
      <c r="AG183" s="38"/>
    </row>
    <row r="184">
      <c r="A184" s="60"/>
      <c r="B184" s="61"/>
      <c r="C184" s="61"/>
      <c r="D184" s="62"/>
      <c r="E184" s="62"/>
      <c r="F184" s="62"/>
      <c r="G184" s="63"/>
      <c r="H184" s="63"/>
      <c r="I184" s="63"/>
      <c r="J184" s="64"/>
      <c r="K184" s="54"/>
      <c r="L184" s="54"/>
      <c r="M184" s="54"/>
      <c r="N184" s="64"/>
      <c r="O184" s="65"/>
      <c r="P184" s="56"/>
      <c r="Q184" s="66"/>
      <c r="R184" s="64"/>
      <c r="S184" s="56"/>
      <c r="T184" s="56"/>
      <c r="U184" s="64"/>
      <c r="V184" s="64"/>
      <c r="W184" s="64"/>
      <c r="X184" s="56"/>
      <c r="Y184" s="64"/>
      <c r="Z184" s="64"/>
      <c r="AA184" s="56"/>
      <c r="AB184" s="64"/>
      <c r="AC184" s="64"/>
      <c r="AD184" s="56"/>
      <c r="AE184" s="56"/>
      <c r="AF184" s="67"/>
      <c r="AG184" s="38"/>
    </row>
    <row r="185">
      <c r="A185" s="72"/>
      <c r="B185" s="73"/>
      <c r="C185" s="73"/>
      <c r="D185" s="74"/>
      <c r="E185" s="74"/>
      <c r="F185" s="74"/>
      <c r="G185" s="75"/>
      <c r="H185" s="75"/>
      <c r="I185" s="75"/>
      <c r="J185" s="54"/>
      <c r="K185" s="54"/>
      <c r="L185" s="54"/>
      <c r="M185" s="54"/>
      <c r="N185" s="54"/>
      <c r="O185" s="68"/>
      <c r="P185" s="69"/>
      <c r="Q185" s="70"/>
      <c r="R185" s="54"/>
      <c r="S185" s="69"/>
      <c r="T185" s="69"/>
      <c r="U185" s="54"/>
      <c r="V185" s="54"/>
      <c r="W185" s="54"/>
      <c r="X185" s="69"/>
      <c r="Y185" s="54"/>
      <c r="Z185" s="54"/>
      <c r="AA185" s="69"/>
      <c r="AB185" s="54"/>
      <c r="AC185" s="54"/>
      <c r="AD185" s="69"/>
      <c r="AE185" s="69"/>
      <c r="AF185" s="71"/>
      <c r="AG185" s="38"/>
    </row>
    <row r="186">
      <c r="A186" s="72"/>
      <c r="B186" s="73"/>
      <c r="C186" s="73"/>
      <c r="D186" s="74"/>
      <c r="E186" s="74"/>
      <c r="F186" s="74"/>
      <c r="G186" s="75"/>
      <c r="H186" s="75"/>
      <c r="I186" s="75"/>
      <c r="J186" s="54"/>
      <c r="K186" s="54"/>
      <c r="L186" s="54"/>
      <c r="M186" s="54"/>
      <c r="N186" s="54"/>
      <c r="O186" s="68"/>
      <c r="P186" s="69"/>
      <c r="Q186" s="70"/>
      <c r="R186" s="54"/>
      <c r="S186" s="69"/>
      <c r="T186" s="69"/>
      <c r="U186" s="54"/>
      <c r="V186" s="54"/>
      <c r="W186" s="54"/>
      <c r="X186" s="69"/>
      <c r="Y186" s="54"/>
      <c r="Z186" s="54"/>
      <c r="AA186" s="69"/>
      <c r="AB186" s="54"/>
      <c r="AC186" s="54"/>
      <c r="AD186" s="69"/>
      <c r="AE186" s="69"/>
      <c r="AF186" s="71"/>
      <c r="AG186" s="38"/>
    </row>
    <row r="187">
      <c r="A187" s="84">
        <f>IF(COUNTA(M183:M186)=0,"",IF(COUNTA(F183:F186)=0,IF(COUNTA(D183:D186)=0,"Totals - Final","Totals - Estimated"),"Totals - Corrected"))</f>
      </c>
      <c r="B187" s="87">
        <f>IF(ISNA(INDEX(B183:B186,MAX(MATCH(REPT("z",255),B183:B186)))),"",INDEX(B183:B186,MAX(MATCH(REPT("z",255),B183:B186))))</f>
      </c>
      <c r="C187" s="87">
        <f>IF(ISNA(INDEX(C183:C186,MAX(MATCH(REPT("z",255),C183:C186)))),"",INDEX(C183:C186,MAX(MATCH(REPT("z",255),C183:C186))))</f>
      </c>
      <c r="D187" s="87">
        <f>IF(ISNA(INDEX(A183:A186,MAX(MATCH(REPT("z",255),A183:A186)))),"",INDEX(A183:A186,MAX(MATCH(REPT("z",255),A183:A186))))</f>
      </c>
      <c r="E187" s="85"/>
      <c r="F187" s="85"/>
      <c r="G187" s="86"/>
      <c r="H187" s="86"/>
      <c r="I187" s="86"/>
      <c r="J187" s="76">
        <f ref="J187:J187" t="array">SUM(IF(NOT(ISBLANK($B182:$B186)),J182:J186,""))</f>
      </c>
      <c r="K187" s="76">
        <f ref="K187:K187" t="array">SUM(IF(NOT(ISBLANK($B182:$B186)),K182:K186,""))</f>
      </c>
      <c r="L187" s="76">
        <f ref="L187:L187" t="array">SUM(IF(NOT(ISBLANK($B182:$B186)),L182:L186,""))</f>
      </c>
      <c r="M187" s="76">
        <f ref="M187:M187" t="array">SUM(IF(NOT(ISBLANK($B182:$B186)),M182:M186,""))</f>
      </c>
      <c r="N187" s="76">
        <f ref="N187:N187" t="array">SUM(IF(NOT(ISBLANK($B182:$B186)),N182:N186,""))</f>
      </c>
      <c r="O187" s="76">
        <f ref="O187:O187" t="array">SUM(IF(NOT(ISBLANK($B182:$B186)),O182:O186,""))</f>
      </c>
      <c r="P187" s="77"/>
      <c r="Q187" s="76">
        <f ref="Q187:Q187" t="array">SUM(IF(NOT(ISBLANK($B182:$B186)),Q182:Q186,""))</f>
      </c>
      <c r="R187" s="76">
        <f ref="R187:R187" t="array">SUM(IF(NOT(ISBLANK($B182:$B186)),R182:R186,""))</f>
      </c>
      <c r="S187" s="77"/>
      <c r="T187" s="77"/>
      <c r="U187" s="76">
        <f ref="U187:U187" t="array">SUM(IF(NOT(ISBLANK($B182:$B186)),U182:U186,""))</f>
      </c>
      <c r="V187" s="76">
        <f ref="V187:V187" t="array">SUM(IF(NOT(ISBLANK($B182:$B186)),V182:V186,""))</f>
      </c>
      <c r="W187" s="76">
        <f ref="W187:W187" t="array">SUM(IF(NOT(ISBLANK($B182:$B186)),W182:W186,""))</f>
      </c>
      <c r="X187" s="77"/>
      <c r="Y187" s="76">
        <f ref="Y187:Y187" t="array">SUM(IF(NOT(ISBLANK($B182:$B186)),Y182:Y186,""))</f>
      </c>
      <c r="Z187" s="76">
        <f ref="Z187:Z187" t="array">SUM(IF(NOT(ISBLANK($B182:$B186)),Z182:Z186,""))</f>
      </c>
      <c r="AA187" s="77"/>
      <c r="AB187" s="76">
        <f ref="AB187:AB187" t="array">SUM(IF(NOT(ISBLANK($B182:$B186)),AB182:AB186,""))</f>
      </c>
      <c r="AC187" s="76">
        <f ref="AC187:AC187" t="array">SUM(IF(NOT(ISBLANK($B182:$B186)),AC182:AC186,""))</f>
      </c>
      <c r="AD187" s="77"/>
      <c r="AE187" s="77"/>
      <c r="AF187" s="78"/>
      <c r="AG187" s="79">
        <v>1</v>
      </c>
    </row>
  </sheetData>
  <sheetProtection password="d411" sheet="1" objects="1" scenarios="1" formatCells="0" formatColumns="0" formatRows="0" insertRows="0" deleteRows="0" selectLockedCells="1"/>
  <protectedRanges>
    <protectedRange password="CE88" sqref="A35:AG48 A19:AG33 A50:AG54 A56:AG60 A62:AG66 A68:AG72 A74:AG78 A80:AG84 A86:AG90 A92:AG96 A98:AG102 A104:AG108 A110:AG114 A116:AG120 A122:AG126 A128:AG132 A134:AG138 A140:AG144 A146:AG150 A152:AG156 A158:AG162 A164:AG168 A170:AG174 A176:AG180 A182:AG186" name="Range4"/>
    <protectedRange sqref="B6" name="Range1"/>
    <protectedRange sqref="A50:AG54 A35:AG48 A56:AG60 A62:AG66 A68:AG72 A74:AG78 A80:AG84 A86:AG90 A92:AG96 A98:AG102 A104:AG108 A110:AG114 A116:AG120 A122:AG126 A128:AG132 A134:AG138 A140:AG144 A146:AG150 A152:AG156 A158:AG162 A164:AG168 A170:AG174 A176:AG180 A182:AG186 A19:AG3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82:A186 A35:A48 A50:A54 A56:A60 A62:A66 A68:A72 A74:A78 A80:A84 A86:A90 A92:A96 A98:A102 A104:A108 A110:A114 A116:A120 A122:A126 A128:A132 A134:A138 A140:A144 A146:A150 A152:A156 A158:A162 A164:A168 A170:A174 A176:A180 A19:A3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F48 F182:F186 F50:F54 F56:F60 F62:F66 F68:F72 F74:F78 F80:F84 F86:F90 F92:F96 F98:F102 F104:F108 F110:F114 F116:F120 F122:F126 F128:F132 F134:F138 F140:F144 F146:F150 F152:F156 F158:F162 F164:F168 F170:F174 F176:F180 F19:F3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E48 E182:E186 E50:E54 E56:E60 E62:E66 E68:E72 E74:E78 E80:E84 E86:E90 E92:E96 E98:E102 E104:E108 E110:E114 E116:E120 E122:E126 E128:E132 E134:E138 E140:E144 E146:E150 E152:E156 E158:E162 E164:E168 E170:E174 E176:E180 E19:E3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D48 D182:D186 D50:D54 D56:D60 D62:D66 D68:D72 D74:D78 D80:D84 D86:D90 D92:D96 D98:D102 D104:D108 D110:D114 D116:D120 D122:D126 D128:D132 D134:D138 D140:D144 D146:D150 D152:D156 D158:D162 D164:D168 D170:D174 D176:D180 D19:D33">
      <formula1>MID(D$18,2,1)</formula1>
    </dataValidation>
  </dataValidations>
  <pageMargins left="0.7" right="0.7" top="0.75" bottom="0.75" header="0.3" footer="0.3"/>
  <pageSetup scale="3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Karas, Kim</cp:lastModifiedBy>
  <cp:lastPrinted>2013-01-18T19:21:31Z</cp:lastPrinted>
  <dcterms:created xsi:type="dcterms:W3CDTF">2012-11-27T14:14:45Z</dcterms:created>
  <dcterms:modified xsi:type="dcterms:W3CDTF">2013-01-24T18:55:25Z</dcterms:modified>
</cp:coreProperties>
</file>