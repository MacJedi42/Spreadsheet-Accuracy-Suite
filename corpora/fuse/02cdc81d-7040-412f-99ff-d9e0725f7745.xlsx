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10-47-56" sheetId="1" r:id="rId1"/>
    <sheet name="vel3D--Glide" sheetId="6" r:id="rId2"/>
    <sheet name="velH-velD--Angle" sheetId="5" r:id="rId3"/>
    <sheet name="velH-velD--Glide" sheetId="4" r:id="rId4"/>
    <sheet name="velH-velD-vel3D--Angle" sheetId="3" r:id="rId5"/>
  </sheets>
  <calcPr calcId="0"/>
</workbook>
</file>

<file path=xl/calcChain.xml><?xml version="1.0" encoding="utf-8"?>
<calcChain xmlns="http://schemas.openxmlformats.org/spreadsheetml/2006/main">
  <c r="J11" i="1"/>
  <c r="I14"/>
  <c r="I22"/>
  <c r="I46"/>
  <c r="I54"/>
  <c r="I78"/>
  <c r="I86"/>
  <c r="I106"/>
  <c r="I111"/>
  <c r="I127"/>
  <c r="I154"/>
  <c r="I166"/>
  <c r="I170"/>
  <c r="I182"/>
  <c r="I186"/>
  <c r="I198"/>
  <c r="I214"/>
  <c r="G3"/>
  <c r="G4"/>
  <c r="G5"/>
  <c r="I5" s="1"/>
  <c r="G6"/>
  <c r="I6" s="1"/>
  <c r="G7"/>
  <c r="G8"/>
  <c r="G9"/>
  <c r="G10"/>
  <c r="G11"/>
  <c r="G12"/>
  <c r="G13"/>
  <c r="J13" s="1"/>
  <c r="G14"/>
  <c r="G15"/>
  <c r="G16"/>
  <c r="G17"/>
  <c r="G18"/>
  <c r="G19"/>
  <c r="G20"/>
  <c r="G21"/>
  <c r="I21" s="1"/>
  <c r="G22"/>
  <c r="G23"/>
  <c r="G24"/>
  <c r="G25"/>
  <c r="G26"/>
  <c r="G27"/>
  <c r="J27" s="1"/>
  <c r="G28"/>
  <c r="G29"/>
  <c r="J29" s="1"/>
  <c r="G30"/>
  <c r="I30" s="1"/>
  <c r="G31"/>
  <c r="G32"/>
  <c r="G33"/>
  <c r="G34"/>
  <c r="G35"/>
  <c r="G36"/>
  <c r="G37"/>
  <c r="I37" s="1"/>
  <c r="G38"/>
  <c r="I38" s="1"/>
  <c r="G39"/>
  <c r="G40"/>
  <c r="G41"/>
  <c r="G42"/>
  <c r="G43"/>
  <c r="J43" s="1"/>
  <c r="G44"/>
  <c r="G45"/>
  <c r="J45" s="1"/>
  <c r="G46"/>
  <c r="G47"/>
  <c r="G48"/>
  <c r="G49"/>
  <c r="G50"/>
  <c r="G51"/>
  <c r="G52"/>
  <c r="G53"/>
  <c r="I53" s="1"/>
  <c r="G54"/>
  <c r="G55"/>
  <c r="G56"/>
  <c r="G57"/>
  <c r="G58"/>
  <c r="G59"/>
  <c r="J59" s="1"/>
  <c r="G60"/>
  <c r="G61"/>
  <c r="J61" s="1"/>
  <c r="G62"/>
  <c r="I62" s="1"/>
  <c r="G63"/>
  <c r="G64"/>
  <c r="G65"/>
  <c r="G66"/>
  <c r="G67"/>
  <c r="G68"/>
  <c r="G69"/>
  <c r="I69" s="1"/>
  <c r="G70"/>
  <c r="I70" s="1"/>
  <c r="G71"/>
  <c r="G72"/>
  <c r="J72" s="1"/>
  <c r="G73"/>
  <c r="G74"/>
  <c r="G75"/>
  <c r="G76"/>
  <c r="G77"/>
  <c r="J77" s="1"/>
  <c r="G78"/>
  <c r="G79"/>
  <c r="G80"/>
  <c r="J80" s="1"/>
  <c r="G81"/>
  <c r="G82"/>
  <c r="G83"/>
  <c r="G84"/>
  <c r="G85"/>
  <c r="I85" s="1"/>
  <c r="G86"/>
  <c r="G87"/>
  <c r="G88"/>
  <c r="G89"/>
  <c r="G90"/>
  <c r="G91"/>
  <c r="G92"/>
  <c r="G93"/>
  <c r="J93" s="1"/>
  <c r="G94"/>
  <c r="I94" s="1"/>
  <c r="G95"/>
  <c r="G96"/>
  <c r="J96" s="1"/>
  <c r="G97"/>
  <c r="G98"/>
  <c r="G99"/>
  <c r="G100"/>
  <c r="G101"/>
  <c r="I101" s="1"/>
  <c r="G102"/>
  <c r="G103"/>
  <c r="I103" s="1"/>
  <c r="G104"/>
  <c r="J104" s="1"/>
  <c r="G105"/>
  <c r="I105" s="1"/>
  <c r="G106"/>
  <c r="G107"/>
  <c r="G108"/>
  <c r="G109"/>
  <c r="J109" s="1"/>
  <c r="G110"/>
  <c r="G111"/>
  <c r="G112"/>
  <c r="G113"/>
  <c r="G114"/>
  <c r="G115"/>
  <c r="G116"/>
  <c r="G117"/>
  <c r="I117" s="1"/>
  <c r="G118"/>
  <c r="G119"/>
  <c r="I119" s="1"/>
  <c r="G120"/>
  <c r="J120" s="1"/>
  <c r="G121"/>
  <c r="I121" s="1"/>
  <c r="G122"/>
  <c r="I122" s="1"/>
  <c r="G123"/>
  <c r="G124"/>
  <c r="G125"/>
  <c r="J125" s="1"/>
  <c r="G126"/>
  <c r="G127"/>
  <c r="G128"/>
  <c r="G129"/>
  <c r="G130"/>
  <c r="G131"/>
  <c r="G132"/>
  <c r="G133"/>
  <c r="I133" s="1"/>
  <c r="G134"/>
  <c r="G135"/>
  <c r="I135" s="1"/>
  <c r="G136"/>
  <c r="G137"/>
  <c r="I137" s="1"/>
  <c r="G138"/>
  <c r="I138" s="1"/>
  <c r="G139"/>
  <c r="G140"/>
  <c r="G141"/>
  <c r="J141" s="1"/>
  <c r="G142"/>
  <c r="G143"/>
  <c r="I143" s="1"/>
  <c r="G144"/>
  <c r="G145"/>
  <c r="G146"/>
  <c r="G147"/>
  <c r="G148"/>
  <c r="G149"/>
  <c r="I149" s="1"/>
  <c r="G150"/>
  <c r="G151"/>
  <c r="I151" s="1"/>
  <c r="G152"/>
  <c r="J152" s="1"/>
  <c r="G153"/>
  <c r="I153" s="1"/>
  <c r="G154"/>
  <c r="G155"/>
  <c r="G156"/>
  <c r="L156" s="1"/>
  <c r="G157"/>
  <c r="J157" s="1"/>
  <c r="G158"/>
  <c r="I158" s="1"/>
  <c r="G159"/>
  <c r="G160"/>
  <c r="L160" s="1"/>
  <c r="G161"/>
  <c r="I161" s="1"/>
  <c r="G162"/>
  <c r="I162" s="1"/>
  <c r="G163"/>
  <c r="G164"/>
  <c r="L164" s="1"/>
  <c r="G165"/>
  <c r="I165" s="1"/>
  <c r="G166"/>
  <c r="G167"/>
  <c r="G168"/>
  <c r="L168" s="1"/>
  <c r="G169"/>
  <c r="I169" s="1"/>
  <c r="G170"/>
  <c r="G171"/>
  <c r="G172"/>
  <c r="L172" s="1"/>
  <c r="G173"/>
  <c r="J173" s="1"/>
  <c r="G174"/>
  <c r="I174" s="1"/>
  <c r="G175"/>
  <c r="G176"/>
  <c r="L176" s="1"/>
  <c r="G177"/>
  <c r="I177" s="1"/>
  <c r="G178"/>
  <c r="I178" s="1"/>
  <c r="G179"/>
  <c r="G180"/>
  <c r="L180" s="1"/>
  <c r="G181"/>
  <c r="I181" s="1"/>
  <c r="G182"/>
  <c r="G183"/>
  <c r="G184"/>
  <c r="L184" s="1"/>
  <c r="G185"/>
  <c r="I185" s="1"/>
  <c r="G186"/>
  <c r="G187"/>
  <c r="G188"/>
  <c r="L188" s="1"/>
  <c r="G189"/>
  <c r="J189" s="1"/>
  <c r="G190"/>
  <c r="I190" s="1"/>
  <c r="G191"/>
  <c r="G192"/>
  <c r="L192" s="1"/>
  <c r="G193"/>
  <c r="I193" s="1"/>
  <c r="G194"/>
  <c r="I194" s="1"/>
  <c r="G195"/>
  <c r="G196"/>
  <c r="L196" s="1"/>
  <c r="G197"/>
  <c r="I197" s="1"/>
  <c r="G198"/>
  <c r="G199"/>
  <c r="G200"/>
  <c r="L200" s="1"/>
  <c r="G201"/>
  <c r="I201" s="1"/>
  <c r="G202"/>
  <c r="I202" s="1"/>
  <c r="G203"/>
  <c r="G204"/>
  <c r="L204" s="1"/>
  <c r="G205"/>
  <c r="J205" s="1"/>
  <c r="G206"/>
  <c r="I206" s="1"/>
  <c r="G207"/>
  <c r="G208"/>
  <c r="L208" s="1"/>
  <c r="G209"/>
  <c r="I209" s="1"/>
  <c r="G210"/>
  <c r="I210" s="1"/>
  <c r="G211"/>
  <c r="G212"/>
  <c r="L212" s="1"/>
  <c r="G213"/>
  <c r="I213" s="1"/>
  <c r="G214"/>
  <c r="G215"/>
  <c r="G216"/>
  <c r="L216" s="1"/>
  <c r="G217"/>
  <c r="I217" s="1"/>
  <c r="G218"/>
  <c r="I218" s="1"/>
  <c r="G219"/>
  <c r="G220"/>
  <c r="L220" s="1"/>
  <c r="G221"/>
  <c r="J221" s="1"/>
  <c r="G222"/>
  <c r="I222" s="1"/>
  <c r="G223"/>
  <c r="G224"/>
  <c r="L224" s="1"/>
  <c r="L45" l="1"/>
  <c r="L109"/>
  <c r="L173"/>
  <c r="L144"/>
  <c r="I144"/>
  <c r="L128"/>
  <c r="I128"/>
  <c r="L112"/>
  <c r="I112"/>
  <c r="L92"/>
  <c r="I92"/>
  <c r="L76"/>
  <c r="I76"/>
  <c r="J64"/>
  <c r="L64"/>
  <c r="I64"/>
  <c r="J48"/>
  <c r="L48"/>
  <c r="I48"/>
  <c r="J36"/>
  <c r="L36"/>
  <c r="I36"/>
  <c r="J16"/>
  <c r="L16"/>
  <c r="I16"/>
  <c r="J4"/>
  <c r="L4"/>
  <c r="I4"/>
  <c r="L222"/>
  <c r="J222"/>
  <c r="L218"/>
  <c r="J218"/>
  <c r="L214"/>
  <c r="J214"/>
  <c r="L210"/>
  <c r="J210"/>
  <c r="L206"/>
  <c r="J206"/>
  <c r="L202"/>
  <c r="J202"/>
  <c r="L198"/>
  <c r="J198"/>
  <c r="L194"/>
  <c r="J194"/>
  <c r="L190"/>
  <c r="J190"/>
  <c r="L186"/>
  <c r="J186"/>
  <c r="L182"/>
  <c r="J182"/>
  <c r="L178"/>
  <c r="J178"/>
  <c r="L174"/>
  <c r="J174"/>
  <c r="L170"/>
  <c r="J170"/>
  <c r="L166"/>
  <c r="J166"/>
  <c r="L162"/>
  <c r="J162"/>
  <c r="L158"/>
  <c r="J158"/>
  <c r="L154"/>
  <c r="J154"/>
  <c r="L150"/>
  <c r="J150"/>
  <c r="L146"/>
  <c r="J146"/>
  <c r="L142"/>
  <c r="J142"/>
  <c r="L138"/>
  <c r="J138"/>
  <c r="L134"/>
  <c r="J134"/>
  <c r="L130"/>
  <c r="J130"/>
  <c r="L126"/>
  <c r="J126"/>
  <c r="L122"/>
  <c r="J122"/>
  <c r="L118"/>
  <c r="J118"/>
  <c r="L114"/>
  <c r="J114"/>
  <c r="L110"/>
  <c r="J110"/>
  <c r="L106"/>
  <c r="J106"/>
  <c r="L102"/>
  <c r="J102"/>
  <c r="L98"/>
  <c r="J98"/>
  <c r="L94"/>
  <c r="J94"/>
  <c r="L90"/>
  <c r="J90"/>
  <c r="L86"/>
  <c r="J86"/>
  <c r="L82"/>
  <c r="J82"/>
  <c r="L78"/>
  <c r="J78"/>
  <c r="L74"/>
  <c r="J74"/>
  <c r="L70"/>
  <c r="J70"/>
  <c r="L66"/>
  <c r="J66"/>
  <c r="L62"/>
  <c r="J62"/>
  <c r="L58"/>
  <c r="J58"/>
  <c r="L54"/>
  <c r="J54"/>
  <c r="L50"/>
  <c r="J50"/>
  <c r="L46"/>
  <c r="J46"/>
  <c r="L42"/>
  <c r="J42"/>
  <c r="L38"/>
  <c r="J38"/>
  <c r="L34"/>
  <c r="J34"/>
  <c r="L30"/>
  <c r="J30"/>
  <c r="L26"/>
  <c r="J26"/>
  <c r="L22"/>
  <c r="J22"/>
  <c r="L18"/>
  <c r="J18"/>
  <c r="L14"/>
  <c r="J14"/>
  <c r="L10"/>
  <c r="J10"/>
  <c r="L6"/>
  <c r="J6"/>
  <c r="J200"/>
  <c r="J168"/>
  <c r="I224"/>
  <c r="I220"/>
  <c r="I216"/>
  <c r="I212"/>
  <c r="I208"/>
  <c r="I204"/>
  <c r="I200"/>
  <c r="I196"/>
  <c r="I192"/>
  <c r="I188"/>
  <c r="I184"/>
  <c r="I180"/>
  <c r="I176"/>
  <c r="I172"/>
  <c r="I168"/>
  <c r="I164"/>
  <c r="I160"/>
  <c r="I156"/>
  <c r="I146"/>
  <c r="I141"/>
  <c r="I130"/>
  <c r="I125"/>
  <c r="I114"/>
  <c r="I109"/>
  <c r="I98"/>
  <c r="I90"/>
  <c r="I82"/>
  <c r="I74"/>
  <c r="I66"/>
  <c r="I58"/>
  <c r="I50"/>
  <c r="I42"/>
  <c r="I34"/>
  <c r="I26"/>
  <c r="I18"/>
  <c r="I10"/>
  <c r="J224"/>
  <c r="J208"/>
  <c r="J192"/>
  <c r="J176"/>
  <c r="J160"/>
  <c r="J144"/>
  <c r="J128"/>
  <c r="J112"/>
  <c r="L205"/>
  <c r="L141"/>
  <c r="L77"/>
  <c r="L13"/>
  <c r="L148"/>
  <c r="I148"/>
  <c r="L132"/>
  <c r="I132"/>
  <c r="L116"/>
  <c r="I116"/>
  <c r="L100"/>
  <c r="I100"/>
  <c r="L84"/>
  <c r="I84"/>
  <c r="J60"/>
  <c r="L60"/>
  <c r="I60"/>
  <c r="J44"/>
  <c r="L44"/>
  <c r="I44"/>
  <c r="J28"/>
  <c r="L28"/>
  <c r="I28"/>
  <c r="J12"/>
  <c r="L12"/>
  <c r="I12"/>
  <c r="L223"/>
  <c r="J223"/>
  <c r="L219"/>
  <c r="J219"/>
  <c r="L215"/>
  <c r="J215"/>
  <c r="L211"/>
  <c r="J211"/>
  <c r="L207"/>
  <c r="J207"/>
  <c r="L203"/>
  <c r="J203"/>
  <c r="L199"/>
  <c r="J199"/>
  <c r="L195"/>
  <c r="J195"/>
  <c r="L191"/>
  <c r="J191"/>
  <c r="L187"/>
  <c r="J187"/>
  <c r="L183"/>
  <c r="J183"/>
  <c r="L179"/>
  <c r="J179"/>
  <c r="L175"/>
  <c r="J175"/>
  <c r="L171"/>
  <c r="J171"/>
  <c r="L167"/>
  <c r="J167"/>
  <c r="L163"/>
  <c r="J163"/>
  <c r="L159"/>
  <c r="J159"/>
  <c r="L155"/>
  <c r="J155"/>
  <c r="L151"/>
  <c r="J151"/>
  <c r="L147"/>
  <c r="J147"/>
  <c r="L143"/>
  <c r="J143"/>
  <c r="L139"/>
  <c r="J139"/>
  <c r="L135"/>
  <c r="J135"/>
  <c r="L131"/>
  <c r="J131"/>
  <c r="L127"/>
  <c r="J127"/>
  <c r="L123"/>
  <c r="J123"/>
  <c r="L119"/>
  <c r="J119"/>
  <c r="L115"/>
  <c r="J115"/>
  <c r="L111"/>
  <c r="J111"/>
  <c r="L107"/>
  <c r="J107"/>
  <c r="L103"/>
  <c r="J103"/>
  <c r="L99"/>
  <c r="J99"/>
  <c r="L95"/>
  <c r="I95"/>
  <c r="J95"/>
  <c r="L91"/>
  <c r="I91"/>
  <c r="J91"/>
  <c r="L87"/>
  <c r="I87"/>
  <c r="J87"/>
  <c r="L83"/>
  <c r="I83"/>
  <c r="J83"/>
  <c r="L79"/>
  <c r="I79"/>
  <c r="J79"/>
  <c r="L75"/>
  <c r="I75"/>
  <c r="J75"/>
  <c r="L71"/>
  <c r="I71"/>
  <c r="J71"/>
  <c r="L67"/>
  <c r="I67"/>
  <c r="L63"/>
  <c r="I63"/>
  <c r="J63"/>
  <c r="L59"/>
  <c r="I59"/>
  <c r="L55"/>
  <c r="I55"/>
  <c r="J55"/>
  <c r="L51"/>
  <c r="I51"/>
  <c r="L47"/>
  <c r="I47"/>
  <c r="J47"/>
  <c r="L43"/>
  <c r="I43"/>
  <c r="L39"/>
  <c r="I39"/>
  <c r="J39"/>
  <c r="L35"/>
  <c r="I35"/>
  <c r="L31"/>
  <c r="I31"/>
  <c r="J31"/>
  <c r="L27"/>
  <c r="I27"/>
  <c r="L23"/>
  <c r="I23"/>
  <c r="J23"/>
  <c r="L19"/>
  <c r="I19"/>
  <c r="L15"/>
  <c r="I15"/>
  <c r="J15"/>
  <c r="L11"/>
  <c r="I11"/>
  <c r="L7"/>
  <c r="I7"/>
  <c r="J7"/>
  <c r="L3"/>
  <c r="I3"/>
  <c r="I221"/>
  <c r="I205"/>
  <c r="I189"/>
  <c r="I173"/>
  <c r="I157"/>
  <c r="I147"/>
  <c r="I142"/>
  <c r="I131"/>
  <c r="I126"/>
  <c r="I115"/>
  <c r="I110"/>
  <c r="I99"/>
  <c r="I93"/>
  <c r="I77"/>
  <c r="I61"/>
  <c r="I45"/>
  <c r="I29"/>
  <c r="I13"/>
  <c r="J212"/>
  <c r="J196"/>
  <c r="J180"/>
  <c r="J164"/>
  <c r="J148"/>
  <c r="J132"/>
  <c r="J116"/>
  <c r="J100"/>
  <c r="J84"/>
  <c r="J67"/>
  <c r="J35"/>
  <c r="J3"/>
  <c r="L221"/>
  <c r="L157"/>
  <c r="L93"/>
  <c r="L29"/>
  <c r="L152"/>
  <c r="I152"/>
  <c r="L136"/>
  <c r="I136"/>
  <c r="L120"/>
  <c r="I120"/>
  <c r="L104"/>
  <c r="I104"/>
  <c r="L88"/>
  <c r="I88"/>
  <c r="L72"/>
  <c r="I72"/>
  <c r="J52"/>
  <c r="L52"/>
  <c r="I52"/>
  <c r="J32"/>
  <c r="L32"/>
  <c r="I32"/>
  <c r="J20"/>
  <c r="L20"/>
  <c r="I20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K208" s="1"/>
  <c r="K209" s="1"/>
  <c r="K210" s="1"/>
  <c r="K211" s="1"/>
  <c r="K212" s="1"/>
  <c r="K213" s="1"/>
  <c r="K214" s="1"/>
  <c r="K215" s="1"/>
  <c r="K216" s="1"/>
  <c r="K217" s="1"/>
  <c r="K218" s="1"/>
  <c r="K219" s="1"/>
  <c r="K220" s="1"/>
  <c r="K221" s="1"/>
  <c r="K222" s="1"/>
  <c r="K223" s="1"/>
  <c r="K224" s="1"/>
  <c r="J216"/>
  <c r="J184"/>
  <c r="J136"/>
  <c r="J88"/>
  <c r="L140"/>
  <c r="I140"/>
  <c r="L124"/>
  <c r="I124"/>
  <c r="L108"/>
  <c r="I108"/>
  <c r="L96"/>
  <c r="I96"/>
  <c r="L80"/>
  <c r="I80"/>
  <c r="L68"/>
  <c r="J68"/>
  <c r="I68"/>
  <c r="J56"/>
  <c r="L56"/>
  <c r="I56"/>
  <c r="J40"/>
  <c r="L40"/>
  <c r="I40"/>
  <c r="J24"/>
  <c r="L24"/>
  <c r="I24"/>
  <c r="J8"/>
  <c r="L8"/>
  <c r="I8"/>
  <c r="J217"/>
  <c r="L217"/>
  <c r="J213"/>
  <c r="L213"/>
  <c r="L209"/>
  <c r="J209"/>
  <c r="J201"/>
  <c r="L201"/>
  <c r="J197"/>
  <c r="L197"/>
  <c r="L193"/>
  <c r="J193"/>
  <c r="J185"/>
  <c r="L185"/>
  <c r="J181"/>
  <c r="L181"/>
  <c r="L177"/>
  <c r="J177"/>
  <c r="J169"/>
  <c r="L169"/>
  <c r="J165"/>
  <c r="L165"/>
  <c r="L161"/>
  <c r="J161"/>
  <c r="J153"/>
  <c r="L153"/>
  <c r="J149"/>
  <c r="L149"/>
  <c r="L145"/>
  <c r="J145"/>
  <c r="J137"/>
  <c r="L137"/>
  <c r="J133"/>
  <c r="L133"/>
  <c r="L129"/>
  <c r="J129"/>
  <c r="J121"/>
  <c r="L121"/>
  <c r="J117"/>
  <c r="L117"/>
  <c r="L113"/>
  <c r="J113"/>
  <c r="J105"/>
  <c r="L105"/>
  <c r="J101"/>
  <c r="L101"/>
  <c r="L97"/>
  <c r="J97"/>
  <c r="J89"/>
  <c r="L89"/>
  <c r="J85"/>
  <c r="L85"/>
  <c r="L81"/>
  <c r="J81"/>
  <c r="J73"/>
  <c r="L73"/>
  <c r="L69"/>
  <c r="J69"/>
  <c r="L65"/>
  <c r="J65"/>
  <c r="L57"/>
  <c r="J57"/>
  <c r="J53"/>
  <c r="L53"/>
  <c r="L49"/>
  <c r="J49"/>
  <c r="L41"/>
  <c r="J41"/>
  <c r="J37"/>
  <c r="L37"/>
  <c r="L33"/>
  <c r="J33"/>
  <c r="L25"/>
  <c r="J25"/>
  <c r="J21"/>
  <c r="L21"/>
  <c r="L17"/>
  <c r="J17"/>
  <c r="L9"/>
  <c r="J9"/>
  <c r="J5"/>
  <c r="L5"/>
  <c r="I223"/>
  <c r="I219"/>
  <c r="I215"/>
  <c r="I211"/>
  <c r="I207"/>
  <c r="I203"/>
  <c r="I199"/>
  <c r="I195"/>
  <c r="I191"/>
  <c r="I187"/>
  <c r="I183"/>
  <c r="I179"/>
  <c r="I175"/>
  <c r="I171"/>
  <c r="I167"/>
  <c r="I163"/>
  <c r="I159"/>
  <c r="I155"/>
  <c r="I150"/>
  <c r="I145"/>
  <c r="I139"/>
  <c r="I134"/>
  <c r="I129"/>
  <c r="I123"/>
  <c r="I118"/>
  <c r="I113"/>
  <c r="I107"/>
  <c r="I102"/>
  <c r="I97"/>
  <c r="I89"/>
  <c r="I81"/>
  <c r="I73"/>
  <c r="I65"/>
  <c r="I57"/>
  <c r="I49"/>
  <c r="I41"/>
  <c r="I33"/>
  <c r="I25"/>
  <c r="I17"/>
  <c r="I9"/>
  <c r="J220"/>
  <c r="J204"/>
  <c r="J188"/>
  <c r="J172"/>
  <c r="J156"/>
  <c r="J140"/>
  <c r="J124"/>
  <c r="J108"/>
  <c r="J92"/>
  <c r="J76"/>
  <c r="J51"/>
  <c r="J19"/>
  <c r="L189"/>
  <c r="L125"/>
  <c r="L61"/>
</calcChain>
</file>

<file path=xl/sharedStrings.xml><?xml version="1.0" encoding="utf-8"?>
<sst xmlns="http://schemas.openxmlformats.org/spreadsheetml/2006/main" count="252" uniqueCount="244">
  <si>
    <t>time</t>
  </si>
  <si>
    <t>lat</t>
  </si>
  <si>
    <t>lon</t>
  </si>
  <si>
    <t>hMSL</t>
  </si>
  <si>
    <t>velN</t>
  </si>
  <si>
    <t>velE</t>
  </si>
  <si>
    <t>velD</t>
  </si>
  <si>
    <t>hAcc</t>
  </si>
  <si>
    <t>vAcc</t>
  </si>
  <si>
    <t>sAcc</t>
  </si>
  <si>
    <t>gpsFix</t>
  </si>
  <si>
    <t>numSV</t>
  </si>
  <si>
    <t>(deg)</t>
  </si>
  <si>
    <t>(m)</t>
  </si>
  <si>
    <t>(m/s)</t>
  </si>
  <si>
    <t>2011-04-22T10:49:39.60Z</t>
  </si>
  <si>
    <t>2011-04-22T10:49:39.80Z</t>
  </si>
  <si>
    <t>2011-04-22T10:49:40.00Z</t>
  </si>
  <si>
    <t>2011-04-22T10:49:40.20Z</t>
  </si>
  <si>
    <t>2011-04-22T10:49:40.40Z</t>
  </si>
  <si>
    <t>2011-04-22T10:49:40.60Z</t>
  </si>
  <si>
    <t>2011-04-22T10:49:40.80Z</t>
  </si>
  <si>
    <t>2011-04-22T10:49:41.00Z</t>
  </si>
  <si>
    <t>2011-04-22T10:49:41.20Z</t>
  </si>
  <si>
    <t>2011-04-22T10:49:41.40Z</t>
  </si>
  <si>
    <t>2011-04-22T10:49:41.60Z</t>
  </si>
  <si>
    <t>2011-04-22T10:49:41.80Z</t>
  </si>
  <si>
    <t>2011-04-22T10:49:42.00Z</t>
  </si>
  <si>
    <t>2011-04-22T10:49:42.20Z</t>
  </si>
  <si>
    <t>2011-04-22T10:49:42.40Z</t>
  </si>
  <si>
    <t>2011-04-22T10:49:42.60Z</t>
  </si>
  <si>
    <t>2011-04-22T10:49:42.80Z</t>
  </si>
  <si>
    <t>2011-04-22T10:49:43.00Z</t>
  </si>
  <si>
    <t>2011-04-22T10:49:43.20Z</t>
  </si>
  <si>
    <t>2011-04-22T10:49:43.40Z</t>
  </si>
  <si>
    <t>2011-04-22T10:49:43.60Z</t>
  </si>
  <si>
    <t>2011-04-22T10:49:43.80Z</t>
  </si>
  <si>
    <t>2011-04-22T10:49:44.00Z</t>
  </si>
  <si>
    <t>2011-04-22T10:49:44.20Z</t>
  </si>
  <si>
    <t>2011-04-22T10:49:44.40Z</t>
  </si>
  <si>
    <t>2011-04-22T10:49:44.60Z</t>
  </si>
  <si>
    <t>2011-04-22T10:49:44.80Z</t>
  </si>
  <si>
    <t>2011-04-22T10:49:45.00Z</t>
  </si>
  <si>
    <t>2011-04-22T10:49:45.20Z</t>
  </si>
  <si>
    <t>2011-04-22T10:49:45.40Z</t>
  </si>
  <si>
    <t>2011-04-22T10:49:45.60Z</t>
  </si>
  <si>
    <t>2011-04-22T10:49:45.80Z</t>
  </si>
  <si>
    <t>2011-04-22T10:49:46.00Z</t>
  </si>
  <si>
    <t>2011-04-22T10:49:46.20Z</t>
  </si>
  <si>
    <t>2011-04-22T10:49:46.40Z</t>
  </si>
  <si>
    <t>2011-04-22T10:49:46.60Z</t>
  </si>
  <si>
    <t>2011-04-22T10:49:46.80Z</t>
  </si>
  <si>
    <t>2011-04-22T10:49:47.00Z</t>
  </si>
  <si>
    <t>2011-04-22T10:49:47.20Z</t>
  </si>
  <si>
    <t>2011-04-22T10:49:47.40Z</t>
  </si>
  <si>
    <t>2011-04-22T10:49:47.60Z</t>
  </si>
  <si>
    <t>2011-04-22T10:49:47.80Z</t>
  </si>
  <si>
    <t>2011-04-22T10:49:48.00Z</t>
  </si>
  <si>
    <t>2011-04-22T10:49:48.20Z</t>
  </si>
  <si>
    <t>2011-04-22T10:49:48.40Z</t>
  </si>
  <si>
    <t>2011-04-22T10:49:48.60Z</t>
  </si>
  <si>
    <t>2011-04-22T10:49:48.80Z</t>
  </si>
  <si>
    <t>2011-04-22T10:49:49.00Z</t>
  </si>
  <si>
    <t>2011-04-22T10:49:49.20Z</t>
  </si>
  <si>
    <t>2011-04-22T10:49:49.40Z</t>
  </si>
  <si>
    <t>2011-04-22T10:49:49.60Z</t>
  </si>
  <si>
    <t>2011-04-22T10:49:49.80Z</t>
  </si>
  <si>
    <t>2011-04-22T10:49:50.00Z</t>
  </si>
  <si>
    <t>2011-04-22T10:49:50.20Z</t>
  </si>
  <si>
    <t>2011-04-22T10:49:50.40Z</t>
  </si>
  <si>
    <t>2011-04-22T10:49:50.60Z</t>
  </si>
  <si>
    <t>2011-04-22T10:49:50.80Z</t>
  </si>
  <si>
    <t>2011-04-22T10:49:51.00Z</t>
  </si>
  <si>
    <t>2011-04-22T10:49:51.20Z</t>
  </si>
  <si>
    <t>2011-04-22T10:49:51.40Z</t>
  </si>
  <si>
    <t>2011-04-22T10:49:51.60Z</t>
  </si>
  <si>
    <t>2011-04-22T10:49:51.80Z</t>
  </si>
  <si>
    <t>2011-04-22T10:49:52.00Z</t>
  </si>
  <si>
    <t>2011-04-22T10:49:52.20Z</t>
  </si>
  <si>
    <t>2011-04-22T10:49:52.40Z</t>
  </si>
  <si>
    <t>2011-04-22T10:49:52.60Z</t>
  </si>
  <si>
    <t>2011-04-22T10:49:52.80Z</t>
  </si>
  <si>
    <t>2011-04-22T10:49:53.00Z</t>
  </si>
  <si>
    <t>2011-04-22T10:49:53.20Z</t>
  </si>
  <si>
    <t>2011-04-22T10:49:53.40Z</t>
  </si>
  <si>
    <t>2011-04-22T10:49:53.60Z</t>
  </si>
  <si>
    <t>2011-04-22T10:49:53.80Z</t>
  </si>
  <si>
    <t>2011-04-22T10:49:54.00Z</t>
  </si>
  <si>
    <t>2011-04-22T10:49:54.20Z</t>
  </si>
  <si>
    <t>2011-04-22T10:49:54.40Z</t>
  </si>
  <si>
    <t>2011-04-22T10:49:54.60Z</t>
  </si>
  <si>
    <t>2011-04-22T10:49:54.80Z</t>
  </si>
  <si>
    <t>2011-04-22T10:49:55.00Z</t>
  </si>
  <si>
    <t>2011-04-22T10:49:55.20Z</t>
  </si>
  <si>
    <t>2011-04-22T10:49:55.40Z</t>
  </si>
  <si>
    <t>2011-04-22T10:49:55.60Z</t>
  </si>
  <si>
    <t>2011-04-22T10:49:55.80Z</t>
  </si>
  <si>
    <t>2011-04-22T10:49:56.00Z</t>
  </si>
  <si>
    <t>2011-04-22T10:49:56.20Z</t>
  </si>
  <si>
    <t>2011-04-22T10:49:56.40Z</t>
  </si>
  <si>
    <t>2011-04-22T10:49:56.60Z</t>
  </si>
  <si>
    <t>2011-04-22T10:49:56.80Z</t>
  </si>
  <si>
    <t>2011-04-22T10:49:57.00Z</t>
  </si>
  <si>
    <t>2011-04-22T10:49:57.20Z</t>
  </si>
  <si>
    <t>2011-04-22T10:49:57.40Z</t>
  </si>
  <si>
    <t>2011-04-22T10:49:57.60Z</t>
  </si>
  <si>
    <t>2011-04-22T10:49:57.80Z</t>
  </si>
  <si>
    <t>2011-04-22T10:49:58.00Z</t>
  </si>
  <si>
    <t>2011-04-22T10:49:58.20Z</t>
  </si>
  <si>
    <t>2011-04-22T10:49:58.40Z</t>
  </si>
  <si>
    <t>2011-04-22T10:49:58.60Z</t>
  </si>
  <si>
    <t>2011-04-22T10:49:58.80Z</t>
  </si>
  <si>
    <t>2011-04-22T10:49:59.00Z</t>
  </si>
  <si>
    <t>2011-04-22T10:49:59.20Z</t>
  </si>
  <si>
    <t>2011-04-22T10:49:59.40Z</t>
  </si>
  <si>
    <t>2011-04-22T10:49:59.60Z</t>
  </si>
  <si>
    <t>2011-04-22T10:49:59.80Z</t>
  </si>
  <si>
    <t>2011-04-22T10:50:00.00Z</t>
  </si>
  <si>
    <t>2011-04-22T10:50:00.20Z</t>
  </si>
  <si>
    <t>2011-04-22T10:50:00.40Z</t>
  </si>
  <si>
    <t>2011-04-22T10:50:00.60Z</t>
  </si>
  <si>
    <t>2011-04-22T10:50:00.80Z</t>
  </si>
  <si>
    <t>2011-04-22T10:50:01.00Z</t>
  </si>
  <si>
    <t>2011-04-22T10:50:01.20Z</t>
  </si>
  <si>
    <t>2011-04-22T10:50:01.40Z</t>
  </si>
  <si>
    <t>2011-04-22T10:50:01.60Z</t>
  </si>
  <si>
    <t>2011-04-22T10:50:01.80Z</t>
  </si>
  <si>
    <t>2011-04-22T10:50:02.00Z</t>
  </si>
  <si>
    <t>2011-04-22T10:50:02.20Z</t>
  </si>
  <si>
    <t>2011-04-22T10:50:02.40Z</t>
  </si>
  <si>
    <t>2011-04-22T10:50:02.60Z</t>
  </si>
  <si>
    <t>2011-04-22T10:50:02.80Z</t>
  </si>
  <si>
    <t>2011-04-22T10:50:03.00Z</t>
  </si>
  <si>
    <t>2011-04-22T10:50:03.20Z</t>
  </si>
  <si>
    <t>2011-04-22T10:50:03.40Z</t>
  </si>
  <si>
    <t>2011-04-22T10:50:03.60Z</t>
  </si>
  <si>
    <t>2011-04-22T10:50:03.80Z</t>
  </si>
  <si>
    <t>2011-04-22T10:50:04.00Z</t>
  </si>
  <si>
    <t>2011-04-22T10:50:04.20Z</t>
  </si>
  <si>
    <t>2011-04-22T10:50:04.40Z</t>
  </si>
  <si>
    <t>2011-04-22T10:50:04.60Z</t>
  </si>
  <si>
    <t>2011-04-22T10:50:04.80Z</t>
  </si>
  <si>
    <t>2011-04-22T10:50:05.00Z</t>
  </si>
  <si>
    <t>2011-04-22T10:50:05.20Z</t>
  </si>
  <si>
    <t>2011-04-22T10:50:05.40Z</t>
  </si>
  <si>
    <t>2011-04-22T10:50:05.60Z</t>
  </si>
  <si>
    <t>2011-04-22T10:50:05.80Z</t>
  </si>
  <si>
    <t>2011-04-22T10:50:06.00Z</t>
  </si>
  <si>
    <t>2011-04-22T10:50:06.20Z</t>
  </si>
  <si>
    <t>2011-04-22T10:50:06.40Z</t>
  </si>
  <si>
    <t>2011-04-22T10:50:06.60Z</t>
  </si>
  <si>
    <t>2011-04-22T10:50:06.80Z</t>
  </si>
  <si>
    <t>2011-04-22T10:50:07.00Z</t>
  </si>
  <si>
    <t>2011-04-22T10:50:07.20Z</t>
  </si>
  <si>
    <t>2011-04-22T10:50:07.40Z</t>
  </si>
  <si>
    <t>2011-04-22T10:50:07.60Z</t>
  </si>
  <si>
    <t>2011-04-22T10:50:07.80Z</t>
  </si>
  <si>
    <t>2011-04-22T10:50:08.00Z</t>
  </si>
  <si>
    <t>2011-04-22T10:50:08.20Z</t>
  </si>
  <si>
    <t>2011-04-22T10:50:08.40Z</t>
  </si>
  <si>
    <t>2011-04-22T10:50:08.60Z</t>
  </si>
  <si>
    <t>2011-04-22T10:50:08.80Z</t>
  </si>
  <si>
    <t>2011-04-22T10:50:09.00Z</t>
  </si>
  <si>
    <t>2011-04-22T10:50:09.20Z</t>
  </si>
  <si>
    <t>2011-04-22T10:50:09.40Z</t>
  </si>
  <si>
    <t>2011-04-22T10:50:09.80Z</t>
  </si>
  <si>
    <t>2011-04-22T10:50:10.00Z</t>
  </si>
  <si>
    <t>2011-04-22T10:50:10.20Z</t>
  </si>
  <si>
    <t>2011-04-22T10:50:10.40Z</t>
  </si>
  <si>
    <t>2011-04-22T10:50:10.60Z</t>
  </si>
  <si>
    <t>2011-04-22T10:50:10.80Z</t>
  </si>
  <si>
    <t>2011-04-22T10:50:11.00Z</t>
  </si>
  <si>
    <t>2011-04-22T10:50:11.20Z</t>
  </si>
  <si>
    <t>2011-04-22T10:50:11.40Z</t>
  </si>
  <si>
    <t>2011-04-22T10:50:11.60Z</t>
  </si>
  <si>
    <t>2011-04-22T10:50:11.80Z</t>
  </si>
  <si>
    <t>2011-04-22T10:50:12.00Z</t>
  </si>
  <si>
    <t>2011-04-22T10:50:12.20Z</t>
  </si>
  <si>
    <t>2011-04-22T10:50:12.40Z</t>
  </si>
  <si>
    <t>2011-04-22T10:50:12.60Z</t>
  </si>
  <si>
    <t>2011-04-22T10:50:12.80Z</t>
  </si>
  <si>
    <t>2011-04-22T10:50:13.00Z</t>
  </si>
  <si>
    <t>2011-04-22T10:50:13.20Z</t>
  </si>
  <si>
    <t>2011-04-22T10:50:13.40Z</t>
  </si>
  <si>
    <t>2011-04-22T10:50:13.60Z</t>
  </si>
  <si>
    <t>2011-04-22T10:50:13.80Z</t>
  </si>
  <si>
    <t>2011-04-22T10:50:14.00Z</t>
  </si>
  <si>
    <t>2011-04-22T10:50:14.20Z</t>
  </si>
  <si>
    <t>2011-04-22T10:50:14.40Z</t>
  </si>
  <si>
    <t>2011-04-22T10:50:14.60Z</t>
  </si>
  <si>
    <t>2011-04-22T10:50:14.80Z</t>
  </si>
  <si>
    <t>2011-04-22T10:50:15.00Z</t>
  </si>
  <si>
    <t>2011-04-22T10:50:15.20Z</t>
  </si>
  <si>
    <t>2011-04-22T10:50:15.40Z</t>
  </si>
  <si>
    <t>2011-04-22T10:50:15.60Z</t>
  </si>
  <si>
    <t>2011-04-22T10:50:15.80Z</t>
  </si>
  <si>
    <t>2011-04-22T10:50:16.00Z</t>
  </si>
  <si>
    <t>2011-04-22T10:50:16.20Z</t>
  </si>
  <si>
    <t>2011-04-22T10:50:16.40Z</t>
  </si>
  <si>
    <t>2011-04-22T10:50:16.60Z</t>
  </si>
  <si>
    <t>2011-04-22T10:50:16.80Z</t>
  </si>
  <si>
    <t>2011-04-22T10:50:17.00Z</t>
  </si>
  <si>
    <t>2011-04-22T10:50:17.20Z</t>
  </si>
  <si>
    <t>2011-04-22T10:50:17.40Z</t>
  </si>
  <si>
    <t>2011-04-22T10:50:17.60Z</t>
  </si>
  <si>
    <t>2011-04-22T10:50:17.80Z</t>
  </si>
  <si>
    <t>2011-04-22T10:50:18.00Z</t>
  </si>
  <si>
    <t>2011-04-22T10:50:18.20Z</t>
  </si>
  <si>
    <t>2011-04-22T10:50:18.40Z</t>
  </si>
  <si>
    <t>2011-04-22T10:50:18.60Z</t>
  </si>
  <si>
    <t>2011-04-22T10:50:18.80Z</t>
  </si>
  <si>
    <t>2011-04-22T10:50:19.00Z</t>
  </si>
  <si>
    <t>2011-04-22T10:50:19.20Z</t>
  </si>
  <si>
    <t>2011-04-22T10:50:19.40Z</t>
  </si>
  <si>
    <t>2011-04-22T10:50:19.60Z</t>
  </si>
  <si>
    <t>2011-04-22T10:50:19.80Z</t>
  </si>
  <si>
    <t>2011-04-22T10:50:20.00Z</t>
  </si>
  <si>
    <t>2011-04-22T10:50:20.20Z</t>
  </si>
  <si>
    <t>2011-04-22T10:50:20.40Z</t>
  </si>
  <si>
    <t>2011-04-22T10:50:20.60Z</t>
  </si>
  <si>
    <t>2011-04-22T10:50:20.80Z</t>
  </si>
  <si>
    <t>2011-04-22T10:50:21.00Z</t>
  </si>
  <si>
    <t>2011-04-22T10:50:21.20Z</t>
  </si>
  <si>
    <t>2011-04-22T10:50:21.40Z</t>
  </si>
  <si>
    <t>2011-04-22T10:50:21.60Z</t>
  </si>
  <si>
    <t>2011-04-22T10:50:21.80Z</t>
  </si>
  <si>
    <t>2011-04-22T10:50:22.00Z</t>
  </si>
  <si>
    <t>2011-04-22T10:50:22.20Z</t>
  </si>
  <si>
    <t>2011-04-22T10:50:22.40Z</t>
  </si>
  <si>
    <t>2011-04-22T10:50:22.60Z</t>
  </si>
  <si>
    <t>2011-04-22T10:50:22.80Z</t>
  </si>
  <si>
    <t>2011-04-22T10:50:23.00Z</t>
  </si>
  <si>
    <t>2011-04-22T10:50:23.20Z</t>
  </si>
  <si>
    <t>2011-04-22T10:50:23.40Z</t>
  </si>
  <si>
    <t>2011-04-22T10:50:23.60Z</t>
  </si>
  <si>
    <t>2011-04-22T10:50:23.80Z</t>
  </si>
  <si>
    <t>2011-04-22T10:50:24.00Z</t>
  </si>
  <si>
    <t>(km/h)</t>
  </si>
  <si>
    <t>velH</t>
  </si>
  <si>
    <t>vel3D</t>
  </si>
  <si>
    <t>Glide</t>
  </si>
  <si>
    <t>hDistance</t>
  </si>
  <si>
    <t>Angle</t>
  </si>
  <si>
    <t>(Degrees)</t>
  </si>
</sst>
</file>

<file path=xl/styles.xml><?xml version="1.0" encoding="utf-8"?>
<styleSheet xmlns="http://schemas.openxmlformats.org/spreadsheetml/2006/main">
  <numFmts count="1">
    <numFmt numFmtId="164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16" fillId="0" borderId="0" xfId="0" applyNumberFormat="1" applyFont="1"/>
    <xf numFmtId="1" fontId="0" fillId="0" borderId="0" xfId="0" applyNumberForma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v-SE"/>
  <c:chart>
    <c:plotArea>
      <c:layout/>
      <c:lineChart>
        <c:grouping val="standard"/>
        <c:ser>
          <c:idx val="0"/>
          <c:order val="0"/>
          <c:tx>
            <c:v>vel3D</c:v>
          </c:tx>
          <c:spPr>
            <a:ln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'10-47-56'!$I$3:$I$224</c:f>
              <c:numCache>
                <c:formatCode>0</c:formatCode>
                <c:ptCount val="222"/>
                <c:pt idx="0">
                  <c:v>142.003194442942</c:v>
                </c:pt>
                <c:pt idx="1">
                  <c:v>141.29901400929873</c:v>
                </c:pt>
                <c:pt idx="2">
                  <c:v>140.61484792154775</c:v>
                </c:pt>
                <c:pt idx="3">
                  <c:v>142.17652515095452</c:v>
                </c:pt>
                <c:pt idx="4">
                  <c:v>143.91976064460363</c:v>
                </c:pt>
                <c:pt idx="5">
                  <c:v>145.95441600719042</c:v>
                </c:pt>
                <c:pt idx="6">
                  <c:v>148.11629409352639</c:v>
                </c:pt>
                <c:pt idx="7">
                  <c:v>148.91427740817869</c:v>
                </c:pt>
                <c:pt idx="8">
                  <c:v>151.11871243495958</c:v>
                </c:pt>
                <c:pt idx="9">
                  <c:v>154.66988904114467</c:v>
                </c:pt>
                <c:pt idx="10">
                  <c:v>157.59012644198239</c:v>
                </c:pt>
                <c:pt idx="11">
                  <c:v>160.80379965660018</c:v>
                </c:pt>
                <c:pt idx="12">
                  <c:v>164.2096069783982</c:v>
                </c:pt>
                <c:pt idx="13">
                  <c:v>166.99568075851545</c:v>
                </c:pt>
                <c:pt idx="14">
                  <c:v>169.91247568086339</c:v>
                </c:pt>
                <c:pt idx="15">
                  <c:v>173.6776897589325</c:v>
                </c:pt>
                <c:pt idx="16">
                  <c:v>176.81970885622454</c:v>
                </c:pt>
                <c:pt idx="17">
                  <c:v>179.59775094360174</c:v>
                </c:pt>
                <c:pt idx="18">
                  <c:v>182.46894670600804</c:v>
                </c:pt>
                <c:pt idx="19">
                  <c:v>185.2971827524639</c:v>
                </c:pt>
                <c:pt idx="20">
                  <c:v>188.12292836334439</c:v>
                </c:pt>
                <c:pt idx="21">
                  <c:v>191.45048437650922</c:v>
                </c:pt>
                <c:pt idx="22">
                  <c:v>194.52788127155449</c:v>
                </c:pt>
                <c:pt idx="23">
                  <c:v>197.78875058000645</c:v>
                </c:pt>
                <c:pt idx="24">
                  <c:v>200.46239495725877</c:v>
                </c:pt>
                <c:pt idx="25">
                  <c:v>202.38404039844647</c:v>
                </c:pt>
                <c:pt idx="26">
                  <c:v>204.85206502254258</c:v>
                </c:pt>
                <c:pt idx="27">
                  <c:v>207.50785041535175</c:v>
                </c:pt>
                <c:pt idx="28">
                  <c:v>210.31785715911047</c:v>
                </c:pt>
                <c:pt idx="29">
                  <c:v>212.09630288149768</c:v>
                </c:pt>
                <c:pt idx="30">
                  <c:v>213.64329740949049</c:v>
                </c:pt>
                <c:pt idx="31">
                  <c:v>215.44174358744871</c:v>
                </c:pt>
                <c:pt idx="32">
                  <c:v>216.86961148118471</c:v>
                </c:pt>
                <c:pt idx="33">
                  <c:v>217.663919141414</c:v>
                </c:pt>
                <c:pt idx="34">
                  <c:v>218.44013894886623</c:v>
                </c:pt>
                <c:pt idx="35">
                  <c:v>218.57703802549801</c:v>
                </c:pt>
                <c:pt idx="36">
                  <c:v>219.38261174486914</c:v>
                </c:pt>
                <c:pt idx="37">
                  <c:v>220.25736462602109</c:v>
                </c:pt>
                <c:pt idx="38">
                  <c:v>222.15117252897855</c:v>
                </c:pt>
                <c:pt idx="39">
                  <c:v>223.54533575093893</c:v>
                </c:pt>
                <c:pt idx="40">
                  <c:v>224.94512642864703</c:v>
                </c:pt>
                <c:pt idx="41">
                  <c:v>226.67867897973997</c:v>
                </c:pt>
                <c:pt idx="42">
                  <c:v>227.98966839749559</c:v>
                </c:pt>
                <c:pt idx="43">
                  <c:v>229.12205020032445</c:v>
                </c:pt>
                <c:pt idx="44">
                  <c:v>230.30164556945743</c:v>
                </c:pt>
                <c:pt idx="45">
                  <c:v>232.02698484443573</c:v>
                </c:pt>
                <c:pt idx="46">
                  <c:v>233.36315740064882</c:v>
                </c:pt>
                <c:pt idx="47">
                  <c:v>234.9261723350551</c:v>
                </c:pt>
                <c:pt idx="48">
                  <c:v>236.16441764160834</c:v>
                </c:pt>
                <c:pt idx="49">
                  <c:v>237.64712805333878</c:v>
                </c:pt>
                <c:pt idx="50">
                  <c:v>239.18922872069302</c:v>
                </c:pt>
                <c:pt idx="51">
                  <c:v>240.84974240384813</c:v>
                </c:pt>
                <c:pt idx="52">
                  <c:v>242.25122503715022</c:v>
                </c:pt>
                <c:pt idx="53">
                  <c:v>243.70890196297714</c:v>
                </c:pt>
                <c:pt idx="54">
                  <c:v>245.25056212779617</c:v>
                </c:pt>
                <c:pt idx="55">
                  <c:v>246.30957438150878</c:v>
                </c:pt>
                <c:pt idx="56">
                  <c:v>247.96669598960258</c:v>
                </c:pt>
                <c:pt idx="57">
                  <c:v>249.46264874726236</c:v>
                </c:pt>
                <c:pt idx="58">
                  <c:v>250.650940393209</c:v>
                </c:pt>
                <c:pt idx="59">
                  <c:v>251.94724933604655</c:v>
                </c:pt>
                <c:pt idx="60">
                  <c:v>252.6452504837564</c:v>
                </c:pt>
                <c:pt idx="61">
                  <c:v>253.4726663606946</c:v>
                </c:pt>
                <c:pt idx="62">
                  <c:v>254.45959226564835</c:v>
                </c:pt>
                <c:pt idx="63">
                  <c:v>255.40273007154798</c:v>
                </c:pt>
                <c:pt idx="64">
                  <c:v>256.27836150560978</c:v>
                </c:pt>
                <c:pt idx="65">
                  <c:v>257.29440519373907</c:v>
                </c:pt>
                <c:pt idx="66">
                  <c:v>258.17801774744498</c:v>
                </c:pt>
                <c:pt idx="67">
                  <c:v>259.24986770295567</c:v>
                </c:pt>
                <c:pt idx="68">
                  <c:v>260.53601682684871</c:v>
                </c:pt>
                <c:pt idx="69">
                  <c:v>261.64164741875481</c:v>
                </c:pt>
                <c:pt idx="70">
                  <c:v>262.81220026475182</c:v>
                </c:pt>
                <c:pt idx="71">
                  <c:v>264.44672540230107</c:v>
                </c:pt>
                <c:pt idx="72">
                  <c:v>265.61267927567013</c:v>
                </c:pt>
                <c:pt idx="73">
                  <c:v>266.4272248250918</c:v>
                </c:pt>
                <c:pt idx="74">
                  <c:v>267.01012645965318</c:v>
                </c:pt>
                <c:pt idx="75">
                  <c:v>267.51418570236604</c:v>
                </c:pt>
                <c:pt idx="76">
                  <c:v>267.99640191614515</c:v>
                </c:pt>
                <c:pt idx="77">
                  <c:v>268.04784113288434</c:v>
                </c:pt>
                <c:pt idx="78">
                  <c:v>267.68667789040234</c:v>
                </c:pt>
                <c:pt idx="79">
                  <c:v>267.04142887574579</c:v>
                </c:pt>
                <c:pt idx="80">
                  <c:v>265.4887628808421</c:v>
                </c:pt>
                <c:pt idx="81">
                  <c:v>263.7238252718173</c:v>
                </c:pt>
                <c:pt idx="82">
                  <c:v>261.72419418922664</c:v>
                </c:pt>
                <c:pt idx="83">
                  <c:v>260.77179927285079</c:v>
                </c:pt>
                <c:pt idx="84">
                  <c:v>260.34281067853595</c:v>
                </c:pt>
                <c:pt idx="85">
                  <c:v>260.49273878555618</c:v>
                </c:pt>
                <c:pt idx="86">
                  <c:v>260.59281285561201</c:v>
                </c:pt>
                <c:pt idx="87">
                  <c:v>260.68667896921778</c:v>
                </c:pt>
                <c:pt idx="88">
                  <c:v>260.33126632043258</c:v>
                </c:pt>
                <c:pt idx="89">
                  <c:v>259.81442177061695</c:v>
                </c:pt>
                <c:pt idx="90">
                  <c:v>259.67583822912752</c:v>
                </c:pt>
                <c:pt idx="91">
                  <c:v>259.74944515051425</c:v>
                </c:pt>
                <c:pt idx="92">
                  <c:v>259.66823956733714</c:v>
                </c:pt>
                <c:pt idx="93">
                  <c:v>260.4228006607716</c:v>
                </c:pt>
                <c:pt idx="94">
                  <c:v>260.98349658168047</c:v>
                </c:pt>
                <c:pt idx="95">
                  <c:v>261.23209432227122</c:v>
                </c:pt>
                <c:pt idx="96">
                  <c:v>261.43440428528152</c:v>
                </c:pt>
                <c:pt idx="97">
                  <c:v>262.3991918889995</c:v>
                </c:pt>
                <c:pt idx="98">
                  <c:v>264.09124232355759</c:v>
                </c:pt>
                <c:pt idx="99">
                  <c:v>265.02118804352227</c:v>
                </c:pt>
                <c:pt idx="100">
                  <c:v>265.1963035941489</c:v>
                </c:pt>
                <c:pt idx="101">
                  <c:v>264.91004039862287</c:v>
                </c:pt>
                <c:pt idx="102">
                  <c:v>264.46132447675592</c:v>
                </c:pt>
                <c:pt idx="103">
                  <c:v>263.80607914147851</c:v>
                </c:pt>
                <c:pt idx="104">
                  <c:v>263.26343165734204</c:v>
                </c:pt>
                <c:pt idx="105">
                  <c:v>262.60455334970868</c:v>
                </c:pt>
                <c:pt idx="106">
                  <c:v>261.7240134492821</c:v>
                </c:pt>
                <c:pt idx="107">
                  <c:v>260.66518386620032</c:v>
                </c:pt>
                <c:pt idx="108">
                  <c:v>259.28875730351291</c:v>
                </c:pt>
                <c:pt idx="109">
                  <c:v>258.72108756728744</c:v>
                </c:pt>
                <c:pt idx="110">
                  <c:v>258.36775390129475</c:v>
                </c:pt>
                <c:pt idx="111">
                  <c:v>257.74912435156784</c:v>
                </c:pt>
                <c:pt idx="112">
                  <c:v>257.62993226719601</c:v>
                </c:pt>
                <c:pt idx="113">
                  <c:v>258.07691439568941</c:v>
                </c:pt>
                <c:pt idx="114">
                  <c:v>258.30093574743398</c:v>
                </c:pt>
                <c:pt idx="115">
                  <c:v>258.79510876367044</c:v>
                </c:pt>
                <c:pt idx="116">
                  <c:v>258.98737779281834</c:v>
                </c:pt>
                <c:pt idx="117">
                  <c:v>258.27009694503931</c:v>
                </c:pt>
                <c:pt idx="118">
                  <c:v>257.01117065217227</c:v>
                </c:pt>
                <c:pt idx="119">
                  <c:v>257.16790935106968</c:v>
                </c:pt>
                <c:pt idx="120">
                  <c:v>257.24633986900574</c:v>
                </c:pt>
                <c:pt idx="121">
                  <c:v>257.53176655317691</c:v>
                </c:pt>
                <c:pt idx="122">
                  <c:v>257.77516882741054</c:v>
                </c:pt>
                <c:pt idx="123">
                  <c:v>257.90304019921905</c:v>
                </c:pt>
                <c:pt idx="124">
                  <c:v>258.40603900063945</c:v>
                </c:pt>
                <c:pt idx="125">
                  <c:v>258.86522881221418</c:v>
                </c:pt>
                <c:pt idx="126">
                  <c:v>258.34954981187792</c:v>
                </c:pt>
                <c:pt idx="127">
                  <c:v>258.45353764264866</c:v>
                </c:pt>
                <c:pt idx="128">
                  <c:v>258.15735043573716</c:v>
                </c:pt>
                <c:pt idx="129">
                  <c:v>257.91628111462836</c:v>
                </c:pt>
                <c:pt idx="130">
                  <c:v>256.86149852401002</c:v>
                </c:pt>
                <c:pt idx="131">
                  <c:v>256.71532351614695</c:v>
                </c:pt>
                <c:pt idx="132">
                  <c:v>256.4131583519067</c:v>
                </c:pt>
                <c:pt idx="133">
                  <c:v>255.78784083689357</c:v>
                </c:pt>
                <c:pt idx="134">
                  <c:v>255.07584255667956</c:v>
                </c:pt>
                <c:pt idx="135">
                  <c:v>254.92967566762405</c:v>
                </c:pt>
                <c:pt idx="136">
                  <c:v>254.36328555827393</c:v>
                </c:pt>
                <c:pt idx="137">
                  <c:v>253.73917824411743</c:v>
                </c:pt>
                <c:pt idx="138">
                  <c:v>253.38453654475441</c:v>
                </c:pt>
                <c:pt idx="139">
                  <c:v>252.20115971184589</c:v>
                </c:pt>
                <c:pt idx="140">
                  <c:v>250.8725653872898</c:v>
                </c:pt>
                <c:pt idx="141">
                  <c:v>249.86691295967941</c:v>
                </c:pt>
                <c:pt idx="142">
                  <c:v>248.14310106871804</c:v>
                </c:pt>
                <c:pt idx="143">
                  <c:v>246.61482524779404</c:v>
                </c:pt>
                <c:pt idx="144">
                  <c:v>245.74680345428706</c:v>
                </c:pt>
                <c:pt idx="145">
                  <c:v>245.3645014911489</c:v>
                </c:pt>
                <c:pt idx="146">
                  <c:v>244.40067518728338</c:v>
                </c:pt>
                <c:pt idx="147">
                  <c:v>243.99117056155947</c:v>
                </c:pt>
                <c:pt idx="148">
                  <c:v>243.38733396789573</c:v>
                </c:pt>
                <c:pt idx="149">
                  <c:v>242.5049410465692</c:v>
                </c:pt>
                <c:pt idx="150">
                  <c:v>240.79117711411271</c:v>
                </c:pt>
                <c:pt idx="151">
                  <c:v>240.08747905711368</c:v>
                </c:pt>
                <c:pt idx="152">
                  <c:v>239.8400163775845</c:v>
                </c:pt>
                <c:pt idx="153">
                  <c:v>239.36712135128334</c:v>
                </c:pt>
                <c:pt idx="154">
                  <c:v>238.49820950271305</c:v>
                </c:pt>
                <c:pt idx="155">
                  <c:v>238.01154086304305</c:v>
                </c:pt>
                <c:pt idx="156">
                  <c:v>237.34105161981569</c:v>
                </c:pt>
                <c:pt idx="157">
                  <c:v>237.11569641843622</c:v>
                </c:pt>
                <c:pt idx="158">
                  <c:v>236.8631948446191</c:v>
                </c:pt>
                <c:pt idx="159">
                  <c:v>236.27133777925755</c:v>
                </c:pt>
                <c:pt idx="160">
                  <c:v>235.99563792578877</c:v>
                </c:pt>
                <c:pt idx="161">
                  <c:v>235.0249047228825</c:v>
                </c:pt>
                <c:pt idx="162">
                  <c:v>234.44988046062215</c:v>
                </c:pt>
                <c:pt idx="163">
                  <c:v>234.08853494351234</c:v>
                </c:pt>
                <c:pt idx="164">
                  <c:v>233.44000346127481</c:v>
                </c:pt>
                <c:pt idx="165">
                  <c:v>233.32034373367449</c:v>
                </c:pt>
                <c:pt idx="166">
                  <c:v>232.5760629127598</c:v>
                </c:pt>
                <c:pt idx="167">
                  <c:v>232.09278175764106</c:v>
                </c:pt>
                <c:pt idx="168">
                  <c:v>231.47791165465443</c:v>
                </c:pt>
                <c:pt idx="169">
                  <c:v>231.41762425537087</c:v>
                </c:pt>
                <c:pt idx="170">
                  <c:v>231.32364392772305</c:v>
                </c:pt>
                <c:pt idx="171">
                  <c:v>231.62246968720459</c:v>
                </c:pt>
                <c:pt idx="172">
                  <c:v>230.93843428931442</c:v>
                </c:pt>
                <c:pt idx="173">
                  <c:v>229.41944751044971</c:v>
                </c:pt>
                <c:pt idx="174">
                  <c:v>227.04865797445268</c:v>
                </c:pt>
                <c:pt idx="175">
                  <c:v>224.15600264101786</c:v>
                </c:pt>
                <c:pt idx="176">
                  <c:v>221.74687948198957</c:v>
                </c:pt>
                <c:pt idx="177">
                  <c:v>218.89449721726677</c:v>
                </c:pt>
                <c:pt idx="178">
                  <c:v>215.82843386356674</c:v>
                </c:pt>
                <c:pt idx="179">
                  <c:v>212.73891976786948</c:v>
                </c:pt>
                <c:pt idx="180">
                  <c:v>209.46007802920349</c:v>
                </c:pt>
                <c:pt idx="181">
                  <c:v>206.54923999860179</c:v>
                </c:pt>
                <c:pt idx="182">
                  <c:v>203.75907137597582</c:v>
                </c:pt>
                <c:pt idx="183">
                  <c:v>201.10178079768463</c:v>
                </c:pt>
                <c:pt idx="184">
                  <c:v>198.51817686045783</c:v>
                </c:pt>
                <c:pt idx="185">
                  <c:v>195.93191739989686</c:v>
                </c:pt>
                <c:pt idx="186">
                  <c:v>193.42064642638334</c:v>
                </c:pt>
                <c:pt idx="187">
                  <c:v>191.21382632016963</c:v>
                </c:pt>
                <c:pt idx="188">
                  <c:v>188.63517703758225</c:v>
                </c:pt>
                <c:pt idx="189">
                  <c:v>186.71398525016812</c:v>
                </c:pt>
                <c:pt idx="190">
                  <c:v>183.64399590512073</c:v>
                </c:pt>
                <c:pt idx="191">
                  <c:v>181.48017412378687</c:v>
                </c:pt>
                <c:pt idx="192">
                  <c:v>179.84788972907077</c:v>
                </c:pt>
                <c:pt idx="193">
                  <c:v>176.61304277997138</c:v>
                </c:pt>
                <c:pt idx="194">
                  <c:v>173.05001163825446</c:v>
                </c:pt>
                <c:pt idx="195">
                  <c:v>168.72444190454448</c:v>
                </c:pt>
                <c:pt idx="196">
                  <c:v>166.61811205268171</c:v>
                </c:pt>
                <c:pt idx="197">
                  <c:v>163.9419169828144</c:v>
                </c:pt>
                <c:pt idx="198">
                  <c:v>162.04244643919691</c:v>
                </c:pt>
                <c:pt idx="199">
                  <c:v>159.64269308678053</c:v>
                </c:pt>
                <c:pt idx="200">
                  <c:v>155.91755021164232</c:v>
                </c:pt>
                <c:pt idx="201">
                  <c:v>152.54008852757366</c:v>
                </c:pt>
                <c:pt idx="202">
                  <c:v>148.48647211109841</c:v>
                </c:pt>
                <c:pt idx="203">
                  <c:v>144.37399533156932</c:v>
                </c:pt>
                <c:pt idx="204">
                  <c:v>140.41508688171652</c:v>
                </c:pt>
                <c:pt idx="205">
                  <c:v>134.22972088177789</c:v>
                </c:pt>
                <c:pt idx="206">
                  <c:v>129.48123057802624</c:v>
                </c:pt>
                <c:pt idx="207">
                  <c:v>123.40225015776657</c:v>
                </c:pt>
                <c:pt idx="208">
                  <c:v>116.1704939474736</c:v>
                </c:pt>
                <c:pt idx="209">
                  <c:v>111.43487009011139</c:v>
                </c:pt>
                <c:pt idx="210">
                  <c:v>105.75064187039244</c:v>
                </c:pt>
                <c:pt idx="211">
                  <c:v>100.77190322704043</c:v>
                </c:pt>
                <c:pt idx="212">
                  <c:v>96.468937425473911</c:v>
                </c:pt>
                <c:pt idx="213">
                  <c:v>92.767641341148689</c:v>
                </c:pt>
                <c:pt idx="214">
                  <c:v>88.710939663606311</c:v>
                </c:pt>
                <c:pt idx="215">
                  <c:v>84.311638769507979</c:v>
                </c:pt>
                <c:pt idx="216">
                  <c:v>80.349596738253766</c:v>
                </c:pt>
                <c:pt idx="217">
                  <c:v>76.391465596622766</c:v>
                </c:pt>
                <c:pt idx="218">
                  <c:v>72.603896424365558</c:v>
                </c:pt>
                <c:pt idx="219">
                  <c:v>69.099747032822052</c:v>
                </c:pt>
                <c:pt idx="220">
                  <c:v>66.334764822075016</c:v>
                </c:pt>
                <c:pt idx="221">
                  <c:v>63.761955678915626</c:v>
                </c:pt>
              </c:numCache>
            </c:numRef>
          </c:val>
        </c:ser>
        <c:marker val="1"/>
        <c:axId val="154973312"/>
        <c:axId val="154974848"/>
      </c:lineChart>
      <c:lineChart>
        <c:grouping val="standard"/>
        <c:ser>
          <c:idx val="1"/>
          <c:order val="1"/>
          <c:tx>
            <c:v>Glide</c:v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'10-47-56'!$J$3:$J$224</c:f>
              <c:numCache>
                <c:formatCode>0.000</c:formatCode>
                <c:ptCount val="222"/>
                <c:pt idx="0">
                  <c:v>2.2720713995167112</c:v>
                </c:pt>
                <c:pt idx="1">
                  <c:v>2.0277572827068227</c:v>
                </c:pt>
                <c:pt idx="2">
                  <c:v>1.826205319295203</c:v>
                </c:pt>
                <c:pt idx="3">
                  <c:v>1.6389716620506791</c:v>
                </c:pt>
                <c:pt idx="4">
                  <c:v>1.5513164749217061</c:v>
                </c:pt>
                <c:pt idx="5">
                  <c:v>1.479832795278375</c:v>
                </c:pt>
                <c:pt idx="6">
                  <c:v>1.4181628537337354</c:v>
                </c:pt>
                <c:pt idx="7">
                  <c:v>1.333253275616761</c:v>
                </c:pt>
                <c:pt idx="8">
                  <c:v>1.2786565400665433</c:v>
                </c:pt>
                <c:pt idx="9">
                  <c:v>1.2234480600795057</c:v>
                </c:pt>
                <c:pt idx="10">
                  <c:v>1.1729600486542329</c:v>
                </c:pt>
                <c:pt idx="11">
                  <c:v>1.1362777627466132</c:v>
                </c:pt>
                <c:pt idx="12">
                  <c:v>1.1021719066652516</c:v>
                </c:pt>
                <c:pt idx="13">
                  <c:v>1.0658108170506855</c:v>
                </c:pt>
                <c:pt idx="14">
                  <c:v>1.0328723527801262</c:v>
                </c:pt>
                <c:pt idx="15">
                  <c:v>1.0172837385613465</c:v>
                </c:pt>
                <c:pt idx="16">
                  <c:v>1.0023434475372857</c:v>
                </c:pt>
                <c:pt idx="17">
                  <c:v>0.98566907901917633</c:v>
                </c:pt>
                <c:pt idx="18">
                  <c:v>0.96625565035440908</c:v>
                </c:pt>
                <c:pt idx="19">
                  <c:v>0.95036305632328955</c:v>
                </c:pt>
                <c:pt idx="20">
                  <c:v>0.93345371194885018</c:v>
                </c:pt>
                <c:pt idx="21">
                  <c:v>0.92499562210244746</c:v>
                </c:pt>
                <c:pt idx="22">
                  <c:v>0.9162891550445017</c:v>
                </c:pt>
                <c:pt idx="23">
                  <c:v>0.91222034774509053</c:v>
                </c:pt>
                <c:pt idx="24">
                  <c:v>0.90241068572457039</c:v>
                </c:pt>
                <c:pt idx="25">
                  <c:v>0.8868621865270544</c:v>
                </c:pt>
                <c:pt idx="26">
                  <c:v>0.87991102874937199</c:v>
                </c:pt>
                <c:pt idx="27">
                  <c:v>0.87264375294416918</c:v>
                </c:pt>
                <c:pt idx="28">
                  <c:v>0.8698072133944561</c:v>
                </c:pt>
                <c:pt idx="29">
                  <c:v>0.86176503066680976</c:v>
                </c:pt>
                <c:pt idx="30">
                  <c:v>0.85572190672598425</c:v>
                </c:pt>
                <c:pt idx="31">
                  <c:v>0.85392231554184894</c:v>
                </c:pt>
                <c:pt idx="32">
                  <c:v>0.85045972208489184</c:v>
                </c:pt>
                <c:pt idx="33">
                  <c:v>0.84685753587397927</c:v>
                </c:pt>
                <c:pt idx="34">
                  <c:v>0.84399230958085736</c:v>
                </c:pt>
                <c:pt idx="35">
                  <c:v>0.83696227000250956</c:v>
                </c:pt>
                <c:pt idx="36">
                  <c:v>0.83442404322261043</c:v>
                </c:pt>
                <c:pt idx="37">
                  <c:v>0.83384281875833843</c:v>
                </c:pt>
                <c:pt idx="38">
                  <c:v>0.84389637878467216</c:v>
                </c:pt>
                <c:pt idx="39">
                  <c:v>0.85014254193896965</c:v>
                </c:pt>
                <c:pt idx="40">
                  <c:v>0.8559471286794762</c:v>
                </c:pt>
                <c:pt idx="41">
                  <c:v>0.86721641163118002</c:v>
                </c:pt>
                <c:pt idx="42">
                  <c:v>0.87589053388711924</c:v>
                </c:pt>
                <c:pt idx="43">
                  <c:v>0.88292069340076162</c:v>
                </c:pt>
                <c:pt idx="44">
                  <c:v>0.88946921572547366</c:v>
                </c:pt>
                <c:pt idx="45">
                  <c:v>0.90154320344710703</c:v>
                </c:pt>
                <c:pt idx="46">
                  <c:v>0.90847143563651356</c:v>
                </c:pt>
                <c:pt idx="47">
                  <c:v>0.91435849238227274</c:v>
                </c:pt>
                <c:pt idx="48">
                  <c:v>0.91659261288296112</c:v>
                </c:pt>
                <c:pt idx="49">
                  <c:v>0.92087103982404883</c:v>
                </c:pt>
                <c:pt idx="50">
                  <c:v>0.9256019240556812</c:v>
                </c:pt>
                <c:pt idx="51">
                  <c:v>0.93331594761388725</c:v>
                </c:pt>
                <c:pt idx="52">
                  <c:v>0.93921619472165629</c:v>
                </c:pt>
                <c:pt idx="53">
                  <c:v>0.94471103303282422</c:v>
                </c:pt>
                <c:pt idx="54">
                  <c:v>0.95205664742118201</c:v>
                </c:pt>
                <c:pt idx="55">
                  <c:v>0.95622491904898188</c:v>
                </c:pt>
                <c:pt idx="56">
                  <c:v>0.9656025400372471</c:v>
                </c:pt>
                <c:pt idx="57">
                  <c:v>0.97481285721748145</c:v>
                </c:pt>
                <c:pt idx="58">
                  <c:v>0.98311012531070607</c:v>
                </c:pt>
                <c:pt idx="59">
                  <c:v>0.99383064366170148</c:v>
                </c:pt>
                <c:pt idx="60">
                  <c:v>0.99936387332718901</c:v>
                </c:pt>
                <c:pt idx="61">
                  <c:v>1.0055003595751715</c:v>
                </c:pt>
                <c:pt idx="62">
                  <c:v>1.0136757305036299</c:v>
                </c:pt>
                <c:pt idx="63">
                  <c:v>1.0198674238238066</c:v>
                </c:pt>
                <c:pt idx="64">
                  <c:v>1.02429913788632</c:v>
                </c:pt>
                <c:pt idx="65">
                  <c:v>1.0285978737888088</c:v>
                </c:pt>
                <c:pt idx="66">
                  <c:v>1.0314454185037716</c:v>
                </c:pt>
                <c:pt idx="67">
                  <c:v>1.0341316898627684</c:v>
                </c:pt>
                <c:pt idx="68">
                  <c:v>1.03764929215335</c:v>
                </c:pt>
                <c:pt idx="69">
                  <c:v>1.0377730072988804</c:v>
                </c:pt>
                <c:pt idx="70">
                  <c:v>1.0391807722842241</c:v>
                </c:pt>
                <c:pt idx="71">
                  <c:v>1.0480363195155564</c:v>
                </c:pt>
                <c:pt idx="72">
                  <c:v>1.0564515599502096</c:v>
                </c:pt>
                <c:pt idx="73">
                  <c:v>1.0641666431537411</c:v>
                </c:pt>
                <c:pt idx="74">
                  <c:v>1.0681511249337656</c:v>
                </c:pt>
                <c:pt idx="75">
                  <c:v>1.0747025119988367</c:v>
                </c:pt>
                <c:pt idx="76">
                  <c:v>1.0818838682384633</c:v>
                </c:pt>
                <c:pt idx="77">
                  <c:v>1.0882347193576314</c:v>
                </c:pt>
                <c:pt idx="78">
                  <c:v>1.0951148837737874</c:v>
                </c:pt>
                <c:pt idx="79">
                  <c:v>1.0990999288320029</c:v>
                </c:pt>
                <c:pt idx="80">
                  <c:v>1.097471397451008</c:v>
                </c:pt>
                <c:pt idx="81">
                  <c:v>1.097463245897816</c:v>
                </c:pt>
                <c:pt idx="82">
                  <c:v>1.0956547263662419</c:v>
                </c:pt>
                <c:pt idx="83">
                  <c:v>1.1006655135288408</c:v>
                </c:pt>
                <c:pt idx="84">
                  <c:v>1.1060396517938254</c:v>
                </c:pt>
                <c:pt idx="85">
                  <c:v>1.1134261164124537</c:v>
                </c:pt>
                <c:pt idx="86">
                  <c:v>1.1212869261193448</c:v>
                </c:pt>
                <c:pt idx="87">
                  <c:v>1.1282917298779684</c:v>
                </c:pt>
                <c:pt idx="88">
                  <c:v>1.1310037784442557</c:v>
                </c:pt>
                <c:pt idx="89">
                  <c:v>1.1354317822165982</c:v>
                </c:pt>
                <c:pt idx="90">
                  <c:v>1.1407077512672663</c:v>
                </c:pt>
                <c:pt idx="91">
                  <c:v>1.1472303760929567</c:v>
                </c:pt>
                <c:pt idx="92">
                  <c:v>1.1521440473448912</c:v>
                </c:pt>
                <c:pt idx="93">
                  <c:v>1.1618605220839464</c:v>
                </c:pt>
                <c:pt idx="94">
                  <c:v>1.1683572856052058</c:v>
                </c:pt>
                <c:pt idx="95">
                  <c:v>1.1685676337093192</c:v>
                </c:pt>
                <c:pt idx="96">
                  <c:v>1.1662772121087632</c:v>
                </c:pt>
                <c:pt idx="97">
                  <c:v>1.1690283622111579</c:v>
                </c:pt>
                <c:pt idx="98">
                  <c:v>1.1769241474086014</c:v>
                </c:pt>
                <c:pt idx="99">
                  <c:v>1.1836243773359185</c:v>
                </c:pt>
                <c:pt idx="100">
                  <c:v>1.1871010597056513</c:v>
                </c:pt>
                <c:pt idx="101">
                  <c:v>1.1883331301978002</c:v>
                </c:pt>
                <c:pt idx="102">
                  <c:v>1.1917591193376036</c:v>
                </c:pt>
                <c:pt idx="103">
                  <c:v>1.1940461035147927</c:v>
                </c:pt>
                <c:pt idx="104">
                  <c:v>1.1993865387360096</c:v>
                </c:pt>
                <c:pt idx="105">
                  <c:v>1.2060511902769513</c:v>
                </c:pt>
                <c:pt idx="106">
                  <c:v>1.2079768767585803</c:v>
                </c:pt>
                <c:pt idx="107">
                  <c:v>1.2098495199992751</c:v>
                </c:pt>
                <c:pt idx="108">
                  <c:v>1.2092466742120263</c:v>
                </c:pt>
                <c:pt idx="109">
                  <c:v>1.211004234556085</c:v>
                </c:pt>
                <c:pt idx="110">
                  <c:v>1.2135694350502673</c:v>
                </c:pt>
                <c:pt idx="111">
                  <c:v>1.2118126124398121</c:v>
                </c:pt>
                <c:pt idx="112">
                  <c:v>1.2144501706940167</c:v>
                </c:pt>
                <c:pt idx="113">
                  <c:v>1.2197777315004057</c:v>
                </c:pt>
                <c:pt idx="114">
                  <c:v>1.2215476716121305</c:v>
                </c:pt>
                <c:pt idx="115">
                  <c:v>1.2326520569422672</c:v>
                </c:pt>
                <c:pt idx="116">
                  <c:v>1.2395967703426598</c:v>
                </c:pt>
                <c:pt idx="117">
                  <c:v>1.238003031605466</c:v>
                </c:pt>
                <c:pt idx="118">
                  <c:v>1.2330067750125515</c:v>
                </c:pt>
                <c:pt idx="119">
                  <c:v>1.2397184255510574</c:v>
                </c:pt>
                <c:pt idx="120">
                  <c:v>1.2435400309663662</c:v>
                </c:pt>
                <c:pt idx="121">
                  <c:v>1.2476421753652267</c:v>
                </c:pt>
                <c:pt idx="122">
                  <c:v>1.2491202159686283</c:v>
                </c:pt>
                <c:pt idx="123">
                  <c:v>1.2460194363115658</c:v>
                </c:pt>
                <c:pt idx="124">
                  <c:v>1.2404419205649861</c:v>
                </c:pt>
                <c:pt idx="125">
                  <c:v>1.2350122166848987</c:v>
                </c:pt>
                <c:pt idx="126">
                  <c:v>1.2241778320466243</c:v>
                </c:pt>
                <c:pt idx="127">
                  <c:v>1.2236509621588858</c:v>
                </c:pt>
                <c:pt idx="128">
                  <c:v>1.2231085377196178</c:v>
                </c:pt>
                <c:pt idx="129">
                  <c:v>1.2261542970398682</c:v>
                </c:pt>
                <c:pt idx="130">
                  <c:v>1.2254672288683812</c:v>
                </c:pt>
                <c:pt idx="131">
                  <c:v>1.229744547047054</c:v>
                </c:pt>
                <c:pt idx="132">
                  <c:v>1.2341627799497465</c:v>
                </c:pt>
                <c:pt idx="133">
                  <c:v>1.2373952121531373</c:v>
                </c:pt>
                <c:pt idx="134">
                  <c:v>1.2399550827995804</c:v>
                </c:pt>
                <c:pt idx="135">
                  <c:v>1.2452357423491518</c:v>
                </c:pt>
                <c:pt idx="136">
                  <c:v>1.2485491125599502</c:v>
                </c:pt>
                <c:pt idx="137">
                  <c:v>1.2476946249324732</c:v>
                </c:pt>
                <c:pt idx="138">
                  <c:v>1.2513483576442646</c:v>
                </c:pt>
                <c:pt idx="139">
                  <c:v>1.2501667619344798</c:v>
                </c:pt>
                <c:pt idx="140">
                  <c:v>1.2515554386387604</c:v>
                </c:pt>
                <c:pt idx="141">
                  <c:v>1.257512937568269</c:v>
                </c:pt>
                <c:pt idx="142">
                  <c:v>1.2585643455305531</c:v>
                </c:pt>
                <c:pt idx="143">
                  <c:v>1.2607777302643681</c:v>
                </c:pt>
                <c:pt idx="144">
                  <c:v>1.2695266310310123</c:v>
                </c:pt>
                <c:pt idx="145">
                  <c:v>1.2795251235171061</c:v>
                </c:pt>
                <c:pt idx="146">
                  <c:v>1.2852124198453756</c:v>
                </c:pt>
                <c:pt idx="147">
                  <c:v>1.2916784775896775</c:v>
                </c:pt>
                <c:pt idx="148">
                  <c:v>1.2970451247212131</c:v>
                </c:pt>
                <c:pt idx="149">
                  <c:v>1.3031083270038091</c:v>
                </c:pt>
                <c:pt idx="150">
                  <c:v>1.3061717814241904</c:v>
                </c:pt>
                <c:pt idx="151">
                  <c:v>1.3108384336018544</c:v>
                </c:pt>
                <c:pt idx="152">
                  <c:v>1.3158921887933706</c:v>
                </c:pt>
                <c:pt idx="153">
                  <c:v>1.3210881303050024</c:v>
                </c:pt>
                <c:pt idx="154">
                  <c:v>1.3228732222099588</c:v>
                </c:pt>
                <c:pt idx="155">
                  <c:v>1.3254032341326736</c:v>
                </c:pt>
                <c:pt idx="156">
                  <c:v>1.3268614490427308</c:v>
                </c:pt>
                <c:pt idx="157">
                  <c:v>1.3306621397263043</c:v>
                </c:pt>
                <c:pt idx="158">
                  <c:v>1.3342412693140919</c:v>
                </c:pt>
                <c:pt idx="159">
                  <c:v>1.3369648711740496</c:v>
                </c:pt>
                <c:pt idx="160">
                  <c:v>1.3414390928613471</c:v>
                </c:pt>
                <c:pt idx="161">
                  <c:v>1.3397734116712781</c:v>
                </c:pt>
                <c:pt idx="162">
                  <c:v>1.3416199672786866</c:v>
                </c:pt>
                <c:pt idx="163">
                  <c:v>1.3443085159895594</c:v>
                </c:pt>
                <c:pt idx="164">
                  <c:v>1.3466022679552354</c:v>
                </c:pt>
                <c:pt idx="165">
                  <c:v>1.3531150695530352</c:v>
                </c:pt>
                <c:pt idx="166">
                  <c:v>1.350780718613688</c:v>
                </c:pt>
                <c:pt idx="167">
                  <c:v>1.3524237608445429</c:v>
                </c:pt>
                <c:pt idx="168">
                  <c:v>1.3501522116354987</c:v>
                </c:pt>
                <c:pt idx="169">
                  <c:v>1.3528889676254072</c:v>
                </c:pt>
                <c:pt idx="170">
                  <c:v>1.3558762757983129</c:v>
                </c:pt>
                <c:pt idx="171">
                  <c:v>1.3613282278577241</c:v>
                </c:pt>
                <c:pt idx="172">
                  <c:v>1.3573332810851455</c:v>
                </c:pt>
                <c:pt idx="173">
                  <c:v>1.3468307991539852</c:v>
                </c:pt>
                <c:pt idx="174">
                  <c:v>1.3251776019331534</c:v>
                </c:pt>
                <c:pt idx="175">
                  <c:v>1.3062256585752212</c:v>
                </c:pt>
                <c:pt idx="176">
                  <c:v>1.29373013127137</c:v>
                </c:pt>
                <c:pt idx="177">
                  <c:v>1.2785490519517519</c:v>
                </c:pt>
                <c:pt idx="178">
                  <c:v>1.261093905994692</c:v>
                </c:pt>
                <c:pt idx="179">
                  <c:v>1.243672630307378</c:v>
                </c:pt>
                <c:pt idx="180">
                  <c:v>1.2224381714623982</c:v>
                </c:pt>
                <c:pt idx="181">
                  <c:v>1.19947112951308</c:v>
                </c:pt>
                <c:pt idx="182">
                  <c:v>1.178502605200044</c:v>
                </c:pt>
                <c:pt idx="183">
                  <c:v>1.1558063355339161</c:v>
                </c:pt>
                <c:pt idx="184">
                  <c:v>1.1319208381217927</c:v>
                </c:pt>
                <c:pt idx="185">
                  <c:v>1.1071806940979743</c:v>
                </c:pt>
                <c:pt idx="186">
                  <c:v>1.0845783023249127</c:v>
                </c:pt>
                <c:pt idx="187">
                  <c:v>1.0610207071328168</c:v>
                </c:pt>
                <c:pt idx="188">
                  <c:v>1.0310914308636261</c:v>
                </c:pt>
                <c:pt idx="189">
                  <c:v>1.005684605377057</c:v>
                </c:pt>
                <c:pt idx="190">
                  <c:v>0.97033598300463786</c:v>
                </c:pt>
                <c:pt idx="191">
                  <c:v>0.9444212674071758</c:v>
                </c:pt>
                <c:pt idx="192">
                  <c:v>0.92248258404191663</c:v>
                </c:pt>
                <c:pt idx="193">
                  <c:v>0.8865439609440342</c:v>
                </c:pt>
                <c:pt idx="194">
                  <c:v>0.84314640926865803</c:v>
                </c:pt>
                <c:pt idx="195">
                  <c:v>0.79035731214866578</c:v>
                </c:pt>
                <c:pt idx="196">
                  <c:v>0.76161256857130799</c:v>
                </c:pt>
                <c:pt idx="197">
                  <c:v>0.73865721752950086</c:v>
                </c:pt>
                <c:pt idx="198">
                  <c:v>0.72280674516753629</c:v>
                </c:pt>
                <c:pt idx="199">
                  <c:v>0.70287075468426663</c:v>
                </c:pt>
                <c:pt idx="200">
                  <c:v>0.67306506147661571</c:v>
                </c:pt>
                <c:pt idx="201">
                  <c:v>0.65041516300568636</c:v>
                </c:pt>
                <c:pt idx="202">
                  <c:v>0.61715116549755566</c:v>
                </c:pt>
                <c:pt idx="203">
                  <c:v>0.58140192291071147</c:v>
                </c:pt>
                <c:pt idx="204">
                  <c:v>0.54972921425495069</c:v>
                </c:pt>
                <c:pt idx="205">
                  <c:v>0.49997318360326243</c:v>
                </c:pt>
                <c:pt idx="206">
                  <c:v>0.46447824874126764</c:v>
                </c:pt>
                <c:pt idx="207">
                  <c:v>0.41858722842560048</c:v>
                </c:pt>
                <c:pt idx="208">
                  <c:v>0.33805878077069929</c:v>
                </c:pt>
                <c:pt idx="209">
                  <c:v>0.3095291016341768</c:v>
                </c:pt>
                <c:pt idx="210">
                  <c:v>0.27962398582570924</c:v>
                </c:pt>
                <c:pt idx="211">
                  <c:v>0.25100282505768012</c:v>
                </c:pt>
                <c:pt idx="212">
                  <c:v>0.26544310284153405</c:v>
                </c:pt>
                <c:pt idx="213">
                  <c:v>0.26967057268211769</c:v>
                </c:pt>
                <c:pt idx="214">
                  <c:v>0.25810258571168759</c:v>
                </c:pt>
                <c:pt idx="215">
                  <c:v>0.25198379032648299</c:v>
                </c:pt>
                <c:pt idx="216">
                  <c:v>0.24263469023903708</c:v>
                </c:pt>
                <c:pt idx="217">
                  <c:v>0.2255169535392777</c:v>
                </c:pt>
                <c:pt idx="218">
                  <c:v>0.2041958583041654</c:v>
                </c:pt>
                <c:pt idx="219">
                  <c:v>0.14340535887095915</c:v>
                </c:pt>
                <c:pt idx="220">
                  <c:v>9.1301392576824056E-2</c:v>
                </c:pt>
                <c:pt idx="221">
                  <c:v>4.9494458202029468E-2</c:v>
                </c:pt>
              </c:numCache>
            </c:numRef>
          </c:val>
        </c:ser>
        <c:marker val="1"/>
        <c:axId val="155048576"/>
        <c:axId val="155046272"/>
      </c:lineChart>
      <c:catAx>
        <c:axId val="154973312"/>
        <c:scaling>
          <c:orientation val="minMax"/>
        </c:scaling>
        <c:axPos val="b"/>
        <c:tickLblPos val="nextTo"/>
        <c:crossAx val="154974848"/>
        <c:crosses val="autoZero"/>
        <c:auto val="1"/>
        <c:lblAlgn val="ctr"/>
        <c:lblOffset val="100"/>
      </c:catAx>
      <c:valAx>
        <c:axId val="154974848"/>
        <c:scaling>
          <c:orientation val="minMax"/>
        </c:scaling>
        <c:axPos val="l"/>
        <c:majorGridlines/>
        <c:numFmt formatCode="0" sourceLinked="0"/>
        <c:tickLblPos val="nextTo"/>
        <c:crossAx val="154973312"/>
        <c:crosses val="autoZero"/>
        <c:crossBetween val="between"/>
      </c:valAx>
      <c:valAx>
        <c:axId val="155046272"/>
        <c:scaling>
          <c:orientation val="minMax"/>
        </c:scaling>
        <c:axPos val="r"/>
        <c:numFmt formatCode="0.0" sourceLinked="0"/>
        <c:tickLblPos val="nextTo"/>
        <c:crossAx val="155048576"/>
        <c:crosses val="max"/>
        <c:crossBetween val="between"/>
      </c:valAx>
      <c:catAx>
        <c:axId val="155048576"/>
        <c:scaling>
          <c:orientation val="minMax"/>
        </c:scaling>
        <c:delete val="1"/>
        <c:axPos val="b"/>
        <c:tickLblPos val="none"/>
        <c:crossAx val="155046272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v-SE"/>
  <c:chart>
    <c:plotArea>
      <c:layout/>
      <c:lineChart>
        <c:grouping val="standard"/>
        <c:ser>
          <c:idx val="0"/>
          <c:order val="0"/>
          <c:tx>
            <c:v>velH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'10-47-56'!$G$3:$G$224</c:f>
              <c:numCache>
                <c:formatCode>0</c:formatCode>
                <c:ptCount val="222"/>
                <c:pt idx="0">
                  <c:v>129.97157233795394</c:v>
                </c:pt>
                <c:pt idx="1">
                  <c:v>126.7267191400456</c:v>
                </c:pt>
                <c:pt idx="2">
                  <c:v>123.33460244392083</c:v>
                </c:pt>
                <c:pt idx="3">
                  <c:v>121.3691295181769</c:v>
                </c:pt>
                <c:pt idx="4">
                  <c:v>120.96545344849496</c:v>
                </c:pt>
                <c:pt idx="5">
                  <c:v>120.9319360301488</c:v>
                </c:pt>
                <c:pt idx="6">
                  <c:v>121.04870854329674</c:v>
                </c:pt>
                <c:pt idx="7">
                  <c:v>119.12884668290883</c:v>
                </c:pt>
                <c:pt idx="8">
                  <c:v>119.03780925403491</c:v>
                </c:pt>
                <c:pt idx="9">
                  <c:v>119.75598991282233</c:v>
                </c:pt>
                <c:pt idx="10">
                  <c:v>119.92343537440877</c:v>
                </c:pt>
                <c:pt idx="11">
                  <c:v>120.7136044031492</c:v>
                </c:pt>
                <c:pt idx="12">
                  <c:v>121.61364818144385</c:v>
                </c:pt>
                <c:pt idx="13">
                  <c:v>121.78380719947953</c:v>
                </c:pt>
                <c:pt idx="14">
                  <c:v>122.07311763037757</c:v>
                </c:pt>
                <c:pt idx="15">
                  <c:v>123.85632973732106</c:v>
                </c:pt>
                <c:pt idx="16">
                  <c:v>125.17665910224639</c:v>
                </c:pt>
                <c:pt idx="17">
                  <c:v>126.0749605591848</c:v>
                </c:pt>
                <c:pt idx="18">
                  <c:v>126.79206643950559</c:v>
                </c:pt>
                <c:pt idx="19">
                  <c:v>127.64896427311896</c:v>
                </c:pt>
                <c:pt idx="20">
                  <c:v>128.36855446720588</c:v>
                </c:pt>
                <c:pt idx="21">
                  <c:v>130.00258471276638</c:v>
                </c:pt>
                <c:pt idx="22">
                  <c:v>131.41785577310262</c:v>
                </c:pt>
                <c:pt idx="23">
                  <c:v>133.29728609390364</c:v>
                </c:pt>
                <c:pt idx="24">
                  <c:v>134.30036789227347</c:v>
                </c:pt>
                <c:pt idx="25">
                  <c:v>134.28512483518048</c:v>
                </c:pt>
                <c:pt idx="26">
                  <c:v>135.32327693342341</c:v>
                </c:pt>
                <c:pt idx="27">
                  <c:v>136.43610548531498</c:v>
                </c:pt>
                <c:pt idx="28">
                  <c:v>138.02796707913944</c:v>
                </c:pt>
                <c:pt idx="29">
                  <c:v>138.45806394717499</c:v>
                </c:pt>
                <c:pt idx="30">
                  <c:v>138.90420278738867</c:v>
                </c:pt>
                <c:pt idx="31">
                  <c:v>139.90321648911436</c:v>
                </c:pt>
                <c:pt idx="32">
                  <c:v>140.49934792731247</c:v>
                </c:pt>
                <c:pt idx="33">
                  <c:v>140.66642413881146</c:v>
                </c:pt>
                <c:pt idx="34">
                  <c:v>140.88932422295167</c:v>
                </c:pt>
                <c:pt idx="35">
                  <c:v>140.28826784874065</c:v>
                </c:pt>
                <c:pt idx="36">
                  <c:v>140.55372353658939</c:v>
                </c:pt>
                <c:pt idx="37">
                  <c:v>141.05618659243558</c:v>
                </c:pt>
                <c:pt idx="38">
                  <c:v>143.27335160454649</c:v>
                </c:pt>
                <c:pt idx="39">
                  <c:v>144.79287717287755</c:v>
                </c:pt>
                <c:pt idx="40">
                  <c:v>146.27451671429304</c:v>
                </c:pt>
                <c:pt idx="41">
                  <c:v>148.51254492466285</c:v>
                </c:pt>
                <c:pt idx="42">
                  <c:v>150.21873012377651</c:v>
                </c:pt>
                <c:pt idx="43">
                  <c:v>151.64692661574122</c:v>
                </c:pt>
                <c:pt idx="44">
                  <c:v>153.05986264203949</c:v>
                </c:pt>
                <c:pt idx="45">
                  <c:v>155.36474333644685</c:v>
                </c:pt>
                <c:pt idx="46">
                  <c:v>156.91845413462369</c:v>
                </c:pt>
                <c:pt idx="47">
                  <c:v>158.52781797526893</c:v>
                </c:pt>
                <c:pt idx="48">
                  <c:v>159.575107532472</c:v>
                </c:pt>
                <c:pt idx="49">
                  <c:v>160.98299169788092</c:v>
                </c:pt>
                <c:pt idx="50">
                  <c:v>162.47645934103807</c:v>
                </c:pt>
                <c:pt idx="51">
                  <c:v>164.3345387920628</c:v>
                </c:pt>
                <c:pt idx="52">
                  <c:v>165.84679566395005</c:v>
                </c:pt>
                <c:pt idx="53">
                  <c:v>167.36122776796302</c:v>
                </c:pt>
                <c:pt idx="54">
                  <c:v>169.10810994154005</c:v>
                </c:pt>
                <c:pt idx="55">
                  <c:v>170.22716008909975</c:v>
                </c:pt>
                <c:pt idx="56">
                  <c:v>172.24418109184413</c:v>
                </c:pt>
                <c:pt idx="57">
                  <c:v>174.13277031047315</c:v>
                </c:pt>
                <c:pt idx="58">
                  <c:v>175.72110379803561</c:v>
                </c:pt>
                <c:pt idx="59">
                  <c:v>177.60151134492071</c:v>
                </c:pt>
                <c:pt idx="60">
                  <c:v>178.590321619062</c:v>
                </c:pt>
                <c:pt idx="61">
                  <c:v>179.72313427046615</c:v>
                </c:pt>
                <c:pt idx="62">
                  <c:v>181.14790774392068</c:v>
                </c:pt>
                <c:pt idx="63">
                  <c:v>182.3645337887825</c:v>
                </c:pt>
                <c:pt idx="64">
                  <c:v>183.37822605751208</c:v>
                </c:pt>
                <c:pt idx="65">
                  <c:v>184.48108585977045</c:v>
                </c:pt>
                <c:pt idx="66">
                  <c:v>185.36311905014981</c:v>
                </c:pt>
                <c:pt idx="67">
                  <c:v>186.36707662030867</c:v>
                </c:pt>
                <c:pt idx="68">
                  <c:v>187.59869082698845</c:v>
                </c:pt>
                <c:pt idx="69">
                  <c:v>188.40561392909714</c:v>
                </c:pt>
                <c:pt idx="70">
                  <c:v>189.37199049489871</c:v>
                </c:pt>
                <c:pt idx="71">
                  <c:v>191.32531834548195</c:v>
                </c:pt>
                <c:pt idx="72">
                  <c:v>192.89960323442867</c:v>
                </c:pt>
                <c:pt idx="73">
                  <c:v>194.15507571011375</c:v>
                </c:pt>
                <c:pt idx="74">
                  <c:v>194.92048988241331</c:v>
                </c:pt>
                <c:pt idx="75">
                  <c:v>195.845188166572</c:v>
                </c:pt>
                <c:pt idx="76">
                  <c:v>196.80333070352239</c:v>
                </c:pt>
                <c:pt idx="77">
                  <c:v>197.37095458045491</c:v>
                </c:pt>
                <c:pt idx="78">
                  <c:v>197.67261698070374</c:v>
                </c:pt>
                <c:pt idx="79">
                  <c:v>197.52144641025694</c:v>
                </c:pt>
                <c:pt idx="80">
                  <c:v>196.24105552100966</c:v>
                </c:pt>
                <c:pt idx="81">
                  <c:v>194.9358115893537</c:v>
                </c:pt>
                <c:pt idx="82">
                  <c:v>193.31293730115428</c:v>
                </c:pt>
                <c:pt idx="83">
                  <c:v>193.00830179036342</c:v>
                </c:pt>
                <c:pt idx="84">
                  <c:v>193.11452320320191</c:v>
                </c:pt>
                <c:pt idx="85">
                  <c:v>193.80294982275169</c:v>
                </c:pt>
                <c:pt idx="86">
                  <c:v>194.4849747615481</c:v>
                </c:pt>
                <c:pt idx="87">
                  <c:v>195.0906664297398</c:v>
                </c:pt>
                <c:pt idx="88">
                  <c:v>195.03029155492746</c:v>
                </c:pt>
                <c:pt idx="89">
                  <c:v>194.97634564223426</c:v>
                </c:pt>
                <c:pt idx="90">
                  <c:v>195.26635286193064</c:v>
                </c:pt>
                <c:pt idx="91">
                  <c:v>195.80469167004148</c:v>
                </c:pt>
                <c:pt idx="92">
                  <c:v>196.10413401047924</c:v>
                </c:pt>
                <c:pt idx="93">
                  <c:v>197.38151293370913</c:v>
                </c:pt>
                <c:pt idx="94">
                  <c:v>198.27490479634585</c:v>
                </c:pt>
                <c:pt idx="95">
                  <c:v>198.47887545026046</c:v>
                </c:pt>
                <c:pt idx="96">
                  <c:v>198.46772573897249</c:v>
                </c:pt>
                <c:pt idx="97">
                  <c:v>199.39882968563279</c:v>
                </c:pt>
                <c:pt idx="98">
                  <c:v>201.25402920687083</c:v>
                </c:pt>
                <c:pt idx="99">
                  <c:v>202.44237900202614</c:v>
                </c:pt>
                <c:pt idx="100">
                  <c:v>202.82333865706875</c:v>
                </c:pt>
                <c:pt idx="101">
                  <c:v>202.6916053515784</c:v>
                </c:pt>
                <c:pt idx="102">
                  <c:v>202.58951621443791</c:v>
                </c:pt>
                <c:pt idx="103">
                  <c:v>202.24752901333557</c:v>
                </c:pt>
                <c:pt idx="104">
                  <c:v>202.20217779242637</c:v>
                </c:pt>
                <c:pt idx="105">
                  <c:v>202.15347630946147</c:v>
                </c:pt>
                <c:pt idx="106">
                  <c:v>201.60650882350004</c:v>
                </c:pt>
                <c:pt idx="107">
                  <c:v>200.91729008723965</c:v>
                </c:pt>
                <c:pt idx="108">
                  <c:v>199.81592044679525</c:v>
                </c:pt>
                <c:pt idx="109">
                  <c:v>199.49599358383119</c:v>
                </c:pt>
                <c:pt idx="110">
                  <c:v>199.39431245649911</c:v>
                </c:pt>
                <c:pt idx="111">
                  <c:v>198.80028269597605</c:v>
                </c:pt>
                <c:pt idx="112">
                  <c:v>198.88321775353495</c:v>
                </c:pt>
                <c:pt idx="113">
                  <c:v>199.58003242809639</c:v>
                </c:pt>
                <c:pt idx="114">
                  <c:v>199.86963002917679</c:v>
                </c:pt>
                <c:pt idx="115">
                  <c:v>200.97652197209504</c:v>
                </c:pt>
                <c:pt idx="116">
                  <c:v>201.57331001896063</c:v>
                </c:pt>
                <c:pt idx="117">
                  <c:v>200.91303599318786</c:v>
                </c:pt>
                <c:pt idx="118">
                  <c:v>199.613932820332</c:v>
                </c:pt>
                <c:pt idx="119">
                  <c:v>200.16493698947374</c:v>
                </c:pt>
                <c:pt idx="120">
                  <c:v>200.46860131202595</c:v>
                </c:pt>
                <c:pt idx="121">
                  <c:v>200.95023933302491</c:v>
                </c:pt>
                <c:pt idx="122">
                  <c:v>201.233266792546</c:v>
                </c:pt>
                <c:pt idx="123">
                  <c:v>201.13744148715821</c:v>
                </c:pt>
                <c:pt idx="124">
                  <c:v>201.17487067722948</c:v>
                </c:pt>
                <c:pt idx="125">
                  <c:v>201.18349009797001</c:v>
                </c:pt>
                <c:pt idx="126">
                  <c:v>200.0796248697003</c:v>
                </c:pt>
                <c:pt idx="127">
                  <c:v>200.12566755916146</c:v>
                </c:pt>
                <c:pt idx="128">
                  <c:v>199.86082749753641</c:v>
                </c:pt>
                <c:pt idx="129">
                  <c:v>199.87295965187485</c:v>
                </c:pt>
                <c:pt idx="130">
                  <c:v>199.01097609930966</c:v>
                </c:pt>
                <c:pt idx="131">
                  <c:v>199.17434581792907</c:v>
                </c:pt>
                <c:pt idx="132">
                  <c:v>199.22349259060789</c:v>
                </c:pt>
                <c:pt idx="133">
                  <c:v>198.94345262913279</c:v>
                </c:pt>
                <c:pt idx="134">
                  <c:v>198.55152749853119</c:v>
                </c:pt>
                <c:pt idx="135">
                  <c:v>198.76951013674102</c:v>
                </c:pt>
                <c:pt idx="136">
                  <c:v>198.53429148638281</c:v>
                </c:pt>
                <c:pt idx="137">
                  <c:v>197.9941646412843</c:v>
                </c:pt>
                <c:pt idx="138">
                  <c:v>197.94328860560034</c:v>
                </c:pt>
                <c:pt idx="139">
                  <c:v>196.94627100811022</c:v>
                </c:pt>
                <c:pt idx="140">
                  <c:v>195.99358169082987</c:v>
                </c:pt>
                <c:pt idx="141">
                  <c:v>195.56841205061721</c:v>
                </c:pt>
                <c:pt idx="142">
                  <c:v>194.28206089086044</c:v>
                </c:pt>
                <c:pt idx="143">
                  <c:v>193.21670871847496</c:v>
                </c:pt>
                <c:pt idx="144">
                  <c:v>193.04929762109987</c:v>
                </c:pt>
                <c:pt idx="145">
                  <c:v>193.32600996244662</c:v>
                </c:pt>
                <c:pt idx="146">
                  <c:v>192.88982082007334</c:v>
                </c:pt>
                <c:pt idx="147">
                  <c:v>192.9302641267046</c:v>
                </c:pt>
                <c:pt idx="148">
                  <c:v>192.75128189457004</c:v>
                </c:pt>
                <c:pt idx="149">
                  <c:v>192.38570096553434</c:v>
                </c:pt>
                <c:pt idx="150">
                  <c:v>191.19220067774731</c:v>
                </c:pt>
                <c:pt idx="151">
                  <c:v>190.88429270110205</c:v>
                </c:pt>
                <c:pt idx="152">
                  <c:v>190.95701086893877</c:v>
                </c:pt>
                <c:pt idx="153">
                  <c:v>190.85496000890311</c:v>
                </c:pt>
                <c:pt idx="154">
                  <c:v>190.25562681823632</c:v>
                </c:pt>
                <c:pt idx="155">
                  <c:v>189.99920441938701</c:v>
                </c:pt>
                <c:pt idx="156">
                  <c:v>189.53950427285602</c:v>
                </c:pt>
                <c:pt idx="157">
                  <c:v>189.55548312829148</c:v>
                </c:pt>
                <c:pt idx="158">
                  <c:v>189.53697775368266</c:v>
                </c:pt>
                <c:pt idx="159">
                  <c:v>189.20192070906683</c:v>
                </c:pt>
                <c:pt idx="160">
                  <c:v>189.20730116990728</c:v>
                </c:pt>
                <c:pt idx="161">
                  <c:v>188.34534621274824</c:v>
                </c:pt>
                <c:pt idx="162">
                  <c:v>187.97705685535138</c:v>
                </c:pt>
                <c:pt idx="163">
                  <c:v>187.8214086199973</c:v>
                </c:pt>
                <c:pt idx="164">
                  <c:v>187.41471724493783</c:v>
                </c:pt>
                <c:pt idx="165">
                  <c:v>187.63917292505852</c:v>
                </c:pt>
                <c:pt idx="166">
                  <c:v>186.92643896463659</c:v>
                </c:pt>
                <c:pt idx="167">
                  <c:v>186.61824991141677</c:v>
                </c:pt>
                <c:pt idx="168">
                  <c:v>186.01317050144596</c:v>
                </c:pt>
                <c:pt idx="169">
                  <c:v>186.09799483068053</c:v>
                </c:pt>
                <c:pt idx="170">
                  <c:v>186.16723617221157</c:v>
                </c:pt>
                <c:pt idx="171">
                  <c:v>186.67077191676259</c:v>
                </c:pt>
                <c:pt idx="172">
                  <c:v>185.92751284304322</c:v>
                </c:pt>
                <c:pt idx="173">
                  <c:v>184.19796741549564</c:v>
                </c:pt>
                <c:pt idx="174">
                  <c:v>181.23658955078579</c:v>
                </c:pt>
                <c:pt idx="175">
                  <c:v>177.98630823745967</c:v>
                </c:pt>
                <c:pt idx="176">
                  <c:v>175.44533056197307</c:v>
                </c:pt>
                <c:pt idx="177">
                  <c:v>172.42001095000546</c:v>
                </c:pt>
                <c:pt idx="178">
                  <c:v>169.11269279388819</c:v>
                </c:pt>
                <c:pt idx="179">
                  <c:v>165.79151100101598</c:v>
                </c:pt>
                <c:pt idx="180">
                  <c:v>162.12464005202912</c:v>
                </c:pt>
                <c:pt idx="181">
                  <c:v>158.64684947391802</c:v>
                </c:pt>
                <c:pt idx="182">
                  <c:v>155.3643554487322</c:v>
                </c:pt>
                <c:pt idx="183">
                  <c:v>152.08099762955266</c:v>
                </c:pt>
                <c:pt idx="184">
                  <c:v>148.77514727937594</c:v>
                </c:pt>
                <c:pt idx="185">
                  <c:v>145.40382619449878</c:v>
                </c:pt>
                <c:pt idx="186">
                  <c:v>142.20123037442397</c:v>
                </c:pt>
                <c:pt idx="187">
                  <c:v>139.15074369905466</c:v>
                </c:pt>
                <c:pt idx="188">
                  <c:v>135.41117543245829</c:v>
                </c:pt>
                <c:pt idx="189">
                  <c:v>132.40038966710031</c:v>
                </c:pt>
                <c:pt idx="190">
                  <c:v>127.88640121607925</c:v>
                </c:pt>
                <c:pt idx="191">
                  <c:v>124.60694202170278</c:v>
                </c:pt>
                <c:pt idx="192">
                  <c:v>121.94481774966906</c:v>
                </c:pt>
                <c:pt idx="193">
                  <c:v>117.16210370251979</c:v>
                </c:pt>
                <c:pt idx="194">
                  <c:v>111.54826994624347</c:v>
                </c:pt>
                <c:pt idx="195">
                  <c:v>104.62117812374319</c:v>
                </c:pt>
                <c:pt idx="196">
                  <c:v>100.95326918926401</c:v>
                </c:pt>
                <c:pt idx="197">
                  <c:v>97.405249961180232</c:v>
                </c:pt>
                <c:pt idx="198">
                  <c:v>94.924764229362211</c:v>
                </c:pt>
                <c:pt idx="199">
                  <c:v>91.800543527802702</c:v>
                </c:pt>
                <c:pt idx="200">
                  <c:v>87.059619571877292</c:v>
                </c:pt>
                <c:pt idx="201">
                  <c:v>83.169887723863141</c:v>
                </c:pt>
                <c:pt idx="202">
                  <c:v>77.983221272271138</c:v>
                </c:pt>
                <c:pt idx="203">
                  <c:v>72.56593680233172</c:v>
                </c:pt>
                <c:pt idx="204">
                  <c:v>67.643080355643178</c:v>
                </c:pt>
                <c:pt idx="205">
                  <c:v>60.026780423407686</c:v>
                </c:pt>
                <c:pt idx="206">
                  <c:v>54.544609706184538</c:v>
                </c:pt>
                <c:pt idx="207">
                  <c:v>47.648621386142956</c:v>
                </c:pt>
                <c:pt idx="208">
                  <c:v>37.204044941376999</c:v>
                </c:pt>
                <c:pt idx="209">
                  <c:v>32.949991927161385</c:v>
                </c:pt>
                <c:pt idx="210">
                  <c:v>28.478025212433533</c:v>
                </c:pt>
                <c:pt idx="211">
                  <c:v>24.533016121137653</c:v>
                </c:pt>
                <c:pt idx="212">
                  <c:v>24.749914908944636</c:v>
                </c:pt>
                <c:pt idx="213">
                  <c:v>24.153853853991915</c:v>
                </c:pt>
                <c:pt idx="214">
                  <c:v>22.169979702291119</c:v>
                </c:pt>
                <c:pt idx="215">
                  <c:v>20.601186761931945</c:v>
                </c:pt>
                <c:pt idx="216">
                  <c:v>18.945887152624973</c:v>
                </c:pt>
                <c:pt idx="217">
                  <c:v>16.805523377746972</c:v>
                </c:pt>
                <c:pt idx="218">
                  <c:v>14.525676576325111</c:v>
                </c:pt>
                <c:pt idx="219">
                  <c:v>9.8089265467736073</c:v>
                </c:pt>
                <c:pt idx="220">
                  <c:v>6.0313699936249972</c:v>
                </c:pt>
                <c:pt idx="221">
                  <c:v>3.1520050761380447</c:v>
                </c:pt>
              </c:numCache>
            </c:numRef>
          </c:val>
        </c:ser>
        <c:ser>
          <c:idx val="1"/>
          <c:order val="1"/>
          <c:tx>
            <c:v>velD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'10-47-56'!$H$3:$H$224</c:f>
              <c:numCache>
                <c:formatCode>0</c:formatCode>
                <c:ptCount val="222"/>
                <c:pt idx="0">
                  <c:v>57.204000000000001</c:v>
                </c:pt>
                <c:pt idx="1">
                  <c:v>62.496000000000002</c:v>
                </c:pt>
                <c:pt idx="2">
                  <c:v>67.536000000000001</c:v>
                </c:pt>
                <c:pt idx="3">
                  <c:v>74.052000000000007</c:v>
                </c:pt>
                <c:pt idx="4">
                  <c:v>77.975999999999999</c:v>
                </c:pt>
                <c:pt idx="5">
                  <c:v>81.72</c:v>
                </c:pt>
                <c:pt idx="6">
                  <c:v>85.356000000000009</c:v>
                </c:pt>
                <c:pt idx="7">
                  <c:v>89.352000000000004</c:v>
                </c:pt>
                <c:pt idx="8">
                  <c:v>93.096000000000004</c:v>
                </c:pt>
                <c:pt idx="9">
                  <c:v>97.884</c:v>
                </c:pt>
                <c:pt idx="10">
                  <c:v>102.24</c:v>
                </c:pt>
                <c:pt idx="11">
                  <c:v>106.236</c:v>
                </c:pt>
                <c:pt idx="12">
                  <c:v>110.34</c:v>
                </c:pt>
                <c:pt idx="13">
                  <c:v>114.264</c:v>
                </c:pt>
                <c:pt idx="14">
                  <c:v>118.188</c:v>
                </c:pt>
                <c:pt idx="15">
                  <c:v>121.75200000000001</c:v>
                </c:pt>
                <c:pt idx="16">
                  <c:v>124.884</c:v>
                </c:pt>
                <c:pt idx="17">
                  <c:v>127.908</c:v>
                </c:pt>
                <c:pt idx="18">
                  <c:v>131.22000000000003</c:v>
                </c:pt>
                <c:pt idx="19">
                  <c:v>134.316</c:v>
                </c:pt>
                <c:pt idx="20">
                  <c:v>137.52000000000001</c:v>
                </c:pt>
                <c:pt idx="21">
                  <c:v>140.54400000000001</c:v>
                </c:pt>
                <c:pt idx="22">
                  <c:v>143.42400000000001</c:v>
                </c:pt>
                <c:pt idx="23">
                  <c:v>146.12400000000002</c:v>
                </c:pt>
                <c:pt idx="24">
                  <c:v>148.82400000000001</c:v>
                </c:pt>
                <c:pt idx="25">
                  <c:v>151.41600000000003</c:v>
                </c:pt>
                <c:pt idx="26">
                  <c:v>153.792</c:v>
                </c:pt>
                <c:pt idx="27">
                  <c:v>156.34800000000001</c:v>
                </c:pt>
                <c:pt idx="28">
                  <c:v>158.68799999999999</c:v>
                </c:pt>
                <c:pt idx="29">
                  <c:v>160.66800000000001</c:v>
                </c:pt>
                <c:pt idx="30">
                  <c:v>162.32400000000001</c:v>
                </c:pt>
                <c:pt idx="31">
                  <c:v>163.83599999999998</c:v>
                </c:pt>
                <c:pt idx="32">
                  <c:v>165.20400000000001</c:v>
                </c:pt>
                <c:pt idx="33">
                  <c:v>166.10400000000001</c:v>
                </c:pt>
                <c:pt idx="34">
                  <c:v>166.93199999999999</c:v>
                </c:pt>
                <c:pt idx="35">
                  <c:v>167.61600000000001</c:v>
                </c:pt>
                <c:pt idx="36">
                  <c:v>168.44399999999999</c:v>
                </c:pt>
                <c:pt idx="37">
                  <c:v>169.16400000000002</c:v>
                </c:pt>
                <c:pt idx="38">
                  <c:v>169.77599999999998</c:v>
                </c:pt>
                <c:pt idx="39">
                  <c:v>170.316</c:v>
                </c:pt>
                <c:pt idx="40">
                  <c:v>170.892</c:v>
                </c:pt>
                <c:pt idx="41">
                  <c:v>171.25200000000001</c:v>
                </c:pt>
                <c:pt idx="42">
                  <c:v>171.50400000000002</c:v>
                </c:pt>
                <c:pt idx="43">
                  <c:v>171.756</c:v>
                </c:pt>
                <c:pt idx="44">
                  <c:v>172.07999999999998</c:v>
                </c:pt>
                <c:pt idx="45">
                  <c:v>172.33199999999999</c:v>
                </c:pt>
                <c:pt idx="46">
                  <c:v>172.72799999999998</c:v>
                </c:pt>
                <c:pt idx="47">
                  <c:v>173.376</c:v>
                </c:pt>
                <c:pt idx="48">
                  <c:v>174.096</c:v>
                </c:pt>
                <c:pt idx="49">
                  <c:v>174.816</c:v>
                </c:pt>
                <c:pt idx="50">
                  <c:v>175.536</c:v>
                </c:pt>
                <c:pt idx="51">
                  <c:v>176.07599999999999</c:v>
                </c:pt>
                <c:pt idx="52">
                  <c:v>176.57999999999998</c:v>
                </c:pt>
                <c:pt idx="53">
                  <c:v>177.15600000000001</c:v>
                </c:pt>
                <c:pt idx="54">
                  <c:v>177.62400000000002</c:v>
                </c:pt>
                <c:pt idx="55">
                  <c:v>178.02</c:v>
                </c:pt>
                <c:pt idx="56">
                  <c:v>178.38</c:v>
                </c:pt>
                <c:pt idx="57">
                  <c:v>178.63200000000001</c:v>
                </c:pt>
                <c:pt idx="58">
                  <c:v>178.74</c:v>
                </c:pt>
                <c:pt idx="59">
                  <c:v>178.70400000000001</c:v>
                </c:pt>
                <c:pt idx="60">
                  <c:v>178.70400000000001</c:v>
                </c:pt>
                <c:pt idx="61">
                  <c:v>178.74</c:v>
                </c:pt>
                <c:pt idx="62">
                  <c:v>178.70400000000001</c:v>
                </c:pt>
                <c:pt idx="63">
                  <c:v>178.81200000000001</c:v>
                </c:pt>
                <c:pt idx="64">
                  <c:v>179.02799999999999</c:v>
                </c:pt>
                <c:pt idx="65">
                  <c:v>179.352</c:v>
                </c:pt>
                <c:pt idx="66">
                  <c:v>179.71200000000002</c:v>
                </c:pt>
                <c:pt idx="67">
                  <c:v>180.21600000000001</c:v>
                </c:pt>
                <c:pt idx="68">
                  <c:v>180.792</c:v>
                </c:pt>
                <c:pt idx="69">
                  <c:v>181.548</c:v>
                </c:pt>
                <c:pt idx="70">
                  <c:v>182.232</c:v>
                </c:pt>
                <c:pt idx="71">
                  <c:v>182.55600000000001</c:v>
                </c:pt>
                <c:pt idx="72">
                  <c:v>182.59200000000001</c:v>
                </c:pt>
                <c:pt idx="73">
                  <c:v>182.44800000000001</c:v>
                </c:pt>
                <c:pt idx="74">
                  <c:v>182.48400000000001</c:v>
                </c:pt>
                <c:pt idx="75">
                  <c:v>182.232</c:v>
                </c:pt>
                <c:pt idx="76">
                  <c:v>181.90800000000002</c:v>
                </c:pt>
                <c:pt idx="77">
                  <c:v>181.36800000000002</c:v>
                </c:pt>
                <c:pt idx="78">
                  <c:v>180.50400000000002</c:v>
                </c:pt>
                <c:pt idx="79">
                  <c:v>179.71200000000002</c:v>
                </c:pt>
                <c:pt idx="80">
                  <c:v>178.81200000000001</c:v>
                </c:pt>
                <c:pt idx="81">
                  <c:v>177.62400000000002</c:v>
                </c:pt>
                <c:pt idx="82">
                  <c:v>176.43600000000001</c:v>
                </c:pt>
                <c:pt idx="83">
                  <c:v>175.35599999999999</c:v>
                </c:pt>
                <c:pt idx="84">
                  <c:v>174.6</c:v>
                </c:pt>
                <c:pt idx="85">
                  <c:v>174.06</c:v>
                </c:pt>
                <c:pt idx="86">
                  <c:v>173.44800000000001</c:v>
                </c:pt>
                <c:pt idx="87">
                  <c:v>172.90800000000002</c:v>
                </c:pt>
                <c:pt idx="88">
                  <c:v>172.44</c:v>
                </c:pt>
                <c:pt idx="89">
                  <c:v>171.72000000000003</c:v>
                </c:pt>
                <c:pt idx="90">
                  <c:v>171.18</c:v>
                </c:pt>
                <c:pt idx="91">
                  <c:v>170.67599999999999</c:v>
                </c:pt>
                <c:pt idx="92">
                  <c:v>170.208</c:v>
                </c:pt>
                <c:pt idx="93">
                  <c:v>169.88399999999999</c:v>
                </c:pt>
                <c:pt idx="94">
                  <c:v>169.70400000000001</c:v>
                </c:pt>
                <c:pt idx="95">
                  <c:v>169.84800000000001</c:v>
                </c:pt>
                <c:pt idx="96">
                  <c:v>170.17200000000003</c:v>
                </c:pt>
                <c:pt idx="97">
                  <c:v>170.56800000000001</c:v>
                </c:pt>
                <c:pt idx="98">
                  <c:v>171</c:v>
                </c:pt>
                <c:pt idx="99">
                  <c:v>171.036</c:v>
                </c:pt>
                <c:pt idx="100">
                  <c:v>170.85599999999999</c:v>
                </c:pt>
                <c:pt idx="101">
                  <c:v>170.56800000000001</c:v>
                </c:pt>
                <c:pt idx="102">
                  <c:v>169.99199999999999</c:v>
                </c:pt>
                <c:pt idx="103">
                  <c:v>169.38</c:v>
                </c:pt>
                <c:pt idx="104">
                  <c:v>168.58799999999999</c:v>
                </c:pt>
                <c:pt idx="105">
                  <c:v>167.61600000000001</c:v>
                </c:pt>
                <c:pt idx="106">
                  <c:v>166.89600000000002</c:v>
                </c:pt>
                <c:pt idx="107">
                  <c:v>166.06800000000001</c:v>
                </c:pt>
                <c:pt idx="108">
                  <c:v>165.24</c:v>
                </c:pt>
                <c:pt idx="109">
                  <c:v>164.73599999999999</c:v>
                </c:pt>
                <c:pt idx="110">
                  <c:v>164.304</c:v>
                </c:pt>
                <c:pt idx="111">
                  <c:v>164.05199999999999</c:v>
                </c:pt>
                <c:pt idx="112">
                  <c:v>163.76400000000001</c:v>
                </c:pt>
                <c:pt idx="113">
                  <c:v>163.62</c:v>
                </c:pt>
                <c:pt idx="114">
                  <c:v>163.62</c:v>
                </c:pt>
                <c:pt idx="115">
                  <c:v>163.04400000000001</c:v>
                </c:pt>
                <c:pt idx="116">
                  <c:v>162.61200000000002</c:v>
                </c:pt>
                <c:pt idx="117">
                  <c:v>162.28800000000001</c:v>
                </c:pt>
                <c:pt idx="118">
                  <c:v>161.892</c:v>
                </c:pt>
                <c:pt idx="119">
                  <c:v>161.46</c:v>
                </c:pt>
                <c:pt idx="120">
                  <c:v>161.208</c:v>
                </c:pt>
                <c:pt idx="121">
                  <c:v>161.06400000000002</c:v>
                </c:pt>
                <c:pt idx="122">
                  <c:v>161.1</c:v>
                </c:pt>
                <c:pt idx="123">
                  <c:v>161.42400000000001</c:v>
                </c:pt>
                <c:pt idx="124">
                  <c:v>162.18</c:v>
                </c:pt>
                <c:pt idx="125">
                  <c:v>162.9</c:v>
                </c:pt>
                <c:pt idx="126">
                  <c:v>163.44</c:v>
                </c:pt>
                <c:pt idx="127">
                  <c:v>163.548</c:v>
                </c:pt>
                <c:pt idx="128">
                  <c:v>163.404</c:v>
                </c:pt>
                <c:pt idx="129">
                  <c:v>163.00800000000001</c:v>
                </c:pt>
                <c:pt idx="130">
                  <c:v>162.39600000000002</c:v>
                </c:pt>
                <c:pt idx="131">
                  <c:v>161.964</c:v>
                </c:pt>
                <c:pt idx="132">
                  <c:v>161.42400000000001</c:v>
                </c:pt>
                <c:pt idx="133">
                  <c:v>160.77599999999998</c:v>
                </c:pt>
                <c:pt idx="134">
                  <c:v>160.12799999999999</c:v>
                </c:pt>
                <c:pt idx="135">
                  <c:v>159.62400000000002</c:v>
                </c:pt>
                <c:pt idx="136">
                  <c:v>159.012</c:v>
                </c:pt>
                <c:pt idx="137">
                  <c:v>158.68799999999999</c:v>
                </c:pt>
                <c:pt idx="138">
                  <c:v>158.184</c:v>
                </c:pt>
                <c:pt idx="139">
                  <c:v>157.536</c:v>
                </c:pt>
                <c:pt idx="140">
                  <c:v>156.6</c:v>
                </c:pt>
                <c:pt idx="141">
                  <c:v>155.52000000000001</c:v>
                </c:pt>
                <c:pt idx="142">
                  <c:v>154.36800000000002</c:v>
                </c:pt>
                <c:pt idx="143">
                  <c:v>153.25200000000001</c:v>
                </c:pt>
                <c:pt idx="144">
                  <c:v>152.06400000000002</c:v>
                </c:pt>
                <c:pt idx="145">
                  <c:v>151.09200000000001</c:v>
                </c:pt>
                <c:pt idx="146">
                  <c:v>150.084</c:v>
                </c:pt>
                <c:pt idx="147">
                  <c:v>149.364</c:v>
                </c:pt>
                <c:pt idx="148">
                  <c:v>148.608</c:v>
                </c:pt>
                <c:pt idx="149">
                  <c:v>147.636</c:v>
                </c:pt>
                <c:pt idx="150">
                  <c:v>146.376</c:v>
                </c:pt>
                <c:pt idx="151">
                  <c:v>145.62</c:v>
                </c:pt>
                <c:pt idx="152">
                  <c:v>145.11600000000001</c:v>
                </c:pt>
                <c:pt idx="153">
                  <c:v>144.46800000000002</c:v>
                </c:pt>
                <c:pt idx="154">
                  <c:v>143.82000000000002</c:v>
                </c:pt>
                <c:pt idx="155">
                  <c:v>143.352</c:v>
                </c:pt>
                <c:pt idx="156">
                  <c:v>142.84800000000001</c:v>
                </c:pt>
                <c:pt idx="157">
                  <c:v>142.452</c:v>
                </c:pt>
                <c:pt idx="158">
                  <c:v>142.05600000000001</c:v>
                </c:pt>
                <c:pt idx="159">
                  <c:v>141.51600000000002</c:v>
                </c:pt>
                <c:pt idx="160">
                  <c:v>141.048</c:v>
                </c:pt>
                <c:pt idx="161">
                  <c:v>140.57999999999998</c:v>
                </c:pt>
                <c:pt idx="162">
                  <c:v>140.11200000000002</c:v>
                </c:pt>
                <c:pt idx="163">
                  <c:v>139.71600000000001</c:v>
                </c:pt>
                <c:pt idx="164">
                  <c:v>139.17599999999999</c:v>
                </c:pt>
                <c:pt idx="165">
                  <c:v>138.67200000000003</c:v>
                </c:pt>
                <c:pt idx="166">
                  <c:v>138.38399999999999</c:v>
                </c:pt>
                <c:pt idx="167">
                  <c:v>137.988</c:v>
                </c:pt>
                <c:pt idx="168">
                  <c:v>137.77200000000002</c:v>
                </c:pt>
                <c:pt idx="169">
                  <c:v>137.55600000000001</c:v>
                </c:pt>
                <c:pt idx="170">
                  <c:v>137.304</c:v>
                </c:pt>
                <c:pt idx="171">
                  <c:v>137.12400000000002</c:v>
                </c:pt>
                <c:pt idx="172">
                  <c:v>136.97999999999999</c:v>
                </c:pt>
                <c:pt idx="173">
                  <c:v>136.76400000000001</c:v>
                </c:pt>
                <c:pt idx="174">
                  <c:v>136.76400000000001</c:v>
                </c:pt>
                <c:pt idx="175">
                  <c:v>136.26000000000002</c:v>
                </c:pt>
                <c:pt idx="176">
                  <c:v>135.61200000000002</c:v>
                </c:pt>
                <c:pt idx="177">
                  <c:v>134.85599999999999</c:v>
                </c:pt>
                <c:pt idx="178">
                  <c:v>134.1</c:v>
                </c:pt>
                <c:pt idx="179">
                  <c:v>133.30800000000002</c:v>
                </c:pt>
                <c:pt idx="180">
                  <c:v>132.62400000000002</c:v>
                </c:pt>
                <c:pt idx="181">
                  <c:v>132.26400000000001</c:v>
                </c:pt>
                <c:pt idx="182">
                  <c:v>131.83199999999999</c:v>
                </c:pt>
                <c:pt idx="183">
                  <c:v>131.57999999999998</c:v>
                </c:pt>
                <c:pt idx="184">
                  <c:v>131.43600000000001</c:v>
                </c:pt>
                <c:pt idx="185">
                  <c:v>131.328</c:v>
                </c:pt>
                <c:pt idx="186">
                  <c:v>131.11200000000002</c:v>
                </c:pt>
                <c:pt idx="187">
                  <c:v>131.148</c:v>
                </c:pt>
                <c:pt idx="188">
                  <c:v>131.328</c:v>
                </c:pt>
                <c:pt idx="189">
                  <c:v>131.65200000000002</c:v>
                </c:pt>
                <c:pt idx="190">
                  <c:v>131.79599999999999</c:v>
                </c:pt>
                <c:pt idx="191">
                  <c:v>131.94</c:v>
                </c:pt>
                <c:pt idx="192">
                  <c:v>132.19200000000001</c:v>
                </c:pt>
                <c:pt idx="193">
                  <c:v>132.15600000000001</c:v>
                </c:pt>
                <c:pt idx="194">
                  <c:v>132.30000000000001</c:v>
                </c:pt>
                <c:pt idx="195">
                  <c:v>132.37200000000001</c:v>
                </c:pt>
                <c:pt idx="196">
                  <c:v>132.55199999999999</c:v>
                </c:pt>
                <c:pt idx="197">
                  <c:v>131.86800000000002</c:v>
                </c:pt>
                <c:pt idx="198">
                  <c:v>131.328</c:v>
                </c:pt>
                <c:pt idx="199">
                  <c:v>130.608</c:v>
                </c:pt>
                <c:pt idx="200">
                  <c:v>129.34800000000001</c:v>
                </c:pt>
                <c:pt idx="201">
                  <c:v>127.87200000000001</c:v>
                </c:pt>
                <c:pt idx="202">
                  <c:v>126.36000000000001</c:v>
                </c:pt>
                <c:pt idx="203">
                  <c:v>124.81200000000001</c:v>
                </c:pt>
                <c:pt idx="204">
                  <c:v>123.048</c:v>
                </c:pt>
                <c:pt idx="205">
                  <c:v>120.06</c:v>
                </c:pt>
                <c:pt idx="206">
                  <c:v>117.43199999999999</c:v>
                </c:pt>
                <c:pt idx="207">
                  <c:v>113.83200000000001</c:v>
                </c:pt>
                <c:pt idx="208">
                  <c:v>110.05200000000001</c:v>
                </c:pt>
                <c:pt idx="209">
                  <c:v>106.452</c:v>
                </c:pt>
                <c:pt idx="210">
                  <c:v>101.84399999999999</c:v>
                </c:pt>
                <c:pt idx="211">
                  <c:v>97.74</c:v>
                </c:pt>
                <c:pt idx="212">
                  <c:v>93.24</c:v>
                </c:pt>
                <c:pt idx="213">
                  <c:v>89.567999999999998</c:v>
                </c:pt>
                <c:pt idx="214">
                  <c:v>85.896000000000001</c:v>
                </c:pt>
                <c:pt idx="215">
                  <c:v>81.756</c:v>
                </c:pt>
                <c:pt idx="216">
                  <c:v>78.084000000000003</c:v>
                </c:pt>
                <c:pt idx="217">
                  <c:v>74.52</c:v>
                </c:pt>
                <c:pt idx="218">
                  <c:v>71.13600000000001</c:v>
                </c:pt>
                <c:pt idx="219">
                  <c:v>68.400000000000006</c:v>
                </c:pt>
                <c:pt idx="220">
                  <c:v>66.06</c:v>
                </c:pt>
                <c:pt idx="221">
                  <c:v>63.684000000000005</c:v>
                </c:pt>
              </c:numCache>
            </c:numRef>
          </c:val>
        </c:ser>
        <c:marker val="1"/>
        <c:axId val="153079168"/>
        <c:axId val="153089152"/>
      </c:lineChart>
      <c:lineChart>
        <c:grouping val="standard"/>
        <c:ser>
          <c:idx val="2"/>
          <c:order val="2"/>
          <c:tx>
            <c:v>Angle</c:v>
          </c:tx>
          <c:spPr>
            <a:ln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'10-47-56'!$L$3:$L$224</c:f>
              <c:numCache>
                <c:formatCode>0</c:formatCode>
                <c:ptCount val="222"/>
                <c:pt idx="0">
                  <c:v>66.24440881758467</c:v>
                </c:pt>
                <c:pt idx="1">
                  <c:v>63.749527912479401</c:v>
                </c:pt>
                <c:pt idx="2">
                  <c:v>61.295611928356038</c:v>
                </c:pt>
                <c:pt idx="3">
                  <c:v>58.61101850294321</c:v>
                </c:pt>
                <c:pt idx="4">
                  <c:v>57.193613460460291</c:v>
                </c:pt>
                <c:pt idx="5">
                  <c:v>55.951059613059236</c:v>
                </c:pt>
                <c:pt idx="6">
                  <c:v>54.810896022410802</c:v>
                </c:pt>
                <c:pt idx="7">
                  <c:v>53.128450981758256</c:v>
                </c:pt>
                <c:pt idx="8">
                  <c:v>51.97207381133294</c:v>
                </c:pt>
                <c:pt idx="9">
                  <c:v>50.738739899340544</c:v>
                </c:pt>
                <c:pt idx="10">
                  <c:v>49.550949591517821</c:v>
                </c:pt>
                <c:pt idx="11">
                  <c:v>48.650075371647823</c:v>
                </c:pt>
                <c:pt idx="12">
                  <c:v>47.782558353644717</c:v>
                </c:pt>
                <c:pt idx="13">
                  <c:v>46.824662362771932</c:v>
                </c:pt>
                <c:pt idx="14">
                  <c:v>45.926414753884735</c:v>
                </c:pt>
                <c:pt idx="15">
                  <c:v>45.490888328895515</c:v>
                </c:pt>
                <c:pt idx="16">
                  <c:v>45.067056224674062</c:v>
                </c:pt>
                <c:pt idx="17">
                  <c:v>44.586493519259669</c:v>
                </c:pt>
                <c:pt idx="18">
                  <c:v>44.016801788777656</c:v>
                </c:pt>
                <c:pt idx="19">
                  <c:v>43.542131124966545</c:v>
                </c:pt>
                <c:pt idx="20">
                  <c:v>43.028751912651011</c:v>
                </c:pt>
                <c:pt idx="21">
                  <c:v>42.76869021616529</c:v>
                </c:pt>
                <c:pt idx="22">
                  <c:v>42.49869130355313</c:v>
                </c:pt>
                <c:pt idx="23">
                  <c:v>42.371706997838032</c:v>
                </c:pt>
                <c:pt idx="24">
                  <c:v>42.06343165045201</c:v>
                </c:pt>
                <c:pt idx="25">
                  <c:v>41.56860615025824</c:v>
                </c:pt>
                <c:pt idx="26">
                  <c:v>41.344904191009242</c:v>
                </c:pt>
                <c:pt idx="27">
                  <c:v>41.109373939736244</c:v>
                </c:pt>
                <c:pt idx="28">
                  <c:v>41.016981294598885</c:v>
                </c:pt>
                <c:pt idx="29">
                  <c:v>40.753613706809169</c:v>
                </c:pt>
                <c:pt idx="30">
                  <c:v>40.554328637223456</c:v>
                </c:pt>
                <c:pt idx="31">
                  <c:v>40.494752888037567</c:v>
                </c:pt>
                <c:pt idx="32">
                  <c:v>40.379824910084231</c:v>
                </c:pt>
                <c:pt idx="33">
                  <c:v>40.259846082814647</c:v>
                </c:pt>
                <c:pt idx="34">
                  <c:v>40.164108477276862</c:v>
                </c:pt>
                <c:pt idx="35">
                  <c:v>39.928060806422039</c:v>
                </c:pt>
                <c:pt idx="36">
                  <c:v>39.842432472220821</c:v>
                </c:pt>
                <c:pt idx="37">
                  <c:v>39.822794466713432</c:v>
                </c:pt>
                <c:pt idx="38">
                  <c:v>40.160898399747907</c:v>
                </c:pt>
                <c:pt idx="39">
                  <c:v>40.369277633798632</c:v>
                </c:pt>
                <c:pt idx="40">
                  <c:v>40.561777191085248</c:v>
                </c:pt>
                <c:pt idx="41">
                  <c:v>40.932365801095429</c:v>
                </c:pt>
                <c:pt idx="42">
                  <c:v>41.214810869461374</c:v>
                </c:pt>
                <c:pt idx="43">
                  <c:v>41.441950579191008</c:v>
                </c:pt>
                <c:pt idx="44">
                  <c:v>41.652108278543665</c:v>
                </c:pt>
                <c:pt idx="45">
                  <c:v>42.036025328821374</c:v>
                </c:pt>
                <c:pt idx="46">
                  <c:v>42.254250076710804</c:v>
                </c:pt>
                <c:pt idx="47">
                  <c:v>42.438500982462024</c:v>
                </c:pt>
                <c:pt idx="48">
                  <c:v>42.508141379464931</c:v>
                </c:pt>
                <c:pt idx="49">
                  <c:v>42.641073545051704</c:v>
                </c:pt>
                <c:pt idx="50">
                  <c:v>42.787405310781267</c:v>
                </c:pt>
                <c:pt idx="51">
                  <c:v>43.02453361186857</c:v>
                </c:pt>
                <c:pt idx="52">
                  <c:v>43.204678961971695</c:v>
                </c:pt>
                <c:pt idx="53">
                  <c:v>43.371495140092549</c:v>
                </c:pt>
                <c:pt idx="54">
                  <c:v>43.59307380860924</c:v>
                </c:pt>
                <c:pt idx="55">
                  <c:v>43.718087657590111</c:v>
                </c:pt>
                <c:pt idx="56">
                  <c:v>43.997443228389876</c:v>
                </c:pt>
                <c:pt idx="57">
                  <c:v>44.26927823491701</c:v>
                </c:pt>
                <c:pt idx="58">
                  <c:v>44.512031567776354</c:v>
                </c:pt>
                <c:pt idx="59">
                  <c:v>44.822714655562542</c:v>
                </c:pt>
                <c:pt idx="60">
                  <c:v>44.981770515690435</c:v>
                </c:pt>
                <c:pt idx="61">
                  <c:v>45.157141133271288</c:v>
                </c:pt>
                <c:pt idx="62">
                  <c:v>45.389114086850768</c:v>
                </c:pt>
                <c:pt idx="63">
                  <c:v>45.563543336533179</c:v>
                </c:pt>
                <c:pt idx="64">
                  <c:v>45.687729969080976</c:v>
                </c:pt>
                <c:pt idx="65">
                  <c:v>45.807665708439885</c:v>
                </c:pt>
                <c:pt idx="66">
                  <c:v>45.886829578962171</c:v>
                </c:pt>
                <c:pt idx="67">
                  <c:v>45.961303677383277</c:v>
                </c:pt>
                <c:pt idx="68">
                  <c:v>46.058523722609273</c:v>
                </c:pt>
                <c:pt idx="69">
                  <c:v>46.061936763856913</c:v>
                </c:pt>
                <c:pt idx="70">
                  <c:v>46.100744341760709</c:v>
                </c:pt>
                <c:pt idx="71">
                  <c:v>46.343615740420823</c:v>
                </c:pt>
                <c:pt idx="72">
                  <c:v>46.572428993904282</c:v>
                </c:pt>
                <c:pt idx="73">
                  <c:v>46.780522079600537</c:v>
                </c:pt>
                <c:pt idx="74">
                  <c:v>46.887366610047557</c:v>
                </c:pt>
                <c:pt idx="75">
                  <c:v>47.062122349933475</c:v>
                </c:pt>
                <c:pt idx="76">
                  <c:v>47.252374933072254</c:v>
                </c:pt>
                <c:pt idx="77">
                  <c:v>47.419494139974972</c:v>
                </c:pt>
                <c:pt idx="78">
                  <c:v>47.599352481736446</c:v>
                </c:pt>
                <c:pt idx="79">
                  <c:v>47.702965568506947</c:v>
                </c:pt>
                <c:pt idx="80">
                  <c:v>47.660672640339648</c:v>
                </c:pt>
                <c:pt idx="81">
                  <c:v>47.660460772130499</c:v>
                </c:pt>
                <c:pt idx="82">
                  <c:v>47.613412736426199</c:v>
                </c:pt>
                <c:pt idx="83">
                  <c:v>47.74355917873396</c:v>
                </c:pt>
                <c:pt idx="84">
                  <c:v>47.882423459857343</c:v>
                </c:pt>
                <c:pt idx="85">
                  <c:v>48.072077480806946</c:v>
                </c:pt>
                <c:pt idx="86">
                  <c:v>48.272386737880204</c:v>
                </c:pt>
                <c:pt idx="87">
                  <c:v>48.44956988374993</c:v>
                </c:pt>
                <c:pt idx="88">
                  <c:v>48.517839604891755</c:v>
                </c:pt>
                <c:pt idx="89">
                  <c:v>48.628910480480933</c:v>
                </c:pt>
                <c:pt idx="90">
                  <c:v>48.760616116400179</c:v>
                </c:pt>
                <c:pt idx="91">
                  <c:v>48.922493030478677</c:v>
                </c:pt>
                <c:pt idx="92">
                  <c:v>49.043750364597621</c:v>
                </c:pt>
                <c:pt idx="93">
                  <c:v>49.281799832903836</c:v>
                </c:pt>
                <c:pt idx="94">
                  <c:v>49.439696421719134</c:v>
                </c:pt>
                <c:pt idx="95">
                  <c:v>49.444791773509493</c:v>
                </c:pt>
                <c:pt idx="96">
                  <c:v>49.389252857379546</c:v>
                </c:pt>
                <c:pt idx="97">
                  <c:v>49.455948497365782</c:v>
                </c:pt>
                <c:pt idx="98">
                  <c:v>49.646361206276048</c:v>
                </c:pt>
                <c:pt idx="99">
                  <c:v>49.806782476834698</c:v>
                </c:pt>
                <c:pt idx="100">
                  <c:v>49.889606724918764</c:v>
                </c:pt>
                <c:pt idx="101">
                  <c:v>49.918890031493291</c:v>
                </c:pt>
                <c:pt idx="102">
                  <c:v>50.000130835544098</c:v>
                </c:pt>
                <c:pt idx="103">
                  <c:v>50.054209941227938</c:v>
                </c:pt>
                <c:pt idx="104">
                  <c:v>50.180019338785947</c:v>
                </c:pt>
                <c:pt idx="105">
                  <c:v>50.336100309615212</c:v>
                </c:pt>
                <c:pt idx="106">
                  <c:v>50.381008322174409</c:v>
                </c:pt>
                <c:pt idx="107">
                  <c:v>50.424597934425144</c:v>
                </c:pt>
                <c:pt idx="108">
                  <c:v>50.410574212400995</c:v>
                </c:pt>
                <c:pt idx="109">
                  <c:v>50.451436351950683</c:v>
                </c:pt>
                <c:pt idx="110">
                  <c:v>50.510949173442945</c:v>
                </c:pt>
                <c:pt idx="111">
                  <c:v>50.470206948820177</c:v>
                </c:pt>
                <c:pt idx="112">
                  <c:v>50.531347763933368</c:v>
                </c:pt>
                <c:pt idx="113">
                  <c:v>50.654363517210065</c:v>
                </c:pt>
                <c:pt idx="114">
                  <c:v>50.695090185203632</c:v>
                </c:pt>
                <c:pt idx="115">
                  <c:v>50.948998979956201</c:v>
                </c:pt>
                <c:pt idx="116">
                  <c:v>51.106397359439384</c:v>
                </c:pt>
                <c:pt idx="117">
                  <c:v>51.070370528204933</c:v>
                </c:pt>
                <c:pt idx="118">
                  <c:v>50.957064420482624</c:v>
                </c:pt>
                <c:pt idx="119">
                  <c:v>51.109145098618868</c:v>
                </c:pt>
                <c:pt idx="120">
                  <c:v>51.195294883894604</c:v>
                </c:pt>
                <c:pt idx="121">
                  <c:v>51.28741167962017</c:v>
                </c:pt>
                <c:pt idx="122">
                  <c:v>51.32051192058568</c:v>
                </c:pt>
                <c:pt idx="123">
                  <c:v>51.251015930187798</c:v>
                </c:pt>
                <c:pt idx="124">
                  <c:v>51.125479416071329</c:v>
                </c:pt>
                <c:pt idx="125">
                  <c:v>51.002610758717289</c:v>
                </c:pt>
                <c:pt idx="126">
                  <c:v>50.755480321052154</c:v>
                </c:pt>
                <c:pt idx="127">
                  <c:v>50.743395522517893</c:v>
                </c:pt>
                <c:pt idx="128">
                  <c:v>50.730947429368932</c:v>
                </c:pt>
                <c:pt idx="129">
                  <c:v>50.800758881377867</c:v>
                </c:pt>
                <c:pt idx="130">
                  <c:v>50.785028873324961</c:v>
                </c:pt>
                <c:pt idx="131">
                  <c:v>50.882783521665623</c:v>
                </c:pt>
                <c:pt idx="132">
                  <c:v>50.983329790397882</c:v>
                </c:pt>
                <c:pt idx="133">
                  <c:v>51.056615837229458</c:v>
                </c:pt>
                <c:pt idx="134">
                  <c:v>51.114489370785996</c:v>
                </c:pt>
                <c:pt idx="135">
                  <c:v>51.233418122015173</c:v>
                </c:pt>
                <c:pt idx="136">
                  <c:v>51.307727904078526</c:v>
                </c:pt>
                <c:pt idx="137">
                  <c:v>51.28858708797366</c:v>
                </c:pt>
                <c:pt idx="138">
                  <c:v>51.370320298140278</c:v>
                </c:pt>
                <c:pt idx="139">
                  <c:v>51.34392012750034</c:v>
                </c:pt>
                <c:pt idx="140">
                  <c:v>51.374943937027055</c:v>
                </c:pt>
                <c:pt idx="141">
                  <c:v>51.507562120947597</c:v>
                </c:pt>
                <c:pt idx="142">
                  <c:v>51.53088737992946</c:v>
                </c:pt>
                <c:pt idx="143">
                  <c:v>51.579912835493978</c:v>
                </c:pt>
                <c:pt idx="144">
                  <c:v>51.772666412137475</c:v>
                </c:pt>
                <c:pt idx="145">
                  <c:v>51.990952712225102</c:v>
                </c:pt>
                <c:pt idx="146">
                  <c:v>52.114175366126119</c:v>
                </c:pt>
                <c:pt idx="147">
                  <c:v>52.253448214684312</c:v>
                </c:pt>
                <c:pt idx="148">
                  <c:v>52.368380490123563</c:v>
                </c:pt>
                <c:pt idx="149">
                  <c:v>52.497514593603285</c:v>
                </c:pt>
                <c:pt idx="150">
                  <c:v>52.562472965611832</c:v>
                </c:pt>
                <c:pt idx="151">
                  <c:v>52.661057570401184</c:v>
                </c:pt>
                <c:pt idx="152">
                  <c:v>52.767320613991437</c:v>
                </c:pt>
                <c:pt idx="153">
                  <c:v>52.876035236971724</c:v>
                </c:pt>
                <c:pt idx="154">
                  <c:v>52.913259368022253</c:v>
                </c:pt>
                <c:pt idx="155">
                  <c:v>52.965907766314203</c:v>
                </c:pt>
                <c:pt idx="156">
                  <c:v>52.996194415676115</c:v>
                </c:pt>
                <c:pt idx="157">
                  <c:v>53.074934313033779</c:v>
                </c:pt>
                <c:pt idx="158">
                  <c:v>53.148821719332339</c:v>
                </c:pt>
                <c:pt idx="159">
                  <c:v>53.204877812582879</c:v>
                </c:pt>
                <c:pt idx="160">
                  <c:v>53.296647188383155</c:v>
                </c:pt>
                <c:pt idx="161">
                  <c:v>53.262528906738794</c:v>
                </c:pt>
                <c:pt idx="162">
                  <c:v>53.300348776150692</c:v>
                </c:pt>
                <c:pt idx="163">
                  <c:v>53.355294250243084</c:v>
                </c:pt>
                <c:pt idx="164">
                  <c:v>53.40205960183313</c:v>
                </c:pt>
                <c:pt idx="165">
                  <c:v>53.53428537260875</c:v>
                </c:pt>
                <c:pt idx="166">
                  <c:v>53.486987036200638</c:v>
                </c:pt>
                <c:pt idx="167">
                  <c:v>53.520289160278232</c:v>
                </c:pt>
                <c:pt idx="168">
                  <c:v>53.4742342519434</c:v>
                </c:pt>
                <c:pt idx="169">
                  <c:v>53.529708738667154</c:v>
                </c:pt>
                <c:pt idx="170">
                  <c:v>53.590096511424292</c:v>
                </c:pt>
                <c:pt idx="171">
                  <c:v>53.699863279286745</c:v>
                </c:pt>
                <c:pt idx="172">
                  <c:v>53.619487073276979</c:v>
                </c:pt>
                <c:pt idx="173">
                  <c:v>53.406713305923262</c:v>
                </c:pt>
                <c:pt idx="174">
                  <c:v>52.961217664122927</c:v>
                </c:pt>
                <c:pt idx="175">
                  <c:v>52.563613673833281</c:v>
                </c:pt>
                <c:pt idx="176">
                  <c:v>52.297456977325709</c:v>
                </c:pt>
                <c:pt idx="177">
                  <c:v>51.969736420776954</c:v>
                </c:pt>
                <c:pt idx="178">
                  <c:v>51.586907360911368</c:v>
                </c:pt>
                <c:pt idx="179">
                  <c:v>51.198278278136613</c:v>
                </c:pt>
                <c:pt idx="180">
                  <c:v>50.715554054936824</c:v>
                </c:pt>
                <c:pt idx="181">
                  <c:v>50.182006805294314</c:v>
                </c:pt>
                <c:pt idx="182">
                  <c:v>49.684249202386781</c:v>
                </c:pt>
                <c:pt idx="183">
                  <c:v>49.133743716528045</c:v>
                </c:pt>
                <c:pt idx="184">
                  <c:v>48.540882974257691</c:v>
                </c:pt>
                <c:pt idx="185">
                  <c:v>47.911811808928043</c:v>
                </c:pt>
                <c:pt idx="186">
                  <c:v>47.323406722443359</c:v>
                </c:pt>
                <c:pt idx="187">
                  <c:v>46.695862606278666</c:v>
                </c:pt>
                <c:pt idx="188">
                  <c:v>45.877000717927999</c:v>
                </c:pt>
                <c:pt idx="189">
                  <c:v>45.162389950699193</c:v>
                </c:pt>
                <c:pt idx="190">
                  <c:v>44.137459501395433</c:v>
                </c:pt>
                <c:pt idx="191">
                  <c:v>43.362721066675192</c:v>
                </c:pt>
                <c:pt idx="192">
                  <c:v>42.690998001959237</c:v>
                </c:pt>
                <c:pt idx="193">
                  <c:v>41.558398698286325</c:v>
                </c:pt>
                <c:pt idx="194">
                  <c:v>40.135792132003353</c:v>
                </c:pt>
                <c:pt idx="195">
                  <c:v>38.321338806261664</c:v>
                </c:pt>
                <c:pt idx="196">
                  <c:v>37.293354279184108</c:v>
                </c:pt>
                <c:pt idx="197">
                  <c:v>36.451696239087937</c:v>
                </c:pt>
                <c:pt idx="198">
                  <c:v>35.859656962148108</c:v>
                </c:pt>
                <c:pt idx="199">
                  <c:v>35.102262071235749</c:v>
                </c:pt>
                <c:pt idx="200">
                  <c:v>33.943119292189394</c:v>
                </c:pt>
                <c:pt idx="201">
                  <c:v>33.040586413917751</c:v>
                </c:pt>
                <c:pt idx="202">
                  <c:v>31.680858447444475</c:v>
                </c:pt>
                <c:pt idx="203">
                  <c:v>30.173801539214161</c:v>
                </c:pt>
                <c:pt idx="204">
                  <c:v>28.798880764588681</c:v>
                </c:pt>
                <c:pt idx="205">
                  <c:v>26.563821990809391</c:v>
                </c:pt>
                <c:pt idx="206">
                  <c:v>24.913843299960924</c:v>
                </c:pt>
                <c:pt idx="207">
                  <c:v>22.713562940177862</c:v>
                </c:pt>
                <c:pt idx="208">
                  <c:v>18.678275784367731</c:v>
                </c:pt>
                <c:pt idx="209">
                  <c:v>17.198817925445606</c:v>
                </c:pt>
                <c:pt idx="210">
                  <c:v>15.62226673920547</c:v>
                </c:pt>
                <c:pt idx="211">
                  <c:v>14.09030847677835</c:v>
                </c:pt>
                <c:pt idx="212">
                  <c:v>14.865946496412267</c:v>
                </c:pt>
                <c:pt idx="213">
                  <c:v>15.091981349143992</c:v>
                </c:pt>
                <c:pt idx="214">
                  <c:v>14.472339113993147</c:v>
                </c:pt>
                <c:pt idx="215">
                  <c:v>14.143170198409637</c:v>
                </c:pt>
                <c:pt idx="216">
                  <c:v>13.638382787386387</c:v>
                </c:pt>
                <c:pt idx="217">
                  <c:v>12.708572403024796</c:v>
                </c:pt>
                <c:pt idx="218">
                  <c:v>11.540903479498521</c:v>
                </c:pt>
                <c:pt idx="219">
                  <c:v>8.1608822434069275</c:v>
                </c:pt>
                <c:pt idx="220">
                  <c:v>5.2167211083702592</c:v>
                </c:pt>
                <c:pt idx="221">
                  <c:v>2.8335113215834977</c:v>
                </c:pt>
              </c:numCache>
            </c:numRef>
          </c:val>
        </c:ser>
        <c:marker val="1"/>
        <c:axId val="153155456"/>
        <c:axId val="153136512"/>
      </c:lineChart>
      <c:catAx>
        <c:axId val="153079168"/>
        <c:scaling>
          <c:orientation val="minMax"/>
        </c:scaling>
        <c:axPos val="b"/>
        <c:tickLblPos val="nextTo"/>
        <c:crossAx val="153089152"/>
        <c:crosses val="autoZero"/>
        <c:auto val="1"/>
        <c:lblAlgn val="ctr"/>
        <c:lblOffset val="100"/>
      </c:catAx>
      <c:valAx>
        <c:axId val="153089152"/>
        <c:scaling>
          <c:orientation val="minMax"/>
        </c:scaling>
        <c:axPos val="l"/>
        <c:majorGridlines/>
        <c:numFmt formatCode="0" sourceLinked="0"/>
        <c:tickLblPos val="nextTo"/>
        <c:crossAx val="153079168"/>
        <c:crosses val="autoZero"/>
        <c:crossBetween val="between"/>
      </c:valAx>
      <c:valAx>
        <c:axId val="153136512"/>
        <c:scaling>
          <c:orientation val="minMax"/>
        </c:scaling>
        <c:axPos val="r"/>
        <c:numFmt formatCode="0" sourceLinked="0"/>
        <c:tickLblPos val="nextTo"/>
        <c:crossAx val="153155456"/>
        <c:crosses val="max"/>
        <c:crossBetween val="between"/>
      </c:valAx>
      <c:catAx>
        <c:axId val="153155456"/>
        <c:scaling>
          <c:orientation val="minMax"/>
        </c:scaling>
        <c:delete val="1"/>
        <c:axPos val="b"/>
        <c:tickLblPos val="none"/>
        <c:crossAx val="153136512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v-SE"/>
  <c:chart>
    <c:plotArea>
      <c:layout/>
      <c:lineChart>
        <c:grouping val="standard"/>
        <c:ser>
          <c:idx val="0"/>
          <c:order val="0"/>
          <c:tx>
            <c:v>velH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'10-47-56'!$G$3:$G$224</c:f>
              <c:numCache>
                <c:formatCode>0</c:formatCode>
                <c:ptCount val="222"/>
                <c:pt idx="0">
                  <c:v>129.97157233795394</c:v>
                </c:pt>
                <c:pt idx="1">
                  <c:v>126.7267191400456</c:v>
                </c:pt>
                <c:pt idx="2">
                  <c:v>123.33460244392083</c:v>
                </c:pt>
                <c:pt idx="3">
                  <c:v>121.3691295181769</c:v>
                </c:pt>
                <c:pt idx="4">
                  <c:v>120.96545344849496</c:v>
                </c:pt>
                <c:pt idx="5">
                  <c:v>120.9319360301488</c:v>
                </c:pt>
                <c:pt idx="6">
                  <c:v>121.04870854329674</c:v>
                </c:pt>
                <c:pt idx="7">
                  <c:v>119.12884668290883</c:v>
                </c:pt>
                <c:pt idx="8">
                  <c:v>119.03780925403491</c:v>
                </c:pt>
                <c:pt idx="9">
                  <c:v>119.75598991282233</c:v>
                </c:pt>
                <c:pt idx="10">
                  <c:v>119.92343537440877</c:v>
                </c:pt>
                <c:pt idx="11">
                  <c:v>120.7136044031492</c:v>
                </c:pt>
                <c:pt idx="12">
                  <c:v>121.61364818144385</c:v>
                </c:pt>
                <c:pt idx="13">
                  <c:v>121.78380719947953</c:v>
                </c:pt>
                <c:pt idx="14">
                  <c:v>122.07311763037757</c:v>
                </c:pt>
                <c:pt idx="15">
                  <c:v>123.85632973732106</c:v>
                </c:pt>
                <c:pt idx="16">
                  <c:v>125.17665910224639</c:v>
                </c:pt>
                <c:pt idx="17">
                  <c:v>126.0749605591848</c:v>
                </c:pt>
                <c:pt idx="18">
                  <c:v>126.79206643950559</c:v>
                </c:pt>
                <c:pt idx="19">
                  <c:v>127.64896427311896</c:v>
                </c:pt>
                <c:pt idx="20">
                  <c:v>128.36855446720588</c:v>
                </c:pt>
                <c:pt idx="21">
                  <c:v>130.00258471276638</c:v>
                </c:pt>
                <c:pt idx="22">
                  <c:v>131.41785577310262</c:v>
                </c:pt>
                <c:pt idx="23">
                  <c:v>133.29728609390364</c:v>
                </c:pt>
                <c:pt idx="24">
                  <c:v>134.30036789227347</c:v>
                </c:pt>
                <c:pt idx="25">
                  <c:v>134.28512483518048</c:v>
                </c:pt>
                <c:pt idx="26">
                  <c:v>135.32327693342341</c:v>
                </c:pt>
                <c:pt idx="27">
                  <c:v>136.43610548531498</c:v>
                </c:pt>
                <c:pt idx="28">
                  <c:v>138.02796707913944</c:v>
                </c:pt>
                <c:pt idx="29">
                  <c:v>138.45806394717499</c:v>
                </c:pt>
                <c:pt idx="30">
                  <c:v>138.90420278738867</c:v>
                </c:pt>
                <c:pt idx="31">
                  <c:v>139.90321648911436</c:v>
                </c:pt>
                <c:pt idx="32">
                  <c:v>140.49934792731247</c:v>
                </c:pt>
                <c:pt idx="33">
                  <c:v>140.66642413881146</c:v>
                </c:pt>
                <c:pt idx="34">
                  <c:v>140.88932422295167</c:v>
                </c:pt>
                <c:pt idx="35">
                  <c:v>140.28826784874065</c:v>
                </c:pt>
                <c:pt idx="36">
                  <c:v>140.55372353658939</c:v>
                </c:pt>
                <c:pt idx="37">
                  <c:v>141.05618659243558</c:v>
                </c:pt>
                <c:pt idx="38">
                  <c:v>143.27335160454649</c:v>
                </c:pt>
                <c:pt idx="39">
                  <c:v>144.79287717287755</c:v>
                </c:pt>
                <c:pt idx="40">
                  <c:v>146.27451671429304</c:v>
                </c:pt>
                <c:pt idx="41">
                  <c:v>148.51254492466285</c:v>
                </c:pt>
                <c:pt idx="42">
                  <c:v>150.21873012377651</c:v>
                </c:pt>
                <c:pt idx="43">
                  <c:v>151.64692661574122</c:v>
                </c:pt>
                <c:pt idx="44">
                  <c:v>153.05986264203949</c:v>
                </c:pt>
                <c:pt idx="45">
                  <c:v>155.36474333644685</c:v>
                </c:pt>
                <c:pt idx="46">
                  <c:v>156.91845413462369</c:v>
                </c:pt>
                <c:pt idx="47">
                  <c:v>158.52781797526893</c:v>
                </c:pt>
                <c:pt idx="48">
                  <c:v>159.575107532472</c:v>
                </c:pt>
                <c:pt idx="49">
                  <c:v>160.98299169788092</c:v>
                </c:pt>
                <c:pt idx="50">
                  <c:v>162.47645934103807</c:v>
                </c:pt>
                <c:pt idx="51">
                  <c:v>164.3345387920628</c:v>
                </c:pt>
                <c:pt idx="52">
                  <c:v>165.84679566395005</c:v>
                </c:pt>
                <c:pt idx="53">
                  <c:v>167.36122776796302</c:v>
                </c:pt>
                <c:pt idx="54">
                  <c:v>169.10810994154005</c:v>
                </c:pt>
                <c:pt idx="55">
                  <c:v>170.22716008909975</c:v>
                </c:pt>
                <c:pt idx="56">
                  <c:v>172.24418109184413</c:v>
                </c:pt>
                <c:pt idx="57">
                  <c:v>174.13277031047315</c:v>
                </c:pt>
                <c:pt idx="58">
                  <c:v>175.72110379803561</c:v>
                </c:pt>
                <c:pt idx="59">
                  <c:v>177.60151134492071</c:v>
                </c:pt>
                <c:pt idx="60">
                  <c:v>178.590321619062</c:v>
                </c:pt>
                <c:pt idx="61">
                  <c:v>179.72313427046615</c:v>
                </c:pt>
                <c:pt idx="62">
                  <c:v>181.14790774392068</c:v>
                </c:pt>
                <c:pt idx="63">
                  <c:v>182.3645337887825</c:v>
                </c:pt>
                <c:pt idx="64">
                  <c:v>183.37822605751208</c:v>
                </c:pt>
                <c:pt idx="65">
                  <c:v>184.48108585977045</c:v>
                </c:pt>
                <c:pt idx="66">
                  <c:v>185.36311905014981</c:v>
                </c:pt>
                <c:pt idx="67">
                  <c:v>186.36707662030867</c:v>
                </c:pt>
                <c:pt idx="68">
                  <c:v>187.59869082698845</c:v>
                </c:pt>
                <c:pt idx="69">
                  <c:v>188.40561392909714</c:v>
                </c:pt>
                <c:pt idx="70">
                  <c:v>189.37199049489871</c:v>
                </c:pt>
                <c:pt idx="71">
                  <c:v>191.32531834548195</c:v>
                </c:pt>
                <c:pt idx="72">
                  <c:v>192.89960323442867</c:v>
                </c:pt>
                <c:pt idx="73">
                  <c:v>194.15507571011375</c:v>
                </c:pt>
                <c:pt idx="74">
                  <c:v>194.92048988241331</c:v>
                </c:pt>
                <c:pt idx="75">
                  <c:v>195.845188166572</c:v>
                </c:pt>
                <c:pt idx="76">
                  <c:v>196.80333070352239</c:v>
                </c:pt>
                <c:pt idx="77">
                  <c:v>197.37095458045491</c:v>
                </c:pt>
                <c:pt idx="78">
                  <c:v>197.67261698070374</c:v>
                </c:pt>
                <c:pt idx="79">
                  <c:v>197.52144641025694</c:v>
                </c:pt>
                <c:pt idx="80">
                  <c:v>196.24105552100966</c:v>
                </c:pt>
                <c:pt idx="81">
                  <c:v>194.9358115893537</c:v>
                </c:pt>
                <c:pt idx="82">
                  <c:v>193.31293730115428</c:v>
                </c:pt>
                <c:pt idx="83">
                  <c:v>193.00830179036342</c:v>
                </c:pt>
                <c:pt idx="84">
                  <c:v>193.11452320320191</c:v>
                </c:pt>
                <c:pt idx="85">
                  <c:v>193.80294982275169</c:v>
                </c:pt>
                <c:pt idx="86">
                  <c:v>194.4849747615481</c:v>
                </c:pt>
                <c:pt idx="87">
                  <c:v>195.0906664297398</c:v>
                </c:pt>
                <c:pt idx="88">
                  <c:v>195.03029155492746</c:v>
                </c:pt>
                <c:pt idx="89">
                  <c:v>194.97634564223426</c:v>
                </c:pt>
                <c:pt idx="90">
                  <c:v>195.26635286193064</c:v>
                </c:pt>
                <c:pt idx="91">
                  <c:v>195.80469167004148</c:v>
                </c:pt>
                <c:pt idx="92">
                  <c:v>196.10413401047924</c:v>
                </c:pt>
                <c:pt idx="93">
                  <c:v>197.38151293370913</c:v>
                </c:pt>
                <c:pt idx="94">
                  <c:v>198.27490479634585</c:v>
                </c:pt>
                <c:pt idx="95">
                  <c:v>198.47887545026046</c:v>
                </c:pt>
                <c:pt idx="96">
                  <c:v>198.46772573897249</c:v>
                </c:pt>
                <c:pt idx="97">
                  <c:v>199.39882968563279</c:v>
                </c:pt>
                <c:pt idx="98">
                  <c:v>201.25402920687083</c:v>
                </c:pt>
                <c:pt idx="99">
                  <c:v>202.44237900202614</c:v>
                </c:pt>
                <c:pt idx="100">
                  <c:v>202.82333865706875</c:v>
                </c:pt>
                <c:pt idx="101">
                  <c:v>202.6916053515784</c:v>
                </c:pt>
                <c:pt idx="102">
                  <c:v>202.58951621443791</c:v>
                </c:pt>
                <c:pt idx="103">
                  <c:v>202.24752901333557</c:v>
                </c:pt>
                <c:pt idx="104">
                  <c:v>202.20217779242637</c:v>
                </c:pt>
                <c:pt idx="105">
                  <c:v>202.15347630946147</c:v>
                </c:pt>
                <c:pt idx="106">
                  <c:v>201.60650882350004</c:v>
                </c:pt>
                <c:pt idx="107">
                  <c:v>200.91729008723965</c:v>
                </c:pt>
                <c:pt idx="108">
                  <c:v>199.81592044679525</c:v>
                </c:pt>
                <c:pt idx="109">
                  <c:v>199.49599358383119</c:v>
                </c:pt>
                <c:pt idx="110">
                  <c:v>199.39431245649911</c:v>
                </c:pt>
                <c:pt idx="111">
                  <c:v>198.80028269597605</c:v>
                </c:pt>
                <c:pt idx="112">
                  <c:v>198.88321775353495</c:v>
                </c:pt>
                <c:pt idx="113">
                  <c:v>199.58003242809639</c:v>
                </c:pt>
                <c:pt idx="114">
                  <c:v>199.86963002917679</c:v>
                </c:pt>
                <c:pt idx="115">
                  <c:v>200.97652197209504</c:v>
                </c:pt>
                <c:pt idx="116">
                  <c:v>201.57331001896063</c:v>
                </c:pt>
                <c:pt idx="117">
                  <c:v>200.91303599318786</c:v>
                </c:pt>
                <c:pt idx="118">
                  <c:v>199.613932820332</c:v>
                </c:pt>
                <c:pt idx="119">
                  <c:v>200.16493698947374</c:v>
                </c:pt>
                <c:pt idx="120">
                  <c:v>200.46860131202595</c:v>
                </c:pt>
                <c:pt idx="121">
                  <c:v>200.95023933302491</c:v>
                </c:pt>
                <c:pt idx="122">
                  <c:v>201.233266792546</c:v>
                </c:pt>
                <c:pt idx="123">
                  <c:v>201.13744148715821</c:v>
                </c:pt>
                <c:pt idx="124">
                  <c:v>201.17487067722948</c:v>
                </c:pt>
                <c:pt idx="125">
                  <c:v>201.18349009797001</c:v>
                </c:pt>
                <c:pt idx="126">
                  <c:v>200.0796248697003</c:v>
                </c:pt>
                <c:pt idx="127">
                  <c:v>200.12566755916146</c:v>
                </c:pt>
                <c:pt idx="128">
                  <c:v>199.86082749753641</c:v>
                </c:pt>
                <c:pt idx="129">
                  <c:v>199.87295965187485</c:v>
                </c:pt>
                <c:pt idx="130">
                  <c:v>199.01097609930966</c:v>
                </c:pt>
                <c:pt idx="131">
                  <c:v>199.17434581792907</c:v>
                </c:pt>
                <c:pt idx="132">
                  <c:v>199.22349259060789</c:v>
                </c:pt>
                <c:pt idx="133">
                  <c:v>198.94345262913279</c:v>
                </c:pt>
                <c:pt idx="134">
                  <c:v>198.55152749853119</c:v>
                </c:pt>
                <c:pt idx="135">
                  <c:v>198.76951013674102</c:v>
                </c:pt>
                <c:pt idx="136">
                  <c:v>198.53429148638281</c:v>
                </c:pt>
                <c:pt idx="137">
                  <c:v>197.9941646412843</c:v>
                </c:pt>
                <c:pt idx="138">
                  <c:v>197.94328860560034</c:v>
                </c:pt>
                <c:pt idx="139">
                  <c:v>196.94627100811022</c:v>
                </c:pt>
                <c:pt idx="140">
                  <c:v>195.99358169082987</c:v>
                </c:pt>
                <c:pt idx="141">
                  <c:v>195.56841205061721</c:v>
                </c:pt>
                <c:pt idx="142">
                  <c:v>194.28206089086044</c:v>
                </c:pt>
                <c:pt idx="143">
                  <c:v>193.21670871847496</c:v>
                </c:pt>
                <c:pt idx="144">
                  <c:v>193.04929762109987</c:v>
                </c:pt>
                <c:pt idx="145">
                  <c:v>193.32600996244662</c:v>
                </c:pt>
                <c:pt idx="146">
                  <c:v>192.88982082007334</c:v>
                </c:pt>
                <c:pt idx="147">
                  <c:v>192.9302641267046</c:v>
                </c:pt>
                <c:pt idx="148">
                  <c:v>192.75128189457004</c:v>
                </c:pt>
                <c:pt idx="149">
                  <c:v>192.38570096553434</c:v>
                </c:pt>
                <c:pt idx="150">
                  <c:v>191.19220067774731</c:v>
                </c:pt>
                <c:pt idx="151">
                  <c:v>190.88429270110205</c:v>
                </c:pt>
                <c:pt idx="152">
                  <c:v>190.95701086893877</c:v>
                </c:pt>
                <c:pt idx="153">
                  <c:v>190.85496000890311</c:v>
                </c:pt>
                <c:pt idx="154">
                  <c:v>190.25562681823632</c:v>
                </c:pt>
                <c:pt idx="155">
                  <c:v>189.99920441938701</c:v>
                </c:pt>
                <c:pt idx="156">
                  <c:v>189.53950427285602</c:v>
                </c:pt>
                <c:pt idx="157">
                  <c:v>189.55548312829148</c:v>
                </c:pt>
                <c:pt idx="158">
                  <c:v>189.53697775368266</c:v>
                </c:pt>
                <c:pt idx="159">
                  <c:v>189.20192070906683</c:v>
                </c:pt>
                <c:pt idx="160">
                  <c:v>189.20730116990728</c:v>
                </c:pt>
                <c:pt idx="161">
                  <c:v>188.34534621274824</c:v>
                </c:pt>
                <c:pt idx="162">
                  <c:v>187.97705685535138</c:v>
                </c:pt>
                <c:pt idx="163">
                  <c:v>187.8214086199973</c:v>
                </c:pt>
                <c:pt idx="164">
                  <c:v>187.41471724493783</c:v>
                </c:pt>
                <c:pt idx="165">
                  <c:v>187.63917292505852</c:v>
                </c:pt>
                <c:pt idx="166">
                  <c:v>186.92643896463659</c:v>
                </c:pt>
                <c:pt idx="167">
                  <c:v>186.61824991141677</c:v>
                </c:pt>
                <c:pt idx="168">
                  <c:v>186.01317050144596</c:v>
                </c:pt>
                <c:pt idx="169">
                  <c:v>186.09799483068053</c:v>
                </c:pt>
                <c:pt idx="170">
                  <c:v>186.16723617221157</c:v>
                </c:pt>
                <c:pt idx="171">
                  <c:v>186.67077191676259</c:v>
                </c:pt>
                <c:pt idx="172">
                  <c:v>185.92751284304322</c:v>
                </c:pt>
                <c:pt idx="173">
                  <c:v>184.19796741549564</c:v>
                </c:pt>
                <c:pt idx="174">
                  <c:v>181.23658955078579</c:v>
                </c:pt>
                <c:pt idx="175">
                  <c:v>177.98630823745967</c:v>
                </c:pt>
                <c:pt idx="176">
                  <c:v>175.44533056197307</c:v>
                </c:pt>
                <c:pt idx="177">
                  <c:v>172.42001095000546</c:v>
                </c:pt>
                <c:pt idx="178">
                  <c:v>169.11269279388819</c:v>
                </c:pt>
                <c:pt idx="179">
                  <c:v>165.79151100101598</c:v>
                </c:pt>
                <c:pt idx="180">
                  <c:v>162.12464005202912</c:v>
                </c:pt>
                <c:pt idx="181">
                  <c:v>158.64684947391802</c:v>
                </c:pt>
                <c:pt idx="182">
                  <c:v>155.3643554487322</c:v>
                </c:pt>
                <c:pt idx="183">
                  <c:v>152.08099762955266</c:v>
                </c:pt>
                <c:pt idx="184">
                  <c:v>148.77514727937594</c:v>
                </c:pt>
                <c:pt idx="185">
                  <c:v>145.40382619449878</c:v>
                </c:pt>
                <c:pt idx="186">
                  <c:v>142.20123037442397</c:v>
                </c:pt>
                <c:pt idx="187">
                  <c:v>139.15074369905466</c:v>
                </c:pt>
                <c:pt idx="188">
                  <c:v>135.41117543245829</c:v>
                </c:pt>
                <c:pt idx="189">
                  <c:v>132.40038966710031</c:v>
                </c:pt>
                <c:pt idx="190">
                  <c:v>127.88640121607925</c:v>
                </c:pt>
                <c:pt idx="191">
                  <c:v>124.60694202170278</c:v>
                </c:pt>
                <c:pt idx="192">
                  <c:v>121.94481774966906</c:v>
                </c:pt>
                <c:pt idx="193">
                  <c:v>117.16210370251979</c:v>
                </c:pt>
                <c:pt idx="194">
                  <c:v>111.54826994624347</c:v>
                </c:pt>
                <c:pt idx="195">
                  <c:v>104.62117812374319</c:v>
                </c:pt>
                <c:pt idx="196">
                  <c:v>100.95326918926401</c:v>
                </c:pt>
                <c:pt idx="197">
                  <c:v>97.405249961180232</c:v>
                </c:pt>
                <c:pt idx="198">
                  <c:v>94.924764229362211</c:v>
                </c:pt>
                <c:pt idx="199">
                  <c:v>91.800543527802702</c:v>
                </c:pt>
                <c:pt idx="200">
                  <c:v>87.059619571877292</c:v>
                </c:pt>
                <c:pt idx="201">
                  <c:v>83.169887723863141</c:v>
                </c:pt>
                <c:pt idx="202">
                  <c:v>77.983221272271138</c:v>
                </c:pt>
                <c:pt idx="203">
                  <c:v>72.56593680233172</c:v>
                </c:pt>
                <c:pt idx="204">
                  <c:v>67.643080355643178</c:v>
                </c:pt>
                <c:pt idx="205">
                  <c:v>60.026780423407686</c:v>
                </c:pt>
                <c:pt idx="206">
                  <c:v>54.544609706184538</c:v>
                </c:pt>
                <c:pt idx="207">
                  <c:v>47.648621386142956</c:v>
                </c:pt>
                <c:pt idx="208">
                  <c:v>37.204044941376999</c:v>
                </c:pt>
                <c:pt idx="209">
                  <c:v>32.949991927161385</c:v>
                </c:pt>
                <c:pt idx="210">
                  <c:v>28.478025212433533</c:v>
                </c:pt>
                <c:pt idx="211">
                  <c:v>24.533016121137653</c:v>
                </c:pt>
                <c:pt idx="212">
                  <c:v>24.749914908944636</c:v>
                </c:pt>
                <c:pt idx="213">
                  <c:v>24.153853853991915</c:v>
                </c:pt>
                <c:pt idx="214">
                  <c:v>22.169979702291119</c:v>
                </c:pt>
                <c:pt idx="215">
                  <c:v>20.601186761931945</c:v>
                </c:pt>
                <c:pt idx="216">
                  <c:v>18.945887152624973</c:v>
                </c:pt>
                <c:pt idx="217">
                  <c:v>16.805523377746972</c:v>
                </c:pt>
                <c:pt idx="218">
                  <c:v>14.525676576325111</c:v>
                </c:pt>
                <c:pt idx="219">
                  <c:v>9.8089265467736073</c:v>
                </c:pt>
                <c:pt idx="220">
                  <c:v>6.0313699936249972</c:v>
                </c:pt>
                <c:pt idx="221">
                  <c:v>3.1520050761380447</c:v>
                </c:pt>
              </c:numCache>
            </c:numRef>
          </c:val>
        </c:ser>
        <c:ser>
          <c:idx val="1"/>
          <c:order val="1"/>
          <c:tx>
            <c:v>velD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'10-47-56'!$H$3:$H$224</c:f>
              <c:numCache>
                <c:formatCode>0</c:formatCode>
                <c:ptCount val="222"/>
                <c:pt idx="0">
                  <c:v>57.204000000000001</c:v>
                </c:pt>
                <c:pt idx="1">
                  <c:v>62.496000000000002</c:v>
                </c:pt>
                <c:pt idx="2">
                  <c:v>67.536000000000001</c:v>
                </c:pt>
                <c:pt idx="3">
                  <c:v>74.052000000000007</c:v>
                </c:pt>
                <c:pt idx="4">
                  <c:v>77.975999999999999</c:v>
                </c:pt>
                <c:pt idx="5">
                  <c:v>81.72</c:v>
                </c:pt>
                <c:pt idx="6">
                  <c:v>85.356000000000009</c:v>
                </c:pt>
                <c:pt idx="7">
                  <c:v>89.352000000000004</c:v>
                </c:pt>
                <c:pt idx="8">
                  <c:v>93.096000000000004</c:v>
                </c:pt>
                <c:pt idx="9">
                  <c:v>97.884</c:v>
                </c:pt>
                <c:pt idx="10">
                  <c:v>102.24</c:v>
                </c:pt>
                <c:pt idx="11">
                  <c:v>106.236</c:v>
                </c:pt>
                <c:pt idx="12">
                  <c:v>110.34</c:v>
                </c:pt>
                <c:pt idx="13">
                  <c:v>114.264</c:v>
                </c:pt>
                <c:pt idx="14">
                  <c:v>118.188</c:v>
                </c:pt>
                <c:pt idx="15">
                  <c:v>121.75200000000001</c:v>
                </c:pt>
                <c:pt idx="16">
                  <c:v>124.884</c:v>
                </c:pt>
                <c:pt idx="17">
                  <c:v>127.908</c:v>
                </c:pt>
                <c:pt idx="18">
                  <c:v>131.22000000000003</c:v>
                </c:pt>
                <c:pt idx="19">
                  <c:v>134.316</c:v>
                </c:pt>
                <c:pt idx="20">
                  <c:v>137.52000000000001</c:v>
                </c:pt>
                <c:pt idx="21">
                  <c:v>140.54400000000001</c:v>
                </c:pt>
                <c:pt idx="22">
                  <c:v>143.42400000000001</c:v>
                </c:pt>
                <c:pt idx="23">
                  <c:v>146.12400000000002</c:v>
                </c:pt>
                <c:pt idx="24">
                  <c:v>148.82400000000001</c:v>
                </c:pt>
                <c:pt idx="25">
                  <c:v>151.41600000000003</c:v>
                </c:pt>
                <c:pt idx="26">
                  <c:v>153.792</c:v>
                </c:pt>
                <c:pt idx="27">
                  <c:v>156.34800000000001</c:v>
                </c:pt>
                <c:pt idx="28">
                  <c:v>158.68799999999999</c:v>
                </c:pt>
                <c:pt idx="29">
                  <c:v>160.66800000000001</c:v>
                </c:pt>
                <c:pt idx="30">
                  <c:v>162.32400000000001</c:v>
                </c:pt>
                <c:pt idx="31">
                  <c:v>163.83599999999998</c:v>
                </c:pt>
                <c:pt idx="32">
                  <c:v>165.20400000000001</c:v>
                </c:pt>
                <c:pt idx="33">
                  <c:v>166.10400000000001</c:v>
                </c:pt>
                <c:pt idx="34">
                  <c:v>166.93199999999999</c:v>
                </c:pt>
                <c:pt idx="35">
                  <c:v>167.61600000000001</c:v>
                </c:pt>
                <c:pt idx="36">
                  <c:v>168.44399999999999</c:v>
                </c:pt>
                <c:pt idx="37">
                  <c:v>169.16400000000002</c:v>
                </c:pt>
                <c:pt idx="38">
                  <c:v>169.77599999999998</c:v>
                </c:pt>
                <c:pt idx="39">
                  <c:v>170.316</c:v>
                </c:pt>
                <c:pt idx="40">
                  <c:v>170.892</c:v>
                </c:pt>
                <c:pt idx="41">
                  <c:v>171.25200000000001</c:v>
                </c:pt>
                <c:pt idx="42">
                  <c:v>171.50400000000002</c:v>
                </c:pt>
                <c:pt idx="43">
                  <c:v>171.756</c:v>
                </c:pt>
                <c:pt idx="44">
                  <c:v>172.07999999999998</c:v>
                </c:pt>
                <c:pt idx="45">
                  <c:v>172.33199999999999</c:v>
                </c:pt>
                <c:pt idx="46">
                  <c:v>172.72799999999998</c:v>
                </c:pt>
                <c:pt idx="47">
                  <c:v>173.376</c:v>
                </c:pt>
                <c:pt idx="48">
                  <c:v>174.096</c:v>
                </c:pt>
                <c:pt idx="49">
                  <c:v>174.816</c:v>
                </c:pt>
                <c:pt idx="50">
                  <c:v>175.536</c:v>
                </c:pt>
                <c:pt idx="51">
                  <c:v>176.07599999999999</c:v>
                </c:pt>
                <c:pt idx="52">
                  <c:v>176.57999999999998</c:v>
                </c:pt>
                <c:pt idx="53">
                  <c:v>177.15600000000001</c:v>
                </c:pt>
                <c:pt idx="54">
                  <c:v>177.62400000000002</c:v>
                </c:pt>
                <c:pt idx="55">
                  <c:v>178.02</c:v>
                </c:pt>
                <c:pt idx="56">
                  <c:v>178.38</c:v>
                </c:pt>
                <c:pt idx="57">
                  <c:v>178.63200000000001</c:v>
                </c:pt>
                <c:pt idx="58">
                  <c:v>178.74</c:v>
                </c:pt>
                <c:pt idx="59">
                  <c:v>178.70400000000001</c:v>
                </c:pt>
                <c:pt idx="60">
                  <c:v>178.70400000000001</c:v>
                </c:pt>
                <c:pt idx="61">
                  <c:v>178.74</c:v>
                </c:pt>
                <c:pt idx="62">
                  <c:v>178.70400000000001</c:v>
                </c:pt>
                <c:pt idx="63">
                  <c:v>178.81200000000001</c:v>
                </c:pt>
                <c:pt idx="64">
                  <c:v>179.02799999999999</c:v>
                </c:pt>
                <c:pt idx="65">
                  <c:v>179.352</c:v>
                </c:pt>
                <c:pt idx="66">
                  <c:v>179.71200000000002</c:v>
                </c:pt>
                <c:pt idx="67">
                  <c:v>180.21600000000001</c:v>
                </c:pt>
                <c:pt idx="68">
                  <c:v>180.792</c:v>
                </c:pt>
                <c:pt idx="69">
                  <c:v>181.548</c:v>
                </c:pt>
                <c:pt idx="70">
                  <c:v>182.232</c:v>
                </c:pt>
                <c:pt idx="71">
                  <c:v>182.55600000000001</c:v>
                </c:pt>
                <c:pt idx="72">
                  <c:v>182.59200000000001</c:v>
                </c:pt>
                <c:pt idx="73">
                  <c:v>182.44800000000001</c:v>
                </c:pt>
                <c:pt idx="74">
                  <c:v>182.48400000000001</c:v>
                </c:pt>
                <c:pt idx="75">
                  <c:v>182.232</c:v>
                </c:pt>
                <c:pt idx="76">
                  <c:v>181.90800000000002</c:v>
                </c:pt>
                <c:pt idx="77">
                  <c:v>181.36800000000002</c:v>
                </c:pt>
                <c:pt idx="78">
                  <c:v>180.50400000000002</c:v>
                </c:pt>
                <c:pt idx="79">
                  <c:v>179.71200000000002</c:v>
                </c:pt>
                <c:pt idx="80">
                  <c:v>178.81200000000001</c:v>
                </c:pt>
                <c:pt idx="81">
                  <c:v>177.62400000000002</c:v>
                </c:pt>
                <c:pt idx="82">
                  <c:v>176.43600000000001</c:v>
                </c:pt>
                <c:pt idx="83">
                  <c:v>175.35599999999999</c:v>
                </c:pt>
                <c:pt idx="84">
                  <c:v>174.6</c:v>
                </c:pt>
                <c:pt idx="85">
                  <c:v>174.06</c:v>
                </c:pt>
                <c:pt idx="86">
                  <c:v>173.44800000000001</c:v>
                </c:pt>
                <c:pt idx="87">
                  <c:v>172.90800000000002</c:v>
                </c:pt>
                <c:pt idx="88">
                  <c:v>172.44</c:v>
                </c:pt>
                <c:pt idx="89">
                  <c:v>171.72000000000003</c:v>
                </c:pt>
                <c:pt idx="90">
                  <c:v>171.18</c:v>
                </c:pt>
                <c:pt idx="91">
                  <c:v>170.67599999999999</c:v>
                </c:pt>
                <c:pt idx="92">
                  <c:v>170.208</c:v>
                </c:pt>
                <c:pt idx="93">
                  <c:v>169.88399999999999</c:v>
                </c:pt>
                <c:pt idx="94">
                  <c:v>169.70400000000001</c:v>
                </c:pt>
                <c:pt idx="95">
                  <c:v>169.84800000000001</c:v>
                </c:pt>
                <c:pt idx="96">
                  <c:v>170.17200000000003</c:v>
                </c:pt>
                <c:pt idx="97">
                  <c:v>170.56800000000001</c:v>
                </c:pt>
                <c:pt idx="98">
                  <c:v>171</c:v>
                </c:pt>
                <c:pt idx="99">
                  <c:v>171.036</c:v>
                </c:pt>
                <c:pt idx="100">
                  <c:v>170.85599999999999</c:v>
                </c:pt>
                <c:pt idx="101">
                  <c:v>170.56800000000001</c:v>
                </c:pt>
                <c:pt idx="102">
                  <c:v>169.99199999999999</c:v>
                </c:pt>
                <c:pt idx="103">
                  <c:v>169.38</c:v>
                </c:pt>
                <c:pt idx="104">
                  <c:v>168.58799999999999</c:v>
                </c:pt>
                <c:pt idx="105">
                  <c:v>167.61600000000001</c:v>
                </c:pt>
                <c:pt idx="106">
                  <c:v>166.89600000000002</c:v>
                </c:pt>
                <c:pt idx="107">
                  <c:v>166.06800000000001</c:v>
                </c:pt>
                <c:pt idx="108">
                  <c:v>165.24</c:v>
                </c:pt>
                <c:pt idx="109">
                  <c:v>164.73599999999999</c:v>
                </c:pt>
                <c:pt idx="110">
                  <c:v>164.304</c:v>
                </c:pt>
                <c:pt idx="111">
                  <c:v>164.05199999999999</c:v>
                </c:pt>
                <c:pt idx="112">
                  <c:v>163.76400000000001</c:v>
                </c:pt>
                <c:pt idx="113">
                  <c:v>163.62</c:v>
                </c:pt>
                <c:pt idx="114">
                  <c:v>163.62</c:v>
                </c:pt>
                <c:pt idx="115">
                  <c:v>163.04400000000001</c:v>
                </c:pt>
                <c:pt idx="116">
                  <c:v>162.61200000000002</c:v>
                </c:pt>
                <c:pt idx="117">
                  <c:v>162.28800000000001</c:v>
                </c:pt>
                <c:pt idx="118">
                  <c:v>161.892</c:v>
                </c:pt>
                <c:pt idx="119">
                  <c:v>161.46</c:v>
                </c:pt>
                <c:pt idx="120">
                  <c:v>161.208</c:v>
                </c:pt>
                <c:pt idx="121">
                  <c:v>161.06400000000002</c:v>
                </c:pt>
                <c:pt idx="122">
                  <c:v>161.1</c:v>
                </c:pt>
                <c:pt idx="123">
                  <c:v>161.42400000000001</c:v>
                </c:pt>
                <c:pt idx="124">
                  <c:v>162.18</c:v>
                </c:pt>
                <c:pt idx="125">
                  <c:v>162.9</c:v>
                </c:pt>
                <c:pt idx="126">
                  <c:v>163.44</c:v>
                </c:pt>
                <c:pt idx="127">
                  <c:v>163.548</c:v>
                </c:pt>
                <c:pt idx="128">
                  <c:v>163.404</c:v>
                </c:pt>
                <c:pt idx="129">
                  <c:v>163.00800000000001</c:v>
                </c:pt>
                <c:pt idx="130">
                  <c:v>162.39600000000002</c:v>
                </c:pt>
                <c:pt idx="131">
                  <c:v>161.964</c:v>
                </c:pt>
                <c:pt idx="132">
                  <c:v>161.42400000000001</c:v>
                </c:pt>
                <c:pt idx="133">
                  <c:v>160.77599999999998</c:v>
                </c:pt>
                <c:pt idx="134">
                  <c:v>160.12799999999999</c:v>
                </c:pt>
                <c:pt idx="135">
                  <c:v>159.62400000000002</c:v>
                </c:pt>
                <c:pt idx="136">
                  <c:v>159.012</c:v>
                </c:pt>
                <c:pt idx="137">
                  <c:v>158.68799999999999</c:v>
                </c:pt>
                <c:pt idx="138">
                  <c:v>158.184</c:v>
                </c:pt>
                <c:pt idx="139">
                  <c:v>157.536</c:v>
                </c:pt>
                <c:pt idx="140">
                  <c:v>156.6</c:v>
                </c:pt>
                <c:pt idx="141">
                  <c:v>155.52000000000001</c:v>
                </c:pt>
                <c:pt idx="142">
                  <c:v>154.36800000000002</c:v>
                </c:pt>
                <c:pt idx="143">
                  <c:v>153.25200000000001</c:v>
                </c:pt>
                <c:pt idx="144">
                  <c:v>152.06400000000002</c:v>
                </c:pt>
                <c:pt idx="145">
                  <c:v>151.09200000000001</c:v>
                </c:pt>
                <c:pt idx="146">
                  <c:v>150.084</c:v>
                </c:pt>
                <c:pt idx="147">
                  <c:v>149.364</c:v>
                </c:pt>
                <c:pt idx="148">
                  <c:v>148.608</c:v>
                </c:pt>
                <c:pt idx="149">
                  <c:v>147.636</c:v>
                </c:pt>
                <c:pt idx="150">
                  <c:v>146.376</c:v>
                </c:pt>
                <c:pt idx="151">
                  <c:v>145.62</c:v>
                </c:pt>
                <c:pt idx="152">
                  <c:v>145.11600000000001</c:v>
                </c:pt>
                <c:pt idx="153">
                  <c:v>144.46800000000002</c:v>
                </c:pt>
                <c:pt idx="154">
                  <c:v>143.82000000000002</c:v>
                </c:pt>
                <c:pt idx="155">
                  <c:v>143.352</c:v>
                </c:pt>
                <c:pt idx="156">
                  <c:v>142.84800000000001</c:v>
                </c:pt>
                <c:pt idx="157">
                  <c:v>142.452</c:v>
                </c:pt>
                <c:pt idx="158">
                  <c:v>142.05600000000001</c:v>
                </c:pt>
                <c:pt idx="159">
                  <c:v>141.51600000000002</c:v>
                </c:pt>
                <c:pt idx="160">
                  <c:v>141.048</c:v>
                </c:pt>
                <c:pt idx="161">
                  <c:v>140.57999999999998</c:v>
                </c:pt>
                <c:pt idx="162">
                  <c:v>140.11200000000002</c:v>
                </c:pt>
                <c:pt idx="163">
                  <c:v>139.71600000000001</c:v>
                </c:pt>
                <c:pt idx="164">
                  <c:v>139.17599999999999</c:v>
                </c:pt>
                <c:pt idx="165">
                  <c:v>138.67200000000003</c:v>
                </c:pt>
                <c:pt idx="166">
                  <c:v>138.38399999999999</c:v>
                </c:pt>
                <c:pt idx="167">
                  <c:v>137.988</c:v>
                </c:pt>
                <c:pt idx="168">
                  <c:v>137.77200000000002</c:v>
                </c:pt>
                <c:pt idx="169">
                  <c:v>137.55600000000001</c:v>
                </c:pt>
                <c:pt idx="170">
                  <c:v>137.304</c:v>
                </c:pt>
                <c:pt idx="171">
                  <c:v>137.12400000000002</c:v>
                </c:pt>
                <c:pt idx="172">
                  <c:v>136.97999999999999</c:v>
                </c:pt>
                <c:pt idx="173">
                  <c:v>136.76400000000001</c:v>
                </c:pt>
                <c:pt idx="174">
                  <c:v>136.76400000000001</c:v>
                </c:pt>
                <c:pt idx="175">
                  <c:v>136.26000000000002</c:v>
                </c:pt>
                <c:pt idx="176">
                  <c:v>135.61200000000002</c:v>
                </c:pt>
                <c:pt idx="177">
                  <c:v>134.85599999999999</c:v>
                </c:pt>
                <c:pt idx="178">
                  <c:v>134.1</c:v>
                </c:pt>
                <c:pt idx="179">
                  <c:v>133.30800000000002</c:v>
                </c:pt>
                <c:pt idx="180">
                  <c:v>132.62400000000002</c:v>
                </c:pt>
                <c:pt idx="181">
                  <c:v>132.26400000000001</c:v>
                </c:pt>
                <c:pt idx="182">
                  <c:v>131.83199999999999</c:v>
                </c:pt>
                <c:pt idx="183">
                  <c:v>131.57999999999998</c:v>
                </c:pt>
                <c:pt idx="184">
                  <c:v>131.43600000000001</c:v>
                </c:pt>
                <c:pt idx="185">
                  <c:v>131.328</c:v>
                </c:pt>
                <c:pt idx="186">
                  <c:v>131.11200000000002</c:v>
                </c:pt>
                <c:pt idx="187">
                  <c:v>131.148</c:v>
                </c:pt>
                <c:pt idx="188">
                  <c:v>131.328</c:v>
                </c:pt>
                <c:pt idx="189">
                  <c:v>131.65200000000002</c:v>
                </c:pt>
                <c:pt idx="190">
                  <c:v>131.79599999999999</c:v>
                </c:pt>
                <c:pt idx="191">
                  <c:v>131.94</c:v>
                </c:pt>
                <c:pt idx="192">
                  <c:v>132.19200000000001</c:v>
                </c:pt>
                <c:pt idx="193">
                  <c:v>132.15600000000001</c:v>
                </c:pt>
                <c:pt idx="194">
                  <c:v>132.30000000000001</c:v>
                </c:pt>
                <c:pt idx="195">
                  <c:v>132.37200000000001</c:v>
                </c:pt>
                <c:pt idx="196">
                  <c:v>132.55199999999999</c:v>
                </c:pt>
                <c:pt idx="197">
                  <c:v>131.86800000000002</c:v>
                </c:pt>
                <c:pt idx="198">
                  <c:v>131.328</c:v>
                </c:pt>
                <c:pt idx="199">
                  <c:v>130.608</c:v>
                </c:pt>
                <c:pt idx="200">
                  <c:v>129.34800000000001</c:v>
                </c:pt>
                <c:pt idx="201">
                  <c:v>127.87200000000001</c:v>
                </c:pt>
                <c:pt idx="202">
                  <c:v>126.36000000000001</c:v>
                </c:pt>
                <c:pt idx="203">
                  <c:v>124.81200000000001</c:v>
                </c:pt>
                <c:pt idx="204">
                  <c:v>123.048</c:v>
                </c:pt>
                <c:pt idx="205">
                  <c:v>120.06</c:v>
                </c:pt>
                <c:pt idx="206">
                  <c:v>117.43199999999999</c:v>
                </c:pt>
                <c:pt idx="207">
                  <c:v>113.83200000000001</c:v>
                </c:pt>
                <c:pt idx="208">
                  <c:v>110.05200000000001</c:v>
                </c:pt>
                <c:pt idx="209">
                  <c:v>106.452</c:v>
                </c:pt>
                <c:pt idx="210">
                  <c:v>101.84399999999999</c:v>
                </c:pt>
                <c:pt idx="211">
                  <c:v>97.74</c:v>
                </c:pt>
                <c:pt idx="212">
                  <c:v>93.24</c:v>
                </c:pt>
                <c:pt idx="213">
                  <c:v>89.567999999999998</c:v>
                </c:pt>
                <c:pt idx="214">
                  <c:v>85.896000000000001</c:v>
                </c:pt>
                <c:pt idx="215">
                  <c:v>81.756</c:v>
                </c:pt>
                <c:pt idx="216">
                  <c:v>78.084000000000003</c:v>
                </c:pt>
                <c:pt idx="217">
                  <c:v>74.52</c:v>
                </c:pt>
                <c:pt idx="218">
                  <c:v>71.13600000000001</c:v>
                </c:pt>
                <c:pt idx="219">
                  <c:v>68.400000000000006</c:v>
                </c:pt>
                <c:pt idx="220">
                  <c:v>66.06</c:v>
                </c:pt>
                <c:pt idx="221">
                  <c:v>63.684000000000005</c:v>
                </c:pt>
              </c:numCache>
            </c:numRef>
          </c:val>
        </c:ser>
        <c:marker val="1"/>
        <c:axId val="151273856"/>
        <c:axId val="151275392"/>
      </c:lineChart>
      <c:lineChart>
        <c:grouping val="standard"/>
        <c:ser>
          <c:idx val="2"/>
          <c:order val="2"/>
          <c:tx>
            <c:v>Glide</c:v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'10-47-56'!$J$3:$J$224</c:f>
              <c:numCache>
                <c:formatCode>0.000</c:formatCode>
                <c:ptCount val="222"/>
                <c:pt idx="0">
                  <c:v>2.2720713995167112</c:v>
                </c:pt>
                <c:pt idx="1">
                  <c:v>2.0277572827068227</c:v>
                </c:pt>
                <c:pt idx="2">
                  <c:v>1.826205319295203</c:v>
                </c:pt>
                <c:pt idx="3">
                  <c:v>1.6389716620506791</c:v>
                </c:pt>
                <c:pt idx="4">
                  <c:v>1.5513164749217061</c:v>
                </c:pt>
                <c:pt idx="5">
                  <c:v>1.479832795278375</c:v>
                </c:pt>
                <c:pt idx="6">
                  <c:v>1.4181628537337354</c:v>
                </c:pt>
                <c:pt idx="7">
                  <c:v>1.333253275616761</c:v>
                </c:pt>
                <c:pt idx="8">
                  <c:v>1.2786565400665433</c:v>
                </c:pt>
                <c:pt idx="9">
                  <c:v>1.2234480600795057</c:v>
                </c:pt>
                <c:pt idx="10">
                  <c:v>1.1729600486542329</c:v>
                </c:pt>
                <c:pt idx="11">
                  <c:v>1.1362777627466132</c:v>
                </c:pt>
                <c:pt idx="12">
                  <c:v>1.1021719066652516</c:v>
                </c:pt>
                <c:pt idx="13">
                  <c:v>1.0658108170506855</c:v>
                </c:pt>
                <c:pt idx="14">
                  <c:v>1.0328723527801262</c:v>
                </c:pt>
                <c:pt idx="15">
                  <c:v>1.0172837385613465</c:v>
                </c:pt>
                <c:pt idx="16">
                  <c:v>1.0023434475372857</c:v>
                </c:pt>
                <c:pt idx="17">
                  <c:v>0.98566907901917633</c:v>
                </c:pt>
                <c:pt idx="18">
                  <c:v>0.96625565035440908</c:v>
                </c:pt>
                <c:pt idx="19">
                  <c:v>0.95036305632328955</c:v>
                </c:pt>
                <c:pt idx="20">
                  <c:v>0.93345371194885018</c:v>
                </c:pt>
                <c:pt idx="21">
                  <c:v>0.92499562210244746</c:v>
                </c:pt>
                <c:pt idx="22">
                  <c:v>0.9162891550445017</c:v>
                </c:pt>
                <c:pt idx="23">
                  <c:v>0.91222034774509053</c:v>
                </c:pt>
                <c:pt idx="24">
                  <c:v>0.90241068572457039</c:v>
                </c:pt>
                <c:pt idx="25">
                  <c:v>0.8868621865270544</c:v>
                </c:pt>
                <c:pt idx="26">
                  <c:v>0.87991102874937199</c:v>
                </c:pt>
                <c:pt idx="27">
                  <c:v>0.87264375294416918</c:v>
                </c:pt>
                <c:pt idx="28">
                  <c:v>0.8698072133944561</c:v>
                </c:pt>
                <c:pt idx="29">
                  <c:v>0.86176503066680976</c:v>
                </c:pt>
                <c:pt idx="30">
                  <c:v>0.85572190672598425</c:v>
                </c:pt>
                <c:pt idx="31">
                  <c:v>0.85392231554184894</c:v>
                </c:pt>
                <c:pt idx="32">
                  <c:v>0.85045972208489184</c:v>
                </c:pt>
                <c:pt idx="33">
                  <c:v>0.84685753587397927</c:v>
                </c:pt>
                <c:pt idx="34">
                  <c:v>0.84399230958085736</c:v>
                </c:pt>
                <c:pt idx="35">
                  <c:v>0.83696227000250956</c:v>
                </c:pt>
                <c:pt idx="36">
                  <c:v>0.83442404322261043</c:v>
                </c:pt>
                <c:pt idx="37">
                  <c:v>0.83384281875833843</c:v>
                </c:pt>
                <c:pt idx="38">
                  <c:v>0.84389637878467216</c:v>
                </c:pt>
                <c:pt idx="39">
                  <c:v>0.85014254193896965</c:v>
                </c:pt>
                <c:pt idx="40">
                  <c:v>0.8559471286794762</c:v>
                </c:pt>
                <c:pt idx="41">
                  <c:v>0.86721641163118002</c:v>
                </c:pt>
                <c:pt idx="42">
                  <c:v>0.87589053388711924</c:v>
                </c:pt>
                <c:pt idx="43">
                  <c:v>0.88292069340076162</c:v>
                </c:pt>
                <c:pt idx="44">
                  <c:v>0.88946921572547366</c:v>
                </c:pt>
                <c:pt idx="45">
                  <c:v>0.90154320344710703</c:v>
                </c:pt>
                <c:pt idx="46">
                  <c:v>0.90847143563651356</c:v>
                </c:pt>
                <c:pt idx="47">
                  <c:v>0.91435849238227274</c:v>
                </c:pt>
                <c:pt idx="48">
                  <c:v>0.91659261288296112</c:v>
                </c:pt>
                <c:pt idx="49">
                  <c:v>0.92087103982404883</c:v>
                </c:pt>
                <c:pt idx="50">
                  <c:v>0.9256019240556812</c:v>
                </c:pt>
                <c:pt idx="51">
                  <c:v>0.93331594761388725</c:v>
                </c:pt>
                <c:pt idx="52">
                  <c:v>0.93921619472165629</c:v>
                </c:pt>
                <c:pt idx="53">
                  <c:v>0.94471103303282422</c:v>
                </c:pt>
                <c:pt idx="54">
                  <c:v>0.95205664742118201</c:v>
                </c:pt>
                <c:pt idx="55">
                  <c:v>0.95622491904898188</c:v>
                </c:pt>
                <c:pt idx="56">
                  <c:v>0.9656025400372471</c:v>
                </c:pt>
                <c:pt idx="57">
                  <c:v>0.97481285721748145</c:v>
                </c:pt>
                <c:pt idx="58">
                  <c:v>0.98311012531070607</c:v>
                </c:pt>
                <c:pt idx="59">
                  <c:v>0.99383064366170148</c:v>
                </c:pt>
                <c:pt idx="60">
                  <c:v>0.99936387332718901</c:v>
                </c:pt>
                <c:pt idx="61">
                  <c:v>1.0055003595751715</c:v>
                </c:pt>
                <c:pt idx="62">
                  <c:v>1.0136757305036299</c:v>
                </c:pt>
                <c:pt idx="63">
                  <c:v>1.0198674238238066</c:v>
                </c:pt>
                <c:pt idx="64">
                  <c:v>1.02429913788632</c:v>
                </c:pt>
                <c:pt idx="65">
                  <c:v>1.0285978737888088</c:v>
                </c:pt>
                <c:pt idx="66">
                  <c:v>1.0314454185037716</c:v>
                </c:pt>
                <c:pt idx="67">
                  <c:v>1.0341316898627684</c:v>
                </c:pt>
                <c:pt idx="68">
                  <c:v>1.03764929215335</c:v>
                </c:pt>
                <c:pt idx="69">
                  <c:v>1.0377730072988804</c:v>
                </c:pt>
                <c:pt idx="70">
                  <c:v>1.0391807722842241</c:v>
                </c:pt>
                <c:pt idx="71">
                  <c:v>1.0480363195155564</c:v>
                </c:pt>
                <c:pt idx="72">
                  <c:v>1.0564515599502096</c:v>
                </c:pt>
                <c:pt idx="73">
                  <c:v>1.0641666431537411</c:v>
                </c:pt>
                <c:pt idx="74">
                  <c:v>1.0681511249337656</c:v>
                </c:pt>
                <c:pt idx="75">
                  <c:v>1.0747025119988367</c:v>
                </c:pt>
                <c:pt idx="76">
                  <c:v>1.0818838682384633</c:v>
                </c:pt>
                <c:pt idx="77">
                  <c:v>1.0882347193576314</c:v>
                </c:pt>
                <c:pt idx="78">
                  <c:v>1.0951148837737874</c:v>
                </c:pt>
                <c:pt idx="79">
                  <c:v>1.0990999288320029</c:v>
                </c:pt>
                <c:pt idx="80">
                  <c:v>1.097471397451008</c:v>
                </c:pt>
                <c:pt idx="81">
                  <c:v>1.097463245897816</c:v>
                </c:pt>
                <c:pt idx="82">
                  <c:v>1.0956547263662419</c:v>
                </c:pt>
                <c:pt idx="83">
                  <c:v>1.1006655135288408</c:v>
                </c:pt>
                <c:pt idx="84">
                  <c:v>1.1060396517938254</c:v>
                </c:pt>
                <c:pt idx="85">
                  <c:v>1.1134261164124537</c:v>
                </c:pt>
                <c:pt idx="86">
                  <c:v>1.1212869261193448</c:v>
                </c:pt>
                <c:pt idx="87">
                  <c:v>1.1282917298779684</c:v>
                </c:pt>
                <c:pt idx="88">
                  <c:v>1.1310037784442557</c:v>
                </c:pt>
                <c:pt idx="89">
                  <c:v>1.1354317822165982</c:v>
                </c:pt>
                <c:pt idx="90">
                  <c:v>1.1407077512672663</c:v>
                </c:pt>
                <c:pt idx="91">
                  <c:v>1.1472303760929567</c:v>
                </c:pt>
                <c:pt idx="92">
                  <c:v>1.1521440473448912</c:v>
                </c:pt>
                <c:pt idx="93">
                  <c:v>1.1618605220839464</c:v>
                </c:pt>
                <c:pt idx="94">
                  <c:v>1.1683572856052058</c:v>
                </c:pt>
                <c:pt idx="95">
                  <c:v>1.1685676337093192</c:v>
                </c:pt>
                <c:pt idx="96">
                  <c:v>1.1662772121087632</c:v>
                </c:pt>
                <c:pt idx="97">
                  <c:v>1.1690283622111579</c:v>
                </c:pt>
                <c:pt idx="98">
                  <c:v>1.1769241474086014</c:v>
                </c:pt>
                <c:pt idx="99">
                  <c:v>1.1836243773359185</c:v>
                </c:pt>
                <c:pt idx="100">
                  <c:v>1.1871010597056513</c:v>
                </c:pt>
                <c:pt idx="101">
                  <c:v>1.1883331301978002</c:v>
                </c:pt>
                <c:pt idx="102">
                  <c:v>1.1917591193376036</c:v>
                </c:pt>
                <c:pt idx="103">
                  <c:v>1.1940461035147927</c:v>
                </c:pt>
                <c:pt idx="104">
                  <c:v>1.1993865387360096</c:v>
                </c:pt>
                <c:pt idx="105">
                  <c:v>1.2060511902769513</c:v>
                </c:pt>
                <c:pt idx="106">
                  <c:v>1.2079768767585803</c:v>
                </c:pt>
                <c:pt idx="107">
                  <c:v>1.2098495199992751</c:v>
                </c:pt>
                <c:pt idx="108">
                  <c:v>1.2092466742120263</c:v>
                </c:pt>
                <c:pt idx="109">
                  <c:v>1.211004234556085</c:v>
                </c:pt>
                <c:pt idx="110">
                  <c:v>1.2135694350502673</c:v>
                </c:pt>
                <c:pt idx="111">
                  <c:v>1.2118126124398121</c:v>
                </c:pt>
                <c:pt idx="112">
                  <c:v>1.2144501706940167</c:v>
                </c:pt>
                <c:pt idx="113">
                  <c:v>1.2197777315004057</c:v>
                </c:pt>
                <c:pt idx="114">
                  <c:v>1.2215476716121305</c:v>
                </c:pt>
                <c:pt idx="115">
                  <c:v>1.2326520569422672</c:v>
                </c:pt>
                <c:pt idx="116">
                  <c:v>1.2395967703426598</c:v>
                </c:pt>
                <c:pt idx="117">
                  <c:v>1.238003031605466</c:v>
                </c:pt>
                <c:pt idx="118">
                  <c:v>1.2330067750125515</c:v>
                </c:pt>
                <c:pt idx="119">
                  <c:v>1.2397184255510574</c:v>
                </c:pt>
                <c:pt idx="120">
                  <c:v>1.2435400309663662</c:v>
                </c:pt>
                <c:pt idx="121">
                  <c:v>1.2476421753652267</c:v>
                </c:pt>
                <c:pt idx="122">
                  <c:v>1.2491202159686283</c:v>
                </c:pt>
                <c:pt idx="123">
                  <c:v>1.2460194363115658</c:v>
                </c:pt>
                <c:pt idx="124">
                  <c:v>1.2404419205649861</c:v>
                </c:pt>
                <c:pt idx="125">
                  <c:v>1.2350122166848987</c:v>
                </c:pt>
                <c:pt idx="126">
                  <c:v>1.2241778320466243</c:v>
                </c:pt>
                <c:pt idx="127">
                  <c:v>1.2236509621588858</c:v>
                </c:pt>
                <c:pt idx="128">
                  <c:v>1.2231085377196178</c:v>
                </c:pt>
                <c:pt idx="129">
                  <c:v>1.2261542970398682</c:v>
                </c:pt>
                <c:pt idx="130">
                  <c:v>1.2254672288683812</c:v>
                </c:pt>
                <c:pt idx="131">
                  <c:v>1.229744547047054</c:v>
                </c:pt>
                <c:pt idx="132">
                  <c:v>1.2341627799497465</c:v>
                </c:pt>
                <c:pt idx="133">
                  <c:v>1.2373952121531373</c:v>
                </c:pt>
                <c:pt idx="134">
                  <c:v>1.2399550827995804</c:v>
                </c:pt>
                <c:pt idx="135">
                  <c:v>1.2452357423491518</c:v>
                </c:pt>
                <c:pt idx="136">
                  <c:v>1.2485491125599502</c:v>
                </c:pt>
                <c:pt idx="137">
                  <c:v>1.2476946249324732</c:v>
                </c:pt>
                <c:pt idx="138">
                  <c:v>1.2513483576442646</c:v>
                </c:pt>
                <c:pt idx="139">
                  <c:v>1.2501667619344798</c:v>
                </c:pt>
                <c:pt idx="140">
                  <c:v>1.2515554386387604</c:v>
                </c:pt>
                <c:pt idx="141">
                  <c:v>1.257512937568269</c:v>
                </c:pt>
                <c:pt idx="142">
                  <c:v>1.2585643455305531</c:v>
                </c:pt>
                <c:pt idx="143">
                  <c:v>1.2607777302643681</c:v>
                </c:pt>
                <c:pt idx="144">
                  <c:v>1.2695266310310123</c:v>
                </c:pt>
                <c:pt idx="145">
                  <c:v>1.2795251235171061</c:v>
                </c:pt>
                <c:pt idx="146">
                  <c:v>1.2852124198453756</c:v>
                </c:pt>
                <c:pt idx="147">
                  <c:v>1.2916784775896775</c:v>
                </c:pt>
                <c:pt idx="148">
                  <c:v>1.2970451247212131</c:v>
                </c:pt>
                <c:pt idx="149">
                  <c:v>1.3031083270038091</c:v>
                </c:pt>
                <c:pt idx="150">
                  <c:v>1.3061717814241904</c:v>
                </c:pt>
                <c:pt idx="151">
                  <c:v>1.3108384336018544</c:v>
                </c:pt>
                <c:pt idx="152">
                  <c:v>1.3158921887933706</c:v>
                </c:pt>
                <c:pt idx="153">
                  <c:v>1.3210881303050024</c:v>
                </c:pt>
                <c:pt idx="154">
                  <c:v>1.3228732222099588</c:v>
                </c:pt>
                <c:pt idx="155">
                  <c:v>1.3254032341326736</c:v>
                </c:pt>
                <c:pt idx="156">
                  <c:v>1.3268614490427308</c:v>
                </c:pt>
                <c:pt idx="157">
                  <c:v>1.3306621397263043</c:v>
                </c:pt>
                <c:pt idx="158">
                  <c:v>1.3342412693140919</c:v>
                </c:pt>
                <c:pt idx="159">
                  <c:v>1.3369648711740496</c:v>
                </c:pt>
                <c:pt idx="160">
                  <c:v>1.3414390928613471</c:v>
                </c:pt>
                <c:pt idx="161">
                  <c:v>1.3397734116712781</c:v>
                </c:pt>
                <c:pt idx="162">
                  <c:v>1.3416199672786866</c:v>
                </c:pt>
                <c:pt idx="163">
                  <c:v>1.3443085159895594</c:v>
                </c:pt>
                <c:pt idx="164">
                  <c:v>1.3466022679552354</c:v>
                </c:pt>
                <c:pt idx="165">
                  <c:v>1.3531150695530352</c:v>
                </c:pt>
                <c:pt idx="166">
                  <c:v>1.350780718613688</c:v>
                </c:pt>
                <c:pt idx="167">
                  <c:v>1.3524237608445429</c:v>
                </c:pt>
                <c:pt idx="168">
                  <c:v>1.3501522116354987</c:v>
                </c:pt>
                <c:pt idx="169">
                  <c:v>1.3528889676254072</c:v>
                </c:pt>
                <c:pt idx="170">
                  <c:v>1.3558762757983129</c:v>
                </c:pt>
                <c:pt idx="171">
                  <c:v>1.3613282278577241</c:v>
                </c:pt>
                <c:pt idx="172">
                  <c:v>1.3573332810851455</c:v>
                </c:pt>
                <c:pt idx="173">
                  <c:v>1.3468307991539852</c:v>
                </c:pt>
                <c:pt idx="174">
                  <c:v>1.3251776019331534</c:v>
                </c:pt>
                <c:pt idx="175">
                  <c:v>1.3062256585752212</c:v>
                </c:pt>
                <c:pt idx="176">
                  <c:v>1.29373013127137</c:v>
                </c:pt>
                <c:pt idx="177">
                  <c:v>1.2785490519517519</c:v>
                </c:pt>
                <c:pt idx="178">
                  <c:v>1.261093905994692</c:v>
                </c:pt>
                <c:pt idx="179">
                  <c:v>1.243672630307378</c:v>
                </c:pt>
                <c:pt idx="180">
                  <c:v>1.2224381714623982</c:v>
                </c:pt>
                <c:pt idx="181">
                  <c:v>1.19947112951308</c:v>
                </c:pt>
                <c:pt idx="182">
                  <c:v>1.178502605200044</c:v>
                </c:pt>
                <c:pt idx="183">
                  <c:v>1.1558063355339161</c:v>
                </c:pt>
                <c:pt idx="184">
                  <c:v>1.1319208381217927</c:v>
                </c:pt>
                <c:pt idx="185">
                  <c:v>1.1071806940979743</c:v>
                </c:pt>
                <c:pt idx="186">
                  <c:v>1.0845783023249127</c:v>
                </c:pt>
                <c:pt idx="187">
                  <c:v>1.0610207071328168</c:v>
                </c:pt>
                <c:pt idx="188">
                  <c:v>1.0310914308636261</c:v>
                </c:pt>
                <c:pt idx="189">
                  <c:v>1.005684605377057</c:v>
                </c:pt>
                <c:pt idx="190">
                  <c:v>0.97033598300463786</c:v>
                </c:pt>
                <c:pt idx="191">
                  <c:v>0.9444212674071758</c:v>
                </c:pt>
                <c:pt idx="192">
                  <c:v>0.92248258404191663</c:v>
                </c:pt>
                <c:pt idx="193">
                  <c:v>0.8865439609440342</c:v>
                </c:pt>
                <c:pt idx="194">
                  <c:v>0.84314640926865803</c:v>
                </c:pt>
                <c:pt idx="195">
                  <c:v>0.79035731214866578</c:v>
                </c:pt>
                <c:pt idx="196">
                  <c:v>0.76161256857130799</c:v>
                </c:pt>
                <c:pt idx="197">
                  <c:v>0.73865721752950086</c:v>
                </c:pt>
                <c:pt idx="198">
                  <c:v>0.72280674516753629</c:v>
                </c:pt>
                <c:pt idx="199">
                  <c:v>0.70287075468426663</c:v>
                </c:pt>
                <c:pt idx="200">
                  <c:v>0.67306506147661571</c:v>
                </c:pt>
                <c:pt idx="201">
                  <c:v>0.65041516300568636</c:v>
                </c:pt>
                <c:pt idx="202">
                  <c:v>0.61715116549755566</c:v>
                </c:pt>
                <c:pt idx="203">
                  <c:v>0.58140192291071147</c:v>
                </c:pt>
                <c:pt idx="204">
                  <c:v>0.54972921425495069</c:v>
                </c:pt>
                <c:pt idx="205">
                  <c:v>0.49997318360326243</c:v>
                </c:pt>
                <c:pt idx="206">
                  <c:v>0.46447824874126764</c:v>
                </c:pt>
                <c:pt idx="207">
                  <c:v>0.41858722842560048</c:v>
                </c:pt>
                <c:pt idx="208">
                  <c:v>0.33805878077069929</c:v>
                </c:pt>
                <c:pt idx="209">
                  <c:v>0.3095291016341768</c:v>
                </c:pt>
                <c:pt idx="210">
                  <c:v>0.27962398582570924</c:v>
                </c:pt>
                <c:pt idx="211">
                  <c:v>0.25100282505768012</c:v>
                </c:pt>
                <c:pt idx="212">
                  <c:v>0.26544310284153405</c:v>
                </c:pt>
                <c:pt idx="213">
                  <c:v>0.26967057268211769</c:v>
                </c:pt>
                <c:pt idx="214">
                  <c:v>0.25810258571168759</c:v>
                </c:pt>
                <c:pt idx="215">
                  <c:v>0.25198379032648299</c:v>
                </c:pt>
                <c:pt idx="216">
                  <c:v>0.24263469023903708</c:v>
                </c:pt>
                <c:pt idx="217">
                  <c:v>0.2255169535392777</c:v>
                </c:pt>
                <c:pt idx="218">
                  <c:v>0.2041958583041654</c:v>
                </c:pt>
                <c:pt idx="219">
                  <c:v>0.14340535887095915</c:v>
                </c:pt>
                <c:pt idx="220">
                  <c:v>9.1301392576824056E-2</c:v>
                </c:pt>
                <c:pt idx="221">
                  <c:v>4.9494458202029468E-2</c:v>
                </c:pt>
              </c:numCache>
            </c:numRef>
          </c:val>
        </c:ser>
        <c:marker val="1"/>
        <c:axId val="151329408"/>
        <c:axId val="151327104"/>
      </c:lineChart>
      <c:catAx>
        <c:axId val="151273856"/>
        <c:scaling>
          <c:orientation val="minMax"/>
        </c:scaling>
        <c:axPos val="b"/>
        <c:tickLblPos val="nextTo"/>
        <c:crossAx val="151275392"/>
        <c:crosses val="autoZero"/>
        <c:auto val="1"/>
        <c:lblAlgn val="ctr"/>
        <c:lblOffset val="100"/>
      </c:catAx>
      <c:valAx>
        <c:axId val="151275392"/>
        <c:scaling>
          <c:orientation val="minMax"/>
        </c:scaling>
        <c:axPos val="l"/>
        <c:majorGridlines/>
        <c:numFmt formatCode="0" sourceLinked="0"/>
        <c:tickLblPos val="nextTo"/>
        <c:crossAx val="151273856"/>
        <c:crosses val="autoZero"/>
        <c:crossBetween val="between"/>
      </c:valAx>
      <c:valAx>
        <c:axId val="151327104"/>
        <c:scaling>
          <c:orientation val="minMax"/>
        </c:scaling>
        <c:axPos val="r"/>
        <c:numFmt formatCode="0.0" sourceLinked="0"/>
        <c:tickLblPos val="nextTo"/>
        <c:crossAx val="151329408"/>
        <c:crosses val="max"/>
        <c:crossBetween val="between"/>
      </c:valAx>
      <c:catAx>
        <c:axId val="151329408"/>
        <c:scaling>
          <c:orientation val="minMax"/>
        </c:scaling>
        <c:delete val="1"/>
        <c:axPos val="b"/>
        <c:tickLblPos val="none"/>
        <c:crossAx val="151327104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v-SE"/>
  <c:chart>
    <c:plotArea>
      <c:layout/>
      <c:lineChart>
        <c:grouping val="standard"/>
        <c:ser>
          <c:idx val="0"/>
          <c:order val="0"/>
          <c:tx>
            <c:v>velH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'10-47-56'!$G$3:$G$224</c:f>
              <c:numCache>
                <c:formatCode>0</c:formatCode>
                <c:ptCount val="222"/>
                <c:pt idx="0">
                  <c:v>129.97157233795394</c:v>
                </c:pt>
                <c:pt idx="1">
                  <c:v>126.7267191400456</c:v>
                </c:pt>
                <c:pt idx="2">
                  <c:v>123.33460244392083</c:v>
                </c:pt>
                <c:pt idx="3">
                  <c:v>121.3691295181769</c:v>
                </c:pt>
                <c:pt idx="4">
                  <c:v>120.96545344849496</c:v>
                </c:pt>
                <c:pt idx="5">
                  <c:v>120.9319360301488</c:v>
                </c:pt>
                <c:pt idx="6">
                  <c:v>121.04870854329674</c:v>
                </c:pt>
                <c:pt idx="7">
                  <c:v>119.12884668290883</c:v>
                </c:pt>
                <c:pt idx="8">
                  <c:v>119.03780925403491</c:v>
                </c:pt>
                <c:pt idx="9">
                  <c:v>119.75598991282233</c:v>
                </c:pt>
                <c:pt idx="10">
                  <c:v>119.92343537440877</c:v>
                </c:pt>
                <c:pt idx="11">
                  <c:v>120.7136044031492</c:v>
                </c:pt>
                <c:pt idx="12">
                  <c:v>121.61364818144385</c:v>
                </c:pt>
                <c:pt idx="13">
                  <c:v>121.78380719947953</c:v>
                </c:pt>
                <c:pt idx="14">
                  <c:v>122.07311763037757</c:v>
                </c:pt>
                <c:pt idx="15">
                  <c:v>123.85632973732106</c:v>
                </c:pt>
                <c:pt idx="16">
                  <c:v>125.17665910224639</c:v>
                </c:pt>
                <c:pt idx="17">
                  <c:v>126.0749605591848</c:v>
                </c:pt>
                <c:pt idx="18">
                  <c:v>126.79206643950559</c:v>
                </c:pt>
                <c:pt idx="19">
                  <c:v>127.64896427311896</c:v>
                </c:pt>
                <c:pt idx="20">
                  <c:v>128.36855446720588</c:v>
                </c:pt>
                <c:pt idx="21">
                  <c:v>130.00258471276638</c:v>
                </c:pt>
                <c:pt idx="22">
                  <c:v>131.41785577310262</c:v>
                </c:pt>
                <c:pt idx="23">
                  <c:v>133.29728609390364</c:v>
                </c:pt>
                <c:pt idx="24">
                  <c:v>134.30036789227347</c:v>
                </c:pt>
                <c:pt idx="25">
                  <c:v>134.28512483518048</c:v>
                </c:pt>
                <c:pt idx="26">
                  <c:v>135.32327693342341</c:v>
                </c:pt>
                <c:pt idx="27">
                  <c:v>136.43610548531498</c:v>
                </c:pt>
                <c:pt idx="28">
                  <c:v>138.02796707913944</c:v>
                </c:pt>
                <c:pt idx="29">
                  <c:v>138.45806394717499</c:v>
                </c:pt>
                <c:pt idx="30">
                  <c:v>138.90420278738867</c:v>
                </c:pt>
                <c:pt idx="31">
                  <c:v>139.90321648911436</c:v>
                </c:pt>
                <c:pt idx="32">
                  <c:v>140.49934792731247</c:v>
                </c:pt>
                <c:pt idx="33">
                  <c:v>140.66642413881146</c:v>
                </c:pt>
                <c:pt idx="34">
                  <c:v>140.88932422295167</c:v>
                </c:pt>
                <c:pt idx="35">
                  <c:v>140.28826784874065</c:v>
                </c:pt>
                <c:pt idx="36">
                  <c:v>140.55372353658939</c:v>
                </c:pt>
                <c:pt idx="37">
                  <c:v>141.05618659243558</c:v>
                </c:pt>
                <c:pt idx="38">
                  <c:v>143.27335160454649</c:v>
                </c:pt>
                <c:pt idx="39">
                  <c:v>144.79287717287755</c:v>
                </c:pt>
                <c:pt idx="40">
                  <c:v>146.27451671429304</c:v>
                </c:pt>
                <c:pt idx="41">
                  <c:v>148.51254492466285</c:v>
                </c:pt>
                <c:pt idx="42">
                  <c:v>150.21873012377651</c:v>
                </c:pt>
                <c:pt idx="43">
                  <c:v>151.64692661574122</c:v>
                </c:pt>
                <c:pt idx="44">
                  <c:v>153.05986264203949</c:v>
                </c:pt>
                <c:pt idx="45">
                  <c:v>155.36474333644685</c:v>
                </c:pt>
                <c:pt idx="46">
                  <c:v>156.91845413462369</c:v>
                </c:pt>
                <c:pt idx="47">
                  <c:v>158.52781797526893</c:v>
                </c:pt>
                <c:pt idx="48">
                  <c:v>159.575107532472</c:v>
                </c:pt>
                <c:pt idx="49">
                  <c:v>160.98299169788092</c:v>
                </c:pt>
                <c:pt idx="50">
                  <c:v>162.47645934103807</c:v>
                </c:pt>
                <c:pt idx="51">
                  <c:v>164.3345387920628</c:v>
                </c:pt>
                <c:pt idx="52">
                  <c:v>165.84679566395005</c:v>
                </c:pt>
                <c:pt idx="53">
                  <c:v>167.36122776796302</c:v>
                </c:pt>
                <c:pt idx="54">
                  <c:v>169.10810994154005</c:v>
                </c:pt>
                <c:pt idx="55">
                  <c:v>170.22716008909975</c:v>
                </c:pt>
                <c:pt idx="56">
                  <c:v>172.24418109184413</c:v>
                </c:pt>
                <c:pt idx="57">
                  <c:v>174.13277031047315</c:v>
                </c:pt>
                <c:pt idx="58">
                  <c:v>175.72110379803561</c:v>
                </c:pt>
                <c:pt idx="59">
                  <c:v>177.60151134492071</c:v>
                </c:pt>
                <c:pt idx="60">
                  <c:v>178.590321619062</c:v>
                </c:pt>
                <c:pt idx="61">
                  <c:v>179.72313427046615</c:v>
                </c:pt>
                <c:pt idx="62">
                  <c:v>181.14790774392068</c:v>
                </c:pt>
                <c:pt idx="63">
                  <c:v>182.3645337887825</c:v>
                </c:pt>
                <c:pt idx="64">
                  <c:v>183.37822605751208</c:v>
                </c:pt>
                <c:pt idx="65">
                  <c:v>184.48108585977045</c:v>
                </c:pt>
                <c:pt idx="66">
                  <c:v>185.36311905014981</c:v>
                </c:pt>
                <c:pt idx="67">
                  <c:v>186.36707662030867</c:v>
                </c:pt>
                <c:pt idx="68">
                  <c:v>187.59869082698845</c:v>
                </c:pt>
                <c:pt idx="69">
                  <c:v>188.40561392909714</c:v>
                </c:pt>
                <c:pt idx="70">
                  <c:v>189.37199049489871</c:v>
                </c:pt>
                <c:pt idx="71">
                  <c:v>191.32531834548195</c:v>
                </c:pt>
                <c:pt idx="72">
                  <c:v>192.89960323442867</c:v>
                </c:pt>
                <c:pt idx="73">
                  <c:v>194.15507571011375</c:v>
                </c:pt>
                <c:pt idx="74">
                  <c:v>194.92048988241331</c:v>
                </c:pt>
                <c:pt idx="75">
                  <c:v>195.845188166572</c:v>
                </c:pt>
                <c:pt idx="76">
                  <c:v>196.80333070352239</c:v>
                </c:pt>
                <c:pt idx="77">
                  <c:v>197.37095458045491</c:v>
                </c:pt>
                <c:pt idx="78">
                  <c:v>197.67261698070374</c:v>
                </c:pt>
                <c:pt idx="79">
                  <c:v>197.52144641025694</c:v>
                </c:pt>
                <c:pt idx="80">
                  <c:v>196.24105552100966</c:v>
                </c:pt>
                <c:pt idx="81">
                  <c:v>194.9358115893537</c:v>
                </c:pt>
                <c:pt idx="82">
                  <c:v>193.31293730115428</c:v>
                </c:pt>
                <c:pt idx="83">
                  <c:v>193.00830179036342</c:v>
                </c:pt>
                <c:pt idx="84">
                  <c:v>193.11452320320191</c:v>
                </c:pt>
                <c:pt idx="85">
                  <c:v>193.80294982275169</c:v>
                </c:pt>
                <c:pt idx="86">
                  <c:v>194.4849747615481</c:v>
                </c:pt>
                <c:pt idx="87">
                  <c:v>195.0906664297398</c:v>
                </c:pt>
                <c:pt idx="88">
                  <c:v>195.03029155492746</c:v>
                </c:pt>
                <c:pt idx="89">
                  <c:v>194.97634564223426</c:v>
                </c:pt>
                <c:pt idx="90">
                  <c:v>195.26635286193064</c:v>
                </c:pt>
                <c:pt idx="91">
                  <c:v>195.80469167004148</c:v>
                </c:pt>
                <c:pt idx="92">
                  <c:v>196.10413401047924</c:v>
                </c:pt>
                <c:pt idx="93">
                  <c:v>197.38151293370913</c:v>
                </c:pt>
                <c:pt idx="94">
                  <c:v>198.27490479634585</c:v>
                </c:pt>
                <c:pt idx="95">
                  <c:v>198.47887545026046</c:v>
                </c:pt>
                <c:pt idx="96">
                  <c:v>198.46772573897249</c:v>
                </c:pt>
                <c:pt idx="97">
                  <c:v>199.39882968563279</c:v>
                </c:pt>
                <c:pt idx="98">
                  <c:v>201.25402920687083</c:v>
                </c:pt>
                <c:pt idx="99">
                  <c:v>202.44237900202614</c:v>
                </c:pt>
                <c:pt idx="100">
                  <c:v>202.82333865706875</c:v>
                </c:pt>
                <c:pt idx="101">
                  <c:v>202.6916053515784</c:v>
                </c:pt>
                <c:pt idx="102">
                  <c:v>202.58951621443791</c:v>
                </c:pt>
                <c:pt idx="103">
                  <c:v>202.24752901333557</c:v>
                </c:pt>
                <c:pt idx="104">
                  <c:v>202.20217779242637</c:v>
                </c:pt>
                <c:pt idx="105">
                  <c:v>202.15347630946147</c:v>
                </c:pt>
                <c:pt idx="106">
                  <c:v>201.60650882350004</c:v>
                </c:pt>
                <c:pt idx="107">
                  <c:v>200.91729008723965</c:v>
                </c:pt>
                <c:pt idx="108">
                  <c:v>199.81592044679525</c:v>
                </c:pt>
                <c:pt idx="109">
                  <c:v>199.49599358383119</c:v>
                </c:pt>
                <c:pt idx="110">
                  <c:v>199.39431245649911</c:v>
                </c:pt>
                <c:pt idx="111">
                  <c:v>198.80028269597605</c:v>
                </c:pt>
                <c:pt idx="112">
                  <c:v>198.88321775353495</c:v>
                </c:pt>
                <c:pt idx="113">
                  <c:v>199.58003242809639</c:v>
                </c:pt>
                <c:pt idx="114">
                  <c:v>199.86963002917679</c:v>
                </c:pt>
                <c:pt idx="115">
                  <c:v>200.97652197209504</c:v>
                </c:pt>
                <c:pt idx="116">
                  <c:v>201.57331001896063</c:v>
                </c:pt>
                <c:pt idx="117">
                  <c:v>200.91303599318786</c:v>
                </c:pt>
                <c:pt idx="118">
                  <c:v>199.613932820332</c:v>
                </c:pt>
                <c:pt idx="119">
                  <c:v>200.16493698947374</c:v>
                </c:pt>
                <c:pt idx="120">
                  <c:v>200.46860131202595</c:v>
                </c:pt>
                <c:pt idx="121">
                  <c:v>200.95023933302491</c:v>
                </c:pt>
                <c:pt idx="122">
                  <c:v>201.233266792546</c:v>
                </c:pt>
                <c:pt idx="123">
                  <c:v>201.13744148715821</c:v>
                </c:pt>
                <c:pt idx="124">
                  <c:v>201.17487067722948</c:v>
                </c:pt>
                <c:pt idx="125">
                  <c:v>201.18349009797001</c:v>
                </c:pt>
                <c:pt idx="126">
                  <c:v>200.0796248697003</c:v>
                </c:pt>
                <c:pt idx="127">
                  <c:v>200.12566755916146</c:v>
                </c:pt>
                <c:pt idx="128">
                  <c:v>199.86082749753641</c:v>
                </c:pt>
                <c:pt idx="129">
                  <c:v>199.87295965187485</c:v>
                </c:pt>
                <c:pt idx="130">
                  <c:v>199.01097609930966</c:v>
                </c:pt>
                <c:pt idx="131">
                  <c:v>199.17434581792907</c:v>
                </c:pt>
                <c:pt idx="132">
                  <c:v>199.22349259060789</c:v>
                </c:pt>
                <c:pt idx="133">
                  <c:v>198.94345262913279</c:v>
                </c:pt>
                <c:pt idx="134">
                  <c:v>198.55152749853119</c:v>
                </c:pt>
                <c:pt idx="135">
                  <c:v>198.76951013674102</c:v>
                </c:pt>
                <c:pt idx="136">
                  <c:v>198.53429148638281</c:v>
                </c:pt>
                <c:pt idx="137">
                  <c:v>197.9941646412843</c:v>
                </c:pt>
                <c:pt idx="138">
                  <c:v>197.94328860560034</c:v>
                </c:pt>
                <c:pt idx="139">
                  <c:v>196.94627100811022</c:v>
                </c:pt>
                <c:pt idx="140">
                  <c:v>195.99358169082987</c:v>
                </c:pt>
                <c:pt idx="141">
                  <c:v>195.56841205061721</c:v>
                </c:pt>
                <c:pt idx="142">
                  <c:v>194.28206089086044</c:v>
                </c:pt>
                <c:pt idx="143">
                  <c:v>193.21670871847496</c:v>
                </c:pt>
                <c:pt idx="144">
                  <c:v>193.04929762109987</c:v>
                </c:pt>
                <c:pt idx="145">
                  <c:v>193.32600996244662</c:v>
                </c:pt>
                <c:pt idx="146">
                  <c:v>192.88982082007334</c:v>
                </c:pt>
                <c:pt idx="147">
                  <c:v>192.9302641267046</c:v>
                </c:pt>
                <c:pt idx="148">
                  <c:v>192.75128189457004</c:v>
                </c:pt>
                <c:pt idx="149">
                  <c:v>192.38570096553434</c:v>
                </c:pt>
                <c:pt idx="150">
                  <c:v>191.19220067774731</c:v>
                </c:pt>
                <c:pt idx="151">
                  <c:v>190.88429270110205</c:v>
                </c:pt>
                <c:pt idx="152">
                  <c:v>190.95701086893877</c:v>
                </c:pt>
                <c:pt idx="153">
                  <c:v>190.85496000890311</c:v>
                </c:pt>
                <c:pt idx="154">
                  <c:v>190.25562681823632</c:v>
                </c:pt>
                <c:pt idx="155">
                  <c:v>189.99920441938701</c:v>
                </c:pt>
                <c:pt idx="156">
                  <c:v>189.53950427285602</c:v>
                </c:pt>
                <c:pt idx="157">
                  <c:v>189.55548312829148</c:v>
                </c:pt>
                <c:pt idx="158">
                  <c:v>189.53697775368266</c:v>
                </c:pt>
                <c:pt idx="159">
                  <c:v>189.20192070906683</c:v>
                </c:pt>
                <c:pt idx="160">
                  <c:v>189.20730116990728</c:v>
                </c:pt>
                <c:pt idx="161">
                  <c:v>188.34534621274824</c:v>
                </c:pt>
                <c:pt idx="162">
                  <c:v>187.97705685535138</c:v>
                </c:pt>
                <c:pt idx="163">
                  <c:v>187.8214086199973</c:v>
                </c:pt>
                <c:pt idx="164">
                  <c:v>187.41471724493783</c:v>
                </c:pt>
                <c:pt idx="165">
                  <c:v>187.63917292505852</c:v>
                </c:pt>
                <c:pt idx="166">
                  <c:v>186.92643896463659</c:v>
                </c:pt>
                <c:pt idx="167">
                  <c:v>186.61824991141677</c:v>
                </c:pt>
                <c:pt idx="168">
                  <c:v>186.01317050144596</c:v>
                </c:pt>
                <c:pt idx="169">
                  <c:v>186.09799483068053</c:v>
                </c:pt>
                <c:pt idx="170">
                  <c:v>186.16723617221157</c:v>
                </c:pt>
                <c:pt idx="171">
                  <c:v>186.67077191676259</c:v>
                </c:pt>
                <c:pt idx="172">
                  <c:v>185.92751284304322</c:v>
                </c:pt>
                <c:pt idx="173">
                  <c:v>184.19796741549564</c:v>
                </c:pt>
                <c:pt idx="174">
                  <c:v>181.23658955078579</c:v>
                </c:pt>
                <c:pt idx="175">
                  <c:v>177.98630823745967</c:v>
                </c:pt>
                <c:pt idx="176">
                  <c:v>175.44533056197307</c:v>
                </c:pt>
                <c:pt idx="177">
                  <c:v>172.42001095000546</c:v>
                </c:pt>
                <c:pt idx="178">
                  <c:v>169.11269279388819</c:v>
                </c:pt>
                <c:pt idx="179">
                  <c:v>165.79151100101598</c:v>
                </c:pt>
                <c:pt idx="180">
                  <c:v>162.12464005202912</c:v>
                </c:pt>
                <c:pt idx="181">
                  <c:v>158.64684947391802</c:v>
                </c:pt>
                <c:pt idx="182">
                  <c:v>155.3643554487322</c:v>
                </c:pt>
                <c:pt idx="183">
                  <c:v>152.08099762955266</c:v>
                </c:pt>
                <c:pt idx="184">
                  <c:v>148.77514727937594</c:v>
                </c:pt>
                <c:pt idx="185">
                  <c:v>145.40382619449878</c:v>
                </c:pt>
                <c:pt idx="186">
                  <c:v>142.20123037442397</c:v>
                </c:pt>
                <c:pt idx="187">
                  <c:v>139.15074369905466</c:v>
                </c:pt>
                <c:pt idx="188">
                  <c:v>135.41117543245829</c:v>
                </c:pt>
                <c:pt idx="189">
                  <c:v>132.40038966710031</c:v>
                </c:pt>
                <c:pt idx="190">
                  <c:v>127.88640121607925</c:v>
                </c:pt>
                <c:pt idx="191">
                  <c:v>124.60694202170278</c:v>
                </c:pt>
                <c:pt idx="192">
                  <c:v>121.94481774966906</c:v>
                </c:pt>
                <c:pt idx="193">
                  <c:v>117.16210370251979</c:v>
                </c:pt>
                <c:pt idx="194">
                  <c:v>111.54826994624347</c:v>
                </c:pt>
                <c:pt idx="195">
                  <c:v>104.62117812374319</c:v>
                </c:pt>
                <c:pt idx="196">
                  <c:v>100.95326918926401</c:v>
                </c:pt>
                <c:pt idx="197">
                  <c:v>97.405249961180232</c:v>
                </c:pt>
                <c:pt idx="198">
                  <c:v>94.924764229362211</c:v>
                </c:pt>
                <c:pt idx="199">
                  <c:v>91.800543527802702</c:v>
                </c:pt>
                <c:pt idx="200">
                  <c:v>87.059619571877292</c:v>
                </c:pt>
                <c:pt idx="201">
                  <c:v>83.169887723863141</c:v>
                </c:pt>
                <c:pt idx="202">
                  <c:v>77.983221272271138</c:v>
                </c:pt>
                <c:pt idx="203">
                  <c:v>72.56593680233172</c:v>
                </c:pt>
                <c:pt idx="204">
                  <c:v>67.643080355643178</c:v>
                </c:pt>
                <c:pt idx="205">
                  <c:v>60.026780423407686</c:v>
                </c:pt>
                <c:pt idx="206">
                  <c:v>54.544609706184538</c:v>
                </c:pt>
                <c:pt idx="207">
                  <c:v>47.648621386142956</c:v>
                </c:pt>
                <c:pt idx="208">
                  <c:v>37.204044941376999</c:v>
                </c:pt>
                <c:pt idx="209">
                  <c:v>32.949991927161385</c:v>
                </c:pt>
                <c:pt idx="210">
                  <c:v>28.478025212433533</c:v>
                </c:pt>
                <c:pt idx="211">
                  <c:v>24.533016121137653</c:v>
                </c:pt>
                <c:pt idx="212">
                  <c:v>24.749914908944636</c:v>
                </c:pt>
                <c:pt idx="213">
                  <c:v>24.153853853991915</c:v>
                </c:pt>
                <c:pt idx="214">
                  <c:v>22.169979702291119</c:v>
                </c:pt>
                <c:pt idx="215">
                  <c:v>20.601186761931945</c:v>
                </c:pt>
                <c:pt idx="216">
                  <c:v>18.945887152624973</c:v>
                </c:pt>
                <c:pt idx="217">
                  <c:v>16.805523377746972</c:v>
                </c:pt>
                <c:pt idx="218">
                  <c:v>14.525676576325111</c:v>
                </c:pt>
                <c:pt idx="219">
                  <c:v>9.8089265467736073</c:v>
                </c:pt>
                <c:pt idx="220">
                  <c:v>6.0313699936249972</c:v>
                </c:pt>
                <c:pt idx="221">
                  <c:v>3.1520050761380447</c:v>
                </c:pt>
              </c:numCache>
            </c:numRef>
          </c:val>
        </c:ser>
        <c:ser>
          <c:idx val="1"/>
          <c:order val="1"/>
          <c:tx>
            <c:v>velD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'10-47-56'!$H$3:$H$224</c:f>
              <c:numCache>
                <c:formatCode>0</c:formatCode>
                <c:ptCount val="222"/>
                <c:pt idx="0">
                  <c:v>57.204000000000001</c:v>
                </c:pt>
                <c:pt idx="1">
                  <c:v>62.496000000000002</c:v>
                </c:pt>
                <c:pt idx="2">
                  <c:v>67.536000000000001</c:v>
                </c:pt>
                <c:pt idx="3">
                  <c:v>74.052000000000007</c:v>
                </c:pt>
                <c:pt idx="4">
                  <c:v>77.975999999999999</c:v>
                </c:pt>
                <c:pt idx="5">
                  <c:v>81.72</c:v>
                </c:pt>
                <c:pt idx="6">
                  <c:v>85.356000000000009</c:v>
                </c:pt>
                <c:pt idx="7">
                  <c:v>89.352000000000004</c:v>
                </c:pt>
                <c:pt idx="8">
                  <c:v>93.096000000000004</c:v>
                </c:pt>
                <c:pt idx="9">
                  <c:v>97.884</c:v>
                </c:pt>
                <c:pt idx="10">
                  <c:v>102.24</c:v>
                </c:pt>
                <c:pt idx="11">
                  <c:v>106.236</c:v>
                </c:pt>
                <c:pt idx="12">
                  <c:v>110.34</c:v>
                </c:pt>
                <c:pt idx="13">
                  <c:v>114.264</c:v>
                </c:pt>
                <c:pt idx="14">
                  <c:v>118.188</c:v>
                </c:pt>
                <c:pt idx="15">
                  <c:v>121.75200000000001</c:v>
                </c:pt>
                <c:pt idx="16">
                  <c:v>124.884</c:v>
                </c:pt>
                <c:pt idx="17">
                  <c:v>127.908</c:v>
                </c:pt>
                <c:pt idx="18">
                  <c:v>131.22000000000003</c:v>
                </c:pt>
                <c:pt idx="19">
                  <c:v>134.316</c:v>
                </c:pt>
                <c:pt idx="20">
                  <c:v>137.52000000000001</c:v>
                </c:pt>
                <c:pt idx="21">
                  <c:v>140.54400000000001</c:v>
                </c:pt>
                <c:pt idx="22">
                  <c:v>143.42400000000001</c:v>
                </c:pt>
                <c:pt idx="23">
                  <c:v>146.12400000000002</c:v>
                </c:pt>
                <c:pt idx="24">
                  <c:v>148.82400000000001</c:v>
                </c:pt>
                <c:pt idx="25">
                  <c:v>151.41600000000003</c:v>
                </c:pt>
                <c:pt idx="26">
                  <c:v>153.792</c:v>
                </c:pt>
                <c:pt idx="27">
                  <c:v>156.34800000000001</c:v>
                </c:pt>
                <c:pt idx="28">
                  <c:v>158.68799999999999</c:v>
                </c:pt>
                <c:pt idx="29">
                  <c:v>160.66800000000001</c:v>
                </c:pt>
                <c:pt idx="30">
                  <c:v>162.32400000000001</c:v>
                </c:pt>
                <c:pt idx="31">
                  <c:v>163.83599999999998</c:v>
                </c:pt>
                <c:pt idx="32">
                  <c:v>165.20400000000001</c:v>
                </c:pt>
                <c:pt idx="33">
                  <c:v>166.10400000000001</c:v>
                </c:pt>
                <c:pt idx="34">
                  <c:v>166.93199999999999</c:v>
                </c:pt>
                <c:pt idx="35">
                  <c:v>167.61600000000001</c:v>
                </c:pt>
                <c:pt idx="36">
                  <c:v>168.44399999999999</c:v>
                </c:pt>
                <c:pt idx="37">
                  <c:v>169.16400000000002</c:v>
                </c:pt>
                <c:pt idx="38">
                  <c:v>169.77599999999998</c:v>
                </c:pt>
                <c:pt idx="39">
                  <c:v>170.316</c:v>
                </c:pt>
                <c:pt idx="40">
                  <c:v>170.892</c:v>
                </c:pt>
                <c:pt idx="41">
                  <c:v>171.25200000000001</c:v>
                </c:pt>
                <c:pt idx="42">
                  <c:v>171.50400000000002</c:v>
                </c:pt>
                <c:pt idx="43">
                  <c:v>171.756</c:v>
                </c:pt>
                <c:pt idx="44">
                  <c:v>172.07999999999998</c:v>
                </c:pt>
                <c:pt idx="45">
                  <c:v>172.33199999999999</c:v>
                </c:pt>
                <c:pt idx="46">
                  <c:v>172.72799999999998</c:v>
                </c:pt>
                <c:pt idx="47">
                  <c:v>173.376</c:v>
                </c:pt>
                <c:pt idx="48">
                  <c:v>174.096</c:v>
                </c:pt>
                <c:pt idx="49">
                  <c:v>174.816</c:v>
                </c:pt>
                <c:pt idx="50">
                  <c:v>175.536</c:v>
                </c:pt>
                <c:pt idx="51">
                  <c:v>176.07599999999999</c:v>
                </c:pt>
                <c:pt idx="52">
                  <c:v>176.57999999999998</c:v>
                </c:pt>
                <c:pt idx="53">
                  <c:v>177.15600000000001</c:v>
                </c:pt>
                <c:pt idx="54">
                  <c:v>177.62400000000002</c:v>
                </c:pt>
                <c:pt idx="55">
                  <c:v>178.02</c:v>
                </c:pt>
                <c:pt idx="56">
                  <c:v>178.38</c:v>
                </c:pt>
                <c:pt idx="57">
                  <c:v>178.63200000000001</c:v>
                </c:pt>
                <c:pt idx="58">
                  <c:v>178.74</c:v>
                </c:pt>
                <c:pt idx="59">
                  <c:v>178.70400000000001</c:v>
                </c:pt>
                <c:pt idx="60">
                  <c:v>178.70400000000001</c:v>
                </c:pt>
                <c:pt idx="61">
                  <c:v>178.74</c:v>
                </c:pt>
                <c:pt idx="62">
                  <c:v>178.70400000000001</c:v>
                </c:pt>
                <c:pt idx="63">
                  <c:v>178.81200000000001</c:v>
                </c:pt>
                <c:pt idx="64">
                  <c:v>179.02799999999999</c:v>
                </c:pt>
                <c:pt idx="65">
                  <c:v>179.352</c:v>
                </c:pt>
                <c:pt idx="66">
                  <c:v>179.71200000000002</c:v>
                </c:pt>
                <c:pt idx="67">
                  <c:v>180.21600000000001</c:v>
                </c:pt>
                <c:pt idx="68">
                  <c:v>180.792</c:v>
                </c:pt>
                <c:pt idx="69">
                  <c:v>181.548</c:v>
                </c:pt>
                <c:pt idx="70">
                  <c:v>182.232</c:v>
                </c:pt>
                <c:pt idx="71">
                  <c:v>182.55600000000001</c:v>
                </c:pt>
                <c:pt idx="72">
                  <c:v>182.59200000000001</c:v>
                </c:pt>
                <c:pt idx="73">
                  <c:v>182.44800000000001</c:v>
                </c:pt>
                <c:pt idx="74">
                  <c:v>182.48400000000001</c:v>
                </c:pt>
                <c:pt idx="75">
                  <c:v>182.232</c:v>
                </c:pt>
                <c:pt idx="76">
                  <c:v>181.90800000000002</c:v>
                </c:pt>
                <c:pt idx="77">
                  <c:v>181.36800000000002</c:v>
                </c:pt>
                <c:pt idx="78">
                  <c:v>180.50400000000002</c:v>
                </c:pt>
                <c:pt idx="79">
                  <c:v>179.71200000000002</c:v>
                </c:pt>
                <c:pt idx="80">
                  <c:v>178.81200000000001</c:v>
                </c:pt>
                <c:pt idx="81">
                  <c:v>177.62400000000002</c:v>
                </c:pt>
                <c:pt idx="82">
                  <c:v>176.43600000000001</c:v>
                </c:pt>
                <c:pt idx="83">
                  <c:v>175.35599999999999</c:v>
                </c:pt>
                <c:pt idx="84">
                  <c:v>174.6</c:v>
                </c:pt>
                <c:pt idx="85">
                  <c:v>174.06</c:v>
                </c:pt>
                <c:pt idx="86">
                  <c:v>173.44800000000001</c:v>
                </c:pt>
                <c:pt idx="87">
                  <c:v>172.90800000000002</c:v>
                </c:pt>
                <c:pt idx="88">
                  <c:v>172.44</c:v>
                </c:pt>
                <c:pt idx="89">
                  <c:v>171.72000000000003</c:v>
                </c:pt>
                <c:pt idx="90">
                  <c:v>171.18</c:v>
                </c:pt>
                <c:pt idx="91">
                  <c:v>170.67599999999999</c:v>
                </c:pt>
                <c:pt idx="92">
                  <c:v>170.208</c:v>
                </c:pt>
                <c:pt idx="93">
                  <c:v>169.88399999999999</c:v>
                </c:pt>
                <c:pt idx="94">
                  <c:v>169.70400000000001</c:v>
                </c:pt>
                <c:pt idx="95">
                  <c:v>169.84800000000001</c:v>
                </c:pt>
                <c:pt idx="96">
                  <c:v>170.17200000000003</c:v>
                </c:pt>
                <c:pt idx="97">
                  <c:v>170.56800000000001</c:v>
                </c:pt>
                <c:pt idx="98">
                  <c:v>171</c:v>
                </c:pt>
                <c:pt idx="99">
                  <c:v>171.036</c:v>
                </c:pt>
                <c:pt idx="100">
                  <c:v>170.85599999999999</c:v>
                </c:pt>
                <c:pt idx="101">
                  <c:v>170.56800000000001</c:v>
                </c:pt>
                <c:pt idx="102">
                  <c:v>169.99199999999999</c:v>
                </c:pt>
                <c:pt idx="103">
                  <c:v>169.38</c:v>
                </c:pt>
                <c:pt idx="104">
                  <c:v>168.58799999999999</c:v>
                </c:pt>
                <c:pt idx="105">
                  <c:v>167.61600000000001</c:v>
                </c:pt>
                <c:pt idx="106">
                  <c:v>166.89600000000002</c:v>
                </c:pt>
                <c:pt idx="107">
                  <c:v>166.06800000000001</c:v>
                </c:pt>
                <c:pt idx="108">
                  <c:v>165.24</c:v>
                </c:pt>
                <c:pt idx="109">
                  <c:v>164.73599999999999</c:v>
                </c:pt>
                <c:pt idx="110">
                  <c:v>164.304</c:v>
                </c:pt>
                <c:pt idx="111">
                  <c:v>164.05199999999999</c:v>
                </c:pt>
                <c:pt idx="112">
                  <c:v>163.76400000000001</c:v>
                </c:pt>
                <c:pt idx="113">
                  <c:v>163.62</c:v>
                </c:pt>
                <c:pt idx="114">
                  <c:v>163.62</c:v>
                </c:pt>
                <c:pt idx="115">
                  <c:v>163.04400000000001</c:v>
                </c:pt>
                <c:pt idx="116">
                  <c:v>162.61200000000002</c:v>
                </c:pt>
                <c:pt idx="117">
                  <c:v>162.28800000000001</c:v>
                </c:pt>
                <c:pt idx="118">
                  <c:v>161.892</c:v>
                </c:pt>
                <c:pt idx="119">
                  <c:v>161.46</c:v>
                </c:pt>
                <c:pt idx="120">
                  <c:v>161.208</c:v>
                </c:pt>
                <c:pt idx="121">
                  <c:v>161.06400000000002</c:v>
                </c:pt>
                <c:pt idx="122">
                  <c:v>161.1</c:v>
                </c:pt>
                <c:pt idx="123">
                  <c:v>161.42400000000001</c:v>
                </c:pt>
                <c:pt idx="124">
                  <c:v>162.18</c:v>
                </c:pt>
                <c:pt idx="125">
                  <c:v>162.9</c:v>
                </c:pt>
                <c:pt idx="126">
                  <c:v>163.44</c:v>
                </c:pt>
                <c:pt idx="127">
                  <c:v>163.548</c:v>
                </c:pt>
                <c:pt idx="128">
                  <c:v>163.404</c:v>
                </c:pt>
                <c:pt idx="129">
                  <c:v>163.00800000000001</c:v>
                </c:pt>
                <c:pt idx="130">
                  <c:v>162.39600000000002</c:v>
                </c:pt>
                <c:pt idx="131">
                  <c:v>161.964</c:v>
                </c:pt>
                <c:pt idx="132">
                  <c:v>161.42400000000001</c:v>
                </c:pt>
                <c:pt idx="133">
                  <c:v>160.77599999999998</c:v>
                </c:pt>
                <c:pt idx="134">
                  <c:v>160.12799999999999</c:v>
                </c:pt>
                <c:pt idx="135">
                  <c:v>159.62400000000002</c:v>
                </c:pt>
                <c:pt idx="136">
                  <c:v>159.012</c:v>
                </c:pt>
                <c:pt idx="137">
                  <c:v>158.68799999999999</c:v>
                </c:pt>
                <c:pt idx="138">
                  <c:v>158.184</c:v>
                </c:pt>
                <c:pt idx="139">
                  <c:v>157.536</c:v>
                </c:pt>
                <c:pt idx="140">
                  <c:v>156.6</c:v>
                </c:pt>
                <c:pt idx="141">
                  <c:v>155.52000000000001</c:v>
                </c:pt>
                <c:pt idx="142">
                  <c:v>154.36800000000002</c:v>
                </c:pt>
                <c:pt idx="143">
                  <c:v>153.25200000000001</c:v>
                </c:pt>
                <c:pt idx="144">
                  <c:v>152.06400000000002</c:v>
                </c:pt>
                <c:pt idx="145">
                  <c:v>151.09200000000001</c:v>
                </c:pt>
                <c:pt idx="146">
                  <c:v>150.084</c:v>
                </c:pt>
                <c:pt idx="147">
                  <c:v>149.364</c:v>
                </c:pt>
                <c:pt idx="148">
                  <c:v>148.608</c:v>
                </c:pt>
                <c:pt idx="149">
                  <c:v>147.636</c:v>
                </c:pt>
                <c:pt idx="150">
                  <c:v>146.376</c:v>
                </c:pt>
                <c:pt idx="151">
                  <c:v>145.62</c:v>
                </c:pt>
                <c:pt idx="152">
                  <c:v>145.11600000000001</c:v>
                </c:pt>
                <c:pt idx="153">
                  <c:v>144.46800000000002</c:v>
                </c:pt>
                <c:pt idx="154">
                  <c:v>143.82000000000002</c:v>
                </c:pt>
                <c:pt idx="155">
                  <c:v>143.352</c:v>
                </c:pt>
                <c:pt idx="156">
                  <c:v>142.84800000000001</c:v>
                </c:pt>
                <c:pt idx="157">
                  <c:v>142.452</c:v>
                </c:pt>
                <c:pt idx="158">
                  <c:v>142.05600000000001</c:v>
                </c:pt>
                <c:pt idx="159">
                  <c:v>141.51600000000002</c:v>
                </c:pt>
                <c:pt idx="160">
                  <c:v>141.048</c:v>
                </c:pt>
                <c:pt idx="161">
                  <c:v>140.57999999999998</c:v>
                </c:pt>
                <c:pt idx="162">
                  <c:v>140.11200000000002</c:v>
                </c:pt>
                <c:pt idx="163">
                  <c:v>139.71600000000001</c:v>
                </c:pt>
                <c:pt idx="164">
                  <c:v>139.17599999999999</c:v>
                </c:pt>
                <c:pt idx="165">
                  <c:v>138.67200000000003</c:v>
                </c:pt>
                <c:pt idx="166">
                  <c:v>138.38399999999999</c:v>
                </c:pt>
                <c:pt idx="167">
                  <c:v>137.988</c:v>
                </c:pt>
                <c:pt idx="168">
                  <c:v>137.77200000000002</c:v>
                </c:pt>
                <c:pt idx="169">
                  <c:v>137.55600000000001</c:v>
                </c:pt>
                <c:pt idx="170">
                  <c:v>137.304</c:v>
                </c:pt>
                <c:pt idx="171">
                  <c:v>137.12400000000002</c:v>
                </c:pt>
                <c:pt idx="172">
                  <c:v>136.97999999999999</c:v>
                </c:pt>
                <c:pt idx="173">
                  <c:v>136.76400000000001</c:v>
                </c:pt>
                <c:pt idx="174">
                  <c:v>136.76400000000001</c:v>
                </c:pt>
                <c:pt idx="175">
                  <c:v>136.26000000000002</c:v>
                </c:pt>
                <c:pt idx="176">
                  <c:v>135.61200000000002</c:v>
                </c:pt>
                <c:pt idx="177">
                  <c:v>134.85599999999999</c:v>
                </c:pt>
                <c:pt idx="178">
                  <c:v>134.1</c:v>
                </c:pt>
                <c:pt idx="179">
                  <c:v>133.30800000000002</c:v>
                </c:pt>
                <c:pt idx="180">
                  <c:v>132.62400000000002</c:v>
                </c:pt>
                <c:pt idx="181">
                  <c:v>132.26400000000001</c:v>
                </c:pt>
                <c:pt idx="182">
                  <c:v>131.83199999999999</c:v>
                </c:pt>
                <c:pt idx="183">
                  <c:v>131.57999999999998</c:v>
                </c:pt>
                <c:pt idx="184">
                  <c:v>131.43600000000001</c:v>
                </c:pt>
                <c:pt idx="185">
                  <c:v>131.328</c:v>
                </c:pt>
                <c:pt idx="186">
                  <c:v>131.11200000000002</c:v>
                </c:pt>
                <c:pt idx="187">
                  <c:v>131.148</c:v>
                </c:pt>
                <c:pt idx="188">
                  <c:v>131.328</c:v>
                </c:pt>
                <c:pt idx="189">
                  <c:v>131.65200000000002</c:v>
                </c:pt>
                <c:pt idx="190">
                  <c:v>131.79599999999999</c:v>
                </c:pt>
                <c:pt idx="191">
                  <c:v>131.94</c:v>
                </c:pt>
                <c:pt idx="192">
                  <c:v>132.19200000000001</c:v>
                </c:pt>
                <c:pt idx="193">
                  <c:v>132.15600000000001</c:v>
                </c:pt>
                <c:pt idx="194">
                  <c:v>132.30000000000001</c:v>
                </c:pt>
                <c:pt idx="195">
                  <c:v>132.37200000000001</c:v>
                </c:pt>
                <c:pt idx="196">
                  <c:v>132.55199999999999</c:v>
                </c:pt>
                <c:pt idx="197">
                  <c:v>131.86800000000002</c:v>
                </c:pt>
                <c:pt idx="198">
                  <c:v>131.328</c:v>
                </c:pt>
                <c:pt idx="199">
                  <c:v>130.608</c:v>
                </c:pt>
                <c:pt idx="200">
                  <c:v>129.34800000000001</c:v>
                </c:pt>
                <c:pt idx="201">
                  <c:v>127.87200000000001</c:v>
                </c:pt>
                <c:pt idx="202">
                  <c:v>126.36000000000001</c:v>
                </c:pt>
                <c:pt idx="203">
                  <c:v>124.81200000000001</c:v>
                </c:pt>
                <c:pt idx="204">
                  <c:v>123.048</c:v>
                </c:pt>
                <c:pt idx="205">
                  <c:v>120.06</c:v>
                </c:pt>
                <c:pt idx="206">
                  <c:v>117.43199999999999</c:v>
                </c:pt>
                <c:pt idx="207">
                  <c:v>113.83200000000001</c:v>
                </c:pt>
                <c:pt idx="208">
                  <c:v>110.05200000000001</c:v>
                </c:pt>
                <c:pt idx="209">
                  <c:v>106.452</c:v>
                </c:pt>
                <c:pt idx="210">
                  <c:v>101.84399999999999</c:v>
                </c:pt>
                <c:pt idx="211">
                  <c:v>97.74</c:v>
                </c:pt>
                <c:pt idx="212">
                  <c:v>93.24</c:v>
                </c:pt>
                <c:pt idx="213">
                  <c:v>89.567999999999998</c:v>
                </c:pt>
                <c:pt idx="214">
                  <c:v>85.896000000000001</c:v>
                </c:pt>
                <c:pt idx="215">
                  <c:v>81.756</c:v>
                </c:pt>
                <c:pt idx="216">
                  <c:v>78.084000000000003</c:v>
                </c:pt>
                <c:pt idx="217">
                  <c:v>74.52</c:v>
                </c:pt>
                <c:pt idx="218">
                  <c:v>71.13600000000001</c:v>
                </c:pt>
                <c:pt idx="219">
                  <c:v>68.400000000000006</c:v>
                </c:pt>
                <c:pt idx="220">
                  <c:v>66.06</c:v>
                </c:pt>
                <c:pt idx="221">
                  <c:v>63.684000000000005</c:v>
                </c:pt>
              </c:numCache>
            </c:numRef>
          </c:val>
        </c:ser>
        <c:ser>
          <c:idx val="2"/>
          <c:order val="2"/>
          <c:tx>
            <c:v>vel3D</c:v>
          </c:tx>
          <c:spPr>
            <a:ln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'10-47-56'!$I$3:$I$224</c:f>
              <c:numCache>
                <c:formatCode>0</c:formatCode>
                <c:ptCount val="222"/>
                <c:pt idx="0">
                  <c:v>142.003194442942</c:v>
                </c:pt>
                <c:pt idx="1">
                  <c:v>141.29901400929873</c:v>
                </c:pt>
                <c:pt idx="2">
                  <c:v>140.61484792154775</c:v>
                </c:pt>
                <c:pt idx="3">
                  <c:v>142.17652515095452</c:v>
                </c:pt>
                <c:pt idx="4">
                  <c:v>143.91976064460363</c:v>
                </c:pt>
                <c:pt idx="5">
                  <c:v>145.95441600719042</c:v>
                </c:pt>
                <c:pt idx="6">
                  <c:v>148.11629409352639</c:v>
                </c:pt>
                <c:pt idx="7">
                  <c:v>148.91427740817869</c:v>
                </c:pt>
                <c:pt idx="8">
                  <c:v>151.11871243495958</c:v>
                </c:pt>
                <c:pt idx="9">
                  <c:v>154.66988904114467</c:v>
                </c:pt>
                <c:pt idx="10">
                  <c:v>157.59012644198239</c:v>
                </c:pt>
                <c:pt idx="11">
                  <c:v>160.80379965660018</c:v>
                </c:pt>
                <c:pt idx="12">
                  <c:v>164.2096069783982</c:v>
                </c:pt>
                <c:pt idx="13">
                  <c:v>166.99568075851545</c:v>
                </c:pt>
                <c:pt idx="14">
                  <c:v>169.91247568086339</c:v>
                </c:pt>
                <c:pt idx="15">
                  <c:v>173.6776897589325</c:v>
                </c:pt>
                <c:pt idx="16">
                  <c:v>176.81970885622454</c:v>
                </c:pt>
                <c:pt idx="17">
                  <c:v>179.59775094360174</c:v>
                </c:pt>
                <c:pt idx="18">
                  <c:v>182.46894670600804</c:v>
                </c:pt>
                <c:pt idx="19">
                  <c:v>185.2971827524639</c:v>
                </c:pt>
                <c:pt idx="20">
                  <c:v>188.12292836334439</c:v>
                </c:pt>
                <c:pt idx="21">
                  <c:v>191.45048437650922</c:v>
                </c:pt>
                <c:pt idx="22">
                  <c:v>194.52788127155449</c:v>
                </c:pt>
                <c:pt idx="23">
                  <c:v>197.78875058000645</c:v>
                </c:pt>
                <c:pt idx="24">
                  <c:v>200.46239495725877</c:v>
                </c:pt>
                <c:pt idx="25">
                  <c:v>202.38404039844647</c:v>
                </c:pt>
                <c:pt idx="26">
                  <c:v>204.85206502254258</c:v>
                </c:pt>
                <c:pt idx="27">
                  <c:v>207.50785041535175</c:v>
                </c:pt>
                <c:pt idx="28">
                  <c:v>210.31785715911047</c:v>
                </c:pt>
                <c:pt idx="29">
                  <c:v>212.09630288149768</c:v>
                </c:pt>
                <c:pt idx="30">
                  <c:v>213.64329740949049</c:v>
                </c:pt>
                <c:pt idx="31">
                  <c:v>215.44174358744871</c:v>
                </c:pt>
                <c:pt idx="32">
                  <c:v>216.86961148118471</c:v>
                </c:pt>
                <c:pt idx="33">
                  <c:v>217.663919141414</c:v>
                </c:pt>
                <c:pt idx="34">
                  <c:v>218.44013894886623</c:v>
                </c:pt>
                <c:pt idx="35">
                  <c:v>218.57703802549801</c:v>
                </c:pt>
                <c:pt idx="36">
                  <c:v>219.38261174486914</c:v>
                </c:pt>
                <c:pt idx="37">
                  <c:v>220.25736462602109</c:v>
                </c:pt>
                <c:pt idx="38">
                  <c:v>222.15117252897855</c:v>
                </c:pt>
                <c:pt idx="39">
                  <c:v>223.54533575093893</c:v>
                </c:pt>
                <c:pt idx="40">
                  <c:v>224.94512642864703</c:v>
                </c:pt>
                <c:pt idx="41">
                  <c:v>226.67867897973997</c:v>
                </c:pt>
                <c:pt idx="42">
                  <c:v>227.98966839749559</c:v>
                </c:pt>
                <c:pt idx="43">
                  <c:v>229.12205020032445</c:v>
                </c:pt>
                <c:pt idx="44">
                  <c:v>230.30164556945743</c:v>
                </c:pt>
                <c:pt idx="45">
                  <c:v>232.02698484443573</c:v>
                </c:pt>
                <c:pt idx="46">
                  <c:v>233.36315740064882</c:v>
                </c:pt>
                <c:pt idx="47">
                  <c:v>234.9261723350551</c:v>
                </c:pt>
                <c:pt idx="48">
                  <c:v>236.16441764160834</c:v>
                </c:pt>
                <c:pt idx="49">
                  <c:v>237.64712805333878</c:v>
                </c:pt>
                <c:pt idx="50">
                  <c:v>239.18922872069302</c:v>
                </c:pt>
                <c:pt idx="51">
                  <c:v>240.84974240384813</c:v>
                </c:pt>
                <c:pt idx="52">
                  <c:v>242.25122503715022</c:v>
                </c:pt>
                <c:pt idx="53">
                  <c:v>243.70890196297714</c:v>
                </c:pt>
                <c:pt idx="54">
                  <c:v>245.25056212779617</c:v>
                </c:pt>
                <c:pt idx="55">
                  <c:v>246.30957438150878</c:v>
                </c:pt>
                <c:pt idx="56">
                  <c:v>247.96669598960258</c:v>
                </c:pt>
                <c:pt idx="57">
                  <c:v>249.46264874726236</c:v>
                </c:pt>
                <c:pt idx="58">
                  <c:v>250.650940393209</c:v>
                </c:pt>
                <c:pt idx="59">
                  <c:v>251.94724933604655</c:v>
                </c:pt>
                <c:pt idx="60">
                  <c:v>252.6452504837564</c:v>
                </c:pt>
                <c:pt idx="61">
                  <c:v>253.4726663606946</c:v>
                </c:pt>
                <c:pt idx="62">
                  <c:v>254.45959226564835</c:v>
                </c:pt>
                <c:pt idx="63">
                  <c:v>255.40273007154798</c:v>
                </c:pt>
                <c:pt idx="64">
                  <c:v>256.27836150560978</c:v>
                </c:pt>
                <c:pt idx="65">
                  <c:v>257.29440519373907</c:v>
                </c:pt>
                <c:pt idx="66">
                  <c:v>258.17801774744498</c:v>
                </c:pt>
                <c:pt idx="67">
                  <c:v>259.24986770295567</c:v>
                </c:pt>
                <c:pt idx="68">
                  <c:v>260.53601682684871</c:v>
                </c:pt>
                <c:pt idx="69">
                  <c:v>261.64164741875481</c:v>
                </c:pt>
                <c:pt idx="70">
                  <c:v>262.81220026475182</c:v>
                </c:pt>
                <c:pt idx="71">
                  <c:v>264.44672540230107</c:v>
                </c:pt>
                <c:pt idx="72">
                  <c:v>265.61267927567013</c:v>
                </c:pt>
                <c:pt idx="73">
                  <c:v>266.4272248250918</c:v>
                </c:pt>
                <c:pt idx="74">
                  <c:v>267.01012645965318</c:v>
                </c:pt>
                <c:pt idx="75">
                  <c:v>267.51418570236604</c:v>
                </c:pt>
                <c:pt idx="76">
                  <c:v>267.99640191614515</c:v>
                </c:pt>
                <c:pt idx="77">
                  <c:v>268.04784113288434</c:v>
                </c:pt>
                <c:pt idx="78">
                  <c:v>267.68667789040234</c:v>
                </c:pt>
                <c:pt idx="79">
                  <c:v>267.04142887574579</c:v>
                </c:pt>
                <c:pt idx="80">
                  <c:v>265.4887628808421</c:v>
                </c:pt>
                <c:pt idx="81">
                  <c:v>263.7238252718173</c:v>
                </c:pt>
                <c:pt idx="82">
                  <c:v>261.72419418922664</c:v>
                </c:pt>
                <c:pt idx="83">
                  <c:v>260.77179927285079</c:v>
                </c:pt>
                <c:pt idx="84">
                  <c:v>260.34281067853595</c:v>
                </c:pt>
                <c:pt idx="85">
                  <c:v>260.49273878555618</c:v>
                </c:pt>
                <c:pt idx="86">
                  <c:v>260.59281285561201</c:v>
                </c:pt>
                <c:pt idx="87">
                  <c:v>260.68667896921778</c:v>
                </c:pt>
                <c:pt idx="88">
                  <c:v>260.33126632043258</c:v>
                </c:pt>
                <c:pt idx="89">
                  <c:v>259.81442177061695</c:v>
                </c:pt>
                <c:pt idx="90">
                  <c:v>259.67583822912752</c:v>
                </c:pt>
                <c:pt idx="91">
                  <c:v>259.74944515051425</c:v>
                </c:pt>
                <c:pt idx="92">
                  <c:v>259.66823956733714</c:v>
                </c:pt>
                <c:pt idx="93">
                  <c:v>260.4228006607716</c:v>
                </c:pt>
                <c:pt idx="94">
                  <c:v>260.98349658168047</c:v>
                </c:pt>
                <c:pt idx="95">
                  <c:v>261.23209432227122</c:v>
                </c:pt>
                <c:pt idx="96">
                  <c:v>261.43440428528152</c:v>
                </c:pt>
                <c:pt idx="97">
                  <c:v>262.3991918889995</c:v>
                </c:pt>
                <c:pt idx="98">
                  <c:v>264.09124232355759</c:v>
                </c:pt>
                <c:pt idx="99">
                  <c:v>265.02118804352227</c:v>
                </c:pt>
                <c:pt idx="100">
                  <c:v>265.1963035941489</c:v>
                </c:pt>
                <c:pt idx="101">
                  <c:v>264.91004039862287</c:v>
                </c:pt>
                <c:pt idx="102">
                  <c:v>264.46132447675592</c:v>
                </c:pt>
                <c:pt idx="103">
                  <c:v>263.80607914147851</c:v>
                </c:pt>
                <c:pt idx="104">
                  <c:v>263.26343165734204</c:v>
                </c:pt>
                <c:pt idx="105">
                  <c:v>262.60455334970868</c:v>
                </c:pt>
                <c:pt idx="106">
                  <c:v>261.7240134492821</c:v>
                </c:pt>
                <c:pt idx="107">
                  <c:v>260.66518386620032</c:v>
                </c:pt>
                <c:pt idx="108">
                  <c:v>259.28875730351291</c:v>
                </c:pt>
                <c:pt idx="109">
                  <c:v>258.72108756728744</c:v>
                </c:pt>
                <c:pt idx="110">
                  <c:v>258.36775390129475</c:v>
                </c:pt>
                <c:pt idx="111">
                  <c:v>257.74912435156784</c:v>
                </c:pt>
                <c:pt idx="112">
                  <c:v>257.62993226719601</c:v>
                </c:pt>
                <c:pt idx="113">
                  <c:v>258.07691439568941</c:v>
                </c:pt>
                <c:pt idx="114">
                  <c:v>258.30093574743398</c:v>
                </c:pt>
                <c:pt idx="115">
                  <c:v>258.79510876367044</c:v>
                </c:pt>
                <c:pt idx="116">
                  <c:v>258.98737779281834</c:v>
                </c:pt>
                <c:pt idx="117">
                  <c:v>258.27009694503931</c:v>
                </c:pt>
                <c:pt idx="118">
                  <c:v>257.01117065217227</c:v>
                </c:pt>
                <c:pt idx="119">
                  <c:v>257.16790935106968</c:v>
                </c:pt>
                <c:pt idx="120">
                  <c:v>257.24633986900574</c:v>
                </c:pt>
                <c:pt idx="121">
                  <c:v>257.53176655317691</c:v>
                </c:pt>
                <c:pt idx="122">
                  <c:v>257.77516882741054</c:v>
                </c:pt>
                <c:pt idx="123">
                  <c:v>257.90304019921905</c:v>
                </c:pt>
                <c:pt idx="124">
                  <c:v>258.40603900063945</c:v>
                </c:pt>
                <c:pt idx="125">
                  <c:v>258.86522881221418</c:v>
                </c:pt>
                <c:pt idx="126">
                  <c:v>258.34954981187792</c:v>
                </c:pt>
                <c:pt idx="127">
                  <c:v>258.45353764264866</c:v>
                </c:pt>
                <c:pt idx="128">
                  <c:v>258.15735043573716</c:v>
                </c:pt>
                <c:pt idx="129">
                  <c:v>257.91628111462836</c:v>
                </c:pt>
                <c:pt idx="130">
                  <c:v>256.86149852401002</c:v>
                </c:pt>
                <c:pt idx="131">
                  <c:v>256.71532351614695</c:v>
                </c:pt>
                <c:pt idx="132">
                  <c:v>256.4131583519067</c:v>
                </c:pt>
                <c:pt idx="133">
                  <c:v>255.78784083689357</c:v>
                </c:pt>
                <c:pt idx="134">
                  <c:v>255.07584255667956</c:v>
                </c:pt>
                <c:pt idx="135">
                  <c:v>254.92967566762405</c:v>
                </c:pt>
                <c:pt idx="136">
                  <c:v>254.36328555827393</c:v>
                </c:pt>
                <c:pt idx="137">
                  <c:v>253.73917824411743</c:v>
                </c:pt>
                <c:pt idx="138">
                  <c:v>253.38453654475441</c:v>
                </c:pt>
                <c:pt idx="139">
                  <c:v>252.20115971184589</c:v>
                </c:pt>
                <c:pt idx="140">
                  <c:v>250.8725653872898</c:v>
                </c:pt>
                <c:pt idx="141">
                  <c:v>249.86691295967941</c:v>
                </c:pt>
                <c:pt idx="142">
                  <c:v>248.14310106871804</c:v>
                </c:pt>
                <c:pt idx="143">
                  <c:v>246.61482524779404</c:v>
                </c:pt>
                <c:pt idx="144">
                  <c:v>245.74680345428706</c:v>
                </c:pt>
                <c:pt idx="145">
                  <c:v>245.3645014911489</c:v>
                </c:pt>
                <c:pt idx="146">
                  <c:v>244.40067518728338</c:v>
                </c:pt>
                <c:pt idx="147">
                  <c:v>243.99117056155947</c:v>
                </c:pt>
                <c:pt idx="148">
                  <c:v>243.38733396789573</c:v>
                </c:pt>
                <c:pt idx="149">
                  <c:v>242.5049410465692</c:v>
                </c:pt>
                <c:pt idx="150">
                  <c:v>240.79117711411271</c:v>
                </c:pt>
                <c:pt idx="151">
                  <c:v>240.08747905711368</c:v>
                </c:pt>
                <c:pt idx="152">
                  <c:v>239.8400163775845</c:v>
                </c:pt>
                <c:pt idx="153">
                  <c:v>239.36712135128334</c:v>
                </c:pt>
                <c:pt idx="154">
                  <c:v>238.49820950271305</c:v>
                </c:pt>
                <c:pt idx="155">
                  <c:v>238.01154086304305</c:v>
                </c:pt>
                <c:pt idx="156">
                  <c:v>237.34105161981569</c:v>
                </c:pt>
                <c:pt idx="157">
                  <c:v>237.11569641843622</c:v>
                </c:pt>
                <c:pt idx="158">
                  <c:v>236.8631948446191</c:v>
                </c:pt>
                <c:pt idx="159">
                  <c:v>236.27133777925755</c:v>
                </c:pt>
                <c:pt idx="160">
                  <c:v>235.99563792578877</c:v>
                </c:pt>
                <c:pt idx="161">
                  <c:v>235.0249047228825</c:v>
                </c:pt>
                <c:pt idx="162">
                  <c:v>234.44988046062215</c:v>
                </c:pt>
                <c:pt idx="163">
                  <c:v>234.08853494351234</c:v>
                </c:pt>
                <c:pt idx="164">
                  <c:v>233.44000346127481</c:v>
                </c:pt>
                <c:pt idx="165">
                  <c:v>233.32034373367449</c:v>
                </c:pt>
                <c:pt idx="166">
                  <c:v>232.5760629127598</c:v>
                </c:pt>
                <c:pt idx="167">
                  <c:v>232.09278175764106</c:v>
                </c:pt>
                <c:pt idx="168">
                  <c:v>231.47791165465443</c:v>
                </c:pt>
                <c:pt idx="169">
                  <c:v>231.41762425537087</c:v>
                </c:pt>
                <c:pt idx="170">
                  <c:v>231.32364392772305</c:v>
                </c:pt>
                <c:pt idx="171">
                  <c:v>231.62246968720459</c:v>
                </c:pt>
                <c:pt idx="172">
                  <c:v>230.93843428931442</c:v>
                </c:pt>
                <c:pt idx="173">
                  <c:v>229.41944751044971</c:v>
                </c:pt>
                <c:pt idx="174">
                  <c:v>227.04865797445268</c:v>
                </c:pt>
                <c:pt idx="175">
                  <c:v>224.15600264101786</c:v>
                </c:pt>
                <c:pt idx="176">
                  <c:v>221.74687948198957</c:v>
                </c:pt>
                <c:pt idx="177">
                  <c:v>218.89449721726677</c:v>
                </c:pt>
                <c:pt idx="178">
                  <c:v>215.82843386356674</c:v>
                </c:pt>
                <c:pt idx="179">
                  <c:v>212.73891976786948</c:v>
                </c:pt>
                <c:pt idx="180">
                  <c:v>209.46007802920349</c:v>
                </c:pt>
                <c:pt idx="181">
                  <c:v>206.54923999860179</c:v>
                </c:pt>
                <c:pt idx="182">
                  <c:v>203.75907137597582</c:v>
                </c:pt>
                <c:pt idx="183">
                  <c:v>201.10178079768463</c:v>
                </c:pt>
                <c:pt idx="184">
                  <c:v>198.51817686045783</c:v>
                </c:pt>
                <c:pt idx="185">
                  <c:v>195.93191739989686</c:v>
                </c:pt>
                <c:pt idx="186">
                  <c:v>193.42064642638334</c:v>
                </c:pt>
                <c:pt idx="187">
                  <c:v>191.21382632016963</c:v>
                </c:pt>
                <c:pt idx="188">
                  <c:v>188.63517703758225</c:v>
                </c:pt>
                <c:pt idx="189">
                  <c:v>186.71398525016812</c:v>
                </c:pt>
                <c:pt idx="190">
                  <c:v>183.64399590512073</c:v>
                </c:pt>
                <c:pt idx="191">
                  <c:v>181.48017412378687</c:v>
                </c:pt>
                <c:pt idx="192">
                  <c:v>179.84788972907077</c:v>
                </c:pt>
                <c:pt idx="193">
                  <c:v>176.61304277997138</c:v>
                </c:pt>
                <c:pt idx="194">
                  <c:v>173.05001163825446</c:v>
                </c:pt>
                <c:pt idx="195">
                  <c:v>168.72444190454448</c:v>
                </c:pt>
                <c:pt idx="196">
                  <c:v>166.61811205268171</c:v>
                </c:pt>
                <c:pt idx="197">
                  <c:v>163.9419169828144</c:v>
                </c:pt>
                <c:pt idx="198">
                  <c:v>162.04244643919691</c:v>
                </c:pt>
                <c:pt idx="199">
                  <c:v>159.64269308678053</c:v>
                </c:pt>
                <c:pt idx="200">
                  <c:v>155.91755021164232</c:v>
                </c:pt>
                <c:pt idx="201">
                  <c:v>152.54008852757366</c:v>
                </c:pt>
                <c:pt idx="202">
                  <c:v>148.48647211109841</c:v>
                </c:pt>
                <c:pt idx="203">
                  <c:v>144.37399533156932</c:v>
                </c:pt>
                <c:pt idx="204">
                  <c:v>140.41508688171652</c:v>
                </c:pt>
                <c:pt idx="205">
                  <c:v>134.22972088177789</c:v>
                </c:pt>
                <c:pt idx="206">
                  <c:v>129.48123057802624</c:v>
                </c:pt>
                <c:pt idx="207">
                  <c:v>123.40225015776657</c:v>
                </c:pt>
                <c:pt idx="208">
                  <c:v>116.1704939474736</c:v>
                </c:pt>
                <c:pt idx="209">
                  <c:v>111.43487009011139</c:v>
                </c:pt>
                <c:pt idx="210">
                  <c:v>105.75064187039244</c:v>
                </c:pt>
                <c:pt idx="211">
                  <c:v>100.77190322704043</c:v>
                </c:pt>
                <c:pt idx="212">
                  <c:v>96.468937425473911</c:v>
                </c:pt>
                <c:pt idx="213">
                  <c:v>92.767641341148689</c:v>
                </c:pt>
                <c:pt idx="214">
                  <c:v>88.710939663606311</c:v>
                </c:pt>
                <c:pt idx="215">
                  <c:v>84.311638769507979</c:v>
                </c:pt>
                <c:pt idx="216">
                  <c:v>80.349596738253766</c:v>
                </c:pt>
                <c:pt idx="217">
                  <c:v>76.391465596622766</c:v>
                </c:pt>
                <c:pt idx="218">
                  <c:v>72.603896424365558</c:v>
                </c:pt>
                <c:pt idx="219">
                  <c:v>69.099747032822052</c:v>
                </c:pt>
                <c:pt idx="220">
                  <c:v>66.334764822075016</c:v>
                </c:pt>
                <c:pt idx="221">
                  <c:v>63.761955678915626</c:v>
                </c:pt>
              </c:numCache>
            </c:numRef>
          </c:val>
        </c:ser>
        <c:marker val="1"/>
        <c:axId val="144355328"/>
        <c:axId val="144356864"/>
      </c:lineChart>
      <c:lineChart>
        <c:grouping val="standard"/>
        <c:ser>
          <c:idx val="3"/>
          <c:order val="3"/>
          <c:tx>
            <c:v>Angle</c:v>
          </c:tx>
          <c:spPr>
            <a:ln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'10-47-56'!$L$3:$L$224</c:f>
              <c:numCache>
                <c:formatCode>0</c:formatCode>
                <c:ptCount val="222"/>
                <c:pt idx="0">
                  <c:v>66.24440881758467</c:v>
                </c:pt>
                <c:pt idx="1">
                  <c:v>63.749527912479401</c:v>
                </c:pt>
                <c:pt idx="2">
                  <c:v>61.295611928356038</c:v>
                </c:pt>
                <c:pt idx="3">
                  <c:v>58.61101850294321</c:v>
                </c:pt>
                <c:pt idx="4">
                  <c:v>57.193613460460291</c:v>
                </c:pt>
                <c:pt idx="5">
                  <c:v>55.951059613059236</c:v>
                </c:pt>
                <c:pt idx="6">
                  <c:v>54.810896022410802</c:v>
                </c:pt>
                <c:pt idx="7">
                  <c:v>53.128450981758256</c:v>
                </c:pt>
                <c:pt idx="8">
                  <c:v>51.97207381133294</c:v>
                </c:pt>
                <c:pt idx="9">
                  <c:v>50.738739899340544</c:v>
                </c:pt>
                <c:pt idx="10">
                  <c:v>49.550949591517821</c:v>
                </c:pt>
                <c:pt idx="11">
                  <c:v>48.650075371647823</c:v>
                </c:pt>
                <c:pt idx="12">
                  <c:v>47.782558353644717</c:v>
                </c:pt>
                <c:pt idx="13">
                  <c:v>46.824662362771932</c:v>
                </c:pt>
                <c:pt idx="14">
                  <c:v>45.926414753884735</c:v>
                </c:pt>
                <c:pt idx="15">
                  <c:v>45.490888328895515</c:v>
                </c:pt>
                <c:pt idx="16">
                  <c:v>45.067056224674062</c:v>
                </c:pt>
                <c:pt idx="17">
                  <c:v>44.586493519259669</c:v>
                </c:pt>
                <c:pt idx="18">
                  <c:v>44.016801788777656</c:v>
                </c:pt>
                <c:pt idx="19">
                  <c:v>43.542131124966545</c:v>
                </c:pt>
                <c:pt idx="20">
                  <c:v>43.028751912651011</c:v>
                </c:pt>
                <c:pt idx="21">
                  <c:v>42.76869021616529</c:v>
                </c:pt>
                <c:pt idx="22">
                  <c:v>42.49869130355313</c:v>
                </c:pt>
                <c:pt idx="23">
                  <c:v>42.371706997838032</c:v>
                </c:pt>
                <c:pt idx="24">
                  <c:v>42.06343165045201</c:v>
                </c:pt>
                <c:pt idx="25">
                  <c:v>41.56860615025824</c:v>
                </c:pt>
                <c:pt idx="26">
                  <c:v>41.344904191009242</c:v>
                </c:pt>
                <c:pt idx="27">
                  <c:v>41.109373939736244</c:v>
                </c:pt>
                <c:pt idx="28">
                  <c:v>41.016981294598885</c:v>
                </c:pt>
                <c:pt idx="29">
                  <c:v>40.753613706809169</c:v>
                </c:pt>
                <c:pt idx="30">
                  <c:v>40.554328637223456</c:v>
                </c:pt>
                <c:pt idx="31">
                  <c:v>40.494752888037567</c:v>
                </c:pt>
                <c:pt idx="32">
                  <c:v>40.379824910084231</c:v>
                </c:pt>
                <c:pt idx="33">
                  <c:v>40.259846082814647</c:v>
                </c:pt>
                <c:pt idx="34">
                  <c:v>40.164108477276862</c:v>
                </c:pt>
                <c:pt idx="35">
                  <c:v>39.928060806422039</c:v>
                </c:pt>
                <c:pt idx="36">
                  <c:v>39.842432472220821</c:v>
                </c:pt>
                <c:pt idx="37">
                  <c:v>39.822794466713432</c:v>
                </c:pt>
                <c:pt idx="38">
                  <c:v>40.160898399747907</c:v>
                </c:pt>
                <c:pt idx="39">
                  <c:v>40.369277633798632</c:v>
                </c:pt>
                <c:pt idx="40">
                  <c:v>40.561777191085248</c:v>
                </c:pt>
                <c:pt idx="41">
                  <c:v>40.932365801095429</c:v>
                </c:pt>
                <c:pt idx="42">
                  <c:v>41.214810869461374</c:v>
                </c:pt>
                <c:pt idx="43">
                  <c:v>41.441950579191008</c:v>
                </c:pt>
                <c:pt idx="44">
                  <c:v>41.652108278543665</c:v>
                </c:pt>
                <c:pt idx="45">
                  <c:v>42.036025328821374</c:v>
                </c:pt>
                <c:pt idx="46">
                  <c:v>42.254250076710804</c:v>
                </c:pt>
                <c:pt idx="47">
                  <c:v>42.438500982462024</c:v>
                </c:pt>
                <c:pt idx="48">
                  <c:v>42.508141379464931</c:v>
                </c:pt>
                <c:pt idx="49">
                  <c:v>42.641073545051704</c:v>
                </c:pt>
                <c:pt idx="50">
                  <c:v>42.787405310781267</c:v>
                </c:pt>
                <c:pt idx="51">
                  <c:v>43.02453361186857</c:v>
                </c:pt>
                <c:pt idx="52">
                  <c:v>43.204678961971695</c:v>
                </c:pt>
                <c:pt idx="53">
                  <c:v>43.371495140092549</c:v>
                </c:pt>
                <c:pt idx="54">
                  <c:v>43.59307380860924</c:v>
                </c:pt>
                <c:pt idx="55">
                  <c:v>43.718087657590111</c:v>
                </c:pt>
                <c:pt idx="56">
                  <c:v>43.997443228389876</c:v>
                </c:pt>
                <c:pt idx="57">
                  <c:v>44.26927823491701</c:v>
                </c:pt>
                <c:pt idx="58">
                  <c:v>44.512031567776354</c:v>
                </c:pt>
                <c:pt idx="59">
                  <c:v>44.822714655562542</c:v>
                </c:pt>
                <c:pt idx="60">
                  <c:v>44.981770515690435</c:v>
                </c:pt>
                <c:pt idx="61">
                  <c:v>45.157141133271288</c:v>
                </c:pt>
                <c:pt idx="62">
                  <c:v>45.389114086850768</c:v>
                </c:pt>
                <c:pt idx="63">
                  <c:v>45.563543336533179</c:v>
                </c:pt>
                <c:pt idx="64">
                  <c:v>45.687729969080976</c:v>
                </c:pt>
                <c:pt idx="65">
                  <c:v>45.807665708439885</c:v>
                </c:pt>
                <c:pt idx="66">
                  <c:v>45.886829578962171</c:v>
                </c:pt>
                <c:pt idx="67">
                  <c:v>45.961303677383277</c:v>
                </c:pt>
                <c:pt idx="68">
                  <c:v>46.058523722609273</c:v>
                </c:pt>
                <c:pt idx="69">
                  <c:v>46.061936763856913</c:v>
                </c:pt>
                <c:pt idx="70">
                  <c:v>46.100744341760709</c:v>
                </c:pt>
                <c:pt idx="71">
                  <c:v>46.343615740420823</c:v>
                </c:pt>
                <c:pt idx="72">
                  <c:v>46.572428993904282</c:v>
                </c:pt>
                <c:pt idx="73">
                  <c:v>46.780522079600537</c:v>
                </c:pt>
                <c:pt idx="74">
                  <c:v>46.887366610047557</c:v>
                </c:pt>
                <c:pt idx="75">
                  <c:v>47.062122349933475</c:v>
                </c:pt>
                <c:pt idx="76">
                  <c:v>47.252374933072254</c:v>
                </c:pt>
                <c:pt idx="77">
                  <c:v>47.419494139974972</c:v>
                </c:pt>
                <c:pt idx="78">
                  <c:v>47.599352481736446</c:v>
                </c:pt>
                <c:pt idx="79">
                  <c:v>47.702965568506947</c:v>
                </c:pt>
                <c:pt idx="80">
                  <c:v>47.660672640339648</c:v>
                </c:pt>
                <c:pt idx="81">
                  <c:v>47.660460772130499</c:v>
                </c:pt>
                <c:pt idx="82">
                  <c:v>47.613412736426199</c:v>
                </c:pt>
                <c:pt idx="83">
                  <c:v>47.74355917873396</c:v>
                </c:pt>
                <c:pt idx="84">
                  <c:v>47.882423459857343</c:v>
                </c:pt>
                <c:pt idx="85">
                  <c:v>48.072077480806946</c:v>
                </c:pt>
                <c:pt idx="86">
                  <c:v>48.272386737880204</c:v>
                </c:pt>
                <c:pt idx="87">
                  <c:v>48.44956988374993</c:v>
                </c:pt>
                <c:pt idx="88">
                  <c:v>48.517839604891755</c:v>
                </c:pt>
                <c:pt idx="89">
                  <c:v>48.628910480480933</c:v>
                </c:pt>
                <c:pt idx="90">
                  <c:v>48.760616116400179</c:v>
                </c:pt>
                <c:pt idx="91">
                  <c:v>48.922493030478677</c:v>
                </c:pt>
                <c:pt idx="92">
                  <c:v>49.043750364597621</c:v>
                </c:pt>
                <c:pt idx="93">
                  <c:v>49.281799832903836</c:v>
                </c:pt>
                <c:pt idx="94">
                  <c:v>49.439696421719134</c:v>
                </c:pt>
                <c:pt idx="95">
                  <c:v>49.444791773509493</c:v>
                </c:pt>
                <c:pt idx="96">
                  <c:v>49.389252857379546</c:v>
                </c:pt>
                <c:pt idx="97">
                  <c:v>49.455948497365782</c:v>
                </c:pt>
                <c:pt idx="98">
                  <c:v>49.646361206276048</c:v>
                </c:pt>
                <c:pt idx="99">
                  <c:v>49.806782476834698</c:v>
                </c:pt>
                <c:pt idx="100">
                  <c:v>49.889606724918764</c:v>
                </c:pt>
                <c:pt idx="101">
                  <c:v>49.918890031493291</c:v>
                </c:pt>
                <c:pt idx="102">
                  <c:v>50.000130835544098</c:v>
                </c:pt>
                <c:pt idx="103">
                  <c:v>50.054209941227938</c:v>
                </c:pt>
                <c:pt idx="104">
                  <c:v>50.180019338785947</c:v>
                </c:pt>
                <c:pt idx="105">
                  <c:v>50.336100309615212</c:v>
                </c:pt>
                <c:pt idx="106">
                  <c:v>50.381008322174409</c:v>
                </c:pt>
                <c:pt idx="107">
                  <c:v>50.424597934425144</c:v>
                </c:pt>
                <c:pt idx="108">
                  <c:v>50.410574212400995</c:v>
                </c:pt>
                <c:pt idx="109">
                  <c:v>50.451436351950683</c:v>
                </c:pt>
                <c:pt idx="110">
                  <c:v>50.510949173442945</c:v>
                </c:pt>
                <c:pt idx="111">
                  <c:v>50.470206948820177</c:v>
                </c:pt>
                <c:pt idx="112">
                  <c:v>50.531347763933368</c:v>
                </c:pt>
                <c:pt idx="113">
                  <c:v>50.654363517210065</c:v>
                </c:pt>
                <c:pt idx="114">
                  <c:v>50.695090185203632</c:v>
                </c:pt>
                <c:pt idx="115">
                  <c:v>50.948998979956201</c:v>
                </c:pt>
                <c:pt idx="116">
                  <c:v>51.106397359439384</c:v>
                </c:pt>
                <c:pt idx="117">
                  <c:v>51.070370528204933</c:v>
                </c:pt>
                <c:pt idx="118">
                  <c:v>50.957064420482624</c:v>
                </c:pt>
                <c:pt idx="119">
                  <c:v>51.109145098618868</c:v>
                </c:pt>
                <c:pt idx="120">
                  <c:v>51.195294883894604</c:v>
                </c:pt>
                <c:pt idx="121">
                  <c:v>51.28741167962017</c:v>
                </c:pt>
                <c:pt idx="122">
                  <c:v>51.32051192058568</c:v>
                </c:pt>
                <c:pt idx="123">
                  <c:v>51.251015930187798</c:v>
                </c:pt>
                <c:pt idx="124">
                  <c:v>51.125479416071329</c:v>
                </c:pt>
                <c:pt idx="125">
                  <c:v>51.002610758717289</c:v>
                </c:pt>
                <c:pt idx="126">
                  <c:v>50.755480321052154</c:v>
                </c:pt>
                <c:pt idx="127">
                  <c:v>50.743395522517893</c:v>
                </c:pt>
                <c:pt idx="128">
                  <c:v>50.730947429368932</c:v>
                </c:pt>
                <c:pt idx="129">
                  <c:v>50.800758881377867</c:v>
                </c:pt>
                <c:pt idx="130">
                  <c:v>50.785028873324961</c:v>
                </c:pt>
                <c:pt idx="131">
                  <c:v>50.882783521665623</c:v>
                </c:pt>
                <c:pt idx="132">
                  <c:v>50.983329790397882</c:v>
                </c:pt>
                <c:pt idx="133">
                  <c:v>51.056615837229458</c:v>
                </c:pt>
                <c:pt idx="134">
                  <c:v>51.114489370785996</c:v>
                </c:pt>
                <c:pt idx="135">
                  <c:v>51.233418122015173</c:v>
                </c:pt>
                <c:pt idx="136">
                  <c:v>51.307727904078526</c:v>
                </c:pt>
                <c:pt idx="137">
                  <c:v>51.28858708797366</c:v>
                </c:pt>
                <c:pt idx="138">
                  <c:v>51.370320298140278</c:v>
                </c:pt>
                <c:pt idx="139">
                  <c:v>51.34392012750034</c:v>
                </c:pt>
                <c:pt idx="140">
                  <c:v>51.374943937027055</c:v>
                </c:pt>
                <c:pt idx="141">
                  <c:v>51.507562120947597</c:v>
                </c:pt>
                <c:pt idx="142">
                  <c:v>51.53088737992946</c:v>
                </c:pt>
                <c:pt idx="143">
                  <c:v>51.579912835493978</c:v>
                </c:pt>
                <c:pt idx="144">
                  <c:v>51.772666412137475</c:v>
                </c:pt>
                <c:pt idx="145">
                  <c:v>51.990952712225102</c:v>
                </c:pt>
                <c:pt idx="146">
                  <c:v>52.114175366126119</c:v>
                </c:pt>
                <c:pt idx="147">
                  <c:v>52.253448214684312</c:v>
                </c:pt>
                <c:pt idx="148">
                  <c:v>52.368380490123563</c:v>
                </c:pt>
                <c:pt idx="149">
                  <c:v>52.497514593603285</c:v>
                </c:pt>
                <c:pt idx="150">
                  <c:v>52.562472965611832</c:v>
                </c:pt>
                <c:pt idx="151">
                  <c:v>52.661057570401184</c:v>
                </c:pt>
                <c:pt idx="152">
                  <c:v>52.767320613991437</c:v>
                </c:pt>
                <c:pt idx="153">
                  <c:v>52.876035236971724</c:v>
                </c:pt>
                <c:pt idx="154">
                  <c:v>52.913259368022253</c:v>
                </c:pt>
                <c:pt idx="155">
                  <c:v>52.965907766314203</c:v>
                </c:pt>
                <c:pt idx="156">
                  <c:v>52.996194415676115</c:v>
                </c:pt>
                <c:pt idx="157">
                  <c:v>53.074934313033779</c:v>
                </c:pt>
                <c:pt idx="158">
                  <c:v>53.148821719332339</c:v>
                </c:pt>
                <c:pt idx="159">
                  <c:v>53.204877812582879</c:v>
                </c:pt>
                <c:pt idx="160">
                  <c:v>53.296647188383155</c:v>
                </c:pt>
                <c:pt idx="161">
                  <c:v>53.262528906738794</c:v>
                </c:pt>
                <c:pt idx="162">
                  <c:v>53.300348776150692</c:v>
                </c:pt>
                <c:pt idx="163">
                  <c:v>53.355294250243084</c:v>
                </c:pt>
                <c:pt idx="164">
                  <c:v>53.40205960183313</c:v>
                </c:pt>
                <c:pt idx="165">
                  <c:v>53.53428537260875</c:v>
                </c:pt>
                <c:pt idx="166">
                  <c:v>53.486987036200638</c:v>
                </c:pt>
                <c:pt idx="167">
                  <c:v>53.520289160278232</c:v>
                </c:pt>
                <c:pt idx="168">
                  <c:v>53.4742342519434</c:v>
                </c:pt>
                <c:pt idx="169">
                  <c:v>53.529708738667154</c:v>
                </c:pt>
                <c:pt idx="170">
                  <c:v>53.590096511424292</c:v>
                </c:pt>
                <c:pt idx="171">
                  <c:v>53.699863279286745</c:v>
                </c:pt>
                <c:pt idx="172">
                  <c:v>53.619487073276979</c:v>
                </c:pt>
                <c:pt idx="173">
                  <c:v>53.406713305923262</c:v>
                </c:pt>
                <c:pt idx="174">
                  <c:v>52.961217664122927</c:v>
                </c:pt>
                <c:pt idx="175">
                  <c:v>52.563613673833281</c:v>
                </c:pt>
                <c:pt idx="176">
                  <c:v>52.297456977325709</c:v>
                </c:pt>
                <c:pt idx="177">
                  <c:v>51.969736420776954</c:v>
                </c:pt>
                <c:pt idx="178">
                  <c:v>51.586907360911368</c:v>
                </c:pt>
                <c:pt idx="179">
                  <c:v>51.198278278136613</c:v>
                </c:pt>
                <c:pt idx="180">
                  <c:v>50.715554054936824</c:v>
                </c:pt>
                <c:pt idx="181">
                  <c:v>50.182006805294314</c:v>
                </c:pt>
                <c:pt idx="182">
                  <c:v>49.684249202386781</c:v>
                </c:pt>
                <c:pt idx="183">
                  <c:v>49.133743716528045</c:v>
                </c:pt>
                <c:pt idx="184">
                  <c:v>48.540882974257691</c:v>
                </c:pt>
                <c:pt idx="185">
                  <c:v>47.911811808928043</c:v>
                </c:pt>
                <c:pt idx="186">
                  <c:v>47.323406722443359</c:v>
                </c:pt>
                <c:pt idx="187">
                  <c:v>46.695862606278666</c:v>
                </c:pt>
                <c:pt idx="188">
                  <c:v>45.877000717927999</c:v>
                </c:pt>
                <c:pt idx="189">
                  <c:v>45.162389950699193</c:v>
                </c:pt>
                <c:pt idx="190">
                  <c:v>44.137459501395433</c:v>
                </c:pt>
                <c:pt idx="191">
                  <c:v>43.362721066675192</c:v>
                </c:pt>
                <c:pt idx="192">
                  <c:v>42.690998001959237</c:v>
                </c:pt>
                <c:pt idx="193">
                  <c:v>41.558398698286325</c:v>
                </c:pt>
                <c:pt idx="194">
                  <c:v>40.135792132003353</c:v>
                </c:pt>
                <c:pt idx="195">
                  <c:v>38.321338806261664</c:v>
                </c:pt>
                <c:pt idx="196">
                  <c:v>37.293354279184108</c:v>
                </c:pt>
                <c:pt idx="197">
                  <c:v>36.451696239087937</c:v>
                </c:pt>
                <c:pt idx="198">
                  <c:v>35.859656962148108</c:v>
                </c:pt>
                <c:pt idx="199">
                  <c:v>35.102262071235749</c:v>
                </c:pt>
                <c:pt idx="200">
                  <c:v>33.943119292189394</c:v>
                </c:pt>
                <c:pt idx="201">
                  <c:v>33.040586413917751</c:v>
                </c:pt>
                <c:pt idx="202">
                  <c:v>31.680858447444475</c:v>
                </c:pt>
                <c:pt idx="203">
                  <c:v>30.173801539214161</c:v>
                </c:pt>
                <c:pt idx="204">
                  <c:v>28.798880764588681</c:v>
                </c:pt>
                <c:pt idx="205">
                  <c:v>26.563821990809391</c:v>
                </c:pt>
                <c:pt idx="206">
                  <c:v>24.913843299960924</c:v>
                </c:pt>
                <c:pt idx="207">
                  <c:v>22.713562940177862</c:v>
                </c:pt>
                <c:pt idx="208">
                  <c:v>18.678275784367731</c:v>
                </c:pt>
                <c:pt idx="209">
                  <c:v>17.198817925445606</c:v>
                </c:pt>
                <c:pt idx="210">
                  <c:v>15.62226673920547</c:v>
                </c:pt>
                <c:pt idx="211">
                  <c:v>14.09030847677835</c:v>
                </c:pt>
                <c:pt idx="212">
                  <c:v>14.865946496412267</c:v>
                </c:pt>
                <c:pt idx="213">
                  <c:v>15.091981349143992</c:v>
                </c:pt>
                <c:pt idx="214">
                  <c:v>14.472339113993147</c:v>
                </c:pt>
                <c:pt idx="215">
                  <c:v>14.143170198409637</c:v>
                </c:pt>
                <c:pt idx="216">
                  <c:v>13.638382787386387</c:v>
                </c:pt>
                <c:pt idx="217">
                  <c:v>12.708572403024796</c:v>
                </c:pt>
                <c:pt idx="218">
                  <c:v>11.540903479498521</c:v>
                </c:pt>
                <c:pt idx="219">
                  <c:v>8.1608822434069275</c:v>
                </c:pt>
                <c:pt idx="220">
                  <c:v>5.2167211083702592</c:v>
                </c:pt>
                <c:pt idx="221">
                  <c:v>2.8335113215834977</c:v>
                </c:pt>
              </c:numCache>
            </c:numRef>
          </c:val>
        </c:ser>
        <c:marker val="1"/>
        <c:axId val="146210816"/>
        <c:axId val="144897536"/>
      </c:lineChart>
      <c:catAx>
        <c:axId val="144355328"/>
        <c:scaling>
          <c:orientation val="minMax"/>
        </c:scaling>
        <c:axPos val="b"/>
        <c:tickLblPos val="nextTo"/>
        <c:crossAx val="144356864"/>
        <c:crosses val="autoZero"/>
        <c:auto val="1"/>
        <c:lblAlgn val="ctr"/>
        <c:lblOffset val="100"/>
      </c:catAx>
      <c:valAx>
        <c:axId val="144356864"/>
        <c:scaling>
          <c:orientation val="minMax"/>
        </c:scaling>
        <c:axPos val="l"/>
        <c:majorGridlines/>
        <c:numFmt formatCode="0" sourceLinked="0"/>
        <c:tickLblPos val="nextTo"/>
        <c:crossAx val="144355328"/>
        <c:crosses val="autoZero"/>
        <c:crossBetween val="between"/>
      </c:valAx>
      <c:valAx>
        <c:axId val="144897536"/>
        <c:scaling>
          <c:orientation val="minMax"/>
        </c:scaling>
        <c:axPos val="r"/>
        <c:numFmt formatCode="0" sourceLinked="0"/>
        <c:tickLblPos val="nextTo"/>
        <c:crossAx val="146210816"/>
        <c:crosses val="max"/>
        <c:crossBetween val="between"/>
      </c:valAx>
      <c:catAx>
        <c:axId val="146210816"/>
        <c:scaling>
          <c:orientation val="minMax"/>
        </c:scaling>
        <c:delete val="1"/>
        <c:axPos val="b"/>
        <c:tickLblPos val="none"/>
        <c:crossAx val="144897536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146050</xdr:colOff>
      <xdr:row>38</xdr:row>
      <xdr:rowOff>187325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146050</xdr:colOff>
      <xdr:row>38</xdr:row>
      <xdr:rowOff>187325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146050</xdr:colOff>
      <xdr:row>38</xdr:row>
      <xdr:rowOff>187325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146050</xdr:colOff>
      <xdr:row>38</xdr:row>
      <xdr:rowOff>187325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2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4" max="4" width="9.140625" style="1"/>
    <col min="5" max="6" width="9.140625" style="2"/>
    <col min="7" max="9" width="9.140625" style="1"/>
    <col min="10" max="10" width="9.140625" style="3"/>
    <col min="11" max="12" width="9.140625" style="1"/>
  </cols>
  <sheetData>
    <row r="1" spans="1:17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1" t="s">
        <v>238</v>
      </c>
      <c r="H1" s="1" t="s">
        <v>6</v>
      </c>
      <c r="I1" s="1" t="s">
        <v>239</v>
      </c>
      <c r="J1" s="3" t="s">
        <v>240</v>
      </c>
      <c r="K1" s="1" t="s">
        <v>241</v>
      </c>
      <c r="L1" s="1" t="s">
        <v>242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>
      <c r="B2" t="s">
        <v>12</v>
      </c>
      <c r="C2" t="s">
        <v>12</v>
      </c>
      <c r="D2" s="1" t="s">
        <v>13</v>
      </c>
      <c r="E2" s="2" t="s">
        <v>237</v>
      </c>
      <c r="F2" s="2" t="s">
        <v>237</v>
      </c>
      <c r="G2" s="1" t="s">
        <v>237</v>
      </c>
      <c r="H2" s="1" t="s">
        <v>237</v>
      </c>
      <c r="I2" s="1" t="s">
        <v>237</v>
      </c>
      <c r="K2" s="1" t="s">
        <v>13</v>
      </c>
      <c r="L2" s="1" t="s">
        <v>243</v>
      </c>
      <c r="M2" t="s">
        <v>13</v>
      </c>
      <c r="N2" t="s">
        <v>13</v>
      </c>
      <c r="O2" t="s">
        <v>14</v>
      </c>
    </row>
    <row r="3" spans="1:17">
      <c r="A3" t="s">
        <v>15</v>
      </c>
      <c r="B3">
        <v>55.863330300000001</v>
      </c>
      <c r="C3">
        <v>13.357201399999999</v>
      </c>
      <c r="D3" s="1">
        <v>2922.4059999999999</v>
      </c>
      <c r="E3" s="2">
        <v>-108.53999999999999</v>
      </c>
      <c r="F3" s="2">
        <v>71.495999999999995</v>
      </c>
      <c r="G3" s="1">
        <f t="shared" ref="G3:G23" si="0">SQRT(E3*E3+F3*F3)</f>
        <v>129.97157233795394</v>
      </c>
      <c r="H3" s="1">
        <v>57.204000000000001</v>
      </c>
      <c r="I3" s="1">
        <f t="shared" ref="I3:I23" si="1">SQRT(G3*G3+H3*H3)</f>
        <v>142.003194442942</v>
      </c>
      <c r="J3" s="3">
        <f t="shared" ref="J3:J23" si="2">G3/H3</f>
        <v>2.2720713995167112</v>
      </c>
      <c r="K3" s="1">
        <v>0</v>
      </c>
      <c r="L3" s="1">
        <f t="shared" ref="L3:L23" si="3">DEGREES(ATAN((G3*0.2/3.6)/(H3*0.2/3.6)))</f>
        <v>66.24440881758467</v>
      </c>
      <c r="M3">
        <v>5.83</v>
      </c>
      <c r="N3">
        <v>6.8330000000000002</v>
      </c>
      <c r="O3">
        <v>1.48</v>
      </c>
      <c r="P3">
        <v>3</v>
      </c>
      <c r="Q3">
        <v>7</v>
      </c>
    </row>
    <row r="4" spans="1:17">
      <c r="A4" t="s">
        <v>16</v>
      </c>
      <c r="B4">
        <v>55.863270399999998</v>
      </c>
      <c r="C4">
        <v>13.357247600000001</v>
      </c>
      <c r="D4" s="1">
        <v>2916.2249999999999</v>
      </c>
      <c r="E4" s="2">
        <v>-108.53999999999999</v>
      </c>
      <c r="F4" s="2">
        <v>65.412000000000006</v>
      </c>
      <c r="G4" s="1">
        <f t="shared" si="0"/>
        <v>126.7267191400456</v>
      </c>
      <c r="H4" s="1">
        <v>62.496000000000002</v>
      </c>
      <c r="I4" s="1">
        <f t="shared" si="1"/>
        <v>141.29901400929873</v>
      </c>
      <c r="J4" s="3">
        <f t="shared" si="2"/>
        <v>2.0277572827068227</v>
      </c>
      <c r="K4" s="1">
        <f t="shared" ref="K4:K24" si="4">K3+G4*0.2/3.6</f>
        <v>7.0403732855580889</v>
      </c>
      <c r="L4" s="1">
        <f t="shared" si="3"/>
        <v>63.749527912479401</v>
      </c>
      <c r="M4">
        <v>5.7990000000000004</v>
      </c>
      <c r="N4">
        <v>6.76</v>
      </c>
      <c r="O4">
        <v>1.6</v>
      </c>
      <c r="P4">
        <v>3</v>
      </c>
      <c r="Q4">
        <v>7</v>
      </c>
    </row>
    <row r="5" spans="1:17">
      <c r="A5" t="s">
        <v>17</v>
      </c>
      <c r="B5">
        <v>55.8632116</v>
      </c>
      <c r="C5">
        <v>13.357290300000001</v>
      </c>
      <c r="D5" s="1">
        <v>2909.9209999999998</v>
      </c>
      <c r="E5" s="2">
        <v>-108.108</v>
      </c>
      <c r="F5" s="2">
        <v>59.363999999999997</v>
      </c>
      <c r="G5" s="1">
        <f t="shared" si="0"/>
        <v>123.33460244392083</v>
      </c>
      <c r="H5" s="1">
        <v>67.536000000000001</v>
      </c>
      <c r="I5" s="1">
        <f t="shared" si="1"/>
        <v>140.61484792154775</v>
      </c>
      <c r="J5" s="3">
        <f t="shared" si="2"/>
        <v>1.826205319295203</v>
      </c>
      <c r="K5" s="1">
        <f t="shared" si="4"/>
        <v>13.892295643553691</v>
      </c>
      <c r="L5" s="1">
        <f t="shared" si="3"/>
        <v>61.295611928356038</v>
      </c>
      <c r="M5">
        <v>5.7839999999999998</v>
      </c>
      <c r="N5">
        <v>6.702</v>
      </c>
      <c r="O5">
        <v>1.7</v>
      </c>
      <c r="P5">
        <v>3</v>
      </c>
      <c r="Q5">
        <v>7</v>
      </c>
    </row>
    <row r="6" spans="1:17">
      <c r="A6" t="s">
        <v>18</v>
      </c>
      <c r="B6">
        <v>55.863149100000001</v>
      </c>
      <c r="C6">
        <v>13.3573226</v>
      </c>
      <c r="D6" s="1">
        <v>2902.799</v>
      </c>
      <c r="E6" s="2">
        <v>-109.944</v>
      </c>
      <c r="F6" s="2">
        <v>51.408000000000001</v>
      </c>
      <c r="G6" s="1">
        <f t="shared" si="0"/>
        <v>121.3691295181769</v>
      </c>
      <c r="H6" s="1">
        <v>74.052000000000007</v>
      </c>
      <c r="I6" s="1">
        <f t="shared" si="1"/>
        <v>142.17652515095452</v>
      </c>
      <c r="J6" s="3">
        <f t="shared" si="2"/>
        <v>1.6389716620506791</v>
      </c>
      <c r="K6" s="1">
        <f t="shared" si="4"/>
        <v>20.635025061230188</v>
      </c>
      <c r="L6" s="1">
        <f t="shared" si="3"/>
        <v>58.61101850294321</v>
      </c>
      <c r="M6">
        <v>5.7220000000000004</v>
      </c>
      <c r="N6">
        <v>6.5970000000000004</v>
      </c>
      <c r="O6">
        <v>1.81</v>
      </c>
      <c r="P6">
        <v>3</v>
      </c>
      <c r="Q6">
        <v>7</v>
      </c>
    </row>
    <row r="7" spans="1:17">
      <c r="A7" t="s">
        <v>19</v>
      </c>
      <c r="B7">
        <v>55.863090300000003</v>
      </c>
      <c r="C7">
        <v>13.357361600000001</v>
      </c>
      <c r="D7" s="1">
        <v>2896.4059999999999</v>
      </c>
      <c r="E7" s="2">
        <v>-111.348</v>
      </c>
      <c r="F7" s="2">
        <v>47.268000000000001</v>
      </c>
      <c r="G7" s="1">
        <f t="shared" si="0"/>
        <v>120.96545344849496</v>
      </c>
      <c r="H7" s="1">
        <v>77.975999999999999</v>
      </c>
      <c r="I7" s="1">
        <f t="shared" si="1"/>
        <v>143.91976064460363</v>
      </c>
      <c r="J7" s="3">
        <f t="shared" si="2"/>
        <v>1.5513164749217061</v>
      </c>
      <c r="K7" s="1">
        <f t="shared" si="4"/>
        <v>27.355328030591018</v>
      </c>
      <c r="L7" s="1">
        <f t="shared" si="3"/>
        <v>57.193613460460291</v>
      </c>
      <c r="M7">
        <v>5.7249999999999996</v>
      </c>
      <c r="N7">
        <v>6.5510000000000002</v>
      </c>
      <c r="O7">
        <v>1.86</v>
      </c>
      <c r="P7">
        <v>3</v>
      </c>
      <c r="Q7">
        <v>7</v>
      </c>
    </row>
    <row r="8" spans="1:17">
      <c r="A8" t="s">
        <v>20</v>
      </c>
      <c r="B8">
        <v>55.863030799999997</v>
      </c>
      <c r="C8">
        <v>13.3573965</v>
      </c>
      <c r="D8" s="1">
        <v>2889.7809999999999</v>
      </c>
      <c r="E8" s="2">
        <v>-113.07600000000001</v>
      </c>
      <c r="F8" s="2">
        <v>42.876000000000005</v>
      </c>
      <c r="G8" s="1">
        <f t="shared" si="0"/>
        <v>120.9319360301488</v>
      </c>
      <c r="H8" s="1">
        <v>81.72</v>
      </c>
      <c r="I8" s="1">
        <f t="shared" si="1"/>
        <v>145.95441600719042</v>
      </c>
      <c r="J8" s="3">
        <f t="shared" si="2"/>
        <v>1.479832795278375</v>
      </c>
      <c r="K8" s="1">
        <f t="shared" si="4"/>
        <v>34.073768921154837</v>
      </c>
      <c r="L8" s="1">
        <f t="shared" si="3"/>
        <v>55.951059613059236</v>
      </c>
      <c r="M8">
        <v>5.7279999999999998</v>
      </c>
      <c r="N8">
        <v>6.5060000000000002</v>
      </c>
      <c r="O8">
        <v>1.88</v>
      </c>
      <c r="P8">
        <v>3</v>
      </c>
      <c r="Q8">
        <v>7</v>
      </c>
    </row>
    <row r="9" spans="1:17">
      <c r="A9" t="s">
        <v>21</v>
      </c>
      <c r="B9">
        <v>55.862970599999997</v>
      </c>
      <c r="C9">
        <v>13.357426800000001</v>
      </c>
      <c r="D9" s="1">
        <v>2882.9110000000001</v>
      </c>
      <c r="E9" s="2">
        <v>-114.94800000000001</v>
      </c>
      <c r="F9" s="2">
        <v>37.943999999999996</v>
      </c>
      <c r="G9" s="1">
        <f t="shared" si="0"/>
        <v>121.04870854329674</v>
      </c>
      <c r="H9" s="1">
        <v>85.356000000000009</v>
      </c>
      <c r="I9" s="1">
        <f t="shared" si="1"/>
        <v>148.11629409352639</v>
      </c>
      <c r="J9" s="3">
        <f t="shared" si="2"/>
        <v>1.4181628537337354</v>
      </c>
      <c r="K9" s="1">
        <f t="shared" si="4"/>
        <v>40.798697173560214</v>
      </c>
      <c r="L9" s="1">
        <f t="shared" si="3"/>
        <v>54.810896022410802</v>
      </c>
      <c r="M9">
        <v>5.7439999999999998</v>
      </c>
      <c r="N9">
        <v>6.468</v>
      </c>
      <c r="O9">
        <v>1.91</v>
      </c>
      <c r="P9">
        <v>3</v>
      </c>
      <c r="Q9">
        <v>7</v>
      </c>
    </row>
    <row r="10" spans="1:17">
      <c r="A10" t="s">
        <v>22</v>
      </c>
      <c r="B10">
        <v>55.862912600000001</v>
      </c>
      <c r="C10">
        <v>13.357455699999999</v>
      </c>
      <c r="D10" s="1">
        <v>2875.6770000000001</v>
      </c>
      <c r="E10" s="2">
        <v>-114.264</v>
      </c>
      <c r="F10" s="2">
        <v>33.695999999999998</v>
      </c>
      <c r="G10" s="1">
        <f t="shared" si="0"/>
        <v>119.12884668290883</v>
      </c>
      <c r="H10" s="1">
        <v>89.352000000000004</v>
      </c>
      <c r="I10" s="1">
        <f t="shared" si="1"/>
        <v>148.91427740817869</v>
      </c>
      <c r="J10" s="3">
        <f t="shared" si="2"/>
        <v>1.333253275616761</v>
      </c>
      <c r="K10" s="1">
        <f t="shared" si="4"/>
        <v>47.416966433721818</v>
      </c>
      <c r="L10" s="1">
        <f t="shared" si="3"/>
        <v>53.128450981758256</v>
      </c>
      <c r="M10">
        <v>5.7439999999999998</v>
      </c>
      <c r="N10">
        <v>6.43</v>
      </c>
      <c r="O10">
        <v>1.87</v>
      </c>
      <c r="P10">
        <v>3</v>
      </c>
      <c r="Q10">
        <v>8</v>
      </c>
    </row>
    <row r="11" spans="1:17">
      <c r="A11" t="s">
        <v>23</v>
      </c>
      <c r="B11">
        <v>55.862853700000002</v>
      </c>
      <c r="C11">
        <v>13.3574815</v>
      </c>
      <c r="D11" s="1">
        <v>2868.24</v>
      </c>
      <c r="E11" s="2">
        <v>-115.23599999999999</v>
      </c>
      <c r="F11" s="2">
        <v>29.843999999999998</v>
      </c>
      <c r="G11" s="1">
        <f t="shared" si="0"/>
        <v>119.03780925403491</v>
      </c>
      <c r="H11" s="1">
        <v>93.096000000000004</v>
      </c>
      <c r="I11" s="1">
        <f t="shared" si="1"/>
        <v>151.11871243495958</v>
      </c>
      <c r="J11" s="3">
        <f t="shared" si="2"/>
        <v>1.2786565400665433</v>
      </c>
      <c r="K11" s="1">
        <f t="shared" si="4"/>
        <v>54.030178058945978</v>
      </c>
      <c r="L11" s="1">
        <f t="shared" si="3"/>
        <v>51.97207381133294</v>
      </c>
      <c r="M11">
        <v>5.7450000000000001</v>
      </c>
      <c r="N11">
        <v>6.3929999999999998</v>
      </c>
      <c r="O11">
        <v>1.84</v>
      </c>
      <c r="P11">
        <v>3</v>
      </c>
      <c r="Q11">
        <v>8</v>
      </c>
    </row>
    <row r="12" spans="1:17">
      <c r="A12" t="s">
        <v>24</v>
      </c>
      <c r="B12">
        <v>55.862793000000003</v>
      </c>
      <c r="C12">
        <v>13.3574989</v>
      </c>
      <c r="D12" s="1">
        <v>2860.0369999999998</v>
      </c>
      <c r="E12" s="2">
        <v>-117.32400000000001</v>
      </c>
      <c r="F12" s="2">
        <v>24.012</v>
      </c>
      <c r="G12" s="1">
        <f t="shared" si="0"/>
        <v>119.75598991282233</v>
      </c>
      <c r="H12" s="1">
        <v>97.884</v>
      </c>
      <c r="I12" s="1">
        <f t="shared" si="1"/>
        <v>154.66988904114467</v>
      </c>
      <c r="J12" s="3">
        <f t="shared" si="2"/>
        <v>1.2234480600795057</v>
      </c>
      <c r="K12" s="1">
        <f t="shared" si="4"/>
        <v>60.683288609658327</v>
      </c>
      <c r="L12" s="1">
        <f t="shared" si="3"/>
        <v>50.738739899340544</v>
      </c>
      <c r="M12">
        <v>5.7060000000000004</v>
      </c>
      <c r="N12">
        <v>6.327</v>
      </c>
      <c r="O12">
        <v>1.85</v>
      </c>
      <c r="P12">
        <v>3</v>
      </c>
      <c r="Q12">
        <v>8</v>
      </c>
    </row>
    <row r="13" spans="1:17">
      <c r="A13" t="s">
        <v>25</v>
      </c>
      <c r="B13">
        <v>55.862733800000001</v>
      </c>
      <c r="C13">
        <v>13.3575152</v>
      </c>
      <c r="D13" s="1">
        <v>2851.748</v>
      </c>
      <c r="E13" s="2">
        <v>-118.47599999999998</v>
      </c>
      <c r="F13" s="2">
        <v>18.576000000000001</v>
      </c>
      <c r="G13" s="1">
        <f t="shared" si="0"/>
        <v>119.92343537440877</v>
      </c>
      <c r="H13" s="1">
        <v>102.24</v>
      </c>
      <c r="I13" s="1">
        <f t="shared" si="1"/>
        <v>157.59012644198239</v>
      </c>
      <c r="J13" s="3">
        <f t="shared" si="2"/>
        <v>1.1729600486542329</v>
      </c>
      <c r="K13" s="1">
        <f t="shared" si="4"/>
        <v>67.345701686014365</v>
      </c>
      <c r="L13" s="1">
        <f t="shared" si="3"/>
        <v>49.550949591517821</v>
      </c>
      <c r="M13">
        <v>5.673</v>
      </c>
      <c r="N13">
        <v>6.2690000000000001</v>
      </c>
      <c r="O13">
        <v>1.85</v>
      </c>
      <c r="P13">
        <v>3</v>
      </c>
      <c r="Q13">
        <v>8</v>
      </c>
    </row>
    <row r="14" spans="1:17">
      <c r="A14" t="s">
        <v>26</v>
      </c>
      <c r="B14">
        <v>55.862674400000003</v>
      </c>
      <c r="C14">
        <v>13.3575316</v>
      </c>
      <c r="D14" s="1">
        <v>2843.4340000000002</v>
      </c>
      <c r="E14" s="2">
        <v>-119.77200000000002</v>
      </c>
      <c r="F14" s="2">
        <v>15.048</v>
      </c>
      <c r="G14" s="1">
        <f t="shared" si="0"/>
        <v>120.7136044031492</v>
      </c>
      <c r="H14" s="1">
        <v>106.236</v>
      </c>
      <c r="I14" s="1">
        <f t="shared" si="1"/>
        <v>160.80379965660018</v>
      </c>
      <c r="J14" s="3">
        <f t="shared" si="2"/>
        <v>1.1362777627466132</v>
      </c>
      <c r="K14" s="1">
        <f t="shared" si="4"/>
        <v>74.052013041744871</v>
      </c>
      <c r="L14" s="1">
        <f t="shared" si="3"/>
        <v>48.650075371647823</v>
      </c>
      <c r="M14">
        <v>5.6609999999999996</v>
      </c>
      <c r="N14">
        <v>6.2270000000000003</v>
      </c>
      <c r="O14">
        <v>1.85</v>
      </c>
      <c r="P14">
        <v>3</v>
      </c>
      <c r="Q14">
        <v>8</v>
      </c>
    </row>
    <row r="15" spans="1:17">
      <c r="A15" t="s">
        <v>27</v>
      </c>
      <c r="B15">
        <v>55.862614999999998</v>
      </c>
      <c r="C15">
        <v>13.3575461</v>
      </c>
      <c r="D15" s="1">
        <v>2834.8870000000002</v>
      </c>
      <c r="E15" s="2">
        <v>-121.032</v>
      </c>
      <c r="F15" s="2">
        <v>11.879999999999999</v>
      </c>
      <c r="G15" s="1">
        <f t="shared" si="0"/>
        <v>121.61364818144385</v>
      </c>
      <c r="H15" s="1">
        <v>110.34</v>
      </c>
      <c r="I15" s="1">
        <f t="shared" si="1"/>
        <v>164.2096069783982</v>
      </c>
      <c r="J15" s="3">
        <f t="shared" si="2"/>
        <v>1.1021719066652516</v>
      </c>
      <c r="K15" s="1">
        <f t="shared" si="4"/>
        <v>80.808326829602862</v>
      </c>
      <c r="L15" s="1">
        <f t="shared" si="3"/>
        <v>47.782558353644717</v>
      </c>
      <c r="M15">
        <v>5.6369999999999996</v>
      </c>
      <c r="N15">
        <v>6.1740000000000004</v>
      </c>
      <c r="O15">
        <v>1.84</v>
      </c>
      <c r="P15">
        <v>3</v>
      </c>
      <c r="Q15">
        <v>8</v>
      </c>
    </row>
    <row r="16" spans="1:17">
      <c r="A16" t="s">
        <v>28</v>
      </c>
      <c r="B16">
        <v>55.862555999999998</v>
      </c>
      <c r="C16">
        <v>13.3575591</v>
      </c>
      <c r="D16" s="1">
        <v>2826.2730000000001</v>
      </c>
      <c r="E16" s="2">
        <v>-121.46400000000001</v>
      </c>
      <c r="F16" s="2">
        <v>8.82</v>
      </c>
      <c r="G16" s="1">
        <f t="shared" si="0"/>
        <v>121.78380719947953</v>
      </c>
      <c r="H16" s="1">
        <v>114.264</v>
      </c>
      <c r="I16" s="1">
        <f t="shared" si="1"/>
        <v>166.99568075851545</v>
      </c>
      <c r="J16" s="3">
        <f t="shared" si="2"/>
        <v>1.0658108170506855</v>
      </c>
      <c r="K16" s="1">
        <f t="shared" si="4"/>
        <v>87.574093896240612</v>
      </c>
      <c r="L16" s="1">
        <f t="shared" si="3"/>
        <v>46.824662362771932</v>
      </c>
      <c r="M16">
        <v>5.6120000000000001</v>
      </c>
      <c r="N16">
        <v>6.12</v>
      </c>
      <c r="O16">
        <v>1.81</v>
      </c>
      <c r="P16">
        <v>3</v>
      </c>
      <c r="Q16">
        <v>8</v>
      </c>
    </row>
    <row r="17" spans="1:17">
      <c r="A17" t="s">
        <v>29</v>
      </c>
      <c r="B17">
        <v>55.862497900000001</v>
      </c>
      <c r="C17">
        <v>13.357570600000001</v>
      </c>
      <c r="D17" s="1">
        <v>2817.3240000000001</v>
      </c>
      <c r="E17" s="2">
        <v>-121.93199999999999</v>
      </c>
      <c r="F17" s="2">
        <v>5.8679999999999994</v>
      </c>
      <c r="G17" s="1">
        <f t="shared" si="0"/>
        <v>122.07311763037757</v>
      </c>
      <c r="H17" s="1">
        <v>118.188</v>
      </c>
      <c r="I17" s="1">
        <f t="shared" si="1"/>
        <v>169.91247568086339</v>
      </c>
      <c r="J17" s="3">
        <f t="shared" si="2"/>
        <v>1.0328723527801262</v>
      </c>
      <c r="K17" s="1">
        <f t="shared" si="4"/>
        <v>94.355933764594923</v>
      </c>
      <c r="L17" s="1">
        <f t="shared" si="3"/>
        <v>45.926414753884735</v>
      </c>
      <c r="M17">
        <v>5.59</v>
      </c>
      <c r="N17">
        <v>6.0709999999999997</v>
      </c>
      <c r="O17">
        <v>1.8</v>
      </c>
      <c r="P17">
        <v>3</v>
      </c>
      <c r="Q17">
        <v>8</v>
      </c>
    </row>
    <row r="18" spans="1:17">
      <c r="A18" t="s">
        <v>30</v>
      </c>
      <c r="B18">
        <v>55.862437300000003</v>
      </c>
      <c r="C18">
        <v>13.357579400000001</v>
      </c>
      <c r="D18" s="1">
        <v>2808.4589999999998</v>
      </c>
      <c r="E18" s="2">
        <v>-123.804</v>
      </c>
      <c r="F18" s="2">
        <v>3.6</v>
      </c>
      <c r="G18" s="1">
        <f t="shared" si="0"/>
        <v>123.85632973732106</v>
      </c>
      <c r="H18" s="1">
        <v>121.75200000000001</v>
      </c>
      <c r="I18" s="1">
        <f t="shared" si="1"/>
        <v>173.6776897589325</v>
      </c>
      <c r="J18" s="3">
        <f t="shared" si="2"/>
        <v>1.0172837385613465</v>
      </c>
      <c r="K18" s="1">
        <f t="shared" si="4"/>
        <v>101.23684097222387</v>
      </c>
      <c r="L18" s="1">
        <f t="shared" si="3"/>
        <v>45.490888328895515</v>
      </c>
      <c r="M18">
        <v>5.5709999999999997</v>
      </c>
      <c r="N18">
        <v>6.03</v>
      </c>
      <c r="O18">
        <v>1.78</v>
      </c>
      <c r="P18">
        <v>3</v>
      </c>
      <c r="Q18">
        <v>8</v>
      </c>
    </row>
    <row r="19" spans="1:17">
      <c r="A19" t="s">
        <v>31</v>
      </c>
      <c r="B19">
        <v>55.862375700000001</v>
      </c>
      <c r="C19">
        <v>13.357584900000001</v>
      </c>
      <c r="D19" s="1">
        <v>2799.681</v>
      </c>
      <c r="E19" s="2">
        <v>-125.17200000000001</v>
      </c>
      <c r="F19" s="2">
        <v>1.08</v>
      </c>
      <c r="G19" s="1">
        <f t="shared" si="0"/>
        <v>125.17665910224639</v>
      </c>
      <c r="H19" s="1">
        <v>124.884</v>
      </c>
      <c r="I19" s="1">
        <f t="shared" si="1"/>
        <v>176.81970885622454</v>
      </c>
      <c r="J19" s="3">
        <f t="shared" si="2"/>
        <v>1.0023434475372857</v>
      </c>
      <c r="K19" s="1">
        <f t="shared" si="4"/>
        <v>108.19109981123756</v>
      </c>
      <c r="L19" s="1">
        <f t="shared" si="3"/>
        <v>45.067056224674062</v>
      </c>
      <c r="M19">
        <v>5.5549999999999997</v>
      </c>
      <c r="N19">
        <v>5.9960000000000004</v>
      </c>
      <c r="O19">
        <v>1.74</v>
      </c>
      <c r="P19">
        <v>3</v>
      </c>
      <c r="Q19">
        <v>8</v>
      </c>
    </row>
    <row r="20" spans="1:17">
      <c r="A20" t="s">
        <v>32</v>
      </c>
      <c r="B20">
        <v>55.862314400000002</v>
      </c>
      <c r="C20">
        <v>13.3575894</v>
      </c>
      <c r="D20" s="1">
        <v>2790.7669999999998</v>
      </c>
      <c r="E20" s="2">
        <v>-126.07200000000002</v>
      </c>
      <c r="F20" s="2">
        <v>0.86399999999999999</v>
      </c>
      <c r="G20" s="1">
        <f t="shared" si="0"/>
        <v>126.0749605591848</v>
      </c>
      <c r="H20" s="1">
        <v>127.908</v>
      </c>
      <c r="I20" s="1">
        <f t="shared" si="1"/>
        <v>179.59775094360174</v>
      </c>
      <c r="J20" s="3">
        <f t="shared" si="2"/>
        <v>0.98566907901917633</v>
      </c>
      <c r="K20" s="1">
        <f t="shared" si="4"/>
        <v>115.19526428674783</v>
      </c>
      <c r="L20" s="1">
        <f t="shared" si="3"/>
        <v>44.586493519259669</v>
      </c>
      <c r="M20">
        <v>5.55</v>
      </c>
      <c r="N20">
        <v>5.9619999999999997</v>
      </c>
      <c r="O20">
        <v>1.7</v>
      </c>
      <c r="P20">
        <v>3</v>
      </c>
      <c r="Q20">
        <v>8</v>
      </c>
    </row>
    <row r="21" spans="1:17">
      <c r="A21" t="s">
        <v>33</v>
      </c>
      <c r="B21">
        <v>55.862253099999997</v>
      </c>
      <c r="C21">
        <v>13.3575927</v>
      </c>
      <c r="D21" s="1">
        <v>2781.5120000000002</v>
      </c>
      <c r="E21" s="2">
        <v>-126.756</v>
      </c>
      <c r="F21" s="2">
        <v>3.024</v>
      </c>
      <c r="G21" s="1">
        <f t="shared" si="0"/>
        <v>126.79206643950559</v>
      </c>
      <c r="H21" s="1">
        <v>131.22000000000003</v>
      </c>
      <c r="I21" s="1">
        <f t="shared" si="1"/>
        <v>182.46894670600804</v>
      </c>
      <c r="J21" s="3">
        <f t="shared" si="2"/>
        <v>0.96625565035440908</v>
      </c>
      <c r="K21" s="1">
        <f t="shared" si="4"/>
        <v>122.23926797783147</v>
      </c>
      <c r="L21" s="1">
        <f t="shared" si="3"/>
        <v>44.016801788777656</v>
      </c>
      <c r="M21">
        <v>5.53</v>
      </c>
      <c r="N21">
        <v>5.9139999999999997</v>
      </c>
      <c r="O21">
        <v>1.66</v>
      </c>
      <c r="P21">
        <v>3</v>
      </c>
      <c r="Q21">
        <v>8</v>
      </c>
    </row>
    <row r="22" spans="1:17">
      <c r="A22" t="s">
        <v>34</v>
      </c>
      <c r="B22">
        <v>55.862191699999997</v>
      </c>
      <c r="C22">
        <v>13.357593400000001</v>
      </c>
      <c r="D22" s="1">
        <v>2772.2370000000001</v>
      </c>
      <c r="E22" s="2">
        <v>-127.548</v>
      </c>
      <c r="F22" s="2">
        <v>-5.0759999999999996</v>
      </c>
      <c r="G22" s="1">
        <f t="shared" si="0"/>
        <v>127.64896427311896</v>
      </c>
      <c r="H22" s="1">
        <v>134.316</v>
      </c>
      <c r="I22" s="1">
        <f t="shared" si="1"/>
        <v>185.2971827524639</v>
      </c>
      <c r="J22" s="3">
        <f t="shared" si="2"/>
        <v>0.95036305632328955</v>
      </c>
      <c r="K22" s="1">
        <f t="shared" si="4"/>
        <v>129.33087710411587</v>
      </c>
      <c r="L22" s="1">
        <f t="shared" si="3"/>
        <v>43.542131124966545</v>
      </c>
      <c r="M22">
        <v>5.5090000000000003</v>
      </c>
      <c r="N22">
        <v>5.8689999999999998</v>
      </c>
      <c r="O22">
        <v>1.61</v>
      </c>
      <c r="P22">
        <v>3</v>
      </c>
      <c r="Q22">
        <v>8</v>
      </c>
    </row>
    <row r="23" spans="1:17">
      <c r="A23" t="s">
        <v>35</v>
      </c>
      <c r="B23">
        <v>55.862130700000002</v>
      </c>
      <c r="C23">
        <v>13.357592199999999</v>
      </c>
      <c r="D23" s="1">
        <v>2762.6909999999998</v>
      </c>
      <c r="E23" s="2">
        <v>-128.12400000000002</v>
      </c>
      <c r="F23" s="2">
        <v>-7.9200000000000008</v>
      </c>
      <c r="G23" s="1">
        <f t="shared" si="0"/>
        <v>128.36855446720588</v>
      </c>
      <c r="H23" s="1">
        <v>137.52000000000001</v>
      </c>
      <c r="I23" s="1">
        <f t="shared" si="1"/>
        <v>188.12292836334439</v>
      </c>
      <c r="J23" s="3">
        <f t="shared" si="2"/>
        <v>0.93345371194885018</v>
      </c>
      <c r="K23" s="1">
        <f t="shared" si="4"/>
        <v>136.46246346340507</v>
      </c>
      <c r="L23" s="1">
        <f t="shared" si="3"/>
        <v>43.028751912651011</v>
      </c>
      <c r="M23">
        <v>5.484</v>
      </c>
      <c r="N23">
        <v>5.819</v>
      </c>
      <c r="O23">
        <v>1.58</v>
      </c>
      <c r="P23">
        <v>3</v>
      </c>
      <c r="Q23">
        <v>8</v>
      </c>
    </row>
    <row r="24" spans="1:17">
      <c r="A24" t="s">
        <v>36</v>
      </c>
      <c r="B24">
        <v>55.862068499999999</v>
      </c>
      <c r="C24">
        <v>13.357590099999999</v>
      </c>
      <c r="D24" s="1">
        <v>2752.9810000000002</v>
      </c>
      <c r="E24" s="2">
        <v>-129.636</v>
      </c>
      <c r="F24" s="2">
        <v>-9.7560000000000002</v>
      </c>
      <c r="G24" s="1">
        <f t="shared" ref="G24:G87" si="5">SQRT(E24*E24+F24*F24)</f>
        <v>130.00258471276638</v>
      </c>
      <c r="H24" s="1">
        <v>140.54400000000001</v>
      </c>
      <c r="I24" s="1">
        <f t="shared" ref="I24:I87" si="6">SQRT(G24*G24+H24*H24)</f>
        <v>191.45048437650922</v>
      </c>
      <c r="J24" s="3">
        <f t="shared" ref="J24:J87" si="7">G24/H24</f>
        <v>0.92499562210244746</v>
      </c>
      <c r="K24" s="1">
        <f t="shared" si="4"/>
        <v>143.68482928078097</v>
      </c>
      <c r="L24" s="1">
        <f t="shared" ref="L24:L87" si="8">DEGREES(ATAN((G24*0.2/3.6)/(H24*0.2/3.6)))</f>
        <v>42.76869021616529</v>
      </c>
      <c r="M24">
        <v>5.4619999999999997</v>
      </c>
      <c r="N24">
        <v>5.78</v>
      </c>
      <c r="O24">
        <v>1.55</v>
      </c>
      <c r="P24">
        <v>3</v>
      </c>
      <c r="Q24">
        <v>8</v>
      </c>
    </row>
    <row r="25" spans="1:17">
      <c r="A25" t="s">
        <v>37</v>
      </c>
      <c r="B25">
        <v>55.862005099999998</v>
      </c>
      <c r="C25">
        <v>13.3575853</v>
      </c>
      <c r="D25" s="1">
        <v>2743.1950000000002</v>
      </c>
      <c r="E25" s="2">
        <v>-130.86000000000001</v>
      </c>
      <c r="F25" s="2">
        <v>-12.096</v>
      </c>
      <c r="G25" s="1">
        <f t="shared" si="5"/>
        <v>131.41785577310262</v>
      </c>
      <c r="H25" s="1">
        <v>143.42400000000001</v>
      </c>
      <c r="I25" s="1">
        <f t="shared" si="6"/>
        <v>194.52788127155449</v>
      </c>
      <c r="J25" s="3">
        <f t="shared" si="7"/>
        <v>0.9162891550445017</v>
      </c>
      <c r="K25" s="1">
        <f t="shared" ref="K25:K88" si="9">K24+G25*0.2/3.6</f>
        <v>150.98582126817556</v>
      </c>
      <c r="L25" s="1">
        <f t="shared" si="8"/>
        <v>42.49869130355313</v>
      </c>
      <c r="M25">
        <v>5.44</v>
      </c>
      <c r="N25">
        <v>5.7430000000000003</v>
      </c>
      <c r="O25">
        <v>1.51</v>
      </c>
      <c r="P25">
        <v>3</v>
      </c>
      <c r="Q25">
        <v>8</v>
      </c>
    </row>
    <row r="26" spans="1:17">
      <c r="A26" t="s">
        <v>38</v>
      </c>
      <c r="B26">
        <v>55.861939700000001</v>
      </c>
      <c r="C26">
        <v>13.3575768</v>
      </c>
      <c r="D26" s="1">
        <v>2733.2919999999999</v>
      </c>
      <c r="E26" s="2">
        <v>-132.55199999999999</v>
      </c>
      <c r="F26" s="2">
        <v>-14.076000000000001</v>
      </c>
      <c r="G26" s="1">
        <f t="shared" si="5"/>
        <v>133.29728609390364</v>
      </c>
      <c r="H26" s="1">
        <v>146.12400000000002</v>
      </c>
      <c r="I26" s="1">
        <f t="shared" si="6"/>
        <v>197.78875058000645</v>
      </c>
      <c r="J26" s="3">
        <f t="shared" si="7"/>
        <v>0.91222034774509053</v>
      </c>
      <c r="K26" s="1">
        <f t="shared" si="9"/>
        <v>158.39122605117021</v>
      </c>
      <c r="L26" s="1">
        <f t="shared" si="8"/>
        <v>42.371706997838032</v>
      </c>
      <c r="M26">
        <v>5.4189999999999996</v>
      </c>
      <c r="N26">
        <v>5.7069999999999999</v>
      </c>
      <c r="O26">
        <v>1.47</v>
      </c>
      <c r="P26">
        <v>3</v>
      </c>
      <c r="Q26">
        <v>8</v>
      </c>
    </row>
    <row r="27" spans="1:17">
      <c r="A27" t="s">
        <v>39</v>
      </c>
      <c r="B27">
        <v>55.861874999999998</v>
      </c>
      <c r="C27">
        <v>13.357567899999999</v>
      </c>
      <c r="D27" s="1">
        <v>2723.3670000000002</v>
      </c>
      <c r="E27" s="2">
        <v>-133.38</v>
      </c>
      <c r="F27" s="2">
        <v>-15.696000000000002</v>
      </c>
      <c r="G27" s="1">
        <f t="shared" si="5"/>
        <v>134.30036789227347</v>
      </c>
      <c r="H27" s="1">
        <v>148.82400000000001</v>
      </c>
      <c r="I27" s="1">
        <f t="shared" si="6"/>
        <v>200.46239495725877</v>
      </c>
      <c r="J27" s="3">
        <f t="shared" si="7"/>
        <v>0.90241068572457039</v>
      </c>
      <c r="K27" s="1">
        <f t="shared" si="9"/>
        <v>165.85235760074096</v>
      </c>
      <c r="L27" s="1">
        <f t="shared" si="8"/>
        <v>42.06343165045201</v>
      </c>
      <c r="M27">
        <v>5.399</v>
      </c>
      <c r="N27">
        <v>5.673</v>
      </c>
      <c r="O27">
        <v>1.43</v>
      </c>
      <c r="P27">
        <v>3</v>
      </c>
      <c r="Q27">
        <v>8</v>
      </c>
    </row>
    <row r="28" spans="1:17">
      <c r="A28" t="s">
        <v>40</v>
      </c>
      <c r="B28">
        <v>55.861810499999997</v>
      </c>
      <c r="C28">
        <v>13.3575573</v>
      </c>
      <c r="D28" s="1">
        <v>2713.3090000000002</v>
      </c>
      <c r="E28" s="2">
        <v>-133.16400000000002</v>
      </c>
      <c r="F28" s="2">
        <v>-17.315999999999999</v>
      </c>
      <c r="G28" s="1">
        <f t="shared" si="5"/>
        <v>134.28512483518048</v>
      </c>
      <c r="H28" s="1">
        <v>151.41600000000003</v>
      </c>
      <c r="I28" s="1">
        <f t="shared" si="6"/>
        <v>202.38404039844647</v>
      </c>
      <c r="J28" s="3">
        <f t="shared" si="7"/>
        <v>0.8868621865270544</v>
      </c>
      <c r="K28" s="1">
        <f t="shared" si="9"/>
        <v>173.31264231380655</v>
      </c>
      <c r="L28" s="1">
        <f t="shared" si="8"/>
        <v>41.56860615025824</v>
      </c>
      <c r="M28">
        <v>5.3780000000000001</v>
      </c>
      <c r="N28">
        <v>5.641</v>
      </c>
      <c r="O28">
        <v>1.39</v>
      </c>
      <c r="P28">
        <v>3</v>
      </c>
      <c r="Q28">
        <v>8</v>
      </c>
    </row>
    <row r="29" spans="1:17">
      <c r="A29" t="s">
        <v>41</v>
      </c>
      <c r="B29">
        <v>55.861744100000003</v>
      </c>
      <c r="C29">
        <v>13.357542799999999</v>
      </c>
      <c r="D29" s="1">
        <v>2703.35</v>
      </c>
      <c r="E29" s="2">
        <v>-133.95600000000002</v>
      </c>
      <c r="F29" s="2">
        <v>-19.188000000000002</v>
      </c>
      <c r="G29" s="1">
        <f t="shared" si="5"/>
        <v>135.32327693342341</v>
      </c>
      <c r="H29" s="1">
        <v>153.792</v>
      </c>
      <c r="I29" s="1">
        <f t="shared" si="6"/>
        <v>204.85206502254258</v>
      </c>
      <c r="J29" s="3">
        <f t="shared" si="7"/>
        <v>0.87991102874937199</v>
      </c>
      <c r="K29" s="1">
        <f t="shared" si="9"/>
        <v>180.83060214344118</v>
      </c>
      <c r="L29" s="1">
        <f t="shared" si="8"/>
        <v>41.344904191009242</v>
      </c>
      <c r="M29">
        <v>5.3639999999999999</v>
      </c>
      <c r="N29">
        <v>5.6130000000000004</v>
      </c>
      <c r="O29">
        <v>1.35</v>
      </c>
      <c r="P29">
        <v>3</v>
      </c>
      <c r="Q29">
        <v>8</v>
      </c>
    </row>
    <row r="30" spans="1:17">
      <c r="A30" t="s">
        <v>42</v>
      </c>
      <c r="B30">
        <v>55.8616776</v>
      </c>
      <c r="C30">
        <v>13.3575263</v>
      </c>
      <c r="D30" s="1">
        <v>2692.9470000000001</v>
      </c>
      <c r="E30" s="2">
        <v>-134.78399999999999</v>
      </c>
      <c r="F30" s="2">
        <v>-21.167999999999999</v>
      </c>
      <c r="G30" s="1">
        <f t="shared" si="5"/>
        <v>136.43610548531498</v>
      </c>
      <c r="H30" s="1">
        <v>156.34800000000001</v>
      </c>
      <c r="I30" s="1">
        <f t="shared" si="6"/>
        <v>207.50785041535175</v>
      </c>
      <c r="J30" s="3">
        <f t="shared" si="7"/>
        <v>0.87264375294416918</v>
      </c>
      <c r="K30" s="1">
        <f t="shared" si="9"/>
        <v>188.41038578151424</v>
      </c>
      <c r="L30" s="1">
        <f t="shared" si="8"/>
        <v>41.109373939736244</v>
      </c>
      <c r="M30">
        <v>5.351</v>
      </c>
      <c r="N30">
        <v>5.5819999999999999</v>
      </c>
      <c r="O30">
        <v>1.32</v>
      </c>
      <c r="P30">
        <v>3</v>
      </c>
      <c r="Q30">
        <v>8</v>
      </c>
    </row>
    <row r="31" spans="1:17">
      <c r="A31" t="s">
        <v>43</v>
      </c>
      <c r="B31">
        <v>55.861609600000001</v>
      </c>
      <c r="C31">
        <v>13.3575061</v>
      </c>
      <c r="D31" s="1">
        <v>2682.5079999999998</v>
      </c>
      <c r="E31" s="2">
        <v>-135.93600000000001</v>
      </c>
      <c r="F31" s="2">
        <v>-23.94</v>
      </c>
      <c r="G31" s="1">
        <f t="shared" si="5"/>
        <v>138.02796707913944</v>
      </c>
      <c r="H31" s="1">
        <v>158.68799999999999</v>
      </c>
      <c r="I31" s="1">
        <f t="shared" si="6"/>
        <v>210.31785715911047</v>
      </c>
      <c r="J31" s="3">
        <f t="shared" si="7"/>
        <v>0.8698072133944561</v>
      </c>
      <c r="K31" s="1">
        <f t="shared" si="9"/>
        <v>196.07860617479977</v>
      </c>
      <c r="L31" s="1">
        <f t="shared" si="8"/>
        <v>41.016981294598885</v>
      </c>
      <c r="M31">
        <v>5.335</v>
      </c>
      <c r="N31">
        <v>5.5570000000000004</v>
      </c>
      <c r="O31">
        <v>1.29</v>
      </c>
      <c r="P31">
        <v>3</v>
      </c>
      <c r="Q31">
        <v>8</v>
      </c>
    </row>
    <row r="32" spans="1:17">
      <c r="A32" t="s">
        <v>44</v>
      </c>
      <c r="B32">
        <v>55.861542399999998</v>
      </c>
      <c r="C32">
        <v>13.3574851</v>
      </c>
      <c r="D32" s="1">
        <v>2672.154</v>
      </c>
      <c r="E32" s="2">
        <v>-135.864</v>
      </c>
      <c r="F32" s="2">
        <v>-26.676000000000002</v>
      </c>
      <c r="G32" s="1">
        <f t="shared" si="5"/>
        <v>138.45806394717499</v>
      </c>
      <c r="H32" s="1">
        <v>160.66800000000001</v>
      </c>
      <c r="I32" s="1">
        <f t="shared" si="6"/>
        <v>212.09630288149768</v>
      </c>
      <c r="J32" s="3">
        <f t="shared" si="7"/>
        <v>0.86176503066680976</v>
      </c>
      <c r="K32" s="1">
        <f t="shared" si="9"/>
        <v>203.77072083853173</v>
      </c>
      <c r="L32" s="1">
        <f t="shared" si="8"/>
        <v>40.753613706809169</v>
      </c>
      <c r="M32">
        <v>5.3230000000000004</v>
      </c>
      <c r="N32">
        <v>5.5380000000000003</v>
      </c>
      <c r="O32">
        <v>1.24</v>
      </c>
      <c r="P32">
        <v>3</v>
      </c>
      <c r="Q32">
        <v>8</v>
      </c>
    </row>
    <row r="33" spans="1:17">
      <c r="A33" t="s">
        <v>45</v>
      </c>
      <c r="B33">
        <v>55.861474999999999</v>
      </c>
      <c r="C33">
        <v>13.357462</v>
      </c>
      <c r="D33" s="1">
        <v>2661.951</v>
      </c>
      <c r="E33" s="2">
        <v>-135.684</v>
      </c>
      <c r="F33" s="2">
        <v>-29.736000000000001</v>
      </c>
      <c r="G33" s="1">
        <f t="shared" si="5"/>
        <v>138.90420278738867</v>
      </c>
      <c r="H33" s="1">
        <v>162.32400000000001</v>
      </c>
      <c r="I33" s="1">
        <f t="shared" si="6"/>
        <v>213.64329740949049</v>
      </c>
      <c r="J33" s="3">
        <f t="shared" si="7"/>
        <v>0.85572190672598425</v>
      </c>
      <c r="K33" s="1">
        <f t="shared" si="9"/>
        <v>211.48762099338666</v>
      </c>
      <c r="L33" s="1">
        <f t="shared" si="8"/>
        <v>40.554328637223456</v>
      </c>
      <c r="M33">
        <v>5.319</v>
      </c>
      <c r="N33">
        <v>5.5259999999999998</v>
      </c>
      <c r="O33">
        <v>1.19</v>
      </c>
      <c r="P33">
        <v>3</v>
      </c>
      <c r="Q33">
        <v>8</v>
      </c>
    </row>
    <row r="34" spans="1:17">
      <c r="A34" t="s">
        <v>46</v>
      </c>
      <c r="B34">
        <v>55.861407</v>
      </c>
      <c r="C34">
        <v>13.357433800000001</v>
      </c>
      <c r="D34" s="1">
        <v>2651.652</v>
      </c>
      <c r="E34" s="2">
        <v>-135.9</v>
      </c>
      <c r="F34" s="2">
        <v>-33.228000000000002</v>
      </c>
      <c r="G34" s="1">
        <f t="shared" si="5"/>
        <v>139.90321648911436</v>
      </c>
      <c r="H34" s="1">
        <v>163.83599999999998</v>
      </c>
      <c r="I34" s="1">
        <f t="shared" si="6"/>
        <v>215.44174358744871</v>
      </c>
      <c r="J34" s="3">
        <f t="shared" si="7"/>
        <v>0.85392231554184894</v>
      </c>
      <c r="K34" s="1">
        <f t="shared" si="9"/>
        <v>219.26002190944857</v>
      </c>
      <c r="L34" s="1">
        <f t="shared" si="8"/>
        <v>40.494752888037567</v>
      </c>
      <c r="M34">
        <v>5.3179999999999996</v>
      </c>
      <c r="N34">
        <v>5.5220000000000002</v>
      </c>
      <c r="O34">
        <v>1.1499999999999999</v>
      </c>
      <c r="P34">
        <v>3</v>
      </c>
      <c r="Q34">
        <v>8</v>
      </c>
    </row>
    <row r="35" spans="1:17">
      <c r="A35" t="s">
        <v>47</v>
      </c>
      <c r="B35">
        <v>55.861339800000003</v>
      </c>
      <c r="C35">
        <v>13.357404600000001</v>
      </c>
      <c r="D35" s="1">
        <v>2641.395</v>
      </c>
      <c r="E35" s="2">
        <v>-135.828</v>
      </c>
      <c r="F35" s="2">
        <v>-35.928000000000004</v>
      </c>
      <c r="G35" s="1">
        <f t="shared" si="5"/>
        <v>140.49934792731247</v>
      </c>
      <c r="H35" s="1">
        <v>165.20400000000001</v>
      </c>
      <c r="I35" s="1">
        <f t="shared" si="6"/>
        <v>216.86961148118471</v>
      </c>
      <c r="J35" s="3">
        <f t="shared" si="7"/>
        <v>0.85045972208489184</v>
      </c>
      <c r="K35" s="1">
        <f t="shared" si="9"/>
        <v>227.06554123874372</v>
      </c>
      <c r="L35" s="1">
        <f t="shared" si="8"/>
        <v>40.379824910084231</v>
      </c>
      <c r="M35">
        <v>5.3159999999999998</v>
      </c>
      <c r="N35">
        <v>5.5190000000000001</v>
      </c>
      <c r="O35">
        <v>1.1299999999999999</v>
      </c>
      <c r="P35">
        <v>3</v>
      </c>
      <c r="Q35">
        <v>8</v>
      </c>
    </row>
    <row r="36" spans="1:17">
      <c r="A36" t="s">
        <v>48</v>
      </c>
      <c r="B36">
        <v>55.861273500000003</v>
      </c>
      <c r="C36">
        <v>13.357374800000001</v>
      </c>
      <c r="D36" s="1">
        <v>2631.3359999999998</v>
      </c>
      <c r="E36" s="2">
        <v>-135.43199999999999</v>
      </c>
      <c r="F36" s="2">
        <v>-38.016000000000005</v>
      </c>
      <c r="G36" s="1">
        <f t="shared" si="5"/>
        <v>140.66642413881146</v>
      </c>
      <c r="H36" s="1">
        <v>166.10400000000001</v>
      </c>
      <c r="I36" s="1">
        <f t="shared" si="6"/>
        <v>217.663919141414</v>
      </c>
      <c r="J36" s="3">
        <f t="shared" si="7"/>
        <v>0.84685753587397927</v>
      </c>
      <c r="K36" s="1">
        <f t="shared" si="9"/>
        <v>234.88034257978879</v>
      </c>
      <c r="L36" s="1">
        <f t="shared" si="8"/>
        <v>40.259846082814647</v>
      </c>
      <c r="M36">
        <v>5.3159999999999998</v>
      </c>
      <c r="N36">
        <v>5.5149999999999997</v>
      </c>
      <c r="O36">
        <v>1.1299999999999999</v>
      </c>
      <c r="P36">
        <v>3</v>
      </c>
      <c r="Q36">
        <v>8</v>
      </c>
    </row>
    <row r="37" spans="1:17">
      <c r="A37" t="s">
        <v>49</v>
      </c>
      <c r="B37">
        <v>55.861207299999997</v>
      </c>
      <c r="C37">
        <v>13.357341699999999</v>
      </c>
      <c r="D37" s="1">
        <v>2621.2730000000001</v>
      </c>
      <c r="E37" s="2">
        <v>-134.85599999999999</v>
      </c>
      <c r="F37" s="2">
        <v>-40.788000000000004</v>
      </c>
      <c r="G37" s="1">
        <f t="shared" si="5"/>
        <v>140.88932422295167</v>
      </c>
      <c r="H37" s="1">
        <v>166.93199999999999</v>
      </c>
      <c r="I37" s="1">
        <f t="shared" si="6"/>
        <v>218.44013894886623</v>
      </c>
      <c r="J37" s="3">
        <f t="shared" si="7"/>
        <v>0.84399230958085736</v>
      </c>
      <c r="K37" s="1">
        <f t="shared" si="9"/>
        <v>242.70752725884165</v>
      </c>
      <c r="L37" s="1">
        <f t="shared" si="8"/>
        <v>40.164108477276862</v>
      </c>
      <c r="M37">
        <v>5.32</v>
      </c>
      <c r="N37">
        <v>5.5140000000000002</v>
      </c>
      <c r="O37">
        <v>1.1399999999999999</v>
      </c>
      <c r="P37">
        <v>3</v>
      </c>
      <c r="Q37">
        <v>8</v>
      </c>
    </row>
    <row r="38" spans="1:17">
      <c r="A38" t="s">
        <v>50</v>
      </c>
      <c r="B38">
        <v>55.861142000000001</v>
      </c>
      <c r="C38">
        <v>13.357305200000001</v>
      </c>
      <c r="D38" s="1">
        <v>2611.1819999999998</v>
      </c>
      <c r="E38" s="2">
        <v>-133.23599999999999</v>
      </c>
      <c r="F38" s="2">
        <v>-43.92</v>
      </c>
      <c r="G38" s="1">
        <f t="shared" si="5"/>
        <v>140.28826784874065</v>
      </c>
      <c r="H38" s="1">
        <v>167.61600000000001</v>
      </c>
      <c r="I38" s="1">
        <f t="shared" si="6"/>
        <v>218.57703802549801</v>
      </c>
      <c r="J38" s="3">
        <f t="shared" si="7"/>
        <v>0.83696227000250956</v>
      </c>
      <c r="K38" s="1">
        <f t="shared" si="9"/>
        <v>250.50131991710501</v>
      </c>
      <c r="L38" s="1">
        <f t="shared" si="8"/>
        <v>39.928060806422039</v>
      </c>
      <c r="M38">
        <v>5.3230000000000004</v>
      </c>
      <c r="N38">
        <v>5.5049999999999999</v>
      </c>
      <c r="O38">
        <v>1.1399999999999999</v>
      </c>
      <c r="P38">
        <v>3</v>
      </c>
      <c r="Q38">
        <v>8</v>
      </c>
    </row>
    <row r="39" spans="1:17">
      <c r="A39" t="s">
        <v>51</v>
      </c>
      <c r="B39">
        <v>55.861076300000001</v>
      </c>
      <c r="C39">
        <v>13.3572658</v>
      </c>
      <c r="D39" s="1">
        <v>2601.0720000000001</v>
      </c>
      <c r="E39" s="2">
        <v>-132.66</v>
      </c>
      <c r="F39" s="2">
        <v>-46.440000000000005</v>
      </c>
      <c r="G39" s="1">
        <f t="shared" si="5"/>
        <v>140.55372353658939</v>
      </c>
      <c r="H39" s="1">
        <v>168.44399999999999</v>
      </c>
      <c r="I39" s="1">
        <f t="shared" si="6"/>
        <v>219.38261174486914</v>
      </c>
      <c r="J39" s="3">
        <f t="shared" si="7"/>
        <v>0.83442404322261043</v>
      </c>
      <c r="K39" s="1">
        <f t="shared" si="9"/>
        <v>258.3098601135822</v>
      </c>
      <c r="L39" s="1">
        <f t="shared" si="8"/>
        <v>39.842432472220821</v>
      </c>
      <c r="M39">
        <v>5.327</v>
      </c>
      <c r="N39">
        <v>5.4969999999999999</v>
      </c>
      <c r="O39">
        <v>1.1499999999999999</v>
      </c>
      <c r="P39">
        <v>3</v>
      </c>
      <c r="Q39">
        <v>8</v>
      </c>
    </row>
    <row r="40" spans="1:17">
      <c r="A40" t="s">
        <v>52</v>
      </c>
      <c r="B40">
        <v>55.861010399999998</v>
      </c>
      <c r="C40">
        <v>13.3572238</v>
      </c>
      <c r="D40" s="1">
        <v>2590.9870000000001</v>
      </c>
      <c r="E40" s="2">
        <v>-132.30000000000001</v>
      </c>
      <c r="F40" s="2">
        <v>-48.923999999999999</v>
      </c>
      <c r="G40" s="1">
        <f t="shared" si="5"/>
        <v>141.05618659243558</v>
      </c>
      <c r="H40" s="1">
        <v>169.16400000000002</v>
      </c>
      <c r="I40" s="1">
        <f t="shared" si="6"/>
        <v>220.25736462602109</v>
      </c>
      <c r="J40" s="3">
        <f t="shared" si="7"/>
        <v>0.83384281875833843</v>
      </c>
      <c r="K40" s="1">
        <f t="shared" si="9"/>
        <v>266.14631492427304</v>
      </c>
      <c r="L40" s="1">
        <f t="shared" si="8"/>
        <v>39.822794466713432</v>
      </c>
      <c r="M40">
        <v>5.3259999999999996</v>
      </c>
      <c r="N40">
        <v>5.4880000000000004</v>
      </c>
      <c r="O40">
        <v>1.1499999999999999</v>
      </c>
      <c r="P40">
        <v>3</v>
      </c>
      <c r="Q40">
        <v>8</v>
      </c>
    </row>
    <row r="41" spans="1:17">
      <c r="A41" t="s">
        <v>53</v>
      </c>
      <c r="B41">
        <v>55.860942299999998</v>
      </c>
      <c r="C41">
        <v>13.357176900000001</v>
      </c>
      <c r="D41" s="1">
        <v>2580.9279999999999</v>
      </c>
      <c r="E41" s="2">
        <v>-133.52400000000003</v>
      </c>
      <c r="F41" s="2">
        <v>-51.948</v>
      </c>
      <c r="G41" s="1">
        <f t="shared" si="5"/>
        <v>143.27335160454649</v>
      </c>
      <c r="H41" s="1">
        <v>169.77599999999998</v>
      </c>
      <c r="I41" s="1">
        <f t="shared" si="6"/>
        <v>222.15117252897855</v>
      </c>
      <c r="J41" s="3">
        <f t="shared" si="7"/>
        <v>0.84389637878467216</v>
      </c>
      <c r="K41" s="1">
        <f t="shared" si="9"/>
        <v>274.10594556897007</v>
      </c>
      <c r="L41" s="1">
        <f t="shared" si="8"/>
        <v>40.160898399747907</v>
      </c>
      <c r="M41">
        <v>5.319</v>
      </c>
      <c r="N41">
        <v>5.4770000000000003</v>
      </c>
      <c r="O41">
        <v>1.1399999999999999</v>
      </c>
      <c r="P41">
        <v>3</v>
      </c>
      <c r="Q41">
        <v>8</v>
      </c>
    </row>
    <row r="42" spans="1:17">
      <c r="A42" t="s">
        <v>54</v>
      </c>
      <c r="B42">
        <v>55.8608744</v>
      </c>
      <c r="C42">
        <v>13.3571271</v>
      </c>
      <c r="D42" s="1">
        <v>2570.8879999999999</v>
      </c>
      <c r="E42" s="2">
        <v>-133.84800000000001</v>
      </c>
      <c r="F42" s="2">
        <v>-55.224000000000004</v>
      </c>
      <c r="G42" s="1">
        <f t="shared" si="5"/>
        <v>144.79287717287755</v>
      </c>
      <c r="H42" s="1">
        <v>170.316</v>
      </c>
      <c r="I42" s="1">
        <f t="shared" si="6"/>
        <v>223.54533575093893</v>
      </c>
      <c r="J42" s="3">
        <f t="shared" si="7"/>
        <v>0.85014254193896965</v>
      </c>
      <c r="K42" s="1">
        <f t="shared" si="9"/>
        <v>282.14999430079661</v>
      </c>
      <c r="L42" s="1">
        <f t="shared" si="8"/>
        <v>40.369277633798632</v>
      </c>
      <c r="M42">
        <v>5.3140000000000001</v>
      </c>
      <c r="N42">
        <v>5.4660000000000002</v>
      </c>
      <c r="O42">
        <v>1.1399999999999999</v>
      </c>
      <c r="P42">
        <v>3</v>
      </c>
      <c r="Q42">
        <v>8</v>
      </c>
    </row>
    <row r="43" spans="1:17">
      <c r="A43" t="s">
        <v>55</v>
      </c>
      <c r="B43">
        <v>55.8608063</v>
      </c>
      <c r="C43">
        <v>13.357074600000001</v>
      </c>
      <c r="D43" s="1">
        <v>2560.8420000000001</v>
      </c>
      <c r="E43" s="2">
        <v>-134.208</v>
      </c>
      <c r="F43" s="2">
        <v>-58.176000000000002</v>
      </c>
      <c r="G43" s="1">
        <f t="shared" si="5"/>
        <v>146.27451671429304</v>
      </c>
      <c r="H43" s="1">
        <v>170.892</v>
      </c>
      <c r="I43" s="1">
        <f t="shared" si="6"/>
        <v>224.94512642864703</v>
      </c>
      <c r="J43" s="3">
        <f t="shared" si="7"/>
        <v>0.8559471286794762</v>
      </c>
      <c r="K43" s="1">
        <f t="shared" si="9"/>
        <v>290.27635634047954</v>
      </c>
      <c r="L43" s="1">
        <f t="shared" si="8"/>
        <v>40.561777191085248</v>
      </c>
      <c r="M43">
        <v>5.3079999999999998</v>
      </c>
      <c r="N43">
        <v>5.4560000000000004</v>
      </c>
      <c r="O43">
        <v>1.1399999999999999</v>
      </c>
      <c r="P43">
        <v>3</v>
      </c>
      <c r="Q43">
        <v>8</v>
      </c>
    </row>
    <row r="44" spans="1:17">
      <c r="A44" t="s">
        <v>56</v>
      </c>
      <c r="B44">
        <v>55.860737</v>
      </c>
      <c r="C44">
        <v>13.3570166</v>
      </c>
      <c r="D44" s="1">
        <v>2550.8580000000002</v>
      </c>
      <c r="E44" s="2">
        <v>-134.85599999999999</v>
      </c>
      <c r="F44" s="2">
        <v>-62.208000000000006</v>
      </c>
      <c r="G44" s="1">
        <f t="shared" si="5"/>
        <v>148.51254492466285</v>
      </c>
      <c r="H44" s="1">
        <v>171.25200000000001</v>
      </c>
      <c r="I44" s="1">
        <f t="shared" si="6"/>
        <v>226.67867897973997</v>
      </c>
      <c r="J44" s="3">
        <f t="shared" si="7"/>
        <v>0.86721641163118002</v>
      </c>
      <c r="K44" s="1">
        <f t="shared" si="9"/>
        <v>298.52705328073858</v>
      </c>
      <c r="L44" s="1">
        <f t="shared" si="8"/>
        <v>40.932365801095429</v>
      </c>
      <c r="M44">
        <v>5.2939999999999996</v>
      </c>
      <c r="N44">
        <v>5.4429999999999996</v>
      </c>
      <c r="O44">
        <v>1.1399999999999999</v>
      </c>
      <c r="P44">
        <v>3</v>
      </c>
      <c r="Q44">
        <v>8</v>
      </c>
    </row>
    <row r="45" spans="1:17">
      <c r="A45" t="s">
        <v>57</v>
      </c>
      <c r="B45">
        <v>55.860667999999997</v>
      </c>
      <c r="C45">
        <v>13.3569561</v>
      </c>
      <c r="D45" s="1">
        <v>2540.884</v>
      </c>
      <c r="E45" s="2">
        <v>-135.072</v>
      </c>
      <c r="F45" s="2">
        <v>-65.736000000000004</v>
      </c>
      <c r="G45" s="1">
        <f t="shared" si="5"/>
        <v>150.21873012377651</v>
      </c>
      <c r="H45" s="1">
        <v>171.50400000000002</v>
      </c>
      <c r="I45" s="1">
        <f t="shared" si="6"/>
        <v>227.98966839749559</v>
      </c>
      <c r="J45" s="3">
        <f t="shared" si="7"/>
        <v>0.87589053388711924</v>
      </c>
      <c r="K45" s="1">
        <f t="shared" si="9"/>
        <v>306.87253828761504</v>
      </c>
      <c r="L45" s="1">
        <f t="shared" si="8"/>
        <v>41.214810869461374</v>
      </c>
      <c r="M45">
        <v>5.2850000000000001</v>
      </c>
      <c r="N45">
        <v>5.4320000000000004</v>
      </c>
      <c r="O45">
        <v>1.1499999999999999</v>
      </c>
      <c r="P45">
        <v>3</v>
      </c>
      <c r="Q45">
        <v>8</v>
      </c>
    </row>
    <row r="46" spans="1:17">
      <c r="A46" t="s">
        <v>58</v>
      </c>
      <c r="B46">
        <v>55.860598699999997</v>
      </c>
      <c r="C46">
        <v>13.3568932</v>
      </c>
      <c r="D46" s="1">
        <v>2530.9859999999999</v>
      </c>
      <c r="E46" s="2">
        <v>-135.14400000000001</v>
      </c>
      <c r="F46" s="2">
        <v>-68.796000000000006</v>
      </c>
      <c r="G46" s="1">
        <f t="shared" si="5"/>
        <v>151.64692661574122</v>
      </c>
      <c r="H46" s="1">
        <v>171.756</v>
      </c>
      <c r="I46" s="1">
        <f t="shared" si="6"/>
        <v>229.12205020032445</v>
      </c>
      <c r="J46" s="3">
        <f t="shared" si="7"/>
        <v>0.88292069340076162</v>
      </c>
      <c r="K46" s="1">
        <f t="shared" si="9"/>
        <v>315.29736754404513</v>
      </c>
      <c r="L46" s="1">
        <f t="shared" si="8"/>
        <v>41.441950579191008</v>
      </c>
      <c r="M46">
        <v>5.2839999999999998</v>
      </c>
      <c r="N46">
        <v>5.4359999999999999</v>
      </c>
      <c r="O46">
        <v>1.1599999999999999</v>
      </c>
      <c r="P46">
        <v>3</v>
      </c>
      <c r="Q46">
        <v>8</v>
      </c>
    </row>
    <row r="47" spans="1:17">
      <c r="A47" t="s">
        <v>59</v>
      </c>
      <c r="B47">
        <v>55.8605296</v>
      </c>
      <c r="C47">
        <v>13.356826999999999</v>
      </c>
      <c r="D47" s="1">
        <v>2521.0340000000001</v>
      </c>
      <c r="E47" s="2">
        <v>-134.85599999999999</v>
      </c>
      <c r="F47" s="2">
        <v>-72.396000000000001</v>
      </c>
      <c r="G47" s="1">
        <f t="shared" si="5"/>
        <v>153.05986264203949</v>
      </c>
      <c r="H47" s="1">
        <v>172.07999999999998</v>
      </c>
      <c r="I47" s="1">
        <f t="shared" si="6"/>
        <v>230.30164556945743</v>
      </c>
      <c r="J47" s="3">
        <f t="shared" si="7"/>
        <v>0.88946921572547366</v>
      </c>
      <c r="K47" s="1">
        <f t="shared" si="9"/>
        <v>323.80069324638066</v>
      </c>
      <c r="L47" s="1">
        <f t="shared" si="8"/>
        <v>41.652108278543665</v>
      </c>
      <c r="M47">
        <v>5.2750000000000004</v>
      </c>
      <c r="N47">
        <v>5.4370000000000003</v>
      </c>
      <c r="O47">
        <v>1.1499999999999999</v>
      </c>
      <c r="P47">
        <v>3</v>
      </c>
      <c r="Q47">
        <v>8</v>
      </c>
    </row>
    <row r="48" spans="1:17">
      <c r="A48" t="s">
        <v>60</v>
      </c>
      <c r="B48">
        <v>55.860460400000001</v>
      </c>
      <c r="C48">
        <v>13.3567567</v>
      </c>
      <c r="D48" s="1">
        <v>2511.078</v>
      </c>
      <c r="E48" s="2">
        <v>-135.14400000000001</v>
      </c>
      <c r="F48" s="2">
        <v>-76.644000000000005</v>
      </c>
      <c r="G48" s="1">
        <f t="shared" si="5"/>
        <v>155.36474333644685</v>
      </c>
      <c r="H48" s="1">
        <v>172.33199999999999</v>
      </c>
      <c r="I48" s="1">
        <f t="shared" si="6"/>
        <v>232.02698484443573</v>
      </c>
      <c r="J48" s="3">
        <f t="shared" si="7"/>
        <v>0.90154320344710703</v>
      </c>
      <c r="K48" s="1">
        <f t="shared" si="9"/>
        <v>332.43206787618328</v>
      </c>
      <c r="L48" s="1">
        <f t="shared" si="8"/>
        <v>42.036025328821374</v>
      </c>
      <c r="M48">
        <v>5.266</v>
      </c>
      <c r="N48">
        <v>5.4390000000000001</v>
      </c>
      <c r="O48">
        <v>1.1499999999999999</v>
      </c>
      <c r="P48">
        <v>3</v>
      </c>
      <c r="Q48">
        <v>8</v>
      </c>
    </row>
    <row r="49" spans="1:17">
      <c r="A49" t="s">
        <v>61</v>
      </c>
      <c r="B49">
        <v>55.8603916</v>
      </c>
      <c r="C49">
        <v>13.3566837</v>
      </c>
      <c r="D49" s="1">
        <v>2501.067</v>
      </c>
      <c r="E49" s="2">
        <v>-134.892</v>
      </c>
      <c r="F49" s="2">
        <v>-80.171999999999997</v>
      </c>
      <c r="G49" s="1">
        <f t="shared" si="5"/>
        <v>156.91845413462369</v>
      </c>
      <c r="H49" s="1">
        <v>172.72799999999998</v>
      </c>
      <c r="I49" s="1">
        <f t="shared" si="6"/>
        <v>233.36315740064882</v>
      </c>
      <c r="J49" s="3">
        <f t="shared" si="7"/>
        <v>0.90847143563651356</v>
      </c>
      <c r="K49" s="1">
        <f t="shared" si="9"/>
        <v>341.14975977255125</v>
      </c>
      <c r="L49" s="1">
        <f t="shared" si="8"/>
        <v>42.254250076710804</v>
      </c>
      <c r="M49">
        <v>5.2569999999999997</v>
      </c>
      <c r="N49">
        <v>5.4409999999999998</v>
      </c>
      <c r="O49">
        <v>1.1399999999999999</v>
      </c>
      <c r="P49">
        <v>3</v>
      </c>
      <c r="Q49">
        <v>8</v>
      </c>
    </row>
    <row r="50" spans="1:17">
      <c r="A50" t="s">
        <v>62</v>
      </c>
      <c r="B50">
        <v>55.860323399999999</v>
      </c>
      <c r="C50">
        <v>13.3566076</v>
      </c>
      <c r="D50" s="1">
        <v>2490.895</v>
      </c>
      <c r="E50" s="2">
        <v>-134.49600000000001</v>
      </c>
      <c r="F50" s="2">
        <v>-83.915999999999997</v>
      </c>
      <c r="G50" s="1">
        <f t="shared" si="5"/>
        <v>158.52781797526893</v>
      </c>
      <c r="H50" s="1">
        <v>173.376</v>
      </c>
      <c r="I50" s="1">
        <f t="shared" si="6"/>
        <v>234.9261723350551</v>
      </c>
      <c r="J50" s="3">
        <f t="shared" si="7"/>
        <v>0.91435849238227274</v>
      </c>
      <c r="K50" s="1">
        <f t="shared" si="9"/>
        <v>349.95686077117728</v>
      </c>
      <c r="L50" s="1">
        <f t="shared" si="8"/>
        <v>42.438500982462024</v>
      </c>
      <c r="M50">
        <v>5.2439999999999998</v>
      </c>
      <c r="N50">
        <v>5.4390000000000001</v>
      </c>
      <c r="O50">
        <v>1.1399999999999999</v>
      </c>
      <c r="P50">
        <v>3</v>
      </c>
      <c r="Q50">
        <v>8</v>
      </c>
    </row>
    <row r="51" spans="1:17">
      <c r="A51" t="s">
        <v>63</v>
      </c>
      <c r="B51">
        <v>55.860255700000003</v>
      </c>
      <c r="C51">
        <v>13.356529399999999</v>
      </c>
      <c r="D51" s="1">
        <v>2480.6979999999999</v>
      </c>
      <c r="E51" s="2">
        <v>-133.81200000000001</v>
      </c>
      <c r="F51" s="2">
        <v>-86.94</v>
      </c>
      <c r="G51" s="1">
        <f t="shared" si="5"/>
        <v>159.575107532472</v>
      </c>
      <c r="H51" s="1">
        <v>174.096</v>
      </c>
      <c r="I51" s="1">
        <f t="shared" si="6"/>
        <v>236.16441764160834</v>
      </c>
      <c r="J51" s="3">
        <f t="shared" si="7"/>
        <v>0.91659261288296112</v>
      </c>
      <c r="K51" s="1">
        <f t="shared" si="9"/>
        <v>358.82214452298126</v>
      </c>
      <c r="L51" s="1">
        <f t="shared" si="8"/>
        <v>42.508141379464931</v>
      </c>
      <c r="M51">
        <v>5.2309999999999999</v>
      </c>
      <c r="N51">
        <v>5.4379999999999997</v>
      </c>
      <c r="O51">
        <v>1.1399999999999999</v>
      </c>
      <c r="P51">
        <v>3</v>
      </c>
      <c r="Q51">
        <v>8</v>
      </c>
    </row>
    <row r="52" spans="1:17">
      <c r="A52" t="s">
        <v>64</v>
      </c>
      <c r="B52">
        <v>55.860188600000001</v>
      </c>
      <c r="C52">
        <v>13.356449100000001</v>
      </c>
      <c r="D52" s="1">
        <v>2470.393</v>
      </c>
      <c r="E52" s="2">
        <v>-133.596</v>
      </c>
      <c r="F52" s="2">
        <v>-89.82</v>
      </c>
      <c r="G52" s="1">
        <f t="shared" si="5"/>
        <v>160.98299169788092</v>
      </c>
      <c r="H52" s="1">
        <v>174.816</v>
      </c>
      <c r="I52" s="1">
        <f t="shared" si="6"/>
        <v>237.64712805333878</v>
      </c>
      <c r="J52" s="3">
        <f t="shared" si="7"/>
        <v>0.92087103982404883</v>
      </c>
      <c r="K52" s="1">
        <f t="shared" si="9"/>
        <v>367.76564406175243</v>
      </c>
      <c r="L52" s="1">
        <f t="shared" si="8"/>
        <v>42.641073545051704</v>
      </c>
      <c r="M52">
        <v>5.2190000000000003</v>
      </c>
      <c r="N52">
        <v>5.4390000000000001</v>
      </c>
      <c r="O52">
        <v>1.1399999999999999</v>
      </c>
      <c r="P52">
        <v>3</v>
      </c>
      <c r="Q52">
        <v>8</v>
      </c>
    </row>
    <row r="53" spans="1:17">
      <c r="A53" t="s">
        <v>65</v>
      </c>
      <c r="B53">
        <v>55.860121499999998</v>
      </c>
      <c r="C53">
        <v>13.3563656</v>
      </c>
      <c r="D53" s="1">
        <v>2460.0540000000001</v>
      </c>
      <c r="E53" s="2">
        <v>-133.23599999999999</v>
      </c>
      <c r="F53" s="2">
        <v>-92.988</v>
      </c>
      <c r="G53" s="1">
        <f t="shared" si="5"/>
        <v>162.47645934103807</v>
      </c>
      <c r="H53" s="1">
        <v>175.536</v>
      </c>
      <c r="I53" s="1">
        <f t="shared" si="6"/>
        <v>239.18922872069302</v>
      </c>
      <c r="J53" s="3">
        <f t="shared" si="7"/>
        <v>0.9256019240556812</v>
      </c>
      <c r="K53" s="1">
        <f t="shared" si="9"/>
        <v>376.79211402514341</v>
      </c>
      <c r="L53" s="1">
        <f t="shared" si="8"/>
        <v>42.787405310781267</v>
      </c>
      <c r="M53">
        <v>5.2069999999999999</v>
      </c>
      <c r="N53">
        <v>5.44</v>
      </c>
      <c r="O53">
        <v>1.1399999999999999</v>
      </c>
      <c r="P53">
        <v>3</v>
      </c>
      <c r="Q53">
        <v>8</v>
      </c>
    </row>
    <row r="54" spans="1:17">
      <c r="A54" t="s">
        <v>66</v>
      </c>
      <c r="B54">
        <v>55.860054099999999</v>
      </c>
      <c r="C54">
        <v>13.356279199999999</v>
      </c>
      <c r="D54" s="1">
        <v>2449.7919999999999</v>
      </c>
      <c r="E54" s="2">
        <v>-133.34399999999999</v>
      </c>
      <c r="F54" s="2">
        <v>-96.048000000000002</v>
      </c>
      <c r="G54" s="1">
        <f t="shared" si="5"/>
        <v>164.3345387920628</v>
      </c>
      <c r="H54" s="1">
        <v>176.07599999999999</v>
      </c>
      <c r="I54" s="1">
        <f t="shared" si="6"/>
        <v>240.84974240384813</v>
      </c>
      <c r="J54" s="3">
        <f t="shared" si="7"/>
        <v>0.93331594761388725</v>
      </c>
      <c r="K54" s="1">
        <f t="shared" si="9"/>
        <v>385.92181062470246</v>
      </c>
      <c r="L54" s="1">
        <f t="shared" si="8"/>
        <v>43.02453361186857</v>
      </c>
      <c r="M54">
        <v>5.2009999999999996</v>
      </c>
      <c r="N54">
        <v>5.4459999999999997</v>
      </c>
      <c r="O54">
        <v>1.1399999999999999</v>
      </c>
      <c r="P54">
        <v>3</v>
      </c>
      <c r="Q54">
        <v>8</v>
      </c>
    </row>
    <row r="55" spans="1:17">
      <c r="A55" t="s">
        <v>67</v>
      </c>
      <c r="B55">
        <v>55.859986999999997</v>
      </c>
      <c r="C55">
        <v>13.356190700000001</v>
      </c>
      <c r="D55" s="1">
        <v>2439.4960000000001</v>
      </c>
      <c r="E55" s="2">
        <v>-133.16400000000002</v>
      </c>
      <c r="F55" s="2">
        <v>-98.856000000000009</v>
      </c>
      <c r="G55" s="1">
        <f t="shared" si="5"/>
        <v>165.84679566395005</v>
      </c>
      <c r="H55" s="1">
        <v>176.57999999999998</v>
      </c>
      <c r="I55" s="1">
        <f t="shared" si="6"/>
        <v>242.25122503715022</v>
      </c>
      <c r="J55" s="3">
        <f t="shared" si="7"/>
        <v>0.93921619472165629</v>
      </c>
      <c r="K55" s="1">
        <f t="shared" si="9"/>
        <v>395.13552149492193</v>
      </c>
      <c r="L55" s="1">
        <f t="shared" si="8"/>
        <v>43.204678961971695</v>
      </c>
      <c r="M55">
        <v>5.1959999999999997</v>
      </c>
      <c r="N55">
        <v>5.452</v>
      </c>
      <c r="O55">
        <v>1.1399999999999999</v>
      </c>
      <c r="P55">
        <v>3</v>
      </c>
      <c r="Q55">
        <v>8</v>
      </c>
    </row>
    <row r="56" spans="1:17">
      <c r="A56" t="s">
        <v>68</v>
      </c>
      <c r="B56">
        <v>55.859920099999997</v>
      </c>
      <c r="C56">
        <v>13.356099499999999</v>
      </c>
      <c r="D56" s="1">
        <v>2429.123</v>
      </c>
      <c r="E56" s="2">
        <v>-132.696</v>
      </c>
      <c r="F56" s="2">
        <v>-101.988</v>
      </c>
      <c r="G56" s="1">
        <f t="shared" si="5"/>
        <v>167.36122776796302</v>
      </c>
      <c r="H56" s="1">
        <v>177.15600000000001</v>
      </c>
      <c r="I56" s="1">
        <f t="shared" si="6"/>
        <v>243.70890196297714</v>
      </c>
      <c r="J56" s="3">
        <f t="shared" si="7"/>
        <v>0.94471103303282422</v>
      </c>
      <c r="K56" s="1">
        <f t="shared" si="9"/>
        <v>404.43336748203097</v>
      </c>
      <c r="L56" s="1">
        <f t="shared" si="8"/>
        <v>43.371495140092549</v>
      </c>
      <c r="M56">
        <v>5.194</v>
      </c>
      <c r="N56">
        <v>5.4560000000000004</v>
      </c>
      <c r="O56">
        <v>1.1499999999999999</v>
      </c>
      <c r="P56">
        <v>3</v>
      </c>
      <c r="Q56">
        <v>8</v>
      </c>
    </row>
    <row r="57" spans="1:17">
      <c r="A57" t="s">
        <v>69</v>
      </c>
      <c r="B57">
        <v>55.859853100000002</v>
      </c>
      <c r="C57">
        <v>13.3560056</v>
      </c>
      <c r="D57" s="1">
        <v>2418.75</v>
      </c>
      <c r="E57" s="2">
        <v>-132.55199999999999</v>
      </c>
      <c r="F57" s="2">
        <v>-105.01200000000001</v>
      </c>
      <c r="G57" s="1">
        <f t="shared" si="5"/>
        <v>169.10810994154005</v>
      </c>
      <c r="H57" s="1">
        <v>177.62400000000002</v>
      </c>
      <c r="I57" s="1">
        <f t="shared" si="6"/>
        <v>245.25056212779617</v>
      </c>
      <c r="J57" s="3">
        <f t="shared" si="7"/>
        <v>0.95205664742118201</v>
      </c>
      <c r="K57" s="1">
        <f t="shared" si="9"/>
        <v>413.82826247878319</v>
      </c>
      <c r="L57" s="1">
        <f t="shared" si="8"/>
        <v>43.59307380860924</v>
      </c>
      <c r="M57">
        <v>5.194</v>
      </c>
      <c r="N57">
        <v>5.46</v>
      </c>
      <c r="O57">
        <v>1.1499999999999999</v>
      </c>
      <c r="P57">
        <v>3</v>
      </c>
      <c r="Q57">
        <v>8</v>
      </c>
    </row>
    <row r="58" spans="1:17">
      <c r="A58" t="s">
        <v>70</v>
      </c>
      <c r="B58">
        <v>55.8597872</v>
      </c>
      <c r="C58">
        <v>13.3559102</v>
      </c>
      <c r="D58" s="1">
        <v>2408.3560000000002</v>
      </c>
      <c r="E58" s="2">
        <v>-131.904</v>
      </c>
      <c r="F58" s="2">
        <v>-107.604</v>
      </c>
      <c r="G58" s="1">
        <f t="shared" si="5"/>
        <v>170.22716008909975</v>
      </c>
      <c r="H58" s="1">
        <v>178.02</v>
      </c>
      <c r="I58" s="1">
        <f t="shared" si="6"/>
        <v>246.30957438150878</v>
      </c>
      <c r="J58" s="3">
        <f t="shared" si="7"/>
        <v>0.95622491904898188</v>
      </c>
      <c r="K58" s="1">
        <f t="shared" si="9"/>
        <v>423.2853269281776</v>
      </c>
      <c r="L58" s="1">
        <f t="shared" si="8"/>
        <v>43.718087657590111</v>
      </c>
      <c r="M58">
        <v>5.1980000000000004</v>
      </c>
      <c r="N58">
        <v>5.4649999999999999</v>
      </c>
      <c r="O58">
        <v>1.1499999999999999</v>
      </c>
      <c r="P58">
        <v>3</v>
      </c>
      <c r="Q58">
        <v>8</v>
      </c>
    </row>
    <row r="59" spans="1:17">
      <c r="A59" t="s">
        <v>71</v>
      </c>
      <c r="B59">
        <v>55.859720899999999</v>
      </c>
      <c r="C59">
        <v>13.3558109</v>
      </c>
      <c r="D59" s="1">
        <v>2397.9749999999999</v>
      </c>
      <c r="E59" s="2">
        <v>-131.68799999999999</v>
      </c>
      <c r="F59" s="2">
        <v>-111.024</v>
      </c>
      <c r="G59" s="1">
        <f t="shared" si="5"/>
        <v>172.24418109184413</v>
      </c>
      <c r="H59" s="1">
        <v>178.38</v>
      </c>
      <c r="I59" s="1">
        <f t="shared" si="6"/>
        <v>247.96669598960258</v>
      </c>
      <c r="J59" s="3">
        <f t="shared" si="7"/>
        <v>0.9656025400372471</v>
      </c>
      <c r="K59" s="1">
        <f t="shared" si="9"/>
        <v>432.85444809994669</v>
      </c>
      <c r="L59" s="1">
        <f t="shared" si="8"/>
        <v>43.997443228389876</v>
      </c>
      <c r="M59">
        <v>5.2</v>
      </c>
      <c r="N59">
        <v>5.468</v>
      </c>
      <c r="O59">
        <v>1.1599999999999999</v>
      </c>
      <c r="P59">
        <v>3</v>
      </c>
      <c r="Q59">
        <v>8</v>
      </c>
    </row>
    <row r="60" spans="1:17">
      <c r="A60" t="s">
        <v>72</v>
      </c>
      <c r="B60">
        <v>55.859654999999997</v>
      </c>
      <c r="C60">
        <v>13.3557091</v>
      </c>
      <c r="D60" s="1">
        <v>2387.6170000000002</v>
      </c>
      <c r="E60" s="2">
        <v>-131.4</v>
      </c>
      <c r="F60" s="2">
        <v>-114.264</v>
      </c>
      <c r="G60" s="1">
        <f t="shared" si="5"/>
        <v>174.13277031047315</v>
      </c>
      <c r="H60" s="1">
        <v>178.63200000000001</v>
      </c>
      <c r="I60" s="1">
        <f t="shared" si="6"/>
        <v>249.46264874726236</v>
      </c>
      <c r="J60" s="3">
        <f t="shared" si="7"/>
        <v>0.97481285721748145</v>
      </c>
      <c r="K60" s="1">
        <f t="shared" si="9"/>
        <v>442.528490894973</v>
      </c>
      <c r="L60" s="1">
        <f t="shared" si="8"/>
        <v>44.26927823491701</v>
      </c>
      <c r="M60">
        <v>5.202</v>
      </c>
      <c r="N60">
        <v>5.4669999999999996</v>
      </c>
      <c r="O60">
        <v>1.17</v>
      </c>
      <c r="P60">
        <v>3</v>
      </c>
      <c r="Q60">
        <v>8</v>
      </c>
    </row>
    <row r="61" spans="1:17">
      <c r="A61" t="s">
        <v>73</v>
      </c>
      <c r="B61">
        <v>55.859589300000003</v>
      </c>
      <c r="C61">
        <v>13.3556043</v>
      </c>
      <c r="D61" s="1">
        <v>2377.3339999999998</v>
      </c>
      <c r="E61" s="2">
        <v>-130.75200000000001</v>
      </c>
      <c r="F61" s="2">
        <v>-117.396</v>
      </c>
      <c r="G61" s="1">
        <f t="shared" si="5"/>
        <v>175.72110379803561</v>
      </c>
      <c r="H61" s="1">
        <v>178.74</v>
      </c>
      <c r="I61" s="1">
        <f t="shared" si="6"/>
        <v>250.650940393209</v>
      </c>
      <c r="J61" s="3">
        <f t="shared" si="7"/>
        <v>0.98311012531070607</v>
      </c>
      <c r="K61" s="1">
        <f t="shared" si="9"/>
        <v>452.29077443930834</v>
      </c>
      <c r="L61" s="1">
        <f t="shared" si="8"/>
        <v>44.512031567776354</v>
      </c>
      <c r="M61">
        <v>5.2030000000000003</v>
      </c>
      <c r="N61">
        <v>5.468</v>
      </c>
      <c r="O61">
        <v>1.18</v>
      </c>
      <c r="P61">
        <v>3</v>
      </c>
      <c r="Q61">
        <v>8</v>
      </c>
    </row>
    <row r="62" spans="1:17">
      <c r="A62" t="s">
        <v>74</v>
      </c>
      <c r="B62">
        <v>55.859524</v>
      </c>
      <c r="C62">
        <v>13.3554961</v>
      </c>
      <c r="D62" s="1">
        <v>2367.125</v>
      </c>
      <c r="E62" s="2">
        <v>-130.17599999999999</v>
      </c>
      <c r="F62" s="2">
        <v>-120.81600000000002</v>
      </c>
      <c r="G62" s="1">
        <f t="shared" si="5"/>
        <v>177.60151134492071</v>
      </c>
      <c r="H62" s="1">
        <v>178.70400000000001</v>
      </c>
      <c r="I62" s="1">
        <f t="shared" si="6"/>
        <v>251.94724933604655</v>
      </c>
      <c r="J62" s="3">
        <f t="shared" si="7"/>
        <v>0.99383064366170148</v>
      </c>
      <c r="K62" s="1">
        <f t="shared" si="9"/>
        <v>462.15752506958171</v>
      </c>
      <c r="L62" s="1">
        <f t="shared" si="8"/>
        <v>44.822714655562542</v>
      </c>
      <c r="M62">
        <v>5.1879999999999997</v>
      </c>
      <c r="N62">
        <v>5.4610000000000003</v>
      </c>
      <c r="O62">
        <v>1.1599999999999999</v>
      </c>
      <c r="P62">
        <v>3</v>
      </c>
      <c r="Q62">
        <v>8</v>
      </c>
    </row>
    <row r="63" spans="1:17">
      <c r="A63" t="s">
        <v>75</v>
      </c>
      <c r="B63">
        <v>55.859459600000001</v>
      </c>
      <c r="C63">
        <v>13.355386299999999</v>
      </c>
      <c r="D63" s="1">
        <v>2356.92</v>
      </c>
      <c r="E63" s="2">
        <v>-129.02400000000003</v>
      </c>
      <c r="F63" s="2">
        <v>-123.47999999999999</v>
      </c>
      <c r="G63" s="1">
        <f t="shared" si="5"/>
        <v>178.590321619062</v>
      </c>
      <c r="H63" s="1">
        <v>178.70400000000001</v>
      </c>
      <c r="I63" s="1">
        <f t="shared" si="6"/>
        <v>252.6452504837564</v>
      </c>
      <c r="J63" s="3">
        <f t="shared" si="7"/>
        <v>0.99936387332718901</v>
      </c>
      <c r="K63" s="1">
        <f t="shared" si="9"/>
        <v>472.07920960397405</v>
      </c>
      <c r="L63" s="1">
        <f t="shared" si="8"/>
        <v>44.981770515690435</v>
      </c>
      <c r="M63">
        <v>5.1680000000000001</v>
      </c>
      <c r="N63">
        <v>5.4530000000000003</v>
      </c>
      <c r="O63">
        <v>1.1499999999999999</v>
      </c>
      <c r="P63">
        <v>3</v>
      </c>
      <c r="Q63">
        <v>8</v>
      </c>
    </row>
    <row r="64" spans="1:17">
      <c r="A64" t="s">
        <v>76</v>
      </c>
      <c r="B64">
        <v>55.859395399999997</v>
      </c>
      <c r="C64">
        <v>13.355274</v>
      </c>
      <c r="D64" s="1">
        <v>2346.7130000000002</v>
      </c>
      <c r="E64" s="2">
        <v>-128.01600000000002</v>
      </c>
      <c r="F64" s="2">
        <v>-126.14400000000001</v>
      </c>
      <c r="G64" s="1">
        <f t="shared" si="5"/>
        <v>179.72313427046615</v>
      </c>
      <c r="H64" s="1">
        <v>178.74</v>
      </c>
      <c r="I64" s="1">
        <f t="shared" si="6"/>
        <v>253.4726663606946</v>
      </c>
      <c r="J64" s="3">
        <f t="shared" si="7"/>
        <v>1.0055003595751715</v>
      </c>
      <c r="K64" s="1">
        <f t="shared" si="9"/>
        <v>482.06382817455551</v>
      </c>
      <c r="L64" s="1">
        <f t="shared" si="8"/>
        <v>45.157141133271288</v>
      </c>
      <c r="M64">
        <v>5.1459999999999999</v>
      </c>
      <c r="N64">
        <v>5.4450000000000003</v>
      </c>
      <c r="O64">
        <v>1.1499999999999999</v>
      </c>
      <c r="P64">
        <v>3</v>
      </c>
      <c r="Q64">
        <v>8</v>
      </c>
    </row>
    <row r="65" spans="1:17">
      <c r="A65" t="s">
        <v>77</v>
      </c>
      <c r="B65">
        <v>55.859331599999997</v>
      </c>
      <c r="C65">
        <v>13.3551593</v>
      </c>
      <c r="D65" s="1">
        <v>2336.5390000000002</v>
      </c>
      <c r="E65" s="2">
        <v>-127.22400000000002</v>
      </c>
      <c r="F65" s="2">
        <v>-128.952</v>
      </c>
      <c r="G65" s="1">
        <f t="shared" si="5"/>
        <v>181.14790774392068</v>
      </c>
      <c r="H65" s="1">
        <v>178.70400000000001</v>
      </c>
      <c r="I65" s="1">
        <f t="shared" si="6"/>
        <v>254.45959226564835</v>
      </c>
      <c r="J65" s="3">
        <f t="shared" si="7"/>
        <v>1.0136757305036299</v>
      </c>
      <c r="K65" s="1">
        <f t="shared" si="9"/>
        <v>492.12760082699555</v>
      </c>
      <c r="L65" s="1">
        <f t="shared" si="8"/>
        <v>45.389114086850768</v>
      </c>
      <c r="M65">
        <v>5.1219999999999999</v>
      </c>
      <c r="N65">
        <v>5.4359999999999999</v>
      </c>
      <c r="O65">
        <v>1.1499999999999999</v>
      </c>
      <c r="P65">
        <v>3</v>
      </c>
      <c r="Q65">
        <v>8</v>
      </c>
    </row>
    <row r="66" spans="1:17">
      <c r="A66" t="s">
        <v>78</v>
      </c>
      <c r="B66">
        <v>55.859267899999999</v>
      </c>
      <c r="C66">
        <v>13.355042600000001</v>
      </c>
      <c r="D66" s="1">
        <v>2326.2869999999998</v>
      </c>
      <c r="E66" s="2">
        <v>-126.82799999999999</v>
      </c>
      <c r="F66" s="2">
        <v>-131.04</v>
      </c>
      <c r="G66" s="1">
        <f t="shared" si="5"/>
        <v>182.3645337887825</v>
      </c>
      <c r="H66" s="1">
        <v>178.81200000000001</v>
      </c>
      <c r="I66" s="1">
        <f t="shared" si="6"/>
        <v>255.40273007154798</v>
      </c>
      <c r="J66" s="3">
        <f t="shared" si="7"/>
        <v>1.0198674238238066</v>
      </c>
      <c r="K66" s="1">
        <f t="shared" si="9"/>
        <v>502.25896381526127</v>
      </c>
      <c r="L66" s="1">
        <f t="shared" si="8"/>
        <v>45.563543336533179</v>
      </c>
      <c r="M66">
        <v>5.085</v>
      </c>
      <c r="N66">
        <v>5.4130000000000003</v>
      </c>
      <c r="O66">
        <v>1.1299999999999999</v>
      </c>
      <c r="P66">
        <v>3</v>
      </c>
      <c r="Q66">
        <v>8</v>
      </c>
    </row>
    <row r="67" spans="1:17">
      <c r="A67" t="s">
        <v>79</v>
      </c>
      <c r="B67">
        <v>55.859203600000001</v>
      </c>
      <c r="C67">
        <v>13.3549241</v>
      </c>
      <c r="D67" s="1">
        <v>2316.0479999999998</v>
      </c>
      <c r="E67" s="2">
        <v>-126.756</v>
      </c>
      <c r="F67" s="2">
        <v>-132.51600000000002</v>
      </c>
      <c r="G67" s="1">
        <f t="shared" si="5"/>
        <v>183.37822605751208</v>
      </c>
      <c r="H67" s="1">
        <v>179.02799999999999</v>
      </c>
      <c r="I67" s="1">
        <f t="shared" si="6"/>
        <v>256.27836150560978</v>
      </c>
      <c r="J67" s="3">
        <f t="shared" si="7"/>
        <v>1.02429913788632</v>
      </c>
      <c r="K67" s="1">
        <f t="shared" si="9"/>
        <v>512.44664304067862</v>
      </c>
      <c r="L67" s="1">
        <f t="shared" si="8"/>
        <v>45.687729969080976</v>
      </c>
      <c r="M67">
        <v>5.05</v>
      </c>
      <c r="N67">
        <v>5.3920000000000003</v>
      </c>
      <c r="O67">
        <v>1.1200000000000001</v>
      </c>
      <c r="P67">
        <v>3</v>
      </c>
      <c r="Q67">
        <v>8</v>
      </c>
    </row>
    <row r="68" spans="1:17">
      <c r="A68" t="s">
        <v>80</v>
      </c>
      <c r="B68">
        <v>55.8591397</v>
      </c>
      <c r="C68">
        <v>13.3548045</v>
      </c>
      <c r="D68" s="1">
        <v>2305.7170000000001</v>
      </c>
      <c r="E68" s="2">
        <v>-126.57599999999999</v>
      </c>
      <c r="F68" s="2">
        <v>-134.208</v>
      </c>
      <c r="G68" s="1">
        <f t="shared" si="5"/>
        <v>184.48108585977045</v>
      </c>
      <c r="H68" s="1">
        <v>179.352</v>
      </c>
      <c r="I68" s="1">
        <f t="shared" si="6"/>
        <v>257.29440519373907</v>
      </c>
      <c r="J68" s="3">
        <f t="shared" si="7"/>
        <v>1.0285978737888088</v>
      </c>
      <c r="K68" s="1">
        <f t="shared" si="9"/>
        <v>522.69559225511034</v>
      </c>
      <c r="L68" s="1">
        <f t="shared" si="8"/>
        <v>45.807665708439885</v>
      </c>
      <c r="M68">
        <v>5.016</v>
      </c>
      <c r="N68">
        <v>5.3680000000000003</v>
      </c>
      <c r="O68">
        <v>1.1100000000000001</v>
      </c>
      <c r="P68">
        <v>3</v>
      </c>
      <c r="Q68">
        <v>8</v>
      </c>
    </row>
    <row r="69" spans="1:17">
      <c r="A69" t="s">
        <v>81</v>
      </c>
      <c r="B69">
        <v>55.859076000000002</v>
      </c>
      <c r="C69">
        <v>13.354683899999999</v>
      </c>
      <c r="D69" s="1">
        <v>2295.3209999999999</v>
      </c>
      <c r="E69" s="2">
        <v>-126.25200000000001</v>
      </c>
      <c r="F69" s="2">
        <v>-135.72000000000003</v>
      </c>
      <c r="G69" s="1">
        <f t="shared" si="5"/>
        <v>185.36311905014981</v>
      </c>
      <c r="H69" s="1">
        <v>179.71200000000002</v>
      </c>
      <c r="I69" s="1">
        <f t="shared" si="6"/>
        <v>258.17801774744498</v>
      </c>
      <c r="J69" s="3">
        <f t="shared" si="7"/>
        <v>1.0314454185037716</v>
      </c>
      <c r="K69" s="1">
        <f t="shared" si="9"/>
        <v>532.99354331345205</v>
      </c>
      <c r="L69" s="1">
        <f t="shared" si="8"/>
        <v>45.886829578962171</v>
      </c>
      <c r="M69">
        <v>4.9829999999999997</v>
      </c>
      <c r="N69">
        <v>5.3449999999999998</v>
      </c>
      <c r="O69">
        <v>1.1100000000000001</v>
      </c>
      <c r="P69">
        <v>3</v>
      </c>
      <c r="Q69">
        <v>8</v>
      </c>
    </row>
    <row r="70" spans="1:17">
      <c r="A70" t="s">
        <v>82</v>
      </c>
      <c r="B70">
        <v>55.859012100000001</v>
      </c>
      <c r="C70">
        <v>13.354562100000001</v>
      </c>
      <c r="D70" s="1">
        <v>2284.86</v>
      </c>
      <c r="E70" s="2">
        <v>-126.25200000000001</v>
      </c>
      <c r="F70" s="2">
        <v>-137.08799999999999</v>
      </c>
      <c r="G70" s="1">
        <f t="shared" si="5"/>
        <v>186.36707662030867</v>
      </c>
      <c r="H70" s="1">
        <v>180.21600000000001</v>
      </c>
      <c r="I70" s="1">
        <f t="shared" si="6"/>
        <v>259.24986770295567</v>
      </c>
      <c r="J70" s="3">
        <f t="shared" si="7"/>
        <v>1.0341316898627684</v>
      </c>
      <c r="K70" s="1">
        <f t="shared" si="9"/>
        <v>543.34726979235813</v>
      </c>
      <c r="L70" s="1">
        <f t="shared" si="8"/>
        <v>45.961303677383277</v>
      </c>
      <c r="M70">
        <v>4.9539999999999997</v>
      </c>
      <c r="N70">
        <v>5.3239999999999998</v>
      </c>
      <c r="O70">
        <v>1.1100000000000001</v>
      </c>
      <c r="P70">
        <v>3</v>
      </c>
      <c r="Q70">
        <v>8</v>
      </c>
    </row>
    <row r="71" spans="1:17">
      <c r="A71" t="s">
        <v>83</v>
      </c>
      <c r="B71">
        <v>55.858948099999999</v>
      </c>
      <c r="C71">
        <v>13.3544388</v>
      </c>
      <c r="D71" s="1">
        <v>2274.3719999999998</v>
      </c>
      <c r="E71" s="2">
        <v>-126.504</v>
      </c>
      <c r="F71" s="2">
        <v>-138.52799999999999</v>
      </c>
      <c r="G71" s="1">
        <f t="shared" si="5"/>
        <v>187.59869082698845</v>
      </c>
      <c r="H71" s="1">
        <v>180.792</v>
      </c>
      <c r="I71" s="1">
        <f t="shared" si="6"/>
        <v>260.53601682684871</v>
      </c>
      <c r="J71" s="3">
        <f t="shared" si="7"/>
        <v>1.03764929215335</v>
      </c>
      <c r="K71" s="1">
        <f t="shared" si="9"/>
        <v>553.76941928274641</v>
      </c>
      <c r="L71" s="1">
        <f t="shared" si="8"/>
        <v>46.058523722609273</v>
      </c>
      <c r="M71">
        <v>4.9249999999999998</v>
      </c>
      <c r="N71">
        <v>5.3029999999999999</v>
      </c>
      <c r="O71">
        <v>1.1100000000000001</v>
      </c>
      <c r="P71">
        <v>3</v>
      </c>
      <c r="Q71">
        <v>8</v>
      </c>
    </row>
    <row r="72" spans="1:17">
      <c r="A72" t="s">
        <v>84</v>
      </c>
      <c r="B72">
        <v>55.8588837</v>
      </c>
      <c r="C72">
        <v>13.3543152</v>
      </c>
      <c r="D72" s="1">
        <v>2263.7779999999998</v>
      </c>
      <c r="E72" s="2">
        <v>-127.188</v>
      </c>
      <c r="F72" s="2">
        <v>-138.99600000000001</v>
      </c>
      <c r="G72" s="1">
        <f t="shared" si="5"/>
        <v>188.40561392909714</v>
      </c>
      <c r="H72" s="1">
        <v>181.548</v>
      </c>
      <c r="I72" s="1">
        <f t="shared" si="6"/>
        <v>261.64164741875481</v>
      </c>
      <c r="J72" s="3">
        <f t="shared" si="7"/>
        <v>1.0377730072988804</v>
      </c>
      <c r="K72" s="1">
        <f t="shared" si="9"/>
        <v>564.23639783436295</v>
      </c>
      <c r="L72" s="1">
        <f t="shared" si="8"/>
        <v>46.061936763856913</v>
      </c>
      <c r="M72">
        <v>4.8979999999999997</v>
      </c>
      <c r="N72">
        <v>5.2830000000000004</v>
      </c>
      <c r="O72">
        <v>1.1100000000000001</v>
      </c>
      <c r="P72">
        <v>3</v>
      </c>
      <c r="Q72">
        <v>8</v>
      </c>
    </row>
    <row r="73" spans="1:17">
      <c r="A73" t="s">
        <v>85</v>
      </c>
      <c r="B73">
        <v>55.858818999999997</v>
      </c>
      <c r="C73">
        <v>13.354191699999999</v>
      </c>
      <c r="D73" s="1">
        <v>2253.1149999999998</v>
      </c>
      <c r="E73" s="2">
        <v>-127.87200000000001</v>
      </c>
      <c r="F73" s="2">
        <v>-139.68</v>
      </c>
      <c r="G73" s="1">
        <f t="shared" si="5"/>
        <v>189.37199049489871</v>
      </c>
      <c r="H73" s="1">
        <v>182.232</v>
      </c>
      <c r="I73" s="1">
        <f t="shared" si="6"/>
        <v>262.81220026475182</v>
      </c>
      <c r="J73" s="3">
        <f t="shared" si="7"/>
        <v>1.0391807722842241</v>
      </c>
      <c r="K73" s="1">
        <f t="shared" si="9"/>
        <v>574.75706397296847</v>
      </c>
      <c r="L73" s="1">
        <f t="shared" si="8"/>
        <v>46.100744341760709</v>
      </c>
      <c r="M73">
        <v>4.8719999999999999</v>
      </c>
      <c r="N73">
        <v>5.2690000000000001</v>
      </c>
      <c r="O73">
        <v>1.1000000000000001</v>
      </c>
      <c r="P73">
        <v>3</v>
      </c>
      <c r="Q73">
        <v>8</v>
      </c>
    </row>
    <row r="74" spans="1:17">
      <c r="A74" t="s">
        <v>86</v>
      </c>
      <c r="B74">
        <v>55.858754099999999</v>
      </c>
      <c r="C74">
        <v>13.354067300000001</v>
      </c>
      <c r="D74" s="1">
        <v>2242.4839999999999</v>
      </c>
      <c r="E74" s="2">
        <v>-128.91600000000003</v>
      </c>
      <c r="F74" s="2">
        <v>-141.37200000000001</v>
      </c>
      <c r="G74" s="1">
        <f t="shared" si="5"/>
        <v>191.32531834548195</v>
      </c>
      <c r="H74" s="1">
        <v>182.55600000000001</v>
      </c>
      <c r="I74" s="1">
        <f t="shared" si="6"/>
        <v>264.44672540230107</v>
      </c>
      <c r="J74" s="3">
        <f t="shared" si="7"/>
        <v>1.0480363195155564</v>
      </c>
      <c r="K74" s="1">
        <f t="shared" si="9"/>
        <v>585.38624832549522</v>
      </c>
      <c r="L74" s="1">
        <f t="shared" si="8"/>
        <v>46.343615740420823</v>
      </c>
      <c r="M74">
        <v>4.8449999999999998</v>
      </c>
      <c r="N74">
        <v>5.2439999999999998</v>
      </c>
      <c r="O74">
        <v>1.1100000000000001</v>
      </c>
      <c r="P74">
        <v>3</v>
      </c>
      <c r="Q74">
        <v>8</v>
      </c>
    </row>
    <row r="75" spans="1:17">
      <c r="A75" t="s">
        <v>87</v>
      </c>
      <c r="B75">
        <v>55.858688999999998</v>
      </c>
      <c r="C75">
        <v>13.3539423</v>
      </c>
      <c r="D75" s="1">
        <v>2232.0160000000001</v>
      </c>
      <c r="E75" s="2">
        <v>-130.06800000000001</v>
      </c>
      <c r="F75" s="2">
        <v>-142.452</v>
      </c>
      <c r="G75" s="1">
        <f t="shared" si="5"/>
        <v>192.89960323442867</v>
      </c>
      <c r="H75" s="1">
        <v>182.59200000000001</v>
      </c>
      <c r="I75" s="1">
        <f t="shared" si="6"/>
        <v>265.61267927567013</v>
      </c>
      <c r="J75" s="3">
        <f t="shared" si="7"/>
        <v>1.0564515599502096</v>
      </c>
      <c r="K75" s="1">
        <f t="shared" si="9"/>
        <v>596.10289294963013</v>
      </c>
      <c r="L75" s="1">
        <f t="shared" si="8"/>
        <v>46.572428993904282</v>
      </c>
      <c r="M75">
        <v>4.8419999999999996</v>
      </c>
      <c r="N75">
        <v>5.2359999999999998</v>
      </c>
      <c r="O75">
        <v>1.1499999999999999</v>
      </c>
      <c r="P75">
        <v>3</v>
      </c>
      <c r="Q75">
        <v>8</v>
      </c>
    </row>
    <row r="76" spans="1:17">
      <c r="A76" t="s">
        <v>88</v>
      </c>
      <c r="B76">
        <v>55.858624399999997</v>
      </c>
      <c r="C76">
        <v>13.353816399999999</v>
      </c>
      <c r="D76" s="1">
        <v>2221.5909999999999</v>
      </c>
      <c r="E76" s="2">
        <v>-130.03199999999998</v>
      </c>
      <c r="F76" s="2">
        <v>-144.18</v>
      </c>
      <c r="G76" s="1">
        <f t="shared" si="5"/>
        <v>194.15507571011375</v>
      </c>
      <c r="H76" s="1">
        <v>182.44800000000001</v>
      </c>
      <c r="I76" s="1">
        <f t="shared" si="6"/>
        <v>266.4272248250918</v>
      </c>
      <c r="J76" s="3">
        <f t="shared" si="7"/>
        <v>1.0641666431537411</v>
      </c>
      <c r="K76" s="1">
        <f t="shared" si="9"/>
        <v>606.88928604463649</v>
      </c>
      <c r="L76" s="1">
        <f t="shared" si="8"/>
        <v>46.780522079600537</v>
      </c>
      <c r="M76">
        <v>4.8390000000000004</v>
      </c>
      <c r="N76">
        <v>5.2290000000000001</v>
      </c>
      <c r="O76">
        <v>1.17</v>
      </c>
      <c r="P76">
        <v>3</v>
      </c>
      <c r="Q76">
        <v>8</v>
      </c>
    </row>
    <row r="77" spans="1:17">
      <c r="A77" t="s">
        <v>89</v>
      </c>
      <c r="B77">
        <v>55.858559700000001</v>
      </c>
      <c r="C77">
        <v>13.35369</v>
      </c>
      <c r="D77" s="1">
        <v>2211.0790000000002</v>
      </c>
      <c r="E77" s="2">
        <v>-130.17599999999999</v>
      </c>
      <c r="F77" s="2">
        <v>-145.07999999999998</v>
      </c>
      <c r="G77" s="1">
        <f t="shared" si="5"/>
        <v>194.92048988241331</v>
      </c>
      <c r="H77" s="1">
        <v>182.48400000000001</v>
      </c>
      <c r="I77" s="1">
        <f t="shared" si="6"/>
        <v>267.01012645965318</v>
      </c>
      <c r="J77" s="3">
        <f t="shared" si="7"/>
        <v>1.0681511249337656</v>
      </c>
      <c r="K77" s="1">
        <f t="shared" si="9"/>
        <v>617.71820214921502</v>
      </c>
      <c r="L77" s="1">
        <f t="shared" si="8"/>
        <v>46.887366610047557</v>
      </c>
      <c r="M77">
        <v>4.8380000000000001</v>
      </c>
      <c r="N77">
        <v>5.2229999999999999</v>
      </c>
      <c r="O77">
        <v>1.19</v>
      </c>
      <c r="P77">
        <v>3</v>
      </c>
      <c r="Q77">
        <v>8</v>
      </c>
    </row>
    <row r="78" spans="1:17">
      <c r="A78" t="s">
        <v>90</v>
      </c>
      <c r="B78">
        <v>55.8584952</v>
      </c>
      <c r="C78">
        <v>13.3535621</v>
      </c>
      <c r="D78" s="1">
        <v>2200.7559999999999</v>
      </c>
      <c r="E78" s="2">
        <v>-130.03199999999998</v>
      </c>
      <c r="F78" s="2">
        <v>-146.44800000000001</v>
      </c>
      <c r="G78" s="1">
        <f t="shared" si="5"/>
        <v>195.845188166572</v>
      </c>
      <c r="H78" s="1">
        <v>182.232</v>
      </c>
      <c r="I78" s="1">
        <f t="shared" si="6"/>
        <v>267.51418570236604</v>
      </c>
      <c r="J78" s="3">
        <f t="shared" si="7"/>
        <v>1.0747025119988367</v>
      </c>
      <c r="K78" s="1">
        <f t="shared" si="9"/>
        <v>628.59849038069126</v>
      </c>
      <c r="L78" s="1">
        <f t="shared" si="8"/>
        <v>47.062122349933475</v>
      </c>
      <c r="M78">
        <v>4.8330000000000002</v>
      </c>
      <c r="N78">
        <v>5.2149999999999999</v>
      </c>
      <c r="O78">
        <v>1.2</v>
      </c>
      <c r="P78">
        <v>3</v>
      </c>
      <c r="Q78">
        <v>8</v>
      </c>
    </row>
    <row r="79" spans="1:17">
      <c r="A79" t="s">
        <v>91</v>
      </c>
      <c r="B79">
        <v>55.858430300000002</v>
      </c>
      <c r="C79">
        <v>13.353433000000001</v>
      </c>
      <c r="D79" s="1">
        <v>2190.509</v>
      </c>
      <c r="E79" s="2">
        <v>-130.17599999999999</v>
      </c>
      <c r="F79" s="2">
        <v>-147.6</v>
      </c>
      <c r="G79" s="1">
        <f t="shared" si="5"/>
        <v>196.80333070352239</v>
      </c>
      <c r="H79" s="1">
        <v>181.90800000000002</v>
      </c>
      <c r="I79" s="1">
        <f t="shared" si="6"/>
        <v>267.99640191614515</v>
      </c>
      <c r="J79" s="3">
        <f t="shared" si="7"/>
        <v>1.0818838682384633</v>
      </c>
      <c r="K79" s="1">
        <f t="shared" si="9"/>
        <v>639.53200875310915</v>
      </c>
      <c r="L79" s="1">
        <f t="shared" si="8"/>
        <v>47.252374933072254</v>
      </c>
      <c r="M79">
        <v>4.83</v>
      </c>
      <c r="N79">
        <v>5.2080000000000002</v>
      </c>
      <c r="O79">
        <v>1.21</v>
      </c>
      <c r="P79">
        <v>3</v>
      </c>
      <c r="Q79">
        <v>8</v>
      </c>
    </row>
    <row r="80" spans="1:17">
      <c r="A80" t="s">
        <v>92</v>
      </c>
      <c r="B80">
        <v>55.858365300000003</v>
      </c>
      <c r="C80">
        <v>13.3533027</v>
      </c>
      <c r="D80" s="1">
        <v>2180.4949999999999</v>
      </c>
      <c r="E80" s="2">
        <v>-130.17599999999999</v>
      </c>
      <c r="F80" s="2">
        <v>-148.35599999999999</v>
      </c>
      <c r="G80" s="1">
        <f t="shared" si="5"/>
        <v>197.37095458045491</v>
      </c>
      <c r="H80" s="1">
        <v>181.36800000000002</v>
      </c>
      <c r="I80" s="1">
        <f t="shared" si="6"/>
        <v>268.04784113288434</v>
      </c>
      <c r="J80" s="3">
        <f t="shared" si="7"/>
        <v>1.0882347193576314</v>
      </c>
      <c r="K80" s="1">
        <f t="shared" si="9"/>
        <v>650.49706178535666</v>
      </c>
      <c r="L80" s="1">
        <f t="shared" si="8"/>
        <v>47.419494139974972</v>
      </c>
      <c r="M80">
        <v>4.8280000000000003</v>
      </c>
      <c r="N80">
        <v>5.2039999999999997</v>
      </c>
      <c r="O80">
        <v>1.22</v>
      </c>
      <c r="P80">
        <v>3</v>
      </c>
      <c r="Q80">
        <v>8</v>
      </c>
    </row>
    <row r="81" spans="1:17">
      <c r="A81" t="s">
        <v>93</v>
      </c>
      <c r="B81">
        <v>55.858300499999999</v>
      </c>
      <c r="C81">
        <v>13.353172000000001</v>
      </c>
      <c r="D81" s="1">
        <v>2170.6889999999999</v>
      </c>
      <c r="E81" s="2">
        <v>-129.852</v>
      </c>
      <c r="F81" s="2">
        <v>-149.04</v>
      </c>
      <c r="G81" s="1">
        <f t="shared" si="5"/>
        <v>197.67261698070374</v>
      </c>
      <c r="H81" s="1">
        <v>180.50400000000002</v>
      </c>
      <c r="I81" s="1">
        <f t="shared" si="6"/>
        <v>267.68667789040234</v>
      </c>
      <c r="J81" s="3">
        <f t="shared" si="7"/>
        <v>1.0951148837737874</v>
      </c>
      <c r="K81" s="1">
        <f t="shared" si="9"/>
        <v>661.47887383984016</v>
      </c>
      <c r="L81" s="1">
        <f t="shared" si="8"/>
        <v>47.599352481736446</v>
      </c>
      <c r="M81">
        <v>4.8310000000000004</v>
      </c>
      <c r="N81">
        <v>5.2069999999999999</v>
      </c>
      <c r="O81">
        <v>1.23</v>
      </c>
      <c r="P81">
        <v>3</v>
      </c>
      <c r="Q81">
        <v>8</v>
      </c>
    </row>
    <row r="82" spans="1:17">
      <c r="A82" t="s">
        <v>94</v>
      </c>
      <c r="B82">
        <v>55.858236300000002</v>
      </c>
      <c r="C82">
        <v>13.3530417</v>
      </c>
      <c r="D82" s="1">
        <v>2160.86</v>
      </c>
      <c r="E82" s="2">
        <v>-129.45600000000002</v>
      </c>
      <c r="F82" s="2">
        <v>-149.184</v>
      </c>
      <c r="G82" s="1">
        <f t="shared" si="5"/>
        <v>197.52144641025694</v>
      </c>
      <c r="H82" s="1">
        <v>179.71200000000002</v>
      </c>
      <c r="I82" s="1">
        <f t="shared" si="6"/>
        <v>267.04142887574579</v>
      </c>
      <c r="J82" s="3">
        <f t="shared" si="7"/>
        <v>1.0990999288320029</v>
      </c>
      <c r="K82" s="1">
        <f t="shared" si="9"/>
        <v>672.45228752929893</v>
      </c>
      <c r="L82" s="1">
        <f t="shared" si="8"/>
        <v>47.702965568506947</v>
      </c>
      <c r="M82">
        <v>4.8310000000000004</v>
      </c>
      <c r="N82">
        <v>5.2050000000000001</v>
      </c>
      <c r="O82">
        <v>1.23</v>
      </c>
      <c r="P82">
        <v>3</v>
      </c>
      <c r="Q82">
        <v>8</v>
      </c>
    </row>
    <row r="83" spans="1:17">
      <c r="A83" t="s">
        <v>95</v>
      </c>
      <c r="B83">
        <v>55.858172799999998</v>
      </c>
      <c r="C83">
        <v>13.3529128</v>
      </c>
      <c r="D83" s="1">
        <v>2151.165</v>
      </c>
      <c r="E83" s="2">
        <v>-128.66400000000002</v>
      </c>
      <c r="F83" s="2">
        <v>-148.17599999999999</v>
      </c>
      <c r="G83" s="1">
        <f t="shared" si="5"/>
        <v>196.24105552100966</v>
      </c>
      <c r="H83" s="1">
        <v>178.81200000000001</v>
      </c>
      <c r="I83" s="1">
        <f t="shared" si="6"/>
        <v>265.4887628808421</v>
      </c>
      <c r="J83" s="3">
        <f t="shared" si="7"/>
        <v>1.097471397451008</v>
      </c>
      <c r="K83" s="1">
        <f t="shared" si="9"/>
        <v>683.35456839157723</v>
      </c>
      <c r="L83" s="1">
        <f t="shared" si="8"/>
        <v>47.660672640339648</v>
      </c>
      <c r="M83">
        <v>4.8360000000000003</v>
      </c>
      <c r="N83">
        <v>5.2050000000000001</v>
      </c>
      <c r="O83">
        <v>1.23</v>
      </c>
      <c r="P83">
        <v>3</v>
      </c>
      <c r="Q83">
        <v>8</v>
      </c>
    </row>
    <row r="84" spans="1:17">
      <c r="A84" t="s">
        <v>96</v>
      </c>
      <c r="B84">
        <v>55.858108999999999</v>
      </c>
      <c r="C84">
        <v>13.3527849</v>
      </c>
      <c r="D84" s="1">
        <v>2141.7449999999999</v>
      </c>
      <c r="E84" s="2">
        <v>-128.41200000000001</v>
      </c>
      <c r="F84" s="2">
        <v>-146.66400000000002</v>
      </c>
      <c r="G84" s="1">
        <f t="shared" si="5"/>
        <v>194.9358115893537</v>
      </c>
      <c r="H84" s="1">
        <v>177.62400000000002</v>
      </c>
      <c r="I84" s="1">
        <f t="shared" si="6"/>
        <v>263.7238252718173</v>
      </c>
      <c r="J84" s="3">
        <f t="shared" si="7"/>
        <v>1.097463245897816</v>
      </c>
      <c r="K84" s="1">
        <f t="shared" si="9"/>
        <v>694.18433570209686</v>
      </c>
      <c r="L84" s="1">
        <f t="shared" si="8"/>
        <v>47.660460772130499</v>
      </c>
      <c r="M84">
        <v>4.8410000000000002</v>
      </c>
      <c r="N84">
        <v>5.202</v>
      </c>
      <c r="O84">
        <v>1.24</v>
      </c>
      <c r="P84">
        <v>3</v>
      </c>
      <c r="Q84">
        <v>8</v>
      </c>
    </row>
    <row r="85" spans="1:17">
      <c r="A85" t="s">
        <v>97</v>
      </c>
      <c r="B85">
        <v>55.858044900000003</v>
      </c>
      <c r="C85">
        <v>13.3526588</v>
      </c>
      <c r="D85" s="1">
        <v>2132.422</v>
      </c>
      <c r="E85" s="2">
        <v>-128.44800000000001</v>
      </c>
      <c r="F85" s="2">
        <v>-144.46800000000002</v>
      </c>
      <c r="G85" s="1">
        <f t="shared" si="5"/>
        <v>193.31293730115428</v>
      </c>
      <c r="H85" s="1">
        <v>176.43600000000001</v>
      </c>
      <c r="I85" s="1">
        <f t="shared" si="6"/>
        <v>261.72419418922664</v>
      </c>
      <c r="J85" s="3">
        <f t="shared" si="7"/>
        <v>1.0956547263662419</v>
      </c>
      <c r="K85" s="1">
        <f t="shared" si="9"/>
        <v>704.92394332993877</v>
      </c>
      <c r="L85" s="1">
        <f t="shared" si="8"/>
        <v>47.613412736426199</v>
      </c>
      <c r="M85">
        <v>4.8460000000000001</v>
      </c>
      <c r="N85">
        <v>5.1929999999999996</v>
      </c>
      <c r="O85">
        <v>1.23</v>
      </c>
      <c r="P85">
        <v>3</v>
      </c>
      <c r="Q85">
        <v>8</v>
      </c>
    </row>
    <row r="86" spans="1:17">
      <c r="A86" t="s">
        <v>98</v>
      </c>
      <c r="B86">
        <v>55.857979100000001</v>
      </c>
      <c r="C86">
        <v>13.3525326</v>
      </c>
      <c r="D86" s="1">
        <v>2123.107</v>
      </c>
      <c r="E86" s="2">
        <v>-129.636</v>
      </c>
      <c r="F86" s="2">
        <v>-142.99199999999999</v>
      </c>
      <c r="G86" s="1">
        <f t="shared" si="5"/>
        <v>193.00830179036342</v>
      </c>
      <c r="H86" s="1">
        <v>175.35599999999999</v>
      </c>
      <c r="I86" s="1">
        <f t="shared" si="6"/>
        <v>260.77179927285079</v>
      </c>
      <c r="J86" s="3">
        <f t="shared" si="7"/>
        <v>1.1006655135288408</v>
      </c>
      <c r="K86" s="1">
        <f t="shared" si="9"/>
        <v>715.64662676273679</v>
      </c>
      <c r="L86" s="1">
        <f t="shared" si="8"/>
        <v>47.74355917873396</v>
      </c>
      <c r="M86">
        <v>4.851</v>
      </c>
      <c r="N86">
        <v>5.1849999999999996</v>
      </c>
      <c r="O86">
        <v>1.23</v>
      </c>
      <c r="P86">
        <v>3</v>
      </c>
      <c r="Q86">
        <v>8</v>
      </c>
    </row>
    <row r="87" spans="1:17">
      <c r="A87" t="s">
        <v>99</v>
      </c>
      <c r="B87">
        <v>55.857912599999999</v>
      </c>
      <c r="C87">
        <v>13.352406999999999</v>
      </c>
      <c r="D87" s="1">
        <v>2113.6529999999998</v>
      </c>
      <c r="E87" s="2">
        <v>-130.89600000000002</v>
      </c>
      <c r="F87" s="2">
        <v>-141.98400000000001</v>
      </c>
      <c r="G87" s="1">
        <f t="shared" si="5"/>
        <v>193.11452320320191</v>
      </c>
      <c r="H87" s="1">
        <v>174.6</v>
      </c>
      <c r="I87" s="1">
        <f t="shared" si="6"/>
        <v>260.34281067853595</v>
      </c>
      <c r="J87" s="3">
        <f t="shared" si="7"/>
        <v>1.1060396517938254</v>
      </c>
      <c r="K87" s="1">
        <f t="shared" si="9"/>
        <v>726.37521138513694</v>
      </c>
      <c r="L87" s="1">
        <f t="shared" si="8"/>
        <v>47.882423459857343</v>
      </c>
      <c r="M87">
        <v>4.8490000000000002</v>
      </c>
      <c r="N87">
        <v>5.1660000000000004</v>
      </c>
      <c r="O87">
        <v>1.23</v>
      </c>
      <c r="P87">
        <v>3</v>
      </c>
      <c r="Q87">
        <v>8</v>
      </c>
    </row>
    <row r="88" spans="1:17">
      <c r="A88" t="s">
        <v>100</v>
      </c>
      <c r="B88">
        <v>55.8578458</v>
      </c>
      <c r="C88">
        <v>13.3522809</v>
      </c>
      <c r="D88" s="1">
        <v>2104.1170000000002</v>
      </c>
      <c r="E88" s="2">
        <v>-131.83199999999999</v>
      </c>
      <c r="F88" s="2">
        <v>-142.05600000000001</v>
      </c>
      <c r="G88" s="1">
        <f t="shared" ref="G88:G151" si="10">SQRT(E88*E88+F88*F88)</f>
        <v>193.80294982275169</v>
      </c>
      <c r="H88" s="1">
        <v>174.06</v>
      </c>
      <c r="I88" s="1">
        <f t="shared" ref="I88:I151" si="11">SQRT(G88*G88+H88*H88)</f>
        <v>260.49273878555618</v>
      </c>
      <c r="J88" s="3">
        <f t="shared" ref="J88:J151" si="12">G88/H88</f>
        <v>1.1134261164124537</v>
      </c>
      <c r="K88" s="1">
        <f t="shared" si="9"/>
        <v>737.14204193084538</v>
      </c>
      <c r="L88" s="1">
        <f t="shared" ref="L88:L151" si="13">DEGREES(ATAN((G88*0.2/3.6)/(H88*0.2/3.6)))</f>
        <v>48.072077480806946</v>
      </c>
      <c r="M88">
        <v>4.8470000000000004</v>
      </c>
      <c r="N88">
        <v>5.1479999999999997</v>
      </c>
      <c r="O88">
        <v>1.23</v>
      </c>
      <c r="P88">
        <v>3</v>
      </c>
      <c r="Q88">
        <v>8</v>
      </c>
    </row>
    <row r="89" spans="1:17">
      <c r="A89" t="s">
        <v>101</v>
      </c>
      <c r="B89">
        <v>55.857778400000001</v>
      </c>
      <c r="C89">
        <v>13.352155</v>
      </c>
      <c r="D89" s="1">
        <v>2094.6460000000002</v>
      </c>
      <c r="E89" s="2">
        <v>-132.94800000000001</v>
      </c>
      <c r="F89" s="2">
        <v>-141.94800000000001</v>
      </c>
      <c r="G89" s="1">
        <f t="shared" si="10"/>
        <v>194.4849747615481</v>
      </c>
      <c r="H89" s="1">
        <v>173.44800000000001</v>
      </c>
      <c r="I89" s="1">
        <f t="shared" si="11"/>
        <v>260.59281285561201</v>
      </c>
      <c r="J89" s="3">
        <f t="shared" si="12"/>
        <v>1.1212869261193448</v>
      </c>
      <c r="K89" s="1">
        <f t="shared" ref="K89:K152" si="14">K88+G89*0.2/3.6</f>
        <v>747.94676275093138</v>
      </c>
      <c r="L89" s="1">
        <f t="shared" si="13"/>
        <v>48.272386737880204</v>
      </c>
      <c r="M89">
        <v>4.8449999999999998</v>
      </c>
      <c r="N89">
        <v>5.1319999999999997</v>
      </c>
      <c r="O89">
        <v>1.23</v>
      </c>
      <c r="P89">
        <v>3</v>
      </c>
      <c r="Q89">
        <v>8</v>
      </c>
    </row>
    <row r="90" spans="1:17">
      <c r="A90" t="s">
        <v>102</v>
      </c>
      <c r="B90">
        <v>55.857710900000001</v>
      </c>
      <c r="C90">
        <v>13.352028600000001</v>
      </c>
      <c r="D90" s="1">
        <v>2085.174</v>
      </c>
      <c r="E90" s="2">
        <v>-133.488</v>
      </c>
      <c r="F90" s="2">
        <v>-142.27200000000002</v>
      </c>
      <c r="G90" s="1">
        <f t="shared" si="10"/>
        <v>195.0906664297398</v>
      </c>
      <c r="H90" s="1">
        <v>172.90800000000002</v>
      </c>
      <c r="I90" s="1">
        <f t="shared" si="11"/>
        <v>260.68667896921778</v>
      </c>
      <c r="J90" s="3">
        <f t="shared" si="12"/>
        <v>1.1282917298779684</v>
      </c>
      <c r="K90" s="1">
        <f t="shared" si="14"/>
        <v>758.78513310813912</v>
      </c>
      <c r="L90" s="1">
        <f t="shared" si="13"/>
        <v>48.44956988374993</v>
      </c>
      <c r="M90">
        <v>4.843</v>
      </c>
      <c r="N90">
        <v>5.1159999999999997</v>
      </c>
      <c r="O90">
        <v>1.23</v>
      </c>
      <c r="P90">
        <v>3</v>
      </c>
      <c r="Q90">
        <v>8</v>
      </c>
    </row>
    <row r="91" spans="1:17">
      <c r="A91" t="s">
        <v>103</v>
      </c>
      <c r="B91">
        <v>55.857643600000003</v>
      </c>
      <c r="C91">
        <v>13.351903200000001</v>
      </c>
      <c r="D91" s="1">
        <v>2075.7460000000001</v>
      </c>
      <c r="E91" s="2">
        <v>-133.66800000000001</v>
      </c>
      <c r="F91" s="2">
        <v>-142.02000000000001</v>
      </c>
      <c r="G91" s="1">
        <f t="shared" si="10"/>
        <v>195.03029155492746</v>
      </c>
      <c r="H91" s="1">
        <v>172.44</v>
      </c>
      <c r="I91" s="1">
        <f t="shared" si="11"/>
        <v>260.33126632043258</v>
      </c>
      <c r="J91" s="3">
        <f t="shared" si="12"/>
        <v>1.1310037784442557</v>
      </c>
      <c r="K91" s="1">
        <f t="shared" si="14"/>
        <v>769.6201493056351</v>
      </c>
      <c r="L91" s="1">
        <f t="shared" si="13"/>
        <v>48.517839604891755</v>
      </c>
      <c r="M91">
        <v>4.8460000000000001</v>
      </c>
      <c r="N91">
        <v>5.1079999999999997</v>
      </c>
      <c r="O91">
        <v>1.23</v>
      </c>
      <c r="P91">
        <v>3</v>
      </c>
      <c r="Q91">
        <v>8</v>
      </c>
    </row>
    <row r="92" spans="1:17">
      <c r="A92" t="s">
        <v>104</v>
      </c>
      <c r="B92">
        <v>55.857576299999998</v>
      </c>
      <c r="C92">
        <v>13.3517776</v>
      </c>
      <c r="D92" s="1">
        <v>2066.4740000000002</v>
      </c>
      <c r="E92" s="2">
        <v>-133.70400000000001</v>
      </c>
      <c r="F92" s="2">
        <v>-141.91200000000001</v>
      </c>
      <c r="G92" s="1">
        <f t="shared" si="10"/>
        <v>194.97634564223426</v>
      </c>
      <c r="H92" s="1">
        <v>171.72000000000003</v>
      </c>
      <c r="I92" s="1">
        <f t="shared" si="11"/>
        <v>259.81442177061695</v>
      </c>
      <c r="J92" s="3">
        <f t="shared" si="12"/>
        <v>1.1354317822165982</v>
      </c>
      <c r="K92" s="1">
        <f t="shared" si="14"/>
        <v>780.45216850798147</v>
      </c>
      <c r="L92" s="1">
        <f t="shared" si="13"/>
        <v>48.628910480480933</v>
      </c>
      <c r="M92">
        <v>4.8410000000000002</v>
      </c>
      <c r="N92">
        <v>5.0970000000000004</v>
      </c>
      <c r="O92">
        <v>1.22</v>
      </c>
      <c r="P92">
        <v>3</v>
      </c>
      <c r="Q92">
        <v>8</v>
      </c>
    </row>
    <row r="93" spans="1:17">
      <c r="A93" t="s">
        <v>105</v>
      </c>
      <c r="B93">
        <v>55.857509100000001</v>
      </c>
      <c r="C93">
        <v>13.351652100000001</v>
      </c>
      <c r="D93" s="1">
        <v>2057.096</v>
      </c>
      <c r="E93" s="2">
        <v>-133.66800000000001</v>
      </c>
      <c r="F93" s="2">
        <v>-142.34399999999999</v>
      </c>
      <c r="G93" s="1">
        <f t="shared" si="10"/>
        <v>195.26635286193064</v>
      </c>
      <c r="H93" s="1">
        <v>171.18</v>
      </c>
      <c r="I93" s="1">
        <f t="shared" si="11"/>
        <v>259.67583822912752</v>
      </c>
      <c r="J93" s="3">
        <f t="shared" si="12"/>
        <v>1.1407077512672663</v>
      </c>
      <c r="K93" s="1">
        <f t="shared" si="14"/>
        <v>791.30029922253323</v>
      </c>
      <c r="L93" s="1">
        <f t="shared" si="13"/>
        <v>48.760616116400179</v>
      </c>
      <c r="M93">
        <v>4.8369999999999997</v>
      </c>
      <c r="N93">
        <v>5.0869999999999997</v>
      </c>
      <c r="O93">
        <v>1.21</v>
      </c>
      <c r="P93">
        <v>3</v>
      </c>
      <c r="Q93">
        <v>8</v>
      </c>
    </row>
    <row r="94" spans="1:17">
      <c r="A94" t="s">
        <v>106</v>
      </c>
      <c r="B94">
        <v>55.857441399999999</v>
      </c>
      <c r="C94">
        <v>13.3515251</v>
      </c>
      <c r="D94" s="1">
        <v>2047.7719999999999</v>
      </c>
      <c r="E94" s="2">
        <v>-133.95600000000002</v>
      </c>
      <c r="F94" s="2">
        <v>-142.81200000000001</v>
      </c>
      <c r="G94" s="1">
        <f t="shared" si="10"/>
        <v>195.80469167004148</v>
      </c>
      <c r="H94" s="1">
        <v>170.67599999999999</v>
      </c>
      <c r="I94" s="1">
        <f t="shared" si="11"/>
        <v>259.74944515051425</v>
      </c>
      <c r="J94" s="3">
        <f t="shared" si="12"/>
        <v>1.1472303760929567</v>
      </c>
      <c r="K94" s="1">
        <f t="shared" si="14"/>
        <v>802.17833764864668</v>
      </c>
      <c r="L94" s="1">
        <f t="shared" si="13"/>
        <v>48.922493030478677</v>
      </c>
      <c r="M94">
        <v>4.84</v>
      </c>
      <c r="N94">
        <v>5.0860000000000003</v>
      </c>
      <c r="O94">
        <v>1.22</v>
      </c>
      <c r="P94">
        <v>3</v>
      </c>
      <c r="Q94">
        <v>8</v>
      </c>
    </row>
    <row r="95" spans="1:17">
      <c r="A95" t="s">
        <v>107</v>
      </c>
      <c r="B95">
        <v>55.857374100000001</v>
      </c>
      <c r="C95">
        <v>13.351398100000001</v>
      </c>
      <c r="D95" s="1">
        <v>2038.4369999999999</v>
      </c>
      <c r="E95" s="2">
        <v>-133.74</v>
      </c>
      <c r="F95" s="2">
        <v>-143.42400000000001</v>
      </c>
      <c r="G95" s="1">
        <f t="shared" si="10"/>
        <v>196.10413401047924</v>
      </c>
      <c r="H95" s="1">
        <v>170.208</v>
      </c>
      <c r="I95" s="1">
        <f t="shared" si="11"/>
        <v>259.66823956733714</v>
      </c>
      <c r="J95" s="3">
        <f t="shared" si="12"/>
        <v>1.1521440473448912</v>
      </c>
      <c r="K95" s="1">
        <f t="shared" si="14"/>
        <v>813.07301176034002</v>
      </c>
      <c r="L95" s="1">
        <f t="shared" si="13"/>
        <v>49.043750364597621</v>
      </c>
      <c r="M95">
        <v>4.8369999999999997</v>
      </c>
      <c r="N95">
        <v>5.0819999999999999</v>
      </c>
      <c r="O95">
        <v>1.21</v>
      </c>
      <c r="P95">
        <v>3</v>
      </c>
      <c r="Q95">
        <v>8</v>
      </c>
    </row>
    <row r="96" spans="1:17">
      <c r="A96" t="s">
        <v>108</v>
      </c>
      <c r="B96">
        <v>55.857305699999998</v>
      </c>
      <c r="C96">
        <v>13.351269500000001</v>
      </c>
      <c r="D96" s="1">
        <v>2029.078</v>
      </c>
      <c r="E96" s="2">
        <v>-134.53199999999998</v>
      </c>
      <c r="F96" s="2">
        <v>-144.43199999999999</v>
      </c>
      <c r="G96" s="1">
        <f t="shared" si="10"/>
        <v>197.38151293370913</v>
      </c>
      <c r="H96" s="1">
        <v>169.88399999999999</v>
      </c>
      <c r="I96" s="1">
        <f t="shared" si="11"/>
        <v>260.4228006607716</v>
      </c>
      <c r="J96" s="3">
        <f t="shared" si="12"/>
        <v>1.1618605220839464</v>
      </c>
      <c r="K96" s="1">
        <f t="shared" si="14"/>
        <v>824.03865136776835</v>
      </c>
      <c r="L96" s="1">
        <f t="shared" si="13"/>
        <v>49.281799832903836</v>
      </c>
      <c r="M96">
        <v>4.84</v>
      </c>
      <c r="N96">
        <v>5.0839999999999996</v>
      </c>
      <c r="O96">
        <v>1.22</v>
      </c>
      <c r="P96">
        <v>3</v>
      </c>
      <c r="Q96">
        <v>8</v>
      </c>
    </row>
    <row r="97" spans="1:17">
      <c r="A97" t="s">
        <v>109</v>
      </c>
      <c r="B97">
        <v>55.857237699999999</v>
      </c>
      <c r="C97">
        <v>13.351139999999999</v>
      </c>
      <c r="D97" s="1">
        <v>2019.63</v>
      </c>
      <c r="E97" s="2">
        <v>-134.60400000000001</v>
      </c>
      <c r="F97" s="2">
        <v>-145.584</v>
      </c>
      <c r="G97" s="1">
        <f t="shared" si="10"/>
        <v>198.27490479634585</v>
      </c>
      <c r="H97" s="1">
        <v>169.70400000000001</v>
      </c>
      <c r="I97" s="1">
        <f t="shared" si="11"/>
        <v>260.98349658168047</v>
      </c>
      <c r="J97" s="3">
        <f t="shared" si="12"/>
        <v>1.1683572856052058</v>
      </c>
      <c r="K97" s="1">
        <f t="shared" si="14"/>
        <v>835.05392385645428</v>
      </c>
      <c r="L97" s="1">
        <f t="shared" si="13"/>
        <v>49.439696421719134</v>
      </c>
      <c r="M97">
        <v>4.8390000000000004</v>
      </c>
      <c r="N97">
        <v>5.0860000000000003</v>
      </c>
      <c r="O97">
        <v>1.21</v>
      </c>
      <c r="P97">
        <v>3</v>
      </c>
      <c r="Q97">
        <v>8</v>
      </c>
    </row>
    <row r="98" spans="1:17">
      <c r="A98" t="s">
        <v>110</v>
      </c>
      <c r="B98">
        <v>55.857170099999998</v>
      </c>
      <c r="C98">
        <v>13.3510101</v>
      </c>
      <c r="D98" s="1">
        <v>2010.0360000000001</v>
      </c>
      <c r="E98" s="2">
        <v>-134.28</v>
      </c>
      <c r="F98" s="2">
        <v>-146.16</v>
      </c>
      <c r="G98" s="1">
        <f t="shared" si="10"/>
        <v>198.47887545026046</v>
      </c>
      <c r="H98" s="1">
        <v>169.84800000000001</v>
      </c>
      <c r="I98" s="1">
        <f t="shared" si="11"/>
        <v>261.23209432227122</v>
      </c>
      <c r="J98" s="3">
        <f t="shared" si="12"/>
        <v>1.1685676337093192</v>
      </c>
      <c r="K98" s="1">
        <f t="shared" si="14"/>
        <v>846.08052804813542</v>
      </c>
      <c r="L98" s="1">
        <f t="shared" si="13"/>
        <v>49.444791773509493</v>
      </c>
      <c r="M98">
        <v>4.8170000000000002</v>
      </c>
      <c r="N98">
        <v>5.0709999999999997</v>
      </c>
      <c r="O98">
        <v>1.17</v>
      </c>
      <c r="P98">
        <v>3</v>
      </c>
      <c r="Q98">
        <v>8</v>
      </c>
    </row>
    <row r="99" spans="1:17">
      <c r="A99" t="s">
        <v>111</v>
      </c>
      <c r="B99">
        <v>55.857102500000003</v>
      </c>
      <c r="C99">
        <v>13.3508798</v>
      </c>
      <c r="D99" s="1">
        <v>2000.385</v>
      </c>
      <c r="E99" s="2">
        <v>-134.02799999999999</v>
      </c>
      <c r="F99" s="2">
        <v>-146.376</v>
      </c>
      <c r="G99" s="1">
        <f t="shared" si="10"/>
        <v>198.46772573897249</v>
      </c>
      <c r="H99" s="1">
        <v>170.17200000000003</v>
      </c>
      <c r="I99" s="1">
        <f t="shared" si="11"/>
        <v>261.43440428528152</v>
      </c>
      <c r="J99" s="3">
        <f t="shared" si="12"/>
        <v>1.1662772121087632</v>
      </c>
      <c r="K99" s="1">
        <f t="shared" si="14"/>
        <v>857.10651281141168</v>
      </c>
      <c r="L99" s="1">
        <f t="shared" si="13"/>
        <v>49.389252857379546</v>
      </c>
      <c r="M99">
        <v>4.8010000000000002</v>
      </c>
      <c r="N99">
        <v>5.0629999999999997</v>
      </c>
      <c r="O99">
        <v>1.1499999999999999</v>
      </c>
      <c r="P99">
        <v>3</v>
      </c>
      <c r="Q99">
        <v>8</v>
      </c>
    </row>
    <row r="100" spans="1:17">
      <c r="A100" t="s">
        <v>112</v>
      </c>
      <c r="B100">
        <v>55.857034900000002</v>
      </c>
      <c r="C100">
        <v>13.350748400000001</v>
      </c>
      <c r="D100" s="1">
        <v>1990.6389999999999</v>
      </c>
      <c r="E100" s="2">
        <v>-134.02799999999999</v>
      </c>
      <c r="F100" s="2">
        <v>-147.636</v>
      </c>
      <c r="G100" s="1">
        <f t="shared" si="10"/>
        <v>199.39882968563279</v>
      </c>
      <c r="H100" s="1">
        <v>170.56800000000001</v>
      </c>
      <c r="I100" s="1">
        <f t="shared" si="11"/>
        <v>262.3991918889995</v>
      </c>
      <c r="J100" s="3">
        <f t="shared" si="12"/>
        <v>1.1690283622111579</v>
      </c>
      <c r="K100" s="1">
        <f t="shared" si="14"/>
        <v>868.1842255717246</v>
      </c>
      <c r="L100" s="1">
        <f t="shared" si="13"/>
        <v>49.455948497365782</v>
      </c>
      <c r="M100">
        <v>4.8019999999999996</v>
      </c>
      <c r="N100">
        <v>5.0640000000000001</v>
      </c>
      <c r="O100">
        <v>1.1599999999999999</v>
      </c>
      <c r="P100">
        <v>3</v>
      </c>
      <c r="Q100">
        <v>8</v>
      </c>
    </row>
    <row r="101" spans="1:17">
      <c r="A101" t="s">
        <v>113</v>
      </c>
      <c r="B101">
        <v>55.856966399999997</v>
      </c>
      <c r="C101">
        <v>13.350614200000001</v>
      </c>
      <c r="D101" s="1">
        <v>1980.902</v>
      </c>
      <c r="E101" s="2">
        <v>-134.60400000000001</v>
      </c>
      <c r="F101" s="2">
        <v>-149.61600000000001</v>
      </c>
      <c r="G101" s="1">
        <f t="shared" si="10"/>
        <v>201.25402920687083</v>
      </c>
      <c r="H101" s="1">
        <v>171</v>
      </c>
      <c r="I101" s="1">
        <f t="shared" si="11"/>
        <v>264.09124232355759</v>
      </c>
      <c r="J101" s="3">
        <f t="shared" si="12"/>
        <v>1.1769241474086014</v>
      </c>
      <c r="K101" s="1">
        <f t="shared" si="14"/>
        <v>879.36500497210636</v>
      </c>
      <c r="L101" s="1">
        <f t="shared" si="13"/>
        <v>49.646361206276048</v>
      </c>
      <c r="M101">
        <v>4.8079999999999998</v>
      </c>
      <c r="N101">
        <v>5.0709999999999997</v>
      </c>
      <c r="O101">
        <v>1.17</v>
      </c>
      <c r="P101">
        <v>3</v>
      </c>
      <c r="Q101">
        <v>8</v>
      </c>
    </row>
    <row r="102" spans="1:17">
      <c r="A102" t="s">
        <v>114</v>
      </c>
      <c r="B102">
        <v>55.856898299999997</v>
      </c>
      <c r="C102">
        <v>13.3504804</v>
      </c>
      <c r="D102" s="1">
        <v>1971.28</v>
      </c>
      <c r="E102" s="2">
        <v>-135.18</v>
      </c>
      <c r="F102" s="2">
        <v>-150.696</v>
      </c>
      <c r="G102" s="1">
        <f t="shared" si="10"/>
        <v>202.44237900202614</v>
      </c>
      <c r="H102" s="1">
        <v>171.036</v>
      </c>
      <c r="I102" s="1">
        <f t="shared" si="11"/>
        <v>265.02118804352227</v>
      </c>
      <c r="J102" s="3">
        <f t="shared" si="12"/>
        <v>1.1836243773359185</v>
      </c>
      <c r="K102" s="1">
        <f t="shared" si="14"/>
        <v>890.61180380555231</v>
      </c>
      <c r="L102" s="1">
        <f t="shared" si="13"/>
        <v>49.806782476834698</v>
      </c>
      <c r="M102">
        <v>4.827</v>
      </c>
      <c r="N102">
        <v>5.085</v>
      </c>
      <c r="O102">
        <v>1.2</v>
      </c>
      <c r="P102">
        <v>3</v>
      </c>
      <c r="Q102">
        <v>8</v>
      </c>
    </row>
    <row r="103" spans="1:17">
      <c r="A103" t="s">
        <v>115</v>
      </c>
      <c r="B103">
        <v>55.856831700000001</v>
      </c>
      <c r="C103">
        <v>13.350346699999999</v>
      </c>
      <c r="D103" s="1">
        <v>1961.6880000000001</v>
      </c>
      <c r="E103" s="2">
        <v>-134.46</v>
      </c>
      <c r="F103" s="2">
        <v>-151.84800000000001</v>
      </c>
      <c r="G103" s="1">
        <f t="shared" si="10"/>
        <v>202.82333865706875</v>
      </c>
      <c r="H103" s="1">
        <v>170.85599999999999</v>
      </c>
      <c r="I103" s="1">
        <f t="shared" si="11"/>
        <v>265.1963035941489</v>
      </c>
      <c r="J103" s="3">
        <f t="shared" si="12"/>
        <v>1.1871010597056513</v>
      </c>
      <c r="K103" s="1">
        <f t="shared" si="14"/>
        <v>901.87976706427833</v>
      </c>
      <c r="L103" s="1">
        <f t="shared" si="13"/>
        <v>49.889606724918764</v>
      </c>
      <c r="M103">
        <v>4.8490000000000002</v>
      </c>
      <c r="N103">
        <v>5.1059999999999999</v>
      </c>
      <c r="O103">
        <v>1.22</v>
      </c>
      <c r="P103">
        <v>3</v>
      </c>
      <c r="Q103">
        <v>8</v>
      </c>
    </row>
    <row r="104" spans="1:17">
      <c r="A104" t="s">
        <v>116</v>
      </c>
      <c r="B104">
        <v>55.856765699999997</v>
      </c>
      <c r="C104">
        <v>13.350213699999999</v>
      </c>
      <c r="D104" s="1">
        <v>1952.126</v>
      </c>
      <c r="E104" s="2">
        <v>-133.81200000000001</v>
      </c>
      <c r="F104" s="2">
        <v>-152.244</v>
      </c>
      <c r="G104" s="1">
        <f t="shared" si="10"/>
        <v>202.6916053515784</v>
      </c>
      <c r="H104" s="1">
        <v>170.56800000000001</v>
      </c>
      <c r="I104" s="1">
        <f t="shared" si="11"/>
        <v>264.91004039862287</v>
      </c>
      <c r="J104" s="3">
        <f t="shared" si="12"/>
        <v>1.1883331301978002</v>
      </c>
      <c r="K104" s="1">
        <f t="shared" si="14"/>
        <v>913.14041180603272</v>
      </c>
      <c r="L104" s="1">
        <f t="shared" si="13"/>
        <v>49.918890031493291</v>
      </c>
      <c r="M104">
        <v>4.8730000000000002</v>
      </c>
      <c r="N104">
        <v>5.1260000000000003</v>
      </c>
      <c r="O104">
        <v>1.24</v>
      </c>
      <c r="P104">
        <v>3</v>
      </c>
      <c r="Q104">
        <v>8</v>
      </c>
    </row>
    <row r="105" spans="1:17">
      <c r="A105" t="s">
        <v>117</v>
      </c>
      <c r="B105">
        <v>55.856699900000002</v>
      </c>
      <c r="C105">
        <v>13.3500804</v>
      </c>
      <c r="D105" s="1">
        <v>1942.77</v>
      </c>
      <c r="E105" s="2">
        <v>-133.452</v>
      </c>
      <c r="F105" s="2">
        <v>-152.42400000000001</v>
      </c>
      <c r="G105" s="1">
        <f t="shared" si="10"/>
        <v>202.58951621443791</v>
      </c>
      <c r="H105" s="1">
        <v>169.99199999999999</v>
      </c>
      <c r="I105" s="1">
        <f t="shared" si="11"/>
        <v>264.46132447675592</v>
      </c>
      <c r="J105" s="3">
        <f t="shared" si="12"/>
        <v>1.1917591193376036</v>
      </c>
      <c r="K105" s="1">
        <f t="shared" si="14"/>
        <v>924.39538492905706</v>
      </c>
      <c r="L105" s="1">
        <f t="shared" si="13"/>
        <v>50.000130835544098</v>
      </c>
      <c r="M105">
        <v>4.8979999999999997</v>
      </c>
      <c r="N105">
        <v>5.1470000000000002</v>
      </c>
      <c r="O105">
        <v>1.26</v>
      </c>
      <c r="P105">
        <v>3</v>
      </c>
      <c r="Q105">
        <v>8</v>
      </c>
    </row>
    <row r="106" spans="1:17">
      <c r="A106" t="s">
        <v>118</v>
      </c>
      <c r="B106">
        <v>55.856634300000003</v>
      </c>
      <c r="C106">
        <v>13.3499476</v>
      </c>
      <c r="D106" s="1">
        <v>1933.4929999999999</v>
      </c>
      <c r="E106" s="2">
        <v>-133.05600000000001</v>
      </c>
      <c r="F106" s="2">
        <v>-152.316</v>
      </c>
      <c r="G106" s="1">
        <f t="shared" si="10"/>
        <v>202.24752901333557</v>
      </c>
      <c r="H106" s="1">
        <v>169.38</v>
      </c>
      <c r="I106" s="1">
        <f t="shared" si="11"/>
        <v>263.80607914147851</v>
      </c>
      <c r="J106" s="3">
        <f t="shared" si="12"/>
        <v>1.1940461035147927</v>
      </c>
      <c r="K106" s="1">
        <f t="shared" si="14"/>
        <v>935.63135876313129</v>
      </c>
      <c r="L106" s="1">
        <f t="shared" si="13"/>
        <v>50.054209941227938</v>
      </c>
      <c r="M106">
        <v>4.9160000000000004</v>
      </c>
      <c r="N106">
        <v>5.1589999999999998</v>
      </c>
      <c r="O106">
        <v>1.26</v>
      </c>
      <c r="P106">
        <v>3</v>
      </c>
      <c r="Q106">
        <v>8</v>
      </c>
    </row>
    <row r="107" spans="1:17">
      <c r="A107" t="s">
        <v>119</v>
      </c>
      <c r="B107">
        <v>55.856567499999997</v>
      </c>
      <c r="C107">
        <v>13.3498152</v>
      </c>
      <c r="D107" s="1">
        <v>1924.3589999999999</v>
      </c>
      <c r="E107" s="2">
        <v>-133.84800000000001</v>
      </c>
      <c r="F107" s="2">
        <v>-151.56</v>
      </c>
      <c r="G107" s="1">
        <f t="shared" si="10"/>
        <v>202.20217779242637</v>
      </c>
      <c r="H107" s="1">
        <v>168.58799999999999</v>
      </c>
      <c r="I107" s="1">
        <f t="shared" si="11"/>
        <v>263.26343165734204</v>
      </c>
      <c r="J107" s="3">
        <f t="shared" si="12"/>
        <v>1.1993865387360096</v>
      </c>
      <c r="K107" s="1">
        <f t="shared" si="14"/>
        <v>946.86481308493273</v>
      </c>
      <c r="L107" s="1">
        <f t="shared" si="13"/>
        <v>50.180019338785947</v>
      </c>
      <c r="M107">
        <v>4.9290000000000003</v>
      </c>
      <c r="N107">
        <v>5.1660000000000004</v>
      </c>
      <c r="O107">
        <v>1.27</v>
      </c>
      <c r="P107">
        <v>3</v>
      </c>
      <c r="Q107">
        <v>8</v>
      </c>
    </row>
    <row r="108" spans="1:17">
      <c r="A108" t="s">
        <v>120</v>
      </c>
      <c r="B108">
        <v>55.8565009</v>
      </c>
      <c r="C108">
        <v>13.3496834</v>
      </c>
      <c r="D108" s="1">
        <v>1915.35</v>
      </c>
      <c r="E108" s="2">
        <v>-134.1</v>
      </c>
      <c r="F108" s="2">
        <v>-151.27200000000002</v>
      </c>
      <c r="G108" s="1">
        <f t="shared" si="10"/>
        <v>202.15347630946147</v>
      </c>
      <c r="H108" s="1">
        <v>167.61600000000001</v>
      </c>
      <c r="I108" s="1">
        <f t="shared" si="11"/>
        <v>262.60455334970868</v>
      </c>
      <c r="J108" s="3">
        <f t="shared" si="12"/>
        <v>1.2060511902769513</v>
      </c>
      <c r="K108" s="1">
        <f t="shared" si="14"/>
        <v>958.09556176879175</v>
      </c>
      <c r="L108" s="1">
        <f t="shared" si="13"/>
        <v>50.336100309615212</v>
      </c>
      <c r="M108">
        <v>4.9409999999999998</v>
      </c>
      <c r="N108">
        <v>5.173</v>
      </c>
      <c r="O108">
        <v>1.27</v>
      </c>
      <c r="P108">
        <v>3</v>
      </c>
      <c r="Q108">
        <v>8</v>
      </c>
    </row>
    <row r="109" spans="1:17">
      <c r="A109" t="s">
        <v>121</v>
      </c>
      <c r="B109">
        <v>55.856434100000001</v>
      </c>
      <c r="C109">
        <v>13.3495521</v>
      </c>
      <c r="D109" s="1">
        <v>1906.3140000000001</v>
      </c>
      <c r="E109" s="2">
        <v>-134.208</v>
      </c>
      <c r="F109" s="2">
        <v>-150.44399999999999</v>
      </c>
      <c r="G109" s="1">
        <f t="shared" si="10"/>
        <v>201.60650882350004</v>
      </c>
      <c r="H109" s="1">
        <v>166.89600000000002</v>
      </c>
      <c r="I109" s="1">
        <f t="shared" si="11"/>
        <v>261.7240134492821</v>
      </c>
      <c r="J109" s="3">
        <f t="shared" si="12"/>
        <v>1.2079768767585803</v>
      </c>
      <c r="K109" s="1">
        <f t="shared" si="14"/>
        <v>969.29592337009728</v>
      </c>
      <c r="L109" s="1">
        <f t="shared" si="13"/>
        <v>50.381008322174409</v>
      </c>
      <c r="M109">
        <v>4.952</v>
      </c>
      <c r="N109">
        <v>5.181</v>
      </c>
      <c r="O109">
        <v>1.27</v>
      </c>
      <c r="P109">
        <v>3</v>
      </c>
      <c r="Q109">
        <v>8</v>
      </c>
    </row>
    <row r="110" spans="1:17">
      <c r="A110" t="s">
        <v>122</v>
      </c>
      <c r="B110">
        <v>55.856367300000002</v>
      </c>
      <c r="C110">
        <v>13.349421400000001</v>
      </c>
      <c r="D110" s="1">
        <v>1897.383</v>
      </c>
      <c r="E110" s="2">
        <v>-134.1</v>
      </c>
      <c r="F110" s="2">
        <v>-149.61600000000001</v>
      </c>
      <c r="G110" s="1">
        <f t="shared" si="10"/>
        <v>200.91729008723965</v>
      </c>
      <c r="H110" s="1">
        <v>166.06800000000001</v>
      </c>
      <c r="I110" s="1">
        <f t="shared" si="11"/>
        <v>260.66518386620032</v>
      </c>
      <c r="J110" s="3">
        <f t="shared" si="12"/>
        <v>1.2098495199992751</v>
      </c>
      <c r="K110" s="1">
        <f t="shared" si="14"/>
        <v>980.45799504161062</v>
      </c>
      <c r="L110" s="1">
        <f t="shared" si="13"/>
        <v>50.424597934425144</v>
      </c>
      <c r="M110">
        <v>4.9610000000000003</v>
      </c>
      <c r="N110">
        <v>5.1879999999999997</v>
      </c>
      <c r="O110">
        <v>1.27</v>
      </c>
      <c r="P110">
        <v>3</v>
      </c>
      <c r="Q110">
        <v>8</v>
      </c>
    </row>
    <row r="111" spans="1:17">
      <c r="A111" t="s">
        <v>123</v>
      </c>
      <c r="B111">
        <v>55.856301100000003</v>
      </c>
      <c r="C111">
        <v>13.3492906</v>
      </c>
      <c r="D111" s="1">
        <v>1888.5630000000001</v>
      </c>
      <c r="E111" s="2">
        <v>-133.09200000000001</v>
      </c>
      <c r="F111" s="2">
        <v>-149.04</v>
      </c>
      <c r="G111" s="1">
        <f t="shared" si="10"/>
        <v>199.81592044679525</v>
      </c>
      <c r="H111" s="1">
        <v>165.24</v>
      </c>
      <c r="I111" s="1">
        <f t="shared" si="11"/>
        <v>259.28875730351291</v>
      </c>
      <c r="J111" s="3">
        <f t="shared" si="12"/>
        <v>1.2092466742120263</v>
      </c>
      <c r="K111" s="1">
        <f t="shared" si="14"/>
        <v>991.55887951087698</v>
      </c>
      <c r="L111" s="1">
        <f t="shared" si="13"/>
        <v>50.410574212400995</v>
      </c>
      <c r="M111">
        <v>4.9649999999999999</v>
      </c>
      <c r="N111">
        <v>5.1909999999999998</v>
      </c>
      <c r="O111">
        <v>1.26</v>
      </c>
      <c r="P111">
        <v>3</v>
      </c>
      <c r="Q111">
        <v>8</v>
      </c>
    </row>
    <row r="112" spans="1:17">
      <c r="A112" t="s">
        <v>124</v>
      </c>
      <c r="B112">
        <v>55.856234100000002</v>
      </c>
      <c r="C112">
        <v>13.3491602</v>
      </c>
      <c r="D112" s="1">
        <v>1879.5709999999999</v>
      </c>
      <c r="E112" s="2">
        <v>-133.41600000000003</v>
      </c>
      <c r="F112" s="2">
        <v>-148.32000000000002</v>
      </c>
      <c r="G112" s="1">
        <f t="shared" si="10"/>
        <v>199.49599358383119</v>
      </c>
      <c r="H112" s="1">
        <v>164.73599999999999</v>
      </c>
      <c r="I112" s="1">
        <f t="shared" si="11"/>
        <v>258.72108756728744</v>
      </c>
      <c r="J112" s="3">
        <f t="shared" si="12"/>
        <v>1.211004234556085</v>
      </c>
      <c r="K112" s="1">
        <f t="shared" si="14"/>
        <v>1002.6419902655342</v>
      </c>
      <c r="L112" s="1">
        <f t="shared" si="13"/>
        <v>50.451436351950683</v>
      </c>
      <c r="M112">
        <v>4.9690000000000003</v>
      </c>
      <c r="N112">
        <v>5.194</v>
      </c>
      <c r="O112">
        <v>1.26</v>
      </c>
      <c r="P112">
        <v>3</v>
      </c>
      <c r="Q112">
        <v>8</v>
      </c>
    </row>
    <row r="113" spans="1:17">
      <c r="A113" t="s">
        <v>125</v>
      </c>
      <c r="B113">
        <v>55.856166799999997</v>
      </c>
      <c r="C113">
        <v>13.3490286</v>
      </c>
      <c r="D113" s="1">
        <v>1870.662</v>
      </c>
      <c r="E113" s="2">
        <v>-133.34399999999999</v>
      </c>
      <c r="F113" s="2">
        <v>-148.24799999999999</v>
      </c>
      <c r="G113" s="1">
        <f t="shared" si="10"/>
        <v>199.39431245649911</v>
      </c>
      <c r="H113" s="1">
        <v>164.304</v>
      </c>
      <c r="I113" s="1">
        <f t="shared" si="11"/>
        <v>258.36775390129475</v>
      </c>
      <c r="J113" s="3">
        <f t="shared" si="12"/>
        <v>1.2135694350502673</v>
      </c>
      <c r="K113" s="1">
        <f t="shared" si="14"/>
        <v>1013.719452068673</v>
      </c>
      <c r="L113" s="1">
        <f t="shared" si="13"/>
        <v>50.510949173442945</v>
      </c>
      <c r="M113">
        <v>4.9669999999999996</v>
      </c>
      <c r="N113">
        <v>5.1929999999999996</v>
      </c>
      <c r="O113">
        <v>1.25</v>
      </c>
      <c r="P113">
        <v>3</v>
      </c>
      <c r="Q113">
        <v>8</v>
      </c>
    </row>
    <row r="114" spans="1:17">
      <c r="A114" t="s">
        <v>126</v>
      </c>
      <c r="B114">
        <v>55.8561002</v>
      </c>
      <c r="C114">
        <v>13.3488986</v>
      </c>
      <c r="D114" s="1">
        <v>1861.627</v>
      </c>
      <c r="E114" s="2">
        <v>-133.05600000000001</v>
      </c>
      <c r="F114" s="2">
        <v>-147.708</v>
      </c>
      <c r="G114" s="1">
        <f t="shared" si="10"/>
        <v>198.80028269597605</v>
      </c>
      <c r="H114" s="1">
        <v>164.05199999999999</v>
      </c>
      <c r="I114" s="1">
        <f t="shared" si="11"/>
        <v>257.74912435156784</v>
      </c>
      <c r="J114" s="3">
        <f t="shared" si="12"/>
        <v>1.2118126124398121</v>
      </c>
      <c r="K114" s="1">
        <f t="shared" si="14"/>
        <v>1024.7639122184494</v>
      </c>
      <c r="L114" s="1">
        <f t="shared" si="13"/>
        <v>50.470206948820177</v>
      </c>
      <c r="M114">
        <v>4.9589999999999996</v>
      </c>
      <c r="N114">
        <v>5.1920000000000002</v>
      </c>
      <c r="O114">
        <v>1.23</v>
      </c>
      <c r="P114">
        <v>3</v>
      </c>
      <c r="Q114">
        <v>8</v>
      </c>
    </row>
    <row r="115" spans="1:17">
      <c r="A115" t="s">
        <v>127</v>
      </c>
      <c r="B115">
        <v>55.856032999999996</v>
      </c>
      <c r="C115">
        <v>13.348767</v>
      </c>
      <c r="D115" s="1">
        <v>1852.672</v>
      </c>
      <c r="E115" s="2">
        <v>-133.02000000000001</v>
      </c>
      <c r="F115" s="2">
        <v>-147.852</v>
      </c>
      <c r="G115" s="1">
        <f t="shared" si="10"/>
        <v>198.88321775353495</v>
      </c>
      <c r="H115" s="1">
        <v>163.76400000000001</v>
      </c>
      <c r="I115" s="1">
        <f t="shared" si="11"/>
        <v>257.62993226719601</v>
      </c>
      <c r="J115" s="3">
        <f t="shared" si="12"/>
        <v>1.2144501706940167</v>
      </c>
      <c r="K115" s="1">
        <f t="shared" si="14"/>
        <v>1035.8129798714235</v>
      </c>
      <c r="L115" s="1">
        <f t="shared" si="13"/>
        <v>50.531347763933368</v>
      </c>
      <c r="M115">
        <v>4.95</v>
      </c>
      <c r="N115">
        <v>5.1920000000000002</v>
      </c>
      <c r="O115">
        <v>1.22</v>
      </c>
      <c r="P115">
        <v>3</v>
      </c>
      <c r="Q115">
        <v>8</v>
      </c>
    </row>
    <row r="116" spans="1:17">
      <c r="A116" t="s">
        <v>128</v>
      </c>
      <c r="B116">
        <v>55.855965599999998</v>
      </c>
      <c r="C116">
        <v>13.348634199999999</v>
      </c>
      <c r="D116" s="1">
        <v>1843.653</v>
      </c>
      <c r="E116" s="2">
        <v>-133.02000000000001</v>
      </c>
      <c r="F116" s="2">
        <v>-148.78800000000001</v>
      </c>
      <c r="G116" s="1">
        <f t="shared" si="10"/>
        <v>199.58003242809639</v>
      </c>
      <c r="H116" s="1">
        <v>163.62</v>
      </c>
      <c r="I116" s="1">
        <f t="shared" si="11"/>
        <v>258.07691439568941</v>
      </c>
      <c r="J116" s="3">
        <f t="shared" si="12"/>
        <v>1.2197777315004057</v>
      </c>
      <c r="K116" s="1">
        <f t="shared" si="14"/>
        <v>1046.9007594507623</v>
      </c>
      <c r="L116" s="1">
        <f t="shared" si="13"/>
        <v>50.654363517210065</v>
      </c>
      <c r="M116">
        <v>4.944</v>
      </c>
      <c r="N116">
        <v>5.1920000000000002</v>
      </c>
      <c r="O116">
        <v>1.22</v>
      </c>
      <c r="P116">
        <v>3</v>
      </c>
      <c r="Q116">
        <v>8</v>
      </c>
    </row>
    <row r="117" spans="1:17">
      <c r="A117" t="s">
        <v>129</v>
      </c>
      <c r="B117">
        <v>55.855898600000003</v>
      </c>
      <c r="C117">
        <v>13.3485019</v>
      </c>
      <c r="D117" s="1">
        <v>1834.5440000000001</v>
      </c>
      <c r="E117" s="2">
        <v>-133.09200000000001</v>
      </c>
      <c r="F117" s="2">
        <v>-149.11200000000002</v>
      </c>
      <c r="G117" s="1">
        <f t="shared" si="10"/>
        <v>199.86963002917679</v>
      </c>
      <c r="H117" s="1">
        <v>163.62</v>
      </c>
      <c r="I117" s="1">
        <f t="shared" si="11"/>
        <v>258.30093574743398</v>
      </c>
      <c r="J117" s="3">
        <f t="shared" si="12"/>
        <v>1.2215476716121305</v>
      </c>
      <c r="K117" s="1">
        <f t="shared" si="14"/>
        <v>1058.0046277857166</v>
      </c>
      <c r="L117" s="1">
        <f t="shared" si="13"/>
        <v>50.695090185203632</v>
      </c>
      <c r="M117">
        <v>4.9370000000000003</v>
      </c>
      <c r="N117">
        <v>5.1929999999999996</v>
      </c>
      <c r="O117">
        <v>1.21</v>
      </c>
      <c r="P117">
        <v>3</v>
      </c>
      <c r="Q117">
        <v>8</v>
      </c>
    </row>
    <row r="118" spans="1:17">
      <c r="A118" t="s">
        <v>130</v>
      </c>
      <c r="B118">
        <v>55.855830699999999</v>
      </c>
      <c r="C118">
        <v>13.348369</v>
      </c>
      <c r="D118" s="1">
        <v>1825.691</v>
      </c>
      <c r="E118" s="2">
        <v>-134.02799999999999</v>
      </c>
      <c r="F118" s="2">
        <v>-149.76000000000002</v>
      </c>
      <c r="G118" s="1">
        <f t="shared" si="10"/>
        <v>200.97652197209504</v>
      </c>
      <c r="H118" s="1">
        <v>163.04400000000001</v>
      </c>
      <c r="I118" s="1">
        <f t="shared" si="11"/>
        <v>258.79510876367044</v>
      </c>
      <c r="J118" s="3">
        <f t="shared" si="12"/>
        <v>1.2326520569422672</v>
      </c>
      <c r="K118" s="1">
        <f t="shared" si="14"/>
        <v>1069.1699901174998</v>
      </c>
      <c r="L118" s="1">
        <f t="shared" si="13"/>
        <v>50.948998979956201</v>
      </c>
      <c r="M118">
        <v>4.9390000000000001</v>
      </c>
      <c r="N118">
        <v>5.2</v>
      </c>
      <c r="O118">
        <v>1.23</v>
      </c>
      <c r="P118">
        <v>3</v>
      </c>
      <c r="Q118">
        <v>8</v>
      </c>
    </row>
    <row r="119" spans="1:17">
      <c r="A119" t="s">
        <v>131</v>
      </c>
      <c r="B119">
        <v>55.855763500000002</v>
      </c>
      <c r="C119">
        <v>13.348235600000001</v>
      </c>
      <c r="D119" s="1">
        <v>1816.796</v>
      </c>
      <c r="E119" s="2">
        <v>-133.95600000000002</v>
      </c>
      <c r="F119" s="2">
        <v>-150.62400000000002</v>
      </c>
      <c r="G119" s="1">
        <f t="shared" si="10"/>
        <v>201.57331001896063</v>
      </c>
      <c r="H119" s="1">
        <v>162.61200000000002</v>
      </c>
      <c r="I119" s="1">
        <f t="shared" si="11"/>
        <v>258.98737779281834</v>
      </c>
      <c r="J119" s="3">
        <f t="shared" si="12"/>
        <v>1.2395967703426598</v>
      </c>
      <c r="K119" s="1">
        <f t="shared" si="14"/>
        <v>1080.3685073407753</v>
      </c>
      <c r="L119" s="1">
        <f t="shared" si="13"/>
        <v>51.106397359439384</v>
      </c>
      <c r="M119">
        <v>4.944</v>
      </c>
      <c r="N119">
        <v>5.2069999999999999</v>
      </c>
      <c r="O119">
        <v>1.24</v>
      </c>
      <c r="P119">
        <v>3</v>
      </c>
      <c r="Q119">
        <v>8</v>
      </c>
    </row>
    <row r="120" spans="1:17">
      <c r="A120" t="s">
        <v>132</v>
      </c>
      <c r="B120">
        <v>55.855697200000002</v>
      </c>
      <c r="C120">
        <v>13.348103099999999</v>
      </c>
      <c r="D120" s="1">
        <v>1807.8979999999999</v>
      </c>
      <c r="E120" s="2">
        <v>-133.16400000000002</v>
      </c>
      <c r="F120" s="2">
        <v>-150.44399999999999</v>
      </c>
      <c r="G120" s="1">
        <f t="shared" si="10"/>
        <v>200.91303599318786</v>
      </c>
      <c r="H120" s="1">
        <v>162.28800000000001</v>
      </c>
      <c r="I120" s="1">
        <f t="shared" si="11"/>
        <v>258.27009694503931</v>
      </c>
      <c r="J120" s="3">
        <f t="shared" si="12"/>
        <v>1.238003031605466</v>
      </c>
      <c r="K120" s="1">
        <f t="shared" si="14"/>
        <v>1091.5303426737303</v>
      </c>
      <c r="L120" s="1">
        <f t="shared" si="13"/>
        <v>51.070370528204933</v>
      </c>
      <c r="M120">
        <v>4.9489999999999998</v>
      </c>
      <c r="N120">
        <v>5.2140000000000004</v>
      </c>
      <c r="O120">
        <v>1.25</v>
      </c>
      <c r="P120">
        <v>3</v>
      </c>
      <c r="Q120">
        <v>8</v>
      </c>
    </row>
    <row r="121" spans="1:17">
      <c r="A121" t="s">
        <v>133</v>
      </c>
      <c r="B121">
        <v>55.8556296</v>
      </c>
      <c r="C121">
        <v>13.3479682</v>
      </c>
      <c r="D121" s="1">
        <v>1799.232</v>
      </c>
      <c r="E121" s="2">
        <v>-131.976</v>
      </c>
      <c r="F121" s="2">
        <v>-149.76000000000002</v>
      </c>
      <c r="G121" s="1">
        <f t="shared" si="10"/>
        <v>199.613932820332</v>
      </c>
      <c r="H121" s="1">
        <v>161.892</v>
      </c>
      <c r="I121" s="1">
        <f t="shared" si="11"/>
        <v>257.01117065217227</v>
      </c>
      <c r="J121" s="3">
        <f t="shared" si="12"/>
        <v>1.2330067750125515</v>
      </c>
      <c r="K121" s="1">
        <f t="shared" si="14"/>
        <v>1102.6200056081932</v>
      </c>
      <c r="L121" s="1">
        <f t="shared" si="13"/>
        <v>50.957064420482624</v>
      </c>
      <c r="M121">
        <v>4.5620000000000003</v>
      </c>
      <c r="N121">
        <v>5.0709999999999997</v>
      </c>
      <c r="O121">
        <v>1.02</v>
      </c>
      <c r="P121">
        <v>3</v>
      </c>
      <c r="Q121">
        <v>10</v>
      </c>
    </row>
    <row r="122" spans="1:17">
      <c r="A122" t="s">
        <v>134</v>
      </c>
      <c r="B122">
        <v>55.855561600000001</v>
      </c>
      <c r="C122">
        <v>13.347831299999999</v>
      </c>
      <c r="D122" s="1">
        <v>1790.5909999999999</v>
      </c>
      <c r="E122" s="2">
        <v>-131.57999999999998</v>
      </c>
      <c r="F122" s="2">
        <v>-150.84</v>
      </c>
      <c r="G122" s="1">
        <f t="shared" si="10"/>
        <v>200.16493698947374</v>
      </c>
      <c r="H122" s="1">
        <v>161.46</v>
      </c>
      <c r="I122" s="1">
        <f t="shared" si="11"/>
        <v>257.16790935106968</v>
      </c>
      <c r="J122" s="3">
        <f t="shared" si="12"/>
        <v>1.2397184255510574</v>
      </c>
      <c r="K122" s="1">
        <f t="shared" si="14"/>
        <v>1113.7402798853861</v>
      </c>
      <c r="L122" s="1">
        <f t="shared" si="13"/>
        <v>51.109145098618868</v>
      </c>
      <c r="M122">
        <v>4.3070000000000004</v>
      </c>
      <c r="N122">
        <v>4.976</v>
      </c>
      <c r="O122">
        <v>0.98</v>
      </c>
      <c r="P122">
        <v>3</v>
      </c>
      <c r="Q122">
        <v>10</v>
      </c>
    </row>
    <row r="123" spans="1:17">
      <c r="A123" t="s">
        <v>135</v>
      </c>
      <c r="B123">
        <v>55.855494</v>
      </c>
      <c r="C123">
        <v>13.347694000000001</v>
      </c>
      <c r="D123" s="1">
        <v>1781.8620000000001</v>
      </c>
      <c r="E123" s="2">
        <v>-131.256</v>
      </c>
      <c r="F123" s="2">
        <v>-151.52400000000003</v>
      </c>
      <c r="G123" s="1">
        <f t="shared" si="10"/>
        <v>200.46860131202595</v>
      </c>
      <c r="H123" s="1">
        <v>161.208</v>
      </c>
      <c r="I123" s="1">
        <f t="shared" si="11"/>
        <v>257.24633986900574</v>
      </c>
      <c r="J123" s="3">
        <f t="shared" si="12"/>
        <v>1.2435400309663662</v>
      </c>
      <c r="K123" s="1">
        <f t="shared" si="14"/>
        <v>1124.8774244027209</v>
      </c>
      <c r="L123" s="1">
        <f t="shared" si="13"/>
        <v>51.195294883894604</v>
      </c>
      <c r="M123">
        <v>4.0819999999999999</v>
      </c>
      <c r="N123">
        <v>4.9009999999999998</v>
      </c>
      <c r="O123">
        <v>0.96</v>
      </c>
      <c r="P123">
        <v>3</v>
      </c>
      <c r="Q123">
        <v>10</v>
      </c>
    </row>
    <row r="124" spans="1:17">
      <c r="A124" t="s">
        <v>136</v>
      </c>
      <c r="B124">
        <v>55.855427300000002</v>
      </c>
      <c r="C124">
        <v>13.347556300000001</v>
      </c>
      <c r="D124" s="1">
        <v>1773.06</v>
      </c>
      <c r="E124" s="2">
        <v>-130.572</v>
      </c>
      <c r="F124" s="2">
        <v>-152.74799999999999</v>
      </c>
      <c r="G124" s="1">
        <f t="shared" si="10"/>
        <v>200.95023933302491</v>
      </c>
      <c r="H124" s="1">
        <v>161.06400000000002</v>
      </c>
      <c r="I124" s="1">
        <f t="shared" si="11"/>
        <v>257.53176655317691</v>
      </c>
      <c r="J124" s="3">
        <f t="shared" si="12"/>
        <v>1.2476421753652267</v>
      </c>
      <c r="K124" s="1">
        <f t="shared" si="14"/>
        <v>1136.041326587889</v>
      </c>
      <c r="L124" s="1">
        <f t="shared" si="13"/>
        <v>51.28741167962017</v>
      </c>
      <c r="M124">
        <v>3.911</v>
      </c>
      <c r="N124">
        <v>4.84</v>
      </c>
      <c r="O124">
        <v>0.95</v>
      </c>
      <c r="P124">
        <v>3</v>
      </c>
      <c r="Q124">
        <v>10</v>
      </c>
    </row>
    <row r="125" spans="1:17">
      <c r="A125" t="s">
        <v>137</v>
      </c>
      <c r="B125">
        <v>55.8553614</v>
      </c>
      <c r="C125">
        <v>13.3474187</v>
      </c>
      <c r="D125" s="1">
        <v>1764.1559999999999</v>
      </c>
      <c r="E125" s="2">
        <v>-129.78</v>
      </c>
      <c r="F125" s="2">
        <v>-153.792</v>
      </c>
      <c r="G125" s="1">
        <f t="shared" si="10"/>
        <v>201.233266792546</v>
      </c>
      <c r="H125" s="1">
        <v>161.1</v>
      </c>
      <c r="I125" s="1">
        <f t="shared" si="11"/>
        <v>257.77516882741054</v>
      </c>
      <c r="J125" s="3">
        <f t="shared" si="12"/>
        <v>1.2491202159686283</v>
      </c>
      <c r="K125" s="1">
        <f t="shared" si="14"/>
        <v>1147.2209525208082</v>
      </c>
      <c r="L125" s="1">
        <f t="shared" si="13"/>
        <v>51.32051192058568</v>
      </c>
      <c r="M125">
        <v>3.7949999999999999</v>
      </c>
      <c r="N125">
        <v>4.7939999999999996</v>
      </c>
      <c r="O125">
        <v>0.96</v>
      </c>
      <c r="P125">
        <v>3</v>
      </c>
      <c r="Q125">
        <v>10</v>
      </c>
    </row>
    <row r="126" spans="1:17">
      <c r="A126" t="s">
        <v>138</v>
      </c>
      <c r="B126">
        <v>55.855296000000003</v>
      </c>
      <c r="C126">
        <v>13.347280899999999</v>
      </c>
      <c r="D126" s="1">
        <v>1755.097</v>
      </c>
      <c r="E126" s="2">
        <v>-128.988</v>
      </c>
      <c r="F126" s="2">
        <v>-154.33199999999999</v>
      </c>
      <c r="G126" s="1">
        <f t="shared" si="10"/>
        <v>201.13744148715821</v>
      </c>
      <c r="H126" s="1">
        <v>161.42400000000001</v>
      </c>
      <c r="I126" s="1">
        <f t="shared" si="11"/>
        <v>257.90304019921905</v>
      </c>
      <c r="J126" s="3">
        <f t="shared" si="12"/>
        <v>1.2460194363115658</v>
      </c>
      <c r="K126" s="1">
        <f t="shared" si="14"/>
        <v>1158.3952548256502</v>
      </c>
      <c r="L126" s="1">
        <f t="shared" si="13"/>
        <v>51.251015930187798</v>
      </c>
      <c r="M126">
        <v>3.6970000000000001</v>
      </c>
      <c r="N126">
        <v>4.74</v>
      </c>
      <c r="O126">
        <v>0.96</v>
      </c>
      <c r="P126">
        <v>3</v>
      </c>
      <c r="Q126">
        <v>10</v>
      </c>
    </row>
    <row r="127" spans="1:17">
      <c r="A127" t="s">
        <v>139</v>
      </c>
      <c r="B127">
        <v>55.855231400000001</v>
      </c>
      <c r="C127">
        <v>13.3471425</v>
      </c>
      <c r="D127" s="1">
        <v>1745.779</v>
      </c>
      <c r="E127" s="2">
        <v>-127.65600000000001</v>
      </c>
      <c r="F127" s="2">
        <v>-155.48400000000001</v>
      </c>
      <c r="G127" s="1">
        <f t="shared" si="10"/>
        <v>201.17487067722948</v>
      </c>
      <c r="H127" s="1">
        <v>162.18</v>
      </c>
      <c r="I127" s="1">
        <f t="shared" si="11"/>
        <v>258.40603900063945</v>
      </c>
      <c r="J127" s="3">
        <f t="shared" si="12"/>
        <v>1.2404419205649861</v>
      </c>
      <c r="K127" s="1">
        <f t="shared" si="14"/>
        <v>1169.5716365299409</v>
      </c>
      <c r="L127" s="1">
        <f t="shared" si="13"/>
        <v>51.125479416071329</v>
      </c>
      <c r="M127">
        <v>3.6139999999999999</v>
      </c>
      <c r="N127">
        <v>4.6920000000000002</v>
      </c>
      <c r="O127">
        <v>0.96</v>
      </c>
      <c r="P127">
        <v>3</v>
      </c>
      <c r="Q127">
        <v>10</v>
      </c>
    </row>
    <row r="128" spans="1:17">
      <c r="A128" t="s">
        <v>140</v>
      </c>
      <c r="B128">
        <v>55.855167399999999</v>
      </c>
      <c r="C128">
        <v>13.3470032</v>
      </c>
      <c r="D128" s="1">
        <v>1736.422</v>
      </c>
      <c r="E128" s="2">
        <v>-126.43199999999999</v>
      </c>
      <c r="F128" s="2">
        <v>-156.49199999999999</v>
      </c>
      <c r="G128" s="1">
        <f t="shared" si="10"/>
        <v>201.18349009797001</v>
      </c>
      <c r="H128" s="1">
        <v>162.9</v>
      </c>
      <c r="I128" s="1">
        <f t="shared" si="11"/>
        <v>258.86522881221418</v>
      </c>
      <c r="J128" s="3">
        <f t="shared" si="12"/>
        <v>1.2350122166848987</v>
      </c>
      <c r="K128" s="1">
        <f t="shared" si="14"/>
        <v>1180.7484970909393</v>
      </c>
      <c r="L128" s="1">
        <f t="shared" si="13"/>
        <v>51.002610758717289</v>
      </c>
      <c r="M128">
        <v>3.54</v>
      </c>
      <c r="N128">
        <v>4.6509999999999998</v>
      </c>
      <c r="O128">
        <v>0.95</v>
      </c>
      <c r="P128">
        <v>3</v>
      </c>
      <c r="Q128">
        <v>10</v>
      </c>
    </row>
    <row r="129" spans="1:17">
      <c r="A129" t="s">
        <v>141</v>
      </c>
      <c r="B129">
        <v>55.855104599999997</v>
      </c>
      <c r="C129">
        <v>13.346864200000001</v>
      </c>
      <c r="D129" s="1">
        <v>1727.1</v>
      </c>
      <c r="E129" s="2">
        <v>-124.66800000000001</v>
      </c>
      <c r="F129" s="2">
        <v>-156.49199999999999</v>
      </c>
      <c r="G129" s="1">
        <f t="shared" si="10"/>
        <v>200.0796248697003</v>
      </c>
      <c r="H129" s="1">
        <v>163.44</v>
      </c>
      <c r="I129" s="1">
        <f t="shared" si="11"/>
        <v>258.34954981187792</v>
      </c>
      <c r="J129" s="3">
        <f t="shared" si="12"/>
        <v>1.2241778320466243</v>
      </c>
      <c r="K129" s="1">
        <f t="shared" si="14"/>
        <v>1191.8640318059227</v>
      </c>
      <c r="L129" s="1">
        <f t="shared" si="13"/>
        <v>50.755480321052154</v>
      </c>
      <c r="M129">
        <v>3.476</v>
      </c>
      <c r="N129">
        <v>4.6109999999999998</v>
      </c>
      <c r="O129">
        <v>0.94</v>
      </c>
      <c r="P129">
        <v>3</v>
      </c>
      <c r="Q129">
        <v>10</v>
      </c>
    </row>
    <row r="130" spans="1:17">
      <c r="A130" t="s">
        <v>142</v>
      </c>
      <c r="B130">
        <v>55.855042099999999</v>
      </c>
      <c r="C130">
        <v>13.346724399999999</v>
      </c>
      <c r="D130" s="1">
        <v>1717.884</v>
      </c>
      <c r="E130" s="2">
        <v>-123.696</v>
      </c>
      <c r="F130" s="2">
        <v>-157.32000000000002</v>
      </c>
      <c r="G130" s="1">
        <f t="shared" si="10"/>
        <v>200.12566755916146</v>
      </c>
      <c r="H130" s="1">
        <v>163.548</v>
      </c>
      <c r="I130" s="1">
        <f t="shared" si="11"/>
        <v>258.45353764264866</v>
      </c>
      <c r="J130" s="3">
        <f t="shared" si="12"/>
        <v>1.2236509621588858</v>
      </c>
      <c r="K130" s="1">
        <f t="shared" si="14"/>
        <v>1202.9821244480984</v>
      </c>
      <c r="L130" s="1">
        <f t="shared" si="13"/>
        <v>50.743395522517893</v>
      </c>
      <c r="M130">
        <v>3.42</v>
      </c>
      <c r="N130">
        <v>4.5869999999999997</v>
      </c>
      <c r="O130">
        <v>0.94</v>
      </c>
      <c r="P130">
        <v>3</v>
      </c>
      <c r="Q130">
        <v>10</v>
      </c>
    </row>
    <row r="131" spans="1:17">
      <c r="A131" t="s">
        <v>143</v>
      </c>
      <c r="B131">
        <v>55.854979700000001</v>
      </c>
      <c r="C131">
        <v>13.346584699999999</v>
      </c>
      <c r="D131" s="1">
        <v>1708.7819999999999</v>
      </c>
      <c r="E131" s="2">
        <v>-123.58799999999999</v>
      </c>
      <c r="F131" s="2">
        <v>-157.06800000000001</v>
      </c>
      <c r="G131" s="1">
        <f t="shared" si="10"/>
        <v>199.86082749753641</v>
      </c>
      <c r="H131" s="1">
        <v>163.404</v>
      </c>
      <c r="I131" s="1">
        <f t="shared" si="11"/>
        <v>258.15735043573716</v>
      </c>
      <c r="J131" s="3">
        <f t="shared" si="12"/>
        <v>1.2231085377196178</v>
      </c>
      <c r="K131" s="1">
        <f t="shared" si="14"/>
        <v>1214.0855037535171</v>
      </c>
      <c r="L131" s="1">
        <f t="shared" si="13"/>
        <v>50.730947429368932</v>
      </c>
      <c r="M131">
        <v>3.38</v>
      </c>
      <c r="N131">
        <v>4.5730000000000004</v>
      </c>
      <c r="O131">
        <v>0.95</v>
      </c>
      <c r="P131">
        <v>3</v>
      </c>
      <c r="Q131">
        <v>10</v>
      </c>
    </row>
    <row r="132" spans="1:17">
      <c r="A132" t="s">
        <v>144</v>
      </c>
      <c r="B132">
        <v>55.854917100000002</v>
      </c>
      <c r="C132">
        <v>13.346445599999999</v>
      </c>
      <c r="D132" s="1">
        <v>1699.8040000000001</v>
      </c>
      <c r="E132" s="2">
        <v>-124.2</v>
      </c>
      <c r="F132" s="2">
        <v>-156.6</v>
      </c>
      <c r="G132" s="1">
        <f t="shared" si="10"/>
        <v>199.87295965187485</v>
      </c>
      <c r="H132" s="1">
        <v>163.00800000000001</v>
      </c>
      <c r="I132" s="1">
        <f t="shared" si="11"/>
        <v>257.91628111462836</v>
      </c>
      <c r="J132" s="3">
        <f t="shared" si="12"/>
        <v>1.2261542970398682</v>
      </c>
      <c r="K132" s="1">
        <f t="shared" si="14"/>
        <v>1225.1895570675101</v>
      </c>
      <c r="L132" s="1">
        <f t="shared" si="13"/>
        <v>50.800758881377867</v>
      </c>
      <c r="M132">
        <v>3.3439999999999999</v>
      </c>
      <c r="N132">
        <v>4.5609999999999999</v>
      </c>
      <c r="O132">
        <v>0.95</v>
      </c>
      <c r="P132">
        <v>3</v>
      </c>
      <c r="Q132">
        <v>10</v>
      </c>
    </row>
    <row r="133" spans="1:17">
      <c r="A133" t="s">
        <v>145</v>
      </c>
      <c r="B133">
        <v>55.854854600000003</v>
      </c>
      <c r="C133">
        <v>13.346307700000001</v>
      </c>
      <c r="D133" s="1">
        <v>1690.9459999999999</v>
      </c>
      <c r="E133" s="2">
        <v>-124.30800000000001</v>
      </c>
      <c r="F133" s="2">
        <v>-155.41200000000001</v>
      </c>
      <c r="G133" s="1">
        <f t="shared" si="10"/>
        <v>199.01097609930966</v>
      </c>
      <c r="H133" s="1">
        <v>162.39600000000002</v>
      </c>
      <c r="I133" s="1">
        <f t="shared" si="11"/>
        <v>256.86149852401002</v>
      </c>
      <c r="J133" s="3">
        <f t="shared" si="12"/>
        <v>1.2254672288683812</v>
      </c>
      <c r="K133" s="1">
        <f t="shared" si="14"/>
        <v>1236.2457224063608</v>
      </c>
      <c r="L133" s="1">
        <f t="shared" si="13"/>
        <v>50.785028873324961</v>
      </c>
      <c r="M133">
        <v>3.3130000000000002</v>
      </c>
      <c r="N133">
        <v>4.5529999999999999</v>
      </c>
      <c r="O133">
        <v>0.95</v>
      </c>
      <c r="P133">
        <v>3</v>
      </c>
      <c r="Q133">
        <v>10</v>
      </c>
    </row>
    <row r="134" spans="1:17">
      <c r="A134" t="s">
        <v>146</v>
      </c>
      <c r="B134">
        <v>55.854791900000002</v>
      </c>
      <c r="C134">
        <v>13.346169700000001</v>
      </c>
      <c r="D134" s="1">
        <v>1682.037</v>
      </c>
      <c r="E134" s="2">
        <v>-124.70400000000001</v>
      </c>
      <c r="F134" s="2">
        <v>-155.304</v>
      </c>
      <c r="G134" s="1">
        <f t="shared" si="10"/>
        <v>199.17434581792907</v>
      </c>
      <c r="H134" s="1">
        <v>161.964</v>
      </c>
      <c r="I134" s="1">
        <f t="shared" si="11"/>
        <v>256.71532351614695</v>
      </c>
      <c r="J134" s="3">
        <f t="shared" si="12"/>
        <v>1.229744547047054</v>
      </c>
      <c r="K134" s="1">
        <f t="shared" si="14"/>
        <v>1247.3109638406902</v>
      </c>
      <c r="L134" s="1">
        <f t="shared" si="13"/>
        <v>50.882783521665623</v>
      </c>
      <c r="M134">
        <v>3.2850000000000001</v>
      </c>
      <c r="N134">
        <v>4.5469999999999997</v>
      </c>
      <c r="O134">
        <v>0.96</v>
      </c>
      <c r="P134">
        <v>3</v>
      </c>
      <c r="Q134">
        <v>10</v>
      </c>
    </row>
    <row r="135" spans="1:17">
      <c r="A135" t="s">
        <v>147</v>
      </c>
      <c r="B135">
        <v>55.854728700000003</v>
      </c>
      <c r="C135">
        <v>13.3460322</v>
      </c>
      <c r="D135" s="1">
        <v>1673.2190000000001</v>
      </c>
      <c r="E135" s="2">
        <v>-125.496</v>
      </c>
      <c r="F135" s="2">
        <v>-154.72799999999998</v>
      </c>
      <c r="G135" s="1">
        <f t="shared" si="10"/>
        <v>199.22349259060789</v>
      </c>
      <c r="H135" s="1">
        <v>161.42400000000001</v>
      </c>
      <c r="I135" s="1">
        <f t="shared" si="11"/>
        <v>256.4131583519067</v>
      </c>
      <c r="J135" s="3">
        <f t="shared" si="12"/>
        <v>1.2341627799497465</v>
      </c>
      <c r="K135" s="1">
        <f t="shared" si="14"/>
        <v>1258.3789356512796</v>
      </c>
      <c r="L135" s="1">
        <f t="shared" si="13"/>
        <v>50.983329790397882</v>
      </c>
      <c r="M135">
        <v>3.2589999999999999</v>
      </c>
      <c r="N135">
        <v>4.5410000000000004</v>
      </c>
      <c r="O135">
        <v>0.96</v>
      </c>
      <c r="P135">
        <v>3</v>
      </c>
      <c r="Q135">
        <v>10</v>
      </c>
    </row>
    <row r="136" spans="1:17">
      <c r="A136" t="s">
        <v>148</v>
      </c>
      <c r="B136">
        <v>55.854665300000001</v>
      </c>
      <c r="C136">
        <v>13.3458957</v>
      </c>
      <c r="D136" s="1">
        <v>1664.5070000000001</v>
      </c>
      <c r="E136" s="2">
        <v>-126.288</v>
      </c>
      <c r="F136" s="2">
        <v>-153.72000000000003</v>
      </c>
      <c r="G136" s="1">
        <f t="shared" si="10"/>
        <v>198.94345262913279</v>
      </c>
      <c r="H136" s="1">
        <v>160.77599999999998</v>
      </c>
      <c r="I136" s="1">
        <f t="shared" si="11"/>
        <v>255.78784083689357</v>
      </c>
      <c r="J136" s="3">
        <f t="shared" si="12"/>
        <v>1.2373952121531373</v>
      </c>
      <c r="K136" s="1">
        <f t="shared" si="14"/>
        <v>1269.4313496862314</v>
      </c>
      <c r="L136" s="1">
        <f t="shared" si="13"/>
        <v>51.056615837229458</v>
      </c>
      <c r="M136">
        <v>3.2360000000000002</v>
      </c>
      <c r="N136">
        <v>4.53</v>
      </c>
      <c r="O136">
        <v>0.96</v>
      </c>
      <c r="P136">
        <v>3</v>
      </c>
      <c r="Q136">
        <v>10</v>
      </c>
    </row>
    <row r="137" spans="1:17">
      <c r="A137" t="s">
        <v>149</v>
      </c>
      <c r="B137">
        <v>55.854601500000001</v>
      </c>
      <c r="C137">
        <v>13.3457601</v>
      </c>
      <c r="D137" s="1">
        <v>1655.836</v>
      </c>
      <c r="E137" s="2">
        <v>-126.93599999999999</v>
      </c>
      <c r="F137" s="2">
        <v>-152.67599999999999</v>
      </c>
      <c r="G137" s="1">
        <f t="shared" si="10"/>
        <v>198.55152749853119</v>
      </c>
      <c r="H137" s="1">
        <v>160.12799999999999</v>
      </c>
      <c r="I137" s="1">
        <f t="shared" si="11"/>
        <v>255.07584255667956</v>
      </c>
      <c r="J137" s="3">
        <f t="shared" si="12"/>
        <v>1.2399550827995804</v>
      </c>
      <c r="K137" s="1">
        <f t="shared" si="14"/>
        <v>1280.4619901028166</v>
      </c>
      <c r="L137" s="1">
        <f t="shared" si="13"/>
        <v>51.114489370785996</v>
      </c>
      <c r="M137">
        <v>3.214</v>
      </c>
      <c r="N137">
        <v>4.5190000000000001</v>
      </c>
      <c r="O137">
        <v>0.96</v>
      </c>
      <c r="P137">
        <v>3</v>
      </c>
      <c r="Q137">
        <v>10</v>
      </c>
    </row>
    <row r="138" spans="1:17">
      <c r="A138" t="s">
        <v>150</v>
      </c>
      <c r="B138">
        <v>55.854537200000003</v>
      </c>
      <c r="C138">
        <v>13.345624900000001</v>
      </c>
      <c r="D138" s="1">
        <v>1647.135</v>
      </c>
      <c r="E138" s="2">
        <v>-127.836</v>
      </c>
      <c r="F138" s="2">
        <v>-152.208</v>
      </c>
      <c r="G138" s="1">
        <f t="shared" si="10"/>
        <v>198.76951013674102</v>
      </c>
      <c r="H138" s="1">
        <v>159.62400000000002</v>
      </c>
      <c r="I138" s="1">
        <f t="shared" si="11"/>
        <v>254.92967566762405</v>
      </c>
      <c r="J138" s="3">
        <f t="shared" si="12"/>
        <v>1.2452357423491518</v>
      </c>
      <c r="K138" s="1">
        <f t="shared" si="14"/>
        <v>1291.5047406659689</v>
      </c>
      <c r="L138" s="1">
        <f t="shared" si="13"/>
        <v>51.233418122015173</v>
      </c>
      <c r="M138">
        <v>3.202</v>
      </c>
      <c r="N138">
        <v>4.5110000000000001</v>
      </c>
      <c r="O138">
        <v>0.98</v>
      </c>
      <c r="P138">
        <v>3</v>
      </c>
      <c r="Q138">
        <v>10</v>
      </c>
    </row>
    <row r="139" spans="1:17">
      <c r="A139" t="s">
        <v>151</v>
      </c>
      <c r="B139">
        <v>55.854472600000001</v>
      </c>
      <c r="C139">
        <v>13.3454908</v>
      </c>
      <c r="D139" s="1">
        <v>1638.5509999999999</v>
      </c>
      <c r="E139" s="2">
        <v>-128.66400000000002</v>
      </c>
      <c r="F139" s="2">
        <v>-151.20000000000002</v>
      </c>
      <c r="G139" s="1">
        <f t="shared" si="10"/>
        <v>198.53429148638281</v>
      </c>
      <c r="H139" s="1">
        <v>159.012</v>
      </c>
      <c r="I139" s="1">
        <f t="shared" si="11"/>
        <v>254.36328555827393</v>
      </c>
      <c r="J139" s="3">
        <f t="shared" si="12"/>
        <v>1.2485491125599502</v>
      </c>
      <c r="K139" s="1">
        <f t="shared" si="14"/>
        <v>1302.5344235263235</v>
      </c>
      <c r="L139" s="1">
        <f t="shared" si="13"/>
        <v>51.307727904078526</v>
      </c>
      <c r="M139">
        <v>3.1920000000000002</v>
      </c>
      <c r="N139">
        <v>4.5019999999999998</v>
      </c>
      <c r="O139">
        <v>0.99</v>
      </c>
      <c r="P139">
        <v>3</v>
      </c>
      <c r="Q139">
        <v>10</v>
      </c>
    </row>
    <row r="140" spans="1:17">
      <c r="A140" t="s">
        <v>152</v>
      </c>
      <c r="B140">
        <v>55.854407999999999</v>
      </c>
      <c r="C140">
        <v>13.3453575</v>
      </c>
      <c r="D140" s="1">
        <v>1629.829</v>
      </c>
      <c r="E140" s="2">
        <v>-128.84399999999999</v>
      </c>
      <c r="F140" s="2">
        <v>-150.33599999999998</v>
      </c>
      <c r="G140" s="1">
        <f t="shared" si="10"/>
        <v>197.9941646412843</v>
      </c>
      <c r="H140" s="1">
        <v>158.68799999999999</v>
      </c>
      <c r="I140" s="1">
        <f t="shared" si="11"/>
        <v>253.73917824411743</v>
      </c>
      <c r="J140" s="3">
        <f t="shared" si="12"/>
        <v>1.2476946249324732</v>
      </c>
      <c r="K140" s="1">
        <f t="shared" si="14"/>
        <v>1313.5340993397283</v>
      </c>
      <c r="L140" s="1">
        <f t="shared" si="13"/>
        <v>51.28858708797366</v>
      </c>
      <c r="M140">
        <v>3.1859999999999999</v>
      </c>
      <c r="N140">
        <v>4.5</v>
      </c>
      <c r="O140">
        <v>0.99</v>
      </c>
      <c r="P140">
        <v>3</v>
      </c>
      <c r="Q140">
        <v>10</v>
      </c>
    </row>
    <row r="141" spans="1:17">
      <c r="A141" t="s">
        <v>153</v>
      </c>
      <c r="B141">
        <v>55.854342500000001</v>
      </c>
      <c r="C141">
        <v>13.345225299999999</v>
      </c>
      <c r="D141" s="1">
        <v>1621.192</v>
      </c>
      <c r="E141" s="2">
        <v>-130.13999999999999</v>
      </c>
      <c r="F141" s="2">
        <v>-149.148</v>
      </c>
      <c r="G141" s="1">
        <f t="shared" si="10"/>
        <v>197.94328860560034</v>
      </c>
      <c r="H141" s="1">
        <v>158.184</v>
      </c>
      <c r="I141" s="1">
        <f t="shared" si="11"/>
        <v>253.38453654475441</v>
      </c>
      <c r="J141" s="3">
        <f t="shared" si="12"/>
        <v>1.2513483576442646</v>
      </c>
      <c r="K141" s="1">
        <f t="shared" si="14"/>
        <v>1324.5309487067061</v>
      </c>
      <c r="L141" s="1">
        <f t="shared" si="13"/>
        <v>51.370320298140278</v>
      </c>
      <c r="M141">
        <v>3.181</v>
      </c>
      <c r="N141">
        <v>4.4980000000000002</v>
      </c>
      <c r="O141">
        <v>1</v>
      </c>
      <c r="P141">
        <v>3</v>
      </c>
      <c r="Q141">
        <v>10</v>
      </c>
    </row>
    <row r="142" spans="1:17">
      <c r="A142" t="s">
        <v>154</v>
      </c>
      <c r="B142">
        <v>55.854277199999999</v>
      </c>
      <c r="C142">
        <v>13.3450945</v>
      </c>
      <c r="D142" s="1">
        <v>1612.6559999999999</v>
      </c>
      <c r="E142" s="2">
        <v>-130.392</v>
      </c>
      <c r="F142" s="2">
        <v>-147.6</v>
      </c>
      <c r="G142" s="1">
        <f t="shared" si="10"/>
        <v>196.94627100811022</v>
      </c>
      <c r="H142" s="1">
        <v>157.536</v>
      </c>
      <c r="I142" s="1">
        <f t="shared" si="11"/>
        <v>252.20115971184589</v>
      </c>
      <c r="J142" s="3">
        <f t="shared" si="12"/>
        <v>1.2501667619344798</v>
      </c>
      <c r="K142" s="1">
        <f t="shared" si="14"/>
        <v>1335.4724082071566</v>
      </c>
      <c r="L142" s="1">
        <f t="shared" si="13"/>
        <v>51.34392012750034</v>
      </c>
      <c r="M142">
        <v>3.17</v>
      </c>
      <c r="N142">
        <v>4.4980000000000002</v>
      </c>
      <c r="O142">
        <v>0.98</v>
      </c>
      <c r="P142">
        <v>3</v>
      </c>
      <c r="Q142">
        <v>10</v>
      </c>
    </row>
    <row r="143" spans="1:17">
      <c r="A143" t="s">
        <v>155</v>
      </c>
      <c r="B143">
        <v>55.8542117</v>
      </c>
      <c r="C143">
        <v>13.3449651</v>
      </c>
      <c r="D143" s="1">
        <v>1604.2950000000001</v>
      </c>
      <c r="E143" s="2">
        <v>-130.86000000000001</v>
      </c>
      <c r="F143" s="2">
        <v>-145.90800000000002</v>
      </c>
      <c r="G143" s="1">
        <f t="shared" si="10"/>
        <v>195.99358169082987</v>
      </c>
      <c r="H143" s="1">
        <v>156.6</v>
      </c>
      <c r="I143" s="1">
        <f t="shared" si="11"/>
        <v>250.8725653872898</v>
      </c>
      <c r="J143" s="3">
        <f t="shared" si="12"/>
        <v>1.2515554386387604</v>
      </c>
      <c r="K143" s="1">
        <f t="shared" si="14"/>
        <v>1346.3609405233137</v>
      </c>
      <c r="L143" s="1">
        <f t="shared" si="13"/>
        <v>51.374943937027055</v>
      </c>
      <c r="M143">
        <v>3.1589999999999998</v>
      </c>
      <c r="N143">
        <v>4.4989999999999997</v>
      </c>
      <c r="O143">
        <v>0.97</v>
      </c>
      <c r="P143">
        <v>3</v>
      </c>
      <c r="Q143">
        <v>10</v>
      </c>
    </row>
    <row r="144" spans="1:17">
      <c r="A144" t="s">
        <v>156</v>
      </c>
      <c r="B144">
        <v>55.854146100000001</v>
      </c>
      <c r="C144">
        <v>13.344836300000001</v>
      </c>
      <c r="D144" s="1">
        <v>1596.077</v>
      </c>
      <c r="E144" s="2">
        <v>-131.184</v>
      </c>
      <c r="F144" s="2">
        <v>-145.04400000000001</v>
      </c>
      <c r="G144" s="1">
        <f t="shared" si="10"/>
        <v>195.56841205061721</v>
      </c>
      <c r="H144" s="1">
        <v>155.52000000000001</v>
      </c>
      <c r="I144" s="1">
        <f t="shared" si="11"/>
        <v>249.86691295967941</v>
      </c>
      <c r="J144" s="3">
        <f t="shared" si="12"/>
        <v>1.257512937568269</v>
      </c>
      <c r="K144" s="1">
        <f t="shared" si="14"/>
        <v>1357.2258523039036</v>
      </c>
      <c r="L144" s="1">
        <f t="shared" si="13"/>
        <v>51.507562120947597</v>
      </c>
      <c r="M144">
        <v>3.1459999999999999</v>
      </c>
      <c r="N144">
        <v>4.4960000000000004</v>
      </c>
      <c r="O144">
        <v>0.97</v>
      </c>
      <c r="P144">
        <v>3</v>
      </c>
      <c r="Q144">
        <v>10</v>
      </c>
    </row>
    <row r="145" spans="1:17">
      <c r="A145" t="s">
        <v>157</v>
      </c>
      <c r="B145">
        <v>55.854081100000002</v>
      </c>
      <c r="C145">
        <v>13.3447087</v>
      </c>
      <c r="D145" s="1">
        <v>1587.954</v>
      </c>
      <c r="E145" s="2">
        <v>-130.5</v>
      </c>
      <c r="F145" s="2">
        <v>-143.928</v>
      </c>
      <c r="G145" s="1">
        <f t="shared" si="10"/>
        <v>194.28206089086044</v>
      </c>
      <c r="H145" s="1">
        <v>154.36800000000002</v>
      </c>
      <c r="I145" s="1">
        <f t="shared" si="11"/>
        <v>248.14310106871804</v>
      </c>
      <c r="J145" s="3">
        <f t="shared" si="12"/>
        <v>1.2585643455305531</v>
      </c>
      <c r="K145" s="1">
        <f t="shared" si="14"/>
        <v>1368.0193001311736</v>
      </c>
      <c r="L145" s="1">
        <f t="shared" si="13"/>
        <v>51.53088737992946</v>
      </c>
      <c r="M145">
        <v>3.1259999999999999</v>
      </c>
      <c r="N145">
        <v>4.4960000000000004</v>
      </c>
      <c r="O145">
        <v>0.93</v>
      </c>
      <c r="P145">
        <v>3</v>
      </c>
      <c r="Q145">
        <v>10</v>
      </c>
    </row>
    <row r="146" spans="1:17">
      <c r="A146" t="s">
        <v>158</v>
      </c>
      <c r="B146">
        <v>55.8540165</v>
      </c>
      <c r="C146">
        <v>13.3445815</v>
      </c>
      <c r="D146" s="1">
        <v>1579.8920000000001</v>
      </c>
      <c r="E146" s="2">
        <v>-129.708</v>
      </c>
      <c r="F146" s="2">
        <v>-143.208</v>
      </c>
      <c r="G146" s="1">
        <f t="shared" si="10"/>
        <v>193.21670871847496</v>
      </c>
      <c r="H146" s="1">
        <v>153.25200000000001</v>
      </c>
      <c r="I146" s="1">
        <f t="shared" si="11"/>
        <v>246.61482524779404</v>
      </c>
      <c r="J146" s="3">
        <f t="shared" si="12"/>
        <v>1.2607777302643681</v>
      </c>
      <c r="K146" s="1">
        <f t="shared" si="14"/>
        <v>1378.7535617266444</v>
      </c>
      <c r="L146" s="1">
        <f t="shared" si="13"/>
        <v>51.579912835493978</v>
      </c>
      <c r="M146">
        <v>3.1080000000000001</v>
      </c>
      <c r="N146">
        <v>4.4950000000000001</v>
      </c>
      <c r="O146">
        <v>0.94</v>
      </c>
      <c r="P146">
        <v>3</v>
      </c>
      <c r="Q146">
        <v>10</v>
      </c>
    </row>
    <row r="147" spans="1:17">
      <c r="A147" t="s">
        <v>159</v>
      </c>
      <c r="B147">
        <v>55.853951799999997</v>
      </c>
      <c r="C147">
        <v>13.344454499999999</v>
      </c>
      <c r="D147" s="1">
        <v>1571.9449999999999</v>
      </c>
      <c r="E147" s="2">
        <v>-129.816</v>
      </c>
      <c r="F147" s="2">
        <v>-142.88399999999999</v>
      </c>
      <c r="G147" s="1">
        <f t="shared" si="10"/>
        <v>193.04929762109987</v>
      </c>
      <c r="H147" s="1">
        <v>152.06400000000002</v>
      </c>
      <c r="I147" s="1">
        <f t="shared" si="11"/>
        <v>245.74680345428706</v>
      </c>
      <c r="J147" s="3">
        <f t="shared" si="12"/>
        <v>1.2695266310310123</v>
      </c>
      <c r="K147" s="1">
        <f t="shared" si="14"/>
        <v>1389.4785227055945</v>
      </c>
      <c r="L147" s="1">
        <f t="shared" si="13"/>
        <v>51.772666412137475</v>
      </c>
      <c r="M147">
        <v>3.0990000000000002</v>
      </c>
      <c r="N147">
        <v>4.5</v>
      </c>
      <c r="O147">
        <v>0.97</v>
      </c>
      <c r="P147">
        <v>3</v>
      </c>
      <c r="Q147">
        <v>10</v>
      </c>
    </row>
    <row r="148" spans="1:17">
      <c r="A148" t="s">
        <v>160</v>
      </c>
      <c r="B148">
        <v>55.853887100000001</v>
      </c>
      <c r="C148">
        <v>13.3443272</v>
      </c>
      <c r="D148" s="1">
        <v>1563.98</v>
      </c>
      <c r="E148" s="2">
        <v>-129.67200000000003</v>
      </c>
      <c r="F148" s="2">
        <v>-143.38800000000001</v>
      </c>
      <c r="G148" s="1">
        <f t="shared" si="10"/>
        <v>193.32600996244662</v>
      </c>
      <c r="H148" s="1">
        <v>151.09200000000001</v>
      </c>
      <c r="I148" s="1">
        <f t="shared" si="11"/>
        <v>245.3645014911489</v>
      </c>
      <c r="J148" s="3">
        <f t="shared" si="12"/>
        <v>1.2795251235171061</v>
      </c>
      <c r="K148" s="1">
        <f t="shared" si="14"/>
        <v>1400.2188565923971</v>
      </c>
      <c r="L148" s="1">
        <f t="shared" si="13"/>
        <v>51.990952712225102</v>
      </c>
      <c r="M148">
        <v>3.0920000000000001</v>
      </c>
      <c r="N148">
        <v>4.5060000000000002</v>
      </c>
      <c r="O148">
        <v>0.97</v>
      </c>
      <c r="P148">
        <v>3</v>
      </c>
      <c r="Q148">
        <v>10</v>
      </c>
    </row>
    <row r="149" spans="1:17">
      <c r="A149" t="s">
        <v>161</v>
      </c>
      <c r="B149">
        <v>55.8538231</v>
      </c>
      <c r="C149">
        <v>13.3441996</v>
      </c>
      <c r="D149" s="1">
        <v>1556.1289999999999</v>
      </c>
      <c r="E149" s="2">
        <v>-128.70000000000002</v>
      </c>
      <c r="F149" s="2">
        <v>-143.67599999999999</v>
      </c>
      <c r="G149" s="1">
        <f t="shared" si="10"/>
        <v>192.88982082007334</v>
      </c>
      <c r="H149" s="1">
        <v>150.084</v>
      </c>
      <c r="I149" s="1">
        <f t="shared" si="11"/>
        <v>244.40067518728338</v>
      </c>
      <c r="J149" s="3">
        <f t="shared" si="12"/>
        <v>1.2852124198453756</v>
      </c>
      <c r="K149" s="1">
        <f t="shared" si="14"/>
        <v>1410.9349577490677</v>
      </c>
      <c r="L149" s="1">
        <f t="shared" si="13"/>
        <v>52.114175366126119</v>
      </c>
      <c r="M149">
        <v>3.0819999999999999</v>
      </c>
      <c r="N149">
        <v>4.508</v>
      </c>
      <c r="O149">
        <v>0.97</v>
      </c>
      <c r="P149">
        <v>3</v>
      </c>
      <c r="Q149">
        <v>10</v>
      </c>
    </row>
    <row r="150" spans="1:17">
      <c r="A150" t="s">
        <v>162</v>
      </c>
      <c r="B150">
        <v>55.853759199999999</v>
      </c>
      <c r="C150">
        <v>13.344071599999999</v>
      </c>
      <c r="D150" s="1">
        <v>1548.1559999999999</v>
      </c>
      <c r="E150" s="2">
        <v>-128.196</v>
      </c>
      <c r="F150" s="2">
        <v>-144.18</v>
      </c>
      <c r="G150" s="1">
        <f t="shared" si="10"/>
        <v>192.9302641267046</v>
      </c>
      <c r="H150" s="1">
        <v>149.364</v>
      </c>
      <c r="I150" s="1">
        <f t="shared" si="11"/>
        <v>243.99117056155947</v>
      </c>
      <c r="J150" s="3">
        <f t="shared" si="12"/>
        <v>1.2916784775896775</v>
      </c>
      <c r="K150" s="1">
        <f t="shared" si="14"/>
        <v>1421.6533057561069</v>
      </c>
      <c r="L150" s="1">
        <f t="shared" si="13"/>
        <v>52.253448214684312</v>
      </c>
      <c r="M150">
        <v>3.0710000000000002</v>
      </c>
      <c r="N150">
        <v>4.5110000000000001</v>
      </c>
      <c r="O150">
        <v>0.97</v>
      </c>
      <c r="P150">
        <v>3</v>
      </c>
      <c r="Q150">
        <v>10</v>
      </c>
    </row>
    <row r="151" spans="1:17">
      <c r="A151" t="s">
        <v>163</v>
      </c>
      <c r="B151">
        <v>55.853695500000001</v>
      </c>
      <c r="C151">
        <v>13.3439435</v>
      </c>
      <c r="D151" s="1">
        <v>1540.2449999999999</v>
      </c>
      <c r="E151" s="2">
        <v>-127.76400000000001</v>
      </c>
      <c r="F151" s="2">
        <v>-144.32400000000001</v>
      </c>
      <c r="G151" s="1">
        <f t="shared" si="10"/>
        <v>192.75128189457004</v>
      </c>
      <c r="H151" s="1">
        <v>148.608</v>
      </c>
      <c r="I151" s="1">
        <f t="shared" si="11"/>
        <v>243.38733396789573</v>
      </c>
      <c r="J151" s="3">
        <f t="shared" si="12"/>
        <v>1.2970451247212131</v>
      </c>
      <c r="K151" s="1">
        <f t="shared" si="14"/>
        <v>1432.3617103058052</v>
      </c>
      <c r="L151" s="1">
        <f t="shared" si="13"/>
        <v>52.368380490123563</v>
      </c>
      <c r="M151">
        <v>3.0619999999999998</v>
      </c>
      <c r="N151">
        <v>4.5149999999999997</v>
      </c>
      <c r="O151">
        <v>0.97</v>
      </c>
      <c r="P151">
        <v>3</v>
      </c>
      <c r="Q151">
        <v>10</v>
      </c>
    </row>
    <row r="152" spans="1:17">
      <c r="A152" t="s">
        <v>164</v>
      </c>
      <c r="B152">
        <v>55.853632699999999</v>
      </c>
      <c r="C152">
        <v>13.343814999999999</v>
      </c>
      <c r="D152" s="1">
        <v>1532.5070000000001</v>
      </c>
      <c r="E152" s="2">
        <v>-126.72000000000001</v>
      </c>
      <c r="F152" s="2">
        <v>-144.756</v>
      </c>
      <c r="G152" s="1">
        <f t="shared" ref="G152:G215" si="15">SQRT(E152*E152+F152*F152)</f>
        <v>192.38570096553434</v>
      </c>
      <c r="H152" s="1">
        <v>147.636</v>
      </c>
      <c r="I152" s="1">
        <f t="shared" ref="I152:I215" si="16">SQRT(G152*G152+H152*H152)</f>
        <v>242.5049410465692</v>
      </c>
      <c r="J152" s="3">
        <f t="shared" ref="J152:J215" si="17">G152/H152</f>
        <v>1.3031083270038091</v>
      </c>
      <c r="K152" s="1">
        <f t="shared" si="14"/>
        <v>1443.0498048038905</v>
      </c>
      <c r="L152" s="1">
        <f t="shared" ref="L152:L215" si="18">DEGREES(ATAN((G152*0.2/3.6)/(H152*0.2/3.6)))</f>
        <v>52.497514593603285</v>
      </c>
      <c r="M152">
        <v>3.0539999999999998</v>
      </c>
      <c r="N152">
        <v>4.5190000000000001</v>
      </c>
      <c r="O152">
        <v>0.98</v>
      </c>
      <c r="P152">
        <v>3</v>
      </c>
      <c r="Q152">
        <v>10</v>
      </c>
    </row>
    <row r="153" spans="1:17">
      <c r="A153" t="s">
        <v>165</v>
      </c>
      <c r="B153">
        <v>55.853508699999999</v>
      </c>
      <c r="C153">
        <v>13.3435577</v>
      </c>
      <c r="D153" s="1">
        <v>1516.825</v>
      </c>
      <c r="E153" s="2">
        <v>-124.27200000000002</v>
      </c>
      <c r="F153" s="2">
        <v>-145.29599999999999</v>
      </c>
      <c r="G153" s="1">
        <f t="shared" si="15"/>
        <v>191.19220067774731</v>
      </c>
      <c r="H153" s="1">
        <v>146.376</v>
      </c>
      <c r="I153" s="1">
        <f t="shared" si="16"/>
        <v>240.79117711411271</v>
      </c>
      <c r="J153" s="3">
        <f t="shared" si="17"/>
        <v>1.3061717814241904</v>
      </c>
      <c r="K153" s="1">
        <f t="shared" ref="K153:K216" si="19">K152+G153*0.2/3.6</f>
        <v>1453.6715937304321</v>
      </c>
      <c r="L153" s="1">
        <f t="shared" si="18"/>
        <v>52.562472965611832</v>
      </c>
      <c r="M153">
        <v>3.0390000000000001</v>
      </c>
      <c r="N153">
        <v>4.5149999999999997</v>
      </c>
      <c r="O153">
        <v>0.97</v>
      </c>
      <c r="P153">
        <v>3</v>
      </c>
      <c r="Q153">
        <v>10</v>
      </c>
    </row>
    <row r="154" spans="1:17">
      <c r="A154" t="s">
        <v>166</v>
      </c>
      <c r="B154">
        <v>55.853447099999997</v>
      </c>
      <c r="C154">
        <v>13.3434287</v>
      </c>
      <c r="D154" s="1">
        <v>1509.0809999999999</v>
      </c>
      <c r="E154" s="2">
        <v>-123.84</v>
      </c>
      <c r="F154" s="2">
        <v>-145.26000000000002</v>
      </c>
      <c r="G154" s="1">
        <f t="shared" si="15"/>
        <v>190.88429270110205</v>
      </c>
      <c r="H154" s="1">
        <v>145.62</v>
      </c>
      <c r="I154" s="1">
        <f t="shared" si="16"/>
        <v>240.08747905711368</v>
      </c>
      <c r="J154" s="3">
        <f t="shared" si="17"/>
        <v>1.3108384336018544</v>
      </c>
      <c r="K154" s="1">
        <f t="shared" si="19"/>
        <v>1464.2762766582709</v>
      </c>
      <c r="L154" s="1">
        <f t="shared" si="18"/>
        <v>52.661057570401184</v>
      </c>
      <c r="M154">
        <v>3.0339999999999998</v>
      </c>
      <c r="N154">
        <v>4.5170000000000003</v>
      </c>
      <c r="O154">
        <v>0.97</v>
      </c>
      <c r="P154">
        <v>3</v>
      </c>
      <c r="Q154">
        <v>10</v>
      </c>
    </row>
    <row r="155" spans="1:17">
      <c r="A155" t="s">
        <v>167</v>
      </c>
      <c r="B155">
        <v>55.853385500000002</v>
      </c>
      <c r="C155">
        <v>13.343299200000001</v>
      </c>
      <c r="D155" s="1">
        <v>1501.2629999999999</v>
      </c>
      <c r="E155" s="2">
        <v>-123.444</v>
      </c>
      <c r="F155" s="2">
        <v>-145.69200000000001</v>
      </c>
      <c r="G155" s="1">
        <f t="shared" si="15"/>
        <v>190.95701086893877</v>
      </c>
      <c r="H155" s="1">
        <v>145.11600000000001</v>
      </c>
      <c r="I155" s="1">
        <f t="shared" si="16"/>
        <v>239.8400163775845</v>
      </c>
      <c r="J155" s="3">
        <f t="shared" si="17"/>
        <v>1.3158921887933706</v>
      </c>
      <c r="K155" s="1">
        <f t="shared" si="19"/>
        <v>1474.8849994843231</v>
      </c>
      <c r="L155" s="1">
        <f t="shared" si="18"/>
        <v>52.767320613991437</v>
      </c>
      <c r="M155">
        <v>3.03</v>
      </c>
      <c r="N155">
        <v>4.5259999999999998</v>
      </c>
      <c r="O155">
        <v>0.97</v>
      </c>
      <c r="P155">
        <v>3</v>
      </c>
      <c r="Q155">
        <v>10</v>
      </c>
    </row>
    <row r="156" spans="1:17">
      <c r="A156" t="s">
        <v>168</v>
      </c>
      <c r="B156">
        <v>55.853324299999997</v>
      </c>
      <c r="C156">
        <v>13.3431692</v>
      </c>
      <c r="D156" s="1">
        <v>1493.5150000000001</v>
      </c>
      <c r="E156" s="2">
        <v>-122.688</v>
      </c>
      <c r="F156" s="2">
        <v>-146.196</v>
      </c>
      <c r="G156" s="1">
        <f t="shared" si="15"/>
        <v>190.85496000890311</v>
      </c>
      <c r="H156" s="1">
        <v>144.46800000000002</v>
      </c>
      <c r="I156" s="1">
        <f t="shared" si="16"/>
        <v>239.36712135128334</v>
      </c>
      <c r="J156" s="3">
        <f t="shared" si="17"/>
        <v>1.3210881303050024</v>
      </c>
      <c r="K156" s="1">
        <f t="shared" si="19"/>
        <v>1485.4880528181511</v>
      </c>
      <c r="L156" s="1">
        <f t="shared" si="18"/>
        <v>52.876035236971724</v>
      </c>
      <c r="M156">
        <v>3.0259999999999998</v>
      </c>
      <c r="N156">
        <v>4.5350000000000001</v>
      </c>
      <c r="O156">
        <v>0.98</v>
      </c>
      <c r="P156">
        <v>3</v>
      </c>
      <c r="Q156">
        <v>10</v>
      </c>
    </row>
    <row r="157" spans="1:17">
      <c r="A157" t="s">
        <v>169</v>
      </c>
      <c r="B157">
        <v>55.853264000000003</v>
      </c>
      <c r="C157">
        <v>13.343038999999999</v>
      </c>
      <c r="D157" s="1">
        <v>1485.828</v>
      </c>
      <c r="E157" s="2">
        <v>-121.32000000000001</v>
      </c>
      <c r="F157" s="2">
        <v>-146.55600000000001</v>
      </c>
      <c r="G157" s="1">
        <f t="shared" si="15"/>
        <v>190.25562681823632</v>
      </c>
      <c r="H157" s="1">
        <v>143.82000000000002</v>
      </c>
      <c r="I157" s="1">
        <f t="shared" si="16"/>
        <v>238.49820950271305</v>
      </c>
      <c r="J157" s="3">
        <f t="shared" si="17"/>
        <v>1.3228732222099588</v>
      </c>
      <c r="K157" s="1">
        <f t="shared" si="19"/>
        <v>1496.0578098636088</v>
      </c>
      <c r="L157" s="1">
        <f t="shared" si="18"/>
        <v>52.913259368022253</v>
      </c>
      <c r="M157">
        <v>3.0219999999999998</v>
      </c>
      <c r="N157">
        <v>4.5410000000000004</v>
      </c>
      <c r="O157">
        <v>0.97</v>
      </c>
      <c r="P157">
        <v>3</v>
      </c>
      <c r="Q157">
        <v>10</v>
      </c>
    </row>
    <row r="158" spans="1:17">
      <c r="A158" t="s">
        <v>170</v>
      </c>
      <c r="B158">
        <v>55.853203999999998</v>
      </c>
      <c r="C158">
        <v>13.3429085</v>
      </c>
      <c r="D158" s="1">
        <v>1478.068</v>
      </c>
      <c r="E158" s="2">
        <v>-120.348</v>
      </c>
      <c r="F158" s="2">
        <v>-147.02400000000003</v>
      </c>
      <c r="G158" s="1">
        <f t="shared" si="15"/>
        <v>189.99920441938701</v>
      </c>
      <c r="H158" s="1">
        <v>143.352</v>
      </c>
      <c r="I158" s="1">
        <f t="shared" si="16"/>
        <v>238.01154086304305</v>
      </c>
      <c r="J158" s="3">
        <f t="shared" si="17"/>
        <v>1.3254032341326736</v>
      </c>
      <c r="K158" s="1">
        <f t="shared" si="19"/>
        <v>1506.6133212202415</v>
      </c>
      <c r="L158" s="1">
        <f t="shared" si="18"/>
        <v>52.965907766314203</v>
      </c>
      <c r="M158">
        <v>3.0190000000000001</v>
      </c>
      <c r="N158">
        <v>4.5490000000000004</v>
      </c>
      <c r="O158">
        <v>0.97</v>
      </c>
      <c r="P158">
        <v>3</v>
      </c>
      <c r="Q158">
        <v>10</v>
      </c>
    </row>
    <row r="159" spans="1:17">
      <c r="A159" t="s">
        <v>171</v>
      </c>
      <c r="B159">
        <v>55.853144700000001</v>
      </c>
      <c r="C159">
        <v>13.3427775</v>
      </c>
      <c r="D159" s="1">
        <v>1470.33</v>
      </c>
      <c r="E159" s="2">
        <v>-119.08799999999999</v>
      </c>
      <c r="F159" s="2">
        <v>-147.45600000000002</v>
      </c>
      <c r="G159" s="1">
        <f t="shared" si="15"/>
        <v>189.53950427285602</v>
      </c>
      <c r="H159" s="1">
        <v>142.84800000000001</v>
      </c>
      <c r="I159" s="1">
        <f t="shared" si="16"/>
        <v>237.34105161981569</v>
      </c>
      <c r="J159" s="3">
        <f t="shared" si="17"/>
        <v>1.3268614490427308</v>
      </c>
      <c r="K159" s="1">
        <f t="shared" si="19"/>
        <v>1517.1432936798446</v>
      </c>
      <c r="L159" s="1">
        <f t="shared" si="18"/>
        <v>52.996194415676115</v>
      </c>
      <c r="M159">
        <v>3.0169999999999999</v>
      </c>
      <c r="N159">
        <v>4.556</v>
      </c>
      <c r="O159">
        <v>0.97</v>
      </c>
      <c r="P159">
        <v>3</v>
      </c>
      <c r="Q159">
        <v>10</v>
      </c>
    </row>
    <row r="160" spans="1:17">
      <c r="A160" t="s">
        <v>172</v>
      </c>
      <c r="B160">
        <v>55.853085800000002</v>
      </c>
      <c r="C160">
        <v>13.342645600000001</v>
      </c>
      <c r="D160" s="1">
        <v>1462.5740000000001</v>
      </c>
      <c r="E160" s="2">
        <v>-117.9</v>
      </c>
      <c r="F160" s="2">
        <v>-148.428</v>
      </c>
      <c r="G160" s="1">
        <f t="shared" si="15"/>
        <v>189.55548312829148</v>
      </c>
      <c r="H160" s="1">
        <v>142.452</v>
      </c>
      <c r="I160" s="1">
        <f t="shared" si="16"/>
        <v>237.11569641843622</v>
      </c>
      <c r="J160" s="3">
        <f t="shared" si="17"/>
        <v>1.3306621397263043</v>
      </c>
      <c r="K160" s="1">
        <f t="shared" si="19"/>
        <v>1527.6741538536387</v>
      </c>
      <c r="L160" s="1">
        <f t="shared" si="18"/>
        <v>53.074934313033779</v>
      </c>
      <c r="M160">
        <v>3.0139999999999998</v>
      </c>
      <c r="N160">
        <v>4.5640000000000001</v>
      </c>
      <c r="O160">
        <v>0.97</v>
      </c>
      <c r="P160">
        <v>3</v>
      </c>
      <c r="Q160">
        <v>10</v>
      </c>
    </row>
    <row r="161" spans="1:17">
      <c r="A161" t="s">
        <v>173</v>
      </c>
      <c r="B161">
        <v>55.853027599999997</v>
      </c>
      <c r="C161">
        <v>13.342513</v>
      </c>
      <c r="D161" s="1">
        <v>1454.847</v>
      </c>
      <c r="E161" s="2">
        <v>-116.82000000000001</v>
      </c>
      <c r="F161" s="2">
        <v>-149.256</v>
      </c>
      <c r="G161" s="1">
        <f t="shared" si="15"/>
        <v>189.53697775368266</v>
      </c>
      <c r="H161" s="1">
        <v>142.05600000000001</v>
      </c>
      <c r="I161" s="1">
        <f t="shared" si="16"/>
        <v>236.8631948446191</v>
      </c>
      <c r="J161" s="3">
        <f t="shared" si="17"/>
        <v>1.3342412693140919</v>
      </c>
      <c r="K161" s="1">
        <f t="shared" si="19"/>
        <v>1538.2039859510655</v>
      </c>
      <c r="L161" s="1">
        <f t="shared" si="18"/>
        <v>53.148821719332339</v>
      </c>
      <c r="M161">
        <v>3.0110000000000001</v>
      </c>
      <c r="N161">
        <v>4.5679999999999996</v>
      </c>
      <c r="O161">
        <v>0.97</v>
      </c>
      <c r="P161">
        <v>3</v>
      </c>
      <c r="Q161">
        <v>10</v>
      </c>
    </row>
    <row r="162" spans="1:17">
      <c r="A162" t="s">
        <v>174</v>
      </c>
      <c r="B162">
        <v>55.852969899999998</v>
      </c>
      <c r="C162">
        <v>13.34238</v>
      </c>
      <c r="D162" s="1">
        <v>1447.2280000000001</v>
      </c>
      <c r="E162" s="2">
        <v>-115.81200000000001</v>
      </c>
      <c r="F162" s="2">
        <v>-149.61600000000001</v>
      </c>
      <c r="G162" s="1">
        <f t="shared" si="15"/>
        <v>189.20192070906683</v>
      </c>
      <c r="H162" s="1">
        <v>141.51600000000002</v>
      </c>
      <c r="I162" s="1">
        <f t="shared" si="16"/>
        <v>236.27133777925755</v>
      </c>
      <c r="J162" s="3">
        <f t="shared" si="17"/>
        <v>1.3369648711740496</v>
      </c>
      <c r="K162" s="1">
        <f t="shared" si="19"/>
        <v>1548.7152037682358</v>
      </c>
      <c r="L162" s="1">
        <f t="shared" si="18"/>
        <v>53.204877812582879</v>
      </c>
      <c r="M162">
        <v>3.008</v>
      </c>
      <c r="N162">
        <v>4.5750000000000002</v>
      </c>
      <c r="O162">
        <v>0.97</v>
      </c>
      <c r="P162">
        <v>3</v>
      </c>
      <c r="Q162">
        <v>10</v>
      </c>
    </row>
    <row r="163" spans="1:17">
      <c r="A163" t="s">
        <v>175</v>
      </c>
      <c r="B163">
        <v>55.852912799999999</v>
      </c>
      <c r="C163">
        <v>13.342246299999999</v>
      </c>
      <c r="D163" s="1">
        <v>1439.6189999999999</v>
      </c>
      <c r="E163" s="2">
        <v>-114.696</v>
      </c>
      <c r="F163" s="2">
        <v>-150.47999999999999</v>
      </c>
      <c r="G163" s="1">
        <f t="shared" si="15"/>
        <v>189.20730116990728</v>
      </c>
      <c r="H163" s="1">
        <v>141.048</v>
      </c>
      <c r="I163" s="1">
        <f t="shared" si="16"/>
        <v>235.99563792578877</v>
      </c>
      <c r="J163" s="3">
        <f t="shared" si="17"/>
        <v>1.3414390928613471</v>
      </c>
      <c r="K163" s="1">
        <f t="shared" si="19"/>
        <v>1559.2267204998973</v>
      </c>
      <c r="L163" s="1">
        <f t="shared" si="18"/>
        <v>53.296647188383155</v>
      </c>
      <c r="M163">
        <v>3.0070000000000001</v>
      </c>
      <c r="N163">
        <v>4.5810000000000004</v>
      </c>
      <c r="O163">
        <v>0.97</v>
      </c>
      <c r="P163">
        <v>3</v>
      </c>
      <c r="Q163">
        <v>10</v>
      </c>
    </row>
    <row r="164" spans="1:17">
      <c r="A164" t="s">
        <v>176</v>
      </c>
      <c r="B164">
        <v>55.852856799999998</v>
      </c>
      <c r="C164">
        <v>13.342112200000001</v>
      </c>
      <c r="D164" s="1">
        <v>1431.979</v>
      </c>
      <c r="E164" s="2">
        <v>-112.64400000000001</v>
      </c>
      <c r="F164" s="2">
        <v>-150.94800000000001</v>
      </c>
      <c r="G164" s="1">
        <f t="shared" si="15"/>
        <v>188.34534621274824</v>
      </c>
      <c r="H164" s="1">
        <v>140.57999999999998</v>
      </c>
      <c r="I164" s="1">
        <f t="shared" si="16"/>
        <v>235.0249047228825</v>
      </c>
      <c r="J164" s="3">
        <f t="shared" si="17"/>
        <v>1.3397734116712781</v>
      </c>
      <c r="K164" s="1">
        <f t="shared" si="19"/>
        <v>1569.69035084505</v>
      </c>
      <c r="L164" s="1">
        <f t="shared" si="18"/>
        <v>53.262528906738794</v>
      </c>
      <c r="M164">
        <v>3.004</v>
      </c>
      <c r="N164">
        <v>4.5860000000000003</v>
      </c>
      <c r="O164">
        <v>0.97</v>
      </c>
      <c r="P164">
        <v>3</v>
      </c>
      <c r="Q164">
        <v>10</v>
      </c>
    </row>
    <row r="165" spans="1:17">
      <c r="A165" t="s">
        <v>177</v>
      </c>
      <c r="B165">
        <v>55.852801599999999</v>
      </c>
      <c r="C165">
        <v>13.3419773</v>
      </c>
      <c r="D165" s="1">
        <v>1424.37</v>
      </c>
      <c r="E165" s="2">
        <v>-110.952</v>
      </c>
      <c r="F165" s="2">
        <v>-151.74</v>
      </c>
      <c r="G165" s="1">
        <f t="shared" si="15"/>
        <v>187.97705685535138</v>
      </c>
      <c r="H165" s="1">
        <v>140.11200000000002</v>
      </c>
      <c r="I165" s="1">
        <f t="shared" si="16"/>
        <v>234.44988046062215</v>
      </c>
      <c r="J165" s="3">
        <f t="shared" si="17"/>
        <v>1.3416199672786866</v>
      </c>
      <c r="K165" s="1">
        <f t="shared" si="19"/>
        <v>1580.1335206703473</v>
      </c>
      <c r="L165" s="1">
        <f t="shared" si="18"/>
        <v>53.300348776150692</v>
      </c>
      <c r="M165">
        <v>3</v>
      </c>
      <c r="N165">
        <v>4.59</v>
      </c>
      <c r="O165">
        <v>0.96</v>
      </c>
      <c r="P165">
        <v>3</v>
      </c>
      <c r="Q165">
        <v>10</v>
      </c>
    </row>
    <row r="166" spans="1:17">
      <c r="A166" t="s">
        <v>178</v>
      </c>
      <c r="B166">
        <v>55.852746600000003</v>
      </c>
      <c r="C166">
        <v>13.3418419</v>
      </c>
      <c r="D166" s="1">
        <v>1416.7370000000001</v>
      </c>
      <c r="E166" s="2">
        <v>-109.944</v>
      </c>
      <c r="F166" s="2">
        <v>-152.28</v>
      </c>
      <c r="G166" s="1">
        <f t="shared" si="15"/>
        <v>187.8214086199973</v>
      </c>
      <c r="H166" s="1">
        <v>139.71600000000001</v>
      </c>
      <c r="I166" s="1">
        <f t="shared" si="16"/>
        <v>234.08853494351234</v>
      </c>
      <c r="J166" s="3">
        <f t="shared" si="17"/>
        <v>1.3443085159895594</v>
      </c>
      <c r="K166" s="1">
        <f t="shared" si="19"/>
        <v>1590.5680433714583</v>
      </c>
      <c r="L166" s="1">
        <f t="shared" si="18"/>
        <v>53.355294250243084</v>
      </c>
      <c r="M166">
        <v>2.992</v>
      </c>
      <c r="N166">
        <v>4.5940000000000003</v>
      </c>
      <c r="O166">
        <v>0.94</v>
      </c>
      <c r="P166">
        <v>3</v>
      </c>
      <c r="Q166">
        <v>10</v>
      </c>
    </row>
    <row r="167" spans="1:17">
      <c r="A167" t="s">
        <v>179</v>
      </c>
      <c r="B167">
        <v>55.852692599999997</v>
      </c>
      <c r="C167">
        <v>13.3417058</v>
      </c>
      <c r="D167" s="1">
        <v>1409.2139999999999</v>
      </c>
      <c r="E167" s="2">
        <v>-108.288</v>
      </c>
      <c r="F167" s="2">
        <v>-152.964</v>
      </c>
      <c r="G167" s="1">
        <f t="shared" si="15"/>
        <v>187.41471724493783</v>
      </c>
      <c r="H167" s="1">
        <v>139.17599999999999</v>
      </c>
      <c r="I167" s="1">
        <f t="shared" si="16"/>
        <v>233.44000346127481</v>
      </c>
      <c r="J167" s="3">
        <f t="shared" si="17"/>
        <v>1.3466022679552354</v>
      </c>
      <c r="K167" s="1">
        <f t="shared" si="19"/>
        <v>1600.9799721072882</v>
      </c>
      <c r="L167" s="1">
        <f t="shared" si="18"/>
        <v>53.40205960183313</v>
      </c>
      <c r="M167">
        <v>2.984</v>
      </c>
      <c r="N167">
        <v>4.5990000000000002</v>
      </c>
      <c r="O167">
        <v>0.93</v>
      </c>
      <c r="P167">
        <v>3</v>
      </c>
      <c r="Q167">
        <v>10</v>
      </c>
    </row>
    <row r="168" spans="1:17">
      <c r="A168" t="s">
        <v>180</v>
      </c>
      <c r="B168">
        <v>55.852638800000001</v>
      </c>
      <c r="C168">
        <v>13.3415689</v>
      </c>
      <c r="D168" s="1">
        <v>1401.6959999999999</v>
      </c>
      <c r="E168" s="2">
        <v>-107.604</v>
      </c>
      <c r="F168" s="2">
        <v>-153.72000000000003</v>
      </c>
      <c r="G168" s="1">
        <f t="shared" si="15"/>
        <v>187.63917292505852</v>
      </c>
      <c r="H168" s="1">
        <v>138.67200000000003</v>
      </c>
      <c r="I168" s="1">
        <f t="shared" si="16"/>
        <v>233.32034373367449</v>
      </c>
      <c r="J168" s="3">
        <f t="shared" si="17"/>
        <v>1.3531150695530352</v>
      </c>
      <c r="K168" s="1">
        <f t="shared" si="19"/>
        <v>1611.4043706031248</v>
      </c>
      <c r="L168" s="1">
        <f t="shared" si="18"/>
        <v>53.53428537260875</v>
      </c>
      <c r="M168">
        <v>2.9790000000000001</v>
      </c>
      <c r="N168">
        <v>4.5949999999999998</v>
      </c>
      <c r="O168">
        <v>0.95</v>
      </c>
      <c r="P168">
        <v>3</v>
      </c>
      <c r="Q168">
        <v>10</v>
      </c>
    </row>
    <row r="169" spans="1:17">
      <c r="A169" t="s">
        <v>181</v>
      </c>
      <c r="B169">
        <v>55.8525858</v>
      </c>
      <c r="C169">
        <v>13.341432299999999</v>
      </c>
      <c r="D169" s="1">
        <v>1394.1130000000001</v>
      </c>
      <c r="E169" s="2">
        <v>-106.2</v>
      </c>
      <c r="F169" s="2">
        <v>-153.828</v>
      </c>
      <c r="G169" s="1">
        <f t="shared" si="15"/>
        <v>186.92643896463659</v>
      </c>
      <c r="H169" s="1">
        <v>138.38399999999999</v>
      </c>
      <c r="I169" s="1">
        <f t="shared" si="16"/>
        <v>232.5760629127598</v>
      </c>
      <c r="J169" s="3">
        <f t="shared" si="17"/>
        <v>1.350780718613688</v>
      </c>
      <c r="K169" s="1">
        <f t="shared" si="19"/>
        <v>1621.7891727678268</v>
      </c>
      <c r="L169" s="1">
        <f t="shared" si="18"/>
        <v>53.486987036200638</v>
      </c>
      <c r="M169">
        <v>2.9740000000000002</v>
      </c>
      <c r="N169">
        <v>4.5979999999999999</v>
      </c>
      <c r="O169">
        <v>0.95</v>
      </c>
      <c r="P169">
        <v>3</v>
      </c>
      <c r="Q169">
        <v>10</v>
      </c>
    </row>
    <row r="170" spans="1:17">
      <c r="A170" t="s">
        <v>182</v>
      </c>
      <c r="B170">
        <v>55.852533700000002</v>
      </c>
      <c r="C170">
        <v>13.3412951</v>
      </c>
      <c r="D170" s="1">
        <v>1386.643</v>
      </c>
      <c r="E170" s="2">
        <v>-104.76</v>
      </c>
      <c r="F170" s="2">
        <v>-154.44</v>
      </c>
      <c r="G170" s="1">
        <f t="shared" si="15"/>
        <v>186.61824991141677</v>
      </c>
      <c r="H170" s="1">
        <v>137.988</v>
      </c>
      <c r="I170" s="1">
        <f t="shared" si="16"/>
        <v>232.09278175764106</v>
      </c>
      <c r="J170" s="3">
        <f t="shared" si="17"/>
        <v>1.3524237608445429</v>
      </c>
      <c r="K170" s="1">
        <f t="shared" si="19"/>
        <v>1632.1568533184611</v>
      </c>
      <c r="L170" s="1">
        <f t="shared" si="18"/>
        <v>53.520289160278232</v>
      </c>
      <c r="M170">
        <v>2.97</v>
      </c>
      <c r="N170">
        <v>4.601</v>
      </c>
      <c r="O170">
        <v>0.95</v>
      </c>
      <c r="P170">
        <v>3</v>
      </c>
      <c r="Q170">
        <v>10</v>
      </c>
    </row>
    <row r="171" spans="1:17">
      <c r="A171" t="s">
        <v>183</v>
      </c>
      <c r="B171">
        <v>55.8524824</v>
      </c>
      <c r="C171">
        <v>13.3411578</v>
      </c>
      <c r="D171" s="1">
        <v>1379.066</v>
      </c>
      <c r="E171" s="2">
        <v>-103.14</v>
      </c>
      <c r="F171" s="2">
        <v>-154.80000000000001</v>
      </c>
      <c r="G171" s="1">
        <f t="shared" si="15"/>
        <v>186.01317050144596</v>
      </c>
      <c r="H171" s="1">
        <v>137.77200000000002</v>
      </c>
      <c r="I171" s="1">
        <f t="shared" si="16"/>
        <v>231.47791165465443</v>
      </c>
      <c r="J171" s="3">
        <f t="shared" si="17"/>
        <v>1.3501522116354987</v>
      </c>
      <c r="K171" s="1">
        <f t="shared" si="19"/>
        <v>1642.4909183463192</v>
      </c>
      <c r="L171" s="1">
        <f t="shared" si="18"/>
        <v>53.4742342519434</v>
      </c>
      <c r="M171">
        <v>2.9649999999999999</v>
      </c>
      <c r="N171">
        <v>4.6020000000000003</v>
      </c>
      <c r="O171">
        <v>0.95</v>
      </c>
      <c r="P171">
        <v>3</v>
      </c>
      <c r="Q171">
        <v>10</v>
      </c>
    </row>
    <row r="172" spans="1:17">
      <c r="A172" t="s">
        <v>184</v>
      </c>
      <c r="B172">
        <v>55.8524314</v>
      </c>
      <c r="C172">
        <v>13.341019599999999</v>
      </c>
      <c r="D172" s="1">
        <v>1371.538</v>
      </c>
      <c r="E172" s="2">
        <v>-102.096</v>
      </c>
      <c r="F172" s="2">
        <v>-155.59200000000001</v>
      </c>
      <c r="G172" s="1">
        <f t="shared" si="15"/>
        <v>186.09799483068053</v>
      </c>
      <c r="H172" s="1">
        <v>137.55600000000001</v>
      </c>
      <c r="I172" s="1">
        <f t="shared" si="16"/>
        <v>231.41762425537087</v>
      </c>
      <c r="J172" s="3">
        <f t="shared" si="17"/>
        <v>1.3528889676254072</v>
      </c>
      <c r="K172" s="1">
        <f t="shared" si="19"/>
        <v>1652.8296958369126</v>
      </c>
      <c r="L172" s="1">
        <f t="shared" si="18"/>
        <v>53.529708738667154</v>
      </c>
      <c r="M172">
        <v>2.9590000000000001</v>
      </c>
      <c r="N172">
        <v>4.585</v>
      </c>
      <c r="O172">
        <v>0.95</v>
      </c>
      <c r="P172">
        <v>3</v>
      </c>
      <c r="Q172">
        <v>10</v>
      </c>
    </row>
    <row r="173" spans="1:17">
      <c r="A173" t="s">
        <v>185</v>
      </c>
      <c r="B173">
        <v>55.852380799999999</v>
      </c>
      <c r="C173">
        <v>13.340880800000001</v>
      </c>
      <c r="D173" s="1">
        <v>1364.027</v>
      </c>
      <c r="E173" s="2">
        <v>-101.34</v>
      </c>
      <c r="F173" s="2">
        <v>-156.16800000000001</v>
      </c>
      <c r="G173" s="1">
        <f t="shared" si="15"/>
        <v>186.16723617221157</v>
      </c>
      <c r="H173" s="1">
        <v>137.304</v>
      </c>
      <c r="I173" s="1">
        <f t="shared" si="16"/>
        <v>231.32364392772305</v>
      </c>
      <c r="J173" s="3">
        <f t="shared" si="17"/>
        <v>1.3558762757983129</v>
      </c>
      <c r="K173" s="1">
        <f t="shared" si="19"/>
        <v>1663.1723200687022</v>
      </c>
      <c r="L173" s="1">
        <f t="shared" si="18"/>
        <v>53.590096511424292</v>
      </c>
      <c r="M173">
        <v>2.956</v>
      </c>
      <c r="N173">
        <v>4.5679999999999996</v>
      </c>
      <c r="O173">
        <v>0.94</v>
      </c>
      <c r="P173">
        <v>3</v>
      </c>
      <c r="Q173">
        <v>10</v>
      </c>
    </row>
    <row r="174" spans="1:17">
      <c r="A174" t="s">
        <v>186</v>
      </c>
      <c r="B174">
        <v>55.852330600000002</v>
      </c>
      <c r="C174">
        <v>13.340741</v>
      </c>
      <c r="D174" s="1">
        <v>1356.4749999999999</v>
      </c>
      <c r="E174" s="2">
        <v>-100.36799999999999</v>
      </c>
      <c r="F174" s="2">
        <v>-157.392</v>
      </c>
      <c r="G174" s="1">
        <f t="shared" si="15"/>
        <v>186.67077191676259</v>
      </c>
      <c r="H174" s="1">
        <v>137.12400000000002</v>
      </c>
      <c r="I174" s="1">
        <f t="shared" si="16"/>
        <v>231.62246968720459</v>
      </c>
      <c r="J174" s="3">
        <f t="shared" si="17"/>
        <v>1.3613282278577241</v>
      </c>
      <c r="K174" s="1">
        <f t="shared" si="19"/>
        <v>1673.5429185085225</v>
      </c>
      <c r="L174" s="1">
        <f t="shared" si="18"/>
        <v>53.699863279286745</v>
      </c>
      <c r="M174">
        <v>2.952</v>
      </c>
      <c r="N174">
        <v>4.5679999999999996</v>
      </c>
      <c r="O174">
        <v>0.95</v>
      </c>
      <c r="P174">
        <v>3</v>
      </c>
      <c r="Q174">
        <v>10</v>
      </c>
    </row>
    <row r="175" spans="1:17">
      <c r="A175" t="s">
        <v>187</v>
      </c>
      <c r="B175">
        <v>55.852281400000003</v>
      </c>
      <c r="C175">
        <v>13.340601400000001</v>
      </c>
      <c r="D175" s="1">
        <v>1348.954</v>
      </c>
      <c r="E175" s="2">
        <v>-99.036000000000001</v>
      </c>
      <c r="F175" s="2">
        <v>-157.35599999999999</v>
      </c>
      <c r="G175" s="1">
        <f t="shared" si="15"/>
        <v>185.92751284304322</v>
      </c>
      <c r="H175" s="1">
        <v>136.97999999999999</v>
      </c>
      <c r="I175" s="1">
        <f t="shared" si="16"/>
        <v>230.93843428931442</v>
      </c>
      <c r="J175" s="3">
        <f t="shared" si="17"/>
        <v>1.3573332810851455</v>
      </c>
      <c r="K175" s="1">
        <f t="shared" si="19"/>
        <v>1683.8722247775804</v>
      </c>
      <c r="L175" s="1">
        <f t="shared" si="18"/>
        <v>53.619487073276979</v>
      </c>
      <c r="M175">
        <v>2.952</v>
      </c>
      <c r="N175">
        <v>4.5730000000000004</v>
      </c>
      <c r="O175">
        <v>0.95</v>
      </c>
      <c r="P175">
        <v>3</v>
      </c>
      <c r="Q175">
        <v>10</v>
      </c>
    </row>
    <row r="176" spans="1:17">
      <c r="A176" t="s">
        <v>188</v>
      </c>
      <c r="B176">
        <v>55.852232999999998</v>
      </c>
      <c r="C176">
        <v>13.3404632</v>
      </c>
      <c r="D176" s="1">
        <v>1341.46</v>
      </c>
      <c r="E176" s="2">
        <v>-97.56</v>
      </c>
      <c r="F176" s="2">
        <v>-156.24</v>
      </c>
      <c r="G176" s="1">
        <f t="shared" si="15"/>
        <v>184.19796741549564</v>
      </c>
      <c r="H176" s="1">
        <v>136.76400000000001</v>
      </c>
      <c r="I176" s="1">
        <f t="shared" si="16"/>
        <v>229.41944751044971</v>
      </c>
      <c r="J176" s="3">
        <f t="shared" si="17"/>
        <v>1.3468307991539852</v>
      </c>
      <c r="K176" s="1">
        <f t="shared" si="19"/>
        <v>1694.1054451895525</v>
      </c>
      <c r="L176" s="1">
        <f t="shared" si="18"/>
        <v>53.406713305923262</v>
      </c>
      <c r="M176">
        <v>2.9529999999999998</v>
      </c>
      <c r="N176">
        <v>4.5910000000000002</v>
      </c>
      <c r="O176">
        <v>0.96</v>
      </c>
      <c r="P176">
        <v>3</v>
      </c>
      <c r="Q176">
        <v>10</v>
      </c>
    </row>
    <row r="177" spans="1:17">
      <c r="A177" t="s">
        <v>189</v>
      </c>
      <c r="B177">
        <v>55.852185800000001</v>
      </c>
      <c r="C177">
        <v>13.3403271</v>
      </c>
      <c r="D177" s="1">
        <v>1333.8230000000001</v>
      </c>
      <c r="E177" s="2">
        <v>-95.076000000000008</v>
      </c>
      <c r="F177" s="2">
        <v>-154.29599999999999</v>
      </c>
      <c r="G177" s="1">
        <f t="shared" si="15"/>
        <v>181.23658955078579</v>
      </c>
      <c r="H177" s="1">
        <v>136.76400000000001</v>
      </c>
      <c r="I177" s="1">
        <f t="shared" si="16"/>
        <v>227.04865797445268</v>
      </c>
      <c r="J177" s="3">
        <f t="shared" si="17"/>
        <v>1.3251776019331534</v>
      </c>
      <c r="K177" s="1">
        <f t="shared" si="19"/>
        <v>1704.1741446090407</v>
      </c>
      <c r="L177" s="1">
        <f t="shared" si="18"/>
        <v>52.961217664122927</v>
      </c>
      <c r="M177">
        <v>2.9580000000000002</v>
      </c>
      <c r="N177">
        <v>4.6029999999999998</v>
      </c>
      <c r="O177">
        <v>1</v>
      </c>
      <c r="P177">
        <v>3</v>
      </c>
      <c r="Q177">
        <v>10</v>
      </c>
    </row>
    <row r="178" spans="1:17">
      <c r="A178" t="s">
        <v>190</v>
      </c>
      <c r="B178">
        <v>55.852140200000001</v>
      </c>
      <c r="C178">
        <v>13.3401931</v>
      </c>
      <c r="D178" s="1">
        <v>1326.424</v>
      </c>
      <c r="E178" s="2">
        <v>-92.556000000000012</v>
      </c>
      <c r="F178" s="2">
        <v>-152.02799999999999</v>
      </c>
      <c r="G178" s="1">
        <f t="shared" si="15"/>
        <v>177.98630823745967</v>
      </c>
      <c r="H178" s="1">
        <v>136.26000000000002</v>
      </c>
      <c r="I178" s="1">
        <f t="shared" si="16"/>
        <v>224.15600264101786</v>
      </c>
      <c r="J178" s="3">
        <f t="shared" si="17"/>
        <v>1.3062256585752212</v>
      </c>
      <c r="K178" s="1">
        <f t="shared" si="19"/>
        <v>1714.062272844455</v>
      </c>
      <c r="L178" s="1">
        <f t="shared" si="18"/>
        <v>52.563613673833281</v>
      </c>
      <c r="M178">
        <v>2.964</v>
      </c>
      <c r="N178">
        <v>4.6150000000000002</v>
      </c>
      <c r="O178">
        <v>1.01</v>
      </c>
      <c r="P178">
        <v>3</v>
      </c>
      <c r="Q178">
        <v>10</v>
      </c>
    </row>
    <row r="179" spans="1:17">
      <c r="A179" t="s">
        <v>191</v>
      </c>
      <c r="B179">
        <v>55.852095400000003</v>
      </c>
      <c r="C179">
        <v>13.340060599999999</v>
      </c>
      <c r="D179" s="1">
        <v>1319.1489999999999</v>
      </c>
      <c r="E179" s="2">
        <v>-90.504000000000005</v>
      </c>
      <c r="F179" s="2">
        <v>-150.30000000000001</v>
      </c>
      <c r="G179" s="1">
        <f t="shared" si="15"/>
        <v>175.44533056197307</v>
      </c>
      <c r="H179" s="1">
        <v>135.61200000000002</v>
      </c>
      <c r="I179" s="1">
        <f t="shared" si="16"/>
        <v>221.74687948198957</v>
      </c>
      <c r="J179" s="3">
        <f t="shared" si="17"/>
        <v>1.29373013127137</v>
      </c>
      <c r="K179" s="1">
        <f t="shared" si="19"/>
        <v>1723.8092356534535</v>
      </c>
      <c r="L179" s="1">
        <f t="shared" si="18"/>
        <v>52.297456977325709</v>
      </c>
      <c r="M179">
        <v>2.972</v>
      </c>
      <c r="N179">
        <v>4.6269999999999998</v>
      </c>
      <c r="O179">
        <v>1.02</v>
      </c>
      <c r="P179">
        <v>3</v>
      </c>
      <c r="Q179">
        <v>10</v>
      </c>
    </row>
    <row r="180" spans="1:17">
      <c r="A180" t="s">
        <v>192</v>
      </c>
      <c r="B180">
        <v>55.852051799999998</v>
      </c>
      <c r="C180">
        <v>13.3399304</v>
      </c>
      <c r="D180" s="1">
        <v>1311.9739999999999</v>
      </c>
      <c r="E180" s="2">
        <v>-88.524000000000001</v>
      </c>
      <c r="F180" s="2">
        <v>-147.96</v>
      </c>
      <c r="G180" s="1">
        <f t="shared" si="15"/>
        <v>172.42001095000546</v>
      </c>
      <c r="H180" s="1">
        <v>134.85599999999999</v>
      </c>
      <c r="I180" s="1">
        <f t="shared" si="16"/>
        <v>218.89449721726677</v>
      </c>
      <c r="J180" s="3">
        <f t="shared" si="17"/>
        <v>1.2785490519517519</v>
      </c>
      <c r="K180" s="1">
        <f t="shared" si="19"/>
        <v>1733.3881251506759</v>
      </c>
      <c r="L180" s="1">
        <f t="shared" si="18"/>
        <v>51.969736420776954</v>
      </c>
      <c r="M180">
        <v>2.98</v>
      </c>
      <c r="N180">
        <v>4.6399999999999997</v>
      </c>
      <c r="O180">
        <v>1.02</v>
      </c>
      <c r="P180">
        <v>3</v>
      </c>
      <c r="Q180">
        <v>10</v>
      </c>
    </row>
    <row r="181" spans="1:17">
      <c r="A181" t="s">
        <v>193</v>
      </c>
      <c r="B181">
        <v>55.8520094</v>
      </c>
      <c r="C181">
        <v>13.339802600000001</v>
      </c>
      <c r="D181" s="1">
        <v>1304.873</v>
      </c>
      <c r="E181" s="2">
        <v>-86.292000000000002</v>
      </c>
      <c r="F181" s="2">
        <v>-145.44</v>
      </c>
      <c r="G181" s="1">
        <f t="shared" si="15"/>
        <v>169.11269279388819</v>
      </c>
      <c r="H181" s="1">
        <v>134.1</v>
      </c>
      <c r="I181" s="1">
        <f t="shared" si="16"/>
        <v>215.82843386356674</v>
      </c>
      <c r="J181" s="3">
        <f t="shared" si="17"/>
        <v>1.261093905994692</v>
      </c>
      <c r="K181" s="1">
        <f t="shared" si="19"/>
        <v>1742.7832747503364</v>
      </c>
      <c r="L181" s="1">
        <f t="shared" si="18"/>
        <v>51.586907360911368</v>
      </c>
      <c r="M181">
        <v>2.99</v>
      </c>
      <c r="N181">
        <v>4.657</v>
      </c>
      <c r="O181">
        <v>1.02</v>
      </c>
      <c r="P181">
        <v>3</v>
      </c>
      <c r="Q181">
        <v>10</v>
      </c>
    </row>
    <row r="182" spans="1:17">
      <c r="A182" t="s">
        <v>194</v>
      </c>
      <c r="B182">
        <v>55.851968399999997</v>
      </c>
      <c r="C182">
        <v>13.339677099999999</v>
      </c>
      <c r="D182" s="1">
        <v>1297.8340000000001</v>
      </c>
      <c r="E182" s="2">
        <v>-83.843999999999994</v>
      </c>
      <c r="F182" s="2">
        <v>-143.02799999999999</v>
      </c>
      <c r="G182" s="1">
        <f t="shared" si="15"/>
        <v>165.79151100101598</v>
      </c>
      <c r="H182" s="1">
        <v>133.30800000000002</v>
      </c>
      <c r="I182" s="1">
        <f t="shared" si="16"/>
        <v>212.73891976786948</v>
      </c>
      <c r="J182" s="3">
        <f t="shared" si="17"/>
        <v>1.243672630307378</v>
      </c>
      <c r="K182" s="1">
        <f t="shared" si="19"/>
        <v>1751.9939142503929</v>
      </c>
      <c r="L182" s="1">
        <f t="shared" si="18"/>
        <v>51.198278278136613</v>
      </c>
      <c r="M182">
        <v>3.0030000000000001</v>
      </c>
      <c r="N182">
        <v>4.6749999999999998</v>
      </c>
      <c r="O182">
        <v>1.04</v>
      </c>
      <c r="P182">
        <v>3</v>
      </c>
      <c r="Q182">
        <v>10</v>
      </c>
    </row>
    <row r="183" spans="1:17">
      <c r="A183" t="s">
        <v>195</v>
      </c>
      <c r="B183">
        <v>55.851928399999998</v>
      </c>
      <c r="C183">
        <v>13.3395546</v>
      </c>
      <c r="D183" s="1">
        <v>1290.787</v>
      </c>
      <c r="E183" s="2">
        <v>-81.936000000000007</v>
      </c>
      <c r="F183" s="2">
        <v>-139.89600000000002</v>
      </c>
      <c r="G183" s="1">
        <f t="shared" si="15"/>
        <v>162.12464005202912</v>
      </c>
      <c r="H183" s="1">
        <v>132.62400000000002</v>
      </c>
      <c r="I183" s="1">
        <f t="shared" si="16"/>
        <v>209.46007802920349</v>
      </c>
      <c r="J183" s="3">
        <f t="shared" si="17"/>
        <v>1.2224381714623982</v>
      </c>
      <c r="K183" s="1">
        <f t="shared" si="19"/>
        <v>1761.0008386977279</v>
      </c>
      <c r="L183" s="1">
        <f t="shared" si="18"/>
        <v>50.715554054936824</v>
      </c>
      <c r="M183">
        <v>3.0209999999999999</v>
      </c>
      <c r="N183">
        <v>4.6989999999999998</v>
      </c>
      <c r="O183">
        <v>1.04</v>
      </c>
      <c r="P183">
        <v>3</v>
      </c>
      <c r="Q183">
        <v>10</v>
      </c>
    </row>
    <row r="184" spans="1:17">
      <c r="A184" t="s">
        <v>196</v>
      </c>
      <c r="B184">
        <v>55.851889300000003</v>
      </c>
      <c r="C184">
        <v>13.339434600000001</v>
      </c>
      <c r="D184" s="1">
        <v>1283.636</v>
      </c>
      <c r="E184" s="2">
        <v>-79.847999999999999</v>
      </c>
      <c r="F184" s="2">
        <v>-137.08799999999999</v>
      </c>
      <c r="G184" s="1">
        <f t="shared" si="15"/>
        <v>158.64684947391802</v>
      </c>
      <c r="H184" s="1">
        <v>132.26400000000001</v>
      </c>
      <c r="I184" s="1">
        <f t="shared" si="16"/>
        <v>206.54923999860179</v>
      </c>
      <c r="J184" s="3">
        <f t="shared" si="17"/>
        <v>1.19947112951308</v>
      </c>
      <c r="K184" s="1">
        <f t="shared" si="19"/>
        <v>1769.81455255739</v>
      </c>
      <c r="L184" s="1">
        <f t="shared" si="18"/>
        <v>50.182006805294314</v>
      </c>
      <c r="M184">
        <v>3.0390000000000001</v>
      </c>
      <c r="N184">
        <v>4.7249999999999996</v>
      </c>
      <c r="O184">
        <v>1.04</v>
      </c>
      <c r="P184">
        <v>3</v>
      </c>
      <c r="Q184">
        <v>10</v>
      </c>
    </row>
    <row r="185" spans="1:17">
      <c r="A185" t="s">
        <v>197</v>
      </c>
      <c r="B185">
        <v>55.851851600000003</v>
      </c>
      <c r="C185">
        <v>13.3393166</v>
      </c>
      <c r="D185" s="1">
        <v>1276.54</v>
      </c>
      <c r="E185" s="2">
        <v>-77.400000000000006</v>
      </c>
      <c r="F185" s="2">
        <v>-134.71200000000002</v>
      </c>
      <c r="G185" s="1">
        <f t="shared" si="15"/>
        <v>155.3643554487322</v>
      </c>
      <c r="H185" s="1">
        <v>131.83199999999999</v>
      </c>
      <c r="I185" s="1">
        <f t="shared" si="16"/>
        <v>203.75907137597582</v>
      </c>
      <c r="J185" s="3">
        <f t="shared" si="17"/>
        <v>1.178502605200044</v>
      </c>
      <c r="K185" s="1">
        <f t="shared" si="19"/>
        <v>1778.4459056378751</v>
      </c>
      <c r="L185" s="1">
        <f t="shared" si="18"/>
        <v>49.684249202386781</v>
      </c>
      <c r="M185">
        <v>3.0550000000000002</v>
      </c>
      <c r="N185">
        <v>4.7560000000000002</v>
      </c>
      <c r="O185">
        <v>1.02</v>
      </c>
      <c r="P185">
        <v>3</v>
      </c>
      <c r="Q185">
        <v>10</v>
      </c>
    </row>
    <row r="186" spans="1:17">
      <c r="A186" t="s">
        <v>198</v>
      </c>
      <c r="B186">
        <v>55.851815299999998</v>
      </c>
      <c r="C186">
        <v>13.339200699999999</v>
      </c>
      <c r="D186" s="1">
        <v>1269.376</v>
      </c>
      <c r="E186" s="2">
        <v>-74.556000000000012</v>
      </c>
      <c r="F186" s="2">
        <v>-132.55199999999999</v>
      </c>
      <c r="G186" s="1">
        <f t="shared" si="15"/>
        <v>152.08099762955266</v>
      </c>
      <c r="H186" s="1">
        <v>131.57999999999998</v>
      </c>
      <c r="I186" s="1">
        <f t="shared" si="16"/>
        <v>201.10178079768463</v>
      </c>
      <c r="J186" s="3">
        <f t="shared" si="17"/>
        <v>1.1558063355339161</v>
      </c>
      <c r="K186" s="1">
        <f t="shared" si="19"/>
        <v>1786.894849950628</v>
      </c>
      <c r="L186" s="1">
        <f t="shared" si="18"/>
        <v>49.133743716528045</v>
      </c>
      <c r="M186">
        <v>3.0710000000000002</v>
      </c>
      <c r="N186">
        <v>4.7919999999999998</v>
      </c>
      <c r="O186">
        <v>1.02</v>
      </c>
      <c r="P186">
        <v>3</v>
      </c>
      <c r="Q186">
        <v>10</v>
      </c>
    </row>
    <row r="187" spans="1:17">
      <c r="A187" t="s">
        <v>199</v>
      </c>
      <c r="B187">
        <v>55.851779800000003</v>
      </c>
      <c r="C187">
        <v>13.3390872</v>
      </c>
      <c r="D187" s="1">
        <v>1262.1189999999999</v>
      </c>
      <c r="E187" s="2">
        <v>-72.612000000000009</v>
      </c>
      <c r="F187" s="2">
        <v>-129.852</v>
      </c>
      <c r="G187" s="1">
        <f t="shared" si="15"/>
        <v>148.77514727937594</v>
      </c>
      <c r="H187" s="1">
        <v>131.43600000000001</v>
      </c>
      <c r="I187" s="1">
        <f t="shared" si="16"/>
        <v>198.51817686045783</v>
      </c>
      <c r="J187" s="3">
        <f t="shared" si="17"/>
        <v>1.1319208381217927</v>
      </c>
      <c r="K187" s="1">
        <f t="shared" si="19"/>
        <v>1795.1601359105932</v>
      </c>
      <c r="L187" s="1">
        <f t="shared" si="18"/>
        <v>48.540882974257691</v>
      </c>
      <c r="M187">
        <v>3.085</v>
      </c>
      <c r="N187">
        <v>4.8239999999999998</v>
      </c>
      <c r="O187">
        <v>1.01</v>
      </c>
      <c r="P187">
        <v>3</v>
      </c>
      <c r="Q187">
        <v>10</v>
      </c>
    </row>
    <row r="188" spans="1:17">
      <c r="A188" t="s">
        <v>200</v>
      </c>
      <c r="B188">
        <v>55.851745200000003</v>
      </c>
      <c r="C188">
        <v>13.3389761</v>
      </c>
      <c r="D188" s="1">
        <v>1254.856</v>
      </c>
      <c r="E188" s="2">
        <v>-70.596000000000004</v>
      </c>
      <c r="F188" s="2">
        <v>-127.11600000000001</v>
      </c>
      <c r="G188" s="1">
        <f t="shared" si="15"/>
        <v>145.40382619449878</v>
      </c>
      <c r="H188" s="1">
        <v>131.328</v>
      </c>
      <c r="I188" s="1">
        <f t="shared" si="16"/>
        <v>195.93191739989686</v>
      </c>
      <c r="J188" s="3">
        <f t="shared" si="17"/>
        <v>1.1071806940979743</v>
      </c>
      <c r="K188" s="1">
        <f t="shared" si="19"/>
        <v>1803.2381262547322</v>
      </c>
      <c r="L188" s="1">
        <f t="shared" si="18"/>
        <v>47.911811808928043</v>
      </c>
      <c r="M188">
        <v>3.097</v>
      </c>
      <c r="N188">
        <v>4.8550000000000004</v>
      </c>
      <c r="O188">
        <v>1.01</v>
      </c>
      <c r="P188">
        <v>3</v>
      </c>
      <c r="Q188">
        <v>10</v>
      </c>
    </row>
    <row r="189" spans="1:17">
      <c r="A189" t="s">
        <v>201</v>
      </c>
      <c r="B189">
        <v>55.8517115</v>
      </c>
      <c r="C189">
        <v>13.338867</v>
      </c>
      <c r="D189" s="1">
        <v>1247.674</v>
      </c>
      <c r="E189" s="2">
        <v>-68.796000000000006</v>
      </c>
      <c r="F189" s="2">
        <v>-124.452</v>
      </c>
      <c r="G189" s="1">
        <f t="shared" si="15"/>
        <v>142.20123037442397</v>
      </c>
      <c r="H189" s="1">
        <v>131.11200000000002</v>
      </c>
      <c r="I189" s="1">
        <f t="shared" si="16"/>
        <v>193.42064642638334</v>
      </c>
      <c r="J189" s="3">
        <f t="shared" si="17"/>
        <v>1.0845783023249127</v>
      </c>
      <c r="K189" s="1">
        <f t="shared" si="19"/>
        <v>1811.1381946088668</v>
      </c>
      <c r="L189" s="1">
        <f t="shared" si="18"/>
        <v>47.323406722443359</v>
      </c>
      <c r="M189">
        <v>3.1080000000000001</v>
      </c>
      <c r="N189">
        <v>4.8860000000000001</v>
      </c>
      <c r="O189">
        <v>1.01</v>
      </c>
      <c r="P189">
        <v>3</v>
      </c>
      <c r="Q189">
        <v>10</v>
      </c>
    </row>
    <row r="190" spans="1:17">
      <c r="A190" t="s">
        <v>202</v>
      </c>
      <c r="B190">
        <v>55.851678999999997</v>
      </c>
      <c r="C190">
        <v>13.3387598</v>
      </c>
      <c r="D190" s="1">
        <v>1240.414</v>
      </c>
      <c r="E190" s="2">
        <v>-66.456000000000003</v>
      </c>
      <c r="F190" s="2">
        <v>-122.256</v>
      </c>
      <c r="G190" s="1">
        <f t="shared" si="15"/>
        <v>139.15074369905466</v>
      </c>
      <c r="H190" s="1">
        <v>131.148</v>
      </c>
      <c r="I190" s="1">
        <f t="shared" si="16"/>
        <v>191.21382632016963</v>
      </c>
      <c r="J190" s="3">
        <f t="shared" si="17"/>
        <v>1.0610207071328168</v>
      </c>
      <c r="K190" s="1">
        <f t="shared" si="19"/>
        <v>1818.8687914810364</v>
      </c>
      <c r="L190" s="1">
        <f t="shared" si="18"/>
        <v>46.695862606278666</v>
      </c>
      <c r="M190">
        <v>3.117</v>
      </c>
      <c r="N190">
        <v>4.915</v>
      </c>
      <c r="O190">
        <v>1.01</v>
      </c>
      <c r="P190">
        <v>3</v>
      </c>
      <c r="Q190">
        <v>10</v>
      </c>
    </row>
    <row r="191" spans="1:17">
      <c r="A191" t="s">
        <v>203</v>
      </c>
      <c r="B191">
        <v>55.851646700000003</v>
      </c>
      <c r="C191">
        <v>13.3386563</v>
      </c>
      <c r="D191" s="1">
        <v>1233.0070000000001</v>
      </c>
      <c r="E191" s="2">
        <v>-65.376000000000005</v>
      </c>
      <c r="F191" s="2">
        <v>-118.58399999999999</v>
      </c>
      <c r="G191" s="1">
        <f t="shared" si="15"/>
        <v>135.41117543245829</v>
      </c>
      <c r="H191" s="1">
        <v>131.328</v>
      </c>
      <c r="I191" s="1">
        <f t="shared" si="16"/>
        <v>188.63517703758225</v>
      </c>
      <c r="J191" s="3">
        <f t="shared" si="17"/>
        <v>1.0310914308636261</v>
      </c>
      <c r="K191" s="1">
        <f t="shared" si="19"/>
        <v>1826.3916345606174</v>
      </c>
      <c r="L191" s="1">
        <f t="shared" si="18"/>
        <v>45.877000717927999</v>
      </c>
      <c r="M191">
        <v>3.1160000000000001</v>
      </c>
      <c r="N191">
        <v>4.9429999999999996</v>
      </c>
      <c r="O191">
        <v>0.97</v>
      </c>
      <c r="P191">
        <v>3</v>
      </c>
      <c r="Q191">
        <v>10</v>
      </c>
    </row>
    <row r="192" spans="1:17">
      <c r="A192" t="s">
        <v>204</v>
      </c>
      <c r="B192">
        <v>55.851615000000002</v>
      </c>
      <c r="C192">
        <v>13.338554500000001</v>
      </c>
      <c r="D192" s="1">
        <v>1225.5540000000001</v>
      </c>
      <c r="E192" s="2">
        <v>-63.972000000000001</v>
      </c>
      <c r="F192" s="2">
        <v>-115.92000000000002</v>
      </c>
      <c r="G192" s="1">
        <f t="shared" si="15"/>
        <v>132.40038966710031</v>
      </c>
      <c r="H192" s="1">
        <v>131.65200000000002</v>
      </c>
      <c r="I192" s="1">
        <f t="shared" si="16"/>
        <v>186.71398525016812</v>
      </c>
      <c r="J192" s="3">
        <f t="shared" si="17"/>
        <v>1.005684605377057</v>
      </c>
      <c r="K192" s="1">
        <f t="shared" si="19"/>
        <v>1833.7472117643451</v>
      </c>
      <c r="L192" s="1">
        <f t="shared" si="18"/>
        <v>45.162389950699193</v>
      </c>
      <c r="M192">
        <v>3.1179999999999999</v>
      </c>
      <c r="N192">
        <v>4.9530000000000003</v>
      </c>
      <c r="O192">
        <v>0.99</v>
      </c>
      <c r="P192">
        <v>3</v>
      </c>
      <c r="Q192">
        <v>10</v>
      </c>
    </row>
    <row r="193" spans="1:17">
      <c r="A193" t="s">
        <v>205</v>
      </c>
      <c r="B193">
        <v>55.851585100000001</v>
      </c>
      <c r="C193">
        <v>13.338456600000001</v>
      </c>
      <c r="D193" s="1">
        <v>1218.213</v>
      </c>
      <c r="E193" s="2">
        <v>-61.739999999999995</v>
      </c>
      <c r="F193" s="2">
        <v>-111.996</v>
      </c>
      <c r="G193" s="1">
        <f t="shared" si="15"/>
        <v>127.88640121607925</v>
      </c>
      <c r="H193" s="1">
        <v>131.79599999999999</v>
      </c>
      <c r="I193" s="1">
        <f t="shared" si="16"/>
        <v>183.64399590512073</v>
      </c>
      <c r="J193" s="3">
        <f t="shared" si="17"/>
        <v>0.97033598300463786</v>
      </c>
      <c r="K193" s="1">
        <f t="shared" si="19"/>
        <v>1840.8520118319052</v>
      </c>
      <c r="L193" s="1">
        <f t="shared" si="18"/>
        <v>44.137459501395433</v>
      </c>
      <c r="M193">
        <v>3.12</v>
      </c>
      <c r="N193">
        <v>4.9610000000000003</v>
      </c>
      <c r="O193">
        <v>1</v>
      </c>
      <c r="P193">
        <v>3</v>
      </c>
      <c r="Q193">
        <v>10</v>
      </c>
    </row>
    <row r="194" spans="1:17">
      <c r="A194" t="s">
        <v>206</v>
      </c>
      <c r="B194">
        <v>55.851555900000001</v>
      </c>
      <c r="C194">
        <v>13.3383606</v>
      </c>
      <c r="D194" s="1">
        <v>1210.81</v>
      </c>
      <c r="E194" s="2">
        <v>-59.580000000000005</v>
      </c>
      <c r="F194" s="2">
        <v>-109.44</v>
      </c>
      <c r="G194" s="1">
        <f t="shared" si="15"/>
        <v>124.60694202170278</v>
      </c>
      <c r="H194" s="1">
        <v>131.94</v>
      </c>
      <c r="I194" s="1">
        <f t="shared" si="16"/>
        <v>181.48017412378687</v>
      </c>
      <c r="J194" s="3">
        <f t="shared" si="17"/>
        <v>0.9444212674071758</v>
      </c>
      <c r="K194" s="1">
        <f t="shared" si="19"/>
        <v>1847.7746197219999</v>
      </c>
      <c r="L194" s="1">
        <f t="shared" si="18"/>
        <v>43.362721066675192</v>
      </c>
      <c r="M194">
        <v>3.133</v>
      </c>
      <c r="N194">
        <v>4.9880000000000004</v>
      </c>
      <c r="O194">
        <v>1.01</v>
      </c>
      <c r="P194">
        <v>3</v>
      </c>
      <c r="Q194">
        <v>10</v>
      </c>
    </row>
    <row r="195" spans="1:17">
      <c r="A195" t="s">
        <v>207</v>
      </c>
      <c r="B195">
        <v>55.851528100000003</v>
      </c>
      <c r="C195">
        <v>13.3382661</v>
      </c>
      <c r="D195" s="1">
        <v>1203.4079999999999</v>
      </c>
      <c r="E195" s="2">
        <v>-57.24</v>
      </c>
      <c r="F195" s="2">
        <v>-107.676</v>
      </c>
      <c r="G195" s="1">
        <f t="shared" si="15"/>
        <v>121.94481774966906</v>
      </c>
      <c r="H195" s="1">
        <v>132.19200000000001</v>
      </c>
      <c r="I195" s="1">
        <f t="shared" si="16"/>
        <v>179.84788972907077</v>
      </c>
      <c r="J195" s="3">
        <f t="shared" si="17"/>
        <v>0.92248258404191663</v>
      </c>
      <c r="K195" s="1">
        <f t="shared" si="19"/>
        <v>1854.5493318192036</v>
      </c>
      <c r="L195" s="1">
        <f t="shared" si="18"/>
        <v>42.690998001959237</v>
      </c>
      <c r="M195">
        <v>3.1509999999999998</v>
      </c>
      <c r="N195">
        <v>5.0170000000000003</v>
      </c>
      <c r="O195">
        <v>1.03</v>
      </c>
      <c r="P195">
        <v>3</v>
      </c>
      <c r="Q195">
        <v>10</v>
      </c>
    </row>
    <row r="196" spans="1:17">
      <c r="A196" t="s">
        <v>208</v>
      </c>
      <c r="B196">
        <v>55.851502000000004</v>
      </c>
      <c r="C196">
        <v>13.338176600000001</v>
      </c>
      <c r="D196" s="1">
        <v>1196.0450000000001</v>
      </c>
      <c r="E196" s="2">
        <v>-54.36</v>
      </c>
      <c r="F196" s="2">
        <v>-103.788</v>
      </c>
      <c r="G196" s="1">
        <f t="shared" si="15"/>
        <v>117.16210370251979</v>
      </c>
      <c r="H196" s="1">
        <v>132.15600000000001</v>
      </c>
      <c r="I196" s="1">
        <f t="shared" si="16"/>
        <v>176.61304277997138</v>
      </c>
      <c r="J196" s="3">
        <f t="shared" si="17"/>
        <v>0.8865439609440342</v>
      </c>
      <c r="K196" s="1">
        <f t="shared" si="19"/>
        <v>1861.0583375804547</v>
      </c>
      <c r="L196" s="1">
        <f t="shared" si="18"/>
        <v>41.558398698286325</v>
      </c>
      <c r="M196">
        <v>3.1720000000000002</v>
      </c>
      <c r="N196">
        <v>5.0460000000000003</v>
      </c>
      <c r="O196">
        <v>1.04</v>
      </c>
      <c r="P196">
        <v>3</v>
      </c>
      <c r="Q196">
        <v>10</v>
      </c>
    </row>
    <row r="197" spans="1:17">
      <c r="A197" t="s">
        <v>209</v>
      </c>
      <c r="B197">
        <v>55.851477799999998</v>
      </c>
      <c r="C197">
        <v>13.338092700000001</v>
      </c>
      <c r="D197" s="1">
        <v>1188.547</v>
      </c>
      <c r="E197" s="2">
        <v>-51.192</v>
      </c>
      <c r="F197" s="2">
        <v>-99.108000000000004</v>
      </c>
      <c r="G197" s="1">
        <f t="shared" si="15"/>
        <v>111.54826994624347</v>
      </c>
      <c r="H197" s="1">
        <v>132.30000000000001</v>
      </c>
      <c r="I197" s="1">
        <f t="shared" si="16"/>
        <v>173.05001163825446</v>
      </c>
      <c r="J197" s="3">
        <f t="shared" si="17"/>
        <v>0.84314640926865803</v>
      </c>
      <c r="K197" s="1">
        <f t="shared" si="19"/>
        <v>1867.2554636885793</v>
      </c>
      <c r="L197" s="1">
        <f t="shared" si="18"/>
        <v>40.135792132003353</v>
      </c>
      <c r="M197">
        <v>3.19</v>
      </c>
      <c r="N197">
        <v>5.0620000000000003</v>
      </c>
      <c r="O197">
        <v>1.04</v>
      </c>
      <c r="P197">
        <v>3</v>
      </c>
      <c r="Q197">
        <v>10</v>
      </c>
    </row>
    <row r="198" spans="1:17">
      <c r="A198" t="s">
        <v>210</v>
      </c>
      <c r="B198">
        <v>55.851455700000002</v>
      </c>
      <c r="C198">
        <v>13.3380142</v>
      </c>
      <c r="D198" s="1">
        <v>1181.1489999999999</v>
      </c>
      <c r="E198" s="2">
        <v>-47.735999999999997</v>
      </c>
      <c r="F198" s="2">
        <v>-93.096000000000004</v>
      </c>
      <c r="G198" s="1">
        <f t="shared" si="15"/>
        <v>104.62117812374319</v>
      </c>
      <c r="H198" s="1">
        <v>132.37200000000001</v>
      </c>
      <c r="I198" s="1">
        <f t="shared" si="16"/>
        <v>168.72444190454448</v>
      </c>
      <c r="J198" s="3">
        <f t="shared" si="17"/>
        <v>0.79035731214866578</v>
      </c>
      <c r="K198" s="1">
        <f t="shared" si="19"/>
        <v>1873.0677513621206</v>
      </c>
      <c r="L198" s="1">
        <f t="shared" si="18"/>
        <v>38.321338806261664</v>
      </c>
      <c r="M198">
        <v>3.218</v>
      </c>
      <c r="N198">
        <v>5.0949999999999998</v>
      </c>
      <c r="O198">
        <v>1.04</v>
      </c>
      <c r="P198">
        <v>3</v>
      </c>
      <c r="Q198">
        <v>10</v>
      </c>
    </row>
    <row r="199" spans="1:17">
      <c r="A199" t="s">
        <v>211</v>
      </c>
      <c r="B199">
        <v>55.851433299999997</v>
      </c>
      <c r="C199">
        <v>13.337937200000001</v>
      </c>
      <c r="D199" s="1">
        <v>1173.69</v>
      </c>
      <c r="E199" s="2">
        <v>-46.295999999999999</v>
      </c>
      <c r="F199" s="2">
        <v>-89.712000000000003</v>
      </c>
      <c r="G199" s="1">
        <f t="shared" si="15"/>
        <v>100.95326918926401</v>
      </c>
      <c r="H199" s="1">
        <v>132.55199999999999</v>
      </c>
      <c r="I199" s="1">
        <f t="shared" si="16"/>
        <v>166.61811205268171</v>
      </c>
      <c r="J199" s="3">
        <f t="shared" si="17"/>
        <v>0.76161256857130799</v>
      </c>
      <c r="K199" s="1">
        <f t="shared" si="19"/>
        <v>1878.6762663170798</v>
      </c>
      <c r="L199" s="1">
        <f t="shared" si="18"/>
        <v>37.293354279184108</v>
      </c>
      <c r="M199">
        <v>3.254</v>
      </c>
      <c r="N199">
        <v>5.13</v>
      </c>
      <c r="O199">
        <v>1.06</v>
      </c>
      <c r="P199">
        <v>3</v>
      </c>
      <c r="Q199">
        <v>10</v>
      </c>
    </row>
    <row r="200" spans="1:17">
      <c r="A200" t="s">
        <v>212</v>
      </c>
      <c r="B200">
        <v>55.851412699999997</v>
      </c>
      <c r="C200">
        <v>13.337863199999999</v>
      </c>
      <c r="D200" s="1">
        <v>1166.646</v>
      </c>
      <c r="E200" s="2">
        <v>-44.136000000000003</v>
      </c>
      <c r="F200" s="2">
        <v>-86.832000000000008</v>
      </c>
      <c r="G200" s="1">
        <f t="shared" si="15"/>
        <v>97.405249961180232</v>
      </c>
      <c r="H200" s="1">
        <v>131.86800000000002</v>
      </c>
      <c r="I200" s="1">
        <f t="shared" si="16"/>
        <v>163.9419169828144</v>
      </c>
      <c r="J200" s="3">
        <f t="shared" si="17"/>
        <v>0.73865721752950086</v>
      </c>
      <c r="K200" s="1">
        <f t="shared" si="19"/>
        <v>1884.0876690927009</v>
      </c>
      <c r="L200" s="1">
        <f t="shared" si="18"/>
        <v>36.451696239087937</v>
      </c>
      <c r="M200">
        <v>3.2839999999999998</v>
      </c>
      <c r="N200">
        <v>5.1760000000000002</v>
      </c>
      <c r="O200">
        <v>1.06</v>
      </c>
      <c r="P200">
        <v>3</v>
      </c>
      <c r="Q200">
        <v>10</v>
      </c>
    </row>
    <row r="201" spans="1:17">
      <c r="A201" t="s">
        <v>213</v>
      </c>
      <c r="B201">
        <v>55.851392400000002</v>
      </c>
      <c r="C201">
        <v>13.3377914</v>
      </c>
      <c r="D201" s="1">
        <v>1159.4870000000001</v>
      </c>
      <c r="E201" s="2">
        <v>-42.84</v>
      </c>
      <c r="F201" s="2">
        <v>-84.708000000000013</v>
      </c>
      <c r="G201" s="1">
        <f t="shared" si="15"/>
        <v>94.924764229362211</v>
      </c>
      <c r="H201" s="1">
        <v>131.328</v>
      </c>
      <c r="I201" s="1">
        <f t="shared" si="16"/>
        <v>162.04244643919691</v>
      </c>
      <c r="J201" s="3">
        <f t="shared" si="17"/>
        <v>0.72280674516753629</v>
      </c>
      <c r="K201" s="1">
        <f t="shared" si="19"/>
        <v>1889.3612671054432</v>
      </c>
      <c r="L201" s="1">
        <f t="shared" si="18"/>
        <v>35.859656962148108</v>
      </c>
      <c r="M201">
        <v>3.3140000000000001</v>
      </c>
      <c r="N201">
        <v>5.2240000000000002</v>
      </c>
      <c r="O201">
        <v>1.06</v>
      </c>
      <c r="P201">
        <v>3</v>
      </c>
      <c r="Q201">
        <v>10</v>
      </c>
    </row>
    <row r="202" spans="1:17">
      <c r="A202" t="s">
        <v>214</v>
      </c>
      <c r="B202">
        <v>55.851373500000001</v>
      </c>
      <c r="C202">
        <v>13.337723199999999</v>
      </c>
      <c r="D202" s="1">
        <v>1152.4000000000001</v>
      </c>
      <c r="E202" s="2">
        <v>-41.183999999999997</v>
      </c>
      <c r="F202" s="2">
        <v>-82.043999999999997</v>
      </c>
      <c r="G202" s="1">
        <f t="shared" si="15"/>
        <v>91.800543527802702</v>
      </c>
      <c r="H202" s="1">
        <v>130.608</v>
      </c>
      <c r="I202" s="1">
        <f t="shared" si="16"/>
        <v>159.64269308678053</v>
      </c>
      <c r="J202" s="3">
        <f t="shared" si="17"/>
        <v>0.70287075468426663</v>
      </c>
      <c r="K202" s="1">
        <f t="shared" si="19"/>
        <v>1894.4612973014323</v>
      </c>
      <c r="L202" s="1">
        <f t="shared" si="18"/>
        <v>35.102262071235749</v>
      </c>
      <c r="M202">
        <v>3.323</v>
      </c>
      <c r="N202">
        <v>5.2530000000000001</v>
      </c>
      <c r="O202">
        <v>1.04</v>
      </c>
      <c r="P202">
        <v>3</v>
      </c>
      <c r="Q202">
        <v>10</v>
      </c>
    </row>
    <row r="203" spans="1:17">
      <c r="A203" t="s">
        <v>215</v>
      </c>
      <c r="B203">
        <v>55.851357299999997</v>
      </c>
      <c r="C203">
        <v>13.337659</v>
      </c>
      <c r="D203" s="1">
        <v>1145.7639999999999</v>
      </c>
      <c r="E203" s="2">
        <v>-37.835999999999999</v>
      </c>
      <c r="F203" s="2">
        <v>-78.408000000000001</v>
      </c>
      <c r="G203" s="1">
        <f t="shared" si="15"/>
        <v>87.059619571877292</v>
      </c>
      <c r="H203" s="1">
        <v>129.34800000000001</v>
      </c>
      <c r="I203" s="1">
        <f t="shared" si="16"/>
        <v>155.91755021164232</v>
      </c>
      <c r="J203" s="3">
        <f t="shared" si="17"/>
        <v>0.67306506147661571</v>
      </c>
      <c r="K203" s="1">
        <f t="shared" si="19"/>
        <v>1899.2979428332033</v>
      </c>
      <c r="L203" s="1">
        <f t="shared" si="18"/>
        <v>33.943119292189394</v>
      </c>
      <c r="M203">
        <v>3.3370000000000002</v>
      </c>
      <c r="N203">
        <v>5.2779999999999996</v>
      </c>
      <c r="O203">
        <v>1.04</v>
      </c>
      <c r="P203">
        <v>3</v>
      </c>
      <c r="Q203">
        <v>10</v>
      </c>
    </row>
    <row r="204" spans="1:17">
      <c r="A204" t="s">
        <v>216</v>
      </c>
      <c r="B204">
        <v>55.8513424</v>
      </c>
      <c r="C204">
        <v>13.3375974</v>
      </c>
      <c r="D204" s="1">
        <v>1139.3040000000001</v>
      </c>
      <c r="E204" s="2">
        <v>-34.668000000000006</v>
      </c>
      <c r="F204" s="2">
        <v>-75.600000000000009</v>
      </c>
      <c r="G204" s="1">
        <f t="shared" si="15"/>
        <v>83.169887723863141</v>
      </c>
      <c r="H204" s="1">
        <v>127.87200000000001</v>
      </c>
      <c r="I204" s="1">
        <f t="shared" si="16"/>
        <v>152.54008852757366</v>
      </c>
      <c r="J204" s="3">
        <f t="shared" si="17"/>
        <v>0.65041516300568636</v>
      </c>
      <c r="K204" s="1">
        <f t="shared" si="19"/>
        <v>1903.9184921511956</v>
      </c>
      <c r="L204" s="1">
        <f t="shared" si="18"/>
        <v>33.040586413917751</v>
      </c>
      <c r="M204">
        <v>3.3530000000000002</v>
      </c>
      <c r="N204">
        <v>5.3010000000000002</v>
      </c>
      <c r="O204">
        <v>1.04</v>
      </c>
      <c r="P204">
        <v>3</v>
      </c>
      <c r="Q204">
        <v>10</v>
      </c>
    </row>
    <row r="205" spans="1:17">
      <c r="A205" t="s">
        <v>217</v>
      </c>
      <c r="B205">
        <v>55.851330599999997</v>
      </c>
      <c r="C205">
        <v>13.3375387</v>
      </c>
      <c r="D205" s="1">
        <v>1133.1030000000001</v>
      </c>
      <c r="E205" s="2">
        <v>-29.52</v>
      </c>
      <c r="F205" s="2">
        <v>-72.180000000000007</v>
      </c>
      <c r="G205" s="1">
        <f t="shared" si="15"/>
        <v>77.983221272271138</v>
      </c>
      <c r="H205" s="1">
        <v>126.36000000000001</v>
      </c>
      <c r="I205" s="1">
        <f t="shared" si="16"/>
        <v>148.48647211109841</v>
      </c>
      <c r="J205" s="3">
        <f t="shared" si="17"/>
        <v>0.61715116549755566</v>
      </c>
      <c r="K205" s="1">
        <f t="shared" si="19"/>
        <v>1908.2508933329884</v>
      </c>
      <c r="L205" s="1">
        <f t="shared" si="18"/>
        <v>31.680858447444475</v>
      </c>
      <c r="M205">
        <v>3.3719999999999999</v>
      </c>
      <c r="N205">
        <v>5.33</v>
      </c>
      <c r="O205">
        <v>1.04</v>
      </c>
      <c r="P205">
        <v>3</v>
      </c>
      <c r="Q205">
        <v>10</v>
      </c>
    </row>
    <row r="206" spans="1:17">
      <c r="A206" t="s">
        <v>218</v>
      </c>
      <c r="B206">
        <v>55.851317999999999</v>
      </c>
      <c r="C206">
        <v>13.3374848</v>
      </c>
      <c r="D206" s="1">
        <v>1127.0719999999999</v>
      </c>
      <c r="E206" s="2">
        <v>-28.980000000000004</v>
      </c>
      <c r="F206" s="2">
        <v>-66.528000000000006</v>
      </c>
      <c r="G206" s="1">
        <f t="shared" si="15"/>
        <v>72.56593680233172</v>
      </c>
      <c r="H206" s="1">
        <v>124.81200000000001</v>
      </c>
      <c r="I206" s="1">
        <f t="shared" si="16"/>
        <v>144.37399533156932</v>
      </c>
      <c r="J206" s="3">
        <f t="shared" si="17"/>
        <v>0.58140192291071147</v>
      </c>
      <c r="K206" s="1">
        <f t="shared" si="19"/>
        <v>1912.2823342664512</v>
      </c>
      <c r="L206" s="1">
        <f t="shared" si="18"/>
        <v>30.173801539214161</v>
      </c>
      <c r="M206">
        <v>3.3879999999999999</v>
      </c>
      <c r="N206">
        <v>5.359</v>
      </c>
      <c r="O206">
        <v>1.03</v>
      </c>
      <c r="P206">
        <v>3</v>
      </c>
      <c r="Q206">
        <v>10</v>
      </c>
    </row>
    <row r="207" spans="1:17">
      <c r="A207" t="s">
        <v>219</v>
      </c>
      <c r="B207">
        <v>55.851308799999998</v>
      </c>
      <c r="C207">
        <v>13.337433900000001</v>
      </c>
      <c r="D207" s="1">
        <v>1121.2729999999999</v>
      </c>
      <c r="E207" s="2">
        <v>-24.443999999999999</v>
      </c>
      <c r="F207" s="2">
        <v>-63.072000000000003</v>
      </c>
      <c r="G207" s="1">
        <f t="shared" si="15"/>
        <v>67.643080355643178</v>
      </c>
      <c r="H207" s="1">
        <v>123.048</v>
      </c>
      <c r="I207" s="1">
        <f t="shared" si="16"/>
        <v>140.41508688171652</v>
      </c>
      <c r="J207" s="3">
        <f t="shared" si="17"/>
        <v>0.54972921425495069</v>
      </c>
      <c r="K207" s="1">
        <f t="shared" si="19"/>
        <v>1916.040283175098</v>
      </c>
      <c r="L207" s="1">
        <f t="shared" si="18"/>
        <v>28.798880764588681</v>
      </c>
      <c r="M207">
        <v>3.4089999999999998</v>
      </c>
      <c r="N207">
        <v>5.3890000000000002</v>
      </c>
      <c r="O207">
        <v>1.03</v>
      </c>
      <c r="P207">
        <v>3</v>
      </c>
      <c r="Q207">
        <v>10</v>
      </c>
    </row>
    <row r="208" spans="1:17">
      <c r="A208" t="s">
        <v>220</v>
      </c>
      <c r="B208">
        <v>55.851301900000003</v>
      </c>
      <c r="C208">
        <v>13.3373919</v>
      </c>
      <c r="D208" s="1">
        <v>1116.3689999999999</v>
      </c>
      <c r="E208" s="2">
        <v>-21.852</v>
      </c>
      <c r="F208" s="2">
        <v>-55.908000000000001</v>
      </c>
      <c r="G208" s="1">
        <f t="shared" si="15"/>
        <v>60.026780423407686</v>
      </c>
      <c r="H208" s="1">
        <v>120.06</v>
      </c>
      <c r="I208" s="1">
        <f t="shared" si="16"/>
        <v>134.22972088177789</v>
      </c>
      <c r="J208" s="3">
        <f t="shared" si="17"/>
        <v>0.49997318360326243</v>
      </c>
      <c r="K208" s="1">
        <f t="shared" si="19"/>
        <v>1919.3751043097318</v>
      </c>
      <c r="L208" s="1">
        <f t="shared" si="18"/>
        <v>26.563821990809391</v>
      </c>
      <c r="M208">
        <v>3.415</v>
      </c>
      <c r="N208">
        <v>5.4050000000000002</v>
      </c>
      <c r="O208">
        <v>1</v>
      </c>
      <c r="P208">
        <v>3</v>
      </c>
      <c r="Q208">
        <v>10</v>
      </c>
    </row>
    <row r="209" spans="1:17">
      <c r="A209" t="s">
        <v>221</v>
      </c>
      <c r="B209">
        <v>55.851296099999999</v>
      </c>
      <c r="C209">
        <v>13.3373521</v>
      </c>
      <c r="D209" s="1">
        <v>1111.4069999999999</v>
      </c>
      <c r="E209" s="2">
        <v>-18.828000000000003</v>
      </c>
      <c r="F209" s="2">
        <v>-51.192</v>
      </c>
      <c r="G209" s="1">
        <f t="shared" si="15"/>
        <v>54.544609706184538</v>
      </c>
      <c r="H209" s="1">
        <v>117.43199999999999</v>
      </c>
      <c r="I209" s="1">
        <f t="shared" si="16"/>
        <v>129.48123057802624</v>
      </c>
      <c r="J209" s="3">
        <f t="shared" si="17"/>
        <v>0.46447824874126764</v>
      </c>
      <c r="K209" s="1">
        <f t="shared" si="19"/>
        <v>1922.4053604045198</v>
      </c>
      <c r="L209" s="1">
        <f t="shared" si="18"/>
        <v>24.913843299960924</v>
      </c>
      <c r="M209">
        <v>3.4209999999999998</v>
      </c>
      <c r="N209">
        <v>5.4210000000000003</v>
      </c>
      <c r="O209">
        <v>0.98</v>
      </c>
      <c r="P209">
        <v>3</v>
      </c>
      <c r="Q209">
        <v>10</v>
      </c>
    </row>
    <row r="210" spans="1:17">
      <c r="A210" t="s">
        <v>222</v>
      </c>
      <c r="B210">
        <v>55.851293800000001</v>
      </c>
      <c r="C210">
        <v>13.337317799999999</v>
      </c>
      <c r="D210" s="1">
        <v>1107.2639999999999</v>
      </c>
      <c r="E210" s="2">
        <v>-14.364000000000001</v>
      </c>
      <c r="F210" s="2">
        <v>-45.431999999999995</v>
      </c>
      <c r="G210" s="1">
        <f t="shared" si="15"/>
        <v>47.648621386142956</v>
      </c>
      <c r="H210" s="1">
        <v>113.83200000000001</v>
      </c>
      <c r="I210" s="1">
        <f t="shared" si="16"/>
        <v>123.40225015776657</v>
      </c>
      <c r="J210" s="3">
        <f t="shared" si="17"/>
        <v>0.41858722842560048</v>
      </c>
      <c r="K210" s="1">
        <f t="shared" si="19"/>
        <v>1925.0525060370833</v>
      </c>
      <c r="L210" s="1">
        <f t="shared" si="18"/>
        <v>22.713562940177862</v>
      </c>
      <c r="M210">
        <v>3.4340000000000002</v>
      </c>
      <c r="N210">
        <v>5.44</v>
      </c>
      <c r="O210">
        <v>0.98</v>
      </c>
      <c r="P210">
        <v>3</v>
      </c>
      <c r="Q210">
        <v>10</v>
      </c>
    </row>
    <row r="211" spans="1:17">
      <c r="A211" t="s">
        <v>223</v>
      </c>
      <c r="B211">
        <v>55.851295100000002</v>
      </c>
      <c r="C211">
        <v>13.3372945</v>
      </c>
      <c r="D211" s="1">
        <v>1103.4000000000001</v>
      </c>
      <c r="E211" s="2">
        <v>-8.9640000000000004</v>
      </c>
      <c r="F211" s="2">
        <v>-36.107999999999997</v>
      </c>
      <c r="G211" s="1">
        <f t="shared" si="15"/>
        <v>37.204044941376999</v>
      </c>
      <c r="H211" s="1">
        <v>110.05200000000001</v>
      </c>
      <c r="I211" s="1">
        <f t="shared" si="16"/>
        <v>116.1704939474736</v>
      </c>
      <c r="J211" s="3">
        <f t="shared" si="17"/>
        <v>0.33805878077069929</v>
      </c>
      <c r="K211" s="1">
        <f t="shared" si="19"/>
        <v>1927.1193974227153</v>
      </c>
      <c r="L211" s="1">
        <f t="shared" si="18"/>
        <v>18.678275784367731</v>
      </c>
      <c r="M211">
        <v>3.4289999999999998</v>
      </c>
      <c r="N211">
        <v>5.4530000000000003</v>
      </c>
      <c r="O211">
        <v>1.05</v>
      </c>
      <c r="P211">
        <v>3</v>
      </c>
      <c r="Q211">
        <v>10</v>
      </c>
    </row>
    <row r="212" spans="1:17">
      <c r="A212" t="s">
        <v>224</v>
      </c>
      <c r="B212">
        <v>55.8512962</v>
      </c>
      <c r="C212">
        <v>13.33727</v>
      </c>
      <c r="D212" s="1">
        <v>1099.6859999999999</v>
      </c>
      <c r="E212" s="2">
        <v>-6.3719999999999999</v>
      </c>
      <c r="F212" s="2">
        <v>-32.328000000000003</v>
      </c>
      <c r="G212" s="1">
        <f t="shared" si="15"/>
        <v>32.949991927161385</v>
      </c>
      <c r="H212" s="1">
        <v>106.452</v>
      </c>
      <c r="I212" s="1">
        <f t="shared" si="16"/>
        <v>111.43487009011139</v>
      </c>
      <c r="J212" s="3">
        <f t="shared" si="17"/>
        <v>0.3095291016341768</v>
      </c>
      <c r="K212" s="1">
        <f t="shared" si="19"/>
        <v>1928.9499525297799</v>
      </c>
      <c r="L212" s="1">
        <f t="shared" si="18"/>
        <v>17.198817925445606</v>
      </c>
      <c r="M212">
        <v>3.4409999999999998</v>
      </c>
      <c r="N212">
        <v>5.4779999999999998</v>
      </c>
      <c r="O212">
        <v>1.1200000000000001</v>
      </c>
      <c r="P212">
        <v>3</v>
      </c>
      <c r="Q212">
        <v>10</v>
      </c>
    </row>
    <row r="213" spans="1:17">
      <c r="A213" t="s">
        <v>225</v>
      </c>
      <c r="B213">
        <v>55.851297299999999</v>
      </c>
      <c r="C213">
        <v>13.337249999999999</v>
      </c>
      <c r="D213" s="1">
        <v>1096.9090000000001</v>
      </c>
      <c r="E213" s="2">
        <v>-6.3719999999999999</v>
      </c>
      <c r="F213" s="2">
        <v>-27.756</v>
      </c>
      <c r="G213" s="1">
        <f t="shared" si="15"/>
        <v>28.478025212433533</v>
      </c>
      <c r="H213" s="1">
        <v>101.84399999999999</v>
      </c>
      <c r="I213" s="1">
        <f t="shared" si="16"/>
        <v>105.75064187039244</v>
      </c>
      <c r="J213" s="3">
        <f t="shared" si="17"/>
        <v>0.27962398582570924</v>
      </c>
      <c r="K213" s="1">
        <f t="shared" si="19"/>
        <v>1930.5320650415817</v>
      </c>
      <c r="L213" s="1">
        <f t="shared" si="18"/>
        <v>15.62226673920547</v>
      </c>
      <c r="M213">
        <v>3.4449999999999998</v>
      </c>
      <c r="N213">
        <v>5.4829999999999997</v>
      </c>
      <c r="O213">
        <v>1.2</v>
      </c>
      <c r="P213">
        <v>3</v>
      </c>
      <c r="Q213">
        <v>10</v>
      </c>
    </row>
    <row r="214" spans="1:17">
      <c r="A214" t="s">
        <v>226</v>
      </c>
      <c r="B214">
        <v>55.851297099999996</v>
      </c>
      <c r="C214">
        <v>13.3372341</v>
      </c>
      <c r="D214" s="1">
        <v>1094.049</v>
      </c>
      <c r="E214" s="2">
        <v>-7.7040000000000006</v>
      </c>
      <c r="F214" s="2">
        <v>-23.291999999999998</v>
      </c>
      <c r="G214" s="1">
        <f t="shared" si="15"/>
        <v>24.533016121137653</v>
      </c>
      <c r="H214" s="1">
        <v>97.74</v>
      </c>
      <c r="I214" s="1">
        <f t="shared" si="16"/>
        <v>100.77190322704043</v>
      </c>
      <c r="J214" s="3">
        <f t="shared" si="17"/>
        <v>0.25100282505768012</v>
      </c>
      <c r="K214" s="1">
        <f t="shared" si="19"/>
        <v>1931.8950103816449</v>
      </c>
      <c r="L214" s="1">
        <f t="shared" si="18"/>
        <v>14.09030847677835</v>
      </c>
      <c r="M214">
        <v>3.4340000000000002</v>
      </c>
      <c r="N214">
        <v>5.5019999999999998</v>
      </c>
      <c r="O214">
        <v>1.23</v>
      </c>
      <c r="P214">
        <v>3</v>
      </c>
      <c r="Q214">
        <v>10</v>
      </c>
    </row>
    <row r="215" spans="1:17">
      <c r="A215" t="s">
        <v>227</v>
      </c>
      <c r="B215">
        <v>55.851295</v>
      </c>
      <c r="C215">
        <v>13.337216099999999</v>
      </c>
      <c r="D215" s="1">
        <v>1091.7329999999999</v>
      </c>
      <c r="E215" s="2">
        <v>-10.151999999999999</v>
      </c>
      <c r="F215" s="2">
        <v>-22.571999999999999</v>
      </c>
      <c r="G215" s="1">
        <f t="shared" si="15"/>
        <v>24.749914908944636</v>
      </c>
      <c r="H215" s="1">
        <v>93.24</v>
      </c>
      <c r="I215" s="1">
        <f t="shared" si="16"/>
        <v>96.468937425473911</v>
      </c>
      <c r="J215" s="3">
        <f t="shared" si="17"/>
        <v>0.26544310284153405</v>
      </c>
      <c r="K215" s="1">
        <f t="shared" si="19"/>
        <v>1933.270005654364</v>
      </c>
      <c r="L215" s="1">
        <f t="shared" si="18"/>
        <v>14.865946496412267</v>
      </c>
      <c r="M215">
        <v>3.407</v>
      </c>
      <c r="N215">
        <v>5.4960000000000004</v>
      </c>
      <c r="O215">
        <v>1.26</v>
      </c>
      <c r="P215">
        <v>3</v>
      </c>
      <c r="Q215">
        <v>10</v>
      </c>
    </row>
    <row r="216" spans="1:17">
      <c r="A216" t="s">
        <v>228</v>
      </c>
      <c r="B216">
        <v>55.851294699999997</v>
      </c>
      <c r="C216">
        <v>13.3371982</v>
      </c>
      <c r="D216" s="1">
        <v>1089.136</v>
      </c>
      <c r="E216" s="2">
        <v>-8.7840000000000007</v>
      </c>
      <c r="F216" s="2">
        <v>-22.5</v>
      </c>
      <c r="G216" s="1">
        <f t="shared" ref="G216:G224" si="20">SQRT(E216*E216+F216*F216)</f>
        <v>24.153853853991915</v>
      </c>
      <c r="H216" s="1">
        <v>89.567999999999998</v>
      </c>
      <c r="I216" s="1">
        <f t="shared" ref="I216:I224" si="21">SQRT(G216*G216+H216*H216)</f>
        <v>92.767641341148689</v>
      </c>
      <c r="J216" s="3">
        <f t="shared" ref="J216:J224" si="22">G216/H216</f>
        <v>0.26967057268211769</v>
      </c>
      <c r="K216" s="1">
        <f t="shared" si="19"/>
        <v>1934.6118864240302</v>
      </c>
      <c r="L216" s="1">
        <f t="shared" ref="L216:L224" si="23">DEGREES(ATAN((G216*0.2/3.6)/(H216*0.2/3.6)))</f>
        <v>15.091981349143992</v>
      </c>
      <c r="M216">
        <v>3.39</v>
      </c>
      <c r="N216">
        <v>5.508</v>
      </c>
      <c r="O216">
        <v>1.26</v>
      </c>
      <c r="P216">
        <v>3</v>
      </c>
      <c r="Q216">
        <v>10</v>
      </c>
    </row>
    <row r="217" spans="1:17">
      <c r="A217" t="s">
        <v>229</v>
      </c>
      <c r="B217">
        <v>55.851293800000001</v>
      </c>
      <c r="C217">
        <v>13.3371829</v>
      </c>
      <c r="D217" s="1">
        <v>1086.7439999999999</v>
      </c>
      <c r="E217" s="2">
        <v>-8.82</v>
      </c>
      <c r="F217" s="2">
        <v>-20.340000000000003</v>
      </c>
      <c r="G217" s="1">
        <f t="shared" si="20"/>
        <v>22.169979702291119</v>
      </c>
      <c r="H217" s="1">
        <v>85.896000000000001</v>
      </c>
      <c r="I217" s="1">
        <f t="shared" si="21"/>
        <v>88.710939663606311</v>
      </c>
      <c r="J217" s="3">
        <f t="shared" si="22"/>
        <v>0.25810258571168759</v>
      </c>
      <c r="K217" s="1">
        <f t="shared" ref="K217:K224" si="24">K216+G217*0.2/3.6</f>
        <v>1935.8435519630464</v>
      </c>
      <c r="L217" s="1">
        <f t="shared" si="23"/>
        <v>14.472339113993147</v>
      </c>
      <c r="M217">
        <v>3.3889999999999998</v>
      </c>
      <c r="N217">
        <v>5.52</v>
      </c>
      <c r="O217">
        <v>1.25</v>
      </c>
      <c r="P217">
        <v>3</v>
      </c>
      <c r="Q217">
        <v>10</v>
      </c>
    </row>
    <row r="218" spans="1:17">
      <c r="A218" t="s">
        <v>230</v>
      </c>
      <c r="B218">
        <v>55.851293400000003</v>
      </c>
      <c r="C218">
        <v>13.337169599999999</v>
      </c>
      <c r="D218" s="1">
        <v>1084.864</v>
      </c>
      <c r="E218" s="2">
        <v>-8.2799999999999994</v>
      </c>
      <c r="F218" s="2">
        <v>-18.864000000000001</v>
      </c>
      <c r="G218" s="1">
        <f t="shared" si="20"/>
        <v>20.601186761931945</v>
      </c>
      <c r="H218" s="1">
        <v>81.756</v>
      </c>
      <c r="I218" s="1">
        <f t="shared" si="21"/>
        <v>84.311638769507979</v>
      </c>
      <c r="J218" s="3">
        <f t="shared" si="22"/>
        <v>0.25198379032648299</v>
      </c>
      <c r="K218" s="1">
        <f t="shared" si="24"/>
        <v>1936.9880623387091</v>
      </c>
      <c r="L218" s="1">
        <f t="shared" si="23"/>
        <v>14.143170198409637</v>
      </c>
      <c r="M218">
        <v>3.367</v>
      </c>
      <c r="N218">
        <v>5.492</v>
      </c>
      <c r="O218">
        <v>1.22</v>
      </c>
      <c r="P218">
        <v>3</v>
      </c>
      <c r="Q218">
        <v>10</v>
      </c>
    </row>
    <row r="219" spans="1:17">
      <c r="A219" t="s">
        <v>231</v>
      </c>
      <c r="B219">
        <v>55.851292999999998</v>
      </c>
      <c r="C219">
        <v>13.337156999999999</v>
      </c>
      <c r="D219" s="1">
        <v>1082.8340000000001</v>
      </c>
      <c r="E219" s="2">
        <v>-7.8480000000000008</v>
      </c>
      <c r="F219" s="2">
        <v>-17.244</v>
      </c>
      <c r="G219" s="1">
        <f t="shared" si="20"/>
        <v>18.945887152624973</v>
      </c>
      <c r="H219" s="1">
        <v>78.084000000000003</v>
      </c>
      <c r="I219" s="1">
        <f t="shared" si="21"/>
        <v>80.349596738253766</v>
      </c>
      <c r="J219" s="3">
        <f t="shared" si="22"/>
        <v>0.24263469023903708</v>
      </c>
      <c r="K219" s="1">
        <f t="shared" si="24"/>
        <v>1938.040611624966</v>
      </c>
      <c r="L219" s="1">
        <f t="shared" si="23"/>
        <v>13.638382787386387</v>
      </c>
      <c r="M219">
        <v>3.3530000000000002</v>
      </c>
      <c r="N219">
        <v>5.476</v>
      </c>
      <c r="O219">
        <v>1.2</v>
      </c>
      <c r="P219">
        <v>3</v>
      </c>
      <c r="Q219">
        <v>10</v>
      </c>
    </row>
    <row r="220" spans="1:17">
      <c r="A220" t="s">
        <v>232</v>
      </c>
      <c r="B220">
        <v>55.851291199999999</v>
      </c>
      <c r="C220">
        <v>13.3371482</v>
      </c>
      <c r="D220" s="1">
        <v>1080.8910000000001</v>
      </c>
      <c r="E220" s="2">
        <v>-9.5040000000000013</v>
      </c>
      <c r="F220" s="2">
        <v>-13.860000000000001</v>
      </c>
      <c r="G220" s="1">
        <f t="shared" si="20"/>
        <v>16.805523377746972</v>
      </c>
      <c r="H220" s="1">
        <v>74.52</v>
      </c>
      <c r="I220" s="1">
        <f t="shared" si="21"/>
        <v>76.391465596622766</v>
      </c>
      <c r="J220" s="3">
        <f t="shared" si="22"/>
        <v>0.2255169535392777</v>
      </c>
      <c r="K220" s="1">
        <f t="shared" si="24"/>
        <v>1938.9742518126186</v>
      </c>
      <c r="L220" s="1">
        <f t="shared" si="23"/>
        <v>12.708572403024796</v>
      </c>
      <c r="M220">
        <v>3.343</v>
      </c>
      <c r="N220">
        <v>5.4589999999999996</v>
      </c>
      <c r="O220">
        <v>1.17</v>
      </c>
      <c r="P220">
        <v>3</v>
      </c>
      <c r="Q220">
        <v>10</v>
      </c>
    </row>
    <row r="221" spans="1:17">
      <c r="A221" t="s">
        <v>233</v>
      </c>
      <c r="B221">
        <v>55.851289000000001</v>
      </c>
      <c r="C221">
        <v>13.3371411</v>
      </c>
      <c r="D221" s="1">
        <v>1079.1120000000001</v>
      </c>
      <c r="E221" s="2">
        <v>-9.468</v>
      </c>
      <c r="F221" s="2">
        <v>-11.016</v>
      </c>
      <c r="G221" s="1">
        <f t="shared" si="20"/>
        <v>14.525676576325111</v>
      </c>
      <c r="H221" s="1">
        <v>71.13600000000001</v>
      </c>
      <c r="I221" s="1">
        <f t="shared" si="21"/>
        <v>72.603896424365558</v>
      </c>
      <c r="J221" s="3">
        <f t="shared" si="22"/>
        <v>0.2041958583041654</v>
      </c>
      <c r="K221" s="1">
        <f t="shared" si="24"/>
        <v>1939.7812338446367</v>
      </c>
      <c r="L221" s="1">
        <f t="shared" si="23"/>
        <v>11.540903479498521</v>
      </c>
      <c r="M221">
        <v>3.3420000000000001</v>
      </c>
      <c r="N221">
        <v>5.44</v>
      </c>
      <c r="O221">
        <v>1.1499999999999999</v>
      </c>
      <c r="P221">
        <v>3</v>
      </c>
      <c r="Q221">
        <v>10</v>
      </c>
    </row>
    <row r="222" spans="1:17">
      <c r="A222" t="s">
        <v>234</v>
      </c>
      <c r="B222">
        <v>55.851288699999998</v>
      </c>
      <c r="C222">
        <v>13.3371376</v>
      </c>
      <c r="D222" s="1">
        <v>1077.107</v>
      </c>
      <c r="E222" s="2">
        <v>-6.3360000000000003</v>
      </c>
      <c r="F222" s="2">
        <v>-7.4880000000000004</v>
      </c>
      <c r="G222" s="1">
        <f t="shared" si="20"/>
        <v>9.8089265467736073</v>
      </c>
      <c r="H222" s="1">
        <v>68.400000000000006</v>
      </c>
      <c r="I222" s="1">
        <f t="shared" si="21"/>
        <v>69.099747032822052</v>
      </c>
      <c r="J222" s="3">
        <f t="shared" si="22"/>
        <v>0.14340535887095915</v>
      </c>
      <c r="K222" s="1">
        <f t="shared" si="24"/>
        <v>1940.3261742083464</v>
      </c>
      <c r="L222" s="1">
        <f t="shared" si="23"/>
        <v>8.1608822434069275</v>
      </c>
      <c r="M222">
        <v>3.3479999999999999</v>
      </c>
      <c r="N222">
        <v>5.4320000000000004</v>
      </c>
      <c r="O222">
        <v>1.1100000000000001</v>
      </c>
      <c r="P222">
        <v>3</v>
      </c>
      <c r="Q222">
        <v>10</v>
      </c>
    </row>
    <row r="223" spans="1:17">
      <c r="A223" t="s">
        <v>235</v>
      </c>
      <c r="B223">
        <v>55.851289000000001</v>
      </c>
      <c r="C223">
        <v>13.337135399999999</v>
      </c>
      <c r="D223" s="1">
        <v>1074.9570000000001</v>
      </c>
      <c r="E223" s="2">
        <v>3.42</v>
      </c>
      <c r="F223" s="2">
        <v>-4.968</v>
      </c>
      <c r="G223" s="1">
        <f t="shared" si="20"/>
        <v>6.0313699936249972</v>
      </c>
      <c r="H223" s="1">
        <v>66.06</v>
      </c>
      <c r="I223" s="1">
        <f t="shared" si="21"/>
        <v>66.334764822075016</v>
      </c>
      <c r="J223" s="3">
        <f t="shared" si="22"/>
        <v>9.1301392576824056E-2</v>
      </c>
      <c r="K223" s="1">
        <f t="shared" si="24"/>
        <v>1940.6612503191034</v>
      </c>
      <c r="L223" s="1">
        <f t="shared" si="23"/>
        <v>5.2167211083702592</v>
      </c>
      <c r="M223">
        <v>3.343</v>
      </c>
      <c r="N223">
        <v>5.4210000000000003</v>
      </c>
      <c r="O223">
        <v>1.06</v>
      </c>
      <c r="P223">
        <v>3</v>
      </c>
      <c r="Q223">
        <v>10</v>
      </c>
    </row>
    <row r="224" spans="1:17">
      <c r="A224" t="s">
        <v>236</v>
      </c>
      <c r="B224">
        <v>55.8512919</v>
      </c>
      <c r="C224">
        <v>13.3371347</v>
      </c>
      <c r="D224" s="1">
        <v>1072.9380000000001</v>
      </c>
      <c r="E224" s="2">
        <v>0.75600000000000001</v>
      </c>
      <c r="F224" s="2">
        <v>3.06</v>
      </c>
      <c r="G224" s="1">
        <f t="shared" si="20"/>
        <v>3.1520050761380447</v>
      </c>
      <c r="H224" s="1">
        <v>63.684000000000005</v>
      </c>
      <c r="I224" s="1">
        <f t="shared" si="21"/>
        <v>63.761955678915626</v>
      </c>
      <c r="J224" s="3">
        <f t="shared" si="22"/>
        <v>4.9494458202029468E-2</v>
      </c>
      <c r="K224" s="1">
        <f t="shared" si="24"/>
        <v>1940.8363617122222</v>
      </c>
      <c r="L224" s="1">
        <f t="shared" si="23"/>
        <v>2.8335113215834977</v>
      </c>
      <c r="M224">
        <v>3.323</v>
      </c>
      <c r="N224">
        <v>5.4080000000000004</v>
      </c>
      <c r="O224">
        <v>1.03</v>
      </c>
      <c r="P224">
        <v>3</v>
      </c>
      <c r="Q224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10-47-56</vt:lpstr>
      <vt:lpstr>vel3D--Glide</vt:lpstr>
      <vt:lpstr>velH-velD--Angle</vt:lpstr>
      <vt:lpstr>velH-velD--Glide</vt:lpstr>
      <vt:lpstr>velH-velD-vel3D--Angle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Hellis</dc:creator>
  <cp:lastModifiedBy>Hellis</cp:lastModifiedBy>
  <dcterms:created xsi:type="dcterms:W3CDTF">2012-04-23T08:03:34Z</dcterms:created>
  <dcterms:modified xsi:type="dcterms:W3CDTF">2012-04-23T08:03:34Z</dcterms:modified>
</cp:coreProperties>
</file>