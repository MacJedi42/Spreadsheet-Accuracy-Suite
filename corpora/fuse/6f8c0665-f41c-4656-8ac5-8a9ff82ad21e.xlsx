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showInkAnnotation="0" codeName="ThisWorkbook" defaultThemeVersion="124226"/>
  <bookViews>
    <workbookView xWindow="45" yWindow="15" windowWidth="15825" windowHeight="12315" tabRatio="682" activeTab="4"/>
  </bookViews>
  <sheets>
    <sheet name="Instructions en" sheetId="35" r:id="rId1"/>
    <sheet name="Instructions fr" sheetId="38" state="hidden" r:id="rId2"/>
    <sheet name="Instructions es" sheetId="37" state="hidden" r:id="rId3"/>
    <sheet name="Instructions ru" sheetId="39" state="hidden" r:id="rId4"/>
    <sheet name="Concept Note" sheetId="1" r:id="rId5"/>
    <sheet name="Summary budget" sheetId="27" r:id="rId6"/>
    <sheet name="Target assumptions - optional" sheetId="2" r:id="rId7"/>
    <sheet name="Cost assumptions - optional" sheetId="36" r:id="rId8"/>
    <sheet name="Cmp" sheetId="28" state="hidden" r:id="rId9"/>
    <sheet name="Modules" sheetId="29" state="hidden" r:id="rId10"/>
    <sheet name="Interven" sheetId="30" state="hidden" r:id="rId11"/>
    <sheet name="Coverage ind" sheetId="31" state="hidden" r:id="rId12"/>
    <sheet name="Outcome ind" sheetId="32" state="hidden" r:id="rId13"/>
    <sheet name="Impact ind" sheetId="33" state="hidden" r:id="rId14"/>
    <sheet name="Data src" sheetId="34" state="hidden" r:id="rId15"/>
    <sheet name="Definitions" sheetId="10" state="hidden" r:id="rId16"/>
    <sheet name="Translations" sheetId="13" state="hidden" r:id="rId17"/>
    <sheet name="$Ranges$" sheetId="15" state="veryHidden" r:id="rId18"/>
    <sheet name="$Meta$" sheetId="16" state="veryHidden" r:id="rId19"/>
  </sheets>
  <externalReferences>
    <externalReference r:id="rId20"/>
  </externalReferences>
  <definedNames>
    <definedName name="CmpIdSelected">INDIRECT(ADDRESS(CmpSelectedOnRow,1,1,TRUE,"Cmp"))</definedName>
    <definedName name="CmpSelectedOnRow">IFERROR(MATCH('Concept Note'!$C$4,Cmp!$D:$D,0),IFERROR(MATCH('Concept Note'!$C$4,Cmp!$E:$E,0),IFERROR(MATCH('Concept Note'!$C$4,Cmp!$F:$F,0),IFERROR(MATCH('Concept Note'!$C$4,Cmp!$G:$G,0),""))))</definedName>
    <definedName name="ComponentSelected">'Concept Note'!$C$4</definedName>
    <definedName name="Country_Applicant">Definitions!$N$3:$N$204</definedName>
    <definedName name="DataSrcInCmp">OFFSET('Data src'!$D$1,MATCH(CmpIdSelected,'Data src'!$A:$A,0)-1,0,COUNTIF('Data src'!$A:$A,CmpIdSelected),1)</definedName>
    <definedName name="ImpactIndInCmp">OFFSET('Impact ind'!$E$1,MATCH(CmpIdSelected,'Impact ind'!$A:$A,0)-1,0,COUNTIF('Impact ind'!$A:$A,CmpIdSelected),1)</definedName>
    <definedName name="LangOffset">Translations!$C$1</definedName>
    <definedName name="Language">'Concept Note'!$P$1</definedName>
    <definedName name="ModulesInCmp">OFFSET(Modules!$D$1,MATCH(CmpIdSelected,Modules!$A:$A,0)-1,0,COUNTIF(Modules!$A:$A,CmpIdSelected),1)</definedName>
    <definedName name="MonthIndex">Definitions!$M$3</definedName>
    <definedName name="Months">Definitions!$G$3:$G$15</definedName>
    <definedName name="MonthSelected">'Concept Note'!$C$6</definedName>
    <definedName name="OutcomeIndInCmp">OFFSET('Outcome ind'!$E$1,MATCH(CmpIdSelected,'Outcome ind'!$A:$A,0)-1,0,COUNTIF('Outcome ind'!$A:$A,CmpIdSelected),1)</definedName>
    <definedName name="PRs">'Concept Note'!$H$5</definedName>
    <definedName name="PRsInApplicant">OFFSET(Definitions!$R$3,MATCH(VLOOKUP('Concept Note'!$C$3,Definitions!D:E,2,FALSE),Definitions!G:G,0)-3,0,COUNTIF(Definitions!G:G,VLOOKUP('Concept Note'!$C$3,Definitions!D:E,2,FALSE)),1)</definedName>
    <definedName name="StartYearSelected">'Concept Note'!$C$5</definedName>
    <definedName name="TiedTo">Definitions!$U$3:$U$7</definedName>
    <definedName name="Years">Definitions!$A$3:$A$6</definedName>
    <definedName name="YearSelected">'Concept Note'!$C$5</definedName>
  </definedNames>
  <calcPr calcId="145621" iterateDelta="1E-4"/>
  <pivotCaches>
    <pivotCache cacheId="3" r:id="rId21"/>
  </pivotCaches>
</workbook>
</file>

<file path=xl/calcChain.xml><?xml version="1.0" encoding="utf-8"?>
<calcChain xmlns="http://schemas.openxmlformats.org/spreadsheetml/2006/main">
  <c r="S3" i="1" l="1"/>
  <c r="A24" i="38" l="1"/>
  <c r="A23" i="38"/>
  <c r="L39" i="35" l="1"/>
  <c r="L38" i="35"/>
  <c r="L37" i="35"/>
  <c r="L36" i="35"/>
  <c r="L35" i="35"/>
  <c r="H5" i="35"/>
  <c r="H3" i="35"/>
  <c r="K84" i="35"/>
  <c r="K83" i="35"/>
  <c r="K82" i="35"/>
  <c r="K81" i="35"/>
  <c r="K80" i="35"/>
  <c r="K79" i="35"/>
  <c r="K78" i="35"/>
  <c r="K77" i="35"/>
  <c r="K76" i="35"/>
  <c r="K75" i="35"/>
  <c r="K74" i="35"/>
  <c r="K73" i="35"/>
  <c r="K72" i="35"/>
  <c r="K71" i="35"/>
  <c r="K70" i="35"/>
  <c r="K69" i="35"/>
  <c r="K68" i="35"/>
  <c r="K67" i="35"/>
  <c r="K66" i="35"/>
  <c r="K65" i="35"/>
  <c r="Z63" i="35"/>
  <c r="S64" i="35"/>
  <c r="S63" i="35"/>
  <c r="Q64" i="35"/>
  <c r="O64" i="35"/>
  <c r="M64" i="35"/>
  <c r="K63" i="35"/>
  <c r="J63" i="35"/>
  <c r="D64" i="35"/>
  <c r="D63" i="35"/>
  <c r="J62" i="35"/>
  <c r="A63" i="35"/>
  <c r="A62" i="35"/>
  <c r="A61" i="35"/>
  <c r="S46" i="35"/>
  <c r="S45" i="35"/>
  <c r="Q46" i="35"/>
  <c r="O46" i="35"/>
  <c r="M45" i="35"/>
  <c r="M46" i="35"/>
  <c r="K59" i="35"/>
  <c r="K57" i="35"/>
  <c r="K55" i="35"/>
  <c r="K53" i="35"/>
  <c r="K51" i="35"/>
  <c r="K49" i="35"/>
  <c r="D57" i="35"/>
  <c r="D53" i="35"/>
  <c r="D49" i="35"/>
  <c r="E57" i="35"/>
  <c r="E53" i="35"/>
  <c r="E49" i="35"/>
  <c r="J57" i="35"/>
  <c r="J53" i="35"/>
  <c r="J49" i="35"/>
  <c r="J47" i="35"/>
  <c r="I47" i="35"/>
  <c r="G45" i="35"/>
  <c r="E45" i="35"/>
  <c r="D45" i="35"/>
  <c r="A45" i="35"/>
  <c r="D43" i="35"/>
  <c r="A44" i="35"/>
  <c r="A43" i="35"/>
  <c r="A41" i="35"/>
  <c r="U32" i="35"/>
  <c r="S33" i="35"/>
  <c r="Q33" i="35"/>
  <c r="O33" i="35"/>
  <c r="O32" i="35"/>
  <c r="L33" i="35"/>
  <c r="K33" i="35"/>
  <c r="I33" i="35"/>
  <c r="I32" i="35"/>
  <c r="B39" i="35"/>
  <c r="B38" i="35"/>
  <c r="B37" i="35"/>
  <c r="B36" i="35"/>
  <c r="B35" i="35"/>
  <c r="B32" i="35"/>
  <c r="A32" i="35"/>
  <c r="A24" i="35"/>
  <c r="A23" i="35"/>
  <c r="U14" i="35"/>
  <c r="S15" i="35"/>
  <c r="Q15" i="35"/>
  <c r="O15" i="35"/>
  <c r="O14" i="35"/>
  <c r="L21" i="35"/>
  <c r="L20" i="35"/>
  <c r="L19" i="35"/>
  <c r="L18" i="35"/>
  <c r="L17" i="35"/>
  <c r="L15" i="35"/>
  <c r="K15" i="35"/>
  <c r="I15" i="35"/>
  <c r="I14" i="35"/>
  <c r="B21" i="35"/>
  <c r="B20" i="35"/>
  <c r="B19" i="35"/>
  <c r="B18" i="35"/>
  <c r="B17" i="35"/>
  <c r="B14" i="35"/>
  <c r="A14" i="35"/>
  <c r="A9" i="35"/>
  <c r="A8" i="35"/>
  <c r="U6" i="35"/>
  <c r="U5" i="35"/>
  <c r="U3" i="35"/>
  <c r="O1" i="35"/>
  <c r="D6" i="35"/>
  <c r="D5" i="35"/>
  <c r="D4" i="35"/>
  <c r="D3" i="35"/>
  <c r="A6" i="35"/>
  <c r="A5" i="35"/>
  <c r="A4" i="35"/>
  <c r="A3" i="35"/>
  <c r="A2" i="35"/>
  <c r="A1" i="35"/>
  <c r="J62" i="39" l="1"/>
  <c r="U32" i="39"/>
  <c r="Z63" i="39"/>
  <c r="S64" i="39"/>
  <c r="S63" i="39"/>
  <c r="Q64" i="39"/>
  <c r="O64" i="39"/>
  <c r="M64" i="39"/>
  <c r="K63" i="39"/>
  <c r="J63" i="39"/>
  <c r="D64" i="39"/>
  <c r="D63" i="39"/>
  <c r="A63" i="39"/>
  <c r="A62" i="39"/>
  <c r="A61" i="39"/>
  <c r="K84" i="39"/>
  <c r="K82" i="39"/>
  <c r="K80" i="39"/>
  <c r="K78" i="39"/>
  <c r="K76" i="39"/>
  <c r="K74" i="39"/>
  <c r="K72" i="39"/>
  <c r="K70" i="39"/>
  <c r="K68" i="39"/>
  <c r="K67" i="39"/>
  <c r="K66" i="39"/>
  <c r="K59" i="39"/>
  <c r="K55" i="39"/>
  <c r="K83" i="39"/>
  <c r="K81" i="39"/>
  <c r="K79" i="39"/>
  <c r="K77" i="39"/>
  <c r="K75" i="39"/>
  <c r="K73" i="39"/>
  <c r="K71" i="39"/>
  <c r="K69" i="39"/>
  <c r="K65" i="39"/>
  <c r="K57" i="39"/>
  <c r="K53" i="39"/>
  <c r="K51" i="39"/>
  <c r="K49" i="39"/>
  <c r="J57" i="39"/>
  <c r="J53" i="39"/>
  <c r="J49" i="39"/>
  <c r="E57" i="39"/>
  <c r="E53" i="39"/>
  <c r="E49" i="39"/>
  <c r="D49" i="39"/>
  <c r="D57" i="39"/>
  <c r="D53" i="39"/>
  <c r="S46" i="39"/>
  <c r="S45" i="39"/>
  <c r="Q46" i="39"/>
  <c r="O46" i="39"/>
  <c r="M46" i="39"/>
  <c r="M45" i="39"/>
  <c r="J47" i="39"/>
  <c r="I47" i="39"/>
  <c r="G45" i="39"/>
  <c r="E45" i="39"/>
  <c r="D45" i="39"/>
  <c r="A45" i="39"/>
  <c r="A44" i="39"/>
  <c r="D43" i="39"/>
  <c r="A43" i="39"/>
  <c r="A41" i="39"/>
  <c r="L39" i="39"/>
  <c r="L38" i="39"/>
  <c r="L37" i="39"/>
  <c r="L36" i="39"/>
  <c r="L35" i="39"/>
  <c r="B39" i="39"/>
  <c r="B38" i="39"/>
  <c r="B37" i="39"/>
  <c r="B36" i="39"/>
  <c r="B35" i="39"/>
  <c r="S33" i="39"/>
  <c r="Q33" i="39"/>
  <c r="O33" i="39"/>
  <c r="L33" i="39"/>
  <c r="K33" i="39"/>
  <c r="I33" i="39"/>
  <c r="O32" i="39"/>
  <c r="I32" i="39"/>
  <c r="B32" i="39"/>
  <c r="A32" i="39"/>
  <c r="A24" i="39"/>
  <c r="A23" i="39"/>
  <c r="L21" i="39"/>
  <c r="L20" i="39"/>
  <c r="L19" i="39"/>
  <c r="L18" i="39"/>
  <c r="L17" i="39"/>
  <c r="B21" i="39"/>
  <c r="B20" i="39"/>
  <c r="B19" i="39"/>
  <c r="B18" i="39"/>
  <c r="B17" i="39"/>
  <c r="U14" i="39"/>
  <c r="S15" i="39"/>
  <c r="Q15" i="39"/>
  <c r="O15" i="39"/>
  <c r="L15" i="39"/>
  <c r="K15" i="39"/>
  <c r="I15" i="39"/>
  <c r="O14" i="39"/>
  <c r="I14" i="39"/>
  <c r="B14" i="39"/>
  <c r="A14" i="39"/>
  <c r="A9" i="39"/>
  <c r="A8" i="39"/>
  <c r="D6" i="39"/>
  <c r="D5" i="39"/>
  <c r="D4" i="39"/>
  <c r="D3" i="39"/>
  <c r="O1" i="39"/>
  <c r="U6" i="39"/>
  <c r="U5" i="39"/>
  <c r="U3" i="39"/>
  <c r="H5" i="39"/>
  <c r="H3" i="39"/>
  <c r="A6" i="39"/>
  <c r="A5" i="39"/>
  <c r="A4" i="39"/>
  <c r="A3" i="39"/>
  <c r="A2" i="39"/>
  <c r="A1" i="39"/>
  <c r="K84" i="37"/>
  <c r="K82" i="37"/>
  <c r="K80" i="37"/>
  <c r="K78" i="37"/>
  <c r="K76" i="37"/>
  <c r="K74" i="37"/>
  <c r="K72" i="37"/>
  <c r="K83" i="37"/>
  <c r="K81" i="37"/>
  <c r="K79" i="37"/>
  <c r="K77" i="37"/>
  <c r="K75" i="37"/>
  <c r="K73" i="37"/>
  <c r="K71" i="37"/>
  <c r="K70" i="37"/>
  <c r="K69" i="37"/>
  <c r="K68" i="37"/>
  <c r="K67" i="37"/>
  <c r="K66" i="37"/>
  <c r="K65" i="37"/>
  <c r="Z63" i="37"/>
  <c r="S64" i="37"/>
  <c r="S63" i="37"/>
  <c r="Q64" i="37"/>
  <c r="O64" i="37"/>
  <c r="M64" i="37"/>
  <c r="K63" i="37"/>
  <c r="J63" i="37"/>
  <c r="D64" i="37"/>
  <c r="D63" i="37"/>
  <c r="A63" i="37"/>
  <c r="J62" i="37"/>
  <c r="A62" i="37"/>
  <c r="A61" i="37"/>
  <c r="A81" i="37"/>
  <c r="A77" i="37"/>
  <c r="A73" i="37"/>
  <c r="A69" i="37"/>
  <c r="A65" i="37"/>
  <c r="K59" i="37"/>
  <c r="K57" i="37"/>
  <c r="K55" i="37"/>
  <c r="K53" i="37"/>
  <c r="K51" i="37"/>
  <c r="K49" i="37"/>
  <c r="J57" i="37"/>
  <c r="J53" i="37"/>
  <c r="J49" i="37"/>
  <c r="E57" i="37"/>
  <c r="E53" i="37"/>
  <c r="E49" i="37"/>
  <c r="D49" i="37"/>
  <c r="D57" i="37"/>
  <c r="D53" i="37"/>
  <c r="S46" i="37"/>
  <c r="S45" i="37"/>
  <c r="Q46" i="37"/>
  <c r="O46" i="37"/>
  <c r="M46" i="37"/>
  <c r="M45" i="37"/>
  <c r="J47" i="37"/>
  <c r="I47" i="37"/>
  <c r="G45" i="37"/>
  <c r="E45" i="37"/>
  <c r="D45" i="37"/>
  <c r="A45" i="37"/>
  <c r="D43" i="37"/>
  <c r="A44" i="37"/>
  <c r="A43" i="37"/>
  <c r="A41" i="37"/>
  <c r="L39" i="37"/>
  <c r="L38" i="37"/>
  <c r="L37" i="37"/>
  <c r="L36" i="37"/>
  <c r="L35" i="37"/>
  <c r="U32" i="37"/>
  <c r="S33" i="37"/>
  <c r="Q33" i="37"/>
  <c r="O33" i="37"/>
  <c r="L33" i="37"/>
  <c r="K33" i="37"/>
  <c r="I33" i="37"/>
  <c r="O32" i="37"/>
  <c r="I32" i="37"/>
  <c r="B39" i="37"/>
  <c r="B38" i="37"/>
  <c r="B37" i="37"/>
  <c r="B36" i="37"/>
  <c r="B35" i="37"/>
  <c r="B32" i="37"/>
  <c r="A32" i="37"/>
  <c r="A24" i="37"/>
  <c r="A23" i="37"/>
  <c r="L21" i="37"/>
  <c r="L20" i="37"/>
  <c r="L19" i="37"/>
  <c r="L18" i="37"/>
  <c r="L17" i="37"/>
  <c r="B21" i="37"/>
  <c r="B20" i="37"/>
  <c r="B19" i="37"/>
  <c r="B18" i="37"/>
  <c r="B17" i="37"/>
  <c r="D6" i="37"/>
  <c r="D5" i="37"/>
  <c r="D4" i="37"/>
  <c r="D3" i="37"/>
  <c r="U14" i="37"/>
  <c r="S15" i="37"/>
  <c r="Q15" i="37"/>
  <c r="O15" i="37"/>
  <c r="L15" i="37"/>
  <c r="K15" i="37"/>
  <c r="I15" i="37"/>
  <c r="O14" i="37"/>
  <c r="I14" i="37"/>
  <c r="B14" i="37"/>
  <c r="A14" i="37"/>
  <c r="A9" i="37"/>
  <c r="A8" i="37"/>
  <c r="U6" i="37"/>
  <c r="U5" i="37"/>
  <c r="U3" i="37"/>
  <c r="H5" i="37"/>
  <c r="H3" i="37"/>
  <c r="A6" i="37"/>
  <c r="A5" i="37"/>
  <c r="A4" i="37"/>
  <c r="A3" i="37"/>
  <c r="A2" i="37"/>
  <c r="B32" i="38"/>
  <c r="O1" i="37"/>
  <c r="A1" i="37"/>
  <c r="U3" i="38"/>
  <c r="A1" i="38"/>
  <c r="A65" i="38"/>
  <c r="A73" i="38"/>
  <c r="A69" i="38"/>
  <c r="K84" i="38"/>
  <c r="K82" i="38"/>
  <c r="K80" i="38"/>
  <c r="K78" i="38"/>
  <c r="K76" i="38"/>
  <c r="K74" i="38"/>
  <c r="K72" i="38"/>
  <c r="K70" i="38"/>
  <c r="K68" i="38"/>
  <c r="K66" i="38"/>
  <c r="K83" i="38"/>
  <c r="K81" i="38"/>
  <c r="K79" i="38"/>
  <c r="K77" i="38"/>
  <c r="K75" i="38"/>
  <c r="K73" i="38"/>
  <c r="K71" i="38"/>
  <c r="K69" i="38"/>
  <c r="K67" i="38"/>
  <c r="K65" i="38"/>
  <c r="Z63" i="38"/>
  <c r="S64" i="38"/>
  <c r="S63" i="38"/>
  <c r="Q64" i="38"/>
  <c r="O64" i="38"/>
  <c r="M64" i="38"/>
  <c r="K63" i="38"/>
  <c r="J63" i="38"/>
  <c r="D64" i="38"/>
  <c r="D63" i="38"/>
  <c r="A63" i="38"/>
  <c r="J62" i="38"/>
  <c r="A62" i="38"/>
  <c r="A61" i="38"/>
  <c r="S46" i="38"/>
  <c r="S45" i="38"/>
  <c r="Q46" i="38"/>
  <c r="O46" i="38"/>
  <c r="M46" i="38"/>
  <c r="M45" i="38"/>
  <c r="K59" i="38"/>
  <c r="K55" i="38"/>
  <c r="K51" i="38"/>
  <c r="K57" i="38"/>
  <c r="K53" i="38"/>
  <c r="K49" i="38"/>
  <c r="J57" i="38"/>
  <c r="J53" i="38"/>
  <c r="J49" i="38"/>
  <c r="E49" i="38"/>
  <c r="E53" i="38"/>
  <c r="E57" i="38"/>
  <c r="D57" i="38"/>
  <c r="D53" i="38"/>
  <c r="D49" i="38"/>
  <c r="J47" i="38"/>
  <c r="I47" i="38"/>
  <c r="G45" i="38"/>
  <c r="E45" i="38"/>
  <c r="D45" i="38"/>
  <c r="A45" i="38"/>
  <c r="A44" i="38"/>
  <c r="D43" i="38"/>
  <c r="A43" i="38"/>
  <c r="A41" i="38"/>
  <c r="L39" i="38"/>
  <c r="L38" i="38"/>
  <c r="L37" i="38"/>
  <c r="L36" i="38"/>
  <c r="L35" i="38"/>
  <c r="B39" i="38"/>
  <c r="B38" i="38"/>
  <c r="B37" i="38"/>
  <c r="B36" i="38"/>
  <c r="B35" i="38"/>
  <c r="U32" i="38"/>
  <c r="S33" i="38"/>
  <c r="Q33" i="38"/>
  <c r="O33" i="38"/>
  <c r="L33" i="38"/>
  <c r="K33" i="38"/>
  <c r="I33" i="38"/>
  <c r="O32" i="38"/>
  <c r="I32" i="38"/>
  <c r="A32" i="38"/>
  <c r="L21" i="38"/>
  <c r="L20" i="38"/>
  <c r="L19" i="38"/>
  <c r="L18" i="38"/>
  <c r="L17" i="38"/>
  <c r="B18" i="38"/>
  <c r="B17" i="38"/>
  <c r="U14" i="38"/>
  <c r="S15" i="38"/>
  <c r="Q15" i="38"/>
  <c r="O15" i="38"/>
  <c r="O14" i="38"/>
  <c r="L15" i="38"/>
  <c r="K15" i="38"/>
  <c r="I15" i="38"/>
  <c r="I14" i="38"/>
  <c r="B14" i="38"/>
  <c r="A14" i="38"/>
  <c r="A9" i="38"/>
  <c r="A8" i="38"/>
  <c r="D5" i="38"/>
  <c r="D6" i="38"/>
  <c r="D4" i="38"/>
  <c r="D3" i="38"/>
  <c r="U6" i="38"/>
  <c r="U5" i="38"/>
  <c r="O1" i="38"/>
  <c r="H5" i="38"/>
  <c r="H3" i="38"/>
  <c r="A6" i="38"/>
  <c r="A5" i="38"/>
  <c r="A4" i="38"/>
  <c r="A3" i="38"/>
  <c r="A2" i="38"/>
  <c r="R59" i="39" l="1"/>
  <c r="P59" i="39"/>
  <c r="N59" i="39"/>
  <c r="R57" i="39"/>
  <c r="P57" i="39"/>
  <c r="N57" i="39"/>
  <c r="H57" i="39"/>
  <c r="R55" i="39"/>
  <c r="P55" i="39"/>
  <c r="N55" i="39"/>
  <c r="R53" i="39"/>
  <c r="P53" i="39"/>
  <c r="N53" i="39"/>
  <c r="H53" i="39"/>
  <c r="R51" i="39"/>
  <c r="P51" i="39"/>
  <c r="N51" i="39"/>
  <c r="R49" i="39"/>
  <c r="P49" i="39"/>
  <c r="N49" i="39"/>
  <c r="H49" i="39"/>
  <c r="R59" i="38" l="1"/>
  <c r="P59" i="38"/>
  <c r="N59" i="38"/>
  <c r="R57" i="38"/>
  <c r="P57" i="38"/>
  <c r="N57" i="38"/>
  <c r="H57" i="38"/>
  <c r="R55" i="38"/>
  <c r="P55" i="38"/>
  <c r="N55" i="38"/>
  <c r="R53" i="38"/>
  <c r="P53" i="38"/>
  <c r="N53" i="38"/>
  <c r="H53" i="38"/>
  <c r="R51" i="38"/>
  <c r="P51" i="38"/>
  <c r="N51" i="38"/>
  <c r="R49" i="38"/>
  <c r="P49" i="38"/>
  <c r="N49" i="38"/>
  <c r="H49" i="38"/>
  <c r="R59" i="37" l="1"/>
  <c r="P59" i="37"/>
  <c r="N59" i="37"/>
  <c r="R57" i="37"/>
  <c r="P57" i="37"/>
  <c r="N57" i="37"/>
  <c r="H57" i="37"/>
  <c r="R55" i="37"/>
  <c r="P55" i="37"/>
  <c r="N55" i="37"/>
  <c r="R53" i="37"/>
  <c r="P53" i="37"/>
  <c r="N53" i="37"/>
  <c r="H53" i="37"/>
  <c r="R51" i="37"/>
  <c r="P51" i="37"/>
  <c r="N51" i="37"/>
  <c r="R49" i="37"/>
  <c r="P49" i="37"/>
  <c r="N49" i="37"/>
  <c r="H49" i="37"/>
  <c r="R150" i="1" l="1"/>
  <c r="P150" i="1"/>
  <c r="N150" i="1"/>
  <c r="R148" i="1"/>
  <c r="P148" i="1"/>
  <c r="N148" i="1"/>
  <c r="H148" i="1"/>
  <c r="R146" i="1"/>
  <c r="P146" i="1"/>
  <c r="N146" i="1"/>
  <c r="R144" i="1"/>
  <c r="P144" i="1"/>
  <c r="N144" i="1"/>
  <c r="H144" i="1"/>
  <c r="R142" i="1"/>
  <c r="P142" i="1"/>
  <c r="N142" i="1"/>
  <c r="R140" i="1"/>
  <c r="P140" i="1"/>
  <c r="N140" i="1"/>
  <c r="H140" i="1"/>
  <c r="R138" i="1"/>
  <c r="P138" i="1"/>
  <c r="N138" i="1"/>
  <c r="R136" i="1"/>
  <c r="P136" i="1"/>
  <c r="N136" i="1"/>
  <c r="H136" i="1"/>
  <c r="R134" i="1"/>
  <c r="P134" i="1"/>
  <c r="N134" i="1"/>
  <c r="R132" i="1"/>
  <c r="P132" i="1"/>
  <c r="N132" i="1"/>
  <c r="H132" i="1"/>
  <c r="R130" i="1"/>
  <c r="P130" i="1"/>
  <c r="N130" i="1"/>
  <c r="R128" i="1"/>
  <c r="P128" i="1"/>
  <c r="N128" i="1"/>
  <c r="H128" i="1"/>
  <c r="R126" i="1"/>
  <c r="P126" i="1"/>
  <c r="N126" i="1"/>
  <c r="R124" i="1"/>
  <c r="P124" i="1"/>
  <c r="N124" i="1"/>
  <c r="H124" i="1"/>
  <c r="R122" i="1"/>
  <c r="P122" i="1"/>
  <c r="N122" i="1"/>
  <c r="R120" i="1"/>
  <c r="P120" i="1"/>
  <c r="N120" i="1"/>
  <c r="H120" i="1"/>
  <c r="R118" i="1"/>
  <c r="P118" i="1"/>
  <c r="N118" i="1"/>
  <c r="R116" i="1"/>
  <c r="P116" i="1"/>
  <c r="N116" i="1"/>
  <c r="H116" i="1"/>
  <c r="H77" i="1" l="1"/>
  <c r="N77" i="1"/>
  <c r="P77" i="1"/>
  <c r="R77" i="1"/>
  <c r="N79" i="1"/>
  <c r="P79" i="1"/>
  <c r="R79" i="1"/>
  <c r="H81" i="1"/>
  <c r="N81" i="1"/>
  <c r="P81" i="1"/>
  <c r="R81" i="1"/>
  <c r="N83" i="1"/>
  <c r="P83" i="1"/>
  <c r="R83" i="1"/>
  <c r="R75" i="1"/>
  <c r="P75" i="1"/>
  <c r="N75" i="1"/>
  <c r="R73" i="1"/>
  <c r="P73" i="1"/>
  <c r="N73" i="1"/>
  <c r="H73" i="1"/>
  <c r="R71" i="1"/>
  <c r="P71" i="1"/>
  <c r="N71" i="1"/>
  <c r="R69" i="1"/>
  <c r="P69" i="1"/>
  <c r="N69" i="1"/>
  <c r="H69" i="1"/>
  <c r="R67" i="1"/>
  <c r="P67" i="1"/>
  <c r="N67" i="1"/>
  <c r="R65" i="1"/>
  <c r="P65" i="1"/>
  <c r="N65" i="1"/>
  <c r="H65" i="1"/>
  <c r="R63" i="1"/>
  <c r="P63" i="1"/>
  <c r="N63" i="1"/>
  <c r="R61" i="1"/>
  <c r="P61" i="1"/>
  <c r="N61" i="1"/>
  <c r="H61" i="1"/>
  <c r="R59" i="1"/>
  <c r="P59" i="1"/>
  <c r="N59" i="1"/>
  <c r="R57" i="1"/>
  <c r="P57" i="1"/>
  <c r="N57" i="1"/>
  <c r="H57" i="1"/>
  <c r="A49" i="27" l="1"/>
  <c r="B49" i="27"/>
  <c r="A50" i="27"/>
  <c r="B50" i="27"/>
  <c r="A51" i="27"/>
  <c r="B51" i="27"/>
  <c r="A52" i="27"/>
  <c r="B52" i="27"/>
  <c r="A16" i="27"/>
  <c r="A17" i="27"/>
  <c r="A18" i="27"/>
  <c r="A19" i="27"/>
  <c r="A20" i="27"/>
  <c r="A21" i="27"/>
  <c r="A22" i="27"/>
  <c r="A23" i="27"/>
  <c r="A24" i="27"/>
  <c r="A25" i="27"/>
  <c r="A26" i="27"/>
  <c r="A27" i="27"/>
  <c r="A28" i="27"/>
  <c r="A29" i="27"/>
  <c r="A30" i="27"/>
  <c r="A31" i="27"/>
  <c r="A32" i="27"/>
  <c r="A33" i="27"/>
  <c r="B33" i="27"/>
  <c r="A34" i="27"/>
  <c r="B34" i="27"/>
  <c r="A35" i="27"/>
  <c r="B35" i="27"/>
  <c r="A36" i="27"/>
  <c r="B36" i="27"/>
  <c r="A37" i="27"/>
  <c r="B37" i="27"/>
  <c r="A38" i="27"/>
  <c r="B38" i="27"/>
  <c r="A39" i="27"/>
  <c r="B39" i="27"/>
  <c r="A40" i="27"/>
  <c r="B40" i="27"/>
  <c r="A41" i="27"/>
  <c r="B41" i="27"/>
  <c r="A42" i="27"/>
  <c r="B42" i="27"/>
  <c r="A43" i="27"/>
  <c r="B43" i="27"/>
  <c r="A44" i="27"/>
  <c r="B44" i="27"/>
  <c r="A45" i="27"/>
  <c r="B45" i="27"/>
  <c r="A46" i="27"/>
  <c r="B46" i="27"/>
  <c r="A47" i="27"/>
  <c r="B47" i="27"/>
  <c r="A48" i="27"/>
  <c r="B48" i="27"/>
  <c r="A4" i="27"/>
  <c r="A5" i="27"/>
  <c r="A6" i="27"/>
  <c r="A7" i="27"/>
  <c r="A8" i="27"/>
  <c r="A9" i="27"/>
  <c r="A10" i="27"/>
  <c r="A11" i="27"/>
  <c r="A12" i="27"/>
  <c r="A13" i="27"/>
  <c r="A14" i="27"/>
  <c r="A15" i="27"/>
  <c r="B3" i="27"/>
  <c r="A67" i="27"/>
  <c r="A69" i="27"/>
  <c r="A68" i="27"/>
  <c r="B62" i="27" l="1" a="1"/>
  <c r="B62" i="27" s="1"/>
  <c r="B63" i="27" s="1"/>
  <c r="R59" i="35" l="1"/>
  <c r="P59" i="35"/>
  <c r="N59" i="35"/>
  <c r="R57" i="35"/>
  <c r="P57" i="35"/>
  <c r="N57" i="35"/>
  <c r="H57" i="35"/>
  <c r="R55" i="35"/>
  <c r="P55" i="35"/>
  <c r="N55" i="35"/>
  <c r="R53" i="35"/>
  <c r="P53" i="35"/>
  <c r="N53" i="35"/>
  <c r="H53" i="35"/>
  <c r="R51" i="35"/>
  <c r="P51" i="35"/>
  <c r="N51" i="35"/>
  <c r="R49" i="35"/>
  <c r="P49" i="35"/>
  <c r="N49" i="35"/>
  <c r="H49" i="35"/>
  <c r="S6" i="35"/>
  <c r="S5" i="35"/>
  <c r="S4" i="35"/>
  <c r="S3" i="35"/>
  <c r="S6" i="1" l="1"/>
  <c r="R55" i="1"/>
  <c r="R53" i="1"/>
  <c r="R51" i="1"/>
  <c r="R49" i="1"/>
  <c r="P49" i="1"/>
  <c r="P51" i="1"/>
  <c r="P53" i="1"/>
  <c r="P55" i="1"/>
  <c r="N55" i="1"/>
  <c r="N53" i="1"/>
  <c r="N51" i="1"/>
  <c r="N49" i="1"/>
  <c r="H53" i="1"/>
  <c r="H49" i="1"/>
  <c r="S4" i="1" l="1"/>
  <c r="S5" i="1"/>
  <c r="C1" i="13" l="1"/>
  <c r="E181" i="30" l="1"/>
  <c r="E100" i="30"/>
  <c r="E122" i="30"/>
  <c r="E152" i="30"/>
  <c r="E169" i="30"/>
  <c r="E183" i="30"/>
  <c r="E149" i="30"/>
  <c r="E83" i="30"/>
  <c r="E107" i="30"/>
  <c r="E139" i="30"/>
  <c r="E156" i="30"/>
  <c r="E170" i="30"/>
  <c r="E94" i="30"/>
  <c r="E176" i="30"/>
  <c r="E86" i="30"/>
  <c r="E112" i="30"/>
  <c r="E143" i="30"/>
  <c r="E160" i="30"/>
  <c r="E173" i="30"/>
  <c r="E118" i="30"/>
  <c r="E163" i="30"/>
  <c r="E9" i="31"/>
  <c r="D3" i="29"/>
  <c r="B28" i="27" s="1"/>
  <c r="D6" i="29"/>
  <c r="B32" i="27" s="1"/>
  <c r="D4" i="29"/>
  <c r="B29" i="27" s="1"/>
  <c r="D2" i="29"/>
  <c r="D5" i="29"/>
  <c r="B30" i="27" s="1"/>
  <c r="D7" i="29"/>
  <c r="B31" i="27" s="1"/>
  <c r="A97" i="13"/>
  <c r="J3" i="27" s="1"/>
  <c r="A96" i="13"/>
  <c r="J1" i="27" s="1"/>
  <c r="A94" i="13"/>
  <c r="A1" i="36" s="1"/>
  <c r="A95" i="13"/>
  <c r="A2" i="36" s="1"/>
  <c r="D4" i="34"/>
  <c r="D8" i="34"/>
  <c r="D12" i="34"/>
  <c r="D16" i="34"/>
  <c r="D20" i="34"/>
  <c r="D24" i="34"/>
  <c r="D28" i="34"/>
  <c r="D32" i="34"/>
  <c r="D36" i="34"/>
  <c r="D40" i="34"/>
  <c r="D44" i="34"/>
  <c r="D48" i="34"/>
  <c r="D52" i="34"/>
  <c r="D56" i="34"/>
  <c r="D60" i="34"/>
  <c r="D64" i="34"/>
  <c r="E2" i="33"/>
  <c r="D5" i="34"/>
  <c r="D9" i="34"/>
  <c r="D13" i="34"/>
  <c r="D17" i="34"/>
  <c r="D21" i="34"/>
  <c r="D25" i="34"/>
  <c r="D29" i="34"/>
  <c r="D33" i="34"/>
  <c r="D37" i="34"/>
  <c r="D41" i="34"/>
  <c r="D45" i="34"/>
  <c r="D49" i="34"/>
  <c r="D53" i="34"/>
  <c r="D57" i="34"/>
  <c r="D61" i="34"/>
  <c r="D65" i="34"/>
  <c r="D11" i="34"/>
  <c r="D23" i="34"/>
  <c r="D31" i="34"/>
  <c r="D39" i="34"/>
  <c r="D47" i="34"/>
  <c r="D55" i="34"/>
  <c r="D63" i="34"/>
  <c r="D6" i="34"/>
  <c r="D10" i="34"/>
  <c r="D14" i="34"/>
  <c r="D18" i="34"/>
  <c r="D22" i="34"/>
  <c r="D26" i="34"/>
  <c r="D30" i="34"/>
  <c r="D34" i="34"/>
  <c r="D38" i="34"/>
  <c r="D42" i="34"/>
  <c r="D46" i="34"/>
  <c r="D50" i="34"/>
  <c r="D54" i="34"/>
  <c r="D58" i="34"/>
  <c r="D62" i="34"/>
  <c r="D66" i="34"/>
  <c r="D3" i="34"/>
  <c r="D7" i="34"/>
  <c r="D15" i="34"/>
  <c r="D19" i="34"/>
  <c r="D27" i="34"/>
  <c r="D35" i="34"/>
  <c r="D43" i="34"/>
  <c r="D51" i="34"/>
  <c r="D59" i="34"/>
  <c r="D2" i="34"/>
  <c r="E23" i="33"/>
  <c r="E27" i="33"/>
  <c r="E19" i="33"/>
  <c r="E15" i="33"/>
  <c r="E11" i="33"/>
  <c r="E7" i="33"/>
  <c r="E3" i="33"/>
  <c r="E19" i="32"/>
  <c r="E15" i="32"/>
  <c r="E11" i="32"/>
  <c r="E7" i="32"/>
  <c r="E3" i="32"/>
  <c r="E72" i="31"/>
  <c r="E68" i="31"/>
  <c r="E64" i="31"/>
  <c r="E60" i="31"/>
  <c r="E56" i="31"/>
  <c r="E52" i="31"/>
  <c r="E48" i="31"/>
  <c r="E44" i="31"/>
  <c r="E40" i="31"/>
  <c r="E36" i="31"/>
  <c r="E32" i="31"/>
  <c r="E28" i="31"/>
  <c r="E24" i="31"/>
  <c r="E5" i="31"/>
  <c r="E17" i="31"/>
  <c r="E13" i="31"/>
  <c r="E4" i="31"/>
  <c r="E27" i="30"/>
  <c r="E31" i="30"/>
  <c r="E35" i="30"/>
  <c r="E39" i="30"/>
  <c r="E43" i="30"/>
  <c r="E47" i="30"/>
  <c r="E51" i="30"/>
  <c r="E55" i="30"/>
  <c r="E59" i="30"/>
  <c r="E63" i="30"/>
  <c r="E67" i="30"/>
  <c r="E71" i="30"/>
  <c r="E75" i="30"/>
  <c r="E79" i="30"/>
  <c r="E84" i="30"/>
  <c r="E89" i="30"/>
  <c r="E93" i="30"/>
  <c r="E98" i="30"/>
  <c r="E103" i="30"/>
  <c r="E108" i="30"/>
  <c r="E113" i="30"/>
  <c r="E117" i="30"/>
  <c r="E123" i="30"/>
  <c r="E127" i="30"/>
  <c r="E131" i="30"/>
  <c r="E24" i="33"/>
  <c r="E22" i="33"/>
  <c r="E18" i="33"/>
  <c r="E14" i="33"/>
  <c r="E10" i="33"/>
  <c r="E6" i="33"/>
  <c r="E22" i="32"/>
  <c r="E18" i="32"/>
  <c r="E14" i="32"/>
  <c r="E10" i="32"/>
  <c r="E6" i="32"/>
  <c r="E2" i="32"/>
  <c r="E71" i="31"/>
  <c r="E67" i="31"/>
  <c r="E63" i="31"/>
  <c r="E59" i="31"/>
  <c r="E55" i="31"/>
  <c r="E51" i="31"/>
  <c r="E47" i="31"/>
  <c r="E43" i="31"/>
  <c r="E39" i="31"/>
  <c r="E35" i="31"/>
  <c r="E31" i="31"/>
  <c r="E27" i="31"/>
  <c r="E23" i="31"/>
  <c r="E20" i="31"/>
  <c r="E16" i="31"/>
  <c r="E12" i="31"/>
  <c r="E8" i="31"/>
  <c r="E3" i="31"/>
  <c r="E28" i="30"/>
  <c r="E32" i="30"/>
  <c r="E36" i="30"/>
  <c r="E40" i="30"/>
  <c r="E44" i="30"/>
  <c r="E48" i="30"/>
  <c r="E52" i="30"/>
  <c r="E56" i="30"/>
  <c r="E60" i="30"/>
  <c r="E64" i="30"/>
  <c r="E68" i="30"/>
  <c r="E72" i="30"/>
  <c r="E76" i="30"/>
  <c r="E80" i="30"/>
  <c r="E85" i="30"/>
  <c r="E90" i="30"/>
  <c r="E95" i="30"/>
  <c r="E99" i="30"/>
  <c r="E104" i="30"/>
  <c r="E109" i="30"/>
  <c r="E114" i="30"/>
  <c r="E119" i="30"/>
  <c r="E124" i="30"/>
  <c r="E128" i="30"/>
  <c r="E132" i="30"/>
  <c r="E136" i="30"/>
  <c r="E141" i="30"/>
  <c r="E146" i="30"/>
  <c r="E151" i="30"/>
  <c r="E157" i="30"/>
  <c r="E162" i="30"/>
  <c r="E167" i="30"/>
  <c r="E172" i="30"/>
  <c r="E178" i="30"/>
  <c r="E25" i="30"/>
  <c r="E21" i="30"/>
  <c r="E17" i="30"/>
  <c r="E13" i="30"/>
  <c r="E9" i="30"/>
  <c r="E5" i="30"/>
  <c r="E25" i="33"/>
  <c r="E21" i="33"/>
  <c r="E17" i="33"/>
  <c r="E13" i="33"/>
  <c r="E9" i="33"/>
  <c r="E5" i="33"/>
  <c r="E21" i="32"/>
  <c r="E17" i="32"/>
  <c r="E13" i="32"/>
  <c r="E9" i="32"/>
  <c r="E5" i="32"/>
  <c r="E74" i="31"/>
  <c r="E70" i="31"/>
  <c r="E66" i="31"/>
  <c r="E62" i="31"/>
  <c r="E26" i="33"/>
  <c r="E33" i="31"/>
  <c r="E34" i="30"/>
  <c r="E58" i="30"/>
  <c r="E82" i="30"/>
  <c r="E111" i="30"/>
  <c r="E130" i="30"/>
  <c r="E150" i="30"/>
  <c r="E165" i="30"/>
  <c r="E179" i="30"/>
  <c r="E12" i="30"/>
  <c r="E2" i="30"/>
  <c r="E4" i="33"/>
  <c r="E54" i="31"/>
  <c r="E30" i="31"/>
  <c r="E15" i="31"/>
  <c r="E29" i="30"/>
  <c r="E45" i="30"/>
  <c r="E61" i="30"/>
  <c r="E77" i="30"/>
  <c r="E96" i="30"/>
  <c r="E115" i="30"/>
  <c r="E133" i="30"/>
  <c r="E145" i="30"/>
  <c r="E159" i="30"/>
  <c r="E174" i="30"/>
  <c r="E22" i="30"/>
  <c r="E11" i="30"/>
  <c r="E16" i="33"/>
  <c r="E4" i="32"/>
  <c r="E53" i="31"/>
  <c r="E37" i="31"/>
  <c r="E21" i="31"/>
  <c r="E30" i="30"/>
  <c r="E46" i="30"/>
  <c r="E12" i="33"/>
  <c r="E16" i="32"/>
  <c r="E73" i="31"/>
  <c r="E58" i="31"/>
  <c r="E50" i="31"/>
  <c r="E42" i="31"/>
  <c r="E34" i="31"/>
  <c r="E26" i="31"/>
  <c r="E19" i="31"/>
  <c r="E11" i="31"/>
  <c r="E2" i="31"/>
  <c r="E33" i="30"/>
  <c r="E41" i="30"/>
  <c r="E49" i="30"/>
  <c r="E57" i="30"/>
  <c r="E65" i="30"/>
  <c r="E73" i="30"/>
  <c r="E81" i="30"/>
  <c r="E91" i="30"/>
  <c r="E101" i="30"/>
  <c r="E110" i="30"/>
  <c r="E120" i="30"/>
  <c r="E129" i="30"/>
  <c r="E135" i="30"/>
  <c r="E142" i="30"/>
  <c r="E148" i="30"/>
  <c r="E155" i="30"/>
  <c r="E164" i="30"/>
  <c r="E177" i="30"/>
  <c r="E24" i="30"/>
  <c r="E19" i="30"/>
  <c r="E14" i="30"/>
  <c r="E8" i="30"/>
  <c r="E3" i="30"/>
  <c r="E8" i="33"/>
  <c r="E12" i="32"/>
  <c r="E69" i="31"/>
  <c r="E57" i="31"/>
  <c r="E49" i="31"/>
  <c r="E41" i="31"/>
  <c r="E25" i="31"/>
  <c r="E18" i="31"/>
  <c r="E10" i="31"/>
  <c r="E26" i="30"/>
  <c r="E42" i="30"/>
  <c r="E50" i="30"/>
  <c r="E66" i="30"/>
  <c r="E74" i="30"/>
  <c r="E92" i="30"/>
  <c r="E102" i="30"/>
  <c r="E121" i="30"/>
  <c r="E137" i="30"/>
  <c r="E144" i="30"/>
  <c r="E158" i="30"/>
  <c r="E171" i="30"/>
  <c r="E23" i="30"/>
  <c r="E18" i="30"/>
  <c r="E7" i="30"/>
  <c r="E20" i="33"/>
  <c r="E8" i="32"/>
  <c r="E65" i="31"/>
  <c r="E46" i="31"/>
  <c r="E38" i="31"/>
  <c r="E22" i="31"/>
  <c r="E7" i="31"/>
  <c r="E37" i="30"/>
  <c r="E53" i="30"/>
  <c r="E69" i="30"/>
  <c r="E87" i="30"/>
  <c r="E105" i="30"/>
  <c r="E125" i="30"/>
  <c r="E138" i="30"/>
  <c r="E153" i="30"/>
  <c r="E166" i="30"/>
  <c r="E180" i="30"/>
  <c r="E16" i="30"/>
  <c r="E6" i="30"/>
  <c r="E20" i="32"/>
  <c r="E61" i="31"/>
  <c r="E45" i="31"/>
  <c r="E29" i="31"/>
  <c r="E14" i="31"/>
  <c r="E6" i="31"/>
  <c r="E38" i="30"/>
  <c r="E126" i="30"/>
  <c r="E106" i="30"/>
  <c r="E168" i="30"/>
  <c r="E78" i="30"/>
  <c r="E116" i="30"/>
  <c r="E147" i="30"/>
  <c r="E175" i="30"/>
  <c r="E10" i="30"/>
  <c r="E54" i="30"/>
  <c r="E88" i="30"/>
  <c r="E154" i="30"/>
  <c r="E182" i="30"/>
  <c r="E4" i="30"/>
  <c r="E62" i="30"/>
  <c r="E97" i="30"/>
  <c r="E134" i="30"/>
  <c r="E161" i="30"/>
  <c r="E20" i="30"/>
  <c r="E70" i="30"/>
  <c r="E140" i="30"/>
  <c r="E15" i="30"/>
  <c r="D15" i="29"/>
  <c r="B12" i="27" s="1"/>
  <c r="D12" i="29"/>
  <c r="B9" i="27" s="1"/>
  <c r="D16" i="29"/>
  <c r="B13" i="27" s="1"/>
  <c r="D20" i="29"/>
  <c r="B17" i="27" s="1"/>
  <c r="D24" i="29"/>
  <c r="B21" i="27" s="1"/>
  <c r="D28" i="29"/>
  <c r="B25" i="27" s="1"/>
  <c r="D9" i="29"/>
  <c r="B6" i="27" s="1"/>
  <c r="C4" i="28"/>
  <c r="D13" i="29"/>
  <c r="B10" i="27" s="1"/>
  <c r="D17" i="29"/>
  <c r="B14" i="27" s="1"/>
  <c r="D21" i="29"/>
  <c r="B18" i="27" s="1"/>
  <c r="D25" i="29"/>
  <c r="B22" i="27" s="1"/>
  <c r="D29" i="29"/>
  <c r="B26" i="27" s="1"/>
  <c r="D8" i="29"/>
  <c r="B5" i="27" s="1"/>
  <c r="C5" i="28"/>
  <c r="D14" i="29"/>
  <c r="B11" i="27" s="1"/>
  <c r="D18" i="29"/>
  <c r="B15" i="27" s="1"/>
  <c r="D22" i="29"/>
  <c r="B19" i="27" s="1"/>
  <c r="D26" i="29"/>
  <c r="B23" i="27" s="1"/>
  <c r="D30" i="29"/>
  <c r="B27" i="27" s="1"/>
  <c r="C2" i="28"/>
  <c r="D11" i="29"/>
  <c r="B8" i="27" s="1"/>
  <c r="D19" i="29"/>
  <c r="B16" i="27" s="1"/>
  <c r="D23" i="29"/>
  <c r="B20" i="27" s="1"/>
  <c r="D27" i="29"/>
  <c r="B24" i="27" s="1"/>
  <c r="D10" i="29"/>
  <c r="B7" i="27" s="1"/>
  <c r="C3" i="28"/>
  <c r="A90" i="13"/>
  <c r="K154" i="1" s="1"/>
  <c r="A93" i="13"/>
  <c r="Z154" i="1" s="1"/>
  <c r="A88" i="13"/>
  <c r="D154" i="1" s="1"/>
  <c r="A91" i="13"/>
  <c r="S154" i="1" s="1"/>
  <c r="A89" i="13"/>
  <c r="D155" i="1" s="1"/>
  <c r="A92" i="13"/>
  <c r="S155" i="1" s="1"/>
  <c r="A77" i="13"/>
  <c r="A84" i="13"/>
  <c r="A153" i="1" s="1"/>
  <c r="A87" i="13"/>
  <c r="A85" i="13"/>
  <c r="J153" i="1" s="1"/>
  <c r="A86" i="13"/>
  <c r="A154" i="1" s="1"/>
  <c r="A82" i="13"/>
  <c r="S112" i="1" s="1"/>
  <c r="A83" i="13"/>
  <c r="S113" i="1" s="1"/>
  <c r="A80" i="13"/>
  <c r="A81" i="13"/>
  <c r="A76" i="13"/>
  <c r="A111" i="1" s="1"/>
  <c r="A79" i="13"/>
  <c r="A78" i="13"/>
  <c r="A74" i="13"/>
  <c r="A75" i="13"/>
  <c r="A110" i="1" s="1"/>
  <c r="A73" i="13"/>
  <c r="A67" i="13"/>
  <c r="A152" i="1" l="1"/>
  <c r="J154" i="1"/>
  <c r="D112" i="1"/>
  <c r="K175" i="1"/>
  <c r="K165" i="1"/>
  <c r="K159" i="1"/>
  <c r="K171" i="1"/>
  <c r="K161" i="1"/>
  <c r="K146" i="1"/>
  <c r="K138" i="1"/>
  <c r="K130" i="1"/>
  <c r="K122" i="1"/>
  <c r="K173" i="1"/>
  <c r="K167" i="1"/>
  <c r="K157" i="1"/>
  <c r="K169" i="1"/>
  <c r="K163" i="1"/>
  <c r="K150" i="1"/>
  <c r="K142" i="1"/>
  <c r="K134" i="1"/>
  <c r="K126" i="1"/>
  <c r="K118" i="1"/>
  <c r="K168" i="1"/>
  <c r="K162" i="1"/>
  <c r="K144" i="1"/>
  <c r="K136" i="1"/>
  <c r="K128" i="1"/>
  <c r="K120" i="1"/>
  <c r="K170" i="1"/>
  <c r="K124" i="1"/>
  <c r="K174" i="1"/>
  <c r="K164" i="1"/>
  <c r="K158" i="1"/>
  <c r="K160" i="1"/>
  <c r="K148" i="1"/>
  <c r="K140" i="1"/>
  <c r="K132" i="1"/>
  <c r="K116" i="1"/>
  <c r="K172" i="1"/>
  <c r="K166" i="1"/>
  <c r="K156" i="1"/>
  <c r="K79" i="1"/>
  <c r="K83" i="1"/>
  <c r="K77" i="1"/>
  <c r="K81" i="1"/>
  <c r="K71" i="1"/>
  <c r="K75" i="1"/>
  <c r="K73" i="1"/>
  <c r="K69" i="1"/>
  <c r="K59" i="1"/>
  <c r="K67" i="1"/>
  <c r="K63" i="1"/>
  <c r="K57" i="1"/>
  <c r="K65" i="1"/>
  <c r="K61" i="1"/>
  <c r="B4" i="27"/>
  <c r="A1" i="1"/>
  <c r="U3" i="1"/>
  <c r="O1" i="1"/>
  <c r="A86" i="1"/>
  <c r="A85" i="1"/>
  <c r="A87" i="1"/>
  <c r="D87" i="1"/>
  <c r="S88" i="1"/>
  <c r="A44" i="1"/>
  <c r="S45" i="1"/>
  <c r="S87" i="1"/>
  <c r="J86" i="1"/>
  <c r="Z87" i="1"/>
  <c r="A43" i="1"/>
  <c r="S46" i="1"/>
  <c r="D88" i="1"/>
  <c r="K87" i="1"/>
  <c r="K103" i="1"/>
  <c r="K105" i="1"/>
  <c r="K104" i="1"/>
  <c r="K106" i="1"/>
  <c r="K95" i="1"/>
  <c r="K99" i="1"/>
  <c r="K96" i="1"/>
  <c r="K100" i="1"/>
  <c r="D45" i="1"/>
  <c r="J87" i="1"/>
  <c r="K108" i="1"/>
  <c r="K91" i="1"/>
  <c r="K89" i="1"/>
  <c r="K101" i="1"/>
  <c r="K107" i="1"/>
  <c r="K93" i="1"/>
  <c r="K97" i="1"/>
  <c r="K98" i="1"/>
  <c r="K102" i="1"/>
  <c r="K92" i="1"/>
  <c r="K94" i="1"/>
  <c r="K51" i="1"/>
  <c r="K90" i="1"/>
  <c r="K53" i="1"/>
  <c r="K55" i="1"/>
  <c r="U6" i="1"/>
  <c r="K49" i="1"/>
  <c r="U14" i="1"/>
  <c r="U32" i="1"/>
  <c r="U5" i="1"/>
  <c r="A41" i="1"/>
  <c r="A61" i="13"/>
  <c r="A62" i="13"/>
  <c r="A58" i="13"/>
  <c r="A38" i="13"/>
  <c r="A71" i="13"/>
  <c r="A10" i="13"/>
  <c r="A41" i="13"/>
  <c r="G7" i="10"/>
  <c r="G9" i="10"/>
  <c r="G4" i="10"/>
  <c r="A51" i="13"/>
  <c r="A23" i="13"/>
  <c r="A18" i="13"/>
  <c r="A57" i="13"/>
  <c r="A4" i="13"/>
  <c r="G14" i="10"/>
  <c r="G5" i="10"/>
  <c r="A8" i="13"/>
  <c r="G13" i="10"/>
  <c r="A44" i="13"/>
  <c r="A54" i="13"/>
  <c r="A47" i="13"/>
  <c r="A24" i="13"/>
  <c r="U6" i="10"/>
  <c r="A53" i="13"/>
  <c r="G8" i="10"/>
  <c r="G15" i="10"/>
  <c r="A55" i="13"/>
  <c r="A39" i="13"/>
  <c r="A72" i="13"/>
  <c r="G12" i="10"/>
  <c r="U7" i="10"/>
  <c r="A52" i="13"/>
  <c r="A29" i="13"/>
  <c r="A5" i="10"/>
  <c r="A40" i="13"/>
  <c r="A6" i="13"/>
  <c r="A15" i="13"/>
  <c r="A34" i="13"/>
  <c r="A3" i="10"/>
  <c r="A4" i="10"/>
  <c r="A26" i="13"/>
  <c r="A36" i="13"/>
  <c r="A64" i="13"/>
  <c r="A5" i="13"/>
  <c r="A27" i="13"/>
  <c r="A31" i="13"/>
  <c r="A25" i="13"/>
  <c r="A48" i="13"/>
  <c r="A65" i="13"/>
  <c r="A63" i="13"/>
  <c r="G3" i="10"/>
  <c r="A33" i="13"/>
  <c r="J114" i="1" s="1"/>
  <c r="A37" i="13"/>
  <c r="A6" i="10"/>
  <c r="A45" i="13"/>
  <c r="A46" i="13"/>
  <c r="A7" i="13"/>
  <c r="A30" i="13"/>
  <c r="A17" i="13"/>
  <c r="A68" i="13"/>
  <c r="A13" i="13"/>
  <c r="A56" i="13"/>
  <c r="A16" i="13"/>
  <c r="A50" i="13"/>
  <c r="A32" i="13"/>
  <c r="I114" i="1" s="1"/>
  <c r="A49" i="13"/>
  <c r="A112" i="1" s="1"/>
  <c r="A14" i="13"/>
  <c r="G10" i="10"/>
  <c r="A69" i="13"/>
  <c r="A9" i="13"/>
  <c r="A66" i="13"/>
  <c r="E112" i="1" s="1"/>
  <c r="A20" i="13"/>
  <c r="A21" i="13"/>
  <c r="U5" i="10"/>
  <c r="G11" i="10"/>
  <c r="U4" i="10"/>
  <c r="A35" i="13"/>
  <c r="A70" i="13"/>
  <c r="G6" i="10"/>
  <c r="A60" i="13"/>
  <c r="A28" i="13"/>
  <c r="A12" i="13"/>
  <c r="A42" i="13"/>
  <c r="A19" i="13"/>
  <c r="A43" i="13"/>
  <c r="A59" i="13"/>
  <c r="U3" i="10"/>
  <c r="A22" i="13"/>
  <c r="A11" i="13"/>
  <c r="C4" i="1" l="1"/>
  <c r="B35" i="1"/>
  <c r="B17" i="1"/>
  <c r="B21" i="1"/>
  <c r="B19" i="1"/>
  <c r="B20" i="1"/>
  <c r="B18" i="1"/>
  <c r="C6" i="1"/>
  <c r="M3" i="10" s="1"/>
  <c r="C5" i="1"/>
  <c r="B38" i="1"/>
  <c r="A89" i="1"/>
  <c r="M112" i="1"/>
  <c r="J49" i="1"/>
  <c r="G112" i="1"/>
  <c r="D110" i="1"/>
  <c r="A160" i="1"/>
  <c r="A156" i="1"/>
  <c r="A105" i="1"/>
  <c r="Q153" i="1"/>
  <c r="AO153" i="1" s="1"/>
  <c r="M155" i="1"/>
  <c r="M113" i="1"/>
  <c r="O113" i="1"/>
  <c r="O155" i="1"/>
  <c r="A172" i="1"/>
  <c r="D144" i="1"/>
  <c r="D136" i="1"/>
  <c r="D128" i="1"/>
  <c r="D120" i="1"/>
  <c r="D140" i="1"/>
  <c r="A168" i="1"/>
  <c r="E148" i="1"/>
  <c r="J144" i="1"/>
  <c r="E140" i="1"/>
  <c r="J136" i="1"/>
  <c r="E132" i="1"/>
  <c r="J128" i="1"/>
  <c r="E124" i="1"/>
  <c r="J120" i="1"/>
  <c r="E116" i="1"/>
  <c r="A164" i="1"/>
  <c r="D148" i="1"/>
  <c r="D132" i="1"/>
  <c r="D124" i="1"/>
  <c r="D116" i="1"/>
  <c r="E144" i="1"/>
  <c r="E136" i="1"/>
  <c r="E128" i="1"/>
  <c r="E120" i="1"/>
  <c r="J148" i="1"/>
  <c r="J140" i="1"/>
  <c r="J132" i="1"/>
  <c r="J124" i="1"/>
  <c r="J116" i="1"/>
  <c r="F153" i="1"/>
  <c r="AN153" i="1" s="1"/>
  <c r="Q113" i="1"/>
  <c r="Q155" i="1"/>
  <c r="A93" i="1"/>
  <c r="E49" i="1"/>
  <c r="E53" i="1"/>
  <c r="E77" i="1"/>
  <c r="J77" i="1"/>
  <c r="D77" i="1"/>
  <c r="E81" i="1"/>
  <c r="J81" i="1"/>
  <c r="D81" i="1"/>
  <c r="D73" i="1"/>
  <c r="D69" i="1"/>
  <c r="E73" i="1"/>
  <c r="J73" i="1"/>
  <c r="E69" i="1"/>
  <c r="J69" i="1"/>
  <c r="E65" i="1"/>
  <c r="E61" i="1"/>
  <c r="D65" i="1"/>
  <c r="D61" i="1"/>
  <c r="J65" i="1"/>
  <c r="J61" i="1"/>
  <c r="J57" i="1"/>
  <c r="E57" i="1"/>
  <c r="D57" i="1"/>
  <c r="A2" i="2"/>
  <c r="A1" i="2"/>
  <c r="F62" i="35"/>
  <c r="A81" i="35"/>
  <c r="A65" i="35"/>
  <c r="A77" i="35"/>
  <c r="A73" i="35"/>
  <c r="A69" i="35"/>
  <c r="Q62" i="35"/>
  <c r="A32" i="1"/>
  <c r="B39" i="1"/>
  <c r="B37" i="1"/>
  <c r="B36" i="1"/>
  <c r="D49" i="1"/>
  <c r="M46" i="1"/>
  <c r="M88" i="1"/>
  <c r="Q46" i="1"/>
  <c r="Q88" i="1"/>
  <c r="O46" i="1"/>
  <c r="O88" i="1"/>
  <c r="S15" i="1"/>
  <c r="S33" i="1"/>
  <c r="Q15" i="1"/>
  <c r="Q33" i="1"/>
  <c r="O15" i="1"/>
  <c r="O33" i="1"/>
  <c r="A97" i="1"/>
  <c r="A101" i="1"/>
  <c r="Q86" i="1"/>
  <c r="AO86" i="1" s="1"/>
  <c r="F86" i="1"/>
  <c r="AN86" i="1" s="1"/>
  <c r="J53" i="1"/>
  <c r="L20" i="1"/>
  <c r="L21" i="1"/>
  <c r="L18" i="1"/>
  <c r="L19" i="1"/>
  <c r="L17" i="1"/>
  <c r="A45" i="1"/>
  <c r="D53" i="1"/>
  <c r="L39" i="1"/>
  <c r="L37" i="1"/>
  <c r="L38" i="1"/>
  <c r="L35" i="1"/>
  <c r="L36" i="1"/>
  <c r="L33" i="1"/>
  <c r="J47" i="1"/>
  <c r="K33" i="1"/>
  <c r="I47" i="1"/>
  <c r="I33" i="1"/>
  <c r="G45" i="1"/>
  <c r="O32" i="1"/>
  <c r="M45" i="1"/>
  <c r="I14" i="1"/>
  <c r="I32" i="1"/>
  <c r="B32" i="1"/>
  <c r="N3" i="10"/>
  <c r="A5" i="1"/>
  <c r="A23" i="1"/>
  <c r="A6" i="1"/>
  <c r="B14" i="1"/>
  <c r="E45" i="1"/>
  <c r="K15" i="1"/>
  <c r="H3" i="1"/>
  <c r="O14" i="1"/>
  <c r="A8" i="1"/>
  <c r="A3" i="1"/>
  <c r="A24" i="1"/>
  <c r="A4" i="1"/>
  <c r="H5" i="1"/>
  <c r="A2" i="1"/>
  <c r="L15" i="1"/>
  <c r="I15" i="1"/>
  <c r="A14" i="1"/>
  <c r="A9" i="1"/>
  <c r="AM110" i="1"/>
  <c r="O16" i="39" l="1"/>
  <c r="Q16" i="39" s="1"/>
  <c r="O16" i="38"/>
  <c r="O16" i="37"/>
  <c r="D1" i="13"/>
  <c r="Y5" i="35"/>
  <c r="Y6" i="35"/>
  <c r="O16" i="35"/>
  <c r="O34" i="35" s="1"/>
  <c r="Y6" i="1"/>
  <c r="O16" i="1"/>
  <c r="Q16" i="1" s="1"/>
  <c r="S16" i="1" s="1"/>
  <c r="S34" i="1" s="1"/>
  <c r="AM111" i="1"/>
  <c r="AM43" i="1"/>
  <c r="O34" i="39" l="1"/>
  <c r="Q34" i="39"/>
  <c r="S16" i="39"/>
  <c r="S34" i="39" s="1"/>
  <c r="Q16" i="37"/>
  <c r="O34" i="37"/>
  <c r="Q16" i="38"/>
  <c r="O34" i="38"/>
  <c r="AJ112" i="1"/>
  <c r="AK112" i="1"/>
  <c r="AL112" i="1"/>
  <c r="Q16" i="35"/>
  <c r="Q34" i="35" s="1"/>
  <c r="Q34" i="1"/>
  <c r="O34" i="1"/>
  <c r="AJ113" i="1"/>
  <c r="AK113" i="1"/>
  <c r="AM44" i="1"/>
  <c r="AM112" i="1"/>
  <c r="S16" i="38" l="1"/>
  <c r="S34" i="38" s="1"/>
  <c r="Q34" i="38"/>
  <c r="S16" i="37"/>
  <c r="S34" i="37" s="1"/>
  <c r="Q34" i="37"/>
  <c r="AJ45" i="1"/>
  <c r="AL45" i="1"/>
  <c r="AK45" i="1"/>
  <c r="S16" i="35"/>
  <c r="S34" i="35" s="1"/>
  <c r="AM113" i="1"/>
  <c r="AK114" i="1"/>
  <c r="AM45" i="1"/>
  <c r="AM46" i="1"/>
  <c r="AJ46" i="1"/>
  <c r="AJ114" i="1"/>
  <c r="AK46" i="1"/>
  <c r="AM47" i="1"/>
  <c r="AJ47" i="1"/>
  <c r="AK47" i="1"/>
  <c r="AK115" i="1"/>
  <c r="AM114" i="1"/>
  <c r="AK116" i="1"/>
  <c r="AK117" i="1"/>
  <c r="AK118" i="1"/>
  <c r="AK119" i="1" s="1"/>
  <c r="AK120" i="1"/>
  <c r="AK121" i="1" s="1"/>
  <c r="AK122" i="1" s="1"/>
  <c r="AM48" i="1"/>
  <c r="AM115" i="1"/>
  <c r="AM116" i="1" s="1"/>
  <c r="AJ115" i="1"/>
  <c r="AK48" i="1"/>
  <c r="AK49" i="1" s="1"/>
  <c r="AK50" i="1" s="1"/>
  <c r="AK51" i="1" s="1"/>
  <c r="AJ48" i="1"/>
  <c r="AM49" i="1"/>
  <c r="AM50" i="1" s="1"/>
  <c r="AM51" i="1"/>
  <c r="AM117" i="1"/>
  <c r="AJ49" i="1"/>
  <c r="AK52" i="1"/>
  <c r="AK53" i="1" s="1"/>
  <c r="AK54" i="1" s="1"/>
  <c r="AK55" i="1" s="1"/>
  <c r="AK56" i="1" s="1"/>
  <c r="AK123" i="1"/>
  <c r="AK124" i="1" s="1"/>
  <c r="AK125" i="1" s="1"/>
  <c r="AK126" i="1" s="1"/>
  <c r="AJ116" i="1"/>
  <c r="AM52" i="1"/>
  <c r="AM53" i="1" s="1"/>
  <c r="AJ50" i="1"/>
  <c r="AJ117" i="1"/>
  <c r="AJ118" i="1" s="1"/>
  <c r="AJ119" i="1"/>
  <c r="AK127" i="1"/>
  <c r="AK128" i="1" s="1"/>
  <c r="AK129" i="1" s="1"/>
  <c r="AK130" i="1" s="1"/>
  <c r="AK131" i="1" s="1"/>
  <c r="AK132" i="1" s="1"/>
  <c r="AK133" i="1" s="1"/>
  <c r="AK134" i="1" s="1"/>
  <c r="AJ51" i="1"/>
  <c r="AJ52" i="1" s="1"/>
  <c r="AJ53" i="1" s="1"/>
  <c r="AK57" i="1"/>
  <c r="AM54" i="1"/>
  <c r="AL49" i="1"/>
  <c r="AL116" i="1"/>
  <c r="AM118" i="1"/>
  <c r="AJ54" i="1"/>
  <c r="AJ55" i="1" s="1"/>
  <c r="AJ56" i="1" s="1"/>
  <c r="AJ57" i="1" s="1"/>
  <c r="AM55" i="1"/>
  <c r="AM56" i="1" s="1"/>
  <c r="AM57" i="1" s="1"/>
  <c r="AM58" i="1" s="1"/>
  <c r="AJ58" i="1"/>
  <c r="AJ59" i="1" s="1"/>
  <c r="AJ60" i="1" s="1"/>
  <c r="AJ61" i="1" s="1"/>
  <c r="AJ62" i="1"/>
  <c r="AJ63" i="1" s="1"/>
  <c r="AJ64" i="1" s="1"/>
  <c r="AJ65" i="1" s="1"/>
  <c r="AJ66" i="1"/>
  <c r="AJ67" i="1" s="1"/>
  <c r="AJ68" i="1" s="1"/>
  <c r="AJ69" i="1"/>
  <c r="AK135" i="1"/>
  <c r="AK136" i="1" s="1"/>
  <c r="AK137" i="1" s="1"/>
  <c r="AJ120" i="1"/>
  <c r="AM119" i="1"/>
  <c r="AM120" i="1" s="1"/>
  <c r="A116" i="1"/>
  <c r="AK58" i="1"/>
  <c r="AK59" i="1" s="1"/>
  <c r="AK60" i="1" s="1"/>
  <c r="AK61" i="1" s="1"/>
  <c r="AM59" i="1"/>
  <c r="A49" i="1"/>
  <c r="AL53" i="1"/>
  <c r="AJ70" i="1"/>
  <c r="AJ71" i="1" s="1"/>
  <c r="AJ72" i="1" s="1"/>
  <c r="AJ73" i="1" s="1"/>
  <c r="AJ121" i="1"/>
  <c r="AL57" i="1"/>
  <c r="AJ74" i="1"/>
  <c r="AJ75" i="1" s="1"/>
  <c r="AJ76" i="1" s="1"/>
  <c r="AJ77" i="1" s="1"/>
  <c r="AJ78" i="1"/>
  <c r="AJ79" i="1" s="1"/>
  <c r="AJ80" i="1" s="1"/>
  <c r="AJ81" i="1" s="1"/>
  <c r="AJ82" i="1"/>
  <c r="AJ83" i="1" s="1"/>
  <c r="AJ84" i="1" s="1"/>
  <c r="A53" i="1"/>
  <c r="AL120" i="1"/>
  <c r="A57" i="1"/>
  <c r="AK62" i="1"/>
  <c r="AK63" i="1" s="1"/>
  <c r="AK64" i="1" s="1"/>
  <c r="AK65" i="1" s="1"/>
  <c r="AK138" i="1"/>
  <c r="AK139" i="1" s="1"/>
  <c r="AK140" i="1" s="1"/>
  <c r="AK141" i="1" s="1"/>
  <c r="AK142" i="1" s="1"/>
  <c r="AK143" i="1" s="1"/>
  <c r="AK144" i="1" s="1"/>
  <c r="AK145" i="1" s="1"/>
  <c r="AK146" i="1" s="1"/>
  <c r="AK147" i="1" s="1"/>
  <c r="AK148" i="1" s="1"/>
  <c r="AK149" i="1" s="1"/>
  <c r="AM121" i="1"/>
  <c r="AM122" i="1" s="1"/>
  <c r="AM123" i="1" s="1"/>
  <c r="AM124" i="1" s="1"/>
  <c r="AM125" i="1" s="1"/>
  <c r="AM126" i="1" s="1"/>
  <c r="AM127" i="1" s="1"/>
  <c r="AM128" i="1" s="1"/>
  <c r="AM129" i="1" s="1"/>
  <c r="AJ122" i="1"/>
  <c r="AM60" i="1"/>
  <c r="AL61" i="1"/>
  <c r="A61" i="1"/>
  <c r="AJ123" i="1"/>
  <c r="AL65" i="1"/>
  <c r="AM61" i="1"/>
  <c r="AM62" i="1" s="1"/>
  <c r="AM63" i="1" s="1"/>
  <c r="AM64" i="1" s="1"/>
  <c r="AM65" i="1" s="1"/>
  <c r="AM66" i="1" s="1"/>
  <c r="AM67" i="1" s="1"/>
  <c r="AM68" i="1" s="1"/>
  <c r="AM130" i="1"/>
  <c r="AK150" i="1"/>
  <c r="A120" i="1"/>
  <c r="AK66" i="1"/>
  <c r="AK67" i="1" s="1"/>
  <c r="AK68" i="1" s="1"/>
  <c r="AM131" i="1"/>
  <c r="AM132" i="1" s="1"/>
  <c r="AM133" i="1" s="1"/>
  <c r="AM69" i="1"/>
  <c r="AK69" i="1"/>
  <c r="A65" i="1"/>
  <c r="AK151" i="1"/>
  <c r="AJ124" i="1"/>
  <c r="AJ125" i="1"/>
  <c r="AJ126" i="1"/>
  <c r="AL69" i="1"/>
  <c r="AM70" i="1"/>
  <c r="AM134" i="1"/>
  <c r="AL124" i="1"/>
  <c r="AK70" i="1"/>
  <c r="AK71" i="1" s="1"/>
  <c r="AK72" i="1" s="1"/>
  <c r="AK73" i="1" s="1"/>
  <c r="AK74" i="1"/>
  <c r="AK75" i="1" s="1"/>
  <c r="AK76" i="1" s="1"/>
  <c r="AM71" i="1"/>
  <c r="AJ127" i="1"/>
  <c r="AL73" i="1"/>
  <c r="A124" i="1"/>
  <c r="AM135" i="1"/>
  <c r="AM136" i="1" s="1"/>
  <c r="A69" i="1"/>
  <c r="A73" i="1"/>
  <c r="AM72" i="1"/>
  <c r="AM73" i="1" s="1"/>
  <c r="AM74" i="1" s="1"/>
  <c r="AM75" i="1" s="1"/>
  <c r="AM76" i="1" s="1"/>
  <c r="AM137" i="1"/>
  <c r="AM138" i="1" s="1"/>
  <c r="AM139" i="1" s="1"/>
  <c r="AM140" i="1" s="1"/>
  <c r="AM141" i="1" s="1"/>
  <c r="AK77" i="1"/>
  <c r="AJ128" i="1"/>
  <c r="AJ129" i="1"/>
  <c r="AJ130" i="1"/>
  <c r="AM142" i="1"/>
  <c r="AM143" i="1" s="1"/>
  <c r="AM144" i="1" s="1"/>
  <c r="AM145" i="1" s="1"/>
  <c r="AM146" i="1" s="1"/>
  <c r="AM147" i="1" s="1"/>
  <c r="AM148" i="1" s="1"/>
  <c r="AM149" i="1" s="1"/>
  <c r="AM150" i="1" s="1"/>
  <c r="AM77" i="1"/>
  <c r="AL128" i="1"/>
  <c r="AK78" i="1"/>
  <c r="AK79" i="1" s="1"/>
  <c r="AK80" i="1" s="1"/>
  <c r="AK81" i="1" s="1"/>
  <c r="AL77" i="1"/>
  <c r="AK82" i="1"/>
  <c r="AK83" i="1" s="1"/>
  <c r="AK84" i="1" s="1"/>
  <c r="AL81" i="1"/>
  <c r="AJ131" i="1"/>
  <c r="AM78" i="1"/>
  <c r="AM79" i="1" s="1"/>
  <c r="AM80" i="1" s="1"/>
  <c r="AM81" i="1" s="1"/>
  <c r="AM82" i="1" s="1"/>
  <c r="AM83" i="1" s="1"/>
  <c r="AM84" i="1" s="1"/>
  <c r="AM85" i="1" s="1"/>
  <c r="AM86" i="1" s="1"/>
  <c r="AM87" i="1" s="1"/>
  <c r="AM88" i="1" s="1"/>
  <c r="A128" i="1"/>
  <c r="A77" i="1"/>
  <c r="AM151" i="1"/>
  <c r="AM152" i="1"/>
  <c r="AJ132" i="1"/>
  <c r="A81" i="1"/>
  <c r="AJ133" i="1"/>
  <c r="AJ134" i="1"/>
  <c r="AJ135" i="1" s="1"/>
  <c r="AJ136" i="1" s="1"/>
  <c r="AL132" i="1"/>
  <c r="AM153" i="1"/>
  <c r="AM154" i="1" s="1"/>
  <c r="AM155" i="1" s="1"/>
  <c r="AJ137" i="1"/>
  <c r="AJ138" i="1" s="1"/>
  <c r="I26" i="29" l="1"/>
  <c r="I11" i="29"/>
  <c r="C49" i="27"/>
  <c r="E30" i="27"/>
  <c r="E21" i="27"/>
  <c r="E6" i="27"/>
  <c r="E19" i="27"/>
  <c r="C51" i="27"/>
  <c r="I23" i="29"/>
  <c r="E47" i="27"/>
  <c r="C20" i="27"/>
  <c r="C45" i="27"/>
  <c r="E31" i="27"/>
  <c r="I9" i="29"/>
  <c r="I24" i="29"/>
  <c r="C38" i="27"/>
  <c r="C52" i="27"/>
  <c r="I30" i="29"/>
  <c r="E22" i="27"/>
  <c r="I19" i="29"/>
  <c r="C28" i="27"/>
  <c r="E17" i="27"/>
  <c r="E39" i="27"/>
  <c r="C46" i="27"/>
  <c r="I2" i="29"/>
  <c r="A57" i="27" s="1"/>
  <c r="E10" i="27"/>
  <c r="E44" i="27"/>
  <c r="I17" i="29"/>
  <c r="E43" i="27"/>
  <c r="E8" i="27"/>
  <c r="I28" i="29"/>
  <c r="E25" i="27"/>
  <c r="E42" i="27"/>
  <c r="C32" i="27"/>
  <c r="C30" i="27"/>
  <c r="I8" i="29"/>
  <c r="C8" i="27"/>
  <c r="C6" i="27"/>
  <c r="E45" i="27"/>
  <c r="C11" i="27"/>
  <c r="C9" i="27"/>
  <c r="E18" i="27"/>
  <c r="E20" i="27"/>
  <c r="C39" i="27"/>
  <c r="E27" i="27"/>
  <c r="C24" i="27"/>
  <c r="E5" i="27"/>
  <c r="C47" i="27"/>
  <c r="E14" i="27"/>
  <c r="C50" i="27"/>
  <c r="E28" i="27"/>
  <c r="E51" i="27"/>
  <c r="E32" i="27"/>
  <c r="C25" i="27"/>
  <c r="I25" i="29"/>
  <c r="E29" i="27"/>
  <c r="E33" i="27"/>
  <c r="C29" i="27"/>
  <c r="C12" i="27"/>
  <c r="E4" i="27"/>
  <c r="I10" i="29"/>
  <c r="C10" i="27"/>
  <c r="I20" i="29"/>
  <c r="I16" i="29"/>
  <c r="E23" i="27"/>
  <c r="C21" i="27"/>
  <c r="E40" i="27"/>
  <c r="E7" i="27"/>
  <c r="C43" i="27"/>
  <c r="E36" i="27"/>
  <c r="C17" i="27"/>
  <c r="E24" i="27"/>
  <c r="E26" i="27"/>
  <c r="E37" i="27"/>
  <c r="E35" i="27"/>
  <c r="E11" i="27"/>
  <c r="I22" i="29"/>
  <c r="I29" i="29"/>
  <c r="C34" i="27"/>
  <c r="C31" i="27"/>
  <c r="C40" i="27"/>
  <c r="C42" i="27"/>
  <c r="E49" i="27"/>
  <c r="C36" i="27"/>
  <c r="E52" i="27"/>
  <c r="E12" i="27"/>
  <c r="I13" i="29"/>
  <c r="C19" i="27"/>
  <c r="C33" i="27"/>
  <c r="C15" i="27"/>
  <c r="E50" i="27"/>
  <c r="C35" i="27"/>
  <c r="E48" i="27"/>
  <c r="E16" i="27"/>
  <c r="C16" i="27"/>
  <c r="E41" i="27"/>
  <c r="I21" i="29"/>
  <c r="E9" i="27"/>
  <c r="C44" i="27"/>
  <c r="I12" i="29"/>
  <c r="I15" i="29"/>
  <c r="C27" i="27"/>
  <c r="C7" i="27"/>
  <c r="I27" i="29"/>
  <c r="I18" i="29"/>
  <c r="E46" i="27"/>
  <c r="C4" i="27"/>
  <c r="C18" i="27"/>
  <c r="C22" i="27"/>
  <c r="I14" i="29"/>
  <c r="C41" i="27"/>
  <c r="C37" i="27"/>
  <c r="E15" i="27"/>
  <c r="C48" i="27"/>
  <c r="E38" i="27"/>
  <c r="F38" i="27" s="1"/>
  <c r="C26" i="27"/>
  <c r="C14" i="27"/>
  <c r="E34" i="27"/>
  <c r="C5" i="27"/>
  <c r="E13" i="27"/>
  <c r="C23" i="27"/>
  <c r="C13" i="27"/>
  <c r="AJ139" i="1"/>
  <c r="AJ140" i="1" s="1"/>
  <c r="AL136" i="1"/>
  <c r="A132" i="1"/>
  <c r="AJ141" i="1"/>
  <c r="AJ142" i="1" s="1"/>
  <c r="G5" i="27" l="1"/>
  <c r="D5" i="27"/>
  <c r="D41" i="27"/>
  <c r="G41" i="27"/>
  <c r="G7" i="27"/>
  <c r="D7" i="27"/>
  <c r="D16" i="27"/>
  <c r="G16" i="27"/>
  <c r="F50" i="27"/>
  <c r="F49" i="27"/>
  <c r="D34" i="27"/>
  <c r="G34" i="27"/>
  <c r="F35" i="27"/>
  <c r="D17" i="27"/>
  <c r="G17" i="27"/>
  <c r="F40" i="27"/>
  <c r="G12" i="27"/>
  <c r="D12" i="27"/>
  <c r="F28" i="27"/>
  <c r="F5" i="27"/>
  <c r="F20" i="27"/>
  <c r="F45" i="27"/>
  <c r="D30" i="27"/>
  <c r="G30" i="27"/>
  <c r="F44" i="27"/>
  <c r="F39" i="27"/>
  <c r="F22" i="27"/>
  <c r="D20" i="27"/>
  <c r="G20" i="27"/>
  <c r="F19" i="27"/>
  <c r="D49" i="27"/>
  <c r="G49" i="27"/>
  <c r="D13" i="27"/>
  <c r="G13" i="27"/>
  <c r="F34" i="27"/>
  <c r="D48" i="27"/>
  <c r="G48" i="27"/>
  <c r="F46" i="27"/>
  <c r="G27" i="27"/>
  <c r="D27" i="27"/>
  <c r="F9" i="27"/>
  <c r="F16" i="27"/>
  <c r="G15" i="27"/>
  <c r="D15" i="27"/>
  <c r="F12" i="27"/>
  <c r="G42" i="27"/>
  <c r="D42" i="27"/>
  <c r="F37" i="27"/>
  <c r="F36" i="27"/>
  <c r="G21" i="27"/>
  <c r="D21" i="27"/>
  <c r="G10" i="27"/>
  <c r="D10" i="27"/>
  <c r="D29" i="27"/>
  <c r="G29" i="27"/>
  <c r="G25" i="27"/>
  <c r="D25" i="27"/>
  <c r="D50" i="27"/>
  <c r="G50" i="27"/>
  <c r="D24" i="27"/>
  <c r="G24" i="27"/>
  <c r="F18" i="27"/>
  <c r="G6" i="27"/>
  <c r="D6" i="27"/>
  <c r="D32" i="27"/>
  <c r="G32" i="27"/>
  <c r="F8" i="27"/>
  <c r="F10" i="27"/>
  <c r="F17" i="27"/>
  <c r="F47" i="27"/>
  <c r="F6" i="27"/>
  <c r="G28" i="27"/>
  <c r="D28" i="27"/>
  <c r="D52" i="27"/>
  <c r="G52" i="27"/>
  <c r="F31" i="27"/>
  <c r="F21" i="27"/>
  <c r="G4" i="27"/>
  <c r="D4" i="27"/>
  <c r="G44" i="27"/>
  <c r="D44" i="27"/>
  <c r="G23" i="27"/>
  <c r="D23" i="27"/>
  <c r="D14" i="27"/>
  <c r="G14" i="27"/>
  <c r="F15" i="27"/>
  <c r="G22" i="27"/>
  <c r="D22" i="27"/>
  <c r="F48" i="27"/>
  <c r="D33" i="27"/>
  <c r="G33" i="27"/>
  <c r="F52" i="27"/>
  <c r="G40" i="27"/>
  <c r="D40" i="27"/>
  <c r="F26" i="27"/>
  <c r="G43" i="27"/>
  <c r="D43" i="27"/>
  <c r="F23" i="27"/>
  <c r="F33" i="27"/>
  <c r="F32" i="27"/>
  <c r="F14" i="27"/>
  <c r="F27" i="27"/>
  <c r="G9" i="27"/>
  <c r="D9" i="27"/>
  <c r="G8" i="27"/>
  <c r="D8" i="27"/>
  <c r="F42" i="27"/>
  <c r="F43" i="27"/>
  <c r="F13" i="27"/>
  <c r="D26" i="27"/>
  <c r="G26" i="27"/>
  <c r="G37" i="27"/>
  <c r="D37" i="27"/>
  <c r="G18" i="27"/>
  <c r="D18" i="27"/>
  <c r="F41" i="27"/>
  <c r="D35" i="27"/>
  <c r="G35" i="27"/>
  <c r="G19" i="27"/>
  <c r="D19" i="27"/>
  <c r="D36" i="27"/>
  <c r="G36" i="27"/>
  <c r="D31" i="27"/>
  <c r="G31" i="27"/>
  <c r="F11" i="27"/>
  <c r="F24" i="27"/>
  <c r="F7" i="27"/>
  <c r="F4" i="27"/>
  <c r="F29" i="27"/>
  <c r="F51" i="27"/>
  <c r="D47" i="27"/>
  <c r="G47" i="27"/>
  <c r="D39" i="27"/>
  <c r="G39" i="27"/>
  <c r="G11" i="27"/>
  <c r="D11" i="27"/>
  <c r="B59" i="27"/>
  <c r="F25" i="27"/>
  <c r="G46" i="27"/>
  <c r="D46" i="27"/>
  <c r="D38" i="27"/>
  <c r="G38" i="27"/>
  <c r="D45" i="27"/>
  <c r="G45" i="27"/>
  <c r="D51" i="27"/>
  <c r="G51" i="27"/>
  <c r="F30" i="27"/>
  <c r="AJ143" i="1"/>
  <c r="AJ144" i="1" s="1"/>
  <c r="B60" i="27"/>
  <c r="A136" i="1"/>
  <c r="AL140" i="1"/>
  <c r="A58" i="27"/>
  <c r="B58" i="27"/>
  <c r="AJ145" i="1"/>
  <c r="AJ146" i="1" s="1"/>
  <c r="H46" i="27" l="1"/>
  <c r="H11" i="27"/>
  <c r="H19" i="27"/>
  <c r="H26" i="27"/>
  <c r="H22" i="27"/>
  <c r="H38" i="27"/>
  <c r="H39" i="27"/>
  <c r="H35" i="27"/>
  <c r="H18" i="27"/>
  <c r="H23" i="27"/>
  <c r="H24" i="27"/>
  <c r="H48" i="27"/>
  <c r="H20" i="27"/>
  <c r="H7" i="27"/>
  <c r="H8" i="27"/>
  <c r="H40" i="27"/>
  <c r="H14" i="27"/>
  <c r="H25" i="27"/>
  <c r="H10" i="27"/>
  <c r="H49" i="27"/>
  <c r="H30" i="27"/>
  <c r="H34" i="27"/>
  <c r="H16" i="27"/>
  <c r="H41" i="27"/>
  <c r="H9" i="27"/>
  <c r="H33" i="27"/>
  <c r="H51" i="27"/>
  <c r="H36" i="27"/>
  <c r="H4" i="27"/>
  <c r="H12" i="27"/>
  <c r="H5" i="27"/>
  <c r="H45" i="27"/>
  <c r="H47" i="27"/>
  <c r="H31" i="27"/>
  <c r="H37" i="27"/>
  <c r="H43" i="27"/>
  <c r="H44" i="27"/>
  <c r="H28" i="27"/>
  <c r="H6" i="27"/>
  <c r="H50" i="27"/>
  <c r="H29" i="27"/>
  <c r="H15" i="27"/>
  <c r="H27" i="27"/>
  <c r="H17" i="27"/>
  <c r="H52" i="27"/>
  <c r="H32" i="27"/>
  <c r="H21" i="27"/>
  <c r="H42" i="27"/>
  <c r="H13" i="27"/>
  <c r="AJ147" i="1"/>
  <c r="AJ148" i="1" s="1"/>
  <c r="A140" i="1"/>
  <c r="AL144" i="1"/>
  <c r="AJ149" i="1"/>
  <c r="AJ150" i="1" s="1"/>
  <c r="AJ151" i="1"/>
  <c r="AL148" i="1"/>
  <c r="A144" i="1"/>
  <c r="A148" i="1"/>
  <c r="Y5" i="1" l="1"/>
</calcChain>
</file>

<file path=xl/comments1.xml><?xml version="1.0" encoding="utf-8"?>
<comments xmlns="http://schemas.openxmlformats.org/spreadsheetml/2006/main">
  <authors>
    <author>Author</author>
  </authors>
  <commentList>
    <comment ref="K3" authorId="0">
      <text>
        <r>
          <rPr>
            <sz val="9"/>
            <color indexed="81"/>
            <rFont val="Tahoma"/>
            <family val="2"/>
          </rPr>
          <t>Please select the Principal Recipients from the drop-down menu or add a new Principal Recipient by typing in the name in the respective field.</t>
        </r>
      </text>
    </comment>
    <comment ref="A4" authorId="0">
      <text>
        <r>
          <rPr>
            <sz val="9"/>
            <color indexed="81"/>
            <rFont val="Tahoma"/>
            <family val="2"/>
          </rPr>
          <t>In this box select the disease for which the request will be prepared. By doing so, the relevant drop-down boxes in various sections of the template will be activated. One can also choose to complete a blank version of the template which will not offer any drop-down boxes and all fields will have to be filled in manually.</t>
        </r>
      </text>
    </comment>
    <comment ref="A10" authorId="0">
      <text>
        <r>
          <rPr>
            <b/>
            <sz val="9"/>
            <color indexed="81"/>
            <rFont val="Tahoma"/>
            <family val="2"/>
          </rPr>
          <t xml:space="preserve">Goal(s) </t>
        </r>
        <r>
          <rPr>
            <sz val="9"/>
            <color indexed="81"/>
            <rFont val="Tahoma"/>
            <family val="2"/>
          </rPr>
          <t xml:space="preserve">are broad and overarching statements of a desired, medium to long-term impact of the program and should be consistent with the national strategic plan. </t>
        </r>
      </text>
    </comment>
    <comment ref="B10" authorId="0">
      <text>
        <r>
          <rPr>
            <b/>
            <sz val="9"/>
            <color indexed="81"/>
            <rFont val="Tahoma"/>
            <charset val="1"/>
          </rPr>
          <t>Inserting new lines in any section</t>
        </r>
        <r>
          <rPr>
            <sz val="9"/>
            <color indexed="81"/>
            <rFont val="Tahoma"/>
            <charset val="1"/>
          </rPr>
          <t xml:space="preserve">
If there is a need to insert more lines, pls:
1. Select entire existing line(s)
2. Copy
3. Right-click and Insert Copied Cells (before the selected line)</t>
        </r>
      </text>
    </comment>
    <comment ref="A14" authorId="0">
      <text>
        <r>
          <rPr>
            <sz val="9"/>
            <color indexed="81"/>
            <rFont val="Tahoma"/>
            <family val="2"/>
          </rPr>
          <t xml:space="preserve">Linked to goal(s) #: For each of the indicators, specify the goal number(s) they relate to. One indicator may relate to multiple goals.
</t>
        </r>
      </text>
    </comment>
    <comment ref="B14" authorId="0">
      <text>
        <r>
          <rPr>
            <b/>
            <sz val="9"/>
            <color indexed="81"/>
            <rFont val="Tahoma"/>
            <family val="2"/>
          </rPr>
          <t xml:space="preserve">Impact indicators </t>
        </r>
        <r>
          <rPr>
            <sz val="9"/>
            <color indexed="81"/>
            <rFont val="Tahoma"/>
            <family val="2"/>
          </rPr>
          <t xml:space="preserve">are related to the defined goal(s). Under "impact indicator" a drop-down box with standard indicators, as specified in the Monitoring and Evaluation Toolkit, is provided. The Global Fund encourages as far as possible the use of the proposed standard indicators, however, if appropriate for the local situation, one can overwrite this drop-down box to input a country specific indicator. The selected indicators should be in line with the national strategic plan and its respective M&amp;E plan. 
</t>
        </r>
      </text>
    </comment>
    <comment ref="U14" authorId="0">
      <text>
        <r>
          <rPr>
            <b/>
            <sz val="9"/>
            <color indexed="81"/>
            <rFont val="Tahoma"/>
            <family val="2"/>
          </rPr>
          <t>Comments:</t>
        </r>
        <r>
          <rPr>
            <sz val="9"/>
            <color indexed="81"/>
            <rFont val="Tahoma"/>
            <family val="2"/>
          </rPr>
          <t xml:space="preserve"> Data sources should be specified here if they are different from baseline data sources.
</t>
        </r>
      </text>
    </comment>
    <comment ref="I15" authorId="0">
      <text>
        <r>
          <rPr>
            <b/>
            <sz val="9"/>
            <color indexed="81"/>
            <rFont val="Tahoma"/>
            <family val="2"/>
          </rPr>
          <t xml:space="preserve">Baselines:  </t>
        </r>
        <r>
          <rPr>
            <sz val="9"/>
            <color indexed="81"/>
            <rFont val="Tahoma"/>
            <family val="2"/>
          </rPr>
          <t>If no data is available, than baselines should be determined during the implementation of the grant. If the data source for the baseline is different from the data source that will be used to report on the indicator,  please specify this in the "comments" field.</t>
        </r>
        <r>
          <rPr>
            <sz val="9"/>
            <color indexed="81"/>
            <rFont val="Tahoma"/>
            <family val="2"/>
          </rPr>
          <t xml:space="preserve">
</t>
        </r>
      </text>
    </comment>
    <comment ref="O15" authorId="0">
      <text>
        <r>
          <rPr>
            <b/>
            <sz val="9"/>
            <color indexed="81"/>
            <rFont val="Tahoma"/>
            <family val="2"/>
          </rPr>
          <t xml:space="preserve">Targets </t>
        </r>
        <r>
          <rPr>
            <sz val="9"/>
            <color indexed="81"/>
            <rFont val="Tahoma"/>
            <family val="2"/>
          </rPr>
          <t xml:space="preserve">should be included according to the frequency of their measurement. For example, if surveys are conducted in year 1 and 3, only in these years targets should be provided. Please include the targets in the calendar year during which the data will be collected. For more details on the frequency and timing of reporting for impact indicators refer to the Monitoring &amp; Evaluation Toolkit.
</t>
        </r>
      </text>
    </comment>
    <comment ref="A26" authorId="0">
      <text>
        <r>
          <rPr>
            <b/>
            <sz val="9"/>
            <color indexed="81"/>
            <rFont val="Tahoma"/>
            <family val="2"/>
          </rPr>
          <t>Objectives:</t>
        </r>
        <r>
          <rPr>
            <sz val="9"/>
            <color indexed="81"/>
            <rFont val="Tahoma"/>
            <family val="2"/>
          </rPr>
          <t xml:space="preserve"> Each goal should have a set of related, more specific objectives that will permit the program to reach the stated goal(s). These objectives should be consistent with the objectives of the national disease control strategic plan.
</t>
        </r>
      </text>
    </comment>
    <comment ref="A32" authorId="0">
      <text>
        <r>
          <rPr>
            <b/>
            <sz val="9"/>
            <color indexed="81"/>
            <rFont val="Tahoma"/>
            <family val="2"/>
          </rPr>
          <t xml:space="preserve">Linked to objective(s) #: </t>
        </r>
        <r>
          <rPr>
            <sz val="9"/>
            <color indexed="81"/>
            <rFont val="Tahoma"/>
            <family val="2"/>
          </rPr>
          <t xml:space="preserve">For each of the indicators, specify the objective number(s) they relate to. One indicator may relate to multiple objectives. </t>
        </r>
      </text>
    </comment>
    <comment ref="B32" authorId="0">
      <text>
        <r>
          <rPr>
            <b/>
            <sz val="9"/>
            <color indexed="81"/>
            <rFont val="Tahoma"/>
            <family val="2"/>
          </rPr>
          <t>Outcome indicators</t>
        </r>
        <r>
          <rPr>
            <sz val="9"/>
            <color indexed="81"/>
            <rFont val="Tahoma"/>
            <family val="2"/>
          </rPr>
          <t xml:space="preserve"> are related to the defined objective(s). Under "outcome indicator" a drop-down box with standard indicators, as specified in the Monitoring and Evaluation Toolkit, is provided. The Global Fund encourages as far as possible the use of the proposed standard indicators, however, if appropriate for the local situation, one can overwrite this drop-down box to input a country specific indicator. The selected indicators should be in line with the national disease control strategic plan and its respective M&amp;E plan. </t>
        </r>
      </text>
    </comment>
    <comment ref="I33" authorId="0">
      <text>
        <r>
          <rPr>
            <b/>
            <sz val="9"/>
            <color indexed="81"/>
            <rFont val="Tahoma"/>
            <family val="2"/>
          </rPr>
          <t xml:space="preserve">Latest available baseline/result: </t>
        </r>
        <r>
          <rPr>
            <sz val="9"/>
            <color indexed="81"/>
            <rFont val="Tahoma"/>
            <family val="2"/>
          </rPr>
          <t xml:space="preserve">Baselines serve as the starting point against which the performance of the program will be measured. Baselines should take into consideration the latest available results and/or the latest available information provided by technical partners and other valid sources. Baseline data (value, year and source) need to be provided for each indicator. In the source field a non-exhaustive choice of sources is provided in a drop-down box. If necessary other sources may be included by overwriting the field. </t>
        </r>
      </text>
    </comment>
    <comment ref="A43" authorId="0">
      <text>
        <r>
          <rPr>
            <b/>
            <sz val="9"/>
            <color indexed="81"/>
            <rFont val="Tahoma"/>
            <family val="2"/>
          </rPr>
          <t>Modules</t>
        </r>
        <r>
          <rPr>
            <sz val="9"/>
            <color indexed="81"/>
            <rFont val="Tahoma"/>
            <family val="2"/>
          </rPr>
          <t xml:space="preserve">
Copy + paste this Module block (Measurement framework and Budget) for each module you want to include
</t>
        </r>
        <r>
          <rPr>
            <b/>
            <sz val="9"/>
            <color indexed="81"/>
            <rFont val="Tahoma"/>
            <family val="2"/>
          </rPr>
          <t>Module Measurement Framework</t>
        </r>
        <r>
          <rPr>
            <sz val="9"/>
            <color indexed="81"/>
            <rFont val="Tahoma"/>
            <family val="2"/>
          </rPr>
          <t xml:space="preserve">
• Do not delete or replace the pre-populated standard coverage indicator text (blue)
• Add new indicator, if needed, below the blue standard coverage indicators
• If not using a std indicator, explain in short why it is not being used
</t>
        </r>
        <r>
          <rPr>
            <b/>
            <sz val="9"/>
            <color indexed="81"/>
            <rFont val="Tahoma"/>
            <family val="2"/>
          </rPr>
          <t>Module budget</t>
        </r>
        <r>
          <rPr>
            <sz val="9"/>
            <color indexed="81"/>
            <rFont val="Tahoma"/>
            <family val="2"/>
          </rPr>
          <t xml:space="preserve">
If you change the module selection, note that previously selected interventions under the original module budget will not blank out. You will need to delete them before selecting the relevant interventions under the newly selected module.</t>
        </r>
      </text>
    </comment>
    <comment ref="D45" authorId="0">
      <text>
        <r>
          <rPr>
            <b/>
            <sz val="9"/>
            <color indexed="81"/>
            <rFont val="Tahoma"/>
            <family val="2"/>
          </rPr>
          <t xml:space="preserve">Responsible Principal Recipient: </t>
        </r>
        <r>
          <rPr>
            <sz val="9"/>
            <color indexed="81"/>
            <rFont val="Tahoma"/>
            <family val="2"/>
          </rPr>
          <t xml:space="preserve">If more than one Principal Recipient is envisioned in this request, please list in this field the PR (s) who will be responsible for the implementation of interventions related to this indicator. If more than one,  please disaggregate targets (to the extent possible) by PR. </t>
        </r>
      </text>
    </comment>
    <comment ref="E45" authorId="0">
      <text>
        <r>
          <rPr>
            <b/>
            <sz val="9"/>
            <color indexed="81"/>
            <rFont val="Tahoma"/>
            <family val="2"/>
          </rPr>
          <t xml:space="preserve">Tied to: </t>
        </r>
        <r>
          <rPr>
            <sz val="9"/>
            <color indexed="81"/>
            <rFont val="Tahoma"/>
            <family val="2"/>
          </rPr>
          <t xml:space="preserve">Select one of the four options under this column to describe if targets are linked to one of the following sources of funding:
a) Current grant - when targets are a subset of the national targets and represent the portion funded exclusively by the Global Fund grant for one Principle Recipient
b) Multiple Global Fund grants - when targets are a subset of the national targets and represent the portion funded exclusively by more than one Global Fund grant. In such case specify in the comments the grant numbers that contribute to the achievement of these targets
c) Global Fund and other donors - when the targets are a subset of the national targets and represent the portion jointly funded exclusively by the Global Fund and other multilateral or bilateral donors.
d) National Program - when targets refer to the entire country (national). 
Exception: This option could also be selected in cases where targets refer to an entire region or province in the country (sub-national) to which Global Fund resources are contributing only partially. When the sub-national targets are fully funded by the Global Fund, option a (current grant) or b (Multiple Global Fund grants) should be selected as appropriate. Please specify in the comments box if targets are sub-national. </t>
        </r>
      </text>
    </comment>
    <comment ref="G45" authorId="0">
      <text>
        <r>
          <rPr>
            <b/>
            <sz val="9"/>
            <color indexed="81"/>
            <rFont val="Tahoma"/>
            <family val="2"/>
          </rPr>
          <t xml:space="preserve">Latest available baseline/result: </t>
        </r>
        <r>
          <rPr>
            <sz val="9"/>
            <color indexed="81"/>
            <rFont val="Tahoma"/>
            <family val="2"/>
          </rPr>
          <t>Baselines serve as the starting point against which the performance of the program will be measured. Baselines should take into consideration the latest available results and/or the latest available information provided by technical partners and other valid sources. Baseline data (value, year and source) need to be provided for each indicator. In the source field a non-exhaustive choice of sources is provided in a drop-down box. If necessary other sources may be included by overwriting the field.</t>
        </r>
      </text>
    </comment>
    <comment ref="M45" authorId="0">
      <text>
        <r>
          <rPr>
            <b/>
            <sz val="9"/>
            <color indexed="81"/>
            <rFont val="Tahoma"/>
            <family val="2"/>
          </rPr>
          <t>Targets:</t>
        </r>
        <r>
          <rPr>
            <sz val="9"/>
            <color indexed="81"/>
            <rFont val="Tahoma"/>
            <family val="2"/>
          </rPr>
          <t xml:space="preserve"> Please include here the targets for each indicator (For coverage indicators provide numerator value, denominator value and percentage, for indicators that are not in percentage only provide the numerator value. Please note that not all indicators need to be reported during each period. Only include targets for periods when data will be collected.</t>
        </r>
      </text>
    </comment>
    <comment ref="S46" authorId="0">
      <text>
        <r>
          <rPr>
            <sz val="9"/>
            <color indexed="81"/>
            <rFont val="Tahoma"/>
            <family val="2"/>
          </rPr>
          <t>Please describe the a</t>
        </r>
        <r>
          <rPr>
            <b/>
            <sz val="9"/>
            <color indexed="81"/>
            <rFont val="Tahoma"/>
            <family val="2"/>
          </rPr>
          <t xml:space="preserve">ssumptions that were used to calculate the targets. </t>
        </r>
        <r>
          <rPr>
            <sz val="9"/>
            <color indexed="81"/>
            <rFont val="Tahoma"/>
            <family val="2"/>
          </rPr>
          <t xml:space="preserve">This should include: the anticipated rate of scale-up, coverage of additional key related services (eg. describing ANC attendance rates when setting PMTCT targets), size of the target population and the  data sources used to  generate population size estimates. If no population size estimates are available, please describe timeframe and process required to obtain them. For interventions that include a package of services, describe components of the package. Provide a brief definition of the numerator and denominator of the indicator, the data sources that will be used for reporting, and if there are any M&amp;E systems issues that may limit the ability to report on this indicator.  </t>
        </r>
      </text>
    </comment>
    <comment ref="H47" authorId="0">
      <text>
        <r>
          <rPr>
            <b/>
            <sz val="9"/>
            <color indexed="81"/>
            <rFont val="Tahoma"/>
            <family val="2"/>
          </rPr>
          <t>%</t>
        </r>
        <r>
          <rPr>
            <sz val="9"/>
            <color indexed="81"/>
            <rFont val="Tahoma"/>
            <family val="2"/>
          </rPr>
          <t>: percentage value is automatically calculated when the numerator and denominator values have been inserted</t>
        </r>
      </text>
    </comment>
    <comment ref="G49" authorId="0">
      <text>
        <r>
          <rPr>
            <b/>
            <sz val="9"/>
            <color indexed="81"/>
            <rFont val="Tahoma"/>
            <family val="2"/>
          </rPr>
          <t>N #</t>
        </r>
        <r>
          <rPr>
            <sz val="9"/>
            <color indexed="81"/>
            <rFont val="Tahoma"/>
            <family val="2"/>
          </rPr>
          <t>: Include here the numerator value</t>
        </r>
      </text>
    </comment>
    <comment ref="H49" authorId="0">
      <text>
        <r>
          <rPr>
            <b/>
            <sz val="9"/>
            <color indexed="81"/>
            <rFont val="Tahoma"/>
            <family val="2"/>
          </rPr>
          <t>For indicators that are not in percentage</t>
        </r>
        <r>
          <rPr>
            <sz val="9"/>
            <color indexed="81"/>
            <rFont val="Tahoma"/>
            <family val="2"/>
          </rPr>
          <t>, this field can be left blank. For indicators that are set in percentage only the fields for numerator value (N#) and denominator value (D#) can be left blank.</t>
        </r>
      </text>
    </comment>
    <comment ref="K49" authorId="0">
      <text>
        <r>
          <rPr>
            <sz val="9"/>
            <color indexed="81"/>
            <rFont val="Tahoma"/>
            <family val="2"/>
          </rPr>
          <t xml:space="preserve">This refers to targets that are expected to be achieved in the </t>
        </r>
        <r>
          <rPr>
            <b/>
            <sz val="9"/>
            <color indexed="81"/>
            <rFont val="Tahoma"/>
            <family val="2"/>
          </rPr>
          <t xml:space="preserve">indicative funding </t>
        </r>
        <r>
          <rPr>
            <sz val="9"/>
            <color indexed="81"/>
            <rFont val="Tahoma"/>
            <family val="2"/>
          </rPr>
          <t xml:space="preserve">request </t>
        </r>
      </text>
    </comment>
    <comment ref="M49" authorId="0">
      <text>
        <r>
          <rPr>
            <b/>
            <sz val="9"/>
            <color indexed="81"/>
            <rFont val="Tahoma"/>
            <family val="2"/>
          </rPr>
          <t>N #:</t>
        </r>
        <r>
          <rPr>
            <sz val="9"/>
            <color indexed="81"/>
            <rFont val="Tahoma"/>
            <family val="2"/>
          </rPr>
          <t xml:space="preserve"> Include here the numerator value</t>
        </r>
      </text>
    </comment>
    <comment ref="N49" authorId="0">
      <text>
        <r>
          <rPr>
            <sz val="9"/>
            <color indexed="81"/>
            <rFont val="Tahoma"/>
            <family val="2"/>
          </rPr>
          <t>%: percentage value is automatically calculated when the numerator and denominator values have been inserted</t>
        </r>
      </text>
    </comment>
    <comment ref="M50" authorId="0">
      <text>
        <r>
          <rPr>
            <b/>
            <sz val="9"/>
            <color indexed="81"/>
            <rFont val="Tahoma"/>
            <family val="2"/>
          </rPr>
          <t xml:space="preserve">D #: </t>
        </r>
        <r>
          <rPr>
            <sz val="9"/>
            <color indexed="81"/>
            <rFont val="Tahoma"/>
            <family val="2"/>
          </rPr>
          <t xml:space="preserve">Include here the denominator value.  If there is no denominator, leave this cell blank. 
</t>
        </r>
      </text>
    </comment>
    <comment ref="G51" authorId="0">
      <text>
        <r>
          <rPr>
            <b/>
            <sz val="9"/>
            <color indexed="81"/>
            <rFont val="Tahoma"/>
            <family val="2"/>
          </rPr>
          <t>D #</t>
        </r>
        <r>
          <rPr>
            <sz val="9"/>
            <color indexed="81"/>
            <rFont val="Tahoma"/>
            <family val="2"/>
          </rPr>
          <t>: Include here the denominator value.  If there is no denominator, leave this cell blank.</t>
        </r>
      </text>
    </comment>
    <comment ref="K51" authorId="0">
      <text>
        <r>
          <rPr>
            <sz val="9"/>
            <color indexed="81"/>
            <rFont val="Tahoma"/>
            <family val="2"/>
          </rPr>
          <t xml:space="preserve">This refers to targets that are expected to be achieved in the </t>
        </r>
        <r>
          <rPr>
            <b/>
            <sz val="9"/>
            <color indexed="81"/>
            <rFont val="Tahoma"/>
            <family val="2"/>
          </rPr>
          <t>above indicative</t>
        </r>
        <r>
          <rPr>
            <sz val="9"/>
            <color indexed="81"/>
            <rFont val="Tahoma"/>
            <family val="2"/>
          </rPr>
          <t xml:space="preserve"> funding request </t>
        </r>
      </text>
    </comment>
    <comment ref="Z63" authorId="0">
      <text>
        <r>
          <rPr>
            <sz val="9"/>
            <color indexed="81"/>
            <rFont val="Tahoma"/>
            <family val="2"/>
          </rPr>
          <t xml:space="preserve">• Provide </t>
        </r>
        <r>
          <rPr>
            <b/>
            <sz val="9"/>
            <color indexed="81"/>
            <rFont val="Tahoma"/>
            <family val="2"/>
          </rPr>
          <t>a brief explanation of which activities other donors and the government are already funding in support of this intervention</t>
        </r>
        <r>
          <rPr>
            <sz val="9"/>
            <color indexed="81"/>
            <rFont val="Tahoma"/>
            <family val="2"/>
          </rPr>
          <t xml:space="preserve">. If the amount and coverage is known, please describe  If the funding landscape is changing, please explain how this affects your request to the Global Fund.
• The explanation should provide an understanding of </t>
        </r>
        <r>
          <rPr>
            <b/>
            <sz val="9"/>
            <color indexed="81"/>
            <rFont val="Tahoma"/>
            <family val="2"/>
          </rPr>
          <t xml:space="preserve">why certain activities are not included in the funding request to the Global Fund. </t>
        </r>
        <r>
          <rPr>
            <sz val="9"/>
            <color indexed="81"/>
            <rFont val="Tahoma"/>
            <family val="2"/>
          </rPr>
          <t xml:space="preserve">It is important to ensure that all of the required activities to implement an intervention are funded by national resources or other donors. </t>
        </r>
      </text>
    </comment>
    <comment ref="D64" authorId="0">
      <text>
        <r>
          <rPr>
            <sz val="9"/>
            <color indexed="81"/>
            <rFont val="Tahoma"/>
            <family val="2"/>
          </rPr>
          <t>This</t>
        </r>
        <r>
          <rPr>
            <b/>
            <sz val="9"/>
            <color indexed="81"/>
            <rFont val="Tahoma"/>
            <family val="2"/>
          </rPr>
          <t xml:space="preserve"> </t>
        </r>
        <r>
          <rPr>
            <sz val="9"/>
            <color indexed="81"/>
            <rFont val="Tahoma"/>
            <family val="2"/>
          </rPr>
          <t>section should  explain</t>
        </r>
        <r>
          <rPr>
            <b/>
            <sz val="9"/>
            <color indexed="81"/>
            <rFont val="Tahoma"/>
            <family val="2"/>
          </rPr>
          <t xml:space="preserve"> why this intervention is needed and how it will deliver impact;</t>
        </r>
        <r>
          <rPr>
            <sz val="9"/>
            <color indexed="81"/>
            <rFont val="Tahoma"/>
            <family val="2"/>
          </rPr>
          <t xml:space="preserve">  the modalities of this intervention and how they have been chosen. 
• Provide at least 1 sentence on the rationale for this explanation: e.g. evidence or sources demonstrating that this intervention will be effective. 
• Provide at least 1 sentence on the rationale for this explanation: e.g. evidence or sources proving this intervention will be effective. 
• Provide at least 1 sentence on the scope of the intervention (eg. Geographic, population reached etc), 
• Provide at least 1 sentence on the activities that will be carried out under this intervention (e.g. BCC may include training, outreach, etc.). Please describe in sufficient detail the key activities and how they will be managed, as well as how the Global Fund sponsored activities will be coordinated with other related interventions
• If more than one PR will be responsible for an intervention, please describe the division of  responsibilities in implementation  (eg. regional coverage, supporting different activities within the intervention)
• Provide at least 1 sentence on how the scope may increase and what additional activities may be carried out due to the additional above indicative amount. Activities should be described in sufficent detail.</t>
        </r>
      </text>
    </comment>
    <comment ref="S64" authorId="0">
      <text>
        <r>
          <rPr>
            <sz val="9"/>
            <color indexed="81"/>
            <rFont val="Tahoma"/>
            <family val="2"/>
          </rPr>
          <t xml:space="preserve"> Please </t>
        </r>
        <r>
          <rPr>
            <b/>
            <sz val="9"/>
            <color indexed="81"/>
            <rFont val="Tahoma"/>
            <family val="2"/>
          </rPr>
          <t xml:space="preserve">explain how the figures of the funding request to the Global fund for this intervention were estimated. </t>
        </r>
        <r>
          <rPr>
            <sz val="9"/>
            <color indexed="81"/>
            <rFont val="Tahoma"/>
            <family val="2"/>
          </rPr>
          <t xml:space="preserve">
o (1) What subinterventions/activities are included within this cost, and their cost drivers. 
o (2) Sources of costing (e.g. past experience, technical partner benchmark or costing tool, detailed budgeting etc.)
o(3) Please provide cost assumption information for at least 80% of the value of the intervention. 
Please specify  </t>
        </r>
        <r>
          <rPr>
            <b/>
            <sz val="9"/>
            <color indexed="81"/>
            <rFont val="Tahoma"/>
            <family val="2"/>
          </rPr>
          <t xml:space="preserve">the number of services </t>
        </r>
        <r>
          <rPr>
            <sz val="9"/>
            <color indexed="81"/>
            <rFont val="Tahoma"/>
            <family val="2"/>
          </rPr>
          <t>that will be provided, per year, due to the contribution of GF (e.g. number of additional people reached by BCC interventions). Please clearly indicate the number of services due to indicative funding and incremental number due to above indicative funding.  Please also explain if there are changes in  number of services delivered across years or in the value of funding for the intervention.</t>
        </r>
      </text>
    </comment>
    <comment ref="A65" authorId="0">
      <text>
        <r>
          <rPr>
            <sz val="9"/>
            <color indexed="81"/>
            <rFont val="Tahoma"/>
            <family val="2"/>
          </rPr>
          <t xml:space="preserve">Please select the </t>
        </r>
        <r>
          <rPr>
            <b/>
            <sz val="9"/>
            <color indexed="81"/>
            <rFont val="Tahoma"/>
            <family val="2"/>
          </rPr>
          <t>intervention</t>
        </r>
        <r>
          <rPr>
            <sz val="9"/>
            <color indexed="81"/>
            <rFont val="Tahoma"/>
            <family val="2"/>
          </rPr>
          <t xml:space="preserve"> for which funding is being requested from the drop down list. The drop down shows all interventions within the selected module. 
• If the intervention is not in the drop down, please select the intervention "other" and explain the nature of this intervention in the description. Applicants are encouraged to select from the standard measurement framework interventions as much as possible.</t>
        </r>
      </text>
    </comment>
    <comment ref="J65" authorId="0">
      <text>
        <r>
          <rPr>
            <sz val="9"/>
            <color indexed="81"/>
            <rFont val="Tahoma"/>
            <family val="2"/>
          </rPr>
          <t xml:space="preserve">If more than one PR will be responsible for an intervention, please split the intervention field and indicate funding amounts requested per PR. 
</t>
        </r>
      </text>
    </comment>
    <comment ref="M65" authorId="0">
      <text>
        <r>
          <rPr>
            <sz val="9"/>
            <color indexed="81"/>
            <rFont val="Tahoma"/>
            <family val="2"/>
          </rPr>
          <t xml:space="preserve">Complete the </t>
        </r>
        <r>
          <rPr>
            <b/>
            <sz val="9"/>
            <color indexed="81"/>
            <rFont val="Tahoma"/>
            <family val="2"/>
          </rPr>
          <t xml:space="preserve">budget of your funding request </t>
        </r>
        <r>
          <rPr>
            <sz val="9"/>
            <color indexed="81"/>
            <rFont val="Tahoma"/>
            <family val="2"/>
          </rPr>
          <t>to the Global Fund for this intervention for each year.
Complete the budget of your funding request to the Global Fund for this intervention for each year.</t>
        </r>
      </text>
    </comment>
    <comment ref="K66" authorId="0">
      <text>
        <r>
          <rPr>
            <sz val="9"/>
            <color indexed="81"/>
            <rFont val="Tahoma"/>
            <family val="2"/>
          </rPr>
          <t>Funds requested under the</t>
        </r>
        <r>
          <rPr>
            <b/>
            <sz val="9"/>
            <color indexed="81"/>
            <rFont val="Tahoma"/>
            <family val="2"/>
          </rPr>
          <t xml:space="preserve"> indicative funding</t>
        </r>
        <r>
          <rPr>
            <sz val="9"/>
            <color indexed="81"/>
            <rFont val="Tahoma"/>
            <family val="2"/>
          </rPr>
          <t xml:space="preserve"> request</t>
        </r>
      </text>
    </comment>
    <comment ref="K67" authorId="0">
      <text>
        <r>
          <rPr>
            <sz val="9"/>
            <color indexed="81"/>
            <rFont val="Tahoma"/>
            <family val="2"/>
          </rPr>
          <t xml:space="preserve">Funds requested </t>
        </r>
        <r>
          <rPr>
            <b/>
            <sz val="9"/>
            <color indexed="81"/>
            <rFont val="Tahoma"/>
            <family val="2"/>
          </rPr>
          <t>above the indicative</t>
        </r>
        <r>
          <rPr>
            <sz val="9"/>
            <color indexed="81"/>
            <rFont val="Tahoma"/>
            <family val="2"/>
          </rPr>
          <t xml:space="preserve"> amount 
(above indicative + indicative = full request)</t>
        </r>
      </text>
    </comment>
  </commentList>
</comments>
</file>

<file path=xl/comments2.xml><?xml version="1.0" encoding="utf-8"?>
<comments xmlns="http://schemas.openxmlformats.org/spreadsheetml/2006/main">
  <authors>
    <author>Author</author>
  </authors>
  <commentList>
    <comment ref="K3" authorId="0">
      <text>
        <r>
          <rPr>
            <sz val="9"/>
            <color indexed="81"/>
            <rFont val="Tahoma"/>
            <family val="2"/>
          </rPr>
          <t>Veuillez sélectionner les récipiendaires principaux dans le menu déroulant ou ajouter un nouveau récipiendaire principal en saisissant son nom dans le champ correspondant.</t>
        </r>
      </text>
    </comment>
    <comment ref="A4" authorId="0">
      <text>
        <r>
          <rPr>
            <sz val="9"/>
            <color indexed="81"/>
            <rFont val="Tahoma"/>
            <family val="2"/>
          </rPr>
          <t>Dans cette case, sélectionnez la maladie pour laquelle la demande sera préparée, de manière à activer les cases déroulantes correspondantes dans diverses sections du modèle. Vous pouvez également décider de remplir une version vierge du modèle qui n'aura aucune case déroulante et tous les champs devront être complétés manuellement.</t>
        </r>
      </text>
    </comment>
    <comment ref="A10" authorId="0">
      <text>
        <r>
          <rPr>
            <sz val="9"/>
            <color indexed="81"/>
            <rFont val="Tahoma"/>
            <family val="2"/>
          </rPr>
          <t>Les</t>
        </r>
        <r>
          <rPr>
            <b/>
            <sz val="9"/>
            <color indexed="81"/>
            <rFont val="Tahoma"/>
            <family val="2"/>
          </rPr>
          <t xml:space="preserve"> buts</t>
        </r>
        <r>
          <rPr>
            <sz val="9"/>
            <color indexed="81"/>
            <rFont val="Tahoma"/>
            <family val="2"/>
          </rPr>
          <t xml:space="preserve"> sont des descriptions étendues et générales des résultats attendus du programme à moyen et long terme. Ils doivent être cohérents avec le plan stratégique national. </t>
        </r>
      </text>
    </comment>
    <comment ref="B10" authorId="0">
      <text>
        <r>
          <rPr>
            <b/>
            <sz val="9"/>
            <color indexed="81"/>
            <rFont val="Tahoma"/>
            <charset val="1"/>
          </rPr>
          <t xml:space="preserve">Insertion de nouvelles lignes dans une section
</t>
        </r>
        <r>
          <rPr>
            <sz val="9"/>
            <color indexed="81"/>
            <rFont val="Tahoma"/>
            <family val="2"/>
          </rPr>
          <t>S’il est nécessaire d'insérer plus de lignes, veuillez:</t>
        </r>
        <r>
          <rPr>
            <b/>
            <sz val="9"/>
            <color indexed="81"/>
            <rFont val="Tahoma"/>
            <charset val="1"/>
          </rPr>
          <t xml:space="preserve">
</t>
        </r>
        <r>
          <rPr>
            <sz val="9"/>
            <color indexed="81"/>
            <rFont val="Tahoma"/>
            <family val="2"/>
          </rPr>
          <t>1. Sélectionner toute(s) la (les) ligne(s) existante(s)
2. Copier la (les) ligne(s) sélectionnée(s)
3. Faire un clic droit et insérer les cellules copiées (avant la ligne sélectionnée)</t>
        </r>
        <r>
          <rPr>
            <b/>
            <sz val="9"/>
            <color indexed="81"/>
            <rFont val="Tahoma"/>
            <charset val="1"/>
          </rPr>
          <t xml:space="preserve">
</t>
        </r>
        <r>
          <rPr>
            <sz val="9"/>
            <color indexed="81"/>
            <rFont val="Tahoma"/>
            <charset val="1"/>
          </rPr>
          <t xml:space="preserve">
</t>
        </r>
      </text>
    </comment>
    <comment ref="A14" authorId="0">
      <text>
        <r>
          <rPr>
            <b/>
            <sz val="9"/>
            <color indexed="81"/>
            <rFont val="Tahoma"/>
            <family val="2"/>
          </rPr>
          <t>Lié aux buts numéro :</t>
        </r>
        <r>
          <rPr>
            <sz val="9"/>
            <color indexed="81"/>
            <rFont val="Tahoma"/>
            <family val="2"/>
          </rPr>
          <t xml:space="preserve"> pour chacun des indicateurs, spécifiez le numéro du ou des buts auxquels il se rapporte. Un indicateur peut se rapporter à plusieurs buts.
</t>
        </r>
      </text>
    </comment>
    <comment ref="B14" authorId="0">
      <text>
        <r>
          <rPr>
            <sz val="9"/>
            <color indexed="81"/>
            <rFont val="Tahoma"/>
            <family val="2"/>
          </rPr>
          <t>Les</t>
        </r>
        <r>
          <rPr>
            <b/>
            <sz val="9"/>
            <color indexed="81"/>
            <rFont val="Tahoma"/>
            <family val="2"/>
          </rPr>
          <t xml:space="preserve"> indicateurs d'impact</t>
        </r>
        <r>
          <rPr>
            <sz val="9"/>
            <color indexed="81"/>
            <rFont val="Tahoma"/>
            <family val="2"/>
          </rPr>
          <t xml:space="preserve"> sont liés aux buts définis. Sous « Indicateur d'impact » se trouve une case déroulante avec les indicateurs standard, tels que spécifiés dans le Guide de suivi et d'évaluation. Le Fonds mondial préconise autant que possible l'utilisation des indicateurs standard proposés. Cependant, dans certaines situations locales, il est possible d'entrer dans cette case déroulante un indicateur spécifique au pays. Les indicateurs sélectionnés doivent être en conformité avec le plan stratégique national et le plan de suivi et d'évaluation correspondant. 
</t>
        </r>
      </text>
    </comment>
    <comment ref="U14" authorId="0">
      <text>
        <r>
          <rPr>
            <sz val="9"/>
            <color indexed="81"/>
            <rFont val="Tahoma"/>
            <family val="2"/>
          </rPr>
          <t xml:space="preserve">Remarques : les sources des données doivent être indiquées ici si elles diffèrent de celles des données de référence.
</t>
        </r>
      </text>
    </comment>
    <comment ref="I15" authorId="0">
      <text>
        <r>
          <rPr>
            <b/>
            <sz val="9"/>
            <color indexed="81"/>
            <rFont val="Tahoma"/>
            <family val="2"/>
          </rPr>
          <t>Données de référence </t>
        </r>
        <r>
          <rPr>
            <sz val="9"/>
            <color indexed="81"/>
            <rFont val="Tahoma"/>
            <family val="2"/>
          </rPr>
          <t xml:space="preserve">: si les données de référence ne sont pas disponibles, elles doivent être déterminées pendant la phase de mise en œuvre de la subvention. Si la source des données de référence diffère de celle qui sera utilisée pour communiquer les informations relatives à l'indicateur, veuillez le préciser dans le champ « Remarques ».
</t>
        </r>
      </text>
    </comment>
    <comment ref="O15" authorId="0">
      <text>
        <r>
          <rPr>
            <sz val="9"/>
            <color indexed="81"/>
            <rFont val="Tahoma"/>
            <family val="2"/>
          </rPr>
          <t xml:space="preserve">Les </t>
        </r>
        <r>
          <rPr>
            <b/>
            <sz val="9"/>
            <color indexed="81"/>
            <rFont val="Tahoma"/>
            <family val="2"/>
          </rPr>
          <t>cibles</t>
        </r>
        <r>
          <rPr>
            <sz val="9"/>
            <color indexed="81"/>
            <rFont val="Tahoma"/>
            <family val="2"/>
          </rPr>
          <t xml:space="preserve"> doivent être fournies selon la fréquence de leur mesure. Par exemple, si des enquêtes sont menées les 1e et 3e années, seules les cibles de ces années-là doivent être mentionnées. Veuillez indiquer les cibles de l'année calendaire pendant laquelle les données seront recueillies. Pour plus de détails sur la fréquence et le calendrier de communication de l'information sur les indicateurs d'impact, référez-vous au Guide de suivi et d'évaluation.
</t>
        </r>
      </text>
    </comment>
    <comment ref="A26" authorId="0">
      <text>
        <r>
          <rPr>
            <b/>
            <sz val="9"/>
            <color indexed="81"/>
            <rFont val="Tahoma"/>
            <family val="2"/>
          </rPr>
          <t>Objectifs </t>
        </r>
        <r>
          <rPr>
            <sz val="9"/>
            <color indexed="81"/>
            <rFont val="Tahoma"/>
            <family val="2"/>
          </rPr>
          <t xml:space="preserve">: chaque but doit être associé à une série d'objectifs correspondants, plus spécifiques, qui doivent permettre au programme d'atteindre le ou les buts déclarés. Ces objectifs doivent correspondre aux objectifs du plan stratégique national de lutte contre la maladie.
</t>
        </r>
      </text>
    </comment>
    <comment ref="A32" authorId="0">
      <text>
        <r>
          <rPr>
            <b/>
            <sz val="9"/>
            <color indexed="81"/>
            <rFont val="Tahoma"/>
            <family val="2"/>
          </rPr>
          <t>Lié aux objectifs numéro</t>
        </r>
        <r>
          <rPr>
            <sz val="9"/>
            <color indexed="81"/>
            <rFont val="Tahoma"/>
            <family val="2"/>
          </rPr>
          <t xml:space="preserve"> : pour chacun des indicateurs, précisez les numéros d'objectifs auxquels il se rapporte. Un indicateur peut se rapporter à plusieurs objectifs. </t>
        </r>
      </text>
    </comment>
    <comment ref="B32" authorId="0">
      <text>
        <r>
          <rPr>
            <sz val="9"/>
            <color indexed="81"/>
            <rFont val="Tahoma"/>
            <family val="2"/>
          </rPr>
          <t xml:space="preserve">Les </t>
        </r>
        <r>
          <rPr>
            <b/>
            <sz val="9"/>
            <color indexed="81"/>
            <rFont val="Tahoma"/>
            <family val="2"/>
          </rPr>
          <t>indicateurs de résultats</t>
        </r>
        <r>
          <rPr>
            <sz val="9"/>
            <color indexed="81"/>
            <rFont val="Tahoma"/>
            <family val="2"/>
          </rPr>
          <t xml:space="preserve"> sont liés aux objectifs définis. Sous « Indicateur de résultats » se trouve une case déroulante avec les indicateurs standard, tels que spécifiés dans le Guide de suivi et d'évaluation. Le Fonds mondial préconise autant que possible l'utilisation des indicateurs standard proposés. Cependant, dans certaines situations locales, il est possible d'entrer dans cette case déroulante un indicateur spécifique au pays. Les indicateurs sélectionnés doivent être en conformité avec le plan stratégique national de lutte contre la maladie et le plan de suivi et d'évaluation correspondant. </t>
        </r>
      </text>
    </comment>
    <comment ref="I33" authorId="0">
      <text>
        <r>
          <rPr>
            <b/>
            <sz val="9"/>
            <color indexed="81"/>
            <rFont val="Tahoma"/>
            <family val="2"/>
          </rPr>
          <t>Derniers résultats/données de référence disponibles </t>
        </r>
        <r>
          <rPr>
            <sz val="9"/>
            <color indexed="81"/>
            <rFont val="Tahoma"/>
            <family val="2"/>
          </rPr>
          <t xml:space="preserve">: les données de référence servent de point de comparaison avec les résultats du programme. Elles doivent tenir compte des derniers résultats disponibles et/ou des dernières informations disponibles fournies par les partenaires techniques et autres sources valables. Les données de référence (valeur, année et source) doivent être fournies pour chaque indicateur. Dans le champ Source, un choix non exhaustif de sources est proposé dans un menu déroulant. D'autres sources peuvent être insérées, si nécessaire, en saisissant directement la valeur dans ce champ. </t>
        </r>
      </text>
    </comment>
    <comment ref="A44" authorId="0">
      <text>
        <r>
          <rPr>
            <b/>
            <sz val="9"/>
            <color indexed="81"/>
            <rFont val="Tahoma"/>
            <family val="2"/>
          </rPr>
          <t>Modules :</t>
        </r>
        <r>
          <rPr>
            <sz val="9"/>
            <color indexed="81"/>
            <rFont val="Tahoma"/>
            <family val="2"/>
          </rPr>
          <t xml:space="preserve"> veuillez copier et coller cette section pour chaque module supplémentaire inclus dans la demande. 
</t>
        </r>
        <r>
          <rPr>
            <b/>
            <sz val="9"/>
            <color indexed="81"/>
            <rFont val="Tahoma"/>
            <family val="2"/>
          </rPr>
          <t>Cadre de mesure des modules</t>
        </r>
        <r>
          <rPr>
            <sz val="9"/>
            <color indexed="81"/>
            <rFont val="Tahoma"/>
            <family val="2"/>
          </rPr>
          <t xml:space="preserve">
• Ne pas effacer ni remplacer le texte préexistant des indicateurs de couverture standard (bleu)
• Ajouter un nouvel indicateur, au besoin, sous les indicateurs de couverture standard en bleu
• Si vous n'utilisez pas un indicateur standard, veuillez en donner la raison
</t>
        </r>
        <r>
          <rPr>
            <b/>
            <sz val="9"/>
            <color indexed="81"/>
            <rFont val="Tahoma"/>
            <family val="2"/>
          </rPr>
          <t>Budget du module</t>
        </r>
        <r>
          <rPr>
            <sz val="9"/>
            <color indexed="81"/>
            <rFont val="Tahoma"/>
            <family val="2"/>
          </rPr>
          <t xml:space="preserve">
Si vous changez le choix de module, veuillez noter que les interventions sélectionnées au préalable dans le budget original du module ne seront pas réinitialisées. Il vous faudra les effacer avant de choisir les interventions utiles dans le cadre du module nouvellement choisi.</t>
        </r>
      </text>
    </comment>
    <comment ref="D45" authorId="0">
      <text>
        <r>
          <rPr>
            <b/>
            <sz val="9"/>
            <color indexed="81"/>
            <rFont val="Tahoma"/>
            <family val="2"/>
          </rPr>
          <t>Récipiendaires principaux responsables</t>
        </r>
        <r>
          <rPr>
            <sz val="9"/>
            <color indexed="81"/>
            <rFont val="Tahoma"/>
            <family val="2"/>
          </rPr>
          <t xml:space="preserve"> : si plusieurs récipiendaires principaux sont envisagés dans le cadre de cette demande, veuillez répertorier dans ce champ les récipiendaires principaux qui seront responsables de la mise en œuvre des interventions correspondant à cet indicateur. Si plusieurs récipiendaires principaux sont identifiés, répartissez les cibles (dans la mesure du possible) par récipiendaire principal. 
</t>
        </r>
      </text>
    </comment>
    <comment ref="E45" authorId="0">
      <text>
        <r>
          <rPr>
            <b/>
            <sz val="9"/>
            <color indexed="81"/>
            <rFont val="Tahoma"/>
            <family val="2"/>
          </rPr>
          <t>Lié à :</t>
        </r>
        <r>
          <rPr>
            <sz val="9"/>
            <color indexed="81"/>
            <rFont val="Tahoma"/>
            <family val="2"/>
          </rPr>
          <t xml:space="preserve"> sélectionnez l'une des quatre options proposées dans cette colonne pour préciser si les cibles sont liées à l'une des sources de financement suivantes :
a) Subvention actuelle : lorsque les cibles constituent un sous-ensemble des cibles nationales et représentent la partie financée exclusivement par la subvention du Fonds mondial pour un récipiendaire principal.
b) Subventions multiples du Fonds mondial : lorsque les cibles constituent un sous-ensemble des cibles nationales et représentent la partie financée exclusivement par plusieurs subventions du Fonds mondial. Dans ce cas, précisez dans les remarques les numéros des subventions qui contribuent à l'accomplissement de ces cibles.
c) Fonds mondial et autres donateurs : lorsque les cibles constituent un sous-ensemble des cibles nationales et représentent la partie financée conjointement, de manière exclusive, par le Fonds mondial et d'autres donateurs multilatéraux ou bilatéraux.
d) Programme national : lorsque les cibles se rapportent au pays tout entier (national). 
Exception : cette option peut aussi être sélectionnée si les cibles se rapportent à une région ou une province entière du pays (infranational) à laquelle le Fonds mondial ne contribue que partiellement. Lorsque les cibles infranationales sont entièrement financées par le Fonds mondial, il convient de choisir l'option a) (subvention actuelle) ou l'option b) (subventions multiples du Fonds mondial). Veuillez indiquer dans la zone des remarques si les cibles sont infranationales.  </t>
        </r>
      </text>
    </comment>
    <comment ref="G45" authorId="0">
      <text>
        <r>
          <rPr>
            <b/>
            <sz val="9"/>
            <color indexed="81"/>
            <rFont val="Tahoma"/>
            <family val="2"/>
          </rPr>
          <t>Derniers résultats/données de référence disponibles </t>
        </r>
        <r>
          <rPr>
            <sz val="9"/>
            <color indexed="81"/>
            <rFont val="Tahoma"/>
            <family val="2"/>
          </rPr>
          <t>: les données de référence servent de point de comparaison avec les résultats du programme. Elles doivent tenir compte des derniers résultats disponibles et/ou des dernières informations disponibles fournies par les partenaires techniques et autres sources valables. Les données de référence (valeur, année et source) doivent être fournies pour chaque indicateur. Dans le champ Source, un choix non exhaustif de sources est proposé dans un menu déroulant. D'autres sources peuvent être insérées, si nécessaire, en saisissant directement la valeur dans ce champ.</t>
        </r>
      </text>
    </comment>
    <comment ref="M45" authorId="0">
      <text>
        <r>
          <rPr>
            <b/>
            <sz val="9"/>
            <color indexed="81"/>
            <rFont val="Tahoma"/>
            <family val="2"/>
          </rPr>
          <t xml:space="preserve">Cibles : </t>
        </r>
        <r>
          <rPr>
            <sz val="9"/>
            <color indexed="81"/>
            <rFont val="Tahoma"/>
            <family val="2"/>
          </rPr>
          <t>veuillez indiquer ici les cibles correspondant à chaque indicateur. (Pour les indicateurs de couverture, indiquez la valeur du numérateur, la valeur du dénominateur et le pourcentage. Pour les indicateurs qui ne sont pas exprimés en pourcentage, indiquez uniquement la valeur du numérateur.) Veuillez noter que les indicateurs n'ont pas tous besoin d'être communiqués à chaque période. N'incluez les cibles qu'une fois les données recueillies.</t>
        </r>
      </text>
    </comment>
    <comment ref="S46" authorId="0">
      <text>
        <r>
          <rPr>
            <sz val="9"/>
            <color indexed="81"/>
            <rFont val="Tahoma"/>
            <family val="2"/>
          </rPr>
          <t>Veuillez décrire</t>
        </r>
        <r>
          <rPr>
            <b/>
            <sz val="9"/>
            <color indexed="81"/>
            <rFont val="Tahoma"/>
            <family val="2"/>
          </rPr>
          <t xml:space="preserve"> les hypothèses ayant servi à calculer les cibles. </t>
        </r>
        <r>
          <rPr>
            <sz val="9"/>
            <color indexed="81"/>
            <rFont val="Tahoma"/>
            <family val="2"/>
          </rPr>
          <t xml:space="preserve">Ces hypothèses doivent inclure les éléments suivants : taux d'intensification prévisionnel, couverture des services clés connexes supplémentaires (par exemple, indication du taux de fréquentation du centre de consultations prénatales au moment de la définition des cibles de prévention de la transmission de la mère à l'enfant), taille de la population cible et sources de données utilisées pour générer des estimations démographiques. En l'absence d'estimations démographiques disponibles, veuillez décrire le temps nécessaire et la procédure à suivre pour les obtenir. Pour les interventions qui incluent un paquet de services, décrivez les éléments du paquet. Brièvement, définissez le numérateur et le dénominateur de l'indicateur, indiquez les sources de donnés qui serviront à communiquer les informations et précisez si des problèmes liés aux systèmes de suivi et d'évaluation sont susceptibles de restreindre la possibilité de communiquer des informations sur cet indicateur.  </t>
        </r>
      </text>
    </comment>
    <comment ref="H47" authorId="0">
      <text>
        <r>
          <rPr>
            <sz val="9"/>
            <color indexed="81"/>
            <rFont val="Tahoma"/>
            <family val="2"/>
          </rPr>
          <t>% : la valeur du pourcentage est automatiquement calculée en fonction des valeurs du numérateur et du dénominateur insérées.</t>
        </r>
      </text>
    </comment>
    <comment ref="G49" authorId="0">
      <text>
        <r>
          <rPr>
            <sz val="9"/>
            <color indexed="81"/>
            <rFont val="Tahoma"/>
            <family val="2"/>
          </rPr>
          <t>N : indiquez ici la valeur du numérateur.</t>
        </r>
      </text>
    </comment>
    <comment ref="H49" authorId="0">
      <text>
        <r>
          <rPr>
            <sz val="9"/>
            <color indexed="81"/>
            <rFont val="Tahoma"/>
            <family val="2"/>
          </rPr>
          <t>Pour les indicateurs qui ne sont pas exprimés en pourcentage, ce champ peut être laissé vide. Pour les indicateurs qui sont exprimés en pourcentage, seuls les champs correspondant à la valeur du numérateur (N) et du dénominateur (D) peuvent être laissés vides.</t>
        </r>
      </text>
    </comment>
    <comment ref="K49" authorId="0">
      <text>
        <r>
          <rPr>
            <sz val="9"/>
            <color indexed="81"/>
            <rFont val="Tahoma"/>
            <family val="2"/>
          </rPr>
          <t xml:space="preserve">Il s'agit des cibles qui seront vraisemblablement atteintes dans la demande de </t>
        </r>
        <r>
          <rPr>
            <b/>
            <sz val="9"/>
            <color indexed="81"/>
            <rFont val="Tahoma"/>
            <family val="2"/>
          </rPr>
          <t xml:space="preserve">financement indicatif. </t>
        </r>
      </text>
    </comment>
    <comment ref="M49" authorId="0">
      <text>
        <r>
          <rPr>
            <sz val="9"/>
            <color indexed="81"/>
            <rFont val="Tahoma"/>
            <family val="2"/>
          </rPr>
          <t>N : indiquez ici la valeur du numérateur.</t>
        </r>
      </text>
    </comment>
    <comment ref="N49" authorId="0">
      <text>
        <r>
          <rPr>
            <sz val="9"/>
            <color indexed="81"/>
            <rFont val="Tahoma"/>
            <family val="2"/>
          </rPr>
          <t>% : la valeur du pourcentage est automatiquement calculée en fonction des valeurs du numérateur et du dénominateur insérées.</t>
        </r>
      </text>
    </comment>
    <comment ref="M50" authorId="0">
      <text>
        <r>
          <rPr>
            <sz val="9"/>
            <color indexed="81"/>
            <rFont val="Tahoma"/>
            <family val="2"/>
          </rPr>
          <t xml:space="preserve">D : indiquez ici la valeur du dénominateur.  S'il n'y a pas de dénominateur, ne remplissez pas cette case.. 
</t>
        </r>
      </text>
    </comment>
    <comment ref="G51" authorId="0">
      <text>
        <r>
          <rPr>
            <sz val="9"/>
            <color indexed="81"/>
            <rFont val="Tahoma"/>
            <family val="2"/>
          </rPr>
          <t>D : indiquez ici la valeur du dénominateur.  S'il n'y a pas de dénominateur, ne remplissez pas cette case.</t>
        </r>
      </text>
    </comment>
    <comment ref="K51" authorId="0">
      <text>
        <r>
          <rPr>
            <sz val="9"/>
            <color indexed="81"/>
            <rFont val="Tahoma"/>
            <family val="2"/>
          </rPr>
          <t>Il s'agit des cibles qui seront vraisemblablement atteintes dans la demande de</t>
        </r>
        <r>
          <rPr>
            <b/>
            <sz val="9"/>
            <color indexed="81"/>
            <rFont val="Tahoma"/>
            <family val="2"/>
          </rPr>
          <t xml:space="preserve"> financement au-delà du montant indicatif</t>
        </r>
        <r>
          <rPr>
            <sz val="9"/>
            <color indexed="81"/>
            <rFont val="Tahoma"/>
            <family val="2"/>
          </rPr>
          <t xml:space="preserve">. </t>
        </r>
      </text>
    </comment>
    <comment ref="Z63" authorId="0">
      <text>
        <r>
          <rPr>
            <b/>
            <sz val="9"/>
            <color indexed="81"/>
            <rFont val="Tahoma"/>
            <family val="2"/>
          </rPr>
          <t>• Expliquez brièvement les activités déjà financées par d'autres donateurs et par les autorités publiques en faveur de cette intervention</t>
        </r>
        <r>
          <rPr>
            <sz val="9"/>
            <color indexed="81"/>
            <rFont val="Tahoma"/>
            <family val="2"/>
          </rPr>
          <t>. Si vous connaissez le montant et la couverture, veuillez en fournir une description. En cas d'évolution du panorama des financements, veuillez expliquer en quoi votre demande auprès du Fonds mondial s'en trouve affectée.
• Cette explication doit permettre de comprendre</t>
        </r>
        <r>
          <rPr>
            <b/>
            <sz val="9"/>
            <color indexed="81"/>
            <rFont val="Tahoma"/>
            <family val="2"/>
          </rPr>
          <t xml:space="preserve"> les raisons pour lesquelles certaines activités ne sont pas incluses dans la demande de financement adressée au Fonds mondial. </t>
        </r>
        <r>
          <rPr>
            <sz val="9"/>
            <color indexed="81"/>
            <rFont val="Tahoma"/>
            <family val="2"/>
          </rPr>
          <t xml:space="preserve">Il est important de s'assurer que le financement de toutes les activités nécessaires à la mise en œuvre d'une intervention provient de ressources nationales ou d'autres donateurs. </t>
        </r>
      </text>
    </comment>
    <comment ref="D64" authorId="0">
      <text>
        <r>
          <rPr>
            <sz val="9"/>
            <color indexed="81"/>
            <rFont val="Tahoma"/>
            <family val="2"/>
          </rPr>
          <t>Cette section explique non seulement</t>
        </r>
        <r>
          <rPr>
            <b/>
            <sz val="9"/>
            <color indexed="81"/>
            <rFont val="Tahoma"/>
            <family val="2"/>
          </rPr>
          <t xml:space="preserve"> les raisons pour lesquelles l'intervention est nécessaire</t>
        </r>
        <r>
          <rPr>
            <sz val="9"/>
            <color indexed="81"/>
            <rFont val="Tahoma"/>
            <family val="2"/>
          </rPr>
          <t xml:space="preserve"> et la manière dont elle pourra se montrer efficace, mais également les modalités de l'intervention et la manière dont elles ont été choisies. 
• Justifiez votre réponse en une phrase minimum : par exemple, preuves ou sources permettant de démontrer le fait que cette intervention sera efficace. 
• Décrivez le champ d'application de l'intervention en une phrase minimum (par exemple, couverture géographique, population touchée, etc.) 
• Décrivez les activités qui seront menées dans le cadre de cette intervention en une phrase minimum (les activités de communication pour le changement de comportement peuvent inclure des formations, des interventions de proximité, etc.). Veuillez décrire précisément les activités clés et la manière dont elles seront gérées, ainsi que la manière dont les activités subventionnées par le Fonds mondial seront coordonnées aux autres interventions associées.
• Si plusieurs récipiendaires principaux sont responsables d'une intervention, veuillez préciser la répartition de leurs responsabilités dans le cadre de la mise en œuvre (par exemple, couverture régionale, prise en charge de différentes activités dans le cadre de l'intervention).
• Décrivez en une phrase minimum la manière dont le champ d'application peut évoluer ainsi que les activités supplémentaires susceptibles d'être menées du fait que le montant de financement supplémentaire est supérieur au montant de financement indicatif. Les activités doivent être décrites de manière détaillée.</t>
        </r>
      </text>
    </comment>
    <comment ref="S64" authorId="0">
      <text>
        <r>
          <rPr>
            <sz val="9"/>
            <color indexed="81"/>
            <rFont val="Tahoma"/>
            <family val="2"/>
          </rPr>
          <t xml:space="preserve"> Veuillez </t>
        </r>
        <r>
          <rPr>
            <b/>
            <sz val="9"/>
            <color indexed="81"/>
            <rFont val="Tahoma"/>
            <family val="2"/>
          </rPr>
          <t xml:space="preserve">expliquer la manière dont les données chiffrées de cette demande de financement auprès du Fonds mondial a été estimé pour cette intervention. </t>
        </r>
        <r>
          <rPr>
            <sz val="9"/>
            <color indexed="81"/>
            <rFont val="Tahoma"/>
            <family val="2"/>
          </rPr>
          <t xml:space="preserve">
o (1) Veuillez indiquer les sous-interventions ou activités incluses dans ce coût ainsi que leurs inducteurs de coût. 
o (2) Veuillez indiquer les sources d'estimation des coûts (par exemple, expérience passée, référence ou outil d'estimation des coûts des partenaires techniques, budgétisation détaillée, etc.)
o (3) Veuillez expliciter les coûts prévus pour au moins 80 pour cent du montant de l'intervention. 
Veuillez indiquer le </t>
        </r>
        <r>
          <rPr>
            <b/>
            <sz val="9"/>
            <color indexed="81"/>
            <rFont val="Tahoma"/>
            <family val="2"/>
          </rPr>
          <t>nombre de services</t>
        </r>
        <r>
          <rPr>
            <sz val="9"/>
            <color indexed="81"/>
            <rFont val="Tahoma"/>
            <family val="2"/>
          </rPr>
          <t xml:space="preserve"> qui seront fournis annuellement grâce à la contribution du Fonds mondial (par exemple, nombre de personnes supplémentaires touchées par les interventions de communication pour le changement de comportement). Veuillez indiquer clairement le nombre de services assurés grâce au financement indicatif et le nombre de services supplémentaires assurés grâce au montant au-delà du financement indicatif.  Veuillez également signaler toute modification du nombre de services fournis d'une année à l'autre ou toute modification du montant du financement de l'intervention.
</t>
        </r>
      </text>
    </comment>
    <comment ref="A65" authorId="0">
      <text>
        <r>
          <rPr>
            <sz val="9"/>
            <color indexed="81"/>
            <rFont val="Tahoma"/>
            <family val="2"/>
          </rPr>
          <t xml:space="preserve">Veuillez sélectionner </t>
        </r>
        <r>
          <rPr>
            <b/>
            <sz val="9"/>
            <color indexed="81"/>
            <rFont val="Tahoma"/>
            <family val="2"/>
          </rPr>
          <t>l'intervention</t>
        </r>
        <r>
          <rPr>
            <sz val="9"/>
            <color indexed="81"/>
            <rFont val="Tahoma"/>
            <family val="2"/>
          </rPr>
          <t xml:space="preserve"> faisant l'objet de la demande de financement dans le menu déroulant. Ce menu répertorie toutes les interventions comprises dans le module sélectionné. 
• Si l'intervention souhaitée ne figure pas dans le menu déroulant, veuillez sélectionner « Autres » et expliquez la nature de cette intervention dans la description. Les candidats sont encouragés à choisir autant que possible des interventions standard dans le cadre de mesure.</t>
        </r>
      </text>
    </comment>
    <comment ref="J65" authorId="0">
      <text>
        <r>
          <rPr>
            <sz val="9"/>
            <color indexed="81"/>
            <rFont val="Tahoma"/>
            <family val="2"/>
          </rPr>
          <t xml:space="preserve">Si plusieurs récipiendaires principaux seront responsables d'une intervention, veuillez diviser le champ Intervention et indiquer les montants de financement demandés par récipiendaire. 
</t>
        </r>
      </text>
    </comment>
    <comment ref="M65" authorId="0">
      <text>
        <r>
          <rPr>
            <sz val="9"/>
            <color indexed="81"/>
            <rFont val="Tahoma"/>
            <family val="2"/>
          </rPr>
          <t>Veuillez indiquer le budget de votre demande de financement auprès du Fonds mondial concernant cette intervention pour chaque année.
Veuillez indiquer le budget de votre demande de financement auprès du Fonds mondial concernant cette intervention pour chaque année.</t>
        </r>
      </text>
    </comment>
    <comment ref="K66" authorId="0">
      <text>
        <r>
          <rPr>
            <sz val="9"/>
            <color indexed="81"/>
            <rFont val="Tahoma"/>
            <family val="2"/>
          </rPr>
          <t xml:space="preserve">Fonds demandés dans le cadre de la demande de financement indicatif
</t>
        </r>
      </text>
    </comment>
    <comment ref="K67" authorId="0">
      <text>
        <r>
          <rPr>
            <sz val="9"/>
            <color indexed="81"/>
            <rFont val="Tahoma"/>
            <family val="2"/>
          </rPr>
          <t xml:space="preserve">Fonds demandés au-delà du montant indicatif 
(au-delà des limites du montant indicatif + indicatif = demande complète)
</t>
        </r>
      </text>
    </comment>
  </commentList>
</comments>
</file>

<file path=xl/comments3.xml><?xml version="1.0" encoding="utf-8"?>
<comments xmlns="http://schemas.openxmlformats.org/spreadsheetml/2006/main">
  <authors>
    <author>Author</author>
  </authors>
  <commentList>
    <comment ref="K3" authorId="0">
      <text>
        <r>
          <rPr>
            <sz val="9"/>
            <color indexed="81"/>
            <rFont val="Tahoma"/>
            <family val="2"/>
          </rPr>
          <t>Seleccione los receptores principales en el menú desplegable o escriba el nombre de un receptor principal nuevo en el campo correspondiente.</t>
        </r>
      </text>
    </comment>
    <comment ref="A4" authorId="0">
      <text>
        <r>
          <rPr>
            <sz val="9"/>
            <color indexed="81"/>
            <rFont val="Tahoma"/>
            <family val="2"/>
          </rPr>
          <t>En esta casilla, seleccione la enfermedad para la que se preparará la solicitud. Esto activará las casillas desplegables correspondientes de varias secciones de la plantilla. También puede rellenar una versión en blanco de la plantilla que no contendrá ninguna casilla desplegable, pero tendrá que rellenar manualmente todos los campos.</t>
        </r>
      </text>
    </comment>
    <comment ref="A10" authorId="0">
      <text>
        <r>
          <rPr>
            <sz val="9"/>
            <color indexed="81"/>
            <rFont val="Tahoma"/>
            <family val="2"/>
          </rPr>
          <t xml:space="preserve">Las metas son declaraciones amplias y generales relacionadas con las repercusiones deseadas del programa a medio o largo plazo y deben ser coherentes con el plan estratégico nacional. </t>
        </r>
      </text>
    </comment>
    <comment ref="B10" authorId="0">
      <text>
        <r>
          <rPr>
            <b/>
            <sz val="9"/>
            <color indexed="81"/>
            <rFont val="Tahoma"/>
            <family val="2"/>
          </rPr>
          <t xml:space="preserve">Inserción de nuevas líneas en cualquier sección
</t>
        </r>
        <r>
          <rPr>
            <sz val="9"/>
            <color indexed="81"/>
            <rFont val="Tahoma"/>
            <family val="2"/>
          </rPr>
          <t>Si necesita insertar más líneas, por favor:
1. Seleccione toda(s) la(s) línea(s) existente(s)
2. Copie la(s) línea(s) seleccionada(s)
3. Haga clic derecho y seleccione “insertar celdas copiadas” (antes de la línea seleccionada)</t>
        </r>
        <r>
          <rPr>
            <b/>
            <sz val="9"/>
            <color indexed="81"/>
            <rFont val="Tahoma"/>
            <family val="2"/>
          </rPr>
          <t xml:space="preserve">
</t>
        </r>
        <r>
          <rPr>
            <sz val="9"/>
            <color indexed="81"/>
            <rFont val="Tahoma"/>
            <family val="2"/>
          </rPr>
          <t xml:space="preserve">
</t>
        </r>
      </text>
    </comment>
    <comment ref="A14" authorId="0">
      <text>
        <r>
          <rPr>
            <sz val="9"/>
            <color indexed="81"/>
            <rFont val="Tahoma"/>
            <family val="2"/>
          </rPr>
          <t xml:space="preserve">Vinculado al número de metas: deben especificarse los números de las metas a las que se refiere cada uno de los indicadores. Un indicador puede referirse a varias metas.
</t>
        </r>
      </text>
    </comment>
    <comment ref="B14" authorId="0">
      <text>
        <r>
          <rPr>
            <sz val="9"/>
            <color indexed="81"/>
            <rFont val="Tahoma"/>
            <family val="2"/>
          </rPr>
          <t xml:space="preserve">Los indicadores de impacto están relacionados con las metas definidas. Debajo del «indicador de impacto» se ofrece una casilla desplegable que contiene los indicadores estándar que se especifican en el kit de herramientas de seguimiento y evaluación. El Fondo Mundial recomienda el uso de los indicadores estándar propuestos siempre que sea posible; sin embargo, si se considerase conveniente para describir la situación del país, se podrá sobrescribir en la celda desplegable para incluir indicadores específicos para el país. Los indicadores seleccionados deberán ser conformes a los objetivos del plan estratégico nacional y su respectivo plan de seguimiento y evaluación. </t>
        </r>
      </text>
    </comment>
    <comment ref="U14" authorId="0">
      <text>
        <r>
          <rPr>
            <sz val="9"/>
            <color indexed="81"/>
            <rFont val="Tahoma"/>
            <family val="2"/>
          </rPr>
          <t xml:space="preserve">Comentarios: aquí se deben especificar las fuentes de datos si éstas difieren de las fuentes de datos de líneas de base.
</t>
        </r>
      </text>
    </comment>
    <comment ref="I15" authorId="0">
      <text>
        <r>
          <rPr>
            <sz val="9"/>
            <color indexed="81"/>
            <rFont val="Tahoma"/>
            <family val="2"/>
          </rPr>
          <t>Líneas de base: si no hay datos disponibles, las líneas de base se deben determinar durante el período de ejecución de la subvención. Si la fuente de datos para la línea de base difiere de la fuente de datos que se utilizará para los informes de los indicadores, debe indicarse en el campo «Comentarios».</t>
        </r>
      </text>
    </comment>
    <comment ref="O15" authorId="0">
      <text>
        <r>
          <rPr>
            <sz val="9"/>
            <color indexed="81"/>
            <rFont val="Tahoma"/>
            <family val="2"/>
          </rPr>
          <t xml:space="preserve">Las metas se deben incluir de acuerdo con la frecuencia de su medición. Por ejemplo, si las encuestas se realizan los años primero y tercero, sólo deberán proporcionarse las metas en estos años. Incluya las metas en el año natural durante el que se recopilarán los datos. Para obtener más información sobre la frecuencia y las fechas de presentación de informes sobre indicadores de impacto, consulte el kit de herramientas de seguimiento y evaluación.
</t>
        </r>
      </text>
    </comment>
    <comment ref="A26" authorId="0">
      <text>
        <r>
          <rPr>
            <sz val="9"/>
            <color indexed="81"/>
            <rFont val="Tahoma"/>
            <family val="2"/>
          </rPr>
          <t xml:space="preserve">Objetivos: cada meta deberá tener un conjunto de objetivos más específicos relacionados que permitirán que el programa alcance las metas fijadas. Estos objetivos deberán ser coherentes con los objetivos del plan estratégico nacional de control de enfermedades.
</t>
        </r>
      </text>
    </comment>
    <comment ref="A32" authorId="0">
      <text>
        <r>
          <rPr>
            <sz val="9"/>
            <color indexed="81"/>
            <rFont val="Tahoma"/>
            <family val="2"/>
          </rPr>
          <t xml:space="preserve">Vinculado al número de objetivos: deben especificarse los números de los objetivos a los que se refiere cada uno de los indicadores. Un indicador puede referirse a varios objetivos. </t>
        </r>
      </text>
    </comment>
    <comment ref="B32" authorId="0">
      <text>
        <r>
          <rPr>
            <sz val="9"/>
            <color indexed="81"/>
            <rFont val="Tahoma"/>
            <family val="2"/>
          </rPr>
          <t xml:space="preserve">Los indicadores de resultados indirectos están relacionados con los objetivos definidos. Debajo del «indicador de resultados indirectos» se ofrece una casilla desplegable que contiene los indicadores estándar que se especifican en el kit de herramientas de seguimiento y evaluación. El Fondo Mundial recomienda el uso de los indicadores estándar propuestos siempre que sea posible; sin embargo, si se considerase conveniente para describir la situación del país, se podrá sobrescribir en la celda desplegable para incluir indicadores específicos para el país. Los indicadores seleccionados deberán ser coherentes con los objetivos del plan estratégico nacional de control de enfermedades y su respectivo plan de seguimiento y evaluación. </t>
        </r>
      </text>
    </comment>
    <comment ref="I33" authorId="0">
      <text>
        <r>
          <rPr>
            <sz val="9"/>
            <color indexed="81"/>
            <rFont val="Tahoma"/>
            <family val="2"/>
          </rPr>
          <t xml:space="preserve">Último resultado/línea de base disponible: las líneas de base sirven de punto de partida para medir el desempeño del programa. Las líneas de base deberán tener en cuenta los últimos resultados disponibles o la última información disponible proporcionada por los socios técnicos y otras fuentes válidas. Han de proporcionarse datos de líneas de base (valor, año y fuente) para cada indicador. En la casilla desplegable del campo "fuente" se ofrece una selección no exhaustiva de fuentes. Si es necesario, se pueden incluir otras fuentes sobrescribiendo el campo. </t>
        </r>
      </text>
    </comment>
    <comment ref="A44" authorId="0">
      <text>
        <r>
          <rPr>
            <sz val="9"/>
            <color indexed="81"/>
            <rFont val="Tahoma"/>
            <family val="2"/>
          </rPr>
          <t xml:space="preserve">Módulos: se debe copiar y pegar esta sección con cada módulo adicional incluido en la solicitud. </t>
        </r>
      </text>
    </comment>
    <comment ref="D45" authorId="0">
      <text>
        <r>
          <rPr>
            <sz val="9"/>
            <color indexed="81"/>
            <rFont val="Tahoma"/>
            <family val="2"/>
          </rPr>
          <t xml:space="preserve">Receptor principal responsable: si se contempla más de un receptor principal en la solicitud, indique en este campo los receptores principales que serán responsables de la ejecución de intervenciones relacionadas con este indicador. Si hay más de uno, desglose las metas (en la medida de lo posible) por receptor principal. </t>
        </r>
      </text>
    </comment>
    <comment ref="E45" authorId="0">
      <text>
        <r>
          <rPr>
            <sz val="9"/>
            <color indexed="81"/>
            <rFont val="Tahoma"/>
            <family val="2"/>
          </rPr>
          <t xml:space="preserve">Vinculada a: seleccione una de las cuatro opciones que se muestran debajo de esta columna para describir si las metas están vinculadas a una de las siguientes fuentes de financiamiento:
a) Subvención actual: cuando las metas son un subconjunto de las metas nacionales y representan la parte financiada exclusivamente por la subvención del Fondo Mundial para un receptor principal.
b) Múltiples subvenciones del Fondo Mundial: cuando las metas son un subconjunto de las metas nacionales y representan la parte financiada exclusivamente por más de una subvención del Fondo Mundial. En tal caso, especifique en los comentarios los números de subvenciones que contribuyen a la consecución de estas metas.
c) Fondo Mundial y otros donantes: cuando las metas son un subconjunto de las metas nacionales y representan la parte financiada de forma conjunta por el Fondo Mundial y otros donantes bilaterales o multilaterales exclusivamente.
d) Programa Nacional: cuando las metas se refieran a todo el país (nacional). 
Excepción: esta opción podría seleccionarse también en los casos en que las metas se refieran a toda una región o provincia del país (subnacional) a la cual los recursos del Fondo Mundial contribuyen sólo parcialmente. Cuando las metas subnacionales son financiadas por completo por el Fondo Mundial, deberá seleccionarse la opción «a» (subvención actual) o la opción «b» (múltiples subvenciones del Fondo Mundial) según corresponda. Especifique en la casilla de comentarios si las metas son subnacionales. </t>
        </r>
      </text>
    </comment>
    <comment ref="G45" authorId="0">
      <text>
        <r>
          <rPr>
            <sz val="9"/>
            <color indexed="81"/>
            <rFont val="Tahoma"/>
            <family val="2"/>
          </rPr>
          <t>Último resultado/línea de base disponible: las líneas de base sirven de punto de partida para medir el desempeño del programa. Las líneas de base deberán tener en cuenta los últimos resultados disponibles o la última información disponible proporcionada por los socios técnicos y otras fuentes válidas. Han de proporcionarse datos de líneas de base (valor, año y fuente) para cada indicador. En la casilla desplegable del campo "fuente" se ofrece una selección no exhaustiva de fuentes. Si es necesario, se pueden incluir otras fuentes sobrescribiendo el campo.</t>
        </r>
      </text>
    </comment>
    <comment ref="M45" authorId="0">
      <text>
        <r>
          <rPr>
            <sz val="9"/>
            <color indexed="81"/>
            <rFont val="Tahoma"/>
            <family val="2"/>
          </rPr>
          <t>Metas: incluya aquí las metas de cada indicador (proporcione el valor del numerador, el valor del denominador y el porcentaje para los indicadores de cobertura, y proporcione sólo el valor numerador para los indicadores que no se expresan en porcentaje). Tenga en cuenta que no todos los indicadores deben incluirse en los informes de cada periodo. Las metas únicamente deben incluirse en los periodos en los que se realiza la recopilación de datos.</t>
        </r>
      </text>
    </comment>
    <comment ref="S46" authorId="0">
      <text>
        <r>
          <rPr>
            <sz val="9"/>
            <color indexed="81"/>
            <rFont val="Tahoma"/>
            <family val="2"/>
          </rPr>
          <t xml:space="preserve">Describa los supuestos utilizados para calcular las metas. Aquí se debe incluir: la tasa de ampliación prevista, cobertura de servicios clave adicionales asociados (por ejemplo, descripción de las tasas de asistencia a centros de atención prenatal al establecer los objetivos de PTMI), tamaño de la población objetivo y fuentes de datos usadas al generar estimaciones del tamaño de la población. Si no hay disponibles estimaciones del tamaño de la población, se deben describir los plazos y procesos necesarios para obtenerlas. En el caso de las intervenciones que incluyen un paquete de servicios, deben describirse los componentes del paquete. Debe proporcionarse una definición breve del numerador y denominador del indicador, las fuentes de datos que se utilizarán en los informes y la posible existencia de problemas en los sistemas de seguimiento y evaluación que puedan limitar la capacidad de informar sobre dicho indicador.  </t>
        </r>
      </text>
    </comment>
    <comment ref="H47" authorId="0">
      <text>
        <r>
          <rPr>
            <sz val="9"/>
            <color indexed="81"/>
            <rFont val="Tahoma"/>
            <family val="2"/>
          </rPr>
          <t>Porcentaje: el valor de porcentaje se calcula automáticamente cuando se introducen los valores del numerador y del denominador.</t>
        </r>
      </text>
    </comment>
    <comment ref="G49" authorId="0">
      <text>
        <r>
          <rPr>
            <sz val="9"/>
            <color indexed="81"/>
            <rFont val="Tahoma"/>
            <family val="2"/>
          </rPr>
          <t>Numerador: incluya aquí el valor del numerador.</t>
        </r>
      </text>
    </comment>
    <comment ref="H49" authorId="0">
      <text>
        <r>
          <rPr>
            <sz val="9"/>
            <color indexed="81"/>
            <rFont val="Tahoma"/>
            <family val="2"/>
          </rPr>
          <t>Para los indicadores que no se expresan en porcentaje, este campo se puede dejar en blanco. Para los indicadores que se expresan en porcentaje sólo se pueden dejar en blanco los campos que corresponden al valor del numerador (Numerador) y al valor del denominador (Denominador).</t>
        </r>
      </text>
    </comment>
    <comment ref="K49" authorId="0">
      <text>
        <r>
          <rPr>
            <sz val="9"/>
            <color indexed="81"/>
            <rFont val="Tahoma"/>
            <family val="2"/>
          </rPr>
          <t xml:space="preserve">Esto se refiere a metas que se prevé alcanzar en la solicitud de financiamiento indicativo. </t>
        </r>
      </text>
    </comment>
    <comment ref="M49" authorId="0">
      <text>
        <r>
          <rPr>
            <sz val="9"/>
            <color indexed="81"/>
            <rFont val="Tahoma"/>
            <family val="2"/>
          </rPr>
          <t>Numerador: incluya aquí el valor del numerador.</t>
        </r>
      </text>
    </comment>
    <comment ref="N49" authorId="0">
      <text>
        <r>
          <rPr>
            <sz val="9"/>
            <color indexed="81"/>
            <rFont val="Tahoma"/>
            <family val="2"/>
          </rPr>
          <t>Porcentaje: el valor de porcentaje se calcula automáticamente cuando se introducen los valores del numerador y del denominador.</t>
        </r>
      </text>
    </comment>
    <comment ref="M50" authorId="0">
      <text>
        <r>
          <rPr>
            <sz val="9"/>
            <color indexed="81"/>
            <rFont val="Tahoma"/>
            <family val="2"/>
          </rPr>
          <t xml:space="preserve">Denominador: incluya aquí el valor del denominador.  Si no hay ningún denominador, deje esta casilla en blanco. 
</t>
        </r>
      </text>
    </comment>
    <comment ref="G51" authorId="0">
      <text>
        <r>
          <rPr>
            <sz val="9"/>
            <color indexed="81"/>
            <rFont val="Tahoma"/>
            <family val="2"/>
          </rPr>
          <t>Denominador: incluya aquí el valor del denominador.  Si no hay ningún denominador, deje esta casilla en blanco.</t>
        </r>
      </text>
    </comment>
    <comment ref="K51" authorId="0">
      <text>
        <r>
          <rPr>
            <sz val="9"/>
            <color indexed="81"/>
            <rFont val="Tahoma"/>
            <family val="2"/>
          </rPr>
          <t xml:space="preserve">Esto se refiere a metas que se prevé alcanzar en la solicitud que sobrepasa el importe de financiamiento indicativo. 
</t>
        </r>
      </text>
    </comment>
    <comment ref="Z63" authorId="0">
      <text>
        <r>
          <rPr>
            <sz val="9"/>
            <color indexed="81"/>
            <rFont val="Tahoma"/>
            <family val="2"/>
          </rPr>
          <t xml:space="preserve">
• Se debe ofrecer una breve explicación de las actividades que otros donantes y el gobierno están financiando ya para apoyar esta intervención. Si se conocen el importe y cobertura, deben describirse. Si el panorama de financiamiento está cambiando, debe explicarse de qué modo afecta a la solicitud al Fondo Mundial.
• En la explicación, se debe ofrecer una aclaración de por qué determinadas actividades no están incluidas en la solicitud de financiamiento al Fondo Mundial. Es importante asegurarse de que todas las actividades necesarias para poner en práctica una intervención están financiadas por medio de recursos nacionales u otros donantes. </t>
        </r>
      </text>
    </comment>
    <comment ref="D64" authorId="0">
      <text>
        <r>
          <rPr>
            <sz val="9"/>
            <color indexed="81"/>
            <rFont val="Tahoma"/>
            <family val="2"/>
          </rPr>
          <t>En esta sección, se debe explicar el motivo por el que la intervención es necesaria y el modo en que repercutirá, así como las modalidades de esta intervención y la forma en que se han elegido. 
• Dedique, al menos, una frase al fundamento de esta explicación: por ejemplo, pruebas o fuentes que demuestren la eficacia de esta intervención. 
• Dedique, al menos, una frase al fundamento de esta explicación: por ejemplo, pruebas o fuentes que evidencien la eficacia de esta intervención. 
• Dedique, al menos, una frase al alcance de la intervención (por ejemplo, geográfico, poblacional, etc.). 
• Dedique, al menos, una frase a las actividades que se llevarán a cabo bajo esta intervención (por ejemplo, la comunicación para el cambio de comportamiento podría incluir formación, divulgación, etc.). Describa de manera suficientemente detallada las actividades clave y la forma en que se gestionarán, además de cómo se coordinarán con otras intervenciones asociadas las actividades patrocinadas por el Fondo Mundial.
• Si va a haber más de un receptor principal en una intervención, describa la división de responsabilidades en la ejecución (por ejemplo, cobertura regional o apoyo de diferentes actividades en el marco de la intervención).
• Dedique, al menos, una frase a la posible ampliación del ámbito y a las actividades adicionales que podrían ponerse en marcha sobre la base del importe adicional que sobrepasa el importe indicativo. Las actividades deben describirse de manera suficientemente detallada.</t>
        </r>
      </text>
    </comment>
    <comment ref="S64" authorId="0">
      <text>
        <r>
          <rPr>
            <sz val="9"/>
            <color indexed="81"/>
            <rFont val="Tahoma"/>
            <family val="2"/>
          </rPr>
          <t xml:space="preserve"> Es necesario explicar de qué forma se han estimado las cifras para la solicitud de financiamiento al Fondo Mundial con respecto a esta intervención. 
o 1) Qué subintervenciones/actividades se incluyen en este coste y los factores de coste. 
o 2) Fuentes para determinación del coste (por ejemplo, experiencia pasada, herramientas para cálculo de costes o referencias de socios técnicos, creación de presupuestos detallados, etc.).
o 3) Se debe proporcionar información sobre los supuestos de coste de al menos un 80% del valor de la intervención. 
Se debe especificar el número de servicios que se proporcionarán, al año, gracias a la contribución del Fondo Mundial (por ejemplo, el número de personas adicionales a las que alcanzarán las intervenciones de comunicación para el cambio de comportamiento). Se debe indicar claramente el número de servicios por financiamiento indicativo y el número incremental por financiamiento que sobrepase el indicativo.  Se debe explicar también si existen cambios en el número de servicios ofrecidos a lo largo de los años o en el importe de financiamiento para la intervención.
</t>
        </r>
      </text>
    </comment>
    <comment ref="A65" authorId="0">
      <text>
        <r>
          <rPr>
            <sz val="9"/>
            <color indexed="81"/>
            <rFont val="Tahoma"/>
            <family val="2"/>
          </rPr>
          <t>En la lista desplegable, seleccione la intervención para la cual se solicita financiamiento. En dicha lista, se muestran todas las intervenciones incluidas en el módulo seleccionado. 
• Si la intervención deseada no se encuentra en la lista, seleccione la intervención «Otros» y especifique la índole de la intervención en la descripción. Se insta a los solicitantes a que seleccionen, en la medida de lo posible, intervenciones del marco de medición estándar.</t>
        </r>
      </text>
    </comment>
    <comment ref="J65" authorId="0">
      <text>
        <r>
          <rPr>
            <sz val="9"/>
            <color indexed="81"/>
            <rFont val="Tahoma"/>
            <family val="2"/>
          </rPr>
          <t xml:space="preserve">Si va a haber más de un receptor principal responsable en una intervención, divida el campo correspondiente a la intervención e indique los importes de financiamiento solicitados por receptor principal. 
</t>
        </r>
      </text>
    </comment>
    <comment ref="M65" authorId="0">
      <text>
        <r>
          <rPr>
            <sz val="9"/>
            <color indexed="81"/>
            <rFont val="Tahoma"/>
            <family val="2"/>
          </rPr>
          <t>Complete el presupuesto de la solicitud de financiamiento al Fondo Mundial correspondiente a esta intervención para cada año.
Complete el presupuesto de la solicitud de financiamiento al Fondo Mundial correspondiente a esta intervención para cada año.</t>
        </r>
      </text>
    </comment>
    <comment ref="K66" authorId="0">
      <text>
        <r>
          <rPr>
            <sz val="9"/>
            <color indexed="81"/>
            <rFont val="Tahoma"/>
            <family val="2"/>
          </rPr>
          <t>Fondos solicitados bajo la solicitud de financiamiento indicativo</t>
        </r>
      </text>
    </comment>
    <comment ref="K67" authorId="0">
      <text>
        <r>
          <rPr>
            <sz val="9"/>
            <color indexed="81"/>
            <rFont val="Tahoma"/>
            <family val="2"/>
          </rPr>
          <t>Fondos solicitados por encima del importe indicativo 
(por encima del indicativo + indicativo = solicitud completa)</t>
        </r>
      </text>
    </comment>
  </commentList>
</comments>
</file>

<file path=xl/comments4.xml><?xml version="1.0" encoding="utf-8"?>
<comments xmlns="http://schemas.openxmlformats.org/spreadsheetml/2006/main">
  <authors>
    <author>Author</author>
  </authors>
  <commentList>
    <comment ref="K3" authorId="0">
      <text>
        <r>
          <rPr>
            <sz val="9"/>
            <color indexed="81"/>
            <rFont val="Tahoma"/>
            <family val="2"/>
          </rPr>
          <t>Выберите основных реципиентов в раскрывающемся меню или добавьте нового основного реципиента, введя его наименование в соответствующее поле.</t>
        </r>
      </text>
    </comment>
    <comment ref="A4" authorId="0">
      <text>
        <r>
          <rPr>
            <sz val="9"/>
            <color indexed="81"/>
            <rFont val="Tahoma"/>
            <family val="2"/>
          </rPr>
          <t>В этой ячейке выберите заболевание, для которого будет подготовлен запрос. При этом в разных разделах шаблона активируются соответствующие раскрывающиеся списки. Вы можете заполнить пустой шаблон без раскрывающихся списков. В таком случае все поля заполняются вручную.</t>
        </r>
      </text>
    </comment>
    <comment ref="A10" authorId="0">
      <text>
        <r>
          <rPr>
            <b/>
            <sz val="9"/>
            <color indexed="81"/>
            <rFont val="Tahoma"/>
            <family val="2"/>
          </rPr>
          <t xml:space="preserve">Цель(и) — это широкие и всеобъемлющие формулировки желаемого среднесрочного и долгосрочного воздействия программных мероприятий. Цели должны быть согласованы с национальным стратегическим планом. </t>
        </r>
      </text>
    </comment>
    <comment ref="B10" authorId="0">
      <text>
        <r>
          <rPr>
            <b/>
            <sz val="9"/>
            <color indexed="81"/>
            <rFont val="Tahoma"/>
            <family val="2"/>
          </rPr>
          <t xml:space="preserve">Как включить дополнительные строки в любой раздел 
</t>
        </r>
        <r>
          <rPr>
            <sz val="9"/>
            <color indexed="81"/>
            <rFont val="Tahoma"/>
            <family val="2"/>
          </rPr>
          <t xml:space="preserve">Если вам необходимо добавить строки,
1. Выберите полностью существующую строку (строки)
2. Скопируйте ее
3. Щелкните правой кнопкой мыши и вставьте скопированные графы (перед выбранными строками)
</t>
        </r>
      </text>
    </comment>
    <comment ref="A14" authorId="0">
      <text>
        <r>
          <rPr>
            <sz val="9"/>
            <color indexed="81"/>
            <rFont val="Tahoma"/>
            <family val="2"/>
          </rPr>
          <t xml:space="preserve">Привязка к цели(ям) #: для каждого показателя укажите номера целей, к которым они относятся. Один показатель может быть связан с несколькими целями.
</t>
        </r>
      </text>
    </comment>
    <comment ref="B14" authorId="0">
      <text>
        <r>
          <rPr>
            <b/>
            <sz val="9"/>
            <color indexed="81"/>
            <rFont val="Tahoma"/>
            <family val="2"/>
          </rPr>
          <t xml:space="preserve">Показатели воздействия должны быть соотнесены с поставленной(ыми) целью(ями). Ячейка «Показатель воздействия» включает раскрывающийся список стандартных показателей, перечисленных в Руководстве по мониторингу и оценке. Глобальный фонд настоятельно рекомендует использовать предложенные стандартные показатели. Однако показатели в этой ячейке можно заменить показателями, специфичным для страны, если это применимо для конкретной ситуации. Выбранные показатели должны быть согласованы с национальным стратегическим планом и соответствующим планом МиО. 
</t>
        </r>
      </text>
    </comment>
    <comment ref="U14" authorId="0">
      <text>
        <r>
          <rPr>
            <b/>
            <sz val="9"/>
            <color indexed="81"/>
            <rFont val="Tahoma"/>
            <family val="2"/>
          </rPr>
          <t xml:space="preserve">Комментарии: укажите здесь источники данных, если они не совпадают с источниками исходных данных для определения исходного уровня.
</t>
        </r>
      </text>
    </comment>
    <comment ref="I15" authorId="0">
      <text>
        <r>
          <rPr>
            <b/>
            <sz val="9"/>
            <color indexed="81"/>
            <rFont val="Tahoma"/>
            <family val="2"/>
          </rPr>
          <t xml:space="preserve">Исходные уровни: если эти данные отсутствуют, они должны быть определены во время реализации гранта. Если источник данных для определения исходного уровня отличается от источника данных, который будет использован для составления отчета по показателю, укажите это в поле «Комментарии».
</t>
        </r>
      </text>
    </comment>
    <comment ref="O15" authorId="0">
      <text>
        <r>
          <rPr>
            <b/>
            <sz val="9"/>
            <color indexed="81"/>
            <rFont val="Tahoma"/>
            <family val="2"/>
          </rPr>
          <t xml:space="preserve">Целевые показатели следует указывать в соответствии с периодичностью их определения. Например, если исследования проводятся на 1-й и 3-й год, укажите целевые показатели только для этих лет. Укажите целевые показатели в столбце календарного года, в течение которого будет осуществляться сбор данных. Подробные сведения о периодичности и сроках подачи отчетов по показателям воздействия можно найти в Руководстве по мониторингу и оценке.
</t>
        </r>
      </text>
    </comment>
    <comment ref="A26" authorId="0">
      <text>
        <r>
          <rPr>
            <b/>
            <sz val="9"/>
            <color indexed="81"/>
            <rFont val="Tahoma"/>
            <family val="2"/>
          </rPr>
          <t xml:space="preserve">Задачи: каждая цель должна включать ряд конкретных задач, выполнение которых обеспечит достижение заявленных целей программы. Эти задачи должны быть согласованы с задачами национального стратегического плана борьбы с заболеваниями.
</t>
        </r>
      </text>
    </comment>
    <comment ref="A32" authorId="0">
      <text>
        <r>
          <rPr>
            <b/>
            <sz val="9"/>
            <color indexed="81"/>
            <rFont val="Tahoma"/>
            <family val="2"/>
          </rPr>
          <t xml:space="preserve">Привязка к задаче(ам) #: укажите номер задачи, к которой относится каждый показатель. Один показатель может быть связан с несколькими задачами. </t>
        </r>
      </text>
    </comment>
    <comment ref="B32" authorId="0">
      <text>
        <r>
          <rPr>
            <b/>
            <sz val="9"/>
            <color indexed="81"/>
            <rFont val="Tahoma"/>
            <family val="2"/>
          </rPr>
          <t xml:space="preserve">Показатели долгосрочных результатов должны быть соотнесены с задачей(ами). Ячейка «Показатель долгосрочного результата» включает раскрывающийся список стандартных показателей, перечисленных в Руководстве по мониторингу и оценке. Глобальный фонд настоятельно рекомендует использовать предложенные стандартные показатели. Однако показатели в этой ячейке можно заменить показателями, специфичным для страны, если это применимо для конкретной ситуации. Выбранные показатели должны быть согласованы с национальным стратегическим планом борьбы с заболеваниями и соответствующим планом МиО. </t>
        </r>
      </text>
    </comment>
    <comment ref="I33" authorId="0">
      <text>
        <r>
          <rPr>
            <b/>
            <sz val="9"/>
            <color indexed="81"/>
            <rFont val="Tahoma"/>
            <family val="2"/>
          </rPr>
          <t xml:space="preserve">Последний исходный уровень/результат: исходные уровни служат отправной точкой для оценки результативности программы. При определении исходных уровней следует учитывать последние результаты и/или последнюю информацию, полученную от технических партнеров и из других надежных источников. Для каждого показателя необходимо привести исходные данные (значение, год и источник). В раскрывающемся списке источников представлен перечень возможных источников (не исчерпывающий). При необходимости можно указать другие источники, введя в поле новые данные. </t>
        </r>
      </text>
    </comment>
    <comment ref="A44" authorId="0">
      <text>
        <r>
          <rPr>
            <b/>
            <sz val="9"/>
            <color indexed="81"/>
            <rFont val="Tahoma"/>
            <family val="2"/>
          </rPr>
          <t xml:space="preserve">Модули: скопируйте и вставьте этот раздел для каждого дополнительного модуля, включенного в запрос. </t>
        </r>
      </text>
    </comment>
    <comment ref="D45" authorId="0">
      <text>
        <r>
          <rPr>
            <b/>
            <sz val="9"/>
            <color indexed="81"/>
            <rFont val="Tahoma"/>
            <family val="2"/>
          </rPr>
          <t xml:space="preserve">Ответственный основной реципиент: если предполагается наличие нескольких основных реципиентов, укажите в этом поле одного или нескольких ОР, ответственных за реализацию мероприятий, связанных с данным показателем. При наличии нескольких основных реципиентов укажите целевые показатели с разбивкой по ОР (насколько это возможно). 
</t>
        </r>
      </text>
    </comment>
    <comment ref="E45" authorId="0">
      <text>
        <r>
          <rPr>
            <b/>
            <sz val="9"/>
            <color indexed="81"/>
            <rFont val="Tahoma"/>
            <family val="2"/>
          </rPr>
          <t xml:space="preserve">Привязывается к: выберите одну из четырех опций в этом столбце, чтобы указать, привязаны ли целевые показатели к одному из следующих источников финансирования:
a) текущий грант — если целевые показатели включают несколько целевых показателей, определяемых на уровне страны, и источником финансирования для их достижения служит исключительно грант Глобального фонда, предоставляемый одному основному реципиенту;
b) несколько грантов Глобального фонда — если целевые показатели включают несколько целевых показателей, определяемых на уровне страны, и источником финансирования для их достижения служат исключительно несколько грантов Глобального фонда (в этом случае в комментариях необходимо указать номера грантов, служащих источниками финансирования для достижения этих целевых показателей);
c) Глобальный фонд и другие доноры — если целевые показатели включают несколько целевых показателей, определяемых на уровне страны, и источником финансирования для их достижения является исключительно Глобальный фонд и другие многосторонние или двусторонние финансирующие организации;
d) национальная программа — если целевые показатели относятся ко всей стране (являются национальными). 
Исключение: это вариант можно выбрать также в случаях, когда целевые показатели относятся ко всему региону или провинции страны (являются субнациональными), и их достижение финансируется Глобальным фондом лишь частично. Если достижение субнациональных целевых показателей финансируется Глобальным фондом полностью, выберите вариант «а» (текущий грант) или «b» (несколько грантов Глобального фонда). Укажите в комментариях, являются ли целевые показатели субнациональными. </t>
        </r>
      </text>
    </comment>
    <comment ref="G45" authorId="0">
      <text>
        <r>
          <rPr>
            <b/>
            <sz val="9"/>
            <color indexed="81"/>
            <rFont val="Tahoma"/>
            <family val="2"/>
          </rPr>
          <t>Последний исходный уровень/результат: исходные уровни служат отправной точкой для оценки результативности программы. При определении исходных уровней следует учитывать последние результаты и/или последнюю информацию, полученную от технических партнеров и из других надежных источников. Для каждого показателя необходимо привести исходные данные (значение, год и источник). В раскрывающемся списке источников представлен перечень возможных источников (не исчерпывающий). При необходимости можно указать другие источники, введя в поле новые данные.</t>
        </r>
      </text>
    </comment>
    <comment ref="M45" authorId="0">
      <text>
        <r>
          <rPr>
            <b/>
            <sz val="9"/>
            <color indexed="81"/>
            <rFont val="Tahoma"/>
            <family val="2"/>
          </rPr>
          <t>Целевые показатели: укажите здесь целевые значения для каждого показателя (для показателей охвата укажите числитель, знаменатель и процентное значение; для показателей, выражаемых не в процентах, — только числитель). Обратите внимание, что не все показатели включаются в отчет в каждый период. Целевые показатели должны указываться только для периодов, когда осуществляется сбор данных.</t>
        </r>
      </text>
    </comment>
    <comment ref="S46" authorId="0">
      <text>
        <r>
          <rPr>
            <sz val="9"/>
            <color indexed="81"/>
            <rFont val="Tahoma"/>
            <family val="2"/>
          </rPr>
          <t xml:space="preserve">Укажите предположения, использованные при расчете целевых показателей. Этот раздел должен содержать: предположительный уровень расширения охвата, охват населения услугами, связанными с ключевыми показателями (например, при установке целевых показателей в области ППМР можно указать число женщин, посещающих антенатальные клиники), размер целевой группы населения и источники данных, на основании которых рассчитывались показатели численности населения. Если показатели численности населения отсутствуют, укажите сроки и опишите процесс их получения. Если мероприятие включает пакет услуг, опишите все его компоненты. Дайте краткое определение числителю и знаменателю показателя; укажите источники данных, которые будут использоваться при составлении отчетов; опишите любые проблемы с системами МиО, которые могут усложнить предоставление отчетности по данному показателю.  </t>
        </r>
      </text>
    </comment>
    <comment ref="H47" authorId="0">
      <text>
        <r>
          <rPr>
            <b/>
            <sz val="9"/>
            <color indexed="81"/>
            <rFont val="Tahoma"/>
            <family val="2"/>
          </rPr>
          <t>%: процентное значение рассчитывается автоматически, если были указаны числитель и знаменатель</t>
        </r>
      </text>
    </comment>
    <comment ref="G49" authorId="0">
      <text>
        <r>
          <rPr>
            <b/>
            <sz val="9"/>
            <color indexed="81"/>
            <rFont val="Tahoma"/>
            <family val="2"/>
          </rPr>
          <t>Ч: укажите значение числителя</t>
        </r>
      </text>
    </comment>
    <comment ref="H49" authorId="0">
      <text>
        <r>
          <rPr>
            <b/>
            <sz val="9"/>
            <color indexed="81"/>
            <rFont val="Tahoma"/>
            <family val="2"/>
          </rPr>
          <t>Если показатели не имеют процентного выражения, это поле можно оставить пустым. Если показатели имеют исключительно процентное выражение, можно оставить пустыми поля числителя (Ч) и знаменателя (З).</t>
        </r>
      </text>
    </comment>
    <comment ref="K49" authorId="0">
      <text>
        <r>
          <rPr>
            <sz val="9"/>
            <color indexed="81"/>
            <rFont val="Tahoma"/>
            <family val="2"/>
          </rPr>
          <t xml:space="preserve">Это касается показателей, которых предполагается достичь с помощью ориентировочного финансирования. </t>
        </r>
      </text>
    </comment>
    <comment ref="M49" authorId="0">
      <text>
        <r>
          <rPr>
            <b/>
            <sz val="9"/>
            <color indexed="81"/>
            <rFont val="Tahoma"/>
            <family val="2"/>
          </rPr>
          <t>Ч: укажите значение числителя</t>
        </r>
      </text>
    </comment>
    <comment ref="N49" authorId="0">
      <text>
        <r>
          <rPr>
            <sz val="9"/>
            <color indexed="81"/>
            <rFont val="Tahoma"/>
            <family val="2"/>
          </rPr>
          <t>%: процентное значение рассчитывается автоматически, если были указаны числитель и знаменатель</t>
        </r>
      </text>
    </comment>
    <comment ref="M50" authorId="0">
      <text>
        <r>
          <rPr>
            <b/>
            <sz val="9"/>
            <color indexed="81"/>
            <rFont val="Tahoma"/>
            <family val="2"/>
          </rPr>
          <t xml:space="preserve">З: укажите значение знаменателя  Если знаменатель отсутствует, оставьте эту ячейку пустой.  
</t>
        </r>
      </text>
    </comment>
    <comment ref="G51" authorId="0">
      <text>
        <r>
          <rPr>
            <b/>
            <sz val="9"/>
            <color indexed="81"/>
            <rFont val="Tahoma"/>
            <family val="2"/>
          </rPr>
          <t>З: укажите значение знаменателя  Если знаменатель отсутствует, оставьте эту ячейку пустой.</t>
        </r>
      </text>
    </comment>
    <comment ref="K51" authorId="0">
      <text>
        <r>
          <rPr>
            <sz val="9"/>
            <color indexed="81"/>
            <rFont val="Tahoma"/>
            <family val="2"/>
          </rPr>
          <t xml:space="preserve">Это касается показателей, которых предполагается достичь с помощью финансирования свыше ориентировочного уровня. 
</t>
        </r>
      </text>
    </comment>
    <comment ref="Z63" authorId="0">
      <text>
        <r>
          <rPr>
            <sz val="9"/>
            <color indexed="81"/>
            <rFont val="Tahoma"/>
            <family val="2"/>
          </rPr>
          <t xml:space="preserve">
• Кратко опишите, какие виды деятельности, направленные на реализацию данного мероприятия, уже финансируются другими донорами и правительством. Укажите суммы финансирования и охват, если они известны. Если ситуация с финансированием меняется, объясните, как эти изменения влияют на ваш запрос в Глобальный фонд.
• Это объяснение должно отвечать на вопрос, почему определенные виды деятельности не включены в запрос на получение финансирования от Глобального фонда. Важно подтвердить, что все виды деятельности, необходимые для реализации того или иного мероприятия, финансируются из национальных источников или другими донорами. </t>
        </r>
      </text>
    </comment>
    <comment ref="D64" authorId="0">
      <text>
        <r>
          <rPr>
            <sz val="9"/>
            <color indexed="81"/>
            <rFont val="Tahoma"/>
            <family val="2"/>
          </rPr>
          <t>В этом разделе необходимо обосновать необходимость данного мероприятия и объяснить, каким образом оно будет достигать воздействия, а также описать методы его реализации и обосновать их выбор. 
• Обоснуйте необходимость мероприятия как минимум одним предложением: например, приведите научные данные или источники информации, свидетельствующие об эффективности данного мероприятия. 
• Обоснуйте необходимость мероприятия как минимум одним предложением: например, приведите научные данные или источники информации, свидетельствующие об эффективности данного мероприятия. 
• Опишите как минимум одним предложением сферу охвата мероприятия (например, географический охват, охват населения, и т.д.). 
• Опишите как минимум одним предложением виды деятельности, которые будут осуществляться в рамках данного мероприятия (например, в рамках РИПИ может проводиться обучение, аутрич-работа, и т.д.). Необходимо достаточно подробно описать ключевые виды деятельности и объяснить, каким образом будет осуществляться их управление, а также согласование видов деятельности, финансируемых Глобальным фондом, и других связанных с ними мероприятий.
• Если ответственность за реализацию мероприятия будут нести несколько ОР, опишите распределение обязанностей (например, обеспечение охвата на региональном уровне, поддержка различных видов деятельности в рамках мероприятия, и т.д.).
• Опишите как минимум одним предложением, каким образом может быть расширен охват мероприятия, и какие дополнительные виды деятельности могут быть реализованы благодаря предоставлению финансирования сверх ориентировочного уровня. Мероприятия должны быть описаны достаточно подробно.</t>
        </r>
      </text>
    </comment>
    <comment ref="S64" authorId="0">
      <text>
        <r>
          <rPr>
            <sz val="9"/>
            <color indexed="81"/>
            <rFont val="Tahoma"/>
            <family val="2"/>
          </rPr>
          <t xml:space="preserve"> Объясните, каким образом были рассчитаны числовые показатели, приведенные в запросе на предоставление Глобальным фондом финансирования для реализации данного мероприятия. 
o (1) Укажите составляющие мероприятия/виды деятельности, входящие в план затрат, а также факторы, определяющие величину затрат. 
o (2) Источники расчета затрат (например, предыдущий опыт; контрольный показатель или метод вычисления издержек, предоставленный техническим партнером; подробный бюджет, и т.д.).
o (3) Укажите предполагаемые затраты как минимум для 80 % стоимости мероприятия. 
Укажите количество услуг, которые будут предоставляться ежегодно благодаря финансированию Глобального фонда (например, дополнительное число человек, охваченных мероприятиями в рамках РИПИ). Укажите точное количество услуг, для предоставления которых запрашивается ориентировочное финансирование, и число дополнительных услуг, для оказания которых запрашивается финансирование сверх ориентировочного уровня.  Также необходимо разъяснить, ожидается ли в течение года изменение числа предоставляемых услуг или объема финансирования мероприятия.
</t>
        </r>
      </text>
    </comment>
    <comment ref="A65" authorId="0">
      <text>
        <r>
          <rPr>
            <sz val="9"/>
            <color indexed="81"/>
            <rFont val="Tahoma"/>
            <family val="2"/>
          </rPr>
          <t>Выберите мероприятие, для которого запрашивается финансирование, из раскрывающегося списка. В раскрывающемся списке указаны все мероприятия для выбранного модуля. 
• Если мероприятие отсутствует в раскрывающемся списке, выберите вариант «Другое» и опишите суть мероприятия в соответствующем поле. Кандидатам настоятельно рекомендуется по возможности выбирать мероприятия из стандартного списка.</t>
        </r>
      </text>
    </comment>
    <comment ref="J65" authorId="0">
      <text>
        <r>
          <rPr>
            <sz val="9"/>
            <color indexed="81"/>
            <rFont val="Tahoma"/>
            <family val="2"/>
          </rPr>
          <t xml:space="preserve">Если ответственность за реализацию мероприятия будут нести несколько ОР, разбейте поле на нужное количество частей и укажите суммы финансирования, запрашиваемые для каждого ОР. 
</t>
        </r>
      </text>
    </comment>
    <comment ref="M65" authorId="0">
      <text>
        <r>
          <rPr>
            <sz val="9"/>
            <color indexed="81"/>
            <rFont val="Tahoma"/>
            <family val="2"/>
          </rPr>
          <t>Заполните бюджет финансирования, запрашиваемого у Глобального фонда для реализации данного мероприятия, на каждый год.
Заполните бюджет финансирования, запрашиваемого у Глобального фонда для реализации данного мероприятия, на каждый год.</t>
        </r>
      </text>
    </comment>
    <comment ref="K66" authorId="0">
      <text>
        <r>
          <rPr>
            <sz val="9"/>
            <color indexed="81"/>
            <rFont val="Tahoma"/>
            <family val="2"/>
          </rPr>
          <t>Объем запрашиваемого ориентировочного финансирования</t>
        </r>
      </text>
    </comment>
    <comment ref="K67" authorId="0">
      <text>
        <r>
          <rPr>
            <sz val="9"/>
            <color indexed="81"/>
            <rFont val="Tahoma"/>
            <family val="2"/>
          </rPr>
          <t xml:space="preserve">Объем финансирования, запрашиваемого свыше ориентировочного уровня 
(финансирование свыше ориентировочного + ориентировочное финансирование = полный объем запрашиваемого финансирования)
</t>
        </r>
      </text>
    </comment>
    <comment ref="K80" authorId="0">
      <text>
        <r>
          <rPr>
            <sz val="9"/>
            <color indexed="81"/>
            <rFont val="Tahoma"/>
            <family val="2"/>
          </rPr>
          <t>Объем запрашиваемого ориентировочного финансирования</t>
        </r>
      </text>
    </comment>
    <comment ref="K82" authorId="0">
      <text>
        <r>
          <rPr>
            <sz val="9"/>
            <color indexed="81"/>
            <rFont val="Tahoma"/>
            <family val="2"/>
          </rPr>
          <t>Объем запрашиваемого ориентировочного финансирования</t>
        </r>
      </text>
    </comment>
  </commentList>
</comments>
</file>

<file path=xl/comments5.xml><?xml version="1.0" encoding="utf-8"?>
<comments xmlns="http://schemas.openxmlformats.org/spreadsheetml/2006/main">
  <authors>
    <author>Author</author>
  </authors>
  <commentList>
    <comment ref="C1" authorId="0">
      <text>
        <r>
          <rPr>
            <b/>
            <sz val="9"/>
            <color indexed="81"/>
            <rFont val="Tahoma"/>
            <family val="2"/>
          </rPr>
          <t>Author:</t>
        </r>
        <r>
          <rPr>
            <sz val="9"/>
            <color indexed="81"/>
            <rFont val="Tahoma"/>
            <family val="2"/>
          </rPr>
          <t xml:space="preserve">
</t>
        </r>
      </text>
    </comment>
  </commentList>
</comments>
</file>

<file path=xl/comments6.xml><?xml version="1.0" encoding="utf-8"?>
<comments xmlns="http://schemas.openxmlformats.org/spreadsheetml/2006/main">
  <authors>
    <author>Author</author>
  </authors>
  <commentList>
    <comment ref="C1" authorId="0">
      <text>
        <r>
          <rPr>
            <b/>
            <sz val="9"/>
            <color indexed="81"/>
            <rFont val="Tahoma"/>
            <family val="2"/>
          </rPr>
          <t>Author:</t>
        </r>
        <r>
          <rPr>
            <sz val="9"/>
            <color indexed="81"/>
            <rFont val="Tahoma"/>
            <family val="2"/>
          </rPr>
          <t xml:space="preserve">
Logic relating Outcome and Impact indicators to individual modules not to be implemented</t>
        </r>
      </text>
    </comment>
  </commentList>
</comments>
</file>

<file path=xl/sharedStrings.xml><?xml version="1.0" encoding="utf-8"?>
<sst xmlns="http://schemas.openxmlformats.org/spreadsheetml/2006/main" count="4634" uniqueCount="2944">
  <si>
    <t>Please select…</t>
  </si>
  <si>
    <t>Year 5</t>
  </si>
  <si>
    <t>Year 4</t>
  </si>
  <si>
    <t>Period 6</t>
  </si>
  <si>
    <t>Period 5</t>
  </si>
  <si>
    <t>Period 4</t>
  </si>
  <si>
    <t>Period 3</t>
  </si>
  <si>
    <t>Period 2</t>
  </si>
  <si>
    <t>Period 1</t>
  </si>
  <si>
    <t>Source</t>
  </si>
  <si>
    <t>Target cumulation</t>
  </si>
  <si>
    <t>Indicator</t>
  </si>
  <si>
    <t>Service Delivery Area</t>
  </si>
  <si>
    <t>D #</t>
  </si>
  <si>
    <t>%</t>
  </si>
  <si>
    <t>N #</t>
  </si>
  <si>
    <t>Report due date</t>
  </si>
  <si>
    <t>Year 3</t>
  </si>
  <si>
    <t>Year 2</t>
  </si>
  <si>
    <t>value</t>
  </si>
  <si>
    <t>Comments</t>
  </si>
  <si>
    <t>Targets</t>
  </si>
  <si>
    <t>Baseline</t>
  </si>
  <si>
    <t xml:space="preserve">     Objectives:</t>
  </si>
  <si>
    <t>B. Program goals and impact indicators</t>
  </si>
  <si>
    <t>Period Covered: to</t>
  </si>
  <si>
    <t>Period Covered: from</t>
  </si>
  <si>
    <t>A. Program details</t>
  </si>
  <si>
    <t>Administrative records</t>
  </si>
  <si>
    <t>National Health Account</t>
  </si>
  <si>
    <t>Health Provider survey</t>
  </si>
  <si>
    <t>Operational Research</t>
  </si>
  <si>
    <t>Vital and disease-specific registry</t>
  </si>
  <si>
    <t>Reports (specify)</t>
  </si>
  <si>
    <t>Specific surveys and research (specify)</t>
  </si>
  <si>
    <t>Households survey</t>
  </si>
  <si>
    <t>SAMS (Service Availability Mapping
Survey)</t>
  </si>
  <si>
    <t>Health Facility survey</t>
  </si>
  <si>
    <t>BSS (Behavioral Surveillance Survey)</t>
  </si>
  <si>
    <t>AIS (AIDS Indicator Survey)</t>
  </si>
  <si>
    <t>DHS/DHS+ (Demographic and Health
Survey)</t>
  </si>
  <si>
    <t>MICS (Multiple Indicator Cluster Survey)</t>
  </si>
  <si>
    <t>Training records</t>
  </si>
  <si>
    <t>Patient records</t>
  </si>
  <si>
    <t>HMIS</t>
  </si>
  <si>
    <t>SAMS (Service Availability Mapping Survey)</t>
  </si>
  <si>
    <t>Specify- Reports, Surveys, Questionnaires etc.</t>
  </si>
  <si>
    <t>TB treatment card</t>
  </si>
  <si>
    <t>TB laboratory register</t>
  </si>
  <si>
    <t>TB patient register</t>
  </si>
  <si>
    <t>TB prevalence survey</t>
  </si>
  <si>
    <t xml:space="preserve">R&amp;R TB system, yearly management report </t>
  </si>
  <si>
    <t>R&amp;R TB system, quarterly reports</t>
  </si>
  <si>
    <t>Other survey, specify</t>
  </si>
  <si>
    <t>Other report, specify</t>
  </si>
  <si>
    <t>Surveillance systems</t>
  </si>
  <si>
    <t>Patients records</t>
  </si>
  <si>
    <t>Key informant survey</t>
  </si>
  <si>
    <t>Situation Analysis</t>
  </si>
  <si>
    <t>MIS (Malaria Indicator Survey)</t>
  </si>
  <si>
    <t>DHS/DHS+ (Demographic and Health Survey)</t>
  </si>
  <si>
    <t>Tied to</t>
  </si>
  <si>
    <t>Disbursement Request (Y,N)</t>
  </si>
  <si>
    <t>Please carefully review the instructions work sheet before completing this template</t>
  </si>
  <si>
    <t>Top 10</t>
  </si>
  <si>
    <t>Impact indicator</t>
  </si>
  <si>
    <t>Outcome indicator</t>
  </si>
  <si>
    <t>C. Program objectives and outcome indicators</t>
  </si>
  <si>
    <t>Country / Applicant:</t>
  </si>
  <si>
    <t>January</t>
  </si>
  <si>
    <t>April</t>
  </si>
  <si>
    <t>July</t>
  </si>
  <si>
    <t>October</t>
  </si>
  <si>
    <t>Start month</t>
  </si>
  <si>
    <t>PR Country</t>
  </si>
  <si>
    <t>PR</t>
  </si>
  <si>
    <t>PRacronym</t>
  </si>
  <si>
    <t>Malaria</t>
  </si>
  <si>
    <t>Tuberculosis</t>
  </si>
  <si>
    <t>CCM Afghanistan</t>
  </si>
  <si>
    <t>Afghanistan</t>
  </si>
  <si>
    <t>CCM Albania</t>
  </si>
  <si>
    <t>German Technical Cooperation GTZ-IS</t>
  </si>
  <si>
    <t>CCM Algeria</t>
  </si>
  <si>
    <t>HealthNet TPO</t>
  </si>
  <si>
    <t>CCM Angola</t>
  </si>
  <si>
    <t>CCM Argentina</t>
  </si>
  <si>
    <t>Albania</t>
  </si>
  <si>
    <t>Institute of Public Health, Ministry of Health in Albania</t>
  </si>
  <si>
    <t>CCM Armenia</t>
  </si>
  <si>
    <t>Algeria</t>
  </si>
  <si>
    <t>CCM Azerbaijan</t>
  </si>
  <si>
    <t>Angola</t>
  </si>
  <si>
    <t>United Nations Development Programme, Angola</t>
  </si>
  <si>
    <t>CCM Bangladesh</t>
  </si>
  <si>
    <t>CCM Belarus</t>
  </si>
  <si>
    <t>Argentina</t>
  </si>
  <si>
    <t>United Nations Development Programme, Argentina</t>
  </si>
  <si>
    <t>CCM Belize</t>
  </si>
  <si>
    <t>UBATEC S.A.</t>
  </si>
  <si>
    <t>CCM Benin</t>
  </si>
  <si>
    <t>Armenia</t>
  </si>
  <si>
    <t>CCM Bhutan</t>
  </si>
  <si>
    <t>CCM Bolivia</t>
  </si>
  <si>
    <t>Mission East</t>
  </si>
  <si>
    <t>ME</t>
  </si>
  <si>
    <t>CCM Bosnia and Herzegovina</t>
  </si>
  <si>
    <t>Azerbaijan</t>
  </si>
  <si>
    <t>CCM Botswana</t>
  </si>
  <si>
    <t>CCM Brazil</t>
  </si>
  <si>
    <t>Bangladesh</t>
  </si>
  <si>
    <t>CCM Bulgaria</t>
  </si>
  <si>
    <t>BRAC</t>
  </si>
  <si>
    <t>CCM Burkina Faso</t>
  </si>
  <si>
    <t>Ministry of Health and Family Welfare of Bangladesh</t>
  </si>
  <si>
    <t>CCM Burundi</t>
  </si>
  <si>
    <t>CCM Cambodia</t>
  </si>
  <si>
    <t>CCM Cameroon</t>
  </si>
  <si>
    <t>Belarus</t>
  </si>
  <si>
    <t>United Nations Development Programme, Belarus</t>
  </si>
  <si>
    <t>CCM Cape Verde</t>
  </si>
  <si>
    <t>Belize</t>
  </si>
  <si>
    <t>CCM Central African Republic</t>
  </si>
  <si>
    <t>CCM Chad</t>
  </si>
  <si>
    <t>Benin</t>
  </si>
  <si>
    <t>United Nations Development Programme, Benin</t>
  </si>
  <si>
    <t>CCM Chile</t>
  </si>
  <si>
    <t>CCM China</t>
  </si>
  <si>
    <t>CCM Colombia</t>
  </si>
  <si>
    <t>CCM Comoros</t>
  </si>
  <si>
    <t>Plan Benin</t>
  </si>
  <si>
    <t>CCM Congo (Republic of)</t>
  </si>
  <si>
    <t>Non-CCM Congo-Kasai</t>
  </si>
  <si>
    <t>Bhutan</t>
  </si>
  <si>
    <t>Bolivia (Plurinational State)</t>
  </si>
  <si>
    <t>CCM Costa Rica</t>
  </si>
  <si>
    <t>United Nations Development Programme, Bolivia</t>
  </si>
  <si>
    <t>CCM Cote d'Ivoire</t>
  </si>
  <si>
    <t>Asociación Ibis - Hivos</t>
  </si>
  <si>
    <t>CCM Croatia</t>
  </si>
  <si>
    <t>Bosnia and Herzegovina</t>
  </si>
  <si>
    <t>CCM Cuba</t>
  </si>
  <si>
    <t>Botswana</t>
  </si>
  <si>
    <t>Ministry of Finance and Development Planning of Botswana</t>
  </si>
  <si>
    <t>CCM Djibouti</t>
  </si>
  <si>
    <t>Brazil</t>
  </si>
  <si>
    <t>CCM Dominican Republic</t>
  </si>
  <si>
    <t>CCM Ecuador</t>
  </si>
  <si>
    <t>CCM Egypt</t>
  </si>
  <si>
    <t>CCM El Salvador</t>
  </si>
  <si>
    <t>Bulgaria</t>
  </si>
  <si>
    <t>CCM Equatorial Guinea</t>
  </si>
  <si>
    <t>Burkina Faso</t>
  </si>
  <si>
    <t>United Nations Development Programme, Burkina Faso</t>
  </si>
  <si>
    <t>CCM Eritrea</t>
  </si>
  <si>
    <t>National Council to Fight Against HIV/AIDS</t>
  </si>
  <si>
    <t>CCM Estonia</t>
  </si>
  <si>
    <t>CCM Ethiopia</t>
  </si>
  <si>
    <t>CCM Fiji</t>
  </si>
  <si>
    <t>CCM Gabon</t>
  </si>
  <si>
    <t>Burundi</t>
  </si>
  <si>
    <t>Conseil National de Lutte contre le SIDA (CNLS), Burundi</t>
  </si>
  <si>
    <t>CCM Gambia</t>
  </si>
  <si>
    <t>CCM Georgia</t>
  </si>
  <si>
    <t>CCM Ghana</t>
  </si>
  <si>
    <t>CCM Guatemala</t>
  </si>
  <si>
    <t>CED-Caritas, Burundi</t>
  </si>
  <si>
    <t>CCM Guinea</t>
  </si>
  <si>
    <t>Cambodia</t>
  </si>
  <si>
    <t>Ministry of Health of Cambodia</t>
  </si>
  <si>
    <t>CCM Guyana</t>
  </si>
  <si>
    <t>CCM Haiti</t>
  </si>
  <si>
    <t>CCM Honduras</t>
  </si>
  <si>
    <t>Cameroon</t>
  </si>
  <si>
    <t>CCM India</t>
  </si>
  <si>
    <t>CARE International in Cameroon</t>
  </si>
  <si>
    <t>CCM Indonesia</t>
  </si>
  <si>
    <t>Plan International</t>
  </si>
  <si>
    <t>CCM Iran (Islamic Republic of)</t>
  </si>
  <si>
    <t>Cape Verde</t>
  </si>
  <si>
    <t>CCM Iraq</t>
  </si>
  <si>
    <t>CCM Jamaica</t>
  </si>
  <si>
    <t>Central African Republic</t>
  </si>
  <si>
    <t>United Nations Development Programme, Central African Republic</t>
  </si>
  <si>
    <t>CCM Jordan</t>
  </si>
  <si>
    <t>CCM Kazakhstan</t>
  </si>
  <si>
    <t>Chad</t>
  </si>
  <si>
    <t>CCM Kenya</t>
  </si>
  <si>
    <t>United Nations Development Programme, Chad</t>
  </si>
  <si>
    <t>CCM DPR of Korea</t>
  </si>
  <si>
    <t>Association of Social Marketing in Chad (AMASOT)</t>
  </si>
  <si>
    <t>CCM Kosovo</t>
  </si>
  <si>
    <t>CCM Kyrgyzstan</t>
  </si>
  <si>
    <t>Chile</t>
  </si>
  <si>
    <t>Consejo de las Américas</t>
  </si>
  <si>
    <t>Sub-CCM Chuya Region</t>
  </si>
  <si>
    <t>China</t>
  </si>
  <si>
    <t>Chinese Centre for Disease Control and Prevention</t>
  </si>
  <si>
    <t>CCM Lao PDR</t>
  </si>
  <si>
    <t>Colombia</t>
  </si>
  <si>
    <t>CCM Lesotho</t>
  </si>
  <si>
    <t>Fundación Universidad Antioquia</t>
  </si>
  <si>
    <t>FUA</t>
  </si>
  <si>
    <t>CCM Liberia</t>
  </si>
  <si>
    <t>FONADE</t>
  </si>
  <si>
    <t>CCM Macedonia</t>
  </si>
  <si>
    <t>CCM Madagascar</t>
  </si>
  <si>
    <t>Comoros</t>
  </si>
  <si>
    <t>Association Comorienne pour le Bien-Etre de la Famille (ASCOBEF)</t>
  </si>
  <si>
    <t>CCM Malawi</t>
  </si>
  <si>
    <t>Ministry of Health of Comoros</t>
  </si>
  <si>
    <t>CCM Malaysia</t>
  </si>
  <si>
    <t>Congo</t>
  </si>
  <si>
    <t>CCM Maldives</t>
  </si>
  <si>
    <t>CCM Mali</t>
  </si>
  <si>
    <t>CCM Mauritania</t>
  </si>
  <si>
    <t>Congo (Democratic Republic)</t>
  </si>
  <si>
    <t>United Nations Development Programme, Democratic Republic of Congo</t>
  </si>
  <si>
    <t>CCM Mauritius</t>
  </si>
  <si>
    <t>CCM Mexico</t>
  </si>
  <si>
    <t>CCM Moldova</t>
  </si>
  <si>
    <t>CORDAID</t>
  </si>
  <si>
    <t>CCM Mongolia</t>
  </si>
  <si>
    <t>Costa Rica</t>
  </si>
  <si>
    <t>CCM Montenegro</t>
  </si>
  <si>
    <t>CCM Morocco</t>
  </si>
  <si>
    <t>Côte d'Ivoire</t>
  </si>
  <si>
    <t>United Nations Development Programme, Cote d'Ivoire</t>
  </si>
  <si>
    <t>CCM Mozambique</t>
  </si>
  <si>
    <t>CARE Cote d'Ivoire</t>
  </si>
  <si>
    <t>Croatia</t>
  </si>
  <si>
    <t>Cuba</t>
  </si>
  <si>
    <t>United Nations Development Programme, Cuba</t>
  </si>
  <si>
    <t>Djibouti</t>
  </si>
  <si>
    <t>Secrétariat Exécutif de Lutte contre le Sida la Tuberculose et le Paludisme</t>
  </si>
  <si>
    <t>Dominican Republic</t>
  </si>
  <si>
    <t>Asociación Dominicana Pro-Bienestar de la Familia (PROFAMILIA)</t>
  </si>
  <si>
    <t>Instituto Dermatologico y Cirugia de Piel</t>
  </si>
  <si>
    <t>Subsecretaria de Estado de Salud Colectiva, Ministry of Health</t>
  </si>
  <si>
    <t>Ecuador</t>
  </si>
  <si>
    <t>CARE Ecuador</t>
  </si>
  <si>
    <t>CCM Myanmar</t>
  </si>
  <si>
    <t>Corporacion Kimirina</t>
  </si>
  <si>
    <t>CCM Namibia</t>
  </si>
  <si>
    <t>Egypt</t>
  </si>
  <si>
    <t>National Tuberculosis Control Program, Ministry of Health and Population in Egypt</t>
  </si>
  <si>
    <t>CCM Nepal</t>
  </si>
  <si>
    <t>National AIDS Programme, Ministry of Health and Population in Egypt</t>
  </si>
  <si>
    <t>CCM Nicaragua</t>
  </si>
  <si>
    <t>El Salvador</t>
  </si>
  <si>
    <t>CCM Niger</t>
  </si>
  <si>
    <t>Ministry of Health of El Salvador</t>
  </si>
  <si>
    <t>CCM Nigeria</t>
  </si>
  <si>
    <t>Equatorial Guinea</t>
  </si>
  <si>
    <t>United Nations Development Programme, Equatorial Guinea</t>
  </si>
  <si>
    <t>CCM Pakistan</t>
  </si>
  <si>
    <t>Medical Care Development International</t>
  </si>
  <si>
    <t>CCM Panama</t>
  </si>
  <si>
    <t>Eritrea</t>
  </si>
  <si>
    <t>CCM Papua New Guinea</t>
  </si>
  <si>
    <t>Estonia</t>
  </si>
  <si>
    <t>National Institute for Health Development, Ministry of Social Affaires</t>
  </si>
  <si>
    <t>CCM Paraguay</t>
  </si>
  <si>
    <t>Ethiopia</t>
  </si>
  <si>
    <t>CCM Peru</t>
  </si>
  <si>
    <t>CCM Philippines</t>
  </si>
  <si>
    <t>CCM Romania</t>
  </si>
  <si>
    <t>Sub-CCM Tomsk-Oblast</t>
  </si>
  <si>
    <t>Fiji</t>
  </si>
  <si>
    <t>Ministry of Health of Fiji</t>
  </si>
  <si>
    <t>CCM Russian Federation</t>
  </si>
  <si>
    <t>Gabon</t>
  </si>
  <si>
    <t>United Nations Development Programme, Gabon</t>
  </si>
  <si>
    <t>Ministry of Health and Public Hygiene of Gabon</t>
  </si>
  <si>
    <t>CCM Rwanda</t>
  </si>
  <si>
    <t>Gambia</t>
  </si>
  <si>
    <t>National AIDS Secretariat of Gambia</t>
  </si>
  <si>
    <t>Ministry of Health and Social Welfare of Gambia</t>
  </si>
  <si>
    <t>CCM Senegal</t>
  </si>
  <si>
    <t>Action Aid The Gambia</t>
  </si>
  <si>
    <t>CCM Serbia</t>
  </si>
  <si>
    <t>CCM Sierra Leone</t>
  </si>
  <si>
    <t>MRC</t>
  </si>
  <si>
    <t>CCM Solomon Islands</t>
  </si>
  <si>
    <t>Georgia</t>
  </si>
  <si>
    <t>Georgia Health and Social Projects Implementation Center</t>
  </si>
  <si>
    <t>Non-CCM Somalia</t>
  </si>
  <si>
    <t>Ghana</t>
  </si>
  <si>
    <t>CCM South Africa</t>
  </si>
  <si>
    <t>AngloGold Ashanti Malaria Control Limited</t>
  </si>
  <si>
    <t>CCM Sri Lanka</t>
  </si>
  <si>
    <t>Ghana AIDS Commission</t>
  </si>
  <si>
    <t>CCM Sudan</t>
  </si>
  <si>
    <t>CCM Suriname</t>
  </si>
  <si>
    <t>Guatemala</t>
  </si>
  <si>
    <t>Fundación Visión Mundial Guatemala</t>
  </si>
  <si>
    <t>CCM Swaziland</t>
  </si>
  <si>
    <t>CCM Service Validation Test Account</t>
  </si>
  <si>
    <t>Guinea</t>
  </si>
  <si>
    <t>Guinea-Bissau</t>
  </si>
  <si>
    <t>United Nations Development Programme, Guinea-Bissau</t>
  </si>
  <si>
    <t>CCM Tajikistan</t>
  </si>
  <si>
    <t>CCM Thailand</t>
  </si>
  <si>
    <t>Guyana</t>
  </si>
  <si>
    <t>Ministry of Health of Guyana</t>
  </si>
  <si>
    <t>CCM Timor Leste</t>
  </si>
  <si>
    <t>Haiti</t>
  </si>
  <si>
    <t>United Nations Development Programme, Haiti</t>
  </si>
  <si>
    <t>CCM Togo</t>
  </si>
  <si>
    <t>Fondation SOGEBANK</t>
  </si>
  <si>
    <t>CCM Tunisia</t>
  </si>
  <si>
    <t>Honduras</t>
  </si>
  <si>
    <t>United Nations Development Programme, Honduras</t>
  </si>
  <si>
    <t>CCM Turkey</t>
  </si>
  <si>
    <t>CHF</t>
  </si>
  <si>
    <t>CCM Turkmenistan</t>
  </si>
  <si>
    <t>India</t>
  </si>
  <si>
    <t>CCM Uganda</t>
  </si>
  <si>
    <t>Population Foundation of India</t>
  </si>
  <si>
    <t>CCM Ukraine</t>
  </si>
  <si>
    <t>India HIV/AIDS Alliance</t>
  </si>
  <si>
    <t>CCM Uruguay</t>
  </si>
  <si>
    <t>Indian Nursing Council</t>
  </si>
  <si>
    <t>CCM Uzbekistan</t>
  </si>
  <si>
    <t>CCM Viet Nam</t>
  </si>
  <si>
    <t>Non-CCM West Bank and Gaza Strip</t>
  </si>
  <si>
    <t>World Vision India</t>
  </si>
  <si>
    <t>WVI</t>
  </si>
  <si>
    <t>CCM Yemen</t>
  </si>
  <si>
    <t>IL&amp;FS Education &amp; Technology Services Ltd.</t>
  </si>
  <si>
    <t>CCM Zambia</t>
  </si>
  <si>
    <t>CCM Zanzibar</t>
  </si>
  <si>
    <t>EHA</t>
  </si>
  <si>
    <t>CCM Zimbabwe</t>
  </si>
  <si>
    <t>Indonesia</t>
  </si>
  <si>
    <t>National AIDS Commission of Indonesia</t>
  </si>
  <si>
    <t>IPPA</t>
  </si>
  <si>
    <t>Central Board of Aisyiyah</t>
  </si>
  <si>
    <t>Faculty of Public Health, University of Indonesia</t>
  </si>
  <si>
    <t>PERDHAKI - Indonesian association for voluntary health services</t>
  </si>
  <si>
    <t>NU</t>
  </si>
  <si>
    <t>Iran (Islamic Republic)</t>
  </si>
  <si>
    <t>Iraq</t>
  </si>
  <si>
    <t>United Nations Development Programme, Iraq</t>
  </si>
  <si>
    <t>Jamaica</t>
  </si>
  <si>
    <t>Ministry of Health of Jamaica</t>
  </si>
  <si>
    <t>Jordan</t>
  </si>
  <si>
    <t>Ministry of Health of the Hashemite Kingdom of Jordan</t>
  </si>
  <si>
    <t>Kazakhstan</t>
  </si>
  <si>
    <t>Kenya</t>
  </si>
  <si>
    <t>Sanaa Art Promotions</t>
  </si>
  <si>
    <t>Kenya Network of Women With AIDS</t>
  </si>
  <si>
    <t>Korea (Democratic Peoples Republic)</t>
  </si>
  <si>
    <t>Kosovo</t>
  </si>
  <si>
    <t>Ministry of Health of Kosovo</t>
  </si>
  <si>
    <t>Kyrgyzstan</t>
  </si>
  <si>
    <t>National AIDS Center, Kyrgyzstan</t>
  </si>
  <si>
    <t>National Center of Phtisiology</t>
  </si>
  <si>
    <t>State Sanitary Epidemiological Department</t>
  </si>
  <si>
    <t>SSED</t>
  </si>
  <si>
    <t>Project HOPE, Kyrgyzstan</t>
  </si>
  <si>
    <t>Lao (Peoples Democratic Republic)</t>
  </si>
  <si>
    <t>Lesotho</t>
  </si>
  <si>
    <t>Lesotho Council of Non-Governmental Organizations</t>
  </si>
  <si>
    <t>Liberia</t>
  </si>
  <si>
    <t>United Nations Development Programme, Liberia</t>
  </si>
  <si>
    <t>Ministry of Health and Social Welfare of Liberia</t>
  </si>
  <si>
    <t>Lutheran World Federation</t>
  </si>
  <si>
    <t>LWF</t>
  </si>
  <si>
    <t>Macedonia (Former Yugoslav Republic)</t>
  </si>
  <si>
    <t>Madagascar</t>
  </si>
  <si>
    <t>Sécrétariat Exécutif du Comité National de Lutte Contre le VIH/SIDA</t>
  </si>
  <si>
    <t>Unité de Gestion des Projets d'Appui au Secteur Santé</t>
  </si>
  <si>
    <t>Pact Madagascar</t>
  </si>
  <si>
    <t>Association Intercooperation Madagascar (AIM)</t>
  </si>
  <si>
    <t>AIM</t>
  </si>
  <si>
    <t>Malawi</t>
  </si>
  <si>
    <t>Maldives</t>
  </si>
  <si>
    <t>United Nations Development Programme, Maldives</t>
  </si>
  <si>
    <t>Mali</t>
  </si>
  <si>
    <t>Groupe Pivot Santé Population</t>
  </si>
  <si>
    <t>National High Council for HIV/AIDS control of Mali</t>
  </si>
  <si>
    <t>Mauritania</t>
  </si>
  <si>
    <t>United Nations Development Programme, Mauritania</t>
  </si>
  <si>
    <t>Comite National de Lutte contre le VIH/SIDA, Mauritania</t>
  </si>
  <si>
    <t>Mauritius</t>
  </si>
  <si>
    <t>National AIDS Secretariat, Mauritius</t>
  </si>
  <si>
    <t>Mexico</t>
  </si>
  <si>
    <t>Moldova</t>
  </si>
  <si>
    <t>Center for Health Policies and Studies (PAS Center)</t>
  </si>
  <si>
    <t>Mongolia</t>
  </si>
  <si>
    <t>Ministry of Health of Mongolia</t>
  </si>
  <si>
    <t>Montenegro</t>
  </si>
  <si>
    <t>United Nations Development Programme, Montenegro</t>
  </si>
  <si>
    <t>Morocco</t>
  </si>
  <si>
    <t>Ministry of Health of the Kingdom of Morocco</t>
  </si>
  <si>
    <t>Mozambique</t>
  </si>
  <si>
    <t>Ministry of Health of Mozambique</t>
  </si>
  <si>
    <t>World Vision Mozambique</t>
  </si>
  <si>
    <t>Multicountry Africa (SADC)</t>
  </si>
  <si>
    <t>SADC</t>
  </si>
  <si>
    <t>Multicountry Africa (West Africa Corridor Program)</t>
  </si>
  <si>
    <t>Multicountry Americas (Andean)</t>
  </si>
  <si>
    <t>Organismo Andino de Salud - Convenio Hipólito Unanue</t>
  </si>
  <si>
    <t>Multicountry Americas (CARICOM / PANCAP)</t>
  </si>
  <si>
    <t>CARICOM Secretariat</t>
  </si>
  <si>
    <t>Multicountry Americas (CRN+)</t>
  </si>
  <si>
    <t>Multicountry Americas (OECS)</t>
  </si>
  <si>
    <t>Organization Of Eastern Caribbean States</t>
  </si>
  <si>
    <t>Multicountry Americas (REDCA+)</t>
  </si>
  <si>
    <t>Secretariat of the Pacific Community</t>
  </si>
  <si>
    <t>Myanmar</t>
  </si>
  <si>
    <t>United Nations Development Programme, Myanmar</t>
  </si>
  <si>
    <t>Namibia</t>
  </si>
  <si>
    <t>Ministry of Health and Social Services of Namibia</t>
  </si>
  <si>
    <t>Nepal</t>
  </si>
  <si>
    <t>Ministry of Health of Nepal</t>
  </si>
  <si>
    <t>United Nations Development Programme, Nepal</t>
  </si>
  <si>
    <t>Family Planning Association of Nepal</t>
  </si>
  <si>
    <t>Nicaragua</t>
  </si>
  <si>
    <t>Niger</t>
  </si>
  <si>
    <t>United Nations Development Programme, Niger</t>
  </si>
  <si>
    <t>Nigeria</t>
  </si>
  <si>
    <t>Yakubu Gowon Center for National Unity and International Cooperation</t>
  </si>
  <si>
    <t>Christian Health Association of Nigeria</t>
  </si>
  <si>
    <t>Society for Family Health</t>
  </si>
  <si>
    <t>Association For Reproductive And Family Health (ARFH)</t>
  </si>
  <si>
    <t>NMCP</t>
  </si>
  <si>
    <t>Pakistan</t>
  </si>
  <si>
    <t>Mercy Corps</t>
  </si>
  <si>
    <t>Green Star Social Marketing Pakistan (Guarantee) Limited</t>
  </si>
  <si>
    <t>Nai Zindagi Trust</t>
  </si>
  <si>
    <t>Panama</t>
  </si>
  <si>
    <t>United Nations Development Programme, Panama</t>
  </si>
  <si>
    <t>Papua New Guinea</t>
  </si>
  <si>
    <t>Department of Health of Papua New Guinea</t>
  </si>
  <si>
    <t>Paraguay</t>
  </si>
  <si>
    <t>Alter Vida - Centro de Estudios y Formación para el Ecodesarrollo</t>
  </si>
  <si>
    <t>Peru</t>
  </si>
  <si>
    <t>CARE Peru</t>
  </si>
  <si>
    <t>Pathfinder International</t>
  </si>
  <si>
    <t>Ministry of Health (PARSALUD)</t>
  </si>
  <si>
    <t>MoH</t>
  </si>
  <si>
    <t>Philippines</t>
  </si>
  <si>
    <t>DoH</t>
  </si>
  <si>
    <t>Romania</t>
  </si>
  <si>
    <t>Ministry of Health and Family of Romania</t>
  </si>
  <si>
    <t>Romanian Angel Appeal Foundation</t>
  </si>
  <si>
    <t>Russian Federation</t>
  </si>
  <si>
    <t>Open Health Institute</t>
  </si>
  <si>
    <t>OHI</t>
  </si>
  <si>
    <t>Partners In Health</t>
  </si>
  <si>
    <t>PIH</t>
  </si>
  <si>
    <t>Russian Health Care Foundation</t>
  </si>
  <si>
    <t>Russian Harm Reduction Network</t>
  </si>
  <si>
    <t>Rwanda</t>
  </si>
  <si>
    <t>Ministry of Health of Rwanda</t>
  </si>
  <si>
    <t>Sao Tome and Principe</t>
  </si>
  <si>
    <t>United Nations Development Programme, Sao Tome and Principe</t>
  </si>
  <si>
    <t>Senegal</t>
  </si>
  <si>
    <t>Serbia</t>
  </si>
  <si>
    <t>Economics Institute in Belgrade</t>
  </si>
  <si>
    <t>Youth of JAZAS</t>
  </si>
  <si>
    <t>Red Cross of Serbia</t>
  </si>
  <si>
    <t>Sierra Leone</t>
  </si>
  <si>
    <t>SLRCS</t>
  </si>
  <si>
    <t>Ministry of Health and Sanitation, Sierra Leone</t>
  </si>
  <si>
    <t>Somalia</t>
  </si>
  <si>
    <t>United Nations Children's Fund, Somalia</t>
  </si>
  <si>
    <t>South Africa</t>
  </si>
  <si>
    <t>Western Cape Provincial Department of Health</t>
  </si>
  <si>
    <t>National Treasury of the Republic of South Africa</t>
  </si>
  <si>
    <t>Sri Lanka</t>
  </si>
  <si>
    <t>Lanka Jatika Sarvodaya Shramadana Sangamaya</t>
  </si>
  <si>
    <t>Sudan</t>
  </si>
  <si>
    <t>United Nations Development Programme, Sudan</t>
  </si>
  <si>
    <t>United Nations Development Programme in Southern Sudan</t>
  </si>
  <si>
    <t>Suriname</t>
  </si>
  <si>
    <t>Medische Zending - Primary Health Care Suriname</t>
  </si>
  <si>
    <t>Swaziland</t>
  </si>
  <si>
    <t>Syrian Arab Republic</t>
  </si>
  <si>
    <t>Tajikistan</t>
  </si>
  <si>
    <t>United Nations Development Programme, Tajikistan</t>
  </si>
  <si>
    <t>Project HOPE, Tajikistan</t>
  </si>
  <si>
    <t>Tanzania (United Republic)</t>
  </si>
  <si>
    <t>Thailand</t>
  </si>
  <si>
    <t>Ministry of Public Health of Thailand</t>
  </si>
  <si>
    <t>Raks Thai Foundation</t>
  </si>
  <si>
    <t>Timor-Leste</t>
  </si>
  <si>
    <t>Togo</t>
  </si>
  <si>
    <t>United Nations Development Programme, Togo</t>
  </si>
  <si>
    <t>Ministry of Health of Togo</t>
  </si>
  <si>
    <t>Tunisia</t>
  </si>
  <si>
    <t>Turkey</t>
  </si>
  <si>
    <t>Turkmenistan</t>
  </si>
  <si>
    <t>Uganda</t>
  </si>
  <si>
    <t>Ministry of Finance, Planning and Economic Development of Uganda</t>
  </si>
  <si>
    <t>Ukraine</t>
  </si>
  <si>
    <t>All-Ukrainian Network of People Living with HIV/AIDS</t>
  </si>
  <si>
    <t>Foundation for Development of Ukraine</t>
  </si>
  <si>
    <t>Uzbekistan</t>
  </si>
  <si>
    <t>National AIDS Center, Ministry of Health of Uzbekistan</t>
  </si>
  <si>
    <t>Republican DOTS Center</t>
  </si>
  <si>
    <t>Viet Nam</t>
  </si>
  <si>
    <t>Ministry of Health of Viet Nam</t>
  </si>
  <si>
    <t>National Institute of Malariology, Parasitology and Entomology</t>
  </si>
  <si>
    <t>West Bank and Gaza</t>
  </si>
  <si>
    <t>United Nations Development Programme, West Bank and Gaza</t>
  </si>
  <si>
    <t>Yemen</t>
  </si>
  <si>
    <t>NPC-TS</t>
  </si>
  <si>
    <t>NTCP</t>
  </si>
  <si>
    <t>United Nations Development Programme, Yemen</t>
  </si>
  <si>
    <t>Zambia</t>
  </si>
  <si>
    <t>Churches Health Association of Zambia</t>
  </si>
  <si>
    <t>Ministry of Finance and National Planning of Zambia</t>
  </si>
  <si>
    <t>Zambia National AIDS Network</t>
  </si>
  <si>
    <t>ZNAN</t>
  </si>
  <si>
    <t>Zanzibar</t>
  </si>
  <si>
    <t>Ministry of Health and Social Welfare of Zanzibar</t>
  </si>
  <si>
    <t>Zanzibar AIDS Commission</t>
  </si>
  <si>
    <t>ZAC</t>
  </si>
  <si>
    <t>Zimbabwe</t>
  </si>
  <si>
    <t>Ministry of Health and Child Welfare of Zimbabwe</t>
  </si>
  <si>
    <t>United Nations Development Programme, Zimbabwe</t>
  </si>
  <si>
    <t>National AIDS Council of Zimbabwe</t>
  </si>
  <si>
    <t>Zimbabwe Association of Church Related Hospitals</t>
  </si>
  <si>
    <t>February</t>
  </si>
  <si>
    <t>March</t>
  </si>
  <si>
    <t>May</t>
  </si>
  <si>
    <t>June</t>
  </si>
  <si>
    <t>August</t>
  </si>
  <si>
    <t>September</t>
  </si>
  <si>
    <t>Novermber</t>
  </si>
  <si>
    <t>December</t>
  </si>
  <si>
    <t>Latest Available Results</t>
  </si>
  <si>
    <t>Periodic Review</t>
  </si>
  <si>
    <t>Language</t>
  </si>
  <si>
    <t>English</t>
  </si>
  <si>
    <t>Start Year:</t>
  </si>
  <si>
    <t>Component:</t>
  </si>
  <si>
    <t>Due date Progress Update</t>
  </si>
  <si>
    <t xml:space="preserve">Due date periodic review </t>
  </si>
  <si>
    <t xml:space="preserve">  Goals:</t>
  </si>
  <si>
    <t>Year 1</t>
  </si>
  <si>
    <t>Reporting periods</t>
  </si>
  <si>
    <t>Principal Recipients</t>
  </si>
  <si>
    <t>Latest available baseline/result</t>
  </si>
  <si>
    <t xml:space="preserve">Period </t>
  </si>
  <si>
    <t>Start Month:</t>
  </si>
  <si>
    <t>TiedTo</t>
  </si>
  <si>
    <t>Current grant</t>
  </si>
  <si>
    <t>Multiple Global Fund grants</t>
  </si>
  <si>
    <t>Global Fund and other donors</t>
  </si>
  <si>
    <t>National program</t>
  </si>
  <si>
    <t xml:space="preserve">Year </t>
  </si>
  <si>
    <t>(Please select from list or add a new one)</t>
  </si>
  <si>
    <t>Final target previous implementation period</t>
  </si>
  <si>
    <t>Period 7</t>
  </si>
  <si>
    <t>Period 8</t>
  </si>
  <si>
    <t>Period 9</t>
  </si>
  <si>
    <t>Period 10</t>
  </si>
  <si>
    <t>Period 11</t>
  </si>
  <si>
    <t>Period 12</t>
  </si>
  <si>
    <t>D. Service delivery areas and output/coverage indicators</t>
  </si>
  <si>
    <t>Objective &amp; Indicator Number</t>
  </si>
  <si>
    <t>Linked to goal(s) #</t>
  </si>
  <si>
    <t xml:space="preserve">Linked to objective(s) # </t>
  </si>
  <si>
    <t>Vital registration system</t>
  </si>
  <si>
    <t>worksheet</t>
  </si>
  <si>
    <t>range</t>
  </si>
  <si>
    <t>cell</t>
  </si>
  <si>
    <t>usage</t>
  </si>
  <si>
    <t>reference</t>
  </si>
  <si>
    <t>row</t>
  </si>
  <si>
    <t>column</t>
  </si>
  <si>
    <t>rows</t>
  </si>
  <si>
    <t>columns</t>
  </si>
  <si>
    <t>Performance Framework</t>
  </si>
  <si>
    <t>MonthSelected</t>
  </si>
  <si>
    <t>D7</t>
  </si>
  <si>
    <t>HorizontalTable</t>
  </si>
  <si>
    <t>=Performance Framework!R7C4:R7C4</t>
  </si>
  <si>
    <t>NRMPF1</t>
  </si>
  <si>
    <t>D4</t>
  </si>
  <si>
    <t>=Performance Framework!R4C4:R7C7</t>
  </si>
  <si>
    <t>NRMPF2</t>
  </si>
  <si>
    <t>L4</t>
  </si>
  <si>
    <t>FixedTable</t>
  </si>
  <si>
    <t>=Performance Framework!R4C12:R8C25</t>
  </si>
  <si>
    <t>NRMPF3</t>
  </si>
  <si>
    <t>D11</t>
  </si>
  <si>
    <t>=Performance Framework!R11C4:R12C25</t>
  </si>
  <si>
    <t>NRMPF4</t>
  </si>
  <si>
    <t>A20</t>
  </si>
  <si>
    <t>=Performance Framework!R20C1:R20C34</t>
  </si>
  <si>
    <t>NRMPF5</t>
  </si>
  <si>
    <t>A29</t>
  </si>
  <si>
    <t>=Performance Framework!R29C1:R33C34</t>
  </si>
  <si>
    <t>NRMPF6</t>
  </si>
  <si>
    <t>A36</t>
  </si>
  <si>
    <t>=Performance Framework!R36C1:R36C34</t>
  </si>
  <si>
    <t>NRMPF7</t>
  </si>
  <si>
    <t>A47</t>
  </si>
  <si>
    <t>=Performance Framework!R47C1:R51C34</t>
  </si>
  <si>
    <t>NRMPF8</t>
  </si>
  <si>
    <t>A58</t>
  </si>
  <si>
    <t>=Performance Framework!R58C1:R97C55</t>
  </si>
  <si>
    <t>PRs</t>
  </si>
  <si>
    <t>H6</t>
  </si>
  <si>
    <t>=Performance Framework!R6C8:R6C8</t>
  </si>
  <si>
    <t>YearSelected</t>
  </si>
  <si>
    <t>D6</t>
  </si>
  <si>
    <t>=Performance Framework!R6C4:R6C4</t>
  </si>
  <si>
    <t>Target assumptions</t>
  </si>
  <si>
    <t>NRMPF9</t>
  </si>
  <si>
    <t>A1</t>
  </si>
  <si>
    <t>=Target assumptions!R1C1:R5C18</t>
  </si>
  <si>
    <t>name</t>
  </si>
  <si>
    <t>path</t>
  </si>
  <si>
    <t>C:\Users\nbeck\Documents\Global Fund\Periodic Review\May30</t>
  </si>
  <si>
    <t>PeriodicReview_PerformanceFramework_EN1.xlsx</t>
  </si>
  <si>
    <t>rangehash</t>
  </si>
  <si>
    <t>NewRange9</t>
  </si>
  <si>
    <t>0B78D314E1D14F1A9FDCC32CABFC6455</t>
  </si>
  <si>
    <t>Label</t>
  </si>
  <si>
    <t>French</t>
  </si>
  <si>
    <t>Spanish</t>
  </si>
  <si>
    <t>Russian</t>
  </si>
  <si>
    <t>It is not compulsory to provide target assumptions for the indicators included in the performance framework, however providing additional information on how targets were set may help to reach a common understanding and agreement between the Principal Recipient and the Global Fund Secretariat and speed up the negotiation process.</t>
  </si>
  <si>
    <t>Composante :</t>
  </si>
  <si>
    <t>Année de début :</t>
  </si>
  <si>
    <t>Mois de début :</t>
  </si>
  <si>
    <t xml:space="preserve">Échéance de l'examen périodique </t>
  </si>
  <si>
    <t>Lié au(x) but(s) n°</t>
  </si>
  <si>
    <t>C. Objectifs du programme et indicateurs d'effets</t>
  </si>
  <si>
    <t xml:space="preserve">Lié à ou aux objectifs n° </t>
  </si>
  <si>
    <t>D. Domaines de prestation de services et indicateurs de produit/de couverture</t>
  </si>
  <si>
    <t>Revise con atención la hoja de instrucciones antes de rellenar esta plantilla</t>
  </si>
  <si>
    <t>A. Datos del programa</t>
  </si>
  <si>
    <t xml:space="preserve">Fecha prevista de la revisión periódica </t>
  </si>
  <si>
    <t>Fecha prevista del informe de auditoría</t>
  </si>
  <si>
    <t>Valor</t>
  </si>
  <si>
    <t>Fecha prevista del informe</t>
  </si>
  <si>
    <t>Comentarios</t>
  </si>
  <si>
    <t>C. Objetivos del programa e indicadores de resultados</t>
  </si>
  <si>
    <t xml:space="preserve">Vinculado al (los) objetivo(s) nº </t>
  </si>
  <si>
    <t>Meta final del periodo de ejecución previo</t>
  </si>
  <si>
    <t>No es obligatorio indicar hipótesis de metas para los indicadores incluidos en el Marco de Desempeño, pero proporcionar información adicional sobre cómo se establecieron las metas puede facilitar el entendimiento entre el Receptor Principal y la Secretaría del Fondo Mundial para llegar a un acuerdo y acelerar el proceso de negociación.</t>
  </si>
  <si>
    <t xml:space="preserve">Перед заполнением этой формы внимательно ознакомьтесь с инструкциями в таблице </t>
  </si>
  <si>
    <t>Страна/ Кандидат:</t>
  </si>
  <si>
    <t>Запрос на выплату средств (Да, Нет)</t>
  </si>
  <si>
    <t>Комментарии</t>
  </si>
  <si>
    <t>D. Сферы предоставления услуг и показатели долгосрочных результатов/ охвата</t>
  </si>
  <si>
    <t>Последние значения исходного уровня/ результата</t>
  </si>
  <si>
    <t>Recherche opérationnelle</t>
  </si>
  <si>
    <t>Investigación operativa</t>
  </si>
  <si>
    <t>Paludisme</t>
  </si>
  <si>
    <t>Tuberculose</t>
  </si>
  <si>
    <t>Lié à</t>
  </si>
  <si>
    <t>Vinculado al</t>
  </si>
  <si>
    <t>TiedTo_EN</t>
  </si>
  <si>
    <t>TiedTo_FR</t>
  </si>
  <si>
    <t>TiedTo_SP</t>
  </si>
  <si>
    <t>TiedTo_RU</t>
  </si>
  <si>
    <t>Audit report due dates</t>
  </si>
  <si>
    <t>Treatment</t>
  </si>
  <si>
    <t>HMIS (Sistemas de Información de Gestión de Salud)</t>
  </si>
  <si>
    <t>Dossiers des patients</t>
  </si>
  <si>
    <t>Datos de pacientes</t>
  </si>
  <si>
    <t>Documents de formation</t>
  </si>
  <si>
    <t>Documentación relativa a la formación</t>
  </si>
  <si>
    <t>MICS (enquête par grappes à indicateurs multiples)</t>
  </si>
  <si>
    <t>EGIM (Estudios de Grupo de Indicadores Múltiples)</t>
  </si>
  <si>
    <t xml:space="preserve">Обследование на базе многокластерных показателей </t>
  </si>
  <si>
    <t>DHS/DHS+ (enquête démographique et sanitaire)</t>
  </si>
  <si>
    <t>EDS/EDS+ (Estudio de demografía y salud)
Survey)</t>
  </si>
  <si>
    <t>Демографическое обследование и обследование состояния здоровья</t>
  </si>
  <si>
    <t>AIS (enquête sur les indicateurs du SIDA)</t>
  </si>
  <si>
    <t>EIS (Estudio de indicador del SIDA)</t>
  </si>
  <si>
    <t>Обследование для получения показателей по СПИДу</t>
  </si>
  <si>
    <t>BSS (enquête de surveillance du comportement)</t>
  </si>
  <si>
    <t>EVC (Estudio de vigilancia del comportamiento)</t>
  </si>
  <si>
    <t>Исследование поведенческих навыков</t>
  </si>
  <si>
    <t>Enquête sur les structures sanitaires</t>
  </si>
  <si>
    <t>Encuesta de Centro de salud</t>
  </si>
  <si>
    <t>Обследование медицинских учреждений</t>
  </si>
  <si>
    <t>SAMS (enquête sur la cartographie des services disponibles)</t>
  </si>
  <si>
    <t>EMDS (Estudio de mapeo de disponibilidad de servicios)
Survey)</t>
  </si>
  <si>
    <t xml:space="preserve">Обследование с картографированием доступных услуг
</t>
  </si>
  <si>
    <t>Enquête des ménages</t>
  </si>
  <si>
    <t>Encuesta en los hogares</t>
  </si>
  <si>
    <t>Обследование домохозяйств</t>
  </si>
  <si>
    <t>Études et recherches spécifiques (Préciser)</t>
  </si>
  <si>
    <t>Estudios e investigaciones específicos (indíquense)</t>
  </si>
  <si>
    <t>Конкретные обследования и исследования (укажите)</t>
  </si>
  <si>
    <t>Rapports (préciser)</t>
  </si>
  <si>
    <t>Informes (especifíquense)</t>
  </si>
  <si>
    <t>Registre d’état civil et registre spécifique des maladies</t>
  </si>
  <si>
    <t>Registro vital y específico de enfermedades</t>
  </si>
  <si>
    <t>Enquête sur les prestataires de santé</t>
  </si>
  <si>
    <t>Encuesta del profesional de la salud</t>
  </si>
  <si>
    <t>Обследование поставщиков медицинских услуг</t>
  </si>
  <si>
    <t>Compte national de santé</t>
  </si>
  <si>
    <t>Informe sobre la salud nacional</t>
  </si>
  <si>
    <t>Национальный отчет по системе здравоохранения</t>
  </si>
  <si>
    <t>Registre administratif</t>
  </si>
  <si>
    <t>Documentos administrativos</t>
  </si>
  <si>
    <t xml:space="preserve">Système d’E&amp;R (enregistrement et reporting) relatif à la tuberculose, rapports trimestriels </t>
  </si>
  <si>
    <t>Sistema de R&amp;R TB, informes trimestrales</t>
  </si>
  <si>
    <t xml:space="preserve">Système d’E&amp;R (enregistrement et reporting) relatif à la tuberculose, rapport de gestion annuel </t>
  </si>
  <si>
    <t xml:space="preserve">Sistema de R&amp;R TB, informe de gestión anual </t>
  </si>
  <si>
    <t>Enquête sur la prévalence de la TB</t>
  </si>
  <si>
    <t>Estudio de prevalencia de la tuberculosis</t>
  </si>
  <si>
    <t>Registre des patients atteints de tuberculose</t>
  </si>
  <si>
    <t>Registro de pacientes tuberculosos</t>
  </si>
  <si>
    <t>Registre de laboratoires pour la tuberculose</t>
  </si>
  <si>
    <t>Registro de laboratorios de tuberculosis</t>
  </si>
  <si>
    <t>Carte de traitement de la tuberculose</t>
  </si>
  <si>
    <t>Tarjeta de tratamiento de la tuberculosis</t>
  </si>
  <si>
    <t>Préciser : rapports, enquêtes, questionnaires, etc.</t>
  </si>
  <si>
    <t>Especifique- Reportes, Estudios, Cuestionarios, etc.</t>
  </si>
  <si>
    <t>EMDS (estudio de mapeo de disponibilidad de servicios)</t>
  </si>
  <si>
    <t>Обследование с картографированием доступных услуг</t>
  </si>
  <si>
    <t>Registre Administratif</t>
  </si>
  <si>
    <t>EDS/EDS+ (Estudio de demografía y salud)</t>
  </si>
  <si>
    <t>MIS (enquête sur les indicateurs du paludisme)</t>
  </si>
  <si>
    <t>MIS (Estudio de Indicadores de Malaria)</t>
  </si>
  <si>
    <t>Обследование для получения показателей по малярии</t>
  </si>
  <si>
    <t>Analyse de la situation</t>
  </si>
  <si>
    <t>Análisis Situacional</t>
  </si>
  <si>
    <t>Ситуационный анализ</t>
  </si>
  <si>
    <t>Enquête du principal informateur</t>
  </si>
  <si>
    <t>Estudio del informante clave</t>
  </si>
  <si>
    <t>Обследование методом ключевых информаторов</t>
  </si>
  <si>
    <t>Vital registration systems</t>
  </si>
  <si>
    <t>Systèmes d’enregistrement d’état civil</t>
  </si>
  <si>
    <t>Sistemas de registro vitales</t>
  </si>
  <si>
    <t>Registros de pacientes</t>
  </si>
  <si>
    <t>Systèmes de surveillance</t>
  </si>
  <si>
    <t>Sistemas de vigilancia</t>
  </si>
  <si>
    <t>Otro informe, especifique</t>
  </si>
  <si>
    <t>Autre enquête, préciser</t>
  </si>
  <si>
    <t>Otro estudio, especifique</t>
  </si>
  <si>
    <t>Другое обследование, укажите</t>
  </si>
  <si>
    <t>Выберите значение</t>
  </si>
  <si>
    <t>TB prevalence rate</t>
  </si>
  <si>
    <t>TB mortality rate</t>
  </si>
  <si>
    <t>Seleccione…</t>
  </si>
  <si>
    <t>Subvención actual</t>
  </si>
  <si>
    <t>Subvenciones múltiples del FM</t>
  </si>
  <si>
    <t>FM y otros donantes</t>
  </si>
  <si>
    <t>Programa nacional</t>
  </si>
  <si>
    <t>система регистрации актов</t>
  </si>
  <si>
    <t>système d'état ​​civil</t>
  </si>
  <si>
    <t>sistema de registro civil</t>
  </si>
  <si>
    <t>Subvention actuelle</t>
  </si>
  <si>
    <t>Programme National</t>
  </si>
  <si>
    <t>Текущий грант</t>
  </si>
  <si>
    <t>Национальная программа</t>
  </si>
  <si>
    <t>Plusieurs subventions FM</t>
  </si>
  <si>
    <t>FM &amp; autres donneurs</t>
  </si>
  <si>
    <t>Несколько грантов ГФ</t>
  </si>
  <si>
    <t>ГФ и другие финансирующие организации</t>
  </si>
  <si>
    <t>Veuillez sélectionner…</t>
  </si>
  <si>
    <t>Привязывается к</t>
  </si>
  <si>
    <t>Cumul des cibles</t>
  </si>
  <si>
    <t>RP</t>
  </si>
  <si>
    <t>ОР</t>
  </si>
  <si>
    <t>Janvier</t>
  </si>
  <si>
    <t>Enero</t>
  </si>
  <si>
    <t>январь</t>
  </si>
  <si>
    <t>Start_EN</t>
  </si>
  <si>
    <t>Start_FR</t>
  </si>
  <si>
    <t>Start_SP</t>
  </si>
  <si>
    <t>Start_RU</t>
  </si>
  <si>
    <t>Avril</t>
  </si>
  <si>
    <t>Abril</t>
  </si>
  <si>
    <t>Juillet</t>
  </si>
  <si>
    <t>Julio</t>
  </si>
  <si>
    <t>Octobre</t>
  </si>
  <si>
    <t>Octubre</t>
  </si>
  <si>
    <t>Fevrier</t>
  </si>
  <si>
    <t>Febrero</t>
  </si>
  <si>
    <t>Mars</t>
  </si>
  <si>
    <t>Mai</t>
  </si>
  <si>
    <t>Juin</t>
  </si>
  <si>
    <t>Septembre</t>
  </si>
  <si>
    <t>Novembre</t>
  </si>
  <si>
    <t>декабрь</t>
  </si>
  <si>
    <t>Décembre</t>
  </si>
  <si>
    <t>Diciembre</t>
  </si>
  <si>
    <t>Noviembre</t>
  </si>
  <si>
    <t>ноябрь</t>
  </si>
  <si>
    <t>октябрь</t>
  </si>
  <si>
    <t>сентябрь</t>
  </si>
  <si>
    <t>Septiembre</t>
  </si>
  <si>
    <t>Août</t>
  </si>
  <si>
    <t>Agosto</t>
  </si>
  <si>
    <t>август</t>
  </si>
  <si>
    <t>июль</t>
  </si>
  <si>
    <t>июнь</t>
  </si>
  <si>
    <t>май</t>
  </si>
  <si>
    <t>Mayo</t>
  </si>
  <si>
    <t>Junio</t>
  </si>
  <si>
    <t>Marzo</t>
  </si>
  <si>
    <t>март</t>
  </si>
  <si>
    <t>февраль</t>
  </si>
  <si>
    <t>апрель</t>
  </si>
  <si>
    <t>Start year</t>
  </si>
  <si>
    <t>StartYear_EN</t>
  </si>
  <si>
    <t>StartYear_FR</t>
  </si>
  <si>
    <t>StartYear_SP</t>
  </si>
  <si>
    <t>StartYear_RU</t>
  </si>
  <si>
    <t>StartYear</t>
  </si>
  <si>
    <t>Date de remise du rapport</t>
  </si>
  <si>
    <t>Date de remise du rapport d'audit</t>
  </si>
  <si>
    <t>B. Metas del programa e indicadores de impacto</t>
  </si>
  <si>
    <t>Commentaires</t>
  </si>
  <si>
    <t>Periodos de envío del informe</t>
  </si>
  <si>
    <t>Fecha prevista de actualización de avance</t>
  </si>
  <si>
    <t>Vinculado a lo(s) objetivos(s) nº</t>
  </si>
  <si>
    <t>Línea de base</t>
  </si>
  <si>
    <t>D. Áreas de prestación de servicios e indicadores de producto/cobertura</t>
  </si>
  <si>
    <t>Último resultado/línea de base disponible</t>
  </si>
  <si>
    <t>Acumulación de las metas</t>
  </si>
  <si>
    <t>Revisión periódica</t>
  </si>
  <si>
    <t>País / Solicitante:</t>
  </si>
  <si>
    <t>Componente:</t>
  </si>
  <si>
    <t>Año de inicio:</t>
  </si>
  <si>
    <t>Mes de inicio:</t>
  </si>
  <si>
    <t>Número de SSF:</t>
  </si>
  <si>
    <t>Receptores principales</t>
  </si>
  <si>
    <t>(seleccione uno de la lista o añada uno nuevo)</t>
  </si>
  <si>
    <t>Periodo cubierto: desde</t>
  </si>
  <si>
    <t>Periodo cubierto: hasta</t>
  </si>
  <si>
    <t>Solicitud de desembolso (S, N)</t>
  </si>
  <si>
    <t xml:space="preserve">Periodo </t>
  </si>
  <si>
    <t>Año 4</t>
  </si>
  <si>
    <t>Año 5</t>
  </si>
  <si>
    <t>Indicador de impacto</t>
  </si>
  <si>
    <t>Metas</t>
  </si>
  <si>
    <t xml:space="preserve">Año </t>
  </si>
  <si>
    <t>Fuente</t>
  </si>
  <si>
    <t>Año 1</t>
  </si>
  <si>
    <t>Año 2</t>
  </si>
  <si>
    <t>Año 3</t>
  </si>
  <si>
    <t xml:space="preserve">     Objetivos:</t>
  </si>
  <si>
    <t>Indicador de resultados</t>
  </si>
  <si>
    <t>Número de objetivo e indicador</t>
  </si>
  <si>
    <t>Indicador</t>
  </si>
  <si>
    <t>Área de prestación de servicios</t>
  </si>
  <si>
    <t>Últimos resultados disponibles</t>
  </si>
  <si>
    <t>Periodo 1</t>
  </si>
  <si>
    <t>Periodo 2</t>
  </si>
  <si>
    <t>Periodo 3</t>
  </si>
  <si>
    <t>Periodo 4</t>
  </si>
  <si>
    <t>Periodo 5</t>
  </si>
  <si>
    <t>Periodo 6</t>
  </si>
  <si>
    <t>Periodo 7</t>
  </si>
  <si>
    <t>Periodo 8</t>
  </si>
  <si>
    <t>Periodo 9</t>
  </si>
  <si>
    <t>Periodo 10</t>
  </si>
  <si>
    <t>Periodo 11</t>
  </si>
  <si>
    <t>Periodo 12</t>
  </si>
  <si>
    <r>
      <rPr>
        <sz val="10"/>
        <rFont val="Arial"/>
        <family val="2"/>
      </rPr>
      <t>Период 1</t>
    </r>
  </si>
  <si>
    <r>
      <rPr>
        <sz val="10"/>
        <rFont val="Arial"/>
        <family val="2"/>
      </rPr>
      <t>Период 2</t>
    </r>
  </si>
  <si>
    <r>
      <rPr>
        <sz val="10"/>
        <rFont val="Arial"/>
        <family val="2"/>
      </rPr>
      <t>Период 3</t>
    </r>
  </si>
  <si>
    <r>
      <rPr>
        <sz val="10"/>
        <rFont val="Arial"/>
        <family val="2"/>
      </rPr>
      <t>Период 4</t>
    </r>
  </si>
  <si>
    <r>
      <rPr>
        <sz val="10"/>
        <rFont val="Arial"/>
        <family val="2"/>
      </rPr>
      <t>Период 5</t>
    </r>
  </si>
  <si>
    <r>
      <rPr>
        <sz val="10"/>
        <rFont val="Arial"/>
        <family val="2"/>
      </rPr>
      <t>Период 6</t>
    </r>
  </si>
  <si>
    <r>
      <rPr>
        <sz val="10"/>
        <rFont val="Arial"/>
        <family val="2"/>
      </rPr>
      <t>Период 7</t>
    </r>
  </si>
  <si>
    <r>
      <rPr>
        <sz val="10"/>
        <rFont val="Arial"/>
        <family val="2"/>
      </rPr>
      <t>Период 8</t>
    </r>
  </si>
  <si>
    <r>
      <rPr>
        <sz val="10"/>
        <rFont val="Arial"/>
        <family val="2"/>
      </rPr>
      <t>Период 9</t>
    </r>
  </si>
  <si>
    <r>
      <rPr>
        <sz val="10"/>
        <rFont val="Arial"/>
        <family val="2"/>
      </rPr>
      <t>Период 10</t>
    </r>
  </si>
  <si>
    <r>
      <rPr>
        <sz val="10"/>
        <rFont val="Arial"/>
        <family val="2"/>
      </rPr>
      <t>Период 11</t>
    </r>
  </si>
  <si>
    <r>
      <rPr>
        <sz val="10"/>
        <rFont val="Arial"/>
        <family val="2"/>
      </rPr>
      <t>Период 12</t>
    </r>
  </si>
  <si>
    <t xml:space="preserve">  Metas:</t>
  </si>
  <si>
    <t>SSF/grant number:</t>
  </si>
  <si>
    <t>HSS</t>
  </si>
  <si>
    <t>RSS</t>
  </si>
  <si>
    <t>FSS</t>
  </si>
  <si>
    <t>PLEASE PROVIDE TARGET ASSUMPTIONS FOR OUTPUT AND COVERAGE INDICATORS HERE</t>
  </si>
  <si>
    <t>INDIQUE AQUÍ LAS HIPÓTESIS DE METAS PARA LOS INDICADORES DE PRODUCTO Y COBERTURA</t>
  </si>
  <si>
    <t>УКАЖИТЕ РАСЧЕТНЫЕ ЦЕЛЕВЫЕ ЗНАЧЕНИЯ ПОКАЗАТЕЛЕЙ ДОЛГОСРОЧНЫХ РЕЗУЛЬТАТОВ И ОХВАТА</t>
  </si>
  <si>
    <t>Language:</t>
  </si>
  <si>
    <t xml:space="preserve">Modular Approach - Concept Note </t>
  </si>
  <si>
    <t>D. Modules</t>
  </si>
  <si>
    <t>Comments and Assumptions</t>
  </si>
  <si>
    <t>Measurement framework for module</t>
  </si>
  <si>
    <t>Indicative</t>
  </si>
  <si>
    <t>Above indicative</t>
  </si>
  <si>
    <t>Modular Approach - Concept Note</t>
  </si>
  <si>
    <t>This table provides guidance on how to fill out the modular approach template. Cells highlighted in green will be completed during grant negotiation.</t>
  </si>
  <si>
    <t>PMTCT</t>
  </si>
  <si>
    <t>Module</t>
  </si>
  <si>
    <t xml:space="preserve">Behavioural Change as part of programs for General population </t>
  </si>
  <si>
    <t xml:space="preserve">Condoms as part of programs for General population </t>
  </si>
  <si>
    <t xml:space="preserve">Male Circumcision </t>
  </si>
  <si>
    <t xml:space="preserve">Blood Safety </t>
  </si>
  <si>
    <t xml:space="preserve">Orphan and Vulnerable Children (OVC) Package </t>
  </si>
  <si>
    <t xml:space="preserve">Community Systems Strengthening -Prevention General Population </t>
  </si>
  <si>
    <t>RMNCH linkages and Gender Based Violence (GBV)</t>
  </si>
  <si>
    <t>Condoms as part of Programs for MSM and TGs</t>
  </si>
  <si>
    <t>HIV testing and Counselling as part of Programs for MSM and TGs</t>
  </si>
  <si>
    <t>Diagnosis and treatment of viral hepatitis as part of Programs for MSM and TGs</t>
  </si>
  <si>
    <t xml:space="preserve">Community Systems Strengthening -Prevention MSM and TGs </t>
  </si>
  <si>
    <t xml:space="preserve">Other interventions for MSM and TGs -Please specify </t>
  </si>
  <si>
    <t>Behavioural Change as part of programmes for sex workers and their clients</t>
  </si>
  <si>
    <t>Condoms as part of programmes for sex workers and their clients</t>
  </si>
  <si>
    <t>Harm reduction as part of programmes for sex workers and their clients</t>
  </si>
  <si>
    <t>Behavioural Change as part of programmes for other vulnerable populations</t>
  </si>
  <si>
    <t>Condoms as part of programmes for other vulnerable populations</t>
  </si>
  <si>
    <t>Behavioural Change as part of programs for adolescent and youth</t>
  </si>
  <si>
    <t>Condoms part of programs for adolescent and youth</t>
  </si>
  <si>
    <t>Responsible Principal Recipient(s)</t>
  </si>
  <si>
    <t>Program Management</t>
  </si>
  <si>
    <t>Bangladesh Rural Advancement Committee, Afghanistan</t>
  </si>
  <si>
    <t>GTZ-IS</t>
  </si>
  <si>
    <t>HNTPO</t>
  </si>
  <si>
    <t>Japan International Cooperation Agency in Afghanistan</t>
  </si>
  <si>
    <t>JICA</t>
  </si>
  <si>
    <t>Ministry of Public Health of Afghanistan</t>
  </si>
  <si>
    <t>Ministry of Health, Population and Hospital Reform of Algeria</t>
  </si>
  <si>
    <t>Ministry of Health of Angola</t>
  </si>
  <si>
    <t>Ministry of Health of Armenia</t>
  </si>
  <si>
    <t>MOH</t>
  </si>
  <si>
    <t>Ministry of Health of Azerbaijan</t>
  </si>
  <si>
    <t>Ministry of Justice of Azerbaijan</t>
  </si>
  <si>
    <t>Bangladesh Rural Advancement Committee, Bangladesh</t>
  </si>
  <si>
    <t>International Centre for Diarrhoeal Disease Research</t>
  </si>
  <si>
    <t>ICCDDRB</t>
  </si>
  <si>
    <t>Ministry of Finance of Bangladesh</t>
  </si>
  <si>
    <t>MoF</t>
  </si>
  <si>
    <t>Belize Enterprise for Sustainable Technology</t>
  </si>
  <si>
    <t>B.E.S.T</t>
  </si>
  <si>
    <t>Africare</t>
  </si>
  <si>
    <t>Africar</t>
  </si>
  <si>
    <t>Catholic Relief Services USCCB - Benin</t>
  </si>
  <si>
    <t>CRS</t>
  </si>
  <si>
    <t>Industrial and Building Electricity Company</t>
  </si>
  <si>
    <t>SEIB</t>
  </si>
  <si>
    <t>Ministry of Health of Benin</t>
  </si>
  <si>
    <t>Ministry of Health of Bhutan</t>
  </si>
  <si>
    <t>Hivos</t>
  </si>
  <si>
    <t>Centro de Investigación, Educación y Servicios</t>
  </si>
  <si>
    <t>CIES</t>
  </si>
  <si>
    <t>Fundação Ataulpho de Paiva</t>
  </si>
  <si>
    <t>FAP</t>
  </si>
  <si>
    <t>Fundação de Medicina Tropical Doutor Heitor Vieira Dourado</t>
  </si>
  <si>
    <t>FMT-HVD</t>
  </si>
  <si>
    <t>Fundação Faculdade de Medicina</t>
  </si>
  <si>
    <t>FFM</t>
  </si>
  <si>
    <t>Fundação Para O Desenvolvimento Científico E Tecnológico Em Saúde</t>
  </si>
  <si>
    <t>FIOTEC</t>
  </si>
  <si>
    <t>Ministry of Health of Bulgaria</t>
  </si>
  <si>
    <t>Initiative Privée Communautaire</t>
  </si>
  <si>
    <t>IPC</t>
  </si>
  <si>
    <t>SPCNLS</t>
  </si>
  <si>
    <t>Caritas</t>
  </si>
  <si>
    <t>CNLS</t>
  </si>
  <si>
    <t>National Center for HIV/AIDS, Dermatology and STI</t>
  </si>
  <si>
    <t>NCHADS</t>
  </si>
  <si>
    <t>National Center for Tuberculosis and Leprosy Control</t>
  </si>
  <si>
    <t>CENAT</t>
  </si>
  <si>
    <t>National Centre for Parasitology, Entomology and Malaria Control</t>
  </si>
  <si>
    <t>CNM</t>
  </si>
  <si>
    <t>Cameroon National Association for Family Welfare</t>
  </si>
  <si>
    <t>CAMNFAW</t>
  </si>
  <si>
    <t>CARE</t>
  </si>
  <si>
    <t>Ministry of Public Health of Cameroon</t>
  </si>
  <si>
    <t>Cape Verde Non Governmental Organisations Platform</t>
  </si>
  <si>
    <t>PlatONG</t>
  </si>
  <si>
    <t>Coordination Committee to Fight AIDS of Cape Verde</t>
  </si>
  <si>
    <t>CCSSIDA</t>
  </si>
  <si>
    <t>Comité National de Lutte contre le VIH/SIDA, CAF</t>
  </si>
  <si>
    <t>Ministry of Public health, Population and Fight against HIV/AIDS</t>
  </si>
  <si>
    <t>AMASOT</t>
  </si>
  <si>
    <t>Fonds de Soutien aux Activités en matière de Population</t>
  </si>
  <si>
    <t>FOSAP</t>
  </si>
  <si>
    <t>COA</t>
  </si>
  <si>
    <t>CCDC</t>
  </si>
  <si>
    <t>Cooperative Housing Foundation International, USA</t>
  </si>
  <si>
    <t>Fondo Financiero de Proyectos de Desarrollo FONADE</t>
  </si>
  <si>
    <t>International Organization for Migration, Colombia</t>
  </si>
  <si>
    <t>IOM</t>
  </si>
  <si>
    <t>ASCOBEF</t>
  </si>
  <si>
    <t>Conseil National de Lutte Contre le Sida, Congo</t>
  </si>
  <si>
    <t>French Red Cross</t>
  </si>
  <si>
    <t>FRC</t>
  </si>
  <si>
    <t>Medecins d'Afrique</t>
  </si>
  <si>
    <t>MDA</t>
  </si>
  <si>
    <t>Ministry of Health of Republic of Congo</t>
  </si>
  <si>
    <t>Caritas Congo</t>
  </si>
  <si>
    <t>Catholic Organisation for Relief and Development Aid, Congo</t>
  </si>
  <si>
    <t>Eglise du Christ au Congo / Santé Rurale</t>
  </si>
  <si>
    <t>SANRU</t>
  </si>
  <si>
    <t>Ministry of Health of Congo Democratic Republic</t>
  </si>
  <si>
    <t>Consejo Técnico de Asistencia Médico Social</t>
  </si>
  <si>
    <t>CTAMS</t>
  </si>
  <si>
    <t>Humanist Institute for Cooperation with Developing Countries</t>
  </si>
  <si>
    <t>HIVOS</t>
  </si>
  <si>
    <t>Alliance Nationale Contre le SIDA, Cote d'Ivoire</t>
  </si>
  <si>
    <t>ANCS</t>
  </si>
  <si>
    <t>Caritas Côte d'Ivoire</t>
  </si>
  <si>
    <t>National Program for Malaria Control</t>
  </si>
  <si>
    <t>PNLP</t>
  </si>
  <si>
    <t>National Program for the Care of HIV/AIDS patients</t>
  </si>
  <si>
    <t>PNPEC</t>
  </si>
  <si>
    <t>National Program to Fight Against Tuberculosis</t>
  </si>
  <si>
    <t>PNLT</t>
  </si>
  <si>
    <t>Ministry of Health and Social Welfare of Croatia</t>
  </si>
  <si>
    <t>PROFAM</t>
  </si>
  <si>
    <t>Centro Nacional de Control de Enfermedades Tropicales</t>
  </si>
  <si>
    <t>CENCET</t>
  </si>
  <si>
    <t>Consejo NAcional para el VIH y el SIDA</t>
  </si>
  <si>
    <t>CONAVIH</t>
  </si>
  <si>
    <t>Derma</t>
  </si>
  <si>
    <t>Kim</t>
  </si>
  <si>
    <t>Ministry of Public Health of Ecuador</t>
  </si>
  <si>
    <t>NAP</t>
  </si>
  <si>
    <t>MINSAL</t>
  </si>
  <si>
    <t>MCD</t>
  </si>
  <si>
    <t>Ministry of Health of Eritrea</t>
  </si>
  <si>
    <t>PMU</t>
  </si>
  <si>
    <t>Ethiopian Interfaith Forum for Development, Dialogue and Action</t>
  </si>
  <si>
    <t>EIFDDA</t>
  </si>
  <si>
    <t>HIV/AIDS Prevention &amp; Control Office</t>
  </si>
  <si>
    <t>HAPCO</t>
  </si>
  <si>
    <t>Ministry of Health of Ethiopia</t>
  </si>
  <si>
    <t>Action</t>
  </si>
  <si>
    <t>Catholic Relief Services - Gambia</t>
  </si>
  <si>
    <t>Medical Research Council</t>
  </si>
  <si>
    <t>NAS</t>
  </si>
  <si>
    <t>GHSPIC</t>
  </si>
  <si>
    <t>Global Projects Implementation Center</t>
  </si>
  <si>
    <t>GPIC</t>
  </si>
  <si>
    <t>Adventist Development and Relief Agency</t>
  </si>
  <si>
    <t>ADRA</t>
  </si>
  <si>
    <t>Ashanti</t>
  </si>
  <si>
    <t>ghnaids</t>
  </si>
  <si>
    <t>Ministry of Health of Ghana</t>
  </si>
  <si>
    <t>FVM</t>
  </si>
  <si>
    <t>Humanist Institute for Development Cooperation, HQ</t>
  </si>
  <si>
    <t>HIVOSHQ</t>
  </si>
  <si>
    <t>Ministry of Health of Guatemala</t>
  </si>
  <si>
    <t>Catholic Relief Services USCCB - Guinea</t>
  </si>
  <si>
    <t>Deutsche Gesellschaft für Internationale Zusammenarbeit</t>
  </si>
  <si>
    <t>GIZ</t>
  </si>
  <si>
    <t>Ministry of Public Health of Guinea</t>
  </si>
  <si>
    <t>National AIDS Council of Guinea</t>
  </si>
  <si>
    <t>Ministry of Health of Guinea-Bissau</t>
  </si>
  <si>
    <t>CG/PNDS</t>
  </si>
  <si>
    <t>National Secretariat to Fight AIDS</t>
  </si>
  <si>
    <t>SNLS</t>
  </si>
  <si>
    <t>SOGEBAN</t>
  </si>
  <si>
    <t>Cooperative Housing Foundation, Honduras</t>
  </si>
  <si>
    <t>Ministry of Health of Honduras</t>
  </si>
  <si>
    <t>Caritas India</t>
  </si>
  <si>
    <t>Department of Economic Affairs, Ministry of Finance of India</t>
  </si>
  <si>
    <t>Emmanuel Hospital Association</t>
  </si>
  <si>
    <t>ilfsets</t>
  </si>
  <si>
    <t>Allianc</t>
  </si>
  <si>
    <t>Inurse</t>
  </si>
  <si>
    <t>International Union Against Tuberculosis and Lung Disease</t>
  </si>
  <si>
    <t>IUATLD</t>
  </si>
  <si>
    <t>PPA</t>
  </si>
  <si>
    <t>UI</t>
  </si>
  <si>
    <t>Indonesian Planned Parenthood Association</t>
  </si>
  <si>
    <t>Ministry of Health of Indonesia - Center for Health and Information (PUSDATIN)</t>
  </si>
  <si>
    <t>Ministry of Health of Indonesia - Dir. of Disease Control &amp; Environmental Health</t>
  </si>
  <si>
    <t>Ministry of Health of Indonesia - Directorate of Vector Borne Disease Control</t>
  </si>
  <si>
    <t>NOH</t>
  </si>
  <si>
    <t>Nahdlatul Ulama</t>
  </si>
  <si>
    <t>NAC</t>
  </si>
  <si>
    <t>Ministry of Health of Kazakhstan - National Center of TB Problems</t>
  </si>
  <si>
    <t>NCTB</t>
  </si>
  <si>
    <t>Ministry of Health of Kazakhstan - Republican AIDS Center</t>
  </si>
  <si>
    <t>RAC</t>
  </si>
  <si>
    <t>African Medical and Research Foundation</t>
  </si>
  <si>
    <t>AMREF</t>
  </si>
  <si>
    <t>CARE International in Kenya</t>
  </si>
  <si>
    <t>KENWA</t>
  </si>
  <si>
    <t>Kenya Red Cross Society</t>
  </si>
  <si>
    <t>KRC</t>
  </si>
  <si>
    <t>Ministry of Finance of Kenya</t>
  </si>
  <si>
    <t>Community Development Fund</t>
  </si>
  <si>
    <t>CDF</t>
  </si>
  <si>
    <t>NCP</t>
  </si>
  <si>
    <t>Ministry of Health of Lao</t>
  </si>
  <si>
    <t>lecongo</t>
  </si>
  <si>
    <t>Ministry of Finance and Development Planning, Lesotho</t>
  </si>
  <si>
    <t>Ministry of Finance, Lesotho</t>
  </si>
  <si>
    <t>Ministry of Health of FYR of Macedonia</t>
  </si>
  <si>
    <t>Catholic Relief Services - Madagascar</t>
  </si>
  <si>
    <t>Centrale d'Achat des Medicaments Essentiels et de Materiel Medical</t>
  </si>
  <si>
    <t>SALAMA</t>
  </si>
  <si>
    <t>Ministry of Health of Malawi</t>
  </si>
  <si>
    <t>National AIDS Commission, Malawi</t>
  </si>
  <si>
    <t>Malaysia</t>
  </si>
  <si>
    <t>Malaysian AIDS Council</t>
  </si>
  <si>
    <t>MAC</t>
  </si>
  <si>
    <t>Pivot</t>
  </si>
  <si>
    <t>Ministry of Health of Mali</t>
  </si>
  <si>
    <t>HCNLS</t>
  </si>
  <si>
    <t>Mauritius Family Planning and Welfare Association</t>
  </si>
  <si>
    <t>MFPWA</t>
  </si>
  <si>
    <t>Fundacion Mexicana para la salud A.C.</t>
  </si>
  <si>
    <t>FUN</t>
  </si>
  <si>
    <t>PAS</t>
  </si>
  <si>
    <t>Health System Restructuring Project - Coordination, Implementation, Monitoring Unit</t>
  </si>
  <si>
    <t>UCIMP</t>
  </si>
  <si>
    <t>Fundacao para o Desenvolvimento da Comunidade</t>
  </si>
  <si>
    <t>FDC</t>
  </si>
  <si>
    <t>National AIDS Council of Mozambique</t>
  </si>
  <si>
    <t>CNCS</t>
  </si>
  <si>
    <t>Multicountry Africa (RMCC)</t>
  </si>
  <si>
    <t>Abidjan-Lagos Corridor Organization</t>
  </si>
  <si>
    <t>ALCO</t>
  </si>
  <si>
    <t>CARICOM</t>
  </si>
  <si>
    <t>Multicountry Americas (COPRECOS)</t>
  </si>
  <si>
    <t>Cicatelli Associates</t>
  </si>
  <si>
    <t>CAI</t>
  </si>
  <si>
    <t>Caribbean Regional Network of People Living with HIV/AIDS</t>
  </si>
  <si>
    <t>CRN+</t>
  </si>
  <si>
    <t>Multicountry Americas (REDTRASEX)</t>
  </si>
  <si>
    <t>International Organization for Migration, Argentina</t>
  </si>
  <si>
    <t>Multicountry East Asia And Pacific (APN+)</t>
  </si>
  <si>
    <t>Asia Pacific Network of People Living with HIV/AIDS</t>
  </si>
  <si>
    <t>APN+</t>
  </si>
  <si>
    <t>Multicountry East Asia And Pacific (ISEAN-HIVOS)</t>
  </si>
  <si>
    <t>Multicountry Middle East - North Africa (MENAHRA)</t>
  </si>
  <si>
    <t>Middle East and North Africa Harm Reduction Association</t>
  </si>
  <si>
    <t>MENAHRA</t>
  </si>
  <si>
    <t>MoHSS</t>
  </si>
  <si>
    <t>Namibia Network of AIDS Service Organisations</t>
  </si>
  <si>
    <t>NANASO</t>
  </si>
  <si>
    <t>FPA</t>
  </si>
  <si>
    <t>Federación Red NicaSalud</t>
  </si>
  <si>
    <t>NSalud</t>
  </si>
  <si>
    <t>Instituto Nicaraguense de Seguridad Social</t>
  </si>
  <si>
    <t>INSS</t>
  </si>
  <si>
    <t>Catholic Relief Services - Niger</t>
  </si>
  <si>
    <t>Centre of International Cooperation in Health and Development, Niger</t>
  </si>
  <si>
    <t>CCISD</t>
  </si>
  <si>
    <t>Int'l Federation of Red Cross and Red Crescent</t>
  </si>
  <si>
    <t>IFRC</t>
  </si>
  <si>
    <t>Multi-sectorial Coordination Unit to Fight HIV/AIDS/STI</t>
  </si>
  <si>
    <t>CILS</t>
  </si>
  <si>
    <t>ARFH</t>
  </si>
  <si>
    <t>CHAN</t>
  </si>
  <si>
    <t>Civil Society for HIV/AIDS in Nigeria</t>
  </si>
  <si>
    <t>CiSHAN</t>
  </si>
  <si>
    <t>Institute of Human Virology Nigeria</t>
  </si>
  <si>
    <t>IHV</t>
  </si>
  <si>
    <t>National Agency for Control of AIDS</t>
  </si>
  <si>
    <t>NACA</t>
  </si>
  <si>
    <t>National Malaria Control Programme</t>
  </si>
  <si>
    <t>Directorate of Malaria Control, Ministry of Inter-Provincial Coordination, Pakistan</t>
  </si>
  <si>
    <t>DOMC</t>
  </si>
  <si>
    <t>GrnStar</t>
  </si>
  <si>
    <t>Mercy</t>
  </si>
  <si>
    <t>Zindagi</t>
  </si>
  <si>
    <t>National AIDS Control Programme, Ministry of Inter-Provincial Coordination</t>
  </si>
  <si>
    <t>NACP</t>
  </si>
  <si>
    <t>National TB Control Programme Pakistan</t>
  </si>
  <si>
    <t>NTP</t>
  </si>
  <si>
    <t>Alter</t>
  </si>
  <si>
    <t>Fundación Comunitaria Centro de Información y Recursos para el Desarrollo</t>
  </si>
  <si>
    <t>CIRD</t>
  </si>
  <si>
    <t>Instituto Peruano de Paternidad</t>
  </si>
  <si>
    <t>INPPARE</t>
  </si>
  <si>
    <t>PAR</t>
  </si>
  <si>
    <t>Department of Health, Philippines</t>
  </si>
  <si>
    <t>Alliance Nationale Contre le SIDA, Senegal</t>
  </si>
  <si>
    <t>Conseil National de Lutte Contre le SIDA, Senegal</t>
  </si>
  <si>
    <t>IntraHealth International</t>
  </si>
  <si>
    <t>IH</t>
  </si>
  <si>
    <t>Ministry of Health and Medical Prevention of Senegal</t>
  </si>
  <si>
    <t>MSPM</t>
  </si>
  <si>
    <t>EcoInst</t>
  </si>
  <si>
    <t>Ministry of Health of Serbia</t>
  </si>
  <si>
    <t>Catholic Relief Services - Sierra Leone</t>
  </si>
  <si>
    <t>National HIV/AIDS Secretariat of Sierra Leone</t>
  </si>
  <si>
    <t>Department of Health of South Africa</t>
  </si>
  <si>
    <t>National Religious Association for Social Development</t>
  </si>
  <si>
    <t>NRASD</t>
  </si>
  <si>
    <t>Sarvo</t>
  </si>
  <si>
    <t>Ministry of Healthcare and Nutrition of Sri Lanka</t>
  </si>
  <si>
    <t>MZ</t>
  </si>
  <si>
    <t>Ministry of Health of Suriname</t>
  </si>
  <si>
    <t>National Emergency Response Council on HIV/AIDS</t>
  </si>
  <si>
    <t>NERCHA</t>
  </si>
  <si>
    <t>Ministry of Finance of Tanzania</t>
  </si>
  <si>
    <t>MOFEA</t>
  </si>
  <si>
    <t>Ministry of Health of Tanzania</t>
  </si>
  <si>
    <t>Aids Access Foundation</t>
  </si>
  <si>
    <t>Access</t>
  </si>
  <si>
    <t>Ministry of Health of Timor-Leste</t>
  </si>
  <si>
    <t>Direction des Soins de Santé de Base, Government of Tunisia</t>
  </si>
  <si>
    <t>DSSB</t>
  </si>
  <si>
    <t>National Office for Family and Population</t>
  </si>
  <si>
    <t>ONFP</t>
  </si>
  <si>
    <t>Ministry of Health of Turkey</t>
  </si>
  <si>
    <t>AIDS Support Organization, Uganda</t>
  </si>
  <si>
    <t>TASO</t>
  </si>
  <si>
    <t>MoFPED</t>
  </si>
  <si>
    <t>AUN</t>
  </si>
  <si>
    <t>FDU</t>
  </si>
  <si>
    <t>International HIV/AIDS Alliance, Ukraine</t>
  </si>
  <si>
    <t>ICF</t>
  </si>
  <si>
    <t>Uruguay</t>
  </si>
  <si>
    <t>Agencia Nacional de Investigación e Innovación</t>
  </si>
  <si>
    <t>ANII</t>
  </si>
  <si>
    <t>Ministry of Public Health, Uruguay</t>
  </si>
  <si>
    <t>MSP</t>
  </si>
  <si>
    <t>NIMPE</t>
  </si>
  <si>
    <t>CHAZ</t>
  </si>
  <si>
    <t>Ministry of Health of Zambia</t>
  </si>
  <si>
    <t>MOHSW</t>
  </si>
  <si>
    <t>UNDP</t>
  </si>
  <si>
    <t>UBATEC</t>
  </si>
  <si>
    <t>World Vision Armenia</t>
  </si>
  <si>
    <t>WV</t>
  </si>
  <si>
    <t>Save the Children Federation, Inc.</t>
  </si>
  <si>
    <t>SChild</t>
  </si>
  <si>
    <t>United Nations Development Programme, Belize</t>
  </si>
  <si>
    <t>Plan</t>
  </si>
  <si>
    <t>Prosalud</t>
  </si>
  <si>
    <t>Prosalu</t>
  </si>
  <si>
    <t>United Nations Development Programme, Bosnia-Herzegovina</t>
  </si>
  <si>
    <t>Programme d'Appui au Developpment Sanitaire</t>
  </si>
  <si>
    <t>PADS</t>
  </si>
  <si>
    <t>Plan International Burkina Faso</t>
  </si>
  <si>
    <t>PLAN</t>
  </si>
  <si>
    <t>Programme d’Appui au Monde Associatif et Communautaire</t>
  </si>
  <si>
    <t>PAMAC</t>
  </si>
  <si>
    <t>Projet Sante et Population II, Ministry of Health of Burundi</t>
  </si>
  <si>
    <t>PSP2</t>
  </si>
  <si>
    <t>Programme National de Lutte contre la Tuberculose</t>
  </si>
  <si>
    <t>Reseau Burundais des Personnes Vivant avec le VIH/SIDA</t>
  </si>
  <si>
    <t>RBP+</t>
  </si>
  <si>
    <t>United Nations Office for Project Services, Denmark</t>
  </si>
  <si>
    <t>UNOPS</t>
  </si>
  <si>
    <t>PlanHQ</t>
  </si>
  <si>
    <t>National Union of Diocesan Associations</t>
  </si>
  <si>
    <t>UNAD</t>
  </si>
  <si>
    <t>Population Services International, DRC</t>
  </si>
  <si>
    <t>PSI</t>
  </si>
  <si>
    <t>Population Services International, USA</t>
  </si>
  <si>
    <t>South Sudan</t>
  </si>
  <si>
    <t>SELSPT</t>
  </si>
  <si>
    <t>SES</t>
  </si>
  <si>
    <t>Unidad Technica Gerencial, Ministry of Health of Ecuador</t>
  </si>
  <si>
    <t>United Nations Development Programme, El Salvador</t>
  </si>
  <si>
    <t>Network of Networks of HIV Positives in Ethiopia</t>
  </si>
  <si>
    <t>NEP+</t>
  </si>
  <si>
    <t>Planned Parenthood Association of Ghana</t>
  </si>
  <si>
    <t>PPAG</t>
  </si>
  <si>
    <t>Population Services International, Haiti</t>
  </si>
  <si>
    <t>PFI</t>
  </si>
  <si>
    <t>Tata Institute of Social Sciences</t>
  </si>
  <si>
    <t>TISS</t>
  </si>
  <si>
    <t>PERDHAK</t>
  </si>
  <si>
    <t>United Nations Development Programme, Iran</t>
  </si>
  <si>
    <t>Sanaa</t>
  </si>
  <si>
    <t>United Nations Children's Fund, PRK</t>
  </si>
  <si>
    <t>UNICEF</t>
  </si>
  <si>
    <t>United Nations Development Programme, Kyrgyzstan</t>
  </si>
  <si>
    <t>Hope</t>
  </si>
  <si>
    <t>Plan International Liberia</t>
  </si>
  <si>
    <t>PII</t>
  </si>
  <si>
    <t>Population Services International, Madagascar</t>
  </si>
  <si>
    <t>SE-CNLS</t>
  </si>
  <si>
    <t>UGP</t>
  </si>
  <si>
    <t>Office National de Nutrition</t>
  </si>
  <si>
    <t>ONN</t>
  </si>
  <si>
    <t>Pact</t>
  </si>
  <si>
    <t>United Nations Development Program, Mali</t>
  </si>
  <si>
    <t>Prévention Information Lutte contre le Sida</t>
  </si>
  <si>
    <t>PILS</t>
  </si>
  <si>
    <t>Southern African Development Community</t>
  </si>
  <si>
    <t>OAS</t>
  </si>
  <si>
    <t>OECS</t>
  </si>
  <si>
    <t>Secretaría de la Integración Social Centroamericana</t>
  </si>
  <si>
    <t>SISCA</t>
  </si>
  <si>
    <t>Multicountry South Asia</t>
  </si>
  <si>
    <t>Population Services International, Nepal</t>
  </si>
  <si>
    <t>Multicountry Western Pacific</t>
  </si>
  <si>
    <t>SPC</t>
  </si>
  <si>
    <t>Solomon Islands</t>
  </si>
  <si>
    <t>Save the Children, Myanmar Office</t>
  </si>
  <si>
    <t>United Nations Office for Project Services, Myanmar</t>
  </si>
  <si>
    <t>Save the Children, Nepal Office</t>
  </si>
  <si>
    <t>SCF</t>
  </si>
  <si>
    <t>Yakubu</t>
  </si>
  <si>
    <t>SFH</t>
  </si>
  <si>
    <t>Planned Parenthood Federation of Nigeria</t>
  </si>
  <si>
    <t>PPFN</t>
  </si>
  <si>
    <t>Save the Children, Pakistan</t>
  </si>
  <si>
    <t>SC</t>
  </si>
  <si>
    <t>Population Services International, Papua New Guinea</t>
  </si>
  <si>
    <t>Rotary Club of Port Moresby</t>
  </si>
  <si>
    <t>Rotary</t>
  </si>
  <si>
    <t>Oil Search Health Foundation</t>
  </si>
  <si>
    <t>OSHF</t>
  </si>
  <si>
    <t>World Vision Papua New Guinea / USA</t>
  </si>
  <si>
    <t>PathInt</t>
  </si>
  <si>
    <t>Tropical Disease Foundation Inc.</t>
  </si>
  <si>
    <t>TDF</t>
  </si>
  <si>
    <t>Pilipinas Shell Foundation Inc.</t>
  </si>
  <si>
    <t>PSF</t>
  </si>
  <si>
    <t>Philippine Business for Social Progress</t>
  </si>
  <si>
    <t>PBSP</t>
  </si>
  <si>
    <t>RAA</t>
  </si>
  <si>
    <t>BEARR</t>
  </si>
  <si>
    <t>ESVERO</t>
  </si>
  <si>
    <t>Plan Senegal</t>
  </si>
  <si>
    <t>JAZAS</t>
  </si>
  <si>
    <t>RCS</t>
  </si>
  <si>
    <t>Sierra Leone Red Cross</t>
  </si>
  <si>
    <t>World Vision Somalia</t>
  </si>
  <si>
    <t>WCDoH</t>
  </si>
  <si>
    <t>Right to care</t>
  </si>
  <si>
    <t>Networking AIDS Community of South Africa</t>
  </si>
  <si>
    <t>NACOSA</t>
  </si>
  <si>
    <t>Population Services International, Sudan</t>
  </si>
  <si>
    <t>Tropical and Environmental Diseases and Health Associates</t>
  </si>
  <si>
    <t>TEDHA</t>
  </si>
  <si>
    <t>The Family Planning Association of Sri Lanka</t>
  </si>
  <si>
    <t>Switzerland</t>
  </si>
  <si>
    <t>PR Service Validation Test Account</t>
  </si>
  <si>
    <t>United Nations Development Programme, Syria</t>
  </si>
  <si>
    <t>Pact Tanzania</t>
  </si>
  <si>
    <t>Population Services International, Tanzania</t>
  </si>
  <si>
    <t>Raks</t>
  </si>
  <si>
    <t>World Vision Thailand</t>
  </si>
  <si>
    <t>Population Services International, Togo</t>
  </si>
  <si>
    <t>Société Tunisienne des Maladies Respiratoires</t>
  </si>
  <si>
    <t>STMR</t>
  </si>
  <si>
    <t>United Nations Development Programme, Turkmenistan</t>
  </si>
  <si>
    <t>Ukrainian Fund to Fight HIV Infection and AIDS</t>
  </si>
  <si>
    <t>UkrFund</t>
  </si>
  <si>
    <t>Ukrainian Center for Socially Dangerous Disease Control of the Ministry of Health of Ukraine</t>
  </si>
  <si>
    <t>United Nations Development Programme, Ukraine</t>
  </si>
  <si>
    <t>DOTS</t>
  </si>
  <si>
    <t>Republican Center of State Sanitary Epidemiological Surveillance</t>
  </si>
  <si>
    <t>CSSES</t>
  </si>
  <si>
    <t>United Nations Development Programme, Uzbekistan</t>
  </si>
  <si>
    <t>Viet Nam Administration of HIV/AIDS Control</t>
  </si>
  <si>
    <t>VAAC</t>
  </si>
  <si>
    <t>Yemen Ministry of Public Health and Population - National Malaria Programme</t>
  </si>
  <si>
    <t>Yemen Ministry of Public Health and Population - National AIDS Program</t>
  </si>
  <si>
    <t>Technical Secretariat of National Population Council</t>
  </si>
  <si>
    <t>Yemen Ministry of Public Health and Population - National Tuberculosis Program</t>
  </si>
  <si>
    <t>United Nations Development Programme, Zambia</t>
  </si>
  <si>
    <t>ZACH</t>
  </si>
  <si>
    <t>MonthIndex</t>
  </si>
  <si>
    <t>Indicateur de couverture/produit</t>
  </si>
  <si>
    <t>Indicador de cobertura/producto</t>
  </si>
  <si>
    <t>Показатель долгосрочного охвата/ результата</t>
  </si>
  <si>
    <t>Applicant</t>
  </si>
  <si>
    <t>Applicant to Conuntry</t>
  </si>
  <si>
    <t>CCM Barbados</t>
  </si>
  <si>
    <t>CCM Congo (Democratic Republic)</t>
  </si>
  <si>
    <t>CCM Guinea-Bissau</t>
  </si>
  <si>
    <t>CCM Lebanon</t>
  </si>
  <si>
    <t>CCM Poland</t>
  </si>
  <si>
    <t>Poland</t>
  </si>
  <si>
    <t>CCM São Tomé and Príncipe</t>
  </si>
  <si>
    <t>CCM Seychelles</t>
  </si>
  <si>
    <t>Seychelles</t>
  </si>
  <si>
    <t>CCM South Sudan</t>
  </si>
  <si>
    <t>CCM Syria</t>
  </si>
  <si>
    <t>CCM Tanzania</t>
  </si>
  <si>
    <t>CCM Vanuatu</t>
  </si>
  <si>
    <t>East African Network for Monitoring Antimalarial Treatment</t>
  </si>
  <si>
    <t>Global Health Action, Inc</t>
  </si>
  <si>
    <t>Non-CCM</t>
  </si>
  <si>
    <t>Non-CCM Al Muntadhar International Relief &amp; Development Foundation</t>
  </si>
  <si>
    <t>Non-CCM CARE Internaltional</t>
  </si>
  <si>
    <t>Non-CCM Catholic Relief Services, Madagascar</t>
  </si>
  <si>
    <t>Non-CCM ESVERO, Russian Federation</t>
  </si>
  <si>
    <t>Non-CCM Family Health International</t>
  </si>
  <si>
    <t>Non-CCM Open Health Institute, Russian Federation</t>
  </si>
  <si>
    <t>Non-CCM Raks Thai Foundation</t>
  </si>
  <si>
    <t>Non-CCM Shoklo Malaria Research Unit</t>
  </si>
  <si>
    <t>RCM Abidjan-Lagos Corridor Organisation</t>
  </si>
  <si>
    <t>RCM Andean</t>
  </si>
  <si>
    <t>RCM Andino</t>
  </si>
  <si>
    <t>RCM CCLAB</t>
  </si>
  <si>
    <t>RCM MOZIZA</t>
  </si>
  <si>
    <t>RCM Myanmar-Thailand - ISCOS-CISL</t>
  </si>
  <si>
    <t>RCM Organisation of Eastern Caribbean States</t>
  </si>
  <si>
    <t>RCM Pan Caribbean Partnership against HIV/AIDS</t>
  </si>
  <si>
    <t>RCM Regional Malaria Control Commission</t>
  </si>
  <si>
    <t>RCM Southern African Development Community</t>
  </si>
  <si>
    <t>RCM Western Pacific</t>
  </si>
  <si>
    <t>RO Academy for Educational Development</t>
  </si>
  <si>
    <t>RO Africa Alive!</t>
  </si>
  <si>
    <t>RO Africa Satellite??? (round 2)</t>
  </si>
  <si>
    <t>RO African Medical and Research Foundation</t>
  </si>
  <si>
    <t>RO AfriCASO</t>
  </si>
  <si>
    <t>RO AIDS Empowerment and Treatment International</t>
  </si>
  <si>
    <t>RO Asia Pacific Network of People Living with HIV/AIDS</t>
  </si>
  <si>
    <t>RO Asociacion Salud Integral y Ciudadanía America Latina</t>
  </si>
  <si>
    <t>RO Association of South-East Asian Nations</t>
  </si>
  <si>
    <t>RO Australasian College of Tropical Medicine</t>
  </si>
  <si>
    <t>RO CARE Asia Regional Management Unit</t>
  </si>
  <si>
    <t>RO Caribbean Regional Network</t>
  </si>
  <si>
    <t>RO Coalicion Organizaciones Diversidad Sexual Centroamerica</t>
  </si>
  <si>
    <t>RO Committee on Prevention of HIV/AIDS (COPRECOS)</t>
  </si>
  <si>
    <t>RO East, Central and Southern African Health Community</t>
  </si>
  <si>
    <t>RO Economic Community of Central African States</t>
  </si>
  <si>
    <t>RO Economic Community Of West African States</t>
  </si>
  <si>
    <t>RO Ethiopia/Zambia??? (round 1)</t>
  </si>
  <si>
    <t>RO Great Lakes Initiative on AIDS</t>
  </si>
  <si>
    <t>RO Humanist Institute for Cooperation with Developing Countries, Southern Africa</t>
  </si>
  <si>
    <t>RO Insular Southeast Asia Network of MSM, TG and HIV</t>
  </si>
  <si>
    <t>RO International Community of Women Living with HIV/AIDS</t>
  </si>
  <si>
    <t>RO Int'l Federation of Red Cross and Red Crescent</t>
  </si>
  <si>
    <t>RO Lithuanian College of Democracy</t>
  </si>
  <si>
    <t>Lithuania</t>
  </si>
  <si>
    <t>RO Lutheran World Federation</t>
  </si>
  <si>
    <t>RO Mano River Union Secretariat</t>
  </si>
  <si>
    <t>RO Middle East &amp; North Africa Harm Reduction Association</t>
  </si>
  <si>
    <t>RO Naz Foundation International</t>
  </si>
  <si>
    <t>RO Partners in Population and Development.</t>
  </si>
  <si>
    <t>RO Population Services International</t>
  </si>
  <si>
    <t>RO Presbyterian Church of Africa</t>
  </si>
  <si>
    <t>RO Red Centroamericana (REDCA+)</t>
  </si>
  <si>
    <t>RO RedLACTrans</t>
  </si>
  <si>
    <t>RO RedTraSex</t>
  </si>
  <si>
    <t>RO Religions for Peace - Hope for African Children</t>
  </si>
  <si>
    <t>RO Reseau Africain Formation VIH-sida</t>
  </si>
  <si>
    <t>RO SAARC Tuberculosis and HIV/AIDS Centre</t>
  </si>
  <si>
    <t>RO Soul city</t>
  </si>
  <si>
    <t>RO Southern African Development Community</t>
  </si>
  <si>
    <t>RO University of West Indies</t>
  </si>
  <si>
    <t>Sub-CCM St. Petersburg region</t>
  </si>
  <si>
    <t>Intervention budget (request to the Global Fund only)</t>
  </si>
  <si>
    <t>Other funding received for this intervention (including scope of activities funded)</t>
  </si>
  <si>
    <t>Cost Assumptions for the request to the Global Fund</t>
  </si>
  <si>
    <t>Description of Intervention</t>
  </si>
  <si>
    <t>Please describe 1) rationale for Global Fund support, 2) linkages to national strategic plan, 3) target population &amp; geographic scope,  4) implementation approach, and 5) other relevant information. Please differentiate between scope of indicative and above indicative request</t>
  </si>
  <si>
    <t>Idioma:</t>
  </si>
  <si>
    <t>Langue :</t>
  </si>
  <si>
    <t>Язык:</t>
  </si>
  <si>
    <t>Value</t>
  </si>
  <si>
    <t>Intervention</t>
  </si>
  <si>
    <t>Module budget</t>
  </si>
  <si>
    <t>Indicative request for entire module</t>
  </si>
  <si>
    <t>Above indicative request for entire module</t>
  </si>
  <si>
    <t>Total requested
amount</t>
  </si>
  <si>
    <t xml:space="preserve">HIV testing and Counselling as part of programs for General population </t>
  </si>
  <si>
    <t>Above</t>
  </si>
  <si>
    <t>CmpId</t>
  </si>
  <si>
    <t>CmpAcro</t>
  </si>
  <si>
    <t>Component en</t>
  </si>
  <si>
    <t>Component fr</t>
  </si>
  <si>
    <t>Component es</t>
  </si>
  <si>
    <t>Component ru</t>
  </si>
  <si>
    <t>H</t>
  </si>
  <si>
    <t>HIV/AIDS</t>
  </si>
  <si>
    <t>VIH/SIDA</t>
  </si>
  <si>
    <t>T</t>
  </si>
  <si>
    <t>M</t>
  </si>
  <si>
    <t>S</t>
  </si>
  <si>
    <t>ModId</t>
  </si>
  <si>
    <t>Module en</t>
  </si>
  <si>
    <t>Module fr</t>
  </si>
  <si>
    <t>Module es</t>
  </si>
  <si>
    <t>Module ru</t>
  </si>
  <si>
    <t>Prevention</t>
  </si>
  <si>
    <t>Monitoring and Evaluation</t>
  </si>
  <si>
    <t>Program management</t>
  </si>
  <si>
    <t>DOTS-based package</t>
  </si>
  <si>
    <t>TB/HIV package (in high TB/HIV burden countries or for high risk groups in all countries)</t>
  </si>
  <si>
    <t>MDR-TB package (in high MDR-TB burden countries or for high risk groups in all countries)</t>
  </si>
  <si>
    <t>Human Rights</t>
  </si>
  <si>
    <t>Vector Control (VC)</t>
  </si>
  <si>
    <t>Case Management (CM)</t>
  </si>
  <si>
    <t>Specific Prevention Interventions (SPI)</t>
  </si>
  <si>
    <t>Monitoring and Evaluation (ME)</t>
  </si>
  <si>
    <t>Program Management (PM)</t>
  </si>
  <si>
    <t>Service Delivery</t>
  </si>
  <si>
    <t>Health  Workforce</t>
  </si>
  <si>
    <t>Procurement and Supply Chain Management</t>
  </si>
  <si>
    <t>Information systems and M&amp;E</t>
  </si>
  <si>
    <t>Legal, policy, strategy and regulatory environment</t>
  </si>
  <si>
    <t xml:space="preserve">Healthcare financing </t>
  </si>
  <si>
    <t>Program management 
(applicable for standalone HSS grants)</t>
  </si>
  <si>
    <t>Includes specific Global Fund grant management related activities at the PMU/PR/SR level. These could include- development and submission of grant documents; oversight and technical assistance related to Global Fund grant implementation and management and specific Global Fund requirements; supervision from PR to SR level (applicable when national malaria program is not the PR); human resource planning/ staffing and   overheads, operational costs; coordination with national program, district and local authorities;  quarterly meetings, training, and office/IT equipment at PR/SR level; mobilizing leaders to support implementation and sustainability of the program</t>
  </si>
  <si>
    <t>Grant Management</t>
  </si>
  <si>
    <t>It inlcudes activities to monitor implementation and document violations (health services, human rights commissions, civil society)</t>
  </si>
  <si>
    <t>Monitoring and reporting implementation of human rights</t>
  </si>
  <si>
    <t>Activities which contribute to enforcing laws, policies and regulations that strengthen ability to deliver equal access to health services, and enable community systems to register and advocate for rights of people living with and affected by the 3 diseases. 
It includes activities to ensure routes to redress are available to people living with the three diseases, key affected populations, women, etc. 
Cross-cutting human rights interventions that affect the three diseases (e.g., prison reform, reform of laws and policies on refugees/migrants, IDPs, and others) also included here.</t>
  </si>
  <si>
    <t>Enforcement</t>
  </si>
  <si>
    <t>Activities which contribute to implementing and enforcing laws, policies and regulations that strengthen ability to deliver equal access to health services, and enable community systems to register and advocate for rights of people living with and affected by the 3 diseases. Cross-cutting human rights interventions that affect the three diseases (e.g., prison reform, reform of laws and policies on refugees/migrants, IDPs, and others) also included here. It includes capacity building activities to ensure health/human rights related laws and policies are fully implemented</t>
  </si>
  <si>
    <t xml:space="preserve">Implementation </t>
  </si>
  <si>
    <t>Activities which contribute to developing laws, policies and regulations that strengthen ability to deliver equal access to health services, and enable community systems to register and advocate for rights of people living with and affected by the 3 diseases. It includes creation of enabling environment for Global Fund supported interventions through drafting and ratifying laws and policies
Cross-cutting human rights interventions that affect the three diseases (e.g., prison reform, reform of laws and policies on refugees/migrants, IDPs, and others) also included here.</t>
  </si>
  <si>
    <t>Law and policy reform</t>
  </si>
  <si>
    <t xml:space="preserve">Activities which contribute to improving  equitable provision of financial resources to public, private and non-government institutions for effective delivery of    services and disease control programs;  </t>
  </si>
  <si>
    <t>Equity of healthcare financing</t>
  </si>
  <si>
    <t xml:space="preserve">It includes activities which contribute to improving  adequate provision of financial resources to public, private and non-government/community institutions for effective delivery of    services and disease control programs such as- Improving revenue collection, pooling and purchasing for ensuring financial sustainability of service delivery. For example, supporting the development, operationalization and management of funding schemes for purchasing healthcare services (insurance fund, community-based insurance schemes, revolving drug funds etc.); Providing training in financial planning and budgeting; Capacity building for improving public financial management; </t>
  </si>
  <si>
    <t>Financial sustainability</t>
  </si>
  <si>
    <t xml:space="preserve">This includes developing and supporting independent mechanisms to supervise, monitor and report on development and  implementation of laws and policies such as- Capacity building and support for effective litigation; Ensuring meaningful participation of community actors in national consultative forums, including policy, planning and other decision making bodies; Improving strategic and operational planning, management, accountability and leadership, including for community systems; </t>
  </si>
  <si>
    <t>Monitoring and reporting implementation of laws and policies</t>
  </si>
  <si>
    <t xml:space="preserve">This includes advocacy activities aimed at promoting appropriate legal and policy reform related to health and community systems such as- capacity building and mobilization of community activists, civil society organizations and other stakeholders to improve their engagement with government officials; Information campaigns (community level, local and national mass media etc.) aimed at promoting legislation, policy/regulation development and implementation; Building community linkages, collaboration and coordination; Advocacy on legal and policy frameworks e.g. decriminalization of behaviors or marginalized groups; development and enforcement of child protection policies; </t>
  </si>
  <si>
    <t>Advocacy for legal and policy reforms</t>
  </si>
  <si>
    <t>This includes activities which contribute to developing and executing health systems-related laws, strategies, policies, regulations, and, protocols, and monitoring their implementation such as- developing, ratifying and executing evidence-based,  non-discriminatory laws, policies, regulations, coordination and supervision mechanisms; Capacity building and training of MoH, local government, non-government and other relevant personnel to improve policy-making, policy-execution and monitoring functions; Inter-sectoral consultations, coordinating meetings, community meetings and similar activities aimed at policy-making, policy-execution and monitoring; Supporting analytical needs assessment, surveys, research and relevant activities to generate information for policy-making</t>
  </si>
  <si>
    <t>Development and Implementation of legal and policy reform</t>
  </si>
  <si>
    <t>Establishing/ strengthening and scale up of  Vital registration information system including Sample Vital Registration systems, strengthening reporting of hospital morbidity and mortality statistics, cause of death, establishment of SMS system of reporting; training of community health workers on reporting vital events, drug stock-outs etc.</t>
  </si>
  <si>
    <t>Vital Registration Systems</t>
  </si>
  <si>
    <t>Includes establishing systems for periodic (annual) reporting on key health administrative and service availability statistics, such as- Health workforce, inventory of health care providers and institutions; National Health Accounts and sub-accounts; setting up of financial reporting/ accounting systems; annual review of health sector budget and expenditures by funding source; Expenditure studies; Establishing and maintaining Logistics Management Information system (LMIS)</t>
  </si>
  <si>
    <t>Administrative and financial data sources</t>
  </si>
  <si>
    <t>Surveys/studies for assessment of morbidity, mortality, service coverage and behavioral surveys/studies in general population or identified risk groups – ex. DHS; MICS, health and morbidity surveys to assess out-of-pocket expenditures or burden etc.</t>
  </si>
  <si>
    <t>Surveys</t>
  </si>
  <si>
    <t>Analysis, interpretation and use of data and evidence generated through TB program review/ evaluation; development and sharing of periodic reports through websites/publications; reviews and evaluations of national health or disease strategies (these exclude the monthly/ quarterly review meetings held at different levels to strengthen programmatic supervision/monitoring); Operations Research</t>
  </si>
  <si>
    <t>Analysis, review and transparency</t>
  </si>
  <si>
    <t>Establishment/maintenance/strengthening of national HMIS system including DHIS 2 and any related web-based/electronic system to support data reporting from all levels of health system – including public, private, private-not-for-profit and community reporting; training; reporting forms and tools with appropriate disaggregation of indicators; sentinel surveillance; Data Quality Assessments</t>
  </si>
  <si>
    <t>Routine reporting</t>
  </si>
  <si>
    <t>Activities which ensure uninterrupted, efficient  and transparent purchase and distribution of medicines, consumables and other products that are necessary for effective delivery of more than one of the three disease  services, (HIV, TB and malaria)    but may also have broader reach to other health outcomes  (e.g. IMCI, TB/HIV, SRHR, comprehensive PMTCT, MNCH). It includes training of PSM personnel, development and implementation of policies and regulations and monitoring mechanisms such as early warning system for stock-outs.</t>
  </si>
  <si>
    <t>Operationalization of PSM system</t>
  </si>
  <si>
    <t>Activities which ensure appropriate storage and distribution of medicines, consumables and other products that are necessary for effective delivery of more than one of the three disease  services, (HIV, TB and malaria)    but may also have broader reach to other health outcomes  (e.g. IMCI, TB/HIV, SRHR, comprehensive PMTCT, MNCH). It includes refurbishing or building of storage facilities, purchase of vehicles and hardware and software for the procurement and supply management system.</t>
  </si>
  <si>
    <t>PSM infrastructure</t>
  </si>
  <si>
    <t xml:space="preserve">Activities that are aimed at improving equitable distribution and retention of skilled and competent health workforce espcially in hard-to-reach areas and serving marginalized populations, which primarily benefit more than one of the three disease outcomes (HIV, TB, malaria)  but may also have broader reach to other health outcomes  (e.g. MNCH, SRHR, etc.); It includes development and implementation of policies for workforce distribution and retention and financial and non-financial incentives for health workers for service delivery and to increase task shifting between them. Those who are engaged in single disease-specific practice, can be supported by relevant disease grant. </t>
  </si>
  <si>
    <t xml:space="preserve">Activities that are aimed at expansion and scaling up of skilled and competent health workforce, which primarily benefit more than one of the three disease outcomes (HIV, TB, malaria)  but may also have broader reach to other health outcomes  (e.g. MNCH, SRHR…).  
Scale-up of multi-disciplinary health workforce (e.g. primary care doctors and nurses, community health workers etc.) is included here. Those who are engaged in single disease-specific practice (e.g. ART clinics), can be supported by relevant disease grant. </t>
  </si>
  <si>
    <t>Scaling up and distribution of  workforce</t>
  </si>
  <si>
    <t>Activities that are aimed to train health workforce in service delivery and provision of care and support, which primarily benefit more than one of the three disease outcomes (HIV, TB, malaria)  but may also have broader reach to other health outcomes  (e.g. MNCH, SRHR, etc.);
It includes training in integrated packages (e.g. IMCI, RMNCH etc.) which cover one or more of HIV, TB, malaria, but may also go beyond the three diseases.
Single disease-specific trainings (e.g. training in new PMTCT guidelines) can be funded by relevant disease grants.</t>
  </si>
  <si>
    <t>Capacity building</t>
  </si>
  <si>
    <t xml:space="preserve">Includes capacity building for  leadership &amp; advocacy for service delivery at the community level; Increasing community awareness of service availability; Community mobilization for equitable access to services;  </t>
  </si>
  <si>
    <t>Increasing demand for health services</t>
  </si>
  <si>
    <t xml:space="preserve">Includes activities that are aimed to improve effectiveness and efficiency of organizational management systems for service delivery such as training healthcare managers at all levels, developing and implementing policies and regulations related to service delivery, organization and management (e.g. referral system, waste management etc.), developing supervision mechanisms for wuality assuance etc. It also includes necessary operational inputs, which primarily benefit more than one of the three disease outcomes (HIV, TB, malaria)  but may also have broader reach to other health outcomes  (e.g. MNCH, SRHR…) at the hospital, primary care and community levels; Similar activities benefitting only one disease may be included in a disease grant. </t>
  </si>
  <si>
    <t xml:space="preserve">Service organization and facility management   </t>
  </si>
  <si>
    <t>This intervention aims to support the scale-up, accessibility, availability and quality of health services including facility and community-level service delivery, such as- upgrading or scaling-up service delivery infrastructure including facilities, equipment, furniture, vehicles etc. It also includes necessary operational inputs that are necessary for uninterrupted seervice delivey. These activities benefit more than one of the three disease outcomes (HIV, TB, malaria), and may also have broader reach to other health outcomes  (e.g. MNCH, SRHR) at the hospital, primary care and community levels. Similar activities benefitting only one disease may be included in a disease grant.  These activities do not include large-scale construction projects (e.g.  building a multi-functional hospital)</t>
  </si>
  <si>
    <t>Infrastructure</t>
  </si>
  <si>
    <t>Includes- Activities at the administrative level outside the point of health care delivery, such as development of national strategic plans and annual operational plans and budgets; oversight, technical assistance and supervision from national to subnational levels; human resource- planning/ staffing and   overheads, operational costs; coordination with district and local authorities; quarterly meetings, training, and office/IT equipment; partnering process including Malaria advocacy and communication carried out by partners and Malaria program; mobilizing leaders to support implementation and sustainability of the program</t>
  </si>
  <si>
    <t>Planning, coordination and management</t>
  </si>
  <si>
    <t>Vital Registration System</t>
  </si>
  <si>
    <t>Includes establishing systems for periodic (annual) reporting on key health administrative and service availability statistics, such as- Health workforce, inventory of health care providers and institutions
National Health Accounts and Malaria sub-accounts; annual review of national malaria program budget and expenditures by funding source; expenditure studies according to WHO-GMP reporting guideline; Establishing and maintaining Logistics Management Information system (LMIS)</t>
  </si>
  <si>
    <t>Administrative and Finance Data Sources</t>
  </si>
  <si>
    <t>Household surveys (e.g. DHS, MICS and MIS) to monitor anemia/ parasitemia prevalence, under-5 mortality and ITN/IRS/IPT/treatment coverage implemented</t>
  </si>
  <si>
    <t>Ananalysis, interpretation and use of data and evidence generated through Malaria program reviews, evaluation of whole or a specific component of the program; development and sharing of quarterly, semi annual or annual reports through websites/ publications;
Operations Research-  specific to any of the components of Maria control program</t>
  </si>
  <si>
    <t>Analysis, Review and Transparency</t>
  </si>
  <si>
    <t>Routine data collection, recording and reporting of out-patients, in-patients and deaths (HMIS, sentinel sites or other systems); microscopy and RDT tests and treatment; reporting on stock-outs; data collection and reporting from other care providers (private, communities and civil society); reporting on ITN/LLIN distribution, IRS; 
printing of reporting forms; training on data entry and reporting; data verification; health facility assessment including quality of services</t>
  </si>
  <si>
    <t xml:space="preserve">Routine Reporting </t>
  </si>
  <si>
    <t>It includes activities (in areas with highly seasonal malaria transmission) related to intermittent administration of full treatment courses of an antimalarial medicine during the malaria season to prevent malarial illness by maintaining therapeutic antimalarial drug concentrations in the blood throughout the period of greatest malarial risk. The activities include procurement of anti-malarials (AQ-SP), pharmacovigilance, drug resistance monitoring, etc.</t>
  </si>
  <si>
    <t>It refers to activities related to administration of a full therapeutic course of sulfadoxine-pyrimethamine delivered through the Expanded Program on immunization (EPI) at defined intervals corresponding to routine vaccination schedules</t>
  </si>
  <si>
    <t>Intermittent Preventive Treatment (IPT) - in Infancy</t>
  </si>
  <si>
    <t xml:space="preserve">Includes procurement and provision of of intermittent preventive treatment with sulfadoxine-pyrimethamine during pregnancy. </t>
  </si>
  <si>
    <t>Intermittent Preventive Treatment (IPT) - in Pregnancy</t>
  </si>
  <si>
    <t>It includes advocacy, communication and social mobilization activities related to malaria case mangement- Preparation of advocacy kits (including kits for CBOs and NGOs); sensitization and mobilisation events targeting the policy makers and key players; periodic multi-media campaigns, radio and TV instructional series, jingles, billboards and community radio, etc.; development and distributtion of IEC materials; training of community health workers and community volunteers on effective BCC and Community Mobilisation on malaria; periodic sensitization meetings for opinion leaders at community and village level.</t>
  </si>
  <si>
    <t>ACSM</t>
  </si>
  <si>
    <t>Private sector case management (other)</t>
  </si>
  <si>
    <t>Private Sector Co-Payment Mechanism</t>
  </si>
  <si>
    <t>Severe Malaria</t>
  </si>
  <si>
    <t>Therapeutic Efficacy Surveillance</t>
  </si>
  <si>
    <t>Active Case Detection and Investigation (malaria elimination phase)</t>
  </si>
  <si>
    <t>Integrated Community Case Management (ICCM)</t>
  </si>
  <si>
    <t>Epidemic preparedness and response</t>
  </si>
  <si>
    <t>Includes activities related to testing and treating malaria cases ranging from procuremnt of diagnositic equipment, rapid diagnostic tests, reagents and anti-malaria drugs, quality assurance of laboratories, training of health care providers and technical assistance.</t>
  </si>
  <si>
    <t>Facility-based Treatment</t>
  </si>
  <si>
    <t>It includes advocacy, communication and social mobilization activities related to vector control- Preparation of advocacy kits (including kits for CBOs and NGOs); sensitization and mobilisation events targeting the policy makers and key players; periodic multi-media campaigns, radio and TV instructional series, jingles, billboards and community radio, etc.; development and distributtion of IEC materials; training of community health workers and community volunteers on effective BCC and Community Mobilisation on malaria; periodic sensitization meetings for opinion leaders at community and village level.</t>
  </si>
  <si>
    <t>Includes activities to determine and characterize the dominant mosquito species in the area, vector density, biting behaviour as well as test mosquitoes' susceptibility to insecticides. The activities range from planning for entomological monitoring and implementation, mosquito collection and testing, procurement of entomological equipment, training, maintenance of insectary, etc.</t>
  </si>
  <si>
    <t>Entomological Monitoring</t>
  </si>
  <si>
    <t>This includes environmental management strategies that can reduce or eliminate vector breeding grounds, through improved design or operation of water resources development projects; and the use of biological controls (e.g. bacterial larvicides and larvivorous fish) that target and kill vector larvae. In addtion it includes chemical larvicides and adulticides that reduce disease transmission by shortening or interrupting the lifespan of vectors.</t>
  </si>
  <si>
    <t>Other Vector Control Measures</t>
  </si>
  <si>
    <t>It includes planning and implementation of Indoor Residual Spraying campaigns as well as enumeration of households to be sprayed. Activities include procurement of insecticides, equipment, other commodities, IEC material for IRS campaigns, trainings, etc.</t>
  </si>
  <si>
    <t>Indoor Residual Spraying (IRS)</t>
  </si>
  <si>
    <t>This intervention encompasses efforts to
start, strengthen or scale up continuous delivery of LLINs through antenatal care (ANC) clinics, the Expanded Programme on Immunization (EPI), or other routine services at public and private health facilities, to sustain high LLIN coverage. It includes activities related to- Coordination and Planning; Training; Logistics; Communication; Supervision, etc.</t>
  </si>
  <si>
    <t>Long-lasting Insecticide-treated Nets (LLIN) - Routine Distribution</t>
  </si>
  <si>
    <t>Includes activities related to planning and implementation of mass LLIN distributions, whether targeted to specific population groups or for universal coverage. It includes coordination, planning and budgeting, procurement, logistics, communication, implementation, training, etc.</t>
  </si>
  <si>
    <t>Long-lasting Insecticide-treated Nets (LLIN) - Mass Campaign</t>
  </si>
  <si>
    <t>Supporting procurement and supply management for TB</t>
  </si>
  <si>
    <t>Grant management</t>
  </si>
  <si>
    <t>Administrative and finance data sources</t>
  </si>
  <si>
    <t>Human rights monitoring and reporting</t>
  </si>
  <si>
    <t>Access to justice</t>
  </si>
  <si>
    <t>Training and capacity-building</t>
  </si>
  <si>
    <t>Collaborative activities with other sectors⃰</t>
  </si>
  <si>
    <t>MDR-TB screening and treatment among high risk groups</t>
  </si>
  <si>
    <t>Engaging communities and civil society (includes Social mobilisation)⃰</t>
  </si>
  <si>
    <t>Engaging all care providers⃰</t>
  </si>
  <si>
    <t>Treatment: MDR-TB</t>
  </si>
  <si>
    <t>Case Detection and Diagnosis: MDR-TB</t>
  </si>
  <si>
    <t>TB/HIV screening and treatment among high risk groups</t>
  </si>
  <si>
    <t xml:space="preserve">TB/HIV collaborative interventions </t>
  </si>
  <si>
    <t>Collaborative activities with other sectors</t>
  </si>
  <si>
    <t>TB screening and treatment among high risk groups</t>
  </si>
  <si>
    <t>Engaging communities and civil society (includes Social mobilisation)</t>
  </si>
  <si>
    <t xml:space="preserve">Engaging all care providers </t>
  </si>
  <si>
    <t xml:space="preserve">Prevention
</t>
  </si>
  <si>
    <t xml:space="preserve">Treatment
</t>
  </si>
  <si>
    <t>Case detection and diagnosis</t>
  </si>
  <si>
    <t>Analysis, Review and transparency</t>
  </si>
  <si>
    <t xml:space="preserve">Routine reporting </t>
  </si>
  <si>
    <t xml:space="preserve">Other interventions for Treatment - Please specify </t>
  </si>
  <si>
    <t>Removing human rights barriers to accessing services - Treatment</t>
  </si>
  <si>
    <t>Community Systems Strengthening - Treatment</t>
  </si>
  <si>
    <t xml:space="preserve">In-patient care </t>
  </si>
  <si>
    <t xml:space="preserve">Out-patient care </t>
  </si>
  <si>
    <t xml:space="preserve">TB/HIV </t>
  </si>
  <si>
    <t>Prevention, Diagnosis and treatment of  Opportunistic Infections</t>
  </si>
  <si>
    <t xml:space="preserve">Treatment   adherence </t>
  </si>
  <si>
    <t xml:space="preserve">Treatment monitoring </t>
  </si>
  <si>
    <t xml:space="preserve">Treatment as prevention </t>
  </si>
  <si>
    <t>Pre and Post-exposure prophylaxis (PrEP and PEP)</t>
  </si>
  <si>
    <t xml:space="preserve">Paediatric multidrug ART after second-line treatment failure </t>
  </si>
  <si>
    <t>Second-line ART – paediatric</t>
  </si>
  <si>
    <t>First-line ART – paediatric</t>
  </si>
  <si>
    <t>Adult multidrug ART after second-line treatment failure</t>
  </si>
  <si>
    <t>Second-line ART – adults</t>
  </si>
  <si>
    <t>First-line ART – adults</t>
  </si>
  <si>
    <t xml:space="preserve">Pre-ART Care </t>
  </si>
  <si>
    <t xml:space="preserve">Other interventions for PMTCT- Please specify </t>
  </si>
  <si>
    <t>Removing human rights barriers to accessing services - PMTCT</t>
  </si>
  <si>
    <t>Community Systems Strengthening - PMTCT</t>
  </si>
  <si>
    <t>Prong 4: Treatment, care and support to mothers living with HIV and their children and families</t>
  </si>
  <si>
    <t xml:space="preserve">Prong 3: Preventing vertical  HIV transmission </t>
  </si>
  <si>
    <t>Prong 2: Preventing unintended pregnancies among women living with HIV</t>
  </si>
  <si>
    <t>Prong 1: Primary prevention of HIV infection among women of childbearing age</t>
  </si>
  <si>
    <t>Removing human rights barriers to accessing services - Prevention adolescents and youth</t>
  </si>
  <si>
    <t>Male Circumcision as part of programs for adolescent and youth</t>
  </si>
  <si>
    <t>HIV testing and Counselling as part of programs for adolescent and youth</t>
  </si>
  <si>
    <t>Adolescents and youth: Behavioural change</t>
  </si>
  <si>
    <t xml:space="preserve">Other interventions for other vulnerable populations - Please specify </t>
  </si>
  <si>
    <t>Removing human rights barriers to accessing services - Prevention other vulnerable populations</t>
  </si>
  <si>
    <t>Community Systems Strengthening - Prevention other vulnerable populations</t>
  </si>
  <si>
    <t>Diagnosis and treatment of STIs as part of programmes for other vulnerable populations</t>
  </si>
  <si>
    <t>HIV testing and Counselling as part of programmes for other vulnerable populations</t>
  </si>
  <si>
    <t xml:space="preserve">Other interventions for IDUs and their partners - Please specify </t>
  </si>
  <si>
    <t>Removing human rights barriers to accessing services - Prevention IDUs and their partners</t>
  </si>
  <si>
    <t>Community Systems Strengthening - Prevention IDUs and their partners</t>
  </si>
  <si>
    <t>Diagnosis and treatment of viral hepatitis as part of programmes for IDUs and their partners</t>
  </si>
  <si>
    <t>Opioid Substitution Therapy and other drug dependence treatment as part of programmes for IDUs and their partners</t>
  </si>
  <si>
    <t>Needle and Syringe exchange as part of programmes for IDUs and their partners</t>
  </si>
  <si>
    <t>Diagnosis and treatment of STIs as part of programmes for IDUs and their partners</t>
  </si>
  <si>
    <t>HIV testing and Counselling as part of programmes for sex workers and their clients</t>
  </si>
  <si>
    <t>Condoms as part of programmes for IDUs and their partners</t>
  </si>
  <si>
    <t xml:space="preserve">Behavioural Change as part of programmes for IDUs and their partners </t>
  </si>
  <si>
    <t xml:space="preserve">Other interventions for sex workers and their clients - Please specify </t>
  </si>
  <si>
    <t>Removing human rights barriers to accessing services - Prevention sex workers and their clients</t>
  </si>
  <si>
    <t>Community Systems Strengthening - Prevention sex workers and their clients</t>
  </si>
  <si>
    <t>Diagnosis and treatment of STIs as part of programmes for sex workers and their clients</t>
  </si>
  <si>
    <t xml:space="preserve">Removing human rights barriers to accessing services - Prevention MSM and TGs </t>
  </si>
  <si>
    <t>Diagnosis and treatment of STIs as part of Programs for MSM and TGs</t>
  </si>
  <si>
    <t>Behavioural Change as part of Programs for MSM and TGs</t>
  </si>
  <si>
    <t xml:space="preserve">Other interventions for General Populations - please specify </t>
  </si>
  <si>
    <t xml:space="preserve">Removing human rights barriers to accessing services - Prevention General Population </t>
  </si>
  <si>
    <t xml:space="preserve">Diagnosis and treatment of STIs as part of programs for General population </t>
  </si>
  <si>
    <t>Intervention ru</t>
  </si>
  <si>
    <t>Intervention es</t>
  </si>
  <si>
    <t>Intervention fr</t>
  </si>
  <si>
    <t>Intervention en</t>
  </si>
  <si>
    <t>IntId</t>
  </si>
  <si>
    <t>CovIndId</t>
  </si>
  <si>
    <t>Coverage Indicator en</t>
  </si>
  <si>
    <t>Coverage Indicator fr</t>
  </si>
  <si>
    <t>Coverage Indicator es</t>
  </si>
  <si>
    <t>Coverage Indicator ru</t>
  </si>
  <si>
    <t># of women and men 15-49 who received an HIV test and know their results</t>
  </si>
  <si>
    <t># &amp; % of individuals from the targeted population reached through community outreach with a standardized HIV prevention intervention</t>
  </si>
  <si>
    <t xml:space="preserve">% of men 15-49 that are circumcised </t>
  </si>
  <si>
    <t># &amp; % of MSM reached with HIV prevention programs (defined package of services), report separately for TGs, if applicable</t>
  </si>
  <si>
    <t># &amp; % of MSM reached with individual and/or smaller group-level HIV preventive interventions that are based on evidence and/or meet the minimum standards required, report separately for TGs, if applicable</t>
  </si>
  <si>
    <t># &amp; % of MSM who received an HIV test and who know the results, report separately for TGs, if applicable</t>
  </si>
  <si>
    <t># &amp; % of SWs reached with individual and/or smaller group-level HIV preventive interventions that are based on evidence and/or meet the minimum standards required</t>
  </si>
  <si>
    <t xml:space="preserve"># &amp; % of PWID reached with HIV prevention programs- defined package of services </t>
  </si>
  <si>
    <t># &amp; % of PWID reached with individual and/or smaller group-level HIV preventive interventions that are based on evidence and/or meet the minimum standards required</t>
  </si>
  <si>
    <t xml:space="preserve"># &amp; % of PWID that received an HIV test and who know the results </t>
  </si>
  <si>
    <t># &amp; % of PWID reached with needle and syringe programmes</t>
  </si>
  <si>
    <t>Number of needles and syringes distributed per person who inject drugs per year by needle and syringe programmes</t>
  </si>
  <si>
    <t># &amp; % of PWID on opioid substitution therapy</t>
  </si>
  <si>
    <t xml:space="preserve"># and % of Other Populations (specify) reached with HIV prevention programs- defined package of services </t>
  </si>
  <si>
    <t># &amp; % of Other Populations (specify) reached with individual and/or smaller group-level HIV preventive interventions that are based on evidence and/or meet the minimum standards required</t>
  </si>
  <si>
    <t xml:space="preserve"># and % of Other Populations (specify) that received an HIV test  and who know the results </t>
  </si>
  <si>
    <t># &amp; % of orphaned and vulnerable children aged 0-17 years whose households received free basic external support in caring for the child according to national guidelines</t>
  </si>
  <si>
    <t># &amp; % of young people aged 10-24 years reached by life-skills based HIV education in schools</t>
  </si>
  <si>
    <t xml:space="preserve"># &amp; % of HIV-positive pregnant women who received anti-retrovirals to reduce the risk of mother-to-child transmission </t>
  </si>
  <si>
    <t># &amp; % of pregnant women who know their HIV status</t>
  </si>
  <si>
    <t># &amp; % of infants born to HIV-infected women who receive a virological test for HIV within 2 months of birth</t>
  </si>
  <si>
    <t># &amp; % of eligible adults and children currently receiving antiretroviral therapy (disaggregated by age and sex)</t>
  </si>
  <si>
    <t xml:space="preserve"># &amp; % of health facilities dispensing antiretroviral therapy that have experienced a stock-out of at least one required antiretroviral drug in the last 12 month                                                            </t>
  </si>
  <si>
    <t># &amp; % of adults and children enrolled in HIV care who had TB status assessed and recorded during their last visit during the reporting period among all adults and children enrolled in HIV care and seen for care during the reporting period</t>
  </si>
  <si>
    <t># &amp; % of adults and children newly enrolled in HIV care who start treatment of latent TB infection (IPT)</t>
  </si>
  <si>
    <t xml:space="preserve"># &amp; % of TB patients with known HIV status: TB patients registered during the reporting period who had an HIV test result recorded in the TB register among the total number of TB patients registered during the reporting period </t>
  </si>
  <si>
    <t># &amp; % of HIV-positive TB patients given anti-retroviral therapy during TB treatment</t>
  </si>
  <si>
    <t># &amp; % of reporting units submitting timely reports according to national guidelines</t>
  </si>
  <si>
    <t xml:space="preserve"># of notified cases of bacteriologically confirmed TB </t>
  </si>
  <si>
    <t># of notified cases of all forms of TB  (bacteriologically confirmed plus clinically diagnosed)</t>
  </si>
  <si>
    <t xml:space="preserve"># &amp; % of laboratories performing microscopy that show adequate performance on External Quality Assurance </t>
  </si>
  <si>
    <t># &amp; % of bacteriologically confirmed cases successfully treated (cured plus completed treatment) among the bacteriologically confirmed TB cases registered during a specified period.</t>
  </si>
  <si>
    <t xml:space="preserve"># of children &lt;5 in contact with TB patients who began IPT </t>
  </si>
  <si>
    <t># &amp; % of reporting units (districts or basic management units) reporting no stock-out of first-line anti-TB drugs on the last day of the quarter</t>
  </si>
  <si>
    <t># &amp; % of notified TB cases (all forms) contributed by non NTP providers among all TB cases notified in the PPM implementation areas</t>
  </si>
  <si>
    <t xml:space="preserve"># &amp; % of notified TB cases (all forms) contributed by community health workers and community volunteers among all TB cases notified in the Basic Management Unit </t>
  </si>
  <si>
    <t xml:space="preserve"># &amp; % of adults and children enrolled in HIV care who had TB status assessed and recorded during their last visit during the reporting period among all adults and children enrolled in HIV care and seen for care during the reporting period </t>
  </si>
  <si>
    <t xml:space="preserve"># &amp; % of adults and children newly enrolled in HIV care who start treatment for latent TB infection (isoniazid preventive therapy) among the total number of adults and children newly enrolled in HIV care during the reporting period </t>
  </si>
  <si>
    <t xml:space="preserve"># &amp; % of laboratories showing at least 95% proficiency for isoniazid and rifampicin drug susceptibility testing among the total number of laboratories that undertake drug susceptibility testing during the reporting period </t>
  </si>
  <si>
    <t xml:space="preserve">#  of cases with bacteriologically confirmed drug resistant TB cases (RR-TB and/or MDR-TB) who began second line treatment </t>
  </si>
  <si>
    <t># of presumptive cases of drug-resistant TB (RR-TB and/or MDR-TB) that began second-line treatment</t>
  </si>
  <si>
    <t>Number of ITNs/LLINs distributed to at-risk populations through mass campaigns</t>
  </si>
  <si>
    <t># &amp; % of population at risk potentially covered by ITNs distributed (# &amp; %)</t>
  </si>
  <si>
    <t>Number of ITNs/LLINs distributed to target populations through ANC, EPI etc.</t>
  </si>
  <si>
    <t># &amp; % of targeted risk groups receiving ITNs - pregnant women, children &lt;5, migrants, etc.</t>
  </si>
  <si>
    <t># &amp; % of households in targeted areas that received IRS in the last 12 months</t>
  </si>
  <si>
    <t># &amp; % of population protected by IRS within the last 12 months</t>
  </si>
  <si>
    <t xml:space="preserve"># &amp; % of suspected malaria cases that receive a parasitological test </t>
  </si>
  <si>
    <t># &amp; % of confirmed malaria cases that received first-line antimalarial treatment according to national policy (disaggregated by sex)</t>
  </si>
  <si>
    <t># &amp; % of public sector health facilities or private sector sites without stock-outs of key commodities by month (also report on community health workers with no stock-outs)</t>
  </si>
  <si>
    <t># &amp; % of confirmed cases fully investigated (including case investigation form, focus investigation form and active case detection) (malaria elimination phase)</t>
  </si>
  <si>
    <t xml:space="preserve"># &amp; % of women attending ANC who received at least 3 doses of intermittent preventive treatment </t>
  </si>
  <si>
    <t xml:space="preserve"># &amp; % of reporting units submitting timely reports according to national guidelines </t>
  </si>
  <si>
    <t># &amp; distribution of health facilities per 10,000 population</t>
  </si>
  <si>
    <t>Specific service readiness score for health facilities (to be included in the disease specific modules)</t>
  </si>
  <si>
    <t># of outpatients visits per 10,000 population</t>
  </si>
  <si>
    <t># of health workers per 10,000 population (report on community health workers as applicable)</t>
  </si>
  <si>
    <t>Distribution of health workers (by occupation, specialization, region, sex)</t>
  </si>
  <si>
    <t># of health workers newly recruited at primary health care facilities in the past 12 months, expressed as a percentage of planned recruitment target</t>
  </si>
  <si>
    <t>Annual rate of retention of service providers at primary health care facilities</t>
  </si>
  <si>
    <t>% of health facilities reporting no stock-outs of essential drugs</t>
  </si>
  <si>
    <t># &amp; % of reporting units at the national, provincial or district level submitting timely reports according to national guidelines</t>
  </si>
  <si>
    <t>Government expenditure on health as percentage of general government expenditure</t>
  </si>
  <si>
    <t>OutcIndId</t>
  </si>
  <si>
    <t>Outcome Indicator en</t>
  </si>
  <si>
    <t>Outcome Indicator fr</t>
  </si>
  <si>
    <t>Outcome Indicator es</t>
  </si>
  <si>
    <t>Outcome Indicator ru</t>
  </si>
  <si>
    <t>% of women and men aged 15–49 years who have had more than one sexual partner in the past 12 months (disaggregated by 15-19 and 20-24 age groups)</t>
  </si>
  <si>
    <t>% of women and men aged 15–49 years who have had more than one sexual partner in the past 12 months reporting the use of a condom during their last sexual intercourse (disaggregated by 15-19 and 20-24 age groups)</t>
  </si>
  <si>
    <t>% of men reporting the use of a condom the last time they had anal sex with a male partner</t>
  </si>
  <si>
    <t>% of sex workers reporting use of a condom with their most recent client</t>
  </si>
  <si>
    <t>% of PWID who reported using sterile injecting equipment the last time they injected</t>
  </si>
  <si>
    <t xml:space="preserve">% of other populations (specify) who report the use of a condom at last sexual intercourse </t>
  </si>
  <si>
    <t xml:space="preserve">% of current school attendance among orphans and non-orphans </t>
  </si>
  <si>
    <t>% of adults and children with HIV, known to be on treatment 12 months after initiation of ART (disaggregated by age and sex). Report also for 24 and 36 months</t>
  </si>
  <si>
    <t>Case notification rate per 100,000 population- bacteriologically confirmed (new and relapse cases), (disaggregated by age and sex)</t>
  </si>
  <si>
    <t>Case notification rate of all forms of TB per 100,000 population- bacteriologically confirmed plus clinically diagnosed (disaggregated by age and sex)</t>
  </si>
  <si>
    <t>Treatment success rate- bacteriologically confirmed TB cases (disaggregated by age and sex)</t>
  </si>
  <si>
    <t>Treatment success rate- all forms of TB</t>
  </si>
  <si>
    <t>Notification of MDR-TB: Notified cases of bacteriologically confirmed, drug resistant TB (RR-TB and/or MDR-TB) as a proportion of the estimated MDR TB cases among the notified TB cases (# &amp; %)</t>
  </si>
  <si>
    <t xml:space="preserve">Treatment success rate- MDR-TB </t>
  </si>
  <si>
    <t xml:space="preserve">% of bacteriologically confirmed drug </t>
  </si>
  <si>
    <t>Proportion of population that slept under an ITN the previous night (disaggregated by age, sex, pregnancy status, geographical location)</t>
  </si>
  <si>
    <t>Proportion of households with at least one ITN for every two people and/or sprayed by IRS within the last 12 months</t>
  </si>
  <si>
    <t>Proportion of households with at least one ITN</t>
  </si>
  <si>
    <t>Proportion of households with at least one ITN for every two people</t>
  </si>
  <si>
    <t>% of women attending antenatal care</t>
  </si>
  <si>
    <t xml:space="preserve">% of births attended by skilled birth health professional </t>
  </si>
  <si>
    <t>ImpaIndId</t>
  </si>
  <si>
    <t>Impact Indicator en</t>
  </si>
  <si>
    <t>Impact Indicator fr</t>
  </si>
  <si>
    <t>Impact Indicator es</t>
  </si>
  <si>
    <t>Impact Indicator ru</t>
  </si>
  <si>
    <t>% of young women and men aged 15-24 years who are HIV infected</t>
  </si>
  <si>
    <t>HIV prevalence among 15-49 age group</t>
  </si>
  <si>
    <t>New HIV infections (per 100 person-year population)</t>
  </si>
  <si>
    <t>AIDS related mortality (disaggregated by age and sex)</t>
  </si>
  <si>
    <t>Modelled lives saved based on latest epidemiological data</t>
  </si>
  <si>
    <t xml:space="preserve">Percentage of men who have sex with men who are living with HIV </t>
  </si>
  <si>
    <t xml:space="preserve">Percentage of sex workers who are living with HIV </t>
  </si>
  <si>
    <t>Percentage of people who inject drugs who are living with HIV</t>
  </si>
  <si>
    <t>Percentage of Other Populations (specify) who are living with HIV</t>
  </si>
  <si>
    <t>STI prevalence (key populations, pregnant women, as applicable)</t>
  </si>
  <si>
    <t>% of infants born to HIV infected mothers who are infected</t>
  </si>
  <si>
    <t>TB incidence rate</t>
  </si>
  <si>
    <t xml:space="preserve">MDR prevalence  among new TB patients </t>
  </si>
  <si>
    <t>Modeled lives saved (based on latest epidemiological data)</t>
  </si>
  <si>
    <t xml:space="preserve">Confirmed malaria cases (microscopy or RDT) per 1000 persons per year (disaggregated by sex) </t>
  </si>
  <si>
    <t>Reported malaria cases (disaggregated by sex)</t>
  </si>
  <si>
    <t>Parasite prevalence: Proportion of children aged 6-59 months with malaria infection</t>
  </si>
  <si>
    <t>Inpatient malaria deaths per 100o persons per year</t>
  </si>
  <si>
    <t>Malaria test positivity rate</t>
  </si>
  <si>
    <t>All-cause under-5 mortality rate</t>
  </si>
  <si>
    <t>Under 5 mortality rate per 1000 live births</t>
  </si>
  <si>
    <t xml:space="preserve">Maternal mortality ratio </t>
  </si>
  <si>
    <t>Ratio of household out-of-pocket payments for health to total expenditure on health</t>
  </si>
  <si>
    <t>DataSrcId</t>
  </si>
  <si>
    <t>Data src en</t>
  </si>
  <si>
    <t>Data src fr</t>
  </si>
  <si>
    <t>Data src es</t>
  </si>
  <si>
    <t>Data src ru</t>
  </si>
  <si>
    <t>ИСУЗ</t>
  </si>
  <si>
    <t>Медицинские карты пациентов</t>
  </si>
  <si>
    <t>Сведения о подготовке</t>
  </si>
  <si>
    <t>Отчеты (укажите)</t>
  </si>
  <si>
    <t>Система регистрации актов гражданского состояния с данными о конкретных заболеваниях</t>
  </si>
  <si>
    <t>Операционные исследования</t>
  </si>
  <si>
    <t>Административная отчетная документация</t>
  </si>
  <si>
    <t>Система регистрации и отчетности по ТБ, квартальные отчеты</t>
  </si>
  <si>
    <t xml:space="preserve">Система регистрации и отчетности по ТБ, годовой административный отчет </t>
  </si>
  <si>
    <t>Исследование уровня распространенности ТБ</t>
  </si>
  <si>
    <t>Реестр больных ТБ</t>
  </si>
  <si>
    <t>Реестр лабораторий, занимающихся диагностикой ТБ</t>
  </si>
  <si>
    <t>Медицинская карта больного ТБ</t>
  </si>
  <si>
    <t>Укажите: отчеты, исследования, анкеты и т.п.</t>
  </si>
  <si>
    <t>Системы регистрации актов гражданского состояния</t>
  </si>
  <si>
    <t>Системы надзора</t>
  </si>
  <si>
    <t>Autre rapport,préciser</t>
  </si>
  <si>
    <t>Другой отчет, укажите</t>
  </si>
  <si>
    <t>ModuleId</t>
  </si>
  <si>
    <t xml:space="preserve">Coverage/Output indicator </t>
  </si>
  <si>
    <t>Please describe: 1) overall assumptions used in calculating targets, 2) anticipated rate of scale-up, 3) population size estimates, 4) description of indicator/package of services, 5) data source, 6) other relevant information</t>
  </si>
  <si>
    <t>PLEASE PROVIDE COST ASSUMPTIONS FOR BUDGET HERE</t>
  </si>
  <si>
    <t>It is not compulsory to provide detailed cost assumptions for the budget, however providing additional information may help to reach a common understanding and agreement between the Principal Recipient and the Global Fund Secretariat and speed up the negotiation process.</t>
  </si>
  <si>
    <t>Summary of requested 3 years of funding by module</t>
  </si>
  <si>
    <t>Indicative budget</t>
  </si>
  <si>
    <t>P1</t>
  </si>
  <si>
    <t>P2</t>
  </si>
  <si>
    <t>P3</t>
  </si>
  <si>
    <t>Row Labels</t>
  </si>
  <si>
    <t>Grand Total</t>
  </si>
  <si>
    <t>Total / Full</t>
  </si>
  <si>
    <t>Above %</t>
  </si>
  <si>
    <t>Indicative %</t>
  </si>
  <si>
    <t>Full %</t>
  </si>
  <si>
    <t>Full request</t>
  </si>
  <si>
    <t>To refresh the pivot table with latest amounts entered in the Module budgets on the Concept Note sheet, click anywhere on the pivot table and then press Alt + F5.</t>
  </si>
  <si>
    <t>R2C</t>
  </si>
  <si>
    <t>Cov ind row</t>
  </si>
  <si>
    <t>Nbr of ind</t>
  </si>
  <si>
    <t>Start row</t>
  </si>
  <si>
    <t>Please describe: 1) cost assumptions and data sources, 2) key activities, 3) other relevant information. Please differentiate between indicative and above indicative</t>
  </si>
  <si>
    <t>Prevention - General population</t>
  </si>
  <si>
    <t>Prevention - MSM and TGs</t>
  </si>
  <si>
    <t>Prevention - Harm-reduction programmes for injecting drug users (IDUs) and their partners</t>
  </si>
  <si>
    <t>Prevention - Other vulnerable populations (please specify)</t>
  </si>
  <si>
    <t>Prevention - Sex Workers and their clients</t>
  </si>
  <si>
    <t xml:space="preserve"># &amp; % of SWs reached with HIV prevention programs- defined package of services </t>
  </si>
  <si>
    <t># &amp; % of SWs that received an HIV test and who know the results</t>
  </si>
  <si>
    <t xml:space="preserve"># of TB cases (all forms) notified among high risk groups (e.g. prisons) to the national health authorities during a specified period  </t>
  </si>
  <si>
    <t xml:space="preserve"># of  bacteriologically confirmed drug resistant TB (RR-TB and/or MDR-TB) notified to the national TB program  </t>
  </si>
  <si>
    <t># &amp; % of foci fully investigated (malaria focus investigation form completed, including data from an entomological investigation) and registered (on register, with maps of each focus) (malaria elimination phase)</t>
  </si>
  <si>
    <t>General service readiness score for health facilities</t>
  </si>
  <si>
    <t># &amp; % of deaths registered (as reported by civil or sample registration systems, hospitals, community-based reporting systems) among the total deaths for the same period and geographical region</t>
  </si>
  <si>
    <t>Seasonal Malaria Chemoprevention</t>
  </si>
  <si>
    <t>Retention of workforce</t>
  </si>
  <si>
    <t>Treatment, care and support</t>
  </si>
  <si>
    <t>Ensuring Drug Quality</t>
  </si>
  <si>
    <t>Prevención</t>
  </si>
  <si>
    <t>PTMI</t>
  </si>
  <si>
    <t>Tratamiento</t>
  </si>
  <si>
    <t>Seguimiento y evaluación</t>
  </si>
  <si>
    <t>Gestión de programas</t>
  </si>
  <si>
    <t>Paquete basado en DOTS</t>
  </si>
  <si>
    <t>Paquete para tuberculosis/VIH (en países con una carga elevada de tuberculosis/VIH o para grupos de alto riesgo de todos los países)</t>
  </si>
  <si>
    <t>Paquete para TB-MR (en países con una carga elevada de tuberculosis multirresistente o para grupos de alto riesgo de todos los países)</t>
  </si>
  <si>
    <t>Derechos humanos</t>
  </si>
  <si>
    <t>Control de vectores</t>
  </si>
  <si>
    <t>Gestión de casos</t>
  </si>
  <si>
    <t>Intervenciones de prevención específicas</t>
  </si>
  <si>
    <t>Prestación de servicios</t>
  </si>
  <si>
    <t>Personal de salud</t>
  </si>
  <si>
    <t>Sistemas de información y seguimiento y evaluación</t>
  </si>
  <si>
    <t xml:space="preserve">Financiamiento de la atención sanitaria </t>
  </si>
  <si>
    <t>Gestión de programas 
(aplicable para subvenciones de FSS independientes)</t>
  </si>
  <si>
    <t xml:space="preserve">Cambio del comportamiento como parte de programas para la población general </t>
  </si>
  <si>
    <t xml:space="preserve">Preservativos como parte de programas para la población general </t>
  </si>
  <si>
    <t xml:space="preserve">Circuncisión masculina </t>
  </si>
  <si>
    <t xml:space="preserve">Pruebas de VIH y asesoramiento como parte de programas para la población general </t>
  </si>
  <si>
    <t xml:space="preserve">Diagnóstico y tratamiento de ITS como parte de programas para la población general </t>
  </si>
  <si>
    <t xml:space="preserve">Seguridad hematológica </t>
  </si>
  <si>
    <t xml:space="preserve">Paquete para huérfanos y niños vulnerables </t>
  </si>
  <si>
    <t xml:space="preserve">Fortalecimiento de los sistemas comunitarios - Prevención para la población general </t>
  </si>
  <si>
    <t xml:space="preserve">Supresión de obstáculos relacionados con los derechos humanos para el acceso a servicios - Prevención para la población general </t>
  </si>
  <si>
    <t>Vínculos entre la salud reproductiva, materna, neonatal e infantil y la violencia de género</t>
  </si>
  <si>
    <t xml:space="preserve">Otras intervenciones para la población general (especificar) </t>
  </si>
  <si>
    <t>Cambio de comportamiento como parte de programas para hombres que tienen relaciones sexuales con hombres y personas transgénero</t>
  </si>
  <si>
    <t>Preservativos como parte de programas para hombres que tienen relaciones sexuales con hombres y personas transgénero</t>
  </si>
  <si>
    <t>Pruebas de VIH y asesoramiento como parte de programas para hombres que tienen relaciones sexuales con hombres y personas transgénero</t>
  </si>
  <si>
    <t>Diagnóstico y tratamiento de ITS como parte de programas para hombres que tienen relaciones sexuales con hombres y personas transgénero</t>
  </si>
  <si>
    <t>Diagnóstico y tratamiento de la hepatitis vírica como parte de programas para hombres que tienen relaciones sexuales con hombres y personas transgénero</t>
  </si>
  <si>
    <t xml:space="preserve">Fortalecimiento de los sistemas comunitarios - Prevención para hombres que tienen relaciones sexuales con hombres y personas transgénero </t>
  </si>
  <si>
    <t xml:space="preserve">Supresión de obstáculos relacionados con los derechos humanos para el acceso a servicios - Prevención para hombres que tienen relaciones sexuales con hombres y personas transgénero </t>
  </si>
  <si>
    <t xml:space="preserve">Otras intervenciones para hombres que tienen relaciones sexuales con hombres y personas transgénero (especificar) </t>
  </si>
  <si>
    <t>Cambio de comportamiento como parte de programas para profesionales del sexo y sus clientes</t>
  </si>
  <si>
    <t>Preservativos como parte de programas para profesionales del sexo y sus clientes</t>
  </si>
  <si>
    <t>Pruebas de VIH y asesoramiento como parte de programas para profesionales del sexo y sus clientes</t>
  </si>
  <si>
    <t>Diagnóstico y tratamiento de ITS como parte de programas para profesionales del sexo y sus clientes</t>
  </si>
  <si>
    <t>Reducción del daño como parte de programas para profesionales del sexo y sus clientes</t>
  </si>
  <si>
    <t>Fortalecimiento de los sistemas comunitarios - Prevención para profesionales del sexo y sus clientes</t>
  </si>
  <si>
    <t>Supresión de obstáculos relacionados con los derechos humanos para el acceso a servicios - Prevención para profesionales del sexo y sus clientes</t>
  </si>
  <si>
    <t xml:space="preserve">Otras intervenciones para profesionales del sexo y sus clientes (especificar) </t>
  </si>
  <si>
    <t xml:space="preserve">Cambio de comportamiento como parte de programas para consumidores de drogas inyectables y sus parejas </t>
  </si>
  <si>
    <t>Preservativos como parte de programas para consumidores de drogas inyectables y sus parejas</t>
  </si>
  <si>
    <t>Diagnóstico y tratamiento de ITS como parte de programas para consumidores de drogas inyectables y sus parejas</t>
  </si>
  <si>
    <t>Cambio de agujas y jeringuillas como parte de programas para consumidores de drogas inyectables y sus parejas</t>
  </si>
  <si>
    <t>Terapia de sustitución con opiáceos y otros tratamientos de la drogodependencia como parte de programas para consumidores de drogas inyectables y sus parejas</t>
  </si>
  <si>
    <t>Diagnóstico y tratamiento de la hepatitis vírica como parte de programas para consumidores de drogas inyectables y sus parejas</t>
  </si>
  <si>
    <t>Fortalecimiento de los sistemas comunitarios - Prevención para consumidores de drogas inyectables y sus parejas</t>
  </si>
  <si>
    <t>Supresión de obstáculos relacionados con los derechos humanos para el acceso a servicios - Prevención para consumidores de drogas inyectables y sus parejas</t>
  </si>
  <si>
    <t xml:space="preserve">Otras intervenciones para consumidores de drogas inyectables y sus parejas (especificar) </t>
  </si>
  <si>
    <t>Cambio de comportamiento como parte de programas para otras poblaciones vulnerables</t>
  </si>
  <si>
    <t>Preservativos como parte de programas para otras poblaciones vulnerables</t>
  </si>
  <si>
    <t>Pruebas de VIH y asesoramiento como parte de programas para otras poblaciones vulnerables</t>
  </si>
  <si>
    <t>Diagnóstico y tratamiento de ITS como parte de programas para otras poblaciones vulnerables</t>
  </si>
  <si>
    <t>Fortalecimiento de los sistemas comunitarios - Prevención para otras poblaciones vulnerables</t>
  </si>
  <si>
    <t>Supresión de obstáculos relacionados con los derechos humanos para el acceso a servicios - Prevención para otras poblaciones vulnerables</t>
  </si>
  <si>
    <t xml:space="preserve">Otras intervenciones para otras poblaciones vulnerables (especificar) </t>
  </si>
  <si>
    <t>Adolescentes y jóvenes: cambio de comportamiento</t>
  </si>
  <si>
    <t>Cambio de comportamiento como parte de programas para adolescentes y jóvenes</t>
  </si>
  <si>
    <t>Preservativos como parte de programas para adolescentes y jóvenes</t>
  </si>
  <si>
    <t>Pruebas de VIH y asesoramiento como parte de programas para adolescentes y jóvenes</t>
  </si>
  <si>
    <t>Circuncisión masculina como parte de programas para adolescentes y jóvenes</t>
  </si>
  <si>
    <t>Supresión de obstáculos relacionados con los derechos humanos para el acceso a servicios - Prevención para adolescentes y jóvenes</t>
  </si>
  <si>
    <t>Flanco 1: Prevención primaria de la infección por el VIH en mujeres en edad fértil</t>
  </si>
  <si>
    <t>Flanco 2: Prevención de embarazos no deseados entre mujeres que viven con el VIH</t>
  </si>
  <si>
    <t xml:space="preserve">Flanco 3: Prevención de la transmisión vertical del VIH </t>
  </si>
  <si>
    <t>Flanco 4: Tratamiento, atención y apoyo para madres que viven con el VIH, así como para sus hijos y familias</t>
  </si>
  <si>
    <t>Fortalecimiento de los sistemas comunitarios - PTMI</t>
  </si>
  <si>
    <t>Supresión de obstáculos relacionados con los derechos humanos para el acceso a servicios - PTMI</t>
  </si>
  <si>
    <t xml:space="preserve">Otras intervenciones para PTMI (especificar) </t>
  </si>
  <si>
    <t xml:space="preserve">Pretratamiento antirretroviral </t>
  </si>
  <si>
    <t>Tratamiento antirretroviral de primera línea – adultos</t>
  </si>
  <si>
    <t>Tratamiento antirretroviral de segunda línea – adultos</t>
  </si>
  <si>
    <t>Tratamiento antirretroviral multimedicamentoso para adultos tras fracaso en el tratamiento de segunda línea</t>
  </si>
  <si>
    <t>Tratamiento antirretroviral de primera línea – pediátrico</t>
  </si>
  <si>
    <t>Tratamiento antirretroviral de segunda línea – pediátrico</t>
  </si>
  <si>
    <t xml:space="preserve">Tratamiento antirretroviral multimedicamentoso para niños tras fracaso en el tratamiento de segunda línea </t>
  </si>
  <si>
    <t>Profilaxis anterior y posterior a la exposición</t>
  </si>
  <si>
    <t xml:space="preserve">Tratamiento como prevención </t>
  </si>
  <si>
    <t xml:space="preserve">Seguimiento del tratamiento </t>
  </si>
  <si>
    <t xml:space="preserve">Observancia del tratamiento </t>
  </si>
  <si>
    <t>Prevención, diagnóstico y tratamiento de infecciones oportunistas</t>
  </si>
  <si>
    <t xml:space="preserve">Tuberculosis/VIH </t>
  </si>
  <si>
    <t xml:space="preserve">Atención extrahospitalaria </t>
  </si>
  <si>
    <t xml:space="preserve">Atención hospitalaria </t>
  </si>
  <si>
    <t>Fortalecimiento de los sistemas comunitarios - Tratamiento</t>
  </si>
  <si>
    <t>Supresión de obstáculos relacionados con los derechos humanos para el acceso a servicios - Tratamiento</t>
  </si>
  <si>
    <t xml:space="preserve">Otras intervenciones para tratamiento (especificar) </t>
  </si>
  <si>
    <t xml:space="preserve">Presentación de informes rutinaria </t>
  </si>
  <si>
    <t>Análisis, revisión y transparencia</t>
  </si>
  <si>
    <t>Encuestas</t>
  </si>
  <si>
    <t>Fuentes de datos económicos y administrativos</t>
  </si>
  <si>
    <t>Sistema de registro civil</t>
  </si>
  <si>
    <t>Planificación, coordinación y gestión</t>
  </si>
  <si>
    <t>Gestión de subvenciones</t>
  </si>
  <si>
    <t>Detección de casos y diagnóstico</t>
  </si>
  <si>
    <t xml:space="preserve">Implicar a todos los proveedores de asistencia </t>
  </si>
  <si>
    <t>Implicar a comunidades y sociedad civil (incluida la movilización social)</t>
  </si>
  <si>
    <t>Detección y tratamiento de la tuberculosis en grupos de alto riesgo</t>
  </si>
  <si>
    <t>Actividades de colaboración con otros sectores</t>
  </si>
  <si>
    <t xml:space="preserve">Intervenciones conjuntas en tuberculosis/VIH </t>
  </si>
  <si>
    <t>Implicar a todos los proveedores de asistencia?</t>
  </si>
  <si>
    <t>Implicar a comunidades y sociedad civil (incluida la movilización social)?</t>
  </si>
  <si>
    <t>Detección y tratamiento de la tuberculosis/VIH en grupos de alto riesgo</t>
  </si>
  <si>
    <t>Actividades de colaboración con otros sectores?</t>
  </si>
  <si>
    <t>Detección de casos y diagnóstico: TB-MR</t>
  </si>
  <si>
    <t>Tratamiento: TB-MR</t>
  </si>
  <si>
    <t>Detección y tratamiento de la tuberculosis multirresistente en grupos de alto riesgo</t>
  </si>
  <si>
    <t>Reforma legislativa y política</t>
  </si>
  <si>
    <t>Formación y capacitación</t>
  </si>
  <si>
    <t>Acceso a la justicia</t>
  </si>
  <si>
    <t>Seguimiento y comunicación de la aplicación de los derechos humanos</t>
  </si>
  <si>
    <t>Presentación de informes rutinaria</t>
  </si>
  <si>
    <t>Apoyo a la gestión de adquisiciones y suministros para tuberculosis</t>
  </si>
  <si>
    <t>Mosquiteros tratados con insecticida de larga duración (MILD) – Campaña a gran escala</t>
  </si>
  <si>
    <t>Mosquiteros tratados con insecticida de larga duración (MILD) – Distribución rutinaria</t>
  </si>
  <si>
    <t>Fumigación de interiores con insecticidas de acción residual (IRS)</t>
  </si>
  <si>
    <t>Otras medidas de control de vectores</t>
  </si>
  <si>
    <t>Seguimiento entomológico</t>
  </si>
  <si>
    <t>Actividades de Promoción, Comunicación y Movilización Social</t>
  </si>
  <si>
    <t>Tratamiento en centro sanitario</t>
  </si>
  <si>
    <t>Preparación y respuesta frente a epidemias</t>
  </si>
  <si>
    <t>Gestión de casos integrada en la comunidad</t>
  </si>
  <si>
    <t>Detección activa de casos e investigación (fase de eliminación de la malaria)</t>
  </si>
  <si>
    <t>Vigilancia de la eficacia terapéutica</t>
  </si>
  <si>
    <t>Malaria grave</t>
  </si>
  <si>
    <t>Mecanismo de copago con el sector privado</t>
  </si>
  <si>
    <t>Gestión de casos del sector privado (otros)</t>
  </si>
  <si>
    <t>Organismo nacional de reglamentación farmacéutica</t>
  </si>
  <si>
    <t>Tratamiento preventivo intermitente (TPI) – en el embarazo</t>
  </si>
  <si>
    <t>Tratamiento preventivo intermitente – en la lactancia</t>
  </si>
  <si>
    <t>Quimioprevención estacional de la malaria</t>
  </si>
  <si>
    <t xml:space="preserve">Presentación de informes rutinarios </t>
  </si>
  <si>
    <t>Infraestructura</t>
  </si>
  <si>
    <t xml:space="preserve">Organización de servicios y gestión de instalaciones   </t>
  </si>
  <si>
    <t>Aumento de la demanda de servicios de salud</t>
  </si>
  <si>
    <t>Ampliación y distribución del personal</t>
  </si>
  <si>
    <t>Retención del personal</t>
  </si>
  <si>
    <t>Infraestructura de la Gestión de Adquisiciones y Suministros (GAS)</t>
  </si>
  <si>
    <t>Instrumentación del sistema de Gestión de Adquisiciones y Suministros (GAS)</t>
  </si>
  <si>
    <t>Sistemas de registro civil</t>
  </si>
  <si>
    <t>Desarrollo y ejecución de la reforma legal y política</t>
  </si>
  <si>
    <t>Seguimiento y comunicación de la ejecución de leyes y políticas</t>
  </si>
  <si>
    <t>Sostenibilidad financiera</t>
  </si>
  <si>
    <t>Igualdad en el financiamiento de la atención sanitaria</t>
  </si>
  <si>
    <t xml:space="preserve">Ejecución </t>
  </si>
  <si>
    <t>Cumplimiento</t>
  </si>
  <si>
    <t xml:space="preserve">En: Scope and description of intervention package (includes human resources required under each intervention)  </t>
  </si>
  <si>
    <t>Es: Scope…</t>
  </si>
  <si>
    <t>Incluye actividades relacionadas con la planificación y ejecución de campañas de distribución de MILD masivas, ya sean dirigidas a grupos de población específicos o de cobertura universal. Aquí se incluyen la coordinación, planificación y creación de presupuestos, adquisición, logística, comunicación, ejecución, formación, etc.</t>
  </si>
  <si>
    <t>Esta intervención entraña esfuerzos destinados a
iniciar, fomentar o ampliar la entrega continua de MILD a través de clínicas de atención prenatal, el Programa Ampliado de Inmunización u otros servicios rutinarios en centros de salud públicos y privados con el fin de mantener una cobertura de MILD alta. Incluye actividades relacionadas con la coordinación y planificación, formación, logística, comunicación, supervisión, etc.</t>
  </si>
  <si>
    <t>Incluye la planificación y puesta en práctica de campañas de fumigación de interiores con insecticidas de acción residual, así como la enumeración de hogares por fumigar. Entre las actividades, se incluyen la adquisición de insecticidas, equipamiento, otros productos, material de IEC para campañas de IRS, formación, etc.</t>
  </si>
  <si>
    <t>Aquí se incluyen estrategias de gestión medioambiental que permitan reducir o eliminar criaderos de vectores a través de una mejora en el diseño o funcionamiento de los proyectos de desarrollo de recursos hídricos, así como el uso de controles biológicos (como larvicidas bacterianos y peces larvívoros) dirigidos a la eliminación de larvas de vectores. Incluye, además, adulticidas y larvicidas químicos que reducen la transmisión de enfermedades al acortar u obstaculizar la vida de los vectores.</t>
  </si>
  <si>
    <t>Incluye actividades encaminadas a determinar y caracterizar las especies de mosquitos dominantes en el área, la densidad del vector, el comportamiento de picadura, así como pruebas de susceptibilidad de los mosquitos a los insecticidas. Las actividades abarcan la planificación del seguimiento entomológico y su ejecución, recogida de mosquitos y prueba, adquisición de equipo entomológico, formación, mantenimiento de insectario, etc.</t>
  </si>
  <si>
    <t>Incluye actividades de promoción, comunicación y movilización social relacionadas con el control de vectores: preparación de kits de promoción (incluidos kits para OBC y ONG); eventos de sensibilización y movilización dirigidos a los responsables de formular las políticas y a otros actores clave; campañas multimediales periódicas, series instructivas de radio y TV, sintonías y vallas publicitarias, radio comunitaria, etc.; desarrollo y distribución de material de IEC; formación de trabajadores de salud y voluntarios comunitarios en comunicación para el cambio de comportamiento y movilización comunitaria sobre la malaria; reuniones de sensibilización periódicas para líderes de opinión de la comunidad y locales.</t>
  </si>
  <si>
    <t>Incluye actividades relacionadas con la prueba y el tratamiento de casos de malaria, que abarcan la adquisición de equipo de diagnóstico, pruebas de diagnóstico rápidas, reactivos y medicamentos antipalúdicos, aseguramiento de la calidad de los laboratorios, formación de proveedores de atención sanitaria y asistencia técnica.</t>
  </si>
  <si>
    <t>Incluye actividades de promoción, comunicación y movilización social relacionadas con la gestión de casos de malaria: preparación de kits de promoción (incluidos kits para OBC y ONG); eventos de sensibilización y movilización dirigidos a los responsables de formular las políticas y a otros actores clave; campañas multimediales periódicas, series instructivas de radio y TV, sintonías y vallas publicitarias, radio comunitaria, etc.; desarrollo y distribución de material de IEC; formación de trabajadores de salud y voluntarios comunitarios en comunicación para el cambio de comportamiento y movilización comunitaria sobre la malaria; reuniones de sensibilización periódicas para líderes de opinión de la comunidad y locales.</t>
  </si>
  <si>
    <t xml:space="preserve">Incluye la adquisición y suministro de tratamiento preventivo intermitente con sulfadoxina/pirimetamina durante el embarazo. </t>
  </si>
  <si>
    <t>Hace referencia a actividades asociadas a la administración de un curso terapéutico completo con sulfadoxina/pirimetamina a través del Programa Ampliado de Inmunización a intervalos definidos correspondientes a los programas de vacunación rutinarios.</t>
  </si>
  <si>
    <t>Incluye actividades (en áreas con una alta transmisión de malaria estacional) relacionadas con la administración intermitente de cursos de tratamiento completos con un medicamento antipalúdico durante la estación de transmisión de la malaria con el fin de prevenir la enfermedad gracias al mantenimiento de concentraciones terapéuticas de dicho medicamento en la sangre durante el período de mayor riesgo. Entre estas actividades, se incluye la adquisición de medicamentos antipalúdicos (amodiaquina y sulfadoxina/pirimetamina), farmacovigilancia, seguimiento de la resistencia a los medicamentos, etc.</t>
  </si>
  <si>
    <t>Recopilación de datos rutinaria, registro y presentación de informes sobre pacientes extrahospitalarios, hospitalarios y muertes (sistema de información sobre gestión sanitaria, centros centinela u otros sistemas); pruebas microscópicas y PDR y tratamiento; notificación de desabastecimientos; recopilación de datos e informes de otros proveedores de servicios de atención sanitaria (privados, comunidades y sociedad civil); informes sobre MTI/MILD, IRS; 
impresión de formularios para presentación de informes; formación en entrada de datos y presentación de informes; verificación de datos; evaluación de centros de salud, incluida la calidad de los servicios.</t>
  </si>
  <si>
    <t>Análisis, interpretación y uso de datos y pruebas generados por medio de las revisiones de los programas de malaria, evaluación de componentes globales o específicos del programa; desarrollo y uso compartido de informes trimestrales, semestrales o anuales a través de sitios web/publicaciones;
Investigación operativa: específica de cualquiera de los componentes del programa de control de malaria.</t>
  </si>
  <si>
    <t>Encuestas a hogares (por ejemplo, EDS, EGIM y MIS) para supervisar la prevalencia de anemia/parasitemia, mortalidad en menores de 5 años y cobertura de MTI/IRS/TPI/tratamiento aplicada.</t>
  </si>
  <si>
    <t>Incluye el establecimiento de sistemas para la presentación de informes periódicos (anuales) de estadísticas clave referentes a administración sanitaria y disponibilidad de servicios, como personal de salud, inventario de proveedores de atención sanitaria e instituciones.
Cuentas Nacionales de Salud y cuentas secundarias de la malaria; revisión anual del presupuesto y gastos del programa nacional para la malaria por fuente de financiamiento; estudios del gasto conformes a las directrices de presentación de informes de la OMS/Programa Mundial sobre Malaria; establecimiento y mantenimiento del sistema de información de gestión logística.</t>
  </si>
  <si>
    <t>Establecimiento, fortalecimiento y ampliación del sistema de información de registro civil, incluidos sistemas de registro vital de muestra, fortalecimiento del sistema de presentación de informes para estadísticas de mortalidad y morbilidad hospitalaria, causa de muerte y establecimiento de un sistema SMS para generación de informes; formación del personal de salud de la comunidad en presentación de informes sobre eventos esenciales, desabastecimiento de medicamentos, etc.</t>
  </si>
  <si>
    <t>Incluye actividades de nivel administrativo, ajenas a la prestación de servicios de atención sanitaria, como desarrollo de planes estratégicos nacionales y planes y presupuestos operativos anuales; supervisión, asistencia técnica y control en los niveles nacional y subnacional; planificación de recursos humanos, personal, gastos generales y operativos; coordinación con las autoridades locales y del distrito; reuniones trimestrales, formación y equipo informático/de oficina; procesos de asociación y colaboración, incluidas actividades de promoción y comunicación desempeñadas por socios y programas para la malaria; movilización de líderes para apoyar la ejecución del programa y su sostenibilidad.</t>
  </si>
  <si>
    <t>Incluye actividades relacionadas con la gestión de las subvenciones específicas del Fondo Mundial en el nivel de unidad de gestión de programas/receptor principal/subreceptor. Aquí podrían incluirse el desarrollo y presentación de documentos de las subvenciones; supervisión y asistencia técnica asociadas a la ejecución y gestión de las subvenciones del Fondo Mundial, y requisitos específicos del Fondo Mundial; supervisión desde el nivel de receptor principal a subreceptor, aplicable cuando el programa nacional para la malaria no es el receptor principal; planificación de recursos humanos, personal, gastos generales y operativos; coordinación con las autoridades del programa nacional, locales y del distrito; reuniones trimestrales, formación y equipo informático/de oficina en el nivel de receptor principal/subreceptor; movilización de líderes para apoyar la ejecución de programa y su sostenibilidad.</t>
  </si>
  <si>
    <t>El objetivo de esta intervención es fomentar la ampliación, accesibilidad, disponibilidad y calidad de los servicios de salud, incluida la prestación de servicios en los niveles de comunidad y centro, como actualización o ampliación de la infraestructura de prestación de servicios, incluidas instalaciones, equipo, mobiliario, vehículos, etc. También incluye los recursos operativos necesarios para promover una prestación de servicios ininterrumpida. Estas actividades mejoran los resultados indirectos en más de una de las tres enfermedades (VIH, tuberculosis, malaria) y podrían tener un mayor alcance, extendiéndose a otros resultados indirectos en materia de salud (como salud maternoinfantil y derecho a la salud sexual y reproductiva) en los niveles hospitalario, de atención primaria y comunitario. Actividades análogas que beneficien sólo a una enfermedad podrían incluirse en una subvención para la enfermedad específica.  Dichas actividades no incluyen proyectos de construcción a gran escala (como la construcción de un hospital policlínico).</t>
  </si>
  <si>
    <t xml:space="preserve">Incluye actividades encaminadas a mejorar la eficacia y eficiencia de los sistemas de gestión organizativos para la prestación de servicios, como formación de gestores de servicios sanitarios de todos los niveles, desarrollo y ejecución de políticas y reglamentos asociados a la prestación de servicios, organización y gestión (por ejemplo, sistema de derivación, gestión de residuos, etc.), desarrollo de mecanismos de supervisión para aseguramiento de la calidad, etc. También incluye los insumos operativos necesarios, que mejoran principalmente los resultados indirectos de más de una de las tres enfermedades (VIH, tuberculosis, malaria), pero que pueden tener un mayor alcance y extenderse a otros resultados indirectos en materia de salud (como salud maternoinfantil, derecho a la salud sexual y reproductiva, etc.) en los niveles hospitalario, de atención primaria y comunitario; actividades análogas que beneficien sólo a una enfermedad podrían incluirse en una subvención para la enfermedad específica. </t>
  </si>
  <si>
    <t xml:space="preserve">Incluye capacitación en liderazgo y promoción para prestación de servicios en el nivel comunitario; aumento de la concienciación en la comunidad sobre la disponibilidad de servicios; movilización de la comunidad para un acceso equitativo a los servicios.  </t>
  </si>
  <si>
    <t>Actividades encaminadas a la formación del personal de salud en la prestación de servicios y provisión de atención y asistencia, que mejoran principalmente los resultados indirectos de más de una de las tres enfermedades (VIH, tuberculosis, malaria), pero que pueden tener un mayor alcance y extenderse a otros resultados indirectos en materia de salud (como salud maternoinfantil, derecho a la salud sexual y reproductiva, etc.).
Incluye formación en paquetes integrados (como gestión integrada de enfermedades infantiles, salud reproductiva, materna, neonatal e infantil, etc.), que cubren una o varias de las tres enfermedades (VIH, tuberculosis, malaria), pero que pueden sobrepasar el ámbito de estas.
La formación específica para una enfermedad (por ejemplo, formación en nuevas directrices de PTMI) se puede financiar a través de subvenciones para la enfermedad específica.</t>
  </si>
  <si>
    <t xml:space="preserve">Actividades dirigidas a la expansión y ampliación de personal sanitario capacitado y competente, que mejoran principalmente los resultados indirectos de más de una de las tres enfermedades (VIH, tuberculosis, malaria), pero que pueden tener un mayor alcance y extenderse a otros resultados indirectos en materia de salud (como salud maternoinfantil, derecho a la salud sexual y reproductiva, etc.).  
Aquí se incluye el aumento del personal de salud multidisciplinar (por ejemplo, médicos y enfermeras de atención primaria, trabajadores de salud de la comunidad, etc.). Los implicados en el tratamiento de una enfermedad específica (por ejemplo, clínicas de tratamiento antirretroviral) se pueden financiar por medio de subvenciones para la enfermedad correspondiente. </t>
  </si>
  <si>
    <t xml:space="preserve">Actividades dirigidas a lograr la distribución más equitativa y la retención del personal de salud capacitado y competente, especialmente en áreas de difícil acceso o con poblaciones marginadas, que mejoran principalmente los resultados indirectos de más de una de las tres enfermedades (VIH, tuberculosis, malaria), pero que pueden tener un mayor alcance y extenderse a otros resultados indirectos en materia de salud (como salud maternoinfantil, derecho a la salud sexual y reproductiva, etc.). Incluye el desarrollo y aplicación de políticas de distribución y retención de trabajadores, así como incentivos, tanto económicos como no económicos, para promover la prestación de servicios y la delegación de funciones entre los trabajadores de salud. Los implicados en el tratamiento de una enfermedad específica se pueden financiar por medio de subvenciones para la enfermedad correspondiente. </t>
  </si>
  <si>
    <t>Actividades que garantizan el almacenamiento y distribución correctos de medicamentos, consumibles y otros productos necesarios para el tratamiento eficaz de más de una de las tres enfermedades (VIH, tuberculosis y malaria), pero que pueden tener un mayor alcance y extenderse a otros resultados indirectos en materia de salud (como gestión integrada de enfermedades infantiles, tuberculosis/VIH, derecho a la salud sexual y reproductiva, PMTI integral y salud maternoinfantil). Incluye el reacondicionamiento o construcción de centros de almacenamiento, compra de vehículos y hardware y software para el sistema de gestión de adquisiciones y suministro.</t>
  </si>
  <si>
    <t>Actividades que garantizan la compra y distribución ininterrumpida, eficiente y transparente de medicamentos, consumibles y otros productos necesarios para el tratamiento eficaz de más de una de las tres enfermedades (VIH, tuberculosis y malaria), pero que pueden tener un mayor alcance y extenderse a otros resultados indirectos en materia de salud (como gestión integrada de enfermedades infantiles, tuberculosis/VIH, derecho a la salud sexual y reproductiva, PMTI integral y salud maternoinfantil). Incluye la formación de personal para gestión de adquisiciones y suministros (GAS), desarrollo y ejecución de políticas y reglamentos, así como mecanismos de seguimiento, como sistemas de alerta precoz para desabastecimientos.</t>
  </si>
  <si>
    <t>Establecimiento/mantenimiento/fortalecimiento de un sistema de información sobre la gestión sanitaria nacional, incluido un sistema de información sanitaria distrital (SISD 2) y cualquier sistema basado en web/electrónico asociado para respaldar la notificación de datos desde todos los niveles del sistema sanitario, ya sea público, privado, privado sin ánimo de lucro y comunitario; formación; formularios y herramientas para generación de informes con desglose de indicadores; sistemas de vigilancia centinela; evaluaciones de la calidad de los datos.</t>
  </si>
  <si>
    <t>Análisis, interpretación y uso de datos y pruebas generados por medio de la revisión/evaluación de los programas de tuberculosis; desarrollo y uso compartido de informes periódicos a través de sitios web/publicaciones; revisiones y evaluaciones de estrategias de salud nacionales o sobre enfermedades (aquí se excluyen las reuniones de revisión mensuales/trimestrales mantenidas a distintos niveles para reforzar la supervisión y seguimiento de los programas); investigación operativa.</t>
  </si>
  <si>
    <t>Encuestas/estudios para evaluación de la morbilidad, mortalidad, cobertura de servicios y encuestas/estudios conductuales en la población general o grupos de riesgo identificados, por ejemplo, EDS, EGIM, encuestas sobre salud y morbilidad para evaluación de desembolsos o cargas, etc.</t>
  </si>
  <si>
    <t>Incluye el establecimiento de sistemas para la presentación de informes periódicos (anuales) de estadísticas clave referentes a administración sanitaria y disponibilidad de servicios, como personal de salud, inventario de proveedores de atención sanitaria e instituciones; Cuentas Nacionales de Salud y cuentas secundarias; revisión anual del presupuesto del sector sanitario y gastos por fuente de financiamiento; estudios del gasto; establecimiento y mantenimiento del sistema de información de gestión logística.</t>
  </si>
  <si>
    <t>Aquí se incluyen actividades que contribuyen al desarrollo y aplicación de leyes, estrategias, políticas, reglamentos y protocolos relacionados con los sistemas de salud, así como la supervisión de su aplicación, como desarrollo, ratificación y ejecución basados en pruebas, leyes no discriminatorias, políticas, reglamentos y mecanismos de coordinación y supervisión; capacitación y formación del personal del Ministerio de Salud, gobierno local, no gubernamental y otro personal relevante a fin de mejorar la elaboración y ejecución de políticas, así como las funciones de supervisión; consultas intersectoriales, reuniones de coordinación, reuniones con la comunidad y actividades análogas dirigidas a la elaboración y ejecución de políticas y a la supervisión; apoyo a la evaluación de necesidades analítica, encuestas, investigación y actividades relevantes a fin de generar información para la elaboración de políticas.</t>
  </si>
  <si>
    <t xml:space="preserve">Aquí se incluyen actividades dirigidas a la promoción de reformas legales y políticas relacionadas con los sistemas y servicios de salud y comunitarios, como capacitación y movilización de activistas de la comunidad, organizaciones de la sociedad civil y otras partes interesadas para mejorar su colaboración con funcionarios de la administración; campañas de información (comunitarias y en medios de comunicación locales y nacionales, etc.) dirigidas a promover el desarrollo y aplicación de leyes y políticas/reglamentos; creación de vínculos, colaboración y coordinación de la comunidad; promoción de los marcos legales y políticos, por ejemplo, despenalización de comportamientos o grupos marginados; desarrollo y cumplimiento de las políticas de protección de la infancia. </t>
  </si>
  <si>
    <t xml:space="preserve">Incluye el desarrollo y fomento de mecanismos independientes para la supervisión, seguimiento y notificación con respecto a la elaboración y aplicación de leyes y políticas, como capacitación y apoyo a un sistema de litigio eficaz; participación de los agentes comunitarios en los foros de consulta nacionales, incluidos los organismos legisladores, planificadores y de toma de decisiones; mejora de la planificación, gestión, responsabilidad y liderazgo estratégicos y operativos, incluso en el caso de los sistemas comunitarios. </t>
  </si>
  <si>
    <t xml:space="preserve">Incluye actividades que contribuyen a mejorar la provisión de recursos financieros a instituciones públicas, privadas y no gubernamentales/comunitarias con el fin de lograr una prestación de servicios y unos programas de control de enfermedades eficaces, como mejora en la recaudación de ingresos, centralización y adquisiciones para garantizar la sostenibilidad financiera en la prestación de servicios. Por ejemplo, apoyo al desarrollo, instrumentación y gestión de programas de financiamiento para la contratación de servicios sanitarios (fondo de seguros, programas de seguros comunitarios, fondos rotatorios para medicamentos, etc.); formación en planificación financiera y creación de presupuestos; capacitación para mejorar la gestión financiera pública. </t>
  </si>
  <si>
    <t xml:space="preserve">Actividades que contribuyen a mejorar la provisión igualitaria de recursos financieros a instituciones públicas, privadas y no gubernamentales para lograr una prestación de servicios y unos programas de control de enfermedades eficaces.  </t>
  </si>
  <si>
    <t>Actividades que contribuyen al desarrollo de leyes, políticas y reglamentos encaminados a promover un acceso igualitario a los servicios de salud y que posibilitan que los sistemas comunitarios registren y defiendan los derechos de las personas afectadas por las tres enfermedades. Incluye la creación de un entorno propicio para las intervenciones auspiciadas por el Fondo Mundial a través de la redacción y ratificación de leyes y políticas.
Aquí también se incluyen intervenciones transversales en materia de derechos humanos que afectan a las tres enfermedades (por ejemplo, reforma de las prisiones, reforma de las leyes y políticas sobre refugiados e inmigrantes, desplazados y otras).</t>
  </si>
  <si>
    <t>Actividades que contribuyen a la promulgación y aplicación de leyes, políticas y reglamentos encaminados a promover un acceso igualitario a los servicios de salud y que posibilitan que los sistemas comunitarios registren y defiendan los derechos de las personas afectadas por las tres enfermedades. Aquí también se incluyen intervenciones transversales en materia de derechos humanos que afectan a las tres enfermedades (por ejemplo, reforma de las prisiones, reforma de las leyes y políticas sobre refugiados e inmigrantes, desplazados y otras). Incluye actividades de capacitación para garantizar la plena implantación de leyes y políticas relacionadas con los derechos humanos y el derecho a la salud.</t>
  </si>
  <si>
    <t>Actividades que contribuyen a la aplicación de leyes, políticas y reglamentos encaminados a promover un acceso igualitario a los servicios de salud y que posibilitan que los sistemas comunitarios registren y defiendan los derechos de las personas afectadas por las tres enfermedades. 
Incluye actividades que garantizan la disponibilidad de vías de compensación para las personas que viven con las tres enfermedades, población clave afectada, mujeres, etc. 
Aquí también se incluyen intervenciones transversales en materia de derechos humanos que afectan a las tres enfermedades (por ejemplo, reforma de las prisiones, reforma de las leyes y políticas sobre refugiados e inmigrantes, desplazados y otras).</t>
  </si>
  <si>
    <t>Incluye actividades dirigidas a supervisar la puesta en práctica y documentar las violaciones (servicios sanitarios, comisiones sobre derechos humanos, sociedad civil).</t>
  </si>
  <si>
    <t>Número de mujeres y hombres entre 15 y 49 años que se han sometido a una prueba del VIH y conocen los resultados</t>
  </si>
  <si>
    <t>Número y porcentaje de individuos de la población objetivo cubiertos por programas de divulgación comunitarios con una intervención de prevención del VIH estandarizada</t>
  </si>
  <si>
    <t xml:space="preserve">Porcentaje de hombres de entre 15 y 49 años circuncidados </t>
  </si>
  <si>
    <t>Número y porcentaje de hombres que tienen relaciones sexuales con hombres cubiertos por programas de prevención del VIH (paquetes definidos de servicios); notificar personas transgénero por separado, si procede</t>
  </si>
  <si>
    <t>Número y porcentaje de hombres que tienen relaciones sexuales con hombres a los que han llegado intervenciones de prevención del VIH a nivel individual o de grupo reducido basadas en pruebas o que cumplen los niveles mínimos exigidos; notificar personas transgénero por separado, si procede</t>
  </si>
  <si>
    <t>Número y porcentaje de hombres que tienen relaciones sexuales con hombres que se han sometido a una prueba del VIH y conocen los resultados; notificar personas transgénero por separado, si procede</t>
  </si>
  <si>
    <t xml:space="preserve">Número y porcentaje de profesionales del sexo cubiertos por programas de prevención del VIH - paquete de servicios definido </t>
  </si>
  <si>
    <t>Número y porcentaje de profesionales del sexo a los que han llegado intervenciones de prevención del VIH a nivel individual o de grupo reducido basadas en pruebas o que cumplen los niveles mínimos exigidos</t>
  </si>
  <si>
    <t>Número y porcentaje de profesionales del sexo que se han sometido a una prueba del VIH y conocen los resultados</t>
  </si>
  <si>
    <t xml:space="preserve">Número y porcentaje de usuarios de drogas inyectables cubiertos por programas de prevención del VIH - paquete de servicios definido </t>
  </si>
  <si>
    <t>Número y porcentaje de usuarios de drogas inyectables a los que han llegado intervenciones de prevención del VIH a nivel individual o de grupo reducido basadas en pruebas o que cumplen los niveles mínimos exigidos</t>
  </si>
  <si>
    <t xml:space="preserve">Número y porcentaje de usuarios de drogas inyectables que se han sometido a una prueba del VIH y conocen los resultados </t>
  </si>
  <si>
    <t>Número y porcentaje de usuarios de drogas inyectables cubiertos por programas sobre agujas y jeringuillas</t>
  </si>
  <si>
    <t>Número de agujas y jeringuillas distribuidas por consumidor de drogas inyectables al año a través de programas sobre agujas y jeringuillas</t>
  </si>
  <si>
    <t>Número y porcentaje de usuarios de drogas inyectables en terapias de sustitución con opiáceos</t>
  </si>
  <si>
    <t xml:space="preserve">Número y porcentaje de otras poblaciones (especificar) cubiertas por programas de prevención del VIH - paquete de servicios definido </t>
  </si>
  <si>
    <t>Número y porcentaje de otras poblaciones (especificar) a las que han llegado intervenciones de prevención del VIH a nivel individual o de grupo reducido basadas en pruebas o que cumplen los niveles mínimos exigidos</t>
  </si>
  <si>
    <t xml:space="preserve">Número y porcentaje de otras poblaciones (especificar) que se han sometido a una prueba del VIH y conocen los resultados </t>
  </si>
  <si>
    <t>Número y porcentaje de huérfanos y niños vulnerables de entre 0 y 17 años cuyas familias han recibido apoyo externo básico gratuito de atención a la infancia conforme a las directrices nacionales</t>
  </si>
  <si>
    <t>Número y porcentaje de jóvenes entre 10 y 24 años beneficiarios de formación de aptitudes para la vida relativas al VIH en escuelas</t>
  </si>
  <si>
    <t xml:space="preserve">Número y porcentaje de mujeres embarazadas seropositivas que han recibido antirretrovirales para reducir el riesgo de transmisión maternoinfantil </t>
  </si>
  <si>
    <t>Número y porcentaje de mujeres embarazadas que conocen su estado serológico respecto al VIH</t>
  </si>
  <si>
    <t>Número y porcentaje de bebés nacidos de mujeres seropositivas que reciben pruebas virológicas para el VIH en sus dos primeros meses de vida</t>
  </si>
  <si>
    <t>Número y porcentaje de adultos y niños elegibles que reciben terapia antirretroviral (desglosado por edad y sexo)</t>
  </si>
  <si>
    <t xml:space="preserve">Número y porcentaje de centros de salud que administran terapia antirretroviral y han experimentado desabastecimiento de al menos un medicamento antirretroviral necesario en los últimos 12 meses                                                            </t>
  </si>
  <si>
    <t>Número y porcentaje de adultos y niños del total que reciben servicios de atención del VIH a quienes se ha evaluado y registrado su estado con respecto a la tuberculosis en su última visita durante el período de informe</t>
  </si>
  <si>
    <t>Número y porcentaje de adultos y niños que han comenzado a recibir servicios de atención del VIH recientemente que empiezan un tratamiento por infección latente de tuberculosis (TPI)</t>
  </si>
  <si>
    <t xml:space="preserve">Número y porcentaje de pacientes de tuberculosis con estado serológico respecto al VIH conocido: pacientes con tuberculosis registrados durante el período de informe para los que se registró el resultado de la prueba del VIH en el registro de tuberculosis entre el total de pacientes de tuberculosis registrados durante el período de informe </t>
  </si>
  <si>
    <t>Número y porcentaje de pacientes de tuberculosis seropositivos que reciben terapia antirretroviral durante el tratamiento de la tuberculosis</t>
  </si>
  <si>
    <t>Número y porcentaje de equipos informadores que presentan los informes puntualmente conforme a las directrices nacionales</t>
  </si>
  <si>
    <t xml:space="preserve">Número de casos notificados de tuberculosis confirmada bacteriológicamente </t>
  </si>
  <si>
    <t>Número de casos notificados de tuberculosis en todas sus formas (confirmada bacteriológicamente y con diagnóstico clínico)</t>
  </si>
  <si>
    <t xml:space="preserve">Número y porcentaje de laboratorios que realizan exámenes al microscopio que muestran un desempeño adecuado en el aseguramiento externo de la calidad </t>
  </si>
  <si>
    <t>Número y porcentaje de casos confirmados bacteriológicamente que se han tratado con éxito (curados y con tratamiento completo) entre los casos de tuberculosis confirmados bacteriológicamente registrados durante un período especificado</t>
  </si>
  <si>
    <t xml:space="preserve">Número de niños menores de 5 años en contacto con pacientes de tuberculosis que empezaron a recibir TPI </t>
  </si>
  <si>
    <t>Número y porcentaje de equipos informadores (distritos o unidades de gestión básicas) que no indican agotamiento de medicamentos contra la tuberculosis de primera línea el último día del trimestre</t>
  </si>
  <si>
    <t>Número y porcentaje de casos notificados de tuberculosis (en todas sus formas) identificados por proveedores que no pertenecen al programa nacional de tuberculosis entre todos los casos de tuberculosis notificados en las áreas de ejecución de la MPP</t>
  </si>
  <si>
    <t xml:space="preserve">Número y porcentaje de notificados de tuberculosis (en todas sus formas) identificados por trabajadores de salud y voluntarios comunitarios entre todos los casos de tuberculosis notificados en la unidad de gestión básica </t>
  </si>
  <si>
    <t xml:space="preserve">Número de casos de tuberculosis (en todas sus formas) en grupos de alto riesgo (en prisiones) notificados a las autoridades sanitarias nacionales durante un período especificado  </t>
  </si>
  <si>
    <t xml:space="preserve">Número y porcentaje de adultos y niños del total que reciben servicios de atención del VIH a quienes se ha evaluado y registrado su estado con respecto a la tuberculosis en su última visita durante el período de informe </t>
  </si>
  <si>
    <t xml:space="preserve">Número y porcentaje entre el total de adultos y niños que han comenzado a recibir servicios de atención del VIH recientemente que empiezan un tratamiento por infección latente de tuberculosis (tratamiento preventivo con isoniazida) durante el período de informe </t>
  </si>
  <si>
    <t xml:space="preserve">Número de casos confirmados bacteriológicamente de tuberculosis farmacorresistente (tuberculosis resistente a la rifampicina y/o tuberculosis multirresistente) notificados al programa nacional de tuberculosis  </t>
  </si>
  <si>
    <t xml:space="preserve">Número y porcentaje de laboratorios que demuestren al menos un 95% de competencia en la prueba de susceptibilidad a los medicamentos con isoniazida y rifampicina de entre el número total de laboratorios que realizan pruebas de susceptibilidad a los medicamentos durante el período de informe </t>
  </si>
  <si>
    <t xml:space="preserve">Número de casos confirmados bacteriológicamente de tuberculosis farmacorresistente (tuberculosis resistente a la rifampicina y/o tuberculosis multirresistente) que empezaron a recibir tratamiento de segunda línea </t>
  </si>
  <si>
    <t>Número de casos presuntos de tuberculosis farmacorresistente (tuberculosis resistente a la rifampicina y/o tuberculosis multirresistente) que empezaron a recibir tratamiento de segunda línea</t>
  </si>
  <si>
    <t>Número de MTI/MILD distribuidos a poblaciones vulnerables a través de campañas a gran escala</t>
  </si>
  <si>
    <t>Número y porcentaje de población en riesgo potencialmente cubierta con los mosquiteros tratados con insecticida que se han distribuido (número y porcentaje)</t>
  </si>
  <si>
    <t>Número de MTI/MILD distribuidos a poblaciones objetivo a través de servicios de atención prenatal, el Programa Ampliado de Inmunización, etc.</t>
  </si>
  <si>
    <t>Número y porcentaje de grupos de riesgo objetivo que reciben mosquiteros tratados con insecticida (embarazadas, menores de 5 años, inmigrantes, etc.)</t>
  </si>
  <si>
    <t>Número y porcentaje de hogares en áreas objetivo que recibieron fumigación de interiores con insecticidas de acción residual en los últimos 12 meses</t>
  </si>
  <si>
    <t>Número y porcentaje de población protegida mediante fumigación de interiores con insecticidas de acción residual en los últimos 12 meses</t>
  </si>
  <si>
    <t xml:space="preserve">Número y porcentaje de casos sospechosos de malaria sometidos a una prueba parasitológica </t>
  </si>
  <si>
    <t>Número y porcentaje de casos confirmados de malaria que recibieron tratamiento antipalúdico de primera línea según la política nacional (desglosado por sexo)</t>
  </si>
  <si>
    <t>Número y porcentaje de centros de salud de sector público o centros del sector privado sin agotamiento de artículos clave por mes (notificar también los trabajadores de salud comunitarios sin desabastecimiento)</t>
  </si>
  <si>
    <t>Número y porcentaje de casos confirmados completamente investigados (incluido formulario de investigación del caso, formulario de investigación de foco y detección de casos activa) (fase de eliminación de la malaria)</t>
  </si>
  <si>
    <t>Número y porcentaje de focos completamente investigados (formulario de investigación de foco de malaria completado, incluidos datos de una investigación entomológica) y registrados (con mapas de cada foco) (fase de eliminación de la malaria)</t>
  </si>
  <si>
    <t xml:space="preserve">Número y porcentaje de mujeres que acuden a servicios de atención prenatal que recibieron al menos tres dosis de tratamiento preventivo intermitente </t>
  </si>
  <si>
    <t xml:space="preserve">Número y porcentaje de equipos informadores que presentan los informes puntualmente conforme a las directrices nacionales </t>
  </si>
  <si>
    <t>Número y distribución de los centros de salud por cada 10.000 habitantes</t>
  </si>
  <si>
    <t>Grado de disposición de los servicios generales para los centros de salud</t>
  </si>
  <si>
    <t>Grado de disposición de los servicios específicos para los centros de salud (por incluir en los módulos específicos de enfermedades)</t>
  </si>
  <si>
    <t>Número de visitas ambulatorias por cada 10.000 habitantes</t>
  </si>
  <si>
    <t>Número de trabajadores de salud por cada 10.000 habitantes (informe sobre trabajadores de salud comunitarios, según corresponda)</t>
  </si>
  <si>
    <t>Distribución de trabajadores de salud (por ocupación, especialización, región y sexo)</t>
  </si>
  <si>
    <t>Número de trabajadores de salud contratados en centros de atención primaria en los últimos 12 meses, expresado como porcentaje del objetivo de contratación planificado</t>
  </si>
  <si>
    <t>Tasa anual de retención de los proveedores de servicios en los centros de atención primaria</t>
  </si>
  <si>
    <t>Porcentaje de centros de salud que indican que no tienen desabastecimiento de medicamentos esenciales</t>
  </si>
  <si>
    <t>Número y porcentaje de equipos informadores a nivel nacional, provincial o de distrito que presentan informes puntualmente según las directrices nacionales</t>
  </si>
  <si>
    <t>Número y porcentaje de muertes registradas (notificadas por sistemas de registro civil o de muestra, hospitales, sistemas de notificación comunitarios) entre el total de muertes en el mismo período y región geográfica</t>
  </si>
  <si>
    <t>Gasto gubernamental en materia de salud expresado como porcentaje del gasto general del gobierno</t>
  </si>
  <si>
    <t>Porcentaje de mujeres y hombres de entre 15 y 49 años que han tenido más de una pareja sexual en los últimos 12 meses (desglosado por grupos de edad de 15 a 19 y de 20 a 24)</t>
  </si>
  <si>
    <t>Porcentaje de mujeres y hombres de entre 15 y 49 años que han tenido más de una pareja sexual en los últimos 12 meses y dicen haber utilizado preservativo en su última relación sexual (desglosado por grupos de edad de 15 a 19 y de 20 a 24)</t>
  </si>
  <si>
    <t>Porcentaje de hombres que afirman haber utilizado preservativo en su última relación de sexo anal con otro hombre</t>
  </si>
  <si>
    <t>Porcentaje de profesionales del sexo que dicen haber utilizado preservativo con su último cliente</t>
  </si>
  <si>
    <t>Porcentaje de consumidores de drogas inyectables que dicen haber utilizado un equipo de inyección estéril la última vez</t>
  </si>
  <si>
    <t xml:space="preserve">Porcentaje de miembros de otras poblaciones (especificar) que dicen haber utilizado preservativo en su última relación sexual </t>
  </si>
  <si>
    <t xml:space="preserve">Porcentaje de asistencia escolar de huérfanos y no huérfanos </t>
  </si>
  <si>
    <t>Porcentaje de adultos y niños con VIH, en tratamiento conocido 12 meses después del inicio del tratamiento antirretroviral (desglosado por edad y sexo). Informe también para 24 y 36 meses</t>
  </si>
  <si>
    <t>Tasa de éxito del tratamiento (tuberculosis en todas sus formas)</t>
  </si>
  <si>
    <t>Notificación de la TB-MR: casos notificados de tuberculosis farmacorresistente (tuberculosis resistente a la rifampicina y/o tuberculosis multirresistente) confirmada bacteriológicamente como proporción de los casos de tuberculosis multirresistente entre los casos de tuberculosis notificados (número y porcentaje)</t>
  </si>
  <si>
    <t xml:space="preserve">Porcentaje de casos farmacorresistentes confirmados bacteriológicamente </t>
  </si>
  <si>
    <t>Proporción de hogares con al menos un MTI para cada dos personas y/o fumigados con insecticidas de acción residual en los últimos 12 meses</t>
  </si>
  <si>
    <t>Proporción de hogares con al menos un MTI</t>
  </si>
  <si>
    <t>Proporción de hogares con al menos un MTI para cada dos personas</t>
  </si>
  <si>
    <t>Porcentaje de mujeres que asisten a los servicios de atención prenatal</t>
  </si>
  <si>
    <t xml:space="preserve">Porcentaje de nacimientos asistidos por un profesional de la salud capacitado </t>
  </si>
  <si>
    <t>Porcentaje de mujeres y hombres de entre 15 y 24 años infectados por el VIH</t>
  </si>
  <si>
    <t>Prevalencia del VIH en el grupo de edad comprendido entre los 15 y los 49 años</t>
  </si>
  <si>
    <t>Nuevas infecciones por el VIH (por cada 100 persona-años)</t>
  </si>
  <si>
    <t xml:space="preserve">Porcentaje de hombres que mantienen relaciones sexuales con otros hombres y viven con el VIH </t>
  </si>
  <si>
    <t xml:space="preserve">Porcentaje de profesionales del sexo que viven con el VIH </t>
  </si>
  <si>
    <t>Porcentaje de consumidores de drogas inyectables que viven con el VIH</t>
  </si>
  <si>
    <t>Porcentaje de miembros de otras poblaciones (especificar) que viven con el VIH</t>
  </si>
  <si>
    <t>Prevalencia de las ITS (poblaciones clave, mujeres embarazadas, según corresponda)</t>
  </si>
  <si>
    <t>Porcentaje de lactantes nacidos de madres con VIH también infectados</t>
  </si>
  <si>
    <t>Tasa de incidencia de la tuberculosis</t>
  </si>
  <si>
    <t>Tasa de prevalencia de la tuberculosis</t>
  </si>
  <si>
    <t>Tasa de mortalidad de la tuberculosis</t>
  </si>
  <si>
    <t xml:space="preserve">Prevalencia de la multirresistencia a los fármacos en los nuevos pacientes de tuberculosis </t>
  </si>
  <si>
    <t>Vidas salvadas según modelos (basado en los datos epidemiológicos más recientes)</t>
  </si>
  <si>
    <t>Prevalencia de parásitos: proporción de niños entre 6 y 59 meses con infección por malaria</t>
  </si>
  <si>
    <t>Muertes de pacientes hospitalizados a causa de la malaria por cada 1.000 personas al año</t>
  </si>
  <si>
    <t>Tasa de pruebas positivas de la malaria</t>
  </si>
  <si>
    <t>Tasa de mortalidad en niños menores de 5 años por todas las causas</t>
  </si>
  <si>
    <t>Tasa de mortalidad de niños menores de 5 años por cada 1.000 niños nacidos vivos</t>
  </si>
  <si>
    <t xml:space="preserve">Tasa de mortalidad materna </t>
  </si>
  <si>
    <t>Relación entre los gastos por hogar por el uso de los servicios sanitarios y el gasto sanitario total</t>
  </si>
  <si>
    <t>Comentarios y supuestos</t>
  </si>
  <si>
    <t>D. Módulos</t>
  </si>
  <si>
    <t>Módulo</t>
  </si>
  <si>
    <t>Marco de medición por módulo</t>
  </si>
  <si>
    <t>Importe total
solicitado</t>
  </si>
  <si>
    <t>Indicativo</t>
  </si>
  <si>
    <t>Por encima del indicativo</t>
  </si>
  <si>
    <t xml:space="preserve">Enfoque modular - nota conceptual </t>
  </si>
  <si>
    <t>Supuestos de metas</t>
  </si>
  <si>
    <t>Solicitud de importe indicativo para todo el módulo</t>
  </si>
  <si>
    <t>Solicitud de importe por encima del indicativo para todo el módulo</t>
  </si>
  <si>
    <t>Intervención</t>
  </si>
  <si>
    <t>Presupuesto del módulo</t>
  </si>
  <si>
    <t>Descripción de la intervención</t>
  </si>
  <si>
    <t>Presupuesto de la intervención (solicitud al Fondo Mundial exclusivamente)</t>
  </si>
  <si>
    <t>Otros fondos recibidos para esta intervención (incluido el alcance de las actividades financiadas)</t>
  </si>
  <si>
    <t>Resumen de tres años de financiamiento solicitados por módulo</t>
  </si>
  <si>
    <t>Para actualizar la tabla dinámica con los últimos importes introducidos en los presupuestos del módulo de la hoja de la nota conceptual, haga clic en cualquier lugar de la tabla dinámica y, a continuación, pulse Alt + F5.</t>
  </si>
  <si>
    <t>Inglés</t>
  </si>
  <si>
    <t/>
  </si>
  <si>
    <t>Numerador</t>
  </si>
  <si>
    <t>Denominador</t>
  </si>
  <si>
    <t xml:space="preserve">Prevención - Población general </t>
  </si>
  <si>
    <t>Prevención - Hombres que tienen relaciones sexuales con hombres y personas transgénero</t>
  </si>
  <si>
    <t>Prevención - Profesionales del sexo y sus clientes</t>
  </si>
  <si>
    <t>Prevención - Adolescentes y jóvenes</t>
  </si>
  <si>
    <t>Prevention - Adolescents and youth, in and out of school</t>
  </si>
  <si>
    <t>Prevención - Otras poblaciones vulnerables</t>
  </si>
  <si>
    <t xml:space="preserve">Démarche modulaire : note conceptuelle </t>
  </si>
  <si>
    <t>Français</t>
  </si>
  <si>
    <t>Montant total
demandé</t>
  </si>
  <si>
    <t>Indicatif</t>
  </si>
  <si>
    <t>Remarques et hypothèses</t>
  </si>
  <si>
    <t>Cadre de mesure du module</t>
  </si>
  <si>
    <t>Veuillez décrire : 1) les hypothèses générales utilisées pour le calcul des cibles, 2) le taux d'intensification prévisionnel, 3) les estimations démographiques, 4) l'indicateur ou paquet de services, 5) les sources de données, 6) toute autre information pertinente</t>
  </si>
  <si>
    <t>N</t>
  </si>
  <si>
    <t>D</t>
  </si>
  <si>
    <t>Budget consacré au module</t>
  </si>
  <si>
    <t>Demande de financement indicatif pour le module complet</t>
  </si>
  <si>
    <t>Description de l'intervention</t>
  </si>
  <si>
    <t>Autres financements obtenus pour cette intervention (précisez la portée des activités financées)</t>
  </si>
  <si>
    <t>Prévention de la transmission de la mère à l'enfant</t>
  </si>
  <si>
    <t>Suivi et évaluation</t>
  </si>
  <si>
    <t>Gestion de programme</t>
  </si>
  <si>
    <t>Pack DOTS</t>
  </si>
  <si>
    <t>Tuberculose/VIH (dans les pays lourdement touchés par la tuberculose et le VIH ou pour les groupes à haut risque dans tous les pays)</t>
  </si>
  <si>
    <t>Tuberculose multirésistante (dans les pays lourdement touchés par la tuberculose multirésistante ou pour les groupes à haut risque dans tous les pays)</t>
  </si>
  <si>
    <t>Droits de l'homme</t>
  </si>
  <si>
    <t>Lutte antivectorielle</t>
  </si>
  <si>
    <t>Prise en charge</t>
  </si>
  <si>
    <t>Interventions de prévention spécifiques</t>
  </si>
  <si>
    <t>Prestation de services</t>
  </si>
  <si>
    <t>Personnel de santé</t>
  </si>
  <si>
    <t>Gestion des achats et de la chaîne d’approvisionnement</t>
  </si>
  <si>
    <t>Systèmes d’information et suivi et évaluation</t>
  </si>
  <si>
    <t>Environnement juridique, politique, stratégique et réglementaire</t>
  </si>
  <si>
    <t xml:space="preserve">Financement des soins de santé </t>
  </si>
  <si>
    <t xml:space="preserve">Changement de comportement dans le cadre des programmes destinés à la population générale </t>
  </si>
  <si>
    <t xml:space="preserve">Préservatifs dans le cadre des programmes destinés à la population générale </t>
  </si>
  <si>
    <t xml:space="preserve">Circoncision masculine </t>
  </si>
  <si>
    <t xml:space="preserve">Dépistage du VIH et conseil dans le cadre des programmes destinés à la population générale </t>
  </si>
  <si>
    <t xml:space="preserve">Diagnostic et traitement des infections sexuellement transmissibles dans le cadre des programmes destinés à la population générale </t>
  </si>
  <si>
    <t xml:space="preserve">Sécurité transfusionnelle </t>
  </si>
  <si>
    <t xml:space="preserve">Orphelins et enfants vulnérables </t>
  </si>
  <si>
    <t xml:space="preserve">Renforcement des systèmes communautaires : prévention auprès de la population générale </t>
  </si>
  <si>
    <t xml:space="preserve">Suppression des obstacles aux droits de l'homme afin d'accéder aux services : prévention auprès de la population générale </t>
  </si>
  <si>
    <t>Liens avec la santé génésique, maternelle, néonatale et infantile et violence sexiste</t>
  </si>
  <si>
    <t xml:space="preserve">Autres interventions réalisées auprès de la population générale : veuillez préciser </t>
  </si>
  <si>
    <t>Changement de comportement dans le cadre des programmes destinés aux hommes ayant des rapports sexuels avec des hommes et aux transgenres</t>
  </si>
  <si>
    <t>Préservatifs dans le cadre des programmes destinés aux hommes ayant des rapports sexuels avec des hommes et aux transgenres</t>
  </si>
  <si>
    <t>Dépistage du VIH et conseil dans le cadre des programmes destinés aux hommes ayant des rapports sexuels avec des hommes et aux transgenres</t>
  </si>
  <si>
    <t>Diagnostic et traitement des infections sexuellement transmissibles dans le cadre des programmes destinés aux hommes ayant des rapports sexuels avec des hommes et aux transgenres</t>
  </si>
  <si>
    <t>Diagnostic et traitement de l’hépatite virale dans le cadre des programmes destinés aux hommes ayant des rapports sexuels avec des hommes et aux transgenres</t>
  </si>
  <si>
    <t xml:space="preserve">Renforcement des systèmes communautaires : prévention auprès des hommes ayant des rapports sexuels avec des hommes et des transgenres </t>
  </si>
  <si>
    <t xml:space="preserve">Suppression des obstacles aux droits de l'homme afin d'accéder aux services : prévention auprès des hommes ayant des rapports sexuels avec des hommes et des transgenres </t>
  </si>
  <si>
    <t xml:space="preserve">Autres interventions réalisées auprès des hommes ayant des rapports sexuels avec des hommes et des transgenres : veuillez préciser </t>
  </si>
  <si>
    <t>Changement de comportement dans le cadre des programmes destinés aux professionnels du sexe et à leurs clients</t>
  </si>
  <si>
    <t>Préservatifs dans le cadre des programmes destinés aux professionnels du sexe et à leurs clients</t>
  </si>
  <si>
    <t>Dépistage du VIH et conseil dans le cadre des programmes destinés aux professionnels du sexe et à leurs clients</t>
  </si>
  <si>
    <t>Diagnostic et traitement des infections sexuellement transmissibles dans le cadre des programmes destinés aux professionnels du sexe et à leurs clients</t>
  </si>
  <si>
    <t>Réduction des risques dans le cadre des programmes destinés aux professionnels du sexe et à leurs clients</t>
  </si>
  <si>
    <t>Renforcement des systèmes communautaires : prévention auprès des professionnels du sexe et de leurs clients</t>
  </si>
  <si>
    <t>Suppression des obstacles aux droits de l'homme afin d'accéder aux services : prévention auprès des professionnels du sexe et de leurs clients</t>
  </si>
  <si>
    <t xml:space="preserve">Autres interventions réalisées auprès des professionnels du sexe et de leurs clients : veuillez préciser </t>
  </si>
  <si>
    <t xml:space="preserve">Changement de comportement dans le cadre des programmes destinés aux consommateurs de drogues injectables et à leurs partenaires </t>
  </si>
  <si>
    <t>Préservatifs dans le cadre des programmes destinés aux consommateurs de drogues injectables et à leurs partenaires</t>
  </si>
  <si>
    <t>Diagnostic et traitement des infections sexuellement transmissibles dans le cadre des programmes destinés aux consommateurs de drogues injectables et à leurs partenaires</t>
  </si>
  <si>
    <t>Échange d'aiguilles et de seringues dans le cadre des programmes destinés aux consommateurs de drogues injectables et à leurs partenaires</t>
  </si>
  <si>
    <t>Traitements de substitution aux opiacés et autres traitements de la dépendance dans le cadre des programmes destinés aux consommateurs de drogues injectables et à leurs partenaires</t>
  </si>
  <si>
    <t>Diagnostic et traitement de l'hépatite virale dans le cadre des programmes destinés aux consommateurs de drogues injectables et à leurs partenaires</t>
  </si>
  <si>
    <t>Renforcement des systèmes communautaires : prévention auprès des consommateurs de drogues injectables et de leurs partenaires</t>
  </si>
  <si>
    <t>Suppression des obstacles aux droits de l'homme afin d'accéder aux services : prévention auprès des consommateurs de drogues injectables et de leurs partenaires</t>
  </si>
  <si>
    <t xml:space="preserve">Autres interventions réalisées auprès des consommateurs de drogues injectables et de leurs partenaires : veuillez préciser </t>
  </si>
  <si>
    <t>Changement de comportement dans le cadre des programmes destinés aux autres populations vulnérables</t>
  </si>
  <si>
    <t>Préservatifs dans le cadre des programmes destinés aux autres populations vulnérables</t>
  </si>
  <si>
    <t>Dépistage du VIH et conseil dans le cadre des programmes destinés aux autres populations vulnérables</t>
  </si>
  <si>
    <t>Diagnostic et traitement des infections sexuellement transmissibles dans le cadre des programmes destinés aux autres populations vulnérables</t>
  </si>
  <si>
    <t>Renforcement des systèmes communautaires : prévention auprès des autres populations vulnérables</t>
  </si>
  <si>
    <t>Suppression des obstacles aux droits de l'homme afin d'accéder aux services : prévention auprès des autres populations vulnérables</t>
  </si>
  <si>
    <t xml:space="preserve">Autres interventions réalisées auprès des autres populations vulnérables : veuillez préciser </t>
  </si>
  <si>
    <t>Jeunes et adolescents : changement de comportement</t>
  </si>
  <si>
    <t>Changement de comportement dans le cadre des programmes destinés aux jeunes et aux adolescents</t>
  </si>
  <si>
    <t>Préservatifs dans le cadre des programmes destinés aux jeunes et aux adolescents</t>
  </si>
  <si>
    <t>Dépistage du VIH et conseil dans le cadre des programmes destinés aux jeunes et aux adolescents</t>
  </si>
  <si>
    <t>Circoncision masculine dans le cadre des programmes destinés aux jeunes et aux adolescents</t>
  </si>
  <si>
    <t>Suppression des obstacles aux droits de l'homme afin d'accéder aux services : prévention auprès des jeunes et des adolescents</t>
  </si>
  <si>
    <t>Volet 1 : prévention primaire de l'infection à VIH chez les femmes en âge de procréer</t>
  </si>
  <si>
    <t>Volet 2 : prévention des grossesses non désirées chez les femmes vivant avec le VIH</t>
  </si>
  <si>
    <t xml:space="preserve">Volet 3 : prévention de la transmission verticale du VIH </t>
  </si>
  <si>
    <t>Volet 4 : traitement, soins et prise en charge pour les mères vivant avec le VIH, ainsi que leurs enfants et familles</t>
  </si>
  <si>
    <t>Renforcement des systèmes communautaires : prévention de la transmission de la mère à l'enfant</t>
  </si>
  <si>
    <t>Suppression des obstacles aux droits de l'homme afin d'accéder aux services : prévention de la transmission de la mère à l'enfant</t>
  </si>
  <si>
    <t xml:space="preserve">Autres interventions réalisées pour prévenir la transmission de la mère à l'enfant : veuillez préciser </t>
  </si>
  <si>
    <t xml:space="preserve">Soins préalables au traitement antirétroviral </t>
  </si>
  <si>
    <t>Traitement antirétroviral de première intention : adultes</t>
  </si>
  <si>
    <t>Traitement antirétroviral de deuxième intention : adultes</t>
  </si>
  <si>
    <t>Multithérapie antirétrovirale chez les adultes après échec du traitement de deuxième intention</t>
  </si>
  <si>
    <t>Traitement antirétroviral de première intention : enfants</t>
  </si>
  <si>
    <t>Traitement antirétroviral de deuxième intention : enfants</t>
  </si>
  <si>
    <t xml:space="preserve">Multithérapie antirétrovirale chez les enfants après échec du traitement de deuxième intention </t>
  </si>
  <si>
    <t>Prophylaxie pré-exposition et prophylaxie post-exposition</t>
  </si>
  <si>
    <t xml:space="preserve">Traitement préventif </t>
  </si>
  <si>
    <t xml:space="preserve">Suivi du traitement </t>
  </si>
  <si>
    <t xml:space="preserve">Observance du traitement </t>
  </si>
  <si>
    <t>Prévention, diagnostic et traitement des infections opportunistes</t>
  </si>
  <si>
    <t xml:space="preserve">Tuberculose/VIH </t>
  </si>
  <si>
    <t xml:space="preserve">Soins ambulatoires </t>
  </si>
  <si>
    <t xml:space="preserve">Soins hospitaliers </t>
  </si>
  <si>
    <t>Renforcement des systèmes communautaires : traitement</t>
  </si>
  <si>
    <t>Suppression des obstacles aux droits de l'homme afin d'accéder aux services : traitement</t>
  </si>
  <si>
    <t xml:space="preserve">Autres interventions réalisées dans le cadre du traitement : veuillez préciser </t>
  </si>
  <si>
    <t xml:space="preserve">Communication régulière de l’information </t>
  </si>
  <si>
    <t>Analyse, examen et transparence</t>
  </si>
  <si>
    <t>Enquête</t>
  </si>
  <si>
    <t>Sources de données administratives et financières</t>
  </si>
  <si>
    <t>Système de registre d’état civil</t>
  </si>
  <si>
    <t>Planification, coordination et gestion</t>
  </si>
  <si>
    <t>Gestion de subvention</t>
  </si>
  <si>
    <t>Dépistage et diagnostic des maladies</t>
  </si>
  <si>
    <t xml:space="preserve">Traitement
</t>
  </si>
  <si>
    <t xml:space="preserve">Prévention
</t>
  </si>
  <si>
    <t xml:space="preserve">Implication de tous les prestataires de soins </t>
  </si>
  <si>
    <t>Implication des communautés et de la société civile (mobilisation sociale incluse)</t>
  </si>
  <si>
    <t>Dépistage et traitement de la tuberculose dans les groupes à haut risque</t>
  </si>
  <si>
    <t>Activités concertées avec d'autres secteurs</t>
  </si>
  <si>
    <t xml:space="preserve">Interventions concertées de lutte contre la tuberculose et le VIH </t>
  </si>
  <si>
    <t>Implication de tous les prestataires de soins</t>
  </si>
  <si>
    <t>Dépistage et traitement de la tuberculose et du VIH dans les groupes à haut risque</t>
  </si>
  <si>
    <t>Dépistage et diagnostic des maladies : tuberculose multirésistante</t>
  </si>
  <si>
    <t>Traitement : tuberculose multirésistante</t>
  </si>
  <si>
    <t>Dépistage et traitement de la tuberculose multirésistante dans les groupes à haut risque</t>
  </si>
  <si>
    <t>Réforme juridique et politique</t>
  </si>
  <si>
    <t>Formations et renforcement des capacités</t>
  </si>
  <si>
    <t>Accès à la justice</t>
  </si>
  <si>
    <t>Suivi du respect des droits de l'homme et communication de l'information y afférente</t>
  </si>
  <si>
    <t>Communication régulière de l’information</t>
  </si>
  <si>
    <t>Appui aux systèmes de gestion des achats et de l'approvisionnement dans le cadre de la lutte contre la tuberculose</t>
  </si>
  <si>
    <t>Moustiquaires imprégnées d'insecticide de longue durée : campagne à grande échelle</t>
  </si>
  <si>
    <t>Moustiquaires imprégnées d'insecticide de longue durée : distribution régulière</t>
  </si>
  <si>
    <t>Pulvérisation intradomiciliaire d’insecticide à effet rémanent</t>
  </si>
  <si>
    <t>Autres mesures de lutte antivectorielle</t>
  </si>
  <si>
    <t>Surveillance entomologique</t>
  </si>
  <si>
    <t>Sensibilisation, communication et mobilisation sociale</t>
  </si>
  <si>
    <t>Traitement en milieu hospitalier</t>
  </si>
  <si>
    <t>Préparation et riposte aux épidémies</t>
  </si>
  <si>
    <t>Prise en charge des cas intégrée au niveau communautaire</t>
  </si>
  <si>
    <t>Dépistage et enquête actifs de cas (phase d'élimination du paludisme)</t>
  </si>
  <si>
    <t>Surveillance de l'efficacité thérapeutique</t>
  </si>
  <si>
    <t>Paludisme grave</t>
  </si>
  <si>
    <t>Programme de participation du secteur privé</t>
  </si>
  <si>
    <t>Prise en charge dans le secteur privé (autres)</t>
  </si>
  <si>
    <t>Autorité nationale de réglementation des médicaments</t>
  </si>
  <si>
    <t>Traitement préventif intermittent : femmes enceintes</t>
  </si>
  <si>
    <t>Traitement préventif intermittent : nourrissons</t>
  </si>
  <si>
    <t>Chimioprévention du paludisme saisonnier</t>
  </si>
  <si>
    <t xml:space="preserve">Communication régulière de l'information </t>
  </si>
  <si>
    <t xml:space="preserve">Organisation des services et gestion des établissements   </t>
  </si>
  <si>
    <t>Renforcement des capacités</t>
  </si>
  <si>
    <t>Renforcement et répartition du personnel</t>
  </si>
  <si>
    <t>Fidélisation du personnel</t>
  </si>
  <si>
    <t>Infrastructure de gestion des achats et des stocks</t>
  </si>
  <si>
    <t>Mise en pratique du système de gestion des achats et des stocks</t>
  </si>
  <si>
    <t>Systèmes de registre d'état civil</t>
  </si>
  <si>
    <t>Élaboration et mise en œuvre de réformes juridiques et politiques</t>
  </si>
  <si>
    <t>Plaidoyer pour des réformes juridiques et politiques</t>
  </si>
  <si>
    <t>Suivi de la mise en œuvre des législations et des politiques et communication de l'information y afférente</t>
  </si>
  <si>
    <t>Viabilité financière</t>
  </si>
  <si>
    <t>Financement équitable des soins de santé</t>
  </si>
  <si>
    <t xml:space="preserve">Mise en œuvre </t>
  </si>
  <si>
    <t>Application</t>
  </si>
  <si>
    <t>Suivi de la mise en œuvre des droits de l'homme et communication de l'information y afférente</t>
  </si>
  <si>
    <t>Fr: Scope…</t>
  </si>
  <si>
    <t>Comprend les activités liées à la planification et à la mise en œuvre de campagnes de distribution de masse de moustiquaires imprégnées d'insecticide de longue durée, qu'elles ciblent des groupes de population spécifiques ou qu'elles visent une couverture universelle. Comprend la coordination, la planification et la budgétisation, les achats, la logistique, la communication, la mise en œuvre, les formations, etc.</t>
  </si>
  <si>
    <t>Cette intervention comprend les mesures visant à
commencer, renforcer ou intensifier la distribution continue de moustiquaires imprégnées d’insecticide longue durée à travers les centres de consultations prénatales, le Programme élargi de vaccination (PEV) ou tout autre service courant fourni dans des établissements de santé publics et privés, afin de maintenir une forte couverture en moustiquaires imprégnées d'insecticide de longue durée. Comprend les activités liées à la coordination et à la planification, aux formations, à la logistique, à la communication, à la supervision, etc.</t>
  </si>
  <si>
    <t>Comprend la planification et la mise en œuvre de campagnes de pulvérisation intradomiciliaire d'insecticide à effet rémanent ainsi que le recensement des foyers à traiter. Comprend les activités liées à l'approvisionnement en insecticides, en équipements et autres produits de base, les supports IEC pour les campagnes de pulvérisation intradomiciliaire d'insecticide à effet rémanent, les formations, etc.</t>
  </si>
  <si>
    <t>Comprend les stratégies de gestion de l'environnement susceptibles de réduire ou de supprimer les gîtes larvaires de vecteurs par une amélioration de la conception ou de la mise en œuvre des projets de développement des ressources en eau, ainsi que l'utilisation de contrôles biologiques (par exemple, larvicides bactériens ou poissons larvivores) pour cibler et tuer les larves de vecteurs. Comprend également les larvicides et adulticides chimiques permettant de réduire les cas de transmission en raccourcissant la durée de vie des vecteurs ou en les tuant.</t>
  </si>
  <si>
    <t>Comprend les activités visant à déterminer et à caractériser l'espèce de moustique dominante dans la région, la densité des vecteurs et le comportement de piqûre, mais également à tester la sensibilité des moustiques aux insecticides. Comprend les activités liées à la planification d'un système de surveillance entomologique et à sa mise en œuvre, la collecte de moustiques, les tests réalisés sur les moustiques, l'approvisionnement en matériel entomologique, les formations, l'entretien des insectariums, etc.</t>
  </si>
  <si>
    <t>Comprend les activités de sensibilisation, de communication et de mobilisation sociale liées à la lutte antivectorielle : préparation de kits de sensibilisation (comprenant les kits pour les organisations communautaires et les organisations non gouvernementales) ; manifestations de sensibilisation et de mobilisation ciblant les décideurs et les acteurs clés ; campagnes multimédias périodiques, émissions TV et radio éducatives, chansons publicitaires, panneaux d'affichage, radio communautaire, etc. ; élaboration et diffusion de supports IEC ; formation des agents de santé communautaires et des volontaires de la communauté sur l'efficacité d'une communication pour le changement de comportement et d'une mobilisation communautaire pour lutter contre le paludisme ; réunions de sensibilisation périodiques des leaders d'opinion au niveau des villages et des communautés.</t>
  </si>
  <si>
    <t>Comprend les activités liées au dépistage et au traitement des cas de paludisme : approvisionnement en matériel de diagnostic, tests de dépistage rapide, réactifs et médicaments antipaludiques, assurance qualité des laboratoires, formation des prestataires de soins et assistance technique.</t>
  </si>
  <si>
    <t>Comprend les activités de sensibilisation, de communication et de mobilisation sociale liées à la prise en charge des cas de paludisme : préparation de kits de sensibilisation (comprenant les kits pour les organisations communautaires et les organisations non gouvernementales) ; manifestations de sensibilisation et de mobilisation ciblant les décideurs et les acteurs clés ; campagnes multimédias périodiques, émissions TV et radio éducatives, chansons publicitaires, panneaux d'affichage, radio communautaire, etc. ; élaboration et diffusion de supports IEC ; formation des agents de santé communautaires et des volontaires de la communauté sur l'efficacité d'une communication pour le changement de comportement et d'une mobilisation communautaire pour lutter contre le paludisme ; réunions de sensibilisation périodiques des leaders d'opinion au niveau des villages et des communautés.</t>
  </si>
  <si>
    <t xml:space="preserve">Comprend l'approvisionnement en traitements préventifs intermittents à base de sulfadoxine-pyriméthamine pendant la grossesse et leur mise à disposition. </t>
  </si>
  <si>
    <t>Comprend les activités liées à l'administration de cycles de traitement complets par sulfadoxine-pyriméthamine par l'intermédiaire du Programme élargi de vaccination (PEV) à des intervalles précis correspondant aux calendriers de vaccination systématique</t>
  </si>
  <si>
    <t>Comprend les activités (dans les zones où la transmission du paludisme se caractérise par une forte saisonnalité) liées à l'administration par intermittence de cycles de traitement antipaludique complets pendant la saison de transmission du paludisme afin de prévenir les épisodes de paludisme, l'objectif étant de maintenir des concentrations thérapeutiques en médicament antipaludique dans le sang pendant toute la période où le risque palustre est le plus élevé. Comprend les activités liées à l'approvisionnement en antipaludéens (AQ-SP), à la pharmacovigilance, au suivi de la pharmacorésistance, etc.</t>
  </si>
  <si>
    <t>Collecte régulière des données, enregistrement des patients ambulatoires, des patients hospitalisés et des décès (système d’information sur la gestion de la santé, sites sentinelles ou autres systèmes), et communication de l'information y afférente ; microscopie et tests de dépistage rapide, et traitement ; communication de l'information liée aux ruptures de stock ; collecte des données et communication de l'information par d'autres prestataires de soins (secteur privé, communautés et société civile) ; communication de l'information liée à la distribution de moustiquaires imprégnées d'insecticide ou de moustiquaires imprégnées d'insecticide de longue durée, pulvérisation intradomiciliaire d'insecticide à effet rémanent ; 
impression des formulaires de notification ; formations sur la saisie et la communication des données ; vérification des données ; évaluation de l'établissement de santé comprenant la qualité des services</t>
  </si>
  <si>
    <t>Analyse, interprétation et utilisation des données et des preuves obtenues par le biais des examens du programme de lutte contre le paludisme, évaluation du programme dans son intégralité ou d'une de ses composantes spécifiques ; élaboration et partage des rapports trimestriels, semestriels ou annuels grâce à des sites web et des publications ;
recherche opérationnelle (spécifique aux composantes du programme de lutte contre le paludisme)</t>
  </si>
  <si>
    <t>Enquêtes réalisées auprès des ménages (par exemple, enquêtes démographiques et de santé, enquêtes en grappes à indicateurs multiples et enquêtes sur les indicateurs du paludisme) pour suivre l'évolution de la prévalence de l'anémie et de la parasitémie, du taux de mortalité chez les enfants de moins de 5 ans et de la couverture en moustiquaires imprégnées d'insecticide/pulvérisation intradomiciliaire d'insecticide à effet rémanent/traitement préventif intermittent/traitement mise en œuvre</t>
  </si>
  <si>
    <t>Comprend la mise en place de systèmes de communication de l'information périodique (annuelle) sur les statistiques clés en matière d'administration de la santé et de disponibilité des services, tels que le personnel de santé, l'inventaire des prestataires des soins et les institutions
Comptes nationaux de la santé et sous-comptes paludisme ; examen annuel du budget et des dépenses consacrés au programme national de lutte contre le paludisme par source de financement ; étude des dépenses selon les directives établies par l'Organisation mondiale de la Santé et les bonnes pratiques de fabrication en matière de communication de l'information ; mise en place et maintien du système informatique de gestion de la logistique</t>
  </si>
  <si>
    <t>Mise en place/renforcement et intensification des systèmes de registre d'état civil, y compris des systèmes de registre d'échantillons, renforcement de la communication de l'information relative aux statistiques de morbidité et de mortalité à l'hôpital, cause de décès, mise en place d'un système de communication de l'information par SMS ; formation des agents de santé communautaires sur la communication de l'information relative aux données de l'état civil, ruptures de stock de médicaments, etc.</t>
  </si>
  <si>
    <t>Comprend les activités administratives menées en dehors du point de prestation de services de soins, par exemple : élaboration des plans stratégiques nationaux ainsi que des plans opérationnels et des budgets annuels ; suivi, assistance technique et supervision du niveau national au niveau infranational ; ressources humaines : planification/dotation en effectifs et frais généraux, frais de fonctionnement ; coordination avec les autorités locales et instances de districts ; réunions trimestrielles, formations et matériel informatique et bureautique ; procédure d'établissement de partenariats incluant la sensibilisation à la lutte contre le paludisme et les activités de communication menées par les partenaires et les acteurs du programme de lutte contre le paludisme ; mobilisation des responsables pour appuyer la mise en œuvre et la viabilité du programme</t>
  </si>
  <si>
    <t>Comprend les activités spécifiques liées à la gestion des subventions du Fonds mondial au niveau de l'unité de gestion de projet, du récipiendaire principal ou des sous-récipiendaires. Exemples : élaboration et transmission de documents de subvention ; supervision et assistance technique liées à la mise en œuvre et à la gestion des subventions du Fonds mondial et aux exigences spécifiques du Fonds mondial ; supervision du niveau du récipiendaire principal au niveau des sous-récipiendaires (applicable lorsque le programme national de lutte contre le paludisme n'est pas le récipiendaire principal) ; planification des ressources humaines/dotation en effectifs et frais généraux, frais de fonctionnement ; coordination avec le programme national, les autorités locales et les instances de districts ; réunions trimestrielles, formations et matériel informatique et bureautique au niveau du récipiendaire principal ou des sous-récipiendaires ; mobilisation des responsables pour appuyer la mise en œuvre et la viabilité du programme</t>
  </si>
  <si>
    <t>Cette intervention vise à appuyer l'intensification, l'accessibilité, la disponibilité et la qualité des services de santé, y compris les prestations de services fournies au niveau des formations sanitaires et au niveau communautaire, par exemple : modernisation ou renforcement des infrastructures de services, notamment les établissements, les équipements, le mobilier, les véhicules, etc. Elle comprend également les résultats opérationnels nécessaires pour des prestations de services continues. Ces activités bénéficient à plus d'une des trois maladies (VIH, tuberculose, paludisme) et leur portée peut également être élargie à d'autres résultats sanitaires (par exemple, santé maternelle, néonatale et infantile, droit à la santé sexuelle et reproductive) au niveau de l'hôpital, du secteur des soins de santé primaires et de la communauté. Les activités similaires bénéficiant à seulement une maladie peuvent être incluses dans une subvention de lutte contre la maladie.  Ces activités ne comprennent pas les projets de construction à grande échelle (par exemple, construction d'un hôpital multifonctionnel)</t>
  </si>
  <si>
    <t xml:space="preserve">Comprend le renforcement des capacités visant à encadrer et favoriser les prestations de services au niveau communautaire ; sensibilisation accrue de la communauté à la disponibilité des services ; mobilisation communautaire en faveur d'un accès équitable aux services  </t>
  </si>
  <si>
    <t>Comprend les activités visant à former le personnel de santé pour fournir des services, assurer des soins et une prise en charge, qui bénéficient essentiellement à plus d'une des maladies (VIH, tuberculose, paludisme) mais dont la portée peut également être élargie à d'autres résultats sanitaires (par exemple, santé maternelle, néonatale et infantile, droit à la santé sexuelle et reproductive, etc.)
Comprend des formations intégrées (par exemple, gestion intégrée des maladies infantiles, santé génésique, maternelle, néonatale et infantile, etc.) qui prennent en compte au moins l'une des trois maladies, à savoir le VIH, la tuberculose et le paludisme, mais qui peuvent également dépasser le cadre de ces trois maladies.
Les formations uniques propres à chaque maladie (par exemple, formation sur les nouvelles directives relatives à la prévention de la transmission de la mère à l'enfant) peuvent être financées par les subventions de lutte contre la maladie correspondante.</t>
  </si>
  <si>
    <t>Comprend les activités qui assurent un approvisionnement et une distribution continus, efficaces et transparents de médicaments, consommables et autres produits nécessaires à la prise en charge efficace de plus d'une des trois maladies (VIH, tuberculose et paludisme) mais dont la portée peut également être élargie à d'autres résultats sanitaires (par exemple, gestion intégrée des maladies infantiles, tuberculose/VIH, droit à la santé sexuelle et reproductive, prévention systématique de la transmission de la mère à l'enfant, santé maternelle, néonatale et infantile). Comprend la formation du personnel chargé de la gestion des achats et des stocks, ainsi que l'élaboration et la mise en œuvre de politiques et réglementations et de mécanismes de suivi, notamment les systèmes d'alerte rapide en cas de ruptures de stock.</t>
  </si>
  <si>
    <t>Enquêtes et études destinées à évaluer la morbidité, la mortalité, la couverture des services, et enquêtes ou études comportementales dans la population générale ou les groupes à risques identifiés, par exemple : enquêtes démographiques et de santé, enquêtes en grappes à indicateurs multiples, enquêtes de santé et de morbidité visant à évaluer les dépenses engagées ou la charge, etc.</t>
  </si>
  <si>
    <t>Comprend les activités qui contribuent à l'élaboration et à l'exécution des lois, stratégies, politiques, réglementations et protocoles liés aux systèmes de santé, et au suivi de leur mise en œuvre. Exemples : élaboration, ratification et exécution de lois, politiques, réglementations, mécanismes de coordination et de supervision fondés sur des preuves et non discriminatoires ; renforcement des capacités et formation des agents du ministère de la Santé, des agents gouvernementaux locaux, des agents non gouvernementaux et de tout autre membre du personnel approprié visant à améliorer l'élaboration et l'exécution des politiques et le suivi des fonctions ; consultations intersectorielles, réunions de coordination, réunions communautaires et activités similaires visant à élaborer, exécuter et assurer le suivi des politiques ; appui à l'évaluation des besoins analytiques, enquêtes, recherches et autres activités pertinentes destinées à générer des informations dans le cadre de l'élaboration de politiques</t>
  </si>
  <si>
    <t xml:space="preserve">Comprend l'élaboration et la promotion de mécanismes indépendants pour la supervision, le suivi et la communication d'informations sur l'élaboration et la mise en œuvre de lois et politiques. Exemples : renforcement des capacités et appui à une procédure efficace ; garantie d'une participation active des acteurs communautaires aux forums consultatifs nationaux, notamment dans les politiques, la planification et les organismes décisionnaires ; amélioration de la planification, de la gestion, de l'obligation redditionnelle et de l'encadrement stratégiques et opérationnels, notamment pour les systèmes communautaires </t>
  </si>
  <si>
    <t xml:space="preserve">Comprend les activités qui contribuent à améliorer la mise à disposition adéquate de ressources financières auprès des institutions publiques, privées et non gouvernementales/communautaires pour l'exécution efficace des services et programmes de lutte contre la maladie. Exemple : amélioration de la collecte des recettes, de la mise en commun et des achats pour assurer la viabilité financière des services fournis. Par exemple, appui à l'élaboration, à la mise en pratique et à la gestion des mécanismes de financement pour l'achat de services de santé (fonds d'assurance, régimes d'assurance communautaires, fonds renouvelables pour les médicaments, etc.) ; formation sur la planification financière et l'établissement du budget ; renforcement des capacités pour une meilleure gestion des finances publiques </t>
  </si>
  <si>
    <t xml:space="preserve">Comprend les activités qui contribuent à améliorer la mise à disposition équitable des ressources financières auprès des institutions publiques, privées et non gouvernementales pour l'exécution efficace des services et programmes de lutte contre la maladie  </t>
  </si>
  <si>
    <t>Comprend les activités visant à contrôler la mise en œuvre et à documenter les violations (services de santé, commissions des droits de l'homme, société civile)</t>
  </si>
  <si>
    <t>Nombre de femmes et d'hommes âgés de 15 à 49 ans qui ont fait un test VIH et connaissent les résultats</t>
  </si>
  <si>
    <t xml:space="preserve">Pourcentage d'hommes circoncis âgés de 15 à 49 ans </t>
  </si>
  <si>
    <t>Nombre et pourcentage d'hommes ayant des rapports sexuels avec des hommes qui ont bénéficié de programmes de prévention du VIH (paquet de services définis) ; établissez un rapport distinct pour les transgenres, le cas échéant</t>
  </si>
  <si>
    <t>Nombre et pourcentage d'hommes ayant des rapports sexuels avec des hommes, calculés à partir de données probantes et/ou répondant aux normes minimales requises, qui ont bénéficié d'interventions de prévention du VIH menées individuellement et/ou en petits groupes ; établissez un rapport distinct pour les transgenres, le cas échéant</t>
  </si>
  <si>
    <t>Nombre et pourcentage d'hommes ayant des rapports sexuels avec des hommes qui ont fait un test VIH et connaissent les résultats ; établissez un rapport distinct pour les transgenres, le cas échéant</t>
  </si>
  <si>
    <t xml:space="preserve">Nombre et pourcentage de professionnels du sexe ayant bénéficié de programmes de prévention du VIH (paquet de services définis) </t>
  </si>
  <si>
    <t>Nombre et pourcentage de professionnels du sexe, calculés à partir de données probantes et/ou répondant aux normes minimales requises, qui ont bénéficié d'interventions de prévention du VIH menées individuellement et/ou en petits groupes</t>
  </si>
  <si>
    <t>Nombre et pourcentage de professionnels du sexe qui ont fait un test VIH et connaissent les résultats</t>
  </si>
  <si>
    <t xml:space="preserve">Nombre et pourcentage de consommateurs de drogues injectables ayant bénéficié de programmes de prévention du VIH (paquet de services définis) </t>
  </si>
  <si>
    <t>Nombre et pourcentage de consommateurs de drogues injectables, calculés à partir de données probantes et/ou répondant aux normes minimales requises, qui ont bénéficié d'interventions de prévention du VIH menées individuellement et/ou en petits groupes</t>
  </si>
  <si>
    <t xml:space="preserve">Nombre et pourcentage de consommateurs de drogues injectables qui ont fait un test VIH et connaissent les résultats </t>
  </si>
  <si>
    <t>Nombre et pourcentage de consommateurs de drogues injectables ayant bénéficié de programmes d'échange d'aiguilles et de seringues</t>
  </si>
  <si>
    <t>Nombre d'aiguilles et de seringues distribuées par consommateur de drogues injectables, par an et par programme d'échange d'aiguilles et de seringues</t>
  </si>
  <si>
    <t>Nombre et pourcentage de consommateurs de drogues injectables suivant un traitement de substitution aux opiacés</t>
  </si>
  <si>
    <t xml:space="preserve">Nombre et pourcentage d'autres populations (veuillez préciser) ayant bénéficié de programmes de prévention du VIH (paquet de services définis) </t>
  </si>
  <si>
    <t>Nombre et pourcentage d'autres populations (veuillez préciser), calculés à partir de données probantes et/ou répondant aux normes minimales requises, qui ont bénéficié d'interventions de prévention du VIH menées individuellement et/ou en petits groupes</t>
  </si>
  <si>
    <t xml:space="preserve">Nombre et pourcentage d'autres populations (veuillez préciser) qui ont fait un test VIH et connaissent les résultats </t>
  </si>
  <si>
    <t>Nombre et pourcentage d'orphelins et d'enfants vulnérables âgés de 0 à 17 ans qui vivent dans des foyers ayant bénéficié d'une aide extérieure gratuite pour leur prise en charge, conformément aux directives nationales</t>
  </si>
  <si>
    <t>Nombre et pourcentage de jeunes âgés de 10 à 24 ans ayant reçu une formation sur le VIH fondée sur les compétences pratiques en milieu scolaire</t>
  </si>
  <si>
    <t xml:space="preserve">Nombre et pourcentage de femmes enceintes séropositives au VIH ayant reçu des antirétroviraux dans le but de réduire le risque de transmission de la mère à l'enfant </t>
  </si>
  <si>
    <t>Nombre et pourcentage de nourrissons, nés de femmes infectées par le VIH, ayant bénéficié d'un dépistage du VIH dans les 2 mois qui ont suivi leur naissance</t>
  </si>
  <si>
    <t xml:space="preserve">Nombre et pourcentage d'établissements de santé dispensant des traitements antirétroviraux qui ont connu une rupture de stock pour au moins l'un des médicaments antirétroviraux requis au cours des 12 derniers mois                                                            </t>
  </si>
  <si>
    <t>Nombre et pourcentage d'adultes et d'enfants nouvellement admis dans des services de prise en charge du VIH qui ont commencé un traitement pour infection tuberculeuse latente</t>
  </si>
  <si>
    <t>Nombre et pourcentage de patients séropositifs atteints de tuberculose ayant suivi une thérapie antirétrovirale pendant leur traitement contre la tuberculose</t>
  </si>
  <si>
    <t>Nombre et pourcentage d’entités déclarantes présentant leurs rapports dans les délais selon les directives nationales</t>
  </si>
  <si>
    <t xml:space="preserve">Nombre de cas déclarés de tuberculose bactériologiquement confirmés </t>
  </si>
  <si>
    <t>Nombre de cas déclarés de tuberculose, toutes formes confondues (bactériologiquement confirmés et cliniquement diagnostiqués)</t>
  </si>
  <si>
    <t>Nombre et pourcentage de cas bactériologiquement confirmés traités avec succès (guérison et traitement terminé) parmi les cas de tuberculose bactériologiquement confirmés et enregistrés sur une période donnée</t>
  </si>
  <si>
    <t xml:space="preserve">Nombre d'enfants âgés de moins de 5 en contact avec des patients tuberculeux qui ont commencé un traitement préventif intermittent </t>
  </si>
  <si>
    <t>Nombre et pourcentage d'entités déclarantes (districts ou unités de gestion de base) n’ayant communiqué aucune rupture de stocks des médicaments antituberculeux de première intention au dernier jour du trimestre</t>
  </si>
  <si>
    <t>Nombre et pourcentage de cas de tuberculose déclarés (toutes formes confondues) résultant de la contribution des prestataires extérieurs au programme national de lutte contre la tuberculose parmi tous les cas de tuberculose déclarés dans les zones de mise en œuvre des approches mixtes public-privé</t>
  </si>
  <si>
    <t xml:space="preserve">Nombre et pourcentage de cas de tuberculose déclarés (toutes formes confondues) résultant de la contribution des agents de santé communautaires et des volontaires de la communauté parmi tous les cas de tuberculose déclarés dans l'unité de gestion de base </t>
  </si>
  <si>
    <t xml:space="preserve">Nombre de cas de tuberculose (toutes formes confondues), parmi les groupes à haut risque (en prison), déclarés aux autorités sanitaires nationales sur une période donnée  </t>
  </si>
  <si>
    <t xml:space="preserve">Nombre et pourcentage d'adultes et d'enfants nouvellement admis dans des services de prise en charge du VIH qui ont commencé un traitement pour infection tuberculeuse latente (traitement préventif à l'isoniazide) par rapport au nombre total d'adultes et d'enfants nouvellement admis dans des services de prise en charge du VIH pendant la période de communication de l'information </t>
  </si>
  <si>
    <t xml:space="preserve">Nombre de cas de tuberculose pharmacorésistante bactériologiquement confirmés (tuberculose résistante à la rifampicine et/ou tuberculose multirésistante) déclarés au programme national de lutte contre la tuberculose  </t>
  </si>
  <si>
    <t xml:space="preserve">Nombre et pourcentage de laboratoires présentant une compétence minimale de 95 pour cent pour les tests de sensibilité à l’isoniazide et à la rifampicine par rapport au nombre total de laboratoires effectuant des tests de sensibilité aux médicaments pendant la période de communication de l'information </t>
  </si>
  <si>
    <t xml:space="preserve">Nombre de cas de tuberculose pharmacorésistante bactériologiquement confirmés (tuberculose résistante à la rifampicine et/ou tuberculose multirésistante) ayant commencé un traitement de deuxième intention </t>
  </si>
  <si>
    <t>Nombre de cas de tuberculose pharmacorésistante présumés (tuberculose résistante à la rifampicine et/ou tuberculose multirésistante) ayant commencé un traitement de deuxième intention</t>
  </si>
  <si>
    <t>Nombre et pourcentage de personnes exposées ayant théoriquement reçu des moustiquaires imprégnées d'insecticide</t>
  </si>
  <si>
    <t>Nombre et pourcentage de personnes issues des groupes à risque ciblés bénéficiant de moustiquaires imprégnées d’insecticide (femmes enceintes, enfants de moins de 5 ans, migrants, etc.)</t>
  </si>
  <si>
    <t>Nombre et pourcentage de ménages des zones cibles ayant bénéficié d'une pulvérisation intradomiciliaire d'insecticide à effet rémanent au cours des 12 derniers mois</t>
  </si>
  <si>
    <t>Nombre et pourcentage de la population protégée par la pulvérisation intradomiciliaire au cours des 12 derniers mois</t>
  </si>
  <si>
    <t xml:space="preserve">Nombre et pourcentage de cas suspectés de paludisme soumis à un test parasitologique </t>
  </si>
  <si>
    <t>Nombre et pourcentage d'établissements de santé du secteur public ou de sites du secteur privé dont les principaux produits de base n'ont pas connu de rupture de stock par mois (veuillez également communiquer les informations relatives aux agents de santé communautaires n'ayant pas connu de rupture de stock)</t>
  </si>
  <si>
    <t>Nombre et pourcentage de cas confirmés ayant fait l'objet d'investigations complètes (formulaire d'investigation du cas, formulaire d'investigation du foyer et dépistage actif du cas compris) (phase d'élimination du paludisme)</t>
  </si>
  <si>
    <t>Nombre et pourcentage de foyers ayant fait l'objet d'investigations complètes (formulaire d'investigation des foyers de paludisme complété, comprenant les données issues d'une investigation entomologique) et enregistrés (dans un registre, avec des cartes de chaque foyer) (phase d'élimination du paludisme)</t>
  </si>
  <si>
    <t xml:space="preserve">Nombre et pourcentage de femmes bénéficiant de services de soins prénatals ayant reçu au moins 3 doses de traitement préventif intermittent </t>
  </si>
  <si>
    <t xml:space="preserve">Nombre et pourcentage d’entités déclarantes présentant leurs rapports dans les délais selon les directives nationales </t>
  </si>
  <si>
    <t>Nombre et répartition des établissements de santé pour 10 000 habitants</t>
  </si>
  <si>
    <t>Note de préparation des services généraux pour les établissements de santé</t>
  </si>
  <si>
    <t>Note de préparation des services spécifiques pour les établissements de santé (à inclure dans les modules propres à chaque maladie)</t>
  </si>
  <si>
    <t>Nombre de consultations externes pour 10 000 habitants</t>
  </si>
  <si>
    <t>Nombre d'agents de santé pour 10 000 habitants (veuillez également communiquer les informations relatives aux agents de santé communautaires, le cas échéant)</t>
  </si>
  <si>
    <t>Répartition des agents de santé (par poste, spécialisation, région et sexe)</t>
  </si>
  <si>
    <t>Nombre d'agents de santé nouvellement recrutés dans des établissements de soins de santé primaires au cours des 12 derniers mois, exprimé en pourcentage de recrutements prévus</t>
  </si>
  <si>
    <t>Taux annuel de maintien des prestataires de services dans les établissements de soins de santé primaires</t>
  </si>
  <si>
    <t>Pourcentage d'établissements de santé n'ayant pas signalé de rupture de stock de médicaments essentiels</t>
  </si>
  <si>
    <t>Nombre et pourcentage d'entités déclarantes au niveau du pays, de la province ou du district présentant leurs rapports dans les délais selon les directives nationales</t>
  </si>
  <si>
    <t>Nombre et pourcentage de décès enregistrés (tel que rapporté par les systèmes de registre d'état civil ou les systèmes de registre d'échantillons, les établissements hospitaliers, les systèmes communautaires de communication de l'information) par rapport aux nombre total de décès sur la même période et dans la même région géographique</t>
  </si>
  <si>
    <t>Dépenses publiques allouées à la santé, en pourcentage des dépenses publiques globales</t>
  </si>
  <si>
    <t>Pourcentage de femmes et d'hommes âgés de 15 à 49 ans ayant eu plus d'un partenaire sexuel au cours des 12 derniers mois (ventilé par tranche d'âge allant de 15 à 19 ans et de 20 à 24 ans)</t>
  </si>
  <si>
    <t>Pourcentage de femmes et d'hommes âgés de 15 à 49 ans ayant eu plus d'un partenaire sexuel au cours des 12 derniers mois et ayant déclaré avoir utilisé un préservatif lors de leur dernier rapport sexuel (ventilé par tranche d'âge allant de 15 à 19 ans et de 20 à 24 ans)</t>
  </si>
  <si>
    <t>Pourcentage d'hommes ayant déclaré avoir utilisé un préservatif lors de leur dernier rapport anal avec un partenaire de sexe masculin</t>
  </si>
  <si>
    <t>Pourcentage de travailleurs du sexe ayant déclaré avoir utilisé un préservatif avec leur dernier client</t>
  </si>
  <si>
    <t>Pourcentage de consommateurs de drogues injectables ayant déclaré avoir utilisé du matériel d'injection stérile lors de leur dernière injection</t>
  </si>
  <si>
    <t xml:space="preserve">Pourcentage d'autres populations (veuillez préciser) ayant déclaré avoir utilisé un préservatif lors du dernier rapport sexuel </t>
  </si>
  <si>
    <t xml:space="preserve">Pourcentage de scolarisation actuelle des orphelins et non-orphelins </t>
  </si>
  <si>
    <t>Taux de notification des cas bactériologiquement confirmés pour 100 000 habitants (cas nouveaux et récidive) (ventilé par âge et par sexe)</t>
  </si>
  <si>
    <t>Taux de notification des cas de tuberculose, toutes formes confondues, bactériologiquement confirmés et cliniquement diagnostiqués, pour 100 000 habitants (ventilation par âge et par sexe)</t>
  </si>
  <si>
    <t>Taux de guérison des cas de tuberculose bactériologiquement confirmés (ventilation par âge et par sexe)</t>
  </si>
  <si>
    <t>Taux de guérison, toutes formes de tuberculose confondues</t>
  </si>
  <si>
    <t>Notification des cas de tuberculose multirésistante : cas déclarés de tuberculose pharmacorésistance bactériologiquement confirmés (tuberculose résistante à la rifampicine et/ou tuberculose multirésistante) exprimés en proportion du nombre estimé de cas de tuberculose multirésistante parmi les cas de tuberculose déclarés (nombre et pourcentage)</t>
  </si>
  <si>
    <t xml:space="preserve">Taux de guérison de la tuberculose multirésistante </t>
  </si>
  <si>
    <t xml:space="preserve">Pourcentage de cas de tuberculose pharmacorésistante bactériologiquement confirmés </t>
  </si>
  <si>
    <t>Proportion de la population ayant dormi sous une moustiquaire imprégnée d'insecticide la nuit précédente (ventilée par âge, sexe, état de grossesse, situation géographique)</t>
  </si>
  <si>
    <t>Proportion de ménages équipés d'au moins une moustiquaire imprégnée d'insecticide pour deux personnes et/ou ayant fait l'objet de pulvérisation intradomiciliaire d'insecticide à effet rémanent au cours des 12 derniers mois</t>
  </si>
  <si>
    <t>Proportion de ménages disposant d'au moins une moustiquaire imprégnée d'insecticide</t>
  </si>
  <si>
    <t>Proportion de ménages disposant d'au moins une moustiquaire imprégnée d'insecticide pour deux personnes</t>
  </si>
  <si>
    <t>Pourcentage de femmes bénéficiant de soins prénatals</t>
  </si>
  <si>
    <t xml:space="preserve">Pourcentage de naissances bénéficiant de l’assistance d’un professionnel de la santé </t>
  </si>
  <si>
    <t>Pourcentage de jeunes femmes et de jeunes hommes âgés de 15 à 24 ans infectés par le VIH</t>
  </si>
  <si>
    <t>Prévalence du VIH chez les 15 à 49 ans</t>
  </si>
  <si>
    <t>Nouvelles infections à VIH (pour 100 personnes par an)</t>
  </si>
  <si>
    <t>Mortalité liée au sida (ventilée par âge et par sexe)</t>
  </si>
  <si>
    <t>Modélisation du nombre de vies sauvées en fonction des dernières données épidémiologiques</t>
  </si>
  <si>
    <t xml:space="preserve">Pourcentage d'hommes ayant des rapports sexuels avec des hommes vivant avec le VIH </t>
  </si>
  <si>
    <t xml:space="preserve">Pourcentage de travailleurs du sexe vivant avec le VIH </t>
  </si>
  <si>
    <t>Pourcentage de consommateurs de drogues injectables vivant avec le VIH</t>
  </si>
  <si>
    <t>Pourcentage d'autres populations (veuillez préciser) vivant avec le VIH</t>
  </si>
  <si>
    <t>Prévalence des infections sexuellement transmissibles (populations-clés, femmes enceintes, le cas échéant)</t>
  </si>
  <si>
    <t>Pourcentage de nourrissons, nés de femmes infectées par le VIH, qui sont également infectés</t>
  </si>
  <si>
    <t>Taux d'incidence de la tuberculose</t>
  </si>
  <si>
    <t>Taux de prévalence de la tuberculose</t>
  </si>
  <si>
    <t>Taux de mortalité par tuberculose</t>
  </si>
  <si>
    <t>Modélisation du nombre de vies sauvées (en fonction des dernières données épidémiologiques)</t>
  </si>
  <si>
    <t xml:space="preserve">Cas de paludisme confirmés (par microscopie ou test de dépistage rapide) pour 1 000 personnes par an (ventilés par sexe) </t>
  </si>
  <si>
    <t>Cas de paludisme déclarés (ventilés par sexe)</t>
  </si>
  <si>
    <t>Prévalence parasitaire : proportion d'enfants âgés de 6 à 59 mois présentant une infection palustre</t>
  </si>
  <si>
    <t>Décès de patients hospitalisés dus au paludisme pour 1 000 personnes par an</t>
  </si>
  <si>
    <t>Taux de positivité aux tests de paludisme</t>
  </si>
  <si>
    <t>Taux de mortalité des enfants de moins de 5 ans, toutes causes confondues</t>
  </si>
  <si>
    <t>Taux de mortalité des enfants de moins de 5 ans pour 1 000 naissances vivantes</t>
  </si>
  <si>
    <t xml:space="preserve">Taux de mortalité maternelle </t>
  </si>
  <si>
    <t>Part des dépenses des ménages consacrée à la santé par rapport aux dépenses totales de santé</t>
  </si>
  <si>
    <t>VEUILLEZ INDIQUER ICI LES HYPOTHÈSES DE COÛTS POUR LE BUDGET</t>
  </si>
  <si>
    <t>Il n'est pas obligatoire de fournir des hypothèses de coûts détaillées pour le budget. Toutefois, toute information supplémentaire peut aider le récipiendaire principal et le Secrétariat du Fonds mondial à trouver un terrain d'entente et accélérer le processus de négociation.</t>
  </si>
  <si>
    <t>Résumé du financement sur 3 ans demandé pour chaque module</t>
  </si>
  <si>
    <t>Pour actualiser le tableau croisé dynamique avec les derniers montants saisis dans le budget consacré au module sur la note conceptuelle, cliquez n'importe où dans le tableau croisé dynamique puis appuyez sur Alt + F5.</t>
  </si>
  <si>
    <t>D. Модули</t>
  </si>
  <si>
    <t>Модуль</t>
  </si>
  <si>
    <t>Система показателей для модуля</t>
  </si>
  <si>
    <t>Общий объем
запрашиваемого финансирования</t>
  </si>
  <si>
    <t>Ориентировочное</t>
  </si>
  <si>
    <t>Свыше ориентировочного</t>
  </si>
  <si>
    <t xml:space="preserve">Модульный подход — концептуальная записка </t>
  </si>
  <si>
    <t>Целевые предпосылки</t>
  </si>
  <si>
    <t>Ориентировочное финансирование для всего модуля</t>
  </si>
  <si>
    <t>Объем финансирования сверх ориентировочного уровня для всего модуля</t>
  </si>
  <si>
    <t>Мероприятие</t>
  </si>
  <si>
    <t>Бюджет модуля</t>
  </si>
  <si>
    <t>Описание мероприятия</t>
  </si>
  <si>
    <t>Бюджет мероприятия (только для запросов в Глобальный фонд)</t>
  </si>
  <si>
    <t>Предполагаемые затраты, для финансирования которых подается запрос в Глобальный фонд</t>
  </si>
  <si>
    <t>УКАЖИТЕ ЗДЕСЬ ПРЕДПОЛОЖИТЕЛЬНЫЕ БЮДЖЕТНЫЕ ЗАТРАТЫ</t>
  </si>
  <si>
    <t>Подробно расписывать предположительные бюджетные затраты не обязательно, однако если вы предоставите дополнительную информацию, это может способствовать достижению взаимопонимания и согласия между основным реципиентом и Секретариатом Глобального фонда и ускорить переговорный процесс.</t>
  </si>
  <si>
    <t>Комментарии и ориентировочные расчеты</t>
  </si>
  <si>
    <t>Распространенность ВИЧ в возрастной группе 15-49 лет</t>
  </si>
  <si>
    <t>Число новых случаев ВИЧ-инфицирования (на 100 человек населения в год)</t>
  </si>
  <si>
    <t>Смоделированный показатель спасенных жизней (на основе последних эпидемиологических данных)</t>
  </si>
  <si>
    <t>% других групп населения (указать), живущих с ВИЧ</t>
  </si>
  <si>
    <t>Уровень заболеваемости туберкулезом</t>
  </si>
  <si>
    <t>Уровень распространенности туберкулеза</t>
  </si>
  <si>
    <t>Уровень смертности от туберкулеза</t>
  </si>
  <si>
    <t xml:space="preserve">Распространенность МЛУ среди впервые выявленных пациентов с ТБ </t>
  </si>
  <si>
    <t>Распространенность паразитарной малярийной инфекции: доля детей в возрасте от 6 до 59 месяцев с малярийной инфекцией</t>
  </si>
  <si>
    <t>Уровень смертности от малярии в стационарных условиях на 1000 человек населения в год</t>
  </si>
  <si>
    <t>Показатель положительных результатов тестирования на малярию</t>
  </si>
  <si>
    <t>Уровень смертности детей в возрасте до 5 лет от всех причин</t>
  </si>
  <si>
    <t>Уровень смертности детей в возрасте до 5 лет на 1000 живорожденных</t>
  </si>
  <si>
    <t xml:space="preserve">Уровень материнской смертности </t>
  </si>
  <si>
    <t>Соотношение собственных расходов домохозяйств на здравоохранение и общих расходов на охрану здоровья</t>
  </si>
  <si>
    <t>Английский</t>
  </si>
  <si>
    <t>Ч</t>
  </si>
  <si>
    <t>З</t>
  </si>
  <si>
    <t>% мужчин, сообщивших об использовании презерватива во время последнего анального полового акта с партнером мужского пола</t>
  </si>
  <si>
    <t>% работников секс-бизнеса, сообщивших об использовании презерватива с последним клиентом</t>
  </si>
  <si>
    <t>% ПИН, сообщивших об использовании стерильного инъекционного шприца при последней инъекции</t>
  </si>
  <si>
    <t xml:space="preserve">% других групп населения (указать), сообщивших об использовании презерватива при последнем половом контакте </t>
  </si>
  <si>
    <t>Уровень излечиваемости - все формы ТБ</t>
  </si>
  <si>
    <t>Выявление МЛУ-ТБ: количество зарегистрированных бактериологически подтвержденных случаев лекарственно-устойчивого ТБ (устойчивого к рифампицину ТБ и/или МЛУ-ТБ) в виде доли предполагаемых случаев МЛУ-ТБ от общего числа зарегистрированных случаев ТБ (число и %)</t>
  </si>
  <si>
    <t xml:space="preserve">Уровень излечиваемости - МЛУ-TБ </t>
  </si>
  <si>
    <t xml:space="preserve">% бактериологически подтвержденных препаратов </t>
  </si>
  <si>
    <t>Доля домохозяйств, имеющих по крайней мере одну СОИ на двух человек и/или прошедших ОПИДД за последний год</t>
  </si>
  <si>
    <t>Доля домохозяйств, имеющих по крайней мере одну СОИ</t>
  </si>
  <si>
    <t>Доля домохозяйств, имеющих по крайней мере одну СОИ на двух человек</t>
  </si>
  <si>
    <t>% женщин, получающих антенатальный уход</t>
  </si>
  <si>
    <t xml:space="preserve">% родов под наблюдением квалифицированного акушера </t>
  </si>
  <si>
    <t>Число женщин и мужчин в возрасте от 15 до 49 лет, прошедших анализ на ВИЧ и получивших результаты</t>
  </si>
  <si>
    <t>Число и % представителей целевой группы населения, охваченных стандартными мероприятиями по профилактике ВИЧ посредством аутрич-работы на уровне сообществ</t>
  </si>
  <si>
    <t xml:space="preserve">% мужчин в возрасте 15-49 лет, сделавших обрезание </t>
  </si>
  <si>
    <t>Число и % МСМ, охваченных программами профилактики ВИЧ (определенный пакет услуг) с разбивкой по целевым группам населения (если возможно)</t>
  </si>
  <si>
    <t>Число и % МСМ, охваченных индивидуальными и/или проводимыми на уровне небольших групп мероприятиями по профилактике ВИЧ, основанными на научных данных и/или соответствующими минимальным обязательным стандартам (если возможно, с разбивкой по целевым группам населения)</t>
  </si>
  <si>
    <t>Число и % МСМ, прошедших анализ на ВИЧ и получивших результаты (если возможно, с разбивкой по целевым группам населения)</t>
  </si>
  <si>
    <t xml:space="preserve">Число и % работников секс-бизнеса, охваченных программами профилактики ВИЧ (определенный пакет услуг) </t>
  </si>
  <si>
    <t>Число и % работников секс-бизнеса, охваченных индивидуальными и/или проводимыми на уровне небольших групп мероприятиями по профилактике ВИЧ, основанными на научных данных и/или соответствующими минимальным обязательным стандартам</t>
  </si>
  <si>
    <t>Число и % работников секс-бизнеса, прошедших анализ на ВИЧ и получивших результаты</t>
  </si>
  <si>
    <t xml:space="preserve">Число и % ПИН, охваченных программами профилактики ВИЧ (определенный пакет услуг) </t>
  </si>
  <si>
    <t>Число и % ПИН, охваченных индивидуальными и/или проводимыми на уровне небольших групп мероприятиями по профилактике ВИЧ, основанными на научных данных и/или соответствующими минимальным обязательным стандартам</t>
  </si>
  <si>
    <t xml:space="preserve">Число и % ПИН, прошедших анализ на ВИЧ и получивших результаты </t>
  </si>
  <si>
    <t>Число и % ПИН, получающих опиоидную заместительную терапию</t>
  </si>
  <si>
    <t xml:space="preserve">Число и % других групп населения (указать), охваченных программами профилактики ВИЧ (определенный пакет услуг) </t>
  </si>
  <si>
    <t>Число и % других групп населения (указать), охваченных индивидуальными и/или проводимыми на уровне небольших групп мероприятиями по профилактике ВИЧ, основанными на научных данных и/или соответствующими минимальным обязательным стандартам</t>
  </si>
  <si>
    <t xml:space="preserve">Число и % других групп населения (указать), прошедших анализ на ВИЧ и получивших результаты </t>
  </si>
  <si>
    <t>Число и % детей-сирот и уязвимых детей в возрасте от 0 до 17 лет, чьи домохозяйства получили основную бесплатную внешнюю поддержку по уходу за ребенком в соответствии с национальными руководящими принципами</t>
  </si>
  <si>
    <t>Число и % молодых людей в возрасте от 10 до 24 лет, охваченных школьным обучением навыкам, необходимым для жизни с ВИЧ</t>
  </si>
  <si>
    <t xml:space="preserve">Число и % ВИЧ-инфицированных беременных женщин, прошедших антиретровирусную терапию для снижения риска передачи вируса от матери ребенку </t>
  </si>
  <si>
    <t>Число и % беременных женщин, знающих свой ВИЧ-статус</t>
  </si>
  <si>
    <t>Число и % детей, рожденных ВИЧ-инфицированными женщинами и прошедших вирусологический тест на ВИЧ в течение 2 месяцев после рождения</t>
  </si>
  <si>
    <t xml:space="preserve">Число и % медицинских учреждений, предоставляющих антиретровирусную терапию, которые испытывали дефицит как минимум одного антиретровирусного препарата за последние 12 месяцев                                                            </t>
  </si>
  <si>
    <t>Число и % взрослых и детей, включенных в списки для получения ухода в связи с ВИЧ, ТБ-статус которых был оценен и зарегистрирован во время последнего посещения врача за отчетный период, по отношению к общему числу взрослых и детей, включенных в списки для получения ухода в связи с ВИЧ и получивших соответствующий уход за отчетный период</t>
  </si>
  <si>
    <t xml:space="preserve">Число и % пациентов с ТБ, которые знают свой ВИЧ-статус: доля пациентов с ТБ, зарегистрированных за отчетный период, чьи результаты тестирования на ВИЧ были занесены в реестр больных туберкулезом, по отношению к общему числу пациентов с ТБ, зарегистрированных за отчетный период </t>
  </si>
  <si>
    <t>Число и % ВИЧ-положительных пациентов с ТБ, получавших антиретровирусную терапию в ходе противотуберкулезного лечения</t>
  </si>
  <si>
    <t>Число и % отчетных учреждений, своевременно представляющих отчетность в соответствии с национальными руководящими принципами</t>
  </si>
  <si>
    <t xml:space="preserve">Число зарегистрированных и бактериологически подтвержденных случаев ТБ </t>
  </si>
  <si>
    <t>Число зарегистрированных случаев любых форм ТБ (бактериологически подтвержденных + клинически диагностированных)</t>
  </si>
  <si>
    <t xml:space="preserve">Число детей в возрасте менее 5 лет, которые имеют контакты с пациентами с ТБ, начавшими профилактическую терапию изониазидом </t>
  </si>
  <si>
    <t>Число и % случаев ТБ (все формы), зарегистрированных поставщиками медицинских услуг, не участвующих в национальной программе борьбы с ТБ, по отношению к общему числу случаев ТБ, зарегистрированных в районах, где реализуются проекты государственно-частного партнерства</t>
  </si>
  <si>
    <t xml:space="preserve">Число случаев ТБ (все формы), зарегистрированных в группах населения, подверженных высокому риску (например, в тюрьмах) национальными органами управления здравоохранением за указанный период  </t>
  </si>
  <si>
    <t xml:space="preserve">Число и % взрослых и детей, включенных в списки для получения ухода в связи с ВИЧ, ТБ-статус которых был оценен и зарегистрирован во время последнего посещения врача за отчетный период, по отношению к общему числу взрослых и детей, включенных в списки для получения ухода в связи с ВИЧ и получивших соответствующий уход за отчетный период </t>
  </si>
  <si>
    <t xml:space="preserve">Число и % взрослых и детей, впервые включенных в списки для получения ухода в связи с ВИЧ и начавших лечение от латентного ТБ (профилактическая терапия изониазидом), по отношению к общему числу взрослых и детей, впервые включенных в списки для получения ухода в связи с ВИЧ за отчетный период </t>
  </si>
  <si>
    <t xml:space="preserve">Число случаев бактериологически подтвержденного лекарственно-устойчивого ТБ (устойчивого к рифампицину ТБ и/или МЛУ-ТБ), зарегистрированных в рамках национальной программы борьбы с ТБ  </t>
  </si>
  <si>
    <t xml:space="preserve">Число и % лабораторий, как минимум на 95 % подготовленных для проведения тестирования на чувствительность к изониазиду и рифампицину, по отношению к общему числу лабораторий, проводивших тестирование лекарственной чувствительности за отчетный период </t>
  </si>
  <si>
    <t>Число и % подверженных риску лиц, потенциально охваченных программами распространения СОИ</t>
  </si>
  <si>
    <t>Число СОИ/СОИДД, распространенных среди целевых групп населения антенатальными клиниками, в рамках расширенных программ иммунизации (РПИ), и т.д.</t>
  </si>
  <si>
    <t>Число и % домохозяйств, находящихся в целевых районах и обработанных ИДД в последние 12 месяцев</t>
  </si>
  <si>
    <t>Число и % лиц, проживающих в помещениях, обработанных ИДД в последние 12 месяцев</t>
  </si>
  <si>
    <t xml:space="preserve">Число и % случаев подозрения на малярию, по которым были проведены паразитологические анализы </t>
  </si>
  <si>
    <t>Число и % подтвержденных случаев, по которым было проведено полное расследование (включая заполнение форм эпидемиологического расследования случая и обследования очага малярии, а также активное выявление случаев заболевания) (этап ликвидации малярии)</t>
  </si>
  <si>
    <t>Число и % очагов малярии, полностью обследованных (с заполнением формы эпидемиологического обследования очага, включая данные эпидемиологического расследования) и занесенных в реестр (с приложением географических карт каждого очага) (этап ликвидации малярии)</t>
  </si>
  <si>
    <t xml:space="preserve">Число и % отчетных учреждений, своевременно представляющих отчетность в соответствии с национальными руководящими принципами </t>
  </si>
  <si>
    <t>Уровень готовности медучреждений в области предоставления общих услуг</t>
  </si>
  <si>
    <t>Уровень готовности медучреждений в области предоставления специальных услуг (этот показатель должен быть включен в модули по конкретным заболеваниям)</t>
  </si>
  <si>
    <t>Число работников здравоохранения на 10 000 человек населения (при наличии соответствующих данных указывается число общинных медицинских работников)</t>
  </si>
  <si>
    <t>Процентная доля государственных расходов на здравоохранение по отношению к общему объему государственных расходов</t>
  </si>
  <si>
    <t xml:space="preserve">Распространение информации о поведенческих изменениях в рамках программ для всего населения </t>
  </si>
  <si>
    <t xml:space="preserve">Распространение презервативов в рамках программ для всего населения </t>
  </si>
  <si>
    <t xml:space="preserve">Мужское обрезание </t>
  </si>
  <si>
    <t xml:space="preserve">Тестирование на ВИЧ и консультирование по вопросам ВИЧ в рамках программ для всего населения </t>
  </si>
  <si>
    <t xml:space="preserve">Диагностика и лечение ИППП в рамках программ для всего населения </t>
  </si>
  <si>
    <t xml:space="preserve">Безопасность крови </t>
  </si>
  <si>
    <t xml:space="preserve">Мероприятия по поддержке сирот и уязвимых детей (СУД) </t>
  </si>
  <si>
    <t xml:space="preserve">Укрепление систем сообществ — профилактика для всего населения </t>
  </si>
  <si>
    <t xml:space="preserve">Устранение факторов, имеющих отношение к правам человека и препятствующих доступу к услугам — профилактика всего населения </t>
  </si>
  <si>
    <t>Репродуктивное здоровье, здоровье матерей, новорожденных и детей и гендерное насилие</t>
  </si>
  <si>
    <t xml:space="preserve">Другие мероприятия для всего населения (укажите) </t>
  </si>
  <si>
    <t>Распространение информации о поведенческих изменениях в рамках программ для МСМ и целевых групп населения</t>
  </si>
  <si>
    <t>Распространение презервативов в рамках программ для МСМ и целевых групп населения</t>
  </si>
  <si>
    <t>Тестирование на ВИЧ и консультирование по вопросам ВИЧ в рамках программ для МСМ и целевых групп населения</t>
  </si>
  <si>
    <t>Диагностика и лечение ИППП в рамках программ для МСМ и целевых групп населения</t>
  </si>
  <si>
    <t>Диагностика и лечение вирусного гепатита в рамках программ для МСМ и целевых групп населения</t>
  </si>
  <si>
    <t xml:space="preserve">Укрепление систем сообществ — профилактика для МСМ и целевых групп населения </t>
  </si>
  <si>
    <t xml:space="preserve">Устранение факторов, имеющих отношение к правам человека и препятствующих доступу к услугам — профилактика МСМ и целевых групп населения </t>
  </si>
  <si>
    <t xml:space="preserve">Другие мероприятия для МСМ и целевых групп населения (укажите) </t>
  </si>
  <si>
    <t>Распространение информации о поведенческих изменениях в рамках программ для работников секс-бизнеса и их клиентов</t>
  </si>
  <si>
    <t>Распространение презервативов в рамках программ для работников секс-бизнеса и их клиентов</t>
  </si>
  <si>
    <t>Тестирование на ВИЧ и консультирование по вопросам ВИЧ в рамках программ для работников секс-бизнеса и их клиентов</t>
  </si>
  <si>
    <t>Диагностика и лечение ИППП в рамках программ для работников секс-бизнеса и их клиентов</t>
  </si>
  <si>
    <t>Снижение вреда в рамках программ для работников секс-бизнеса и их клиентов</t>
  </si>
  <si>
    <t>Укрепление систем сообществ — профилактика для работников секс-бизнеса и их клиентов</t>
  </si>
  <si>
    <t>Устранение факторов, имеющих отношение к правам человека и препятствующих доступу к услугам — профилактика для работников секс-бизнеса и их клиентов</t>
  </si>
  <si>
    <t xml:space="preserve">Другие мероприятия для работников секс-бизнеса и их клиентов (укажите) </t>
  </si>
  <si>
    <t xml:space="preserve">Распространение информации о поведенческих изменениях в рамках программ для ПИН и их партнеров </t>
  </si>
  <si>
    <t>Распространение презервативов в рамках программ для ПИН и их партнеров</t>
  </si>
  <si>
    <t>Диагностика и лечение ИППП в рамках программ для ПИН и их партнеров</t>
  </si>
  <si>
    <t>Замена игл и шприцев в рамках программ для ПИН и их партнеров</t>
  </si>
  <si>
    <t>Опиоидная заместительная терапия и другие методы лечения наркозависимости в рамках программ для ПИН и их партнеров</t>
  </si>
  <si>
    <t>Диагностика и лечение вирусного гепатита в рамках программ для ПИН и их партнеров</t>
  </si>
  <si>
    <t>Укрепление систем сообществ — профилактика для ПИН и их партнеров</t>
  </si>
  <si>
    <t>Устранение факторов, имеющих отношение к правам человека и препятствующих доступу к услугам — профилактика для ПИН и их партнеров</t>
  </si>
  <si>
    <t xml:space="preserve">Другие мероприятия для ПИН и их партнеров (укажите) </t>
  </si>
  <si>
    <t>Распространение информации о поведенческих изменениях в рамках программ для других язвимых групп населения</t>
  </si>
  <si>
    <t>Распространение презервативов в рамках программ для других язвимых групп населения</t>
  </si>
  <si>
    <t>Тестирование на ВИЧ и консультирование по вопросам ВИЧ в рамках программ для других язвимых групп населения</t>
  </si>
  <si>
    <t>Диагностика и лечение ИППП в рамках программ для других язвимых групп населения</t>
  </si>
  <si>
    <t>Укрепление систем сообществ — профилактика для других язвимых групп населения</t>
  </si>
  <si>
    <t>Устранение факторов, имеющих отношение к правам человека и препятствующих доступу к услугам — профилактика для других язвимых групп населения</t>
  </si>
  <si>
    <t xml:space="preserve">Другие мероприятия для других уязвимых групп населения (укажите) </t>
  </si>
  <si>
    <t>Поведенческие изменения подростков и молодежи</t>
  </si>
  <si>
    <t>Распространение информации о поведенческих изменениях в рамках программ для подростков и молодежи</t>
  </si>
  <si>
    <t>Распространение презервативов в рамках программ для подростков и молодежи</t>
  </si>
  <si>
    <t>Тестирование на ВИЧ и консультирование по вопросам ВИЧ в рамках программ для подростков и молодежи</t>
  </si>
  <si>
    <t>Мужское обрезание в рамках программ для подростков и молодежи</t>
  </si>
  <si>
    <t>Устранение факторов, имеющих отношение к правам человека и препятствующих доступу к услугам — профилактика для подростков и молодежи</t>
  </si>
  <si>
    <t>Направление 1: первичная профилактика ВИЧ-инфицирования среди женщин детородного возраста</t>
  </si>
  <si>
    <t>Направление 2: предупреждение нежелательной беременности среди женщин, живущих с ВИЧ</t>
  </si>
  <si>
    <t xml:space="preserve">Направление 3: профилактика вертикальной передачи ВИЧ-инфекции </t>
  </si>
  <si>
    <t>Направление 4: надлежащее лечение, уход и поддержка для ВИЧ-инфицированных матерей, их детей и близких</t>
  </si>
  <si>
    <t>Укрепление систем сообществ — ППМР</t>
  </si>
  <si>
    <t>Устранение факторов, имеющих отношение к правам человека и препятствующих доступу к услугам — ППМР</t>
  </si>
  <si>
    <t xml:space="preserve">Другие мероприятия в целях ППМР (укажите) </t>
  </si>
  <si>
    <t xml:space="preserve">Лечение до начала АРТ </t>
  </si>
  <si>
    <t>АРТ первой линии для взрослых</t>
  </si>
  <si>
    <t>АРТ второй линии для взрослых</t>
  </si>
  <si>
    <t>Многокомпонентная АРТ для взрослых в случае неблагоприятного исхода терапии препаратами первой линии</t>
  </si>
  <si>
    <t>АРТ первой линии для детей</t>
  </si>
  <si>
    <t>АРТ второй линии для детей</t>
  </si>
  <si>
    <t xml:space="preserve">Многокомпонентная АРТ для детей в случае неблагоприятного исхода терапии препаратами первой линии </t>
  </si>
  <si>
    <t>Профилактика до и после контакта</t>
  </si>
  <si>
    <t xml:space="preserve">Лечение как профилактика </t>
  </si>
  <si>
    <t xml:space="preserve">Мониторинг лечения </t>
  </si>
  <si>
    <t xml:space="preserve">Соблюдение курса лечения </t>
  </si>
  <si>
    <t>Профилактика, диагностика и лечение оппортунистических инфекций</t>
  </si>
  <si>
    <t xml:space="preserve">ТБ/ВИЧ </t>
  </si>
  <si>
    <t xml:space="preserve">Амбулаторный уход </t>
  </si>
  <si>
    <t xml:space="preserve">Стационарный уход </t>
  </si>
  <si>
    <t>Укрепление систем сообществ — лечение</t>
  </si>
  <si>
    <t>Устранение факторов, имеющих отношение к правам человека и препятствующих доступу к услугам — лечение</t>
  </si>
  <si>
    <t xml:space="preserve">Другие мероприятия по лечению (укажите) </t>
  </si>
  <si>
    <t xml:space="preserve">Регулярная отчетность </t>
  </si>
  <si>
    <t>Анализ, оценка и прозрачность</t>
  </si>
  <si>
    <t>Надзор</t>
  </si>
  <si>
    <t>Источники административных и финансовых данных</t>
  </si>
  <si>
    <t>Планирование, координация и управление</t>
  </si>
  <si>
    <t>Управление грантами</t>
  </si>
  <si>
    <t>Выявление больных и диагностика</t>
  </si>
  <si>
    <t xml:space="preserve">Лечение
</t>
  </si>
  <si>
    <t xml:space="preserve">Профилактика
</t>
  </si>
  <si>
    <t xml:space="preserve">Участие всех поставщиков услуг </t>
  </si>
  <si>
    <t>Привлечение сообществ и гражданского общества (включая социальную мобилизацию)</t>
  </si>
  <si>
    <t>Выявление и лечение ТБ среди подверженных высокому риску групп населения</t>
  </si>
  <si>
    <t>Комплексные мероприятия с участием других секторов</t>
  </si>
  <si>
    <t xml:space="preserve">Комплексные меры борьбы с коинфекцией ТБ/ВИЧ </t>
  </si>
  <si>
    <t>Участие всех поставщиков медицинских услуг⃰</t>
  </si>
  <si>
    <t>Привлечение сообществ и гражданского общества (включая социальную мобилизацию)⃰</t>
  </si>
  <si>
    <t>Выявление и лечение ТБ/ВИЧ среди подверженных высокому риску групп населения</t>
  </si>
  <si>
    <t>Совместные мероприятия с участием других секторов⃰</t>
  </si>
  <si>
    <t>Выявление больных и диагностика: МЛУ-ТБ</t>
  </si>
  <si>
    <t>Лечение: МЛУ-ТБ</t>
  </si>
  <si>
    <t>Выявление и лечение МЛУ-ТБ среди подверженных высокому риску групп населения</t>
  </si>
  <si>
    <t>Правовая и политическая реформа</t>
  </si>
  <si>
    <t>Обучение и наращивание потенциала</t>
  </si>
  <si>
    <t>Доступ к правосудию</t>
  </si>
  <si>
    <t>Мониторинг соблюдения прав человека и предоставление соответствующей отчетности</t>
  </si>
  <si>
    <t>Регулярная отчетность</t>
  </si>
  <si>
    <t>Поддержка УЗС для борьбы с ТБ</t>
  </si>
  <si>
    <t>Сетки, обработанные инсектицидом длительного действия (СОИДД) – массовая кампания</t>
  </si>
  <si>
    <t>Сетки, обработанные инсектицидом длительного действия (СОИДД) – регулярное распространение</t>
  </si>
  <si>
    <t>Обработка помещений инсектицидами длительного действия</t>
  </si>
  <si>
    <t>Другие меры борьбы с переносчиками</t>
  </si>
  <si>
    <t>Энтомологический мониторинг</t>
  </si>
  <si>
    <t>Адвокация, коммуникация и социальная мобилизация (АКСМ)</t>
  </si>
  <si>
    <t>Стационарное лечение</t>
  </si>
  <si>
    <t>Эпидемиологическая готовность и ответные меры</t>
  </si>
  <si>
    <t>Комплексное ведение больных на уровне сообществ</t>
  </si>
  <si>
    <t>Активное выявление и расследование случаев заболевания (этап ликвидации малярии)</t>
  </si>
  <si>
    <t>Контроль эффективности лечения</t>
  </si>
  <si>
    <t>Тяжелые случаи малярии</t>
  </si>
  <si>
    <t>Механизм совместного финансирования с участием частного сектора</t>
  </si>
  <si>
    <t>Ведение пациентов частного сектора (другое)</t>
  </si>
  <si>
    <t>Национальный регуляторный орган по медпрепаратам</t>
  </si>
  <si>
    <t>Периодическое профилактическое лечение (ППЛ) – во время беременности</t>
  </si>
  <si>
    <t>Периодическое профилактическое лечение (ППЛ) – в младенческом возрасте</t>
  </si>
  <si>
    <t>Химиопрофилактика сезонной малярии</t>
  </si>
  <si>
    <t>Инфраструктура</t>
  </si>
  <si>
    <t xml:space="preserve">Сервисные организации и управление медучреждениями   </t>
  </si>
  <si>
    <t>Повышение спроса на услуги здравоохранения</t>
  </si>
  <si>
    <t>Укрепление потенциала</t>
  </si>
  <si>
    <t>Расширение охвата и распределение трудовых ресурсов</t>
  </si>
  <si>
    <t>Удержание работников</t>
  </si>
  <si>
    <t>Инфраструктура УЗС</t>
  </si>
  <si>
    <t>Практическое применение систем управления закупками и снабжением (УЗС)</t>
  </si>
  <si>
    <t>Разработка и реализация правовых и политических реформ</t>
  </si>
  <si>
    <t>Адвокация в целях проведения правовых и политических реформ</t>
  </si>
  <si>
    <t>Мониторинг и отчетность в области осуществления права и мер политики</t>
  </si>
  <si>
    <t>Финансовая устойчивость</t>
  </si>
  <si>
    <t>Справедливое финансирование здравоохранения</t>
  </si>
  <si>
    <t xml:space="preserve">Осуществление </t>
  </si>
  <si>
    <t>Правоприменительные меры</t>
  </si>
  <si>
    <t>Мониторинг и отчетность в области осуществления прав человека</t>
  </si>
  <si>
    <t>ВИЧ/СПИД</t>
  </si>
  <si>
    <t>Туберкулез</t>
  </si>
  <si>
    <t>УСЗ</t>
  </si>
  <si>
    <t>ППМР</t>
  </si>
  <si>
    <t>Лечение</t>
  </si>
  <si>
    <t>Мониторинг и оценка</t>
  </si>
  <si>
    <t>Управление программой</t>
  </si>
  <si>
    <t>Пакет мер по борьбе с ТБ/ВИЧ (для стран с высоким бременем ТБ/ВИЧ или для групп населения, подверженных высокому риску, во всех странах)</t>
  </si>
  <si>
    <t>Пакет мер по борьбе с МЛУ-ТБ (для стран с высоким бременем МЛУ-ТБ или для групп населения, подверженных высокому риску, во всех странах)</t>
  </si>
  <si>
    <t>Права человека</t>
  </si>
  <si>
    <t>Борьба с переносчиками (БсП)</t>
  </si>
  <si>
    <t>Ведение пациентов (ВП)</t>
  </si>
  <si>
    <t>Мониторинг и оценка (MиО)</t>
  </si>
  <si>
    <t>Управление программой (УП)</t>
  </si>
  <si>
    <t>Предоставление услуг</t>
  </si>
  <si>
    <t>Информационные системы и MиО</t>
  </si>
  <si>
    <t xml:space="preserve">Финансирование здравоохранения </t>
  </si>
  <si>
    <t>Управление программой 
(относится к отдельным грантам по УЗС)</t>
  </si>
  <si>
    <t>Профилактика для всего населения</t>
  </si>
  <si>
    <t>Профилактика для МСМ и целевых групп населения</t>
  </si>
  <si>
    <t>Профилактика для работников секс-бизнеса и их клиентов</t>
  </si>
  <si>
    <t>Профилактика для ПИН и их партнеров</t>
  </si>
  <si>
    <t>Профилактика для подростков и молодежи</t>
  </si>
  <si>
    <t>Профилактика для других язвимых групп населения</t>
  </si>
  <si>
    <t>RCM Mesoamerica and La Hispaniola</t>
  </si>
  <si>
    <t>Multicountry Americas</t>
  </si>
  <si>
    <t>Other</t>
  </si>
  <si>
    <t>Autre</t>
  </si>
  <si>
    <t>Otro</t>
  </si>
  <si>
    <t>другой</t>
  </si>
  <si>
    <t>Модульный подход — концептуальная записка</t>
  </si>
  <si>
    <t>Эта таблица содержит инструкции по заполнению модульной формы. Ячейки, выделенные зеленым цветом, заполняются во время переговоров по выделению гранта.</t>
  </si>
  <si>
    <t>Периодическая оценка</t>
  </si>
  <si>
    <t>A. Сведения о программе</t>
  </si>
  <si>
    <t>Компонент:</t>
  </si>
  <si>
    <t>Год начала:</t>
  </si>
  <si>
    <t>Месяц начала:</t>
  </si>
  <si>
    <t>ЕПФ/ номер гранта:</t>
  </si>
  <si>
    <t>Основные реципиенты</t>
  </si>
  <si>
    <t>(Выберите из списка или добавьте нового)</t>
  </si>
  <si>
    <t>Отчетные периоды</t>
  </si>
  <si>
    <t>Охватываемый период: начало</t>
  </si>
  <si>
    <t>Охватываемый период: конец</t>
  </si>
  <si>
    <t>Дата подачи отчета о реализации программы</t>
  </si>
  <si>
    <t xml:space="preserve">Дата периодической оценки </t>
  </si>
  <si>
    <t>Дата подачи аудиторского отчета</t>
  </si>
  <si>
    <t xml:space="preserve">Период </t>
  </si>
  <si>
    <t>Год 4</t>
  </si>
  <si>
    <t>Год 5</t>
  </si>
  <si>
    <t>B. Цели программы и показатели воздействия</t>
  </si>
  <si>
    <t xml:space="preserve">  Цели:</t>
  </si>
  <si>
    <t>Привязка к цели(ям) #</t>
  </si>
  <si>
    <t>Показатель воздействия</t>
  </si>
  <si>
    <t>Исходный уровень</t>
  </si>
  <si>
    <t>Целевые показатели</t>
  </si>
  <si>
    <t>Величина</t>
  </si>
  <si>
    <t xml:space="preserve">Год </t>
  </si>
  <si>
    <t>Источник</t>
  </si>
  <si>
    <t>Год 1</t>
  </si>
  <si>
    <t>Год 2</t>
  </si>
  <si>
    <t>Год 3</t>
  </si>
  <si>
    <t>Дата подачи отчета</t>
  </si>
  <si>
    <t>C. Задачи программы и показатели долгосрочных результатов</t>
  </si>
  <si>
    <t xml:space="preserve">     Задачи:</t>
  </si>
  <si>
    <t xml:space="preserve">Привязка к задаче(задачам) # </t>
  </si>
  <si>
    <t>Показатель долгосрочного результата</t>
  </si>
  <si>
    <t>Номер задачи и показателя</t>
  </si>
  <si>
    <t>Показатель</t>
  </si>
  <si>
    <t>Сфера предоставления услуг</t>
  </si>
  <si>
    <t>Итоговый целевой показатель предыдущего реализационного периода</t>
  </si>
  <si>
    <t>Последние результаты</t>
  </si>
  <si>
    <t>Суммарные целевые показатели</t>
  </si>
  <si>
    <t>Ответственный основной реципиент (реципиенты)</t>
  </si>
  <si>
    <t>10 главных показателей</t>
  </si>
  <si>
    <t>Указывать расчетные целевые значения показателей, включаемых в модульную форму, не обязательно, однако если вы предоставите дополнительную информацию о том, каким образом определяются целевые показатели, это может способствовать достижению взаимопонимания и согласия между основным реципиентом и Секретариатом Глобального фонда и ускорить переговорный процесс.</t>
  </si>
  <si>
    <t>Выберите значение…</t>
  </si>
  <si>
    <t>Укажите: 1) общие предположения, использованные при расчете целевых показателей; 2) предположительный уровень расширения охвата; 3) показатели численности населения, 4) описание показателей/ пакета услуг; 5) источники данных; 6) другую необходимую информацию.</t>
  </si>
  <si>
    <t>Укажите: 1) обоснование запроса на предоставление поддержки Глобальным фондом; 2) связь с национальным стратегическим планом; 3) целевую группу населения и географический охват; 4) подход к реализации; 5) другую необходимую информацию. Разграничьте охват запроса на ориентировочное финансирование и запроса на финансирование сверх ориентировочного уровня.</t>
  </si>
  <si>
    <t>Укажите: 1) примерное число услуг, которые предполагается профинансировать; 2) предполагаемые затраты и источники данных; 3) основные виды деятельности; 4) другую необходимую информацию. Разграничьте ориентировочное финансирование и финансирование сверх ориентировочного уровня.</t>
  </si>
  <si>
    <t>Другое финансирование, полученное для реализации данного мероприятия (включая охват финансируемыми видами деятельности)</t>
  </si>
  <si>
    <t>Общий объем запрашиваемого трехгодичного финансирования для каждого модуля</t>
  </si>
  <si>
    <t>Чтобы обновить сводную таблицу и внести в нее последние суммы, указанные в бюджете модулей на листе Концептуальной записки, щелкните по любому участку сводной таблицы, а затем нажмите «Alt + F5».</t>
  </si>
  <si>
    <t>% молодых ВИЧ-положительных женщин и мужчин в возрасте 15-24 лет</t>
  </si>
  <si>
    <t>Уровень смертности, связанной со СПИДом (с разбивкой по возрастным категориям и полу)</t>
  </si>
  <si>
    <t>% мужчин, практикующих секс с ВИЧ-положительными мужчинами</t>
  </si>
  <si>
    <t>% ВИЧ-положительных работников секс-бизнеса</t>
  </si>
  <si>
    <t>% ВИЧ-положительных потребителей инъекционных наркотиков</t>
  </si>
  <si>
    <t>Распространенность ИППП (основные группы населения, беременные женщины, в зависимости от обстоятельств)</t>
  </si>
  <si>
    <t>% инфицированных детей, рожденных ВИЧ-положительными матерями</t>
  </si>
  <si>
    <t xml:space="preserve">Число подтвержденных случаев малярии (на основании микроскопии или БДТ) на 1000 человек населения в год (с разбивкой по полу) </t>
  </si>
  <si>
    <t>Число зарегистрированных случаев малярии (с разбивкой по полу)</t>
  </si>
  <si>
    <t>% женщин и мужчин в возрасте от 15 до 49 лет, которые за последние 12 месяцев имели половые контакты более чем с одним партнером (с разбивкой по возрастным группам 15-19 лет и 20-24 года)</t>
  </si>
  <si>
    <t>% женщин и мужчин в возрасте от 15 до 49 лет, которые за последние 12 месяцев имели половые контакты более чем с одним партнером и использовали презерватив при последнем половом контакте (с разбивкой по возрастным группам 15-19 лет и 20-24 года)</t>
  </si>
  <si>
    <t xml:space="preserve">% посещения школ сиротами и детьми, не являющимися сиротами </t>
  </si>
  <si>
    <t>% ВИЧ-положительных взрослых и детей, срок лечения которых составлял 12 месяцев после начала антиретровирусной терапии (с разбивкой по возрастным категориям и полу); следует также указать процентные доли взрослых и детей, срок лечения которых составлял 24 и 36 месяцев</t>
  </si>
  <si>
    <t>Показатель выявления ТБ на 100 000 человек населения - бактериологически подтвержденные случаи (новые и рецидивы, с разбивкой по возрастным категориям и полу)</t>
  </si>
  <si>
    <t>Показатель выявления всех форм ТБ на 100 000 человек населения - бактериологически подтвержденные + клинически диагностированные случаи (с разбивкой по возрастным категориям и полу)</t>
  </si>
  <si>
    <t>Уровень излечиваемости - бактериологически подтвержденные случаи ТБ (с разбивкой по возрастным категориям и полу)</t>
  </si>
  <si>
    <t>Доля населения, которое провела прошлую ночь под СОИ (с разбивкой по возрастным категориям, полу, наличию/ отсутствию беременности и географическим районам)</t>
  </si>
  <si>
    <t>Число и % ПИН, охваченных программами распространения шприцев с иглами</t>
  </si>
  <si>
    <t>Число игл и шприцев на одного потребителя инъекционных наркотиков в год, распространенных в рамках программ распространения шприцев с иглами</t>
  </si>
  <si>
    <t>Число и % имеющих показания взрослых и детей в настоящее время получающих антиретровирусную терапию (с разбивкой по возрастным категориям и полу)</t>
  </si>
  <si>
    <t>Число и % взрослых и детей, впервые включенных в списки для получения ухода в связи с ВИЧ и начавших лечение от латентного ТБ (профилактическая терапия изониазидом)</t>
  </si>
  <si>
    <t xml:space="preserve">Число и % лабораторий микроскопии, работа которых оценивается как удовлетворительная в рамках внешнего процесса обеспечения качества </t>
  </si>
  <si>
    <t>Число и % пациентов с бактериологически подтвержденным ТБ, успешно прошедших курс лечения (излечившиеся + прошедшие полный курс) среди пациентов с бактериологически подтвержденным ТБ, зарегистрированных в указанный период времени</t>
  </si>
  <si>
    <t>Число и % отчетных учреждений (районных или центральных), сообщающих об отсутствии дефицита противотуберкулезных лекарственных средств первой линии на первый день квартала</t>
  </si>
  <si>
    <t xml:space="preserve">Число и % случаев ТБ (все формы), зарегистрированных общинными медицинскими работниками и добровольцами, по отношению к общему числу случаев TB, зарегистрированных основным административным подразделением </t>
  </si>
  <si>
    <t xml:space="preserve">Число пациентов с бактериологически подтвержденным лекарственно-устойчивым ТБ (устойчивым к рифампицину ТБ и/или МЛУ-ТБ), начавших прием препаратов второго ряда </t>
  </si>
  <si>
    <t>Число потенциальных носителей лекарственно-устойчивого ТБ (устойчивого к рифампицину ТБ и/или МЛУ-ТБ), начавших прием препаратов второго ряда</t>
  </si>
  <si>
    <t xml:space="preserve">Число СОИ/СОИДД, распространенных в рамках массовых кампаний среди подверженных риску групп населения </t>
  </si>
  <si>
    <t>Число и % подверженных риску целевых групп населения, получавших СОИ: беременные женщины, дети младше 5 лет, мигранты, и т.д.</t>
  </si>
  <si>
    <t>Число и % пациентов с подтвержденной малярией, получивших лечение противомалярийными препаратами первого ряда в соответствии с национальной политикой (с разбивкой по полу)</t>
  </si>
  <si>
    <t>Число и % государственных или частных учреждений здравоохранения, в которых не наблюдалось дефицита основных предметов медицинского назначения, с разбивкой по месяцам (следует также предоставить данные по общинным медицинским работникам, не испытывающим такого дефицита)</t>
  </si>
  <si>
    <t>Число и % женщин, посещающих антенатальные клиники и получивших ПТИ не менее трех раз</t>
  </si>
  <si>
    <t>Число и % медучреждений на 10 000 человек населения</t>
  </si>
  <si>
    <t>Число посещений амбулаторных пациентов на 10 000 человек населения</t>
  </si>
  <si>
    <t>Распределение работников здравоохранения (с разбивкой по специальности, специализации, географическим районам и полу)</t>
  </si>
  <si>
    <t>Число работников здравоохранения, вновь принятых на работу в учреждения первичной медико-санитарной помощи за последние 12 месяцев, в виде процентной доли от запланированного целевого показателя</t>
  </si>
  <si>
    <t>Ежегодный уровень удержания медперсонала в учреждениях первичной медико-санитарной помощи</t>
  </si>
  <si>
    <t>% медицинских учреждений, не сообщавших об израсходовании запасов основных лекарственных средств</t>
  </si>
  <si>
    <t>Число и % отчетных учреждений на уровне страны, области или района, своевременно представляющих отчетность в соответствии с национальными руководящими принципами</t>
  </si>
  <si>
    <t>Число и % зарегистрированный случаев смерти (в системе регистрации актов гражданского состояния или выборочной регистрации, больницах и общинных системах отчетности) по отношению к общему уровню смертности за тот же период и для того же географического района</t>
  </si>
  <si>
    <t>Пакет мер на основе ДОТС</t>
  </si>
  <si>
    <t>Специальные профилактические мероприятия (СПМ)</t>
  </si>
  <si>
    <t>Медицинские кадры</t>
  </si>
  <si>
    <t>Управление закупками и снабжением</t>
  </si>
  <si>
    <t>Правовая, политическая, стратегическая и нормативная среда</t>
  </si>
  <si>
    <t>Малярия</t>
  </si>
  <si>
    <t>En esta tabla se proporciona orientación sobre cómo rellenar el Marco de Desempeño. El Marco de Desempeño real se completará en la hoja de trabajo: "Performance Framework." Las celdas destacadas en color verde se completarán durante la negociación de la subvención.</t>
  </si>
  <si>
    <t>Describa lo siguiente: 1) supuestos generales usados al calcular las metas;: 2) tasa de ampliación prevista; 3) estimaciones del tamaño de la población; 4) descripción del indicador/paquete de servicios; 5) fuente de datos; 6) otra información pertinente.</t>
  </si>
  <si>
    <t>Describa lo siguiente: 1) justificación para el apoyo del Fondo Mundial; 2) vínculos con el plan estratégico nacional; 3) población objetivo y alcance geográfico; 4) enfoque de ejecución; y 5) otra información pertinente. Diferencie entre el alcance de la solicitud de financiamiento indicativo y la correspondiente al importe por encima del indicativo.</t>
  </si>
  <si>
    <t>Supuestos de costo para la solicitud al Fondo Mundial</t>
  </si>
  <si>
    <t>Describa lo siguiente: 1) supuestos de costo y fuentes de datos; 2) actividades clave; 3) otra información pertinente. Diferencie entre el alcance de la solicitud de financiamiento indicativo y la correspondiente al importe por encima del indicativo..</t>
  </si>
  <si>
    <t xml:space="preserve">INDIQUE AQUÍ LOS SUPUESTOS DE COSTO PARA EL PRESUPUESTO </t>
  </si>
  <si>
    <t>No es obligatorio indicar supuestos de costo detallados para el presupuesto, pero proporcionar información adicional puede facilitar el entendimiento entre el Receptor Principal y la Secretaría del Fondo Mundial para llegar a un acuerdo y acelerar el proceso de negociación.</t>
  </si>
  <si>
    <t>Mortalidad relacionada con el SIDA (desglosada por edad y sexo)</t>
  </si>
  <si>
    <t xml:space="preserve">Casos de malaria confirmados (por microscopia o PDR) por cada 1.000 personas al año (desglosados por sexo) </t>
  </si>
  <si>
    <t>Casos de malaria notificados (desglosados por sexo)</t>
  </si>
  <si>
    <t>Tasa de notificación de casos por cada 100.000 habitantes - confirmada bacteriológicamente (casos nuevos y recidivas) (desglosada por edad y sexo)</t>
  </si>
  <si>
    <t>Tasa de notificación de casos de todas las formas de tuberculosis por cada 100.000 habitantes - confirmada bacteriológicamente y con diagnóstico clínico (desglosada por edad y sexo)</t>
  </si>
  <si>
    <t>Tasa de éxito del tratamiento - casos de tuberculosis confirmados bacteriológicamente (desglosada por edad y sexo)</t>
  </si>
  <si>
    <t xml:space="preserve">Tasa de éxito del tratamiento (TB-MR) </t>
  </si>
  <si>
    <t>Proporción de la población que durmió bajo un mosquitero tratado con insecticida (MTI ) la pasada noche (desglosado por edad, sexo, estado de embarazo, ubicación geográfica)</t>
  </si>
  <si>
    <t>Creación de capacidad</t>
  </si>
  <si>
    <t>Presentación de informes periódicos</t>
  </si>
  <si>
    <t>Promoción de reformas jurídicas y políticas</t>
  </si>
  <si>
    <t>Prevención - Programas de reducción de daños para consumidores de drogas inyectables y sus parejas</t>
  </si>
  <si>
    <t>Tratamiento, atención y apoyo</t>
  </si>
  <si>
    <t>Gestión de la cadena de adquisiciones y suministros</t>
  </si>
  <si>
    <t>Entorno jurídico, político, estratégico y regulador</t>
  </si>
  <si>
    <t>Démarche modulaire : note conceptuelle</t>
  </si>
  <si>
    <t>Ce tableau donne des indications sur la façon de remplir le document-type modulaire. Les cellules surlignées en vert seront complétées lors de la négociation de subvention.</t>
  </si>
  <si>
    <t>Examen périodique</t>
  </si>
  <si>
    <t>Veuillez lire attentivement la fiche d'instructions avant de remplir ce modèle</t>
  </si>
  <si>
    <t>A. Détails du programme</t>
  </si>
  <si>
    <t>Pays / Candidat :</t>
  </si>
  <si>
    <t>Numéro SFU :</t>
  </si>
  <si>
    <t>Récipiendaires principaux</t>
  </si>
  <si>
    <t>(Veuillez choisir un récipiendaire principal dans la liste ou en ajouter un nouveau)</t>
  </si>
  <si>
    <t>Période de communication de l'information</t>
  </si>
  <si>
    <t>Période couverte : du</t>
  </si>
  <si>
    <t>Période couverte : au</t>
  </si>
  <si>
    <t>Date de remise du rapport sur les résultats actuels</t>
  </si>
  <si>
    <t>Demande de décaissement (O, N)</t>
  </si>
  <si>
    <t xml:space="preserve">Période </t>
  </si>
  <si>
    <t>Année 4</t>
  </si>
  <si>
    <t>Année 5</t>
  </si>
  <si>
    <t>B. Buts du programme et indicateurs d'impact</t>
  </si>
  <si>
    <t xml:space="preserve">  Buts :</t>
  </si>
  <si>
    <t>Indicateur d'impact</t>
  </si>
  <si>
    <t>Données de référence</t>
  </si>
  <si>
    <t>Cibles</t>
  </si>
  <si>
    <t>Valeur</t>
  </si>
  <si>
    <t xml:space="preserve">Année </t>
  </si>
  <si>
    <t>Année 1</t>
  </si>
  <si>
    <t>Année 2</t>
  </si>
  <si>
    <t>Année 3</t>
  </si>
  <si>
    <t xml:space="preserve">     Objectifs :</t>
  </si>
  <si>
    <t>Indicateur d'effet</t>
  </si>
  <si>
    <t>Numéro de l'objectif/indicateur</t>
  </si>
  <si>
    <t>Indicateur</t>
  </si>
  <si>
    <t>Domaine de prestation de services</t>
  </si>
  <si>
    <t>Précédente période de mise en œuvre de la cible finale</t>
  </si>
  <si>
    <t xml:space="preserve">Derniers résultats/données de référence </t>
  </si>
  <si>
    <t>Derniers résultats disponibles</t>
  </si>
  <si>
    <t>Période 1</t>
  </si>
  <si>
    <t>Période 2</t>
  </si>
  <si>
    <t>Période 3</t>
  </si>
  <si>
    <t>Période 4</t>
  </si>
  <si>
    <t>Période 5</t>
  </si>
  <si>
    <t>Période 6</t>
  </si>
  <si>
    <t>Période 7</t>
  </si>
  <si>
    <t>Période 8</t>
  </si>
  <si>
    <t>Période 9</t>
  </si>
  <si>
    <t>Période 10</t>
  </si>
  <si>
    <t>Période 11</t>
  </si>
  <si>
    <t>Période 12</t>
  </si>
  <si>
    <t xml:space="preserve">Récipiendaires principaux responsables </t>
  </si>
  <si>
    <t>VEUILLEZ INDIQUER ICI LES HYPOTHÈSES DE CIBLES CONCERNANT LES INDICATEURS DE PRODUIT ET DE COUVERTURE</t>
  </si>
  <si>
    <t>Il n'est pas obligatoire de fournir des hypothèses de cibles pour les indicateurs qui sont inclus dans le cadre de résultats. Toutefois fournir des informations supplémentaires sur la manière dont les cibles ont été déterminées peut aider le récipiendaire principal et le Secrétariat du Fonds mondial à trouver un terrain d'entente et accélérer le processus de négociation.</t>
  </si>
  <si>
    <t>Au-delà du montant indicatif</t>
  </si>
  <si>
    <t>Hypothèses pour les cibles</t>
  </si>
  <si>
    <t>Demande de financement au-delà du montant indicatif pour le module complet</t>
  </si>
  <si>
    <t>Veuillez décrire 1) le fondement du soutien du Fonds mondial, 2) les liens avec le plan stratégique national, 3) la population ciblée et le champ d'application géographique, 4) la démarche de mise en œuvre, 5) toute autre information pertinente. Veuillez différencier le champ d'application de la demande de financement indicatif de celui de la demande de financement au-delà du montant indicatif</t>
  </si>
  <si>
    <t>Budget consacré à l'intervention (demande adressée au Fonds mondial uniquement)</t>
  </si>
  <si>
    <t>Hypothèses des coûts pour la demande adressée au Fonds mondial</t>
  </si>
  <si>
    <t>Veuillez décrire : 1) les hypothèses de coûts et les sources de données, 2) les activités clés, 3) toute autre information pertinente. Veuillez différencier le financement indicatif du financement au-delà du montant indicatif</t>
  </si>
  <si>
    <t xml:space="preserve">Prévalence de la tuberculose multirésistante parmi les nouveaux cas détectés </t>
  </si>
  <si>
    <t>Pourcentage d'adultes et d'enfants vivant avec le VIH et sous traitement 12 mois après le début du traitement antirétroviral (ventilé par âge et par sexe). Veuillez également communiquer les informations obtenues 24 et 36 mois après.</t>
  </si>
  <si>
    <t>Nombre et pourcentage d'individus issus de la population cible qui ont bénéficié d'une approche communautaire au travers d'interventions harmonisées de prévention du VIH</t>
  </si>
  <si>
    <t>Nombre et pourcentage de femmes enceintes qui connaissent leur statut sérologique à l'égard du VIH</t>
  </si>
  <si>
    <t>Nombre et pourcentage d'adultes et d'enfants répondant aux conditions et bénéficiant actuellement d'un traitement antirétroviral (ventilés par âge et par sexe)</t>
  </si>
  <si>
    <t>Nombre et pourcentage d'adultes et d'enfants admis dans des services de prise en charge du VIH dont le statut à l'égard de la tuberculose a été examiné et enregistré au cours de leur dernière visite, pendant la période de communication de l’information, parmi tous les adultes et enfants admis dans des services de prise en charge du VIH et ayant consulté pour des soins pendant la période de communication de l’information</t>
  </si>
  <si>
    <t xml:space="preserve">Nombre et pourcentage de patients tuberculeux avec statut sérologique à l'égard du VIH connu : patients tuberculeux enregistrés pendant la période de communication de l’information dont le résultat du test VIH a été enregistré dans le registre de la tuberculose, par rapport au nombre total de patients tuberculeux enregistrés pendant la période de communication de l’information </t>
  </si>
  <si>
    <t xml:space="preserve">Nombre et pourcentage de laboratoires effectuant des examens par microscopie dont les résultats sont satisfaisants en termes d'assurance qualité externe </t>
  </si>
  <si>
    <t xml:space="preserve">Nombre et pourcentage d'adultes et d'enfants admis dans des services de prise en charge du VIH dont le statut à l'égard de la tuberculose a été évalué et enregistré au cours de leur dernière visite, pendant la période de communication de l’information, parmi tous les adultes et enfants admis dans des services de prise en charge du VIH et ayant consulté pour des soins pendant la période de communication de l’information </t>
  </si>
  <si>
    <t>Nombre de moustiquaires imprégnées d’insecticide et de moustiquaires imprégnées d’insecticide longue durée distribuées aux populations à risque à travers de campagnes à grande échelle</t>
  </si>
  <si>
    <t>Nombre de moustiquaires imprégnées d’insecticide et de moustiquaires imprégnées d’insecticide longue durée distribuées aux populations ciblées à travers les centres de consultations prénatales, le programme élargi de vaccination, etc.</t>
  </si>
  <si>
    <t>Nombre et pourcentage de cas de paludisme confirmés ayant reçu un traitement antipaludéen de première intention, conformément à la politique nationale (ventilés par sexe)</t>
  </si>
  <si>
    <t>Demande croissante de services de santé</t>
  </si>
  <si>
    <t>Enquêtes</t>
  </si>
  <si>
    <t>Prévention - Population générale</t>
  </si>
  <si>
    <t>Prévention - HSM et transgenres</t>
  </si>
  <si>
    <t>Prévention - Professionnels du sexe et leurs clients</t>
  </si>
  <si>
    <t>Prévention - Programmes de réduction des méfaits pour les consommateurs de drogues par injection et leurs partenaires</t>
  </si>
  <si>
    <t>Prévention - Adolescents et jeunes, scolarisés ou non</t>
  </si>
  <si>
    <t>Prévention - Autres populations vulnérables (préciser)</t>
  </si>
  <si>
    <t>Traitement, prise en charge et soutien</t>
  </si>
  <si>
    <t>Gestion de programme (applicable dans le cadre des subventions indépendantes allouées au renforcement des systèmes de santé)</t>
  </si>
  <si>
    <t xml:space="preserve">Comprend les activités visant à améliorer l'efficacité et l'efficience des systèmes de gestion organisationnelle pour fournir divers services : formation des responsables de soins de santé à tous les niveaux, élaboration et mise en œuvre de politiques et réglementations liées à la prestation de services, à l'organisation et à la gestion (par exemple, système d'orientation, gestion des déchets, etc.), élaboration de mécanismes de supervision dans le cadre de l'assurance qualité, etc. Cette intervention comprend également les résultats opérationnels nécessaires, qui bénéficient essentiellement à plus d'une des trois maladies (VIH, tuberculose, paludisme) mais dont la portée peut également être élargie à d'autres résultats sanitaires (par exemple, santé maternelle, néonatale et infantile, droit à la santé sexuelle et reproductive, etc.) au niveau de l'hôpital, des établissements des soins de santé primaires et de la communauté ; les activités similaires bénéficiant à seulement une maladie peuvent être incluses dans une subvention de lutte contre la maladie. </t>
  </si>
  <si>
    <t xml:space="preserve">Comprend les activités visant à élargir et renforcer le personnel de santé formé et compétent, qui bénéficient essentiellement à plus d'une des trois maladies (VIH, tuberculose, paludisme) mais dont la portée peut également être élargie à d'autres résultats sanitaires (par exemple, santé maternelle, néonatale et infantile, droit à la santé sexuelle et reproductive, etc.)  
Comprend notamment le renforcement du personnel de santé pluridisciplinaire (par exemple, docteurs et infirmiers en soins de santé primaires, agents de santé communautaires, etc.). Les personnes engagées en faveur d'une maladie spécifique (par exemple, centres de traitement antirétroviral) peuvent bénéficier d'une subvention de lutte contre la maladie correspondante. </t>
  </si>
  <si>
    <t xml:space="preserve">Comprend les activités visant à améliorer la répartition équitable et la fidélisation du personnel de santé qualifié et compétent, notamment dans les zones difficiles d'accès et parmi les populations marginalisées, qui bénéficient essentiellement à plus d'une des trois maladies (VIH, tuberculose, paludisme) mais dont la portée peut également être élargie à d'autres résultats sanitaires (par exemple, santé maternelle, néonatale et infantile, droit à la santé sexuelle et reproductive, etc.). Comprend l'élaboration et la mise en œuvre de politiques visant à répartir et fidéliser le personnel, à proposer des incitations financières et non financières aux agents de santé pour fournir les services et à développer la délégation de tâches entre eux. Les personnes engagées en faveur d'une maladie spécifique peuvent bénéficier d'une subvention de lutte contre la maladie correspondante. </t>
  </si>
  <si>
    <t>Comprend les activités qui assurent un stockage et une distribution appropriés de médicaments, consommables et autres produits nécessaires à la prise en charge efficace de plus d'une des trois maladies (VIH, tuberculose et paludisme) mais dont la portée peut également être élargie à d'autres résultats sanitaires (par exemple, gestion intégrée des maladies infantiles, tuberculose/VIH, droit à la santé sexuelle et reproductive, prévention systématique de la transmission de la mère à l'enfant, santé maternelle, néonatale et infantile). Comprend la réhabilitation ou la construction de structures de stockage ainsi que l'achat de véhicules, de matériel et de logiciels pour le système de gestion des achats et de l'approvisionnement.</t>
  </si>
  <si>
    <t>Mise en place/maintenance/renforcement du système national d’information sur la gestion de la santé, notamment le DHIS 2, et de tout système web/électronique lié, afin de favoriser la communication des données à tous les niveaux du système de santé, y compris dans les secteurs public, privé et privé à but non lucratif et dans la communication de l'information au niveau communautaire ; formations ; fiches et outils de communication de l'information avec une ventilation correcte des indicateurs ; surveillance sentinelle ; évaluations de la qualité des données</t>
  </si>
  <si>
    <t>Analyse, interprétation et utilisation des données et des preuves obtenues grâce à l'évaluation ou à l'examen du programme de lutte contre la tuberculose ; élaboration et partage de rapports périodiques grâce à des sites web et des publications ; examens et évaluations des stratégies nationales de santé et de lutte contre la maladie (sont exclues les réunions mensuelles et trimestrielles d'examen tenues à différents niveaux pour renforcer la supervision et le suivi programmatiques) ; recherche opérationnelle</t>
  </si>
  <si>
    <t>Comprend la mise en place de systèmes de communication de l'information périodique (annuelle) sur les statistiques clés en matière d'administration de la santé et de disponibilité des services, tels que le personnel de santé, l'inventaire des prestataires des soins et les institutions ; comptes et sous-comptes nationaux de la santé ; mise en place de systèmes de communication de l'information financière ou de systèmes comptables ; examen annuel du budget et des dépenses consacrés à la santé par source de financement ; étude des dépenses ; mise en place et maintien du système informatique de gestion de la logistique</t>
  </si>
  <si>
    <t xml:space="preserve">Comprend les activités de sensibilisation visant à promouvoir les réformes juridiques et politiques appropriées liées aux systèmes communautaires et de santé. Exemples : renforcement des capacités et mobilisation des acteurs communautaires, des organisations de la société civile et de tout autre intervenant pour renforcer leur engagement auprès des représentants des fonctionnaires publics ; campagnes d'information (niveau communautaire, médias de masse locaux et nationaux, etc.) visant à promouvoir l'élaboration et la mise en œuvre de lois, politiques et réglementations ; établissement de liens, d'une collaboration et d'une coordination communautaires ; sensibilisation aux cadres juridiques et politiques, par exemple : dépénalisation de certains comportements ou protection des groupes marginalisés ; élaboration et mise en application de politiques de protection des enfants </t>
  </si>
  <si>
    <t>Comprend les activités qui contribuent à élaborer des lois, politiques et réglementations permettant de renforcer la capacité à proposer un accès équitable aux services de santé et permettant aux systèmes communautaires de s'inscrire et de défendre les droits des personnes vivant avec les trois maladies et touchées par elles. Comprend la création d'un environnement favorable aux interventions soutenues par le Fonds mondial à travers l'élaboration et la ratification de lois et de politiques.
Comprend également les interventions transversales basées sur les droits de l'homme qui concernent les trois maladies (par exemple, réforme pénitentiaire, réforme des lois et politiques en matière de réfugiés/migrants, de personnes déplacées à l'intérieur du pays et autres).</t>
  </si>
  <si>
    <t>Comprend les activités qui contribuent à exécuter et à mettre en application des lois, politiques et réglementations permettant de renforcer la capacité à proposer un accès équitable aux services de santé et permettant aux systèmes communautaires de s'inscrire et de défendre les droits des personnes vivant avec les trois maladies et touchées par elles. Comprend également les interventions transversales basées sur les droits de l'homme qui concernent les trois maladies (par exemple, réforme pénitentiaire, réforme des lois et politiques en matière de réfugiés/migrants, de personnes déplacées à l'intérieur du pays et autres). Comprend les activités de renforcement des capacités visant à garantir l'application totale des lois et des politiques liées à la santé et aux droits de l'homme.</t>
  </si>
  <si>
    <t>Comprend les activités qui contribuent à mettre en application des lois, politiques et réglementations permettant de renforcer la capacité à proposer un accès équitable aux services de santé et permettant aux systèmes communautaires de s'inscrire et de défendre les droits des personnes vivant avec les trois maladies et touchées par elles. 
Comprend les activités visant à garantir la mise à disposition des moyens de recours pour les personnes vivant avec les trois maladies, les populations-clés affectées, les femmes, etc. 
Comprend également les interventions transversales basées sur les droits de l'homme qui concernent les trois maladies (par exemple, réforme pénitentiaire, réforme des lois et politiques en matière de réfugiés/migrants, de personnes déplacées à l'intérieur du pays et autres).</t>
  </si>
  <si>
    <t>Comprend les activités spécifiques liées à la gestion des subventions du Fonds mondial au niveau de l'unité de gestion de projet, du récipiendaire principal ou des sous-récipiendaires. Exemples : élaboration et transmission de documents de subvention ; supervision et assistance technique liées à la mise en œuvre et à la gestion des subventions du Fonds mondial et aux exigences spécifiques du Fonds mondial ; supervision des sous-récipiendaires au niveau du récipiendaire principal (applicable lorsque le programme national de lutte contre le paludisme n'est pas le récipiendaire principal) ; planification des ressources humaines/dotation en effectifs et frais généraux, frais de fonctionnement ; coordination avec le programme national, les autorités locales et les instances de districts ; réunions trimestrielles, formations et matériel informatique et bureautique au niveau du récipiendaire principal ou des sous-récipiendaires ; mobilisation des responsables pour appuyer la mise en œuvre et la viabilité du programme</t>
  </si>
  <si>
    <t xml:space="preserve">Instituto Nacional de Salud Pública </t>
  </si>
  <si>
    <t>PSI – Population Services International</t>
  </si>
  <si>
    <t>INSP</t>
  </si>
  <si>
    <t xml:space="preserve">Counselling and Psych-social Support </t>
  </si>
  <si>
    <t xml:space="preserve">Conseil et soutien psycho-social </t>
  </si>
  <si>
    <t xml:space="preserve">Asesoramiento y apoyo psicosocial </t>
  </si>
  <si>
    <t xml:space="preserve">Консультирование и психосоциальная поддержка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</si>
</sst>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quot;$&quot;* #,##0.00_-;_-&quot;$&quot;* &quot;-&quot;??_-;_-@_-"/>
    <numFmt numFmtId="43" formatCode="_-* #,##0.00_-;\-* #,##0.00_-;_-* &quot;-&quot;??_-;_-@_-"/>
    <numFmt numFmtId="164" formatCode="[$-409]d\-mmm\-yy;@"/>
    <numFmt numFmtId="165" formatCode="0.0%"/>
  </numFmts>
  <fonts count="53" x14ac:knownFonts="1">
    <font>
      <sz val="10"/>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2"/>
      <name val="Arial"/>
      <family val="2"/>
    </font>
    <font>
      <sz val="11"/>
      <name val="Arial"/>
      <family val="2"/>
    </font>
    <font>
      <sz val="14"/>
      <name val="Arial"/>
      <family val="2"/>
    </font>
    <font>
      <b/>
      <sz val="11"/>
      <name val="Arial"/>
      <family val="2"/>
    </font>
    <font>
      <b/>
      <sz val="12"/>
      <name val="Arial"/>
      <family val="2"/>
    </font>
    <font>
      <b/>
      <sz val="10"/>
      <name val="Arial"/>
      <family val="2"/>
    </font>
    <font>
      <b/>
      <sz val="14"/>
      <name val="Arial"/>
      <family val="2"/>
    </font>
    <font>
      <sz val="10"/>
      <name val="Arial"/>
      <family val="2"/>
    </font>
    <font>
      <i/>
      <sz val="10"/>
      <name val="Arial"/>
      <family val="2"/>
    </font>
    <font>
      <sz val="9"/>
      <color indexed="81"/>
      <name val="Tahoma"/>
      <family val="2"/>
    </font>
    <font>
      <b/>
      <sz val="9"/>
      <name val="Arial"/>
      <family val="2"/>
    </font>
    <font>
      <b/>
      <sz val="9"/>
      <color indexed="81"/>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sz val="10"/>
      <color rgb="FF000000"/>
      <name val="Arial"/>
      <family val="2"/>
    </font>
    <font>
      <sz val="10"/>
      <color theme="1"/>
      <name val="Calibri"/>
      <family val="2"/>
      <scheme val="minor"/>
    </font>
    <font>
      <b/>
      <sz val="12"/>
      <color theme="0"/>
      <name val="Arial"/>
      <family val="2"/>
    </font>
    <font>
      <b/>
      <sz val="10"/>
      <color rgb="FFFF0000"/>
      <name val="Arial"/>
      <family val="2"/>
    </font>
    <font>
      <b/>
      <sz val="14"/>
      <color theme="0"/>
      <name val="Arial"/>
      <family val="2"/>
    </font>
    <font>
      <b/>
      <sz val="12"/>
      <color theme="5"/>
      <name val="Arial"/>
      <family val="2"/>
    </font>
    <font>
      <sz val="12"/>
      <color theme="1"/>
      <name val="Arial"/>
      <family val="2"/>
    </font>
    <font>
      <b/>
      <sz val="11"/>
      <color theme="1"/>
      <name val="Arial"/>
      <family val="2"/>
    </font>
    <font>
      <sz val="12"/>
      <color indexed="8"/>
      <name val="Arial"/>
      <family val="2"/>
    </font>
    <font>
      <sz val="12"/>
      <color rgb="FF333333"/>
      <name val="Arial"/>
      <family val="2"/>
    </font>
    <font>
      <sz val="9"/>
      <color indexed="81"/>
      <name val="Tahoma"/>
      <charset val="1"/>
    </font>
    <font>
      <b/>
      <sz val="9"/>
      <color indexed="81"/>
      <name val="Tahoma"/>
      <charset val="1"/>
    </font>
  </fonts>
  <fills count="42">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3" tint="0.59996337778862885"/>
        <bgColor indexed="64"/>
      </patternFill>
    </fill>
    <fill>
      <patternFill patternType="solid">
        <fgColor theme="7" tint="0.59999389629810485"/>
        <bgColor indexed="64"/>
      </patternFill>
    </fill>
  </fills>
  <borders count="10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dotted">
        <color indexed="64"/>
      </right>
      <top style="thin">
        <color indexed="64"/>
      </top>
      <bottom style="dotted">
        <color indexed="64"/>
      </bottom>
      <diagonal/>
    </border>
    <border>
      <left style="thin">
        <color indexed="64"/>
      </left>
      <right/>
      <top style="dotted">
        <color indexed="64"/>
      </top>
      <bottom style="dotted">
        <color indexed="64"/>
      </bottom>
      <diagonal/>
    </border>
    <border>
      <left style="dotted">
        <color indexed="64"/>
      </left>
      <right/>
      <top style="thin">
        <color indexed="64"/>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tted">
        <color indexed="64"/>
      </bottom>
      <diagonal/>
    </border>
    <border>
      <left/>
      <right style="dotted">
        <color indexed="64"/>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style="dotted">
        <color indexed="64"/>
      </right>
      <top/>
      <bottom/>
      <diagonal/>
    </border>
    <border>
      <left style="thin">
        <color indexed="64"/>
      </left>
      <right style="dotted">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top/>
      <bottom style="dotted">
        <color indexed="64"/>
      </bottom>
      <diagonal/>
    </border>
    <border>
      <left style="thin">
        <color indexed="64"/>
      </left>
      <right/>
      <top/>
      <bottom/>
      <diagonal/>
    </border>
    <border>
      <left style="thin">
        <color indexed="64"/>
      </left>
      <right/>
      <top style="dotted">
        <color indexed="64"/>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thin">
        <color indexed="64"/>
      </left>
      <right/>
      <top style="thin">
        <color indexed="64"/>
      </top>
      <bottom/>
      <diagonal/>
    </border>
    <border>
      <left style="dotted">
        <color indexed="64"/>
      </left>
      <right style="dotted">
        <color indexed="64"/>
      </right>
      <top/>
      <bottom/>
      <diagonal/>
    </border>
    <border>
      <left style="dotted">
        <color indexed="64"/>
      </left>
      <right style="dotted">
        <color indexed="64"/>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right style="dotted">
        <color indexed="64"/>
      </right>
      <top style="thin">
        <color indexed="64"/>
      </top>
      <bottom/>
      <diagonal/>
    </border>
    <border>
      <left/>
      <right style="dotted">
        <color indexed="64"/>
      </right>
      <top/>
      <bottom style="thin">
        <color indexed="64"/>
      </bottom>
      <diagonal/>
    </border>
    <border>
      <left style="dotted">
        <color indexed="64"/>
      </left>
      <right style="dotted">
        <color indexed="64"/>
      </right>
      <top style="thin">
        <color indexed="64"/>
      </top>
      <bottom/>
      <diagonal/>
    </border>
    <border>
      <left style="dotted">
        <color indexed="64"/>
      </left>
      <right/>
      <top style="thin">
        <color indexed="64"/>
      </top>
      <bottom/>
      <diagonal/>
    </border>
    <border>
      <left style="dotted">
        <color indexed="64"/>
      </left>
      <right/>
      <top/>
      <bottom style="thin">
        <color indexed="64"/>
      </bottom>
      <diagonal/>
    </border>
    <border>
      <left/>
      <right style="thin">
        <color indexed="64"/>
      </right>
      <top style="thin">
        <color indexed="64"/>
      </top>
      <bottom style="dotted">
        <color indexed="64"/>
      </bottom>
      <diagonal/>
    </border>
    <border>
      <left/>
      <right style="dotted">
        <color indexed="64"/>
      </right>
      <top style="thin">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otted">
        <color indexed="64"/>
      </bottom>
      <diagonal/>
    </border>
    <border>
      <left style="thin">
        <color indexed="64"/>
      </left>
      <right/>
      <top/>
      <bottom style="dotted">
        <color indexed="64"/>
      </bottom>
      <diagonal/>
    </border>
    <border>
      <left/>
      <right/>
      <top style="dotted">
        <color indexed="64"/>
      </top>
      <bottom style="dotted">
        <color indexed="64"/>
      </bottom>
      <diagonal/>
    </border>
    <border>
      <left style="dotted">
        <color indexed="64"/>
      </left>
      <right/>
      <top style="dotted">
        <color indexed="64"/>
      </top>
      <bottom/>
      <diagonal/>
    </border>
    <border>
      <left/>
      <right style="thin">
        <color indexed="64"/>
      </right>
      <top style="dotted">
        <color indexed="64"/>
      </top>
      <bottom style="dotted">
        <color indexed="64"/>
      </bottom>
      <diagonal/>
    </border>
    <border>
      <left/>
      <right style="dotted">
        <color indexed="64"/>
      </right>
      <top/>
      <bottom/>
      <diagonal/>
    </border>
    <border>
      <left/>
      <right style="dotted">
        <color indexed="64"/>
      </right>
      <top style="dotted">
        <color indexed="64"/>
      </top>
      <bottom style="dotted">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dotted">
        <color indexed="64"/>
      </right>
      <top/>
      <bottom style="dotted">
        <color indexed="64"/>
      </bottom>
      <diagonal/>
    </border>
    <border>
      <left/>
      <right style="dotted">
        <color indexed="64"/>
      </right>
      <top style="dotted">
        <color indexed="64"/>
      </top>
      <bottom/>
      <diagonal/>
    </border>
    <border>
      <left/>
      <right style="thin">
        <color indexed="64"/>
      </right>
      <top style="dotted">
        <color indexed="64"/>
      </top>
      <bottom/>
      <diagonal/>
    </border>
    <border>
      <left/>
      <right style="thin">
        <color indexed="64"/>
      </right>
      <top style="thin">
        <color indexed="64"/>
      </top>
      <bottom style="dashed">
        <color indexed="64"/>
      </bottom>
      <diagonal/>
    </border>
    <border>
      <left/>
      <right style="thin">
        <color indexed="64"/>
      </right>
      <top style="dashed">
        <color indexed="64"/>
      </top>
      <bottom style="dashed">
        <color indexed="64"/>
      </bottom>
      <diagonal/>
    </border>
    <border>
      <left/>
      <right style="thin">
        <color indexed="64"/>
      </right>
      <top style="dashed">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top style="thin">
        <color indexed="64"/>
      </top>
      <bottom style="dashed">
        <color indexed="64"/>
      </bottom>
      <diagonal/>
    </border>
    <border>
      <left style="dashed">
        <color indexed="64"/>
      </left>
      <right/>
      <top style="dashed">
        <color indexed="64"/>
      </top>
      <bottom style="dashed">
        <color indexed="64"/>
      </bottom>
      <diagonal/>
    </border>
    <border>
      <left style="dashed">
        <color indexed="64"/>
      </left>
      <right/>
      <top style="dashed">
        <color indexed="64"/>
      </top>
      <bottom style="thin">
        <color indexed="64"/>
      </bottom>
      <diagonal/>
    </border>
    <border>
      <left/>
      <right style="dashed">
        <color indexed="64"/>
      </right>
      <top style="thin">
        <color indexed="64"/>
      </top>
      <bottom style="thin">
        <color indexed="64"/>
      </bottom>
      <diagonal/>
    </border>
    <border>
      <left/>
      <right style="dashed">
        <color indexed="64"/>
      </right>
      <top style="thin">
        <color indexed="64"/>
      </top>
      <bottom/>
      <diagonal/>
    </border>
    <border>
      <left/>
      <right style="dashed">
        <color indexed="64"/>
      </right>
      <top/>
      <bottom/>
      <diagonal/>
    </border>
    <border>
      <left/>
      <right style="dashed">
        <color indexed="64"/>
      </right>
      <top/>
      <bottom style="thin">
        <color indexed="64"/>
      </bottom>
      <diagonal/>
    </border>
    <border>
      <left style="thin">
        <color indexed="64"/>
      </left>
      <right style="dashed">
        <color indexed="64"/>
      </right>
      <top style="thin">
        <color indexed="64"/>
      </top>
      <bottom style="dotted">
        <color indexed="64"/>
      </bottom>
      <diagonal/>
    </border>
    <border>
      <left style="thin">
        <color indexed="64"/>
      </left>
      <right style="dashed">
        <color indexed="64"/>
      </right>
      <top style="dotted">
        <color indexed="64"/>
      </top>
      <bottom style="dotted">
        <color indexed="64"/>
      </bottom>
      <diagonal/>
    </border>
    <border>
      <left style="thin">
        <color indexed="64"/>
      </left>
      <right style="dashed">
        <color indexed="64"/>
      </right>
      <top style="dotted">
        <color indexed="64"/>
      </top>
      <bottom style="thin">
        <color indexed="64"/>
      </bottom>
      <diagonal/>
    </border>
    <border>
      <left style="thin">
        <color indexed="64"/>
      </left>
      <right style="dashed">
        <color indexed="64"/>
      </right>
      <top/>
      <bottom/>
      <diagonal/>
    </border>
    <border>
      <left/>
      <right/>
      <top style="thin">
        <color indexed="64"/>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dashed">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dotted">
        <color indexed="64"/>
      </left>
      <right style="thin">
        <color indexed="64"/>
      </right>
      <top style="thin">
        <color indexed="64"/>
      </top>
      <bottom/>
      <diagonal/>
    </border>
    <border>
      <left style="dotted">
        <color indexed="64"/>
      </left>
      <right style="thin">
        <color indexed="64"/>
      </right>
      <top/>
      <bottom style="thin">
        <color indexed="64"/>
      </bottom>
      <diagonal/>
    </border>
    <border>
      <left style="dashed">
        <color indexed="64"/>
      </left>
      <right/>
      <top style="thin">
        <color indexed="64"/>
      </top>
      <bottom/>
      <diagonal/>
    </border>
    <border>
      <left style="dashed">
        <color indexed="64"/>
      </left>
      <right/>
      <top/>
      <bottom/>
      <diagonal/>
    </border>
    <border>
      <left style="dashed">
        <color indexed="64"/>
      </left>
      <right/>
      <top/>
      <bottom style="thin">
        <color indexed="64"/>
      </bottom>
      <diagonal/>
    </border>
    <border>
      <left style="thin">
        <color indexed="64"/>
      </left>
      <right style="dashed">
        <color indexed="64"/>
      </right>
      <top style="thin">
        <color indexed="64"/>
      </top>
      <bottom/>
      <diagonal/>
    </border>
    <border>
      <left style="dashed">
        <color indexed="64"/>
      </left>
      <right style="dashed">
        <color indexed="64"/>
      </right>
      <top style="thin">
        <color indexed="64"/>
      </top>
      <bottom/>
      <diagonal/>
    </border>
    <border>
      <left style="dashed">
        <color indexed="64"/>
      </left>
      <right style="dotted">
        <color indexed="64"/>
      </right>
      <top style="thin">
        <color indexed="64"/>
      </top>
      <bottom/>
      <diagonal/>
    </border>
    <border>
      <left style="dashed">
        <color indexed="64"/>
      </left>
      <right style="dashed">
        <color indexed="64"/>
      </right>
      <top/>
      <bottom/>
      <diagonal/>
    </border>
    <border>
      <left style="dashed">
        <color indexed="64"/>
      </left>
      <right style="dotted">
        <color indexed="64"/>
      </right>
      <top/>
      <bottom/>
      <diagonal/>
    </border>
    <border>
      <left style="thin">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style="dotted">
        <color indexed="64"/>
      </right>
      <top/>
      <bottom style="thin">
        <color indexed="64"/>
      </bottom>
      <diagonal/>
    </border>
    <border>
      <left style="dashed">
        <color indexed="64"/>
      </left>
      <right style="dashed">
        <color indexed="64"/>
      </right>
      <top style="thin">
        <color indexed="64"/>
      </top>
      <bottom style="dotted">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diagonal/>
    </border>
    <border>
      <left style="dashed">
        <color indexed="64"/>
      </left>
      <right style="dashed">
        <color indexed="64"/>
      </right>
      <top style="dotted">
        <color indexed="64"/>
      </top>
      <bottom style="thin">
        <color indexed="64"/>
      </bottom>
      <diagonal/>
    </border>
    <border>
      <left style="dashed">
        <color indexed="64"/>
      </left>
      <right style="dashed">
        <color indexed="64"/>
      </right>
      <top/>
      <bottom style="dotted">
        <color indexed="64"/>
      </bottom>
      <diagonal/>
    </border>
    <border>
      <left style="dashed">
        <color indexed="64"/>
      </left>
      <right style="dashed">
        <color indexed="64"/>
      </right>
      <top style="dotted">
        <color indexed="64"/>
      </top>
      <bottom/>
      <diagonal/>
    </border>
    <border>
      <left style="dashed">
        <color indexed="64"/>
      </left>
      <right style="thin">
        <color indexed="64"/>
      </right>
      <top/>
      <bottom style="thin">
        <color indexed="64"/>
      </bottom>
      <diagonal/>
    </border>
    <border>
      <left style="dashed">
        <color indexed="64"/>
      </left>
      <right/>
      <top style="dotted">
        <color indexed="64"/>
      </top>
      <bottom style="thin">
        <color indexed="64"/>
      </bottom>
      <diagonal/>
    </border>
    <border>
      <left/>
      <right style="dashed">
        <color indexed="64"/>
      </right>
      <top style="dotted">
        <color indexed="64"/>
      </top>
      <bottom style="thin">
        <color indexed="64"/>
      </bottom>
      <diagonal/>
    </border>
  </borders>
  <cellStyleXfs count="91">
    <xf numFmtId="0" fontId="0" fillId="0" borderId="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3" borderId="0" applyNumberFormat="0" applyBorder="0" applyAlignment="0" applyProtection="0"/>
    <xf numFmtId="0" fontId="23" fillId="13"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5" fillId="27" borderId="0" applyNumberFormat="0" applyBorder="0" applyAlignment="0" applyProtection="0"/>
    <xf numFmtId="0" fontId="26" fillId="28" borderId="51" applyNumberFormat="0" applyAlignment="0" applyProtection="0"/>
    <xf numFmtId="0" fontId="27" fillId="29" borderId="52" applyNumberFormat="0" applyAlignment="0" applyProtection="0"/>
    <xf numFmtId="43" fontId="18"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0" fontId="28" fillId="0" borderId="0" applyNumberFormat="0" applyFill="0" applyBorder="0" applyAlignment="0" applyProtection="0"/>
    <xf numFmtId="0" fontId="29" fillId="30" borderId="0" applyNumberFormat="0" applyBorder="0" applyAlignment="0" applyProtection="0"/>
    <xf numFmtId="0" fontId="30" fillId="0" borderId="53" applyNumberFormat="0" applyFill="0" applyAlignment="0" applyProtection="0"/>
    <xf numFmtId="0" fontId="31" fillId="0" borderId="54" applyNumberFormat="0" applyFill="0" applyAlignment="0" applyProtection="0"/>
    <xf numFmtId="0" fontId="32" fillId="0" borderId="55" applyNumberFormat="0" applyFill="0" applyAlignment="0" applyProtection="0"/>
    <xf numFmtId="0" fontId="32" fillId="0" borderId="0" applyNumberFormat="0" applyFill="0" applyBorder="0" applyAlignment="0" applyProtection="0"/>
    <xf numFmtId="0" fontId="33" fillId="31" borderId="51" applyNumberFormat="0" applyAlignment="0" applyProtection="0"/>
    <xf numFmtId="0" fontId="34" fillId="0" borderId="56" applyNumberFormat="0" applyFill="0" applyAlignment="0" applyProtection="0"/>
    <xf numFmtId="0" fontId="35" fillId="32" borderId="0" applyNumberFormat="0" applyBorder="0" applyAlignment="0" applyProtection="0"/>
    <xf numFmtId="0" fontId="18" fillId="0" borderId="0"/>
    <xf numFmtId="0" fontId="10" fillId="0" borderId="0"/>
    <xf numFmtId="0" fontId="23" fillId="33" borderId="57" applyNumberFormat="0" applyFont="0" applyAlignment="0" applyProtection="0"/>
    <xf numFmtId="0" fontId="23" fillId="33" borderId="57" applyNumberFormat="0" applyFont="0" applyAlignment="0" applyProtection="0"/>
    <xf numFmtId="0" fontId="23" fillId="33" borderId="57" applyNumberFormat="0" applyFont="0" applyAlignment="0" applyProtection="0"/>
    <xf numFmtId="0" fontId="23" fillId="33" borderId="57" applyNumberFormat="0" applyFont="0" applyAlignment="0" applyProtection="0"/>
    <xf numFmtId="0" fontId="36" fillId="28" borderId="58" applyNumberFormat="0" applyAlignment="0" applyProtection="0"/>
    <xf numFmtId="9" fontId="10" fillId="0" borderId="0" applyFont="0" applyFill="0" applyBorder="0" applyAlignment="0" applyProtection="0"/>
    <xf numFmtId="9" fontId="10" fillId="0" borderId="0" applyFont="0" applyFill="0" applyBorder="0" applyAlignment="0" applyProtection="0"/>
    <xf numFmtId="0" fontId="37" fillId="0" borderId="0" applyNumberFormat="0" applyFill="0" applyBorder="0" applyAlignment="0" applyProtection="0"/>
    <xf numFmtId="0" fontId="38" fillId="0" borderId="59" applyNumberFormat="0" applyFill="0" applyAlignment="0" applyProtection="0"/>
    <xf numFmtId="0" fontId="39" fillId="0" borderId="0" applyNumberFormat="0" applyFill="0" applyBorder="0" applyAlignment="0" applyProtection="0"/>
    <xf numFmtId="0" fontId="10" fillId="0" borderId="0"/>
    <xf numFmtId="0" fontId="9" fillId="0" borderId="0"/>
    <xf numFmtId="0" fontId="4" fillId="0" borderId="0"/>
  </cellStyleXfs>
  <cellXfs count="725">
    <xf numFmtId="0" fontId="0" fillId="0" borderId="0" xfId="0"/>
    <xf numFmtId="0" fontId="11" fillId="0" borderId="0" xfId="0" applyFont="1" applyAlignment="1">
      <alignment horizontal="left" vertical="center" wrapText="1"/>
    </xf>
    <xf numFmtId="0" fontId="13" fillId="0" borderId="0" xfId="0" applyFont="1" applyAlignment="1">
      <alignment horizontal="left" vertical="center" wrapText="1"/>
    </xf>
    <xf numFmtId="0" fontId="12" fillId="0" borderId="0" xfId="0" applyFont="1"/>
    <xf numFmtId="0" fontId="0" fillId="0" borderId="1" xfId="0" applyFont="1" applyBorder="1" applyAlignment="1" applyProtection="1">
      <alignment horizontal="left" vertical="top" wrapText="1"/>
    </xf>
    <xf numFmtId="0" fontId="11" fillId="0" borderId="0" xfId="0" applyFont="1" applyAlignment="1">
      <alignment horizontal="center" vertical="center" wrapText="1"/>
    </xf>
    <xf numFmtId="0" fontId="11" fillId="0" borderId="0" xfId="0" applyFont="1" applyAlignment="1" applyProtection="1">
      <alignment horizontal="center" vertical="center" wrapText="1"/>
      <protection hidden="1"/>
    </xf>
    <xf numFmtId="0" fontId="10" fillId="0" borderId="0" xfId="76" applyFont="1" applyAlignment="1">
      <alignment horizontal="left" vertical="center"/>
    </xf>
    <xf numFmtId="0" fontId="10" fillId="0" borderId="0" xfId="76" applyFont="1" applyAlignment="1" applyProtection="1">
      <alignment horizontal="left" vertical="center"/>
    </xf>
    <xf numFmtId="49" fontId="10" fillId="0" borderId="0" xfId="76" applyNumberFormat="1" applyFont="1" applyProtection="1"/>
    <xf numFmtId="0" fontId="0" fillId="0" borderId="0" xfId="76" applyFont="1" applyAlignment="1" applyProtection="1">
      <alignment horizontal="left" vertical="center"/>
    </xf>
    <xf numFmtId="0" fontId="0" fillId="0" borderId="3" xfId="0" applyFont="1" applyFill="1" applyBorder="1" applyAlignment="1" applyProtection="1">
      <alignment horizontal="center" vertical="center" wrapText="1"/>
      <protection locked="0"/>
    </xf>
    <xf numFmtId="0" fontId="0" fillId="0" borderId="0" xfId="0" applyAlignment="1">
      <alignment horizontal="center" vertical="center"/>
    </xf>
    <xf numFmtId="0" fontId="15" fillId="35" borderId="8" xfId="0" applyFont="1" applyFill="1" applyBorder="1" applyAlignment="1" applyProtection="1">
      <alignment vertical="center" wrapText="1"/>
    </xf>
    <xf numFmtId="0" fontId="15" fillId="35" borderId="9" xfId="0" applyFont="1" applyFill="1" applyBorder="1" applyAlignment="1" applyProtection="1">
      <alignment vertical="center" wrapText="1"/>
    </xf>
    <xf numFmtId="0" fontId="17" fillId="35" borderId="8" xfId="0" applyFont="1" applyFill="1" applyBorder="1" applyAlignment="1" applyProtection="1">
      <alignment vertical="center" wrapText="1"/>
    </xf>
    <xf numFmtId="0" fontId="0" fillId="0" borderId="13" xfId="0" applyFont="1" applyFill="1" applyBorder="1" applyAlignment="1" applyProtection="1">
      <alignment horizontal="center" vertical="center" wrapText="1"/>
      <protection locked="0"/>
    </xf>
    <xf numFmtId="0" fontId="0" fillId="0" borderId="14" xfId="0" applyFont="1" applyFill="1" applyBorder="1" applyAlignment="1" applyProtection="1">
      <alignment horizontal="center" vertical="center" wrapText="1"/>
      <protection locked="0"/>
    </xf>
    <xf numFmtId="0" fontId="12" fillId="37" borderId="0" xfId="0" applyFont="1" applyFill="1" applyAlignment="1" applyProtection="1">
      <alignment horizontal="left" vertical="center" wrapText="1"/>
    </xf>
    <xf numFmtId="0" fontId="0" fillId="0" borderId="0" xfId="0" applyProtection="1"/>
    <xf numFmtId="0" fontId="0" fillId="0" borderId="0" xfId="0" applyProtection="1">
      <protection locked="0"/>
    </xf>
    <xf numFmtId="0" fontId="0" fillId="0" borderId="0" xfId="0" quotePrefix="1" applyProtection="1"/>
    <xf numFmtId="0" fontId="0" fillId="0" borderId="0" xfId="0" applyFont="1" applyAlignment="1" applyProtection="1">
      <alignment horizontal="left" vertical="top" wrapText="1"/>
    </xf>
    <xf numFmtId="0" fontId="10" fillId="0" borderId="0" xfId="0" applyFont="1" applyAlignment="1">
      <alignment horizontal="left" vertical="center"/>
    </xf>
    <xf numFmtId="0" fontId="0" fillId="0" borderId="0" xfId="0" applyFont="1" applyAlignment="1">
      <alignment horizontal="left" vertical="center"/>
    </xf>
    <xf numFmtId="0" fontId="0" fillId="0" borderId="25" xfId="0" applyFont="1" applyFill="1" applyBorder="1" applyAlignment="1" applyProtection="1">
      <alignment horizontal="center" vertical="center" wrapText="1"/>
      <protection locked="0"/>
    </xf>
    <xf numFmtId="0" fontId="11" fillId="37" borderId="0" xfId="0" applyFont="1" applyFill="1" applyAlignment="1" applyProtection="1">
      <alignment horizontal="left" vertical="center" wrapText="1"/>
      <protection locked="0"/>
    </xf>
    <xf numFmtId="0" fontId="11" fillId="0" borderId="0" xfId="0" applyFont="1" applyFill="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2" fillId="0" borderId="0" xfId="0" applyFont="1" applyAlignment="1" applyProtection="1">
      <alignment horizontal="left" wrapText="1"/>
      <protection locked="0" hidden="1"/>
    </xf>
    <xf numFmtId="0" fontId="0" fillId="38" borderId="1" xfId="0" applyFont="1" applyFill="1" applyBorder="1" applyAlignment="1" applyProtection="1">
      <alignment horizontal="left" vertical="top" wrapText="1"/>
    </xf>
    <xf numFmtId="0" fontId="10" fillId="38" borderId="1" xfId="76" applyFont="1" applyFill="1" applyBorder="1" applyAlignment="1" applyProtection="1">
      <alignment horizontal="left" vertical="center"/>
    </xf>
    <xf numFmtId="0" fontId="40" fillId="38" borderId="1" xfId="0" applyFont="1" applyFill="1" applyBorder="1" applyAlignment="1">
      <alignment horizontal="left" vertical="center" wrapText="1"/>
    </xf>
    <xf numFmtId="0" fontId="10" fillId="38" borderId="1" xfId="0" applyFont="1" applyFill="1" applyBorder="1" applyAlignment="1" applyProtection="1">
      <alignment horizontal="left" vertical="center" wrapText="1"/>
    </xf>
    <xf numFmtId="0" fontId="0" fillId="38" borderId="1" xfId="0" applyFont="1" applyFill="1" applyBorder="1" applyAlignment="1" applyProtection="1">
      <alignment horizontal="left" vertical="center" wrapText="1"/>
    </xf>
    <xf numFmtId="0" fontId="16" fillId="2" borderId="1" xfId="76" applyFont="1" applyFill="1" applyBorder="1" applyAlignment="1" applyProtection="1">
      <alignment horizontal="left" vertical="center"/>
    </xf>
    <xf numFmtId="0" fontId="10" fillId="34" borderId="1" xfId="0" applyFont="1" applyFill="1" applyBorder="1" applyAlignment="1">
      <alignment horizontal="left" vertical="center"/>
    </xf>
    <xf numFmtId="0" fontId="41" fillId="0" borderId="0" xfId="0" applyFont="1" applyAlignment="1">
      <alignment vertical="top"/>
    </xf>
    <xf numFmtId="0" fontId="41" fillId="0" borderId="0" xfId="0" applyFont="1" applyAlignment="1">
      <alignment vertical="center"/>
    </xf>
    <xf numFmtId="0" fontId="10" fillId="0" borderId="0" xfId="76" applyNumberFormat="1" applyFont="1" applyAlignment="1" applyProtection="1">
      <alignment horizontal="left" vertical="center"/>
    </xf>
    <xf numFmtId="0" fontId="0" fillId="38" borderId="1" xfId="0" applyFont="1" applyFill="1" applyBorder="1" applyAlignment="1">
      <alignment vertical="center" wrapText="1"/>
    </xf>
    <xf numFmtId="0" fontId="0" fillId="34" borderId="1" xfId="0" applyFont="1" applyFill="1" applyBorder="1" applyAlignment="1">
      <alignment horizontal="left" vertical="center"/>
    </xf>
    <xf numFmtId="0" fontId="13" fillId="37" borderId="0" xfId="0" applyFont="1" applyFill="1" applyAlignment="1" applyProtection="1">
      <alignment horizontal="left" vertical="center" wrapText="1"/>
      <protection locked="0"/>
    </xf>
    <xf numFmtId="0" fontId="11" fillId="37" borderId="0" xfId="0" applyFont="1" applyFill="1" applyAlignment="1" applyProtection="1">
      <alignment horizontal="center" vertical="center" wrapText="1"/>
      <protection locked="0"/>
    </xf>
    <xf numFmtId="0" fontId="12" fillId="37" borderId="0" xfId="0" applyFont="1" applyFill="1" applyAlignment="1" applyProtection="1">
      <alignment horizontal="left" wrapText="1"/>
      <protection locked="0"/>
    </xf>
    <xf numFmtId="0" fontId="15" fillId="37" borderId="0" xfId="0" applyFont="1" applyFill="1" applyBorder="1" applyAlignment="1" applyProtection="1">
      <alignment vertical="center" wrapText="1"/>
      <protection locked="0"/>
    </xf>
    <xf numFmtId="0" fontId="43" fillId="35" borderId="8" xfId="0" applyFont="1" applyFill="1" applyBorder="1" applyAlignment="1" applyProtection="1">
      <alignment horizontal="right" vertical="center"/>
    </xf>
    <xf numFmtId="0" fontId="13" fillId="0" borderId="0" xfId="0" applyFont="1" applyAlignment="1" applyProtection="1">
      <alignment horizontal="left" vertical="center" wrapText="1"/>
      <protection locked="0"/>
    </xf>
    <xf numFmtId="0" fontId="11" fillId="0" borderId="0" xfId="0" applyFont="1" applyAlignment="1" applyProtection="1">
      <alignment horizontal="center" vertical="center" wrapText="1"/>
      <protection locked="0"/>
    </xf>
    <xf numFmtId="0" fontId="12" fillId="0" borderId="0" xfId="0" applyFont="1" applyAlignment="1" applyProtection="1">
      <alignment horizontal="left" wrapText="1"/>
      <protection locked="0"/>
    </xf>
    <xf numFmtId="0" fontId="11" fillId="37" borderId="0" xfId="0" applyFont="1" applyFill="1" applyAlignment="1" applyProtection="1">
      <alignment horizontal="left" vertical="center" wrapText="1"/>
      <protection locked="0"/>
    </xf>
    <xf numFmtId="0" fontId="15" fillId="37" borderId="23" xfId="0" applyFont="1" applyFill="1" applyBorder="1" applyAlignment="1" applyProtection="1">
      <alignment horizontal="left" vertical="center" wrapText="1"/>
    </xf>
    <xf numFmtId="0" fontId="15" fillId="37" borderId="0" xfId="0" applyFont="1" applyFill="1" applyBorder="1" applyAlignment="1" applyProtection="1">
      <alignment horizontal="left" vertical="center" wrapText="1"/>
    </xf>
    <xf numFmtId="0" fontId="15" fillId="37" borderId="0" xfId="0" applyFont="1" applyFill="1" applyBorder="1" applyAlignment="1" applyProtection="1">
      <alignment vertical="center" wrapText="1"/>
    </xf>
    <xf numFmtId="0" fontId="13" fillId="37" borderId="0" xfId="0" applyFont="1" applyFill="1" applyAlignment="1">
      <alignment horizontal="left" vertical="center" wrapText="1"/>
    </xf>
    <xf numFmtId="0" fontId="14" fillId="0" borderId="17" xfId="0" applyFont="1" applyFill="1" applyBorder="1" applyAlignment="1" applyProtection="1">
      <alignment vertical="center" wrapText="1"/>
    </xf>
    <xf numFmtId="0" fontId="14" fillId="0" borderId="0" xfId="0" applyFont="1" applyFill="1" applyBorder="1" applyAlignment="1" applyProtection="1">
      <alignment vertical="center" wrapText="1"/>
    </xf>
    <xf numFmtId="0" fontId="0" fillId="37" borderId="0" xfId="0" applyFont="1" applyFill="1" applyAlignment="1">
      <alignment horizontal="left" vertical="center" wrapText="1"/>
    </xf>
    <xf numFmtId="0" fontId="16" fillId="36" borderId="1" xfId="0" applyFont="1" applyFill="1" applyBorder="1" applyAlignment="1" applyProtection="1">
      <alignment horizontal="center" vertical="center" wrapText="1"/>
    </xf>
    <xf numFmtId="49" fontId="0" fillId="37" borderId="0" xfId="0" applyNumberFormat="1" applyFont="1" applyFill="1" applyBorder="1" applyAlignment="1" applyProtection="1">
      <alignment horizontal="left" vertical="top" wrapText="1"/>
      <protection locked="0"/>
    </xf>
    <xf numFmtId="0" fontId="0" fillId="0" borderId="30" xfId="0" applyNumberFormat="1" applyFont="1" applyBorder="1" applyAlignment="1" applyProtection="1">
      <alignment horizontal="center" vertical="center" wrapText="1"/>
      <protection locked="0"/>
    </xf>
    <xf numFmtId="0" fontId="0" fillId="0" borderId="7" xfId="0" applyNumberFormat="1" applyFont="1" applyBorder="1" applyAlignment="1" applyProtection="1">
      <alignment horizontal="center" vertical="center" wrapText="1"/>
      <protection locked="0"/>
    </xf>
    <xf numFmtId="0" fontId="16" fillId="37" borderId="0" xfId="0" applyFont="1" applyFill="1" applyBorder="1" applyAlignment="1" applyProtection="1">
      <alignment horizontal="center" vertical="center" wrapText="1"/>
      <protection locked="0"/>
    </xf>
    <xf numFmtId="0" fontId="16" fillId="36" borderId="21" xfId="0" applyFont="1" applyFill="1" applyBorder="1" applyAlignment="1" applyProtection="1">
      <alignment horizontal="center" vertical="center" wrapText="1"/>
    </xf>
    <xf numFmtId="0" fontId="0" fillId="0" borderId="29" xfId="0" applyNumberFormat="1" applyFont="1" applyBorder="1" applyAlignment="1" applyProtection="1">
      <alignment horizontal="center" vertical="center" wrapText="1"/>
      <protection locked="0"/>
    </xf>
    <xf numFmtId="0" fontId="11" fillId="37" borderId="0" xfId="0" applyFont="1" applyFill="1" applyBorder="1" applyAlignment="1" applyProtection="1">
      <alignment vertical="center" wrapText="1"/>
      <protection locked="0"/>
    </xf>
    <xf numFmtId="0" fontId="0" fillId="0" borderId="0" xfId="76" applyNumberFormat="1" applyFont="1" applyProtection="1"/>
    <xf numFmtId="49" fontId="10" fillId="0" borderId="0" xfId="0" applyNumberFormat="1" applyFont="1"/>
    <xf numFmtId="0" fontId="16" fillId="2" borderId="2" xfId="76" applyFont="1" applyFill="1" applyBorder="1" applyAlignment="1" applyProtection="1">
      <alignment horizontal="left" vertical="center"/>
    </xf>
    <xf numFmtId="0" fontId="16" fillId="2" borderId="21" xfId="76" applyFont="1" applyFill="1" applyBorder="1" applyAlignment="1" applyProtection="1">
      <alignment horizontal="left" vertical="center"/>
    </xf>
    <xf numFmtId="0" fontId="11" fillId="37" borderId="0" xfId="0" applyFont="1" applyFill="1" applyAlignment="1" applyProtection="1">
      <alignment horizontal="left" vertical="center" wrapText="1"/>
      <protection locked="0"/>
    </xf>
    <xf numFmtId="0" fontId="13" fillId="37" borderId="0" xfId="0" applyFont="1" applyFill="1" applyAlignment="1" applyProtection="1">
      <alignment horizontal="left" vertical="center" wrapText="1"/>
      <protection locked="0"/>
    </xf>
    <xf numFmtId="0" fontId="15" fillId="37" borderId="0" xfId="0" applyFont="1" applyFill="1" applyBorder="1" applyAlignment="1" applyProtection="1">
      <alignment vertical="center" wrapText="1"/>
      <protection locked="0"/>
    </xf>
    <xf numFmtId="0" fontId="16" fillId="37" borderId="0" xfId="0" applyFont="1" applyFill="1" applyBorder="1" applyAlignment="1" applyProtection="1">
      <alignment vertical="center" wrapText="1"/>
      <protection locked="0"/>
    </xf>
    <xf numFmtId="0" fontId="0" fillId="37" borderId="0" xfId="0" applyFont="1" applyFill="1" applyAlignment="1" applyProtection="1">
      <alignment horizontal="left" vertical="center" wrapText="1"/>
      <protection locked="0"/>
    </xf>
    <xf numFmtId="0" fontId="11" fillId="0" borderId="0" xfId="0" applyFont="1" applyAlignment="1">
      <alignment horizontal="left" vertical="center" wrapText="1"/>
    </xf>
    <xf numFmtId="0" fontId="13" fillId="0" borderId="0" xfId="0" applyFont="1" applyAlignment="1">
      <alignment horizontal="left" vertical="center" wrapText="1"/>
    </xf>
    <xf numFmtId="0" fontId="11" fillId="0" borderId="0" xfId="0" applyFont="1" applyAlignment="1">
      <alignment horizontal="center" vertical="center" wrapText="1"/>
    </xf>
    <xf numFmtId="0" fontId="0" fillId="0" borderId="3" xfId="0" applyFont="1" applyFill="1" applyBorder="1" applyAlignment="1" applyProtection="1">
      <alignment horizontal="center" vertical="center" wrapText="1"/>
      <protection locked="0"/>
    </xf>
    <xf numFmtId="0" fontId="15" fillId="35" borderId="9" xfId="0" applyFont="1" applyFill="1" applyBorder="1" applyAlignment="1" applyProtection="1">
      <alignment vertical="center" wrapText="1"/>
    </xf>
    <xf numFmtId="0" fontId="17" fillId="35" borderId="8" xfId="0" applyFont="1" applyFill="1" applyBorder="1" applyAlignment="1" applyProtection="1">
      <alignment vertical="center" wrapText="1"/>
    </xf>
    <xf numFmtId="0" fontId="0" fillId="0" borderId="13" xfId="0" applyFont="1" applyFill="1" applyBorder="1" applyAlignment="1" applyProtection="1">
      <alignment horizontal="center" vertical="center" wrapText="1"/>
      <protection locked="0"/>
    </xf>
    <xf numFmtId="0" fontId="0" fillId="0" borderId="14" xfId="0" applyFont="1" applyFill="1" applyBorder="1" applyAlignment="1" applyProtection="1">
      <alignment horizontal="center" vertical="center" wrapText="1"/>
      <protection locked="0"/>
    </xf>
    <xf numFmtId="0" fontId="11" fillId="37" borderId="0" xfId="0" applyFont="1" applyFill="1" applyAlignment="1" applyProtection="1">
      <alignment horizontal="left" vertical="center" wrapText="1"/>
    </xf>
    <xf numFmtId="0" fontId="12" fillId="37" borderId="0" xfId="0" applyFont="1" applyFill="1" applyAlignment="1" applyProtection="1">
      <alignment horizontal="left" vertical="center" wrapText="1"/>
    </xf>
    <xf numFmtId="0" fontId="12" fillId="37" borderId="0" xfId="0" applyFont="1" applyFill="1" applyBorder="1" applyAlignment="1" applyProtection="1">
      <alignment horizontal="left" vertical="center" wrapText="1"/>
    </xf>
    <xf numFmtId="0" fontId="0" fillId="0" borderId="25" xfId="0" applyFont="1" applyFill="1" applyBorder="1" applyAlignment="1" applyProtection="1">
      <alignment horizontal="center" vertical="center" wrapText="1"/>
      <protection locked="0"/>
    </xf>
    <xf numFmtId="0" fontId="11" fillId="37" borderId="0" xfId="0" applyFont="1" applyFill="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0" fillId="0" borderId="29" xfId="0" applyNumberFormat="1" applyFont="1" applyBorder="1" applyAlignment="1" applyProtection="1">
      <alignment horizontal="center" vertical="center" wrapText="1"/>
      <protection locked="0"/>
    </xf>
    <xf numFmtId="0" fontId="0" fillId="0" borderId="30" xfId="0" applyNumberFormat="1" applyFont="1" applyBorder="1" applyAlignment="1" applyProtection="1">
      <alignment horizontal="center" vertical="center" wrapText="1"/>
      <protection locked="0"/>
    </xf>
    <xf numFmtId="0" fontId="0" fillId="0" borderId="7" xfId="0" applyNumberFormat="1" applyFont="1" applyBorder="1" applyAlignment="1" applyProtection="1">
      <alignment horizontal="center" vertical="center" wrapText="1"/>
      <protection locked="0"/>
    </xf>
    <xf numFmtId="0" fontId="13" fillId="37" borderId="0" xfId="0" applyFont="1" applyFill="1" applyAlignment="1" applyProtection="1">
      <alignment horizontal="left" vertical="center" wrapText="1"/>
      <protection locked="0"/>
    </xf>
    <xf numFmtId="0" fontId="11" fillId="37" borderId="0" xfId="0" applyFont="1" applyFill="1" applyAlignment="1" applyProtection="1">
      <alignment horizontal="center" vertical="center" wrapText="1"/>
      <protection locked="0"/>
    </xf>
    <xf numFmtId="0" fontId="15" fillId="37" borderId="0" xfId="0" applyFont="1" applyFill="1" applyBorder="1" applyAlignment="1" applyProtection="1">
      <alignment vertical="center" wrapText="1"/>
      <protection locked="0"/>
    </xf>
    <xf numFmtId="0" fontId="43" fillId="35" borderId="8" xfId="0" applyFont="1" applyFill="1" applyBorder="1" applyAlignment="1" applyProtection="1">
      <alignment horizontal="right" vertical="center"/>
    </xf>
    <xf numFmtId="0" fontId="13" fillId="0" borderId="0" xfId="0" applyFont="1" applyAlignment="1" applyProtection="1">
      <alignment horizontal="left" vertical="center" wrapText="1"/>
      <protection locked="0"/>
    </xf>
    <xf numFmtId="0" fontId="11" fillId="0" borderId="0" xfId="0" applyFont="1" applyAlignment="1" applyProtection="1">
      <alignment horizontal="center" vertical="center" wrapText="1"/>
      <protection locked="0"/>
    </xf>
    <xf numFmtId="0" fontId="16" fillId="37" borderId="0" xfId="0" applyFont="1" applyFill="1" applyBorder="1" applyAlignment="1" applyProtection="1">
      <alignment vertical="center" wrapText="1"/>
      <protection locked="0"/>
    </xf>
    <xf numFmtId="0" fontId="0" fillId="37" borderId="20" xfId="0" applyFont="1" applyFill="1" applyBorder="1" applyAlignment="1" applyProtection="1">
      <alignment vertical="top" wrapText="1"/>
      <protection locked="0"/>
    </xf>
    <xf numFmtId="0" fontId="0" fillId="37" borderId="8" xfId="0" applyFont="1" applyFill="1" applyBorder="1" applyAlignment="1" applyProtection="1">
      <alignment vertical="top" wrapText="1"/>
      <protection locked="0"/>
    </xf>
    <xf numFmtId="0" fontId="0" fillId="37" borderId="9" xfId="0" applyFont="1" applyFill="1" applyBorder="1" applyAlignment="1" applyProtection="1">
      <alignment vertical="top" wrapText="1"/>
      <protection locked="0"/>
    </xf>
    <xf numFmtId="0" fontId="15" fillId="35" borderId="0" xfId="0" applyFont="1" applyFill="1" applyBorder="1" applyAlignment="1" applyProtection="1">
      <alignment horizontal="left" vertical="center" wrapText="1"/>
    </xf>
    <xf numFmtId="0" fontId="15" fillId="37" borderId="23" xfId="0" applyFont="1" applyFill="1" applyBorder="1" applyAlignment="1" applyProtection="1">
      <alignment horizontal="left" vertical="center" wrapText="1"/>
    </xf>
    <xf numFmtId="0" fontId="15" fillId="37" borderId="0" xfId="0" applyFont="1" applyFill="1" applyBorder="1" applyAlignment="1" applyProtection="1">
      <alignment horizontal="left" vertical="center" wrapText="1"/>
    </xf>
    <xf numFmtId="0" fontId="15" fillId="37" borderId="0" xfId="0" applyFont="1" applyFill="1" applyBorder="1" applyAlignment="1" applyProtection="1">
      <alignment vertical="center" wrapText="1"/>
    </xf>
    <xf numFmtId="0" fontId="13" fillId="37" borderId="0" xfId="0" applyFont="1" applyFill="1" applyAlignment="1">
      <alignment horizontal="left" vertical="center" wrapText="1"/>
    </xf>
    <xf numFmtId="0" fontId="14" fillId="0" borderId="17" xfId="0" applyFont="1" applyFill="1" applyBorder="1" applyAlignment="1" applyProtection="1">
      <alignment vertical="center" wrapText="1"/>
    </xf>
    <xf numFmtId="0" fontId="14" fillId="0" borderId="0" xfId="0" applyFont="1" applyFill="1" applyBorder="1" applyAlignment="1" applyProtection="1">
      <alignment vertical="center" wrapText="1"/>
    </xf>
    <xf numFmtId="0" fontId="0" fillId="37" borderId="12" xfId="0" applyFont="1" applyFill="1" applyBorder="1" applyAlignment="1" applyProtection="1">
      <alignment vertical="top" wrapText="1"/>
      <protection locked="0"/>
    </xf>
    <xf numFmtId="0" fontId="0" fillId="37" borderId="10" xfId="0" applyFont="1" applyFill="1" applyBorder="1" applyAlignment="1" applyProtection="1">
      <alignment vertical="top" wrapText="1"/>
      <protection locked="0"/>
    </xf>
    <xf numFmtId="0" fontId="0" fillId="37" borderId="39" xfId="0" applyFont="1" applyFill="1" applyBorder="1" applyAlignment="1" applyProtection="1">
      <alignment vertical="top" wrapText="1"/>
      <protection locked="0"/>
    </xf>
    <xf numFmtId="0" fontId="0" fillId="37" borderId="4" xfId="0" applyFont="1" applyFill="1" applyBorder="1" applyAlignment="1" applyProtection="1">
      <alignment vertical="top" wrapText="1"/>
      <protection locked="0"/>
    </xf>
    <xf numFmtId="0" fontId="0" fillId="37" borderId="46" xfId="0" applyFont="1" applyFill="1" applyBorder="1" applyAlignment="1" applyProtection="1">
      <alignment vertical="top" wrapText="1"/>
      <protection locked="0"/>
    </xf>
    <xf numFmtId="0" fontId="0" fillId="37" borderId="48" xfId="0" applyFont="1" applyFill="1" applyBorder="1" applyAlignment="1" applyProtection="1">
      <alignment vertical="top" wrapText="1"/>
      <protection locked="0"/>
    </xf>
    <xf numFmtId="0" fontId="0" fillId="37" borderId="15" xfId="0" applyFont="1" applyFill="1" applyBorder="1" applyAlignment="1" applyProtection="1">
      <alignment vertical="top" wrapText="1"/>
      <protection locked="0"/>
    </xf>
    <xf numFmtId="0" fontId="0" fillId="37" borderId="42" xfId="0" applyFont="1" applyFill="1" applyBorder="1" applyAlignment="1" applyProtection="1">
      <alignment vertical="top" wrapText="1"/>
      <protection locked="0"/>
    </xf>
    <xf numFmtId="0" fontId="0" fillId="37" borderId="43" xfId="0" applyFont="1" applyFill="1" applyBorder="1" applyAlignment="1" applyProtection="1">
      <alignment vertical="top" wrapText="1"/>
      <protection locked="0"/>
    </xf>
    <xf numFmtId="0" fontId="0" fillId="37" borderId="0" xfId="0" applyFont="1" applyFill="1" applyAlignment="1" applyProtection="1">
      <alignment horizontal="left" vertical="center" wrapText="1"/>
      <protection locked="0"/>
    </xf>
    <xf numFmtId="0" fontId="0" fillId="37" borderId="0" xfId="0" applyFont="1" applyFill="1" applyAlignment="1">
      <alignment horizontal="left" vertical="center" wrapText="1"/>
    </xf>
    <xf numFmtId="0" fontId="15" fillId="35" borderId="8" xfId="0" applyFont="1" applyFill="1" applyBorder="1" applyAlignment="1" applyProtection="1">
      <alignment horizontal="left" vertical="center" wrapText="1"/>
    </xf>
    <xf numFmtId="0" fontId="16" fillId="36" borderId="20" xfId="0" applyFont="1" applyFill="1" applyBorder="1" applyAlignment="1" applyProtection="1">
      <alignment horizontal="center" vertical="center" wrapText="1"/>
    </xf>
    <xf numFmtId="0" fontId="16" fillId="36" borderId="9" xfId="0" applyFont="1" applyFill="1" applyBorder="1" applyAlignment="1" applyProtection="1">
      <alignment horizontal="center" vertical="center" wrapText="1"/>
    </xf>
    <xf numFmtId="0" fontId="15" fillId="35" borderId="9" xfId="0" applyFont="1" applyFill="1" applyBorder="1" applyAlignment="1" applyProtection="1">
      <alignment horizontal="left" vertical="center" wrapText="1"/>
    </xf>
    <xf numFmtId="0" fontId="15" fillId="35" borderId="20" xfId="0" applyFont="1" applyFill="1" applyBorder="1" applyAlignment="1" applyProtection="1">
      <alignment vertical="center" wrapText="1"/>
    </xf>
    <xf numFmtId="0" fontId="15" fillId="35" borderId="8" xfId="0" applyFont="1" applyFill="1" applyBorder="1" applyAlignment="1" applyProtection="1">
      <alignment vertical="center" wrapText="1"/>
    </xf>
    <xf numFmtId="0" fontId="17" fillId="35" borderId="20" xfId="0" applyFont="1" applyFill="1" applyBorder="1" applyAlignment="1" applyProtection="1">
      <alignment horizontal="left" vertical="center" wrapText="1"/>
    </xf>
    <xf numFmtId="0" fontId="17" fillId="35" borderId="8" xfId="0" applyFont="1" applyFill="1" applyBorder="1" applyAlignment="1" applyProtection="1">
      <alignment horizontal="left" vertical="center" wrapText="1"/>
    </xf>
    <xf numFmtId="0" fontId="15" fillId="35" borderId="8" xfId="0" applyFont="1" applyFill="1" applyBorder="1" applyAlignment="1" applyProtection="1">
      <alignment horizontal="left" vertical="center" wrapText="1"/>
    </xf>
    <xf numFmtId="0" fontId="15" fillId="35" borderId="9" xfId="0" applyFont="1" applyFill="1" applyBorder="1" applyAlignment="1" applyProtection="1">
      <alignment horizontal="left" vertical="center" wrapText="1"/>
    </xf>
    <xf numFmtId="0" fontId="16" fillId="36" borderId="20" xfId="0" applyFont="1" applyFill="1" applyBorder="1" applyAlignment="1" applyProtection="1">
      <alignment horizontal="center" vertical="center" wrapText="1"/>
    </xf>
    <xf numFmtId="0" fontId="16" fillId="36" borderId="9" xfId="0" applyFont="1" applyFill="1" applyBorder="1" applyAlignment="1" applyProtection="1">
      <alignment horizontal="center" vertical="center" wrapText="1"/>
    </xf>
    <xf numFmtId="0" fontId="16" fillId="36" borderId="1" xfId="0" applyFont="1" applyFill="1" applyBorder="1" applyAlignment="1" applyProtection="1">
      <alignment horizontal="center" vertical="center" wrapText="1"/>
    </xf>
    <xf numFmtId="0" fontId="12" fillId="0" borderId="0" xfId="0" applyFont="1" applyFill="1" applyBorder="1" applyAlignment="1" applyProtection="1">
      <alignment horizontal="center" vertical="center" wrapText="1"/>
    </xf>
    <xf numFmtId="0" fontId="17" fillId="35" borderId="20" xfId="0" applyFont="1" applyFill="1" applyBorder="1" applyAlignment="1" applyProtection="1">
      <alignment horizontal="left" vertical="center" wrapText="1"/>
    </xf>
    <xf numFmtId="0" fontId="17" fillId="35" borderId="8" xfId="0" applyFont="1" applyFill="1" applyBorder="1" applyAlignment="1" applyProtection="1">
      <alignment horizontal="left" vertical="center" wrapText="1"/>
    </xf>
    <xf numFmtId="0" fontId="16" fillId="37" borderId="23" xfId="0" applyFont="1" applyFill="1" applyBorder="1" applyAlignment="1" applyProtection="1">
      <alignment horizontal="center" vertical="center" wrapText="1"/>
      <protection locked="0"/>
    </xf>
    <xf numFmtId="0" fontId="16" fillId="37" borderId="0" xfId="0" applyFont="1" applyFill="1" applyBorder="1" applyAlignment="1" applyProtection="1">
      <alignment horizontal="center" vertical="center" wrapText="1"/>
      <protection locked="0"/>
    </xf>
    <xf numFmtId="0" fontId="16" fillId="36" borderId="21" xfId="0" applyFont="1" applyFill="1" applyBorder="1" applyAlignment="1" applyProtection="1">
      <alignment horizontal="center" vertical="center" wrapText="1"/>
    </xf>
    <xf numFmtId="0" fontId="0" fillId="37" borderId="23" xfId="0" applyFont="1" applyFill="1" applyBorder="1" applyAlignment="1" applyProtection="1">
      <alignment horizontal="left" vertical="top" wrapText="1"/>
      <protection locked="0"/>
    </xf>
    <xf numFmtId="0" fontId="0" fillId="37" borderId="0" xfId="0" applyFont="1" applyFill="1" applyBorder="1" applyAlignment="1" applyProtection="1">
      <alignment horizontal="left" vertical="top" wrapText="1"/>
      <protection locked="0"/>
    </xf>
    <xf numFmtId="0" fontId="15" fillId="35" borderId="20" xfId="0" applyFont="1" applyFill="1" applyBorder="1" applyAlignment="1" applyProtection="1">
      <alignment vertical="center" wrapText="1"/>
    </xf>
    <xf numFmtId="0" fontId="15" fillId="35" borderId="8" xfId="0" applyFont="1" applyFill="1" applyBorder="1" applyAlignment="1" applyProtection="1">
      <alignment vertical="center" wrapText="1"/>
    </xf>
    <xf numFmtId="49" fontId="0" fillId="37" borderId="23" xfId="0" applyNumberFormat="1" applyFont="1" applyFill="1" applyBorder="1" applyAlignment="1" applyProtection="1">
      <alignment horizontal="left" vertical="top" wrapText="1"/>
      <protection locked="0"/>
    </xf>
    <xf numFmtId="49" fontId="0" fillId="37" borderId="0" xfId="0" applyNumberFormat="1" applyFont="1" applyFill="1" applyBorder="1" applyAlignment="1" applyProtection="1">
      <alignment horizontal="left" vertical="top" wrapText="1"/>
      <protection locked="0"/>
    </xf>
    <xf numFmtId="0" fontId="44" fillId="37" borderId="0" xfId="0" applyFont="1" applyFill="1" applyBorder="1" applyAlignment="1" applyProtection="1">
      <alignment horizontal="center" vertical="center" wrapText="1"/>
      <protection locked="0"/>
    </xf>
    <xf numFmtId="0" fontId="15" fillId="35" borderId="20" xfId="0" applyFont="1" applyFill="1" applyBorder="1" applyAlignment="1" applyProtection="1">
      <alignment horizontal="left" vertical="center"/>
    </xf>
    <xf numFmtId="0" fontId="17" fillId="35" borderId="20" xfId="0" applyFont="1" applyFill="1" applyBorder="1" applyAlignment="1" applyProtection="1">
      <alignment horizontal="left" vertical="center"/>
    </xf>
    <xf numFmtId="0" fontId="17" fillId="35" borderId="8" xfId="0" applyFont="1" applyFill="1" applyBorder="1" applyAlignment="1" applyProtection="1">
      <alignment horizontal="left" vertical="center"/>
    </xf>
    <xf numFmtId="0" fontId="17" fillId="35" borderId="9" xfId="0" applyFont="1" applyFill="1" applyBorder="1" applyAlignment="1" applyProtection="1">
      <alignment horizontal="left" vertical="center" wrapText="1"/>
    </xf>
    <xf numFmtId="0" fontId="14" fillId="37" borderId="16" xfId="0" applyFont="1" applyFill="1" applyBorder="1" applyAlignment="1" applyProtection="1">
      <alignment horizontal="right" vertical="center" wrapText="1"/>
    </xf>
    <xf numFmtId="0" fontId="13" fillId="40" borderId="0" xfId="0" applyFont="1" applyFill="1" applyAlignment="1" applyProtection="1">
      <alignment horizontal="left" vertical="center" wrapText="1"/>
      <protection locked="0"/>
    </xf>
    <xf numFmtId="0" fontId="13" fillId="40" borderId="18" xfId="0" applyFont="1" applyFill="1" applyBorder="1" applyAlignment="1" applyProtection="1">
      <alignment horizontal="left" vertical="center" wrapText="1"/>
      <protection locked="0"/>
    </xf>
    <xf numFmtId="0" fontId="13" fillId="40" borderId="17" xfId="0" applyFont="1" applyFill="1" applyBorder="1" applyAlignment="1" applyProtection="1">
      <alignment horizontal="left" vertical="center" wrapText="1"/>
      <protection locked="0"/>
    </xf>
    <xf numFmtId="0" fontId="0" fillId="36" borderId="74" xfId="0" applyFont="1" applyFill="1" applyBorder="1" applyAlignment="1" applyProtection="1">
      <alignment horizontal="center" vertical="center" wrapText="1"/>
      <protection locked="0"/>
    </xf>
    <xf numFmtId="0" fontId="0" fillId="36" borderId="75" xfId="0" applyFont="1" applyFill="1" applyBorder="1" applyAlignment="1" applyProtection="1">
      <alignment horizontal="center" vertical="center" wrapText="1"/>
      <protection locked="0"/>
    </xf>
    <xf numFmtId="0" fontId="0" fillId="36" borderId="76" xfId="0" applyFont="1" applyFill="1" applyBorder="1" applyAlignment="1" applyProtection="1">
      <alignment horizontal="center" vertical="center" wrapText="1"/>
      <protection locked="0"/>
    </xf>
    <xf numFmtId="0" fontId="0" fillId="36" borderId="77" xfId="0" applyFont="1" applyFill="1" applyBorder="1" applyAlignment="1" applyProtection="1">
      <alignment horizontal="center" vertical="center" wrapText="1"/>
      <protection locked="0"/>
    </xf>
    <xf numFmtId="164" fontId="0" fillId="36" borderId="81" xfId="0" applyNumberFormat="1" applyFont="1" applyFill="1" applyBorder="1" applyAlignment="1" applyProtection="1">
      <alignment horizontal="center" vertical="center" wrapText="1"/>
    </xf>
    <xf numFmtId="164" fontId="0" fillId="36" borderId="82" xfId="0" applyNumberFormat="1" applyFont="1" applyFill="1" applyBorder="1" applyAlignment="1" applyProtection="1">
      <alignment horizontal="center" vertical="center" wrapText="1"/>
    </xf>
    <xf numFmtId="0" fontId="0" fillId="0" borderId="0" xfId="0" applyFont="1" applyAlignment="1" applyProtection="1">
      <alignment horizontal="left" vertical="center" wrapText="1"/>
      <protection locked="0"/>
    </xf>
    <xf numFmtId="0" fontId="0" fillId="0" borderId="0" xfId="0" applyFont="1" applyAlignment="1">
      <alignment horizontal="left" vertical="center" wrapText="1"/>
    </xf>
    <xf numFmtId="0" fontId="15" fillId="35" borderId="8" xfId="0" applyFont="1" applyFill="1" applyBorder="1" applyAlignment="1" applyProtection="1">
      <alignment horizontal="left" vertical="center"/>
    </xf>
    <xf numFmtId="0" fontId="15" fillId="37" borderId="0" xfId="0" applyFont="1" applyFill="1" applyAlignment="1" applyProtection="1">
      <alignment horizontal="left" vertical="center" wrapText="1"/>
      <protection locked="0"/>
    </xf>
    <xf numFmtId="0" fontId="17" fillId="0" borderId="0" xfId="0" applyFont="1" applyAlignment="1" applyProtection="1">
      <alignment horizontal="left" vertical="center" wrapText="1"/>
      <protection locked="0"/>
    </xf>
    <xf numFmtId="0" fontId="17" fillId="0" borderId="0" xfId="0" applyFont="1" applyAlignment="1">
      <alignment horizontal="left" vertical="center" wrapText="1"/>
    </xf>
    <xf numFmtId="3" fontId="0" fillId="36" borderId="8" xfId="0" applyNumberFormat="1" applyFont="1" applyFill="1" applyBorder="1" applyAlignment="1" applyProtection="1">
      <alignment horizontal="left" vertical="center" wrapText="1"/>
    </xf>
    <xf numFmtId="3" fontId="0" fillId="36" borderId="9" xfId="0" applyNumberFormat="1" applyFont="1" applyFill="1" applyBorder="1" applyAlignment="1" applyProtection="1">
      <alignment horizontal="left" vertical="center" wrapText="1"/>
    </xf>
    <xf numFmtId="3" fontId="0" fillId="36" borderId="8" xfId="0" applyNumberFormat="1" applyFont="1" applyFill="1" applyBorder="1" applyAlignment="1" applyProtection="1">
      <alignment horizontal="right" vertical="center" wrapText="1"/>
    </xf>
    <xf numFmtId="3" fontId="0" fillId="36" borderId="66" xfId="0" applyNumberFormat="1" applyFont="1" applyFill="1" applyBorder="1" applyAlignment="1" applyProtection="1">
      <alignment horizontal="right" vertical="center" wrapText="1"/>
    </xf>
    <xf numFmtId="0" fontId="0" fillId="34" borderId="1" xfId="0" applyFill="1" applyBorder="1" applyAlignment="1" applyProtection="1">
      <alignment horizontal="left" vertical="top" wrapText="1"/>
    </xf>
    <xf numFmtId="0" fontId="0" fillId="0" borderId="0" xfId="0" applyAlignment="1">
      <alignment horizontal="left" vertical="top" wrapText="1"/>
    </xf>
    <xf numFmtId="0" fontId="0" fillId="0" borderId="0" xfId="0" applyAlignment="1" applyProtection="1">
      <alignment horizontal="left" vertical="top" wrapText="1"/>
    </xf>
    <xf numFmtId="0" fontId="42" fillId="0" borderId="1" xfId="0" applyFont="1" applyBorder="1" applyAlignment="1" applyProtection="1">
      <alignment horizontal="left" vertical="top" wrapText="1"/>
    </xf>
    <xf numFmtId="0" fontId="0" fillId="0" borderId="1" xfId="0" applyFont="1" applyBorder="1" applyAlignment="1">
      <alignment horizontal="left" vertical="top" wrapText="1"/>
    </xf>
    <xf numFmtId="0" fontId="0" fillId="0" borderId="1" xfId="0" applyFont="1" applyFill="1" applyBorder="1" applyAlignment="1" applyProtection="1">
      <alignment horizontal="left" vertical="top" wrapText="1"/>
    </xf>
    <xf numFmtId="0" fontId="0" fillId="0" borderId="1" xfId="0" applyBorder="1" applyAlignment="1">
      <alignment horizontal="left" vertical="top" wrapText="1"/>
    </xf>
    <xf numFmtId="0" fontId="0" fillId="0" borderId="1" xfId="0" applyFill="1" applyBorder="1" applyAlignment="1">
      <alignment horizontal="left" vertical="top" wrapText="1"/>
    </xf>
    <xf numFmtId="0" fontId="15" fillId="35" borderId="70" xfId="0" applyFont="1" applyFill="1" applyBorder="1" applyAlignment="1" applyProtection="1">
      <alignment vertical="center" wrapText="1"/>
    </xf>
    <xf numFmtId="0" fontId="11" fillId="37" borderId="0" xfId="0" applyFont="1" applyFill="1" applyAlignment="1" applyProtection="1">
      <alignment horizontal="left" wrapText="1"/>
      <protection locked="0"/>
    </xf>
    <xf numFmtId="0" fontId="15" fillId="37" borderId="0" xfId="0" applyFont="1" applyFill="1" applyBorder="1" applyAlignment="1" applyProtection="1">
      <alignment horizontal="center" vertical="center" wrapText="1"/>
      <protection locked="0"/>
    </xf>
    <xf numFmtId="49" fontId="11" fillId="37" borderId="0" xfId="0" applyNumberFormat="1" applyFont="1" applyFill="1" applyBorder="1" applyAlignment="1" applyProtection="1">
      <alignment horizontal="left" vertical="top" wrapText="1"/>
      <protection locked="0"/>
    </xf>
    <xf numFmtId="3" fontId="11" fillId="37" borderId="0" xfId="0" applyNumberFormat="1" applyFont="1" applyFill="1" applyBorder="1" applyAlignment="1" applyProtection="1">
      <alignment vertical="center" wrapText="1"/>
      <protection locked="0"/>
    </xf>
    <xf numFmtId="3" fontId="0" fillId="0" borderId="10" xfId="0" applyNumberFormat="1" applyFont="1" applyFill="1" applyBorder="1" applyAlignment="1" applyProtection="1">
      <alignment horizontal="center" vertical="center" wrapText="1"/>
      <protection locked="0"/>
    </xf>
    <xf numFmtId="3" fontId="0" fillId="0" borderId="11" xfId="0" applyNumberFormat="1" applyFont="1" applyFill="1" applyBorder="1" applyAlignment="1" applyProtection="1">
      <alignment horizontal="center" vertical="center" wrapText="1"/>
      <protection locked="0"/>
    </xf>
    <xf numFmtId="3" fontId="0" fillId="0" borderId="5" xfId="0" applyNumberFormat="1" applyFont="1" applyFill="1" applyBorder="1" applyAlignment="1" applyProtection="1">
      <alignment horizontal="center" vertical="center" wrapText="1"/>
      <protection locked="0"/>
    </xf>
    <xf numFmtId="3" fontId="0" fillId="0" borderId="7" xfId="0" applyNumberFormat="1" applyFont="1" applyFill="1" applyBorder="1" applyAlignment="1" applyProtection="1">
      <alignment horizontal="center" vertical="center" wrapText="1"/>
      <protection locked="0"/>
    </xf>
    <xf numFmtId="3" fontId="0" fillId="0" borderId="0" xfId="0" applyNumberFormat="1"/>
    <xf numFmtId="0" fontId="48" fillId="0" borderId="0" xfId="89" applyFont="1"/>
    <xf numFmtId="0" fontId="9" fillId="0" borderId="0" xfId="89"/>
    <xf numFmtId="0" fontId="9" fillId="0" borderId="0" xfId="89" applyFill="1"/>
    <xf numFmtId="0" fontId="9" fillId="0" borderId="0" xfId="89" applyAlignment="1"/>
    <xf numFmtId="0" fontId="48" fillId="0" borderId="0" xfId="89" applyFont="1" applyAlignment="1"/>
    <xf numFmtId="0" fontId="9" fillId="39" borderId="0" xfId="89" applyFill="1"/>
    <xf numFmtId="0" fontId="48" fillId="0" borderId="0" xfId="89" applyFont="1" applyAlignment="1">
      <alignment horizontal="left"/>
    </xf>
    <xf numFmtId="0" fontId="14" fillId="0" borderId="0" xfId="0" applyFont="1"/>
    <xf numFmtId="0" fontId="13" fillId="0" borderId="0" xfId="0" applyFont="1"/>
    <xf numFmtId="3" fontId="13" fillId="0" borderId="0" xfId="0" applyNumberFormat="1" applyFont="1"/>
    <xf numFmtId="9" fontId="0" fillId="0" borderId="0" xfId="0" applyNumberFormat="1"/>
    <xf numFmtId="0" fontId="0" fillId="0" borderId="0" xfId="0" applyBorder="1"/>
    <xf numFmtId="3" fontId="0" fillId="0" borderId="0" xfId="0" applyNumberFormat="1" applyBorder="1"/>
    <xf numFmtId="9" fontId="0" fillId="0" borderId="0" xfId="0" applyNumberFormat="1" applyBorder="1"/>
    <xf numFmtId="0" fontId="0" fillId="0" borderId="84" xfId="0" applyBorder="1" applyAlignment="1">
      <alignment horizontal="left" vertical="top" wrapText="1"/>
    </xf>
    <xf numFmtId="0" fontId="13" fillId="35" borderId="0" xfId="0" applyFont="1" applyFill="1" applyBorder="1" applyAlignment="1">
      <alignment vertical="center"/>
    </xf>
    <xf numFmtId="0" fontId="13" fillId="35" borderId="0" xfId="0" applyFont="1" applyFill="1" applyBorder="1"/>
    <xf numFmtId="0" fontId="0" fillId="0" borderId="0" xfId="0" pivotButton="1" applyBorder="1"/>
    <xf numFmtId="0" fontId="0" fillId="0" borderId="0" xfId="0" applyBorder="1" applyAlignment="1">
      <alignment horizontal="left"/>
    </xf>
    <xf numFmtId="49" fontId="0" fillId="0" borderId="0" xfId="0" applyNumberFormat="1" applyFont="1"/>
    <xf numFmtId="0" fontId="16" fillId="36" borderId="1" xfId="0" applyFont="1" applyFill="1" applyBorder="1" applyAlignment="1" applyProtection="1">
      <alignment horizontal="center" vertical="center" wrapText="1"/>
    </xf>
    <xf numFmtId="0" fontId="16" fillId="36" borderId="20" xfId="0" applyFont="1" applyFill="1" applyBorder="1" applyAlignment="1" applyProtection="1">
      <alignment horizontal="center" vertical="center" wrapText="1"/>
    </xf>
    <xf numFmtId="0" fontId="16" fillId="36" borderId="9" xfId="0" applyFont="1" applyFill="1" applyBorder="1" applyAlignment="1" applyProtection="1">
      <alignment horizontal="center" vertical="center" wrapText="1"/>
    </xf>
    <xf numFmtId="3" fontId="0" fillId="36" borderId="8" xfId="0" applyNumberFormat="1" applyFont="1" applyFill="1" applyBorder="1" applyAlignment="1" applyProtection="1">
      <alignment horizontal="right" vertical="center" wrapText="1"/>
    </xf>
    <xf numFmtId="0" fontId="16" fillId="36" borderId="21" xfId="0" applyFont="1" applyFill="1" applyBorder="1" applyAlignment="1" applyProtection="1">
      <alignment horizontal="center" vertical="center" wrapText="1"/>
    </xf>
    <xf numFmtId="0" fontId="15" fillId="35" borderId="8" xfId="0" applyFont="1" applyFill="1" applyBorder="1" applyAlignment="1" applyProtection="1">
      <alignment horizontal="left" vertical="center" wrapText="1"/>
    </xf>
    <xf numFmtId="0" fontId="15" fillId="35" borderId="9" xfId="0" applyFont="1" applyFill="1" applyBorder="1" applyAlignment="1" applyProtection="1">
      <alignment horizontal="left" vertical="center" wrapText="1"/>
    </xf>
    <xf numFmtId="0" fontId="15" fillId="35" borderId="20" xfId="0" applyFont="1" applyFill="1" applyBorder="1" applyAlignment="1" applyProtection="1">
      <alignment vertical="center" wrapText="1"/>
    </xf>
    <xf numFmtId="0" fontId="15" fillId="35" borderId="8" xfId="0" applyFont="1" applyFill="1" applyBorder="1" applyAlignment="1" applyProtection="1">
      <alignment vertical="center" wrapText="1"/>
    </xf>
    <xf numFmtId="0" fontId="16" fillId="37" borderId="0" xfId="0" applyFont="1" applyFill="1" applyBorder="1" applyAlignment="1" applyProtection="1">
      <alignment horizontal="center" vertical="center" wrapText="1"/>
      <protection locked="0"/>
    </xf>
    <xf numFmtId="49" fontId="0" fillId="37" borderId="0" xfId="0" applyNumberFormat="1" applyFont="1" applyFill="1" applyBorder="1" applyAlignment="1" applyProtection="1">
      <alignment horizontal="left" vertical="top" wrapText="1"/>
      <protection locked="0"/>
    </xf>
    <xf numFmtId="0" fontId="0" fillId="37" borderId="0" xfId="0" applyNumberFormat="1" applyFont="1" applyFill="1" applyBorder="1" applyAlignment="1" applyProtection="1">
      <alignment horizontal="left" vertical="top" wrapText="1"/>
      <protection locked="0"/>
    </xf>
    <xf numFmtId="0" fontId="11" fillId="37" borderId="0" xfId="0" applyNumberFormat="1" applyFont="1" applyFill="1" applyAlignment="1" applyProtection="1">
      <alignment horizontal="right" vertical="center" wrapText="1"/>
      <protection locked="0"/>
    </xf>
    <xf numFmtId="0" fontId="13" fillId="37" borderId="0" xfId="0" applyNumberFormat="1" applyFont="1" applyFill="1" applyAlignment="1" applyProtection="1">
      <alignment horizontal="right" vertical="center" wrapText="1"/>
      <protection locked="0"/>
    </xf>
    <xf numFmtId="0" fontId="12" fillId="37" borderId="0" xfId="0" applyNumberFormat="1" applyFont="1" applyFill="1" applyAlignment="1" applyProtection="1">
      <alignment horizontal="right" wrapText="1"/>
      <protection locked="0"/>
    </xf>
    <xf numFmtId="0" fontId="15" fillId="37" borderId="0" xfId="0" applyNumberFormat="1" applyFont="1" applyFill="1" applyBorder="1" applyAlignment="1" applyProtection="1">
      <alignment horizontal="right" vertical="center" wrapText="1"/>
      <protection locked="0"/>
    </xf>
    <xf numFmtId="0" fontId="16" fillId="37" borderId="0" xfId="0" applyNumberFormat="1" applyFont="1" applyFill="1" applyBorder="1" applyAlignment="1" applyProtection="1">
      <alignment horizontal="right" vertical="center" wrapText="1"/>
      <protection locked="0"/>
    </xf>
    <xf numFmtId="0" fontId="11" fillId="0" borderId="0" xfId="0" applyNumberFormat="1" applyFont="1" applyAlignment="1">
      <alignment horizontal="right" vertical="center" wrapText="1"/>
    </xf>
    <xf numFmtId="0" fontId="15" fillId="37" borderId="0" xfId="0" applyNumberFormat="1" applyFont="1" applyFill="1" applyBorder="1" applyAlignment="1" applyProtection="1">
      <alignment horizontal="left" vertical="top" wrapText="1"/>
      <protection locked="0"/>
    </xf>
    <xf numFmtId="0" fontId="16" fillId="37" borderId="0" xfId="0" applyNumberFormat="1" applyFont="1" applyFill="1" applyBorder="1" applyAlignment="1" applyProtection="1">
      <alignment horizontal="right" vertical="top" wrapText="1"/>
      <protection locked="0"/>
    </xf>
    <xf numFmtId="0" fontId="0" fillId="37" borderId="0" xfId="0" applyNumberFormat="1" applyFont="1" applyFill="1" applyBorder="1" applyAlignment="1" applyProtection="1">
      <alignment horizontal="right" vertical="top" wrapText="1"/>
      <protection locked="0"/>
    </xf>
    <xf numFmtId="0" fontId="8" fillId="0" borderId="0" xfId="89" applyFont="1"/>
    <xf numFmtId="0" fontId="7" fillId="0" borderId="0" xfId="89" applyFont="1"/>
    <xf numFmtId="0" fontId="7" fillId="39" borderId="0" xfId="89" applyFont="1" applyFill="1"/>
    <xf numFmtId="0" fontId="7" fillId="0" borderId="0" xfId="89" applyFont="1" applyAlignment="1"/>
    <xf numFmtId="0" fontId="6" fillId="0" borderId="0" xfId="89" applyFont="1"/>
    <xf numFmtId="0" fontId="5" fillId="0" borderId="0" xfId="89" applyFont="1" applyAlignment="1"/>
    <xf numFmtId="0" fontId="0" fillId="0" borderId="1" xfId="0" applyFont="1" applyFill="1" applyBorder="1" applyAlignment="1">
      <alignment horizontal="left" vertical="top" wrapText="1"/>
    </xf>
    <xf numFmtId="0" fontId="9" fillId="0" borderId="0" xfId="89" applyAlignment="1">
      <alignment wrapText="1"/>
    </xf>
    <xf numFmtId="0" fontId="9" fillId="0" borderId="0" xfId="89" applyFill="1" applyAlignment="1"/>
    <xf numFmtId="0" fontId="12" fillId="0" borderId="0" xfId="89" applyFont="1" applyFill="1" applyAlignment="1">
      <alignment wrapText="1"/>
    </xf>
    <xf numFmtId="49" fontId="48" fillId="0" borderId="0" xfId="89" applyNumberFormat="1" applyFont="1" applyAlignment="1"/>
    <xf numFmtId="49" fontId="9" fillId="0" borderId="0" xfId="89" applyNumberFormat="1" applyAlignment="1"/>
    <xf numFmtId="0" fontId="4" fillId="0" borderId="0" xfId="89" applyFont="1" applyFill="1"/>
    <xf numFmtId="0" fontId="4" fillId="0" borderId="0" xfId="89" applyFont="1" applyFill="1" applyAlignment="1"/>
    <xf numFmtId="0" fontId="4" fillId="0" borderId="0" xfId="89" applyFont="1"/>
    <xf numFmtId="0" fontId="12" fillId="0" borderId="0" xfId="89" applyFont="1" applyFill="1" applyAlignment="1"/>
    <xf numFmtId="49" fontId="4" fillId="0" borderId="0" xfId="89" applyNumberFormat="1" applyFont="1" applyAlignment="1"/>
    <xf numFmtId="0" fontId="11" fillId="0" borderId="0" xfId="0" applyFont="1" applyAlignment="1">
      <alignment horizontal="left" vertical="center" wrapText="1"/>
    </xf>
    <xf numFmtId="0" fontId="0" fillId="0" borderId="3" xfId="0" applyFont="1" applyFill="1" applyBorder="1" applyAlignment="1" applyProtection="1">
      <alignment horizontal="center" vertical="center" wrapText="1"/>
      <protection locked="0"/>
    </xf>
    <xf numFmtId="0" fontId="15" fillId="35" borderId="8" xfId="0" applyFont="1" applyFill="1" applyBorder="1" applyAlignment="1" applyProtection="1">
      <alignment vertical="center" wrapText="1"/>
    </xf>
    <xf numFmtId="0" fontId="15" fillId="35" borderId="9" xfId="0" applyFont="1" applyFill="1" applyBorder="1" applyAlignment="1" applyProtection="1">
      <alignment vertical="center" wrapText="1"/>
    </xf>
    <xf numFmtId="0" fontId="17" fillId="35" borderId="8" xfId="0" applyFont="1" applyFill="1" applyBorder="1" applyAlignment="1" applyProtection="1">
      <alignment vertical="center" wrapText="1"/>
    </xf>
    <xf numFmtId="0" fontId="0" fillId="0" borderId="13" xfId="0" applyFont="1" applyFill="1" applyBorder="1" applyAlignment="1" applyProtection="1">
      <alignment horizontal="center" vertical="center" wrapText="1"/>
      <protection locked="0"/>
    </xf>
    <xf numFmtId="0" fontId="0" fillId="0" borderId="14" xfId="0" applyFont="1" applyFill="1" applyBorder="1" applyAlignment="1" applyProtection="1">
      <alignment horizontal="center" vertical="center" wrapText="1"/>
      <protection locked="0"/>
    </xf>
    <xf numFmtId="0" fontId="12" fillId="37" borderId="0" xfId="0" applyFont="1" applyFill="1" applyAlignment="1" applyProtection="1">
      <alignment horizontal="left" vertical="center" wrapText="1"/>
    </xf>
    <xf numFmtId="0" fontId="0" fillId="0" borderId="25" xfId="0" applyFont="1" applyFill="1" applyBorder="1" applyAlignment="1" applyProtection="1">
      <alignment horizontal="center" vertical="center" wrapText="1"/>
      <protection locked="0"/>
    </xf>
    <xf numFmtId="0" fontId="11" fillId="37" borderId="0" xfId="0" applyFont="1" applyFill="1" applyAlignment="1" applyProtection="1">
      <alignment horizontal="left" vertical="center" wrapText="1"/>
      <protection locked="0"/>
    </xf>
    <xf numFmtId="0" fontId="15" fillId="37" borderId="0" xfId="0" applyFont="1" applyFill="1" applyBorder="1" applyAlignment="1" applyProtection="1">
      <alignment vertical="center" wrapText="1"/>
      <protection locked="0"/>
    </xf>
    <xf numFmtId="0" fontId="43" fillId="35" borderId="8" xfId="0" applyFont="1" applyFill="1" applyBorder="1" applyAlignment="1" applyProtection="1">
      <alignment horizontal="right" vertical="center"/>
    </xf>
    <xf numFmtId="0" fontId="0" fillId="37" borderId="20" xfId="0" applyFont="1" applyFill="1" applyBorder="1" applyAlignment="1" applyProtection="1">
      <alignment vertical="top" wrapText="1"/>
      <protection locked="0"/>
    </xf>
    <xf numFmtId="0" fontId="0" fillId="37" borderId="8" xfId="0" applyFont="1" applyFill="1" applyBorder="1" applyAlignment="1" applyProtection="1">
      <alignment vertical="top" wrapText="1"/>
      <protection locked="0"/>
    </xf>
    <xf numFmtId="0" fontId="0" fillId="37" borderId="9" xfId="0" applyFont="1" applyFill="1" applyBorder="1" applyAlignment="1" applyProtection="1">
      <alignment vertical="top" wrapText="1"/>
      <protection locked="0"/>
    </xf>
    <xf numFmtId="0" fontId="15" fillId="37" borderId="23" xfId="0" applyFont="1" applyFill="1" applyBorder="1" applyAlignment="1" applyProtection="1">
      <alignment horizontal="left" vertical="center" wrapText="1"/>
    </xf>
    <xf numFmtId="0" fontId="15" fillId="37" borderId="0" xfId="0" applyFont="1" applyFill="1" applyBorder="1" applyAlignment="1" applyProtection="1">
      <alignment horizontal="left" vertical="center" wrapText="1"/>
    </xf>
    <xf numFmtId="0" fontId="15" fillId="37" borderId="0" xfId="0" applyFont="1" applyFill="1" applyBorder="1" applyAlignment="1" applyProtection="1">
      <alignment vertical="center" wrapText="1"/>
    </xf>
    <xf numFmtId="0" fontId="14" fillId="0" borderId="17" xfId="0" applyFont="1" applyFill="1" applyBorder="1" applyAlignment="1" applyProtection="1">
      <alignment vertical="center" wrapText="1"/>
    </xf>
    <xf numFmtId="0" fontId="14" fillId="0" borderId="0" xfId="0" applyFont="1" applyFill="1" applyBorder="1" applyAlignment="1" applyProtection="1">
      <alignment vertical="center" wrapText="1"/>
    </xf>
    <xf numFmtId="0" fontId="0" fillId="37" borderId="12" xfId="0" applyFont="1" applyFill="1" applyBorder="1" applyAlignment="1" applyProtection="1">
      <alignment vertical="top" wrapText="1"/>
      <protection locked="0"/>
    </xf>
    <xf numFmtId="0" fontId="0" fillId="37" borderId="10" xfId="0" applyFont="1" applyFill="1" applyBorder="1" applyAlignment="1" applyProtection="1">
      <alignment vertical="top" wrapText="1"/>
      <protection locked="0"/>
    </xf>
    <xf numFmtId="0" fontId="0" fillId="37" borderId="39" xfId="0" applyFont="1" applyFill="1" applyBorder="1" applyAlignment="1" applyProtection="1">
      <alignment vertical="top" wrapText="1"/>
      <protection locked="0"/>
    </xf>
    <xf numFmtId="0" fontId="0" fillId="37" borderId="4" xfId="0" applyFont="1" applyFill="1" applyBorder="1" applyAlignment="1" applyProtection="1">
      <alignment vertical="top" wrapText="1"/>
      <protection locked="0"/>
    </xf>
    <xf numFmtId="0" fontId="0" fillId="37" borderId="46" xfId="0" applyFont="1" applyFill="1" applyBorder="1" applyAlignment="1" applyProtection="1">
      <alignment vertical="top" wrapText="1"/>
      <protection locked="0"/>
    </xf>
    <xf numFmtId="0" fontId="0" fillId="37" borderId="48" xfId="0" applyFont="1" applyFill="1" applyBorder="1" applyAlignment="1" applyProtection="1">
      <alignment vertical="top" wrapText="1"/>
      <protection locked="0"/>
    </xf>
    <xf numFmtId="0" fontId="0" fillId="37" borderId="15" xfId="0" applyFont="1" applyFill="1" applyBorder="1" applyAlignment="1" applyProtection="1">
      <alignment vertical="top" wrapText="1"/>
      <protection locked="0"/>
    </xf>
    <xf numFmtId="0" fontId="0" fillId="37" borderId="42" xfId="0" applyFont="1" applyFill="1" applyBorder="1" applyAlignment="1" applyProtection="1">
      <alignment vertical="top" wrapText="1"/>
      <protection locked="0"/>
    </xf>
    <xf numFmtId="0" fontId="0" fillId="37" borderId="43" xfId="0" applyFont="1" applyFill="1" applyBorder="1" applyAlignment="1" applyProtection="1">
      <alignment vertical="top" wrapText="1"/>
      <protection locked="0"/>
    </xf>
    <xf numFmtId="0" fontId="0" fillId="37" borderId="0" xfId="0" applyFont="1" applyFill="1" applyAlignment="1">
      <alignment horizontal="left" vertical="center" wrapText="1"/>
    </xf>
    <xf numFmtId="0" fontId="16" fillId="36" borderId="84" xfId="0" applyFont="1" applyFill="1" applyBorder="1" applyAlignment="1" applyProtection="1">
      <alignment horizontal="center" vertical="center" wrapText="1"/>
    </xf>
    <xf numFmtId="0" fontId="0" fillId="0" borderId="30" xfId="0" applyNumberFormat="1" applyFont="1" applyBorder="1" applyAlignment="1" applyProtection="1">
      <alignment horizontal="center" vertical="center" wrapText="1"/>
      <protection locked="0"/>
    </xf>
    <xf numFmtId="0" fontId="0" fillId="0" borderId="7" xfId="0" applyNumberFormat="1" applyFont="1" applyBorder="1" applyAlignment="1" applyProtection="1">
      <alignment horizontal="center" vertical="center" wrapText="1"/>
      <protection locked="0"/>
    </xf>
    <xf numFmtId="0" fontId="16" fillId="37" borderId="0" xfId="0" applyFont="1" applyFill="1" applyBorder="1" applyAlignment="1" applyProtection="1">
      <alignment horizontal="center" vertical="center" wrapText="1"/>
      <protection locked="0"/>
    </xf>
    <xf numFmtId="0" fontId="16" fillId="36" borderId="21" xfId="0" applyFont="1" applyFill="1" applyBorder="1" applyAlignment="1" applyProtection="1">
      <alignment horizontal="center" vertical="center" wrapText="1"/>
    </xf>
    <xf numFmtId="0" fontId="0" fillId="0" borderId="29" xfId="0" applyNumberFormat="1" applyFont="1" applyBorder="1" applyAlignment="1" applyProtection="1">
      <alignment horizontal="center" vertical="center" wrapText="1"/>
      <protection locked="0"/>
    </xf>
    <xf numFmtId="0" fontId="12" fillId="37" borderId="0" xfId="0" applyFont="1" applyFill="1" applyBorder="1" applyAlignment="1" applyProtection="1">
      <alignment horizontal="left" vertical="center" wrapText="1"/>
    </xf>
    <xf numFmtId="0" fontId="15" fillId="35" borderId="0" xfId="0" applyFont="1" applyFill="1" applyBorder="1" applyAlignment="1" applyProtection="1">
      <alignment horizontal="left" vertical="center" wrapText="1"/>
    </xf>
    <xf numFmtId="0" fontId="15" fillId="35" borderId="8" xfId="0" applyFont="1" applyFill="1" applyBorder="1" applyAlignment="1" applyProtection="1">
      <alignment horizontal="left" vertical="center" wrapText="1"/>
    </xf>
    <xf numFmtId="0" fontId="16" fillId="36" borderId="20" xfId="0" applyFont="1" applyFill="1" applyBorder="1" applyAlignment="1" applyProtection="1">
      <alignment horizontal="center" vertical="center" wrapText="1"/>
    </xf>
    <xf numFmtId="0" fontId="16" fillId="36" borderId="9" xfId="0" applyFont="1" applyFill="1" applyBorder="1" applyAlignment="1" applyProtection="1">
      <alignment horizontal="center" vertical="center" wrapText="1"/>
    </xf>
    <xf numFmtId="0" fontId="15" fillId="35" borderId="9" xfId="0" applyFont="1" applyFill="1" applyBorder="1" applyAlignment="1" applyProtection="1">
      <alignment horizontal="left" vertical="center" wrapText="1"/>
    </xf>
    <xf numFmtId="0" fontId="15" fillId="35" borderId="20" xfId="0" applyFont="1" applyFill="1" applyBorder="1" applyAlignment="1" applyProtection="1">
      <alignment vertical="center" wrapText="1"/>
    </xf>
    <xf numFmtId="0" fontId="17" fillId="35" borderId="20" xfId="0" applyFont="1" applyFill="1" applyBorder="1" applyAlignment="1" applyProtection="1">
      <alignment horizontal="left" vertical="center" wrapText="1"/>
    </xf>
    <xf numFmtId="0" fontId="17" fillId="35" borderId="8" xfId="0" applyFont="1" applyFill="1" applyBorder="1" applyAlignment="1" applyProtection="1">
      <alignment horizontal="left" vertical="center" wrapText="1"/>
    </xf>
    <xf numFmtId="0" fontId="12" fillId="0" borderId="0" xfId="0" applyFont="1" applyFill="1" applyBorder="1" applyAlignment="1" applyProtection="1">
      <alignment horizontal="center" vertical="center" wrapText="1"/>
    </xf>
    <xf numFmtId="0" fontId="16" fillId="37" borderId="23" xfId="0" applyFont="1" applyFill="1" applyBorder="1" applyAlignment="1" applyProtection="1">
      <alignment horizontal="center" vertical="center" wrapText="1"/>
      <protection locked="0"/>
    </xf>
    <xf numFmtId="0" fontId="0" fillId="37" borderId="23" xfId="0" applyFont="1" applyFill="1" applyBorder="1" applyAlignment="1" applyProtection="1">
      <alignment horizontal="left" vertical="top" wrapText="1"/>
      <protection locked="0"/>
    </xf>
    <xf numFmtId="0" fontId="0" fillId="37" borderId="0" xfId="0" applyFont="1" applyFill="1" applyBorder="1" applyAlignment="1" applyProtection="1">
      <alignment horizontal="left" vertical="top" wrapText="1"/>
      <protection locked="0"/>
    </xf>
    <xf numFmtId="0" fontId="15" fillId="35" borderId="20" xfId="0" applyFont="1" applyFill="1" applyBorder="1" applyAlignment="1" applyProtection="1">
      <alignment horizontal="left" vertical="center"/>
    </xf>
    <xf numFmtId="0" fontId="17" fillId="35" borderId="20" xfId="0" applyFont="1" applyFill="1" applyBorder="1" applyAlignment="1" applyProtection="1">
      <alignment horizontal="left" vertical="center"/>
    </xf>
    <xf numFmtId="0" fontId="17" fillId="35" borderId="8" xfId="0" applyFont="1" applyFill="1" applyBorder="1" applyAlignment="1" applyProtection="1">
      <alignment horizontal="left" vertical="center"/>
    </xf>
    <xf numFmtId="0" fontId="17" fillId="35" borderId="9" xfId="0" applyFont="1" applyFill="1" applyBorder="1" applyAlignment="1" applyProtection="1">
      <alignment horizontal="left" vertical="center" wrapText="1"/>
    </xf>
    <xf numFmtId="0" fontId="14" fillId="37" borderId="16" xfId="0" applyFont="1" applyFill="1" applyBorder="1" applyAlignment="1" applyProtection="1">
      <alignment horizontal="right" vertical="center" wrapText="1"/>
    </xf>
    <xf numFmtId="0" fontId="13" fillId="40" borderId="0" xfId="0" applyFont="1" applyFill="1" applyAlignment="1" applyProtection="1">
      <alignment horizontal="left" vertical="center" wrapText="1"/>
      <protection locked="0"/>
    </xf>
    <xf numFmtId="0" fontId="13" fillId="40" borderId="18" xfId="0" applyFont="1" applyFill="1" applyBorder="1" applyAlignment="1" applyProtection="1">
      <alignment horizontal="left" vertical="center" wrapText="1"/>
      <protection locked="0"/>
    </xf>
    <xf numFmtId="0" fontId="13" fillId="40" borderId="17" xfId="0" applyFont="1" applyFill="1" applyBorder="1" applyAlignment="1" applyProtection="1">
      <alignment horizontal="left" vertical="center" wrapText="1"/>
      <protection locked="0"/>
    </xf>
    <xf numFmtId="0" fontId="0" fillId="36" borderId="74" xfId="0" applyFont="1" applyFill="1" applyBorder="1" applyAlignment="1" applyProtection="1">
      <alignment horizontal="center" vertical="center" wrapText="1"/>
      <protection locked="0"/>
    </xf>
    <xf numFmtId="0" fontId="0" fillId="36" borderId="75" xfId="0" applyFont="1" applyFill="1" applyBorder="1" applyAlignment="1" applyProtection="1">
      <alignment horizontal="center" vertical="center" wrapText="1"/>
      <protection locked="0"/>
    </xf>
    <xf numFmtId="0" fontId="0" fillId="36" borderId="76" xfId="0" applyFont="1" applyFill="1" applyBorder="1" applyAlignment="1" applyProtection="1">
      <alignment horizontal="center" vertical="center" wrapText="1"/>
      <protection locked="0"/>
    </xf>
    <xf numFmtId="0" fontId="0" fillId="36" borderId="77" xfId="0" applyFont="1" applyFill="1" applyBorder="1" applyAlignment="1" applyProtection="1">
      <alignment horizontal="center" vertical="center" wrapText="1"/>
      <protection locked="0"/>
    </xf>
    <xf numFmtId="164" fontId="0" fillId="36" borderId="81" xfId="0" applyNumberFormat="1" applyFont="1" applyFill="1" applyBorder="1" applyAlignment="1" applyProtection="1">
      <alignment horizontal="center" vertical="center" wrapText="1"/>
    </xf>
    <xf numFmtId="164" fontId="0" fillId="36" borderId="82" xfId="0" applyNumberFormat="1" applyFont="1" applyFill="1" applyBorder="1" applyAlignment="1" applyProtection="1">
      <alignment horizontal="center" vertical="center" wrapText="1"/>
    </xf>
    <xf numFmtId="0" fontId="15" fillId="35" borderId="8" xfId="0" applyFont="1" applyFill="1" applyBorder="1" applyAlignment="1" applyProtection="1">
      <alignment horizontal="left" vertical="center"/>
    </xf>
    <xf numFmtId="3" fontId="0" fillId="36" borderId="8" xfId="0" applyNumberFormat="1" applyFont="1" applyFill="1" applyBorder="1" applyAlignment="1" applyProtection="1">
      <alignment horizontal="left" vertical="center" wrapText="1"/>
    </xf>
    <xf numFmtId="3" fontId="0" fillId="36" borderId="9" xfId="0" applyNumberFormat="1" applyFont="1" applyFill="1" applyBorder="1" applyAlignment="1" applyProtection="1">
      <alignment horizontal="left" vertical="center" wrapText="1"/>
    </xf>
    <xf numFmtId="3" fontId="0" fillId="36" borderId="8" xfId="0" applyNumberFormat="1" applyFont="1" applyFill="1" applyBorder="1" applyAlignment="1" applyProtection="1">
      <alignment horizontal="right" vertical="center" wrapText="1"/>
    </xf>
    <xf numFmtId="3" fontId="0" fillId="36" borderId="66" xfId="0" applyNumberFormat="1" applyFont="1" applyFill="1" applyBorder="1" applyAlignment="1" applyProtection="1">
      <alignment horizontal="right" vertical="center" wrapText="1"/>
    </xf>
    <xf numFmtId="0" fontId="15" fillId="35" borderId="70" xfId="0" applyFont="1" applyFill="1" applyBorder="1" applyAlignment="1" applyProtection="1">
      <alignment vertical="center" wrapText="1"/>
    </xf>
    <xf numFmtId="3" fontId="0" fillId="0" borderId="10" xfId="0" applyNumberFormat="1" applyFont="1" applyFill="1" applyBorder="1" applyAlignment="1" applyProtection="1">
      <alignment horizontal="center" vertical="center" wrapText="1"/>
      <protection locked="0"/>
    </xf>
    <xf numFmtId="3" fontId="0" fillId="0" borderId="11" xfId="0" applyNumberFormat="1" applyFont="1" applyFill="1" applyBorder="1" applyAlignment="1" applyProtection="1">
      <alignment horizontal="center" vertical="center" wrapText="1"/>
      <protection locked="0"/>
    </xf>
    <xf numFmtId="3" fontId="0" fillId="0" borderId="5" xfId="0" applyNumberFormat="1" applyFont="1" applyFill="1" applyBorder="1" applyAlignment="1" applyProtection="1">
      <alignment horizontal="center" vertical="center" wrapText="1"/>
      <protection locked="0"/>
    </xf>
    <xf numFmtId="3" fontId="0" fillId="0" borderId="7" xfId="0" applyNumberFormat="1" applyFont="1" applyFill="1" applyBorder="1" applyAlignment="1" applyProtection="1">
      <alignment horizontal="center" vertical="center" wrapText="1"/>
      <protection locked="0"/>
    </xf>
    <xf numFmtId="0" fontId="16" fillId="36" borderId="84" xfId="0" applyFont="1" applyFill="1" applyBorder="1" applyAlignment="1" applyProtection="1">
      <alignment horizontal="center" vertical="center" wrapText="1"/>
    </xf>
    <xf numFmtId="0" fontId="16" fillId="36" borderId="20" xfId="0" applyFont="1" applyFill="1" applyBorder="1" applyAlignment="1" applyProtection="1">
      <alignment horizontal="center" vertical="center" wrapText="1"/>
    </xf>
    <xf numFmtId="0" fontId="16" fillId="36" borderId="9" xfId="0" applyFont="1" applyFill="1" applyBorder="1" applyAlignment="1" applyProtection="1">
      <alignment horizontal="center" vertical="center" wrapText="1"/>
    </xf>
    <xf numFmtId="3" fontId="0" fillId="36" borderId="8" xfId="0" applyNumberFormat="1" applyFont="1" applyFill="1" applyBorder="1" applyAlignment="1" applyProtection="1">
      <alignment horizontal="right" vertical="center" wrapText="1"/>
    </xf>
    <xf numFmtId="0" fontId="16" fillId="36" borderId="21" xfId="0" applyFont="1" applyFill="1" applyBorder="1" applyAlignment="1" applyProtection="1">
      <alignment horizontal="center" vertical="center" wrapText="1"/>
    </xf>
    <xf numFmtId="0" fontId="15" fillId="35" borderId="8" xfId="0" applyFont="1" applyFill="1" applyBorder="1" applyAlignment="1" applyProtection="1">
      <alignment horizontal="left" vertical="center" wrapText="1"/>
    </xf>
    <xf numFmtId="0" fontId="15" fillId="35" borderId="9" xfId="0" applyFont="1" applyFill="1" applyBorder="1" applyAlignment="1" applyProtection="1">
      <alignment horizontal="left" vertical="center" wrapText="1"/>
    </xf>
    <xf numFmtId="0" fontId="15" fillId="35" borderId="20" xfId="0" applyFont="1" applyFill="1" applyBorder="1" applyAlignment="1" applyProtection="1">
      <alignment vertical="center" wrapText="1"/>
    </xf>
    <xf numFmtId="0" fontId="15" fillId="35" borderId="8" xfId="0" applyFont="1" applyFill="1" applyBorder="1" applyAlignment="1" applyProtection="1">
      <alignment vertical="center" wrapText="1"/>
    </xf>
    <xf numFmtId="0" fontId="16" fillId="37" borderId="0" xfId="0" applyFont="1" applyFill="1" applyBorder="1" applyAlignment="1" applyProtection="1">
      <alignment horizontal="center" vertical="center" wrapText="1"/>
      <protection locked="0"/>
    </xf>
    <xf numFmtId="0" fontId="0" fillId="37" borderId="0" xfId="0" applyFont="1" applyFill="1" applyBorder="1" applyAlignment="1" applyProtection="1">
      <alignment horizontal="left" vertical="top" wrapText="1"/>
      <protection locked="0"/>
    </xf>
    <xf numFmtId="0" fontId="0" fillId="37" borderId="1" xfId="0" applyFont="1" applyFill="1" applyBorder="1" applyAlignment="1">
      <alignment horizontal="left" vertical="top" wrapText="1"/>
    </xf>
    <xf numFmtId="0" fontId="0" fillId="37" borderId="1" xfId="0" applyFill="1" applyBorder="1" applyAlignment="1">
      <alignment horizontal="left" vertical="top" wrapText="1"/>
    </xf>
    <xf numFmtId="0" fontId="9" fillId="37" borderId="0" xfId="89" applyFill="1"/>
    <xf numFmtId="0" fontId="9" fillId="37" borderId="0" xfId="89" applyFill="1" applyAlignment="1"/>
    <xf numFmtId="0" fontId="12" fillId="37" borderId="0" xfId="89" applyFont="1" applyFill="1" applyAlignment="1"/>
    <xf numFmtId="0" fontId="3" fillId="0" borderId="0" xfId="89" applyFont="1" applyAlignment="1"/>
    <xf numFmtId="0" fontId="50" fillId="0" borderId="0" xfId="0" applyFont="1"/>
    <xf numFmtId="0" fontId="2" fillId="0" borderId="0" xfId="89" applyFont="1"/>
    <xf numFmtId="0" fontId="0" fillId="0" borderId="0" xfId="76" applyFont="1" applyAlignment="1">
      <alignment horizontal="left" vertical="center"/>
    </xf>
    <xf numFmtId="49" fontId="0" fillId="41" borderId="0" xfId="0" applyNumberFormat="1" applyFont="1" applyFill="1"/>
    <xf numFmtId="49" fontId="10" fillId="41" borderId="0" xfId="0" applyNumberFormat="1" applyFont="1" applyFill="1"/>
    <xf numFmtId="0" fontId="1" fillId="0" borderId="0" xfId="89" applyFont="1" applyAlignment="1"/>
    <xf numFmtId="0" fontId="1" fillId="0" borderId="0" xfId="89" applyFont="1" applyFill="1" applyAlignment="1"/>
    <xf numFmtId="0" fontId="1" fillId="37" borderId="0" xfId="89" applyFont="1" applyFill="1" applyAlignment="1"/>
    <xf numFmtId="0" fontId="16" fillId="36" borderId="20" xfId="0" applyFont="1" applyFill="1" applyBorder="1" applyAlignment="1" applyProtection="1">
      <alignment horizontal="left" vertical="center" wrapText="1"/>
    </xf>
    <xf numFmtId="0" fontId="16" fillId="36" borderId="8" xfId="0" applyFont="1" applyFill="1" applyBorder="1" applyAlignment="1" applyProtection="1">
      <alignment horizontal="left" vertical="center" wrapText="1"/>
    </xf>
    <xf numFmtId="0" fontId="16" fillId="36" borderId="70" xfId="0" applyFont="1" applyFill="1" applyBorder="1" applyAlignment="1" applyProtection="1">
      <alignment horizontal="left" vertical="center" wrapText="1"/>
    </xf>
    <xf numFmtId="0" fontId="0" fillId="0" borderId="46" xfId="0" applyNumberFormat="1" applyFont="1" applyBorder="1" applyAlignment="1" applyProtection="1">
      <alignment horizontal="left" vertical="center" wrapText="1"/>
      <protection locked="0"/>
    </xf>
    <xf numFmtId="0" fontId="0" fillId="0" borderId="48" xfId="0" applyNumberFormat="1" applyFont="1" applyBorder="1" applyAlignment="1" applyProtection="1">
      <alignment horizontal="left" vertical="center" wrapText="1"/>
      <protection locked="0"/>
    </xf>
    <xf numFmtId="0" fontId="19" fillId="36" borderId="23" xfId="0" applyFont="1" applyFill="1" applyBorder="1" applyAlignment="1" applyProtection="1">
      <alignment horizontal="center" vertical="top" wrapText="1"/>
    </xf>
    <xf numFmtId="0" fontId="19" fillId="36" borderId="0" xfId="0" applyFont="1" applyFill="1" applyBorder="1" applyAlignment="1" applyProtection="1">
      <alignment horizontal="center" vertical="top" wrapText="1"/>
    </xf>
    <xf numFmtId="0" fontId="19" fillId="36" borderId="72" xfId="0" applyFont="1" applyFill="1" applyBorder="1" applyAlignment="1" applyProtection="1">
      <alignment horizontal="center" vertical="top" wrapText="1"/>
    </xf>
    <xf numFmtId="0" fontId="19" fillId="36" borderId="19" xfId="0" applyFont="1" applyFill="1" applyBorder="1" applyAlignment="1" applyProtection="1">
      <alignment horizontal="center" vertical="top" wrapText="1"/>
    </xf>
    <xf numFmtId="0" fontId="19" fillId="36" borderId="16" xfId="0" applyFont="1" applyFill="1" applyBorder="1" applyAlignment="1" applyProtection="1">
      <alignment horizontal="center" vertical="top" wrapText="1"/>
    </xf>
    <xf numFmtId="0" fontId="19" fillId="36" borderId="73" xfId="0" applyFont="1" applyFill="1" applyBorder="1" applyAlignment="1" applyProtection="1">
      <alignment horizontal="center" vertical="top" wrapText="1"/>
    </xf>
    <xf numFmtId="0" fontId="0" fillId="0" borderId="42" xfId="0" applyNumberFormat="1" applyFont="1" applyBorder="1" applyAlignment="1" applyProtection="1">
      <alignment horizontal="left" vertical="center" wrapText="1"/>
      <protection locked="0"/>
    </xf>
    <xf numFmtId="0" fontId="0" fillId="0" borderId="43" xfId="0" applyNumberFormat="1" applyFont="1" applyBorder="1" applyAlignment="1" applyProtection="1">
      <alignment horizontal="left" vertical="center" wrapText="1"/>
      <protection locked="0"/>
    </xf>
    <xf numFmtId="0" fontId="0" fillId="0" borderId="10" xfId="0" applyNumberFormat="1" applyFont="1" applyBorder="1" applyAlignment="1" applyProtection="1">
      <alignment horizontal="left" vertical="center" wrapText="1"/>
      <protection locked="0"/>
    </xf>
    <xf numFmtId="0" fontId="0" fillId="0" borderId="39" xfId="0" applyNumberFormat="1" applyFont="1" applyBorder="1" applyAlignment="1" applyProtection="1">
      <alignment horizontal="left" vertical="center" wrapText="1"/>
      <protection locked="0"/>
    </xf>
    <xf numFmtId="0" fontId="16" fillId="36" borderId="27" xfId="0" applyFont="1" applyFill="1" applyBorder="1" applyAlignment="1" applyProtection="1">
      <alignment horizontal="center" vertical="center" wrapText="1"/>
    </xf>
    <xf numFmtId="0" fontId="16" fillId="36" borderId="17" xfId="0" applyFont="1" applyFill="1" applyBorder="1" applyAlignment="1" applyProtection="1">
      <alignment horizontal="center" vertical="center" wrapText="1"/>
    </xf>
    <xf numFmtId="0" fontId="16" fillId="36" borderId="71" xfId="0" applyFont="1" applyFill="1" applyBorder="1" applyAlignment="1" applyProtection="1">
      <alignment horizontal="center" vertical="center" wrapText="1"/>
    </xf>
    <xf numFmtId="0" fontId="16" fillId="36" borderId="23" xfId="0" applyFont="1" applyFill="1" applyBorder="1" applyAlignment="1" applyProtection="1">
      <alignment horizontal="center" vertical="center" wrapText="1"/>
    </xf>
    <xf numFmtId="0" fontId="16" fillId="36" borderId="0" xfId="0" applyFont="1" applyFill="1" applyBorder="1" applyAlignment="1" applyProtection="1">
      <alignment horizontal="center" vertical="center" wrapText="1"/>
    </xf>
    <xf numFmtId="0" fontId="16" fillId="36" borderId="72"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16" fillId="36" borderId="9" xfId="0" applyFont="1" applyFill="1" applyBorder="1" applyAlignment="1" applyProtection="1">
      <alignment horizontal="left" vertical="center" wrapText="1"/>
    </xf>
    <xf numFmtId="0" fontId="0" fillId="0" borderId="68" xfId="0" applyFont="1" applyFill="1" applyBorder="1" applyAlignment="1" applyProtection="1">
      <alignment horizontal="left" vertical="center" wrapText="1"/>
      <protection locked="0"/>
    </xf>
    <xf numFmtId="0" fontId="0" fillId="0" borderId="79" xfId="0" applyFont="1" applyFill="1" applyBorder="1" applyAlignment="1" applyProtection="1">
      <alignment horizontal="left" vertical="center" wrapText="1"/>
      <protection locked="0"/>
    </xf>
    <xf numFmtId="0" fontId="0" fillId="0" borderId="64" xfId="0" applyFont="1" applyFill="1" applyBorder="1" applyAlignment="1" applyProtection="1">
      <alignment horizontal="left" vertical="center" wrapText="1"/>
      <protection locked="0"/>
    </xf>
    <xf numFmtId="0" fontId="0" fillId="0" borderId="69" xfId="0" applyFont="1" applyFill="1" applyBorder="1" applyAlignment="1" applyProtection="1">
      <alignment horizontal="left" vertical="center" wrapText="1"/>
      <protection locked="0"/>
    </xf>
    <xf numFmtId="0" fontId="0" fillId="0" borderId="80" xfId="0" applyFont="1" applyFill="1" applyBorder="1" applyAlignment="1" applyProtection="1">
      <alignment horizontal="left" vertical="center" wrapText="1"/>
      <protection locked="0"/>
    </xf>
    <xf numFmtId="0" fontId="0" fillId="0" borderId="65" xfId="0" applyFont="1" applyFill="1" applyBorder="1" applyAlignment="1" applyProtection="1">
      <alignment horizontal="left" vertical="center" wrapText="1"/>
      <protection locked="0"/>
    </xf>
    <xf numFmtId="0" fontId="15" fillId="35" borderId="20" xfId="0" applyFont="1" applyFill="1" applyBorder="1" applyAlignment="1" applyProtection="1">
      <alignment horizontal="left" vertical="top" wrapText="1"/>
    </xf>
    <xf numFmtId="0" fontId="15" fillId="35" borderId="8" xfId="0" applyFont="1" applyFill="1" applyBorder="1" applyAlignment="1" applyProtection="1">
      <alignment horizontal="left" vertical="top" wrapText="1"/>
    </xf>
    <xf numFmtId="0" fontId="15" fillId="35" borderId="9" xfId="0" applyFont="1" applyFill="1" applyBorder="1" applyAlignment="1" applyProtection="1">
      <alignment horizontal="left" vertical="top" wrapText="1"/>
    </xf>
    <xf numFmtId="0" fontId="0" fillId="0" borderId="67" xfId="0" applyFont="1" applyFill="1" applyBorder="1" applyAlignment="1" applyProtection="1">
      <alignment horizontal="left" vertical="center" wrapText="1"/>
      <protection locked="0"/>
    </xf>
    <xf numFmtId="0" fontId="0" fillId="0" borderId="78" xfId="0" applyFont="1" applyFill="1" applyBorder="1" applyAlignment="1" applyProtection="1">
      <alignment horizontal="left" vertical="center" wrapText="1"/>
      <protection locked="0"/>
    </xf>
    <xf numFmtId="0" fontId="0" fillId="0" borderId="63" xfId="0" applyFont="1" applyFill="1" applyBorder="1" applyAlignment="1" applyProtection="1">
      <alignment horizontal="left" vertical="center" wrapText="1"/>
      <protection locked="0"/>
    </xf>
    <xf numFmtId="0" fontId="16" fillId="36" borderId="20" xfId="0" applyFont="1" applyFill="1" applyBorder="1" applyAlignment="1" applyProtection="1">
      <alignment horizontal="center" vertical="center" wrapText="1"/>
    </xf>
    <xf numFmtId="0" fontId="16" fillId="36" borderId="8" xfId="0" applyFont="1" applyFill="1" applyBorder="1" applyAlignment="1" applyProtection="1">
      <alignment horizontal="center" vertical="center" wrapText="1"/>
    </xf>
    <xf numFmtId="0" fontId="16" fillId="36" borderId="9" xfId="0" applyFont="1" applyFill="1" applyBorder="1" applyAlignment="1" applyProtection="1">
      <alignment horizontal="center" vertical="center" wrapText="1"/>
    </xf>
    <xf numFmtId="0" fontId="16" fillId="36" borderId="27" xfId="0" applyFont="1" applyFill="1" applyBorder="1" applyAlignment="1" applyProtection="1">
      <alignment horizontal="center" vertical="center" wrapText="1"/>
      <protection locked="0"/>
    </xf>
    <xf numFmtId="0" fontId="16" fillId="36" borderId="17" xfId="0" applyFont="1" applyFill="1" applyBorder="1" applyAlignment="1" applyProtection="1">
      <alignment horizontal="center" vertical="center" wrapText="1"/>
      <protection locked="0"/>
    </xf>
    <xf numFmtId="0" fontId="16" fillId="36" borderId="18" xfId="0" applyFont="1" applyFill="1" applyBorder="1" applyAlignment="1" applyProtection="1">
      <alignment horizontal="center" vertical="center" wrapText="1"/>
      <protection locked="0"/>
    </xf>
    <xf numFmtId="0" fontId="16" fillId="36" borderId="23" xfId="0" applyFont="1" applyFill="1" applyBorder="1" applyAlignment="1" applyProtection="1">
      <alignment horizontal="center" vertical="center" wrapText="1"/>
      <protection locked="0"/>
    </xf>
    <xf numFmtId="0" fontId="16" fillId="36" borderId="0" xfId="0" applyFont="1" applyFill="1" applyBorder="1" applyAlignment="1" applyProtection="1">
      <alignment horizontal="center" vertical="center" wrapText="1"/>
      <protection locked="0"/>
    </xf>
    <xf numFmtId="0" fontId="16" fillId="36" borderId="31" xfId="0" applyFont="1" applyFill="1" applyBorder="1" applyAlignment="1" applyProtection="1">
      <alignment horizontal="center" vertical="center" wrapText="1"/>
      <protection locked="0"/>
    </xf>
    <xf numFmtId="0" fontId="16" fillId="36" borderId="19" xfId="0" applyFont="1" applyFill="1" applyBorder="1" applyAlignment="1" applyProtection="1">
      <alignment horizontal="center" vertical="center" wrapText="1"/>
      <protection locked="0"/>
    </xf>
    <xf numFmtId="0" fontId="16" fillId="36" borderId="16" xfId="0" applyFont="1" applyFill="1" applyBorder="1" applyAlignment="1" applyProtection="1">
      <alignment horizontal="center" vertical="center" wrapText="1"/>
      <protection locked="0"/>
    </xf>
    <xf numFmtId="0" fontId="16" fillId="36" borderId="32" xfId="0" applyFont="1" applyFill="1" applyBorder="1" applyAlignment="1" applyProtection="1">
      <alignment horizontal="center" vertical="center" wrapText="1"/>
      <protection locked="0"/>
    </xf>
    <xf numFmtId="0" fontId="16" fillId="36" borderId="18" xfId="0" applyFont="1" applyFill="1" applyBorder="1" applyAlignment="1" applyProtection="1">
      <alignment horizontal="center" vertical="center" wrapText="1"/>
    </xf>
    <xf numFmtId="0" fontId="16" fillId="36" borderId="19" xfId="0" applyFont="1" applyFill="1" applyBorder="1" applyAlignment="1" applyProtection="1">
      <alignment horizontal="center" vertical="center" wrapText="1"/>
    </xf>
    <xf numFmtId="0" fontId="16" fillId="36" borderId="32" xfId="0" applyFont="1" applyFill="1" applyBorder="1" applyAlignment="1" applyProtection="1">
      <alignment horizontal="center" vertical="center" wrapText="1"/>
    </xf>
    <xf numFmtId="0" fontId="16" fillId="36" borderId="2" xfId="0" applyFont="1" applyFill="1" applyBorder="1" applyAlignment="1" applyProtection="1">
      <alignment horizontal="center" vertical="center" wrapText="1"/>
    </xf>
    <xf numFmtId="0" fontId="16" fillId="36" borderId="21" xfId="0" applyFont="1" applyFill="1" applyBorder="1" applyAlignment="1" applyProtection="1">
      <alignment horizontal="center" vertical="center" wrapText="1"/>
    </xf>
    <xf numFmtId="0" fontId="16" fillId="36" borderId="16" xfId="0" applyFont="1" applyFill="1" applyBorder="1" applyAlignment="1" applyProtection="1">
      <alignment horizontal="center" vertical="center" wrapText="1"/>
    </xf>
    <xf numFmtId="0" fontId="0" fillId="36" borderId="20" xfId="0" applyFont="1" applyFill="1" applyBorder="1" applyAlignment="1" applyProtection="1">
      <alignment horizontal="center" vertical="center" wrapText="1"/>
    </xf>
    <xf numFmtId="0" fontId="0" fillId="36" borderId="9" xfId="0" applyFont="1" applyFill="1" applyBorder="1" applyAlignment="1" applyProtection="1">
      <alignment horizontal="center" vertical="center" wrapText="1"/>
    </xf>
    <xf numFmtId="0" fontId="0" fillId="0" borderId="5" xfId="0" applyNumberFormat="1" applyFont="1" applyBorder="1" applyAlignment="1" applyProtection="1">
      <alignment horizontal="center" vertical="center" wrapText="1"/>
      <protection locked="0"/>
    </xf>
    <xf numFmtId="0" fontId="0" fillId="0" borderId="40" xfId="0" applyNumberFormat="1" applyFont="1" applyBorder="1" applyAlignment="1" applyProtection="1">
      <alignment horizontal="center" vertical="center" wrapText="1"/>
      <protection locked="0"/>
    </xf>
    <xf numFmtId="0" fontId="0" fillId="0" borderId="39" xfId="0" applyNumberFormat="1" applyFont="1" applyBorder="1" applyAlignment="1" applyProtection="1">
      <alignment horizontal="center" vertical="center" wrapText="1"/>
      <protection locked="0"/>
    </xf>
    <xf numFmtId="0" fontId="0" fillId="0" borderId="5" xfId="0" applyNumberFormat="1" applyFont="1" applyBorder="1" applyAlignment="1" applyProtection="1">
      <alignment horizontal="left" vertical="center" wrapText="1"/>
      <protection locked="0"/>
    </xf>
    <xf numFmtId="0" fontId="0" fillId="0" borderId="40" xfId="0" applyNumberFormat="1" applyFont="1" applyBorder="1" applyAlignment="1" applyProtection="1">
      <alignment horizontal="left" vertical="center" wrapText="1"/>
      <protection locked="0"/>
    </xf>
    <xf numFmtId="3" fontId="0" fillId="0" borderId="5" xfId="0" applyNumberFormat="1" applyFont="1" applyBorder="1" applyAlignment="1" applyProtection="1">
      <alignment horizontal="center" vertical="center" wrapText="1"/>
      <protection locked="0"/>
    </xf>
    <xf numFmtId="3" fontId="0" fillId="0" borderId="10" xfId="0" applyNumberFormat="1" applyFont="1" applyBorder="1" applyAlignment="1" applyProtection="1">
      <alignment horizontal="center" vertical="center" wrapText="1"/>
      <protection locked="0"/>
    </xf>
    <xf numFmtId="3" fontId="0" fillId="0" borderId="40" xfId="0" applyNumberFormat="1" applyFont="1" applyBorder="1" applyAlignment="1" applyProtection="1">
      <alignment horizontal="center" vertical="center" wrapText="1"/>
      <protection locked="0"/>
    </xf>
    <xf numFmtId="0" fontId="21" fillId="36" borderId="2" xfId="0" applyFont="1" applyFill="1" applyBorder="1" applyAlignment="1" applyProtection="1">
      <alignment horizontal="center" vertical="center" textRotation="90" wrapText="1"/>
    </xf>
    <xf numFmtId="0" fontId="21" fillId="36" borderId="33" xfId="0" applyFont="1" applyFill="1" applyBorder="1" applyAlignment="1" applyProtection="1">
      <alignment horizontal="center" vertical="center" textRotation="90" wrapText="1"/>
    </xf>
    <xf numFmtId="0" fontId="21" fillId="36" borderId="21" xfId="0" applyFont="1" applyFill="1" applyBorder="1" applyAlignment="1" applyProtection="1">
      <alignment horizontal="center" vertical="center" textRotation="90" wrapText="1"/>
    </xf>
    <xf numFmtId="0" fontId="16" fillId="36" borderId="31" xfId="0" applyFont="1" applyFill="1" applyBorder="1" applyAlignment="1" applyProtection="1">
      <alignment horizontal="center" vertical="center" wrapText="1"/>
    </xf>
    <xf numFmtId="0" fontId="0" fillId="0" borderId="6" xfId="0" applyNumberFormat="1" applyFont="1" applyBorder="1" applyAlignment="1" applyProtection="1">
      <alignment horizontal="left" vertical="center" wrapText="1"/>
      <protection locked="0"/>
    </xf>
    <xf numFmtId="0" fontId="0" fillId="0" borderId="50" xfId="0" applyNumberFormat="1" applyFont="1" applyBorder="1" applyAlignment="1" applyProtection="1">
      <alignment horizontal="left" vertical="center" wrapText="1"/>
      <protection locked="0"/>
    </xf>
    <xf numFmtId="0" fontId="0" fillId="0" borderId="6" xfId="0" applyNumberFormat="1" applyFont="1" applyBorder="1" applyAlignment="1" applyProtection="1">
      <alignment horizontal="center" vertical="center" wrapText="1"/>
      <protection locked="0"/>
    </xf>
    <xf numFmtId="0" fontId="0" fillId="0" borderId="50" xfId="0" applyNumberFormat="1" applyFont="1" applyBorder="1" applyAlignment="1" applyProtection="1">
      <alignment horizontal="center" vertical="center" wrapText="1"/>
      <protection locked="0"/>
    </xf>
    <xf numFmtId="3" fontId="0" fillId="0" borderId="6" xfId="0" applyNumberFormat="1" applyFont="1" applyBorder="1" applyAlignment="1" applyProtection="1">
      <alignment horizontal="center" vertical="center" wrapText="1"/>
      <protection locked="0"/>
    </xf>
    <xf numFmtId="3" fontId="0" fillId="0" borderId="46" xfId="0" applyNumberFormat="1" applyFont="1" applyBorder="1" applyAlignment="1" applyProtection="1">
      <alignment horizontal="center" vertical="center" wrapText="1"/>
      <protection locked="0"/>
    </xf>
    <xf numFmtId="3" fontId="0" fillId="0" borderId="50" xfId="0" applyNumberFormat="1" applyFont="1" applyBorder="1" applyAlignment="1" applyProtection="1">
      <alignment horizontal="center" vertical="center" wrapText="1"/>
      <protection locked="0"/>
    </xf>
    <xf numFmtId="0" fontId="0" fillId="0" borderId="48" xfId="0" applyNumberFormat="1" applyFont="1" applyBorder="1" applyAlignment="1" applyProtection="1">
      <alignment horizontal="center" vertical="center" wrapText="1"/>
      <protection locked="0"/>
    </xf>
    <xf numFmtId="0" fontId="15" fillId="35" borderId="8" xfId="0" applyFont="1" applyFill="1" applyBorder="1" applyAlignment="1" applyProtection="1">
      <alignment horizontal="center" vertical="center" wrapText="1"/>
    </xf>
    <xf numFmtId="0" fontId="15" fillId="35" borderId="9" xfId="0" applyFont="1" applyFill="1" applyBorder="1" applyAlignment="1" applyProtection="1">
      <alignment horizontal="center" vertical="center" wrapText="1"/>
    </xf>
    <xf numFmtId="0" fontId="16" fillId="36" borderId="49" xfId="0" applyFont="1" applyFill="1" applyBorder="1" applyAlignment="1" applyProtection="1">
      <alignment horizontal="center" vertical="center" wrapText="1"/>
    </xf>
    <xf numFmtId="0" fontId="16" fillId="36" borderId="35" xfId="0" applyFont="1" applyFill="1" applyBorder="1" applyAlignment="1" applyProtection="1">
      <alignment horizontal="center" vertical="center" wrapText="1"/>
    </xf>
    <xf numFmtId="1" fontId="0" fillId="0" borderId="6" xfId="0" applyNumberFormat="1" applyFont="1" applyBorder="1" applyAlignment="1" applyProtection="1">
      <alignment horizontal="left" vertical="center" wrapText="1"/>
      <protection locked="0"/>
    </xf>
    <xf numFmtId="1" fontId="0" fillId="0" borderId="46" xfId="0" applyNumberFormat="1" applyFont="1" applyBorder="1" applyAlignment="1" applyProtection="1">
      <alignment horizontal="left" vertical="center" wrapText="1"/>
      <protection locked="0"/>
    </xf>
    <xf numFmtId="1" fontId="0" fillId="0" borderId="50" xfId="0" applyNumberFormat="1" applyFont="1" applyBorder="1" applyAlignment="1" applyProtection="1">
      <alignment horizontal="left" vertical="center" wrapText="1"/>
      <protection locked="0"/>
    </xf>
    <xf numFmtId="1" fontId="0" fillId="0" borderId="41" xfId="0" applyNumberFormat="1" applyFont="1" applyBorder="1" applyAlignment="1" applyProtection="1">
      <alignment horizontal="left" vertical="center" wrapText="1"/>
      <protection locked="0"/>
    </xf>
    <xf numFmtId="1" fontId="0" fillId="0" borderId="42" xfId="0" applyNumberFormat="1" applyFont="1" applyBorder="1" applyAlignment="1" applyProtection="1">
      <alignment horizontal="left" vertical="center" wrapText="1"/>
      <protection locked="0"/>
    </xf>
    <xf numFmtId="1" fontId="0" fillId="0" borderId="11" xfId="0" applyNumberFormat="1" applyFont="1" applyBorder="1" applyAlignment="1" applyProtection="1">
      <alignment horizontal="left" vertical="center" wrapText="1"/>
      <protection locked="0"/>
    </xf>
    <xf numFmtId="0" fontId="0" fillId="0" borderId="41" xfId="0" applyNumberFormat="1" applyFont="1" applyBorder="1" applyAlignment="1" applyProtection="1">
      <alignment horizontal="center" vertical="center" wrapText="1"/>
      <protection locked="0"/>
    </xf>
    <xf numFmtId="0" fontId="0" fillId="0" borderId="11" xfId="0" applyNumberFormat="1" applyFont="1" applyBorder="1" applyAlignment="1" applyProtection="1">
      <alignment horizontal="center" vertical="center" wrapText="1"/>
      <protection locked="0"/>
    </xf>
    <xf numFmtId="3" fontId="0" fillId="0" borderId="41" xfId="0" applyNumberFormat="1" applyFont="1" applyBorder="1" applyAlignment="1" applyProtection="1">
      <alignment horizontal="center" vertical="center" wrapText="1"/>
      <protection locked="0"/>
    </xf>
    <xf numFmtId="3" fontId="0" fillId="0" borderId="42" xfId="0" applyNumberFormat="1" applyFont="1" applyBorder="1" applyAlignment="1" applyProtection="1">
      <alignment horizontal="center" vertical="center" wrapText="1"/>
      <protection locked="0"/>
    </xf>
    <xf numFmtId="3" fontId="0" fillId="0" borderId="11" xfId="0" applyNumberFormat="1" applyFont="1" applyBorder="1" applyAlignment="1" applyProtection="1">
      <alignment horizontal="center" vertical="center" wrapText="1"/>
      <protection locked="0"/>
    </xf>
    <xf numFmtId="0" fontId="0" fillId="0" borderId="43" xfId="0" applyNumberFormat="1" applyFont="1" applyBorder="1" applyAlignment="1" applyProtection="1">
      <alignment horizontal="center" vertical="center" wrapText="1"/>
      <protection locked="0"/>
    </xf>
    <xf numFmtId="0" fontId="15" fillId="35" borderId="20" xfId="0" applyFont="1" applyFill="1" applyBorder="1" applyAlignment="1" applyProtection="1">
      <alignment horizontal="left" vertical="center" wrapText="1"/>
    </xf>
    <xf numFmtId="0" fontId="15" fillId="35" borderId="8" xfId="0" applyFont="1" applyFill="1" applyBorder="1" applyAlignment="1" applyProtection="1">
      <alignment horizontal="left" vertical="center" wrapText="1"/>
    </xf>
    <xf numFmtId="0" fontId="15" fillId="35" borderId="9" xfId="0" applyFont="1" applyFill="1" applyBorder="1" applyAlignment="1" applyProtection="1">
      <alignment horizontal="left" vertical="center" wrapText="1"/>
    </xf>
    <xf numFmtId="0" fontId="15" fillId="35" borderId="20" xfId="0" applyFont="1" applyFill="1" applyBorder="1" applyAlignment="1" applyProtection="1">
      <alignment vertical="center" wrapText="1"/>
    </xf>
    <xf numFmtId="0" fontId="15" fillId="35" borderId="8" xfId="0" applyFont="1" applyFill="1" applyBorder="1" applyAlignment="1" applyProtection="1">
      <alignment vertical="center" wrapText="1"/>
    </xf>
    <xf numFmtId="0" fontId="15" fillId="0" borderId="8" xfId="0" applyFont="1" applyFill="1" applyBorder="1" applyAlignment="1" applyProtection="1">
      <alignment horizontal="center" vertical="center" wrapText="1"/>
    </xf>
    <xf numFmtId="0" fontId="16" fillId="37" borderId="27" xfId="0" applyFont="1" applyFill="1" applyBorder="1" applyAlignment="1" applyProtection="1">
      <alignment vertical="center" wrapText="1"/>
    </xf>
    <xf numFmtId="0" fontId="16" fillId="37" borderId="17" xfId="0" applyFont="1" applyFill="1" applyBorder="1" applyAlignment="1" applyProtection="1">
      <alignment vertical="center" wrapText="1"/>
    </xf>
    <xf numFmtId="0" fontId="16" fillId="37" borderId="18" xfId="0" applyFont="1" applyFill="1" applyBorder="1" applyAlignment="1" applyProtection="1">
      <alignment vertical="center" wrapText="1"/>
    </xf>
    <xf numFmtId="0" fontId="16" fillId="37" borderId="23" xfId="0" applyFont="1" applyFill="1" applyBorder="1" applyAlignment="1" applyProtection="1">
      <alignment vertical="center" wrapText="1"/>
    </xf>
    <xf numFmtId="0" fontId="16" fillId="37" borderId="0" xfId="0" applyFont="1" applyFill="1" applyBorder="1" applyAlignment="1" applyProtection="1">
      <alignment vertical="center" wrapText="1"/>
    </xf>
    <xf numFmtId="0" fontId="16" fillId="37" borderId="31" xfId="0" applyFont="1" applyFill="1" applyBorder="1" applyAlignment="1" applyProtection="1">
      <alignment vertical="center" wrapText="1"/>
    </xf>
    <xf numFmtId="0" fontId="16" fillId="37" borderId="19" xfId="0" applyFont="1" applyFill="1" applyBorder="1" applyAlignment="1" applyProtection="1">
      <alignment vertical="center" wrapText="1"/>
    </xf>
    <xf numFmtId="0" fontId="16" fillId="37" borderId="16" xfId="0" applyFont="1" applyFill="1" applyBorder="1" applyAlignment="1" applyProtection="1">
      <alignment vertical="center" wrapText="1"/>
    </xf>
    <xf numFmtId="0" fontId="16" fillId="37" borderId="32" xfId="0" applyFont="1" applyFill="1" applyBorder="1" applyAlignment="1" applyProtection="1">
      <alignment vertical="center" wrapText="1"/>
    </xf>
    <xf numFmtId="0" fontId="16" fillId="37" borderId="2" xfId="0" applyFont="1" applyFill="1" applyBorder="1" applyAlignment="1" applyProtection="1">
      <alignment vertical="center" wrapText="1"/>
    </xf>
    <xf numFmtId="0" fontId="16" fillId="37" borderId="21" xfId="0" applyFont="1" applyFill="1" applyBorder="1" applyAlignment="1" applyProtection="1">
      <alignment vertical="center" wrapText="1"/>
    </xf>
    <xf numFmtId="0" fontId="0" fillId="36" borderId="12" xfId="0" applyFont="1" applyFill="1" applyBorder="1" applyAlignment="1" applyProtection="1">
      <alignment horizontal="center" vertical="center" wrapText="1"/>
    </xf>
    <xf numFmtId="0" fontId="0" fillId="36" borderId="39" xfId="0" applyFont="1" applyFill="1" applyBorder="1" applyAlignment="1" applyProtection="1">
      <alignment horizontal="center" vertical="center" wrapText="1"/>
    </xf>
    <xf numFmtId="3" fontId="0" fillId="37" borderId="12" xfId="0" applyNumberFormat="1" applyFont="1" applyFill="1" applyBorder="1" applyAlignment="1" applyProtection="1">
      <alignment horizontal="right" vertical="center" wrapText="1"/>
    </xf>
    <xf numFmtId="3" fontId="0" fillId="37" borderId="39" xfId="0" applyNumberFormat="1" applyFont="1" applyFill="1" applyBorder="1" applyAlignment="1" applyProtection="1">
      <alignment horizontal="right" vertical="center" wrapText="1"/>
    </xf>
    <xf numFmtId="3" fontId="10" fillId="37" borderId="12" xfId="66" applyNumberFormat="1" applyFont="1" applyFill="1" applyBorder="1" applyAlignment="1" applyProtection="1">
      <alignment horizontal="right" vertical="center" wrapText="1"/>
    </xf>
    <xf numFmtId="3" fontId="10" fillId="37" borderId="39" xfId="66" applyNumberFormat="1" applyFont="1" applyFill="1" applyBorder="1" applyAlignment="1" applyProtection="1">
      <alignment horizontal="right" vertical="center" wrapText="1"/>
    </xf>
    <xf numFmtId="0" fontId="0" fillId="37" borderId="1" xfId="0" applyFont="1" applyFill="1" applyBorder="1" applyAlignment="1" applyProtection="1">
      <alignment horizontal="center" vertical="center" wrapText="1"/>
    </xf>
    <xf numFmtId="0" fontId="0" fillId="37" borderId="27" xfId="0" applyFont="1" applyFill="1" applyBorder="1" applyAlignment="1" applyProtection="1">
      <alignment horizontal="center" vertical="center" wrapText="1"/>
    </xf>
    <xf numFmtId="0" fontId="0" fillId="37" borderId="17" xfId="0" applyFont="1" applyFill="1" applyBorder="1" applyAlignment="1" applyProtection="1">
      <alignment horizontal="center" vertical="center" wrapText="1"/>
    </xf>
    <xf numFmtId="0" fontId="0" fillId="37" borderId="18" xfId="0" applyFont="1" applyFill="1" applyBorder="1" applyAlignment="1" applyProtection="1">
      <alignment horizontal="center" vertical="center" wrapText="1"/>
    </xf>
    <xf numFmtId="0" fontId="0" fillId="37" borderId="19" xfId="0" applyFont="1" applyFill="1" applyBorder="1" applyAlignment="1" applyProtection="1">
      <alignment horizontal="center" vertical="center" wrapText="1"/>
    </xf>
    <xf numFmtId="0" fontId="0" fillId="37" borderId="16" xfId="0" applyFont="1" applyFill="1" applyBorder="1" applyAlignment="1" applyProtection="1">
      <alignment horizontal="center" vertical="center" wrapText="1"/>
    </xf>
    <xf numFmtId="0" fontId="0" fillId="37" borderId="32" xfId="0" applyFont="1" applyFill="1" applyBorder="1" applyAlignment="1" applyProtection="1">
      <alignment horizontal="center" vertical="center" wrapText="1"/>
    </xf>
    <xf numFmtId="0" fontId="0" fillId="36" borderId="15" xfId="0" applyFont="1" applyFill="1" applyBorder="1" applyAlignment="1" applyProtection="1">
      <alignment horizontal="center" vertical="center" wrapText="1"/>
    </xf>
    <xf numFmtId="0" fontId="0" fillId="36" borderId="43" xfId="0" applyFont="1" applyFill="1" applyBorder="1" applyAlignment="1" applyProtection="1">
      <alignment horizontal="center" vertical="center" wrapText="1"/>
    </xf>
    <xf numFmtId="3" fontId="10" fillId="37" borderId="45" xfId="66" applyNumberFormat="1" applyFont="1" applyFill="1" applyBorder="1" applyAlignment="1" applyProtection="1">
      <alignment horizontal="right" vertical="center" wrapText="1"/>
    </xf>
    <xf numFmtId="3" fontId="10" fillId="37" borderId="44" xfId="66" applyNumberFormat="1" applyFont="1" applyFill="1" applyBorder="1" applyAlignment="1" applyProtection="1">
      <alignment horizontal="right" vertical="center" wrapText="1"/>
    </xf>
    <xf numFmtId="3" fontId="10" fillId="37" borderId="15" xfId="66" applyNumberFormat="1" applyFont="1" applyFill="1" applyBorder="1" applyAlignment="1" applyProtection="1">
      <alignment horizontal="right" vertical="center" wrapText="1"/>
    </xf>
    <xf numFmtId="3" fontId="10" fillId="37" borderId="43" xfId="66" applyNumberFormat="1" applyFont="1" applyFill="1" applyBorder="1" applyAlignment="1" applyProtection="1">
      <alignment horizontal="right" vertical="center" wrapText="1"/>
    </xf>
    <xf numFmtId="3" fontId="10" fillId="37" borderId="24" xfId="66" applyNumberFormat="1" applyFont="1" applyFill="1" applyBorder="1" applyAlignment="1" applyProtection="1">
      <alignment horizontal="right" vertical="center" wrapText="1"/>
    </xf>
    <xf numFmtId="3" fontId="10" fillId="37" borderId="62" xfId="66" applyNumberFormat="1" applyFont="1" applyFill="1" applyBorder="1" applyAlignment="1" applyProtection="1">
      <alignment horizontal="right" vertical="center" wrapText="1"/>
    </xf>
    <xf numFmtId="0" fontId="0" fillId="37" borderId="23" xfId="0" applyFont="1" applyFill="1" applyBorder="1" applyAlignment="1" applyProtection="1">
      <alignment horizontal="center" vertical="center" wrapText="1"/>
    </xf>
    <xf numFmtId="0" fontId="0" fillId="37" borderId="0" xfId="0" applyFont="1" applyFill="1" applyBorder="1" applyAlignment="1" applyProtection="1">
      <alignment horizontal="center" vertical="center" wrapText="1"/>
    </xf>
    <xf numFmtId="0" fontId="0" fillId="37" borderId="31" xfId="0" applyFont="1" applyFill="1" applyBorder="1" applyAlignment="1" applyProtection="1">
      <alignment horizontal="center" vertical="center" wrapText="1"/>
    </xf>
    <xf numFmtId="0" fontId="16" fillId="37" borderId="2" xfId="0" applyFont="1" applyFill="1" applyBorder="1" applyAlignment="1" applyProtection="1">
      <alignment horizontal="center" vertical="center" wrapText="1"/>
    </xf>
    <xf numFmtId="0" fontId="16" fillId="37" borderId="21" xfId="0" applyFont="1" applyFill="1" applyBorder="1" applyAlignment="1" applyProtection="1">
      <alignment horizontal="center" vertical="center" wrapText="1"/>
    </xf>
    <xf numFmtId="0" fontId="47" fillId="0" borderId="20" xfId="0" applyFont="1" applyFill="1" applyBorder="1" applyAlignment="1" applyProtection="1">
      <alignment horizontal="center" vertical="center"/>
      <protection locked="0"/>
    </xf>
    <xf numFmtId="0" fontId="47" fillId="0" borderId="8" xfId="0" applyFont="1" applyFill="1" applyBorder="1" applyAlignment="1" applyProtection="1">
      <alignment horizontal="center" vertical="center"/>
      <protection locked="0"/>
    </xf>
    <xf numFmtId="0" fontId="47" fillId="0" borderId="9" xfId="0" applyFont="1" applyFill="1" applyBorder="1" applyAlignment="1" applyProtection="1">
      <alignment horizontal="center" vertical="center"/>
      <protection locked="0"/>
    </xf>
    <xf numFmtId="0" fontId="0" fillId="0" borderId="10" xfId="0" applyFont="1" applyBorder="1" applyAlignment="1" applyProtection="1">
      <alignment horizontal="left" vertical="center" wrapText="1"/>
      <protection locked="0"/>
    </xf>
    <xf numFmtId="0" fontId="40" fillId="36" borderId="67" xfId="0" applyFont="1" applyFill="1" applyBorder="1" applyAlignment="1" applyProtection="1">
      <alignment horizontal="center" vertical="center"/>
      <protection locked="0"/>
    </xf>
    <xf numFmtId="0" fontId="40" fillId="36" borderId="63" xfId="0" applyFont="1" applyFill="1" applyBorder="1" applyAlignment="1" applyProtection="1">
      <alignment horizontal="center" vertical="center"/>
      <protection locked="0"/>
    </xf>
    <xf numFmtId="0" fontId="0" fillId="0" borderId="46" xfId="0" applyFont="1" applyBorder="1" applyAlignment="1" applyProtection="1">
      <alignment horizontal="left" vertical="center" wrapText="1"/>
      <protection locked="0"/>
    </xf>
    <xf numFmtId="0" fontId="0" fillId="0" borderId="27" xfId="0" applyNumberFormat="1" applyFont="1" applyBorder="1" applyAlignment="1" applyProtection="1">
      <alignment horizontal="center" vertical="top" wrapText="1"/>
      <protection locked="0"/>
    </xf>
    <xf numFmtId="0" fontId="0" fillId="0" borderId="17" xfId="0" applyNumberFormat="1" applyFont="1" applyBorder="1" applyAlignment="1" applyProtection="1">
      <alignment horizontal="center" vertical="top" wrapText="1"/>
      <protection locked="0"/>
    </xf>
    <xf numFmtId="0" fontId="0" fillId="0" borderId="18" xfId="0" applyNumberFormat="1" applyFont="1" applyBorder="1" applyAlignment="1" applyProtection="1">
      <alignment horizontal="center" vertical="top" wrapText="1"/>
      <protection locked="0"/>
    </xf>
    <xf numFmtId="0" fontId="0" fillId="0" borderId="23" xfId="0" applyNumberFormat="1" applyFont="1" applyBorder="1" applyAlignment="1" applyProtection="1">
      <alignment horizontal="center" vertical="top" wrapText="1"/>
      <protection locked="0"/>
    </xf>
    <xf numFmtId="0" fontId="0" fillId="0" borderId="0" xfId="0" applyNumberFormat="1" applyFont="1" applyBorder="1" applyAlignment="1" applyProtection="1">
      <alignment horizontal="center" vertical="top" wrapText="1"/>
      <protection locked="0"/>
    </xf>
    <xf numFmtId="0" fontId="0" fillId="0" borderId="31" xfId="0" applyNumberFormat="1" applyFont="1" applyBorder="1" applyAlignment="1" applyProtection="1">
      <alignment horizontal="center" vertical="top" wrapText="1"/>
      <protection locked="0"/>
    </xf>
    <xf numFmtId="0" fontId="0" fillId="0" borderId="19" xfId="0" applyNumberFormat="1" applyFont="1" applyBorder="1" applyAlignment="1" applyProtection="1">
      <alignment horizontal="center" vertical="top" wrapText="1"/>
      <protection locked="0"/>
    </xf>
    <xf numFmtId="0" fontId="0" fillId="0" borderId="16" xfId="0" applyNumberFormat="1" applyFont="1" applyBorder="1" applyAlignment="1" applyProtection="1">
      <alignment horizontal="center" vertical="top" wrapText="1"/>
      <protection locked="0"/>
    </xf>
    <xf numFmtId="0" fontId="0" fillId="0" borderId="32" xfId="0" applyNumberFormat="1" applyFont="1" applyBorder="1" applyAlignment="1" applyProtection="1">
      <alignment horizontal="center" vertical="top" wrapText="1"/>
      <protection locked="0"/>
    </xf>
    <xf numFmtId="0" fontId="40" fillId="36" borderId="68" xfId="0" applyFont="1" applyFill="1" applyBorder="1" applyAlignment="1" applyProtection="1">
      <alignment horizontal="center" vertical="center"/>
      <protection locked="0"/>
    </xf>
    <xf numFmtId="0" fontId="40" fillId="36" borderId="64" xfId="0" applyFont="1" applyFill="1" applyBorder="1" applyAlignment="1" applyProtection="1">
      <alignment horizontal="center" vertical="center"/>
      <protection locked="0"/>
    </xf>
    <xf numFmtId="0" fontId="19" fillId="36" borderId="23" xfId="0" applyFont="1" applyFill="1" applyBorder="1" applyAlignment="1" applyProtection="1">
      <alignment horizontal="right" vertical="top" wrapText="1"/>
    </xf>
    <xf numFmtId="0" fontId="19" fillId="36" borderId="0" xfId="0" applyFont="1" applyFill="1" applyBorder="1" applyAlignment="1" applyProtection="1">
      <alignment horizontal="right" vertical="top" wrapText="1"/>
    </xf>
    <xf numFmtId="3" fontId="40" fillId="36" borderId="68" xfId="0" applyNumberFormat="1" applyFont="1" applyFill="1" applyBorder="1" applyAlignment="1" applyProtection="1">
      <alignment horizontal="right" vertical="center"/>
      <protection locked="0"/>
    </xf>
    <xf numFmtId="3" fontId="40" fillId="36" borderId="64" xfId="0" applyNumberFormat="1" applyFont="1" applyFill="1" applyBorder="1" applyAlignment="1" applyProtection="1">
      <alignment horizontal="right" vertical="center"/>
      <protection locked="0"/>
    </xf>
    <xf numFmtId="0" fontId="40" fillId="36" borderId="69" xfId="0" applyFont="1" applyFill="1" applyBorder="1" applyAlignment="1" applyProtection="1">
      <alignment horizontal="center" vertical="center"/>
      <protection locked="0"/>
    </xf>
    <xf numFmtId="0" fontId="40" fillId="36" borderId="65" xfId="0" applyFont="1" applyFill="1" applyBorder="1" applyAlignment="1" applyProtection="1">
      <alignment horizontal="center" vertical="center"/>
      <protection locked="0"/>
    </xf>
    <xf numFmtId="0" fontId="19" fillId="36" borderId="19" xfId="0" applyFont="1" applyFill="1" applyBorder="1" applyAlignment="1" applyProtection="1">
      <alignment horizontal="right" vertical="top" wrapText="1"/>
    </xf>
    <xf numFmtId="0" fontId="19" fillId="36" borderId="16" xfId="0" applyFont="1" applyFill="1" applyBorder="1" applyAlignment="1" applyProtection="1">
      <alignment horizontal="right" vertical="top" wrapText="1"/>
    </xf>
    <xf numFmtId="3" fontId="40" fillId="36" borderId="69" xfId="0" applyNumberFormat="1" applyFont="1" applyFill="1" applyBorder="1" applyAlignment="1" applyProtection="1">
      <alignment horizontal="right" vertical="center"/>
      <protection locked="0"/>
    </xf>
    <xf numFmtId="3" fontId="40" fillId="36" borderId="65" xfId="0" applyNumberFormat="1" applyFont="1" applyFill="1" applyBorder="1" applyAlignment="1" applyProtection="1">
      <alignment horizontal="right" vertical="center"/>
      <protection locked="0"/>
    </xf>
    <xf numFmtId="0" fontId="0" fillId="0" borderId="41" xfId="0" applyNumberFormat="1" applyFont="1" applyBorder="1" applyAlignment="1" applyProtection="1">
      <alignment horizontal="left" vertical="center" wrapText="1"/>
      <protection locked="0"/>
    </xf>
    <xf numFmtId="0" fontId="0" fillId="0" borderId="11" xfId="0" applyNumberFormat="1" applyFont="1" applyBorder="1" applyAlignment="1" applyProtection="1">
      <alignment horizontal="left" vertical="center" wrapText="1"/>
      <protection locked="0"/>
    </xf>
    <xf numFmtId="164" fontId="0" fillId="36" borderId="2" xfId="0" applyNumberFormat="1" applyFont="1" applyFill="1" applyBorder="1" applyAlignment="1" applyProtection="1">
      <alignment horizontal="center" vertical="center" wrapText="1"/>
    </xf>
    <xf numFmtId="164" fontId="0" fillId="36" borderId="21" xfId="0" applyNumberFormat="1" applyFont="1" applyFill="1" applyBorder="1" applyAlignment="1" applyProtection="1">
      <alignment horizontal="center" vertical="center" wrapText="1"/>
    </xf>
    <xf numFmtId="0" fontId="16" fillId="36" borderId="27" xfId="0" applyFont="1" applyFill="1" applyBorder="1" applyAlignment="1" applyProtection="1">
      <alignment horizontal="center" wrapText="1"/>
      <protection locked="0"/>
    </xf>
    <xf numFmtId="0" fontId="16" fillId="36" borderId="17" xfId="0" applyFont="1" applyFill="1" applyBorder="1" applyAlignment="1" applyProtection="1">
      <alignment horizontal="center" wrapText="1"/>
      <protection locked="0"/>
    </xf>
    <xf numFmtId="0" fontId="16" fillId="36" borderId="18" xfId="0" applyFont="1" applyFill="1" applyBorder="1" applyAlignment="1" applyProtection="1">
      <alignment horizontal="center" wrapText="1"/>
      <protection locked="0"/>
    </xf>
    <xf numFmtId="0" fontId="0" fillId="36" borderId="23" xfId="0" applyFont="1" applyFill="1" applyBorder="1" applyAlignment="1" applyProtection="1">
      <alignment horizontal="center" vertical="top" wrapText="1"/>
      <protection locked="0"/>
    </xf>
    <xf numFmtId="0" fontId="0" fillId="36" borderId="0" xfId="0" applyFont="1" applyFill="1" applyBorder="1" applyAlignment="1" applyProtection="1">
      <alignment horizontal="center" vertical="top" wrapText="1"/>
      <protection locked="0"/>
    </xf>
    <xf numFmtId="0" fontId="0" fillId="36" borderId="31" xfId="0" applyFont="1" applyFill="1" applyBorder="1" applyAlignment="1" applyProtection="1">
      <alignment horizontal="center" vertical="top" wrapText="1"/>
      <protection locked="0"/>
    </xf>
    <xf numFmtId="0" fontId="0" fillId="36" borderId="19" xfId="0" applyFont="1" applyFill="1" applyBorder="1" applyAlignment="1" applyProtection="1">
      <alignment horizontal="center" vertical="top" wrapText="1"/>
      <protection locked="0"/>
    </xf>
    <xf numFmtId="0" fontId="0" fillId="36" borderId="16" xfId="0" applyFont="1" applyFill="1" applyBorder="1" applyAlignment="1" applyProtection="1">
      <alignment horizontal="center" vertical="top" wrapText="1"/>
      <protection locked="0"/>
    </xf>
    <xf numFmtId="0" fontId="0" fillId="36" borderId="32" xfId="0" applyFont="1" applyFill="1" applyBorder="1" applyAlignment="1" applyProtection="1">
      <alignment horizontal="center" vertical="top" wrapText="1"/>
      <protection locked="0"/>
    </xf>
    <xf numFmtId="165" fontId="0" fillId="0" borderId="36" xfId="83" applyNumberFormat="1" applyFont="1" applyFill="1" applyBorder="1" applyAlignment="1" applyProtection="1">
      <alignment horizontal="center" vertical="center" wrapText="1"/>
      <protection locked="0"/>
    </xf>
    <xf numFmtId="165" fontId="0" fillId="0" borderId="26" xfId="83" applyNumberFormat="1" applyFont="1" applyFill="1" applyBorder="1" applyAlignment="1" applyProtection="1">
      <alignment horizontal="center" vertical="center" wrapText="1"/>
      <protection locked="0"/>
    </xf>
    <xf numFmtId="0" fontId="0" fillId="0" borderId="27" xfId="0" applyNumberFormat="1" applyFont="1" applyFill="1" applyBorder="1" applyAlignment="1" applyProtection="1">
      <alignment horizontal="left" vertical="center" wrapText="1"/>
      <protection locked="0"/>
    </xf>
    <xf numFmtId="0" fontId="0" fillId="0" borderId="17" xfId="0" applyNumberFormat="1" applyFont="1" applyFill="1" applyBorder="1" applyAlignment="1" applyProtection="1">
      <alignment horizontal="left" vertical="center" wrapText="1"/>
      <protection locked="0"/>
    </xf>
    <xf numFmtId="0" fontId="0" fillId="0" borderId="18" xfId="0" applyNumberFormat="1" applyFont="1" applyFill="1" applyBorder="1" applyAlignment="1" applyProtection="1">
      <alignment horizontal="left" vertical="center" wrapText="1"/>
      <protection locked="0"/>
    </xf>
    <xf numFmtId="0" fontId="0" fillId="0" borderId="23" xfId="0" applyNumberFormat="1" applyFont="1" applyFill="1" applyBorder="1" applyAlignment="1" applyProtection="1">
      <alignment horizontal="left" vertical="center" wrapText="1"/>
      <protection locked="0"/>
    </xf>
    <xf numFmtId="0" fontId="0" fillId="0" borderId="0" xfId="0" applyNumberFormat="1" applyFont="1" applyFill="1" applyBorder="1" applyAlignment="1" applyProtection="1">
      <alignment horizontal="left" vertical="center" wrapText="1"/>
      <protection locked="0"/>
    </xf>
    <xf numFmtId="0" fontId="0" fillId="0" borderId="31" xfId="0" applyNumberFormat="1" applyFont="1" applyFill="1" applyBorder="1" applyAlignment="1" applyProtection="1">
      <alignment horizontal="left" vertical="center" wrapText="1"/>
      <protection locked="0"/>
    </xf>
    <xf numFmtId="0" fontId="0" fillId="0" borderId="19" xfId="0" applyNumberFormat="1" applyFont="1" applyFill="1" applyBorder="1" applyAlignment="1" applyProtection="1">
      <alignment horizontal="left" vertical="center" wrapText="1"/>
      <protection locked="0"/>
    </xf>
    <xf numFmtId="0" fontId="0" fillId="0" borderId="16" xfId="0" applyNumberFormat="1" applyFont="1" applyFill="1" applyBorder="1" applyAlignment="1" applyProtection="1">
      <alignment horizontal="left" vertical="center" wrapText="1"/>
      <protection locked="0"/>
    </xf>
    <xf numFmtId="0" fontId="0" fillId="0" borderId="32" xfId="0" applyNumberFormat="1" applyFont="1" applyFill="1" applyBorder="1" applyAlignment="1" applyProtection="1">
      <alignment horizontal="left" vertical="center" wrapText="1"/>
      <protection locked="0"/>
    </xf>
    <xf numFmtId="0" fontId="0" fillId="0" borderId="27" xfId="0" applyFont="1" applyBorder="1" applyAlignment="1" applyProtection="1">
      <alignment horizontal="center" vertical="center" wrapText="1"/>
      <protection locked="0"/>
    </xf>
    <xf numFmtId="0" fontId="0" fillId="0" borderId="23" xfId="0" applyFont="1" applyBorder="1" applyAlignment="1" applyProtection="1">
      <alignment horizontal="center" vertical="center" wrapText="1"/>
      <protection locked="0"/>
    </xf>
    <xf numFmtId="0" fontId="0" fillId="0" borderId="19" xfId="0" applyFont="1" applyBorder="1" applyAlignment="1" applyProtection="1">
      <alignment horizontal="center" vertical="center" wrapText="1"/>
      <protection locked="0"/>
    </xf>
    <xf numFmtId="0" fontId="0" fillId="0" borderId="27" xfId="0" applyNumberFormat="1" applyFont="1" applyFill="1" applyBorder="1" applyAlignment="1" applyProtection="1">
      <alignment horizontal="center" vertical="center" wrapText="1"/>
      <protection locked="0"/>
    </xf>
    <xf numFmtId="0" fontId="0" fillId="0" borderId="34" xfId="0" applyNumberFormat="1" applyFont="1" applyFill="1" applyBorder="1" applyAlignment="1" applyProtection="1">
      <alignment horizontal="center" vertical="center" wrapText="1"/>
      <protection locked="0"/>
    </xf>
    <xf numFmtId="0" fontId="0" fillId="0" borderId="23" xfId="0" applyNumberFormat="1" applyFont="1" applyFill="1" applyBorder="1" applyAlignment="1" applyProtection="1">
      <alignment horizontal="center" vertical="center" wrapText="1"/>
      <protection locked="0"/>
    </xf>
    <xf numFmtId="0" fontId="0" fillId="0" borderId="49" xfId="0" applyNumberFormat="1" applyFont="1" applyFill="1" applyBorder="1" applyAlignment="1" applyProtection="1">
      <alignment horizontal="center" vertical="center" wrapText="1"/>
      <protection locked="0"/>
    </xf>
    <xf numFmtId="0" fontId="0" fillId="0" borderId="19" xfId="0" applyNumberFormat="1" applyFont="1" applyFill="1" applyBorder="1" applyAlignment="1" applyProtection="1">
      <alignment horizontal="center" vertical="center" wrapText="1"/>
      <protection locked="0"/>
    </xf>
    <xf numFmtId="0" fontId="0" fillId="0" borderId="35" xfId="0" applyNumberFormat="1" applyFont="1" applyFill="1" applyBorder="1" applyAlignment="1" applyProtection="1">
      <alignment horizontal="center" vertical="center" wrapText="1"/>
      <protection locked="0"/>
    </xf>
    <xf numFmtId="0" fontId="0" fillId="0" borderId="36" xfId="0" applyNumberFormat="1" applyFont="1" applyFill="1" applyBorder="1" applyAlignment="1" applyProtection="1">
      <alignment horizontal="center" vertical="center" wrapText="1"/>
      <protection locked="0"/>
    </xf>
    <xf numFmtId="0" fontId="0" fillId="0" borderId="26" xfId="0" applyNumberFormat="1" applyFont="1" applyFill="1" applyBorder="1" applyAlignment="1" applyProtection="1">
      <alignment horizontal="center" vertical="center" wrapText="1"/>
      <protection locked="0"/>
    </xf>
    <xf numFmtId="165" fontId="0" fillId="0" borderId="28" xfId="83" applyNumberFormat="1" applyFont="1" applyFill="1" applyBorder="1" applyAlignment="1" applyProtection="1">
      <alignment horizontal="center" vertical="center" wrapText="1"/>
      <protection locked="0"/>
    </xf>
    <xf numFmtId="1" fontId="0" fillId="0" borderId="36" xfId="83" applyNumberFormat="1" applyFont="1" applyFill="1" applyBorder="1" applyAlignment="1" applyProtection="1">
      <alignment horizontal="center" vertical="center" wrapText="1"/>
      <protection locked="0"/>
    </xf>
    <xf numFmtId="1" fontId="0" fillId="0" borderId="28" xfId="83" applyNumberFormat="1" applyFont="1" applyFill="1" applyBorder="1" applyAlignment="1" applyProtection="1">
      <alignment horizontal="center" vertical="center" wrapText="1"/>
      <protection locked="0"/>
    </xf>
    <xf numFmtId="1" fontId="0" fillId="0" borderId="26" xfId="83" applyNumberFormat="1" applyFont="1" applyFill="1" applyBorder="1" applyAlignment="1" applyProtection="1">
      <alignment horizontal="center" vertical="center" wrapText="1"/>
      <protection locked="0"/>
    </xf>
    <xf numFmtId="0" fontId="0" fillId="0" borderId="36" xfId="0" applyNumberFormat="1" applyFont="1" applyBorder="1" applyAlignment="1" applyProtection="1">
      <alignment horizontal="center" vertical="center" wrapText="1"/>
      <protection locked="0"/>
    </xf>
    <xf numFmtId="0" fontId="0" fillId="0" borderId="28" xfId="0" applyNumberFormat="1" applyFont="1" applyBorder="1" applyAlignment="1" applyProtection="1">
      <alignment horizontal="center" vertical="center" wrapText="1"/>
      <protection locked="0"/>
    </xf>
    <xf numFmtId="0" fontId="0" fillId="0" borderId="26" xfId="0" applyNumberFormat="1" applyFont="1" applyBorder="1" applyAlignment="1" applyProtection="1">
      <alignment horizontal="center" vertical="center" wrapText="1"/>
      <protection locked="0"/>
    </xf>
    <xf numFmtId="0" fontId="0" fillId="36" borderId="37" xfId="0" applyNumberFormat="1" applyFont="1" applyFill="1" applyBorder="1" applyAlignment="1" applyProtection="1">
      <alignment horizontal="center" vertical="center" wrapText="1"/>
      <protection locked="0"/>
    </xf>
    <xf numFmtId="0" fontId="0" fillId="36" borderId="34" xfId="0" applyNumberFormat="1" applyFont="1" applyFill="1" applyBorder="1" applyAlignment="1" applyProtection="1">
      <alignment horizontal="center" vertical="center" wrapText="1"/>
      <protection locked="0"/>
    </xf>
    <xf numFmtId="0" fontId="0" fillId="36" borderId="22" xfId="0" applyNumberFormat="1" applyFont="1" applyFill="1" applyBorder="1" applyAlignment="1" applyProtection="1">
      <alignment horizontal="center" vertical="center" wrapText="1"/>
      <protection locked="0"/>
    </xf>
    <xf numFmtId="0" fontId="0" fillId="36" borderId="60" xfId="0" applyNumberFormat="1" applyFont="1" applyFill="1" applyBorder="1" applyAlignment="1" applyProtection="1">
      <alignment horizontal="center" vertical="center" wrapText="1"/>
      <protection locked="0"/>
    </xf>
    <xf numFmtId="0" fontId="0" fillId="36" borderId="47" xfId="0" applyNumberFormat="1" applyFont="1" applyFill="1" applyBorder="1" applyAlignment="1" applyProtection="1">
      <alignment horizontal="center" vertical="center" wrapText="1"/>
      <protection locked="0"/>
    </xf>
    <xf numFmtId="0" fontId="0" fillId="36" borderId="61" xfId="0" applyNumberFormat="1" applyFont="1" applyFill="1" applyBorder="1" applyAlignment="1" applyProtection="1">
      <alignment horizontal="center" vertical="center" wrapText="1"/>
      <protection locked="0"/>
    </xf>
    <xf numFmtId="0" fontId="0" fillId="36" borderId="38" xfId="0" applyNumberFormat="1" applyFont="1" applyFill="1" applyBorder="1" applyAlignment="1" applyProtection="1">
      <alignment horizontal="center" vertical="center" wrapText="1"/>
      <protection locked="0"/>
    </xf>
    <xf numFmtId="0" fontId="0" fillId="36" borderId="35" xfId="0" applyNumberFormat="1" applyFont="1" applyFill="1" applyBorder="1" applyAlignment="1" applyProtection="1">
      <alignment horizontal="center" vertical="center" wrapText="1"/>
      <protection locked="0"/>
    </xf>
    <xf numFmtId="0" fontId="16" fillId="36" borderId="1" xfId="0" applyFont="1" applyFill="1" applyBorder="1" applyAlignment="1" applyProtection="1">
      <alignment horizontal="center" vertical="center" wrapText="1"/>
    </xf>
    <xf numFmtId="0" fontId="0" fillId="36" borderId="19" xfId="0" applyFont="1" applyFill="1" applyBorder="1" applyAlignment="1" applyProtection="1">
      <alignment horizontal="center" vertical="top" wrapText="1"/>
    </xf>
    <xf numFmtId="0" fontId="0" fillId="36" borderId="16" xfId="0" applyFont="1" applyFill="1" applyBorder="1" applyAlignment="1" applyProtection="1">
      <alignment horizontal="center" vertical="top" wrapText="1"/>
    </xf>
    <xf numFmtId="0" fontId="0" fillId="36" borderId="32" xfId="0" applyFont="1" applyFill="1" applyBorder="1" applyAlignment="1" applyProtection="1">
      <alignment horizontal="center" vertical="top" wrapText="1"/>
    </xf>
    <xf numFmtId="0" fontId="16" fillId="36" borderId="20" xfId="0" applyFont="1" applyFill="1" applyBorder="1" applyAlignment="1" applyProtection="1">
      <alignment horizontal="left" vertical="center"/>
    </xf>
    <xf numFmtId="0" fontId="16" fillId="36" borderId="8" xfId="0" applyFont="1" applyFill="1" applyBorder="1" applyAlignment="1" applyProtection="1">
      <alignment horizontal="left" vertical="center"/>
    </xf>
    <xf numFmtId="0" fontId="16" fillId="36" borderId="70" xfId="0" applyFont="1" applyFill="1" applyBorder="1" applyAlignment="1" applyProtection="1">
      <alignment horizontal="left" vertical="center"/>
    </xf>
    <xf numFmtId="3" fontId="16" fillId="36" borderId="20" xfId="0" applyNumberFormat="1" applyFont="1" applyFill="1" applyBorder="1" applyAlignment="1" applyProtection="1">
      <alignment horizontal="left" vertical="center"/>
    </xf>
    <xf numFmtId="3" fontId="16" fillId="36" borderId="8" xfId="0" applyNumberFormat="1" applyFont="1" applyFill="1" applyBorder="1" applyAlignment="1" applyProtection="1">
      <alignment horizontal="left" vertical="center"/>
    </xf>
    <xf numFmtId="3" fontId="0" fillId="36" borderId="83" xfId="0" applyNumberFormat="1" applyFont="1" applyFill="1" applyBorder="1" applyAlignment="1" applyProtection="1">
      <alignment horizontal="right" vertical="center" wrapText="1"/>
    </xf>
    <xf numFmtId="3" fontId="0" fillId="36" borderId="9" xfId="0" applyNumberFormat="1" applyFont="1" applyFill="1" applyBorder="1" applyAlignment="1" applyProtection="1">
      <alignment horizontal="right" vertical="center" wrapText="1"/>
    </xf>
    <xf numFmtId="3" fontId="0" fillId="36" borderId="8" xfId="0" applyNumberFormat="1" applyFont="1" applyFill="1" applyBorder="1" applyAlignment="1" applyProtection="1">
      <alignment horizontal="right" vertical="center" wrapText="1"/>
    </xf>
    <xf numFmtId="0" fontId="16" fillId="36" borderId="27" xfId="0" applyFont="1" applyFill="1" applyBorder="1" applyAlignment="1" applyProtection="1">
      <alignment horizontal="center" wrapText="1"/>
    </xf>
    <xf numFmtId="0" fontId="16" fillId="36" borderId="17" xfId="0" applyFont="1" applyFill="1" applyBorder="1" applyAlignment="1" applyProtection="1">
      <alignment horizontal="center" wrapText="1"/>
    </xf>
    <xf numFmtId="0" fontId="16" fillId="36" borderId="18" xfId="0" applyFont="1" applyFill="1" applyBorder="1" applyAlignment="1" applyProtection="1">
      <alignment horizontal="center" wrapText="1"/>
    </xf>
    <xf numFmtId="0" fontId="16" fillId="37" borderId="27" xfId="0" applyFont="1" applyFill="1" applyBorder="1" applyAlignment="1" applyProtection="1">
      <alignment horizontal="center" vertical="center" wrapText="1"/>
    </xf>
    <xf numFmtId="0" fontId="16" fillId="37" borderId="17" xfId="0" applyFont="1" applyFill="1" applyBorder="1" applyAlignment="1" applyProtection="1">
      <alignment horizontal="center" vertical="center" wrapText="1"/>
    </xf>
    <xf numFmtId="0" fontId="16" fillId="37" borderId="18" xfId="0" applyFont="1" applyFill="1" applyBorder="1" applyAlignment="1" applyProtection="1">
      <alignment horizontal="center" vertical="center" wrapText="1"/>
    </xf>
    <xf numFmtId="0" fontId="16" fillId="37" borderId="23" xfId="0" applyFont="1" applyFill="1" applyBorder="1" applyAlignment="1" applyProtection="1">
      <alignment horizontal="center" vertical="center" wrapText="1"/>
    </xf>
    <xf numFmtId="0" fontId="16" fillId="37" borderId="0" xfId="0" applyFont="1" applyFill="1" applyBorder="1" applyAlignment="1" applyProtection="1">
      <alignment horizontal="center" vertical="center" wrapText="1"/>
    </xf>
    <xf numFmtId="0" fontId="16" fillId="37" borderId="31" xfId="0" applyFont="1" applyFill="1" applyBorder="1" applyAlignment="1" applyProtection="1">
      <alignment horizontal="center" vertical="center" wrapText="1"/>
    </xf>
    <xf numFmtId="0" fontId="16" fillId="37" borderId="19" xfId="0" applyFont="1" applyFill="1" applyBorder="1" applyAlignment="1" applyProtection="1">
      <alignment horizontal="center" vertical="center" wrapText="1"/>
    </xf>
    <xf numFmtId="0" fontId="16" fillId="37" borderId="16" xfId="0" applyFont="1" applyFill="1" applyBorder="1" applyAlignment="1" applyProtection="1">
      <alignment horizontal="center" vertical="center" wrapText="1"/>
    </xf>
    <xf numFmtId="0" fontId="16" fillId="37" borderId="32" xfId="0" applyFont="1" applyFill="1" applyBorder="1" applyAlignment="1" applyProtection="1">
      <alignment horizontal="center" vertical="center" wrapText="1"/>
    </xf>
    <xf numFmtId="0" fontId="16" fillId="37" borderId="2" xfId="0" applyFont="1" applyFill="1" applyBorder="1" applyAlignment="1" applyProtection="1">
      <alignment horizontal="center" vertical="center" wrapText="1"/>
      <protection locked="0"/>
    </xf>
    <xf numFmtId="0" fontId="16" fillId="37" borderId="21" xfId="0" applyFont="1" applyFill="1" applyBorder="1" applyAlignment="1" applyProtection="1">
      <alignment horizontal="center" vertical="center" wrapText="1"/>
      <protection locked="0"/>
    </xf>
    <xf numFmtId="0" fontId="0" fillId="37" borderId="27" xfId="0" applyFont="1" applyFill="1" applyBorder="1" applyAlignment="1" applyProtection="1">
      <alignment vertical="center" wrapText="1"/>
    </xf>
    <xf numFmtId="0" fontId="0" fillId="37" borderId="17" xfId="0" applyFont="1" applyFill="1" applyBorder="1" applyAlignment="1" applyProtection="1">
      <alignment vertical="center" wrapText="1"/>
    </xf>
    <xf numFmtId="0" fontId="0" fillId="37" borderId="18" xfId="0" applyFont="1" applyFill="1" applyBorder="1" applyAlignment="1" applyProtection="1">
      <alignment vertical="center" wrapText="1"/>
    </xf>
    <xf numFmtId="0" fontId="0" fillId="37" borderId="19" xfId="0" applyFont="1" applyFill="1" applyBorder="1" applyAlignment="1" applyProtection="1">
      <alignment vertical="center" wrapText="1"/>
    </xf>
    <xf numFmtId="0" fontId="0" fillId="37" borderId="16" xfId="0" applyFont="1" applyFill="1" applyBorder="1" applyAlignment="1" applyProtection="1">
      <alignment vertical="center" wrapText="1"/>
    </xf>
    <xf numFmtId="0" fontId="0" fillId="37" borderId="32" xfId="0" applyFont="1" applyFill="1" applyBorder="1" applyAlignment="1" applyProtection="1">
      <alignment vertical="center" wrapText="1"/>
    </xf>
    <xf numFmtId="0" fontId="0" fillId="37" borderId="84" xfId="0" applyFont="1" applyFill="1" applyBorder="1" applyAlignment="1" applyProtection="1">
      <alignment horizontal="center" vertical="center" wrapText="1"/>
    </xf>
    <xf numFmtId="0" fontId="0" fillId="36" borderId="98" xfId="0" applyFont="1" applyFill="1" applyBorder="1" applyAlignment="1" applyProtection="1">
      <alignment horizontal="center" vertical="center" wrapText="1"/>
    </xf>
    <xf numFmtId="0" fontId="0" fillId="37" borderId="90" xfId="0" applyFont="1" applyFill="1" applyBorder="1" applyAlignment="1" applyProtection="1">
      <alignment horizontal="center" vertical="center" wrapText="1"/>
    </xf>
    <xf numFmtId="0" fontId="0" fillId="37" borderId="91" xfId="0" applyFont="1" applyFill="1" applyBorder="1" applyAlignment="1" applyProtection="1">
      <alignment horizontal="center" vertical="center" wrapText="1"/>
    </xf>
    <xf numFmtId="0" fontId="0" fillId="37" borderId="77" xfId="0" applyFont="1" applyFill="1" applyBorder="1" applyAlignment="1" applyProtection="1">
      <alignment horizontal="center" vertical="center" wrapText="1"/>
    </xf>
    <xf numFmtId="0" fontId="0" fillId="37" borderId="93" xfId="0" applyFont="1" applyFill="1" applyBorder="1" applyAlignment="1" applyProtection="1">
      <alignment horizontal="center" vertical="center" wrapText="1"/>
    </xf>
    <xf numFmtId="0" fontId="0" fillId="37" borderId="95" xfId="0" applyFont="1" applyFill="1" applyBorder="1" applyAlignment="1" applyProtection="1">
      <alignment horizontal="center" vertical="center" wrapText="1"/>
    </xf>
    <xf numFmtId="0" fontId="0" fillId="37" borderId="96" xfId="0" applyFont="1" applyFill="1" applyBorder="1" applyAlignment="1" applyProtection="1">
      <alignment horizontal="center" vertical="center" wrapText="1"/>
    </xf>
    <xf numFmtId="0" fontId="16" fillId="36" borderId="84" xfId="0" applyFont="1" applyFill="1" applyBorder="1" applyAlignment="1" applyProtection="1">
      <alignment horizontal="center" vertical="center" wrapText="1"/>
    </xf>
    <xf numFmtId="0" fontId="0" fillId="0" borderId="91" xfId="0" applyNumberFormat="1" applyFont="1" applyFill="1" applyBorder="1" applyAlignment="1" applyProtection="1">
      <alignment horizontal="center" vertical="center" wrapText="1"/>
    </xf>
    <xf numFmtId="0" fontId="0" fillId="0" borderId="92" xfId="0" applyNumberFormat="1" applyFont="1" applyFill="1" applyBorder="1" applyAlignment="1" applyProtection="1">
      <alignment horizontal="center" vertical="center" wrapText="1"/>
    </xf>
    <xf numFmtId="0" fontId="0" fillId="0" borderId="93" xfId="0" applyNumberFormat="1" applyFont="1" applyFill="1" applyBorder="1" applyAlignment="1" applyProtection="1">
      <alignment horizontal="center" vertical="center" wrapText="1"/>
    </xf>
    <xf numFmtId="0" fontId="0" fillId="0" borderId="94" xfId="0" applyNumberFormat="1" applyFont="1" applyFill="1" applyBorder="1" applyAlignment="1" applyProtection="1">
      <alignment horizontal="center" vertical="center" wrapText="1"/>
    </xf>
    <xf numFmtId="0" fontId="0" fillId="0" borderId="96" xfId="0" applyNumberFormat="1" applyFont="1" applyFill="1" applyBorder="1" applyAlignment="1" applyProtection="1">
      <alignment horizontal="center" vertical="center" wrapText="1"/>
    </xf>
    <xf numFmtId="0" fontId="0" fillId="0" borderId="97" xfId="0" applyNumberFormat="1" applyFont="1" applyFill="1" applyBorder="1" applyAlignment="1" applyProtection="1">
      <alignment horizontal="center" vertical="center" wrapText="1"/>
    </xf>
    <xf numFmtId="0" fontId="0" fillId="0" borderId="36" xfId="0" applyNumberFormat="1" applyFont="1" applyBorder="1" applyAlignment="1" applyProtection="1">
      <alignment horizontal="center" vertical="center" wrapText="1"/>
    </xf>
    <xf numFmtId="0" fontId="0" fillId="0" borderId="28" xfId="0" applyNumberFormat="1" applyFont="1" applyBorder="1" applyAlignment="1" applyProtection="1">
      <alignment horizontal="center" vertical="center" wrapText="1"/>
    </xf>
    <xf numFmtId="0" fontId="0" fillId="0" borderId="26" xfId="0" applyNumberFormat="1" applyFont="1" applyBorder="1" applyAlignment="1" applyProtection="1">
      <alignment horizontal="center" vertical="center" wrapText="1"/>
    </xf>
    <xf numFmtId="0" fontId="21" fillId="36" borderId="27" xfId="0" applyFont="1" applyFill="1" applyBorder="1" applyAlignment="1" applyProtection="1">
      <alignment horizontal="center" vertical="center" wrapText="1"/>
    </xf>
    <xf numFmtId="0" fontId="21" fillId="36" borderId="23" xfId="0" applyFont="1" applyFill="1" applyBorder="1" applyAlignment="1" applyProtection="1">
      <alignment horizontal="center" vertical="center" wrapText="1"/>
    </xf>
    <xf numFmtId="0" fontId="21" fillId="36" borderId="19" xfId="0" applyFont="1" applyFill="1" applyBorder="1" applyAlignment="1" applyProtection="1">
      <alignment horizontal="center" vertical="center" wrapText="1"/>
    </xf>
    <xf numFmtId="0" fontId="49" fillId="0" borderId="20" xfId="0" applyFont="1" applyFill="1" applyBorder="1" applyAlignment="1" applyProtection="1">
      <alignment horizontal="center" vertical="center"/>
      <protection locked="0"/>
    </xf>
    <xf numFmtId="0" fontId="0" fillId="36" borderId="47" xfId="0" applyNumberFormat="1" applyFont="1" applyFill="1" applyBorder="1" applyAlignment="1" applyProtection="1">
      <alignment horizontal="center" vertical="center" wrapText="1"/>
    </xf>
    <xf numFmtId="0" fontId="0" fillId="36" borderId="61" xfId="0" applyNumberFormat="1" applyFont="1" applyFill="1" applyBorder="1" applyAlignment="1" applyProtection="1">
      <alignment horizontal="center" vertical="center" wrapText="1"/>
    </xf>
    <xf numFmtId="0" fontId="0" fillId="36" borderId="38" xfId="0" applyNumberFormat="1" applyFont="1" applyFill="1" applyBorder="1" applyAlignment="1" applyProtection="1">
      <alignment horizontal="center" vertical="center" wrapText="1"/>
    </xf>
    <xf numFmtId="0" fontId="0" fillId="36" borderId="35" xfId="0" applyNumberFormat="1" applyFont="1" applyFill="1" applyBorder="1" applyAlignment="1" applyProtection="1">
      <alignment horizontal="center" vertical="center" wrapText="1"/>
    </xf>
    <xf numFmtId="0" fontId="0" fillId="0" borderId="91" xfId="0" applyFont="1" applyBorder="1" applyAlignment="1" applyProtection="1">
      <alignment horizontal="center" vertical="center" wrapText="1"/>
    </xf>
    <xf numFmtId="0" fontId="0" fillId="0" borderId="93" xfId="0" applyFont="1" applyBorder="1" applyAlignment="1" applyProtection="1">
      <alignment horizontal="center" vertical="center" wrapText="1"/>
    </xf>
    <xf numFmtId="0" fontId="0" fillId="0" borderId="96" xfId="0" applyFont="1" applyBorder="1" applyAlignment="1" applyProtection="1">
      <alignment horizontal="center" vertical="center" wrapText="1"/>
    </xf>
    <xf numFmtId="0" fontId="0" fillId="0" borderId="27" xfId="0" applyNumberFormat="1" applyFont="1" applyBorder="1" applyAlignment="1" applyProtection="1">
      <alignment horizontal="left" vertical="center" wrapText="1"/>
      <protection locked="0"/>
    </xf>
    <xf numFmtId="0" fontId="0" fillId="0" borderId="17" xfId="0" applyNumberFormat="1" applyFont="1" applyBorder="1" applyAlignment="1" applyProtection="1">
      <alignment horizontal="left" vertical="center" wrapText="1"/>
      <protection locked="0"/>
    </xf>
    <xf numFmtId="0" fontId="0" fillId="0" borderId="18" xfId="0" applyNumberFormat="1" applyFont="1" applyBorder="1" applyAlignment="1" applyProtection="1">
      <alignment horizontal="left" vertical="center" wrapText="1"/>
      <protection locked="0"/>
    </xf>
    <xf numFmtId="0" fontId="0" fillId="0" borderId="23" xfId="0" applyNumberFormat="1" applyFont="1" applyBorder="1" applyAlignment="1" applyProtection="1">
      <alignment horizontal="left" vertical="center" wrapText="1"/>
      <protection locked="0"/>
    </xf>
    <xf numFmtId="0" fontId="0" fillId="0" borderId="0" xfId="0" applyNumberFormat="1" applyFont="1" applyBorder="1" applyAlignment="1" applyProtection="1">
      <alignment horizontal="left" vertical="center" wrapText="1"/>
      <protection locked="0"/>
    </xf>
    <xf numFmtId="0" fontId="0" fillId="0" borderId="31" xfId="0" applyNumberFormat="1" applyFont="1" applyBorder="1" applyAlignment="1" applyProtection="1">
      <alignment horizontal="left" vertical="center" wrapText="1"/>
      <protection locked="0"/>
    </xf>
    <xf numFmtId="0" fontId="0" fillId="0" borderId="19" xfId="0" applyNumberFormat="1" applyFont="1" applyBorder="1" applyAlignment="1" applyProtection="1">
      <alignment horizontal="left" vertical="center" wrapText="1"/>
      <protection locked="0"/>
    </xf>
    <xf numFmtId="0" fontId="0" fillId="0" borderId="16" xfId="0" applyNumberFormat="1" applyFont="1" applyBorder="1" applyAlignment="1" applyProtection="1">
      <alignment horizontal="left" vertical="center" wrapText="1"/>
      <protection locked="0"/>
    </xf>
    <xf numFmtId="0" fontId="0" fillId="0" borderId="32" xfId="0" applyNumberFormat="1" applyFont="1" applyBorder="1" applyAlignment="1" applyProtection="1">
      <alignment horizontal="left" vertical="center" wrapText="1"/>
      <protection locked="0"/>
    </xf>
    <xf numFmtId="0" fontId="0" fillId="36" borderId="37" xfId="0" applyNumberFormat="1" applyFont="1" applyFill="1" applyBorder="1" applyAlignment="1" applyProtection="1">
      <alignment horizontal="center" vertical="center" wrapText="1"/>
    </xf>
    <xf numFmtId="0" fontId="0" fillId="36" borderId="34" xfId="0" applyNumberFormat="1" applyFont="1" applyFill="1" applyBorder="1" applyAlignment="1" applyProtection="1">
      <alignment horizontal="center" vertical="center" wrapText="1"/>
    </xf>
    <xf numFmtId="0" fontId="0" fillId="36" borderId="22" xfId="0" applyNumberFormat="1" applyFont="1" applyFill="1" applyBorder="1" applyAlignment="1" applyProtection="1">
      <alignment horizontal="center" vertical="center" wrapText="1"/>
    </xf>
    <xf numFmtId="0" fontId="0" fillId="36" borderId="60" xfId="0" applyNumberFormat="1" applyFont="1" applyFill="1" applyBorder="1" applyAlignment="1" applyProtection="1">
      <alignment horizontal="center" vertical="center" wrapText="1"/>
    </xf>
    <xf numFmtId="165" fontId="0" fillId="0" borderId="85" xfId="83" applyNumberFormat="1" applyFont="1" applyFill="1" applyBorder="1" applyAlignment="1" applyProtection="1">
      <alignment horizontal="center" vertical="center" wrapText="1"/>
      <protection locked="0"/>
    </xf>
    <xf numFmtId="165" fontId="0" fillId="0" borderId="86" xfId="83" applyNumberFormat="1" applyFont="1" applyFill="1" applyBorder="1" applyAlignment="1" applyProtection="1">
      <alignment horizontal="center" vertical="center" wrapText="1"/>
      <protection locked="0"/>
    </xf>
    <xf numFmtId="0" fontId="0" fillId="0" borderId="90" xfId="0" applyNumberFormat="1" applyFont="1" applyFill="1" applyBorder="1" applyAlignment="1" applyProtection="1">
      <alignment horizontal="left" vertical="center" wrapText="1"/>
    </xf>
    <xf numFmtId="0" fontId="0" fillId="0" borderId="91" xfId="0" applyNumberFormat="1" applyFont="1" applyFill="1" applyBorder="1" applyAlignment="1" applyProtection="1">
      <alignment horizontal="left" vertical="center" wrapText="1"/>
    </xf>
    <xf numFmtId="0" fontId="0" fillId="0" borderId="77" xfId="0" applyNumberFormat="1" applyFont="1" applyFill="1" applyBorder="1" applyAlignment="1" applyProtection="1">
      <alignment horizontal="left" vertical="center" wrapText="1"/>
    </xf>
    <xf numFmtId="0" fontId="0" fillId="0" borderId="93" xfId="0" applyNumberFormat="1" applyFont="1" applyFill="1" applyBorder="1" applyAlignment="1" applyProtection="1">
      <alignment horizontal="left" vertical="center" wrapText="1"/>
    </xf>
    <xf numFmtId="0" fontId="0" fillId="0" borderId="95" xfId="0" applyNumberFormat="1" applyFont="1" applyFill="1" applyBorder="1" applyAlignment="1" applyProtection="1">
      <alignment horizontal="left" vertical="center" wrapText="1"/>
    </xf>
    <xf numFmtId="0" fontId="0" fillId="0" borderId="96" xfId="0" applyNumberFormat="1" applyFont="1" applyFill="1" applyBorder="1" applyAlignment="1" applyProtection="1">
      <alignment horizontal="left" vertical="center" wrapText="1"/>
    </xf>
    <xf numFmtId="3" fontId="0" fillId="37" borderId="98" xfId="0" applyNumberFormat="1" applyFont="1" applyFill="1" applyBorder="1" applyAlignment="1" applyProtection="1">
      <alignment horizontal="right" vertical="center" wrapText="1"/>
    </xf>
    <xf numFmtId="3" fontId="10" fillId="37" borderId="98" xfId="66" applyNumberFormat="1" applyFont="1" applyFill="1" applyBorder="1" applyAlignment="1" applyProtection="1">
      <alignment horizontal="right" vertical="center" wrapText="1"/>
    </xf>
    <xf numFmtId="0" fontId="16" fillId="37" borderId="91" xfId="0" applyFont="1" applyFill="1" applyBorder="1" applyAlignment="1" applyProtection="1">
      <alignment horizontal="left" vertical="center" wrapText="1"/>
    </xf>
    <xf numFmtId="0" fontId="16" fillId="37" borderId="93" xfId="0" applyFont="1" applyFill="1" applyBorder="1" applyAlignment="1" applyProtection="1">
      <alignment horizontal="left" vertical="center" wrapText="1"/>
    </xf>
    <xf numFmtId="0" fontId="16" fillId="37" borderId="96" xfId="0" applyFont="1" applyFill="1" applyBorder="1" applyAlignment="1" applyProtection="1">
      <alignment horizontal="left" vertical="center" wrapText="1"/>
    </xf>
    <xf numFmtId="0" fontId="0" fillId="36" borderId="101" xfId="0" applyFont="1" applyFill="1" applyBorder="1" applyAlignment="1" applyProtection="1">
      <alignment horizontal="center" vertical="center" wrapText="1"/>
    </xf>
    <xf numFmtId="3" fontId="10" fillId="37" borderId="102" xfId="66" applyNumberFormat="1" applyFont="1" applyFill="1" applyBorder="1" applyAlignment="1" applyProtection="1">
      <alignment horizontal="right" vertical="center" wrapText="1"/>
    </xf>
    <xf numFmtId="3" fontId="10" fillId="37" borderId="101" xfId="66" applyNumberFormat="1" applyFont="1" applyFill="1" applyBorder="1" applyAlignment="1" applyProtection="1">
      <alignment horizontal="right" vertical="center" wrapText="1"/>
    </xf>
    <xf numFmtId="3" fontId="10" fillId="37" borderId="103" xfId="66" applyNumberFormat="1" applyFont="1" applyFill="1" applyBorder="1" applyAlignment="1" applyProtection="1">
      <alignment horizontal="right" vertical="center" wrapText="1"/>
    </xf>
    <xf numFmtId="0" fontId="16" fillId="37" borderId="91" xfId="0" applyFont="1" applyFill="1" applyBorder="1" applyAlignment="1" applyProtection="1">
      <alignment horizontal="center" vertical="center" wrapText="1"/>
    </xf>
    <xf numFmtId="0" fontId="16" fillId="37" borderId="96" xfId="0" applyFont="1" applyFill="1" applyBorder="1" applyAlignment="1" applyProtection="1">
      <alignment horizontal="center" vertical="center" wrapText="1"/>
    </xf>
    <xf numFmtId="0" fontId="16" fillId="37" borderId="91" xfId="0" applyFont="1" applyFill="1" applyBorder="1" applyAlignment="1" applyProtection="1">
      <alignment vertical="center" wrapText="1"/>
    </xf>
    <xf numFmtId="0" fontId="16" fillId="37" borderId="96" xfId="0" applyFont="1" applyFill="1" applyBorder="1" applyAlignment="1" applyProtection="1">
      <alignment vertical="center" wrapText="1"/>
    </xf>
    <xf numFmtId="0" fontId="0" fillId="37" borderId="105" xfId="0" applyFont="1" applyFill="1" applyBorder="1" applyAlignment="1">
      <alignment horizontal="left" vertical="center" wrapText="1"/>
    </xf>
    <xf numFmtId="0" fontId="0" fillId="37" borderId="106" xfId="0" applyFont="1" applyFill="1" applyBorder="1" applyAlignment="1">
      <alignment horizontal="left" vertical="center" wrapText="1"/>
    </xf>
    <xf numFmtId="3" fontId="40" fillId="36" borderId="68" xfId="0" applyNumberFormat="1" applyFont="1" applyFill="1" applyBorder="1" applyAlignment="1" applyProtection="1">
      <alignment horizontal="right" vertical="center"/>
    </xf>
    <xf numFmtId="3" fontId="40" fillId="36" borderId="64" xfId="0" applyNumberFormat="1" applyFont="1" applyFill="1" applyBorder="1" applyAlignment="1" applyProtection="1">
      <alignment horizontal="right" vertical="center"/>
    </xf>
    <xf numFmtId="3" fontId="40" fillId="36" borderId="69" xfId="0" applyNumberFormat="1" applyFont="1" applyFill="1" applyBorder="1" applyAlignment="1" applyProtection="1">
      <alignment horizontal="right" vertical="center"/>
    </xf>
    <xf numFmtId="3" fontId="40" fillId="36" borderId="65" xfId="0" applyNumberFormat="1" applyFont="1" applyFill="1" applyBorder="1" applyAlignment="1" applyProtection="1">
      <alignment horizontal="right" vertical="center"/>
    </xf>
    <xf numFmtId="0" fontId="0" fillId="37" borderId="91" xfId="0" applyFont="1" applyFill="1" applyBorder="1" applyAlignment="1" applyProtection="1">
      <alignment horizontal="left" vertical="center" wrapText="1"/>
    </xf>
    <xf numFmtId="0" fontId="0" fillId="37" borderId="100" xfId="0" applyFont="1" applyFill="1" applyBorder="1" applyAlignment="1" applyProtection="1">
      <alignment horizontal="left" vertical="center" wrapText="1"/>
    </xf>
    <xf numFmtId="0" fontId="0" fillId="37" borderId="96" xfId="0" applyFont="1" applyFill="1" applyBorder="1" applyAlignment="1" applyProtection="1">
      <alignment horizontal="left" vertical="center" wrapText="1"/>
    </xf>
    <xf numFmtId="0" fontId="0" fillId="37" borderId="104" xfId="0" applyFont="1" applyFill="1" applyBorder="1" applyAlignment="1" applyProtection="1">
      <alignment horizontal="left" vertical="center" wrapText="1"/>
    </xf>
    <xf numFmtId="0" fontId="0" fillId="37" borderId="99" xfId="0" applyFont="1" applyFill="1" applyBorder="1" applyAlignment="1" applyProtection="1">
      <alignment horizontal="left" vertical="center" wrapText="1"/>
    </xf>
    <xf numFmtId="0" fontId="0" fillId="37" borderId="66" xfId="0" applyFont="1" applyFill="1" applyBorder="1" applyAlignment="1" applyProtection="1">
      <alignment horizontal="left" vertical="center" wrapText="1"/>
    </xf>
    <xf numFmtId="0" fontId="0" fillId="37" borderId="0" xfId="0" applyNumberFormat="1" applyFont="1" applyFill="1" applyBorder="1" applyAlignment="1" applyProtection="1">
      <alignment horizontal="right" vertical="top" wrapText="1"/>
      <protection locked="0"/>
    </xf>
    <xf numFmtId="49" fontId="0" fillId="37" borderId="0" xfId="0" applyNumberFormat="1" applyFont="1" applyFill="1" applyBorder="1" applyAlignment="1" applyProtection="1">
      <alignment horizontal="left" vertical="top" wrapText="1"/>
      <protection locked="0"/>
    </xf>
    <xf numFmtId="0" fontId="16" fillId="37" borderId="0" xfId="0" applyFont="1" applyFill="1" applyBorder="1" applyAlignment="1" applyProtection="1">
      <alignment horizontal="center" vertical="center" wrapText="1"/>
      <protection locked="0"/>
    </xf>
    <xf numFmtId="0" fontId="0" fillId="37" borderId="0" xfId="0" applyFont="1" applyFill="1" applyBorder="1" applyAlignment="1" applyProtection="1">
      <alignment horizontal="left" vertical="top" wrapText="1"/>
      <protection locked="0"/>
    </xf>
    <xf numFmtId="1" fontId="0" fillId="0" borderId="41" xfId="0" applyNumberFormat="1" applyFont="1" applyBorder="1" applyAlignment="1" applyProtection="1">
      <alignment horizontal="left" vertical="center" wrapText="1"/>
    </xf>
    <xf numFmtId="1" fontId="0" fillId="0" borderId="42" xfId="0" applyNumberFormat="1" applyFont="1" applyBorder="1" applyAlignment="1" applyProtection="1">
      <alignment horizontal="left" vertical="center" wrapText="1"/>
    </xf>
    <xf numFmtId="1" fontId="0" fillId="0" borderId="11" xfId="0" applyNumberFormat="1" applyFont="1" applyBorder="1" applyAlignment="1" applyProtection="1">
      <alignment horizontal="left" vertical="center" wrapText="1"/>
    </xf>
    <xf numFmtId="3" fontId="0" fillId="0" borderId="41" xfId="0" applyNumberFormat="1" applyFont="1" applyBorder="1" applyAlignment="1" applyProtection="1">
      <alignment horizontal="center" vertical="center" wrapText="1"/>
    </xf>
    <xf numFmtId="3" fontId="0" fillId="0" borderId="42" xfId="0" applyNumberFormat="1" applyFont="1" applyBorder="1" applyAlignment="1" applyProtection="1">
      <alignment horizontal="center" vertical="center" wrapText="1"/>
    </xf>
    <xf numFmtId="3" fontId="0" fillId="0" borderId="11" xfId="0" applyNumberFormat="1" applyFont="1" applyBorder="1" applyAlignment="1" applyProtection="1">
      <alignment horizontal="center" vertical="center" wrapText="1"/>
    </xf>
    <xf numFmtId="1" fontId="0" fillId="0" borderId="6" xfId="0" applyNumberFormat="1" applyFont="1" applyBorder="1" applyAlignment="1" applyProtection="1">
      <alignment horizontal="left" vertical="center" wrapText="1"/>
    </xf>
    <xf numFmtId="1" fontId="0" fillId="0" borderId="46" xfId="0" applyNumberFormat="1" applyFont="1" applyBorder="1" applyAlignment="1" applyProtection="1">
      <alignment horizontal="left" vertical="center" wrapText="1"/>
    </xf>
    <xf numFmtId="1" fontId="0" fillId="0" borderId="50" xfId="0" applyNumberFormat="1" applyFont="1" applyBorder="1" applyAlignment="1" applyProtection="1">
      <alignment horizontal="left" vertical="center" wrapText="1"/>
    </xf>
    <xf numFmtId="3" fontId="0" fillId="0" borderId="6" xfId="0" applyNumberFormat="1" applyFont="1" applyBorder="1" applyAlignment="1" applyProtection="1">
      <alignment horizontal="center" vertical="center" wrapText="1"/>
    </xf>
    <xf numFmtId="3" fontId="0" fillId="0" borderId="46" xfId="0" applyNumberFormat="1" applyFont="1" applyBorder="1" applyAlignment="1" applyProtection="1">
      <alignment horizontal="center" vertical="center" wrapText="1"/>
    </xf>
    <xf numFmtId="3" fontId="0" fillId="0" borderId="50" xfId="0" applyNumberFormat="1" applyFont="1" applyBorder="1" applyAlignment="1" applyProtection="1">
      <alignment horizontal="center" vertical="center" wrapText="1"/>
    </xf>
    <xf numFmtId="0" fontId="0" fillId="37" borderId="4" xfId="0" applyFont="1" applyFill="1" applyBorder="1" applyAlignment="1" applyProtection="1">
      <alignment horizontal="left" vertical="center" wrapText="1"/>
      <protection locked="0"/>
    </xf>
    <xf numFmtId="0" fontId="0" fillId="37" borderId="46" xfId="0" applyFont="1" applyFill="1" applyBorder="1" applyAlignment="1" applyProtection="1">
      <alignment horizontal="left" vertical="center" wrapText="1"/>
      <protection locked="0"/>
    </xf>
    <xf numFmtId="0" fontId="0" fillId="37" borderId="48" xfId="0" applyFont="1" applyFill="1" applyBorder="1" applyAlignment="1" applyProtection="1">
      <alignment horizontal="left" vertical="center" wrapText="1"/>
      <protection locked="0"/>
    </xf>
    <xf numFmtId="0" fontId="0" fillId="0" borderId="5" xfId="0" applyNumberFormat="1" applyFont="1" applyBorder="1" applyAlignment="1" applyProtection="1">
      <alignment horizontal="left" vertical="center" wrapText="1"/>
    </xf>
    <xf numFmtId="0" fontId="0" fillId="0" borderId="10" xfId="0" applyNumberFormat="1" applyFont="1" applyBorder="1" applyAlignment="1" applyProtection="1">
      <alignment horizontal="left" vertical="center" wrapText="1"/>
    </xf>
    <xf numFmtId="0" fontId="0" fillId="0" borderId="40" xfId="0" applyNumberFormat="1" applyFont="1" applyBorder="1" applyAlignment="1" applyProtection="1">
      <alignment horizontal="left" vertical="center" wrapText="1"/>
    </xf>
    <xf numFmtId="3" fontId="0" fillId="0" borderId="5" xfId="0" applyNumberFormat="1" applyFont="1" applyBorder="1" applyAlignment="1" applyProtection="1">
      <alignment horizontal="center" vertical="center" wrapText="1"/>
    </xf>
    <xf numFmtId="3" fontId="0" fillId="0" borderId="10" xfId="0" applyNumberFormat="1" applyFont="1" applyBorder="1" applyAlignment="1" applyProtection="1">
      <alignment horizontal="center" vertical="center" wrapText="1"/>
    </xf>
    <xf numFmtId="3" fontId="0" fillId="0" borderId="40" xfId="0" applyNumberFormat="1" applyFont="1" applyBorder="1" applyAlignment="1" applyProtection="1">
      <alignment horizontal="center" vertical="center" wrapText="1"/>
    </xf>
    <xf numFmtId="0" fontId="0" fillId="37" borderId="12" xfId="0" applyFont="1" applyFill="1" applyBorder="1" applyAlignment="1" applyProtection="1">
      <alignment horizontal="left" vertical="center" wrapText="1"/>
      <protection locked="0"/>
    </xf>
    <xf numFmtId="0" fontId="0" fillId="37" borderId="10" xfId="0" applyFont="1" applyFill="1" applyBorder="1" applyAlignment="1" applyProtection="1">
      <alignment horizontal="left" vertical="center" wrapText="1"/>
      <protection locked="0"/>
    </xf>
    <xf numFmtId="0" fontId="0" fillId="37" borderId="39" xfId="0" applyFont="1" applyFill="1" applyBorder="1" applyAlignment="1" applyProtection="1">
      <alignment horizontal="left" vertical="center" wrapText="1"/>
      <protection locked="0"/>
    </xf>
    <xf numFmtId="0" fontId="40" fillId="36" borderId="67" xfId="0" applyFont="1" applyFill="1" applyBorder="1" applyAlignment="1" applyProtection="1">
      <alignment horizontal="center" vertical="center"/>
    </xf>
    <xf numFmtId="0" fontId="40" fillId="36" borderId="63" xfId="0" applyFont="1" applyFill="1" applyBorder="1" applyAlignment="1" applyProtection="1">
      <alignment horizontal="center" vertical="center"/>
    </xf>
    <xf numFmtId="0" fontId="40" fillId="36" borderId="68" xfId="0" applyFont="1" applyFill="1" applyBorder="1" applyAlignment="1" applyProtection="1">
      <alignment horizontal="center" vertical="center"/>
    </xf>
    <xf numFmtId="0" fontId="40" fillId="36" borderId="64" xfId="0" applyFont="1" applyFill="1" applyBorder="1" applyAlignment="1" applyProtection="1">
      <alignment horizontal="center" vertical="center"/>
    </xf>
    <xf numFmtId="0" fontId="40" fillId="36" borderId="69" xfId="0" applyFont="1" applyFill="1" applyBorder="1" applyAlignment="1" applyProtection="1">
      <alignment horizontal="center" vertical="center"/>
    </xf>
    <xf numFmtId="0" fontId="40" fillId="36" borderId="65" xfId="0" applyFont="1" applyFill="1" applyBorder="1" applyAlignment="1" applyProtection="1">
      <alignment horizontal="center" vertical="center"/>
    </xf>
    <xf numFmtId="0" fontId="16" fillId="37" borderId="0" xfId="0" applyNumberFormat="1" applyFont="1" applyFill="1" applyBorder="1" applyAlignment="1" applyProtection="1">
      <alignment horizontal="right" vertical="top" wrapText="1"/>
      <protection locked="0"/>
    </xf>
    <xf numFmtId="0" fontId="0" fillId="0" borderId="6" xfId="0" applyNumberFormat="1" applyFont="1" applyBorder="1" applyAlignment="1" applyProtection="1">
      <alignment horizontal="left" vertical="center" wrapText="1"/>
    </xf>
    <xf numFmtId="0" fontId="0" fillId="0" borderId="46" xfId="0" applyNumberFormat="1" applyFont="1" applyBorder="1" applyAlignment="1" applyProtection="1">
      <alignment horizontal="left" vertical="center" wrapText="1"/>
    </xf>
    <xf numFmtId="0" fontId="0" fillId="0" borderId="50" xfId="0" applyNumberFormat="1" applyFont="1" applyBorder="1" applyAlignment="1" applyProtection="1">
      <alignment horizontal="left" vertical="center" wrapText="1"/>
    </xf>
    <xf numFmtId="0" fontId="0" fillId="37" borderId="20" xfId="0" applyFont="1" applyFill="1" applyBorder="1" applyAlignment="1" applyProtection="1">
      <alignment horizontal="left" vertical="center" wrapText="1"/>
      <protection locked="0"/>
    </xf>
    <xf numFmtId="0" fontId="0" fillId="37" borderId="8" xfId="0" applyFont="1" applyFill="1" applyBorder="1" applyAlignment="1" applyProtection="1">
      <alignment horizontal="left" vertical="center" wrapText="1"/>
      <protection locked="0"/>
    </xf>
    <xf numFmtId="0" fontId="0" fillId="37" borderId="9" xfId="0" applyFont="1" applyFill="1" applyBorder="1" applyAlignment="1" applyProtection="1">
      <alignment horizontal="left" vertical="center" wrapText="1"/>
      <protection locked="0"/>
    </xf>
    <xf numFmtId="0" fontId="0" fillId="0" borderId="41" xfId="0" applyNumberFormat="1" applyFont="1" applyBorder="1" applyAlignment="1" applyProtection="1">
      <alignment horizontal="left" vertical="center" wrapText="1"/>
    </xf>
    <xf numFmtId="0" fontId="0" fillId="0" borderId="42" xfId="0" applyNumberFormat="1" applyFont="1" applyBorder="1" applyAlignment="1" applyProtection="1">
      <alignment horizontal="left" vertical="center" wrapText="1"/>
    </xf>
    <xf numFmtId="0" fontId="0" fillId="0" borderId="11" xfId="0" applyNumberFormat="1" applyFont="1" applyBorder="1" applyAlignment="1" applyProtection="1">
      <alignment horizontal="left" vertical="center" wrapText="1"/>
    </xf>
    <xf numFmtId="0" fontId="0" fillId="0" borderId="87" xfId="0" applyNumberFormat="1" applyFont="1" applyBorder="1" applyAlignment="1" applyProtection="1">
      <alignment horizontal="left" vertical="center" wrapText="1"/>
    </xf>
    <xf numFmtId="0" fontId="0" fillId="0" borderId="17" xfId="0" applyNumberFormat="1" applyFont="1" applyBorder="1" applyAlignment="1" applyProtection="1">
      <alignment horizontal="left" vertical="center" wrapText="1"/>
    </xf>
    <xf numFmtId="0" fontId="0" fillId="0" borderId="18" xfId="0" applyNumberFormat="1" applyFont="1" applyBorder="1" applyAlignment="1" applyProtection="1">
      <alignment horizontal="left" vertical="center" wrapText="1"/>
    </xf>
    <xf numFmtId="0" fontId="0" fillId="0" borderId="88" xfId="0" applyNumberFormat="1" applyFont="1" applyBorder="1" applyAlignment="1" applyProtection="1">
      <alignment horizontal="left" vertical="center" wrapText="1"/>
    </xf>
    <xf numFmtId="0" fontId="0" fillId="0" borderId="0" xfId="0" applyNumberFormat="1" applyFont="1" applyBorder="1" applyAlignment="1" applyProtection="1">
      <alignment horizontal="left" vertical="center" wrapText="1"/>
    </xf>
    <xf numFmtId="0" fontId="0" fillId="0" borderId="31" xfId="0" applyNumberFormat="1" applyFont="1" applyBorder="1" applyAlignment="1" applyProtection="1">
      <alignment horizontal="left" vertical="center" wrapText="1"/>
    </xf>
    <xf numFmtId="0" fontId="0" fillId="0" borderId="89" xfId="0" applyNumberFormat="1" applyFont="1" applyBorder="1" applyAlignment="1" applyProtection="1">
      <alignment horizontal="left" vertical="center" wrapText="1"/>
    </xf>
    <xf numFmtId="0" fontId="0" fillId="0" borderId="16" xfId="0" applyNumberFormat="1" applyFont="1" applyBorder="1" applyAlignment="1" applyProtection="1">
      <alignment horizontal="left" vertical="center" wrapText="1"/>
    </xf>
    <xf numFmtId="0" fontId="0" fillId="0" borderId="32" xfId="0" applyNumberFormat="1" applyFont="1" applyBorder="1" applyAlignment="1" applyProtection="1">
      <alignment horizontal="left" vertical="center" wrapText="1"/>
    </xf>
    <xf numFmtId="0" fontId="0" fillId="37" borderId="15" xfId="0" applyFont="1" applyFill="1" applyBorder="1" applyAlignment="1" applyProtection="1">
      <alignment horizontal="left" vertical="center" wrapText="1"/>
      <protection locked="0"/>
    </xf>
    <xf numFmtId="0" fontId="0" fillId="37" borderId="42" xfId="0" applyFont="1" applyFill="1" applyBorder="1" applyAlignment="1" applyProtection="1">
      <alignment horizontal="left" vertical="center" wrapText="1"/>
      <protection locked="0"/>
    </xf>
    <xf numFmtId="0" fontId="0" fillId="37" borderId="43" xfId="0" applyFont="1" applyFill="1" applyBorder="1" applyAlignment="1" applyProtection="1">
      <alignment horizontal="left" vertical="center" wrapText="1"/>
      <protection locked="0"/>
    </xf>
    <xf numFmtId="3" fontId="0" fillId="0" borderId="0" xfId="0" applyNumberFormat="1" applyBorder="1" applyAlignment="1">
      <alignment vertical="top" wrapText="1"/>
    </xf>
    <xf numFmtId="0" fontId="45" fillId="35" borderId="1" xfId="0" applyFont="1" applyFill="1" applyBorder="1" applyAlignment="1" applyProtection="1">
      <alignment horizontal="center" vertical="center" wrapText="1"/>
    </xf>
    <xf numFmtId="0" fontId="46" fillId="36" borderId="1" xfId="0" applyNumberFormat="1" applyFont="1" applyFill="1" applyBorder="1" applyAlignment="1" applyProtection="1">
      <alignment horizontal="center" vertical="center" wrapText="1"/>
    </xf>
    <xf numFmtId="0" fontId="16" fillId="2" borderId="1" xfId="76" applyFont="1" applyFill="1" applyBorder="1" applyAlignment="1" applyProtection="1">
      <alignment horizontal="left" vertical="center"/>
    </xf>
    <xf numFmtId="0" fontId="16" fillId="2" borderId="2" xfId="76" applyFont="1" applyFill="1" applyBorder="1" applyAlignment="1" applyProtection="1">
      <alignment horizontal="left" vertical="center"/>
    </xf>
    <xf numFmtId="0" fontId="16" fillId="2" borderId="21" xfId="76" applyFont="1" applyFill="1" applyBorder="1" applyAlignment="1" applyProtection="1">
      <alignment horizontal="left" vertical="center"/>
    </xf>
  </cellXfs>
  <cellStyles count="91">
    <cellStyle name="20% - Accent1 2" xfId="1"/>
    <cellStyle name="20% - Accent1 2 2" xfId="2"/>
    <cellStyle name="20% - Accent1 2 2 2" xfId="3"/>
    <cellStyle name="20% - Accent1 2 3" xfId="4"/>
    <cellStyle name="20% - Accent2 2" xfId="5"/>
    <cellStyle name="20% - Accent2 2 2" xfId="6"/>
    <cellStyle name="20% - Accent2 2 2 2" xfId="7"/>
    <cellStyle name="20% - Accent2 2 3" xfId="8"/>
    <cellStyle name="20% - Accent3 2" xfId="9"/>
    <cellStyle name="20% - Accent3 2 2" xfId="10"/>
    <cellStyle name="20% - Accent3 2 2 2" xfId="11"/>
    <cellStyle name="20% - Accent3 2 3" xfId="12"/>
    <cellStyle name="20% - Accent4 2" xfId="13"/>
    <cellStyle name="20% - Accent4 2 2" xfId="14"/>
    <cellStyle name="20% - Accent4 2 2 2" xfId="15"/>
    <cellStyle name="20% - Accent4 2 3" xfId="16"/>
    <cellStyle name="20% - Accent5 2" xfId="17"/>
    <cellStyle name="20% - Accent5 2 2" xfId="18"/>
    <cellStyle name="20% - Accent5 2 2 2" xfId="19"/>
    <cellStyle name="20% - Accent5 2 3" xfId="20"/>
    <cellStyle name="20% - Accent6 2" xfId="21"/>
    <cellStyle name="20% - Accent6 2 2" xfId="22"/>
    <cellStyle name="20% - Accent6 2 2 2" xfId="23"/>
    <cellStyle name="20% - Accent6 2 3" xfId="24"/>
    <cellStyle name="40% - Accent1 2" xfId="25"/>
    <cellStyle name="40% - Accent1 2 2" xfId="26"/>
    <cellStyle name="40% - Accent1 2 2 2" xfId="27"/>
    <cellStyle name="40% - Accent1 2 3" xfId="28"/>
    <cellStyle name="40% - Accent2 2" xfId="29"/>
    <cellStyle name="40% - Accent2 2 2" xfId="30"/>
    <cellStyle name="40% - Accent2 2 2 2" xfId="31"/>
    <cellStyle name="40% - Accent2 2 3" xfId="32"/>
    <cellStyle name="40% - Accent3 2" xfId="33"/>
    <cellStyle name="40% - Accent3 2 2" xfId="34"/>
    <cellStyle name="40% - Accent3 2 2 2" xfId="35"/>
    <cellStyle name="40% - Accent3 2 3" xfId="36"/>
    <cellStyle name="40% - Accent4 2" xfId="37"/>
    <cellStyle name="40% - Accent4 2 2" xfId="38"/>
    <cellStyle name="40% - Accent4 2 2 2" xfId="39"/>
    <cellStyle name="40% - Accent4 2 3" xfId="40"/>
    <cellStyle name="40% - Accent5 2" xfId="41"/>
    <cellStyle name="40% - Accent5 2 2" xfId="42"/>
    <cellStyle name="40% - Accent5 2 2 2" xfId="43"/>
    <cellStyle name="40% - Accent5 2 3" xfId="44"/>
    <cellStyle name="40% - Accent6 2" xfId="45"/>
    <cellStyle name="40% - Accent6 2 2" xfId="46"/>
    <cellStyle name="40% - Accent6 2 2 2" xfId="47"/>
    <cellStyle name="40% - Accent6 2 3" xfId="48"/>
    <cellStyle name="60% - Accent1 2" xfId="49"/>
    <cellStyle name="60% - Accent2 2" xfId="50"/>
    <cellStyle name="60% - Accent3 2" xfId="51"/>
    <cellStyle name="60% - Accent4 2" xfId="52"/>
    <cellStyle name="60% - Accent5 2" xfId="53"/>
    <cellStyle name="60% - Accent6 2" xfId="54"/>
    <cellStyle name="Accent1 2" xfId="55"/>
    <cellStyle name="Accent2 2" xfId="56"/>
    <cellStyle name="Accent3 2" xfId="57"/>
    <cellStyle name="Accent4 2" xfId="58"/>
    <cellStyle name="Accent5 2" xfId="59"/>
    <cellStyle name="Accent6 2" xfId="60"/>
    <cellStyle name="Bad 2" xfId="61"/>
    <cellStyle name="Calculation 2" xfId="62"/>
    <cellStyle name="Check Cell 2" xfId="63"/>
    <cellStyle name="Comma 2" xfId="64"/>
    <cellStyle name="Comma 2 2" xfId="65"/>
    <cellStyle name="Currency" xfId="66" builtinId="4"/>
    <cellStyle name="Explanatory Text 2" xfId="67"/>
    <cellStyle name="Good 2" xfId="68"/>
    <cellStyle name="Heading 1 2" xfId="69"/>
    <cellStyle name="Heading 2 2" xfId="70"/>
    <cellStyle name="Heading 3 2" xfId="71"/>
    <cellStyle name="Heading 4 2" xfId="72"/>
    <cellStyle name="Input 2" xfId="73"/>
    <cellStyle name="Linked Cell 2" xfId="74"/>
    <cellStyle name="Neutral 2" xfId="75"/>
    <cellStyle name="Normal" xfId="0" builtinId="0"/>
    <cellStyle name="Normal 2" xfId="76"/>
    <cellStyle name="Normal 2 2" xfId="77"/>
    <cellStyle name="Normal 3" xfId="88"/>
    <cellStyle name="Normal 4" xfId="89"/>
    <cellStyle name="Normal 4 2" xfId="90"/>
    <cellStyle name="Note 2" xfId="78"/>
    <cellStyle name="Note 2 2" xfId="79"/>
    <cellStyle name="Note 2 2 2" xfId="80"/>
    <cellStyle name="Note 2 3" xfId="81"/>
    <cellStyle name="Output 2" xfId="82"/>
    <cellStyle name="Percent" xfId="83" builtinId="5"/>
    <cellStyle name="Percent 2" xfId="84"/>
    <cellStyle name="Title 2" xfId="85"/>
    <cellStyle name="Total 2" xfId="86"/>
    <cellStyle name="Warning Text 2" xfId="87"/>
  </cellStyles>
  <dxfs count="5">
    <dxf>
      <fill>
        <patternFill>
          <bgColor rgb="FFFFC7CE"/>
        </patternFill>
      </fill>
    </dxf>
    <dxf>
      <fill>
        <patternFill>
          <bgColor rgb="FFFFC7CE"/>
        </patternFill>
      </fill>
    </dxf>
    <dxf>
      <border>
        <left/>
        <right/>
        <top/>
        <bottom/>
      </border>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tosteberg\AppData\Local\Microsoft\Windows\Temporary%20Internet%20Files\Content.Outlook\U1MFGMLH\2_rajesh\Component%20frameworks\Measurement%20framework%20-%20all%20components%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nents"/>
      <sheetName val="Modules"/>
      <sheetName val="Interventions"/>
      <sheetName val="Coverage indicators"/>
      <sheetName val="Outcome indicators"/>
      <sheetName val="Impact indicators"/>
      <sheetName val="Data sources"/>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Author" refreshedDate="41480.449619791667" createdVersion="4" refreshedVersion="4" minRefreshableVersion="3" recordCount="49">
  <cacheSource type="worksheet">
    <worksheetSource ref="A3:H52" sheet="Summary budget"/>
  </cacheSource>
  <cacheFields count="8">
    <cacheField name="ModId" numFmtId="0">
      <sharedItems containsSemiMixedTypes="0" containsString="0" containsNumber="1" containsInteger="1" minValue="0" maxValue="29"/>
    </cacheField>
    <cacheField name="Label" numFmtId="0">
      <sharedItems containsMixedTypes="1" containsNumber="1" containsInteger="1" minValue="0" maxValue="0" count="27">
        <s v="Prevention - General population"/>
        <s v="PMTCT"/>
        <s v="Treatment, care and support"/>
        <s v="Monitoring and Evaluation"/>
        <s v="Program management"/>
        <s v="DOTS-based package"/>
        <s v="TB/HIV package (in high TB/HIV burden countries or for high risk groups in all countries)"/>
        <s v="MDR-TB package (in high MDR-TB burden countries or for high risk groups in all countries)"/>
        <s v="Human Rights"/>
        <s v="Vector Control (VC)"/>
        <s v="Case Management (CM)"/>
        <s v="Specific Prevention Interventions (SPI)"/>
        <s v="Monitoring and Evaluation (ME)"/>
        <s v="Program Management (PM)"/>
        <s v="Service Delivery"/>
        <s v="Health  Workforce"/>
        <s v="Procurement and Supply Chain Management"/>
        <s v="Information systems and M&amp;E"/>
        <s v="Legal, policy, strategy and regulatory environment"/>
        <s v="Healthcare financing "/>
        <s v="Program management _x000a_(applicable for standalone HSS grants)"/>
        <s v="Prevention - MSM and TGs"/>
        <s v="Prevention - Sex Workers and their clients"/>
        <s v="Prevention - Harm-reduction programmes for injecting drug users (IDUs) and their partners"/>
        <s v="Prevention - Other vulnerable populations (please specify)"/>
        <s v="Prevention - Adolescents and youth, in and out of school"/>
        <n v="0"/>
      </sharedItems>
    </cacheField>
    <cacheField name="Indicative" numFmtId="3">
      <sharedItems containsSemiMixedTypes="0" containsString="0" containsNumber="1" containsInteger="1" minValue="0" maxValue="0"/>
    </cacheField>
    <cacheField name="P1" numFmtId="9">
      <sharedItems/>
    </cacheField>
    <cacheField name="Above" numFmtId="3">
      <sharedItems containsSemiMixedTypes="0" containsString="0" containsNumber="1" containsInteger="1" minValue="0" maxValue="0"/>
    </cacheField>
    <cacheField name="P2" numFmtId="9">
      <sharedItems/>
    </cacheField>
    <cacheField name="Total / Full" numFmtId="3">
      <sharedItems containsSemiMixedTypes="0" containsString="0" containsNumber="1" containsInteger="1" minValue="0" maxValue="0"/>
    </cacheField>
    <cacheField name="P3" numFmtId="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
  <r>
    <n v="1"/>
    <x v="0"/>
    <n v="0"/>
    <e v="#DIV/0!"/>
    <n v="0"/>
    <e v="#DIV/0!"/>
    <n v="0"/>
    <e v="#DIV/0!"/>
  </r>
  <r>
    <n v="2"/>
    <x v="1"/>
    <n v="0"/>
    <e v="#DIV/0!"/>
    <n v="0"/>
    <e v="#DIV/0!"/>
    <n v="0"/>
    <e v="#DIV/0!"/>
  </r>
  <r>
    <n v="3"/>
    <x v="2"/>
    <n v="0"/>
    <e v="#DIV/0!"/>
    <n v="0"/>
    <e v="#DIV/0!"/>
    <n v="0"/>
    <e v="#DIV/0!"/>
  </r>
  <r>
    <n v="4"/>
    <x v="3"/>
    <n v="0"/>
    <e v="#DIV/0!"/>
    <n v="0"/>
    <e v="#DIV/0!"/>
    <n v="0"/>
    <e v="#DIV/0!"/>
  </r>
  <r>
    <n v="5"/>
    <x v="4"/>
    <n v="0"/>
    <e v="#DIV/0!"/>
    <n v="0"/>
    <e v="#DIV/0!"/>
    <n v="0"/>
    <e v="#DIV/0!"/>
  </r>
  <r>
    <n v="6"/>
    <x v="5"/>
    <n v="0"/>
    <e v="#DIV/0!"/>
    <n v="0"/>
    <e v="#DIV/0!"/>
    <n v="0"/>
    <e v="#DIV/0!"/>
  </r>
  <r>
    <n v="7"/>
    <x v="6"/>
    <n v="0"/>
    <e v="#DIV/0!"/>
    <n v="0"/>
    <e v="#DIV/0!"/>
    <n v="0"/>
    <e v="#DIV/0!"/>
  </r>
  <r>
    <n v="8"/>
    <x v="7"/>
    <n v="0"/>
    <e v="#DIV/0!"/>
    <n v="0"/>
    <e v="#DIV/0!"/>
    <n v="0"/>
    <e v="#DIV/0!"/>
  </r>
  <r>
    <n v="9"/>
    <x v="8"/>
    <n v="0"/>
    <e v="#DIV/0!"/>
    <n v="0"/>
    <e v="#DIV/0!"/>
    <n v="0"/>
    <e v="#DIV/0!"/>
  </r>
  <r>
    <n v="10"/>
    <x v="3"/>
    <n v="0"/>
    <e v="#DIV/0!"/>
    <n v="0"/>
    <e v="#DIV/0!"/>
    <n v="0"/>
    <e v="#DIV/0!"/>
  </r>
  <r>
    <n v="11"/>
    <x v="4"/>
    <n v="0"/>
    <e v="#DIV/0!"/>
    <n v="0"/>
    <e v="#DIV/0!"/>
    <n v="0"/>
    <e v="#DIV/0!"/>
  </r>
  <r>
    <n v="12"/>
    <x v="9"/>
    <n v="0"/>
    <e v="#DIV/0!"/>
    <n v="0"/>
    <e v="#DIV/0!"/>
    <n v="0"/>
    <e v="#DIV/0!"/>
  </r>
  <r>
    <n v="13"/>
    <x v="10"/>
    <n v="0"/>
    <e v="#DIV/0!"/>
    <n v="0"/>
    <e v="#DIV/0!"/>
    <n v="0"/>
    <e v="#DIV/0!"/>
  </r>
  <r>
    <n v="14"/>
    <x v="11"/>
    <n v="0"/>
    <e v="#DIV/0!"/>
    <n v="0"/>
    <e v="#DIV/0!"/>
    <n v="0"/>
    <e v="#DIV/0!"/>
  </r>
  <r>
    <n v="15"/>
    <x v="12"/>
    <n v="0"/>
    <e v="#DIV/0!"/>
    <n v="0"/>
    <e v="#DIV/0!"/>
    <n v="0"/>
    <e v="#DIV/0!"/>
  </r>
  <r>
    <n v="16"/>
    <x v="13"/>
    <n v="0"/>
    <e v="#DIV/0!"/>
    <n v="0"/>
    <e v="#DIV/0!"/>
    <n v="0"/>
    <e v="#DIV/0!"/>
  </r>
  <r>
    <n v="17"/>
    <x v="14"/>
    <n v="0"/>
    <e v="#DIV/0!"/>
    <n v="0"/>
    <e v="#DIV/0!"/>
    <n v="0"/>
    <e v="#DIV/0!"/>
  </r>
  <r>
    <n v="18"/>
    <x v="15"/>
    <n v="0"/>
    <e v="#DIV/0!"/>
    <n v="0"/>
    <e v="#DIV/0!"/>
    <n v="0"/>
    <e v="#DIV/0!"/>
  </r>
  <r>
    <n v="19"/>
    <x v="16"/>
    <n v="0"/>
    <e v="#DIV/0!"/>
    <n v="0"/>
    <e v="#DIV/0!"/>
    <n v="0"/>
    <e v="#DIV/0!"/>
  </r>
  <r>
    <n v="20"/>
    <x v="17"/>
    <n v="0"/>
    <e v="#DIV/0!"/>
    <n v="0"/>
    <e v="#DIV/0!"/>
    <n v="0"/>
    <e v="#DIV/0!"/>
  </r>
  <r>
    <n v="21"/>
    <x v="18"/>
    <n v="0"/>
    <e v="#DIV/0!"/>
    <n v="0"/>
    <e v="#DIV/0!"/>
    <n v="0"/>
    <e v="#DIV/0!"/>
  </r>
  <r>
    <n v="22"/>
    <x v="19"/>
    <n v="0"/>
    <e v="#DIV/0!"/>
    <n v="0"/>
    <e v="#DIV/0!"/>
    <n v="0"/>
    <e v="#DIV/0!"/>
  </r>
  <r>
    <n v="23"/>
    <x v="8"/>
    <n v="0"/>
    <e v="#DIV/0!"/>
    <n v="0"/>
    <e v="#DIV/0!"/>
    <n v="0"/>
    <e v="#DIV/0!"/>
  </r>
  <r>
    <n v="24"/>
    <x v="20"/>
    <n v="0"/>
    <e v="#DIV/0!"/>
    <n v="0"/>
    <e v="#DIV/0!"/>
    <n v="0"/>
    <e v="#DIV/0!"/>
  </r>
  <r>
    <n v="25"/>
    <x v="21"/>
    <n v="0"/>
    <e v="#DIV/0!"/>
    <n v="0"/>
    <e v="#DIV/0!"/>
    <n v="0"/>
    <e v="#DIV/0!"/>
  </r>
  <r>
    <n v="26"/>
    <x v="22"/>
    <n v="0"/>
    <e v="#DIV/0!"/>
    <n v="0"/>
    <e v="#DIV/0!"/>
    <n v="0"/>
    <e v="#DIV/0!"/>
  </r>
  <r>
    <n v="27"/>
    <x v="23"/>
    <n v="0"/>
    <e v="#DIV/0!"/>
    <n v="0"/>
    <e v="#DIV/0!"/>
    <n v="0"/>
    <e v="#DIV/0!"/>
  </r>
  <r>
    <n v="28"/>
    <x v="24"/>
    <n v="0"/>
    <e v="#DIV/0!"/>
    <n v="0"/>
    <e v="#DIV/0!"/>
    <n v="0"/>
    <e v="#DIV/0!"/>
  </r>
  <r>
    <n v="29"/>
    <x v="25"/>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6:P7" firstHeaderRow="0" firstDataRow="1" firstDataCol="1"/>
  <pivotFields count="8">
    <pivotField showAll="0" defaultSubtotal="0"/>
    <pivotField axis="axisRow" showAll="0" measureFilter="1">
      <items count="28">
        <item x="26"/>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3" showAll="0" defaultSubtotal="0"/>
    <pivotField dataField="1" numFmtId="9" showAll="0"/>
    <pivotField name="Above2" dataField="1" numFmtId="3" showAll="0" defaultSubtotal="0"/>
    <pivotField dataField="1" numFmtId="9" showAll="0"/>
    <pivotField dataField="1" numFmtId="3" showAll="0" defaultSubtotal="0"/>
    <pivotField dataField="1" numFmtId="9" showAll="0"/>
  </pivotFields>
  <rowFields count="1">
    <field x="1"/>
  </rowFields>
  <rowItems count="1">
    <i t="grand">
      <x/>
    </i>
  </rowItems>
  <colFields count="1">
    <field x="-2"/>
  </colFields>
  <colItems count="6">
    <i>
      <x/>
    </i>
    <i i="1">
      <x v="1"/>
    </i>
    <i i="2">
      <x v="2"/>
    </i>
    <i i="3">
      <x v="3"/>
    </i>
    <i i="4">
      <x v="4"/>
    </i>
    <i i="5">
      <x v="5"/>
    </i>
  </colItems>
  <dataFields count="6">
    <dataField name="Indicative budget" fld="2" baseField="0" baseItem="12" numFmtId="3"/>
    <dataField name="Indicative %" fld="3" baseField="0" baseItem="12" numFmtId="9"/>
    <dataField name="Above indicative" fld="4" baseField="0" baseItem="12" numFmtId="3"/>
    <dataField name="Above %" fld="5" baseField="0" baseItem="12" numFmtId="9"/>
    <dataField name="Full request" fld="6" baseField="0" baseItem="12" numFmtId="3"/>
    <dataField name="Full %" fld="7" baseField="0" baseItem="12" numFmtId="9"/>
  </dataFields>
  <formats count="1">
    <format dxfId="2">
      <pivotArea type="all" dataOnly="0" outline="0" fieldPosition="0"/>
    </format>
  </formats>
  <pivotTableStyleInfo name="PivotStyleLight16" showRowHeaders="1" showColHeaders="1" showRowStripes="0" showColStripes="0" showLastColumn="1"/>
  <filters count="1">
    <filter fld="1" type="valueGreaterThan" evalOrder="-1" id="2" iMeasureFld="4">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84"/>
  <sheetViews>
    <sheetView zoomScale="85" zoomScaleNormal="85" zoomScaleSheetLayoutView="25" workbookViewId="0">
      <selection activeCell="X21" sqref="X21"/>
    </sheetView>
  </sheetViews>
  <sheetFormatPr defaultColWidth="9.140625" defaultRowHeight="15" x14ac:dyDescent="0.2"/>
  <cols>
    <col min="1" max="3" width="9.140625" style="75"/>
    <col min="4" max="4" width="13.28515625" style="75" customWidth="1"/>
    <col min="5" max="9" width="9.140625" style="75"/>
    <col min="10" max="10" width="13.5703125" style="75" customWidth="1"/>
    <col min="11" max="16384" width="9.140625" style="75"/>
  </cols>
  <sheetData>
    <row r="1" spans="1:28" ht="18" x14ac:dyDescent="0.2">
      <c r="A1" s="147" t="str">
        <f>Translations!B81</f>
        <v xml:space="preserve">Modular Approach - Concept Note </v>
      </c>
      <c r="B1" s="148"/>
      <c r="C1" s="148"/>
      <c r="D1" s="148"/>
      <c r="E1" s="148"/>
      <c r="F1" s="148"/>
      <c r="G1" s="148"/>
      <c r="H1" s="148"/>
      <c r="I1" s="148"/>
      <c r="J1" s="148"/>
      <c r="K1" s="148"/>
      <c r="L1" s="148"/>
      <c r="M1" s="148"/>
      <c r="N1" s="80"/>
      <c r="O1" s="95" t="str">
        <f>Translations!$B$80</f>
        <v>Language:</v>
      </c>
      <c r="P1" s="478" t="s">
        <v>537</v>
      </c>
      <c r="Q1" s="479"/>
      <c r="R1" s="479"/>
      <c r="S1" s="479"/>
      <c r="T1" s="480"/>
      <c r="U1" s="134"/>
      <c r="V1" s="135"/>
      <c r="W1" s="135"/>
      <c r="X1" s="135"/>
      <c r="Y1" s="135"/>
      <c r="Z1" s="149"/>
      <c r="AA1" s="87"/>
      <c r="AB1" s="87"/>
    </row>
    <row r="2" spans="1:28" ht="18" x14ac:dyDescent="0.2">
      <c r="A2" s="146" t="str">
        <f>Translations!$B$7</f>
        <v>A. Program details</v>
      </c>
      <c r="B2" s="128"/>
      <c r="C2" s="128"/>
      <c r="D2" s="128"/>
      <c r="E2" s="128"/>
      <c r="F2" s="128"/>
      <c r="G2" s="128"/>
      <c r="H2" s="128"/>
      <c r="I2" s="128"/>
      <c r="J2" s="128"/>
      <c r="K2" s="128"/>
      <c r="L2" s="128"/>
      <c r="M2" s="128"/>
      <c r="N2" s="142"/>
      <c r="O2" s="142"/>
      <c r="P2" s="142"/>
      <c r="Q2" s="142"/>
      <c r="R2" s="142"/>
      <c r="S2" s="142"/>
      <c r="T2" s="142"/>
      <c r="U2" s="153"/>
      <c r="V2" s="151"/>
      <c r="W2" s="151"/>
      <c r="X2" s="151"/>
      <c r="Y2" s="151"/>
      <c r="Z2" s="152"/>
      <c r="AA2" s="87"/>
      <c r="AB2" s="87"/>
    </row>
    <row r="3" spans="1:28" x14ac:dyDescent="0.2">
      <c r="A3" s="344" t="str">
        <f>Translations!$B$8</f>
        <v>Country / Applicant:</v>
      </c>
      <c r="B3" s="345"/>
      <c r="C3" s="346"/>
      <c r="D3" s="357" t="str">
        <f>Translations!B72</f>
        <v>Please select…</v>
      </c>
      <c r="E3" s="357"/>
      <c r="F3" s="357"/>
      <c r="G3" s="358"/>
      <c r="H3" s="359" t="str">
        <f>Translations!$B$13</f>
        <v>Principal Recipients</v>
      </c>
      <c r="I3" s="360"/>
      <c r="J3" s="361"/>
      <c r="K3" s="481"/>
      <c r="L3" s="481"/>
      <c r="M3" s="481"/>
      <c r="N3" s="481"/>
      <c r="O3" s="481"/>
      <c r="P3" s="481"/>
      <c r="Q3" s="481"/>
      <c r="R3" s="481"/>
      <c r="S3" s="482" t="str">
        <f>IFERROR(VLOOKUP(K3,Definitions!R:S,2,FALSE),"")</f>
        <v/>
      </c>
      <c r="T3" s="483"/>
      <c r="U3" s="359" t="str">
        <f>Translations!$B$77</f>
        <v>Total requested
amount</v>
      </c>
      <c r="V3" s="360"/>
      <c r="W3" s="360"/>
      <c r="X3" s="360"/>
      <c r="Y3" s="360"/>
      <c r="Z3" s="391"/>
      <c r="AA3" s="87"/>
      <c r="AB3" s="87"/>
    </row>
    <row r="4" spans="1:28" x14ac:dyDescent="0.2">
      <c r="A4" s="344" t="str">
        <f>Translations!$B$9</f>
        <v>Component:</v>
      </c>
      <c r="B4" s="345"/>
      <c r="C4" s="346"/>
      <c r="D4" s="347" t="str">
        <f>Translations!B72</f>
        <v>Please select…</v>
      </c>
      <c r="E4" s="347"/>
      <c r="F4" s="347"/>
      <c r="G4" s="348"/>
      <c r="H4" s="362"/>
      <c r="I4" s="363"/>
      <c r="J4" s="364"/>
      <c r="K4" s="484"/>
      <c r="L4" s="484"/>
      <c r="M4" s="484"/>
      <c r="N4" s="484"/>
      <c r="O4" s="484"/>
      <c r="P4" s="484"/>
      <c r="Q4" s="484"/>
      <c r="R4" s="484"/>
      <c r="S4" s="494" t="str">
        <f>IFERROR(VLOOKUP(K4,Definitions!R:S,2,FALSE),"")</f>
        <v/>
      </c>
      <c r="T4" s="495"/>
      <c r="U4" s="362"/>
      <c r="V4" s="363"/>
      <c r="W4" s="363"/>
      <c r="X4" s="363"/>
      <c r="Y4" s="363"/>
      <c r="Z4" s="410"/>
      <c r="AA4" s="87"/>
      <c r="AB4" s="87"/>
    </row>
    <row r="5" spans="1:28" x14ac:dyDescent="0.2">
      <c r="A5" s="344" t="str">
        <f>Translations!$B$10</f>
        <v>Start Year:</v>
      </c>
      <c r="B5" s="345"/>
      <c r="C5" s="346"/>
      <c r="D5" s="347" t="str">
        <f>Translations!B72</f>
        <v>Please select…</v>
      </c>
      <c r="E5" s="347"/>
      <c r="F5" s="347"/>
      <c r="G5" s="348"/>
      <c r="H5" s="349" t="str">
        <f>Translations!$B$14</f>
        <v>(Please select from list or add a new one)</v>
      </c>
      <c r="I5" s="350"/>
      <c r="J5" s="351"/>
      <c r="K5" s="484"/>
      <c r="L5" s="484"/>
      <c r="M5" s="484"/>
      <c r="N5" s="484"/>
      <c r="O5" s="484"/>
      <c r="P5" s="484"/>
      <c r="Q5" s="484"/>
      <c r="R5" s="484"/>
      <c r="S5" s="494" t="str">
        <f>IFERROR(VLOOKUP(K5,Definitions!R:S,2,FALSE),"")</f>
        <v/>
      </c>
      <c r="T5" s="495"/>
      <c r="U5" s="496" t="str">
        <f>Translations!$B$78</f>
        <v>Indicative</v>
      </c>
      <c r="V5" s="497"/>
      <c r="W5" s="497"/>
      <c r="X5" s="497"/>
      <c r="Y5" s="498">
        <f ca="1">SUMIF(A:A,Translations!$A$84,F:F)</f>
        <v>0</v>
      </c>
      <c r="Z5" s="499"/>
      <c r="AA5" s="87"/>
      <c r="AB5" s="87"/>
    </row>
    <row r="6" spans="1:28" x14ac:dyDescent="0.2">
      <c r="A6" s="344" t="str">
        <f>Translations!$B$11</f>
        <v>Start Month:</v>
      </c>
      <c r="B6" s="345"/>
      <c r="C6" s="346"/>
      <c r="D6" s="355" t="str">
        <f>Translations!B72</f>
        <v>Please select…</v>
      </c>
      <c r="E6" s="355"/>
      <c r="F6" s="355"/>
      <c r="G6" s="356"/>
      <c r="H6" s="352"/>
      <c r="I6" s="353"/>
      <c r="J6" s="354"/>
      <c r="K6" s="484"/>
      <c r="L6" s="484"/>
      <c r="M6" s="484"/>
      <c r="N6" s="484"/>
      <c r="O6" s="484"/>
      <c r="P6" s="484"/>
      <c r="Q6" s="484"/>
      <c r="R6" s="484"/>
      <c r="S6" s="500" t="str">
        <f>IFERROR(VLOOKUP(K6,Definitions!R:S,2,FALSE),"")</f>
        <v/>
      </c>
      <c r="T6" s="501"/>
      <c r="U6" s="502" t="str">
        <f>Translations!$B$79</f>
        <v>Above indicative</v>
      </c>
      <c r="V6" s="503"/>
      <c r="W6" s="503"/>
      <c r="X6" s="503"/>
      <c r="Y6" s="504">
        <f ca="1">SUMIF(J:J,Translations!$A$85,Q:Q)</f>
        <v>0</v>
      </c>
      <c r="Z6" s="505"/>
      <c r="AA6" s="87"/>
      <c r="AB6" s="87"/>
    </row>
    <row r="7" spans="1:28" x14ac:dyDescent="0.2">
      <c r="A7" s="365"/>
      <c r="B7" s="365"/>
      <c r="C7" s="365"/>
      <c r="D7" s="365"/>
      <c r="E7" s="365"/>
      <c r="F7" s="365"/>
      <c r="G7" s="365"/>
      <c r="H7" s="365"/>
      <c r="I7" s="365"/>
      <c r="J7" s="365"/>
      <c r="K7" s="365"/>
      <c r="L7" s="365"/>
      <c r="M7" s="365"/>
      <c r="N7" s="365"/>
      <c r="O7" s="365"/>
      <c r="P7" s="365"/>
      <c r="Q7" s="365"/>
      <c r="R7" s="365"/>
      <c r="S7" s="365"/>
      <c r="T7" s="365"/>
      <c r="U7" s="365"/>
      <c r="V7" s="365"/>
      <c r="W7" s="365"/>
      <c r="X7" s="365"/>
      <c r="Y7" s="365"/>
      <c r="Z7" s="150"/>
      <c r="AA7" s="87"/>
      <c r="AB7" s="87"/>
    </row>
    <row r="8" spans="1:28" ht="15.75" x14ac:dyDescent="0.2">
      <c r="A8" s="373" t="str">
        <f>Translations!$B$25</f>
        <v>B. Program goals and impact indicators</v>
      </c>
      <c r="B8" s="374"/>
      <c r="C8" s="374"/>
      <c r="D8" s="374"/>
      <c r="E8" s="374"/>
      <c r="F8" s="374"/>
      <c r="G8" s="374"/>
      <c r="H8" s="374"/>
      <c r="I8" s="374"/>
      <c r="J8" s="374"/>
      <c r="K8" s="374"/>
      <c r="L8" s="374"/>
      <c r="M8" s="374"/>
      <c r="N8" s="374"/>
      <c r="O8" s="374"/>
      <c r="P8" s="374"/>
      <c r="Q8" s="374"/>
      <c r="R8" s="374"/>
      <c r="S8" s="374"/>
      <c r="T8" s="374"/>
      <c r="U8" s="374"/>
      <c r="V8" s="374"/>
      <c r="W8" s="374"/>
      <c r="X8" s="374"/>
      <c r="Y8" s="374"/>
      <c r="Z8" s="375"/>
      <c r="AA8" s="87"/>
      <c r="AB8" s="87"/>
    </row>
    <row r="9" spans="1:28" x14ac:dyDescent="0.2">
      <c r="A9" s="344" t="str">
        <f>Translations!$B$26</f>
        <v xml:space="preserve">  Goals:</v>
      </c>
      <c r="B9" s="345"/>
      <c r="C9" s="345"/>
      <c r="D9" s="345"/>
      <c r="E9" s="345"/>
      <c r="F9" s="345"/>
      <c r="G9" s="345"/>
      <c r="H9" s="345"/>
      <c r="I9" s="345"/>
      <c r="J9" s="345"/>
      <c r="K9" s="345"/>
      <c r="L9" s="345"/>
      <c r="M9" s="345"/>
      <c r="N9" s="345"/>
      <c r="O9" s="345"/>
      <c r="P9" s="345"/>
      <c r="Q9" s="345"/>
      <c r="R9" s="345"/>
      <c r="S9" s="345"/>
      <c r="T9" s="345"/>
      <c r="U9" s="345"/>
      <c r="V9" s="345"/>
      <c r="W9" s="345"/>
      <c r="X9" s="345"/>
      <c r="Y9" s="345"/>
      <c r="Z9" s="366"/>
      <c r="AA9" s="87"/>
      <c r="AB9" s="87"/>
    </row>
    <row r="10" spans="1:28" x14ac:dyDescent="0.2">
      <c r="A10" s="154">
        <v>1</v>
      </c>
      <c r="B10" s="376"/>
      <c r="C10" s="377"/>
      <c r="D10" s="377"/>
      <c r="E10" s="377"/>
      <c r="F10" s="377"/>
      <c r="G10" s="377"/>
      <c r="H10" s="377"/>
      <c r="I10" s="377"/>
      <c r="J10" s="377"/>
      <c r="K10" s="377"/>
      <c r="L10" s="377"/>
      <c r="M10" s="377"/>
      <c r="N10" s="377"/>
      <c r="O10" s="377"/>
      <c r="P10" s="377"/>
      <c r="Q10" s="377"/>
      <c r="R10" s="377"/>
      <c r="S10" s="377"/>
      <c r="T10" s="377"/>
      <c r="U10" s="377"/>
      <c r="V10" s="377"/>
      <c r="W10" s="377"/>
      <c r="X10" s="377"/>
      <c r="Y10" s="377"/>
      <c r="Z10" s="378"/>
      <c r="AA10" s="87"/>
      <c r="AB10" s="87"/>
    </row>
    <row r="11" spans="1:28" x14ac:dyDescent="0.2">
      <c r="A11" s="157">
        <v>2</v>
      </c>
      <c r="B11" s="367"/>
      <c r="C11" s="368"/>
      <c r="D11" s="368"/>
      <c r="E11" s="368"/>
      <c r="F11" s="368"/>
      <c r="G11" s="368"/>
      <c r="H11" s="368"/>
      <c r="I11" s="368"/>
      <c r="J11" s="368"/>
      <c r="K11" s="368"/>
      <c r="L11" s="368"/>
      <c r="M11" s="368"/>
      <c r="N11" s="368"/>
      <c r="O11" s="368"/>
      <c r="P11" s="368"/>
      <c r="Q11" s="368"/>
      <c r="R11" s="368"/>
      <c r="S11" s="368"/>
      <c r="T11" s="368"/>
      <c r="U11" s="368"/>
      <c r="V11" s="368"/>
      <c r="W11" s="368"/>
      <c r="X11" s="368"/>
      <c r="Y11" s="368"/>
      <c r="Z11" s="369"/>
      <c r="AA11" s="87"/>
      <c r="AB11" s="87"/>
    </row>
    <row r="12" spans="1:28" x14ac:dyDescent="0.2">
      <c r="A12" s="156">
        <v>3</v>
      </c>
      <c r="B12" s="370"/>
      <c r="C12" s="371"/>
      <c r="D12" s="371"/>
      <c r="E12" s="371"/>
      <c r="F12" s="371"/>
      <c r="G12" s="371"/>
      <c r="H12" s="371"/>
      <c r="I12" s="371"/>
      <c r="J12" s="371"/>
      <c r="K12" s="371"/>
      <c r="L12" s="371"/>
      <c r="M12" s="371"/>
      <c r="N12" s="371"/>
      <c r="O12" s="371"/>
      <c r="P12" s="371"/>
      <c r="Q12" s="371"/>
      <c r="R12" s="371"/>
      <c r="S12" s="371"/>
      <c r="T12" s="371"/>
      <c r="U12" s="371"/>
      <c r="V12" s="371"/>
      <c r="W12" s="371"/>
      <c r="X12" s="371"/>
      <c r="Y12" s="371"/>
      <c r="Z12" s="372"/>
      <c r="AA12" s="87"/>
      <c r="AB12" s="87"/>
    </row>
    <row r="13" spans="1:28" x14ac:dyDescent="0.2">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87"/>
      <c r="AB13" s="87"/>
    </row>
    <row r="14" spans="1:28" x14ac:dyDescent="0.2">
      <c r="A14" s="407" t="str">
        <f>Translations!$B$27</f>
        <v>Linked to goal(s) #</v>
      </c>
      <c r="B14" s="359" t="str">
        <f>Translations!$B$28</f>
        <v>Impact indicator</v>
      </c>
      <c r="C14" s="360"/>
      <c r="D14" s="360"/>
      <c r="E14" s="360"/>
      <c r="F14" s="360"/>
      <c r="G14" s="360"/>
      <c r="H14" s="391"/>
      <c r="I14" s="379" t="str">
        <f>Translations!$B$29</f>
        <v>Baseline</v>
      </c>
      <c r="J14" s="380"/>
      <c r="K14" s="380"/>
      <c r="L14" s="380"/>
      <c r="M14" s="380"/>
      <c r="N14" s="381"/>
      <c r="O14" s="379" t="str">
        <f>Translations!$B$30</f>
        <v>Targets</v>
      </c>
      <c r="P14" s="380"/>
      <c r="Q14" s="380"/>
      <c r="R14" s="380"/>
      <c r="S14" s="380"/>
      <c r="T14" s="381"/>
      <c r="U14" s="382" t="str">
        <f>Translations!$B$73</f>
        <v>Comments and Assumptions</v>
      </c>
      <c r="V14" s="383"/>
      <c r="W14" s="383"/>
      <c r="X14" s="383"/>
      <c r="Y14" s="383"/>
      <c r="Z14" s="384"/>
      <c r="AA14" s="87"/>
      <c r="AB14" s="87"/>
    </row>
    <row r="15" spans="1:28" x14ac:dyDescent="0.2">
      <c r="A15" s="408"/>
      <c r="B15" s="362"/>
      <c r="C15" s="363"/>
      <c r="D15" s="363"/>
      <c r="E15" s="363"/>
      <c r="F15" s="363"/>
      <c r="G15" s="363"/>
      <c r="H15" s="410"/>
      <c r="I15" s="359" t="str">
        <f>Translations!$B$31</f>
        <v>Value</v>
      </c>
      <c r="J15" s="391"/>
      <c r="K15" s="394" t="str">
        <f>Translations!$B$32</f>
        <v xml:space="preserve">Year </v>
      </c>
      <c r="L15" s="359" t="str">
        <f>Translations!$B$33</f>
        <v>Source</v>
      </c>
      <c r="M15" s="360"/>
      <c r="N15" s="391"/>
      <c r="O15" s="379" t="str">
        <f>Translations!$B$34</f>
        <v>Year 1</v>
      </c>
      <c r="P15" s="381"/>
      <c r="Q15" s="379" t="str">
        <f>Translations!$B$35</f>
        <v>Year 2</v>
      </c>
      <c r="R15" s="381"/>
      <c r="S15" s="379" t="str">
        <f>Translations!$B$36</f>
        <v>Year 3</v>
      </c>
      <c r="T15" s="381"/>
      <c r="U15" s="385"/>
      <c r="V15" s="386"/>
      <c r="W15" s="386"/>
      <c r="X15" s="386"/>
      <c r="Y15" s="386"/>
      <c r="Z15" s="387"/>
      <c r="AA15" s="87"/>
      <c r="AB15" s="87"/>
    </row>
    <row r="16" spans="1:28" x14ac:dyDescent="0.2">
      <c r="A16" s="409"/>
      <c r="B16" s="392"/>
      <c r="C16" s="396"/>
      <c r="D16" s="396"/>
      <c r="E16" s="396"/>
      <c r="F16" s="396"/>
      <c r="G16" s="396"/>
      <c r="H16" s="393"/>
      <c r="I16" s="392"/>
      <c r="J16" s="393"/>
      <c r="K16" s="395"/>
      <c r="L16" s="392"/>
      <c r="M16" s="396"/>
      <c r="N16" s="393"/>
      <c r="O16" s="397" t="str">
        <f ca="1">IFERROR(IF(MonthIndex&lt;7,StartYearSelected,StartYearSelected+1),"")</f>
        <v>Please select…</v>
      </c>
      <c r="P16" s="398"/>
      <c r="Q16" s="397" t="str">
        <f ca="1">IFERROR(O16+1,"")</f>
        <v/>
      </c>
      <c r="R16" s="398"/>
      <c r="S16" s="397" t="str">
        <f ca="1">IFERROR(Q16+1,"")</f>
        <v/>
      </c>
      <c r="T16" s="398"/>
      <c r="U16" s="388"/>
      <c r="V16" s="389"/>
      <c r="W16" s="389"/>
      <c r="X16" s="389"/>
      <c r="Y16" s="389"/>
      <c r="Z16" s="390"/>
      <c r="AA16" s="87"/>
      <c r="AB16" s="87"/>
    </row>
    <row r="17" spans="1:28" ht="30" customHeight="1" x14ac:dyDescent="0.2">
      <c r="A17" s="78"/>
      <c r="B17" s="402" t="str">
        <f>Translations!B72</f>
        <v>Please select…</v>
      </c>
      <c r="C17" s="357"/>
      <c r="D17" s="357"/>
      <c r="E17" s="357"/>
      <c r="F17" s="357"/>
      <c r="G17" s="357"/>
      <c r="H17" s="403"/>
      <c r="I17" s="399"/>
      <c r="J17" s="400"/>
      <c r="K17" s="89"/>
      <c r="L17" s="404" t="str">
        <f>Translations!$B$72</f>
        <v>Please select…</v>
      </c>
      <c r="M17" s="405"/>
      <c r="N17" s="406"/>
      <c r="O17" s="399"/>
      <c r="P17" s="400"/>
      <c r="Q17" s="399"/>
      <c r="R17" s="400"/>
      <c r="S17" s="399"/>
      <c r="T17" s="401"/>
      <c r="U17" s="99"/>
      <c r="V17" s="100"/>
      <c r="W17" s="100"/>
      <c r="X17" s="100"/>
      <c r="Y17" s="100"/>
      <c r="Z17" s="101"/>
      <c r="AA17" s="87"/>
      <c r="AB17" s="87"/>
    </row>
    <row r="18" spans="1:28" ht="30" customHeight="1" x14ac:dyDescent="0.2">
      <c r="A18" s="81"/>
      <c r="B18" s="411" t="str">
        <f>Translations!B72</f>
        <v>Please select…</v>
      </c>
      <c r="C18" s="347"/>
      <c r="D18" s="347"/>
      <c r="E18" s="347"/>
      <c r="F18" s="347"/>
      <c r="G18" s="347"/>
      <c r="H18" s="412"/>
      <c r="I18" s="413"/>
      <c r="J18" s="414"/>
      <c r="K18" s="90"/>
      <c r="L18" s="415" t="str">
        <f>Translations!$B$72</f>
        <v>Please select…</v>
      </c>
      <c r="M18" s="416"/>
      <c r="N18" s="417"/>
      <c r="O18" s="413"/>
      <c r="P18" s="414"/>
      <c r="Q18" s="413"/>
      <c r="R18" s="414"/>
      <c r="S18" s="413"/>
      <c r="T18" s="418"/>
      <c r="U18" s="99"/>
      <c r="V18" s="100"/>
      <c r="W18" s="100"/>
      <c r="X18" s="100"/>
      <c r="Y18" s="100"/>
      <c r="Z18" s="101"/>
      <c r="AA18" s="87"/>
      <c r="AB18" s="87"/>
    </row>
    <row r="19" spans="1:28" ht="30" customHeight="1" x14ac:dyDescent="0.2">
      <c r="A19" s="82"/>
      <c r="B19" s="411" t="str">
        <f>Translations!B72</f>
        <v>Please select…</v>
      </c>
      <c r="C19" s="347"/>
      <c r="D19" s="347"/>
      <c r="E19" s="347"/>
      <c r="F19" s="347"/>
      <c r="G19" s="347"/>
      <c r="H19" s="412"/>
      <c r="I19" s="413"/>
      <c r="J19" s="414"/>
      <c r="K19" s="90"/>
      <c r="L19" s="415" t="str">
        <f>Translations!$B$72</f>
        <v>Please select…</v>
      </c>
      <c r="M19" s="416"/>
      <c r="N19" s="417"/>
      <c r="O19" s="413"/>
      <c r="P19" s="414"/>
      <c r="Q19" s="413"/>
      <c r="R19" s="414"/>
      <c r="S19" s="413"/>
      <c r="T19" s="418"/>
      <c r="U19" s="99"/>
      <c r="V19" s="100"/>
      <c r="W19" s="100"/>
      <c r="X19" s="100"/>
      <c r="Y19" s="100"/>
      <c r="Z19" s="101"/>
      <c r="AA19" s="87"/>
      <c r="AB19" s="87"/>
    </row>
    <row r="20" spans="1:28" ht="30" customHeight="1" x14ac:dyDescent="0.2">
      <c r="A20" s="82"/>
      <c r="B20" s="411" t="str">
        <f>Translations!B72</f>
        <v>Please select…</v>
      </c>
      <c r="C20" s="347"/>
      <c r="D20" s="347"/>
      <c r="E20" s="347"/>
      <c r="F20" s="347"/>
      <c r="G20" s="347"/>
      <c r="H20" s="412"/>
      <c r="I20" s="413"/>
      <c r="J20" s="414"/>
      <c r="K20" s="90"/>
      <c r="L20" s="415" t="str">
        <f>Translations!$B$72</f>
        <v>Please select…</v>
      </c>
      <c r="M20" s="416"/>
      <c r="N20" s="417"/>
      <c r="O20" s="413"/>
      <c r="P20" s="414"/>
      <c r="Q20" s="413"/>
      <c r="R20" s="414"/>
      <c r="S20" s="413"/>
      <c r="T20" s="418"/>
      <c r="U20" s="99"/>
      <c r="V20" s="100"/>
      <c r="W20" s="100"/>
      <c r="X20" s="100"/>
      <c r="Y20" s="100"/>
      <c r="Z20" s="101"/>
      <c r="AA20" s="87"/>
      <c r="AB20" s="87"/>
    </row>
    <row r="21" spans="1:28" ht="30" customHeight="1" x14ac:dyDescent="0.2">
      <c r="A21" s="86"/>
      <c r="B21" s="506" t="str">
        <f>Translations!B72</f>
        <v>Please select…</v>
      </c>
      <c r="C21" s="355"/>
      <c r="D21" s="355"/>
      <c r="E21" s="355"/>
      <c r="F21" s="355"/>
      <c r="G21" s="355"/>
      <c r="H21" s="507"/>
      <c r="I21" s="429"/>
      <c r="J21" s="430"/>
      <c r="K21" s="91"/>
      <c r="L21" s="431" t="str">
        <f>Translations!$B$72</f>
        <v>Please select…</v>
      </c>
      <c r="M21" s="432"/>
      <c r="N21" s="433"/>
      <c r="O21" s="429"/>
      <c r="P21" s="430"/>
      <c r="Q21" s="429"/>
      <c r="R21" s="430"/>
      <c r="S21" s="429"/>
      <c r="T21" s="434"/>
      <c r="U21" s="99"/>
      <c r="V21" s="100"/>
      <c r="W21" s="100"/>
      <c r="X21" s="100"/>
      <c r="Y21" s="100"/>
      <c r="Z21" s="101"/>
      <c r="AA21" s="87"/>
      <c r="AB21" s="87"/>
    </row>
    <row r="22" spans="1:28" x14ac:dyDescent="0.2">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87"/>
      <c r="AB22" s="87"/>
    </row>
    <row r="23" spans="1:28" ht="15.75" x14ac:dyDescent="0.2">
      <c r="A23" s="373" t="str">
        <f>Translations!$B$41</f>
        <v>C. Program objectives and outcome indicators</v>
      </c>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5"/>
      <c r="AA23" s="87"/>
      <c r="AB23" s="87"/>
    </row>
    <row r="24" spans="1:28" x14ac:dyDescent="0.2">
      <c r="A24" s="344" t="str">
        <f>Translations!$B$42</f>
        <v xml:space="preserve">     Objectives:</v>
      </c>
      <c r="B24" s="345"/>
      <c r="C24" s="345"/>
      <c r="D24" s="345"/>
      <c r="E24" s="345"/>
      <c r="F24" s="345"/>
      <c r="G24" s="345"/>
      <c r="H24" s="345"/>
      <c r="I24" s="345"/>
      <c r="J24" s="345"/>
      <c r="K24" s="345"/>
      <c r="L24" s="345"/>
      <c r="M24" s="345"/>
      <c r="N24" s="345"/>
      <c r="O24" s="345"/>
      <c r="P24" s="345"/>
      <c r="Q24" s="345"/>
      <c r="R24" s="345"/>
      <c r="S24" s="345"/>
      <c r="T24" s="345"/>
      <c r="U24" s="345"/>
      <c r="V24" s="345"/>
      <c r="W24" s="345"/>
      <c r="X24" s="345"/>
      <c r="Y24" s="345"/>
      <c r="Z24" s="366"/>
      <c r="AA24" s="87"/>
      <c r="AB24" s="87"/>
    </row>
    <row r="25" spans="1:28" ht="30" customHeight="1" x14ac:dyDescent="0.2">
      <c r="A25" s="154">
        <v>1</v>
      </c>
      <c r="B25" s="376"/>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8"/>
      <c r="AA25" s="87"/>
      <c r="AB25" s="87"/>
    </row>
    <row r="26" spans="1:28" ht="30" customHeight="1" x14ac:dyDescent="0.2">
      <c r="A26" s="155">
        <v>2</v>
      </c>
      <c r="B26" s="367"/>
      <c r="C26" s="368"/>
      <c r="D26" s="368"/>
      <c r="E26" s="368"/>
      <c r="F26" s="368"/>
      <c r="G26" s="368"/>
      <c r="H26" s="368"/>
      <c r="I26" s="368"/>
      <c r="J26" s="368"/>
      <c r="K26" s="368"/>
      <c r="L26" s="368"/>
      <c r="M26" s="368"/>
      <c r="N26" s="368"/>
      <c r="O26" s="368"/>
      <c r="P26" s="368"/>
      <c r="Q26" s="368"/>
      <c r="R26" s="368"/>
      <c r="S26" s="368"/>
      <c r="T26" s="368"/>
      <c r="U26" s="368"/>
      <c r="V26" s="368"/>
      <c r="W26" s="368"/>
      <c r="X26" s="368"/>
      <c r="Y26" s="368"/>
      <c r="Z26" s="369"/>
      <c r="AA26" s="87"/>
      <c r="AB26" s="87"/>
    </row>
    <row r="27" spans="1:28" ht="30" customHeight="1" x14ac:dyDescent="0.2">
      <c r="A27" s="155">
        <v>3</v>
      </c>
      <c r="B27" s="367"/>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9"/>
      <c r="AA27" s="87"/>
      <c r="AB27" s="87"/>
    </row>
    <row r="28" spans="1:28" ht="30" customHeight="1" x14ac:dyDescent="0.2">
      <c r="A28" s="155">
        <v>4</v>
      </c>
      <c r="B28" s="367"/>
      <c r="C28" s="368"/>
      <c r="D28" s="368"/>
      <c r="E28" s="368"/>
      <c r="F28" s="368"/>
      <c r="G28" s="368"/>
      <c r="H28" s="368"/>
      <c r="I28" s="368"/>
      <c r="J28" s="368"/>
      <c r="K28" s="368"/>
      <c r="L28" s="368"/>
      <c r="M28" s="368"/>
      <c r="N28" s="368"/>
      <c r="O28" s="368"/>
      <c r="P28" s="368"/>
      <c r="Q28" s="368"/>
      <c r="R28" s="368"/>
      <c r="S28" s="368"/>
      <c r="T28" s="368"/>
      <c r="U28" s="368"/>
      <c r="V28" s="368"/>
      <c r="W28" s="368"/>
      <c r="X28" s="368"/>
      <c r="Y28" s="368"/>
      <c r="Z28" s="369"/>
      <c r="AA28" s="87"/>
      <c r="AB28" s="87"/>
    </row>
    <row r="29" spans="1:28" ht="30" customHeight="1" x14ac:dyDescent="0.2">
      <c r="A29" s="155">
        <v>5</v>
      </c>
      <c r="B29" s="367"/>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9"/>
      <c r="AA29" s="87"/>
      <c r="AB29" s="87"/>
    </row>
    <row r="30" spans="1:28" ht="30" customHeight="1" x14ac:dyDescent="0.2">
      <c r="A30" s="156">
        <v>6</v>
      </c>
      <c r="B30" s="370"/>
      <c r="C30" s="371"/>
      <c r="D30" s="371"/>
      <c r="E30" s="371"/>
      <c r="F30" s="371"/>
      <c r="G30" s="371"/>
      <c r="H30" s="371"/>
      <c r="I30" s="371"/>
      <c r="J30" s="371"/>
      <c r="K30" s="371"/>
      <c r="L30" s="371"/>
      <c r="M30" s="371"/>
      <c r="N30" s="371"/>
      <c r="O30" s="371"/>
      <c r="P30" s="371"/>
      <c r="Q30" s="371"/>
      <c r="R30" s="371"/>
      <c r="S30" s="371"/>
      <c r="T30" s="371"/>
      <c r="U30" s="371"/>
      <c r="V30" s="371"/>
      <c r="W30" s="371"/>
      <c r="X30" s="371"/>
      <c r="Y30" s="371"/>
      <c r="Z30" s="372"/>
      <c r="AA30" s="87"/>
      <c r="AB30" s="87"/>
    </row>
    <row r="31" spans="1:28" x14ac:dyDescent="0.2">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85"/>
    </row>
    <row r="32" spans="1:28" x14ac:dyDescent="0.2">
      <c r="A32" s="407" t="str">
        <f>Translations!$B$43</f>
        <v xml:space="preserve">Linked to objective(s) # </v>
      </c>
      <c r="B32" s="359" t="str">
        <f>Translations!B44</f>
        <v>Outcome indicator</v>
      </c>
      <c r="C32" s="360"/>
      <c r="D32" s="360"/>
      <c r="E32" s="360"/>
      <c r="F32" s="360"/>
      <c r="G32" s="360"/>
      <c r="H32" s="391"/>
      <c r="I32" s="379" t="str">
        <f>Translations!$B$29</f>
        <v>Baseline</v>
      </c>
      <c r="J32" s="380"/>
      <c r="K32" s="380"/>
      <c r="L32" s="380"/>
      <c r="M32" s="380"/>
      <c r="N32" s="381"/>
      <c r="O32" s="379" t="str">
        <f>Translations!$B$30</f>
        <v>Targets</v>
      </c>
      <c r="P32" s="380"/>
      <c r="Q32" s="380"/>
      <c r="R32" s="380"/>
      <c r="S32" s="380"/>
      <c r="T32" s="381"/>
      <c r="U32" s="382" t="str">
        <f>Translations!$B$73</f>
        <v>Comments and Assumptions</v>
      </c>
      <c r="V32" s="383"/>
      <c r="W32" s="383"/>
      <c r="X32" s="383"/>
      <c r="Y32" s="383"/>
      <c r="Z32" s="384"/>
      <c r="AA32" s="136"/>
      <c r="AB32" s="137"/>
    </row>
    <row r="33" spans="1:28" x14ac:dyDescent="0.2">
      <c r="A33" s="408"/>
      <c r="B33" s="362"/>
      <c r="C33" s="363"/>
      <c r="D33" s="363"/>
      <c r="E33" s="363"/>
      <c r="F33" s="363"/>
      <c r="G33" s="363"/>
      <c r="H33" s="410"/>
      <c r="I33" s="359" t="str">
        <f>Translations!$B$31</f>
        <v>Value</v>
      </c>
      <c r="J33" s="391"/>
      <c r="K33" s="394" t="str">
        <f>Translations!$B$32</f>
        <v xml:space="preserve">Year </v>
      </c>
      <c r="L33" s="359" t="str">
        <f>Translations!$B$33</f>
        <v>Source</v>
      </c>
      <c r="M33" s="360"/>
      <c r="N33" s="391"/>
      <c r="O33" s="379" t="str">
        <f>Translations!$B$34</f>
        <v>Year 1</v>
      </c>
      <c r="P33" s="381"/>
      <c r="Q33" s="379" t="str">
        <f>Translations!$B$35</f>
        <v>Year 2</v>
      </c>
      <c r="R33" s="381"/>
      <c r="S33" s="379" t="str">
        <f>Translations!$B$36</f>
        <v>Year 3</v>
      </c>
      <c r="T33" s="381"/>
      <c r="U33" s="385"/>
      <c r="V33" s="386"/>
      <c r="W33" s="386"/>
      <c r="X33" s="386"/>
      <c r="Y33" s="386"/>
      <c r="Z33" s="387"/>
      <c r="AA33" s="136"/>
      <c r="AB33" s="137"/>
    </row>
    <row r="34" spans="1:28" x14ac:dyDescent="0.2">
      <c r="A34" s="409"/>
      <c r="B34" s="392"/>
      <c r="C34" s="396"/>
      <c r="D34" s="396"/>
      <c r="E34" s="396"/>
      <c r="F34" s="396"/>
      <c r="G34" s="396"/>
      <c r="H34" s="393"/>
      <c r="I34" s="392"/>
      <c r="J34" s="393"/>
      <c r="K34" s="395"/>
      <c r="L34" s="392"/>
      <c r="M34" s="396"/>
      <c r="N34" s="393"/>
      <c r="O34" s="397" t="str">
        <f ca="1">O16</f>
        <v>Please select…</v>
      </c>
      <c r="P34" s="398"/>
      <c r="Q34" s="397" t="str">
        <f ca="1">Q16</f>
        <v/>
      </c>
      <c r="R34" s="398"/>
      <c r="S34" s="397" t="str">
        <f ca="1">S16</f>
        <v/>
      </c>
      <c r="T34" s="398"/>
      <c r="U34" s="388"/>
      <c r="V34" s="389"/>
      <c r="W34" s="389"/>
      <c r="X34" s="389"/>
      <c r="Y34" s="389"/>
      <c r="Z34" s="390"/>
      <c r="AA34" s="136"/>
      <c r="AB34" s="137"/>
    </row>
    <row r="35" spans="1:28" ht="30" customHeight="1" x14ac:dyDescent="0.2">
      <c r="A35" s="78"/>
      <c r="B35" s="402" t="str">
        <f>Translations!$B$72</f>
        <v>Please select…</v>
      </c>
      <c r="C35" s="357"/>
      <c r="D35" s="357"/>
      <c r="E35" s="357"/>
      <c r="F35" s="357"/>
      <c r="G35" s="357"/>
      <c r="H35" s="403"/>
      <c r="I35" s="399"/>
      <c r="J35" s="400"/>
      <c r="K35" s="89"/>
      <c r="L35" s="404" t="str">
        <f>Translations!$B$72</f>
        <v>Please select…</v>
      </c>
      <c r="M35" s="405"/>
      <c r="N35" s="406"/>
      <c r="O35" s="399"/>
      <c r="P35" s="400"/>
      <c r="Q35" s="399"/>
      <c r="R35" s="400"/>
      <c r="S35" s="399"/>
      <c r="T35" s="401"/>
      <c r="U35" s="109"/>
      <c r="V35" s="110"/>
      <c r="W35" s="110"/>
      <c r="X35" s="110"/>
      <c r="Y35" s="110"/>
      <c r="Z35" s="111"/>
      <c r="AA35" s="139"/>
      <c r="AB35" s="140"/>
    </row>
    <row r="36" spans="1:28" ht="30" customHeight="1" x14ac:dyDescent="0.2">
      <c r="A36" s="81"/>
      <c r="B36" s="423" t="str">
        <f>Translations!$B$72</f>
        <v>Please select…</v>
      </c>
      <c r="C36" s="424"/>
      <c r="D36" s="424"/>
      <c r="E36" s="424"/>
      <c r="F36" s="424"/>
      <c r="G36" s="424"/>
      <c r="H36" s="425"/>
      <c r="I36" s="413"/>
      <c r="J36" s="414"/>
      <c r="K36" s="90"/>
      <c r="L36" s="415" t="str">
        <f>Translations!$B$72</f>
        <v>Please select…</v>
      </c>
      <c r="M36" s="416"/>
      <c r="N36" s="417"/>
      <c r="O36" s="413"/>
      <c r="P36" s="414"/>
      <c r="Q36" s="413"/>
      <c r="R36" s="414"/>
      <c r="S36" s="413"/>
      <c r="T36" s="418"/>
      <c r="U36" s="112"/>
      <c r="V36" s="113"/>
      <c r="W36" s="113"/>
      <c r="X36" s="113"/>
      <c r="Y36" s="113"/>
      <c r="Z36" s="114"/>
      <c r="AA36" s="139"/>
      <c r="AB36" s="140"/>
    </row>
    <row r="37" spans="1:28" ht="30" customHeight="1" x14ac:dyDescent="0.2">
      <c r="A37" s="82"/>
      <c r="B37" s="423" t="str">
        <f>Translations!$B$72</f>
        <v>Please select…</v>
      </c>
      <c r="C37" s="424"/>
      <c r="D37" s="424"/>
      <c r="E37" s="424"/>
      <c r="F37" s="424"/>
      <c r="G37" s="424"/>
      <c r="H37" s="425"/>
      <c r="I37" s="413"/>
      <c r="J37" s="414"/>
      <c r="K37" s="90"/>
      <c r="L37" s="415" t="str">
        <f>Translations!$B$72</f>
        <v>Please select…</v>
      </c>
      <c r="M37" s="416"/>
      <c r="N37" s="417"/>
      <c r="O37" s="413"/>
      <c r="P37" s="414"/>
      <c r="Q37" s="413"/>
      <c r="R37" s="414"/>
      <c r="S37" s="413"/>
      <c r="T37" s="418"/>
      <c r="U37" s="112"/>
      <c r="V37" s="113"/>
      <c r="W37" s="113"/>
      <c r="X37" s="113"/>
      <c r="Y37" s="113"/>
      <c r="Z37" s="114"/>
      <c r="AA37" s="139"/>
      <c r="AB37" s="140"/>
    </row>
    <row r="38" spans="1:28" ht="30" customHeight="1" x14ac:dyDescent="0.2">
      <c r="A38" s="82"/>
      <c r="B38" s="423" t="str">
        <f>Translations!$B$72</f>
        <v>Please select…</v>
      </c>
      <c r="C38" s="424"/>
      <c r="D38" s="424"/>
      <c r="E38" s="424"/>
      <c r="F38" s="424"/>
      <c r="G38" s="424"/>
      <c r="H38" s="425"/>
      <c r="I38" s="413"/>
      <c r="J38" s="414"/>
      <c r="K38" s="90"/>
      <c r="L38" s="415" t="str">
        <f>Translations!$B$72</f>
        <v>Please select…</v>
      </c>
      <c r="M38" s="416"/>
      <c r="N38" s="417"/>
      <c r="O38" s="413"/>
      <c r="P38" s="414"/>
      <c r="Q38" s="413"/>
      <c r="R38" s="414"/>
      <c r="S38" s="413"/>
      <c r="T38" s="418"/>
      <c r="U38" s="112"/>
      <c r="V38" s="113"/>
      <c r="W38" s="113"/>
      <c r="X38" s="113"/>
      <c r="Y38" s="113"/>
      <c r="Z38" s="114"/>
      <c r="AA38" s="139"/>
      <c r="AB38" s="140"/>
    </row>
    <row r="39" spans="1:28" ht="30" customHeight="1" x14ac:dyDescent="0.2">
      <c r="A39" s="86"/>
      <c r="B39" s="426" t="str">
        <f>Translations!$B$72</f>
        <v>Please select…</v>
      </c>
      <c r="C39" s="427"/>
      <c r="D39" s="427"/>
      <c r="E39" s="427"/>
      <c r="F39" s="427"/>
      <c r="G39" s="427"/>
      <c r="H39" s="428"/>
      <c r="I39" s="429"/>
      <c r="J39" s="430"/>
      <c r="K39" s="91"/>
      <c r="L39" s="431" t="str">
        <f>Translations!$B$72</f>
        <v>Please select…</v>
      </c>
      <c r="M39" s="432"/>
      <c r="N39" s="433"/>
      <c r="O39" s="429"/>
      <c r="P39" s="430"/>
      <c r="Q39" s="429"/>
      <c r="R39" s="430"/>
      <c r="S39" s="429"/>
      <c r="T39" s="434"/>
      <c r="U39" s="115"/>
      <c r="V39" s="116"/>
      <c r="W39" s="116"/>
      <c r="X39" s="116"/>
      <c r="Y39" s="116"/>
      <c r="Z39" s="117"/>
      <c r="AA39" s="139"/>
      <c r="AB39" s="140"/>
    </row>
    <row r="40" spans="1:28" x14ac:dyDescent="0.2">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row>
    <row r="41" spans="1:28" ht="15.75" x14ac:dyDescent="0.2">
      <c r="A41" s="435" t="str">
        <f>Translations!B74</f>
        <v>D. Modules</v>
      </c>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7"/>
    </row>
    <row r="42" spans="1:28" ht="15.75" x14ac:dyDescent="0.2">
      <c r="A42" s="103"/>
      <c r="B42" s="104"/>
      <c r="C42" s="104"/>
      <c r="D42" s="104"/>
      <c r="E42" s="104"/>
      <c r="F42" s="104"/>
      <c r="G42" s="104"/>
      <c r="H42" s="104"/>
      <c r="I42" s="104"/>
      <c r="J42" s="104"/>
      <c r="K42" s="104"/>
      <c r="L42" s="104"/>
      <c r="M42" s="104"/>
      <c r="N42" s="104"/>
      <c r="O42" s="104"/>
      <c r="P42" s="105"/>
      <c r="Q42" s="105"/>
      <c r="R42" s="105"/>
      <c r="S42" s="105"/>
      <c r="T42" s="105"/>
      <c r="U42" s="105"/>
      <c r="V42" s="105"/>
      <c r="W42" s="105"/>
      <c r="X42" s="105"/>
      <c r="Y42" s="105"/>
      <c r="Z42" s="94"/>
      <c r="AA42" s="94"/>
      <c r="AB42" s="94"/>
    </row>
    <row r="43" spans="1:28" ht="15.75" x14ac:dyDescent="0.2">
      <c r="A43" s="438" t="str">
        <f>Translations!$B$75</f>
        <v>Module</v>
      </c>
      <c r="B43" s="439"/>
      <c r="C43" s="178">
        <v>1</v>
      </c>
      <c r="D43" s="440" t="str">
        <f>Translations!$B$72</f>
        <v>Please select…</v>
      </c>
      <c r="E43" s="440"/>
      <c r="F43" s="440"/>
      <c r="G43" s="440"/>
      <c r="H43" s="440"/>
      <c r="I43" s="440"/>
      <c r="J43" s="440"/>
      <c r="K43" s="141"/>
      <c r="L43" s="142"/>
      <c r="M43" s="142"/>
      <c r="N43" s="142"/>
      <c r="O43" s="142"/>
      <c r="P43" s="142"/>
      <c r="Q43" s="142"/>
      <c r="R43" s="142"/>
      <c r="S43" s="142"/>
      <c r="T43" s="142"/>
      <c r="U43" s="142"/>
      <c r="V43" s="142"/>
      <c r="W43" s="142"/>
      <c r="X43" s="142"/>
      <c r="Y43" s="142"/>
      <c r="Z43" s="142"/>
      <c r="AA43" s="142"/>
      <c r="AB43" s="79"/>
    </row>
    <row r="44" spans="1:28" ht="15.75" x14ac:dyDescent="0.2">
      <c r="A44" s="146" t="str">
        <f>Translations!$B$76</f>
        <v>Measurement framework for module</v>
      </c>
      <c r="B44" s="162"/>
      <c r="C44" s="162"/>
      <c r="D44" s="162"/>
      <c r="E44" s="162"/>
      <c r="F44" s="162"/>
      <c r="G44" s="102"/>
      <c r="H44" s="102"/>
      <c r="I44" s="102"/>
      <c r="J44" s="102"/>
      <c r="K44" s="102"/>
      <c r="L44" s="102"/>
      <c r="M44" s="102"/>
      <c r="N44" s="102"/>
      <c r="O44" s="102"/>
      <c r="P44" s="102"/>
      <c r="Q44" s="102"/>
      <c r="R44" s="419"/>
      <c r="S44" s="419"/>
      <c r="T44" s="419"/>
      <c r="U44" s="419"/>
      <c r="V44" s="419"/>
      <c r="W44" s="419"/>
      <c r="X44" s="419"/>
      <c r="Y44" s="419"/>
      <c r="Z44" s="419"/>
      <c r="AA44" s="419"/>
      <c r="AB44" s="420"/>
    </row>
    <row r="45" spans="1:28" x14ac:dyDescent="0.2">
      <c r="A45" s="360" t="str">
        <f>Translations!$B$49</f>
        <v xml:space="preserve">Coverage/Output indicator </v>
      </c>
      <c r="B45" s="360"/>
      <c r="C45" s="391"/>
      <c r="D45" s="359" t="str">
        <f>Translations!$B$67</f>
        <v>Responsible Principal Recipient(s)</v>
      </c>
      <c r="E45" s="359" t="str">
        <f>Translations!$B$66</f>
        <v>Tied to</v>
      </c>
      <c r="F45" s="391"/>
      <c r="G45" s="359" t="str">
        <f>Translations!$B$29</f>
        <v>Baseline</v>
      </c>
      <c r="H45" s="360"/>
      <c r="I45" s="360"/>
      <c r="J45" s="391"/>
      <c r="K45" s="359"/>
      <c r="L45" s="360"/>
      <c r="M45" s="379" t="str">
        <f>Translations!$B$30</f>
        <v>Targets</v>
      </c>
      <c r="N45" s="380"/>
      <c r="O45" s="380"/>
      <c r="P45" s="380"/>
      <c r="Q45" s="380"/>
      <c r="R45" s="381"/>
      <c r="S45" s="510" t="str">
        <f>Translations!$B$82</f>
        <v>Target assumptions</v>
      </c>
      <c r="T45" s="511"/>
      <c r="U45" s="511"/>
      <c r="V45" s="511"/>
      <c r="W45" s="511"/>
      <c r="X45" s="511"/>
      <c r="Y45" s="511"/>
      <c r="Z45" s="511"/>
      <c r="AA45" s="511"/>
      <c r="AB45" s="512"/>
    </row>
    <row r="46" spans="1:28" x14ac:dyDescent="0.2">
      <c r="A46" s="363"/>
      <c r="B46" s="363"/>
      <c r="C46" s="410"/>
      <c r="D46" s="362"/>
      <c r="E46" s="362"/>
      <c r="F46" s="410"/>
      <c r="G46" s="392"/>
      <c r="H46" s="396"/>
      <c r="I46" s="396"/>
      <c r="J46" s="393"/>
      <c r="K46" s="362"/>
      <c r="L46" s="363"/>
      <c r="M46" s="379" t="str">
        <f>Translations!$B$34</f>
        <v>Year 1</v>
      </c>
      <c r="N46" s="381"/>
      <c r="O46" s="379" t="str">
        <f>Translations!$B$35</f>
        <v>Year 2</v>
      </c>
      <c r="P46" s="381"/>
      <c r="Q46" s="379" t="str">
        <f>Translations!$B$36</f>
        <v>Year 3</v>
      </c>
      <c r="R46" s="381"/>
      <c r="S46" s="513" t="str">
        <f>Translations!$B$83</f>
        <v>Please describe: 1) overall assumptions used in calculating targets, 2) anticipated rate of scale-up, 3) population size estimates, 4) description of indicator/package of services, 5) data source, 6) other relevant information</v>
      </c>
      <c r="T46" s="514"/>
      <c r="U46" s="514"/>
      <c r="V46" s="514"/>
      <c r="W46" s="514"/>
      <c r="X46" s="514"/>
      <c r="Y46" s="514"/>
      <c r="Z46" s="514"/>
      <c r="AA46" s="514"/>
      <c r="AB46" s="515"/>
    </row>
    <row r="47" spans="1:28" x14ac:dyDescent="0.2">
      <c r="A47" s="363"/>
      <c r="B47" s="363"/>
      <c r="C47" s="410"/>
      <c r="D47" s="362"/>
      <c r="E47" s="362"/>
      <c r="F47" s="410"/>
      <c r="G47" s="138" t="s">
        <v>15</v>
      </c>
      <c r="H47" s="394" t="s">
        <v>14</v>
      </c>
      <c r="I47" s="394" t="str">
        <f>Translations!$B$32</f>
        <v xml:space="preserve">Year </v>
      </c>
      <c r="J47" s="394" t="str">
        <f>Translations!$B$33</f>
        <v>Source</v>
      </c>
      <c r="K47" s="362"/>
      <c r="L47" s="421"/>
      <c r="M47" s="158" t="s">
        <v>15</v>
      </c>
      <c r="N47" s="508" t="s">
        <v>14</v>
      </c>
      <c r="O47" s="158" t="s">
        <v>15</v>
      </c>
      <c r="P47" s="508" t="s">
        <v>14</v>
      </c>
      <c r="Q47" s="158" t="s">
        <v>15</v>
      </c>
      <c r="R47" s="508" t="s">
        <v>14</v>
      </c>
      <c r="S47" s="513"/>
      <c r="T47" s="514"/>
      <c r="U47" s="514"/>
      <c r="V47" s="514"/>
      <c r="W47" s="514"/>
      <c r="X47" s="514"/>
      <c r="Y47" s="514"/>
      <c r="Z47" s="514"/>
      <c r="AA47" s="514"/>
      <c r="AB47" s="515"/>
    </row>
    <row r="48" spans="1:28" x14ac:dyDescent="0.2">
      <c r="A48" s="396"/>
      <c r="B48" s="396"/>
      <c r="C48" s="393"/>
      <c r="D48" s="392"/>
      <c r="E48" s="392"/>
      <c r="F48" s="393"/>
      <c r="G48" s="132" t="s">
        <v>13</v>
      </c>
      <c r="H48" s="395"/>
      <c r="I48" s="395"/>
      <c r="J48" s="395"/>
      <c r="K48" s="392"/>
      <c r="L48" s="422"/>
      <c r="M48" s="159" t="s">
        <v>13</v>
      </c>
      <c r="N48" s="509"/>
      <c r="O48" s="159" t="s">
        <v>13</v>
      </c>
      <c r="P48" s="509"/>
      <c r="Q48" s="159" t="s">
        <v>13</v>
      </c>
      <c r="R48" s="509"/>
      <c r="S48" s="516"/>
      <c r="T48" s="517"/>
      <c r="U48" s="517"/>
      <c r="V48" s="517"/>
      <c r="W48" s="517"/>
      <c r="X48" s="517"/>
      <c r="Y48" s="517"/>
      <c r="Z48" s="517"/>
      <c r="AA48" s="517"/>
      <c r="AB48" s="518"/>
    </row>
    <row r="49" spans="1:28" x14ac:dyDescent="0.2">
      <c r="A49" s="521"/>
      <c r="B49" s="522"/>
      <c r="C49" s="523"/>
      <c r="D49" s="530" t="str">
        <f>Translations!$B$72</f>
        <v>Please select…</v>
      </c>
      <c r="E49" s="533" t="str">
        <f>Translations!$B$72</f>
        <v>Please select…</v>
      </c>
      <c r="F49" s="534"/>
      <c r="G49" s="539"/>
      <c r="H49" s="519" t="str">
        <f>IF($G51&lt;&gt;"",$G49/$G51,"")</f>
        <v/>
      </c>
      <c r="I49" s="542"/>
      <c r="J49" s="545" t="str">
        <f>Translations!$B$72</f>
        <v>Please select…</v>
      </c>
      <c r="K49" s="548" t="str">
        <f>Translations!$B$78</f>
        <v>Indicative</v>
      </c>
      <c r="L49" s="549"/>
      <c r="M49" s="183"/>
      <c r="N49" s="519" t="str">
        <f>IF(M50&lt;&gt;"",M49/M50,"")</f>
        <v/>
      </c>
      <c r="O49" s="185"/>
      <c r="P49" s="519" t="str">
        <f>IF(O50&lt;&gt;"",O49/O50,"")</f>
        <v/>
      </c>
      <c r="Q49" s="185"/>
      <c r="R49" s="519" t="str">
        <f>IF(Q50&lt;&gt;"",Q49/Q50,"")</f>
        <v/>
      </c>
      <c r="S49" s="485"/>
      <c r="T49" s="486"/>
      <c r="U49" s="486"/>
      <c r="V49" s="486"/>
      <c r="W49" s="486"/>
      <c r="X49" s="486"/>
      <c r="Y49" s="486"/>
      <c r="Z49" s="486"/>
      <c r="AA49" s="486"/>
      <c r="AB49" s="487"/>
    </row>
    <row r="50" spans="1:28" x14ac:dyDescent="0.2">
      <c r="A50" s="524"/>
      <c r="B50" s="525"/>
      <c r="C50" s="526"/>
      <c r="D50" s="531"/>
      <c r="E50" s="535"/>
      <c r="F50" s="536"/>
      <c r="G50" s="540"/>
      <c r="H50" s="541"/>
      <c r="I50" s="543"/>
      <c r="J50" s="546"/>
      <c r="K50" s="550"/>
      <c r="L50" s="551"/>
      <c r="M50" s="184"/>
      <c r="N50" s="520"/>
      <c r="O50" s="186"/>
      <c r="P50" s="520"/>
      <c r="Q50" s="186"/>
      <c r="R50" s="520"/>
      <c r="S50" s="488"/>
      <c r="T50" s="489"/>
      <c r="U50" s="489"/>
      <c r="V50" s="489"/>
      <c r="W50" s="489"/>
      <c r="X50" s="489"/>
      <c r="Y50" s="489"/>
      <c r="Z50" s="489"/>
      <c r="AA50" s="489"/>
      <c r="AB50" s="490"/>
    </row>
    <row r="51" spans="1:28" ht="15" customHeight="1" x14ac:dyDescent="0.2">
      <c r="A51" s="524"/>
      <c r="B51" s="525"/>
      <c r="C51" s="526"/>
      <c r="D51" s="531"/>
      <c r="E51" s="535"/>
      <c r="F51" s="536"/>
      <c r="G51" s="539"/>
      <c r="H51" s="541"/>
      <c r="I51" s="543"/>
      <c r="J51" s="546"/>
      <c r="K51" s="552" t="str">
        <f>Translations!$B$79</f>
        <v>Above indicative</v>
      </c>
      <c r="L51" s="553"/>
      <c r="M51" s="183"/>
      <c r="N51" s="519" t="str">
        <f>IF(M52&lt;&gt;"",M51/M52,"")</f>
        <v/>
      </c>
      <c r="O51" s="185"/>
      <c r="P51" s="519" t="str">
        <f>IF(O52&lt;&gt;"",O51/O52,"")</f>
        <v/>
      </c>
      <c r="Q51" s="185"/>
      <c r="R51" s="519" t="str">
        <f>IF(Q52&lt;&gt;"",Q51/Q52,"")</f>
        <v/>
      </c>
      <c r="S51" s="488"/>
      <c r="T51" s="489"/>
      <c r="U51" s="489"/>
      <c r="V51" s="489"/>
      <c r="W51" s="489"/>
      <c r="X51" s="489"/>
      <c r="Y51" s="489"/>
      <c r="Z51" s="489"/>
      <c r="AA51" s="489"/>
      <c r="AB51" s="490"/>
    </row>
    <row r="52" spans="1:28" x14ac:dyDescent="0.2">
      <c r="A52" s="527"/>
      <c r="B52" s="528"/>
      <c r="C52" s="529"/>
      <c r="D52" s="532"/>
      <c r="E52" s="537"/>
      <c r="F52" s="538"/>
      <c r="G52" s="540"/>
      <c r="H52" s="520"/>
      <c r="I52" s="544"/>
      <c r="J52" s="547"/>
      <c r="K52" s="554"/>
      <c r="L52" s="555"/>
      <c r="M52" s="184"/>
      <c r="N52" s="520"/>
      <c r="O52" s="186"/>
      <c r="P52" s="520"/>
      <c r="Q52" s="186"/>
      <c r="R52" s="520"/>
      <c r="S52" s="491"/>
      <c r="T52" s="492"/>
      <c r="U52" s="492"/>
      <c r="V52" s="492"/>
      <c r="W52" s="492"/>
      <c r="X52" s="492"/>
      <c r="Y52" s="492"/>
      <c r="Z52" s="492"/>
      <c r="AA52" s="492"/>
      <c r="AB52" s="493"/>
    </row>
    <row r="53" spans="1:28" ht="15" customHeight="1" x14ac:dyDescent="0.2">
      <c r="A53" s="521"/>
      <c r="B53" s="522"/>
      <c r="C53" s="523"/>
      <c r="D53" s="530" t="str">
        <f>Translations!$B$72</f>
        <v>Please select…</v>
      </c>
      <c r="E53" s="533" t="str">
        <f>Translations!$B$72</f>
        <v>Please select…</v>
      </c>
      <c r="F53" s="534"/>
      <c r="G53" s="539"/>
      <c r="H53" s="519" t="str">
        <f>IF($G55&lt;&gt;"",$G53/$G55,"")</f>
        <v/>
      </c>
      <c r="I53" s="542"/>
      <c r="J53" s="545" t="str">
        <f>Translations!$B$72</f>
        <v>Please select…</v>
      </c>
      <c r="K53" s="548" t="str">
        <f>Translations!$B$78</f>
        <v>Indicative</v>
      </c>
      <c r="L53" s="549"/>
      <c r="M53" s="183"/>
      <c r="N53" s="519" t="str">
        <f>IF(M54&lt;&gt;"",M53/M54,"")</f>
        <v/>
      </c>
      <c r="O53" s="185"/>
      <c r="P53" s="519" t="str">
        <f>IF(O54&lt;&gt;"",O53/O54,"")</f>
        <v/>
      </c>
      <c r="Q53" s="185"/>
      <c r="R53" s="519" t="str">
        <f>IF(Q54&lt;&gt;"",Q53/Q54,"")</f>
        <v/>
      </c>
      <c r="S53" s="485"/>
      <c r="T53" s="486"/>
      <c r="U53" s="486"/>
      <c r="V53" s="486"/>
      <c r="W53" s="486"/>
      <c r="X53" s="486"/>
      <c r="Y53" s="486"/>
      <c r="Z53" s="486"/>
      <c r="AA53" s="486"/>
      <c r="AB53" s="487"/>
    </row>
    <row r="54" spans="1:28" x14ac:dyDescent="0.2">
      <c r="A54" s="524"/>
      <c r="B54" s="525"/>
      <c r="C54" s="526"/>
      <c r="D54" s="531"/>
      <c r="E54" s="535"/>
      <c r="F54" s="536"/>
      <c r="G54" s="540"/>
      <c r="H54" s="541"/>
      <c r="I54" s="543"/>
      <c r="J54" s="546"/>
      <c r="K54" s="550"/>
      <c r="L54" s="551"/>
      <c r="M54" s="184"/>
      <c r="N54" s="520"/>
      <c r="O54" s="186"/>
      <c r="P54" s="520"/>
      <c r="Q54" s="186"/>
      <c r="R54" s="520"/>
      <c r="S54" s="488"/>
      <c r="T54" s="489"/>
      <c r="U54" s="489"/>
      <c r="V54" s="489"/>
      <c r="W54" s="489"/>
      <c r="X54" s="489"/>
      <c r="Y54" s="489"/>
      <c r="Z54" s="489"/>
      <c r="AA54" s="489"/>
      <c r="AB54" s="490"/>
    </row>
    <row r="55" spans="1:28" ht="15" customHeight="1" x14ac:dyDescent="0.2">
      <c r="A55" s="524"/>
      <c r="B55" s="525"/>
      <c r="C55" s="526"/>
      <c r="D55" s="531"/>
      <c r="E55" s="535"/>
      <c r="F55" s="536"/>
      <c r="G55" s="539"/>
      <c r="H55" s="541"/>
      <c r="I55" s="543"/>
      <c r="J55" s="546"/>
      <c r="K55" s="552" t="str">
        <f>Translations!$B$79</f>
        <v>Above indicative</v>
      </c>
      <c r="L55" s="553"/>
      <c r="M55" s="183"/>
      <c r="N55" s="519" t="str">
        <f>IF(M56&lt;&gt;"",M55/M56,"")</f>
        <v/>
      </c>
      <c r="O55" s="185"/>
      <c r="P55" s="519" t="str">
        <f>IF(O56&lt;&gt;"",O55/O56,"")</f>
        <v/>
      </c>
      <c r="Q55" s="185"/>
      <c r="R55" s="519" t="str">
        <f>IF(Q56&lt;&gt;"",Q55/Q56,"")</f>
        <v/>
      </c>
      <c r="S55" s="488"/>
      <c r="T55" s="489"/>
      <c r="U55" s="489"/>
      <c r="V55" s="489"/>
      <c r="W55" s="489"/>
      <c r="X55" s="489"/>
      <c r="Y55" s="489"/>
      <c r="Z55" s="489"/>
      <c r="AA55" s="489"/>
      <c r="AB55" s="490"/>
    </row>
    <row r="56" spans="1:28" x14ac:dyDescent="0.2">
      <c r="A56" s="527"/>
      <c r="B56" s="528"/>
      <c r="C56" s="529"/>
      <c r="D56" s="532"/>
      <c r="E56" s="537"/>
      <c r="F56" s="538"/>
      <c r="G56" s="540"/>
      <c r="H56" s="520"/>
      <c r="I56" s="544"/>
      <c r="J56" s="547"/>
      <c r="K56" s="554"/>
      <c r="L56" s="555"/>
      <c r="M56" s="184"/>
      <c r="N56" s="520"/>
      <c r="O56" s="186"/>
      <c r="P56" s="520"/>
      <c r="Q56" s="186"/>
      <c r="R56" s="520"/>
      <c r="S56" s="491"/>
      <c r="T56" s="492"/>
      <c r="U56" s="492"/>
      <c r="V56" s="492"/>
      <c r="W56" s="492"/>
      <c r="X56" s="492"/>
      <c r="Y56" s="492"/>
      <c r="Z56" s="492"/>
      <c r="AA56" s="492"/>
      <c r="AB56" s="493"/>
    </row>
    <row r="57" spans="1:28" x14ac:dyDescent="0.2">
      <c r="A57" s="521"/>
      <c r="B57" s="522"/>
      <c r="C57" s="523"/>
      <c r="D57" s="530" t="str">
        <f>Translations!$B$72</f>
        <v>Please select…</v>
      </c>
      <c r="E57" s="533" t="str">
        <f>Translations!$B$72</f>
        <v>Please select…</v>
      </c>
      <c r="F57" s="534"/>
      <c r="G57" s="539"/>
      <c r="H57" s="519" t="str">
        <f>IF($G59&lt;&gt;"",$G57/$G59,"")</f>
        <v/>
      </c>
      <c r="I57" s="542"/>
      <c r="J57" s="545" t="str">
        <f>Translations!$B$72</f>
        <v>Please select…</v>
      </c>
      <c r="K57" s="548" t="str">
        <f>Translations!$B$78</f>
        <v>Indicative</v>
      </c>
      <c r="L57" s="549"/>
      <c r="M57" s="183"/>
      <c r="N57" s="519" t="str">
        <f>IF(M58&lt;&gt;"",M57/M58,"")</f>
        <v/>
      </c>
      <c r="O57" s="185"/>
      <c r="P57" s="519" t="str">
        <f>IF(O58&lt;&gt;"",O57/O58,"")</f>
        <v/>
      </c>
      <c r="Q57" s="185"/>
      <c r="R57" s="519" t="str">
        <f>IF(Q58&lt;&gt;"",Q57/Q58,"")</f>
        <v/>
      </c>
      <c r="S57" s="485"/>
      <c r="T57" s="486"/>
      <c r="U57" s="486"/>
      <c r="V57" s="486"/>
      <c r="W57" s="486"/>
      <c r="X57" s="486"/>
      <c r="Y57" s="486"/>
      <c r="Z57" s="486"/>
      <c r="AA57" s="486"/>
      <c r="AB57" s="487"/>
    </row>
    <row r="58" spans="1:28" x14ac:dyDescent="0.2">
      <c r="A58" s="524"/>
      <c r="B58" s="525"/>
      <c r="C58" s="526"/>
      <c r="D58" s="531"/>
      <c r="E58" s="535"/>
      <c r="F58" s="536"/>
      <c r="G58" s="540"/>
      <c r="H58" s="541"/>
      <c r="I58" s="543"/>
      <c r="J58" s="546"/>
      <c r="K58" s="550"/>
      <c r="L58" s="551"/>
      <c r="M58" s="184"/>
      <c r="N58" s="520"/>
      <c r="O58" s="186"/>
      <c r="P58" s="520"/>
      <c r="Q58" s="186"/>
      <c r="R58" s="520"/>
      <c r="S58" s="488"/>
      <c r="T58" s="489"/>
      <c r="U58" s="489"/>
      <c r="V58" s="489"/>
      <c r="W58" s="489"/>
      <c r="X58" s="489"/>
      <c r="Y58" s="489"/>
      <c r="Z58" s="489"/>
      <c r="AA58" s="489"/>
      <c r="AB58" s="490"/>
    </row>
    <row r="59" spans="1:28" ht="15" customHeight="1" x14ac:dyDescent="0.2">
      <c r="A59" s="524"/>
      <c r="B59" s="525"/>
      <c r="C59" s="526"/>
      <c r="D59" s="531"/>
      <c r="E59" s="535"/>
      <c r="F59" s="536"/>
      <c r="G59" s="539"/>
      <c r="H59" s="541"/>
      <c r="I59" s="543"/>
      <c r="J59" s="546"/>
      <c r="K59" s="552" t="str">
        <f>Translations!$B$79</f>
        <v>Above indicative</v>
      </c>
      <c r="L59" s="553"/>
      <c r="M59" s="183"/>
      <c r="N59" s="519" t="str">
        <f>IF(M60&lt;&gt;"",M59/M60,"")</f>
        <v/>
      </c>
      <c r="O59" s="185"/>
      <c r="P59" s="519" t="str">
        <f>IF(O60&lt;&gt;"",O59/O60,"")</f>
        <v/>
      </c>
      <c r="Q59" s="185"/>
      <c r="R59" s="519" t="str">
        <f>IF(Q60&lt;&gt;"",Q59/Q60,"")</f>
        <v/>
      </c>
      <c r="S59" s="488"/>
      <c r="T59" s="489"/>
      <c r="U59" s="489"/>
      <c r="V59" s="489"/>
      <c r="W59" s="489"/>
      <c r="X59" s="489"/>
      <c r="Y59" s="489"/>
      <c r="Z59" s="489"/>
      <c r="AA59" s="489"/>
      <c r="AB59" s="490"/>
    </row>
    <row r="60" spans="1:28" x14ac:dyDescent="0.2">
      <c r="A60" s="527"/>
      <c r="B60" s="528"/>
      <c r="C60" s="529"/>
      <c r="D60" s="532"/>
      <c r="E60" s="537"/>
      <c r="F60" s="538"/>
      <c r="G60" s="540"/>
      <c r="H60" s="520"/>
      <c r="I60" s="544"/>
      <c r="J60" s="547"/>
      <c r="K60" s="554"/>
      <c r="L60" s="555"/>
      <c r="M60" s="184"/>
      <c r="N60" s="520"/>
      <c r="O60" s="186"/>
      <c r="P60" s="520"/>
      <c r="Q60" s="186"/>
      <c r="R60" s="520"/>
      <c r="S60" s="491"/>
      <c r="T60" s="492"/>
      <c r="U60" s="492"/>
      <c r="V60" s="492"/>
      <c r="W60" s="492"/>
      <c r="X60" s="492"/>
      <c r="Y60" s="492"/>
      <c r="Z60" s="492"/>
      <c r="AA60" s="492"/>
      <c r="AB60" s="493"/>
    </row>
    <row r="61" spans="1:28" ht="15.75" x14ac:dyDescent="0.2">
      <c r="A61" s="146" t="str">
        <f>Translations!$B$87</f>
        <v>Module budget</v>
      </c>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c r="AA61" s="128"/>
      <c r="AB61" s="129"/>
    </row>
    <row r="62" spans="1:28" x14ac:dyDescent="0.2">
      <c r="A62" s="560" t="str">
        <f>Translations!$B$84</f>
        <v>Indicative request for entire module</v>
      </c>
      <c r="B62" s="561"/>
      <c r="C62" s="561"/>
      <c r="D62" s="561"/>
      <c r="E62" s="562"/>
      <c r="F62" s="169">
        <f ca="1">SUMIF($K65:$K84,Translations!$A$78,$M65:$M84)+SUMIF($K65:$K84,Translations!$A$78,$O65:$O84)+SUMIF($K65:$K84,Translations!$A$78,$Q65:$Q84)</f>
        <v>0</v>
      </c>
      <c r="G62" s="168"/>
      <c r="H62" s="168"/>
      <c r="I62" s="166"/>
      <c r="J62" s="563" t="str">
        <f>Translations!$B$85</f>
        <v>Above indicative request for entire module</v>
      </c>
      <c r="K62" s="564"/>
      <c r="L62" s="564"/>
      <c r="M62" s="564"/>
      <c r="N62" s="564"/>
      <c r="O62" s="564"/>
      <c r="P62" s="564"/>
      <c r="Q62" s="565">
        <f ca="1">SUMIF($K65:$K84,Translations!$A$79,$M65:$M84)+SUMIF($K65:$K84,Translations!$A$79,$O65:$O84)+SUMIF($K65:$K84,Translations!$A$79,$Q65:$Q84)</f>
        <v>0</v>
      </c>
      <c r="R62" s="566"/>
      <c r="S62" s="567"/>
      <c r="T62" s="567"/>
      <c r="U62" s="567"/>
      <c r="V62" s="166"/>
      <c r="W62" s="166"/>
      <c r="X62" s="166"/>
      <c r="Y62" s="166"/>
      <c r="Z62" s="166"/>
      <c r="AA62" s="166"/>
      <c r="AB62" s="167"/>
    </row>
    <row r="63" spans="1:28" x14ac:dyDescent="0.2">
      <c r="A63" s="359" t="str">
        <f>Translations!$B$86</f>
        <v>Intervention</v>
      </c>
      <c r="B63" s="360"/>
      <c r="C63" s="391"/>
      <c r="D63" s="568" t="str">
        <f>Translations!$B$88</f>
        <v>Description of Intervention</v>
      </c>
      <c r="E63" s="569"/>
      <c r="F63" s="569"/>
      <c r="G63" s="569"/>
      <c r="H63" s="569"/>
      <c r="I63" s="570"/>
      <c r="J63" s="394" t="str">
        <f>Translations!$B$67</f>
        <v>Responsible Principal Recipient(s)</v>
      </c>
      <c r="K63" s="359" t="str">
        <f>Translations!$B$90</f>
        <v>Intervention budget (request to the Global Fund only)</v>
      </c>
      <c r="L63" s="360"/>
      <c r="M63" s="360"/>
      <c r="N63" s="360"/>
      <c r="O63" s="360"/>
      <c r="P63" s="360"/>
      <c r="Q63" s="360"/>
      <c r="R63" s="391"/>
      <c r="S63" s="568" t="str">
        <f>Translations!$B$91</f>
        <v>Cost Assumptions for the request to the Global Fund</v>
      </c>
      <c r="T63" s="569"/>
      <c r="U63" s="569"/>
      <c r="V63" s="569"/>
      <c r="W63" s="569"/>
      <c r="X63" s="569"/>
      <c r="Y63" s="570"/>
      <c r="Z63" s="556" t="str">
        <f>Translations!$B$93</f>
        <v>Other funding received for this intervention (including scope of activities funded)</v>
      </c>
      <c r="AA63" s="556"/>
      <c r="AB63" s="556"/>
    </row>
    <row r="64" spans="1:28" ht="40.5" customHeight="1" x14ac:dyDescent="0.2">
      <c r="A64" s="392"/>
      <c r="B64" s="396"/>
      <c r="C64" s="393"/>
      <c r="D64" s="557" t="str">
        <f>Translations!$B$89</f>
        <v>Please describe 1) rationale for Global Fund support, 2) linkages to national strategic plan, 3) target population &amp; geographic scope,  4) implementation approach, and 5) other relevant information. Please differentiate between scope of indicative and above indicative request</v>
      </c>
      <c r="E64" s="558"/>
      <c r="F64" s="558"/>
      <c r="G64" s="558"/>
      <c r="H64" s="558"/>
      <c r="I64" s="559"/>
      <c r="J64" s="395"/>
      <c r="K64" s="130"/>
      <c r="L64" s="131"/>
      <c r="M64" s="379" t="str">
        <f>Translations!$B$34</f>
        <v>Year 1</v>
      </c>
      <c r="N64" s="381"/>
      <c r="O64" s="556" t="str">
        <f>Translations!$B$35</f>
        <v>Year 2</v>
      </c>
      <c r="P64" s="556"/>
      <c r="Q64" s="556" t="str">
        <f>Translations!$B$36</f>
        <v>Year 3</v>
      </c>
      <c r="R64" s="556"/>
      <c r="S64" s="557" t="str">
        <f>Translations!$B$92</f>
        <v>Please describe: 1) cost assumptions and data sources, 2) key activities, 3) other relevant information. Please differentiate between indicative and above indicative</v>
      </c>
      <c r="T64" s="558"/>
      <c r="U64" s="558"/>
      <c r="V64" s="558"/>
      <c r="W64" s="558"/>
      <c r="X64" s="558"/>
      <c r="Y64" s="559"/>
      <c r="Z64" s="556"/>
      <c r="AA64" s="556"/>
      <c r="AB64" s="556"/>
    </row>
    <row r="65" spans="1:28" x14ac:dyDescent="0.2">
      <c r="A65" s="459" t="str">
        <f ca="1">Translations!$A$72</f>
        <v>Please select…</v>
      </c>
      <c r="B65" s="460"/>
      <c r="C65" s="461"/>
      <c r="D65" s="571"/>
      <c r="E65" s="572"/>
      <c r="F65" s="572"/>
      <c r="G65" s="572"/>
      <c r="H65" s="572"/>
      <c r="I65" s="573"/>
      <c r="J65" s="580"/>
      <c r="K65" s="452" t="str">
        <f>Translations!$B$78</f>
        <v>Indicative</v>
      </c>
      <c r="L65" s="453"/>
      <c r="M65" s="454"/>
      <c r="N65" s="455"/>
      <c r="O65" s="456"/>
      <c r="P65" s="457"/>
      <c r="Q65" s="456"/>
      <c r="R65" s="457"/>
      <c r="S65" s="458"/>
      <c r="T65" s="458"/>
      <c r="U65" s="458"/>
      <c r="V65" s="458"/>
      <c r="W65" s="458"/>
      <c r="X65" s="458"/>
      <c r="Y65" s="458"/>
      <c r="Z65" s="460"/>
      <c r="AA65" s="460"/>
      <c r="AB65" s="461"/>
    </row>
    <row r="66" spans="1:28" x14ac:dyDescent="0.2">
      <c r="A66" s="473"/>
      <c r="B66" s="474"/>
      <c r="C66" s="475"/>
      <c r="D66" s="574"/>
      <c r="E66" s="575"/>
      <c r="F66" s="575"/>
      <c r="G66" s="575"/>
      <c r="H66" s="575"/>
      <c r="I66" s="576"/>
      <c r="J66" s="581"/>
      <c r="K66" s="465" t="str">
        <f>Translations!$B$79</f>
        <v>Above indicative</v>
      </c>
      <c r="L66" s="466"/>
      <c r="M66" s="467"/>
      <c r="N66" s="468"/>
      <c r="O66" s="469"/>
      <c r="P66" s="470"/>
      <c r="Q66" s="471"/>
      <c r="R66" s="472"/>
      <c r="S66" s="458"/>
      <c r="T66" s="458"/>
      <c r="U66" s="458"/>
      <c r="V66" s="458"/>
      <c r="W66" s="458"/>
      <c r="X66" s="458"/>
      <c r="Y66" s="458"/>
      <c r="Z66" s="463"/>
      <c r="AA66" s="463"/>
      <c r="AB66" s="464"/>
    </row>
    <row r="67" spans="1:28" x14ac:dyDescent="0.2">
      <c r="A67" s="473"/>
      <c r="B67" s="474"/>
      <c r="C67" s="475"/>
      <c r="D67" s="574"/>
      <c r="E67" s="575"/>
      <c r="F67" s="575"/>
      <c r="G67" s="575"/>
      <c r="H67" s="575"/>
      <c r="I67" s="576"/>
      <c r="J67" s="476"/>
      <c r="K67" s="452" t="str">
        <f>Translations!$B$78</f>
        <v>Indicative</v>
      </c>
      <c r="L67" s="453"/>
      <c r="M67" s="454"/>
      <c r="N67" s="455"/>
      <c r="O67" s="456"/>
      <c r="P67" s="457"/>
      <c r="Q67" s="456"/>
      <c r="R67" s="457"/>
      <c r="S67" s="458"/>
      <c r="T67" s="458"/>
      <c r="U67" s="458"/>
      <c r="V67" s="458"/>
      <c r="W67" s="458"/>
      <c r="X67" s="458"/>
      <c r="Y67" s="458"/>
      <c r="Z67" s="459"/>
      <c r="AA67" s="460"/>
      <c r="AB67" s="461"/>
    </row>
    <row r="68" spans="1:28" x14ac:dyDescent="0.2">
      <c r="A68" s="462"/>
      <c r="B68" s="463"/>
      <c r="C68" s="464"/>
      <c r="D68" s="577"/>
      <c r="E68" s="578"/>
      <c r="F68" s="578"/>
      <c r="G68" s="578"/>
      <c r="H68" s="578"/>
      <c r="I68" s="579"/>
      <c r="J68" s="477"/>
      <c r="K68" s="465" t="str">
        <f>Translations!$B$79</f>
        <v>Above indicative</v>
      </c>
      <c r="L68" s="466"/>
      <c r="M68" s="467"/>
      <c r="N68" s="468"/>
      <c r="O68" s="469"/>
      <c r="P68" s="470"/>
      <c r="Q68" s="471"/>
      <c r="R68" s="472"/>
      <c r="S68" s="458"/>
      <c r="T68" s="458"/>
      <c r="U68" s="458"/>
      <c r="V68" s="458"/>
      <c r="W68" s="458"/>
      <c r="X68" s="458"/>
      <c r="Y68" s="458"/>
      <c r="Z68" s="462"/>
      <c r="AA68" s="463"/>
      <c r="AB68" s="464"/>
    </row>
    <row r="69" spans="1:28" x14ac:dyDescent="0.2">
      <c r="A69" s="459" t="str">
        <f ca="1">Translations!$A$72</f>
        <v>Please select…</v>
      </c>
      <c r="B69" s="460"/>
      <c r="C69" s="461"/>
      <c r="D69" s="441"/>
      <c r="E69" s="442"/>
      <c r="F69" s="442"/>
      <c r="G69" s="442"/>
      <c r="H69" s="442"/>
      <c r="I69" s="443"/>
      <c r="J69" s="450"/>
      <c r="K69" s="452" t="str">
        <f>Translations!$B$78</f>
        <v>Indicative</v>
      </c>
      <c r="L69" s="453"/>
      <c r="M69" s="454"/>
      <c r="N69" s="455"/>
      <c r="O69" s="456"/>
      <c r="P69" s="457"/>
      <c r="Q69" s="456"/>
      <c r="R69" s="457"/>
      <c r="S69" s="458"/>
      <c r="T69" s="458"/>
      <c r="U69" s="458"/>
      <c r="V69" s="458"/>
      <c r="W69" s="458"/>
      <c r="X69" s="458"/>
      <c r="Y69" s="458"/>
      <c r="Z69" s="459"/>
      <c r="AA69" s="460"/>
      <c r="AB69" s="461"/>
    </row>
    <row r="70" spans="1:28" x14ac:dyDescent="0.2">
      <c r="A70" s="473"/>
      <c r="B70" s="474"/>
      <c r="C70" s="475"/>
      <c r="D70" s="444"/>
      <c r="E70" s="445"/>
      <c r="F70" s="445"/>
      <c r="G70" s="445"/>
      <c r="H70" s="445"/>
      <c r="I70" s="446"/>
      <c r="J70" s="451"/>
      <c r="K70" s="465" t="str">
        <f>Translations!$B$79</f>
        <v>Above indicative</v>
      </c>
      <c r="L70" s="466"/>
      <c r="M70" s="467"/>
      <c r="N70" s="468"/>
      <c r="O70" s="469"/>
      <c r="P70" s="470"/>
      <c r="Q70" s="471"/>
      <c r="R70" s="472"/>
      <c r="S70" s="458"/>
      <c r="T70" s="458"/>
      <c r="U70" s="458"/>
      <c r="V70" s="458"/>
      <c r="W70" s="458"/>
      <c r="X70" s="458"/>
      <c r="Y70" s="458"/>
      <c r="Z70" s="462"/>
      <c r="AA70" s="463"/>
      <c r="AB70" s="464"/>
    </row>
    <row r="71" spans="1:28" x14ac:dyDescent="0.2">
      <c r="A71" s="473"/>
      <c r="B71" s="474"/>
      <c r="C71" s="475"/>
      <c r="D71" s="444"/>
      <c r="E71" s="445"/>
      <c r="F71" s="445"/>
      <c r="G71" s="445"/>
      <c r="H71" s="445"/>
      <c r="I71" s="446"/>
      <c r="J71" s="476"/>
      <c r="K71" s="452" t="str">
        <f>Translations!$B$78</f>
        <v>Indicative</v>
      </c>
      <c r="L71" s="453"/>
      <c r="M71" s="454"/>
      <c r="N71" s="455"/>
      <c r="O71" s="456"/>
      <c r="P71" s="457"/>
      <c r="Q71" s="456"/>
      <c r="R71" s="457"/>
      <c r="S71" s="458"/>
      <c r="T71" s="458"/>
      <c r="U71" s="458"/>
      <c r="V71" s="458"/>
      <c r="W71" s="458"/>
      <c r="X71" s="458"/>
      <c r="Y71" s="458"/>
      <c r="Z71" s="459"/>
      <c r="AA71" s="460"/>
      <c r="AB71" s="461"/>
    </row>
    <row r="72" spans="1:28" x14ac:dyDescent="0.2">
      <c r="A72" s="462"/>
      <c r="B72" s="463"/>
      <c r="C72" s="464"/>
      <c r="D72" s="447"/>
      <c r="E72" s="448"/>
      <c r="F72" s="448"/>
      <c r="G72" s="448"/>
      <c r="H72" s="448"/>
      <c r="I72" s="449"/>
      <c r="J72" s="477"/>
      <c r="K72" s="465" t="str">
        <f>Translations!$B$79</f>
        <v>Above indicative</v>
      </c>
      <c r="L72" s="466"/>
      <c r="M72" s="467"/>
      <c r="N72" s="468"/>
      <c r="O72" s="469"/>
      <c r="P72" s="470"/>
      <c r="Q72" s="471"/>
      <c r="R72" s="472"/>
      <c r="S72" s="458"/>
      <c r="T72" s="458"/>
      <c r="U72" s="458"/>
      <c r="V72" s="458"/>
      <c r="W72" s="458"/>
      <c r="X72" s="458"/>
      <c r="Y72" s="458"/>
      <c r="Z72" s="462"/>
      <c r="AA72" s="463"/>
      <c r="AB72" s="464"/>
    </row>
    <row r="73" spans="1:28" x14ac:dyDescent="0.2">
      <c r="A73" s="459" t="str">
        <f ca="1">Translations!$A$72</f>
        <v>Please select…</v>
      </c>
      <c r="B73" s="460"/>
      <c r="C73" s="461"/>
      <c r="D73" s="441"/>
      <c r="E73" s="442"/>
      <c r="F73" s="442"/>
      <c r="G73" s="442"/>
      <c r="H73" s="442"/>
      <c r="I73" s="443"/>
      <c r="J73" s="450"/>
      <c r="K73" s="452" t="str">
        <f>Translations!$B$78</f>
        <v>Indicative</v>
      </c>
      <c r="L73" s="453"/>
      <c r="M73" s="454"/>
      <c r="N73" s="455"/>
      <c r="O73" s="456"/>
      <c r="P73" s="457"/>
      <c r="Q73" s="456"/>
      <c r="R73" s="457"/>
      <c r="S73" s="458"/>
      <c r="T73" s="458"/>
      <c r="U73" s="458"/>
      <c r="V73" s="458"/>
      <c r="W73" s="458"/>
      <c r="X73" s="458"/>
      <c r="Y73" s="458"/>
      <c r="Z73" s="582"/>
      <c r="AA73" s="583"/>
      <c r="AB73" s="584"/>
    </row>
    <row r="74" spans="1:28" x14ac:dyDescent="0.2">
      <c r="A74" s="473"/>
      <c r="B74" s="474"/>
      <c r="C74" s="475"/>
      <c r="D74" s="444"/>
      <c r="E74" s="445"/>
      <c r="F74" s="445"/>
      <c r="G74" s="445"/>
      <c r="H74" s="445"/>
      <c r="I74" s="446"/>
      <c r="J74" s="451"/>
      <c r="K74" s="465" t="str">
        <f>Translations!$B$79</f>
        <v>Above indicative</v>
      </c>
      <c r="L74" s="466"/>
      <c r="M74" s="467"/>
      <c r="N74" s="468"/>
      <c r="O74" s="119"/>
      <c r="P74" s="119"/>
      <c r="Q74" s="469"/>
      <c r="R74" s="470"/>
      <c r="S74" s="458"/>
      <c r="T74" s="458"/>
      <c r="U74" s="458"/>
      <c r="V74" s="458"/>
      <c r="W74" s="458"/>
      <c r="X74" s="458"/>
      <c r="Y74" s="458"/>
      <c r="Z74" s="585"/>
      <c r="AA74" s="586"/>
      <c r="AB74" s="587"/>
    </row>
    <row r="75" spans="1:28" x14ac:dyDescent="0.2">
      <c r="A75" s="473"/>
      <c r="B75" s="474"/>
      <c r="C75" s="475"/>
      <c r="D75" s="444"/>
      <c r="E75" s="445"/>
      <c r="F75" s="445"/>
      <c r="G75" s="445"/>
      <c r="H75" s="445"/>
      <c r="I75" s="446"/>
      <c r="J75" s="476"/>
      <c r="K75" s="452" t="str">
        <f>Translations!$B$78</f>
        <v>Indicative</v>
      </c>
      <c r="L75" s="453"/>
      <c r="M75" s="454"/>
      <c r="N75" s="455"/>
      <c r="O75" s="456"/>
      <c r="P75" s="457"/>
      <c r="Q75" s="456"/>
      <c r="R75" s="457"/>
      <c r="S75" s="458"/>
      <c r="T75" s="458"/>
      <c r="U75" s="458"/>
      <c r="V75" s="458"/>
      <c r="W75" s="458"/>
      <c r="X75" s="458"/>
      <c r="Y75" s="458"/>
      <c r="Z75" s="459"/>
      <c r="AA75" s="460"/>
      <c r="AB75" s="461"/>
    </row>
    <row r="76" spans="1:28" x14ac:dyDescent="0.2">
      <c r="A76" s="462"/>
      <c r="B76" s="463"/>
      <c r="C76" s="464"/>
      <c r="D76" s="447"/>
      <c r="E76" s="448"/>
      <c r="F76" s="448"/>
      <c r="G76" s="448"/>
      <c r="H76" s="448"/>
      <c r="I76" s="449"/>
      <c r="J76" s="477"/>
      <c r="K76" s="465" t="str">
        <f>Translations!$B$79</f>
        <v>Above indicative</v>
      </c>
      <c r="L76" s="466"/>
      <c r="M76" s="467"/>
      <c r="N76" s="468"/>
      <c r="O76" s="469"/>
      <c r="P76" s="470"/>
      <c r="Q76" s="471"/>
      <c r="R76" s="472"/>
      <c r="S76" s="458"/>
      <c r="T76" s="458"/>
      <c r="U76" s="458"/>
      <c r="V76" s="458"/>
      <c r="W76" s="458"/>
      <c r="X76" s="458"/>
      <c r="Y76" s="458"/>
      <c r="Z76" s="462"/>
      <c r="AA76" s="463"/>
      <c r="AB76" s="464"/>
    </row>
    <row r="77" spans="1:28" x14ac:dyDescent="0.2">
      <c r="A77" s="459" t="str">
        <f ca="1">Translations!$A$72</f>
        <v>Please select…</v>
      </c>
      <c r="B77" s="460"/>
      <c r="C77" s="461"/>
      <c r="D77" s="441"/>
      <c r="E77" s="442"/>
      <c r="F77" s="442"/>
      <c r="G77" s="442"/>
      <c r="H77" s="442"/>
      <c r="I77" s="443"/>
      <c r="J77" s="450"/>
      <c r="K77" s="452" t="str">
        <f>Translations!$B$78</f>
        <v>Indicative</v>
      </c>
      <c r="L77" s="453"/>
      <c r="M77" s="454"/>
      <c r="N77" s="455"/>
      <c r="O77" s="456"/>
      <c r="P77" s="457"/>
      <c r="Q77" s="456"/>
      <c r="R77" s="457"/>
      <c r="S77" s="458"/>
      <c r="T77" s="458"/>
      <c r="U77" s="458"/>
      <c r="V77" s="458"/>
      <c r="W77" s="458"/>
      <c r="X77" s="458"/>
      <c r="Y77" s="458"/>
      <c r="Z77" s="459"/>
      <c r="AA77" s="460"/>
      <c r="AB77" s="461"/>
    </row>
    <row r="78" spans="1:28" x14ac:dyDescent="0.2">
      <c r="A78" s="473"/>
      <c r="B78" s="474"/>
      <c r="C78" s="475"/>
      <c r="D78" s="444"/>
      <c r="E78" s="445"/>
      <c r="F78" s="445"/>
      <c r="G78" s="445"/>
      <c r="H78" s="445"/>
      <c r="I78" s="446"/>
      <c r="J78" s="451"/>
      <c r="K78" s="465" t="str">
        <f>Translations!$B$79</f>
        <v>Above indicative</v>
      </c>
      <c r="L78" s="466"/>
      <c r="M78" s="467"/>
      <c r="N78" s="468"/>
      <c r="O78" s="469"/>
      <c r="P78" s="470"/>
      <c r="Q78" s="471"/>
      <c r="R78" s="472"/>
      <c r="S78" s="458"/>
      <c r="T78" s="458"/>
      <c r="U78" s="458"/>
      <c r="V78" s="458"/>
      <c r="W78" s="458"/>
      <c r="X78" s="458"/>
      <c r="Y78" s="458"/>
      <c r="Z78" s="462"/>
      <c r="AA78" s="463"/>
      <c r="AB78" s="464"/>
    </row>
    <row r="79" spans="1:28" x14ac:dyDescent="0.2">
      <c r="A79" s="473"/>
      <c r="B79" s="474"/>
      <c r="C79" s="475"/>
      <c r="D79" s="444"/>
      <c r="E79" s="445"/>
      <c r="F79" s="445"/>
      <c r="G79" s="445"/>
      <c r="H79" s="445"/>
      <c r="I79" s="446"/>
      <c r="J79" s="476"/>
      <c r="K79" s="452" t="str">
        <f>Translations!$B$78</f>
        <v>Indicative</v>
      </c>
      <c r="L79" s="453"/>
      <c r="M79" s="454"/>
      <c r="N79" s="455"/>
      <c r="O79" s="456"/>
      <c r="P79" s="457"/>
      <c r="Q79" s="456"/>
      <c r="R79" s="457"/>
      <c r="S79" s="458"/>
      <c r="T79" s="458"/>
      <c r="U79" s="458"/>
      <c r="V79" s="458"/>
      <c r="W79" s="458"/>
      <c r="X79" s="458"/>
      <c r="Y79" s="458"/>
      <c r="Z79" s="459"/>
      <c r="AA79" s="460"/>
      <c r="AB79" s="461"/>
    </row>
    <row r="80" spans="1:28" x14ac:dyDescent="0.2">
      <c r="A80" s="462"/>
      <c r="B80" s="463"/>
      <c r="C80" s="464"/>
      <c r="D80" s="447"/>
      <c r="E80" s="448"/>
      <c r="F80" s="448"/>
      <c r="G80" s="448"/>
      <c r="H80" s="448"/>
      <c r="I80" s="449"/>
      <c r="J80" s="477"/>
      <c r="K80" s="465" t="str">
        <f>Translations!$B$79</f>
        <v>Above indicative</v>
      </c>
      <c r="L80" s="466"/>
      <c r="M80" s="467"/>
      <c r="N80" s="468"/>
      <c r="O80" s="469"/>
      <c r="P80" s="470"/>
      <c r="Q80" s="471"/>
      <c r="R80" s="472"/>
      <c r="S80" s="458"/>
      <c r="T80" s="458"/>
      <c r="U80" s="458"/>
      <c r="V80" s="458"/>
      <c r="W80" s="458"/>
      <c r="X80" s="458"/>
      <c r="Y80" s="458"/>
      <c r="Z80" s="462"/>
      <c r="AA80" s="463"/>
      <c r="AB80" s="464"/>
    </row>
    <row r="81" spans="1:28" x14ac:dyDescent="0.2">
      <c r="A81" s="459" t="str">
        <f ca="1">Translations!$A$72</f>
        <v>Please select…</v>
      </c>
      <c r="B81" s="460"/>
      <c r="C81" s="461"/>
      <c r="D81" s="441"/>
      <c r="E81" s="442"/>
      <c r="F81" s="442"/>
      <c r="G81" s="442"/>
      <c r="H81" s="442"/>
      <c r="I81" s="443"/>
      <c r="J81" s="450"/>
      <c r="K81" s="452" t="str">
        <f>Translations!$B$78</f>
        <v>Indicative</v>
      </c>
      <c r="L81" s="453"/>
      <c r="M81" s="454"/>
      <c r="N81" s="455"/>
      <c r="O81" s="456"/>
      <c r="P81" s="457"/>
      <c r="Q81" s="456"/>
      <c r="R81" s="457"/>
      <c r="S81" s="458"/>
      <c r="T81" s="458"/>
      <c r="U81" s="458"/>
      <c r="V81" s="458"/>
      <c r="W81" s="458"/>
      <c r="X81" s="458"/>
      <c r="Y81" s="458"/>
      <c r="Z81" s="459"/>
      <c r="AA81" s="460"/>
      <c r="AB81" s="461"/>
    </row>
    <row r="82" spans="1:28" x14ac:dyDescent="0.2">
      <c r="A82" s="473"/>
      <c r="B82" s="474"/>
      <c r="C82" s="475"/>
      <c r="D82" s="444"/>
      <c r="E82" s="445"/>
      <c r="F82" s="445"/>
      <c r="G82" s="445"/>
      <c r="H82" s="445"/>
      <c r="I82" s="446"/>
      <c r="J82" s="451"/>
      <c r="K82" s="465" t="str">
        <f>Translations!$B$79</f>
        <v>Above indicative</v>
      </c>
      <c r="L82" s="466"/>
      <c r="M82" s="467"/>
      <c r="N82" s="468"/>
      <c r="O82" s="469"/>
      <c r="P82" s="470"/>
      <c r="Q82" s="471"/>
      <c r="R82" s="472"/>
      <c r="S82" s="458"/>
      <c r="T82" s="458"/>
      <c r="U82" s="458"/>
      <c r="V82" s="458"/>
      <c r="W82" s="458"/>
      <c r="X82" s="458"/>
      <c r="Y82" s="458"/>
      <c r="Z82" s="462"/>
      <c r="AA82" s="463"/>
      <c r="AB82" s="464"/>
    </row>
    <row r="83" spans="1:28" x14ac:dyDescent="0.2">
      <c r="A83" s="473"/>
      <c r="B83" s="474"/>
      <c r="C83" s="475"/>
      <c r="D83" s="444"/>
      <c r="E83" s="445"/>
      <c r="F83" s="445"/>
      <c r="G83" s="445"/>
      <c r="H83" s="445"/>
      <c r="I83" s="446"/>
      <c r="J83" s="450"/>
      <c r="K83" s="452" t="str">
        <f>Translations!$B$78</f>
        <v>Indicative</v>
      </c>
      <c r="L83" s="453"/>
      <c r="M83" s="454"/>
      <c r="N83" s="455"/>
      <c r="O83" s="456"/>
      <c r="P83" s="457"/>
      <c r="Q83" s="456"/>
      <c r="R83" s="457"/>
      <c r="S83" s="458"/>
      <c r="T83" s="458"/>
      <c r="U83" s="458"/>
      <c r="V83" s="458"/>
      <c r="W83" s="458"/>
      <c r="X83" s="458"/>
      <c r="Y83" s="458"/>
      <c r="Z83" s="458"/>
      <c r="AA83" s="458"/>
      <c r="AB83" s="458"/>
    </row>
    <row r="84" spans="1:28" x14ac:dyDescent="0.2">
      <c r="A84" s="462"/>
      <c r="B84" s="463"/>
      <c r="C84" s="464"/>
      <c r="D84" s="447"/>
      <c r="E84" s="448"/>
      <c r="F84" s="448"/>
      <c r="G84" s="448"/>
      <c r="H84" s="448"/>
      <c r="I84" s="449"/>
      <c r="J84" s="451"/>
      <c r="K84" s="465" t="str">
        <f>Translations!$B$79</f>
        <v>Above indicative</v>
      </c>
      <c r="L84" s="466"/>
      <c r="M84" s="469"/>
      <c r="N84" s="470"/>
      <c r="O84" s="469"/>
      <c r="P84" s="470"/>
      <c r="Q84" s="469"/>
      <c r="R84" s="470"/>
      <c r="S84" s="458"/>
      <c r="T84" s="458"/>
      <c r="U84" s="458"/>
      <c r="V84" s="458"/>
      <c r="W84" s="458"/>
      <c r="X84" s="458"/>
      <c r="Y84" s="458"/>
      <c r="Z84" s="458"/>
      <c r="AA84" s="458"/>
      <c r="AB84" s="458"/>
    </row>
  </sheetData>
  <sheetProtection formatCells="0" formatColumns="0" formatRows="0" insertRows="0" deleteRows="0" selectLockedCells="1" sort="0" autoFilter="0"/>
  <mergeCells count="332">
    <mergeCell ref="A73:C76"/>
    <mergeCell ref="D73:I76"/>
    <mergeCell ref="J73:J74"/>
    <mergeCell ref="S73:Y74"/>
    <mergeCell ref="Z73:AB74"/>
    <mergeCell ref="J75:J76"/>
    <mergeCell ref="S75:Y76"/>
    <mergeCell ref="A77:C80"/>
    <mergeCell ref="S79:Y80"/>
    <mergeCell ref="K75:L75"/>
    <mergeCell ref="M75:N75"/>
    <mergeCell ref="O75:P75"/>
    <mergeCell ref="Q75:R75"/>
    <mergeCell ref="Z79:AB80"/>
    <mergeCell ref="K80:L80"/>
    <mergeCell ref="M80:N80"/>
    <mergeCell ref="O80:P80"/>
    <mergeCell ref="Q80:R80"/>
    <mergeCell ref="A69:C72"/>
    <mergeCell ref="D69:I72"/>
    <mergeCell ref="J69:J70"/>
    <mergeCell ref="S69:Y70"/>
    <mergeCell ref="K69:L69"/>
    <mergeCell ref="M69:N69"/>
    <mergeCell ref="A65:C68"/>
    <mergeCell ref="D65:I68"/>
    <mergeCell ref="J65:J66"/>
    <mergeCell ref="K65:L65"/>
    <mergeCell ref="S65:Y66"/>
    <mergeCell ref="Q71:R71"/>
    <mergeCell ref="K72:L72"/>
    <mergeCell ref="M72:N72"/>
    <mergeCell ref="O72:P72"/>
    <mergeCell ref="Q72:R72"/>
    <mergeCell ref="Z65:AB66"/>
    <mergeCell ref="J67:J68"/>
    <mergeCell ref="S67:Y68"/>
    <mergeCell ref="Z67:AB68"/>
    <mergeCell ref="M65:N65"/>
    <mergeCell ref="O65:P65"/>
    <mergeCell ref="Q65:R65"/>
    <mergeCell ref="K66:L66"/>
    <mergeCell ref="M66:N66"/>
    <mergeCell ref="O66:P66"/>
    <mergeCell ref="Q66:R66"/>
    <mergeCell ref="K68:L68"/>
    <mergeCell ref="M68:N68"/>
    <mergeCell ref="O68:P68"/>
    <mergeCell ref="Q68:R68"/>
    <mergeCell ref="K67:L67"/>
    <mergeCell ref="M67:N67"/>
    <mergeCell ref="O67:P67"/>
    <mergeCell ref="Q67:R67"/>
    <mergeCell ref="Z63:AB64"/>
    <mergeCell ref="D64:I64"/>
    <mergeCell ref="M64:N64"/>
    <mergeCell ref="O64:P64"/>
    <mergeCell ref="Q64:R64"/>
    <mergeCell ref="S64:Y64"/>
    <mergeCell ref="A62:E62"/>
    <mergeCell ref="J62:P62"/>
    <mergeCell ref="Q62:R62"/>
    <mergeCell ref="S62:U62"/>
    <mergeCell ref="A63:C64"/>
    <mergeCell ref="D63:I63"/>
    <mergeCell ref="J63:J64"/>
    <mergeCell ref="K63:R63"/>
    <mergeCell ref="S63:Y63"/>
    <mergeCell ref="S57:AB60"/>
    <mergeCell ref="G59:G60"/>
    <mergeCell ref="K59:L60"/>
    <mergeCell ref="N59:N60"/>
    <mergeCell ref="P59:P60"/>
    <mergeCell ref="R59:R60"/>
    <mergeCell ref="N55:N56"/>
    <mergeCell ref="P55:P56"/>
    <mergeCell ref="R55:R56"/>
    <mergeCell ref="N57:N58"/>
    <mergeCell ref="P57:P58"/>
    <mergeCell ref="R57:R58"/>
    <mergeCell ref="S53:AB56"/>
    <mergeCell ref="A57:C60"/>
    <mergeCell ref="D57:D60"/>
    <mergeCell ref="E57:F60"/>
    <mergeCell ref="G57:G58"/>
    <mergeCell ref="H57:H60"/>
    <mergeCell ref="I57:I60"/>
    <mergeCell ref="J57:J60"/>
    <mergeCell ref="G51:G52"/>
    <mergeCell ref="K51:L52"/>
    <mergeCell ref="K57:L58"/>
    <mergeCell ref="D49:D52"/>
    <mergeCell ref="E49:F52"/>
    <mergeCell ref="G49:G50"/>
    <mergeCell ref="N51:N52"/>
    <mergeCell ref="P51:P52"/>
    <mergeCell ref="R51:R52"/>
    <mergeCell ref="A53:C56"/>
    <mergeCell ref="D53:D56"/>
    <mergeCell ref="E53:F56"/>
    <mergeCell ref="G53:G54"/>
    <mergeCell ref="H53:H56"/>
    <mergeCell ref="H49:H52"/>
    <mergeCell ref="I49:I52"/>
    <mergeCell ref="J49:J52"/>
    <mergeCell ref="K49:L50"/>
    <mergeCell ref="N49:N50"/>
    <mergeCell ref="P49:P50"/>
    <mergeCell ref="K53:L54"/>
    <mergeCell ref="N53:N54"/>
    <mergeCell ref="P53:P54"/>
    <mergeCell ref="R53:R54"/>
    <mergeCell ref="I53:I56"/>
    <mergeCell ref="J53:J56"/>
    <mergeCell ref="G55:G56"/>
    <mergeCell ref="R49:R50"/>
    <mergeCell ref="K55:L56"/>
    <mergeCell ref="A49:C52"/>
    <mergeCell ref="J47:J48"/>
    <mergeCell ref="N47:N48"/>
    <mergeCell ref="P47:P48"/>
    <mergeCell ref="R47:R48"/>
    <mergeCell ref="M45:R45"/>
    <mergeCell ref="S45:AB45"/>
    <mergeCell ref="M46:N46"/>
    <mergeCell ref="O46:P46"/>
    <mergeCell ref="Q46:R46"/>
    <mergeCell ref="S46:AB48"/>
    <mergeCell ref="I38:J38"/>
    <mergeCell ref="L38:N38"/>
    <mergeCell ref="O38:P38"/>
    <mergeCell ref="Q38:R38"/>
    <mergeCell ref="S38:T38"/>
    <mergeCell ref="B37:H37"/>
    <mergeCell ref="I37:J37"/>
    <mergeCell ref="L37:N37"/>
    <mergeCell ref="O37:P37"/>
    <mergeCell ref="Q37:R37"/>
    <mergeCell ref="S37:T37"/>
    <mergeCell ref="B21:H21"/>
    <mergeCell ref="I21:J21"/>
    <mergeCell ref="L21:N21"/>
    <mergeCell ref="O21:P21"/>
    <mergeCell ref="Q21:R21"/>
    <mergeCell ref="S21:T21"/>
    <mergeCell ref="B20:H20"/>
    <mergeCell ref="I20:J20"/>
    <mergeCell ref="L20:N20"/>
    <mergeCell ref="O20:P20"/>
    <mergeCell ref="Q20:R20"/>
    <mergeCell ref="S20:T20"/>
    <mergeCell ref="A23:Z23"/>
    <mergeCell ref="B25:Z25"/>
    <mergeCell ref="A32:A34"/>
    <mergeCell ref="B32:H34"/>
    <mergeCell ref="I32:N32"/>
    <mergeCell ref="O32:T32"/>
    <mergeCell ref="U32:Z34"/>
    <mergeCell ref="B29:Z29"/>
    <mergeCell ref="B30:Z30"/>
    <mergeCell ref="A24:Z24"/>
    <mergeCell ref="B26:Z26"/>
    <mergeCell ref="B27:Z27"/>
    <mergeCell ref="B28:Z28"/>
    <mergeCell ref="S4:T4"/>
    <mergeCell ref="K5:R5"/>
    <mergeCell ref="S5:T5"/>
    <mergeCell ref="U5:X5"/>
    <mergeCell ref="Y5:Z5"/>
    <mergeCell ref="K6:R6"/>
    <mergeCell ref="S6:T6"/>
    <mergeCell ref="U6:X6"/>
    <mergeCell ref="Y6:Z6"/>
    <mergeCell ref="P1:T1"/>
    <mergeCell ref="K3:R3"/>
    <mergeCell ref="S3:T3"/>
    <mergeCell ref="U3:Z4"/>
    <mergeCell ref="K4:R4"/>
    <mergeCell ref="O84:P84"/>
    <mergeCell ref="Q84:R84"/>
    <mergeCell ref="M82:N82"/>
    <mergeCell ref="O82:P82"/>
    <mergeCell ref="Q82:R82"/>
    <mergeCell ref="M83:N83"/>
    <mergeCell ref="O83:P83"/>
    <mergeCell ref="Q83:R83"/>
    <mergeCell ref="M84:N84"/>
    <mergeCell ref="K73:L73"/>
    <mergeCell ref="M73:N73"/>
    <mergeCell ref="O73:P73"/>
    <mergeCell ref="Q73:R73"/>
    <mergeCell ref="K74:L74"/>
    <mergeCell ref="M74:N74"/>
    <mergeCell ref="Q74:R74"/>
    <mergeCell ref="K71:L71"/>
    <mergeCell ref="S71:Y72"/>
    <mergeCell ref="S49:AB52"/>
    <mergeCell ref="A81:C84"/>
    <mergeCell ref="J83:J84"/>
    <mergeCell ref="K77:L77"/>
    <mergeCell ref="M77:N77"/>
    <mergeCell ref="O77:P77"/>
    <mergeCell ref="Q77:R77"/>
    <mergeCell ref="J71:J72"/>
    <mergeCell ref="Z77:AB78"/>
    <mergeCell ref="K78:L78"/>
    <mergeCell ref="M78:N78"/>
    <mergeCell ref="O78:P78"/>
    <mergeCell ref="Q78:R78"/>
    <mergeCell ref="J79:J80"/>
    <mergeCell ref="K79:L79"/>
    <mergeCell ref="M79:N79"/>
    <mergeCell ref="O79:P79"/>
    <mergeCell ref="Q79:R79"/>
    <mergeCell ref="D77:I80"/>
    <mergeCell ref="J77:J78"/>
    <mergeCell ref="S77:Y78"/>
    <mergeCell ref="K76:L76"/>
    <mergeCell ref="M76:N76"/>
    <mergeCell ref="O76:P76"/>
    <mergeCell ref="Q76:R76"/>
    <mergeCell ref="D81:I84"/>
    <mergeCell ref="J81:J82"/>
    <mergeCell ref="K81:L81"/>
    <mergeCell ref="M81:N81"/>
    <mergeCell ref="O81:P81"/>
    <mergeCell ref="Q81:R81"/>
    <mergeCell ref="S81:Y82"/>
    <mergeCell ref="Z69:AB70"/>
    <mergeCell ref="K70:L70"/>
    <mergeCell ref="M70:N70"/>
    <mergeCell ref="O70:P70"/>
    <mergeCell ref="Q70:R70"/>
    <mergeCell ref="O69:P69"/>
    <mergeCell ref="Q69:R69"/>
    <mergeCell ref="M71:N71"/>
    <mergeCell ref="O71:P71"/>
    <mergeCell ref="Z71:AB72"/>
    <mergeCell ref="Z81:AB82"/>
    <mergeCell ref="K82:L82"/>
    <mergeCell ref="K83:L83"/>
    <mergeCell ref="S83:Y84"/>
    <mergeCell ref="Z83:AB84"/>
    <mergeCell ref="K84:L84"/>
    <mergeCell ref="Z75:AB76"/>
    <mergeCell ref="R44:AB44"/>
    <mergeCell ref="A45:C48"/>
    <mergeCell ref="D45:D48"/>
    <mergeCell ref="E45:F48"/>
    <mergeCell ref="G45:J46"/>
    <mergeCell ref="K45:L48"/>
    <mergeCell ref="H47:H48"/>
    <mergeCell ref="I47:I48"/>
    <mergeCell ref="B36:H36"/>
    <mergeCell ref="I36:J36"/>
    <mergeCell ref="L36:N36"/>
    <mergeCell ref="O36:P36"/>
    <mergeCell ref="Q36:R36"/>
    <mergeCell ref="S36:T36"/>
    <mergeCell ref="B39:H39"/>
    <mergeCell ref="I39:J39"/>
    <mergeCell ref="L39:N39"/>
    <mergeCell ref="O39:P39"/>
    <mergeCell ref="Q39:R39"/>
    <mergeCell ref="S39:T39"/>
    <mergeCell ref="A41:AB41"/>
    <mergeCell ref="A43:B43"/>
    <mergeCell ref="D43:J43"/>
    <mergeCell ref="B38:H38"/>
    <mergeCell ref="B35:H35"/>
    <mergeCell ref="I35:J35"/>
    <mergeCell ref="O34:P34"/>
    <mergeCell ref="Q34:R34"/>
    <mergeCell ref="S34:T34"/>
    <mergeCell ref="O35:P35"/>
    <mergeCell ref="I33:J34"/>
    <mergeCell ref="K33:K34"/>
    <mergeCell ref="L33:N34"/>
    <mergeCell ref="O33:P33"/>
    <mergeCell ref="Q33:R33"/>
    <mergeCell ref="S33:T33"/>
    <mergeCell ref="L35:N35"/>
    <mergeCell ref="Q35:R35"/>
    <mergeCell ref="S35:T35"/>
    <mergeCell ref="B19:H19"/>
    <mergeCell ref="I19:J19"/>
    <mergeCell ref="L19:N19"/>
    <mergeCell ref="O19:P19"/>
    <mergeCell ref="Q19:R19"/>
    <mergeCell ref="S19:T19"/>
    <mergeCell ref="B18:H18"/>
    <mergeCell ref="I18:J18"/>
    <mergeCell ref="L18:N18"/>
    <mergeCell ref="O18:P18"/>
    <mergeCell ref="Q18:R18"/>
    <mergeCell ref="S18:T18"/>
    <mergeCell ref="O17:P17"/>
    <mergeCell ref="Q17:R17"/>
    <mergeCell ref="S17:T17"/>
    <mergeCell ref="B17:H17"/>
    <mergeCell ref="I17:J17"/>
    <mergeCell ref="L17:N17"/>
    <mergeCell ref="A14:A16"/>
    <mergeCell ref="B14:H16"/>
    <mergeCell ref="I14:N14"/>
    <mergeCell ref="A7:Y7"/>
    <mergeCell ref="A9:Z9"/>
    <mergeCell ref="B11:Z11"/>
    <mergeCell ref="B12:Z12"/>
    <mergeCell ref="A8:Z8"/>
    <mergeCell ref="B10:Z10"/>
    <mergeCell ref="O14:T14"/>
    <mergeCell ref="U14:Z16"/>
    <mergeCell ref="I15:J16"/>
    <mergeCell ref="K15:K16"/>
    <mergeCell ref="L15:N16"/>
    <mergeCell ref="O15:P15"/>
    <mergeCell ref="Q15:R15"/>
    <mergeCell ref="S15:T15"/>
    <mergeCell ref="O16:P16"/>
    <mergeCell ref="Q16:R16"/>
    <mergeCell ref="S16:T16"/>
    <mergeCell ref="A5:C5"/>
    <mergeCell ref="D5:G5"/>
    <mergeCell ref="H5:J6"/>
    <mergeCell ref="A6:C6"/>
    <mergeCell ref="D6:G6"/>
    <mergeCell ref="A3:C3"/>
    <mergeCell ref="D3:G3"/>
    <mergeCell ref="H3:J4"/>
    <mergeCell ref="A4:C4"/>
    <mergeCell ref="D4:G4"/>
  </mergeCells>
  <dataValidations count="14">
    <dataValidation type="list" allowBlank="1" showInputMessage="1" showErrorMessage="1" sqref="D43:J43">
      <formula1>ModulesInCmp</formula1>
    </dataValidation>
    <dataValidation type="list" allowBlank="1" prompt="Please select a data source" sqref="L35:N39">
      <formula1>DataSrcInCmp</formula1>
    </dataValidation>
    <dataValidation type="list" allowBlank="1" showInputMessage="1" showErrorMessage="1" sqref="L17:N21 J49:J60">
      <formula1>DataSrcInCmp</formula1>
    </dataValidation>
    <dataValidation type="list" allowBlank="1" showInputMessage="1" showErrorMessage="1" sqref="B35:H39">
      <formula1>OutcomeIndInCmp</formula1>
    </dataValidation>
    <dataValidation type="list" allowBlank="1" prompt="Please select an indicator" sqref="B17:H21">
      <formula1>ImpactIndInCmp</formula1>
    </dataValidation>
    <dataValidation type="list" allowBlank="1" showInputMessage="1" showErrorMessage="1" sqref="J65:J84">
      <formula1>$S$3:$S$6</formula1>
    </dataValidation>
    <dataValidation type="list" allowBlank="1" showInputMessage="1" sqref="D49:D60">
      <formula1>$S$3:$S$6</formula1>
    </dataValidation>
    <dataValidation type="list" allowBlank="1" showInputMessage="1" showErrorMessage="1" sqref="K3:K6 L5:R6">
      <formula1>PRsInApplicant</formula1>
    </dataValidation>
    <dataValidation type="list" allowBlank="1" showInputMessage="1" showErrorMessage="1" sqref="P1">
      <formula1>"English,French,Spanish,Russian"</formula1>
    </dataValidation>
    <dataValidation type="list" allowBlank="1" showInputMessage="1" showErrorMessage="1" sqref="E49:F60">
      <formula1>TiedTo</formula1>
    </dataValidation>
    <dataValidation allowBlank="1" showInputMessage="1" sqref="U35:U39 U17:U21 U14 AA35:AA39 U32 AA32 Z7"/>
    <dataValidation type="list" allowBlank="1" showInputMessage="1" showErrorMessage="1" sqref="D5:G5">
      <formula1>Years</formula1>
    </dataValidation>
    <dataValidation type="list" allowBlank="1" showInputMessage="1" sqref="D3:G3">
      <formula1>Country_Applicant</formula1>
    </dataValidation>
    <dataValidation type="list" allowBlank="1" showInputMessage="1" showErrorMessage="1" sqref="D6:G6">
      <formula1>Months</formula1>
    </dataValidation>
  </dataValidations>
  <pageMargins left="0.7" right="0.7" top="0.75" bottom="0.75" header="0.3" footer="0.3"/>
  <pageSetup paperSize="8" scale="31" fitToHeight="0" orientation="landscape" r:id="rId1"/>
  <headerFooter alignWithMargins="0"/>
  <legacyDrawing r:id="rId2"/>
  <extLst>
    <ext xmlns:x14="http://schemas.microsoft.com/office/spreadsheetml/2009/9/main" uri="{CCE6A557-97BC-4b89-ADB6-D9C93CAAB3DF}">
      <x14:dataValidations xmlns:xm="http://schemas.microsoft.com/office/excel/2006/main" count="9">
        <x14:dataValidation type="list" allowBlank="1" showInputMessage="1">
          <x14:formula1>
            <xm:f>Cmp!$C$2:$C$5</xm:f>
          </x14:formula1>
          <xm:sqref>D4:G4</xm:sqref>
        </x14:dataValidation>
        <x14:dataValidation type="list" allowBlank="1" showInputMessage="1" showErrorMessage="1">
          <x14:formula1>
            <xm:f>OFFSET('Coverage ind'!$E$1,MATCH(AM44,'Coverage ind'!$A:$A,0)-1,0,COUNTIF('Coverage ind'!$A:$A,AM44),1)</xm:f>
          </x14:formula1>
          <xm:sqref>A57:C60</xm:sqref>
        </x14:dataValidation>
        <x14:dataValidation type="list" allowBlank="1" showInputMessage="1" showErrorMessage="1">
          <x14:formula1>
            <xm:f>OFFSET('Coverage ind'!$E$1,MATCH(AM44,'Coverage ind'!$A:$A,0)-1,0,COUNTIF('Coverage ind'!$A:$A,AM44),1)</xm:f>
          </x14:formula1>
          <xm:sqref>A53:C56</xm:sqref>
        </x14:dataValidation>
        <x14:dataValidation type="list" allowBlank="1" showInputMessage="1" showErrorMessage="1">
          <x14:formula1>
            <xm:f>OFFSET('Coverage ind'!$E$1,MATCH(AM44,'Coverage ind'!$A:$A,0)-1,0,COUNTIF('Coverage ind'!$A:$A,AM44),1)</xm:f>
          </x14:formula1>
          <xm:sqref>A49:C52</xm:sqref>
        </x14:dataValidation>
        <x14:dataValidation type="list" allowBlank="1" showInputMessage="1" showErrorMessage="1">
          <x14:formula1>
            <xm:f>OFFSET(Interven!$E$1,MATCH(AM44,Interven!$A:$A,0)-1,0,COUNTIF(Interven!$A:$A,AM44),1)</xm:f>
          </x14:formula1>
          <xm:sqref>A81:C84</xm:sqref>
        </x14:dataValidation>
        <x14:dataValidation type="list" allowBlank="1" showInputMessage="1" showErrorMessage="1">
          <x14:formula1>
            <xm:f>OFFSET(Interven!$E$1,MATCH(AM44,Interven!$A:$A,0)-1,0,COUNTIF(Interven!$A:$A,AM44),1)</xm:f>
          </x14:formula1>
          <xm:sqref>A77:C80</xm:sqref>
        </x14:dataValidation>
        <x14:dataValidation type="list" allowBlank="1" showInputMessage="1" showErrorMessage="1">
          <x14:formula1>
            <xm:f>OFFSET(Interven!$E$1,MATCH(AM44,Interven!$A:$A,0)-1,0,COUNTIF(Interven!$A:$A,AM44),1)</xm:f>
          </x14:formula1>
          <xm:sqref>A73:C76</xm:sqref>
        </x14:dataValidation>
        <x14:dataValidation type="list" allowBlank="1" showInputMessage="1" showErrorMessage="1">
          <x14:formula1>
            <xm:f>OFFSET(Interven!$E$1,MATCH(AM44,Interven!$A:$A,0)-1,0,COUNTIF(Interven!$A:$A,AM44),1)</xm:f>
          </x14:formula1>
          <xm:sqref>A69:C72</xm:sqref>
        </x14:dataValidation>
        <x14:dataValidation type="list" allowBlank="1" showInputMessage="1" showErrorMessage="1">
          <x14:formula1>
            <xm:f>OFFSET(Interven!$E$1,MATCH(AM44,Interven!$A:$A,0)-1,0,COUNTIF(Interven!$A:$A,AM44),1)</xm:f>
          </x14:formula1>
          <xm:sqref>A65:C68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84"/>
  <sheetViews>
    <sheetView zoomScale="85" zoomScaleNormal="85" zoomScaleSheetLayoutView="25" workbookViewId="0">
      <selection activeCell="AC35" sqref="AC35"/>
    </sheetView>
  </sheetViews>
  <sheetFormatPr defaultRowHeight="15" x14ac:dyDescent="0.2"/>
  <cols>
    <col min="1" max="3" width="9.140625" style="246"/>
    <col min="4" max="4" width="13.28515625" style="246" customWidth="1"/>
    <col min="5" max="9" width="9.140625" style="246"/>
    <col min="10" max="10" width="13.5703125" style="246" customWidth="1"/>
    <col min="11" max="259" width="9.140625" style="246"/>
    <col min="260" max="260" width="13.28515625" style="246" customWidth="1"/>
    <col min="261" max="265" width="9.140625" style="246"/>
    <col min="266" max="266" width="13.5703125" style="246" customWidth="1"/>
    <col min="267" max="515" width="9.140625" style="246"/>
    <col min="516" max="516" width="13.28515625" style="246" customWidth="1"/>
    <col min="517" max="521" width="9.140625" style="246"/>
    <col min="522" max="522" width="13.5703125" style="246" customWidth="1"/>
    <col min="523" max="771" width="9.140625" style="246"/>
    <col min="772" max="772" width="13.28515625" style="246" customWidth="1"/>
    <col min="773" max="777" width="9.140625" style="246"/>
    <col min="778" max="778" width="13.5703125" style="246" customWidth="1"/>
    <col min="779" max="1027" width="9.140625" style="246"/>
    <col min="1028" max="1028" width="13.28515625" style="246" customWidth="1"/>
    <col min="1029" max="1033" width="9.140625" style="246"/>
    <col min="1034" max="1034" width="13.5703125" style="246" customWidth="1"/>
    <col min="1035" max="1283" width="9.140625" style="246"/>
    <col min="1284" max="1284" width="13.28515625" style="246" customWidth="1"/>
    <col min="1285" max="1289" width="9.140625" style="246"/>
    <col min="1290" max="1290" width="13.5703125" style="246" customWidth="1"/>
    <col min="1291" max="1539" width="9.140625" style="246"/>
    <col min="1540" max="1540" width="13.28515625" style="246" customWidth="1"/>
    <col min="1541" max="1545" width="9.140625" style="246"/>
    <col min="1546" max="1546" width="13.5703125" style="246" customWidth="1"/>
    <col min="1547" max="1795" width="9.140625" style="246"/>
    <col min="1796" max="1796" width="13.28515625" style="246" customWidth="1"/>
    <col min="1797" max="1801" width="9.140625" style="246"/>
    <col min="1802" max="1802" width="13.5703125" style="246" customWidth="1"/>
    <col min="1803" max="2051" width="9.140625" style="246"/>
    <col min="2052" max="2052" width="13.28515625" style="246" customWidth="1"/>
    <col min="2053" max="2057" width="9.140625" style="246"/>
    <col min="2058" max="2058" width="13.5703125" style="246" customWidth="1"/>
    <col min="2059" max="2307" width="9.140625" style="246"/>
    <col min="2308" max="2308" width="13.28515625" style="246" customWidth="1"/>
    <col min="2309" max="2313" width="9.140625" style="246"/>
    <col min="2314" max="2314" width="13.5703125" style="246" customWidth="1"/>
    <col min="2315" max="2563" width="9.140625" style="246"/>
    <col min="2564" max="2564" width="13.28515625" style="246" customWidth="1"/>
    <col min="2565" max="2569" width="9.140625" style="246"/>
    <col min="2570" max="2570" width="13.5703125" style="246" customWidth="1"/>
    <col min="2571" max="2819" width="9.140625" style="246"/>
    <col min="2820" max="2820" width="13.28515625" style="246" customWidth="1"/>
    <col min="2821" max="2825" width="9.140625" style="246"/>
    <col min="2826" max="2826" width="13.5703125" style="246" customWidth="1"/>
    <col min="2827" max="3075" width="9.140625" style="246"/>
    <col min="3076" max="3076" width="13.28515625" style="246" customWidth="1"/>
    <col min="3077" max="3081" width="9.140625" style="246"/>
    <col min="3082" max="3082" width="13.5703125" style="246" customWidth="1"/>
    <col min="3083" max="3331" width="9.140625" style="246"/>
    <col min="3332" max="3332" width="13.28515625" style="246" customWidth="1"/>
    <col min="3333" max="3337" width="9.140625" style="246"/>
    <col min="3338" max="3338" width="13.5703125" style="246" customWidth="1"/>
    <col min="3339" max="3587" width="9.140625" style="246"/>
    <col min="3588" max="3588" width="13.28515625" style="246" customWidth="1"/>
    <col min="3589" max="3593" width="9.140625" style="246"/>
    <col min="3594" max="3594" width="13.5703125" style="246" customWidth="1"/>
    <col min="3595" max="3843" width="9.140625" style="246"/>
    <col min="3844" max="3844" width="13.28515625" style="246" customWidth="1"/>
    <col min="3845" max="3849" width="9.140625" style="246"/>
    <col min="3850" max="3850" width="13.5703125" style="246" customWidth="1"/>
    <col min="3851" max="4099" width="9.140625" style="246"/>
    <col min="4100" max="4100" width="13.28515625" style="246" customWidth="1"/>
    <col min="4101" max="4105" width="9.140625" style="246"/>
    <col min="4106" max="4106" width="13.5703125" style="246" customWidth="1"/>
    <col min="4107" max="4355" width="9.140625" style="246"/>
    <col min="4356" max="4356" width="13.28515625" style="246" customWidth="1"/>
    <col min="4357" max="4361" width="9.140625" style="246"/>
    <col min="4362" max="4362" width="13.5703125" style="246" customWidth="1"/>
    <col min="4363" max="4611" width="9.140625" style="246"/>
    <col min="4612" max="4612" width="13.28515625" style="246" customWidth="1"/>
    <col min="4613" max="4617" width="9.140625" style="246"/>
    <col min="4618" max="4618" width="13.5703125" style="246" customWidth="1"/>
    <col min="4619" max="4867" width="9.140625" style="246"/>
    <col min="4868" max="4868" width="13.28515625" style="246" customWidth="1"/>
    <col min="4869" max="4873" width="9.140625" style="246"/>
    <col min="4874" max="4874" width="13.5703125" style="246" customWidth="1"/>
    <col min="4875" max="5123" width="9.140625" style="246"/>
    <col min="5124" max="5124" width="13.28515625" style="246" customWidth="1"/>
    <col min="5125" max="5129" width="9.140625" style="246"/>
    <col min="5130" max="5130" width="13.5703125" style="246" customWidth="1"/>
    <col min="5131" max="5379" width="9.140625" style="246"/>
    <col min="5380" max="5380" width="13.28515625" style="246" customWidth="1"/>
    <col min="5381" max="5385" width="9.140625" style="246"/>
    <col min="5386" max="5386" width="13.5703125" style="246" customWidth="1"/>
    <col min="5387" max="5635" width="9.140625" style="246"/>
    <col min="5636" max="5636" width="13.28515625" style="246" customWidth="1"/>
    <col min="5637" max="5641" width="9.140625" style="246"/>
    <col min="5642" max="5642" width="13.5703125" style="246" customWidth="1"/>
    <col min="5643" max="5891" width="9.140625" style="246"/>
    <col min="5892" max="5892" width="13.28515625" style="246" customWidth="1"/>
    <col min="5893" max="5897" width="9.140625" style="246"/>
    <col min="5898" max="5898" width="13.5703125" style="246" customWidth="1"/>
    <col min="5899" max="6147" width="9.140625" style="246"/>
    <col min="6148" max="6148" width="13.28515625" style="246" customWidth="1"/>
    <col min="6149" max="6153" width="9.140625" style="246"/>
    <col min="6154" max="6154" width="13.5703125" style="246" customWidth="1"/>
    <col min="6155" max="6403" width="9.140625" style="246"/>
    <col min="6404" max="6404" width="13.28515625" style="246" customWidth="1"/>
    <col min="6405" max="6409" width="9.140625" style="246"/>
    <col min="6410" max="6410" width="13.5703125" style="246" customWidth="1"/>
    <col min="6411" max="6659" width="9.140625" style="246"/>
    <col min="6660" max="6660" width="13.28515625" style="246" customWidth="1"/>
    <col min="6661" max="6665" width="9.140625" style="246"/>
    <col min="6666" max="6666" width="13.5703125" style="246" customWidth="1"/>
    <col min="6667" max="6915" width="9.140625" style="246"/>
    <col min="6916" max="6916" width="13.28515625" style="246" customWidth="1"/>
    <col min="6917" max="6921" width="9.140625" style="246"/>
    <col min="6922" max="6922" width="13.5703125" style="246" customWidth="1"/>
    <col min="6923" max="7171" width="9.140625" style="246"/>
    <col min="7172" max="7172" width="13.28515625" style="246" customWidth="1"/>
    <col min="7173" max="7177" width="9.140625" style="246"/>
    <col min="7178" max="7178" width="13.5703125" style="246" customWidth="1"/>
    <col min="7179" max="7427" width="9.140625" style="246"/>
    <col min="7428" max="7428" width="13.28515625" style="246" customWidth="1"/>
    <col min="7429" max="7433" width="9.140625" style="246"/>
    <col min="7434" max="7434" width="13.5703125" style="246" customWidth="1"/>
    <col min="7435" max="7683" width="9.140625" style="246"/>
    <col min="7684" max="7684" width="13.28515625" style="246" customWidth="1"/>
    <col min="7685" max="7689" width="9.140625" style="246"/>
    <col min="7690" max="7690" width="13.5703125" style="246" customWidth="1"/>
    <col min="7691" max="7939" width="9.140625" style="246"/>
    <col min="7940" max="7940" width="13.28515625" style="246" customWidth="1"/>
    <col min="7941" max="7945" width="9.140625" style="246"/>
    <col min="7946" max="7946" width="13.5703125" style="246" customWidth="1"/>
    <col min="7947" max="8195" width="9.140625" style="246"/>
    <col min="8196" max="8196" width="13.28515625" style="246" customWidth="1"/>
    <col min="8197" max="8201" width="9.140625" style="246"/>
    <col min="8202" max="8202" width="13.5703125" style="246" customWidth="1"/>
    <col min="8203" max="8451" width="9.140625" style="246"/>
    <col min="8452" max="8452" width="13.28515625" style="246" customWidth="1"/>
    <col min="8453" max="8457" width="9.140625" style="246"/>
    <col min="8458" max="8458" width="13.5703125" style="246" customWidth="1"/>
    <col min="8459" max="8707" width="9.140625" style="246"/>
    <col min="8708" max="8708" width="13.28515625" style="246" customWidth="1"/>
    <col min="8709" max="8713" width="9.140625" style="246"/>
    <col min="8714" max="8714" width="13.5703125" style="246" customWidth="1"/>
    <col min="8715" max="8963" width="9.140625" style="246"/>
    <col min="8964" max="8964" width="13.28515625" style="246" customWidth="1"/>
    <col min="8965" max="8969" width="9.140625" style="246"/>
    <col min="8970" max="8970" width="13.5703125" style="246" customWidth="1"/>
    <col min="8971" max="9219" width="9.140625" style="246"/>
    <col min="9220" max="9220" width="13.28515625" style="246" customWidth="1"/>
    <col min="9221" max="9225" width="9.140625" style="246"/>
    <col min="9226" max="9226" width="13.5703125" style="246" customWidth="1"/>
    <col min="9227" max="9475" width="9.140625" style="246"/>
    <col min="9476" max="9476" width="13.28515625" style="246" customWidth="1"/>
    <col min="9477" max="9481" width="9.140625" style="246"/>
    <col min="9482" max="9482" width="13.5703125" style="246" customWidth="1"/>
    <col min="9483" max="9731" width="9.140625" style="246"/>
    <col min="9732" max="9732" width="13.28515625" style="246" customWidth="1"/>
    <col min="9733" max="9737" width="9.140625" style="246"/>
    <col min="9738" max="9738" width="13.5703125" style="246" customWidth="1"/>
    <col min="9739" max="9987" width="9.140625" style="246"/>
    <col min="9988" max="9988" width="13.28515625" style="246" customWidth="1"/>
    <col min="9989" max="9993" width="9.140625" style="246"/>
    <col min="9994" max="9994" width="13.5703125" style="246" customWidth="1"/>
    <col min="9995" max="10243" width="9.140625" style="246"/>
    <col min="10244" max="10244" width="13.28515625" style="246" customWidth="1"/>
    <col min="10245" max="10249" width="9.140625" style="246"/>
    <col min="10250" max="10250" width="13.5703125" style="246" customWidth="1"/>
    <col min="10251" max="10499" width="9.140625" style="246"/>
    <col min="10500" max="10500" width="13.28515625" style="246" customWidth="1"/>
    <col min="10501" max="10505" width="9.140625" style="246"/>
    <col min="10506" max="10506" width="13.5703125" style="246" customWidth="1"/>
    <col min="10507" max="10755" width="9.140625" style="246"/>
    <col min="10756" max="10756" width="13.28515625" style="246" customWidth="1"/>
    <col min="10757" max="10761" width="9.140625" style="246"/>
    <col min="10762" max="10762" width="13.5703125" style="246" customWidth="1"/>
    <col min="10763" max="11011" width="9.140625" style="246"/>
    <col min="11012" max="11012" width="13.28515625" style="246" customWidth="1"/>
    <col min="11013" max="11017" width="9.140625" style="246"/>
    <col min="11018" max="11018" width="13.5703125" style="246" customWidth="1"/>
    <col min="11019" max="11267" width="9.140625" style="246"/>
    <col min="11268" max="11268" width="13.28515625" style="246" customWidth="1"/>
    <col min="11269" max="11273" width="9.140625" style="246"/>
    <col min="11274" max="11274" width="13.5703125" style="246" customWidth="1"/>
    <col min="11275" max="11523" width="9.140625" style="246"/>
    <col min="11524" max="11524" width="13.28515625" style="246" customWidth="1"/>
    <col min="11525" max="11529" width="9.140625" style="246"/>
    <col min="11530" max="11530" width="13.5703125" style="246" customWidth="1"/>
    <col min="11531" max="11779" width="9.140625" style="246"/>
    <col min="11780" max="11780" width="13.28515625" style="246" customWidth="1"/>
    <col min="11781" max="11785" width="9.140625" style="246"/>
    <col min="11786" max="11786" width="13.5703125" style="246" customWidth="1"/>
    <col min="11787" max="12035" width="9.140625" style="246"/>
    <col min="12036" max="12036" width="13.28515625" style="246" customWidth="1"/>
    <col min="12037" max="12041" width="9.140625" style="246"/>
    <col min="12042" max="12042" width="13.5703125" style="246" customWidth="1"/>
    <col min="12043" max="12291" width="9.140625" style="246"/>
    <col min="12292" max="12292" width="13.28515625" style="246" customWidth="1"/>
    <col min="12293" max="12297" width="9.140625" style="246"/>
    <col min="12298" max="12298" width="13.5703125" style="246" customWidth="1"/>
    <col min="12299" max="12547" width="9.140625" style="246"/>
    <col min="12548" max="12548" width="13.28515625" style="246" customWidth="1"/>
    <col min="12549" max="12553" width="9.140625" style="246"/>
    <col min="12554" max="12554" width="13.5703125" style="246" customWidth="1"/>
    <col min="12555" max="12803" width="9.140625" style="246"/>
    <col min="12804" max="12804" width="13.28515625" style="246" customWidth="1"/>
    <col min="12805" max="12809" width="9.140625" style="246"/>
    <col min="12810" max="12810" width="13.5703125" style="246" customWidth="1"/>
    <col min="12811" max="13059" width="9.140625" style="246"/>
    <col min="13060" max="13060" width="13.28515625" style="246" customWidth="1"/>
    <col min="13061" max="13065" width="9.140625" style="246"/>
    <col min="13066" max="13066" width="13.5703125" style="246" customWidth="1"/>
    <col min="13067" max="13315" width="9.140625" style="246"/>
    <col min="13316" max="13316" width="13.28515625" style="246" customWidth="1"/>
    <col min="13317" max="13321" width="9.140625" style="246"/>
    <col min="13322" max="13322" width="13.5703125" style="246" customWidth="1"/>
    <col min="13323" max="13571" width="9.140625" style="246"/>
    <col min="13572" max="13572" width="13.28515625" style="246" customWidth="1"/>
    <col min="13573" max="13577" width="9.140625" style="246"/>
    <col min="13578" max="13578" width="13.5703125" style="246" customWidth="1"/>
    <col min="13579" max="13827" width="9.140625" style="246"/>
    <col min="13828" max="13828" width="13.28515625" style="246" customWidth="1"/>
    <col min="13829" max="13833" width="9.140625" style="246"/>
    <col min="13834" max="13834" width="13.5703125" style="246" customWidth="1"/>
    <col min="13835" max="14083" width="9.140625" style="246"/>
    <col min="14084" max="14084" width="13.28515625" style="246" customWidth="1"/>
    <col min="14085" max="14089" width="9.140625" style="246"/>
    <col min="14090" max="14090" width="13.5703125" style="246" customWidth="1"/>
    <col min="14091" max="14339" width="9.140625" style="246"/>
    <col min="14340" max="14340" width="13.28515625" style="246" customWidth="1"/>
    <col min="14341" max="14345" width="9.140625" style="246"/>
    <col min="14346" max="14346" width="13.5703125" style="246" customWidth="1"/>
    <col min="14347" max="14595" width="9.140625" style="246"/>
    <col min="14596" max="14596" width="13.28515625" style="246" customWidth="1"/>
    <col min="14597" max="14601" width="9.140625" style="246"/>
    <col min="14602" max="14602" width="13.5703125" style="246" customWidth="1"/>
    <col min="14603" max="14851" width="9.140625" style="246"/>
    <col min="14852" max="14852" width="13.28515625" style="246" customWidth="1"/>
    <col min="14853" max="14857" width="9.140625" style="246"/>
    <col min="14858" max="14858" width="13.5703125" style="246" customWidth="1"/>
    <col min="14859" max="15107" width="9.140625" style="246"/>
    <col min="15108" max="15108" width="13.28515625" style="246" customWidth="1"/>
    <col min="15109" max="15113" width="9.140625" style="246"/>
    <col min="15114" max="15114" width="13.5703125" style="246" customWidth="1"/>
    <col min="15115" max="15363" width="9.140625" style="246"/>
    <col min="15364" max="15364" width="13.28515625" style="246" customWidth="1"/>
    <col min="15365" max="15369" width="9.140625" style="246"/>
    <col min="15370" max="15370" width="13.5703125" style="246" customWidth="1"/>
    <col min="15371" max="15619" width="9.140625" style="246"/>
    <col min="15620" max="15620" width="13.28515625" style="246" customWidth="1"/>
    <col min="15621" max="15625" width="9.140625" style="246"/>
    <col min="15626" max="15626" width="13.5703125" style="246" customWidth="1"/>
    <col min="15627" max="15875" width="9.140625" style="246"/>
    <col min="15876" max="15876" width="13.28515625" style="246" customWidth="1"/>
    <col min="15877" max="15881" width="9.140625" style="246"/>
    <col min="15882" max="15882" width="13.5703125" style="246" customWidth="1"/>
    <col min="15883" max="16131" width="9.140625" style="246"/>
    <col min="16132" max="16132" width="13.28515625" style="246" customWidth="1"/>
    <col min="16133" max="16137" width="9.140625" style="246"/>
    <col min="16138" max="16138" width="13.5703125" style="246" customWidth="1"/>
    <col min="16139" max="16384" width="9.140625" style="246"/>
  </cols>
  <sheetData>
    <row r="1" spans="1:28" ht="18" x14ac:dyDescent="0.2">
      <c r="A1" s="296" t="str">
        <f>Translations!C81</f>
        <v xml:space="preserve">Démarche modulaire : note conceptuelle </v>
      </c>
      <c r="B1" s="297"/>
      <c r="C1" s="297"/>
      <c r="D1" s="297"/>
      <c r="E1" s="297"/>
      <c r="F1" s="297"/>
      <c r="G1" s="297"/>
      <c r="H1" s="297"/>
      <c r="I1" s="297"/>
      <c r="J1" s="297"/>
      <c r="K1" s="297"/>
      <c r="L1" s="297"/>
      <c r="M1" s="297"/>
      <c r="N1" s="250"/>
      <c r="O1" s="257" t="str">
        <f>Translations!$C$80</f>
        <v>Langue :</v>
      </c>
      <c r="P1" s="609" t="s">
        <v>2166</v>
      </c>
      <c r="Q1" s="479"/>
      <c r="R1" s="479"/>
      <c r="S1" s="479"/>
      <c r="T1" s="480"/>
      <c r="U1" s="289"/>
      <c r="V1" s="290"/>
      <c r="W1" s="290"/>
      <c r="X1" s="290"/>
      <c r="Y1" s="290"/>
      <c r="Z1" s="298"/>
      <c r="AA1" s="255"/>
      <c r="AB1" s="255"/>
    </row>
    <row r="2" spans="1:28" ht="18" x14ac:dyDescent="0.2">
      <c r="A2" s="295" t="str">
        <f>Translations!$C$7</f>
        <v>A. Détails du programme</v>
      </c>
      <c r="B2" s="284"/>
      <c r="C2" s="284"/>
      <c r="D2" s="284"/>
      <c r="E2" s="284"/>
      <c r="F2" s="284"/>
      <c r="G2" s="284"/>
      <c r="H2" s="284"/>
      <c r="I2" s="284"/>
      <c r="J2" s="284"/>
      <c r="K2" s="284"/>
      <c r="L2" s="284"/>
      <c r="M2" s="284"/>
      <c r="N2" s="248"/>
      <c r="O2" s="248"/>
      <c r="P2" s="248"/>
      <c r="Q2" s="248"/>
      <c r="R2" s="248"/>
      <c r="S2" s="248"/>
      <c r="T2" s="248"/>
      <c r="U2" s="302"/>
      <c r="V2" s="300"/>
      <c r="W2" s="300"/>
      <c r="X2" s="300"/>
      <c r="Y2" s="300"/>
      <c r="Z2" s="301"/>
      <c r="AA2" s="255"/>
      <c r="AB2" s="255"/>
    </row>
    <row r="3" spans="1:28" x14ac:dyDescent="0.2">
      <c r="A3" s="344" t="str">
        <f>Translations!$C$8</f>
        <v>Pays / Candidat :</v>
      </c>
      <c r="B3" s="345"/>
      <c r="C3" s="346"/>
      <c r="D3" s="357" t="str">
        <f>Translations!C72</f>
        <v>Veuillez sélectionner…</v>
      </c>
      <c r="E3" s="357"/>
      <c r="F3" s="357"/>
      <c r="G3" s="358"/>
      <c r="H3" s="359" t="str">
        <f>Translations!$C$13</f>
        <v>Récipiendaires principaux</v>
      </c>
      <c r="I3" s="360"/>
      <c r="J3" s="361"/>
      <c r="K3" s="481"/>
      <c r="L3" s="481"/>
      <c r="M3" s="481"/>
      <c r="N3" s="481"/>
      <c r="O3" s="481"/>
      <c r="P3" s="481"/>
      <c r="Q3" s="481"/>
      <c r="R3" s="481"/>
      <c r="S3" s="482" t="s">
        <v>2156</v>
      </c>
      <c r="T3" s="483"/>
      <c r="U3" s="359" t="e">
        <f>Translations!$C$77
                                                                                                                                                                                                                                                                demandé</f>
        <v>#NAME?</v>
      </c>
      <c r="V3" s="360"/>
      <c r="W3" s="360"/>
      <c r="X3" s="360"/>
      <c r="Y3" s="360"/>
      <c r="Z3" s="391"/>
      <c r="AA3" s="255"/>
      <c r="AB3" s="255"/>
    </row>
    <row r="4" spans="1:28" x14ac:dyDescent="0.2">
      <c r="A4" s="344" t="str">
        <f>Translations!$C$9</f>
        <v>Composante :</v>
      </c>
      <c r="B4" s="345"/>
      <c r="C4" s="346"/>
      <c r="D4" s="347" t="str">
        <f>Translations!C72</f>
        <v>Veuillez sélectionner…</v>
      </c>
      <c r="E4" s="347"/>
      <c r="F4" s="347"/>
      <c r="G4" s="348"/>
      <c r="H4" s="362"/>
      <c r="I4" s="363"/>
      <c r="J4" s="364"/>
      <c r="K4" s="484"/>
      <c r="L4" s="484"/>
      <c r="M4" s="484"/>
      <c r="N4" s="484"/>
      <c r="O4" s="484"/>
      <c r="P4" s="484"/>
      <c r="Q4" s="484"/>
      <c r="R4" s="484"/>
      <c r="S4" s="494" t="s">
        <v>2156</v>
      </c>
      <c r="T4" s="495"/>
      <c r="U4" s="362"/>
      <c r="V4" s="363"/>
      <c r="W4" s="363"/>
      <c r="X4" s="363"/>
      <c r="Y4" s="363"/>
      <c r="Z4" s="410"/>
      <c r="AA4" s="255"/>
      <c r="AB4" s="255"/>
    </row>
    <row r="5" spans="1:28" ht="15" customHeight="1" x14ac:dyDescent="0.2">
      <c r="A5" s="344" t="str">
        <f>Translations!$C$10</f>
        <v>Année de début :</v>
      </c>
      <c r="B5" s="345"/>
      <c r="C5" s="346"/>
      <c r="D5" s="347" t="str">
        <f>Translations!C72</f>
        <v>Veuillez sélectionner…</v>
      </c>
      <c r="E5" s="347"/>
      <c r="F5" s="347"/>
      <c r="G5" s="348"/>
      <c r="H5" s="349" t="str">
        <f>Translations!$C$14</f>
        <v>(Veuillez choisir un récipiendaire principal dans la liste ou en ajouter un nouveau)</v>
      </c>
      <c r="I5" s="350"/>
      <c r="J5" s="351"/>
      <c r="K5" s="484"/>
      <c r="L5" s="484"/>
      <c r="M5" s="484"/>
      <c r="N5" s="484"/>
      <c r="O5" s="484"/>
      <c r="P5" s="484"/>
      <c r="Q5" s="484"/>
      <c r="R5" s="484"/>
      <c r="S5" s="494" t="s">
        <v>2156</v>
      </c>
      <c r="T5" s="495"/>
      <c r="U5" s="496" t="str">
        <f>Translations!$C$78</f>
        <v>Indicatif</v>
      </c>
      <c r="V5" s="497"/>
      <c r="W5" s="497"/>
      <c r="X5" s="497"/>
      <c r="Y5" s="498">
        <v>0</v>
      </c>
      <c r="Z5" s="499"/>
      <c r="AA5" s="255"/>
      <c r="AB5" s="255"/>
    </row>
    <row r="6" spans="1:28" ht="15" customHeight="1" x14ac:dyDescent="0.2">
      <c r="A6" s="344" t="str">
        <f>Translations!$C$11</f>
        <v>Mois de début :</v>
      </c>
      <c r="B6" s="345"/>
      <c r="C6" s="346"/>
      <c r="D6" s="347" t="str">
        <f>Translations!C72</f>
        <v>Veuillez sélectionner…</v>
      </c>
      <c r="E6" s="347"/>
      <c r="F6" s="347"/>
      <c r="G6" s="348"/>
      <c r="H6" s="352"/>
      <c r="I6" s="353"/>
      <c r="J6" s="354"/>
      <c r="K6" s="484"/>
      <c r="L6" s="484"/>
      <c r="M6" s="484"/>
      <c r="N6" s="484"/>
      <c r="O6" s="484"/>
      <c r="P6" s="484"/>
      <c r="Q6" s="484"/>
      <c r="R6" s="484"/>
      <c r="S6" s="500" t="s">
        <v>2156</v>
      </c>
      <c r="T6" s="501"/>
      <c r="U6" s="502" t="str">
        <f>Translations!$C$79</f>
        <v>Au-delà du montant indicatif</v>
      </c>
      <c r="V6" s="503"/>
      <c r="W6" s="503"/>
      <c r="X6" s="503"/>
      <c r="Y6" s="504">
        <v>0</v>
      </c>
      <c r="Z6" s="505"/>
      <c r="AA6" s="255"/>
      <c r="AB6" s="255"/>
    </row>
    <row r="7" spans="1:28" x14ac:dyDescent="0.2">
      <c r="A7" s="365"/>
      <c r="B7" s="365"/>
      <c r="C7" s="365"/>
      <c r="D7" s="365"/>
      <c r="E7" s="365"/>
      <c r="F7" s="365"/>
      <c r="G7" s="365"/>
      <c r="H7" s="365"/>
      <c r="I7" s="365"/>
      <c r="J7" s="365"/>
      <c r="K7" s="365"/>
      <c r="L7" s="365"/>
      <c r="M7" s="365"/>
      <c r="N7" s="365"/>
      <c r="O7" s="365"/>
      <c r="P7" s="365"/>
      <c r="Q7" s="365"/>
      <c r="R7" s="365"/>
      <c r="S7" s="365"/>
      <c r="T7" s="365"/>
      <c r="U7" s="365"/>
      <c r="V7" s="365"/>
      <c r="W7" s="365"/>
      <c r="X7" s="365"/>
      <c r="Y7" s="365"/>
      <c r="Z7" s="299"/>
      <c r="AA7" s="255"/>
      <c r="AB7" s="255"/>
    </row>
    <row r="8" spans="1:28" ht="15.75" x14ac:dyDescent="0.2">
      <c r="A8" s="373" t="str">
        <f>Translations!$C$25</f>
        <v>B. Buts du programme et indicateurs d'impact</v>
      </c>
      <c r="B8" s="374"/>
      <c r="C8" s="374"/>
      <c r="D8" s="374"/>
      <c r="E8" s="374"/>
      <c r="F8" s="374"/>
      <c r="G8" s="374"/>
      <c r="H8" s="374"/>
      <c r="I8" s="374"/>
      <c r="J8" s="374"/>
      <c r="K8" s="374"/>
      <c r="L8" s="374"/>
      <c r="M8" s="374"/>
      <c r="N8" s="374"/>
      <c r="O8" s="374"/>
      <c r="P8" s="374"/>
      <c r="Q8" s="374"/>
      <c r="R8" s="374"/>
      <c r="S8" s="374"/>
      <c r="T8" s="374"/>
      <c r="U8" s="374"/>
      <c r="V8" s="374"/>
      <c r="W8" s="374"/>
      <c r="X8" s="374"/>
      <c r="Y8" s="374"/>
      <c r="Z8" s="375"/>
      <c r="AA8" s="255"/>
      <c r="AB8" s="255"/>
    </row>
    <row r="9" spans="1:28" x14ac:dyDescent="0.2">
      <c r="A9" s="344" t="str">
        <f>Translations!$C$26</f>
        <v xml:space="preserve">  Buts :</v>
      </c>
      <c r="B9" s="345"/>
      <c r="C9" s="345"/>
      <c r="D9" s="345"/>
      <c r="E9" s="345"/>
      <c r="F9" s="345"/>
      <c r="G9" s="345"/>
      <c r="H9" s="345"/>
      <c r="I9" s="345"/>
      <c r="J9" s="345"/>
      <c r="K9" s="345"/>
      <c r="L9" s="345"/>
      <c r="M9" s="345"/>
      <c r="N9" s="345"/>
      <c r="O9" s="345"/>
      <c r="P9" s="345"/>
      <c r="Q9" s="345"/>
      <c r="R9" s="345"/>
      <c r="S9" s="345"/>
      <c r="T9" s="345"/>
      <c r="U9" s="345"/>
      <c r="V9" s="345"/>
      <c r="W9" s="345"/>
      <c r="X9" s="345"/>
      <c r="Y9" s="345"/>
      <c r="Z9" s="366"/>
      <c r="AA9" s="255"/>
      <c r="AB9" s="255"/>
    </row>
    <row r="10" spans="1:28" x14ac:dyDescent="0.2">
      <c r="A10" s="303">
        <v>1</v>
      </c>
      <c r="B10" s="376"/>
      <c r="C10" s="377"/>
      <c r="D10" s="377"/>
      <c r="E10" s="377"/>
      <c r="F10" s="377"/>
      <c r="G10" s="377"/>
      <c r="H10" s="377"/>
      <c r="I10" s="377"/>
      <c r="J10" s="377"/>
      <c r="K10" s="377"/>
      <c r="L10" s="377"/>
      <c r="M10" s="377"/>
      <c r="N10" s="377"/>
      <c r="O10" s="377"/>
      <c r="P10" s="377"/>
      <c r="Q10" s="377"/>
      <c r="R10" s="377"/>
      <c r="S10" s="377"/>
      <c r="T10" s="377"/>
      <c r="U10" s="377"/>
      <c r="V10" s="377"/>
      <c r="W10" s="377"/>
      <c r="X10" s="377"/>
      <c r="Y10" s="377"/>
      <c r="Z10" s="378"/>
      <c r="AA10" s="255"/>
      <c r="AB10" s="255"/>
    </row>
    <row r="11" spans="1:28" x14ac:dyDescent="0.2">
      <c r="A11" s="306">
        <v>2</v>
      </c>
      <c r="B11" s="367"/>
      <c r="C11" s="368"/>
      <c r="D11" s="368"/>
      <c r="E11" s="368"/>
      <c r="F11" s="368"/>
      <c r="G11" s="368"/>
      <c r="H11" s="368"/>
      <c r="I11" s="368"/>
      <c r="J11" s="368"/>
      <c r="K11" s="368"/>
      <c r="L11" s="368"/>
      <c r="M11" s="368"/>
      <c r="N11" s="368"/>
      <c r="O11" s="368"/>
      <c r="P11" s="368"/>
      <c r="Q11" s="368"/>
      <c r="R11" s="368"/>
      <c r="S11" s="368"/>
      <c r="T11" s="368"/>
      <c r="U11" s="368"/>
      <c r="V11" s="368"/>
      <c r="W11" s="368"/>
      <c r="X11" s="368"/>
      <c r="Y11" s="368"/>
      <c r="Z11" s="369"/>
      <c r="AA11" s="255"/>
      <c r="AB11" s="255"/>
    </row>
    <row r="12" spans="1:28" x14ac:dyDescent="0.2">
      <c r="A12" s="305">
        <v>3</v>
      </c>
      <c r="B12" s="370"/>
      <c r="C12" s="371"/>
      <c r="D12" s="371"/>
      <c r="E12" s="371"/>
      <c r="F12" s="371"/>
      <c r="G12" s="371"/>
      <c r="H12" s="371"/>
      <c r="I12" s="371"/>
      <c r="J12" s="371"/>
      <c r="K12" s="371"/>
      <c r="L12" s="371"/>
      <c r="M12" s="371"/>
      <c r="N12" s="371"/>
      <c r="O12" s="371"/>
      <c r="P12" s="371"/>
      <c r="Q12" s="371"/>
      <c r="R12" s="371"/>
      <c r="S12" s="371"/>
      <c r="T12" s="371"/>
      <c r="U12" s="371"/>
      <c r="V12" s="371"/>
      <c r="W12" s="371"/>
      <c r="X12" s="371"/>
      <c r="Y12" s="371"/>
      <c r="Z12" s="372"/>
      <c r="AA12" s="255"/>
      <c r="AB12" s="255"/>
    </row>
    <row r="13" spans="1:28" x14ac:dyDescent="0.2">
      <c r="A13" s="264"/>
      <c r="B13" s="264"/>
      <c r="C13" s="264"/>
      <c r="D13" s="264"/>
      <c r="E13" s="264"/>
      <c r="F13" s="264"/>
      <c r="G13" s="264"/>
      <c r="H13" s="264"/>
      <c r="I13" s="264"/>
      <c r="J13" s="264"/>
      <c r="K13" s="264"/>
      <c r="L13" s="264"/>
      <c r="M13" s="264"/>
      <c r="N13" s="264"/>
      <c r="O13" s="264"/>
      <c r="P13" s="264"/>
      <c r="Q13" s="264"/>
      <c r="R13" s="264"/>
      <c r="S13" s="264"/>
      <c r="T13" s="264"/>
      <c r="U13" s="264"/>
      <c r="V13" s="264"/>
      <c r="W13" s="264"/>
      <c r="X13" s="264"/>
      <c r="Y13" s="264"/>
      <c r="Z13" s="264"/>
      <c r="AA13" s="255"/>
      <c r="AB13" s="255"/>
    </row>
    <row r="14" spans="1:28" x14ac:dyDescent="0.2">
      <c r="A14" s="407" t="str">
        <f>Translations!$C$27</f>
        <v>Lié au(x) but(s) n°</v>
      </c>
      <c r="B14" s="359" t="str">
        <f>Translations!$C$28</f>
        <v>Indicateur d'impact</v>
      </c>
      <c r="C14" s="360"/>
      <c r="D14" s="360"/>
      <c r="E14" s="360"/>
      <c r="F14" s="360"/>
      <c r="G14" s="360"/>
      <c r="H14" s="391"/>
      <c r="I14" s="379" t="str">
        <f>Translations!$C$29</f>
        <v>Données de référence</v>
      </c>
      <c r="J14" s="380"/>
      <c r="K14" s="380"/>
      <c r="L14" s="380"/>
      <c r="M14" s="380"/>
      <c r="N14" s="381"/>
      <c r="O14" s="379" t="str">
        <f>Translations!$C$30</f>
        <v>Cibles</v>
      </c>
      <c r="P14" s="380"/>
      <c r="Q14" s="380"/>
      <c r="R14" s="380"/>
      <c r="S14" s="380"/>
      <c r="T14" s="381"/>
      <c r="U14" s="382" t="str">
        <f>Translations!$C$73</f>
        <v>Remarques et hypothèses</v>
      </c>
      <c r="V14" s="383"/>
      <c r="W14" s="383"/>
      <c r="X14" s="383"/>
      <c r="Y14" s="383"/>
      <c r="Z14" s="384"/>
      <c r="AA14" s="255"/>
      <c r="AB14" s="255"/>
    </row>
    <row r="15" spans="1:28" x14ac:dyDescent="0.2">
      <c r="A15" s="408"/>
      <c r="B15" s="362"/>
      <c r="C15" s="363"/>
      <c r="D15" s="363"/>
      <c r="E15" s="363"/>
      <c r="F15" s="363"/>
      <c r="G15" s="363"/>
      <c r="H15" s="410"/>
      <c r="I15" s="359" t="str">
        <f>Translations!$C$31</f>
        <v>Valeur</v>
      </c>
      <c r="J15" s="391"/>
      <c r="K15" s="394" t="str">
        <f>Translations!$C$32</f>
        <v xml:space="preserve">Année </v>
      </c>
      <c r="L15" s="359" t="str">
        <f>Translations!$C$33</f>
        <v>Source</v>
      </c>
      <c r="M15" s="360"/>
      <c r="N15" s="391"/>
      <c r="O15" s="379" t="str">
        <f>Translations!$C$34</f>
        <v>Année 1</v>
      </c>
      <c r="P15" s="381"/>
      <c r="Q15" s="379" t="str">
        <f>Translations!$C$35</f>
        <v>Année 2</v>
      </c>
      <c r="R15" s="381"/>
      <c r="S15" s="379" t="str">
        <f>Translations!$C$36</f>
        <v>Année 3</v>
      </c>
      <c r="T15" s="381"/>
      <c r="U15" s="385"/>
      <c r="V15" s="386"/>
      <c r="W15" s="386"/>
      <c r="X15" s="386"/>
      <c r="Y15" s="386"/>
      <c r="Z15" s="387"/>
      <c r="AA15" s="255"/>
      <c r="AB15" s="255"/>
    </row>
    <row r="16" spans="1:28" x14ac:dyDescent="0.2">
      <c r="A16" s="409"/>
      <c r="B16" s="392"/>
      <c r="C16" s="396"/>
      <c r="D16" s="396"/>
      <c r="E16" s="396"/>
      <c r="F16" s="396"/>
      <c r="G16" s="396"/>
      <c r="H16" s="393"/>
      <c r="I16" s="392"/>
      <c r="J16" s="393"/>
      <c r="K16" s="395"/>
      <c r="L16" s="392"/>
      <c r="M16" s="396"/>
      <c r="N16" s="393"/>
      <c r="O16" s="397" t="str">
        <f ca="1">IFERROR(IF(MonthIndex&lt;7,StartYearSelected,StartYearSelected+1),"")</f>
        <v>Please select…</v>
      </c>
      <c r="P16" s="398"/>
      <c r="Q16" s="397" t="str">
        <f ca="1">IFERROR(O16+1,"")</f>
        <v/>
      </c>
      <c r="R16" s="398"/>
      <c r="S16" s="397" t="str">
        <f ca="1">IFERROR(Q16+1,"")</f>
        <v/>
      </c>
      <c r="T16" s="398"/>
      <c r="U16" s="388"/>
      <c r="V16" s="389"/>
      <c r="W16" s="389"/>
      <c r="X16" s="389"/>
      <c r="Y16" s="389"/>
      <c r="Z16" s="390"/>
      <c r="AA16" s="255"/>
      <c r="AB16" s="255"/>
    </row>
    <row r="17" spans="1:28" ht="30" customHeight="1" x14ac:dyDescent="0.2">
      <c r="A17" s="247"/>
      <c r="B17" s="402" t="str">
        <f>Translations!$C$72</f>
        <v>Veuillez sélectionner…</v>
      </c>
      <c r="C17" s="357"/>
      <c r="D17" s="357"/>
      <c r="E17" s="357"/>
      <c r="F17" s="357"/>
      <c r="G17" s="357"/>
      <c r="H17" s="403"/>
      <c r="I17" s="399"/>
      <c r="J17" s="400"/>
      <c r="K17" s="281"/>
      <c r="L17" s="404" t="str">
        <f>Translations!$C$72</f>
        <v>Veuillez sélectionner…</v>
      </c>
      <c r="M17" s="405"/>
      <c r="N17" s="406"/>
      <c r="O17" s="399"/>
      <c r="P17" s="400"/>
      <c r="Q17" s="399"/>
      <c r="R17" s="400"/>
      <c r="S17" s="399"/>
      <c r="T17" s="401"/>
      <c r="U17" s="258"/>
      <c r="V17" s="259"/>
      <c r="W17" s="259"/>
      <c r="X17" s="259"/>
      <c r="Y17" s="259"/>
      <c r="Z17" s="260"/>
      <c r="AA17" s="255"/>
      <c r="AB17" s="255"/>
    </row>
    <row r="18" spans="1:28" ht="30" customHeight="1" x14ac:dyDescent="0.2">
      <c r="A18" s="251"/>
      <c r="B18" s="411" t="str">
        <f>Translations!$C$72</f>
        <v>Veuillez sélectionner…</v>
      </c>
      <c r="C18" s="347"/>
      <c r="D18" s="347"/>
      <c r="E18" s="347"/>
      <c r="F18" s="347"/>
      <c r="G18" s="347"/>
      <c r="H18" s="412"/>
      <c r="I18" s="413"/>
      <c r="J18" s="414"/>
      <c r="K18" s="277"/>
      <c r="L18" s="415" t="str">
        <f>Translations!$C$72</f>
        <v>Veuillez sélectionner…</v>
      </c>
      <c r="M18" s="416"/>
      <c r="N18" s="417"/>
      <c r="O18" s="413"/>
      <c r="P18" s="414"/>
      <c r="Q18" s="413"/>
      <c r="R18" s="414"/>
      <c r="S18" s="413"/>
      <c r="T18" s="418"/>
      <c r="U18" s="258"/>
      <c r="V18" s="259"/>
      <c r="W18" s="259"/>
      <c r="X18" s="259"/>
      <c r="Y18" s="259"/>
      <c r="Z18" s="260"/>
      <c r="AA18" s="255"/>
      <c r="AB18" s="255"/>
    </row>
    <row r="19" spans="1:28" ht="30" customHeight="1" x14ac:dyDescent="0.2">
      <c r="A19" s="252"/>
      <c r="B19" s="411" t="s">
        <v>0</v>
      </c>
      <c r="C19" s="347"/>
      <c r="D19" s="347"/>
      <c r="E19" s="347"/>
      <c r="F19" s="347"/>
      <c r="G19" s="347"/>
      <c r="H19" s="412"/>
      <c r="I19" s="413"/>
      <c r="J19" s="414"/>
      <c r="K19" s="277"/>
      <c r="L19" s="415" t="str">
        <f>Translations!$C$72</f>
        <v>Veuillez sélectionner…</v>
      </c>
      <c r="M19" s="416"/>
      <c r="N19" s="417"/>
      <c r="O19" s="413"/>
      <c r="P19" s="414"/>
      <c r="Q19" s="413"/>
      <c r="R19" s="414"/>
      <c r="S19" s="413"/>
      <c r="T19" s="418"/>
      <c r="U19" s="258"/>
      <c r="V19" s="259"/>
      <c r="W19" s="259"/>
      <c r="X19" s="259"/>
      <c r="Y19" s="259"/>
      <c r="Z19" s="260"/>
      <c r="AA19" s="255"/>
      <c r="AB19" s="255"/>
    </row>
    <row r="20" spans="1:28" ht="30" customHeight="1" x14ac:dyDescent="0.2">
      <c r="A20" s="252"/>
      <c r="B20" s="411" t="s">
        <v>0</v>
      </c>
      <c r="C20" s="347"/>
      <c r="D20" s="347"/>
      <c r="E20" s="347"/>
      <c r="F20" s="347"/>
      <c r="G20" s="347"/>
      <c r="H20" s="412"/>
      <c r="I20" s="413"/>
      <c r="J20" s="414"/>
      <c r="K20" s="277"/>
      <c r="L20" s="415" t="str">
        <f>Translations!$C$72</f>
        <v>Veuillez sélectionner…</v>
      </c>
      <c r="M20" s="416"/>
      <c r="N20" s="417"/>
      <c r="O20" s="413"/>
      <c r="P20" s="414"/>
      <c r="Q20" s="413"/>
      <c r="R20" s="414"/>
      <c r="S20" s="413"/>
      <c r="T20" s="418"/>
      <c r="U20" s="258"/>
      <c r="V20" s="259"/>
      <c r="W20" s="259"/>
      <c r="X20" s="259"/>
      <c r="Y20" s="259"/>
      <c r="Z20" s="260"/>
      <c r="AA20" s="255"/>
      <c r="AB20" s="255"/>
    </row>
    <row r="21" spans="1:28" ht="30" customHeight="1" x14ac:dyDescent="0.2">
      <c r="A21" s="254"/>
      <c r="B21" s="506" t="s">
        <v>0</v>
      </c>
      <c r="C21" s="355"/>
      <c r="D21" s="355"/>
      <c r="E21" s="355"/>
      <c r="F21" s="355"/>
      <c r="G21" s="355"/>
      <c r="H21" s="507"/>
      <c r="I21" s="429"/>
      <c r="J21" s="430"/>
      <c r="K21" s="278"/>
      <c r="L21" s="431" t="str">
        <f>Translations!$C$72</f>
        <v>Veuillez sélectionner…</v>
      </c>
      <c r="M21" s="432"/>
      <c r="N21" s="433"/>
      <c r="O21" s="429"/>
      <c r="P21" s="430"/>
      <c r="Q21" s="429"/>
      <c r="R21" s="430"/>
      <c r="S21" s="429"/>
      <c r="T21" s="434"/>
      <c r="U21" s="258"/>
      <c r="V21" s="259"/>
      <c r="W21" s="259"/>
      <c r="X21" s="259"/>
      <c r="Y21" s="259"/>
      <c r="Z21" s="260"/>
      <c r="AA21" s="255"/>
      <c r="AB21" s="255"/>
    </row>
    <row r="22" spans="1:28" x14ac:dyDescent="0.2">
      <c r="A22" s="265"/>
      <c r="B22" s="265"/>
      <c r="C22" s="265"/>
      <c r="D22" s="265"/>
      <c r="E22" s="265"/>
      <c r="F22" s="265"/>
      <c r="G22" s="265"/>
      <c r="H22" s="265"/>
      <c r="I22" s="265"/>
      <c r="J22" s="265"/>
      <c r="K22" s="265"/>
      <c r="L22" s="265"/>
      <c r="M22" s="265"/>
      <c r="N22" s="265"/>
      <c r="O22" s="265"/>
      <c r="P22" s="265"/>
      <c r="Q22" s="265"/>
      <c r="R22" s="265"/>
      <c r="S22" s="265"/>
      <c r="T22" s="265"/>
      <c r="U22" s="265"/>
      <c r="V22" s="265"/>
      <c r="W22" s="265"/>
      <c r="X22" s="265"/>
      <c r="Y22" s="265"/>
      <c r="Z22" s="265"/>
      <c r="AA22" s="255"/>
      <c r="AB22" s="255"/>
    </row>
    <row r="23" spans="1:28" ht="15.75" x14ac:dyDescent="0.2">
      <c r="A23" s="373" t="str">
        <f>Translations!$C$41</f>
        <v>C. Objectifs du programme et indicateurs d'effets</v>
      </c>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5"/>
      <c r="AA23" s="255"/>
      <c r="AB23" s="255"/>
    </row>
    <row r="24" spans="1:28" x14ac:dyDescent="0.2">
      <c r="A24" s="344" t="str">
        <f>Translations!$C$42</f>
        <v xml:space="preserve">     Objectifs :</v>
      </c>
      <c r="B24" s="345"/>
      <c r="C24" s="345"/>
      <c r="D24" s="345"/>
      <c r="E24" s="345"/>
      <c r="F24" s="345"/>
      <c r="G24" s="345"/>
      <c r="H24" s="345"/>
      <c r="I24" s="345"/>
      <c r="J24" s="345"/>
      <c r="K24" s="345"/>
      <c r="L24" s="345"/>
      <c r="M24" s="345"/>
      <c r="N24" s="345"/>
      <c r="O24" s="345"/>
      <c r="P24" s="345"/>
      <c r="Q24" s="345"/>
      <c r="R24" s="345"/>
      <c r="S24" s="345"/>
      <c r="T24" s="345"/>
      <c r="U24" s="345"/>
      <c r="V24" s="345"/>
      <c r="W24" s="345"/>
      <c r="X24" s="345"/>
      <c r="Y24" s="345"/>
      <c r="Z24" s="366"/>
      <c r="AA24" s="255"/>
      <c r="AB24" s="255"/>
    </row>
    <row r="25" spans="1:28" ht="30" customHeight="1" x14ac:dyDescent="0.2">
      <c r="A25" s="303">
        <v>1</v>
      </c>
      <c r="B25" s="376"/>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8"/>
      <c r="AA25" s="255"/>
      <c r="AB25" s="255"/>
    </row>
    <row r="26" spans="1:28" ht="30" customHeight="1" x14ac:dyDescent="0.2">
      <c r="A26" s="304">
        <v>2</v>
      </c>
      <c r="B26" s="367"/>
      <c r="C26" s="368"/>
      <c r="D26" s="368"/>
      <c r="E26" s="368"/>
      <c r="F26" s="368"/>
      <c r="G26" s="368"/>
      <c r="H26" s="368"/>
      <c r="I26" s="368"/>
      <c r="J26" s="368"/>
      <c r="K26" s="368"/>
      <c r="L26" s="368"/>
      <c r="M26" s="368"/>
      <c r="N26" s="368"/>
      <c r="O26" s="368"/>
      <c r="P26" s="368"/>
      <c r="Q26" s="368"/>
      <c r="R26" s="368"/>
      <c r="S26" s="368"/>
      <c r="T26" s="368"/>
      <c r="U26" s="368"/>
      <c r="V26" s="368"/>
      <c r="W26" s="368"/>
      <c r="X26" s="368"/>
      <c r="Y26" s="368"/>
      <c r="Z26" s="369"/>
      <c r="AA26" s="255"/>
      <c r="AB26" s="255"/>
    </row>
    <row r="27" spans="1:28" ht="30" customHeight="1" x14ac:dyDescent="0.2">
      <c r="A27" s="304">
        <v>3</v>
      </c>
      <c r="B27" s="367"/>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9"/>
      <c r="AA27" s="255"/>
      <c r="AB27" s="255"/>
    </row>
    <row r="28" spans="1:28" ht="30" customHeight="1" x14ac:dyDescent="0.2">
      <c r="A28" s="304">
        <v>4</v>
      </c>
      <c r="B28" s="367"/>
      <c r="C28" s="368"/>
      <c r="D28" s="368"/>
      <c r="E28" s="368"/>
      <c r="F28" s="368"/>
      <c r="G28" s="368"/>
      <c r="H28" s="368"/>
      <c r="I28" s="368"/>
      <c r="J28" s="368"/>
      <c r="K28" s="368"/>
      <c r="L28" s="368"/>
      <c r="M28" s="368"/>
      <c r="N28" s="368"/>
      <c r="O28" s="368"/>
      <c r="P28" s="368"/>
      <c r="Q28" s="368"/>
      <c r="R28" s="368"/>
      <c r="S28" s="368"/>
      <c r="T28" s="368"/>
      <c r="U28" s="368"/>
      <c r="V28" s="368"/>
      <c r="W28" s="368"/>
      <c r="X28" s="368"/>
      <c r="Y28" s="368"/>
      <c r="Z28" s="369"/>
      <c r="AA28" s="255"/>
      <c r="AB28" s="255"/>
    </row>
    <row r="29" spans="1:28" ht="30" customHeight="1" x14ac:dyDescent="0.2">
      <c r="A29" s="304">
        <v>5</v>
      </c>
      <c r="B29" s="367"/>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9"/>
      <c r="AA29" s="255"/>
      <c r="AB29" s="255"/>
    </row>
    <row r="30" spans="1:28" ht="30" customHeight="1" x14ac:dyDescent="0.2">
      <c r="A30" s="305">
        <v>6</v>
      </c>
      <c r="B30" s="370"/>
      <c r="C30" s="371"/>
      <c r="D30" s="371"/>
      <c r="E30" s="371"/>
      <c r="F30" s="371"/>
      <c r="G30" s="371"/>
      <c r="H30" s="371"/>
      <c r="I30" s="371"/>
      <c r="J30" s="371"/>
      <c r="K30" s="371"/>
      <c r="L30" s="371"/>
      <c r="M30" s="371"/>
      <c r="N30" s="371"/>
      <c r="O30" s="371"/>
      <c r="P30" s="371"/>
      <c r="Q30" s="371"/>
      <c r="R30" s="371"/>
      <c r="S30" s="371"/>
      <c r="T30" s="371"/>
      <c r="U30" s="371"/>
      <c r="V30" s="371"/>
      <c r="W30" s="371"/>
      <c r="X30" s="371"/>
      <c r="Y30" s="371"/>
      <c r="Z30" s="372"/>
      <c r="AA30" s="255"/>
      <c r="AB30" s="255"/>
    </row>
    <row r="31" spans="1:28"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82"/>
    </row>
    <row r="32" spans="1:28" x14ac:dyDescent="0.2">
      <c r="A32" s="407" t="str">
        <f>Translations!$C$43</f>
        <v xml:space="preserve">Lié à ou aux objectifs n° </v>
      </c>
      <c r="B32" s="359" t="str">
        <f>Translations!C44</f>
        <v>Indicateur d'effet</v>
      </c>
      <c r="C32" s="360"/>
      <c r="D32" s="360"/>
      <c r="E32" s="360"/>
      <c r="F32" s="360"/>
      <c r="G32" s="360"/>
      <c r="H32" s="391"/>
      <c r="I32" s="379" t="str">
        <f>Translations!$C$29</f>
        <v>Données de référence</v>
      </c>
      <c r="J32" s="380"/>
      <c r="K32" s="380"/>
      <c r="L32" s="380"/>
      <c r="M32" s="380"/>
      <c r="N32" s="381"/>
      <c r="O32" s="379" t="str">
        <f>Translations!$C$30</f>
        <v>Cibles</v>
      </c>
      <c r="P32" s="380"/>
      <c r="Q32" s="380"/>
      <c r="R32" s="380"/>
      <c r="S32" s="380"/>
      <c r="T32" s="381"/>
      <c r="U32" s="382" t="str">
        <f>Translations!$C$73</f>
        <v>Remarques et hypothèses</v>
      </c>
      <c r="V32" s="383"/>
      <c r="W32" s="383"/>
      <c r="X32" s="383"/>
      <c r="Y32" s="383"/>
      <c r="Z32" s="384"/>
      <c r="AA32" s="292"/>
      <c r="AB32" s="279"/>
    </row>
    <row r="33" spans="1:28" x14ac:dyDescent="0.2">
      <c r="A33" s="408"/>
      <c r="B33" s="362"/>
      <c r="C33" s="363"/>
      <c r="D33" s="363"/>
      <c r="E33" s="363"/>
      <c r="F33" s="363"/>
      <c r="G33" s="363"/>
      <c r="H33" s="410"/>
      <c r="I33" s="359" t="str">
        <f>Translations!$C$31</f>
        <v>Valeur</v>
      </c>
      <c r="J33" s="391"/>
      <c r="K33" s="394" t="str">
        <f>Translations!$C$32</f>
        <v xml:space="preserve">Année </v>
      </c>
      <c r="L33" s="359" t="str">
        <f>Translations!$C$33</f>
        <v>Source</v>
      </c>
      <c r="M33" s="360"/>
      <c r="N33" s="391"/>
      <c r="O33" s="379" t="str">
        <f>Translations!$C$34</f>
        <v>Année 1</v>
      </c>
      <c r="P33" s="381"/>
      <c r="Q33" s="379" t="str">
        <f>Translations!$C$35</f>
        <v>Année 2</v>
      </c>
      <c r="R33" s="381"/>
      <c r="S33" s="379" t="str">
        <f>Translations!$C$36</f>
        <v>Année 3</v>
      </c>
      <c r="T33" s="381"/>
      <c r="U33" s="385"/>
      <c r="V33" s="386"/>
      <c r="W33" s="386"/>
      <c r="X33" s="386"/>
      <c r="Y33" s="386"/>
      <c r="Z33" s="387"/>
      <c r="AA33" s="292"/>
      <c r="AB33" s="279"/>
    </row>
    <row r="34" spans="1:28" x14ac:dyDescent="0.2">
      <c r="A34" s="409"/>
      <c r="B34" s="392"/>
      <c r="C34" s="396"/>
      <c r="D34" s="396"/>
      <c r="E34" s="396"/>
      <c r="F34" s="396"/>
      <c r="G34" s="396"/>
      <c r="H34" s="393"/>
      <c r="I34" s="392"/>
      <c r="J34" s="393"/>
      <c r="K34" s="395"/>
      <c r="L34" s="392"/>
      <c r="M34" s="396"/>
      <c r="N34" s="393"/>
      <c r="O34" s="397" t="str">
        <f ca="1">O16</f>
        <v>Please select…</v>
      </c>
      <c r="P34" s="398"/>
      <c r="Q34" s="397" t="str">
        <f ca="1">Q16</f>
        <v/>
      </c>
      <c r="R34" s="398"/>
      <c r="S34" s="397" t="str">
        <f ca="1">S16</f>
        <v/>
      </c>
      <c r="T34" s="398"/>
      <c r="U34" s="388"/>
      <c r="V34" s="389"/>
      <c r="W34" s="389"/>
      <c r="X34" s="389"/>
      <c r="Y34" s="389"/>
      <c r="Z34" s="390"/>
      <c r="AA34" s="292"/>
      <c r="AB34" s="279"/>
    </row>
    <row r="35" spans="1:28" ht="30" customHeight="1" x14ac:dyDescent="0.2">
      <c r="A35" s="247"/>
      <c r="B35" s="402" t="str">
        <f>Translations!$C$72</f>
        <v>Veuillez sélectionner…</v>
      </c>
      <c r="C35" s="357"/>
      <c r="D35" s="357"/>
      <c r="E35" s="357"/>
      <c r="F35" s="357"/>
      <c r="G35" s="357"/>
      <c r="H35" s="403"/>
      <c r="I35" s="399"/>
      <c r="J35" s="400"/>
      <c r="K35" s="281"/>
      <c r="L35" s="404" t="str">
        <f>Translations!$C$72</f>
        <v>Veuillez sélectionner…</v>
      </c>
      <c r="M35" s="405"/>
      <c r="N35" s="406"/>
      <c r="O35" s="399"/>
      <c r="P35" s="400"/>
      <c r="Q35" s="399"/>
      <c r="R35" s="400"/>
      <c r="S35" s="399"/>
      <c r="T35" s="401"/>
      <c r="U35" s="266"/>
      <c r="V35" s="267"/>
      <c r="W35" s="267"/>
      <c r="X35" s="267"/>
      <c r="Y35" s="267"/>
      <c r="Z35" s="268"/>
      <c r="AA35" s="293"/>
      <c r="AB35" s="294"/>
    </row>
    <row r="36" spans="1:28" ht="30" customHeight="1" x14ac:dyDescent="0.2">
      <c r="A36" s="251"/>
      <c r="B36" s="423" t="str">
        <f>Translations!$C$72</f>
        <v>Veuillez sélectionner…</v>
      </c>
      <c r="C36" s="424"/>
      <c r="D36" s="424"/>
      <c r="E36" s="424"/>
      <c r="F36" s="424"/>
      <c r="G36" s="424"/>
      <c r="H36" s="425"/>
      <c r="I36" s="413"/>
      <c r="J36" s="414"/>
      <c r="K36" s="277"/>
      <c r="L36" s="415" t="str">
        <f>Translations!$C$72</f>
        <v>Veuillez sélectionner…</v>
      </c>
      <c r="M36" s="416"/>
      <c r="N36" s="417"/>
      <c r="O36" s="413"/>
      <c r="P36" s="414"/>
      <c r="Q36" s="413"/>
      <c r="R36" s="414"/>
      <c r="S36" s="413"/>
      <c r="T36" s="418"/>
      <c r="U36" s="269"/>
      <c r="V36" s="270"/>
      <c r="W36" s="270"/>
      <c r="X36" s="270"/>
      <c r="Y36" s="270"/>
      <c r="Z36" s="271"/>
      <c r="AA36" s="293"/>
      <c r="AB36" s="294"/>
    </row>
    <row r="37" spans="1:28" ht="30" customHeight="1" x14ac:dyDescent="0.2">
      <c r="A37" s="252"/>
      <c r="B37" s="423" t="str">
        <f>Translations!$C$72</f>
        <v>Veuillez sélectionner…</v>
      </c>
      <c r="C37" s="424"/>
      <c r="D37" s="424"/>
      <c r="E37" s="424"/>
      <c r="F37" s="424"/>
      <c r="G37" s="424"/>
      <c r="H37" s="425"/>
      <c r="I37" s="413"/>
      <c r="J37" s="414"/>
      <c r="K37" s="277"/>
      <c r="L37" s="415" t="str">
        <f>Translations!$C$72</f>
        <v>Veuillez sélectionner…</v>
      </c>
      <c r="M37" s="416"/>
      <c r="N37" s="417"/>
      <c r="O37" s="413"/>
      <c r="P37" s="414"/>
      <c r="Q37" s="413"/>
      <c r="R37" s="414"/>
      <c r="S37" s="413"/>
      <c r="T37" s="418"/>
      <c r="U37" s="269"/>
      <c r="V37" s="270"/>
      <c r="W37" s="270"/>
      <c r="X37" s="270"/>
      <c r="Y37" s="270"/>
      <c r="Z37" s="271"/>
      <c r="AA37" s="293"/>
      <c r="AB37" s="294"/>
    </row>
    <row r="38" spans="1:28" ht="30" customHeight="1" x14ac:dyDescent="0.2">
      <c r="A38" s="252"/>
      <c r="B38" s="423" t="str">
        <f>Translations!$C$72</f>
        <v>Veuillez sélectionner…</v>
      </c>
      <c r="C38" s="424"/>
      <c r="D38" s="424"/>
      <c r="E38" s="424"/>
      <c r="F38" s="424"/>
      <c r="G38" s="424"/>
      <c r="H38" s="425"/>
      <c r="I38" s="413"/>
      <c r="J38" s="414"/>
      <c r="K38" s="277"/>
      <c r="L38" s="415" t="str">
        <f>Translations!$C$72</f>
        <v>Veuillez sélectionner…</v>
      </c>
      <c r="M38" s="416"/>
      <c r="N38" s="417"/>
      <c r="O38" s="413"/>
      <c r="P38" s="414"/>
      <c r="Q38" s="413"/>
      <c r="R38" s="414"/>
      <c r="S38" s="413"/>
      <c r="T38" s="418"/>
      <c r="U38" s="269"/>
      <c r="V38" s="270"/>
      <c r="W38" s="270"/>
      <c r="X38" s="270"/>
      <c r="Y38" s="270"/>
      <c r="Z38" s="271"/>
      <c r="AA38" s="293"/>
      <c r="AB38" s="294"/>
    </row>
    <row r="39" spans="1:28" ht="30" customHeight="1" x14ac:dyDescent="0.2">
      <c r="A39" s="254"/>
      <c r="B39" s="426" t="str">
        <f>Translations!$C$72</f>
        <v>Veuillez sélectionner…</v>
      </c>
      <c r="C39" s="427"/>
      <c r="D39" s="427"/>
      <c r="E39" s="427"/>
      <c r="F39" s="427"/>
      <c r="G39" s="427"/>
      <c r="H39" s="428"/>
      <c r="I39" s="429"/>
      <c r="J39" s="430"/>
      <c r="K39" s="278"/>
      <c r="L39" s="431" t="str">
        <f>Translations!$C$72</f>
        <v>Veuillez sélectionner…</v>
      </c>
      <c r="M39" s="432"/>
      <c r="N39" s="433"/>
      <c r="O39" s="429"/>
      <c r="P39" s="430"/>
      <c r="Q39" s="429"/>
      <c r="R39" s="430"/>
      <c r="S39" s="429"/>
      <c r="T39" s="434"/>
      <c r="U39" s="272"/>
      <c r="V39" s="273"/>
      <c r="W39" s="273"/>
      <c r="X39" s="273"/>
      <c r="Y39" s="273"/>
      <c r="Z39" s="274"/>
      <c r="AA39" s="293"/>
      <c r="AB39" s="294"/>
    </row>
    <row r="40" spans="1:28" x14ac:dyDescent="0.2">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spans="1:28" ht="15.75" x14ac:dyDescent="0.2">
      <c r="A41" s="435" t="str">
        <f>Translations!$C$74</f>
        <v>D. Modules</v>
      </c>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7"/>
    </row>
    <row r="42" spans="1:28" ht="15.75" x14ac:dyDescent="0.2">
      <c r="A42" s="261"/>
      <c r="B42" s="262"/>
      <c r="C42" s="262"/>
      <c r="D42" s="262"/>
      <c r="E42" s="262"/>
      <c r="F42" s="262"/>
      <c r="G42" s="262"/>
      <c r="H42" s="262"/>
      <c r="I42" s="262"/>
      <c r="J42" s="262"/>
      <c r="K42" s="262"/>
      <c r="L42" s="262"/>
      <c r="M42" s="262"/>
      <c r="N42" s="262"/>
      <c r="O42" s="262"/>
      <c r="P42" s="263"/>
      <c r="Q42" s="263"/>
      <c r="R42" s="263"/>
      <c r="S42" s="263"/>
      <c r="T42" s="263"/>
      <c r="U42" s="263"/>
      <c r="V42" s="263"/>
      <c r="W42" s="263"/>
      <c r="X42" s="263"/>
      <c r="Y42" s="263"/>
      <c r="Z42" s="256"/>
      <c r="AA42" s="256"/>
      <c r="AB42" s="256"/>
    </row>
    <row r="43" spans="1:28" ht="15.75" x14ac:dyDescent="0.2">
      <c r="A43" s="438" t="str">
        <f>Translations!$C$75</f>
        <v>Module</v>
      </c>
      <c r="B43" s="439"/>
      <c r="C43" s="314">
        <v>1</v>
      </c>
      <c r="D43" s="440" t="str">
        <f>Translations!$C$72</f>
        <v>Veuillez sélectionner…</v>
      </c>
      <c r="E43" s="440"/>
      <c r="F43" s="440"/>
      <c r="G43" s="440"/>
      <c r="H43" s="440"/>
      <c r="I43" s="440"/>
      <c r="J43" s="440"/>
      <c r="K43" s="288"/>
      <c r="L43" s="248"/>
      <c r="M43" s="248"/>
      <c r="N43" s="248"/>
      <c r="O43" s="248"/>
      <c r="P43" s="248"/>
      <c r="Q43" s="248"/>
      <c r="R43" s="248"/>
      <c r="S43" s="248"/>
      <c r="T43" s="248"/>
      <c r="U43" s="248"/>
      <c r="V43" s="248"/>
      <c r="W43" s="248"/>
      <c r="X43" s="248"/>
      <c r="Y43" s="248"/>
      <c r="Z43" s="248"/>
      <c r="AA43" s="248"/>
      <c r="AB43" s="249"/>
    </row>
    <row r="44" spans="1:28" ht="15.75" x14ac:dyDescent="0.2">
      <c r="A44" s="295" t="str">
        <f>Translations!$C$76</f>
        <v>Cadre de mesure du module</v>
      </c>
      <c r="B44" s="309"/>
      <c r="C44" s="309"/>
      <c r="D44" s="309"/>
      <c r="E44" s="309"/>
      <c r="F44" s="309"/>
      <c r="G44" s="283"/>
      <c r="H44" s="283"/>
      <c r="I44" s="283"/>
      <c r="J44" s="283"/>
      <c r="K44" s="283"/>
      <c r="L44" s="283"/>
      <c r="M44" s="283"/>
      <c r="N44" s="283"/>
      <c r="O44" s="283"/>
      <c r="P44" s="283"/>
      <c r="Q44" s="283"/>
      <c r="R44" s="419"/>
      <c r="S44" s="419"/>
      <c r="T44" s="419"/>
      <c r="U44" s="419"/>
      <c r="V44" s="419"/>
      <c r="W44" s="419"/>
      <c r="X44" s="419"/>
      <c r="Y44" s="419"/>
      <c r="Z44" s="419"/>
      <c r="AA44" s="419"/>
      <c r="AB44" s="420"/>
    </row>
    <row r="45" spans="1:28" x14ac:dyDescent="0.2">
      <c r="A45" s="360" t="str">
        <f>Translations!$C$49</f>
        <v>Indicateur de couverture/produit</v>
      </c>
      <c r="B45" s="360"/>
      <c r="C45" s="391"/>
      <c r="D45" s="606" t="str">
        <f>Translations!$C$67</f>
        <v xml:space="preserve">Récipiendaires principaux responsables </v>
      </c>
      <c r="E45" s="359" t="str">
        <f>Translations!$C$66</f>
        <v>Lié à</v>
      </c>
      <c r="F45" s="391"/>
      <c r="G45" s="359" t="str">
        <f>Translations!$C$29</f>
        <v>Données de référence</v>
      </c>
      <c r="H45" s="360"/>
      <c r="I45" s="360"/>
      <c r="J45" s="391"/>
      <c r="K45" s="359"/>
      <c r="L45" s="360"/>
      <c r="M45" s="379" t="str">
        <f>Translations!$C$30</f>
        <v>Cibles</v>
      </c>
      <c r="N45" s="380"/>
      <c r="O45" s="380"/>
      <c r="P45" s="380"/>
      <c r="Q45" s="380"/>
      <c r="R45" s="381"/>
      <c r="S45" s="510" t="str">
        <f>Translations!$C$82</f>
        <v>Hypothèses pour les cibles</v>
      </c>
      <c r="T45" s="511"/>
      <c r="U45" s="511"/>
      <c r="V45" s="511"/>
      <c r="W45" s="511"/>
      <c r="X45" s="511"/>
      <c r="Y45" s="511"/>
      <c r="Z45" s="511"/>
      <c r="AA45" s="511"/>
      <c r="AB45" s="512"/>
    </row>
    <row r="46" spans="1:28" x14ac:dyDescent="0.2">
      <c r="A46" s="363"/>
      <c r="B46" s="363"/>
      <c r="C46" s="410"/>
      <c r="D46" s="607"/>
      <c r="E46" s="362"/>
      <c r="F46" s="410"/>
      <c r="G46" s="392"/>
      <c r="H46" s="396"/>
      <c r="I46" s="396"/>
      <c r="J46" s="393"/>
      <c r="K46" s="362"/>
      <c r="L46" s="363"/>
      <c r="M46" s="379" t="str">
        <f>Translations!$C$34</f>
        <v>Année 1</v>
      </c>
      <c r="N46" s="381"/>
      <c r="O46" s="379" t="str">
        <f>Translations!$C$35</f>
        <v>Année 2</v>
      </c>
      <c r="P46" s="381"/>
      <c r="Q46" s="379" t="str">
        <f>Translations!$C$36</f>
        <v>Année 3</v>
      </c>
      <c r="R46" s="381"/>
      <c r="S46" s="513" t="str">
        <f>Translations!$C$83</f>
        <v>Veuillez décrire : 1) les hypothèses générales utilisées pour le calcul des cibles, 2) le taux d'intensification prévisionnel, 3) les estimations démographiques, 4) l'indicateur ou paquet de services, 5) les sources de données, 6) toute autre information pertinente</v>
      </c>
      <c r="T46" s="514"/>
      <c r="U46" s="514"/>
      <c r="V46" s="514"/>
      <c r="W46" s="514"/>
      <c r="X46" s="514"/>
      <c r="Y46" s="514"/>
      <c r="Z46" s="514"/>
      <c r="AA46" s="514"/>
      <c r="AB46" s="515"/>
    </row>
    <row r="47" spans="1:28" x14ac:dyDescent="0.2">
      <c r="A47" s="363"/>
      <c r="B47" s="363"/>
      <c r="C47" s="410"/>
      <c r="D47" s="607"/>
      <c r="E47" s="362"/>
      <c r="F47" s="410"/>
      <c r="G47" s="280" t="s">
        <v>2172</v>
      </c>
      <c r="H47" s="394" t="s">
        <v>14</v>
      </c>
      <c r="I47" s="394" t="str">
        <f>Translations!$C$32</f>
        <v xml:space="preserve">Année </v>
      </c>
      <c r="J47" s="394" t="str">
        <f>Translations!$C$33</f>
        <v>Source</v>
      </c>
      <c r="K47" s="362"/>
      <c r="L47" s="421"/>
      <c r="M47" s="307" t="s">
        <v>2172</v>
      </c>
      <c r="N47" s="508" t="s">
        <v>14</v>
      </c>
      <c r="O47" s="307" t="s">
        <v>2172</v>
      </c>
      <c r="P47" s="508" t="s">
        <v>14</v>
      </c>
      <c r="Q47" s="307" t="s">
        <v>2172</v>
      </c>
      <c r="R47" s="508" t="s">
        <v>14</v>
      </c>
      <c r="S47" s="513"/>
      <c r="T47" s="514"/>
      <c r="U47" s="514"/>
      <c r="V47" s="514"/>
      <c r="W47" s="514"/>
      <c r="X47" s="514"/>
      <c r="Y47" s="514"/>
      <c r="Z47" s="514"/>
      <c r="AA47" s="514"/>
      <c r="AB47" s="515"/>
    </row>
    <row r="48" spans="1:28" x14ac:dyDescent="0.2">
      <c r="A48" s="396"/>
      <c r="B48" s="396"/>
      <c r="C48" s="393"/>
      <c r="D48" s="608"/>
      <c r="E48" s="392"/>
      <c r="F48" s="393"/>
      <c r="G48" s="276" t="s">
        <v>2173</v>
      </c>
      <c r="H48" s="395"/>
      <c r="I48" s="395"/>
      <c r="J48" s="395"/>
      <c r="K48" s="392"/>
      <c r="L48" s="422"/>
      <c r="M48" s="308" t="s">
        <v>2173</v>
      </c>
      <c r="N48" s="509"/>
      <c r="O48" s="308" t="s">
        <v>2173</v>
      </c>
      <c r="P48" s="509"/>
      <c r="Q48" s="308" t="s">
        <v>2173</v>
      </c>
      <c r="R48" s="509"/>
      <c r="S48" s="516"/>
      <c r="T48" s="517"/>
      <c r="U48" s="517"/>
      <c r="V48" s="517"/>
      <c r="W48" s="517"/>
      <c r="X48" s="517"/>
      <c r="Y48" s="517"/>
      <c r="Z48" s="517"/>
      <c r="AA48" s="517"/>
      <c r="AB48" s="518"/>
    </row>
    <row r="49" spans="1:28" ht="15" customHeight="1" x14ac:dyDescent="0.2">
      <c r="A49" s="521"/>
      <c r="B49" s="522"/>
      <c r="C49" s="523"/>
      <c r="D49" s="530" t="str">
        <f>Translations!$C$72</f>
        <v>Veuillez sélectionner…</v>
      </c>
      <c r="E49" s="597" t="str">
        <f>Translations!$C$72</f>
        <v>Veuillez sélectionner…</v>
      </c>
      <c r="F49" s="598"/>
      <c r="G49" s="539"/>
      <c r="H49" s="519" t="str">
        <f>IF($G51&lt;&gt;"",$G49/$G51,"")</f>
        <v/>
      </c>
      <c r="I49" s="542"/>
      <c r="J49" s="603" t="str">
        <f>Translations!$C$72</f>
        <v>Veuillez sélectionner…</v>
      </c>
      <c r="K49" s="548" t="str">
        <f>Translations!$C$78</f>
        <v>Indicatif</v>
      </c>
      <c r="L49" s="549"/>
      <c r="M49" s="315"/>
      <c r="N49" s="519" t="str">
        <f>IF(M50&lt;&gt;"",M49/M50,"")</f>
        <v/>
      </c>
      <c r="O49" s="317"/>
      <c r="P49" s="519" t="str">
        <f>IF(O50&lt;&gt;"",O49/O50,"")</f>
        <v/>
      </c>
      <c r="Q49" s="317"/>
      <c r="R49" s="519" t="str">
        <f>IF(Q50&lt;&gt;"",Q49/Q50,"")</f>
        <v/>
      </c>
      <c r="S49" s="485"/>
      <c r="T49" s="486"/>
      <c r="U49" s="486"/>
      <c r="V49" s="486"/>
      <c r="W49" s="486"/>
      <c r="X49" s="486"/>
      <c r="Y49" s="486"/>
      <c r="Z49" s="486"/>
      <c r="AA49" s="486"/>
      <c r="AB49" s="487"/>
    </row>
    <row r="50" spans="1:28" x14ac:dyDescent="0.2">
      <c r="A50" s="524"/>
      <c r="B50" s="525"/>
      <c r="C50" s="526"/>
      <c r="D50" s="531"/>
      <c r="E50" s="599"/>
      <c r="F50" s="600"/>
      <c r="G50" s="540"/>
      <c r="H50" s="541"/>
      <c r="I50" s="543"/>
      <c r="J50" s="604"/>
      <c r="K50" s="550"/>
      <c r="L50" s="551"/>
      <c r="M50" s="316"/>
      <c r="N50" s="520"/>
      <c r="O50" s="318"/>
      <c r="P50" s="520"/>
      <c r="Q50" s="318"/>
      <c r="R50" s="520"/>
      <c r="S50" s="488"/>
      <c r="T50" s="489"/>
      <c r="U50" s="489"/>
      <c r="V50" s="489"/>
      <c r="W50" s="489"/>
      <c r="X50" s="489"/>
      <c r="Y50" s="489"/>
      <c r="Z50" s="489"/>
      <c r="AA50" s="489"/>
      <c r="AB50" s="490"/>
    </row>
    <row r="51" spans="1:28" ht="15" customHeight="1" x14ac:dyDescent="0.2">
      <c r="A51" s="524"/>
      <c r="B51" s="525"/>
      <c r="C51" s="526"/>
      <c r="D51" s="531"/>
      <c r="E51" s="599"/>
      <c r="F51" s="600"/>
      <c r="G51" s="539"/>
      <c r="H51" s="541"/>
      <c r="I51" s="543"/>
      <c r="J51" s="604"/>
      <c r="K51" s="552" t="str">
        <f>Translations!$C$79</f>
        <v>Au-delà du montant indicatif</v>
      </c>
      <c r="L51" s="553"/>
      <c r="M51" s="315"/>
      <c r="N51" s="519" t="str">
        <f>IF(M52&lt;&gt;"",M51/M52,"")</f>
        <v/>
      </c>
      <c r="O51" s="317"/>
      <c r="P51" s="519" t="str">
        <f>IF(O52&lt;&gt;"",O51/O52,"")</f>
        <v/>
      </c>
      <c r="Q51" s="317"/>
      <c r="R51" s="519" t="str">
        <f>IF(Q52&lt;&gt;"",Q51/Q52,"")</f>
        <v/>
      </c>
      <c r="S51" s="488"/>
      <c r="T51" s="489"/>
      <c r="U51" s="489"/>
      <c r="V51" s="489"/>
      <c r="W51" s="489"/>
      <c r="X51" s="489"/>
      <c r="Y51" s="489"/>
      <c r="Z51" s="489"/>
      <c r="AA51" s="489"/>
      <c r="AB51" s="490"/>
    </row>
    <row r="52" spans="1:28" x14ac:dyDescent="0.2">
      <c r="A52" s="527"/>
      <c r="B52" s="528"/>
      <c r="C52" s="529"/>
      <c r="D52" s="532"/>
      <c r="E52" s="601"/>
      <c r="F52" s="602"/>
      <c r="G52" s="540"/>
      <c r="H52" s="520"/>
      <c r="I52" s="544"/>
      <c r="J52" s="605"/>
      <c r="K52" s="554"/>
      <c r="L52" s="555"/>
      <c r="M52" s="316"/>
      <c r="N52" s="520"/>
      <c r="O52" s="318"/>
      <c r="P52" s="520"/>
      <c r="Q52" s="318"/>
      <c r="R52" s="520"/>
      <c r="S52" s="491"/>
      <c r="T52" s="492"/>
      <c r="U52" s="492"/>
      <c r="V52" s="492"/>
      <c r="W52" s="492"/>
      <c r="X52" s="492"/>
      <c r="Y52" s="492"/>
      <c r="Z52" s="492"/>
      <c r="AA52" s="492"/>
      <c r="AB52" s="493"/>
    </row>
    <row r="53" spans="1:28" ht="15" customHeight="1" x14ac:dyDescent="0.2">
      <c r="A53" s="521"/>
      <c r="B53" s="522"/>
      <c r="C53" s="523"/>
      <c r="D53" s="530" t="str">
        <f>Translations!$C$72</f>
        <v>Veuillez sélectionner…</v>
      </c>
      <c r="E53" s="597" t="str">
        <f>Translations!$C$72</f>
        <v>Veuillez sélectionner…</v>
      </c>
      <c r="F53" s="598"/>
      <c r="G53" s="539"/>
      <c r="H53" s="519" t="str">
        <f>IF($G55&lt;&gt;"",$G53/$G55,"")</f>
        <v/>
      </c>
      <c r="I53" s="542"/>
      <c r="J53" s="603" t="str">
        <f>Translations!$C$72</f>
        <v>Veuillez sélectionner…</v>
      </c>
      <c r="K53" s="548" t="str">
        <f>Translations!$C$78</f>
        <v>Indicatif</v>
      </c>
      <c r="L53" s="549"/>
      <c r="M53" s="315"/>
      <c r="N53" s="519" t="str">
        <f>IF(M54&lt;&gt;"",M53/M54,"")</f>
        <v/>
      </c>
      <c r="O53" s="317"/>
      <c r="P53" s="519" t="str">
        <f>IF(O54&lt;&gt;"",O53/O54,"")</f>
        <v/>
      </c>
      <c r="Q53" s="317"/>
      <c r="R53" s="519" t="str">
        <f>IF(Q54&lt;&gt;"",Q53/Q54,"")</f>
        <v/>
      </c>
      <c r="S53" s="485"/>
      <c r="T53" s="486"/>
      <c r="U53" s="486"/>
      <c r="V53" s="486"/>
      <c r="W53" s="486"/>
      <c r="X53" s="486"/>
      <c r="Y53" s="486"/>
      <c r="Z53" s="486"/>
      <c r="AA53" s="486"/>
      <c r="AB53" s="487"/>
    </row>
    <row r="54" spans="1:28" x14ac:dyDescent="0.2">
      <c r="A54" s="524"/>
      <c r="B54" s="525"/>
      <c r="C54" s="526"/>
      <c r="D54" s="531"/>
      <c r="E54" s="599"/>
      <c r="F54" s="600"/>
      <c r="G54" s="540"/>
      <c r="H54" s="541"/>
      <c r="I54" s="543"/>
      <c r="J54" s="604"/>
      <c r="K54" s="550"/>
      <c r="L54" s="551"/>
      <c r="M54" s="316"/>
      <c r="N54" s="520"/>
      <c r="O54" s="318"/>
      <c r="P54" s="520"/>
      <c r="Q54" s="318"/>
      <c r="R54" s="520"/>
      <c r="S54" s="488"/>
      <c r="T54" s="489"/>
      <c r="U54" s="489"/>
      <c r="V54" s="489"/>
      <c r="W54" s="489"/>
      <c r="X54" s="489"/>
      <c r="Y54" s="489"/>
      <c r="Z54" s="489"/>
      <c r="AA54" s="489"/>
      <c r="AB54" s="490"/>
    </row>
    <row r="55" spans="1:28" ht="15" customHeight="1" x14ac:dyDescent="0.2">
      <c r="A55" s="524"/>
      <c r="B55" s="525"/>
      <c r="C55" s="526"/>
      <c r="D55" s="531"/>
      <c r="E55" s="599"/>
      <c r="F55" s="600"/>
      <c r="G55" s="539"/>
      <c r="H55" s="541"/>
      <c r="I55" s="543"/>
      <c r="J55" s="604"/>
      <c r="K55" s="552" t="str">
        <f>Translations!$C$79</f>
        <v>Au-delà du montant indicatif</v>
      </c>
      <c r="L55" s="553"/>
      <c r="M55" s="315"/>
      <c r="N55" s="519" t="str">
        <f>IF(M56&lt;&gt;"",M55/M56,"")</f>
        <v/>
      </c>
      <c r="O55" s="317"/>
      <c r="P55" s="519" t="str">
        <f>IF(O56&lt;&gt;"",O55/O56,"")</f>
        <v/>
      </c>
      <c r="Q55" s="317"/>
      <c r="R55" s="519" t="str">
        <f>IF(Q56&lt;&gt;"",Q55/Q56,"")</f>
        <v/>
      </c>
      <c r="S55" s="488"/>
      <c r="T55" s="489"/>
      <c r="U55" s="489"/>
      <c r="V55" s="489"/>
      <c r="W55" s="489"/>
      <c r="X55" s="489"/>
      <c r="Y55" s="489"/>
      <c r="Z55" s="489"/>
      <c r="AA55" s="489"/>
      <c r="AB55" s="490"/>
    </row>
    <row r="56" spans="1:28" x14ac:dyDescent="0.2">
      <c r="A56" s="527"/>
      <c r="B56" s="528"/>
      <c r="C56" s="529"/>
      <c r="D56" s="532"/>
      <c r="E56" s="601"/>
      <c r="F56" s="602"/>
      <c r="G56" s="540"/>
      <c r="H56" s="520"/>
      <c r="I56" s="544"/>
      <c r="J56" s="605"/>
      <c r="K56" s="554"/>
      <c r="L56" s="555"/>
      <c r="M56" s="316"/>
      <c r="N56" s="520"/>
      <c r="O56" s="318"/>
      <c r="P56" s="520"/>
      <c r="Q56" s="318"/>
      <c r="R56" s="520"/>
      <c r="S56" s="491"/>
      <c r="T56" s="492"/>
      <c r="U56" s="492"/>
      <c r="V56" s="492"/>
      <c r="W56" s="492"/>
      <c r="X56" s="492"/>
      <c r="Y56" s="492"/>
      <c r="Z56" s="492"/>
      <c r="AA56" s="492"/>
      <c r="AB56" s="493"/>
    </row>
    <row r="57" spans="1:28" ht="15" customHeight="1" x14ac:dyDescent="0.2">
      <c r="A57" s="521"/>
      <c r="B57" s="522"/>
      <c r="C57" s="523"/>
      <c r="D57" s="530" t="str">
        <f>Translations!$C$72</f>
        <v>Veuillez sélectionner…</v>
      </c>
      <c r="E57" s="597" t="str">
        <f>Translations!$C$72</f>
        <v>Veuillez sélectionner…</v>
      </c>
      <c r="F57" s="598"/>
      <c r="G57" s="539"/>
      <c r="H57" s="519" t="str">
        <f>IF($G59&lt;&gt;"",$G57/$G59,"")</f>
        <v/>
      </c>
      <c r="I57" s="542"/>
      <c r="J57" s="603" t="str">
        <f>Translations!$C$72</f>
        <v>Veuillez sélectionner…</v>
      </c>
      <c r="K57" s="548" t="str">
        <f>Translations!$C$78</f>
        <v>Indicatif</v>
      </c>
      <c r="L57" s="549"/>
      <c r="M57" s="315"/>
      <c r="N57" s="519" t="str">
        <f>IF(M58&lt;&gt;"",M57/M58,"")</f>
        <v/>
      </c>
      <c r="O57" s="317"/>
      <c r="P57" s="519" t="str">
        <f>IF(O58&lt;&gt;"",O57/O58,"")</f>
        <v/>
      </c>
      <c r="Q57" s="317"/>
      <c r="R57" s="519" t="str">
        <f>IF(Q58&lt;&gt;"",Q57/Q58,"")</f>
        <v/>
      </c>
      <c r="S57" s="485"/>
      <c r="T57" s="486"/>
      <c r="U57" s="486"/>
      <c r="V57" s="486"/>
      <c r="W57" s="486"/>
      <c r="X57" s="486"/>
      <c r="Y57" s="486"/>
      <c r="Z57" s="486"/>
      <c r="AA57" s="486"/>
      <c r="AB57" s="487"/>
    </row>
    <row r="58" spans="1:28" x14ac:dyDescent="0.2">
      <c r="A58" s="524"/>
      <c r="B58" s="525"/>
      <c r="C58" s="526"/>
      <c r="D58" s="531"/>
      <c r="E58" s="599"/>
      <c r="F58" s="600"/>
      <c r="G58" s="540"/>
      <c r="H58" s="541"/>
      <c r="I58" s="543"/>
      <c r="J58" s="604"/>
      <c r="K58" s="550"/>
      <c r="L58" s="551"/>
      <c r="M58" s="316"/>
      <c r="N58" s="520"/>
      <c r="O58" s="318"/>
      <c r="P58" s="520"/>
      <c r="Q58" s="318"/>
      <c r="R58" s="520"/>
      <c r="S58" s="488"/>
      <c r="T58" s="489"/>
      <c r="U58" s="489"/>
      <c r="V58" s="489"/>
      <c r="W58" s="489"/>
      <c r="X58" s="489"/>
      <c r="Y58" s="489"/>
      <c r="Z58" s="489"/>
      <c r="AA58" s="489"/>
      <c r="AB58" s="490"/>
    </row>
    <row r="59" spans="1:28" ht="15" customHeight="1" x14ac:dyDescent="0.2">
      <c r="A59" s="524"/>
      <c r="B59" s="525"/>
      <c r="C59" s="526"/>
      <c r="D59" s="531"/>
      <c r="E59" s="599"/>
      <c r="F59" s="600"/>
      <c r="G59" s="539"/>
      <c r="H59" s="541"/>
      <c r="I59" s="543"/>
      <c r="J59" s="604"/>
      <c r="K59" s="552" t="str">
        <f>Translations!$C$79</f>
        <v>Au-delà du montant indicatif</v>
      </c>
      <c r="L59" s="553"/>
      <c r="M59" s="315"/>
      <c r="N59" s="519" t="str">
        <f>IF(M60&lt;&gt;"",M59/M60,"")</f>
        <v/>
      </c>
      <c r="O59" s="317"/>
      <c r="P59" s="519" t="str">
        <f>IF(O60&lt;&gt;"",O59/O60,"")</f>
        <v/>
      </c>
      <c r="Q59" s="317"/>
      <c r="R59" s="519" t="str">
        <f>IF(Q60&lt;&gt;"",Q59/Q60,"")</f>
        <v/>
      </c>
      <c r="S59" s="488"/>
      <c r="T59" s="489"/>
      <c r="U59" s="489"/>
      <c r="V59" s="489"/>
      <c r="W59" s="489"/>
      <c r="X59" s="489"/>
      <c r="Y59" s="489"/>
      <c r="Z59" s="489"/>
      <c r="AA59" s="489"/>
      <c r="AB59" s="490"/>
    </row>
    <row r="60" spans="1:28" x14ac:dyDescent="0.2">
      <c r="A60" s="527"/>
      <c r="B60" s="528"/>
      <c r="C60" s="529"/>
      <c r="D60" s="532"/>
      <c r="E60" s="601"/>
      <c r="F60" s="602"/>
      <c r="G60" s="540"/>
      <c r="H60" s="520"/>
      <c r="I60" s="544"/>
      <c r="J60" s="605"/>
      <c r="K60" s="554"/>
      <c r="L60" s="555"/>
      <c r="M60" s="316"/>
      <c r="N60" s="520"/>
      <c r="O60" s="318"/>
      <c r="P60" s="520"/>
      <c r="Q60" s="318"/>
      <c r="R60" s="520"/>
      <c r="S60" s="491"/>
      <c r="T60" s="492"/>
      <c r="U60" s="492"/>
      <c r="V60" s="492"/>
      <c r="W60" s="492"/>
      <c r="X60" s="492"/>
      <c r="Y60" s="492"/>
      <c r="Z60" s="492"/>
      <c r="AA60" s="492"/>
      <c r="AB60" s="493"/>
    </row>
    <row r="61" spans="1:28" ht="15.75" x14ac:dyDescent="0.2">
      <c r="A61" s="295" t="str">
        <f>Translations!$C$87</f>
        <v>Budget consacré au module</v>
      </c>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7"/>
    </row>
    <row r="62" spans="1:28" x14ac:dyDescent="0.2">
      <c r="A62" s="560" t="str">
        <f>Translations!$C$84</f>
        <v>Demande de financement indicatif pour le module complet</v>
      </c>
      <c r="B62" s="561"/>
      <c r="C62" s="561"/>
      <c r="D62" s="561"/>
      <c r="E62" s="562"/>
      <c r="F62" s="313">
        <v>0</v>
      </c>
      <c r="G62" s="312"/>
      <c r="H62" s="312"/>
      <c r="I62" s="310"/>
      <c r="J62" s="563" t="str">
        <f>Translations!$C$85</f>
        <v>Demande de financement au-delà du montant indicatif pour le module complet</v>
      </c>
      <c r="K62" s="564"/>
      <c r="L62" s="564"/>
      <c r="M62" s="564"/>
      <c r="N62" s="564"/>
      <c r="O62" s="564"/>
      <c r="P62" s="564"/>
      <c r="Q62" s="565">
        <v>0</v>
      </c>
      <c r="R62" s="566"/>
      <c r="S62" s="567"/>
      <c r="T62" s="567"/>
      <c r="U62" s="567"/>
      <c r="V62" s="310"/>
      <c r="W62" s="310"/>
      <c r="X62" s="310"/>
      <c r="Y62" s="310"/>
      <c r="Z62" s="310"/>
      <c r="AA62" s="310"/>
      <c r="AB62" s="311"/>
    </row>
    <row r="63" spans="1:28" x14ac:dyDescent="0.2">
      <c r="A63" s="359" t="str">
        <f>Translations!$C$86</f>
        <v>Intervention</v>
      </c>
      <c r="B63" s="360"/>
      <c r="C63" s="391"/>
      <c r="D63" s="568" t="str">
        <f>Translations!$C$88</f>
        <v>Description de l'intervention</v>
      </c>
      <c r="E63" s="569"/>
      <c r="F63" s="569"/>
      <c r="G63" s="569"/>
      <c r="H63" s="569"/>
      <c r="I63" s="570"/>
      <c r="J63" s="394" t="str">
        <f>Translations!$C$67</f>
        <v xml:space="preserve">Récipiendaires principaux responsables </v>
      </c>
      <c r="K63" s="359" t="str">
        <f>Translations!$C$90</f>
        <v>Budget consacré à l'intervention (demande adressée au Fonds mondial uniquement)</v>
      </c>
      <c r="L63" s="360"/>
      <c r="M63" s="360"/>
      <c r="N63" s="360"/>
      <c r="O63" s="360"/>
      <c r="P63" s="360"/>
      <c r="Q63" s="360"/>
      <c r="R63" s="391"/>
      <c r="S63" s="568" t="str">
        <f>Translations!$C$91</f>
        <v>Hypothèses des coûts pour la demande adressée au Fonds mondial</v>
      </c>
      <c r="T63" s="569"/>
      <c r="U63" s="569"/>
      <c r="V63" s="569"/>
      <c r="W63" s="569"/>
      <c r="X63" s="569"/>
      <c r="Y63" s="570"/>
      <c r="Z63" s="596" t="str">
        <f>Translations!$C$93</f>
        <v>Autres financements obtenus pour cette intervention (précisez la portée des activités financées)</v>
      </c>
      <c r="AA63" s="596"/>
      <c r="AB63" s="596"/>
    </row>
    <row r="64" spans="1:28" ht="40.5" customHeight="1" x14ac:dyDescent="0.2">
      <c r="A64" s="392"/>
      <c r="B64" s="396"/>
      <c r="C64" s="393"/>
      <c r="D64" s="557" t="str">
        <f>Translations!$C$89</f>
        <v>Veuillez décrire 1) le fondement du soutien du Fonds mondial, 2) les liens avec le plan stratégique national, 3) la population ciblée et le champ d'application géographique, 4) la démarche de mise en œuvre, 5) toute autre information pertinente. Veuillez différencier le champ d'application de la demande de financement indicatif de celui de la demande de financement au-delà du montant indicatif</v>
      </c>
      <c r="E64" s="558"/>
      <c r="F64" s="558"/>
      <c r="G64" s="558"/>
      <c r="H64" s="558"/>
      <c r="I64" s="559"/>
      <c r="J64" s="395"/>
      <c r="K64" s="285"/>
      <c r="L64" s="286"/>
      <c r="M64" s="379" t="str">
        <f>Translations!$C$34</f>
        <v>Année 1</v>
      </c>
      <c r="N64" s="381"/>
      <c r="O64" s="596" t="str">
        <f>Translations!$C$35</f>
        <v>Année 2</v>
      </c>
      <c r="P64" s="596"/>
      <c r="Q64" s="596" t="str">
        <f>Translations!$C$36</f>
        <v>Année 3</v>
      </c>
      <c r="R64" s="596"/>
      <c r="S64" s="557" t="str">
        <f>Translations!$C$92</f>
        <v>Veuillez décrire : 1) les hypothèses de coûts et les sources de données, 2) les activités clés, 3) toute autre information pertinente. Veuillez différencier le financement indicatif du financement au-delà du montant indicatif</v>
      </c>
      <c r="T64" s="558"/>
      <c r="U64" s="558"/>
      <c r="V64" s="558"/>
      <c r="W64" s="558"/>
      <c r="X64" s="558"/>
      <c r="Y64" s="559"/>
      <c r="Z64" s="596"/>
      <c r="AA64" s="596"/>
      <c r="AB64" s="596"/>
    </row>
    <row r="65" spans="1:28" ht="15" customHeight="1" x14ac:dyDescent="0.2">
      <c r="A65" s="459" t="str">
        <f>Translations!$C$72</f>
        <v>Veuillez sélectionner…</v>
      </c>
      <c r="B65" s="460"/>
      <c r="C65" s="461"/>
      <c r="D65" s="571"/>
      <c r="E65" s="572"/>
      <c r="F65" s="572"/>
      <c r="G65" s="572"/>
      <c r="H65" s="572"/>
      <c r="I65" s="573"/>
      <c r="J65" s="580"/>
      <c r="K65" s="589" t="str">
        <f>Translations!$C$78</f>
        <v>Indicatif</v>
      </c>
      <c r="L65" s="589"/>
      <c r="M65" s="454"/>
      <c r="N65" s="455"/>
      <c r="O65" s="456"/>
      <c r="P65" s="457"/>
      <c r="Q65" s="456"/>
      <c r="R65" s="457"/>
      <c r="S65" s="588"/>
      <c r="T65" s="588"/>
      <c r="U65" s="588"/>
      <c r="V65" s="588"/>
      <c r="W65" s="588"/>
      <c r="X65" s="588"/>
      <c r="Y65" s="588"/>
      <c r="Z65" s="460"/>
      <c r="AA65" s="460"/>
      <c r="AB65" s="461"/>
    </row>
    <row r="66" spans="1:28" ht="15" customHeight="1" x14ac:dyDescent="0.2">
      <c r="A66" s="473"/>
      <c r="B66" s="474"/>
      <c r="C66" s="475"/>
      <c r="D66" s="574"/>
      <c r="E66" s="575"/>
      <c r="F66" s="575"/>
      <c r="G66" s="575"/>
      <c r="H66" s="575"/>
      <c r="I66" s="576"/>
      <c r="J66" s="581"/>
      <c r="K66" s="589" t="str">
        <f>Translations!$C$79</f>
        <v>Au-delà du montant indicatif</v>
      </c>
      <c r="L66" s="589"/>
      <c r="M66" s="467"/>
      <c r="N66" s="468"/>
      <c r="O66" s="469"/>
      <c r="P66" s="470"/>
      <c r="Q66" s="471"/>
      <c r="R66" s="472"/>
      <c r="S66" s="588"/>
      <c r="T66" s="588"/>
      <c r="U66" s="588"/>
      <c r="V66" s="588"/>
      <c r="W66" s="588"/>
      <c r="X66" s="588"/>
      <c r="Y66" s="588"/>
      <c r="Z66" s="463"/>
      <c r="AA66" s="463"/>
      <c r="AB66" s="464"/>
    </row>
    <row r="67" spans="1:28" x14ac:dyDescent="0.2">
      <c r="A67" s="473"/>
      <c r="B67" s="474"/>
      <c r="C67" s="475"/>
      <c r="D67" s="574"/>
      <c r="E67" s="575"/>
      <c r="F67" s="575"/>
      <c r="G67" s="575"/>
      <c r="H67" s="575"/>
      <c r="I67" s="576"/>
      <c r="J67" s="476"/>
      <c r="K67" s="589" t="str">
        <f>Translations!$C$78</f>
        <v>Indicatif</v>
      </c>
      <c r="L67" s="589"/>
      <c r="M67" s="454"/>
      <c r="N67" s="455"/>
      <c r="O67" s="456"/>
      <c r="P67" s="457"/>
      <c r="Q67" s="456"/>
      <c r="R67" s="457"/>
      <c r="S67" s="588"/>
      <c r="T67" s="588"/>
      <c r="U67" s="588"/>
      <c r="V67" s="588"/>
      <c r="W67" s="588"/>
      <c r="X67" s="588"/>
      <c r="Y67" s="588"/>
      <c r="Z67" s="459"/>
      <c r="AA67" s="460"/>
      <c r="AB67" s="461"/>
    </row>
    <row r="68" spans="1:28" ht="15" customHeight="1" x14ac:dyDescent="0.2">
      <c r="A68" s="462"/>
      <c r="B68" s="463"/>
      <c r="C68" s="464"/>
      <c r="D68" s="577"/>
      <c r="E68" s="578"/>
      <c r="F68" s="578"/>
      <c r="G68" s="578"/>
      <c r="H68" s="578"/>
      <c r="I68" s="579"/>
      <c r="J68" s="477"/>
      <c r="K68" s="589" t="str">
        <f>Translations!$C$79</f>
        <v>Au-delà du montant indicatif</v>
      </c>
      <c r="L68" s="589"/>
      <c r="M68" s="467"/>
      <c r="N68" s="468"/>
      <c r="O68" s="469"/>
      <c r="P68" s="470"/>
      <c r="Q68" s="471"/>
      <c r="R68" s="472"/>
      <c r="S68" s="588"/>
      <c r="T68" s="588"/>
      <c r="U68" s="588"/>
      <c r="V68" s="588"/>
      <c r="W68" s="588"/>
      <c r="X68" s="588"/>
      <c r="Y68" s="588"/>
      <c r="Z68" s="462"/>
      <c r="AA68" s="463"/>
      <c r="AB68" s="464"/>
    </row>
    <row r="69" spans="1:28" ht="15" customHeight="1" x14ac:dyDescent="0.2">
      <c r="A69" s="590" t="str">
        <f>Translations!$C$72</f>
        <v>Veuillez sélectionner…</v>
      </c>
      <c r="B69" s="591"/>
      <c r="C69" s="591"/>
      <c r="D69" s="441"/>
      <c r="E69" s="442"/>
      <c r="F69" s="442"/>
      <c r="G69" s="442"/>
      <c r="H69" s="442"/>
      <c r="I69" s="443"/>
      <c r="J69" s="450"/>
      <c r="K69" s="589" t="str">
        <f>Translations!$C$78</f>
        <v>Indicatif</v>
      </c>
      <c r="L69" s="589"/>
      <c r="M69" s="454"/>
      <c r="N69" s="455"/>
      <c r="O69" s="456"/>
      <c r="P69" s="457"/>
      <c r="Q69" s="456"/>
      <c r="R69" s="457"/>
      <c r="S69" s="588"/>
      <c r="T69" s="588"/>
      <c r="U69" s="588"/>
      <c r="V69" s="588"/>
      <c r="W69" s="588"/>
      <c r="X69" s="588"/>
      <c r="Y69" s="588"/>
      <c r="Z69" s="459"/>
      <c r="AA69" s="460"/>
      <c r="AB69" s="461"/>
    </row>
    <row r="70" spans="1:28" ht="15" customHeight="1" x14ac:dyDescent="0.2">
      <c r="A70" s="592"/>
      <c r="B70" s="593"/>
      <c r="C70" s="593"/>
      <c r="D70" s="444"/>
      <c r="E70" s="445"/>
      <c r="F70" s="445"/>
      <c r="G70" s="445"/>
      <c r="H70" s="445"/>
      <c r="I70" s="446"/>
      <c r="J70" s="451"/>
      <c r="K70" s="589" t="str">
        <f>Translations!$C$79</f>
        <v>Au-delà du montant indicatif</v>
      </c>
      <c r="L70" s="589"/>
      <c r="M70" s="467"/>
      <c r="N70" s="468"/>
      <c r="O70" s="469"/>
      <c r="P70" s="470"/>
      <c r="Q70" s="471"/>
      <c r="R70" s="472"/>
      <c r="S70" s="588"/>
      <c r="T70" s="588"/>
      <c r="U70" s="588"/>
      <c r="V70" s="588"/>
      <c r="W70" s="588"/>
      <c r="X70" s="588"/>
      <c r="Y70" s="588"/>
      <c r="Z70" s="462"/>
      <c r="AA70" s="463"/>
      <c r="AB70" s="464"/>
    </row>
    <row r="71" spans="1:28" x14ac:dyDescent="0.2">
      <c r="A71" s="592"/>
      <c r="B71" s="593"/>
      <c r="C71" s="593"/>
      <c r="D71" s="444"/>
      <c r="E71" s="445"/>
      <c r="F71" s="445"/>
      <c r="G71" s="445"/>
      <c r="H71" s="445"/>
      <c r="I71" s="446"/>
      <c r="J71" s="476"/>
      <c r="K71" s="589" t="str">
        <f>Translations!$C$78</f>
        <v>Indicatif</v>
      </c>
      <c r="L71" s="589"/>
      <c r="M71" s="454"/>
      <c r="N71" s="455"/>
      <c r="O71" s="456"/>
      <c r="P71" s="457"/>
      <c r="Q71" s="456"/>
      <c r="R71" s="457"/>
      <c r="S71" s="588"/>
      <c r="T71" s="588"/>
      <c r="U71" s="588"/>
      <c r="V71" s="588"/>
      <c r="W71" s="588"/>
      <c r="X71" s="588"/>
      <c r="Y71" s="588"/>
      <c r="Z71" s="459"/>
      <c r="AA71" s="460"/>
      <c r="AB71" s="461"/>
    </row>
    <row r="72" spans="1:28" ht="15" customHeight="1" x14ac:dyDescent="0.2">
      <c r="A72" s="594"/>
      <c r="B72" s="595"/>
      <c r="C72" s="595"/>
      <c r="D72" s="447"/>
      <c r="E72" s="448"/>
      <c r="F72" s="448"/>
      <c r="G72" s="448"/>
      <c r="H72" s="448"/>
      <c r="I72" s="449"/>
      <c r="J72" s="477"/>
      <c r="K72" s="589" t="str">
        <f>Translations!$C$79</f>
        <v>Au-delà du montant indicatif</v>
      </c>
      <c r="L72" s="589"/>
      <c r="M72" s="467"/>
      <c r="N72" s="468"/>
      <c r="O72" s="469"/>
      <c r="P72" s="470"/>
      <c r="Q72" s="471"/>
      <c r="R72" s="472"/>
      <c r="S72" s="588"/>
      <c r="T72" s="588"/>
      <c r="U72" s="588"/>
      <c r="V72" s="588"/>
      <c r="W72" s="588"/>
      <c r="X72" s="588"/>
      <c r="Y72" s="588"/>
      <c r="Z72" s="462"/>
      <c r="AA72" s="463"/>
      <c r="AB72" s="464"/>
    </row>
    <row r="73" spans="1:28" ht="15" customHeight="1" x14ac:dyDescent="0.2">
      <c r="A73" s="590" t="str">
        <f>Translations!$C$72</f>
        <v>Veuillez sélectionner…</v>
      </c>
      <c r="B73" s="591"/>
      <c r="C73" s="591"/>
      <c r="D73" s="441"/>
      <c r="E73" s="442"/>
      <c r="F73" s="442"/>
      <c r="G73" s="442"/>
      <c r="H73" s="442"/>
      <c r="I73" s="443"/>
      <c r="J73" s="450"/>
      <c r="K73" s="589" t="str">
        <f>Translations!$C$78</f>
        <v>Indicatif</v>
      </c>
      <c r="L73" s="589"/>
      <c r="M73" s="454"/>
      <c r="N73" s="455"/>
      <c r="O73" s="456"/>
      <c r="P73" s="457"/>
      <c r="Q73" s="456"/>
      <c r="R73" s="457"/>
      <c r="S73" s="588"/>
      <c r="T73" s="588"/>
      <c r="U73" s="588"/>
      <c r="V73" s="588"/>
      <c r="W73" s="588"/>
      <c r="X73" s="588"/>
      <c r="Y73" s="588"/>
      <c r="Z73" s="582"/>
      <c r="AA73" s="583"/>
      <c r="AB73" s="584"/>
    </row>
    <row r="74" spans="1:28" ht="15" customHeight="1" x14ac:dyDescent="0.2">
      <c r="A74" s="592"/>
      <c r="B74" s="593"/>
      <c r="C74" s="593"/>
      <c r="D74" s="444"/>
      <c r="E74" s="445"/>
      <c r="F74" s="445"/>
      <c r="G74" s="445"/>
      <c r="H74" s="445"/>
      <c r="I74" s="446"/>
      <c r="J74" s="451"/>
      <c r="K74" s="589" t="str">
        <f>Translations!$C$79</f>
        <v>Au-delà du montant indicatif</v>
      </c>
      <c r="L74" s="589"/>
      <c r="M74" s="467"/>
      <c r="N74" s="468"/>
      <c r="O74" s="275"/>
      <c r="P74" s="275"/>
      <c r="Q74" s="469"/>
      <c r="R74" s="470"/>
      <c r="S74" s="588"/>
      <c r="T74" s="588"/>
      <c r="U74" s="588"/>
      <c r="V74" s="588"/>
      <c r="W74" s="588"/>
      <c r="X74" s="588"/>
      <c r="Y74" s="588"/>
      <c r="Z74" s="585"/>
      <c r="AA74" s="586"/>
      <c r="AB74" s="587"/>
    </row>
    <row r="75" spans="1:28" x14ac:dyDescent="0.2">
      <c r="A75" s="592"/>
      <c r="B75" s="593"/>
      <c r="C75" s="593"/>
      <c r="D75" s="444"/>
      <c r="E75" s="445"/>
      <c r="F75" s="445"/>
      <c r="G75" s="445"/>
      <c r="H75" s="445"/>
      <c r="I75" s="446"/>
      <c r="J75" s="476"/>
      <c r="K75" s="589" t="str">
        <f>Translations!$C$78</f>
        <v>Indicatif</v>
      </c>
      <c r="L75" s="589"/>
      <c r="M75" s="454"/>
      <c r="N75" s="455"/>
      <c r="O75" s="456"/>
      <c r="P75" s="457"/>
      <c r="Q75" s="456"/>
      <c r="R75" s="457"/>
      <c r="S75" s="588"/>
      <c r="T75" s="588"/>
      <c r="U75" s="588"/>
      <c r="V75" s="588"/>
      <c r="W75" s="588"/>
      <c r="X75" s="588"/>
      <c r="Y75" s="588"/>
      <c r="Z75" s="459"/>
      <c r="AA75" s="460"/>
      <c r="AB75" s="461"/>
    </row>
    <row r="76" spans="1:28" ht="15" customHeight="1" x14ac:dyDescent="0.2">
      <c r="A76" s="594"/>
      <c r="B76" s="595"/>
      <c r="C76" s="595"/>
      <c r="D76" s="447"/>
      <c r="E76" s="448"/>
      <c r="F76" s="448"/>
      <c r="G76" s="448"/>
      <c r="H76" s="448"/>
      <c r="I76" s="449"/>
      <c r="J76" s="477"/>
      <c r="K76" s="589" t="str">
        <f>Translations!$C$79</f>
        <v>Au-delà du montant indicatif</v>
      </c>
      <c r="L76" s="589"/>
      <c r="M76" s="467"/>
      <c r="N76" s="468"/>
      <c r="O76" s="469"/>
      <c r="P76" s="470"/>
      <c r="Q76" s="471"/>
      <c r="R76" s="472"/>
      <c r="S76" s="588"/>
      <c r="T76" s="588"/>
      <c r="U76" s="588"/>
      <c r="V76" s="588"/>
      <c r="W76" s="588"/>
      <c r="X76" s="588"/>
      <c r="Y76" s="588"/>
      <c r="Z76" s="462"/>
      <c r="AA76" s="463"/>
      <c r="AB76" s="464"/>
    </row>
    <row r="77" spans="1:28" x14ac:dyDescent="0.2">
      <c r="A77" s="459" t="s">
        <v>0</v>
      </c>
      <c r="B77" s="460"/>
      <c r="C77" s="461"/>
      <c r="D77" s="441"/>
      <c r="E77" s="442"/>
      <c r="F77" s="442"/>
      <c r="G77" s="442"/>
      <c r="H77" s="442"/>
      <c r="I77" s="443"/>
      <c r="J77" s="450"/>
      <c r="K77" s="589" t="str">
        <f>Translations!$C$78</f>
        <v>Indicatif</v>
      </c>
      <c r="L77" s="589"/>
      <c r="M77" s="454"/>
      <c r="N77" s="455"/>
      <c r="O77" s="456"/>
      <c r="P77" s="457"/>
      <c r="Q77" s="456"/>
      <c r="R77" s="457"/>
      <c r="S77" s="588"/>
      <c r="T77" s="588"/>
      <c r="U77" s="588"/>
      <c r="V77" s="588"/>
      <c r="W77" s="588"/>
      <c r="X77" s="588"/>
      <c r="Y77" s="588"/>
      <c r="Z77" s="459"/>
      <c r="AA77" s="460"/>
      <c r="AB77" s="461"/>
    </row>
    <row r="78" spans="1:28" ht="15" customHeight="1" x14ac:dyDescent="0.2">
      <c r="A78" s="473"/>
      <c r="B78" s="474"/>
      <c r="C78" s="475"/>
      <c r="D78" s="444"/>
      <c r="E78" s="445"/>
      <c r="F78" s="445"/>
      <c r="G78" s="445"/>
      <c r="H78" s="445"/>
      <c r="I78" s="446"/>
      <c r="J78" s="451"/>
      <c r="K78" s="589" t="str">
        <f>Translations!$C$79</f>
        <v>Au-delà du montant indicatif</v>
      </c>
      <c r="L78" s="589"/>
      <c r="M78" s="467"/>
      <c r="N78" s="468"/>
      <c r="O78" s="469"/>
      <c r="P78" s="470"/>
      <c r="Q78" s="471"/>
      <c r="R78" s="472"/>
      <c r="S78" s="588"/>
      <c r="T78" s="588"/>
      <c r="U78" s="588"/>
      <c r="V78" s="588"/>
      <c r="W78" s="588"/>
      <c r="X78" s="588"/>
      <c r="Y78" s="588"/>
      <c r="Z78" s="462"/>
      <c r="AA78" s="463"/>
      <c r="AB78" s="464"/>
    </row>
    <row r="79" spans="1:28" x14ac:dyDescent="0.2">
      <c r="A79" s="473"/>
      <c r="B79" s="474"/>
      <c r="C79" s="475"/>
      <c r="D79" s="444"/>
      <c r="E79" s="445"/>
      <c r="F79" s="445"/>
      <c r="G79" s="445"/>
      <c r="H79" s="445"/>
      <c r="I79" s="446"/>
      <c r="J79" s="476"/>
      <c r="K79" s="589" t="str">
        <f>Translations!$C$78</f>
        <v>Indicatif</v>
      </c>
      <c r="L79" s="589"/>
      <c r="M79" s="454"/>
      <c r="N79" s="455"/>
      <c r="O79" s="456"/>
      <c r="P79" s="457"/>
      <c r="Q79" s="456"/>
      <c r="R79" s="457"/>
      <c r="S79" s="588"/>
      <c r="T79" s="588"/>
      <c r="U79" s="588"/>
      <c r="V79" s="588"/>
      <c r="W79" s="588"/>
      <c r="X79" s="588"/>
      <c r="Y79" s="588"/>
      <c r="Z79" s="459"/>
      <c r="AA79" s="460"/>
      <c r="AB79" s="461"/>
    </row>
    <row r="80" spans="1:28" ht="15" customHeight="1" x14ac:dyDescent="0.2">
      <c r="A80" s="462"/>
      <c r="B80" s="463"/>
      <c r="C80" s="464"/>
      <c r="D80" s="447"/>
      <c r="E80" s="448"/>
      <c r="F80" s="448"/>
      <c r="G80" s="448"/>
      <c r="H80" s="448"/>
      <c r="I80" s="449"/>
      <c r="J80" s="477"/>
      <c r="K80" s="589" t="str">
        <f>Translations!$C$79</f>
        <v>Au-delà du montant indicatif</v>
      </c>
      <c r="L80" s="589"/>
      <c r="M80" s="467"/>
      <c r="N80" s="468"/>
      <c r="O80" s="469"/>
      <c r="P80" s="470"/>
      <c r="Q80" s="471"/>
      <c r="R80" s="472"/>
      <c r="S80" s="588"/>
      <c r="T80" s="588"/>
      <c r="U80" s="588"/>
      <c r="V80" s="588"/>
      <c r="W80" s="588"/>
      <c r="X80" s="588"/>
      <c r="Y80" s="588"/>
      <c r="Z80" s="462"/>
      <c r="AA80" s="463"/>
      <c r="AB80" s="464"/>
    </row>
    <row r="81" spans="1:28" x14ac:dyDescent="0.2">
      <c r="A81" s="459" t="s">
        <v>0</v>
      </c>
      <c r="B81" s="460"/>
      <c r="C81" s="461"/>
      <c r="D81" s="441"/>
      <c r="E81" s="442"/>
      <c r="F81" s="442"/>
      <c r="G81" s="442"/>
      <c r="H81" s="442"/>
      <c r="I81" s="443"/>
      <c r="J81" s="450"/>
      <c r="K81" s="589" t="str">
        <f>Translations!$C$78</f>
        <v>Indicatif</v>
      </c>
      <c r="L81" s="589"/>
      <c r="M81" s="454"/>
      <c r="N81" s="455"/>
      <c r="O81" s="456"/>
      <c r="P81" s="457"/>
      <c r="Q81" s="456"/>
      <c r="R81" s="457"/>
      <c r="S81" s="588"/>
      <c r="T81" s="588"/>
      <c r="U81" s="588"/>
      <c r="V81" s="588"/>
      <c r="W81" s="588"/>
      <c r="X81" s="588"/>
      <c r="Y81" s="588"/>
      <c r="Z81" s="459"/>
      <c r="AA81" s="460"/>
      <c r="AB81" s="461"/>
    </row>
    <row r="82" spans="1:28" ht="15" customHeight="1" x14ac:dyDescent="0.2">
      <c r="A82" s="473"/>
      <c r="B82" s="474"/>
      <c r="C82" s="475"/>
      <c r="D82" s="444"/>
      <c r="E82" s="445"/>
      <c r="F82" s="445"/>
      <c r="G82" s="445"/>
      <c r="H82" s="445"/>
      <c r="I82" s="446"/>
      <c r="J82" s="451"/>
      <c r="K82" s="589" t="str">
        <f>Translations!$C$79</f>
        <v>Au-delà du montant indicatif</v>
      </c>
      <c r="L82" s="589"/>
      <c r="M82" s="467"/>
      <c r="N82" s="468"/>
      <c r="O82" s="469"/>
      <c r="P82" s="470"/>
      <c r="Q82" s="471"/>
      <c r="R82" s="472"/>
      <c r="S82" s="588"/>
      <c r="T82" s="588"/>
      <c r="U82" s="588"/>
      <c r="V82" s="588"/>
      <c r="W82" s="588"/>
      <c r="X82" s="588"/>
      <c r="Y82" s="588"/>
      <c r="Z82" s="462"/>
      <c r="AA82" s="463"/>
      <c r="AB82" s="464"/>
    </row>
    <row r="83" spans="1:28" x14ac:dyDescent="0.2">
      <c r="A83" s="473"/>
      <c r="B83" s="474"/>
      <c r="C83" s="475"/>
      <c r="D83" s="444"/>
      <c r="E83" s="445"/>
      <c r="F83" s="445"/>
      <c r="G83" s="445"/>
      <c r="H83" s="445"/>
      <c r="I83" s="446"/>
      <c r="J83" s="450"/>
      <c r="K83" s="589" t="str">
        <f>Translations!$C$78</f>
        <v>Indicatif</v>
      </c>
      <c r="L83" s="589"/>
      <c r="M83" s="454"/>
      <c r="N83" s="455"/>
      <c r="O83" s="456"/>
      <c r="P83" s="457"/>
      <c r="Q83" s="456"/>
      <c r="R83" s="457"/>
      <c r="S83" s="588"/>
      <c r="T83" s="588"/>
      <c r="U83" s="588"/>
      <c r="V83" s="588"/>
      <c r="W83" s="588"/>
      <c r="X83" s="588"/>
      <c r="Y83" s="588"/>
      <c r="Z83" s="588"/>
      <c r="AA83" s="588"/>
      <c r="AB83" s="588"/>
    </row>
    <row r="84" spans="1:28" ht="15" customHeight="1" x14ac:dyDescent="0.2">
      <c r="A84" s="462"/>
      <c r="B84" s="463"/>
      <c r="C84" s="464"/>
      <c r="D84" s="447"/>
      <c r="E84" s="448"/>
      <c r="F84" s="448"/>
      <c r="G84" s="448"/>
      <c r="H84" s="448"/>
      <c r="I84" s="449"/>
      <c r="J84" s="451"/>
      <c r="K84" s="589" t="str">
        <f>Translations!$C$79</f>
        <v>Au-delà du montant indicatif</v>
      </c>
      <c r="L84" s="589"/>
      <c r="M84" s="469"/>
      <c r="N84" s="470"/>
      <c r="O84" s="469"/>
      <c r="P84" s="470"/>
      <c r="Q84" s="469"/>
      <c r="R84" s="470"/>
      <c r="S84" s="588"/>
      <c r="T84" s="588"/>
      <c r="U84" s="588"/>
      <c r="V84" s="588"/>
      <c r="W84" s="588"/>
      <c r="X84" s="588"/>
      <c r="Y84" s="588"/>
      <c r="Z84" s="588"/>
      <c r="AA84" s="588"/>
      <c r="AB84" s="588"/>
    </row>
  </sheetData>
  <sheetProtection formatCells="0" formatColumns="0" formatRows="0" insertRows="0" deleteRows="0" selectLockedCells="1" sort="0" autoFilter="0"/>
  <mergeCells count="332">
    <mergeCell ref="P1:T1"/>
    <mergeCell ref="A3:C3"/>
    <mergeCell ref="D3:G3"/>
    <mergeCell ref="H3:J4"/>
    <mergeCell ref="K3:R3"/>
    <mergeCell ref="S3:T3"/>
    <mergeCell ref="U3:Z4"/>
    <mergeCell ref="A4:C4"/>
    <mergeCell ref="D4:G4"/>
    <mergeCell ref="K4:R4"/>
    <mergeCell ref="S4:T4"/>
    <mergeCell ref="B11:Z11"/>
    <mergeCell ref="B12:Z12"/>
    <mergeCell ref="U5:X5"/>
    <mergeCell ref="Y5:Z5"/>
    <mergeCell ref="A6:C6"/>
    <mergeCell ref="D6:G6"/>
    <mergeCell ref="K6:R6"/>
    <mergeCell ref="S6:T6"/>
    <mergeCell ref="U6:X6"/>
    <mergeCell ref="Y6:Z6"/>
    <mergeCell ref="A5:C5"/>
    <mergeCell ref="D5:G5"/>
    <mergeCell ref="H5:J6"/>
    <mergeCell ref="K5:R5"/>
    <mergeCell ref="S5:T5"/>
    <mergeCell ref="A7:Y7"/>
    <mergeCell ref="A8:Z8"/>
    <mergeCell ref="A9:Z9"/>
    <mergeCell ref="B10:Z10"/>
    <mergeCell ref="A14:A16"/>
    <mergeCell ref="B14:H16"/>
    <mergeCell ref="I14:N14"/>
    <mergeCell ref="O14:T14"/>
    <mergeCell ref="U14:Z16"/>
    <mergeCell ref="I15:J16"/>
    <mergeCell ref="K15:K16"/>
    <mergeCell ref="L15:N16"/>
    <mergeCell ref="O15:P15"/>
    <mergeCell ref="Q15:R15"/>
    <mergeCell ref="B18:H18"/>
    <mergeCell ref="I18:J18"/>
    <mergeCell ref="L18:N18"/>
    <mergeCell ref="O18:P18"/>
    <mergeCell ref="Q18:R18"/>
    <mergeCell ref="S18:T18"/>
    <mergeCell ref="S15:T15"/>
    <mergeCell ref="O16:P16"/>
    <mergeCell ref="Q16:R16"/>
    <mergeCell ref="S16:T16"/>
    <mergeCell ref="B17:H17"/>
    <mergeCell ref="I17:J17"/>
    <mergeCell ref="L17:N17"/>
    <mergeCell ref="O17:P17"/>
    <mergeCell ref="Q17:R17"/>
    <mergeCell ref="S17:T17"/>
    <mergeCell ref="B20:H20"/>
    <mergeCell ref="I20:J20"/>
    <mergeCell ref="L20:N20"/>
    <mergeCell ref="O20:P20"/>
    <mergeCell ref="Q20:R20"/>
    <mergeCell ref="S20:T20"/>
    <mergeCell ref="B19:H19"/>
    <mergeCell ref="I19:J19"/>
    <mergeCell ref="L19:N19"/>
    <mergeCell ref="O19:P19"/>
    <mergeCell ref="Q19:R19"/>
    <mergeCell ref="S19:T19"/>
    <mergeCell ref="A23:Z23"/>
    <mergeCell ref="A24:Z24"/>
    <mergeCell ref="B25:Z25"/>
    <mergeCell ref="B26:Z26"/>
    <mergeCell ref="B27:Z27"/>
    <mergeCell ref="B28:Z28"/>
    <mergeCell ref="B21:H21"/>
    <mergeCell ref="I21:J21"/>
    <mergeCell ref="L21:N21"/>
    <mergeCell ref="O21:P21"/>
    <mergeCell ref="Q21:R21"/>
    <mergeCell ref="S21:T21"/>
    <mergeCell ref="B29:Z29"/>
    <mergeCell ref="B30:Z30"/>
    <mergeCell ref="A32:A34"/>
    <mergeCell ref="B32:H34"/>
    <mergeCell ref="I32:N32"/>
    <mergeCell ref="O32:T32"/>
    <mergeCell ref="U32:Z34"/>
    <mergeCell ref="I33:J34"/>
    <mergeCell ref="K33:K34"/>
    <mergeCell ref="L33:N34"/>
    <mergeCell ref="B35:H35"/>
    <mergeCell ref="I35:J35"/>
    <mergeCell ref="L35:N35"/>
    <mergeCell ref="O35:P35"/>
    <mergeCell ref="Q35:R35"/>
    <mergeCell ref="S35:T35"/>
    <mergeCell ref="O33:P33"/>
    <mergeCell ref="Q33:R33"/>
    <mergeCell ref="S33:T33"/>
    <mergeCell ref="O34:P34"/>
    <mergeCell ref="Q34:R34"/>
    <mergeCell ref="S34:T34"/>
    <mergeCell ref="B37:H37"/>
    <mergeCell ref="I37:J37"/>
    <mergeCell ref="L37:N37"/>
    <mergeCell ref="O37:P37"/>
    <mergeCell ref="Q37:R37"/>
    <mergeCell ref="S37:T37"/>
    <mergeCell ref="B36:H36"/>
    <mergeCell ref="I36:J36"/>
    <mergeCell ref="L36:N36"/>
    <mergeCell ref="O36:P36"/>
    <mergeCell ref="Q36:R36"/>
    <mergeCell ref="S36:T36"/>
    <mergeCell ref="B39:H39"/>
    <mergeCell ref="I39:J39"/>
    <mergeCell ref="L39:N39"/>
    <mergeCell ref="O39:P39"/>
    <mergeCell ref="Q39:R39"/>
    <mergeCell ref="S39:T39"/>
    <mergeCell ref="B38:H38"/>
    <mergeCell ref="I38:J38"/>
    <mergeCell ref="L38:N38"/>
    <mergeCell ref="O38:P38"/>
    <mergeCell ref="Q38:R38"/>
    <mergeCell ref="S38:T38"/>
    <mergeCell ref="A41:AB41"/>
    <mergeCell ref="A43:B43"/>
    <mergeCell ref="D43:J43"/>
    <mergeCell ref="R44:AB44"/>
    <mergeCell ref="A45:C48"/>
    <mergeCell ref="D45:D48"/>
    <mergeCell ref="E45:F48"/>
    <mergeCell ref="G45:J46"/>
    <mergeCell ref="K45:L48"/>
    <mergeCell ref="M45:R45"/>
    <mergeCell ref="S45:AB45"/>
    <mergeCell ref="M46:N46"/>
    <mergeCell ref="O46:P46"/>
    <mergeCell ref="Q46:R46"/>
    <mergeCell ref="S46:AB48"/>
    <mergeCell ref="H47:H48"/>
    <mergeCell ref="I47:I48"/>
    <mergeCell ref="J47:J48"/>
    <mergeCell ref="N47:N48"/>
    <mergeCell ref="P47:P48"/>
    <mergeCell ref="A49:C52"/>
    <mergeCell ref="D49:D52"/>
    <mergeCell ref="E49:F52"/>
    <mergeCell ref="G49:G50"/>
    <mergeCell ref="H49:H52"/>
    <mergeCell ref="I49:I52"/>
    <mergeCell ref="J49:J52"/>
    <mergeCell ref="K49:L50"/>
    <mergeCell ref="N49:N50"/>
    <mergeCell ref="P49:P50"/>
    <mergeCell ref="R49:R50"/>
    <mergeCell ref="S49:AB52"/>
    <mergeCell ref="G51:G52"/>
    <mergeCell ref="K51:L52"/>
    <mergeCell ref="N51:N52"/>
    <mergeCell ref="P51:P52"/>
    <mergeCell ref="R51:R52"/>
    <mergeCell ref="R47:R48"/>
    <mergeCell ref="N53:N54"/>
    <mergeCell ref="P53:P54"/>
    <mergeCell ref="R53:R54"/>
    <mergeCell ref="S53:AB56"/>
    <mergeCell ref="K55:L56"/>
    <mergeCell ref="N55:N56"/>
    <mergeCell ref="P55:P56"/>
    <mergeCell ref="R55:R56"/>
    <mergeCell ref="A53:C56"/>
    <mergeCell ref="D53:D56"/>
    <mergeCell ref="E53:F56"/>
    <mergeCell ref="G53:G54"/>
    <mergeCell ref="H53:H56"/>
    <mergeCell ref="I53:I56"/>
    <mergeCell ref="G55:G56"/>
    <mergeCell ref="A57:C60"/>
    <mergeCell ref="D57:D60"/>
    <mergeCell ref="E57:F60"/>
    <mergeCell ref="G57:G58"/>
    <mergeCell ref="H57:H60"/>
    <mergeCell ref="I57:I60"/>
    <mergeCell ref="G59:G60"/>
    <mergeCell ref="J53:J56"/>
    <mergeCell ref="K53:L54"/>
    <mergeCell ref="J57:J60"/>
    <mergeCell ref="K57:L58"/>
    <mergeCell ref="N57:N58"/>
    <mergeCell ref="P57:P58"/>
    <mergeCell ref="R57:R58"/>
    <mergeCell ref="S57:AB60"/>
    <mergeCell ref="K59:L60"/>
    <mergeCell ref="N59:N60"/>
    <mergeCell ref="P59:P60"/>
    <mergeCell ref="R59:R60"/>
    <mergeCell ref="Z63:AB64"/>
    <mergeCell ref="D64:I64"/>
    <mergeCell ref="M64:N64"/>
    <mergeCell ref="O64:P64"/>
    <mergeCell ref="Q64:R64"/>
    <mergeCell ref="S64:Y64"/>
    <mergeCell ref="A62:E62"/>
    <mergeCell ref="J62:P62"/>
    <mergeCell ref="Q62:R62"/>
    <mergeCell ref="S62:U62"/>
    <mergeCell ref="A63:C64"/>
    <mergeCell ref="D63:I63"/>
    <mergeCell ref="J63:J64"/>
    <mergeCell ref="K63:R63"/>
    <mergeCell ref="S63:Y63"/>
    <mergeCell ref="A65:C68"/>
    <mergeCell ref="D65:I68"/>
    <mergeCell ref="J65:J66"/>
    <mergeCell ref="K65:L65"/>
    <mergeCell ref="M65:N65"/>
    <mergeCell ref="O65:P65"/>
    <mergeCell ref="J67:J68"/>
    <mergeCell ref="K67:L67"/>
    <mergeCell ref="M67:N67"/>
    <mergeCell ref="O67:P67"/>
    <mergeCell ref="Q67:R67"/>
    <mergeCell ref="S67:Y68"/>
    <mergeCell ref="Z67:AB68"/>
    <mergeCell ref="K68:L68"/>
    <mergeCell ref="M68:N68"/>
    <mergeCell ref="O68:P68"/>
    <mergeCell ref="Q68:R68"/>
    <mergeCell ref="Q65:R65"/>
    <mergeCell ref="S65:Y66"/>
    <mergeCell ref="Z65:AB66"/>
    <mergeCell ref="K66:L66"/>
    <mergeCell ref="M66:N66"/>
    <mergeCell ref="O66:P66"/>
    <mergeCell ref="Q66:R66"/>
    <mergeCell ref="A69:C72"/>
    <mergeCell ref="D69:I72"/>
    <mergeCell ref="J69:J70"/>
    <mergeCell ref="K69:L69"/>
    <mergeCell ref="M69:N69"/>
    <mergeCell ref="O69:P69"/>
    <mergeCell ref="J71:J72"/>
    <mergeCell ref="K71:L71"/>
    <mergeCell ref="M71:N71"/>
    <mergeCell ref="O71:P71"/>
    <mergeCell ref="Q71:R71"/>
    <mergeCell ref="S71:Y72"/>
    <mergeCell ref="Z71:AB72"/>
    <mergeCell ref="K72:L72"/>
    <mergeCell ref="M72:N72"/>
    <mergeCell ref="O72:P72"/>
    <mergeCell ref="Q72:R72"/>
    <mergeCell ref="Q69:R69"/>
    <mergeCell ref="S69:Y70"/>
    <mergeCell ref="Z69:AB70"/>
    <mergeCell ref="K70:L70"/>
    <mergeCell ref="M70:N70"/>
    <mergeCell ref="O70:P70"/>
    <mergeCell ref="Q70:R70"/>
    <mergeCell ref="A73:C76"/>
    <mergeCell ref="D73:I76"/>
    <mergeCell ref="J73:J74"/>
    <mergeCell ref="K73:L73"/>
    <mergeCell ref="M73:N73"/>
    <mergeCell ref="O73:P73"/>
    <mergeCell ref="J75:J76"/>
    <mergeCell ref="K75:L75"/>
    <mergeCell ref="M75:N75"/>
    <mergeCell ref="O75:P75"/>
    <mergeCell ref="Q75:R75"/>
    <mergeCell ref="S75:Y76"/>
    <mergeCell ref="Z75:AB76"/>
    <mergeCell ref="K76:L76"/>
    <mergeCell ref="M76:N76"/>
    <mergeCell ref="O76:P76"/>
    <mergeCell ref="Q76:R76"/>
    <mergeCell ref="Q73:R73"/>
    <mergeCell ref="S73:Y74"/>
    <mergeCell ref="Z73:AB74"/>
    <mergeCell ref="K74:L74"/>
    <mergeCell ref="M74:N74"/>
    <mergeCell ref="Q74:R74"/>
    <mergeCell ref="A77:C80"/>
    <mergeCell ref="D77:I80"/>
    <mergeCell ref="J77:J78"/>
    <mergeCell ref="K77:L77"/>
    <mergeCell ref="M77:N77"/>
    <mergeCell ref="O77:P77"/>
    <mergeCell ref="J79:J80"/>
    <mergeCell ref="K79:L79"/>
    <mergeCell ref="M79:N79"/>
    <mergeCell ref="O79:P79"/>
    <mergeCell ref="Q79:R79"/>
    <mergeCell ref="S79:Y80"/>
    <mergeCell ref="Z79:AB80"/>
    <mergeCell ref="K80:L80"/>
    <mergeCell ref="M80:N80"/>
    <mergeCell ref="O80:P80"/>
    <mergeCell ref="Q80:R80"/>
    <mergeCell ref="Q77:R77"/>
    <mergeCell ref="S77:Y78"/>
    <mergeCell ref="Z77:AB78"/>
    <mergeCell ref="K78:L78"/>
    <mergeCell ref="M78:N78"/>
    <mergeCell ref="O78:P78"/>
    <mergeCell ref="Q78:R78"/>
    <mergeCell ref="A81:C84"/>
    <mergeCell ref="D81:I84"/>
    <mergeCell ref="J81:J82"/>
    <mergeCell ref="K81:L81"/>
    <mergeCell ref="M81:N81"/>
    <mergeCell ref="O81:P81"/>
    <mergeCell ref="J83:J84"/>
    <mergeCell ref="K83:L83"/>
    <mergeCell ref="M83:N83"/>
    <mergeCell ref="O83:P83"/>
    <mergeCell ref="Q83:R83"/>
    <mergeCell ref="S83:Y84"/>
    <mergeCell ref="Z83:AB84"/>
    <mergeCell ref="K84:L84"/>
    <mergeCell ref="M84:N84"/>
    <mergeCell ref="O84:P84"/>
    <mergeCell ref="Q84:R84"/>
    <mergeCell ref="Q81:R81"/>
    <mergeCell ref="S81:Y82"/>
    <mergeCell ref="Z81:AB82"/>
    <mergeCell ref="K82:L82"/>
    <mergeCell ref="M82:N82"/>
    <mergeCell ref="O82:P82"/>
    <mergeCell ref="Q82:R82"/>
  </mergeCells>
  <dataValidations count="14">
    <dataValidation type="list" allowBlank="1" showInputMessage="1" showErrorMessage="1" sqref="D43:J43 IZ43:JF43 SV43:TB43 ACR43:ACX43 AMN43:AMT43 AWJ43:AWP43 BGF43:BGL43 BQB43:BQH43 BZX43:CAD43 CJT43:CJZ43 CTP43:CTV43 DDL43:DDR43 DNH43:DNN43 DXD43:DXJ43 EGZ43:EHF43 EQV43:ERB43 FAR43:FAX43 FKN43:FKT43 FUJ43:FUP43 GEF43:GEL43 GOB43:GOH43 GXX43:GYD43 HHT43:HHZ43 HRP43:HRV43 IBL43:IBR43 ILH43:ILN43 IVD43:IVJ43 JEZ43:JFF43 JOV43:JPB43 JYR43:JYX43 KIN43:KIT43 KSJ43:KSP43 LCF43:LCL43 LMB43:LMH43 LVX43:LWD43 MFT43:MFZ43 MPP43:MPV43 MZL43:MZR43 NJH43:NJN43 NTD43:NTJ43 OCZ43:ODF43 OMV43:ONB43 OWR43:OWX43 PGN43:PGT43 PQJ43:PQP43 QAF43:QAL43 QKB43:QKH43 QTX43:QUD43 RDT43:RDZ43 RNP43:RNV43 RXL43:RXR43 SHH43:SHN43 SRD43:SRJ43 TAZ43:TBF43 TKV43:TLB43 TUR43:TUX43 UEN43:UET43 UOJ43:UOP43 UYF43:UYL43 VIB43:VIH43 VRX43:VSD43 WBT43:WBZ43 WLP43:WLV43 WVL43:WVR43 D65579:J65579 IZ65579:JF65579 SV65579:TB65579 ACR65579:ACX65579 AMN65579:AMT65579 AWJ65579:AWP65579 BGF65579:BGL65579 BQB65579:BQH65579 BZX65579:CAD65579 CJT65579:CJZ65579 CTP65579:CTV65579 DDL65579:DDR65579 DNH65579:DNN65579 DXD65579:DXJ65579 EGZ65579:EHF65579 EQV65579:ERB65579 FAR65579:FAX65579 FKN65579:FKT65579 FUJ65579:FUP65579 GEF65579:GEL65579 GOB65579:GOH65579 GXX65579:GYD65579 HHT65579:HHZ65579 HRP65579:HRV65579 IBL65579:IBR65579 ILH65579:ILN65579 IVD65579:IVJ65579 JEZ65579:JFF65579 JOV65579:JPB65579 JYR65579:JYX65579 KIN65579:KIT65579 KSJ65579:KSP65579 LCF65579:LCL65579 LMB65579:LMH65579 LVX65579:LWD65579 MFT65579:MFZ65579 MPP65579:MPV65579 MZL65579:MZR65579 NJH65579:NJN65579 NTD65579:NTJ65579 OCZ65579:ODF65579 OMV65579:ONB65579 OWR65579:OWX65579 PGN65579:PGT65579 PQJ65579:PQP65579 QAF65579:QAL65579 QKB65579:QKH65579 QTX65579:QUD65579 RDT65579:RDZ65579 RNP65579:RNV65579 RXL65579:RXR65579 SHH65579:SHN65579 SRD65579:SRJ65579 TAZ65579:TBF65579 TKV65579:TLB65579 TUR65579:TUX65579 UEN65579:UET65579 UOJ65579:UOP65579 UYF65579:UYL65579 VIB65579:VIH65579 VRX65579:VSD65579 WBT65579:WBZ65579 WLP65579:WLV65579 WVL65579:WVR65579 D131115:J131115 IZ131115:JF131115 SV131115:TB131115 ACR131115:ACX131115 AMN131115:AMT131115 AWJ131115:AWP131115 BGF131115:BGL131115 BQB131115:BQH131115 BZX131115:CAD131115 CJT131115:CJZ131115 CTP131115:CTV131115 DDL131115:DDR131115 DNH131115:DNN131115 DXD131115:DXJ131115 EGZ131115:EHF131115 EQV131115:ERB131115 FAR131115:FAX131115 FKN131115:FKT131115 FUJ131115:FUP131115 GEF131115:GEL131115 GOB131115:GOH131115 GXX131115:GYD131115 HHT131115:HHZ131115 HRP131115:HRV131115 IBL131115:IBR131115 ILH131115:ILN131115 IVD131115:IVJ131115 JEZ131115:JFF131115 JOV131115:JPB131115 JYR131115:JYX131115 KIN131115:KIT131115 KSJ131115:KSP131115 LCF131115:LCL131115 LMB131115:LMH131115 LVX131115:LWD131115 MFT131115:MFZ131115 MPP131115:MPV131115 MZL131115:MZR131115 NJH131115:NJN131115 NTD131115:NTJ131115 OCZ131115:ODF131115 OMV131115:ONB131115 OWR131115:OWX131115 PGN131115:PGT131115 PQJ131115:PQP131115 QAF131115:QAL131115 QKB131115:QKH131115 QTX131115:QUD131115 RDT131115:RDZ131115 RNP131115:RNV131115 RXL131115:RXR131115 SHH131115:SHN131115 SRD131115:SRJ131115 TAZ131115:TBF131115 TKV131115:TLB131115 TUR131115:TUX131115 UEN131115:UET131115 UOJ131115:UOP131115 UYF131115:UYL131115 VIB131115:VIH131115 VRX131115:VSD131115 WBT131115:WBZ131115 WLP131115:WLV131115 WVL131115:WVR131115 D196651:J196651 IZ196651:JF196651 SV196651:TB196651 ACR196651:ACX196651 AMN196651:AMT196651 AWJ196651:AWP196651 BGF196651:BGL196651 BQB196651:BQH196651 BZX196651:CAD196651 CJT196651:CJZ196651 CTP196651:CTV196651 DDL196651:DDR196651 DNH196651:DNN196651 DXD196651:DXJ196651 EGZ196651:EHF196651 EQV196651:ERB196651 FAR196651:FAX196651 FKN196651:FKT196651 FUJ196651:FUP196651 GEF196651:GEL196651 GOB196651:GOH196651 GXX196651:GYD196651 HHT196651:HHZ196651 HRP196651:HRV196651 IBL196651:IBR196651 ILH196651:ILN196651 IVD196651:IVJ196651 JEZ196651:JFF196651 JOV196651:JPB196651 JYR196651:JYX196651 KIN196651:KIT196651 KSJ196651:KSP196651 LCF196651:LCL196651 LMB196651:LMH196651 LVX196651:LWD196651 MFT196651:MFZ196651 MPP196651:MPV196651 MZL196651:MZR196651 NJH196651:NJN196651 NTD196651:NTJ196651 OCZ196651:ODF196651 OMV196651:ONB196651 OWR196651:OWX196651 PGN196651:PGT196651 PQJ196651:PQP196651 QAF196651:QAL196651 QKB196651:QKH196651 QTX196651:QUD196651 RDT196651:RDZ196651 RNP196651:RNV196651 RXL196651:RXR196651 SHH196651:SHN196651 SRD196651:SRJ196651 TAZ196651:TBF196651 TKV196651:TLB196651 TUR196651:TUX196651 UEN196651:UET196651 UOJ196651:UOP196651 UYF196651:UYL196651 VIB196651:VIH196651 VRX196651:VSD196651 WBT196651:WBZ196651 WLP196651:WLV196651 WVL196651:WVR196651 D262187:J262187 IZ262187:JF262187 SV262187:TB262187 ACR262187:ACX262187 AMN262187:AMT262187 AWJ262187:AWP262187 BGF262187:BGL262187 BQB262187:BQH262187 BZX262187:CAD262187 CJT262187:CJZ262187 CTP262187:CTV262187 DDL262187:DDR262187 DNH262187:DNN262187 DXD262187:DXJ262187 EGZ262187:EHF262187 EQV262187:ERB262187 FAR262187:FAX262187 FKN262187:FKT262187 FUJ262187:FUP262187 GEF262187:GEL262187 GOB262187:GOH262187 GXX262187:GYD262187 HHT262187:HHZ262187 HRP262187:HRV262187 IBL262187:IBR262187 ILH262187:ILN262187 IVD262187:IVJ262187 JEZ262187:JFF262187 JOV262187:JPB262187 JYR262187:JYX262187 KIN262187:KIT262187 KSJ262187:KSP262187 LCF262187:LCL262187 LMB262187:LMH262187 LVX262187:LWD262187 MFT262187:MFZ262187 MPP262187:MPV262187 MZL262187:MZR262187 NJH262187:NJN262187 NTD262187:NTJ262187 OCZ262187:ODF262187 OMV262187:ONB262187 OWR262187:OWX262187 PGN262187:PGT262187 PQJ262187:PQP262187 QAF262187:QAL262187 QKB262187:QKH262187 QTX262187:QUD262187 RDT262187:RDZ262187 RNP262187:RNV262187 RXL262187:RXR262187 SHH262187:SHN262187 SRD262187:SRJ262187 TAZ262187:TBF262187 TKV262187:TLB262187 TUR262187:TUX262187 UEN262187:UET262187 UOJ262187:UOP262187 UYF262187:UYL262187 VIB262187:VIH262187 VRX262187:VSD262187 WBT262187:WBZ262187 WLP262187:WLV262187 WVL262187:WVR262187 D327723:J327723 IZ327723:JF327723 SV327723:TB327723 ACR327723:ACX327723 AMN327723:AMT327723 AWJ327723:AWP327723 BGF327723:BGL327723 BQB327723:BQH327723 BZX327723:CAD327723 CJT327723:CJZ327723 CTP327723:CTV327723 DDL327723:DDR327723 DNH327723:DNN327723 DXD327723:DXJ327723 EGZ327723:EHF327723 EQV327723:ERB327723 FAR327723:FAX327723 FKN327723:FKT327723 FUJ327723:FUP327723 GEF327723:GEL327723 GOB327723:GOH327723 GXX327723:GYD327723 HHT327723:HHZ327723 HRP327723:HRV327723 IBL327723:IBR327723 ILH327723:ILN327723 IVD327723:IVJ327723 JEZ327723:JFF327723 JOV327723:JPB327723 JYR327723:JYX327723 KIN327723:KIT327723 KSJ327723:KSP327723 LCF327723:LCL327723 LMB327723:LMH327723 LVX327723:LWD327723 MFT327723:MFZ327723 MPP327723:MPV327723 MZL327723:MZR327723 NJH327723:NJN327723 NTD327723:NTJ327723 OCZ327723:ODF327723 OMV327723:ONB327723 OWR327723:OWX327723 PGN327723:PGT327723 PQJ327723:PQP327723 QAF327723:QAL327723 QKB327723:QKH327723 QTX327723:QUD327723 RDT327723:RDZ327723 RNP327723:RNV327723 RXL327723:RXR327723 SHH327723:SHN327723 SRD327723:SRJ327723 TAZ327723:TBF327723 TKV327723:TLB327723 TUR327723:TUX327723 UEN327723:UET327723 UOJ327723:UOP327723 UYF327723:UYL327723 VIB327723:VIH327723 VRX327723:VSD327723 WBT327723:WBZ327723 WLP327723:WLV327723 WVL327723:WVR327723 D393259:J393259 IZ393259:JF393259 SV393259:TB393259 ACR393259:ACX393259 AMN393259:AMT393259 AWJ393259:AWP393259 BGF393259:BGL393259 BQB393259:BQH393259 BZX393259:CAD393259 CJT393259:CJZ393259 CTP393259:CTV393259 DDL393259:DDR393259 DNH393259:DNN393259 DXD393259:DXJ393259 EGZ393259:EHF393259 EQV393259:ERB393259 FAR393259:FAX393259 FKN393259:FKT393259 FUJ393259:FUP393259 GEF393259:GEL393259 GOB393259:GOH393259 GXX393259:GYD393259 HHT393259:HHZ393259 HRP393259:HRV393259 IBL393259:IBR393259 ILH393259:ILN393259 IVD393259:IVJ393259 JEZ393259:JFF393259 JOV393259:JPB393259 JYR393259:JYX393259 KIN393259:KIT393259 KSJ393259:KSP393259 LCF393259:LCL393259 LMB393259:LMH393259 LVX393259:LWD393259 MFT393259:MFZ393259 MPP393259:MPV393259 MZL393259:MZR393259 NJH393259:NJN393259 NTD393259:NTJ393259 OCZ393259:ODF393259 OMV393259:ONB393259 OWR393259:OWX393259 PGN393259:PGT393259 PQJ393259:PQP393259 QAF393259:QAL393259 QKB393259:QKH393259 QTX393259:QUD393259 RDT393259:RDZ393259 RNP393259:RNV393259 RXL393259:RXR393259 SHH393259:SHN393259 SRD393259:SRJ393259 TAZ393259:TBF393259 TKV393259:TLB393259 TUR393259:TUX393259 UEN393259:UET393259 UOJ393259:UOP393259 UYF393259:UYL393259 VIB393259:VIH393259 VRX393259:VSD393259 WBT393259:WBZ393259 WLP393259:WLV393259 WVL393259:WVR393259 D458795:J458795 IZ458795:JF458795 SV458795:TB458795 ACR458795:ACX458795 AMN458795:AMT458795 AWJ458795:AWP458795 BGF458795:BGL458795 BQB458795:BQH458795 BZX458795:CAD458795 CJT458795:CJZ458795 CTP458795:CTV458795 DDL458795:DDR458795 DNH458795:DNN458795 DXD458795:DXJ458795 EGZ458795:EHF458795 EQV458795:ERB458795 FAR458795:FAX458795 FKN458795:FKT458795 FUJ458795:FUP458795 GEF458795:GEL458795 GOB458795:GOH458795 GXX458795:GYD458795 HHT458795:HHZ458795 HRP458795:HRV458795 IBL458795:IBR458795 ILH458795:ILN458795 IVD458795:IVJ458795 JEZ458795:JFF458795 JOV458795:JPB458795 JYR458795:JYX458795 KIN458795:KIT458795 KSJ458795:KSP458795 LCF458795:LCL458795 LMB458795:LMH458795 LVX458795:LWD458795 MFT458795:MFZ458795 MPP458795:MPV458795 MZL458795:MZR458795 NJH458795:NJN458795 NTD458795:NTJ458795 OCZ458795:ODF458795 OMV458795:ONB458795 OWR458795:OWX458795 PGN458795:PGT458795 PQJ458795:PQP458795 QAF458795:QAL458795 QKB458795:QKH458795 QTX458795:QUD458795 RDT458795:RDZ458795 RNP458795:RNV458795 RXL458795:RXR458795 SHH458795:SHN458795 SRD458795:SRJ458795 TAZ458795:TBF458795 TKV458795:TLB458795 TUR458795:TUX458795 UEN458795:UET458795 UOJ458795:UOP458795 UYF458795:UYL458795 VIB458795:VIH458795 VRX458795:VSD458795 WBT458795:WBZ458795 WLP458795:WLV458795 WVL458795:WVR458795 D524331:J524331 IZ524331:JF524331 SV524331:TB524331 ACR524331:ACX524331 AMN524331:AMT524331 AWJ524331:AWP524331 BGF524331:BGL524331 BQB524331:BQH524331 BZX524331:CAD524331 CJT524331:CJZ524331 CTP524331:CTV524331 DDL524331:DDR524331 DNH524331:DNN524331 DXD524331:DXJ524331 EGZ524331:EHF524331 EQV524331:ERB524331 FAR524331:FAX524331 FKN524331:FKT524331 FUJ524331:FUP524331 GEF524331:GEL524331 GOB524331:GOH524331 GXX524331:GYD524331 HHT524331:HHZ524331 HRP524331:HRV524331 IBL524331:IBR524331 ILH524331:ILN524331 IVD524331:IVJ524331 JEZ524331:JFF524331 JOV524331:JPB524331 JYR524331:JYX524331 KIN524331:KIT524331 KSJ524331:KSP524331 LCF524331:LCL524331 LMB524331:LMH524331 LVX524331:LWD524331 MFT524331:MFZ524331 MPP524331:MPV524331 MZL524331:MZR524331 NJH524331:NJN524331 NTD524331:NTJ524331 OCZ524331:ODF524331 OMV524331:ONB524331 OWR524331:OWX524331 PGN524331:PGT524331 PQJ524331:PQP524331 QAF524331:QAL524331 QKB524331:QKH524331 QTX524331:QUD524331 RDT524331:RDZ524331 RNP524331:RNV524331 RXL524331:RXR524331 SHH524331:SHN524331 SRD524331:SRJ524331 TAZ524331:TBF524331 TKV524331:TLB524331 TUR524331:TUX524331 UEN524331:UET524331 UOJ524331:UOP524331 UYF524331:UYL524331 VIB524331:VIH524331 VRX524331:VSD524331 WBT524331:WBZ524331 WLP524331:WLV524331 WVL524331:WVR524331 D589867:J589867 IZ589867:JF589867 SV589867:TB589867 ACR589867:ACX589867 AMN589867:AMT589867 AWJ589867:AWP589867 BGF589867:BGL589867 BQB589867:BQH589867 BZX589867:CAD589867 CJT589867:CJZ589867 CTP589867:CTV589867 DDL589867:DDR589867 DNH589867:DNN589867 DXD589867:DXJ589867 EGZ589867:EHF589867 EQV589867:ERB589867 FAR589867:FAX589867 FKN589867:FKT589867 FUJ589867:FUP589867 GEF589867:GEL589867 GOB589867:GOH589867 GXX589867:GYD589867 HHT589867:HHZ589867 HRP589867:HRV589867 IBL589867:IBR589867 ILH589867:ILN589867 IVD589867:IVJ589867 JEZ589867:JFF589867 JOV589867:JPB589867 JYR589867:JYX589867 KIN589867:KIT589867 KSJ589867:KSP589867 LCF589867:LCL589867 LMB589867:LMH589867 LVX589867:LWD589867 MFT589867:MFZ589867 MPP589867:MPV589867 MZL589867:MZR589867 NJH589867:NJN589867 NTD589867:NTJ589867 OCZ589867:ODF589867 OMV589867:ONB589867 OWR589867:OWX589867 PGN589867:PGT589867 PQJ589867:PQP589867 QAF589867:QAL589867 QKB589867:QKH589867 QTX589867:QUD589867 RDT589867:RDZ589867 RNP589867:RNV589867 RXL589867:RXR589867 SHH589867:SHN589867 SRD589867:SRJ589867 TAZ589867:TBF589867 TKV589867:TLB589867 TUR589867:TUX589867 UEN589867:UET589867 UOJ589867:UOP589867 UYF589867:UYL589867 VIB589867:VIH589867 VRX589867:VSD589867 WBT589867:WBZ589867 WLP589867:WLV589867 WVL589867:WVR589867 D655403:J655403 IZ655403:JF655403 SV655403:TB655403 ACR655403:ACX655403 AMN655403:AMT655403 AWJ655403:AWP655403 BGF655403:BGL655403 BQB655403:BQH655403 BZX655403:CAD655403 CJT655403:CJZ655403 CTP655403:CTV655403 DDL655403:DDR655403 DNH655403:DNN655403 DXD655403:DXJ655403 EGZ655403:EHF655403 EQV655403:ERB655403 FAR655403:FAX655403 FKN655403:FKT655403 FUJ655403:FUP655403 GEF655403:GEL655403 GOB655403:GOH655403 GXX655403:GYD655403 HHT655403:HHZ655403 HRP655403:HRV655403 IBL655403:IBR655403 ILH655403:ILN655403 IVD655403:IVJ655403 JEZ655403:JFF655403 JOV655403:JPB655403 JYR655403:JYX655403 KIN655403:KIT655403 KSJ655403:KSP655403 LCF655403:LCL655403 LMB655403:LMH655403 LVX655403:LWD655403 MFT655403:MFZ655403 MPP655403:MPV655403 MZL655403:MZR655403 NJH655403:NJN655403 NTD655403:NTJ655403 OCZ655403:ODF655403 OMV655403:ONB655403 OWR655403:OWX655403 PGN655403:PGT655403 PQJ655403:PQP655403 QAF655403:QAL655403 QKB655403:QKH655403 QTX655403:QUD655403 RDT655403:RDZ655403 RNP655403:RNV655403 RXL655403:RXR655403 SHH655403:SHN655403 SRD655403:SRJ655403 TAZ655403:TBF655403 TKV655403:TLB655403 TUR655403:TUX655403 UEN655403:UET655403 UOJ655403:UOP655403 UYF655403:UYL655403 VIB655403:VIH655403 VRX655403:VSD655403 WBT655403:WBZ655403 WLP655403:WLV655403 WVL655403:WVR655403 D720939:J720939 IZ720939:JF720939 SV720939:TB720939 ACR720939:ACX720939 AMN720939:AMT720939 AWJ720939:AWP720939 BGF720939:BGL720939 BQB720939:BQH720939 BZX720939:CAD720939 CJT720939:CJZ720939 CTP720939:CTV720939 DDL720939:DDR720939 DNH720939:DNN720939 DXD720939:DXJ720939 EGZ720939:EHF720939 EQV720939:ERB720939 FAR720939:FAX720939 FKN720939:FKT720939 FUJ720939:FUP720939 GEF720939:GEL720939 GOB720939:GOH720939 GXX720939:GYD720939 HHT720939:HHZ720939 HRP720939:HRV720939 IBL720939:IBR720939 ILH720939:ILN720939 IVD720939:IVJ720939 JEZ720939:JFF720939 JOV720939:JPB720939 JYR720939:JYX720939 KIN720939:KIT720939 KSJ720939:KSP720939 LCF720939:LCL720939 LMB720939:LMH720939 LVX720939:LWD720939 MFT720939:MFZ720939 MPP720939:MPV720939 MZL720939:MZR720939 NJH720939:NJN720939 NTD720939:NTJ720939 OCZ720939:ODF720939 OMV720939:ONB720939 OWR720939:OWX720939 PGN720939:PGT720939 PQJ720939:PQP720939 QAF720939:QAL720939 QKB720939:QKH720939 QTX720939:QUD720939 RDT720939:RDZ720939 RNP720939:RNV720939 RXL720939:RXR720939 SHH720939:SHN720939 SRD720939:SRJ720939 TAZ720939:TBF720939 TKV720939:TLB720939 TUR720939:TUX720939 UEN720939:UET720939 UOJ720939:UOP720939 UYF720939:UYL720939 VIB720939:VIH720939 VRX720939:VSD720939 WBT720939:WBZ720939 WLP720939:WLV720939 WVL720939:WVR720939 D786475:J786475 IZ786475:JF786475 SV786475:TB786475 ACR786475:ACX786475 AMN786475:AMT786475 AWJ786475:AWP786475 BGF786475:BGL786475 BQB786475:BQH786475 BZX786475:CAD786475 CJT786475:CJZ786475 CTP786475:CTV786475 DDL786475:DDR786475 DNH786475:DNN786475 DXD786475:DXJ786475 EGZ786475:EHF786475 EQV786475:ERB786475 FAR786475:FAX786475 FKN786475:FKT786475 FUJ786475:FUP786475 GEF786475:GEL786475 GOB786475:GOH786475 GXX786475:GYD786475 HHT786475:HHZ786475 HRP786475:HRV786475 IBL786475:IBR786475 ILH786475:ILN786475 IVD786475:IVJ786475 JEZ786475:JFF786475 JOV786475:JPB786475 JYR786475:JYX786475 KIN786475:KIT786475 KSJ786475:KSP786475 LCF786475:LCL786475 LMB786475:LMH786475 LVX786475:LWD786475 MFT786475:MFZ786475 MPP786475:MPV786475 MZL786475:MZR786475 NJH786475:NJN786475 NTD786475:NTJ786475 OCZ786475:ODF786475 OMV786475:ONB786475 OWR786475:OWX786475 PGN786475:PGT786475 PQJ786475:PQP786475 QAF786475:QAL786475 QKB786475:QKH786475 QTX786475:QUD786475 RDT786475:RDZ786475 RNP786475:RNV786475 RXL786475:RXR786475 SHH786475:SHN786475 SRD786475:SRJ786475 TAZ786475:TBF786475 TKV786475:TLB786475 TUR786475:TUX786475 UEN786475:UET786475 UOJ786475:UOP786475 UYF786475:UYL786475 VIB786475:VIH786475 VRX786475:VSD786475 WBT786475:WBZ786475 WLP786475:WLV786475 WVL786475:WVR786475 D852011:J852011 IZ852011:JF852011 SV852011:TB852011 ACR852011:ACX852011 AMN852011:AMT852011 AWJ852011:AWP852011 BGF852011:BGL852011 BQB852011:BQH852011 BZX852011:CAD852011 CJT852011:CJZ852011 CTP852011:CTV852011 DDL852011:DDR852011 DNH852011:DNN852011 DXD852011:DXJ852011 EGZ852011:EHF852011 EQV852011:ERB852011 FAR852011:FAX852011 FKN852011:FKT852011 FUJ852011:FUP852011 GEF852011:GEL852011 GOB852011:GOH852011 GXX852011:GYD852011 HHT852011:HHZ852011 HRP852011:HRV852011 IBL852011:IBR852011 ILH852011:ILN852011 IVD852011:IVJ852011 JEZ852011:JFF852011 JOV852011:JPB852011 JYR852011:JYX852011 KIN852011:KIT852011 KSJ852011:KSP852011 LCF852011:LCL852011 LMB852011:LMH852011 LVX852011:LWD852011 MFT852011:MFZ852011 MPP852011:MPV852011 MZL852011:MZR852011 NJH852011:NJN852011 NTD852011:NTJ852011 OCZ852011:ODF852011 OMV852011:ONB852011 OWR852011:OWX852011 PGN852011:PGT852011 PQJ852011:PQP852011 QAF852011:QAL852011 QKB852011:QKH852011 QTX852011:QUD852011 RDT852011:RDZ852011 RNP852011:RNV852011 RXL852011:RXR852011 SHH852011:SHN852011 SRD852011:SRJ852011 TAZ852011:TBF852011 TKV852011:TLB852011 TUR852011:TUX852011 UEN852011:UET852011 UOJ852011:UOP852011 UYF852011:UYL852011 VIB852011:VIH852011 VRX852011:VSD852011 WBT852011:WBZ852011 WLP852011:WLV852011 WVL852011:WVR852011 D917547:J917547 IZ917547:JF917547 SV917547:TB917547 ACR917547:ACX917547 AMN917547:AMT917547 AWJ917547:AWP917547 BGF917547:BGL917547 BQB917547:BQH917547 BZX917547:CAD917547 CJT917547:CJZ917547 CTP917547:CTV917547 DDL917547:DDR917547 DNH917547:DNN917547 DXD917547:DXJ917547 EGZ917547:EHF917547 EQV917547:ERB917547 FAR917547:FAX917547 FKN917547:FKT917547 FUJ917547:FUP917547 GEF917547:GEL917547 GOB917547:GOH917547 GXX917547:GYD917547 HHT917547:HHZ917547 HRP917547:HRV917547 IBL917547:IBR917547 ILH917547:ILN917547 IVD917547:IVJ917547 JEZ917547:JFF917547 JOV917547:JPB917547 JYR917547:JYX917547 KIN917547:KIT917547 KSJ917547:KSP917547 LCF917547:LCL917547 LMB917547:LMH917547 LVX917547:LWD917547 MFT917547:MFZ917547 MPP917547:MPV917547 MZL917547:MZR917547 NJH917547:NJN917547 NTD917547:NTJ917547 OCZ917547:ODF917547 OMV917547:ONB917547 OWR917547:OWX917547 PGN917547:PGT917547 PQJ917547:PQP917547 QAF917547:QAL917547 QKB917547:QKH917547 QTX917547:QUD917547 RDT917547:RDZ917547 RNP917547:RNV917547 RXL917547:RXR917547 SHH917547:SHN917547 SRD917547:SRJ917547 TAZ917547:TBF917547 TKV917547:TLB917547 TUR917547:TUX917547 UEN917547:UET917547 UOJ917547:UOP917547 UYF917547:UYL917547 VIB917547:VIH917547 VRX917547:VSD917547 WBT917547:WBZ917547 WLP917547:WLV917547 WVL917547:WVR917547 D983083:J983083 IZ983083:JF983083 SV983083:TB983083 ACR983083:ACX983083 AMN983083:AMT983083 AWJ983083:AWP983083 BGF983083:BGL983083 BQB983083:BQH983083 BZX983083:CAD983083 CJT983083:CJZ983083 CTP983083:CTV983083 DDL983083:DDR983083 DNH983083:DNN983083 DXD983083:DXJ983083 EGZ983083:EHF983083 EQV983083:ERB983083 FAR983083:FAX983083 FKN983083:FKT983083 FUJ983083:FUP983083 GEF983083:GEL983083 GOB983083:GOH983083 GXX983083:GYD983083 HHT983083:HHZ983083 HRP983083:HRV983083 IBL983083:IBR983083 ILH983083:ILN983083 IVD983083:IVJ983083 JEZ983083:JFF983083 JOV983083:JPB983083 JYR983083:JYX983083 KIN983083:KIT983083 KSJ983083:KSP983083 LCF983083:LCL983083 LMB983083:LMH983083 LVX983083:LWD983083 MFT983083:MFZ983083 MPP983083:MPV983083 MZL983083:MZR983083 NJH983083:NJN983083 NTD983083:NTJ983083 OCZ983083:ODF983083 OMV983083:ONB983083 OWR983083:OWX983083 PGN983083:PGT983083 PQJ983083:PQP983083 QAF983083:QAL983083 QKB983083:QKH983083 QTX983083:QUD983083 RDT983083:RDZ983083 RNP983083:RNV983083 RXL983083:RXR983083 SHH983083:SHN983083 SRD983083:SRJ983083 TAZ983083:TBF983083 TKV983083:TLB983083 TUR983083:TUX983083 UEN983083:UET983083 UOJ983083:UOP983083 UYF983083:UYL983083 VIB983083:VIH983083 VRX983083:VSD983083 WBT983083:WBZ983083 WLP983083:WLV983083 WVL983083:WVR983083">
      <formula1>ModulesInCmp</formula1>
    </dataValidation>
    <dataValidation type="list" allowBlank="1" prompt="Please select a data source" sqref="L35:N39 JH35:JJ39 TD35:TF39 ACZ35:ADB39 AMV35:AMX39 AWR35:AWT39 BGN35:BGP39 BQJ35:BQL39 CAF35:CAH39 CKB35:CKD39 CTX35:CTZ39 DDT35:DDV39 DNP35:DNR39 DXL35:DXN39 EHH35:EHJ39 ERD35:ERF39 FAZ35:FBB39 FKV35:FKX39 FUR35:FUT39 GEN35:GEP39 GOJ35:GOL39 GYF35:GYH39 HIB35:HID39 HRX35:HRZ39 IBT35:IBV39 ILP35:ILR39 IVL35:IVN39 JFH35:JFJ39 JPD35:JPF39 JYZ35:JZB39 KIV35:KIX39 KSR35:KST39 LCN35:LCP39 LMJ35:LML39 LWF35:LWH39 MGB35:MGD39 MPX35:MPZ39 MZT35:MZV39 NJP35:NJR39 NTL35:NTN39 ODH35:ODJ39 OND35:ONF39 OWZ35:OXB39 PGV35:PGX39 PQR35:PQT39 QAN35:QAP39 QKJ35:QKL39 QUF35:QUH39 REB35:RED39 RNX35:RNZ39 RXT35:RXV39 SHP35:SHR39 SRL35:SRN39 TBH35:TBJ39 TLD35:TLF39 TUZ35:TVB39 UEV35:UEX39 UOR35:UOT39 UYN35:UYP39 VIJ35:VIL39 VSF35:VSH39 WCB35:WCD39 WLX35:WLZ39 WVT35:WVV39 L65571:N65575 JH65571:JJ65575 TD65571:TF65575 ACZ65571:ADB65575 AMV65571:AMX65575 AWR65571:AWT65575 BGN65571:BGP65575 BQJ65571:BQL65575 CAF65571:CAH65575 CKB65571:CKD65575 CTX65571:CTZ65575 DDT65571:DDV65575 DNP65571:DNR65575 DXL65571:DXN65575 EHH65571:EHJ65575 ERD65571:ERF65575 FAZ65571:FBB65575 FKV65571:FKX65575 FUR65571:FUT65575 GEN65571:GEP65575 GOJ65571:GOL65575 GYF65571:GYH65575 HIB65571:HID65575 HRX65571:HRZ65575 IBT65571:IBV65575 ILP65571:ILR65575 IVL65571:IVN65575 JFH65571:JFJ65575 JPD65571:JPF65575 JYZ65571:JZB65575 KIV65571:KIX65575 KSR65571:KST65575 LCN65571:LCP65575 LMJ65571:LML65575 LWF65571:LWH65575 MGB65571:MGD65575 MPX65571:MPZ65575 MZT65571:MZV65575 NJP65571:NJR65575 NTL65571:NTN65575 ODH65571:ODJ65575 OND65571:ONF65575 OWZ65571:OXB65575 PGV65571:PGX65575 PQR65571:PQT65575 QAN65571:QAP65575 QKJ65571:QKL65575 QUF65571:QUH65575 REB65571:RED65575 RNX65571:RNZ65575 RXT65571:RXV65575 SHP65571:SHR65575 SRL65571:SRN65575 TBH65571:TBJ65575 TLD65571:TLF65575 TUZ65571:TVB65575 UEV65571:UEX65575 UOR65571:UOT65575 UYN65571:UYP65575 VIJ65571:VIL65575 VSF65571:VSH65575 WCB65571:WCD65575 WLX65571:WLZ65575 WVT65571:WVV65575 L131107:N131111 JH131107:JJ131111 TD131107:TF131111 ACZ131107:ADB131111 AMV131107:AMX131111 AWR131107:AWT131111 BGN131107:BGP131111 BQJ131107:BQL131111 CAF131107:CAH131111 CKB131107:CKD131111 CTX131107:CTZ131111 DDT131107:DDV131111 DNP131107:DNR131111 DXL131107:DXN131111 EHH131107:EHJ131111 ERD131107:ERF131111 FAZ131107:FBB131111 FKV131107:FKX131111 FUR131107:FUT131111 GEN131107:GEP131111 GOJ131107:GOL131111 GYF131107:GYH131111 HIB131107:HID131111 HRX131107:HRZ131111 IBT131107:IBV131111 ILP131107:ILR131111 IVL131107:IVN131111 JFH131107:JFJ131111 JPD131107:JPF131111 JYZ131107:JZB131111 KIV131107:KIX131111 KSR131107:KST131111 LCN131107:LCP131111 LMJ131107:LML131111 LWF131107:LWH131111 MGB131107:MGD131111 MPX131107:MPZ131111 MZT131107:MZV131111 NJP131107:NJR131111 NTL131107:NTN131111 ODH131107:ODJ131111 OND131107:ONF131111 OWZ131107:OXB131111 PGV131107:PGX131111 PQR131107:PQT131111 QAN131107:QAP131111 QKJ131107:QKL131111 QUF131107:QUH131111 REB131107:RED131111 RNX131107:RNZ131111 RXT131107:RXV131111 SHP131107:SHR131111 SRL131107:SRN131111 TBH131107:TBJ131111 TLD131107:TLF131111 TUZ131107:TVB131111 UEV131107:UEX131111 UOR131107:UOT131111 UYN131107:UYP131111 VIJ131107:VIL131111 VSF131107:VSH131111 WCB131107:WCD131111 WLX131107:WLZ131111 WVT131107:WVV131111 L196643:N196647 JH196643:JJ196647 TD196643:TF196647 ACZ196643:ADB196647 AMV196643:AMX196647 AWR196643:AWT196647 BGN196643:BGP196647 BQJ196643:BQL196647 CAF196643:CAH196647 CKB196643:CKD196647 CTX196643:CTZ196647 DDT196643:DDV196647 DNP196643:DNR196647 DXL196643:DXN196647 EHH196643:EHJ196647 ERD196643:ERF196647 FAZ196643:FBB196647 FKV196643:FKX196647 FUR196643:FUT196647 GEN196643:GEP196647 GOJ196643:GOL196647 GYF196643:GYH196647 HIB196643:HID196647 HRX196643:HRZ196647 IBT196643:IBV196647 ILP196643:ILR196647 IVL196643:IVN196647 JFH196643:JFJ196647 JPD196643:JPF196647 JYZ196643:JZB196647 KIV196643:KIX196647 KSR196643:KST196647 LCN196643:LCP196647 LMJ196643:LML196647 LWF196643:LWH196647 MGB196643:MGD196647 MPX196643:MPZ196647 MZT196643:MZV196647 NJP196643:NJR196647 NTL196643:NTN196647 ODH196643:ODJ196647 OND196643:ONF196647 OWZ196643:OXB196647 PGV196643:PGX196647 PQR196643:PQT196647 QAN196643:QAP196647 QKJ196643:QKL196647 QUF196643:QUH196647 REB196643:RED196647 RNX196643:RNZ196647 RXT196643:RXV196647 SHP196643:SHR196647 SRL196643:SRN196647 TBH196643:TBJ196647 TLD196643:TLF196647 TUZ196643:TVB196647 UEV196643:UEX196647 UOR196643:UOT196647 UYN196643:UYP196647 VIJ196643:VIL196647 VSF196643:VSH196647 WCB196643:WCD196647 WLX196643:WLZ196647 WVT196643:WVV196647 L262179:N262183 JH262179:JJ262183 TD262179:TF262183 ACZ262179:ADB262183 AMV262179:AMX262183 AWR262179:AWT262183 BGN262179:BGP262183 BQJ262179:BQL262183 CAF262179:CAH262183 CKB262179:CKD262183 CTX262179:CTZ262183 DDT262179:DDV262183 DNP262179:DNR262183 DXL262179:DXN262183 EHH262179:EHJ262183 ERD262179:ERF262183 FAZ262179:FBB262183 FKV262179:FKX262183 FUR262179:FUT262183 GEN262179:GEP262183 GOJ262179:GOL262183 GYF262179:GYH262183 HIB262179:HID262183 HRX262179:HRZ262183 IBT262179:IBV262183 ILP262179:ILR262183 IVL262179:IVN262183 JFH262179:JFJ262183 JPD262179:JPF262183 JYZ262179:JZB262183 KIV262179:KIX262183 KSR262179:KST262183 LCN262179:LCP262183 LMJ262179:LML262183 LWF262179:LWH262183 MGB262179:MGD262183 MPX262179:MPZ262183 MZT262179:MZV262183 NJP262179:NJR262183 NTL262179:NTN262183 ODH262179:ODJ262183 OND262179:ONF262183 OWZ262179:OXB262183 PGV262179:PGX262183 PQR262179:PQT262183 QAN262179:QAP262183 QKJ262179:QKL262183 QUF262179:QUH262183 REB262179:RED262183 RNX262179:RNZ262183 RXT262179:RXV262183 SHP262179:SHR262183 SRL262179:SRN262183 TBH262179:TBJ262183 TLD262179:TLF262183 TUZ262179:TVB262183 UEV262179:UEX262183 UOR262179:UOT262183 UYN262179:UYP262183 VIJ262179:VIL262183 VSF262179:VSH262183 WCB262179:WCD262183 WLX262179:WLZ262183 WVT262179:WVV262183 L327715:N327719 JH327715:JJ327719 TD327715:TF327719 ACZ327715:ADB327719 AMV327715:AMX327719 AWR327715:AWT327719 BGN327715:BGP327719 BQJ327715:BQL327719 CAF327715:CAH327719 CKB327715:CKD327719 CTX327715:CTZ327719 DDT327715:DDV327719 DNP327715:DNR327719 DXL327715:DXN327719 EHH327715:EHJ327719 ERD327715:ERF327719 FAZ327715:FBB327719 FKV327715:FKX327719 FUR327715:FUT327719 GEN327715:GEP327719 GOJ327715:GOL327719 GYF327715:GYH327719 HIB327715:HID327719 HRX327715:HRZ327719 IBT327715:IBV327719 ILP327715:ILR327719 IVL327715:IVN327719 JFH327715:JFJ327719 JPD327715:JPF327719 JYZ327715:JZB327719 KIV327715:KIX327719 KSR327715:KST327719 LCN327715:LCP327719 LMJ327715:LML327719 LWF327715:LWH327719 MGB327715:MGD327719 MPX327715:MPZ327719 MZT327715:MZV327719 NJP327715:NJR327719 NTL327715:NTN327719 ODH327715:ODJ327719 OND327715:ONF327719 OWZ327715:OXB327719 PGV327715:PGX327719 PQR327715:PQT327719 QAN327715:QAP327719 QKJ327715:QKL327719 QUF327715:QUH327719 REB327715:RED327719 RNX327715:RNZ327719 RXT327715:RXV327719 SHP327715:SHR327719 SRL327715:SRN327719 TBH327715:TBJ327719 TLD327715:TLF327719 TUZ327715:TVB327719 UEV327715:UEX327719 UOR327715:UOT327719 UYN327715:UYP327719 VIJ327715:VIL327719 VSF327715:VSH327719 WCB327715:WCD327719 WLX327715:WLZ327719 WVT327715:WVV327719 L393251:N393255 JH393251:JJ393255 TD393251:TF393255 ACZ393251:ADB393255 AMV393251:AMX393255 AWR393251:AWT393255 BGN393251:BGP393255 BQJ393251:BQL393255 CAF393251:CAH393255 CKB393251:CKD393255 CTX393251:CTZ393255 DDT393251:DDV393255 DNP393251:DNR393255 DXL393251:DXN393255 EHH393251:EHJ393255 ERD393251:ERF393255 FAZ393251:FBB393255 FKV393251:FKX393255 FUR393251:FUT393255 GEN393251:GEP393255 GOJ393251:GOL393255 GYF393251:GYH393255 HIB393251:HID393255 HRX393251:HRZ393255 IBT393251:IBV393255 ILP393251:ILR393255 IVL393251:IVN393255 JFH393251:JFJ393255 JPD393251:JPF393255 JYZ393251:JZB393255 KIV393251:KIX393255 KSR393251:KST393255 LCN393251:LCP393255 LMJ393251:LML393255 LWF393251:LWH393255 MGB393251:MGD393255 MPX393251:MPZ393255 MZT393251:MZV393255 NJP393251:NJR393255 NTL393251:NTN393255 ODH393251:ODJ393255 OND393251:ONF393255 OWZ393251:OXB393255 PGV393251:PGX393255 PQR393251:PQT393255 QAN393251:QAP393255 QKJ393251:QKL393255 QUF393251:QUH393255 REB393251:RED393255 RNX393251:RNZ393255 RXT393251:RXV393255 SHP393251:SHR393255 SRL393251:SRN393255 TBH393251:TBJ393255 TLD393251:TLF393255 TUZ393251:TVB393255 UEV393251:UEX393255 UOR393251:UOT393255 UYN393251:UYP393255 VIJ393251:VIL393255 VSF393251:VSH393255 WCB393251:WCD393255 WLX393251:WLZ393255 WVT393251:WVV393255 L458787:N458791 JH458787:JJ458791 TD458787:TF458791 ACZ458787:ADB458791 AMV458787:AMX458791 AWR458787:AWT458791 BGN458787:BGP458791 BQJ458787:BQL458791 CAF458787:CAH458791 CKB458787:CKD458791 CTX458787:CTZ458791 DDT458787:DDV458791 DNP458787:DNR458791 DXL458787:DXN458791 EHH458787:EHJ458791 ERD458787:ERF458791 FAZ458787:FBB458791 FKV458787:FKX458791 FUR458787:FUT458791 GEN458787:GEP458791 GOJ458787:GOL458791 GYF458787:GYH458791 HIB458787:HID458791 HRX458787:HRZ458791 IBT458787:IBV458791 ILP458787:ILR458791 IVL458787:IVN458791 JFH458787:JFJ458791 JPD458787:JPF458791 JYZ458787:JZB458791 KIV458787:KIX458791 KSR458787:KST458791 LCN458787:LCP458791 LMJ458787:LML458791 LWF458787:LWH458791 MGB458787:MGD458791 MPX458787:MPZ458791 MZT458787:MZV458791 NJP458787:NJR458791 NTL458787:NTN458791 ODH458787:ODJ458791 OND458787:ONF458791 OWZ458787:OXB458791 PGV458787:PGX458791 PQR458787:PQT458791 QAN458787:QAP458791 QKJ458787:QKL458791 QUF458787:QUH458791 REB458787:RED458791 RNX458787:RNZ458791 RXT458787:RXV458791 SHP458787:SHR458791 SRL458787:SRN458791 TBH458787:TBJ458791 TLD458787:TLF458791 TUZ458787:TVB458791 UEV458787:UEX458791 UOR458787:UOT458791 UYN458787:UYP458791 VIJ458787:VIL458791 VSF458787:VSH458791 WCB458787:WCD458791 WLX458787:WLZ458791 WVT458787:WVV458791 L524323:N524327 JH524323:JJ524327 TD524323:TF524327 ACZ524323:ADB524327 AMV524323:AMX524327 AWR524323:AWT524327 BGN524323:BGP524327 BQJ524323:BQL524327 CAF524323:CAH524327 CKB524323:CKD524327 CTX524323:CTZ524327 DDT524323:DDV524327 DNP524323:DNR524327 DXL524323:DXN524327 EHH524323:EHJ524327 ERD524323:ERF524327 FAZ524323:FBB524327 FKV524323:FKX524327 FUR524323:FUT524327 GEN524323:GEP524327 GOJ524323:GOL524327 GYF524323:GYH524327 HIB524323:HID524327 HRX524323:HRZ524327 IBT524323:IBV524327 ILP524323:ILR524327 IVL524323:IVN524327 JFH524323:JFJ524327 JPD524323:JPF524327 JYZ524323:JZB524327 KIV524323:KIX524327 KSR524323:KST524327 LCN524323:LCP524327 LMJ524323:LML524327 LWF524323:LWH524327 MGB524323:MGD524327 MPX524323:MPZ524327 MZT524323:MZV524327 NJP524323:NJR524327 NTL524323:NTN524327 ODH524323:ODJ524327 OND524323:ONF524327 OWZ524323:OXB524327 PGV524323:PGX524327 PQR524323:PQT524327 QAN524323:QAP524327 QKJ524323:QKL524327 QUF524323:QUH524327 REB524323:RED524327 RNX524323:RNZ524327 RXT524323:RXV524327 SHP524323:SHR524327 SRL524323:SRN524327 TBH524323:TBJ524327 TLD524323:TLF524327 TUZ524323:TVB524327 UEV524323:UEX524327 UOR524323:UOT524327 UYN524323:UYP524327 VIJ524323:VIL524327 VSF524323:VSH524327 WCB524323:WCD524327 WLX524323:WLZ524327 WVT524323:WVV524327 L589859:N589863 JH589859:JJ589863 TD589859:TF589863 ACZ589859:ADB589863 AMV589859:AMX589863 AWR589859:AWT589863 BGN589859:BGP589863 BQJ589859:BQL589863 CAF589859:CAH589863 CKB589859:CKD589863 CTX589859:CTZ589863 DDT589859:DDV589863 DNP589859:DNR589863 DXL589859:DXN589863 EHH589859:EHJ589863 ERD589859:ERF589863 FAZ589859:FBB589863 FKV589859:FKX589863 FUR589859:FUT589863 GEN589859:GEP589863 GOJ589859:GOL589863 GYF589859:GYH589863 HIB589859:HID589863 HRX589859:HRZ589863 IBT589859:IBV589863 ILP589859:ILR589863 IVL589859:IVN589863 JFH589859:JFJ589863 JPD589859:JPF589863 JYZ589859:JZB589863 KIV589859:KIX589863 KSR589859:KST589863 LCN589859:LCP589863 LMJ589859:LML589863 LWF589859:LWH589863 MGB589859:MGD589863 MPX589859:MPZ589863 MZT589859:MZV589863 NJP589859:NJR589863 NTL589859:NTN589863 ODH589859:ODJ589863 OND589859:ONF589863 OWZ589859:OXB589863 PGV589859:PGX589863 PQR589859:PQT589863 QAN589859:QAP589863 QKJ589859:QKL589863 QUF589859:QUH589863 REB589859:RED589863 RNX589859:RNZ589863 RXT589859:RXV589863 SHP589859:SHR589863 SRL589859:SRN589863 TBH589859:TBJ589863 TLD589859:TLF589863 TUZ589859:TVB589863 UEV589859:UEX589863 UOR589859:UOT589863 UYN589859:UYP589863 VIJ589859:VIL589863 VSF589859:VSH589863 WCB589859:WCD589863 WLX589859:WLZ589863 WVT589859:WVV589863 L655395:N655399 JH655395:JJ655399 TD655395:TF655399 ACZ655395:ADB655399 AMV655395:AMX655399 AWR655395:AWT655399 BGN655395:BGP655399 BQJ655395:BQL655399 CAF655395:CAH655399 CKB655395:CKD655399 CTX655395:CTZ655399 DDT655395:DDV655399 DNP655395:DNR655399 DXL655395:DXN655399 EHH655395:EHJ655399 ERD655395:ERF655399 FAZ655395:FBB655399 FKV655395:FKX655399 FUR655395:FUT655399 GEN655395:GEP655399 GOJ655395:GOL655399 GYF655395:GYH655399 HIB655395:HID655399 HRX655395:HRZ655399 IBT655395:IBV655399 ILP655395:ILR655399 IVL655395:IVN655399 JFH655395:JFJ655399 JPD655395:JPF655399 JYZ655395:JZB655399 KIV655395:KIX655399 KSR655395:KST655399 LCN655395:LCP655399 LMJ655395:LML655399 LWF655395:LWH655399 MGB655395:MGD655399 MPX655395:MPZ655399 MZT655395:MZV655399 NJP655395:NJR655399 NTL655395:NTN655399 ODH655395:ODJ655399 OND655395:ONF655399 OWZ655395:OXB655399 PGV655395:PGX655399 PQR655395:PQT655399 QAN655395:QAP655399 QKJ655395:QKL655399 QUF655395:QUH655399 REB655395:RED655399 RNX655395:RNZ655399 RXT655395:RXV655399 SHP655395:SHR655399 SRL655395:SRN655399 TBH655395:TBJ655399 TLD655395:TLF655399 TUZ655395:TVB655399 UEV655395:UEX655399 UOR655395:UOT655399 UYN655395:UYP655399 VIJ655395:VIL655399 VSF655395:VSH655399 WCB655395:WCD655399 WLX655395:WLZ655399 WVT655395:WVV655399 L720931:N720935 JH720931:JJ720935 TD720931:TF720935 ACZ720931:ADB720935 AMV720931:AMX720935 AWR720931:AWT720935 BGN720931:BGP720935 BQJ720931:BQL720935 CAF720931:CAH720935 CKB720931:CKD720935 CTX720931:CTZ720935 DDT720931:DDV720935 DNP720931:DNR720935 DXL720931:DXN720935 EHH720931:EHJ720935 ERD720931:ERF720935 FAZ720931:FBB720935 FKV720931:FKX720935 FUR720931:FUT720935 GEN720931:GEP720935 GOJ720931:GOL720935 GYF720931:GYH720935 HIB720931:HID720935 HRX720931:HRZ720935 IBT720931:IBV720935 ILP720931:ILR720935 IVL720931:IVN720935 JFH720931:JFJ720935 JPD720931:JPF720935 JYZ720931:JZB720935 KIV720931:KIX720935 KSR720931:KST720935 LCN720931:LCP720935 LMJ720931:LML720935 LWF720931:LWH720935 MGB720931:MGD720935 MPX720931:MPZ720935 MZT720931:MZV720935 NJP720931:NJR720935 NTL720931:NTN720935 ODH720931:ODJ720935 OND720931:ONF720935 OWZ720931:OXB720935 PGV720931:PGX720935 PQR720931:PQT720935 QAN720931:QAP720935 QKJ720931:QKL720935 QUF720931:QUH720935 REB720931:RED720935 RNX720931:RNZ720935 RXT720931:RXV720935 SHP720931:SHR720935 SRL720931:SRN720935 TBH720931:TBJ720935 TLD720931:TLF720935 TUZ720931:TVB720935 UEV720931:UEX720935 UOR720931:UOT720935 UYN720931:UYP720935 VIJ720931:VIL720935 VSF720931:VSH720935 WCB720931:WCD720935 WLX720931:WLZ720935 WVT720931:WVV720935 L786467:N786471 JH786467:JJ786471 TD786467:TF786471 ACZ786467:ADB786471 AMV786467:AMX786471 AWR786467:AWT786471 BGN786467:BGP786471 BQJ786467:BQL786471 CAF786467:CAH786471 CKB786467:CKD786471 CTX786467:CTZ786471 DDT786467:DDV786471 DNP786467:DNR786471 DXL786467:DXN786471 EHH786467:EHJ786471 ERD786467:ERF786471 FAZ786467:FBB786471 FKV786467:FKX786471 FUR786467:FUT786471 GEN786467:GEP786471 GOJ786467:GOL786471 GYF786467:GYH786471 HIB786467:HID786471 HRX786467:HRZ786471 IBT786467:IBV786471 ILP786467:ILR786471 IVL786467:IVN786471 JFH786467:JFJ786471 JPD786467:JPF786471 JYZ786467:JZB786471 KIV786467:KIX786471 KSR786467:KST786471 LCN786467:LCP786471 LMJ786467:LML786471 LWF786467:LWH786471 MGB786467:MGD786471 MPX786467:MPZ786471 MZT786467:MZV786471 NJP786467:NJR786471 NTL786467:NTN786471 ODH786467:ODJ786471 OND786467:ONF786471 OWZ786467:OXB786471 PGV786467:PGX786471 PQR786467:PQT786471 QAN786467:QAP786471 QKJ786467:QKL786471 QUF786467:QUH786471 REB786467:RED786471 RNX786467:RNZ786471 RXT786467:RXV786471 SHP786467:SHR786471 SRL786467:SRN786471 TBH786467:TBJ786471 TLD786467:TLF786471 TUZ786467:TVB786471 UEV786467:UEX786471 UOR786467:UOT786471 UYN786467:UYP786471 VIJ786467:VIL786471 VSF786467:VSH786471 WCB786467:WCD786471 WLX786467:WLZ786471 WVT786467:WVV786471 L852003:N852007 JH852003:JJ852007 TD852003:TF852007 ACZ852003:ADB852007 AMV852003:AMX852007 AWR852003:AWT852007 BGN852003:BGP852007 BQJ852003:BQL852007 CAF852003:CAH852007 CKB852003:CKD852007 CTX852003:CTZ852007 DDT852003:DDV852007 DNP852003:DNR852007 DXL852003:DXN852007 EHH852003:EHJ852007 ERD852003:ERF852007 FAZ852003:FBB852007 FKV852003:FKX852007 FUR852003:FUT852007 GEN852003:GEP852007 GOJ852003:GOL852007 GYF852003:GYH852007 HIB852003:HID852007 HRX852003:HRZ852007 IBT852003:IBV852007 ILP852003:ILR852007 IVL852003:IVN852007 JFH852003:JFJ852007 JPD852003:JPF852007 JYZ852003:JZB852007 KIV852003:KIX852007 KSR852003:KST852007 LCN852003:LCP852007 LMJ852003:LML852007 LWF852003:LWH852007 MGB852003:MGD852007 MPX852003:MPZ852007 MZT852003:MZV852007 NJP852003:NJR852007 NTL852003:NTN852007 ODH852003:ODJ852007 OND852003:ONF852007 OWZ852003:OXB852007 PGV852003:PGX852007 PQR852003:PQT852007 QAN852003:QAP852007 QKJ852003:QKL852007 QUF852003:QUH852007 REB852003:RED852007 RNX852003:RNZ852007 RXT852003:RXV852007 SHP852003:SHR852007 SRL852003:SRN852007 TBH852003:TBJ852007 TLD852003:TLF852007 TUZ852003:TVB852007 UEV852003:UEX852007 UOR852003:UOT852007 UYN852003:UYP852007 VIJ852003:VIL852007 VSF852003:VSH852007 WCB852003:WCD852007 WLX852003:WLZ852007 WVT852003:WVV852007 L917539:N917543 JH917539:JJ917543 TD917539:TF917543 ACZ917539:ADB917543 AMV917539:AMX917543 AWR917539:AWT917543 BGN917539:BGP917543 BQJ917539:BQL917543 CAF917539:CAH917543 CKB917539:CKD917543 CTX917539:CTZ917543 DDT917539:DDV917543 DNP917539:DNR917543 DXL917539:DXN917543 EHH917539:EHJ917543 ERD917539:ERF917543 FAZ917539:FBB917543 FKV917539:FKX917543 FUR917539:FUT917543 GEN917539:GEP917543 GOJ917539:GOL917543 GYF917539:GYH917543 HIB917539:HID917543 HRX917539:HRZ917543 IBT917539:IBV917543 ILP917539:ILR917543 IVL917539:IVN917543 JFH917539:JFJ917543 JPD917539:JPF917543 JYZ917539:JZB917543 KIV917539:KIX917543 KSR917539:KST917543 LCN917539:LCP917543 LMJ917539:LML917543 LWF917539:LWH917543 MGB917539:MGD917543 MPX917539:MPZ917543 MZT917539:MZV917543 NJP917539:NJR917543 NTL917539:NTN917543 ODH917539:ODJ917543 OND917539:ONF917543 OWZ917539:OXB917543 PGV917539:PGX917543 PQR917539:PQT917543 QAN917539:QAP917543 QKJ917539:QKL917543 QUF917539:QUH917543 REB917539:RED917543 RNX917539:RNZ917543 RXT917539:RXV917543 SHP917539:SHR917543 SRL917539:SRN917543 TBH917539:TBJ917543 TLD917539:TLF917543 TUZ917539:TVB917543 UEV917539:UEX917543 UOR917539:UOT917543 UYN917539:UYP917543 VIJ917539:VIL917543 VSF917539:VSH917543 WCB917539:WCD917543 WLX917539:WLZ917543 WVT917539:WVV917543 L983075:N983079 JH983075:JJ983079 TD983075:TF983079 ACZ983075:ADB983079 AMV983075:AMX983079 AWR983075:AWT983079 BGN983075:BGP983079 BQJ983075:BQL983079 CAF983075:CAH983079 CKB983075:CKD983079 CTX983075:CTZ983079 DDT983075:DDV983079 DNP983075:DNR983079 DXL983075:DXN983079 EHH983075:EHJ983079 ERD983075:ERF983079 FAZ983075:FBB983079 FKV983075:FKX983079 FUR983075:FUT983079 GEN983075:GEP983079 GOJ983075:GOL983079 GYF983075:GYH983079 HIB983075:HID983079 HRX983075:HRZ983079 IBT983075:IBV983079 ILP983075:ILR983079 IVL983075:IVN983079 JFH983075:JFJ983079 JPD983075:JPF983079 JYZ983075:JZB983079 KIV983075:KIX983079 KSR983075:KST983079 LCN983075:LCP983079 LMJ983075:LML983079 LWF983075:LWH983079 MGB983075:MGD983079 MPX983075:MPZ983079 MZT983075:MZV983079 NJP983075:NJR983079 NTL983075:NTN983079 ODH983075:ODJ983079 OND983075:ONF983079 OWZ983075:OXB983079 PGV983075:PGX983079 PQR983075:PQT983079 QAN983075:QAP983079 QKJ983075:QKL983079 QUF983075:QUH983079 REB983075:RED983079 RNX983075:RNZ983079 RXT983075:RXV983079 SHP983075:SHR983079 SRL983075:SRN983079 TBH983075:TBJ983079 TLD983075:TLF983079 TUZ983075:TVB983079 UEV983075:UEX983079 UOR983075:UOT983079 UYN983075:UYP983079 VIJ983075:VIL983079 VSF983075:VSH983079 WCB983075:WCD983079 WLX983075:WLZ983079 WVT983075:WVV983079">
      <formula1>DataSrcInCmp</formula1>
    </dataValidation>
    <dataValidation type="list" allowBlank="1" showInputMessage="1" showErrorMessage="1" sqref="L17:N21 JH17:JJ21 TD17:TF21 ACZ17:ADB21 AMV17:AMX21 AWR17:AWT21 BGN17:BGP21 BQJ17:BQL21 CAF17:CAH21 CKB17:CKD21 CTX17:CTZ21 DDT17:DDV21 DNP17:DNR21 DXL17:DXN21 EHH17:EHJ21 ERD17:ERF21 FAZ17:FBB21 FKV17:FKX21 FUR17:FUT21 GEN17:GEP21 GOJ17:GOL21 GYF17:GYH21 HIB17:HID21 HRX17:HRZ21 IBT17:IBV21 ILP17:ILR21 IVL17:IVN21 JFH17:JFJ21 JPD17:JPF21 JYZ17:JZB21 KIV17:KIX21 KSR17:KST21 LCN17:LCP21 LMJ17:LML21 LWF17:LWH21 MGB17:MGD21 MPX17:MPZ21 MZT17:MZV21 NJP17:NJR21 NTL17:NTN21 ODH17:ODJ21 OND17:ONF21 OWZ17:OXB21 PGV17:PGX21 PQR17:PQT21 QAN17:QAP21 QKJ17:QKL21 QUF17:QUH21 REB17:RED21 RNX17:RNZ21 RXT17:RXV21 SHP17:SHR21 SRL17:SRN21 TBH17:TBJ21 TLD17:TLF21 TUZ17:TVB21 UEV17:UEX21 UOR17:UOT21 UYN17:UYP21 VIJ17:VIL21 VSF17:VSH21 WCB17:WCD21 WLX17:WLZ21 WVT17:WVV21 L65553:N65557 JH65553:JJ65557 TD65553:TF65557 ACZ65553:ADB65557 AMV65553:AMX65557 AWR65553:AWT65557 BGN65553:BGP65557 BQJ65553:BQL65557 CAF65553:CAH65557 CKB65553:CKD65557 CTX65553:CTZ65557 DDT65553:DDV65557 DNP65553:DNR65557 DXL65553:DXN65557 EHH65553:EHJ65557 ERD65553:ERF65557 FAZ65553:FBB65557 FKV65553:FKX65557 FUR65553:FUT65557 GEN65553:GEP65557 GOJ65553:GOL65557 GYF65553:GYH65557 HIB65553:HID65557 HRX65553:HRZ65557 IBT65553:IBV65557 ILP65553:ILR65557 IVL65553:IVN65557 JFH65553:JFJ65557 JPD65553:JPF65557 JYZ65553:JZB65557 KIV65553:KIX65557 KSR65553:KST65557 LCN65553:LCP65557 LMJ65553:LML65557 LWF65553:LWH65557 MGB65553:MGD65557 MPX65553:MPZ65557 MZT65553:MZV65557 NJP65553:NJR65557 NTL65553:NTN65557 ODH65553:ODJ65557 OND65553:ONF65557 OWZ65553:OXB65557 PGV65553:PGX65557 PQR65553:PQT65557 QAN65553:QAP65557 QKJ65553:QKL65557 QUF65553:QUH65557 REB65553:RED65557 RNX65553:RNZ65557 RXT65553:RXV65557 SHP65553:SHR65557 SRL65553:SRN65557 TBH65553:TBJ65557 TLD65553:TLF65557 TUZ65553:TVB65557 UEV65553:UEX65557 UOR65553:UOT65557 UYN65553:UYP65557 VIJ65553:VIL65557 VSF65553:VSH65557 WCB65553:WCD65557 WLX65553:WLZ65557 WVT65553:WVV65557 L131089:N131093 JH131089:JJ131093 TD131089:TF131093 ACZ131089:ADB131093 AMV131089:AMX131093 AWR131089:AWT131093 BGN131089:BGP131093 BQJ131089:BQL131093 CAF131089:CAH131093 CKB131089:CKD131093 CTX131089:CTZ131093 DDT131089:DDV131093 DNP131089:DNR131093 DXL131089:DXN131093 EHH131089:EHJ131093 ERD131089:ERF131093 FAZ131089:FBB131093 FKV131089:FKX131093 FUR131089:FUT131093 GEN131089:GEP131093 GOJ131089:GOL131093 GYF131089:GYH131093 HIB131089:HID131093 HRX131089:HRZ131093 IBT131089:IBV131093 ILP131089:ILR131093 IVL131089:IVN131093 JFH131089:JFJ131093 JPD131089:JPF131093 JYZ131089:JZB131093 KIV131089:KIX131093 KSR131089:KST131093 LCN131089:LCP131093 LMJ131089:LML131093 LWF131089:LWH131093 MGB131089:MGD131093 MPX131089:MPZ131093 MZT131089:MZV131093 NJP131089:NJR131093 NTL131089:NTN131093 ODH131089:ODJ131093 OND131089:ONF131093 OWZ131089:OXB131093 PGV131089:PGX131093 PQR131089:PQT131093 QAN131089:QAP131093 QKJ131089:QKL131093 QUF131089:QUH131093 REB131089:RED131093 RNX131089:RNZ131093 RXT131089:RXV131093 SHP131089:SHR131093 SRL131089:SRN131093 TBH131089:TBJ131093 TLD131089:TLF131093 TUZ131089:TVB131093 UEV131089:UEX131093 UOR131089:UOT131093 UYN131089:UYP131093 VIJ131089:VIL131093 VSF131089:VSH131093 WCB131089:WCD131093 WLX131089:WLZ131093 WVT131089:WVV131093 L196625:N196629 JH196625:JJ196629 TD196625:TF196629 ACZ196625:ADB196629 AMV196625:AMX196629 AWR196625:AWT196629 BGN196625:BGP196629 BQJ196625:BQL196629 CAF196625:CAH196629 CKB196625:CKD196629 CTX196625:CTZ196629 DDT196625:DDV196629 DNP196625:DNR196629 DXL196625:DXN196629 EHH196625:EHJ196629 ERD196625:ERF196629 FAZ196625:FBB196629 FKV196625:FKX196629 FUR196625:FUT196629 GEN196625:GEP196629 GOJ196625:GOL196629 GYF196625:GYH196629 HIB196625:HID196629 HRX196625:HRZ196629 IBT196625:IBV196629 ILP196625:ILR196629 IVL196625:IVN196629 JFH196625:JFJ196629 JPD196625:JPF196629 JYZ196625:JZB196629 KIV196625:KIX196629 KSR196625:KST196629 LCN196625:LCP196629 LMJ196625:LML196629 LWF196625:LWH196629 MGB196625:MGD196629 MPX196625:MPZ196629 MZT196625:MZV196629 NJP196625:NJR196629 NTL196625:NTN196629 ODH196625:ODJ196629 OND196625:ONF196629 OWZ196625:OXB196629 PGV196625:PGX196629 PQR196625:PQT196629 QAN196625:QAP196629 QKJ196625:QKL196629 QUF196625:QUH196629 REB196625:RED196629 RNX196625:RNZ196629 RXT196625:RXV196629 SHP196625:SHR196629 SRL196625:SRN196629 TBH196625:TBJ196629 TLD196625:TLF196629 TUZ196625:TVB196629 UEV196625:UEX196629 UOR196625:UOT196629 UYN196625:UYP196629 VIJ196625:VIL196629 VSF196625:VSH196629 WCB196625:WCD196629 WLX196625:WLZ196629 WVT196625:WVV196629 L262161:N262165 JH262161:JJ262165 TD262161:TF262165 ACZ262161:ADB262165 AMV262161:AMX262165 AWR262161:AWT262165 BGN262161:BGP262165 BQJ262161:BQL262165 CAF262161:CAH262165 CKB262161:CKD262165 CTX262161:CTZ262165 DDT262161:DDV262165 DNP262161:DNR262165 DXL262161:DXN262165 EHH262161:EHJ262165 ERD262161:ERF262165 FAZ262161:FBB262165 FKV262161:FKX262165 FUR262161:FUT262165 GEN262161:GEP262165 GOJ262161:GOL262165 GYF262161:GYH262165 HIB262161:HID262165 HRX262161:HRZ262165 IBT262161:IBV262165 ILP262161:ILR262165 IVL262161:IVN262165 JFH262161:JFJ262165 JPD262161:JPF262165 JYZ262161:JZB262165 KIV262161:KIX262165 KSR262161:KST262165 LCN262161:LCP262165 LMJ262161:LML262165 LWF262161:LWH262165 MGB262161:MGD262165 MPX262161:MPZ262165 MZT262161:MZV262165 NJP262161:NJR262165 NTL262161:NTN262165 ODH262161:ODJ262165 OND262161:ONF262165 OWZ262161:OXB262165 PGV262161:PGX262165 PQR262161:PQT262165 QAN262161:QAP262165 QKJ262161:QKL262165 QUF262161:QUH262165 REB262161:RED262165 RNX262161:RNZ262165 RXT262161:RXV262165 SHP262161:SHR262165 SRL262161:SRN262165 TBH262161:TBJ262165 TLD262161:TLF262165 TUZ262161:TVB262165 UEV262161:UEX262165 UOR262161:UOT262165 UYN262161:UYP262165 VIJ262161:VIL262165 VSF262161:VSH262165 WCB262161:WCD262165 WLX262161:WLZ262165 WVT262161:WVV262165 L327697:N327701 JH327697:JJ327701 TD327697:TF327701 ACZ327697:ADB327701 AMV327697:AMX327701 AWR327697:AWT327701 BGN327697:BGP327701 BQJ327697:BQL327701 CAF327697:CAH327701 CKB327697:CKD327701 CTX327697:CTZ327701 DDT327697:DDV327701 DNP327697:DNR327701 DXL327697:DXN327701 EHH327697:EHJ327701 ERD327697:ERF327701 FAZ327697:FBB327701 FKV327697:FKX327701 FUR327697:FUT327701 GEN327697:GEP327701 GOJ327697:GOL327701 GYF327697:GYH327701 HIB327697:HID327701 HRX327697:HRZ327701 IBT327697:IBV327701 ILP327697:ILR327701 IVL327697:IVN327701 JFH327697:JFJ327701 JPD327697:JPF327701 JYZ327697:JZB327701 KIV327697:KIX327701 KSR327697:KST327701 LCN327697:LCP327701 LMJ327697:LML327701 LWF327697:LWH327701 MGB327697:MGD327701 MPX327697:MPZ327701 MZT327697:MZV327701 NJP327697:NJR327701 NTL327697:NTN327701 ODH327697:ODJ327701 OND327697:ONF327701 OWZ327697:OXB327701 PGV327697:PGX327701 PQR327697:PQT327701 QAN327697:QAP327701 QKJ327697:QKL327701 QUF327697:QUH327701 REB327697:RED327701 RNX327697:RNZ327701 RXT327697:RXV327701 SHP327697:SHR327701 SRL327697:SRN327701 TBH327697:TBJ327701 TLD327697:TLF327701 TUZ327697:TVB327701 UEV327697:UEX327701 UOR327697:UOT327701 UYN327697:UYP327701 VIJ327697:VIL327701 VSF327697:VSH327701 WCB327697:WCD327701 WLX327697:WLZ327701 WVT327697:WVV327701 L393233:N393237 JH393233:JJ393237 TD393233:TF393237 ACZ393233:ADB393237 AMV393233:AMX393237 AWR393233:AWT393237 BGN393233:BGP393237 BQJ393233:BQL393237 CAF393233:CAH393237 CKB393233:CKD393237 CTX393233:CTZ393237 DDT393233:DDV393237 DNP393233:DNR393237 DXL393233:DXN393237 EHH393233:EHJ393237 ERD393233:ERF393237 FAZ393233:FBB393237 FKV393233:FKX393237 FUR393233:FUT393237 GEN393233:GEP393237 GOJ393233:GOL393237 GYF393233:GYH393237 HIB393233:HID393237 HRX393233:HRZ393237 IBT393233:IBV393237 ILP393233:ILR393237 IVL393233:IVN393237 JFH393233:JFJ393237 JPD393233:JPF393237 JYZ393233:JZB393237 KIV393233:KIX393237 KSR393233:KST393237 LCN393233:LCP393237 LMJ393233:LML393237 LWF393233:LWH393237 MGB393233:MGD393237 MPX393233:MPZ393237 MZT393233:MZV393237 NJP393233:NJR393237 NTL393233:NTN393237 ODH393233:ODJ393237 OND393233:ONF393237 OWZ393233:OXB393237 PGV393233:PGX393237 PQR393233:PQT393237 QAN393233:QAP393237 QKJ393233:QKL393237 QUF393233:QUH393237 REB393233:RED393237 RNX393233:RNZ393237 RXT393233:RXV393237 SHP393233:SHR393237 SRL393233:SRN393237 TBH393233:TBJ393237 TLD393233:TLF393237 TUZ393233:TVB393237 UEV393233:UEX393237 UOR393233:UOT393237 UYN393233:UYP393237 VIJ393233:VIL393237 VSF393233:VSH393237 WCB393233:WCD393237 WLX393233:WLZ393237 WVT393233:WVV393237 L458769:N458773 JH458769:JJ458773 TD458769:TF458773 ACZ458769:ADB458773 AMV458769:AMX458773 AWR458769:AWT458773 BGN458769:BGP458773 BQJ458769:BQL458773 CAF458769:CAH458773 CKB458769:CKD458773 CTX458769:CTZ458773 DDT458769:DDV458773 DNP458769:DNR458773 DXL458769:DXN458773 EHH458769:EHJ458773 ERD458769:ERF458773 FAZ458769:FBB458773 FKV458769:FKX458773 FUR458769:FUT458773 GEN458769:GEP458773 GOJ458769:GOL458773 GYF458769:GYH458773 HIB458769:HID458773 HRX458769:HRZ458773 IBT458769:IBV458773 ILP458769:ILR458773 IVL458769:IVN458773 JFH458769:JFJ458773 JPD458769:JPF458773 JYZ458769:JZB458773 KIV458769:KIX458773 KSR458769:KST458773 LCN458769:LCP458773 LMJ458769:LML458773 LWF458769:LWH458773 MGB458769:MGD458773 MPX458769:MPZ458773 MZT458769:MZV458773 NJP458769:NJR458773 NTL458769:NTN458773 ODH458769:ODJ458773 OND458769:ONF458773 OWZ458769:OXB458773 PGV458769:PGX458773 PQR458769:PQT458773 QAN458769:QAP458773 QKJ458769:QKL458773 QUF458769:QUH458773 REB458769:RED458773 RNX458769:RNZ458773 RXT458769:RXV458773 SHP458769:SHR458773 SRL458769:SRN458773 TBH458769:TBJ458773 TLD458769:TLF458773 TUZ458769:TVB458773 UEV458769:UEX458773 UOR458769:UOT458773 UYN458769:UYP458773 VIJ458769:VIL458773 VSF458769:VSH458773 WCB458769:WCD458773 WLX458769:WLZ458773 WVT458769:WVV458773 L524305:N524309 JH524305:JJ524309 TD524305:TF524309 ACZ524305:ADB524309 AMV524305:AMX524309 AWR524305:AWT524309 BGN524305:BGP524309 BQJ524305:BQL524309 CAF524305:CAH524309 CKB524305:CKD524309 CTX524305:CTZ524309 DDT524305:DDV524309 DNP524305:DNR524309 DXL524305:DXN524309 EHH524305:EHJ524309 ERD524305:ERF524309 FAZ524305:FBB524309 FKV524305:FKX524309 FUR524305:FUT524309 GEN524305:GEP524309 GOJ524305:GOL524309 GYF524305:GYH524309 HIB524305:HID524309 HRX524305:HRZ524309 IBT524305:IBV524309 ILP524305:ILR524309 IVL524305:IVN524309 JFH524305:JFJ524309 JPD524305:JPF524309 JYZ524305:JZB524309 KIV524305:KIX524309 KSR524305:KST524309 LCN524305:LCP524309 LMJ524305:LML524309 LWF524305:LWH524309 MGB524305:MGD524309 MPX524305:MPZ524309 MZT524305:MZV524309 NJP524305:NJR524309 NTL524305:NTN524309 ODH524305:ODJ524309 OND524305:ONF524309 OWZ524305:OXB524309 PGV524305:PGX524309 PQR524305:PQT524309 QAN524305:QAP524309 QKJ524305:QKL524309 QUF524305:QUH524309 REB524305:RED524309 RNX524305:RNZ524309 RXT524305:RXV524309 SHP524305:SHR524309 SRL524305:SRN524309 TBH524305:TBJ524309 TLD524305:TLF524309 TUZ524305:TVB524309 UEV524305:UEX524309 UOR524305:UOT524309 UYN524305:UYP524309 VIJ524305:VIL524309 VSF524305:VSH524309 WCB524305:WCD524309 WLX524305:WLZ524309 WVT524305:WVV524309 L589841:N589845 JH589841:JJ589845 TD589841:TF589845 ACZ589841:ADB589845 AMV589841:AMX589845 AWR589841:AWT589845 BGN589841:BGP589845 BQJ589841:BQL589845 CAF589841:CAH589845 CKB589841:CKD589845 CTX589841:CTZ589845 DDT589841:DDV589845 DNP589841:DNR589845 DXL589841:DXN589845 EHH589841:EHJ589845 ERD589841:ERF589845 FAZ589841:FBB589845 FKV589841:FKX589845 FUR589841:FUT589845 GEN589841:GEP589845 GOJ589841:GOL589845 GYF589841:GYH589845 HIB589841:HID589845 HRX589841:HRZ589845 IBT589841:IBV589845 ILP589841:ILR589845 IVL589841:IVN589845 JFH589841:JFJ589845 JPD589841:JPF589845 JYZ589841:JZB589845 KIV589841:KIX589845 KSR589841:KST589845 LCN589841:LCP589845 LMJ589841:LML589845 LWF589841:LWH589845 MGB589841:MGD589845 MPX589841:MPZ589845 MZT589841:MZV589845 NJP589841:NJR589845 NTL589841:NTN589845 ODH589841:ODJ589845 OND589841:ONF589845 OWZ589841:OXB589845 PGV589841:PGX589845 PQR589841:PQT589845 QAN589841:QAP589845 QKJ589841:QKL589845 QUF589841:QUH589845 REB589841:RED589845 RNX589841:RNZ589845 RXT589841:RXV589845 SHP589841:SHR589845 SRL589841:SRN589845 TBH589841:TBJ589845 TLD589841:TLF589845 TUZ589841:TVB589845 UEV589841:UEX589845 UOR589841:UOT589845 UYN589841:UYP589845 VIJ589841:VIL589845 VSF589841:VSH589845 WCB589841:WCD589845 WLX589841:WLZ589845 WVT589841:WVV589845 L655377:N655381 JH655377:JJ655381 TD655377:TF655381 ACZ655377:ADB655381 AMV655377:AMX655381 AWR655377:AWT655381 BGN655377:BGP655381 BQJ655377:BQL655381 CAF655377:CAH655381 CKB655377:CKD655381 CTX655377:CTZ655381 DDT655377:DDV655381 DNP655377:DNR655381 DXL655377:DXN655381 EHH655377:EHJ655381 ERD655377:ERF655381 FAZ655377:FBB655381 FKV655377:FKX655381 FUR655377:FUT655381 GEN655377:GEP655381 GOJ655377:GOL655381 GYF655377:GYH655381 HIB655377:HID655381 HRX655377:HRZ655381 IBT655377:IBV655381 ILP655377:ILR655381 IVL655377:IVN655381 JFH655377:JFJ655381 JPD655377:JPF655381 JYZ655377:JZB655381 KIV655377:KIX655381 KSR655377:KST655381 LCN655377:LCP655381 LMJ655377:LML655381 LWF655377:LWH655381 MGB655377:MGD655381 MPX655377:MPZ655381 MZT655377:MZV655381 NJP655377:NJR655381 NTL655377:NTN655381 ODH655377:ODJ655381 OND655377:ONF655381 OWZ655377:OXB655381 PGV655377:PGX655381 PQR655377:PQT655381 QAN655377:QAP655381 QKJ655377:QKL655381 QUF655377:QUH655381 REB655377:RED655381 RNX655377:RNZ655381 RXT655377:RXV655381 SHP655377:SHR655381 SRL655377:SRN655381 TBH655377:TBJ655381 TLD655377:TLF655381 TUZ655377:TVB655381 UEV655377:UEX655381 UOR655377:UOT655381 UYN655377:UYP655381 VIJ655377:VIL655381 VSF655377:VSH655381 WCB655377:WCD655381 WLX655377:WLZ655381 WVT655377:WVV655381 L720913:N720917 JH720913:JJ720917 TD720913:TF720917 ACZ720913:ADB720917 AMV720913:AMX720917 AWR720913:AWT720917 BGN720913:BGP720917 BQJ720913:BQL720917 CAF720913:CAH720917 CKB720913:CKD720917 CTX720913:CTZ720917 DDT720913:DDV720917 DNP720913:DNR720917 DXL720913:DXN720917 EHH720913:EHJ720917 ERD720913:ERF720917 FAZ720913:FBB720917 FKV720913:FKX720917 FUR720913:FUT720917 GEN720913:GEP720917 GOJ720913:GOL720917 GYF720913:GYH720917 HIB720913:HID720917 HRX720913:HRZ720917 IBT720913:IBV720917 ILP720913:ILR720917 IVL720913:IVN720917 JFH720913:JFJ720917 JPD720913:JPF720917 JYZ720913:JZB720917 KIV720913:KIX720917 KSR720913:KST720917 LCN720913:LCP720917 LMJ720913:LML720917 LWF720913:LWH720917 MGB720913:MGD720917 MPX720913:MPZ720917 MZT720913:MZV720917 NJP720913:NJR720917 NTL720913:NTN720917 ODH720913:ODJ720917 OND720913:ONF720917 OWZ720913:OXB720917 PGV720913:PGX720917 PQR720913:PQT720917 QAN720913:QAP720917 QKJ720913:QKL720917 QUF720913:QUH720917 REB720913:RED720917 RNX720913:RNZ720917 RXT720913:RXV720917 SHP720913:SHR720917 SRL720913:SRN720917 TBH720913:TBJ720917 TLD720913:TLF720917 TUZ720913:TVB720917 UEV720913:UEX720917 UOR720913:UOT720917 UYN720913:UYP720917 VIJ720913:VIL720917 VSF720913:VSH720917 WCB720913:WCD720917 WLX720913:WLZ720917 WVT720913:WVV720917 L786449:N786453 JH786449:JJ786453 TD786449:TF786453 ACZ786449:ADB786453 AMV786449:AMX786453 AWR786449:AWT786453 BGN786449:BGP786453 BQJ786449:BQL786453 CAF786449:CAH786453 CKB786449:CKD786453 CTX786449:CTZ786453 DDT786449:DDV786453 DNP786449:DNR786453 DXL786449:DXN786453 EHH786449:EHJ786453 ERD786449:ERF786453 FAZ786449:FBB786453 FKV786449:FKX786453 FUR786449:FUT786453 GEN786449:GEP786453 GOJ786449:GOL786453 GYF786449:GYH786453 HIB786449:HID786453 HRX786449:HRZ786453 IBT786449:IBV786453 ILP786449:ILR786453 IVL786449:IVN786453 JFH786449:JFJ786453 JPD786449:JPF786453 JYZ786449:JZB786453 KIV786449:KIX786453 KSR786449:KST786453 LCN786449:LCP786453 LMJ786449:LML786453 LWF786449:LWH786453 MGB786449:MGD786453 MPX786449:MPZ786453 MZT786449:MZV786453 NJP786449:NJR786453 NTL786449:NTN786453 ODH786449:ODJ786453 OND786449:ONF786453 OWZ786449:OXB786453 PGV786449:PGX786453 PQR786449:PQT786453 QAN786449:QAP786453 QKJ786449:QKL786453 QUF786449:QUH786453 REB786449:RED786453 RNX786449:RNZ786453 RXT786449:RXV786453 SHP786449:SHR786453 SRL786449:SRN786453 TBH786449:TBJ786453 TLD786449:TLF786453 TUZ786449:TVB786453 UEV786449:UEX786453 UOR786449:UOT786453 UYN786449:UYP786453 VIJ786449:VIL786453 VSF786449:VSH786453 WCB786449:WCD786453 WLX786449:WLZ786453 WVT786449:WVV786453 L851985:N851989 JH851985:JJ851989 TD851985:TF851989 ACZ851985:ADB851989 AMV851985:AMX851989 AWR851985:AWT851989 BGN851985:BGP851989 BQJ851985:BQL851989 CAF851985:CAH851989 CKB851985:CKD851989 CTX851985:CTZ851989 DDT851985:DDV851989 DNP851985:DNR851989 DXL851985:DXN851989 EHH851985:EHJ851989 ERD851985:ERF851989 FAZ851985:FBB851989 FKV851985:FKX851989 FUR851985:FUT851989 GEN851985:GEP851989 GOJ851985:GOL851989 GYF851985:GYH851989 HIB851985:HID851989 HRX851985:HRZ851989 IBT851985:IBV851989 ILP851985:ILR851989 IVL851985:IVN851989 JFH851985:JFJ851989 JPD851985:JPF851989 JYZ851985:JZB851989 KIV851985:KIX851989 KSR851985:KST851989 LCN851985:LCP851989 LMJ851985:LML851989 LWF851985:LWH851989 MGB851985:MGD851989 MPX851985:MPZ851989 MZT851985:MZV851989 NJP851985:NJR851989 NTL851985:NTN851989 ODH851985:ODJ851989 OND851985:ONF851989 OWZ851985:OXB851989 PGV851985:PGX851989 PQR851985:PQT851989 QAN851985:QAP851989 QKJ851985:QKL851989 QUF851985:QUH851989 REB851985:RED851989 RNX851985:RNZ851989 RXT851985:RXV851989 SHP851985:SHR851989 SRL851985:SRN851989 TBH851985:TBJ851989 TLD851985:TLF851989 TUZ851985:TVB851989 UEV851985:UEX851989 UOR851985:UOT851989 UYN851985:UYP851989 VIJ851985:VIL851989 VSF851985:VSH851989 WCB851985:WCD851989 WLX851985:WLZ851989 WVT851985:WVV851989 L917521:N917525 JH917521:JJ917525 TD917521:TF917525 ACZ917521:ADB917525 AMV917521:AMX917525 AWR917521:AWT917525 BGN917521:BGP917525 BQJ917521:BQL917525 CAF917521:CAH917525 CKB917521:CKD917525 CTX917521:CTZ917525 DDT917521:DDV917525 DNP917521:DNR917525 DXL917521:DXN917525 EHH917521:EHJ917525 ERD917521:ERF917525 FAZ917521:FBB917525 FKV917521:FKX917525 FUR917521:FUT917525 GEN917521:GEP917525 GOJ917521:GOL917525 GYF917521:GYH917525 HIB917521:HID917525 HRX917521:HRZ917525 IBT917521:IBV917525 ILP917521:ILR917525 IVL917521:IVN917525 JFH917521:JFJ917525 JPD917521:JPF917525 JYZ917521:JZB917525 KIV917521:KIX917525 KSR917521:KST917525 LCN917521:LCP917525 LMJ917521:LML917525 LWF917521:LWH917525 MGB917521:MGD917525 MPX917521:MPZ917525 MZT917521:MZV917525 NJP917521:NJR917525 NTL917521:NTN917525 ODH917521:ODJ917525 OND917521:ONF917525 OWZ917521:OXB917525 PGV917521:PGX917525 PQR917521:PQT917525 QAN917521:QAP917525 QKJ917521:QKL917525 QUF917521:QUH917525 REB917521:RED917525 RNX917521:RNZ917525 RXT917521:RXV917525 SHP917521:SHR917525 SRL917521:SRN917525 TBH917521:TBJ917525 TLD917521:TLF917525 TUZ917521:TVB917525 UEV917521:UEX917525 UOR917521:UOT917525 UYN917521:UYP917525 VIJ917521:VIL917525 VSF917521:VSH917525 WCB917521:WCD917525 WLX917521:WLZ917525 WVT917521:WVV917525 L983057:N983061 JH983057:JJ983061 TD983057:TF983061 ACZ983057:ADB983061 AMV983057:AMX983061 AWR983057:AWT983061 BGN983057:BGP983061 BQJ983057:BQL983061 CAF983057:CAH983061 CKB983057:CKD983061 CTX983057:CTZ983061 DDT983057:DDV983061 DNP983057:DNR983061 DXL983057:DXN983061 EHH983057:EHJ983061 ERD983057:ERF983061 FAZ983057:FBB983061 FKV983057:FKX983061 FUR983057:FUT983061 GEN983057:GEP983061 GOJ983057:GOL983061 GYF983057:GYH983061 HIB983057:HID983061 HRX983057:HRZ983061 IBT983057:IBV983061 ILP983057:ILR983061 IVL983057:IVN983061 JFH983057:JFJ983061 JPD983057:JPF983061 JYZ983057:JZB983061 KIV983057:KIX983061 KSR983057:KST983061 LCN983057:LCP983061 LMJ983057:LML983061 LWF983057:LWH983061 MGB983057:MGD983061 MPX983057:MPZ983061 MZT983057:MZV983061 NJP983057:NJR983061 NTL983057:NTN983061 ODH983057:ODJ983061 OND983057:ONF983061 OWZ983057:OXB983061 PGV983057:PGX983061 PQR983057:PQT983061 QAN983057:QAP983061 QKJ983057:QKL983061 QUF983057:QUH983061 REB983057:RED983061 RNX983057:RNZ983061 RXT983057:RXV983061 SHP983057:SHR983061 SRL983057:SRN983061 TBH983057:TBJ983061 TLD983057:TLF983061 TUZ983057:TVB983061 UEV983057:UEX983061 UOR983057:UOT983061 UYN983057:UYP983061 VIJ983057:VIL983061 VSF983057:VSH983061 WCB983057:WCD983061 WLX983057:WLZ983061 WVT983057:WVV983061 WVR983089:WVR983100 JF49:JF60 TB49:TB60 ACX49:ACX60 AMT49:AMT60 AWP49:AWP60 BGL49:BGL60 BQH49:BQH60 CAD49:CAD60 CJZ49:CJZ60 CTV49:CTV60 DDR49:DDR60 DNN49:DNN60 DXJ49:DXJ60 EHF49:EHF60 ERB49:ERB60 FAX49:FAX60 FKT49:FKT60 FUP49:FUP60 GEL49:GEL60 GOH49:GOH60 GYD49:GYD60 HHZ49:HHZ60 HRV49:HRV60 IBR49:IBR60 ILN49:ILN60 IVJ49:IVJ60 JFF49:JFF60 JPB49:JPB60 JYX49:JYX60 KIT49:KIT60 KSP49:KSP60 LCL49:LCL60 LMH49:LMH60 LWD49:LWD60 MFZ49:MFZ60 MPV49:MPV60 MZR49:MZR60 NJN49:NJN60 NTJ49:NTJ60 ODF49:ODF60 ONB49:ONB60 OWX49:OWX60 PGT49:PGT60 PQP49:PQP60 QAL49:QAL60 QKH49:QKH60 QUD49:QUD60 RDZ49:RDZ60 RNV49:RNV60 RXR49:RXR60 SHN49:SHN60 SRJ49:SRJ60 TBF49:TBF60 TLB49:TLB60 TUX49:TUX60 UET49:UET60 UOP49:UOP60 UYL49:UYL60 VIH49:VIH60 VSD49:VSD60 WBZ49:WBZ60 WLV49:WLV60 WVR49:WVR60 J65585:J65596 JF65585:JF65596 TB65585:TB65596 ACX65585:ACX65596 AMT65585:AMT65596 AWP65585:AWP65596 BGL65585:BGL65596 BQH65585:BQH65596 CAD65585:CAD65596 CJZ65585:CJZ65596 CTV65585:CTV65596 DDR65585:DDR65596 DNN65585:DNN65596 DXJ65585:DXJ65596 EHF65585:EHF65596 ERB65585:ERB65596 FAX65585:FAX65596 FKT65585:FKT65596 FUP65585:FUP65596 GEL65585:GEL65596 GOH65585:GOH65596 GYD65585:GYD65596 HHZ65585:HHZ65596 HRV65585:HRV65596 IBR65585:IBR65596 ILN65585:ILN65596 IVJ65585:IVJ65596 JFF65585:JFF65596 JPB65585:JPB65596 JYX65585:JYX65596 KIT65585:KIT65596 KSP65585:KSP65596 LCL65585:LCL65596 LMH65585:LMH65596 LWD65585:LWD65596 MFZ65585:MFZ65596 MPV65585:MPV65596 MZR65585:MZR65596 NJN65585:NJN65596 NTJ65585:NTJ65596 ODF65585:ODF65596 ONB65585:ONB65596 OWX65585:OWX65596 PGT65585:PGT65596 PQP65585:PQP65596 QAL65585:QAL65596 QKH65585:QKH65596 QUD65585:QUD65596 RDZ65585:RDZ65596 RNV65585:RNV65596 RXR65585:RXR65596 SHN65585:SHN65596 SRJ65585:SRJ65596 TBF65585:TBF65596 TLB65585:TLB65596 TUX65585:TUX65596 UET65585:UET65596 UOP65585:UOP65596 UYL65585:UYL65596 VIH65585:VIH65596 VSD65585:VSD65596 WBZ65585:WBZ65596 WLV65585:WLV65596 WVR65585:WVR65596 J131121:J131132 JF131121:JF131132 TB131121:TB131132 ACX131121:ACX131132 AMT131121:AMT131132 AWP131121:AWP131132 BGL131121:BGL131132 BQH131121:BQH131132 CAD131121:CAD131132 CJZ131121:CJZ131132 CTV131121:CTV131132 DDR131121:DDR131132 DNN131121:DNN131132 DXJ131121:DXJ131132 EHF131121:EHF131132 ERB131121:ERB131132 FAX131121:FAX131132 FKT131121:FKT131132 FUP131121:FUP131132 GEL131121:GEL131132 GOH131121:GOH131132 GYD131121:GYD131132 HHZ131121:HHZ131132 HRV131121:HRV131132 IBR131121:IBR131132 ILN131121:ILN131132 IVJ131121:IVJ131132 JFF131121:JFF131132 JPB131121:JPB131132 JYX131121:JYX131132 KIT131121:KIT131132 KSP131121:KSP131132 LCL131121:LCL131132 LMH131121:LMH131132 LWD131121:LWD131132 MFZ131121:MFZ131132 MPV131121:MPV131132 MZR131121:MZR131132 NJN131121:NJN131132 NTJ131121:NTJ131132 ODF131121:ODF131132 ONB131121:ONB131132 OWX131121:OWX131132 PGT131121:PGT131132 PQP131121:PQP131132 QAL131121:QAL131132 QKH131121:QKH131132 QUD131121:QUD131132 RDZ131121:RDZ131132 RNV131121:RNV131132 RXR131121:RXR131132 SHN131121:SHN131132 SRJ131121:SRJ131132 TBF131121:TBF131132 TLB131121:TLB131132 TUX131121:TUX131132 UET131121:UET131132 UOP131121:UOP131132 UYL131121:UYL131132 VIH131121:VIH131132 VSD131121:VSD131132 WBZ131121:WBZ131132 WLV131121:WLV131132 WVR131121:WVR131132 J196657:J196668 JF196657:JF196668 TB196657:TB196668 ACX196657:ACX196668 AMT196657:AMT196668 AWP196657:AWP196668 BGL196657:BGL196668 BQH196657:BQH196668 CAD196657:CAD196668 CJZ196657:CJZ196668 CTV196657:CTV196668 DDR196657:DDR196668 DNN196657:DNN196668 DXJ196657:DXJ196668 EHF196657:EHF196668 ERB196657:ERB196668 FAX196657:FAX196668 FKT196657:FKT196668 FUP196657:FUP196668 GEL196657:GEL196668 GOH196657:GOH196668 GYD196657:GYD196668 HHZ196657:HHZ196668 HRV196657:HRV196668 IBR196657:IBR196668 ILN196657:ILN196668 IVJ196657:IVJ196668 JFF196657:JFF196668 JPB196657:JPB196668 JYX196657:JYX196668 KIT196657:KIT196668 KSP196657:KSP196668 LCL196657:LCL196668 LMH196657:LMH196668 LWD196657:LWD196668 MFZ196657:MFZ196668 MPV196657:MPV196668 MZR196657:MZR196668 NJN196657:NJN196668 NTJ196657:NTJ196668 ODF196657:ODF196668 ONB196657:ONB196668 OWX196657:OWX196668 PGT196657:PGT196668 PQP196657:PQP196668 QAL196657:QAL196668 QKH196657:QKH196668 QUD196657:QUD196668 RDZ196657:RDZ196668 RNV196657:RNV196668 RXR196657:RXR196668 SHN196657:SHN196668 SRJ196657:SRJ196668 TBF196657:TBF196668 TLB196657:TLB196668 TUX196657:TUX196668 UET196657:UET196668 UOP196657:UOP196668 UYL196657:UYL196668 VIH196657:VIH196668 VSD196657:VSD196668 WBZ196657:WBZ196668 WLV196657:WLV196668 WVR196657:WVR196668 J262193:J262204 JF262193:JF262204 TB262193:TB262204 ACX262193:ACX262204 AMT262193:AMT262204 AWP262193:AWP262204 BGL262193:BGL262204 BQH262193:BQH262204 CAD262193:CAD262204 CJZ262193:CJZ262204 CTV262193:CTV262204 DDR262193:DDR262204 DNN262193:DNN262204 DXJ262193:DXJ262204 EHF262193:EHF262204 ERB262193:ERB262204 FAX262193:FAX262204 FKT262193:FKT262204 FUP262193:FUP262204 GEL262193:GEL262204 GOH262193:GOH262204 GYD262193:GYD262204 HHZ262193:HHZ262204 HRV262193:HRV262204 IBR262193:IBR262204 ILN262193:ILN262204 IVJ262193:IVJ262204 JFF262193:JFF262204 JPB262193:JPB262204 JYX262193:JYX262204 KIT262193:KIT262204 KSP262193:KSP262204 LCL262193:LCL262204 LMH262193:LMH262204 LWD262193:LWD262204 MFZ262193:MFZ262204 MPV262193:MPV262204 MZR262193:MZR262204 NJN262193:NJN262204 NTJ262193:NTJ262204 ODF262193:ODF262204 ONB262193:ONB262204 OWX262193:OWX262204 PGT262193:PGT262204 PQP262193:PQP262204 QAL262193:QAL262204 QKH262193:QKH262204 QUD262193:QUD262204 RDZ262193:RDZ262204 RNV262193:RNV262204 RXR262193:RXR262204 SHN262193:SHN262204 SRJ262193:SRJ262204 TBF262193:TBF262204 TLB262193:TLB262204 TUX262193:TUX262204 UET262193:UET262204 UOP262193:UOP262204 UYL262193:UYL262204 VIH262193:VIH262204 VSD262193:VSD262204 WBZ262193:WBZ262204 WLV262193:WLV262204 WVR262193:WVR262204 J327729:J327740 JF327729:JF327740 TB327729:TB327740 ACX327729:ACX327740 AMT327729:AMT327740 AWP327729:AWP327740 BGL327729:BGL327740 BQH327729:BQH327740 CAD327729:CAD327740 CJZ327729:CJZ327740 CTV327729:CTV327740 DDR327729:DDR327740 DNN327729:DNN327740 DXJ327729:DXJ327740 EHF327729:EHF327740 ERB327729:ERB327740 FAX327729:FAX327740 FKT327729:FKT327740 FUP327729:FUP327740 GEL327729:GEL327740 GOH327729:GOH327740 GYD327729:GYD327740 HHZ327729:HHZ327740 HRV327729:HRV327740 IBR327729:IBR327740 ILN327729:ILN327740 IVJ327729:IVJ327740 JFF327729:JFF327740 JPB327729:JPB327740 JYX327729:JYX327740 KIT327729:KIT327740 KSP327729:KSP327740 LCL327729:LCL327740 LMH327729:LMH327740 LWD327729:LWD327740 MFZ327729:MFZ327740 MPV327729:MPV327740 MZR327729:MZR327740 NJN327729:NJN327740 NTJ327729:NTJ327740 ODF327729:ODF327740 ONB327729:ONB327740 OWX327729:OWX327740 PGT327729:PGT327740 PQP327729:PQP327740 QAL327729:QAL327740 QKH327729:QKH327740 QUD327729:QUD327740 RDZ327729:RDZ327740 RNV327729:RNV327740 RXR327729:RXR327740 SHN327729:SHN327740 SRJ327729:SRJ327740 TBF327729:TBF327740 TLB327729:TLB327740 TUX327729:TUX327740 UET327729:UET327740 UOP327729:UOP327740 UYL327729:UYL327740 VIH327729:VIH327740 VSD327729:VSD327740 WBZ327729:WBZ327740 WLV327729:WLV327740 WVR327729:WVR327740 J393265:J393276 JF393265:JF393276 TB393265:TB393276 ACX393265:ACX393276 AMT393265:AMT393276 AWP393265:AWP393276 BGL393265:BGL393276 BQH393265:BQH393276 CAD393265:CAD393276 CJZ393265:CJZ393276 CTV393265:CTV393276 DDR393265:DDR393276 DNN393265:DNN393276 DXJ393265:DXJ393276 EHF393265:EHF393276 ERB393265:ERB393276 FAX393265:FAX393276 FKT393265:FKT393276 FUP393265:FUP393276 GEL393265:GEL393276 GOH393265:GOH393276 GYD393265:GYD393276 HHZ393265:HHZ393276 HRV393265:HRV393276 IBR393265:IBR393276 ILN393265:ILN393276 IVJ393265:IVJ393276 JFF393265:JFF393276 JPB393265:JPB393276 JYX393265:JYX393276 KIT393265:KIT393276 KSP393265:KSP393276 LCL393265:LCL393276 LMH393265:LMH393276 LWD393265:LWD393276 MFZ393265:MFZ393276 MPV393265:MPV393276 MZR393265:MZR393276 NJN393265:NJN393276 NTJ393265:NTJ393276 ODF393265:ODF393276 ONB393265:ONB393276 OWX393265:OWX393276 PGT393265:PGT393276 PQP393265:PQP393276 QAL393265:QAL393276 QKH393265:QKH393276 QUD393265:QUD393276 RDZ393265:RDZ393276 RNV393265:RNV393276 RXR393265:RXR393276 SHN393265:SHN393276 SRJ393265:SRJ393276 TBF393265:TBF393276 TLB393265:TLB393276 TUX393265:TUX393276 UET393265:UET393276 UOP393265:UOP393276 UYL393265:UYL393276 VIH393265:VIH393276 VSD393265:VSD393276 WBZ393265:WBZ393276 WLV393265:WLV393276 WVR393265:WVR393276 J458801:J458812 JF458801:JF458812 TB458801:TB458812 ACX458801:ACX458812 AMT458801:AMT458812 AWP458801:AWP458812 BGL458801:BGL458812 BQH458801:BQH458812 CAD458801:CAD458812 CJZ458801:CJZ458812 CTV458801:CTV458812 DDR458801:DDR458812 DNN458801:DNN458812 DXJ458801:DXJ458812 EHF458801:EHF458812 ERB458801:ERB458812 FAX458801:FAX458812 FKT458801:FKT458812 FUP458801:FUP458812 GEL458801:GEL458812 GOH458801:GOH458812 GYD458801:GYD458812 HHZ458801:HHZ458812 HRV458801:HRV458812 IBR458801:IBR458812 ILN458801:ILN458812 IVJ458801:IVJ458812 JFF458801:JFF458812 JPB458801:JPB458812 JYX458801:JYX458812 KIT458801:KIT458812 KSP458801:KSP458812 LCL458801:LCL458812 LMH458801:LMH458812 LWD458801:LWD458812 MFZ458801:MFZ458812 MPV458801:MPV458812 MZR458801:MZR458812 NJN458801:NJN458812 NTJ458801:NTJ458812 ODF458801:ODF458812 ONB458801:ONB458812 OWX458801:OWX458812 PGT458801:PGT458812 PQP458801:PQP458812 QAL458801:QAL458812 QKH458801:QKH458812 QUD458801:QUD458812 RDZ458801:RDZ458812 RNV458801:RNV458812 RXR458801:RXR458812 SHN458801:SHN458812 SRJ458801:SRJ458812 TBF458801:TBF458812 TLB458801:TLB458812 TUX458801:TUX458812 UET458801:UET458812 UOP458801:UOP458812 UYL458801:UYL458812 VIH458801:VIH458812 VSD458801:VSD458812 WBZ458801:WBZ458812 WLV458801:WLV458812 WVR458801:WVR458812 J524337:J524348 JF524337:JF524348 TB524337:TB524348 ACX524337:ACX524348 AMT524337:AMT524348 AWP524337:AWP524348 BGL524337:BGL524348 BQH524337:BQH524348 CAD524337:CAD524348 CJZ524337:CJZ524348 CTV524337:CTV524348 DDR524337:DDR524348 DNN524337:DNN524348 DXJ524337:DXJ524348 EHF524337:EHF524348 ERB524337:ERB524348 FAX524337:FAX524348 FKT524337:FKT524348 FUP524337:FUP524348 GEL524337:GEL524348 GOH524337:GOH524348 GYD524337:GYD524348 HHZ524337:HHZ524348 HRV524337:HRV524348 IBR524337:IBR524348 ILN524337:ILN524348 IVJ524337:IVJ524348 JFF524337:JFF524348 JPB524337:JPB524348 JYX524337:JYX524348 KIT524337:KIT524348 KSP524337:KSP524348 LCL524337:LCL524348 LMH524337:LMH524348 LWD524337:LWD524348 MFZ524337:MFZ524348 MPV524337:MPV524348 MZR524337:MZR524348 NJN524337:NJN524348 NTJ524337:NTJ524348 ODF524337:ODF524348 ONB524337:ONB524348 OWX524337:OWX524348 PGT524337:PGT524348 PQP524337:PQP524348 QAL524337:QAL524348 QKH524337:QKH524348 QUD524337:QUD524348 RDZ524337:RDZ524348 RNV524337:RNV524348 RXR524337:RXR524348 SHN524337:SHN524348 SRJ524337:SRJ524348 TBF524337:TBF524348 TLB524337:TLB524348 TUX524337:TUX524348 UET524337:UET524348 UOP524337:UOP524348 UYL524337:UYL524348 VIH524337:VIH524348 VSD524337:VSD524348 WBZ524337:WBZ524348 WLV524337:WLV524348 WVR524337:WVR524348 J589873:J589884 JF589873:JF589884 TB589873:TB589884 ACX589873:ACX589884 AMT589873:AMT589884 AWP589873:AWP589884 BGL589873:BGL589884 BQH589873:BQH589884 CAD589873:CAD589884 CJZ589873:CJZ589884 CTV589873:CTV589884 DDR589873:DDR589884 DNN589873:DNN589884 DXJ589873:DXJ589884 EHF589873:EHF589884 ERB589873:ERB589884 FAX589873:FAX589884 FKT589873:FKT589884 FUP589873:FUP589884 GEL589873:GEL589884 GOH589873:GOH589884 GYD589873:GYD589884 HHZ589873:HHZ589884 HRV589873:HRV589884 IBR589873:IBR589884 ILN589873:ILN589884 IVJ589873:IVJ589884 JFF589873:JFF589884 JPB589873:JPB589884 JYX589873:JYX589884 KIT589873:KIT589884 KSP589873:KSP589884 LCL589873:LCL589884 LMH589873:LMH589884 LWD589873:LWD589884 MFZ589873:MFZ589884 MPV589873:MPV589884 MZR589873:MZR589884 NJN589873:NJN589884 NTJ589873:NTJ589884 ODF589873:ODF589884 ONB589873:ONB589884 OWX589873:OWX589884 PGT589873:PGT589884 PQP589873:PQP589884 QAL589873:QAL589884 QKH589873:QKH589884 QUD589873:QUD589884 RDZ589873:RDZ589884 RNV589873:RNV589884 RXR589873:RXR589884 SHN589873:SHN589884 SRJ589873:SRJ589884 TBF589873:TBF589884 TLB589873:TLB589884 TUX589873:TUX589884 UET589873:UET589884 UOP589873:UOP589884 UYL589873:UYL589884 VIH589873:VIH589884 VSD589873:VSD589884 WBZ589873:WBZ589884 WLV589873:WLV589884 WVR589873:WVR589884 J655409:J655420 JF655409:JF655420 TB655409:TB655420 ACX655409:ACX655420 AMT655409:AMT655420 AWP655409:AWP655420 BGL655409:BGL655420 BQH655409:BQH655420 CAD655409:CAD655420 CJZ655409:CJZ655420 CTV655409:CTV655420 DDR655409:DDR655420 DNN655409:DNN655420 DXJ655409:DXJ655420 EHF655409:EHF655420 ERB655409:ERB655420 FAX655409:FAX655420 FKT655409:FKT655420 FUP655409:FUP655420 GEL655409:GEL655420 GOH655409:GOH655420 GYD655409:GYD655420 HHZ655409:HHZ655420 HRV655409:HRV655420 IBR655409:IBR655420 ILN655409:ILN655420 IVJ655409:IVJ655420 JFF655409:JFF655420 JPB655409:JPB655420 JYX655409:JYX655420 KIT655409:KIT655420 KSP655409:KSP655420 LCL655409:LCL655420 LMH655409:LMH655420 LWD655409:LWD655420 MFZ655409:MFZ655420 MPV655409:MPV655420 MZR655409:MZR655420 NJN655409:NJN655420 NTJ655409:NTJ655420 ODF655409:ODF655420 ONB655409:ONB655420 OWX655409:OWX655420 PGT655409:PGT655420 PQP655409:PQP655420 QAL655409:QAL655420 QKH655409:QKH655420 QUD655409:QUD655420 RDZ655409:RDZ655420 RNV655409:RNV655420 RXR655409:RXR655420 SHN655409:SHN655420 SRJ655409:SRJ655420 TBF655409:TBF655420 TLB655409:TLB655420 TUX655409:TUX655420 UET655409:UET655420 UOP655409:UOP655420 UYL655409:UYL655420 VIH655409:VIH655420 VSD655409:VSD655420 WBZ655409:WBZ655420 WLV655409:WLV655420 WVR655409:WVR655420 J720945:J720956 JF720945:JF720956 TB720945:TB720956 ACX720945:ACX720956 AMT720945:AMT720956 AWP720945:AWP720956 BGL720945:BGL720956 BQH720945:BQH720956 CAD720945:CAD720956 CJZ720945:CJZ720956 CTV720945:CTV720956 DDR720945:DDR720956 DNN720945:DNN720956 DXJ720945:DXJ720956 EHF720945:EHF720956 ERB720945:ERB720956 FAX720945:FAX720956 FKT720945:FKT720956 FUP720945:FUP720956 GEL720945:GEL720956 GOH720945:GOH720956 GYD720945:GYD720956 HHZ720945:HHZ720956 HRV720945:HRV720956 IBR720945:IBR720956 ILN720945:ILN720956 IVJ720945:IVJ720956 JFF720945:JFF720956 JPB720945:JPB720956 JYX720945:JYX720956 KIT720945:KIT720956 KSP720945:KSP720956 LCL720945:LCL720956 LMH720945:LMH720956 LWD720945:LWD720956 MFZ720945:MFZ720956 MPV720945:MPV720956 MZR720945:MZR720956 NJN720945:NJN720956 NTJ720945:NTJ720956 ODF720945:ODF720956 ONB720945:ONB720956 OWX720945:OWX720956 PGT720945:PGT720956 PQP720945:PQP720956 QAL720945:QAL720956 QKH720945:QKH720956 QUD720945:QUD720956 RDZ720945:RDZ720956 RNV720945:RNV720956 RXR720945:RXR720956 SHN720945:SHN720956 SRJ720945:SRJ720956 TBF720945:TBF720956 TLB720945:TLB720956 TUX720945:TUX720956 UET720945:UET720956 UOP720945:UOP720956 UYL720945:UYL720956 VIH720945:VIH720956 VSD720945:VSD720956 WBZ720945:WBZ720956 WLV720945:WLV720956 WVR720945:WVR720956 J786481:J786492 JF786481:JF786492 TB786481:TB786492 ACX786481:ACX786492 AMT786481:AMT786492 AWP786481:AWP786492 BGL786481:BGL786492 BQH786481:BQH786492 CAD786481:CAD786492 CJZ786481:CJZ786492 CTV786481:CTV786492 DDR786481:DDR786492 DNN786481:DNN786492 DXJ786481:DXJ786492 EHF786481:EHF786492 ERB786481:ERB786492 FAX786481:FAX786492 FKT786481:FKT786492 FUP786481:FUP786492 GEL786481:GEL786492 GOH786481:GOH786492 GYD786481:GYD786492 HHZ786481:HHZ786492 HRV786481:HRV786492 IBR786481:IBR786492 ILN786481:ILN786492 IVJ786481:IVJ786492 JFF786481:JFF786492 JPB786481:JPB786492 JYX786481:JYX786492 KIT786481:KIT786492 KSP786481:KSP786492 LCL786481:LCL786492 LMH786481:LMH786492 LWD786481:LWD786492 MFZ786481:MFZ786492 MPV786481:MPV786492 MZR786481:MZR786492 NJN786481:NJN786492 NTJ786481:NTJ786492 ODF786481:ODF786492 ONB786481:ONB786492 OWX786481:OWX786492 PGT786481:PGT786492 PQP786481:PQP786492 QAL786481:QAL786492 QKH786481:QKH786492 QUD786481:QUD786492 RDZ786481:RDZ786492 RNV786481:RNV786492 RXR786481:RXR786492 SHN786481:SHN786492 SRJ786481:SRJ786492 TBF786481:TBF786492 TLB786481:TLB786492 TUX786481:TUX786492 UET786481:UET786492 UOP786481:UOP786492 UYL786481:UYL786492 VIH786481:VIH786492 VSD786481:VSD786492 WBZ786481:WBZ786492 WLV786481:WLV786492 WVR786481:WVR786492 J852017:J852028 JF852017:JF852028 TB852017:TB852028 ACX852017:ACX852028 AMT852017:AMT852028 AWP852017:AWP852028 BGL852017:BGL852028 BQH852017:BQH852028 CAD852017:CAD852028 CJZ852017:CJZ852028 CTV852017:CTV852028 DDR852017:DDR852028 DNN852017:DNN852028 DXJ852017:DXJ852028 EHF852017:EHF852028 ERB852017:ERB852028 FAX852017:FAX852028 FKT852017:FKT852028 FUP852017:FUP852028 GEL852017:GEL852028 GOH852017:GOH852028 GYD852017:GYD852028 HHZ852017:HHZ852028 HRV852017:HRV852028 IBR852017:IBR852028 ILN852017:ILN852028 IVJ852017:IVJ852028 JFF852017:JFF852028 JPB852017:JPB852028 JYX852017:JYX852028 KIT852017:KIT852028 KSP852017:KSP852028 LCL852017:LCL852028 LMH852017:LMH852028 LWD852017:LWD852028 MFZ852017:MFZ852028 MPV852017:MPV852028 MZR852017:MZR852028 NJN852017:NJN852028 NTJ852017:NTJ852028 ODF852017:ODF852028 ONB852017:ONB852028 OWX852017:OWX852028 PGT852017:PGT852028 PQP852017:PQP852028 QAL852017:QAL852028 QKH852017:QKH852028 QUD852017:QUD852028 RDZ852017:RDZ852028 RNV852017:RNV852028 RXR852017:RXR852028 SHN852017:SHN852028 SRJ852017:SRJ852028 TBF852017:TBF852028 TLB852017:TLB852028 TUX852017:TUX852028 UET852017:UET852028 UOP852017:UOP852028 UYL852017:UYL852028 VIH852017:VIH852028 VSD852017:VSD852028 WBZ852017:WBZ852028 WLV852017:WLV852028 WVR852017:WVR852028 J917553:J917564 JF917553:JF917564 TB917553:TB917564 ACX917553:ACX917564 AMT917553:AMT917564 AWP917553:AWP917564 BGL917553:BGL917564 BQH917553:BQH917564 CAD917553:CAD917564 CJZ917553:CJZ917564 CTV917553:CTV917564 DDR917553:DDR917564 DNN917553:DNN917564 DXJ917553:DXJ917564 EHF917553:EHF917564 ERB917553:ERB917564 FAX917553:FAX917564 FKT917553:FKT917564 FUP917553:FUP917564 GEL917553:GEL917564 GOH917553:GOH917564 GYD917553:GYD917564 HHZ917553:HHZ917564 HRV917553:HRV917564 IBR917553:IBR917564 ILN917553:ILN917564 IVJ917553:IVJ917564 JFF917553:JFF917564 JPB917553:JPB917564 JYX917553:JYX917564 KIT917553:KIT917564 KSP917553:KSP917564 LCL917553:LCL917564 LMH917553:LMH917564 LWD917553:LWD917564 MFZ917553:MFZ917564 MPV917553:MPV917564 MZR917553:MZR917564 NJN917553:NJN917564 NTJ917553:NTJ917564 ODF917553:ODF917564 ONB917553:ONB917564 OWX917553:OWX917564 PGT917553:PGT917564 PQP917553:PQP917564 QAL917553:QAL917564 QKH917553:QKH917564 QUD917553:QUD917564 RDZ917553:RDZ917564 RNV917553:RNV917564 RXR917553:RXR917564 SHN917553:SHN917564 SRJ917553:SRJ917564 TBF917553:TBF917564 TLB917553:TLB917564 TUX917553:TUX917564 UET917553:UET917564 UOP917553:UOP917564 UYL917553:UYL917564 VIH917553:VIH917564 VSD917553:VSD917564 WBZ917553:WBZ917564 WLV917553:WLV917564 WVR917553:WVR917564 J983089:J983100 JF983089:JF983100 TB983089:TB983100 ACX983089:ACX983100 AMT983089:AMT983100 AWP983089:AWP983100 BGL983089:BGL983100 BQH983089:BQH983100 CAD983089:CAD983100 CJZ983089:CJZ983100 CTV983089:CTV983100 DDR983089:DDR983100 DNN983089:DNN983100 DXJ983089:DXJ983100 EHF983089:EHF983100 ERB983089:ERB983100 FAX983089:FAX983100 FKT983089:FKT983100 FUP983089:FUP983100 GEL983089:GEL983100 GOH983089:GOH983100 GYD983089:GYD983100 HHZ983089:HHZ983100 HRV983089:HRV983100 IBR983089:IBR983100 ILN983089:ILN983100 IVJ983089:IVJ983100 JFF983089:JFF983100 JPB983089:JPB983100 JYX983089:JYX983100 KIT983089:KIT983100 KSP983089:KSP983100 LCL983089:LCL983100 LMH983089:LMH983100 LWD983089:LWD983100 MFZ983089:MFZ983100 MPV983089:MPV983100 MZR983089:MZR983100 NJN983089:NJN983100 NTJ983089:NTJ983100 ODF983089:ODF983100 ONB983089:ONB983100 OWX983089:OWX983100 PGT983089:PGT983100 PQP983089:PQP983100 QAL983089:QAL983100 QKH983089:QKH983100 QUD983089:QUD983100 RDZ983089:RDZ983100 RNV983089:RNV983100 RXR983089:RXR983100 SHN983089:SHN983100 SRJ983089:SRJ983100 TBF983089:TBF983100 TLB983089:TLB983100 TUX983089:TUX983100 UET983089:UET983100 UOP983089:UOP983100 UYL983089:UYL983100 VIH983089:VIH983100 VSD983089:VSD983100 WBZ983089:WBZ983100 WLV983089:WLV983100 J49:J60">
      <formula1>DataSrcInCmp</formula1>
    </dataValidation>
    <dataValidation type="list" allowBlank="1" showInputMessage="1" showErrorMessage="1" sqref="B35:H39 IX35:JD39 ST35:SZ39 ACP35:ACV39 AML35:AMR39 AWH35:AWN39 BGD35:BGJ39 BPZ35:BQF39 BZV35:CAB39 CJR35:CJX39 CTN35:CTT39 DDJ35:DDP39 DNF35:DNL39 DXB35:DXH39 EGX35:EHD39 EQT35:EQZ39 FAP35:FAV39 FKL35:FKR39 FUH35:FUN39 GED35:GEJ39 GNZ35:GOF39 GXV35:GYB39 HHR35:HHX39 HRN35:HRT39 IBJ35:IBP39 ILF35:ILL39 IVB35:IVH39 JEX35:JFD39 JOT35:JOZ39 JYP35:JYV39 KIL35:KIR39 KSH35:KSN39 LCD35:LCJ39 LLZ35:LMF39 LVV35:LWB39 MFR35:MFX39 MPN35:MPT39 MZJ35:MZP39 NJF35:NJL39 NTB35:NTH39 OCX35:ODD39 OMT35:OMZ39 OWP35:OWV39 PGL35:PGR39 PQH35:PQN39 QAD35:QAJ39 QJZ35:QKF39 QTV35:QUB39 RDR35:RDX39 RNN35:RNT39 RXJ35:RXP39 SHF35:SHL39 SRB35:SRH39 TAX35:TBD39 TKT35:TKZ39 TUP35:TUV39 UEL35:UER39 UOH35:UON39 UYD35:UYJ39 VHZ35:VIF39 VRV35:VSB39 WBR35:WBX39 WLN35:WLT39 WVJ35:WVP39 B65571:H65575 IX65571:JD65575 ST65571:SZ65575 ACP65571:ACV65575 AML65571:AMR65575 AWH65571:AWN65575 BGD65571:BGJ65575 BPZ65571:BQF65575 BZV65571:CAB65575 CJR65571:CJX65575 CTN65571:CTT65575 DDJ65571:DDP65575 DNF65571:DNL65575 DXB65571:DXH65575 EGX65571:EHD65575 EQT65571:EQZ65575 FAP65571:FAV65575 FKL65571:FKR65575 FUH65571:FUN65575 GED65571:GEJ65575 GNZ65571:GOF65575 GXV65571:GYB65575 HHR65571:HHX65575 HRN65571:HRT65575 IBJ65571:IBP65575 ILF65571:ILL65575 IVB65571:IVH65575 JEX65571:JFD65575 JOT65571:JOZ65575 JYP65571:JYV65575 KIL65571:KIR65575 KSH65571:KSN65575 LCD65571:LCJ65575 LLZ65571:LMF65575 LVV65571:LWB65575 MFR65571:MFX65575 MPN65571:MPT65575 MZJ65571:MZP65575 NJF65571:NJL65575 NTB65571:NTH65575 OCX65571:ODD65575 OMT65571:OMZ65575 OWP65571:OWV65575 PGL65571:PGR65575 PQH65571:PQN65575 QAD65571:QAJ65575 QJZ65571:QKF65575 QTV65571:QUB65575 RDR65571:RDX65575 RNN65571:RNT65575 RXJ65571:RXP65575 SHF65571:SHL65575 SRB65571:SRH65575 TAX65571:TBD65575 TKT65571:TKZ65575 TUP65571:TUV65575 UEL65571:UER65575 UOH65571:UON65575 UYD65571:UYJ65575 VHZ65571:VIF65575 VRV65571:VSB65575 WBR65571:WBX65575 WLN65571:WLT65575 WVJ65571:WVP65575 B131107:H131111 IX131107:JD131111 ST131107:SZ131111 ACP131107:ACV131111 AML131107:AMR131111 AWH131107:AWN131111 BGD131107:BGJ131111 BPZ131107:BQF131111 BZV131107:CAB131111 CJR131107:CJX131111 CTN131107:CTT131111 DDJ131107:DDP131111 DNF131107:DNL131111 DXB131107:DXH131111 EGX131107:EHD131111 EQT131107:EQZ131111 FAP131107:FAV131111 FKL131107:FKR131111 FUH131107:FUN131111 GED131107:GEJ131111 GNZ131107:GOF131111 GXV131107:GYB131111 HHR131107:HHX131111 HRN131107:HRT131111 IBJ131107:IBP131111 ILF131107:ILL131111 IVB131107:IVH131111 JEX131107:JFD131111 JOT131107:JOZ131111 JYP131107:JYV131111 KIL131107:KIR131111 KSH131107:KSN131111 LCD131107:LCJ131111 LLZ131107:LMF131111 LVV131107:LWB131111 MFR131107:MFX131111 MPN131107:MPT131111 MZJ131107:MZP131111 NJF131107:NJL131111 NTB131107:NTH131111 OCX131107:ODD131111 OMT131107:OMZ131111 OWP131107:OWV131111 PGL131107:PGR131111 PQH131107:PQN131111 QAD131107:QAJ131111 QJZ131107:QKF131111 QTV131107:QUB131111 RDR131107:RDX131111 RNN131107:RNT131111 RXJ131107:RXP131111 SHF131107:SHL131111 SRB131107:SRH131111 TAX131107:TBD131111 TKT131107:TKZ131111 TUP131107:TUV131111 UEL131107:UER131111 UOH131107:UON131111 UYD131107:UYJ131111 VHZ131107:VIF131111 VRV131107:VSB131111 WBR131107:WBX131111 WLN131107:WLT131111 WVJ131107:WVP131111 B196643:H196647 IX196643:JD196647 ST196643:SZ196647 ACP196643:ACV196647 AML196643:AMR196647 AWH196643:AWN196647 BGD196643:BGJ196647 BPZ196643:BQF196647 BZV196643:CAB196647 CJR196643:CJX196647 CTN196643:CTT196647 DDJ196643:DDP196647 DNF196643:DNL196647 DXB196643:DXH196647 EGX196643:EHD196647 EQT196643:EQZ196647 FAP196643:FAV196647 FKL196643:FKR196647 FUH196643:FUN196647 GED196643:GEJ196647 GNZ196643:GOF196647 GXV196643:GYB196647 HHR196643:HHX196647 HRN196643:HRT196647 IBJ196643:IBP196647 ILF196643:ILL196647 IVB196643:IVH196647 JEX196643:JFD196647 JOT196643:JOZ196647 JYP196643:JYV196647 KIL196643:KIR196647 KSH196643:KSN196647 LCD196643:LCJ196647 LLZ196643:LMF196647 LVV196643:LWB196647 MFR196643:MFX196647 MPN196643:MPT196647 MZJ196643:MZP196647 NJF196643:NJL196647 NTB196643:NTH196647 OCX196643:ODD196647 OMT196643:OMZ196647 OWP196643:OWV196647 PGL196643:PGR196647 PQH196643:PQN196647 QAD196643:QAJ196647 QJZ196643:QKF196647 QTV196643:QUB196647 RDR196643:RDX196647 RNN196643:RNT196647 RXJ196643:RXP196647 SHF196643:SHL196647 SRB196643:SRH196647 TAX196643:TBD196647 TKT196643:TKZ196647 TUP196643:TUV196647 UEL196643:UER196647 UOH196643:UON196647 UYD196643:UYJ196647 VHZ196643:VIF196647 VRV196643:VSB196647 WBR196643:WBX196647 WLN196643:WLT196647 WVJ196643:WVP196647 B262179:H262183 IX262179:JD262183 ST262179:SZ262183 ACP262179:ACV262183 AML262179:AMR262183 AWH262179:AWN262183 BGD262179:BGJ262183 BPZ262179:BQF262183 BZV262179:CAB262183 CJR262179:CJX262183 CTN262179:CTT262183 DDJ262179:DDP262183 DNF262179:DNL262183 DXB262179:DXH262183 EGX262179:EHD262183 EQT262179:EQZ262183 FAP262179:FAV262183 FKL262179:FKR262183 FUH262179:FUN262183 GED262179:GEJ262183 GNZ262179:GOF262183 GXV262179:GYB262183 HHR262179:HHX262183 HRN262179:HRT262183 IBJ262179:IBP262183 ILF262179:ILL262183 IVB262179:IVH262183 JEX262179:JFD262183 JOT262179:JOZ262183 JYP262179:JYV262183 KIL262179:KIR262183 KSH262179:KSN262183 LCD262179:LCJ262183 LLZ262179:LMF262183 LVV262179:LWB262183 MFR262179:MFX262183 MPN262179:MPT262183 MZJ262179:MZP262183 NJF262179:NJL262183 NTB262179:NTH262183 OCX262179:ODD262183 OMT262179:OMZ262183 OWP262179:OWV262183 PGL262179:PGR262183 PQH262179:PQN262183 QAD262179:QAJ262183 QJZ262179:QKF262183 QTV262179:QUB262183 RDR262179:RDX262183 RNN262179:RNT262183 RXJ262179:RXP262183 SHF262179:SHL262183 SRB262179:SRH262183 TAX262179:TBD262183 TKT262179:TKZ262183 TUP262179:TUV262183 UEL262179:UER262183 UOH262179:UON262183 UYD262179:UYJ262183 VHZ262179:VIF262183 VRV262179:VSB262183 WBR262179:WBX262183 WLN262179:WLT262183 WVJ262179:WVP262183 B327715:H327719 IX327715:JD327719 ST327715:SZ327719 ACP327715:ACV327719 AML327715:AMR327719 AWH327715:AWN327719 BGD327715:BGJ327719 BPZ327715:BQF327719 BZV327715:CAB327719 CJR327715:CJX327719 CTN327715:CTT327719 DDJ327715:DDP327719 DNF327715:DNL327719 DXB327715:DXH327719 EGX327715:EHD327719 EQT327715:EQZ327719 FAP327715:FAV327719 FKL327715:FKR327719 FUH327715:FUN327719 GED327715:GEJ327719 GNZ327715:GOF327719 GXV327715:GYB327719 HHR327715:HHX327719 HRN327715:HRT327719 IBJ327715:IBP327719 ILF327715:ILL327719 IVB327715:IVH327719 JEX327715:JFD327719 JOT327715:JOZ327719 JYP327715:JYV327719 KIL327715:KIR327719 KSH327715:KSN327719 LCD327715:LCJ327719 LLZ327715:LMF327719 LVV327715:LWB327719 MFR327715:MFX327719 MPN327715:MPT327719 MZJ327715:MZP327719 NJF327715:NJL327719 NTB327715:NTH327719 OCX327715:ODD327719 OMT327715:OMZ327719 OWP327715:OWV327719 PGL327715:PGR327719 PQH327715:PQN327719 QAD327715:QAJ327719 QJZ327715:QKF327719 QTV327715:QUB327719 RDR327715:RDX327719 RNN327715:RNT327719 RXJ327715:RXP327719 SHF327715:SHL327719 SRB327715:SRH327719 TAX327715:TBD327719 TKT327715:TKZ327719 TUP327715:TUV327719 UEL327715:UER327719 UOH327715:UON327719 UYD327715:UYJ327719 VHZ327715:VIF327719 VRV327715:VSB327719 WBR327715:WBX327719 WLN327715:WLT327719 WVJ327715:WVP327719 B393251:H393255 IX393251:JD393255 ST393251:SZ393255 ACP393251:ACV393255 AML393251:AMR393255 AWH393251:AWN393255 BGD393251:BGJ393255 BPZ393251:BQF393255 BZV393251:CAB393255 CJR393251:CJX393255 CTN393251:CTT393255 DDJ393251:DDP393255 DNF393251:DNL393255 DXB393251:DXH393255 EGX393251:EHD393255 EQT393251:EQZ393255 FAP393251:FAV393255 FKL393251:FKR393255 FUH393251:FUN393255 GED393251:GEJ393255 GNZ393251:GOF393255 GXV393251:GYB393255 HHR393251:HHX393255 HRN393251:HRT393255 IBJ393251:IBP393255 ILF393251:ILL393255 IVB393251:IVH393255 JEX393251:JFD393255 JOT393251:JOZ393255 JYP393251:JYV393255 KIL393251:KIR393255 KSH393251:KSN393255 LCD393251:LCJ393255 LLZ393251:LMF393255 LVV393251:LWB393255 MFR393251:MFX393255 MPN393251:MPT393255 MZJ393251:MZP393255 NJF393251:NJL393255 NTB393251:NTH393255 OCX393251:ODD393255 OMT393251:OMZ393255 OWP393251:OWV393255 PGL393251:PGR393255 PQH393251:PQN393255 QAD393251:QAJ393255 QJZ393251:QKF393255 QTV393251:QUB393255 RDR393251:RDX393255 RNN393251:RNT393255 RXJ393251:RXP393255 SHF393251:SHL393255 SRB393251:SRH393255 TAX393251:TBD393255 TKT393251:TKZ393255 TUP393251:TUV393255 UEL393251:UER393255 UOH393251:UON393255 UYD393251:UYJ393255 VHZ393251:VIF393255 VRV393251:VSB393255 WBR393251:WBX393255 WLN393251:WLT393255 WVJ393251:WVP393255 B458787:H458791 IX458787:JD458791 ST458787:SZ458791 ACP458787:ACV458791 AML458787:AMR458791 AWH458787:AWN458791 BGD458787:BGJ458791 BPZ458787:BQF458791 BZV458787:CAB458791 CJR458787:CJX458791 CTN458787:CTT458791 DDJ458787:DDP458791 DNF458787:DNL458791 DXB458787:DXH458791 EGX458787:EHD458791 EQT458787:EQZ458791 FAP458787:FAV458791 FKL458787:FKR458791 FUH458787:FUN458791 GED458787:GEJ458791 GNZ458787:GOF458791 GXV458787:GYB458791 HHR458787:HHX458791 HRN458787:HRT458791 IBJ458787:IBP458791 ILF458787:ILL458791 IVB458787:IVH458791 JEX458787:JFD458791 JOT458787:JOZ458791 JYP458787:JYV458791 KIL458787:KIR458791 KSH458787:KSN458791 LCD458787:LCJ458791 LLZ458787:LMF458791 LVV458787:LWB458791 MFR458787:MFX458791 MPN458787:MPT458791 MZJ458787:MZP458791 NJF458787:NJL458791 NTB458787:NTH458791 OCX458787:ODD458791 OMT458787:OMZ458791 OWP458787:OWV458791 PGL458787:PGR458791 PQH458787:PQN458791 QAD458787:QAJ458791 QJZ458787:QKF458791 QTV458787:QUB458791 RDR458787:RDX458791 RNN458787:RNT458791 RXJ458787:RXP458791 SHF458787:SHL458791 SRB458787:SRH458791 TAX458787:TBD458791 TKT458787:TKZ458791 TUP458787:TUV458791 UEL458787:UER458791 UOH458787:UON458791 UYD458787:UYJ458791 VHZ458787:VIF458791 VRV458787:VSB458791 WBR458787:WBX458791 WLN458787:WLT458791 WVJ458787:WVP458791 B524323:H524327 IX524323:JD524327 ST524323:SZ524327 ACP524323:ACV524327 AML524323:AMR524327 AWH524323:AWN524327 BGD524323:BGJ524327 BPZ524323:BQF524327 BZV524323:CAB524327 CJR524323:CJX524327 CTN524323:CTT524327 DDJ524323:DDP524327 DNF524323:DNL524327 DXB524323:DXH524327 EGX524323:EHD524327 EQT524323:EQZ524327 FAP524323:FAV524327 FKL524323:FKR524327 FUH524323:FUN524327 GED524323:GEJ524327 GNZ524323:GOF524327 GXV524323:GYB524327 HHR524323:HHX524327 HRN524323:HRT524327 IBJ524323:IBP524327 ILF524323:ILL524327 IVB524323:IVH524327 JEX524323:JFD524327 JOT524323:JOZ524327 JYP524323:JYV524327 KIL524323:KIR524327 KSH524323:KSN524327 LCD524323:LCJ524327 LLZ524323:LMF524327 LVV524323:LWB524327 MFR524323:MFX524327 MPN524323:MPT524327 MZJ524323:MZP524327 NJF524323:NJL524327 NTB524323:NTH524327 OCX524323:ODD524327 OMT524323:OMZ524327 OWP524323:OWV524327 PGL524323:PGR524327 PQH524323:PQN524327 QAD524323:QAJ524327 QJZ524323:QKF524327 QTV524323:QUB524327 RDR524323:RDX524327 RNN524323:RNT524327 RXJ524323:RXP524327 SHF524323:SHL524327 SRB524323:SRH524327 TAX524323:TBD524327 TKT524323:TKZ524327 TUP524323:TUV524327 UEL524323:UER524327 UOH524323:UON524327 UYD524323:UYJ524327 VHZ524323:VIF524327 VRV524323:VSB524327 WBR524323:WBX524327 WLN524323:WLT524327 WVJ524323:WVP524327 B589859:H589863 IX589859:JD589863 ST589859:SZ589863 ACP589859:ACV589863 AML589859:AMR589863 AWH589859:AWN589863 BGD589859:BGJ589863 BPZ589859:BQF589863 BZV589859:CAB589863 CJR589859:CJX589863 CTN589859:CTT589863 DDJ589859:DDP589863 DNF589859:DNL589863 DXB589859:DXH589863 EGX589859:EHD589863 EQT589859:EQZ589863 FAP589859:FAV589863 FKL589859:FKR589863 FUH589859:FUN589863 GED589859:GEJ589863 GNZ589859:GOF589863 GXV589859:GYB589863 HHR589859:HHX589863 HRN589859:HRT589863 IBJ589859:IBP589863 ILF589859:ILL589863 IVB589859:IVH589863 JEX589859:JFD589863 JOT589859:JOZ589863 JYP589859:JYV589863 KIL589859:KIR589863 KSH589859:KSN589863 LCD589859:LCJ589863 LLZ589859:LMF589863 LVV589859:LWB589863 MFR589859:MFX589863 MPN589859:MPT589863 MZJ589859:MZP589863 NJF589859:NJL589863 NTB589859:NTH589863 OCX589859:ODD589863 OMT589859:OMZ589863 OWP589859:OWV589863 PGL589859:PGR589863 PQH589859:PQN589863 QAD589859:QAJ589863 QJZ589859:QKF589863 QTV589859:QUB589863 RDR589859:RDX589863 RNN589859:RNT589863 RXJ589859:RXP589863 SHF589859:SHL589863 SRB589859:SRH589863 TAX589859:TBD589863 TKT589859:TKZ589863 TUP589859:TUV589863 UEL589859:UER589863 UOH589859:UON589863 UYD589859:UYJ589863 VHZ589859:VIF589863 VRV589859:VSB589863 WBR589859:WBX589863 WLN589859:WLT589863 WVJ589859:WVP589863 B655395:H655399 IX655395:JD655399 ST655395:SZ655399 ACP655395:ACV655399 AML655395:AMR655399 AWH655395:AWN655399 BGD655395:BGJ655399 BPZ655395:BQF655399 BZV655395:CAB655399 CJR655395:CJX655399 CTN655395:CTT655399 DDJ655395:DDP655399 DNF655395:DNL655399 DXB655395:DXH655399 EGX655395:EHD655399 EQT655395:EQZ655399 FAP655395:FAV655399 FKL655395:FKR655399 FUH655395:FUN655399 GED655395:GEJ655399 GNZ655395:GOF655399 GXV655395:GYB655399 HHR655395:HHX655399 HRN655395:HRT655399 IBJ655395:IBP655399 ILF655395:ILL655399 IVB655395:IVH655399 JEX655395:JFD655399 JOT655395:JOZ655399 JYP655395:JYV655399 KIL655395:KIR655399 KSH655395:KSN655399 LCD655395:LCJ655399 LLZ655395:LMF655399 LVV655395:LWB655399 MFR655395:MFX655399 MPN655395:MPT655399 MZJ655395:MZP655399 NJF655395:NJL655399 NTB655395:NTH655399 OCX655395:ODD655399 OMT655395:OMZ655399 OWP655395:OWV655399 PGL655395:PGR655399 PQH655395:PQN655399 QAD655395:QAJ655399 QJZ655395:QKF655399 QTV655395:QUB655399 RDR655395:RDX655399 RNN655395:RNT655399 RXJ655395:RXP655399 SHF655395:SHL655399 SRB655395:SRH655399 TAX655395:TBD655399 TKT655395:TKZ655399 TUP655395:TUV655399 UEL655395:UER655399 UOH655395:UON655399 UYD655395:UYJ655399 VHZ655395:VIF655399 VRV655395:VSB655399 WBR655395:WBX655399 WLN655395:WLT655399 WVJ655395:WVP655399 B720931:H720935 IX720931:JD720935 ST720931:SZ720935 ACP720931:ACV720935 AML720931:AMR720935 AWH720931:AWN720935 BGD720931:BGJ720935 BPZ720931:BQF720935 BZV720931:CAB720935 CJR720931:CJX720935 CTN720931:CTT720935 DDJ720931:DDP720935 DNF720931:DNL720935 DXB720931:DXH720935 EGX720931:EHD720935 EQT720931:EQZ720935 FAP720931:FAV720935 FKL720931:FKR720935 FUH720931:FUN720935 GED720931:GEJ720935 GNZ720931:GOF720935 GXV720931:GYB720935 HHR720931:HHX720935 HRN720931:HRT720935 IBJ720931:IBP720935 ILF720931:ILL720935 IVB720931:IVH720935 JEX720931:JFD720935 JOT720931:JOZ720935 JYP720931:JYV720935 KIL720931:KIR720935 KSH720931:KSN720935 LCD720931:LCJ720935 LLZ720931:LMF720935 LVV720931:LWB720935 MFR720931:MFX720935 MPN720931:MPT720935 MZJ720931:MZP720935 NJF720931:NJL720935 NTB720931:NTH720935 OCX720931:ODD720935 OMT720931:OMZ720935 OWP720931:OWV720935 PGL720931:PGR720935 PQH720931:PQN720935 QAD720931:QAJ720935 QJZ720931:QKF720935 QTV720931:QUB720935 RDR720931:RDX720935 RNN720931:RNT720935 RXJ720931:RXP720935 SHF720931:SHL720935 SRB720931:SRH720935 TAX720931:TBD720935 TKT720931:TKZ720935 TUP720931:TUV720935 UEL720931:UER720935 UOH720931:UON720935 UYD720931:UYJ720935 VHZ720931:VIF720935 VRV720931:VSB720935 WBR720931:WBX720935 WLN720931:WLT720935 WVJ720931:WVP720935 B786467:H786471 IX786467:JD786471 ST786467:SZ786471 ACP786467:ACV786471 AML786467:AMR786471 AWH786467:AWN786471 BGD786467:BGJ786471 BPZ786467:BQF786471 BZV786467:CAB786471 CJR786467:CJX786471 CTN786467:CTT786471 DDJ786467:DDP786471 DNF786467:DNL786471 DXB786467:DXH786471 EGX786467:EHD786471 EQT786467:EQZ786471 FAP786467:FAV786471 FKL786467:FKR786471 FUH786467:FUN786471 GED786467:GEJ786471 GNZ786467:GOF786471 GXV786467:GYB786471 HHR786467:HHX786471 HRN786467:HRT786471 IBJ786467:IBP786471 ILF786467:ILL786471 IVB786467:IVH786471 JEX786467:JFD786471 JOT786467:JOZ786471 JYP786467:JYV786471 KIL786467:KIR786471 KSH786467:KSN786471 LCD786467:LCJ786471 LLZ786467:LMF786471 LVV786467:LWB786471 MFR786467:MFX786471 MPN786467:MPT786471 MZJ786467:MZP786471 NJF786467:NJL786471 NTB786467:NTH786471 OCX786467:ODD786471 OMT786467:OMZ786471 OWP786467:OWV786471 PGL786467:PGR786471 PQH786467:PQN786471 QAD786467:QAJ786471 QJZ786467:QKF786471 QTV786467:QUB786471 RDR786467:RDX786471 RNN786467:RNT786471 RXJ786467:RXP786471 SHF786467:SHL786471 SRB786467:SRH786471 TAX786467:TBD786471 TKT786467:TKZ786471 TUP786467:TUV786471 UEL786467:UER786471 UOH786467:UON786471 UYD786467:UYJ786471 VHZ786467:VIF786471 VRV786467:VSB786471 WBR786467:WBX786471 WLN786467:WLT786471 WVJ786467:WVP786471 B852003:H852007 IX852003:JD852007 ST852003:SZ852007 ACP852003:ACV852007 AML852003:AMR852007 AWH852003:AWN852007 BGD852003:BGJ852007 BPZ852003:BQF852007 BZV852003:CAB852007 CJR852003:CJX852007 CTN852003:CTT852007 DDJ852003:DDP852007 DNF852003:DNL852007 DXB852003:DXH852007 EGX852003:EHD852007 EQT852003:EQZ852007 FAP852003:FAV852007 FKL852003:FKR852007 FUH852003:FUN852007 GED852003:GEJ852007 GNZ852003:GOF852007 GXV852003:GYB852007 HHR852003:HHX852007 HRN852003:HRT852007 IBJ852003:IBP852007 ILF852003:ILL852007 IVB852003:IVH852007 JEX852003:JFD852007 JOT852003:JOZ852007 JYP852003:JYV852007 KIL852003:KIR852007 KSH852003:KSN852007 LCD852003:LCJ852007 LLZ852003:LMF852007 LVV852003:LWB852007 MFR852003:MFX852007 MPN852003:MPT852007 MZJ852003:MZP852007 NJF852003:NJL852007 NTB852003:NTH852007 OCX852003:ODD852007 OMT852003:OMZ852007 OWP852003:OWV852007 PGL852003:PGR852007 PQH852003:PQN852007 QAD852003:QAJ852007 QJZ852003:QKF852007 QTV852003:QUB852007 RDR852003:RDX852007 RNN852003:RNT852007 RXJ852003:RXP852007 SHF852003:SHL852007 SRB852003:SRH852007 TAX852003:TBD852007 TKT852003:TKZ852007 TUP852003:TUV852007 UEL852003:UER852007 UOH852003:UON852007 UYD852003:UYJ852007 VHZ852003:VIF852007 VRV852003:VSB852007 WBR852003:WBX852007 WLN852003:WLT852007 WVJ852003:WVP852007 B917539:H917543 IX917539:JD917543 ST917539:SZ917543 ACP917539:ACV917543 AML917539:AMR917543 AWH917539:AWN917543 BGD917539:BGJ917543 BPZ917539:BQF917543 BZV917539:CAB917543 CJR917539:CJX917543 CTN917539:CTT917543 DDJ917539:DDP917543 DNF917539:DNL917543 DXB917539:DXH917543 EGX917539:EHD917543 EQT917539:EQZ917543 FAP917539:FAV917543 FKL917539:FKR917543 FUH917539:FUN917543 GED917539:GEJ917543 GNZ917539:GOF917543 GXV917539:GYB917543 HHR917539:HHX917543 HRN917539:HRT917543 IBJ917539:IBP917543 ILF917539:ILL917543 IVB917539:IVH917543 JEX917539:JFD917543 JOT917539:JOZ917543 JYP917539:JYV917543 KIL917539:KIR917543 KSH917539:KSN917543 LCD917539:LCJ917543 LLZ917539:LMF917543 LVV917539:LWB917543 MFR917539:MFX917543 MPN917539:MPT917543 MZJ917539:MZP917543 NJF917539:NJL917543 NTB917539:NTH917543 OCX917539:ODD917543 OMT917539:OMZ917543 OWP917539:OWV917543 PGL917539:PGR917543 PQH917539:PQN917543 QAD917539:QAJ917543 QJZ917539:QKF917543 QTV917539:QUB917543 RDR917539:RDX917543 RNN917539:RNT917543 RXJ917539:RXP917543 SHF917539:SHL917543 SRB917539:SRH917543 TAX917539:TBD917543 TKT917539:TKZ917543 TUP917539:TUV917543 UEL917539:UER917543 UOH917539:UON917543 UYD917539:UYJ917543 VHZ917539:VIF917543 VRV917539:VSB917543 WBR917539:WBX917543 WLN917539:WLT917543 WVJ917539:WVP917543 B983075:H983079 IX983075:JD983079 ST983075:SZ983079 ACP983075:ACV983079 AML983075:AMR983079 AWH983075:AWN983079 BGD983075:BGJ983079 BPZ983075:BQF983079 BZV983075:CAB983079 CJR983075:CJX983079 CTN983075:CTT983079 DDJ983075:DDP983079 DNF983075:DNL983079 DXB983075:DXH983079 EGX983075:EHD983079 EQT983075:EQZ983079 FAP983075:FAV983079 FKL983075:FKR983079 FUH983075:FUN983079 GED983075:GEJ983079 GNZ983075:GOF983079 GXV983075:GYB983079 HHR983075:HHX983079 HRN983075:HRT983079 IBJ983075:IBP983079 ILF983075:ILL983079 IVB983075:IVH983079 JEX983075:JFD983079 JOT983075:JOZ983079 JYP983075:JYV983079 KIL983075:KIR983079 KSH983075:KSN983079 LCD983075:LCJ983079 LLZ983075:LMF983079 LVV983075:LWB983079 MFR983075:MFX983079 MPN983075:MPT983079 MZJ983075:MZP983079 NJF983075:NJL983079 NTB983075:NTH983079 OCX983075:ODD983079 OMT983075:OMZ983079 OWP983075:OWV983079 PGL983075:PGR983079 PQH983075:PQN983079 QAD983075:QAJ983079 QJZ983075:QKF983079 QTV983075:QUB983079 RDR983075:RDX983079 RNN983075:RNT983079 RXJ983075:RXP983079 SHF983075:SHL983079 SRB983075:SRH983079 TAX983075:TBD983079 TKT983075:TKZ983079 TUP983075:TUV983079 UEL983075:UER983079 UOH983075:UON983079 UYD983075:UYJ983079 VHZ983075:VIF983079 VRV983075:VSB983079 WBR983075:WBX983079 WLN983075:WLT983079 WVJ983075:WVP983079">
      <formula1>OutcomeIndInCmp</formula1>
    </dataValidation>
    <dataValidation type="list" allowBlank="1" prompt="Please select an indicator" sqref="B17:H21 IX17:JD21 ST17:SZ21 ACP17:ACV21 AML17:AMR21 AWH17:AWN21 BGD17:BGJ21 BPZ17:BQF21 BZV17:CAB21 CJR17:CJX21 CTN17:CTT21 DDJ17:DDP21 DNF17:DNL21 DXB17:DXH21 EGX17:EHD21 EQT17:EQZ21 FAP17:FAV21 FKL17:FKR21 FUH17:FUN21 GED17:GEJ21 GNZ17:GOF21 GXV17:GYB21 HHR17:HHX21 HRN17:HRT21 IBJ17:IBP21 ILF17:ILL21 IVB17:IVH21 JEX17:JFD21 JOT17:JOZ21 JYP17:JYV21 KIL17:KIR21 KSH17:KSN21 LCD17:LCJ21 LLZ17:LMF21 LVV17:LWB21 MFR17:MFX21 MPN17:MPT21 MZJ17:MZP21 NJF17:NJL21 NTB17:NTH21 OCX17:ODD21 OMT17:OMZ21 OWP17:OWV21 PGL17:PGR21 PQH17:PQN21 QAD17:QAJ21 QJZ17:QKF21 QTV17:QUB21 RDR17:RDX21 RNN17:RNT21 RXJ17:RXP21 SHF17:SHL21 SRB17:SRH21 TAX17:TBD21 TKT17:TKZ21 TUP17:TUV21 UEL17:UER21 UOH17:UON21 UYD17:UYJ21 VHZ17:VIF21 VRV17:VSB21 WBR17:WBX21 WLN17:WLT21 WVJ17:WVP21 B65553:H65557 IX65553:JD65557 ST65553:SZ65557 ACP65553:ACV65557 AML65553:AMR65557 AWH65553:AWN65557 BGD65553:BGJ65557 BPZ65553:BQF65557 BZV65553:CAB65557 CJR65553:CJX65557 CTN65553:CTT65557 DDJ65553:DDP65557 DNF65553:DNL65557 DXB65553:DXH65557 EGX65553:EHD65557 EQT65553:EQZ65557 FAP65553:FAV65557 FKL65553:FKR65557 FUH65553:FUN65557 GED65553:GEJ65557 GNZ65553:GOF65557 GXV65553:GYB65557 HHR65553:HHX65557 HRN65553:HRT65557 IBJ65553:IBP65557 ILF65553:ILL65557 IVB65553:IVH65557 JEX65553:JFD65557 JOT65553:JOZ65557 JYP65553:JYV65557 KIL65553:KIR65557 KSH65553:KSN65557 LCD65553:LCJ65557 LLZ65553:LMF65557 LVV65553:LWB65557 MFR65553:MFX65557 MPN65553:MPT65557 MZJ65553:MZP65557 NJF65553:NJL65557 NTB65553:NTH65557 OCX65553:ODD65557 OMT65553:OMZ65557 OWP65553:OWV65557 PGL65553:PGR65557 PQH65553:PQN65557 QAD65553:QAJ65557 QJZ65553:QKF65557 QTV65553:QUB65557 RDR65553:RDX65557 RNN65553:RNT65557 RXJ65553:RXP65557 SHF65553:SHL65557 SRB65553:SRH65557 TAX65553:TBD65557 TKT65553:TKZ65557 TUP65553:TUV65557 UEL65553:UER65557 UOH65553:UON65557 UYD65553:UYJ65557 VHZ65553:VIF65557 VRV65553:VSB65557 WBR65553:WBX65557 WLN65553:WLT65557 WVJ65553:WVP65557 B131089:H131093 IX131089:JD131093 ST131089:SZ131093 ACP131089:ACV131093 AML131089:AMR131093 AWH131089:AWN131093 BGD131089:BGJ131093 BPZ131089:BQF131093 BZV131089:CAB131093 CJR131089:CJX131093 CTN131089:CTT131093 DDJ131089:DDP131093 DNF131089:DNL131093 DXB131089:DXH131093 EGX131089:EHD131093 EQT131089:EQZ131093 FAP131089:FAV131093 FKL131089:FKR131093 FUH131089:FUN131093 GED131089:GEJ131093 GNZ131089:GOF131093 GXV131089:GYB131093 HHR131089:HHX131093 HRN131089:HRT131093 IBJ131089:IBP131093 ILF131089:ILL131093 IVB131089:IVH131093 JEX131089:JFD131093 JOT131089:JOZ131093 JYP131089:JYV131093 KIL131089:KIR131093 KSH131089:KSN131093 LCD131089:LCJ131093 LLZ131089:LMF131093 LVV131089:LWB131093 MFR131089:MFX131093 MPN131089:MPT131093 MZJ131089:MZP131093 NJF131089:NJL131093 NTB131089:NTH131093 OCX131089:ODD131093 OMT131089:OMZ131093 OWP131089:OWV131093 PGL131089:PGR131093 PQH131089:PQN131093 QAD131089:QAJ131093 QJZ131089:QKF131093 QTV131089:QUB131093 RDR131089:RDX131093 RNN131089:RNT131093 RXJ131089:RXP131093 SHF131089:SHL131093 SRB131089:SRH131093 TAX131089:TBD131093 TKT131089:TKZ131093 TUP131089:TUV131093 UEL131089:UER131093 UOH131089:UON131093 UYD131089:UYJ131093 VHZ131089:VIF131093 VRV131089:VSB131093 WBR131089:WBX131093 WLN131089:WLT131093 WVJ131089:WVP131093 B196625:H196629 IX196625:JD196629 ST196625:SZ196629 ACP196625:ACV196629 AML196625:AMR196629 AWH196625:AWN196629 BGD196625:BGJ196629 BPZ196625:BQF196629 BZV196625:CAB196629 CJR196625:CJX196629 CTN196625:CTT196629 DDJ196625:DDP196629 DNF196625:DNL196629 DXB196625:DXH196629 EGX196625:EHD196629 EQT196625:EQZ196629 FAP196625:FAV196629 FKL196625:FKR196629 FUH196625:FUN196629 GED196625:GEJ196629 GNZ196625:GOF196629 GXV196625:GYB196629 HHR196625:HHX196629 HRN196625:HRT196629 IBJ196625:IBP196629 ILF196625:ILL196629 IVB196625:IVH196629 JEX196625:JFD196629 JOT196625:JOZ196629 JYP196625:JYV196629 KIL196625:KIR196629 KSH196625:KSN196629 LCD196625:LCJ196629 LLZ196625:LMF196629 LVV196625:LWB196629 MFR196625:MFX196629 MPN196625:MPT196629 MZJ196625:MZP196629 NJF196625:NJL196629 NTB196625:NTH196629 OCX196625:ODD196629 OMT196625:OMZ196629 OWP196625:OWV196629 PGL196625:PGR196629 PQH196625:PQN196629 QAD196625:QAJ196629 QJZ196625:QKF196629 QTV196625:QUB196629 RDR196625:RDX196629 RNN196625:RNT196629 RXJ196625:RXP196629 SHF196625:SHL196629 SRB196625:SRH196629 TAX196625:TBD196629 TKT196625:TKZ196629 TUP196625:TUV196629 UEL196625:UER196629 UOH196625:UON196629 UYD196625:UYJ196629 VHZ196625:VIF196629 VRV196625:VSB196629 WBR196625:WBX196629 WLN196625:WLT196629 WVJ196625:WVP196629 B262161:H262165 IX262161:JD262165 ST262161:SZ262165 ACP262161:ACV262165 AML262161:AMR262165 AWH262161:AWN262165 BGD262161:BGJ262165 BPZ262161:BQF262165 BZV262161:CAB262165 CJR262161:CJX262165 CTN262161:CTT262165 DDJ262161:DDP262165 DNF262161:DNL262165 DXB262161:DXH262165 EGX262161:EHD262165 EQT262161:EQZ262165 FAP262161:FAV262165 FKL262161:FKR262165 FUH262161:FUN262165 GED262161:GEJ262165 GNZ262161:GOF262165 GXV262161:GYB262165 HHR262161:HHX262165 HRN262161:HRT262165 IBJ262161:IBP262165 ILF262161:ILL262165 IVB262161:IVH262165 JEX262161:JFD262165 JOT262161:JOZ262165 JYP262161:JYV262165 KIL262161:KIR262165 KSH262161:KSN262165 LCD262161:LCJ262165 LLZ262161:LMF262165 LVV262161:LWB262165 MFR262161:MFX262165 MPN262161:MPT262165 MZJ262161:MZP262165 NJF262161:NJL262165 NTB262161:NTH262165 OCX262161:ODD262165 OMT262161:OMZ262165 OWP262161:OWV262165 PGL262161:PGR262165 PQH262161:PQN262165 QAD262161:QAJ262165 QJZ262161:QKF262165 QTV262161:QUB262165 RDR262161:RDX262165 RNN262161:RNT262165 RXJ262161:RXP262165 SHF262161:SHL262165 SRB262161:SRH262165 TAX262161:TBD262165 TKT262161:TKZ262165 TUP262161:TUV262165 UEL262161:UER262165 UOH262161:UON262165 UYD262161:UYJ262165 VHZ262161:VIF262165 VRV262161:VSB262165 WBR262161:WBX262165 WLN262161:WLT262165 WVJ262161:WVP262165 B327697:H327701 IX327697:JD327701 ST327697:SZ327701 ACP327697:ACV327701 AML327697:AMR327701 AWH327697:AWN327701 BGD327697:BGJ327701 BPZ327697:BQF327701 BZV327697:CAB327701 CJR327697:CJX327701 CTN327697:CTT327701 DDJ327697:DDP327701 DNF327697:DNL327701 DXB327697:DXH327701 EGX327697:EHD327701 EQT327697:EQZ327701 FAP327697:FAV327701 FKL327697:FKR327701 FUH327697:FUN327701 GED327697:GEJ327701 GNZ327697:GOF327701 GXV327697:GYB327701 HHR327697:HHX327701 HRN327697:HRT327701 IBJ327697:IBP327701 ILF327697:ILL327701 IVB327697:IVH327701 JEX327697:JFD327701 JOT327697:JOZ327701 JYP327697:JYV327701 KIL327697:KIR327701 KSH327697:KSN327701 LCD327697:LCJ327701 LLZ327697:LMF327701 LVV327697:LWB327701 MFR327697:MFX327701 MPN327697:MPT327701 MZJ327697:MZP327701 NJF327697:NJL327701 NTB327697:NTH327701 OCX327697:ODD327701 OMT327697:OMZ327701 OWP327697:OWV327701 PGL327697:PGR327701 PQH327697:PQN327701 QAD327697:QAJ327701 QJZ327697:QKF327701 QTV327697:QUB327701 RDR327697:RDX327701 RNN327697:RNT327701 RXJ327697:RXP327701 SHF327697:SHL327701 SRB327697:SRH327701 TAX327697:TBD327701 TKT327697:TKZ327701 TUP327697:TUV327701 UEL327697:UER327701 UOH327697:UON327701 UYD327697:UYJ327701 VHZ327697:VIF327701 VRV327697:VSB327701 WBR327697:WBX327701 WLN327697:WLT327701 WVJ327697:WVP327701 B393233:H393237 IX393233:JD393237 ST393233:SZ393237 ACP393233:ACV393237 AML393233:AMR393237 AWH393233:AWN393237 BGD393233:BGJ393237 BPZ393233:BQF393237 BZV393233:CAB393237 CJR393233:CJX393237 CTN393233:CTT393237 DDJ393233:DDP393237 DNF393233:DNL393237 DXB393233:DXH393237 EGX393233:EHD393237 EQT393233:EQZ393237 FAP393233:FAV393237 FKL393233:FKR393237 FUH393233:FUN393237 GED393233:GEJ393237 GNZ393233:GOF393237 GXV393233:GYB393237 HHR393233:HHX393237 HRN393233:HRT393237 IBJ393233:IBP393237 ILF393233:ILL393237 IVB393233:IVH393237 JEX393233:JFD393237 JOT393233:JOZ393237 JYP393233:JYV393237 KIL393233:KIR393237 KSH393233:KSN393237 LCD393233:LCJ393237 LLZ393233:LMF393237 LVV393233:LWB393237 MFR393233:MFX393237 MPN393233:MPT393237 MZJ393233:MZP393237 NJF393233:NJL393237 NTB393233:NTH393237 OCX393233:ODD393237 OMT393233:OMZ393237 OWP393233:OWV393237 PGL393233:PGR393237 PQH393233:PQN393237 QAD393233:QAJ393237 QJZ393233:QKF393237 QTV393233:QUB393237 RDR393233:RDX393237 RNN393233:RNT393237 RXJ393233:RXP393237 SHF393233:SHL393237 SRB393233:SRH393237 TAX393233:TBD393237 TKT393233:TKZ393237 TUP393233:TUV393237 UEL393233:UER393237 UOH393233:UON393237 UYD393233:UYJ393237 VHZ393233:VIF393237 VRV393233:VSB393237 WBR393233:WBX393237 WLN393233:WLT393237 WVJ393233:WVP393237 B458769:H458773 IX458769:JD458773 ST458769:SZ458773 ACP458769:ACV458773 AML458769:AMR458773 AWH458769:AWN458773 BGD458769:BGJ458773 BPZ458769:BQF458773 BZV458769:CAB458773 CJR458769:CJX458773 CTN458769:CTT458773 DDJ458769:DDP458773 DNF458769:DNL458773 DXB458769:DXH458773 EGX458769:EHD458773 EQT458769:EQZ458773 FAP458769:FAV458773 FKL458769:FKR458773 FUH458769:FUN458773 GED458769:GEJ458773 GNZ458769:GOF458773 GXV458769:GYB458773 HHR458769:HHX458773 HRN458769:HRT458773 IBJ458769:IBP458773 ILF458769:ILL458773 IVB458769:IVH458773 JEX458769:JFD458773 JOT458769:JOZ458773 JYP458769:JYV458773 KIL458769:KIR458773 KSH458769:KSN458773 LCD458769:LCJ458773 LLZ458769:LMF458773 LVV458769:LWB458773 MFR458769:MFX458773 MPN458769:MPT458773 MZJ458769:MZP458773 NJF458769:NJL458773 NTB458769:NTH458773 OCX458769:ODD458773 OMT458769:OMZ458773 OWP458769:OWV458773 PGL458769:PGR458773 PQH458769:PQN458773 QAD458769:QAJ458773 QJZ458769:QKF458773 QTV458769:QUB458773 RDR458769:RDX458773 RNN458769:RNT458773 RXJ458769:RXP458773 SHF458769:SHL458773 SRB458769:SRH458773 TAX458769:TBD458773 TKT458769:TKZ458773 TUP458769:TUV458773 UEL458769:UER458773 UOH458769:UON458773 UYD458769:UYJ458773 VHZ458769:VIF458773 VRV458769:VSB458773 WBR458769:WBX458773 WLN458769:WLT458773 WVJ458769:WVP458773 B524305:H524309 IX524305:JD524309 ST524305:SZ524309 ACP524305:ACV524309 AML524305:AMR524309 AWH524305:AWN524309 BGD524305:BGJ524309 BPZ524305:BQF524309 BZV524305:CAB524309 CJR524305:CJX524309 CTN524305:CTT524309 DDJ524305:DDP524309 DNF524305:DNL524309 DXB524305:DXH524309 EGX524305:EHD524309 EQT524305:EQZ524309 FAP524305:FAV524309 FKL524305:FKR524309 FUH524305:FUN524309 GED524305:GEJ524309 GNZ524305:GOF524309 GXV524305:GYB524309 HHR524305:HHX524309 HRN524305:HRT524309 IBJ524305:IBP524309 ILF524305:ILL524309 IVB524305:IVH524309 JEX524305:JFD524309 JOT524305:JOZ524309 JYP524305:JYV524309 KIL524305:KIR524309 KSH524305:KSN524309 LCD524305:LCJ524309 LLZ524305:LMF524309 LVV524305:LWB524309 MFR524305:MFX524309 MPN524305:MPT524309 MZJ524305:MZP524309 NJF524305:NJL524309 NTB524305:NTH524309 OCX524305:ODD524309 OMT524305:OMZ524309 OWP524305:OWV524309 PGL524305:PGR524309 PQH524305:PQN524309 QAD524305:QAJ524309 QJZ524305:QKF524309 QTV524305:QUB524309 RDR524305:RDX524309 RNN524305:RNT524309 RXJ524305:RXP524309 SHF524305:SHL524309 SRB524305:SRH524309 TAX524305:TBD524309 TKT524305:TKZ524309 TUP524305:TUV524309 UEL524305:UER524309 UOH524305:UON524309 UYD524305:UYJ524309 VHZ524305:VIF524309 VRV524305:VSB524309 WBR524305:WBX524309 WLN524305:WLT524309 WVJ524305:WVP524309 B589841:H589845 IX589841:JD589845 ST589841:SZ589845 ACP589841:ACV589845 AML589841:AMR589845 AWH589841:AWN589845 BGD589841:BGJ589845 BPZ589841:BQF589845 BZV589841:CAB589845 CJR589841:CJX589845 CTN589841:CTT589845 DDJ589841:DDP589845 DNF589841:DNL589845 DXB589841:DXH589845 EGX589841:EHD589845 EQT589841:EQZ589845 FAP589841:FAV589845 FKL589841:FKR589845 FUH589841:FUN589845 GED589841:GEJ589845 GNZ589841:GOF589845 GXV589841:GYB589845 HHR589841:HHX589845 HRN589841:HRT589845 IBJ589841:IBP589845 ILF589841:ILL589845 IVB589841:IVH589845 JEX589841:JFD589845 JOT589841:JOZ589845 JYP589841:JYV589845 KIL589841:KIR589845 KSH589841:KSN589845 LCD589841:LCJ589845 LLZ589841:LMF589845 LVV589841:LWB589845 MFR589841:MFX589845 MPN589841:MPT589845 MZJ589841:MZP589845 NJF589841:NJL589845 NTB589841:NTH589845 OCX589841:ODD589845 OMT589841:OMZ589845 OWP589841:OWV589845 PGL589841:PGR589845 PQH589841:PQN589845 QAD589841:QAJ589845 QJZ589841:QKF589845 QTV589841:QUB589845 RDR589841:RDX589845 RNN589841:RNT589845 RXJ589841:RXP589845 SHF589841:SHL589845 SRB589841:SRH589845 TAX589841:TBD589845 TKT589841:TKZ589845 TUP589841:TUV589845 UEL589841:UER589845 UOH589841:UON589845 UYD589841:UYJ589845 VHZ589841:VIF589845 VRV589841:VSB589845 WBR589841:WBX589845 WLN589841:WLT589845 WVJ589841:WVP589845 B655377:H655381 IX655377:JD655381 ST655377:SZ655381 ACP655377:ACV655381 AML655377:AMR655381 AWH655377:AWN655381 BGD655377:BGJ655381 BPZ655377:BQF655381 BZV655377:CAB655381 CJR655377:CJX655381 CTN655377:CTT655381 DDJ655377:DDP655381 DNF655377:DNL655381 DXB655377:DXH655381 EGX655377:EHD655381 EQT655377:EQZ655381 FAP655377:FAV655381 FKL655377:FKR655381 FUH655377:FUN655381 GED655377:GEJ655381 GNZ655377:GOF655381 GXV655377:GYB655381 HHR655377:HHX655381 HRN655377:HRT655381 IBJ655377:IBP655381 ILF655377:ILL655381 IVB655377:IVH655381 JEX655377:JFD655381 JOT655377:JOZ655381 JYP655377:JYV655381 KIL655377:KIR655381 KSH655377:KSN655381 LCD655377:LCJ655381 LLZ655377:LMF655381 LVV655377:LWB655381 MFR655377:MFX655381 MPN655377:MPT655381 MZJ655377:MZP655381 NJF655377:NJL655381 NTB655377:NTH655381 OCX655377:ODD655381 OMT655377:OMZ655381 OWP655377:OWV655381 PGL655377:PGR655381 PQH655377:PQN655381 QAD655377:QAJ655381 QJZ655377:QKF655381 QTV655377:QUB655381 RDR655377:RDX655381 RNN655377:RNT655381 RXJ655377:RXP655381 SHF655377:SHL655381 SRB655377:SRH655381 TAX655377:TBD655381 TKT655377:TKZ655381 TUP655377:TUV655381 UEL655377:UER655381 UOH655377:UON655381 UYD655377:UYJ655381 VHZ655377:VIF655381 VRV655377:VSB655381 WBR655377:WBX655381 WLN655377:WLT655381 WVJ655377:WVP655381 B720913:H720917 IX720913:JD720917 ST720913:SZ720917 ACP720913:ACV720917 AML720913:AMR720917 AWH720913:AWN720917 BGD720913:BGJ720917 BPZ720913:BQF720917 BZV720913:CAB720917 CJR720913:CJX720917 CTN720913:CTT720917 DDJ720913:DDP720917 DNF720913:DNL720917 DXB720913:DXH720917 EGX720913:EHD720917 EQT720913:EQZ720917 FAP720913:FAV720917 FKL720913:FKR720917 FUH720913:FUN720917 GED720913:GEJ720917 GNZ720913:GOF720917 GXV720913:GYB720917 HHR720913:HHX720917 HRN720913:HRT720917 IBJ720913:IBP720917 ILF720913:ILL720917 IVB720913:IVH720917 JEX720913:JFD720917 JOT720913:JOZ720917 JYP720913:JYV720917 KIL720913:KIR720917 KSH720913:KSN720917 LCD720913:LCJ720917 LLZ720913:LMF720917 LVV720913:LWB720917 MFR720913:MFX720917 MPN720913:MPT720917 MZJ720913:MZP720917 NJF720913:NJL720917 NTB720913:NTH720917 OCX720913:ODD720917 OMT720913:OMZ720917 OWP720913:OWV720917 PGL720913:PGR720917 PQH720913:PQN720917 QAD720913:QAJ720917 QJZ720913:QKF720917 QTV720913:QUB720917 RDR720913:RDX720917 RNN720913:RNT720917 RXJ720913:RXP720917 SHF720913:SHL720917 SRB720913:SRH720917 TAX720913:TBD720917 TKT720913:TKZ720917 TUP720913:TUV720917 UEL720913:UER720917 UOH720913:UON720917 UYD720913:UYJ720917 VHZ720913:VIF720917 VRV720913:VSB720917 WBR720913:WBX720917 WLN720913:WLT720917 WVJ720913:WVP720917 B786449:H786453 IX786449:JD786453 ST786449:SZ786453 ACP786449:ACV786453 AML786449:AMR786453 AWH786449:AWN786453 BGD786449:BGJ786453 BPZ786449:BQF786453 BZV786449:CAB786453 CJR786449:CJX786453 CTN786449:CTT786453 DDJ786449:DDP786453 DNF786449:DNL786453 DXB786449:DXH786453 EGX786449:EHD786453 EQT786449:EQZ786453 FAP786449:FAV786453 FKL786449:FKR786453 FUH786449:FUN786453 GED786449:GEJ786453 GNZ786449:GOF786453 GXV786449:GYB786453 HHR786449:HHX786453 HRN786449:HRT786453 IBJ786449:IBP786453 ILF786449:ILL786453 IVB786449:IVH786453 JEX786449:JFD786453 JOT786449:JOZ786453 JYP786449:JYV786453 KIL786449:KIR786453 KSH786449:KSN786453 LCD786449:LCJ786453 LLZ786449:LMF786453 LVV786449:LWB786453 MFR786449:MFX786453 MPN786449:MPT786453 MZJ786449:MZP786453 NJF786449:NJL786453 NTB786449:NTH786453 OCX786449:ODD786453 OMT786449:OMZ786453 OWP786449:OWV786453 PGL786449:PGR786453 PQH786449:PQN786453 QAD786449:QAJ786453 QJZ786449:QKF786453 QTV786449:QUB786453 RDR786449:RDX786453 RNN786449:RNT786453 RXJ786449:RXP786453 SHF786449:SHL786453 SRB786449:SRH786453 TAX786449:TBD786453 TKT786449:TKZ786453 TUP786449:TUV786453 UEL786449:UER786453 UOH786449:UON786453 UYD786449:UYJ786453 VHZ786449:VIF786453 VRV786449:VSB786453 WBR786449:WBX786453 WLN786449:WLT786453 WVJ786449:WVP786453 B851985:H851989 IX851985:JD851989 ST851985:SZ851989 ACP851985:ACV851989 AML851985:AMR851989 AWH851985:AWN851989 BGD851985:BGJ851989 BPZ851985:BQF851989 BZV851985:CAB851989 CJR851985:CJX851989 CTN851985:CTT851989 DDJ851985:DDP851989 DNF851985:DNL851989 DXB851985:DXH851989 EGX851985:EHD851989 EQT851985:EQZ851989 FAP851985:FAV851989 FKL851985:FKR851989 FUH851985:FUN851989 GED851985:GEJ851989 GNZ851985:GOF851989 GXV851985:GYB851989 HHR851985:HHX851989 HRN851985:HRT851989 IBJ851985:IBP851989 ILF851985:ILL851989 IVB851985:IVH851989 JEX851985:JFD851989 JOT851985:JOZ851989 JYP851985:JYV851989 KIL851985:KIR851989 KSH851985:KSN851989 LCD851985:LCJ851989 LLZ851985:LMF851989 LVV851985:LWB851989 MFR851985:MFX851989 MPN851985:MPT851989 MZJ851985:MZP851989 NJF851985:NJL851989 NTB851985:NTH851989 OCX851985:ODD851989 OMT851985:OMZ851989 OWP851985:OWV851989 PGL851985:PGR851989 PQH851985:PQN851989 QAD851985:QAJ851989 QJZ851985:QKF851989 QTV851985:QUB851989 RDR851985:RDX851989 RNN851985:RNT851989 RXJ851985:RXP851989 SHF851985:SHL851989 SRB851985:SRH851989 TAX851985:TBD851989 TKT851985:TKZ851989 TUP851985:TUV851989 UEL851985:UER851989 UOH851985:UON851989 UYD851985:UYJ851989 VHZ851985:VIF851989 VRV851985:VSB851989 WBR851985:WBX851989 WLN851985:WLT851989 WVJ851985:WVP851989 B917521:H917525 IX917521:JD917525 ST917521:SZ917525 ACP917521:ACV917525 AML917521:AMR917525 AWH917521:AWN917525 BGD917521:BGJ917525 BPZ917521:BQF917525 BZV917521:CAB917525 CJR917521:CJX917525 CTN917521:CTT917525 DDJ917521:DDP917525 DNF917521:DNL917525 DXB917521:DXH917525 EGX917521:EHD917525 EQT917521:EQZ917525 FAP917521:FAV917525 FKL917521:FKR917525 FUH917521:FUN917525 GED917521:GEJ917525 GNZ917521:GOF917525 GXV917521:GYB917525 HHR917521:HHX917525 HRN917521:HRT917525 IBJ917521:IBP917525 ILF917521:ILL917525 IVB917521:IVH917525 JEX917521:JFD917525 JOT917521:JOZ917525 JYP917521:JYV917525 KIL917521:KIR917525 KSH917521:KSN917525 LCD917521:LCJ917525 LLZ917521:LMF917525 LVV917521:LWB917525 MFR917521:MFX917525 MPN917521:MPT917525 MZJ917521:MZP917525 NJF917521:NJL917525 NTB917521:NTH917525 OCX917521:ODD917525 OMT917521:OMZ917525 OWP917521:OWV917525 PGL917521:PGR917525 PQH917521:PQN917525 QAD917521:QAJ917525 QJZ917521:QKF917525 QTV917521:QUB917525 RDR917521:RDX917525 RNN917521:RNT917525 RXJ917521:RXP917525 SHF917521:SHL917525 SRB917521:SRH917525 TAX917521:TBD917525 TKT917521:TKZ917525 TUP917521:TUV917525 UEL917521:UER917525 UOH917521:UON917525 UYD917521:UYJ917525 VHZ917521:VIF917525 VRV917521:VSB917525 WBR917521:WBX917525 WLN917521:WLT917525 WVJ917521:WVP917525 B983057:H983061 IX983057:JD983061 ST983057:SZ983061 ACP983057:ACV983061 AML983057:AMR983061 AWH983057:AWN983061 BGD983057:BGJ983061 BPZ983057:BQF983061 BZV983057:CAB983061 CJR983057:CJX983061 CTN983057:CTT983061 DDJ983057:DDP983061 DNF983057:DNL983061 DXB983057:DXH983061 EGX983057:EHD983061 EQT983057:EQZ983061 FAP983057:FAV983061 FKL983057:FKR983061 FUH983057:FUN983061 GED983057:GEJ983061 GNZ983057:GOF983061 GXV983057:GYB983061 HHR983057:HHX983061 HRN983057:HRT983061 IBJ983057:IBP983061 ILF983057:ILL983061 IVB983057:IVH983061 JEX983057:JFD983061 JOT983057:JOZ983061 JYP983057:JYV983061 KIL983057:KIR983061 KSH983057:KSN983061 LCD983057:LCJ983061 LLZ983057:LMF983061 LVV983057:LWB983061 MFR983057:MFX983061 MPN983057:MPT983061 MZJ983057:MZP983061 NJF983057:NJL983061 NTB983057:NTH983061 OCX983057:ODD983061 OMT983057:OMZ983061 OWP983057:OWV983061 PGL983057:PGR983061 PQH983057:PQN983061 QAD983057:QAJ983061 QJZ983057:QKF983061 QTV983057:QUB983061 RDR983057:RDX983061 RNN983057:RNT983061 RXJ983057:RXP983061 SHF983057:SHL983061 SRB983057:SRH983061 TAX983057:TBD983061 TKT983057:TKZ983061 TUP983057:TUV983061 UEL983057:UER983061 UOH983057:UON983061 UYD983057:UYJ983061 VHZ983057:VIF983061 VRV983057:VSB983061 WBR983057:WBX983061 WLN983057:WLT983061 WVJ983057:WVP983061">
      <formula1>ImpactIndInCmp</formula1>
    </dataValidation>
    <dataValidation type="list" allowBlank="1" showInputMessage="1" showErrorMessage="1" sqref="J65:J84 JF65:JF84 TB65:TB84 ACX65:ACX84 AMT65:AMT84 AWP65:AWP84 BGL65:BGL84 BQH65:BQH84 CAD65:CAD84 CJZ65:CJZ84 CTV65:CTV84 DDR65:DDR84 DNN65:DNN84 DXJ65:DXJ84 EHF65:EHF84 ERB65:ERB84 FAX65:FAX84 FKT65:FKT84 FUP65:FUP84 GEL65:GEL84 GOH65:GOH84 GYD65:GYD84 HHZ65:HHZ84 HRV65:HRV84 IBR65:IBR84 ILN65:ILN84 IVJ65:IVJ84 JFF65:JFF84 JPB65:JPB84 JYX65:JYX84 KIT65:KIT84 KSP65:KSP84 LCL65:LCL84 LMH65:LMH84 LWD65:LWD84 MFZ65:MFZ84 MPV65:MPV84 MZR65:MZR84 NJN65:NJN84 NTJ65:NTJ84 ODF65:ODF84 ONB65:ONB84 OWX65:OWX84 PGT65:PGT84 PQP65:PQP84 QAL65:QAL84 QKH65:QKH84 QUD65:QUD84 RDZ65:RDZ84 RNV65:RNV84 RXR65:RXR84 SHN65:SHN84 SRJ65:SRJ84 TBF65:TBF84 TLB65:TLB84 TUX65:TUX84 UET65:UET84 UOP65:UOP84 UYL65:UYL84 VIH65:VIH84 VSD65:VSD84 WBZ65:WBZ84 WLV65:WLV84 WVR65:WVR84 J65601:J65620 JF65601:JF65620 TB65601:TB65620 ACX65601:ACX65620 AMT65601:AMT65620 AWP65601:AWP65620 BGL65601:BGL65620 BQH65601:BQH65620 CAD65601:CAD65620 CJZ65601:CJZ65620 CTV65601:CTV65620 DDR65601:DDR65620 DNN65601:DNN65620 DXJ65601:DXJ65620 EHF65601:EHF65620 ERB65601:ERB65620 FAX65601:FAX65620 FKT65601:FKT65620 FUP65601:FUP65620 GEL65601:GEL65620 GOH65601:GOH65620 GYD65601:GYD65620 HHZ65601:HHZ65620 HRV65601:HRV65620 IBR65601:IBR65620 ILN65601:ILN65620 IVJ65601:IVJ65620 JFF65601:JFF65620 JPB65601:JPB65620 JYX65601:JYX65620 KIT65601:KIT65620 KSP65601:KSP65620 LCL65601:LCL65620 LMH65601:LMH65620 LWD65601:LWD65620 MFZ65601:MFZ65620 MPV65601:MPV65620 MZR65601:MZR65620 NJN65601:NJN65620 NTJ65601:NTJ65620 ODF65601:ODF65620 ONB65601:ONB65620 OWX65601:OWX65620 PGT65601:PGT65620 PQP65601:PQP65620 QAL65601:QAL65620 QKH65601:QKH65620 QUD65601:QUD65620 RDZ65601:RDZ65620 RNV65601:RNV65620 RXR65601:RXR65620 SHN65601:SHN65620 SRJ65601:SRJ65620 TBF65601:TBF65620 TLB65601:TLB65620 TUX65601:TUX65620 UET65601:UET65620 UOP65601:UOP65620 UYL65601:UYL65620 VIH65601:VIH65620 VSD65601:VSD65620 WBZ65601:WBZ65620 WLV65601:WLV65620 WVR65601:WVR65620 J131137:J131156 JF131137:JF131156 TB131137:TB131156 ACX131137:ACX131156 AMT131137:AMT131156 AWP131137:AWP131156 BGL131137:BGL131156 BQH131137:BQH131156 CAD131137:CAD131156 CJZ131137:CJZ131156 CTV131137:CTV131156 DDR131137:DDR131156 DNN131137:DNN131156 DXJ131137:DXJ131156 EHF131137:EHF131156 ERB131137:ERB131156 FAX131137:FAX131156 FKT131137:FKT131156 FUP131137:FUP131156 GEL131137:GEL131156 GOH131137:GOH131156 GYD131137:GYD131156 HHZ131137:HHZ131156 HRV131137:HRV131156 IBR131137:IBR131156 ILN131137:ILN131156 IVJ131137:IVJ131156 JFF131137:JFF131156 JPB131137:JPB131156 JYX131137:JYX131156 KIT131137:KIT131156 KSP131137:KSP131156 LCL131137:LCL131156 LMH131137:LMH131156 LWD131137:LWD131156 MFZ131137:MFZ131156 MPV131137:MPV131156 MZR131137:MZR131156 NJN131137:NJN131156 NTJ131137:NTJ131156 ODF131137:ODF131156 ONB131137:ONB131156 OWX131137:OWX131156 PGT131137:PGT131156 PQP131137:PQP131156 QAL131137:QAL131156 QKH131137:QKH131156 QUD131137:QUD131156 RDZ131137:RDZ131156 RNV131137:RNV131156 RXR131137:RXR131156 SHN131137:SHN131156 SRJ131137:SRJ131156 TBF131137:TBF131156 TLB131137:TLB131156 TUX131137:TUX131156 UET131137:UET131156 UOP131137:UOP131156 UYL131137:UYL131156 VIH131137:VIH131156 VSD131137:VSD131156 WBZ131137:WBZ131156 WLV131137:WLV131156 WVR131137:WVR131156 J196673:J196692 JF196673:JF196692 TB196673:TB196692 ACX196673:ACX196692 AMT196673:AMT196692 AWP196673:AWP196692 BGL196673:BGL196692 BQH196673:BQH196692 CAD196673:CAD196692 CJZ196673:CJZ196692 CTV196673:CTV196692 DDR196673:DDR196692 DNN196673:DNN196692 DXJ196673:DXJ196692 EHF196673:EHF196692 ERB196673:ERB196692 FAX196673:FAX196692 FKT196673:FKT196692 FUP196673:FUP196692 GEL196673:GEL196692 GOH196673:GOH196692 GYD196673:GYD196692 HHZ196673:HHZ196692 HRV196673:HRV196692 IBR196673:IBR196692 ILN196673:ILN196692 IVJ196673:IVJ196692 JFF196673:JFF196692 JPB196673:JPB196692 JYX196673:JYX196692 KIT196673:KIT196692 KSP196673:KSP196692 LCL196673:LCL196692 LMH196673:LMH196692 LWD196673:LWD196692 MFZ196673:MFZ196692 MPV196673:MPV196692 MZR196673:MZR196692 NJN196673:NJN196692 NTJ196673:NTJ196692 ODF196673:ODF196692 ONB196673:ONB196692 OWX196673:OWX196692 PGT196673:PGT196692 PQP196673:PQP196692 QAL196673:QAL196692 QKH196673:QKH196692 QUD196673:QUD196692 RDZ196673:RDZ196692 RNV196673:RNV196692 RXR196673:RXR196692 SHN196673:SHN196692 SRJ196673:SRJ196692 TBF196673:TBF196692 TLB196673:TLB196692 TUX196673:TUX196692 UET196673:UET196692 UOP196673:UOP196692 UYL196673:UYL196692 VIH196673:VIH196692 VSD196673:VSD196692 WBZ196673:WBZ196692 WLV196673:WLV196692 WVR196673:WVR196692 J262209:J262228 JF262209:JF262228 TB262209:TB262228 ACX262209:ACX262228 AMT262209:AMT262228 AWP262209:AWP262228 BGL262209:BGL262228 BQH262209:BQH262228 CAD262209:CAD262228 CJZ262209:CJZ262228 CTV262209:CTV262228 DDR262209:DDR262228 DNN262209:DNN262228 DXJ262209:DXJ262228 EHF262209:EHF262228 ERB262209:ERB262228 FAX262209:FAX262228 FKT262209:FKT262228 FUP262209:FUP262228 GEL262209:GEL262228 GOH262209:GOH262228 GYD262209:GYD262228 HHZ262209:HHZ262228 HRV262209:HRV262228 IBR262209:IBR262228 ILN262209:ILN262228 IVJ262209:IVJ262228 JFF262209:JFF262228 JPB262209:JPB262228 JYX262209:JYX262228 KIT262209:KIT262228 KSP262209:KSP262228 LCL262209:LCL262228 LMH262209:LMH262228 LWD262209:LWD262228 MFZ262209:MFZ262228 MPV262209:MPV262228 MZR262209:MZR262228 NJN262209:NJN262228 NTJ262209:NTJ262228 ODF262209:ODF262228 ONB262209:ONB262228 OWX262209:OWX262228 PGT262209:PGT262228 PQP262209:PQP262228 QAL262209:QAL262228 QKH262209:QKH262228 QUD262209:QUD262228 RDZ262209:RDZ262228 RNV262209:RNV262228 RXR262209:RXR262228 SHN262209:SHN262228 SRJ262209:SRJ262228 TBF262209:TBF262228 TLB262209:TLB262228 TUX262209:TUX262228 UET262209:UET262228 UOP262209:UOP262228 UYL262209:UYL262228 VIH262209:VIH262228 VSD262209:VSD262228 WBZ262209:WBZ262228 WLV262209:WLV262228 WVR262209:WVR262228 J327745:J327764 JF327745:JF327764 TB327745:TB327764 ACX327745:ACX327764 AMT327745:AMT327764 AWP327745:AWP327764 BGL327745:BGL327764 BQH327745:BQH327764 CAD327745:CAD327764 CJZ327745:CJZ327764 CTV327745:CTV327764 DDR327745:DDR327764 DNN327745:DNN327764 DXJ327745:DXJ327764 EHF327745:EHF327764 ERB327745:ERB327764 FAX327745:FAX327764 FKT327745:FKT327764 FUP327745:FUP327764 GEL327745:GEL327764 GOH327745:GOH327764 GYD327745:GYD327764 HHZ327745:HHZ327764 HRV327745:HRV327764 IBR327745:IBR327764 ILN327745:ILN327764 IVJ327745:IVJ327764 JFF327745:JFF327764 JPB327745:JPB327764 JYX327745:JYX327764 KIT327745:KIT327764 KSP327745:KSP327764 LCL327745:LCL327764 LMH327745:LMH327764 LWD327745:LWD327764 MFZ327745:MFZ327764 MPV327745:MPV327764 MZR327745:MZR327764 NJN327745:NJN327764 NTJ327745:NTJ327764 ODF327745:ODF327764 ONB327745:ONB327764 OWX327745:OWX327764 PGT327745:PGT327764 PQP327745:PQP327764 QAL327745:QAL327764 QKH327745:QKH327764 QUD327745:QUD327764 RDZ327745:RDZ327764 RNV327745:RNV327764 RXR327745:RXR327764 SHN327745:SHN327764 SRJ327745:SRJ327764 TBF327745:TBF327764 TLB327745:TLB327764 TUX327745:TUX327764 UET327745:UET327764 UOP327745:UOP327764 UYL327745:UYL327764 VIH327745:VIH327764 VSD327745:VSD327764 WBZ327745:WBZ327764 WLV327745:WLV327764 WVR327745:WVR327764 J393281:J393300 JF393281:JF393300 TB393281:TB393300 ACX393281:ACX393300 AMT393281:AMT393300 AWP393281:AWP393300 BGL393281:BGL393300 BQH393281:BQH393300 CAD393281:CAD393300 CJZ393281:CJZ393300 CTV393281:CTV393300 DDR393281:DDR393300 DNN393281:DNN393300 DXJ393281:DXJ393300 EHF393281:EHF393300 ERB393281:ERB393300 FAX393281:FAX393300 FKT393281:FKT393300 FUP393281:FUP393300 GEL393281:GEL393300 GOH393281:GOH393300 GYD393281:GYD393300 HHZ393281:HHZ393300 HRV393281:HRV393300 IBR393281:IBR393300 ILN393281:ILN393300 IVJ393281:IVJ393300 JFF393281:JFF393300 JPB393281:JPB393300 JYX393281:JYX393300 KIT393281:KIT393300 KSP393281:KSP393300 LCL393281:LCL393300 LMH393281:LMH393300 LWD393281:LWD393300 MFZ393281:MFZ393300 MPV393281:MPV393300 MZR393281:MZR393300 NJN393281:NJN393300 NTJ393281:NTJ393300 ODF393281:ODF393300 ONB393281:ONB393300 OWX393281:OWX393300 PGT393281:PGT393300 PQP393281:PQP393300 QAL393281:QAL393300 QKH393281:QKH393300 QUD393281:QUD393300 RDZ393281:RDZ393300 RNV393281:RNV393300 RXR393281:RXR393300 SHN393281:SHN393300 SRJ393281:SRJ393300 TBF393281:TBF393300 TLB393281:TLB393300 TUX393281:TUX393300 UET393281:UET393300 UOP393281:UOP393300 UYL393281:UYL393300 VIH393281:VIH393300 VSD393281:VSD393300 WBZ393281:WBZ393300 WLV393281:WLV393300 WVR393281:WVR393300 J458817:J458836 JF458817:JF458836 TB458817:TB458836 ACX458817:ACX458836 AMT458817:AMT458836 AWP458817:AWP458836 BGL458817:BGL458836 BQH458817:BQH458836 CAD458817:CAD458836 CJZ458817:CJZ458836 CTV458817:CTV458836 DDR458817:DDR458836 DNN458817:DNN458836 DXJ458817:DXJ458836 EHF458817:EHF458836 ERB458817:ERB458836 FAX458817:FAX458836 FKT458817:FKT458836 FUP458817:FUP458836 GEL458817:GEL458836 GOH458817:GOH458836 GYD458817:GYD458836 HHZ458817:HHZ458836 HRV458817:HRV458836 IBR458817:IBR458836 ILN458817:ILN458836 IVJ458817:IVJ458836 JFF458817:JFF458836 JPB458817:JPB458836 JYX458817:JYX458836 KIT458817:KIT458836 KSP458817:KSP458836 LCL458817:LCL458836 LMH458817:LMH458836 LWD458817:LWD458836 MFZ458817:MFZ458836 MPV458817:MPV458836 MZR458817:MZR458836 NJN458817:NJN458836 NTJ458817:NTJ458836 ODF458817:ODF458836 ONB458817:ONB458836 OWX458817:OWX458836 PGT458817:PGT458836 PQP458817:PQP458836 QAL458817:QAL458836 QKH458817:QKH458836 QUD458817:QUD458836 RDZ458817:RDZ458836 RNV458817:RNV458836 RXR458817:RXR458836 SHN458817:SHN458836 SRJ458817:SRJ458836 TBF458817:TBF458836 TLB458817:TLB458836 TUX458817:TUX458836 UET458817:UET458836 UOP458817:UOP458836 UYL458817:UYL458836 VIH458817:VIH458836 VSD458817:VSD458836 WBZ458817:WBZ458836 WLV458817:WLV458836 WVR458817:WVR458836 J524353:J524372 JF524353:JF524372 TB524353:TB524372 ACX524353:ACX524372 AMT524353:AMT524372 AWP524353:AWP524372 BGL524353:BGL524372 BQH524353:BQH524372 CAD524353:CAD524372 CJZ524353:CJZ524372 CTV524353:CTV524372 DDR524353:DDR524372 DNN524353:DNN524372 DXJ524353:DXJ524372 EHF524353:EHF524372 ERB524353:ERB524372 FAX524353:FAX524372 FKT524353:FKT524372 FUP524353:FUP524372 GEL524353:GEL524372 GOH524353:GOH524372 GYD524353:GYD524372 HHZ524353:HHZ524372 HRV524353:HRV524372 IBR524353:IBR524372 ILN524353:ILN524372 IVJ524353:IVJ524372 JFF524353:JFF524372 JPB524353:JPB524372 JYX524353:JYX524372 KIT524353:KIT524372 KSP524353:KSP524372 LCL524353:LCL524372 LMH524353:LMH524372 LWD524353:LWD524372 MFZ524353:MFZ524372 MPV524353:MPV524372 MZR524353:MZR524372 NJN524353:NJN524372 NTJ524353:NTJ524372 ODF524353:ODF524372 ONB524353:ONB524372 OWX524353:OWX524372 PGT524353:PGT524372 PQP524353:PQP524372 QAL524353:QAL524372 QKH524353:QKH524372 QUD524353:QUD524372 RDZ524353:RDZ524372 RNV524353:RNV524372 RXR524353:RXR524372 SHN524353:SHN524372 SRJ524353:SRJ524372 TBF524353:TBF524372 TLB524353:TLB524372 TUX524353:TUX524372 UET524353:UET524372 UOP524353:UOP524372 UYL524353:UYL524372 VIH524353:VIH524372 VSD524353:VSD524372 WBZ524353:WBZ524372 WLV524353:WLV524372 WVR524353:WVR524372 J589889:J589908 JF589889:JF589908 TB589889:TB589908 ACX589889:ACX589908 AMT589889:AMT589908 AWP589889:AWP589908 BGL589889:BGL589908 BQH589889:BQH589908 CAD589889:CAD589908 CJZ589889:CJZ589908 CTV589889:CTV589908 DDR589889:DDR589908 DNN589889:DNN589908 DXJ589889:DXJ589908 EHF589889:EHF589908 ERB589889:ERB589908 FAX589889:FAX589908 FKT589889:FKT589908 FUP589889:FUP589908 GEL589889:GEL589908 GOH589889:GOH589908 GYD589889:GYD589908 HHZ589889:HHZ589908 HRV589889:HRV589908 IBR589889:IBR589908 ILN589889:ILN589908 IVJ589889:IVJ589908 JFF589889:JFF589908 JPB589889:JPB589908 JYX589889:JYX589908 KIT589889:KIT589908 KSP589889:KSP589908 LCL589889:LCL589908 LMH589889:LMH589908 LWD589889:LWD589908 MFZ589889:MFZ589908 MPV589889:MPV589908 MZR589889:MZR589908 NJN589889:NJN589908 NTJ589889:NTJ589908 ODF589889:ODF589908 ONB589889:ONB589908 OWX589889:OWX589908 PGT589889:PGT589908 PQP589889:PQP589908 QAL589889:QAL589908 QKH589889:QKH589908 QUD589889:QUD589908 RDZ589889:RDZ589908 RNV589889:RNV589908 RXR589889:RXR589908 SHN589889:SHN589908 SRJ589889:SRJ589908 TBF589889:TBF589908 TLB589889:TLB589908 TUX589889:TUX589908 UET589889:UET589908 UOP589889:UOP589908 UYL589889:UYL589908 VIH589889:VIH589908 VSD589889:VSD589908 WBZ589889:WBZ589908 WLV589889:WLV589908 WVR589889:WVR589908 J655425:J655444 JF655425:JF655444 TB655425:TB655444 ACX655425:ACX655444 AMT655425:AMT655444 AWP655425:AWP655444 BGL655425:BGL655444 BQH655425:BQH655444 CAD655425:CAD655444 CJZ655425:CJZ655444 CTV655425:CTV655444 DDR655425:DDR655444 DNN655425:DNN655444 DXJ655425:DXJ655444 EHF655425:EHF655444 ERB655425:ERB655444 FAX655425:FAX655444 FKT655425:FKT655444 FUP655425:FUP655444 GEL655425:GEL655444 GOH655425:GOH655444 GYD655425:GYD655444 HHZ655425:HHZ655444 HRV655425:HRV655444 IBR655425:IBR655444 ILN655425:ILN655444 IVJ655425:IVJ655444 JFF655425:JFF655444 JPB655425:JPB655444 JYX655425:JYX655444 KIT655425:KIT655444 KSP655425:KSP655444 LCL655425:LCL655444 LMH655425:LMH655444 LWD655425:LWD655444 MFZ655425:MFZ655444 MPV655425:MPV655444 MZR655425:MZR655444 NJN655425:NJN655444 NTJ655425:NTJ655444 ODF655425:ODF655444 ONB655425:ONB655444 OWX655425:OWX655444 PGT655425:PGT655444 PQP655425:PQP655444 QAL655425:QAL655444 QKH655425:QKH655444 QUD655425:QUD655444 RDZ655425:RDZ655444 RNV655425:RNV655444 RXR655425:RXR655444 SHN655425:SHN655444 SRJ655425:SRJ655444 TBF655425:TBF655444 TLB655425:TLB655444 TUX655425:TUX655444 UET655425:UET655444 UOP655425:UOP655444 UYL655425:UYL655444 VIH655425:VIH655444 VSD655425:VSD655444 WBZ655425:WBZ655444 WLV655425:WLV655444 WVR655425:WVR655444 J720961:J720980 JF720961:JF720980 TB720961:TB720980 ACX720961:ACX720980 AMT720961:AMT720980 AWP720961:AWP720980 BGL720961:BGL720980 BQH720961:BQH720980 CAD720961:CAD720980 CJZ720961:CJZ720980 CTV720961:CTV720980 DDR720961:DDR720980 DNN720961:DNN720980 DXJ720961:DXJ720980 EHF720961:EHF720980 ERB720961:ERB720980 FAX720961:FAX720980 FKT720961:FKT720980 FUP720961:FUP720980 GEL720961:GEL720980 GOH720961:GOH720980 GYD720961:GYD720980 HHZ720961:HHZ720980 HRV720961:HRV720980 IBR720961:IBR720980 ILN720961:ILN720980 IVJ720961:IVJ720980 JFF720961:JFF720980 JPB720961:JPB720980 JYX720961:JYX720980 KIT720961:KIT720980 KSP720961:KSP720980 LCL720961:LCL720980 LMH720961:LMH720980 LWD720961:LWD720980 MFZ720961:MFZ720980 MPV720961:MPV720980 MZR720961:MZR720980 NJN720961:NJN720980 NTJ720961:NTJ720980 ODF720961:ODF720980 ONB720961:ONB720980 OWX720961:OWX720980 PGT720961:PGT720980 PQP720961:PQP720980 QAL720961:QAL720980 QKH720961:QKH720980 QUD720961:QUD720980 RDZ720961:RDZ720980 RNV720961:RNV720980 RXR720961:RXR720980 SHN720961:SHN720980 SRJ720961:SRJ720980 TBF720961:TBF720980 TLB720961:TLB720980 TUX720961:TUX720980 UET720961:UET720980 UOP720961:UOP720980 UYL720961:UYL720980 VIH720961:VIH720980 VSD720961:VSD720980 WBZ720961:WBZ720980 WLV720961:WLV720980 WVR720961:WVR720980 J786497:J786516 JF786497:JF786516 TB786497:TB786516 ACX786497:ACX786516 AMT786497:AMT786516 AWP786497:AWP786516 BGL786497:BGL786516 BQH786497:BQH786516 CAD786497:CAD786516 CJZ786497:CJZ786516 CTV786497:CTV786516 DDR786497:DDR786516 DNN786497:DNN786516 DXJ786497:DXJ786516 EHF786497:EHF786516 ERB786497:ERB786516 FAX786497:FAX786516 FKT786497:FKT786516 FUP786497:FUP786516 GEL786497:GEL786516 GOH786497:GOH786516 GYD786497:GYD786516 HHZ786497:HHZ786516 HRV786497:HRV786516 IBR786497:IBR786516 ILN786497:ILN786516 IVJ786497:IVJ786516 JFF786497:JFF786516 JPB786497:JPB786516 JYX786497:JYX786516 KIT786497:KIT786516 KSP786497:KSP786516 LCL786497:LCL786516 LMH786497:LMH786516 LWD786497:LWD786516 MFZ786497:MFZ786516 MPV786497:MPV786516 MZR786497:MZR786516 NJN786497:NJN786516 NTJ786497:NTJ786516 ODF786497:ODF786516 ONB786497:ONB786516 OWX786497:OWX786516 PGT786497:PGT786516 PQP786497:PQP786516 QAL786497:QAL786516 QKH786497:QKH786516 QUD786497:QUD786516 RDZ786497:RDZ786516 RNV786497:RNV786516 RXR786497:RXR786516 SHN786497:SHN786516 SRJ786497:SRJ786516 TBF786497:TBF786516 TLB786497:TLB786516 TUX786497:TUX786516 UET786497:UET786516 UOP786497:UOP786516 UYL786497:UYL786516 VIH786497:VIH786516 VSD786497:VSD786516 WBZ786497:WBZ786516 WLV786497:WLV786516 WVR786497:WVR786516 J852033:J852052 JF852033:JF852052 TB852033:TB852052 ACX852033:ACX852052 AMT852033:AMT852052 AWP852033:AWP852052 BGL852033:BGL852052 BQH852033:BQH852052 CAD852033:CAD852052 CJZ852033:CJZ852052 CTV852033:CTV852052 DDR852033:DDR852052 DNN852033:DNN852052 DXJ852033:DXJ852052 EHF852033:EHF852052 ERB852033:ERB852052 FAX852033:FAX852052 FKT852033:FKT852052 FUP852033:FUP852052 GEL852033:GEL852052 GOH852033:GOH852052 GYD852033:GYD852052 HHZ852033:HHZ852052 HRV852033:HRV852052 IBR852033:IBR852052 ILN852033:ILN852052 IVJ852033:IVJ852052 JFF852033:JFF852052 JPB852033:JPB852052 JYX852033:JYX852052 KIT852033:KIT852052 KSP852033:KSP852052 LCL852033:LCL852052 LMH852033:LMH852052 LWD852033:LWD852052 MFZ852033:MFZ852052 MPV852033:MPV852052 MZR852033:MZR852052 NJN852033:NJN852052 NTJ852033:NTJ852052 ODF852033:ODF852052 ONB852033:ONB852052 OWX852033:OWX852052 PGT852033:PGT852052 PQP852033:PQP852052 QAL852033:QAL852052 QKH852033:QKH852052 QUD852033:QUD852052 RDZ852033:RDZ852052 RNV852033:RNV852052 RXR852033:RXR852052 SHN852033:SHN852052 SRJ852033:SRJ852052 TBF852033:TBF852052 TLB852033:TLB852052 TUX852033:TUX852052 UET852033:UET852052 UOP852033:UOP852052 UYL852033:UYL852052 VIH852033:VIH852052 VSD852033:VSD852052 WBZ852033:WBZ852052 WLV852033:WLV852052 WVR852033:WVR852052 J917569:J917588 JF917569:JF917588 TB917569:TB917588 ACX917569:ACX917588 AMT917569:AMT917588 AWP917569:AWP917588 BGL917569:BGL917588 BQH917569:BQH917588 CAD917569:CAD917588 CJZ917569:CJZ917588 CTV917569:CTV917588 DDR917569:DDR917588 DNN917569:DNN917588 DXJ917569:DXJ917588 EHF917569:EHF917588 ERB917569:ERB917588 FAX917569:FAX917588 FKT917569:FKT917588 FUP917569:FUP917588 GEL917569:GEL917588 GOH917569:GOH917588 GYD917569:GYD917588 HHZ917569:HHZ917588 HRV917569:HRV917588 IBR917569:IBR917588 ILN917569:ILN917588 IVJ917569:IVJ917588 JFF917569:JFF917588 JPB917569:JPB917588 JYX917569:JYX917588 KIT917569:KIT917588 KSP917569:KSP917588 LCL917569:LCL917588 LMH917569:LMH917588 LWD917569:LWD917588 MFZ917569:MFZ917588 MPV917569:MPV917588 MZR917569:MZR917588 NJN917569:NJN917588 NTJ917569:NTJ917588 ODF917569:ODF917588 ONB917569:ONB917588 OWX917569:OWX917588 PGT917569:PGT917588 PQP917569:PQP917588 QAL917569:QAL917588 QKH917569:QKH917588 QUD917569:QUD917588 RDZ917569:RDZ917588 RNV917569:RNV917588 RXR917569:RXR917588 SHN917569:SHN917588 SRJ917569:SRJ917588 TBF917569:TBF917588 TLB917569:TLB917588 TUX917569:TUX917588 UET917569:UET917588 UOP917569:UOP917588 UYL917569:UYL917588 VIH917569:VIH917588 VSD917569:VSD917588 WBZ917569:WBZ917588 WLV917569:WLV917588 WVR917569:WVR917588 J983105:J983124 JF983105:JF983124 TB983105:TB983124 ACX983105:ACX983124 AMT983105:AMT983124 AWP983105:AWP983124 BGL983105:BGL983124 BQH983105:BQH983124 CAD983105:CAD983124 CJZ983105:CJZ983124 CTV983105:CTV983124 DDR983105:DDR983124 DNN983105:DNN983124 DXJ983105:DXJ983124 EHF983105:EHF983124 ERB983105:ERB983124 FAX983105:FAX983124 FKT983105:FKT983124 FUP983105:FUP983124 GEL983105:GEL983124 GOH983105:GOH983124 GYD983105:GYD983124 HHZ983105:HHZ983124 HRV983105:HRV983124 IBR983105:IBR983124 ILN983105:ILN983124 IVJ983105:IVJ983124 JFF983105:JFF983124 JPB983105:JPB983124 JYX983105:JYX983124 KIT983105:KIT983124 KSP983105:KSP983124 LCL983105:LCL983124 LMH983105:LMH983124 LWD983105:LWD983124 MFZ983105:MFZ983124 MPV983105:MPV983124 MZR983105:MZR983124 NJN983105:NJN983124 NTJ983105:NTJ983124 ODF983105:ODF983124 ONB983105:ONB983124 OWX983105:OWX983124 PGT983105:PGT983124 PQP983105:PQP983124 QAL983105:QAL983124 QKH983105:QKH983124 QUD983105:QUD983124 RDZ983105:RDZ983124 RNV983105:RNV983124 RXR983105:RXR983124 SHN983105:SHN983124 SRJ983105:SRJ983124 TBF983105:TBF983124 TLB983105:TLB983124 TUX983105:TUX983124 UET983105:UET983124 UOP983105:UOP983124 UYL983105:UYL983124 VIH983105:VIH983124 VSD983105:VSD983124 WBZ983105:WBZ983124 WLV983105:WLV983124 WVR983105:WVR983124">
      <formula1>$S$3:$S$6</formula1>
    </dataValidation>
    <dataValidation type="list" allowBlank="1" showInputMessage="1" sqref="D49:D60 IZ49:IZ60 SV49:SV60 ACR49:ACR60 AMN49:AMN60 AWJ49:AWJ60 BGF49:BGF60 BQB49:BQB60 BZX49:BZX60 CJT49:CJT60 CTP49:CTP60 DDL49:DDL60 DNH49:DNH60 DXD49:DXD60 EGZ49:EGZ60 EQV49:EQV60 FAR49:FAR60 FKN49:FKN60 FUJ49:FUJ60 GEF49:GEF60 GOB49:GOB60 GXX49:GXX60 HHT49:HHT60 HRP49:HRP60 IBL49:IBL60 ILH49:ILH60 IVD49:IVD60 JEZ49:JEZ60 JOV49:JOV60 JYR49:JYR60 KIN49:KIN60 KSJ49:KSJ60 LCF49:LCF60 LMB49:LMB60 LVX49:LVX60 MFT49:MFT60 MPP49:MPP60 MZL49:MZL60 NJH49:NJH60 NTD49:NTD60 OCZ49:OCZ60 OMV49:OMV60 OWR49:OWR60 PGN49:PGN60 PQJ49:PQJ60 QAF49:QAF60 QKB49:QKB60 QTX49:QTX60 RDT49:RDT60 RNP49:RNP60 RXL49:RXL60 SHH49:SHH60 SRD49:SRD60 TAZ49:TAZ60 TKV49:TKV60 TUR49:TUR60 UEN49:UEN60 UOJ49:UOJ60 UYF49:UYF60 VIB49:VIB60 VRX49:VRX60 WBT49:WBT60 WLP49:WLP60 WVL49:WVL60 D65585:D65596 IZ65585:IZ65596 SV65585:SV65596 ACR65585:ACR65596 AMN65585:AMN65596 AWJ65585:AWJ65596 BGF65585:BGF65596 BQB65585:BQB65596 BZX65585:BZX65596 CJT65585:CJT65596 CTP65585:CTP65596 DDL65585:DDL65596 DNH65585:DNH65596 DXD65585:DXD65596 EGZ65585:EGZ65596 EQV65585:EQV65596 FAR65585:FAR65596 FKN65585:FKN65596 FUJ65585:FUJ65596 GEF65585:GEF65596 GOB65585:GOB65596 GXX65585:GXX65596 HHT65585:HHT65596 HRP65585:HRP65596 IBL65585:IBL65596 ILH65585:ILH65596 IVD65585:IVD65596 JEZ65585:JEZ65596 JOV65585:JOV65596 JYR65585:JYR65596 KIN65585:KIN65596 KSJ65585:KSJ65596 LCF65585:LCF65596 LMB65585:LMB65596 LVX65585:LVX65596 MFT65585:MFT65596 MPP65585:MPP65596 MZL65585:MZL65596 NJH65585:NJH65596 NTD65585:NTD65596 OCZ65585:OCZ65596 OMV65585:OMV65596 OWR65585:OWR65596 PGN65585:PGN65596 PQJ65585:PQJ65596 QAF65585:QAF65596 QKB65585:QKB65596 QTX65585:QTX65596 RDT65585:RDT65596 RNP65585:RNP65596 RXL65585:RXL65596 SHH65585:SHH65596 SRD65585:SRD65596 TAZ65585:TAZ65596 TKV65585:TKV65596 TUR65585:TUR65596 UEN65585:UEN65596 UOJ65585:UOJ65596 UYF65585:UYF65596 VIB65585:VIB65596 VRX65585:VRX65596 WBT65585:WBT65596 WLP65585:WLP65596 WVL65585:WVL65596 D131121:D131132 IZ131121:IZ131132 SV131121:SV131132 ACR131121:ACR131132 AMN131121:AMN131132 AWJ131121:AWJ131132 BGF131121:BGF131132 BQB131121:BQB131132 BZX131121:BZX131132 CJT131121:CJT131132 CTP131121:CTP131132 DDL131121:DDL131132 DNH131121:DNH131132 DXD131121:DXD131132 EGZ131121:EGZ131132 EQV131121:EQV131132 FAR131121:FAR131132 FKN131121:FKN131132 FUJ131121:FUJ131132 GEF131121:GEF131132 GOB131121:GOB131132 GXX131121:GXX131132 HHT131121:HHT131132 HRP131121:HRP131132 IBL131121:IBL131132 ILH131121:ILH131132 IVD131121:IVD131132 JEZ131121:JEZ131132 JOV131121:JOV131132 JYR131121:JYR131132 KIN131121:KIN131132 KSJ131121:KSJ131132 LCF131121:LCF131132 LMB131121:LMB131132 LVX131121:LVX131132 MFT131121:MFT131132 MPP131121:MPP131132 MZL131121:MZL131132 NJH131121:NJH131132 NTD131121:NTD131132 OCZ131121:OCZ131132 OMV131121:OMV131132 OWR131121:OWR131132 PGN131121:PGN131132 PQJ131121:PQJ131132 QAF131121:QAF131132 QKB131121:QKB131132 QTX131121:QTX131132 RDT131121:RDT131132 RNP131121:RNP131132 RXL131121:RXL131132 SHH131121:SHH131132 SRD131121:SRD131132 TAZ131121:TAZ131132 TKV131121:TKV131132 TUR131121:TUR131132 UEN131121:UEN131132 UOJ131121:UOJ131132 UYF131121:UYF131132 VIB131121:VIB131132 VRX131121:VRX131132 WBT131121:WBT131132 WLP131121:WLP131132 WVL131121:WVL131132 D196657:D196668 IZ196657:IZ196668 SV196657:SV196668 ACR196657:ACR196668 AMN196657:AMN196668 AWJ196657:AWJ196668 BGF196657:BGF196668 BQB196657:BQB196668 BZX196657:BZX196668 CJT196657:CJT196668 CTP196657:CTP196668 DDL196657:DDL196668 DNH196657:DNH196668 DXD196657:DXD196668 EGZ196657:EGZ196668 EQV196657:EQV196668 FAR196657:FAR196668 FKN196657:FKN196668 FUJ196657:FUJ196668 GEF196657:GEF196668 GOB196657:GOB196668 GXX196657:GXX196668 HHT196657:HHT196668 HRP196657:HRP196668 IBL196657:IBL196668 ILH196657:ILH196668 IVD196657:IVD196668 JEZ196657:JEZ196668 JOV196657:JOV196668 JYR196657:JYR196668 KIN196657:KIN196668 KSJ196657:KSJ196668 LCF196657:LCF196668 LMB196657:LMB196668 LVX196657:LVX196668 MFT196657:MFT196668 MPP196657:MPP196668 MZL196657:MZL196668 NJH196657:NJH196668 NTD196657:NTD196668 OCZ196657:OCZ196668 OMV196657:OMV196668 OWR196657:OWR196668 PGN196657:PGN196668 PQJ196657:PQJ196668 QAF196657:QAF196668 QKB196657:QKB196668 QTX196657:QTX196668 RDT196657:RDT196668 RNP196657:RNP196668 RXL196657:RXL196668 SHH196657:SHH196668 SRD196657:SRD196668 TAZ196657:TAZ196668 TKV196657:TKV196668 TUR196657:TUR196668 UEN196657:UEN196668 UOJ196657:UOJ196668 UYF196657:UYF196668 VIB196657:VIB196668 VRX196657:VRX196668 WBT196657:WBT196668 WLP196657:WLP196668 WVL196657:WVL196668 D262193:D262204 IZ262193:IZ262204 SV262193:SV262204 ACR262193:ACR262204 AMN262193:AMN262204 AWJ262193:AWJ262204 BGF262193:BGF262204 BQB262193:BQB262204 BZX262193:BZX262204 CJT262193:CJT262204 CTP262193:CTP262204 DDL262193:DDL262204 DNH262193:DNH262204 DXD262193:DXD262204 EGZ262193:EGZ262204 EQV262193:EQV262204 FAR262193:FAR262204 FKN262193:FKN262204 FUJ262193:FUJ262204 GEF262193:GEF262204 GOB262193:GOB262204 GXX262193:GXX262204 HHT262193:HHT262204 HRP262193:HRP262204 IBL262193:IBL262204 ILH262193:ILH262204 IVD262193:IVD262204 JEZ262193:JEZ262204 JOV262193:JOV262204 JYR262193:JYR262204 KIN262193:KIN262204 KSJ262193:KSJ262204 LCF262193:LCF262204 LMB262193:LMB262204 LVX262193:LVX262204 MFT262193:MFT262204 MPP262193:MPP262204 MZL262193:MZL262204 NJH262193:NJH262204 NTD262193:NTD262204 OCZ262193:OCZ262204 OMV262193:OMV262204 OWR262193:OWR262204 PGN262193:PGN262204 PQJ262193:PQJ262204 QAF262193:QAF262204 QKB262193:QKB262204 QTX262193:QTX262204 RDT262193:RDT262204 RNP262193:RNP262204 RXL262193:RXL262204 SHH262193:SHH262204 SRD262193:SRD262204 TAZ262193:TAZ262204 TKV262193:TKV262204 TUR262193:TUR262204 UEN262193:UEN262204 UOJ262193:UOJ262204 UYF262193:UYF262204 VIB262193:VIB262204 VRX262193:VRX262204 WBT262193:WBT262204 WLP262193:WLP262204 WVL262193:WVL262204 D327729:D327740 IZ327729:IZ327740 SV327729:SV327740 ACR327729:ACR327740 AMN327729:AMN327740 AWJ327729:AWJ327740 BGF327729:BGF327740 BQB327729:BQB327740 BZX327729:BZX327740 CJT327729:CJT327740 CTP327729:CTP327740 DDL327729:DDL327740 DNH327729:DNH327740 DXD327729:DXD327740 EGZ327729:EGZ327740 EQV327729:EQV327740 FAR327729:FAR327740 FKN327729:FKN327740 FUJ327729:FUJ327740 GEF327729:GEF327740 GOB327729:GOB327740 GXX327729:GXX327740 HHT327729:HHT327740 HRP327729:HRP327740 IBL327729:IBL327740 ILH327729:ILH327740 IVD327729:IVD327740 JEZ327729:JEZ327740 JOV327729:JOV327740 JYR327729:JYR327740 KIN327729:KIN327740 KSJ327729:KSJ327740 LCF327729:LCF327740 LMB327729:LMB327740 LVX327729:LVX327740 MFT327729:MFT327740 MPP327729:MPP327740 MZL327729:MZL327740 NJH327729:NJH327740 NTD327729:NTD327740 OCZ327729:OCZ327740 OMV327729:OMV327740 OWR327729:OWR327740 PGN327729:PGN327740 PQJ327729:PQJ327740 QAF327729:QAF327740 QKB327729:QKB327740 QTX327729:QTX327740 RDT327729:RDT327740 RNP327729:RNP327740 RXL327729:RXL327740 SHH327729:SHH327740 SRD327729:SRD327740 TAZ327729:TAZ327740 TKV327729:TKV327740 TUR327729:TUR327740 UEN327729:UEN327740 UOJ327729:UOJ327740 UYF327729:UYF327740 VIB327729:VIB327740 VRX327729:VRX327740 WBT327729:WBT327740 WLP327729:WLP327740 WVL327729:WVL327740 D393265:D393276 IZ393265:IZ393276 SV393265:SV393276 ACR393265:ACR393276 AMN393265:AMN393276 AWJ393265:AWJ393276 BGF393265:BGF393276 BQB393265:BQB393276 BZX393265:BZX393276 CJT393265:CJT393276 CTP393265:CTP393276 DDL393265:DDL393276 DNH393265:DNH393276 DXD393265:DXD393276 EGZ393265:EGZ393276 EQV393265:EQV393276 FAR393265:FAR393276 FKN393265:FKN393276 FUJ393265:FUJ393276 GEF393265:GEF393276 GOB393265:GOB393276 GXX393265:GXX393276 HHT393265:HHT393276 HRP393265:HRP393276 IBL393265:IBL393276 ILH393265:ILH393276 IVD393265:IVD393276 JEZ393265:JEZ393276 JOV393265:JOV393276 JYR393265:JYR393276 KIN393265:KIN393276 KSJ393265:KSJ393276 LCF393265:LCF393276 LMB393265:LMB393276 LVX393265:LVX393276 MFT393265:MFT393276 MPP393265:MPP393276 MZL393265:MZL393276 NJH393265:NJH393276 NTD393265:NTD393276 OCZ393265:OCZ393276 OMV393265:OMV393276 OWR393265:OWR393276 PGN393265:PGN393276 PQJ393265:PQJ393276 QAF393265:QAF393276 QKB393265:QKB393276 QTX393265:QTX393276 RDT393265:RDT393276 RNP393265:RNP393276 RXL393265:RXL393276 SHH393265:SHH393276 SRD393265:SRD393276 TAZ393265:TAZ393276 TKV393265:TKV393276 TUR393265:TUR393276 UEN393265:UEN393276 UOJ393265:UOJ393276 UYF393265:UYF393276 VIB393265:VIB393276 VRX393265:VRX393276 WBT393265:WBT393276 WLP393265:WLP393276 WVL393265:WVL393276 D458801:D458812 IZ458801:IZ458812 SV458801:SV458812 ACR458801:ACR458812 AMN458801:AMN458812 AWJ458801:AWJ458812 BGF458801:BGF458812 BQB458801:BQB458812 BZX458801:BZX458812 CJT458801:CJT458812 CTP458801:CTP458812 DDL458801:DDL458812 DNH458801:DNH458812 DXD458801:DXD458812 EGZ458801:EGZ458812 EQV458801:EQV458812 FAR458801:FAR458812 FKN458801:FKN458812 FUJ458801:FUJ458812 GEF458801:GEF458812 GOB458801:GOB458812 GXX458801:GXX458812 HHT458801:HHT458812 HRP458801:HRP458812 IBL458801:IBL458812 ILH458801:ILH458812 IVD458801:IVD458812 JEZ458801:JEZ458812 JOV458801:JOV458812 JYR458801:JYR458812 KIN458801:KIN458812 KSJ458801:KSJ458812 LCF458801:LCF458812 LMB458801:LMB458812 LVX458801:LVX458812 MFT458801:MFT458812 MPP458801:MPP458812 MZL458801:MZL458812 NJH458801:NJH458812 NTD458801:NTD458812 OCZ458801:OCZ458812 OMV458801:OMV458812 OWR458801:OWR458812 PGN458801:PGN458812 PQJ458801:PQJ458812 QAF458801:QAF458812 QKB458801:QKB458812 QTX458801:QTX458812 RDT458801:RDT458812 RNP458801:RNP458812 RXL458801:RXL458812 SHH458801:SHH458812 SRD458801:SRD458812 TAZ458801:TAZ458812 TKV458801:TKV458812 TUR458801:TUR458812 UEN458801:UEN458812 UOJ458801:UOJ458812 UYF458801:UYF458812 VIB458801:VIB458812 VRX458801:VRX458812 WBT458801:WBT458812 WLP458801:WLP458812 WVL458801:WVL458812 D524337:D524348 IZ524337:IZ524348 SV524337:SV524348 ACR524337:ACR524348 AMN524337:AMN524348 AWJ524337:AWJ524348 BGF524337:BGF524348 BQB524337:BQB524348 BZX524337:BZX524348 CJT524337:CJT524348 CTP524337:CTP524348 DDL524337:DDL524348 DNH524337:DNH524348 DXD524337:DXD524348 EGZ524337:EGZ524348 EQV524337:EQV524348 FAR524337:FAR524348 FKN524337:FKN524348 FUJ524337:FUJ524348 GEF524337:GEF524348 GOB524337:GOB524348 GXX524337:GXX524348 HHT524337:HHT524348 HRP524337:HRP524348 IBL524337:IBL524348 ILH524337:ILH524348 IVD524337:IVD524348 JEZ524337:JEZ524348 JOV524337:JOV524348 JYR524337:JYR524348 KIN524337:KIN524348 KSJ524337:KSJ524348 LCF524337:LCF524348 LMB524337:LMB524348 LVX524337:LVX524348 MFT524337:MFT524348 MPP524337:MPP524348 MZL524337:MZL524348 NJH524337:NJH524348 NTD524337:NTD524348 OCZ524337:OCZ524348 OMV524337:OMV524348 OWR524337:OWR524348 PGN524337:PGN524348 PQJ524337:PQJ524348 QAF524337:QAF524348 QKB524337:QKB524348 QTX524337:QTX524348 RDT524337:RDT524348 RNP524337:RNP524348 RXL524337:RXL524348 SHH524337:SHH524348 SRD524337:SRD524348 TAZ524337:TAZ524348 TKV524337:TKV524348 TUR524337:TUR524348 UEN524337:UEN524348 UOJ524337:UOJ524348 UYF524337:UYF524348 VIB524337:VIB524348 VRX524337:VRX524348 WBT524337:WBT524348 WLP524337:WLP524348 WVL524337:WVL524348 D589873:D589884 IZ589873:IZ589884 SV589873:SV589884 ACR589873:ACR589884 AMN589873:AMN589884 AWJ589873:AWJ589884 BGF589873:BGF589884 BQB589873:BQB589884 BZX589873:BZX589884 CJT589873:CJT589884 CTP589873:CTP589884 DDL589873:DDL589884 DNH589873:DNH589884 DXD589873:DXD589884 EGZ589873:EGZ589884 EQV589873:EQV589884 FAR589873:FAR589884 FKN589873:FKN589884 FUJ589873:FUJ589884 GEF589873:GEF589884 GOB589873:GOB589884 GXX589873:GXX589884 HHT589873:HHT589884 HRP589873:HRP589884 IBL589873:IBL589884 ILH589873:ILH589884 IVD589873:IVD589884 JEZ589873:JEZ589884 JOV589873:JOV589884 JYR589873:JYR589884 KIN589873:KIN589884 KSJ589873:KSJ589884 LCF589873:LCF589884 LMB589873:LMB589884 LVX589873:LVX589884 MFT589873:MFT589884 MPP589873:MPP589884 MZL589873:MZL589884 NJH589873:NJH589884 NTD589873:NTD589884 OCZ589873:OCZ589884 OMV589873:OMV589884 OWR589873:OWR589884 PGN589873:PGN589884 PQJ589873:PQJ589884 QAF589873:QAF589884 QKB589873:QKB589884 QTX589873:QTX589884 RDT589873:RDT589884 RNP589873:RNP589884 RXL589873:RXL589884 SHH589873:SHH589884 SRD589873:SRD589884 TAZ589873:TAZ589884 TKV589873:TKV589884 TUR589873:TUR589884 UEN589873:UEN589884 UOJ589873:UOJ589884 UYF589873:UYF589884 VIB589873:VIB589884 VRX589873:VRX589884 WBT589873:WBT589884 WLP589873:WLP589884 WVL589873:WVL589884 D655409:D655420 IZ655409:IZ655420 SV655409:SV655420 ACR655409:ACR655420 AMN655409:AMN655420 AWJ655409:AWJ655420 BGF655409:BGF655420 BQB655409:BQB655420 BZX655409:BZX655420 CJT655409:CJT655420 CTP655409:CTP655420 DDL655409:DDL655420 DNH655409:DNH655420 DXD655409:DXD655420 EGZ655409:EGZ655420 EQV655409:EQV655420 FAR655409:FAR655420 FKN655409:FKN655420 FUJ655409:FUJ655420 GEF655409:GEF655420 GOB655409:GOB655420 GXX655409:GXX655420 HHT655409:HHT655420 HRP655409:HRP655420 IBL655409:IBL655420 ILH655409:ILH655420 IVD655409:IVD655420 JEZ655409:JEZ655420 JOV655409:JOV655420 JYR655409:JYR655420 KIN655409:KIN655420 KSJ655409:KSJ655420 LCF655409:LCF655420 LMB655409:LMB655420 LVX655409:LVX655420 MFT655409:MFT655420 MPP655409:MPP655420 MZL655409:MZL655420 NJH655409:NJH655420 NTD655409:NTD655420 OCZ655409:OCZ655420 OMV655409:OMV655420 OWR655409:OWR655420 PGN655409:PGN655420 PQJ655409:PQJ655420 QAF655409:QAF655420 QKB655409:QKB655420 QTX655409:QTX655420 RDT655409:RDT655420 RNP655409:RNP655420 RXL655409:RXL655420 SHH655409:SHH655420 SRD655409:SRD655420 TAZ655409:TAZ655420 TKV655409:TKV655420 TUR655409:TUR655420 UEN655409:UEN655420 UOJ655409:UOJ655420 UYF655409:UYF655420 VIB655409:VIB655420 VRX655409:VRX655420 WBT655409:WBT655420 WLP655409:WLP655420 WVL655409:WVL655420 D720945:D720956 IZ720945:IZ720956 SV720945:SV720956 ACR720945:ACR720956 AMN720945:AMN720956 AWJ720945:AWJ720956 BGF720945:BGF720956 BQB720945:BQB720956 BZX720945:BZX720956 CJT720945:CJT720956 CTP720945:CTP720956 DDL720945:DDL720956 DNH720945:DNH720956 DXD720945:DXD720956 EGZ720945:EGZ720956 EQV720945:EQV720956 FAR720945:FAR720956 FKN720945:FKN720956 FUJ720945:FUJ720956 GEF720945:GEF720956 GOB720945:GOB720956 GXX720945:GXX720956 HHT720945:HHT720956 HRP720945:HRP720956 IBL720945:IBL720956 ILH720945:ILH720956 IVD720945:IVD720956 JEZ720945:JEZ720956 JOV720945:JOV720956 JYR720945:JYR720956 KIN720945:KIN720956 KSJ720945:KSJ720956 LCF720945:LCF720956 LMB720945:LMB720956 LVX720945:LVX720956 MFT720945:MFT720956 MPP720945:MPP720956 MZL720945:MZL720956 NJH720945:NJH720956 NTD720945:NTD720956 OCZ720945:OCZ720956 OMV720945:OMV720956 OWR720945:OWR720956 PGN720945:PGN720956 PQJ720945:PQJ720956 QAF720945:QAF720956 QKB720945:QKB720956 QTX720945:QTX720956 RDT720945:RDT720956 RNP720945:RNP720956 RXL720945:RXL720956 SHH720945:SHH720956 SRD720945:SRD720956 TAZ720945:TAZ720956 TKV720945:TKV720956 TUR720945:TUR720956 UEN720945:UEN720956 UOJ720945:UOJ720956 UYF720945:UYF720956 VIB720945:VIB720956 VRX720945:VRX720956 WBT720945:WBT720956 WLP720945:WLP720956 WVL720945:WVL720956 D786481:D786492 IZ786481:IZ786492 SV786481:SV786492 ACR786481:ACR786492 AMN786481:AMN786492 AWJ786481:AWJ786492 BGF786481:BGF786492 BQB786481:BQB786492 BZX786481:BZX786492 CJT786481:CJT786492 CTP786481:CTP786492 DDL786481:DDL786492 DNH786481:DNH786492 DXD786481:DXD786492 EGZ786481:EGZ786492 EQV786481:EQV786492 FAR786481:FAR786492 FKN786481:FKN786492 FUJ786481:FUJ786492 GEF786481:GEF786492 GOB786481:GOB786492 GXX786481:GXX786492 HHT786481:HHT786492 HRP786481:HRP786492 IBL786481:IBL786492 ILH786481:ILH786492 IVD786481:IVD786492 JEZ786481:JEZ786492 JOV786481:JOV786492 JYR786481:JYR786492 KIN786481:KIN786492 KSJ786481:KSJ786492 LCF786481:LCF786492 LMB786481:LMB786492 LVX786481:LVX786492 MFT786481:MFT786492 MPP786481:MPP786492 MZL786481:MZL786492 NJH786481:NJH786492 NTD786481:NTD786492 OCZ786481:OCZ786492 OMV786481:OMV786492 OWR786481:OWR786492 PGN786481:PGN786492 PQJ786481:PQJ786492 QAF786481:QAF786492 QKB786481:QKB786492 QTX786481:QTX786492 RDT786481:RDT786492 RNP786481:RNP786492 RXL786481:RXL786492 SHH786481:SHH786492 SRD786481:SRD786492 TAZ786481:TAZ786492 TKV786481:TKV786492 TUR786481:TUR786492 UEN786481:UEN786492 UOJ786481:UOJ786492 UYF786481:UYF786492 VIB786481:VIB786492 VRX786481:VRX786492 WBT786481:WBT786492 WLP786481:WLP786492 WVL786481:WVL786492 D852017:D852028 IZ852017:IZ852028 SV852017:SV852028 ACR852017:ACR852028 AMN852017:AMN852028 AWJ852017:AWJ852028 BGF852017:BGF852028 BQB852017:BQB852028 BZX852017:BZX852028 CJT852017:CJT852028 CTP852017:CTP852028 DDL852017:DDL852028 DNH852017:DNH852028 DXD852017:DXD852028 EGZ852017:EGZ852028 EQV852017:EQV852028 FAR852017:FAR852028 FKN852017:FKN852028 FUJ852017:FUJ852028 GEF852017:GEF852028 GOB852017:GOB852028 GXX852017:GXX852028 HHT852017:HHT852028 HRP852017:HRP852028 IBL852017:IBL852028 ILH852017:ILH852028 IVD852017:IVD852028 JEZ852017:JEZ852028 JOV852017:JOV852028 JYR852017:JYR852028 KIN852017:KIN852028 KSJ852017:KSJ852028 LCF852017:LCF852028 LMB852017:LMB852028 LVX852017:LVX852028 MFT852017:MFT852028 MPP852017:MPP852028 MZL852017:MZL852028 NJH852017:NJH852028 NTD852017:NTD852028 OCZ852017:OCZ852028 OMV852017:OMV852028 OWR852017:OWR852028 PGN852017:PGN852028 PQJ852017:PQJ852028 QAF852017:QAF852028 QKB852017:QKB852028 QTX852017:QTX852028 RDT852017:RDT852028 RNP852017:RNP852028 RXL852017:RXL852028 SHH852017:SHH852028 SRD852017:SRD852028 TAZ852017:TAZ852028 TKV852017:TKV852028 TUR852017:TUR852028 UEN852017:UEN852028 UOJ852017:UOJ852028 UYF852017:UYF852028 VIB852017:VIB852028 VRX852017:VRX852028 WBT852017:WBT852028 WLP852017:WLP852028 WVL852017:WVL852028 D917553:D917564 IZ917553:IZ917564 SV917553:SV917564 ACR917553:ACR917564 AMN917553:AMN917564 AWJ917553:AWJ917564 BGF917553:BGF917564 BQB917553:BQB917564 BZX917553:BZX917564 CJT917553:CJT917564 CTP917553:CTP917564 DDL917553:DDL917564 DNH917553:DNH917564 DXD917553:DXD917564 EGZ917553:EGZ917564 EQV917553:EQV917564 FAR917553:FAR917564 FKN917553:FKN917564 FUJ917553:FUJ917564 GEF917553:GEF917564 GOB917553:GOB917564 GXX917553:GXX917564 HHT917553:HHT917564 HRP917553:HRP917564 IBL917553:IBL917564 ILH917553:ILH917564 IVD917553:IVD917564 JEZ917553:JEZ917564 JOV917553:JOV917564 JYR917553:JYR917564 KIN917553:KIN917564 KSJ917553:KSJ917564 LCF917553:LCF917564 LMB917553:LMB917564 LVX917553:LVX917564 MFT917553:MFT917564 MPP917553:MPP917564 MZL917553:MZL917564 NJH917553:NJH917564 NTD917553:NTD917564 OCZ917553:OCZ917564 OMV917553:OMV917564 OWR917553:OWR917564 PGN917553:PGN917564 PQJ917553:PQJ917564 QAF917553:QAF917564 QKB917553:QKB917564 QTX917553:QTX917564 RDT917553:RDT917564 RNP917553:RNP917564 RXL917553:RXL917564 SHH917553:SHH917564 SRD917553:SRD917564 TAZ917553:TAZ917564 TKV917553:TKV917564 TUR917553:TUR917564 UEN917553:UEN917564 UOJ917553:UOJ917564 UYF917553:UYF917564 VIB917553:VIB917564 VRX917553:VRX917564 WBT917553:WBT917564 WLP917553:WLP917564 WVL917553:WVL917564 D983089:D983100 IZ983089:IZ983100 SV983089:SV983100 ACR983089:ACR983100 AMN983089:AMN983100 AWJ983089:AWJ983100 BGF983089:BGF983100 BQB983089:BQB983100 BZX983089:BZX983100 CJT983089:CJT983100 CTP983089:CTP983100 DDL983089:DDL983100 DNH983089:DNH983100 DXD983089:DXD983100 EGZ983089:EGZ983100 EQV983089:EQV983100 FAR983089:FAR983100 FKN983089:FKN983100 FUJ983089:FUJ983100 GEF983089:GEF983100 GOB983089:GOB983100 GXX983089:GXX983100 HHT983089:HHT983100 HRP983089:HRP983100 IBL983089:IBL983100 ILH983089:ILH983100 IVD983089:IVD983100 JEZ983089:JEZ983100 JOV983089:JOV983100 JYR983089:JYR983100 KIN983089:KIN983100 KSJ983089:KSJ983100 LCF983089:LCF983100 LMB983089:LMB983100 LVX983089:LVX983100 MFT983089:MFT983100 MPP983089:MPP983100 MZL983089:MZL983100 NJH983089:NJH983100 NTD983089:NTD983100 OCZ983089:OCZ983100 OMV983089:OMV983100 OWR983089:OWR983100 PGN983089:PGN983100 PQJ983089:PQJ983100 QAF983089:QAF983100 QKB983089:QKB983100 QTX983089:QTX983100 RDT983089:RDT983100 RNP983089:RNP983100 RXL983089:RXL983100 SHH983089:SHH983100 SRD983089:SRD983100 TAZ983089:TAZ983100 TKV983089:TKV983100 TUR983089:TUR983100 UEN983089:UEN983100 UOJ983089:UOJ983100 UYF983089:UYF983100 VIB983089:VIB983100 VRX983089:VRX983100 WBT983089:WBT983100 WLP983089:WLP983100 WVL983089:WVL983100">
      <formula1>$S$3:$S$6</formula1>
    </dataValidation>
    <dataValidation type="list" allowBlank="1" showInputMessage="1" showErrorMessage="1" sqref="K3:K6 JG3:JG6 TC3:TC6 ACY3:ACY6 AMU3:AMU6 AWQ3:AWQ6 BGM3:BGM6 BQI3:BQI6 CAE3:CAE6 CKA3:CKA6 CTW3:CTW6 DDS3:DDS6 DNO3:DNO6 DXK3:DXK6 EHG3:EHG6 ERC3:ERC6 FAY3:FAY6 FKU3:FKU6 FUQ3:FUQ6 GEM3:GEM6 GOI3:GOI6 GYE3:GYE6 HIA3:HIA6 HRW3:HRW6 IBS3:IBS6 ILO3:ILO6 IVK3:IVK6 JFG3:JFG6 JPC3:JPC6 JYY3:JYY6 KIU3:KIU6 KSQ3:KSQ6 LCM3:LCM6 LMI3:LMI6 LWE3:LWE6 MGA3:MGA6 MPW3:MPW6 MZS3:MZS6 NJO3:NJO6 NTK3:NTK6 ODG3:ODG6 ONC3:ONC6 OWY3:OWY6 PGU3:PGU6 PQQ3:PQQ6 QAM3:QAM6 QKI3:QKI6 QUE3:QUE6 REA3:REA6 RNW3:RNW6 RXS3:RXS6 SHO3:SHO6 SRK3:SRK6 TBG3:TBG6 TLC3:TLC6 TUY3:TUY6 UEU3:UEU6 UOQ3:UOQ6 UYM3:UYM6 VII3:VII6 VSE3:VSE6 WCA3:WCA6 WLW3:WLW6 WVS3:WVS6 K65539:K65542 JG65539:JG65542 TC65539:TC65542 ACY65539:ACY65542 AMU65539:AMU65542 AWQ65539:AWQ65542 BGM65539:BGM65542 BQI65539:BQI65542 CAE65539:CAE65542 CKA65539:CKA65542 CTW65539:CTW65542 DDS65539:DDS65542 DNO65539:DNO65542 DXK65539:DXK65542 EHG65539:EHG65542 ERC65539:ERC65542 FAY65539:FAY65542 FKU65539:FKU65542 FUQ65539:FUQ65542 GEM65539:GEM65542 GOI65539:GOI65542 GYE65539:GYE65542 HIA65539:HIA65542 HRW65539:HRW65542 IBS65539:IBS65542 ILO65539:ILO65542 IVK65539:IVK65542 JFG65539:JFG65542 JPC65539:JPC65542 JYY65539:JYY65542 KIU65539:KIU65542 KSQ65539:KSQ65542 LCM65539:LCM65542 LMI65539:LMI65542 LWE65539:LWE65542 MGA65539:MGA65542 MPW65539:MPW65542 MZS65539:MZS65542 NJO65539:NJO65542 NTK65539:NTK65542 ODG65539:ODG65542 ONC65539:ONC65542 OWY65539:OWY65542 PGU65539:PGU65542 PQQ65539:PQQ65542 QAM65539:QAM65542 QKI65539:QKI65542 QUE65539:QUE65542 REA65539:REA65542 RNW65539:RNW65542 RXS65539:RXS65542 SHO65539:SHO65542 SRK65539:SRK65542 TBG65539:TBG65542 TLC65539:TLC65542 TUY65539:TUY65542 UEU65539:UEU65542 UOQ65539:UOQ65542 UYM65539:UYM65542 VII65539:VII65542 VSE65539:VSE65542 WCA65539:WCA65542 WLW65539:WLW65542 WVS65539:WVS65542 K131075:K131078 JG131075:JG131078 TC131075:TC131078 ACY131075:ACY131078 AMU131075:AMU131078 AWQ131075:AWQ131078 BGM131075:BGM131078 BQI131075:BQI131078 CAE131075:CAE131078 CKA131075:CKA131078 CTW131075:CTW131078 DDS131075:DDS131078 DNO131075:DNO131078 DXK131075:DXK131078 EHG131075:EHG131078 ERC131075:ERC131078 FAY131075:FAY131078 FKU131075:FKU131078 FUQ131075:FUQ131078 GEM131075:GEM131078 GOI131075:GOI131078 GYE131075:GYE131078 HIA131075:HIA131078 HRW131075:HRW131078 IBS131075:IBS131078 ILO131075:ILO131078 IVK131075:IVK131078 JFG131075:JFG131078 JPC131075:JPC131078 JYY131075:JYY131078 KIU131075:KIU131078 KSQ131075:KSQ131078 LCM131075:LCM131078 LMI131075:LMI131078 LWE131075:LWE131078 MGA131075:MGA131078 MPW131075:MPW131078 MZS131075:MZS131078 NJO131075:NJO131078 NTK131075:NTK131078 ODG131075:ODG131078 ONC131075:ONC131078 OWY131075:OWY131078 PGU131075:PGU131078 PQQ131075:PQQ131078 QAM131075:QAM131078 QKI131075:QKI131078 QUE131075:QUE131078 REA131075:REA131078 RNW131075:RNW131078 RXS131075:RXS131078 SHO131075:SHO131078 SRK131075:SRK131078 TBG131075:TBG131078 TLC131075:TLC131078 TUY131075:TUY131078 UEU131075:UEU131078 UOQ131075:UOQ131078 UYM131075:UYM131078 VII131075:VII131078 VSE131075:VSE131078 WCA131075:WCA131078 WLW131075:WLW131078 WVS131075:WVS131078 K196611:K196614 JG196611:JG196614 TC196611:TC196614 ACY196611:ACY196614 AMU196611:AMU196614 AWQ196611:AWQ196614 BGM196611:BGM196614 BQI196611:BQI196614 CAE196611:CAE196614 CKA196611:CKA196614 CTW196611:CTW196614 DDS196611:DDS196614 DNO196611:DNO196614 DXK196611:DXK196614 EHG196611:EHG196614 ERC196611:ERC196614 FAY196611:FAY196614 FKU196611:FKU196614 FUQ196611:FUQ196614 GEM196611:GEM196614 GOI196611:GOI196614 GYE196611:GYE196614 HIA196611:HIA196614 HRW196611:HRW196614 IBS196611:IBS196614 ILO196611:ILO196614 IVK196611:IVK196614 JFG196611:JFG196614 JPC196611:JPC196614 JYY196611:JYY196614 KIU196611:KIU196614 KSQ196611:KSQ196614 LCM196611:LCM196614 LMI196611:LMI196614 LWE196611:LWE196614 MGA196611:MGA196614 MPW196611:MPW196614 MZS196611:MZS196614 NJO196611:NJO196614 NTK196611:NTK196614 ODG196611:ODG196614 ONC196611:ONC196614 OWY196611:OWY196614 PGU196611:PGU196614 PQQ196611:PQQ196614 QAM196611:QAM196614 QKI196611:QKI196614 QUE196611:QUE196614 REA196611:REA196614 RNW196611:RNW196614 RXS196611:RXS196614 SHO196611:SHO196614 SRK196611:SRK196614 TBG196611:TBG196614 TLC196611:TLC196614 TUY196611:TUY196614 UEU196611:UEU196614 UOQ196611:UOQ196614 UYM196611:UYM196614 VII196611:VII196614 VSE196611:VSE196614 WCA196611:WCA196614 WLW196611:WLW196614 WVS196611:WVS196614 K262147:K262150 JG262147:JG262150 TC262147:TC262150 ACY262147:ACY262150 AMU262147:AMU262150 AWQ262147:AWQ262150 BGM262147:BGM262150 BQI262147:BQI262150 CAE262147:CAE262150 CKA262147:CKA262150 CTW262147:CTW262150 DDS262147:DDS262150 DNO262147:DNO262150 DXK262147:DXK262150 EHG262147:EHG262150 ERC262147:ERC262150 FAY262147:FAY262150 FKU262147:FKU262150 FUQ262147:FUQ262150 GEM262147:GEM262150 GOI262147:GOI262150 GYE262147:GYE262150 HIA262147:HIA262150 HRW262147:HRW262150 IBS262147:IBS262150 ILO262147:ILO262150 IVK262147:IVK262150 JFG262147:JFG262150 JPC262147:JPC262150 JYY262147:JYY262150 KIU262147:KIU262150 KSQ262147:KSQ262150 LCM262147:LCM262150 LMI262147:LMI262150 LWE262147:LWE262150 MGA262147:MGA262150 MPW262147:MPW262150 MZS262147:MZS262150 NJO262147:NJO262150 NTK262147:NTK262150 ODG262147:ODG262150 ONC262147:ONC262150 OWY262147:OWY262150 PGU262147:PGU262150 PQQ262147:PQQ262150 QAM262147:QAM262150 QKI262147:QKI262150 QUE262147:QUE262150 REA262147:REA262150 RNW262147:RNW262150 RXS262147:RXS262150 SHO262147:SHO262150 SRK262147:SRK262150 TBG262147:TBG262150 TLC262147:TLC262150 TUY262147:TUY262150 UEU262147:UEU262150 UOQ262147:UOQ262150 UYM262147:UYM262150 VII262147:VII262150 VSE262147:VSE262150 WCA262147:WCA262150 WLW262147:WLW262150 WVS262147:WVS262150 K327683:K327686 JG327683:JG327686 TC327683:TC327686 ACY327683:ACY327686 AMU327683:AMU327686 AWQ327683:AWQ327686 BGM327683:BGM327686 BQI327683:BQI327686 CAE327683:CAE327686 CKA327683:CKA327686 CTW327683:CTW327686 DDS327683:DDS327686 DNO327683:DNO327686 DXK327683:DXK327686 EHG327683:EHG327686 ERC327683:ERC327686 FAY327683:FAY327686 FKU327683:FKU327686 FUQ327683:FUQ327686 GEM327683:GEM327686 GOI327683:GOI327686 GYE327683:GYE327686 HIA327683:HIA327686 HRW327683:HRW327686 IBS327683:IBS327686 ILO327683:ILO327686 IVK327683:IVK327686 JFG327683:JFG327686 JPC327683:JPC327686 JYY327683:JYY327686 KIU327683:KIU327686 KSQ327683:KSQ327686 LCM327683:LCM327686 LMI327683:LMI327686 LWE327683:LWE327686 MGA327683:MGA327686 MPW327683:MPW327686 MZS327683:MZS327686 NJO327683:NJO327686 NTK327683:NTK327686 ODG327683:ODG327686 ONC327683:ONC327686 OWY327683:OWY327686 PGU327683:PGU327686 PQQ327683:PQQ327686 QAM327683:QAM327686 QKI327683:QKI327686 QUE327683:QUE327686 REA327683:REA327686 RNW327683:RNW327686 RXS327683:RXS327686 SHO327683:SHO327686 SRK327683:SRK327686 TBG327683:TBG327686 TLC327683:TLC327686 TUY327683:TUY327686 UEU327683:UEU327686 UOQ327683:UOQ327686 UYM327683:UYM327686 VII327683:VII327686 VSE327683:VSE327686 WCA327683:WCA327686 WLW327683:WLW327686 WVS327683:WVS327686 K393219:K393222 JG393219:JG393222 TC393219:TC393222 ACY393219:ACY393222 AMU393219:AMU393222 AWQ393219:AWQ393222 BGM393219:BGM393222 BQI393219:BQI393222 CAE393219:CAE393222 CKA393219:CKA393222 CTW393219:CTW393222 DDS393219:DDS393222 DNO393219:DNO393222 DXK393219:DXK393222 EHG393219:EHG393222 ERC393219:ERC393222 FAY393219:FAY393222 FKU393219:FKU393222 FUQ393219:FUQ393222 GEM393219:GEM393222 GOI393219:GOI393222 GYE393219:GYE393222 HIA393219:HIA393222 HRW393219:HRW393222 IBS393219:IBS393222 ILO393219:ILO393222 IVK393219:IVK393222 JFG393219:JFG393222 JPC393219:JPC393222 JYY393219:JYY393222 KIU393219:KIU393222 KSQ393219:KSQ393222 LCM393219:LCM393222 LMI393219:LMI393222 LWE393219:LWE393222 MGA393219:MGA393222 MPW393219:MPW393222 MZS393219:MZS393222 NJO393219:NJO393222 NTK393219:NTK393222 ODG393219:ODG393222 ONC393219:ONC393222 OWY393219:OWY393222 PGU393219:PGU393222 PQQ393219:PQQ393222 QAM393219:QAM393222 QKI393219:QKI393222 QUE393219:QUE393222 REA393219:REA393222 RNW393219:RNW393222 RXS393219:RXS393222 SHO393219:SHO393222 SRK393219:SRK393222 TBG393219:TBG393222 TLC393219:TLC393222 TUY393219:TUY393222 UEU393219:UEU393222 UOQ393219:UOQ393222 UYM393219:UYM393222 VII393219:VII393222 VSE393219:VSE393222 WCA393219:WCA393222 WLW393219:WLW393222 WVS393219:WVS393222 K458755:K458758 JG458755:JG458758 TC458755:TC458758 ACY458755:ACY458758 AMU458755:AMU458758 AWQ458755:AWQ458758 BGM458755:BGM458758 BQI458755:BQI458758 CAE458755:CAE458758 CKA458755:CKA458758 CTW458755:CTW458758 DDS458755:DDS458758 DNO458755:DNO458758 DXK458755:DXK458758 EHG458755:EHG458758 ERC458755:ERC458758 FAY458755:FAY458758 FKU458755:FKU458758 FUQ458755:FUQ458758 GEM458755:GEM458758 GOI458755:GOI458758 GYE458755:GYE458758 HIA458755:HIA458758 HRW458755:HRW458758 IBS458755:IBS458758 ILO458755:ILO458758 IVK458755:IVK458758 JFG458755:JFG458758 JPC458755:JPC458758 JYY458755:JYY458758 KIU458755:KIU458758 KSQ458755:KSQ458758 LCM458755:LCM458758 LMI458755:LMI458758 LWE458755:LWE458758 MGA458755:MGA458758 MPW458755:MPW458758 MZS458755:MZS458758 NJO458755:NJO458758 NTK458755:NTK458758 ODG458755:ODG458758 ONC458755:ONC458758 OWY458755:OWY458758 PGU458755:PGU458758 PQQ458755:PQQ458758 QAM458755:QAM458758 QKI458755:QKI458758 QUE458755:QUE458758 REA458755:REA458758 RNW458755:RNW458758 RXS458755:RXS458758 SHO458755:SHO458758 SRK458755:SRK458758 TBG458755:TBG458758 TLC458755:TLC458758 TUY458755:TUY458758 UEU458755:UEU458758 UOQ458755:UOQ458758 UYM458755:UYM458758 VII458755:VII458758 VSE458755:VSE458758 WCA458755:WCA458758 WLW458755:WLW458758 WVS458755:WVS458758 K524291:K524294 JG524291:JG524294 TC524291:TC524294 ACY524291:ACY524294 AMU524291:AMU524294 AWQ524291:AWQ524294 BGM524291:BGM524294 BQI524291:BQI524294 CAE524291:CAE524294 CKA524291:CKA524294 CTW524291:CTW524294 DDS524291:DDS524294 DNO524291:DNO524294 DXK524291:DXK524294 EHG524291:EHG524294 ERC524291:ERC524294 FAY524291:FAY524294 FKU524291:FKU524294 FUQ524291:FUQ524294 GEM524291:GEM524294 GOI524291:GOI524294 GYE524291:GYE524294 HIA524291:HIA524294 HRW524291:HRW524294 IBS524291:IBS524294 ILO524291:ILO524294 IVK524291:IVK524294 JFG524291:JFG524294 JPC524291:JPC524294 JYY524291:JYY524294 KIU524291:KIU524294 KSQ524291:KSQ524294 LCM524291:LCM524294 LMI524291:LMI524294 LWE524291:LWE524294 MGA524291:MGA524294 MPW524291:MPW524294 MZS524291:MZS524294 NJO524291:NJO524294 NTK524291:NTK524294 ODG524291:ODG524294 ONC524291:ONC524294 OWY524291:OWY524294 PGU524291:PGU524294 PQQ524291:PQQ524294 QAM524291:QAM524294 QKI524291:QKI524294 QUE524291:QUE524294 REA524291:REA524294 RNW524291:RNW524294 RXS524291:RXS524294 SHO524291:SHO524294 SRK524291:SRK524294 TBG524291:TBG524294 TLC524291:TLC524294 TUY524291:TUY524294 UEU524291:UEU524294 UOQ524291:UOQ524294 UYM524291:UYM524294 VII524291:VII524294 VSE524291:VSE524294 WCA524291:WCA524294 WLW524291:WLW524294 WVS524291:WVS524294 K589827:K589830 JG589827:JG589830 TC589827:TC589830 ACY589827:ACY589830 AMU589827:AMU589830 AWQ589827:AWQ589830 BGM589827:BGM589830 BQI589827:BQI589830 CAE589827:CAE589830 CKA589827:CKA589830 CTW589827:CTW589830 DDS589827:DDS589830 DNO589827:DNO589830 DXK589827:DXK589830 EHG589827:EHG589830 ERC589827:ERC589830 FAY589827:FAY589830 FKU589827:FKU589830 FUQ589827:FUQ589830 GEM589827:GEM589830 GOI589827:GOI589830 GYE589827:GYE589830 HIA589827:HIA589830 HRW589827:HRW589830 IBS589827:IBS589830 ILO589827:ILO589830 IVK589827:IVK589830 JFG589827:JFG589830 JPC589827:JPC589830 JYY589827:JYY589830 KIU589827:KIU589830 KSQ589827:KSQ589830 LCM589827:LCM589830 LMI589827:LMI589830 LWE589827:LWE589830 MGA589827:MGA589830 MPW589827:MPW589830 MZS589827:MZS589830 NJO589827:NJO589830 NTK589827:NTK589830 ODG589827:ODG589830 ONC589827:ONC589830 OWY589827:OWY589830 PGU589827:PGU589830 PQQ589827:PQQ589830 QAM589827:QAM589830 QKI589827:QKI589830 QUE589827:QUE589830 REA589827:REA589830 RNW589827:RNW589830 RXS589827:RXS589830 SHO589827:SHO589830 SRK589827:SRK589830 TBG589827:TBG589830 TLC589827:TLC589830 TUY589827:TUY589830 UEU589827:UEU589830 UOQ589827:UOQ589830 UYM589827:UYM589830 VII589827:VII589830 VSE589827:VSE589830 WCA589827:WCA589830 WLW589827:WLW589830 WVS589827:WVS589830 K655363:K655366 JG655363:JG655366 TC655363:TC655366 ACY655363:ACY655366 AMU655363:AMU655366 AWQ655363:AWQ655366 BGM655363:BGM655366 BQI655363:BQI655366 CAE655363:CAE655366 CKA655363:CKA655366 CTW655363:CTW655366 DDS655363:DDS655366 DNO655363:DNO655366 DXK655363:DXK655366 EHG655363:EHG655366 ERC655363:ERC655366 FAY655363:FAY655366 FKU655363:FKU655366 FUQ655363:FUQ655366 GEM655363:GEM655366 GOI655363:GOI655366 GYE655363:GYE655366 HIA655363:HIA655366 HRW655363:HRW655366 IBS655363:IBS655366 ILO655363:ILO655366 IVK655363:IVK655366 JFG655363:JFG655366 JPC655363:JPC655366 JYY655363:JYY655366 KIU655363:KIU655366 KSQ655363:KSQ655366 LCM655363:LCM655366 LMI655363:LMI655366 LWE655363:LWE655366 MGA655363:MGA655366 MPW655363:MPW655366 MZS655363:MZS655366 NJO655363:NJO655366 NTK655363:NTK655366 ODG655363:ODG655366 ONC655363:ONC655366 OWY655363:OWY655366 PGU655363:PGU655366 PQQ655363:PQQ655366 QAM655363:QAM655366 QKI655363:QKI655366 QUE655363:QUE655366 REA655363:REA655366 RNW655363:RNW655366 RXS655363:RXS655366 SHO655363:SHO655366 SRK655363:SRK655366 TBG655363:TBG655366 TLC655363:TLC655366 TUY655363:TUY655366 UEU655363:UEU655366 UOQ655363:UOQ655366 UYM655363:UYM655366 VII655363:VII655366 VSE655363:VSE655366 WCA655363:WCA655366 WLW655363:WLW655366 WVS655363:WVS655366 K720899:K720902 JG720899:JG720902 TC720899:TC720902 ACY720899:ACY720902 AMU720899:AMU720902 AWQ720899:AWQ720902 BGM720899:BGM720902 BQI720899:BQI720902 CAE720899:CAE720902 CKA720899:CKA720902 CTW720899:CTW720902 DDS720899:DDS720902 DNO720899:DNO720902 DXK720899:DXK720902 EHG720899:EHG720902 ERC720899:ERC720902 FAY720899:FAY720902 FKU720899:FKU720902 FUQ720899:FUQ720902 GEM720899:GEM720902 GOI720899:GOI720902 GYE720899:GYE720902 HIA720899:HIA720902 HRW720899:HRW720902 IBS720899:IBS720902 ILO720899:ILO720902 IVK720899:IVK720902 JFG720899:JFG720902 JPC720899:JPC720902 JYY720899:JYY720902 KIU720899:KIU720902 KSQ720899:KSQ720902 LCM720899:LCM720902 LMI720899:LMI720902 LWE720899:LWE720902 MGA720899:MGA720902 MPW720899:MPW720902 MZS720899:MZS720902 NJO720899:NJO720902 NTK720899:NTK720902 ODG720899:ODG720902 ONC720899:ONC720902 OWY720899:OWY720902 PGU720899:PGU720902 PQQ720899:PQQ720902 QAM720899:QAM720902 QKI720899:QKI720902 QUE720899:QUE720902 REA720899:REA720902 RNW720899:RNW720902 RXS720899:RXS720902 SHO720899:SHO720902 SRK720899:SRK720902 TBG720899:TBG720902 TLC720899:TLC720902 TUY720899:TUY720902 UEU720899:UEU720902 UOQ720899:UOQ720902 UYM720899:UYM720902 VII720899:VII720902 VSE720899:VSE720902 WCA720899:WCA720902 WLW720899:WLW720902 WVS720899:WVS720902 K786435:K786438 JG786435:JG786438 TC786435:TC786438 ACY786435:ACY786438 AMU786435:AMU786438 AWQ786435:AWQ786438 BGM786435:BGM786438 BQI786435:BQI786438 CAE786435:CAE786438 CKA786435:CKA786438 CTW786435:CTW786438 DDS786435:DDS786438 DNO786435:DNO786438 DXK786435:DXK786438 EHG786435:EHG786438 ERC786435:ERC786438 FAY786435:FAY786438 FKU786435:FKU786438 FUQ786435:FUQ786438 GEM786435:GEM786438 GOI786435:GOI786438 GYE786435:GYE786438 HIA786435:HIA786438 HRW786435:HRW786438 IBS786435:IBS786438 ILO786435:ILO786438 IVK786435:IVK786438 JFG786435:JFG786438 JPC786435:JPC786438 JYY786435:JYY786438 KIU786435:KIU786438 KSQ786435:KSQ786438 LCM786435:LCM786438 LMI786435:LMI786438 LWE786435:LWE786438 MGA786435:MGA786438 MPW786435:MPW786438 MZS786435:MZS786438 NJO786435:NJO786438 NTK786435:NTK786438 ODG786435:ODG786438 ONC786435:ONC786438 OWY786435:OWY786438 PGU786435:PGU786438 PQQ786435:PQQ786438 QAM786435:QAM786438 QKI786435:QKI786438 QUE786435:QUE786438 REA786435:REA786438 RNW786435:RNW786438 RXS786435:RXS786438 SHO786435:SHO786438 SRK786435:SRK786438 TBG786435:TBG786438 TLC786435:TLC786438 TUY786435:TUY786438 UEU786435:UEU786438 UOQ786435:UOQ786438 UYM786435:UYM786438 VII786435:VII786438 VSE786435:VSE786438 WCA786435:WCA786438 WLW786435:WLW786438 WVS786435:WVS786438 K851971:K851974 JG851971:JG851974 TC851971:TC851974 ACY851971:ACY851974 AMU851971:AMU851974 AWQ851971:AWQ851974 BGM851971:BGM851974 BQI851971:BQI851974 CAE851971:CAE851974 CKA851971:CKA851974 CTW851971:CTW851974 DDS851971:DDS851974 DNO851971:DNO851974 DXK851971:DXK851974 EHG851971:EHG851974 ERC851971:ERC851974 FAY851971:FAY851974 FKU851971:FKU851974 FUQ851971:FUQ851974 GEM851971:GEM851974 GOI851971:GOI851974 GYE851971:GYE851974 HIA851971:HIA851974 HRW851971:HRW851974 IBS851971:IBS851974 ILO851971:ILO851974 IVK851971:IVK851974 JFG851971:JFG851974 JPC851971:JPC851974 JYY851971:JYY851974 KIU851971:KIU851974 KSQ851971:KSQ851974 LCM851971:LCM851974 LMI851971:LMI851974 LWE851971:LWE851974 MGA851971:MGA851974 MPW851971:MPW851974 MZS851971:MZS851974 NJO851971:NJO851974 NTK851971:NTK851974 ODG851971:ODG851974 ONC851971:ONC851974 OWY851971:OWY851974 PGU851971:PGU851974 PQQ851971:PQQ851974 QAM851971:QAM851974 QKI851971:QKI851974 QUE851971:QUE851974 REA851971:REA851974 RNW851971:RNW851974 RXS851971:RXS851974 SHO851971:SHO851974 SRK851971:SRK851974 TBG851971:TBG851974 TLC851971:TLC851974 TUY851971:TUY851974 UEU851971:UEU851974 UOQ851971:UOQ851974 UYM851971:UYM851974 VII851971:VII851974 VSE851971:VSE851974 WCA851971:WCA851974 WLW851971:WLW851974 WVS851971:WVS851974 K917507:K917510 JG917507:JG917510 TC917507:TC917510 ACY917507:ACY917510 AMU917507:AMU917510 AWQ917507:AWQ917510 BGM917507:BGM917510 BQI917507:BQI917510 CAE917507:CAE917510 CKA917507:CKA917510 CTW917507:CTW917510 DDS917507:DDS917510 DNO917507:DNO917510 DXK917507:DXK917510 EHG917507:EHG917510 ERC917507:ERC917510 FAY917507:FAY917510 FKU917507:FKU917510 FUQ917507:FUQ917510 GEM917507:GEM917510 GOI917507:GOI917510 GYE917507:GYE917510 HIA917507:HIA917510 HRW917507:HRW917510 IBS917507:IBS917510 ILO917507:ILO917510 IVK917507:IVK917510 JFG917507:JFG917510 JPC917507:JPC917510 JYY917507:JYY917510 KIU917507:KIU917510 KSQ917507:KSQ917510 LCM917507:LCM917510 LMI917507:LMI917510 LWE917507:LWE917510 MGA917507:MGA917510 MPW917507:MPW917510 MZS917507:MZS917510 NJO917507:NJO917510 NTK917507:NTK917510 ODG917507:ODG917510 ONC917507:ONC917510 OWY917507:OWY917510 PGU917507:PGU917510 PQQ917507:PQQ917510 QAM917507:QAM917510 QKI917507:QKI917510 QUE917507:QUE917510 REA917507:REA917510 RNW917507:RNW917510 RXS917507:RXS917510 SHO917507:SHO917510 SRK917507:SRK917510 TBG917507:TBG917510 TLC917507:TLC917510 TUY917507:TUY917510 UEU917507:UEU917510 UOQ917507:UOQ917510 UYM917507:UYM917510 VII917507:VII917510 VSE917507:VSE917510 WCA917507:WCA917510 WLW917507:WLW917510 WVS917507:WVS917510 K983043:K983046 JG983043:JG983046 TC983043:TC983046 ACY983043:ACY983046 AMU983043:AMU983046 AWQ983043:AWQ983046 BGM983043:BGM983046 BQI983043:BQI983046 CAE983043:CAE983046 CKA983043:CKA983046 CTW983043:CTW983046 DDS983043:DDS983046 DNO983043:DNO983046 DXK983043:DXK983046 EHG983043:EHG983046 ERC983043:ERC983046 FAY983043:FAY983046 FKU983043:FKU983046 FUQ983043:FUQ983046 GEM983043:GEM983046 GOI983043:GOI983046 GYE983043:GYE983046 HIA983043:HIA983046 HRW983043:HRW983046 IBS983043:IBS983046 ILO983043:ILO983046 IVK983043:IVK983046 JFG983043:JFG983046 JPC983043:JPC983046 JYY983043:JYY983046 KIU983043:KIU983046 KSQ983043:KSQ983046 LCM983043:LCM983046 LMI983043:LMI983046 LWE983043:LWE983046 MGA983043:MGA983046 MPW983043:MPW983046 MZS983043:MZS983046 NJO983043:NJO983046 NTK983043:NTK983046 ODG983043:ODG983046 ONC983043:ONC983046 OWY983043:OWY983046 PGU983043:PGU983046 PQQ983043:PQQ983046 QAM983043:QAM983046 QKI983043:QKI983046 QUE983043:QUE983046 REA983043:REA983046 RNW983043:RNW983046 RXS983043:RXS983046 SHO983043:SHO983046 SRK983043:SRK983046 TBG983043:TBG983046 TLC983043:TLC983046 TUY983043:TUY983046 UEU983043:UEU983046 UOQ983043:UOQ983046 UYM983043:UYM983046 VII983043:VII983046 VSE983043:VSE983046 WCA983043:WCA983046 WLW983043:WLW983046 WVS983043:WVS983046 L5:R6 JH5:JN6 TD5:TJ6 ACZ5:ADF6 AMV5:ANB6 AWR5:AWX6 BGN5:BGT6 BQJ5:BQP6 CAF5:CAL6 CKB5:CKH6 CTX5:CUD6 DDT5:DDZ6 DNP5:DNV6 DXL5:DXR6 EHH5:EHN6 ERD5:ERJ6 FAZ5:FBF6 FKV5:FLB6 FUR5:FUX6 GEN5:GET6 GOJ5:GOP6 GYF5:GYL6 HIB5:HIH6 HRX5:HSD6 IBT5:IBZ6 ILP5:ILV6 IVL5:IVR6 JFH5:JFN6 JPD5:JPJ6 JYZ5:JZF6 KIV5:KJB6 KSR5:KSX6 LCN5:LCT6 LMJ5:LMP6 LWF5:LWL6 MGB5:MGH6 MPX5:MQD6 MZT5:MZZ6 NJP5:NJV6 NTL5:NTR6 ODH5:ODN6 OND5:ONJ6 OWZ5:OXF6 PGV5:PHB6 PQR5:PQX6 QAN5:QAT6 QKJ5:QKP6 QUF5:QUL6 REB5:REH6 RNX5:ROD6 RXT5:RXZ6 SHP5:SHV6 SRL5:SRR6 TBH5:TBN6 TLD5:TLJ6 TUZ5:TVF6 UEV5:UFB6 UOR5:UOX6 UYN5:UYT6 VIJ5:VIP6 VSF5:VSL6 WCB5:WCH6 WLX5:WMD6 WVT5:WVZ6 L65541:R65542 JH65541:JN65542 TD65541:TJ65542 ACZ65541:ADF65542 AMV65541:ANB65542 AWR65541:AWX65542 BGN65541:BGT65542 BQJ65541:BQP65542 CAF65541:CAL65542 CKB65541:CKH65542 CTX65541:CUD65542 DDT65541:DDZ65542 DNP65541:DNV65542 DXL65541:DXR65542 EHH65541:EHN65542 ERD65541:ERJ65542 FAZ65541:FBF65542 FKV65541:FLB65542 FUR65541:FUX65542 GEN65541:GET65542 GOJ65541:GOP65542 GYF65541:GYL65542 HIB65541:HIH65542 HRX65541:HSD65542 IBT65541:IBZ65542 ILP65541:ILV65542 IVL65541:IVR65542 JFH65541:JFN65542 JPD65541:JPJ65542 JYZ65541:JZF65542 KIV65541:KJB65542 KSR65541:KSX65542 LCN65541:LCT65542 LMJ65541:LMP65542 LWF65541:LWL65542 MGB65541:MGH65542 MPX65541:MQD65542 MZT65541:MZZ65542 NJP65541:NJV65542 NTL65541:NTR65542 ODH65541:ODN65542 OND65541:ONJ65542 OWZ65541:OXF65542 PGV65541:PHB65542 PQR65541:PQX65542 QAN65541:QAT65542 QKJ65541:QKP65542 QUF65541:QUL65542 REB65541:REH65542 RNX65541:ROD65542 RXT65541:RXZ65542 SHP65541:SHV65542 SRL65541:SRR65542 TBH65541:TBN65542 TLD65541:TLJ65542 TUZ65541:TVF65542 UEV65541:UFB65542 UOR65541:UOX65542 UYN65541:UYT65542 VIJ65541:VIP65542 VSF65541:VSL65542 WCB65541:WCH65542 WLX65541:WMD65542 WVT65541:WVZ65542 L131077:R131078 JH131077:JN131078 TD131077:TJ131078 ACZ131077:ADF131078 AMV131077:ANB131078 AWR131077:AWX131078 BGN131077:BGT131078 BQJ131077:BQP131078 CAF131077:CAL131078 CKB131077:CKH131078 CTX131077:CUD131078 DDT131077:DDZ131078 DNP131077:DNV131078 DXL131077:DXR131078 EHH131077:EHN131078 ERD131077:ERJ131078 FAZ131077:FBF131078 FKV131077:FLB131078 FUR131077:FUX131078 GEN131077:GET131078 GOJ131077:GOP131078 GYF131077:GYL131078 HIB131077:HIH131078 HRX131077:HSD131078 IBT131077:IBZ131078 ILP131077:ILV131078 IVL131077:IVR131078 JFH131077:JFN131078 JPD131077:JPJ131078 JYZ131077:JZF131078 KIV131077:KJB131078 KSR131077:KSX131078 LCN131077:LCT131078 LMJ131077:LMP131078 LWF131077:LWL131078 MGB131077:MGH131078 MPX131077:MQD131078 MZT131077:MZZ131078 NJP131077:NJV131078 NTL131077:NTR131078 ODH131077:ODN131078 OND131077:ONJ131078 OWZ131077:OXF131078 PGV131077:PHB131078 PQR131077:PQX131078 QAN131077:QAT131078 QKJ131077:QKP131078 QUF131077:QUL131078 REB131077:REH131078 RNX131077:ROD131078 RXT131077:RXZ131078 SHP131077:SHV131078 SRL131077:SRR131078 TBH131077:TBN131078 TLD131077:TLJ131078 TUZ131077:TVF131078 UEV131077:UFB131078 UOR131077:UOX131078 UYN131077:UYT131078 VIJ131077:VIP131078 VSF131077:VSL131078 WCB131077:WCH131078 WLX131077:WMD131078 WVT131077:WVZ131078 L196613:R196614 JH196613:JN196614 TD196613:TJ196614 ACZ196613:ADF196614 AMV196613:ANB196614 AWR196613:AWX196614 BGN196613:BGT196614 BQJ196613:BQP196614 CAF196613:CAL196614 CKB196613:CKH196614 CTX196613:CUD196614 DDT196613:DDZ196614 DNP196613:DNV196614 DXL196613:DXR196614 EHH196613:EHN196614 ERD196613:ERJ196614 FAZ196613:FBF196614 FKV196613:FLB196614 FUR196613:FUX196614 GEN196613:GET196614 GOJ196613:GOP196614 GYF196613:GYL196614 HIB196613:HIH196614 HRX196613:HSD196614 IBT196613:IBZ196614 ILP196613:ILV196614 IVL196613:IVR196614 JFH196613:JFN196614 JPD196613:JPJ196614 JYZ196613:JZF196614 KIV196613:KJB196614 KSR196613:KSX196614 LCN196613:LCT196614 LMJ196613:LMP196614 LWF196613:LWL196614 MGB196613:MGH196614 MPX196613:MQD196614 MZT196613:MZZ196614 NJP196613:NJV196614 NTL196613:NTR196614 ODH196613:ODN196614 OND196613:ONJ196614 OWZ196613:OXF196614 PGV196613:PHB196614 PQR196613:PQX196614 QAN196613:QAT196614 QKJ196613:QKP196614 QUF196613:QUL196614 REB196613:REH196614 RNX196613:ROD196614 RXT196613:RXZ196614 SHP196613:SHV196614 SRL196613:SRR196614 TBH196613:TBN196614 TLD196613:TLJ196614 TUZ196613:TVF196614 UEV196613:UFB196614 UOR196613:UOX196614 UYN196613:UYT196614 VIJ196613:VIP196614 VSF196613:VSL196614 WCB196613:WCH196614 WLX196613:WMD196614 WVT196613:WVZ196614 L262149:R262150 JH262149:JN262150 TD262149:TJ262150 ACZ262149:ADF262150 AMV262149:ANB262150 AWR262149:AWX262150 BGN262149:BGT262150 BQJ262149:BQP262150 CAF262149:CAL262150 CKB262149:CKH262150 CTX262149:CUD262150 DDT262149:DDZ262150 DNP262149:DNV262150 DXL262149:DXR262150 EHH262149:EHN262150 ERD262149:ERJ262150 FAZ262149:FBF262150 FKV262149:FLB262150 FUR262149:FUX262150 GEN262149:GET262150 GOJ262149:GOP262150 GYF262149:GYL262150 HIB262149:HIH262150 HRX262149:HSD262150 IBT262149:IBZ262150 ILP262149:ILV262150 IVL262149:IVR262150 JFH262149:JFN262150 JPD262149:JPJ262150 JYZ262149:JZF262150 KIV262149:KJB262150 KSR262149:KSX262150 LCN262149:LCT262150 LMJ262149:LMP262150 LWF262149:LWL262150 MGB262149:MGH262150 MPX262149:MQD262150 MZT262149:MZZ262150 NJP262149:NJV262150 NTL262149:NTR262150 ODH262149:ODN262150 OND262149:ONJ262150 OWZ262149:OXF262150 PGV262149:PHB262150 PQR262149:PQX262150 QAN262149:QAT262150 QKJ262149:QKP262150 QUF262149:QUL262150 REB262149:REH262150 RNX262149:ROD262150 RXT262149:RXZ262150 SHP262149:SHV262150 SRL262149:SRR262150 TBH262149:TBN262150 TLD262149:TLJ262150 TUZ262149:TVF262150 UEV262149:UFB262150 UOR262149:UOX262150 UYN262149:UYT262150 VIJ262149:VIP262150 VSF262149:VSL262150 WCB262149:WCH262150 WLX262149:WMD262150 WVT262149:WVZ262150 L327685:R327686 JH327685:JN327686 TD327685:TJ327686 ACZ327685:ADF327686 AMV327685:ANB327686 AWR327685:AWX327686 BGN327685:BGT327686 BQJ327685:BQP327686 CAF327685:CAL327686 CKB327685:CKH327686 CTX327685:CUD327686 DDT327685:DDZ327686 DNP327685:DNV327686 DXL327685:DXR327686 EHH327685:EHN327686 ERD327685:ERJ327686 FAZ327685:FBF327686 FKV327685:FLB327686 FUR327685:FUX327686 GEN327685:GET327686 GOJ327685:GOP327686 GYF327685:GYL327686 HIB327685:HIH327686 HRX327685:HSD327686 IBT327685:IBZ327686 ILP327685:ILV327686 IVL327685:IVR327686 JFH327685:JFN327686 JPD327685:JPJ327686 JYZ327685:JZF327686 KIV327685:KJB327686 KSR327685:KSX327686 LCN327685:LCT327686 LMJ327685:LMP327686 LWF327685:LWL327686 MGB327685:MGH327686 MPX327685:MQD327686 MZT327685:MZZ327686 NJP327685:NJV327686 NTL327685:NTR327686 ODH327685:ODN327686 OND327685:ONJ327686 OWZ327685:OXF327686 PGV327685:PHB327686 PQR327685:PQX327686 QAN327685:QAT327686 QKJ327685:QKP327686 QUF327685:QUL327686 REB327685:REH327686 RNX327685:ROD327686 RXT327685:RXZ327686 SHP327685:SHV327686 SRL327685:SRR327686 TBH327685:TBN327686 TLD327685:TLJ327686 TUZ327685:TVF327686 UEV327685:UFB327686 UOR327685:UOX327686 UYN327685:UYT327686 VIJ327685:VIP327686 VSF327685:VSL327686 WCB327685:WCH327686 WLX327685:WMD327686 WVT327685:WVZ327686 L393221:R393222 JH393221:JN393222 TD393221:TJ393222 ACZ393221:ADF393222 AMV393221:ANB393222 AWR393221:AWX393222 BGN393221:BGT393222 BQJ393221:BQP393222 CAF393221:CAL393222 CKB393221:CKH393222 CTX393221:CUD393222 DDT393221:DDZ393222 DNP393221:DNV393222 DXL393221:DXR393222 EHH393221:EHN393222 ERD393221:ERJ393222 FAZ393221:FBF393222 FKV393221:FLB393222 FUR393221:FUX393222 GEN393221:GET393222 GOJ393221:GOP393222 GYF393221:GYL393222 HIB393221:HIH393222 HRX393221:HSD393222 IBT393221:IBZ393222 ILP393221:ILV393222 IVL393221:IVR393222 JFH393221:JFN393222 JPD393221:JPJ393222 JYZ393221:JZF393222 KIV393221:KJB393222 KSR393221:KSX393222 LCN393221:LCT393222 LMJ393221:LMP393222 LWF393221:LWL393222 MGB393221:MGH393222 MPX393221:MQD393222 MZT393221:MZZ393222 NJP393221:NJV393222 NTL393221:NTR393222 ODH393221:ODN393222 OND393221:ONJ393222 OWZ393221:OXF393222 PGV393221:PHB393222 PQR393221:PQX393222 QAN393221:QAT393222 QKJ393221:QKP393222 QUF393221:QUL393222 REB393221:REH393222 RNX393221:ROD393222 RXT393221:RXZ393222 SHP393221:SHV393222 SRL393221:SRR393222 TBH393221:TBN393222 TLD393221:TLJ393222 TUZ393221:TVF393222 UEV393221:UFB393222 UOR393221:UOX393222 UYN393221:UYT393222 VIJ393221:VIP393222 VSF393221:VSL393222 WCB393221:WCH393222 WLX393221:WMD393222 WVT393221:WVZ393222 L458757:R458758 JH458757:JN458758 TD458757:TJ458758 ACZ458757:ADF458758 AMV458757:ANB458758 AWR458757:AWX458758 BGN458757:BGT458758 BQJ458757:BQP458758 CAF458757:CAL458758 CKB458757:CKH458758 CTX458757:CUD458758 DDT458757:DDZ458758 DNP458757:DNV458758 DXL458757:DXR458758 EHH458757:EHN458758 ERD458757:ERJ458758 FAZ458757:FBF458758 FKV458757:FLB458758 FUR458757:FUX458758 GEN458757:GET458758 GOJ458757:GOP458758 GYF458757:GYL458758 HIB458757:HIH458758 HRX458757:HSD458758 IBT458757:IBZ458758 ILP458757:ILV458758 IVL458757:IVR458758 JFH458757:JFN458758 JPD458757:JPJ458758 JYZ458757:JZF458758 KIV458757:KJB458758 KSR458757:KSX458758 LCN458757:LCT458758 LMJ458757:LMP458758 LWF458757:LWL458758 MGB458757:MGH458758 MPX458757:MQD458758 MZT458757:MZZ458758 NJP458757:NJV458758 NTL458757:NTR458758 ODH458757:ODN458758 OND458757:ONJ458758 OWZ458757:OXF458758 PGV458757:PHB458758 PQR458757:PQX458758 QAN458757:QAT458758 QKJ458757:QKP458758 QUF458757:QUL458758 REB458757:REH458758 RNX458757:ROD458758 RXT458757:RXZ458758 SHP458757:SHV458758 SRL458757:SRR458758 TBH458757:TBN458758 TLD458757:TLJ458758 TUZ458757:TVF458758 UEV458757:UFB458758 UOR458757:UOX458758 UYN458757:UYT458758 VIJ458757:VIP458758 VSF458757:VSL458758 WCB458757:WCH458758 WLX458757:WMD458758 WVT458757:WVZ458758 L524293:R524294 JH524293:JN524294 TD524293:TJ524294 ACZ524293:ADF524294 AMV524293:ANB524294 AWR524293:AWX524294 BGN524293:BGT524294 BQJ524293:BQP524294 CAF524293:CAL524294 CKB524293:CKH524294 CTX524293:CUD524294 DDT524293:DDZ524294 DNP524293:DNV524294 DXL524293:DXR524294 EHH524293:EHN524294 ERD524293:ERJ524294 FAZ524293:FBF524294 FKV524293:FLB524294 FUR524293:FUX524294 GEN524293:GET524294 GOJ524293:GOP524294 GYF524293:GYL524294 HIB524293:HIH524294 HRX524293:HSD524294 IBT524293:IBZ524294 ILP524293:ILV524294 IVL524293:IVR524294 JFH524293:JFN524294 JPD524293:JPJ524294 JYZ524293:JZF524294 KIV524293:KJB524294 KSR524293:KSX524294 LCN524293:LCT524294 LMJ524293:LMP524294 LWF524293:LWL524294 MGB524293:MGH524294 MPX524293:MQD524294 MZT524293:MZZ524294 NJP524293:NJV524294 NTL524293:NTR524294 ODH524293:ODN524294 OND524293:ONJ524294 OWZ524293:OXF524294 PGV524293:PHB524294 PQR524293:PQX524294 QAN524293:QAT524294 QKJ524293:QKP524294 QUF524293:QUL524294 REB524293:REH524294 RNX524293:ROD524294 RXT524293:RXZ524294 SHP524293:SHV524294 SRL524293:SRR524294 TBH524293:TBN524294 TLD524293:TLJ524294 TUZ524293:TVF524294 UEV524293:UFB524294 UOR524293:UOX524294 UYN524293:UYT524294 VIJ524293:VIP524294 VSF524293:VSL524294 WCB524293:WCH524294 WLX524293:WMD524294 WVT524293:WVZ524294 L589829:R589830 JH589829:JN589830 TD589829:TJ589830 ACZ589829:ADF589830 AMV589829:ANB589830 AWR589829:AWX589830 BGN589829:BGT589830 BQJ589829:BQP589830 CAF589829:CAL589830 CKB589829:CKH589830 CTX589829:CUD589830 DDT589829:DDZ589830 DNP589829:DNV589830 DXL589829:DXR589830 EHH589829:EHN589830 ERD589829:ERJ589830 FAZ589829:FBF589830 FKV589829:FLB589830 FUR589829:FUX589830 GEN589829:GET589830 GOJ589829:GOP589830 GYF589829:GYL589830 HIB589829:HIH589830 HRX589829:HSD589830 IBT589829:IBZ589830 ILP589829:ILV589830 IVL589829:IVR589830 JFH589829:JFN589830 JPD589829:JPJ589830 JYZ589829:JZF589830 KIV589829:KJB589830 KSR589829:KSX589830 LCN589829:LCT589830 LMJ589829:LMP589830 LWF589829:LWL589830 MGB589829:MGH589830 MPX589829:MQD589830 MZT589829:MZZ589830 NJP589829:NJV589830 NTL589829:NTR589830 ODH589829:ODN589830 OND589829:ONJ589830 OWZ589829:OXF589830 PGV589829:PHB589830 PQR589829:PQX589830 QAN589829:QAT589830 QKJ589829:QKP589830 QUF589829:QUL589830 REB589829:REH589830 RNX589829:ROD589830 RXT589829:RXZ589830 SHP589829:SHV589830 SRL589829:SRR589830 TBH589829:TBN589830 TLD589829:TLJ589830 TUZ589829:TVF589830 UEV589829:UFB589830 UOR589829:UOX589830 UYN589829:UYT589830 VIJ589829:VIP589830 VSF589829:VSL589830 WCB589829:WCH589830 WLX589829:WMD589830 WVT589829:WVZ589830 L655365:R655366 JH655365:JN655366 TD655365:TJ655366 ACZ655365:ADF655366 AMV655365:ANB655366 AWR655365:AWX655366 BGN655365:BGT655366 BQJ655365:BQP655366 CAF655365:CAL655366 CKB655365:CKH655366 CTX655365:CUD655366 DDT655365:DDZ655366 DNP655365:DNV655366 DXL655365:DXR655366 EHH655365:EHN655366 ERD655365:ERJ655366 FAZ655365:FBF655366 FKV655365:FLB655366 FUR655365:FUX655366 GEN655365:GET655366 GOJ655365:GOP655366 GYF655365:GYL655366 HIB655365:HIH655366 HRX655365:HSD655366 IBT655365:IBZ655366 ILP655365:ILV655366 IVL655365:IVR655366 JFH655365:JFN655366 JPD655365:JPJ655366 JYZ655365:JZF655366 KIV655365:KJB655366 KSR655365:KSX655366 LCN655365:LCT655366 LMJ655365:LMP655366 LWF655365:LWL655366 MGB655365:MGH655366 MPX655365:MQD655366 MZT655365:MZZ655366 NJP655365:NJV655366 NTL655365:NTR655366 ODH655365:ODN655366 OND655365:ONJ655366 OWZ655365:OXF655366 PGV655365:PHB655366 PQR655365:PQX655366 QAN655365:QAT655366 QKJ655365:QKP655366 QUF655365:QUL655366 REB655365:REH655366 RNX655365:ROD655366 RXT655365:RXZ655366 SHP655365:SHV655366 SRL655365:SRR655366 TBH655365:TBN655366 TLD655365:TLJ655366 TUZ655365:TVF655366 UEV655365:UFB655366 UOR655365:UOX655366 UYN655365:UYT655366 VIJ655365:VIP655366 VSF655365:VSL655366 WCB655365:WCH655366 WLX655365:WMD655366 WVT655365:WVZ655366 L720901:R720902 JH720901:JN720902 TD720901:TJ720902 ACZ720901:ADF720902 AMV720901:ANB720902 AWR720901:AWX720902 BGN720901:BGT720902 BQJ720901:BQP720902 CAF720901:CAL720902 CKB720901:CKH720902 CTX720901:CUD720902 DDT720901:DDZ720902 DNP720901:DNV720902 DXL720901:DXR720902 EHH720901:EHN720902 ERD720901:ERJ720902 FAZ720901:FBF720902 FKV720901:FLB720902 FUR720901:FUX720902 GEN720901:GET720902 GOJ720901:GOP720902 GYF720901:GYL720902 HIB720901:HIH720902 HRX720901:HSD720902 IBT720901:IBZ720902 ILP720901:ILV720902 IVL720901:IVR720902 JFH720901:JFN720902 JPD720901:JPJ720902 JYZ720901:JZF720902 KIV720901:KJB720902 KSR720901:KSX720902 LCN720901:LCT720902 LMJ720901:LMP720902 LWF720901:LWL720902 MGB720901:MGH720902 MPX720901:MQD720902 MZT720901:MZZ720902 NJP720901:NJV720902 NTL720901:NTR720902 ODH720901:ODN720902 OND720901:ONJ720902 OWZ720901:OXF720902 PGV720901:PHB720902 PQR720901:PQX720902 QAN720901:QAT720902 QKJ720901:QKP720902 QUF720901:QUL720902 REB720901:REH720902 RNX720901:ROD720902 RXT720901:RXZ720902 SHP720901:SHV720902 SRL720901:SRR720902 TBH720901:TBN720902 TLD720901:TLJ720902 TUZ720901:TVF720902 UEV720901:UFB720902 UOR720901:UOX720902 UYN720901:UYT720902 VIJ720901:VIP720902 VSF720901:VSL720902 WCB720901:WCH720902 WLX720901:WMD720902 WVT720901:WVZ720902 L786437:R786438 JH786437:JN786438 TD786437:TJ786438 ACZ786437:ADF786438 AMV786437:ANB786438 AWR786437:AWX786438 BGN786437:BGT786438 BQJ786437:BQP786438 CAF786437:CAL786438 CKB786437:CKH786438 CTX786437:CUD786438 DDT786437:DDZ786438 DNP786437:DNV786438 DXL786437:DXR786438 EHH786437:EHN786438 ERD786437:ERJ786438 FAZ786437:FBF786438 FKV786437:FLB786438 FUR786437:FUX786438 GEN786437:GET786438 GOJ786437:GOP786438 GYF786437:GYL786438 HIB786437:HIH786438 HRX786437:HSD786438 IBT786437:IBZ786438 ILP786437:ILV786438 IVL786437:IVR786438 JFH786437:JFN786438 JPD786437:JPJ786438 JYZ786437:JZF786438 KIV786437:KJB786438 KSR786437:KSX786438 LCN786437:LCT786438 LMJ786437:LMP786438 LWF786437:LWL786438 MGB786437:MGH786438 MPX786437:MQD786438 MZT786437:MZZ786438 NJP786437:NJV786438 NTL786437:NTR786438 ODH786437:ODN786438 OND786437:ONJ786438 OWZ786437:OXF786438 PGV786437:PHB786438 PQR786437:PQX786438 QAN786437:QAT786438 QKJ786437:QKP786438 QUF786437:QUL786438 REB786437:REH786438 RNX786437:ROD786438 RXT786437:RXZ786438 SHP786437:SHV786438 SRL786437:SRR786438 TBH786437:TBN786438 TLD786437:TLJ786438 TUZ786437:TVF786438 UEV786437:UFB786438 UOR786437:UOX786438 UYN786437:UYT786438 VIJ786437:VIP786438 VSF786437:VSL786438 WCB786437:WCH786438 WLX786437:WMD786438 WVT786437:WVZ786438 L851973:R851974 JH851973:JN851974 TD851973:TJ851974 ACZ851973:ADF851974 AMV851973:ANB851974 AWR851973:AWX851974 BGN851973:BGT851974 BQJ851973:BQP851974 CAF851973:CAL851974 CKB851973:CKH851974 CTX851973:CUD851974 DDT851973:DDZ851974 DNP851973:DNV851974 DXL851973:DXR851974 EHH851973:EHN851974 ERD851973:ERJ851974 FAZ851973:FBF851974 FKV851973:FLB851974 FUR851973:FUX851974 GEN851973:GET851974 GOJ851973:GOP851974 GYF851973:GYL851974 HIB851973:HIH851974 HRX851973:HSD851974 IBT851973:IBZ851974 ILP851973:ILV851974 IVL851973:IVR851974 JFH851973:JFN851974 JPD851973:JPJ851974 JYZ851973:JZF851974 KIV851973:KJB851974 KSR851973:KSX851974 LCN851973:LCT851974 LMJ851973:LMP851974 LWF851973:LWL851974 MGB851973:MGH851974 MPX851973:MQD851974 MZT851973:MZZ851974 NJP851973:NJV851974 NTL851973:NTR851974 ODH851973:ODN851974 OND851973:ONJ851974 OWZ851973:OXF851974 PGV851973:PHB851974 PQR851973:PQX851974 QAN851973:QAT851974 QKJ851973:QKP851974 QUF851973:QUL851974 REB851973:REH851974 RNX851973:ROD851974 RXT851973:RXZ851974 SHP851973:SHV851974 SRL851973:SRR851974 TBH851973:TBN851974 TLD851973:TLJ851974 TUZ851973:TVF851974 UEV851973:UFB851974 UOR851973:UOX851974 UYN851973:UYT851974 VIJ851973:VIP851974 VSF851973:VSL851974 WCB851973:WCH851974 WLX851973:WMD851974 WVT851973:WVZ851974 L917509:R917510 JH917509:JN917510 TD917509:TJ917510 ACZ917509:ADF917510 AMV917509:ANB917510 AWR917509:AWX917510 BGN917509:BGT917510 BQJ917509:BQP917510 CAF917509:CAL917510 CKB917509:CKH917510 CTX917509:CUD917510 DDT917509:DDZ917510 DNP917509:DNV917510 DXL917509:DXR917510 EHH917509:EHN917510 ERD917509:ERJ917510 FAZ917509:FBF917510 FKV917509:FLB917510 FUR917509:FUX917510 GEN917509:GET917510 GOJ917509:GOP917510 GYF917509:GYL917510 HIB917509:HIH917510 HRX917509:HSD917510 IBT917509:IBZ917510 ILP917509:ILV917510 IVL917509:IVR917510 JFH917509:JFN917510 JPD917509:JPJ917510 JYZ917509:JZF917510 KIV917509:KJB917510 KSR917509:KSX917510 LCN917509:LCT917510 LMJ917509:LMP917510 LWF917509:LWL917510 MGB917509:MGH917510 MPX917509:MQD917510 MZT917509:MZZ917510 NJP917509:NJV917510 NTL917509:NTR917510 ODH917509:ODN917510 OND917509:ONJ917510 OWZ917509:OXF917510 PGV917509:PHB917510 PQR917509:PQX917510 QAN917509:QAT917510 QKJ917509:QKP917510 QUF917509:QUL917510 REB917509:REH917510 RNX917509:ROD917510 RXT917509:RXZ917510 SHP917509:SHV917510 SRL917509:SRR917510 TBH917509:TBN917510 TLD917509:TLJ917510 TUZ917509:TVF917510 UEV917509:UFB917510 UOR917509:UOX917510 UYN917509:UYT917510 VIJ917509:VIP917510 VSF917509:VSL917510 WCB917509:WCH917510 WLX917509:WMD917510 WVT917509:WVZ917510 L983045:R983046 JH983045:JN983046 TD983045:TJ983046 ACZ983045:ADF983046 AMV983045:ANB983046 AWR983045:AWX983046 BGN983045:BGT983046 BQJ983045:BQP983046 CAF983045:CAL983046 CKB983045:CKH983046 CTX983045:CUD983046 DDT983045:DDZ983046 DNP983045:DNV983046 DXL983045:DXR983046 EHH983045:EHN983046 ERD983045:ERJ983046 FAZ983045:FBF983046 FKV983045:FLB983046 FUR983045:FUX983046 GEN983045:GET983046 GOJ983045:GOP983046 GYF983045:GYL983046 HIB983045:HIH983046 HRX983045:HSD983046 IBT983045:IBZ983046 ILP983045:ILV983046 IVL983045:IVR983046 JFH983045:JFN983046 JPD983045:JPJ983046 JYZ983045:JZF983046 KIV983045:KJB983046 KSR983045:KSX983046 LCN983045:LCT983046 LMJ983045:LMP983046 LWF983045:LWL983046 MGB983045:MGH983046 MPX983045:MQD983046 MZT983045:MZZ983046 NJP983045:NJV983046 NTL983045:NTR983046 ODH983045:ODN983046 OND983045:ONJ983046 OWZ983045:OXF983046 PGV983045:PHB983046 PQR983045:PQX983046 QAN983045:QAT983046 QKJ983045:QKP983046 QUF983045:QUL983046 REB983045:REH983046 RNX983045:ROD983046 RXT983045:RXZ983046 SHP983045:SHV983046 SRL983045:SRR983046 TBH983045:TBN983046 TLD983045:TLJ983046 TUZ983045:TVF983046 UEV983045:UFB983046 UOR983045:UOX983046 UYN983045:UYT983046 VIJ983045:VIP983046 VSF983045:VSL983046 WCB983045:WCH983046 WLX983045:WMD983046 WVT983045:WVZ983046">
      <formula1>PRsInApplicant</formula1>
    </dataValidation>
    <dataValidation type="list" allowBlank="1" showInputMessage="1" showErrorMessage="1" sqref="P1 JL1 TH1 ADD1 AMZ1 AWV1 BGR1 BQN1 CAJ1 CKF1 CUB1 DDX1 DNT1 DXP1 EHL1 ERH1 FBD1 FKZ1 FUV1 GER1 GON1 GYJ1 HIF1 HSB1 IBX1 ILT1 IVP1 JFL1 JPH1 JZD1 KIZ1 KSV1 LCR1 LMN1 LWJ1 MGF1 MQB1 MZX1 NJT1 NTP1 ODL1 ONH1 OXD1 PGZ1 PQV1 QAR1 QKN1 QUJ1 REF1 ROB1 RXX1 SHT1 SRP1 TBL1 TLH1 TVD1 UEZ1 UOV1 UYR1 VIN1 VSJ1 WCF1 WMB1 WVX1 P65537 JL65537 TH65537 ADD65537 AMZ65537 AWV65537 BGR65537 BQN65537 CAJ65537 CKF65537 CUB65537 DDX65537 DNT65537 DXP65537 EHL65537 ERH65537 FBD65537 FKZ65537 FUV65537 GER65537 GON65537 GYJ65537 HIF65537 HSB65537 IBX65537 ILT65537 IVP65537 JFL65537 JPH65537 JZD65537 KIZ65537 KSV65537 LCR65537 LMN65537 LWJ65537 MGF65537 MQB65537 MZX65537 NJT65537 NTP65537 ODL65537 ONH65537 OXD65537 PGZ65537 PQV65537 QAR65537 QKN65537 QUJ65537 REF65537 ROB65537 RXX65537 SHT65537 SRP65537 TBL65537 TLH65537 TVD65537 UEZ65537 UOV65537 UYR65537 VIN65537 VSJ65537 WCF65537 WMB65537 WVX65537 P131073 JL131073 TH131073 ADD131073 AMZ131073 AWV131073 BGR131073 BQN131073 CAJ131073 CKF131073 CUB131073 DDX131073 DNT131073 DXP131073 EHL131073 ERH131073 FBD131073 FKZ131073 FUV131073 GER131073 GON131073 GYJ131073 HIF131073 HSB131073 IBX131073 ILT131073 IVP131073 JFL131073 JPH131073 JZD131073 KIZ131073 KSV131073 LCR131073 LMN131073 LWJ131073 MGF131073 MQB131073 MZX131073 NJT131073 NTP131073 ODL131073 ONH131073 OXD131073 PGZ131073 PQV131073 QAR131073 QKN131073 QUJ131073 REF131073 ROB131073 RXX131073 SHT131073 SRP131073 TBL131073 TLH131073 TVD131073 UEZ131073 UOV131073 UYR131073 VIN131073 VSJ131073 WCF131073 WMB131073 WVX131073 P196609 JL196609 TH196609 ADD196609 AMZ196609 AWV196609 BGR196609 BQN196609 CAJ196609 CKF196609 CUB196609 DDX196609 DNT196609 DXP196609 EHL196609 ERH196609 FBD196609 FKZ196609 FUV196609 GER196609 GON196609 GYJ196609 HIF196609 HSB196609 IBX196609 ILT196609 IVP196609 JFL196609 JPH196609 JZD196609 KIZ196609 KSV196609 LCR196609 LMN196609 LWJ196609 MGF196609 MQB196609 MZX196609 NJT196609 NTP196609 ODL196609 ONH196609 OXD196609 PGZ196609 PQV196609 QAR196609 QKN196609 QUJ196609 REF196609 ROB196609 RXX196609 SHT196609 SRP196609 TBL196609 TLH196609 TVD196609 UEZ196609 UOV196609 UYR196609 VIN196609 VSJ196609 WCF196609 WMB196609 WVX196609 P262145 JL262145 TH262145 ADD262145 AMZ262145 AWV262145 BGR262145 BQN262145 CAJ262145 CKF262145 CUB262145 DDX262145 DNT262145 DXP262145 EHL262145 ERH262145 FBD262145 FKZ262145 FUV262145 GER262145 GON262145 GYJ262145 HIF262145 HSB262145 IBX262145 ILT262145 IVP262145 JFL262145 JPH262145 JZD262145 KIZ262145 KSV262145 LCR262145 LMN262145 LWJ262145 MGF262145 MQB262145 MZX262145 NJT262145 NTP262145 ODL262145 ONH262145 OXD262145 PGZ262145 PQV262145 QAR262145 QKN262145 QUJ262145 REF262145 ROB262145 RXX262145 SHT262145 SRP262145 TBL262145 TLH262145 TVD262145 UEZ262145 UOV262145 UYR262145 VIN262145 VSJ262145 WCF262145 WMB262145 WVX262145 P327681 JL327681 TH327681 ADD327681 AMZ327681 AWV327681 BGR327681 BQN327681 CAJ327681 CKF327681 CUB327681 DDX327681 DNT327681 DXP327681 EHL327681 ERH327681 FBD327681 FKZ327681 FUV327681 GER327681 GON327681 GYJ327681 HIF327681 HSB327681 IBX327681 ILT327681 IVP327681 JFL327681 JPH327681 JZD327681 KIZ327681 KSV327681 LCR327681 LMN327681 LWJ327681 MGF327681 MQB327681 MZX327681 NJT327681 NTP327681 ODL327681 ONH327681 OXD327681 PGZ327681 PQV327681 QAR327681 QKN327681 QUJ327681 REF327681 ROB327681 RXX327681 SHT327681 SRP327681 TBL327681 TLH327681 TVD327681 UEZ327681 UOV327681 UYR327681 VIN327681 VSJ327681 WCF327681 WMB327681 WVX327681 P393217 JL393217 TH393217 ADD393217 AMZ393217 AWV393217 BGR393217 BQN393217 CAJ393217 CKF393217 CUB393217 DDX393217 DNT393217 DXP393217 EHL393217 ERH393217 FBD393217 FKZ393217 FUV393217 GER393217 GON393217 GYJ393217 HIF393217 HSB393217 IBX393217 ILT393217 IVP393217 JFL393217 JPH393217 JZD393217 KIZ393217 KSV393217 LCR393217 LMN393217 LWJ393217 MGF393217 MQB393217 MZX393217 NJT393217 NTP393217 ODL393217 ONH393217 OXD393217 PGZ393217 PQV393217 QAR393217 QKN393217 QUJ393217 REF393217 ROB393217 RXX393217 SHT393217 SRP393217 TBL393217 TLH393217 TVD393217 UEZ393217 UOV393217 UYR393217 VIN393217 VSJ393217 WCF393217 WMB393217 WVX393217 P458753 JL458753 TH458753 ADD458753 AMZ458753 AWV458753 BGR458753 BQN458753 CAJ458753 CKF458753 CUB458753 DDX458753 DNT458753 DXP458753 EHL458753 ERH458753 FBD458753 FKZ458753 FUV458753 GER458753 GON458753 GYJ458753 HIF458753 HSB458753 IBX458753 ILT458753 IVP458753 JFL458753 JPH458753 JZD458753 KIZ458753 KSV458753 LCR458753 LMN458753 LWJ458753 MGF458753 MQB458753 MZX458753 NJT458753 NTP458753 ODL458753 ONH458753 OXD458753 PGZ458753 PQV458753 QAR458753 QKN458753 QUJ458753 REF458753 ROB458753 RXX458753 SHT458753 SRP458753 TBL458753 TLH458753 TVD458753 UEZ458753 UOV458753 UYR458753 VIN458753 VSJ458753 WCF458753 WMB458753 WVX458753 P524289 JL524289 TH524289 ADD524289 AMZ524289 AWV524289 BGR524289 BQN524289 CAJ524289 CKF524289 CUB524289 DDX524289 DNT524289 DXP524289 EHL524289 ERH524289 FBD524289 FKZ524289 FUV524289 GER524289 GON524289 GYJ524289 HIF524289 HSB524289 IBX524289 ILT524289 IVP524289 JFL524289 JPH524289 JZD524289 KIZ524289 KSV524289 LCR524289 LMN524289 LWJ524289 MGF524289 MQB524289 MZX524289 NJT524289 NTP524289 ODL524289 ONH524289 OXD524289 PGZ524289 PQV524289 QAR524289 QKN524289 QUJ524289 REF524289 ROB524289 RXX524289 SHT524289 SRP524289 TBL524289 TLH524289 TVD524289 UEZ524289 UOV524289 UYR524289 VIN524289 VSJ524289 WCF524289 WMB524289 WVX524289 P589825 JL589825 TH589825 ADD589825 AMZ589825 AWV589825 BGR589825 BQN589825 CAJ589825 CKF589825 CUB589825 DDX589825 DNT589825 DXP589825 EHL589825 ERH589825 FBD589825 FKZ589825 FUV589825 GER589825 GON589825 GYJ589825 HIF589825 HSB589825 IBX589825 ILT589825 IVP589825 JFL589825 JPH589825 JZD589825 KIZ589825 KSV589825 LCR589825 LMN589825 LWJ589825 MGF589825 MQB589825 MZX589825 NJT589825 NTP589825 ODL589825 ONH589825 OXD589825 PGZ589825 PQV589825 QAR589825 QKN589825 QUJ589825 REF589825 ROB589825 RXX589825 SHT589825 SRP589825 TBL589825 TLH589825 TVD589825 UEZ589825 UOV589825 UYR589825 VIN589825 VSJ589825 WCF589825 WMB589825 WVX589825 P655361 JL655361 TH655361 ADD655361 AMZ655361 AWV655361 BGR655361 BQN655361 CAJ655361 CKF655361 CUB655361 DDX655361 DNT655361 DXP655361 EHL655361 ERH655361 FBD655361 FKZ655361 FUV655361 GER655361 GON655361 GYJ655361 HIF655361 HSB655361 IBX655361 ILT655361 IVP655361 JFL655361 JPH655361 JZD655361 KIZ655361 KSV655361 LCR655361 LMN655361 LWJ655361 MGF655361 MQB655361 MZX655361 NJT655361 NTP655361 ODL655361 ONH655361 OXD655361 PGZ655361 PQV655361 QAR655361 QKN655361 QUJ655361 REF655361 ROB655361 RXX655361 SHT655361 SRP655361 TBL655361 TLH655361 TVD655361 UEZ655361 UOV655361 UYR655361 VIN655361 VSJ655361 WCF655361 WMB655361 WVX655361 P720897 JL720897 TH720897 ADD720897 AMZ720897 AWV720897 BGR720897 BQN720897 CAJ720897 CKF720897 CUB720897 DDX720897 DNT720897 DXP720897 EHL720897 ERH720897 FBD720897 FKZ720897 FUV720897 GER720897 GON720897 GYJ720897 HIF720897 HSB720897 IBX720897 ILT720897 IVP720897 JFL720897 JPH720897 JZD720897 KIZ720897 KSV720897 LCR720897 LMN720897 LWJ720897 MGF720897 MQB720897 MZX720897 NJT720897 NTP720897 ODL720897 ONH720897 OXD720897 PGZ720897 PQV720897 QAR720897 QKN720897 QUJ720897 REF720897 ROB720897 RXX720897 SHT720897 SRP720897 TBL720897 TLH720897 TVD720897 UEZ720897 UOV720897 UYR720897 VIN720897 VSJ720897 WCF720897 WMB720897 WVX720897 P786433 JL786433 TH786433 ADD786433 AMZ786433 AWV786433 BGR786433 BQN786433 CAJ786433 CKF786433 CUB786433 DDX786433 DNT786433 DXP786433 EHL786433 ERH786433 FBD786433 FKZ786433 FUV786433 GER786433 GON786433 GYJ786433 HIF786433 HSB786433 IBX786433 ILT786433 IVP786433 JFL786433 JPH786433 JZD786433 KIZ786433 KSV786433 LCR786433 LMN786433 LWJ786433 MGF786433 MQB786433 MZX786433 NJT786433 NTP786433 ODL786433 ONH786433 OXD786433 PGZ786433 PQV786433 QAR786433 QKN786433 QUJ786433 REF786433 ROB786433 RXX786433 SHT786433 SRP786433 TBL786433 TLH786433 TVD786433 UEZ786433 UOV786433 UYR786433 VIN786433 VSJ786433 WCF786433 WMB786433 WVX786433 P851969 JL851969 TH851969 ADD851969 AMZ851969 AWV851969 BGR851969 BQN851969 CAJ851969 CKF851969 CUB851969 DDX851969 DNT851969 DXP851969 EHL851969 ERH851969 FBD851969 FKZ851969 FUV851969 GER851969 GON851969 GYJ851969 HIF851969 HSB851969 IBX851969 ILT851969 IVP851969 JFL851969 JPH851969 JZD851969 KIZ851969 KSV851969 LCR851969 LMN851969 LWJ851969 MGF851969 MQB851969 MZX851969 NJT851969 NTP851969 ODL851969 ONH851969 OXD851969 PGZ851969 PQV851969 QAR851969 QKN851969 QUJ851969 REF851969 ROB851969 RXX851969 SHT851969 SRP851969 TBL851969 TLH851969 TVD851969 UEZ851969 UOV851969 UYR851969 VIN851969 VSJ851969 WCF851969 WMB851969 WVX851969 P917505 JL917505 TH917505 ADD917505 AMZ917505 AWV917505 BGR917505 BQN917505 CAJ917505 CKF917505 CUB917505 DDX917505 DNT917505 DXP917505 EHL917505 ERH917505 FBD917505 FKZ917505 FUV917505 GER917505 GON917505 GYJ917505 HIF917505 HSB917505 IBX917505 ILT917505 IVP917505 JFL917505 JPH917505 JZD917505 KIZ917505 KSV917505 LCR917505 LMN917505 LWJ917505 MGF917505 MQB917505 MZX917505 NJT917505 NTP917505 ODL917505 ONH917505 OXD917505 PGZ917505 PQV917505 QAR917505 QKN917505 QUJ917505 REF917505 ROB917505 RXX917505 SHT917505 SRP917505 TBL917505 TLH917505 TVD917505 UEZ917505 UOV917505 UYR917505 VIN917505 VSJ917505 WCF917505 WMB917505 WVX917505 P983041 JL983041 TH983041 ADD983041 AMZ983041 AWV983041 BGR983041 BQN983041 CAJ983041 CKF983041 CUB983041 DDX983041 DNT983041 DXP983041 EHL983041 ERH983041 FBD983041 FKZ983041 FUV983041 GER983041 GON983041 GYJ983041 HIF983041 HSB983041 IBX983041 ILT983041 IVP983041 JFL983041 JPH983041 JZD983041 KIZ983041 KSV983041 LCR983041 LMN983041 LWJ983041 MGF983041 MQB983041 MZX983041 NJT983041 NTP983041 ODL983041 ONH983041 OXD983041 PGZ983041 PQV983041 QAR983041 QKN983041 QUJ983041 REF983041 ROB983041 RXX983041 SHT983041 SRP983041 TBL983041 TLH983041 TVD983041 UEZ983041 UOV983041 UYR983041 VIN983041 VSJ983041 WCF983041 WMB983041 WVX983041">
      <formula1>"English,French,Spanish,Russian"</formula1>
    </dataValidation>
    <dataValidation type="list" allowBlank="1" showInputMessage="1" showErrorMessage="1" sqref="WVM983089:WVN983100 JA49:JB60 SW49:SX60 ACS49:ACT60 AMO49:AMP60 AWK49:AWL60 BGG49:BGH60 BQC49:BQD60 BZY49:BZZ60 CJU49:CJV60 CTQ49:CTR60 DDM49:DDN60 DNI49:DNJ60 DXE49:DXF60 EHA49:EHB60 EQW49:EQX60 FAS49:FAT60 FKO49:FKP60 FUK49:FUL60 GEG49:GEH60 GOC49:GOD60 GXY49:GXZ60 HHU49:HHV60 HRQ49:HRR60 IBM49:IBN60 ILI49:ILJ60 IVE49:IVF60 JFA49:JFB60 JOW49:JOX60 JYS49:JYT60 KIO49:KIP60 KSK49:KSL60 LCG49:LCH60 LMC49:LMD60 LVY49:LVZ60 MFU49:MFV60 MPQ49:MPR60 MZM49:MZN60 NJI49:NJJ60 NTE49:NTF60 ODA49:ODB60 OMW49:OMX60 OWS49:OWT60 PGO49:PGP60 PQK49:PQL60 QAG49:QAH60 QKC49:QKD60 QTY49:QTZ60 RDU49:RDV60 RNQ49:RNR60 RXM49:RXN60 SHI49:SHJ60 SRE49:SRF60 TBA49:TBB60 TKW49:TKX60 TUS49:TUT60 UEO49:UEP60 UOK49:UOL60 UYG49:UYH60 VIC49:VID60 VRY49:VRZ60 WBU49:WBV60 WLQ49:WLR60 WVM49:WVN60 E65585:F65596 JA65585:JB65596 SW65585:SX65596 ACS65585:ACT65596 AMO65585:AMP65596 AWK65585:AWL65596 BGG65585:BGH65596 BQC65585:BQD65596 BZY65585:BZZ65596 CJU65585:CJV65596 CTQ65585:CTR65596 DDM65585:DDN65596 DNI65585:DNJ65596 DXE65585:DXF65596 EHA65585:EHB65596 EQW65585:EQX65596 FAS65585:FAT65596 FKO65585:FKP65596 FUK65585:FUL65596 GEG65585:GEH65596 GOC65585:GOD65596 GXY65585:GXZ65596 HHU65585:HHV65596 HRQ65585:HRR65596 IBM65585:IBN65596 ILI65585:ILJ65596 IVE65585:IVF65596 JFA65585:JFB65596 JOW65585:JOX65596 JYS65585:JYT65596 KIO65585:KIP65596 KSK65585:KSL65596 LCG65585:LCH65596 LMC65585:LMD65596 LVY65585:LVZ65596 MFU65585:MFV65596 MPQ65585:MPR65596 MZM65585:MZN65596 NJI65585:NJJ65596 NTE65585:NTF65596 ODA65585:ODB65596 OMW65585:OMX65596 OWS65585:OWT65596 PGO65585:PGP65596 PQK65585:PQL65596 QAG65585:QAH65596 QKC65585:QKD65596 QTY65585:QTZ65596 RDU65585:RDV65596 RNQ65585:RNR65596 RXM65585:RXN65596 SHI65585:SHJ65596 SRE65585:SRF65596 TBA65585:TBB65596 TKW65585:TKX65596 TUS65585:TUT65596 UEO65585:UEP65596 UOK65585:UOL65596 UYG65585:UYH65596 VIC65585:VID65596 VRY65585:VRZ65596 WBU65585:WBV65596 WLQ65585:WLR65596 WVM65585:WVN65596 E131121:F131132 JA131121:JB131132 SW131121:SX131132 ACS131121:ACT131132 AMO131121:AMP131132 AWK131121:AWL131132 BGG131121:BGH131132 BQC131121:BQD131132 BZY131121:BZZ131132 CJU131121:CJV131132 CTQ131121:CTR131132 DDM131121:DDN131132 DNI131121:DNJ131132 DXE131121:DXF131132 EHA131121:EHB131132 EQW131121:EQX131132 FAS131121:FAT131132 FKO131121:FKP131132 FUK131121:FUL131132 GEG131121:GEH131132 GOC131121:GOD131132 GXY131121:GXZ131132 HHU131121:HHV131132 HRQ131121:HRR131132 IBM131121:IBN131132 ILI131121:ILJ131132 IVE131121:IVF131132 JFA131121:JFB131132 JOW131121:JOX131132 JYS131121:JYT131132 KIO131121:KIP131132 KSK131121:KSL131132 LCG131121:LCH131132 LMC131121:LMD131132 LVY131121:LVZ131132 MFU131121:MFV131132 MPQ131121:MPR131132 MZM131121:MZN131132 NJI131121:NJJ131132 NTE131121:NTF131132 ODA131121:ODB131132 OMW131121:OMX131132 OWS131121:OWT131132 PGO131121:PGP131132 PQK131121:PQL131132 QAG131121:QAH131132 QKC131121:QKD131132 QTY131121:QTZ131132 RDU131121:RDV131132 RNQ131121:RNR131132 RXM131121:RXN131132 SHI131121:SHJ131132 SRE131121:SRF131132 TBA131121:TBB131132 TKW131121:TKX131132 TUS131121:TUT131132 UEO131121:UEP131132 UOK131121:UOL131132 UYG131121:UYH131132 VIC131121:VID131132 VRY131121:VRZ131132 WBU131121:WBV131132 WLQ131121:WLR131132 WVM131121:WVN131132 E196657:F196668 JA196657:JB196668 SW196657:SX196668 ACS196657:ACT196668 AMO196657:AMP196668 AWK196657:AWL196668 BGG196657:BGH196668 BQC196657:BQD196668 BZY196657:BZZ196668 CJU196657:CJV196668 CTQ196657:CTR196668 DDM196657:DDN196668 DNI196657:DNJ196668 DXE196657:DXF196668 EHA196657:EHB196668 EQW196657:EQX196668 FAS196657:FAT196668 FKO196657:FKP196668 FUK196657:FUL196668 GEG196657:GEH196668 GOC196657:GOD196668 GXY196657:GXZ196668 HHU196657:HHV196668 HRQ196657:HRR196668 IBM196657:IBN196668 ILI196657:ILJ196668 IVE196657:IVF196668 JFA196657:JFB196668 JOW196657:JOX196668 JYS196657:JYT196668 KIO196657:KIP196668 KSK196657:KSL196668 LCG196657:LCH196668 LMC196657:LMD196668 LVY196657:LVZ196668 MFU196657:MFV196668 MPQ196657:MPR196668 MZM196657:MZN196668 NJI196657:NJJ196668 NTE196657:NTF196668 ODA196657:ODB196668 OMW196657:OMX196668 OWS196657:OWT196668 PGO196657:PGP196668 PQK196657:PQL196668 QAG196657:QAH196668 QKC196657:QKD196668 QTY196657:QTZ196668 RDU196657:RDV196668 RNQ196657:RNR196668 RXM196657:RXN196668 SHI196657:SHJ196668 SRE196657:SRF196668 TBA196657:TBB196668 TKW196657:TKX196668 TUS196657:TUT196668 UEO196657:UEP196668 UOK196657:UOL196668 UYG196657:UYH196668 VIC196657:VID196668 VRY196657:VRZ196668 WBU196657:WBV196668 WLQ196657:WLR196668 WVM196657:WVN196668 E262193:F262204 JA262193:JB262204 SW262193:SX262204 ACS262193:ACT262204 AMO262193:AMP262204 AWK262193:AWL262204 BGG262193:BGH262204 BQC262193:BQD262204 BZY262193:BZZ262204 CJU262193:CJV262204 CTQ262193:CTR262204 DDM262193:DDN262204 DNI262193:DNJ262204 DXE262193:DXF262204 EHA262193:EHB262204 EQW262193:EQX262204 FAS262193:FAT262204 FKO262193:FKP262204 FUK262193:FUL262204 GEG262193:GEH262204 GOC262193:GOD262204 GXY262193:GXZ262204 HHU262193:HHV262204 HRQ262193:HRR262204 IBM262193:IBN262204 ILI262193:ILJ262204 IVE262193:IVF262204 JFA262193:JFB262204 JOW262193:JOX262204 JYS262193:JYT262204 KIO262193:KIP262204 KSK262193:KSL262204 LCG262193:LCH262204 LMC262193:LMD262204 LVY262193:LVZ262204 MFU262193:MFV262204 MPQ262193:MPR262204 MZM262193:MZN262204 NJI262193:NJJ262204 NTE262193:NTF262204 ODA262193:ODB262204 OMW262193:OMX262204 OWS262193:OWT262204 PGO262193:PGP262204 PQK262193:PQL262204 QAG262193:QAH262204 QKC262193:QKD262204 QTY262193:QTZ262204 RDU262193:RDV262204 RNQ262193:RNR262204 RXM262193:RXN262204 SHI262193:SHJ262204 SRE262193:SRF262204 TBA262193:TBB262204 TKW262193:TKX262204 TUS262193:TUT262204 UEO262193:UEP262204 UOK262193:UOL262204 UYG262193:UYH262204 VIC262193:VID262204 VRY262193:VRZ262204 WBU262193:WBV262204 WLQ262193:WLR262204 WVM262193:WVN262204 E327729:F327740 JA327729:JB327740 SW327729:SX327740 ACS327729:ACT327740 AMO327729:AMP327740 AWK327729:AWL327740 BGG327729:BGH327740 BQC327729:BQD327740 BZY327729:BZZ327740 CJU327729:CJV327740 CTQ327729:CTR327740 DDM327729:DDN327740 DNI327729:DNJ327740 DXE327729:DXF327740 EHA327729:EHB327740 EQW327729:EQX327740 FAS327729:FAT327740 FKO327729:FKP327740 FUK327729:FUL327740 GEG327729:GEH327740 GOC327729:GOD327740 GXY327729:GXZ327740 HHU327729:HHV327740 HRQ327729:HRR327740 IBM327729:IBN327740 ILI327729:ILJ327740 IVE327729:IVF327740 JFA327729:JFB327740 JOW327729:JOX327740 JYS327729:JYT327740 KIO327729:KIP327740 KSK327729:KSL327740 LCG327729:LCH327740 LMC327729:LMD327740 LVY327729:LVZ327740 MFU327729:MFV327740 MPQ327729:MPR327740 MZM327729:MZN327740 NJI327729:NJJ327740 NTE327729:NTF327740 ODA327729:ODB327740 OMW327729:OMX327740 OWS327729:OWT327740 PGO327729:PGP327740 PQK327729:PQL327740 QAG327729:QAH327740 QKC327729:QKD327740 QTY327729:QTZ327740 RDU327729:RDV327740 RNQ327729:RNR327740 RXM327729:RXN327740 SHI327729:SHJ327740 SRE327729:SRF327740 TBA327729:TBB327740 TKW327729:TKX327740 TUS327729:TUT327740 UEO327729:UEP327740 UOK327729:UOL327740 UYG327729:UYH327740 VIC327729:VID327740 VRY327729:VRZ327740 WBU327729:WBV327740 WLQ327729:WLR327740 WVM327729:WVN327740 E393265:F393276 JA393265:JB393276 SW393265:SX393276 ACS393265:ACT393276 AMO393265:AMP393276 AWK393265:AWL393276 BGG393265:BGH393276 BQC393265:BQD393276 BZY393265:BZZ393276 CJU393265:CJV393276 CTQ393265:CTR393276 DDM393265:DDN393276 DNI393265:DNJ393276 DXE393265:DXF393276 EHA393265:EHB393276 EQW393265:EQX393276 FAS393265:FAT393276 FKO393265:FKP393276 FUK393265:FUL393276 GEG393265:GEH393276 GOC393265:GOD393276 GXY393265:GXZ393276 HHU393265:HHV393276 HRQ393265:HRR393276 IBM393265:IBN393276 ILI393265:ILJ393276 IVE393265:IVF393276 JFA393265:JFB393276 JOW393265:JOX393276 JYS393265:JYT393276 KIO393265:KIP393276 KSK393265:KSL393276 LCG393265:LCH393276 LMC393265:LMD393276 LVY393265:LVZ393276 MFU393265:MFV393276 MPQ393265:MPR393276 MZM393265:MZN393276 NJI393265:NJJ393276 NTE393265:NTF393276 ODA393265:ODB393276 OMW393265:OMX393276 OWS393265:OWT393276 PGO393265:PGP393276 PQK393265:PQL393276 QAG393265:QAH393276 QKC393265:QKD393276 QTY393265:QTZ393276 RDU393265:RDV393276 RNQ393265:RNR393276 RXM393265:RXN393276 SHI393265:SHJ393276 SRE393265:SRF393276 TBA393265:TBB393276 TKW393265:TKX393276 TUS393265:TUT393276 UEO393265:UEP393276 UOK393265:UOL393276 UYG393265:UYH393276 VIC393265:VID393276 VRY393265:VRZ393276 WBU393265:WBV393276 WLQ393265:WLR393276 WVM393265:WVN393276 E458801:F458812 JA458801:JB458812 SW458801:SX458812 ACS458801:ACT458812 AMO458801:AMP458812 AWK458801:AWL458812 BGG458801:BGH458812 BQC458801:BQD458812 BZY458801:BZZ458812 CJU458801:CJV458812 CTQ458801:CTR458812 DDM458801:DDN458812 DNI458801:DNJ458812 DXE458801:DXF458812 EHA458801:EHB458812 EQW458801:EQX458812 FAS458801:FAT458812 FKO458801:FKP458812 FUK458801:FUL458812 GEG458801:GEH458812 GOC458801:GOD458812 GXY458801:GXZ458812 HHU458801:HHV458812 HRQ458801:HRR458812 IBM458801:IBN458812 ILI458801:ILJ458812 IVE458801:IVF458812 JFA458801:JFB458812 JOW458801:JOX458812 JYS458801:JYT458812 KIO458801:KIP458812 KSK458801:KSL458812 LCG458801:LCH458812 LMC458801:LMD458812 LVY458801:LVZ458812 MFU458801:MFV458812 MPQ458801:MPR458812 MZM458801:MZN458812 NJI458801:NJJ458812 NTE458801:NTF458812 ODA458801:ODB458812 OMW458801:OMX458812 OWS458801:OWT458812 PGO458801:PGP458812 PQK458801:PQL458812 QAG458801:QAH458812 QKC458801:QKD458812 QTY458801:QTZ458812 RDU458801:RDV458812 RNQ458801:RNR458812 RXM458801:RXN458812 SHI458801:SHJ458812 SRE458801:SRF458812 TBA458801:TBB458812 TKW458801:TKX458812 TUS458801:TUT458812 UEO458801:UEP458812 UOK458801:UOL458812 UYG458801:UYH458812 VIC458801:VID458812 VRY458801:VRZ458812 WBU458801:WBV458812 WLQ458801:WLR458812 WVM458801:WVN458812 E524337:F524348 JA524337:JB524348 SW524337:SX524348 ACS524337:ACT524348 AMO524337:AMP524348 AWK524337:AWL524348 BGG524337:BGH524348 BQC524337:BQD524348 BZY524337:BZZ524348 CJU524337:CJV524348 CTQ524337:CTR524348 DDM524337:DDN524348 DNI524337:DNJ524348 DXE524337:DXF524348 EHA524337:EHB524348 EQW524337:EQX524348 FAS524337:FAT524348 FKO524337:FKP524348 FUK524337:FUL524348 GEG524337:GEH524348 GOC524337:GOD524348 GXY524337:GXZ524348 HHU524337:HHV524348 HRQ524337:HRR524348 IBM524337:IBN524348 ILI524337:ILJ524348 IVE524337:IVF524348 JFA524337:JFB524348 JOW524337:JOX524348 JYS524337:JYT524348 KIO524337:KIP524348 KSK524337:KSL524348 LCG524337:LCH524348 LMC524337:LMD524348 LVY524337:LVZ524348 MFU524337:MFV524348 MPQ524337:MPR524348 MZM524337:MZN524348 NJI524337:NJJ524348 NTE524337:NTF524348 ODA524337:ODB524348 OMW524337:OMX524348 OWS524337:OWT524348 PGO524337:PGP524348 PQK524337:PQL524348 QAG524337:QAH524348 QKC524337:QKD524348 QTY524337:QTZ524348 RDU524337:RDV524348 RNQ524337:RNR524348 RXM524337:RXN524348 SHI524337:SHJ524348 SRE524337:SRF524348 TBA524337:TBB524348 TKW524337:TKX524348 TUS524337:TUT524348 UEO524337:UEP524348 UOK524337:UOL524348 UYG524337:UYH524348 VIC524337:VID524348 VRY524337:VRZ524348 WBU524337:WBV524348 WLQ524337:WLR524348 WVM524337:WVN524348 E589873:F589884 JA589873:JB589884 SW589873:SX589884 ACS589873:ACT589884 AMO589873:AMP589884 AWK589873:AWL589884 BGG589873:BGH589884 BQC589873:BQD589884 BZY589873:BZZ589884 CJU589873:CJV589884 CTQ589873:CTR589884 DDM589873:DDN589884 DNI589873:DNJ589884 DXE589873:DXF589884 EHA589873:EHB589884 EQW589873:EQX589884 FAS589873:FAT589884 FKO589873:FKP589884 FUK589873:FUL589884 GEG589873:GEH589884 GOC589873:GOD589884 GXY589873:GXZ589884 HHU589873:HHV589884 HRQ589873:HRR589884 IBM589873:IBN589884 ILI589873:ILJ589884 IVE589873:IVF589884 JFA589873:JFB589884 JOW589873:JOX589884 JYS589873:JYT589884 KIO589873:KIP589884 KSK589873:KSL589884 LCG589873:LCH589884 LMC589873:LMD589884 LVY589873:LVZ589884 MFU589873:MFV589884 MPQ589873:MPR589884 MZM589873:MZN589884 NJI589873:NJJ589884 NTE589873:NTF589884 ODA589873:ODB589884 OMW589873:OMX589884 OWS589873:OWT589884 PGO589873:PGP589884 PQK589873:PQL589884 QAG589873:QAH589884 QKC589873:QKD589884 QTY589873:QTZ589884 RDU589873:RDV589884 RNQ589873:RNR589884 RXM589873:RXN589884 SHI589873:SHJ589884 SRE589873:SRF589884 TBA589873:TBB589884 TKW589873:TKX589884 TUS589873:TUT589884 UEO589873:UEP589884 UOK589873:UOL589884 UYG589873:UYH589884 VIC589873:VID589884 VRY589873:VRZ589884 WBU589873:WBV589884 WLQ589873:WLR589884 WVM589873:WVN589884 E655409:F655420 JA655409:JB655420 SW655409:SX655420 ACS655409:ACT655420 AMO655409:AMP655420 AWK655409:AWL655420 BGG655409:BGH655420 BQC655409:BQD655420 BZY655409:BZZ655420 CJU655409:CJV655420 CTQ655409:CTR655420 DDM655409:DDN655420 DNI655409:DNJ655420 DXE655409:DXF655420 EHA655409:EHB655420 EQW655409:EQX655420 FAS655409:FAT655420 FKO655409:FKP655420 FUK655409:FUL655420 GEG655409:GEH655420 GOC655409:GOD655420 GXY655409:GXZ655420 HHU655409:HHV655420 HRQ655409:HRR655420 IBM655409:IBN655420 ILI655409:ILJ655420 IVE655409:IVF655420 JFA655409:JFB655420 JOW655409:JOX655420 JYS655409:JYT655420 KIO655409:KIP655420 KSK655409:KSL655420 LCG655409:LCH655420 LMC655409:LMD655420 LVY655409:LVZ655420 MFU655409:MFV655420 MPQ655409:MPR655420 MZM655409:MZN655420 NJI655409:NJJ655420 NTE655409:NTF655420 ODA655409:ODB655420 OMW655409:OMX655420 OWS655409:OWT655420 PGO655409:PGP655420 PQK655409:PQL655420 QAG655409:QAH655420 QKC655409:QKD655420 QTY655409:QTZ655420 RDU655409:RDV655420 RNQ655409:RNR655420 RXM655409:RXN655420 SHI655409:SHJ655420 SRE655409:SRF655420 TBA655409:TBB655420 TKW655409:TKX655420 TUS655409:TUT655420 UEO655409:UEP655420 UOK655409:UOL655420 UYG655409:UYH655420 VIC655409:VID655420 VRY655409:VRZ655420 WBU655409:WBV655420 WLQ655409:WLR655420 WVM655409:WVN655420 E720945:F720956 JA720945:JB720956 SW720945:SX720956 ACS720945:ACT720956 AMO720945:AMP720956 AWK720945:AWL720956 BGG720945:BGH720956 BQC720945:BQD720956 BZY720945:BZZ720956 CJU720945:CJV720956 CTQ720945:CTR720956 DDM720945:DDN720956 DNI720945:DNJ720956 DXE720945:DXF720956 EHA720945:EHB720956 EQW720945:EQX720956 FAS720945:FAT720956 FKO720945:FKP720956 FUK720945:FUL720956 GEG720945:GEH720956 GOC720945:GOD720956 GXY720945:GXZ720956 HHU720945:HHV720956 HRQ720945:HRR720956 IBM720945:IBN720956 ILI720945:ILJ720956 IVE720945:IVF720956 JFA720945:JFB720956 JOW720945:JOX720956 JYS720945:JYT720956 KIO720945:KIP720956 KSK720945:KSL720956 LCG720945:LCH720956 LMC720945:LMD720956 LVY720945:LVZ720956 MFU720945:MFV720956 MPQ720945:MPR720956 MZM720945:MZN720956 NJI720945:NJJ720956 NTE720945:NTF720956 ODA720945:ODB720956 OMW720945:OMX720956 OWS720945:OWT720956 PGO720945:PGP720956 PQK720945:PQL720956 QAG720945:QAH720956 QKC720945:QKD720956 QTY720945:QTZ720956 RDU720945:RDV720956 RNQ720945:RNR720956 RXM720945:RXN720956 SHI720945:SHJ720956 SRE720945:SRF720956 TBA720945:TBB720956 TKW720945:TKX720956 TUS720945:TUT720956 UEO720945:UEP720956 UOK720945:UOL720956 UYG720945:UYH720956 VIC720945:VID720956 VRY720945:VRZ720956 WBU720945:WBV720956 WLQ720945:WLR720956 WVM720945:WVN720956 E786481:F786492 JA786481:JB786492 SW786481:SX786492 ACS786481:ACT786492 AMO786481:AMP786492 AWK786481:AWL786492 BGG786481:BGH786492 BQC786481:BQD786492 BZY786481:BZZ786492 CJU786481:CJV786492 CTQ786481:CTR786492 DDM786481:DDN786492 DNI786481:DNJ786492 DXE786481:DXF786492 EHA786481:EHB786492 EQW786481:EQX786492 FAS786481:FAT786492 FKO786481:FKP786492 FUK786481:FUL786492 GEG786481:GEH786492 GOC786481:GOD786492 GXY786481:GXZ786492 HHU786481:HHV786492 HRQ786481:HRR786492 IBM786481:IBN786492 ILI786481:ILJ786492 IVE786481:IVF786492 JFA786481:JFB786492 JOW786481:JOX786492 JYS786481:JYT786492 KIO786481:KIP786492 KSK786481:KSL786492 LCG786481:LCH786492 LMC786481:LMD786492 LVY786481:LVZ786492 MFU786481:MFV786492 MPQ786481:MPR786492 MZM786481:MZN786492 NJI786481:NJJ786492 NTE786481:NTF786492 ODA786481:ODB786492 OMW786481:OMX786492 OWS786481:OWT786492 PGO786481:PGP786492 PQK786481:PQL786492 QAG786481:QAH786492 QKC786481:QKD786492 QTY786481:QTZ786492 RDU786481:RDV786492 RNQ786481:RNR786492 RXM786481:RXN786492 SHI786481:SHJ786492 SRE786481:SRF786492 TBA786481:TBB786492 TKW786481:TKX786492 TUS786481:TUT786492 UEO786481:UEP786492 UOK786481:UOL786492 UYG786481:UYH786492 VIC786481:VID786492 VRY786481:VRZ786492 WBU786481:WBV786492 WLQ786481:WLR786492 WVM786481:WVN786492 E852017:F852028 JA852017:JB852028 SW852017:SX852028 ACS852017:ACT852028 AMO852017:AMP852028 AWK852017:AWL852028 BGG852017:BGH852028 BQC852017:BQD852028 BZY852017:BZZ852028 CJU852017:CJV852028 CTQ852017:CTR852028 DDM852017:DDN852028 DNI852017:DNJ852028 DXE852017:DXF852028 EHA852017:EHB852028 EQW852017:EQX852028 FAS852017:FAT852028 FKO852017:FKP852028 FUK852017:FUL852028 GEG852017:GEH852028 GOC852017:GOD852028 GXY852017:GXZ852028 HHU852017:HHV852028 HRQ852017:HRR852028 IBM852017:IBN852028 ILI852017:ILJ852028 IVE852017:IVF852028 JFA852017:JFB852028 JOW852017:JOX852028 JYS852017:JYT852028 KIO852017:KIP852028 KSK852017:KSL852028 LCG852017:LCH852028 LMC852017:LMD852028 LVY852017:LVZ852028 MFU852017:MFV852028 MPQ852017:MPR852028 MZM852017:MZN852028 NJI852017:NJJ852028 NTE852017:NTF852028 ODA852017:ODB852028 OMW852017:OMX852028 OWS852017:OWT852028 PGO852017:PGP852028 PQK852017:PQL852028 QAG852017:QAH852028 QKC852017:QKD852028 QTY852017:QTZ852028 RDU852017:RDV852028 RNQ852017:RNR852028 RXM852017:RXN852028 SHI852017:SHJ852028 SRE852017:SRF852028 TBA852017:TBB852028 TKW852017:TKX852028 TUS852017:TUT852028 UEO852017:UEP852028 UOK852017:UOL852028 UYG852017:UYH852028 VIC852017:VID852028 VRY852017:VRZ852028 WBU852017:WBV852028 WLQ852017:WLR852028 WVM852017:WVN852028 E917553:F917564 JA917553:JB917564 SW917553:SX917564 ACS917553:ACT917564 AMO917553:AMP917564 AWK917553:AWL917564 BGG917553:BGH917564 BQC917553:BQD917564 BZY917553:BZZ917564 CJU917553:CJV917564 CTQ917553:CTR917564 DDM917553:DDN917564 DNI917553:DNJ917564 DXE917553:DXF917564 EHA917553:EHB917564 EQW917553:EQX917564 FAS917553:FAT917564 FKO917553:FKP917564 FUK917553:FUL917564 GEG917553:GEH917564 GOC917553:GOD917564 GXY917553:GXZ917564 HHU917553:HHV917564 HRQ917553:HRR917564 IBM917553:IBN917564 ILI917553:ILJ917564 IVE917553:IVF917564 JFA917553:JFB917564 JOW917553:JOX917564 JYS917553:JYT917564 KIO917553:KIP917564 KSK917553:KSL917564 LCG917553:LCH917564 LMC917553:LMD917564 LVY917553:LVZ917564 MFU917553:MFV917564 MPQ917553:MPR917564 MZM917553:MZN917564 NJI917553:NJJ917564 NTE917553:NTF917564 ODA917553:ODB917564 OMW917553:OMX917564 OWS917553:OWT917564 PGO917553:PGP917564 PQK917553:PQL917564 QAG917553:QAH917564 QKC917553:QKD917564 QTY917553:QTZ917564 RDU917553:RDV917564 RNQ917553:RNR917564 RXM917553:RXN917564 SHI917553:SHJ917564 SRE917553:SRF917564 TBA917553:TBB917564 TKW917553:TKX917564 TUS917553:TUT917564 UEO917553:UEP917564 UOK917553:UOL917564 UYG917553:UYH917564 VIC917553:VID917564 VRY917553:VRZ917564 WBU917553:WBV917564 WLQ917553:WLR917564 WVM917553:WVN917564 E983089:F983100 JA983089:JB983100 SW983089:SX983100 ACS983089:ACT983100 AMO983089:AMP983100 AWK983089:AWL983100 BGG983089:BGH983100 BQC983089:BQD983100 BZY983089:BZZ983100 CJU983089:CJV983100 CTQ983089:CTR983100 DDM983089:DDN983100 DNI983089:DNJ983100 DXE983089:DXF983100 EHA983089:EHB983100 EQW983089:EQX983100 FAS983089:FAT983100 FKO983089:FKP983100 FUK983089:FUL983100 GEG983089:GEH983100 GOC983089:GOD983100 GXY983089:GXZ983100 HHU983089:HHV983100 HRQ983089:HRR983100 IBM983089:IBN983100 ILI983089:ILJ983100 IVE983089:IVF983100 JFA983089:JFB983100 JOW983089:JOX983100 JYS983089:JYT983100 KIO983089:KIP983100 KSK983089:KSL983100 LCG983089:LCH983100 LMC983089:LMD983100 LVY983089:LVZ983100 MFU983089:MFV983100 MPQ983089:MPR983100 MZM983089:MZN983100 NJI983089:NJJ983100 NTE983089:NTF983100 ODA983089:ODB983100 OMW983089:OMX983100 OWS983089:OWT983100 PGO983089:PGP983100 PQK983089:PQL983100 QAG983089:QAH983100 QKC983089:QKD983100 QTY983089:QTZ983100 RDU983089:RDV983100 RNQ983089:RNR983100 RXM983089:RXN983100 SHI983089:SHJ983100 SRE983089:SRF983100 TBA983089:TBB983100 TKW983089:TKX983100 TUS983089:TUT983100 UEO983089:UEP983100 UOK983089:UOL983100 UYG983089:UYH983100 VIC983089:VID983100 VRY983089:VRZ983100 WBU983089:WBV983100 WLQ983089:WLR983100 E49:F60">
      <formula1>TiedTo</formula1>
    </dataValidation>
    <dataValidation allowBlank="1" showInputMessage="1" sqref="U35:U39 JQ35:JQ39 TM35:TM39 ADI35:ADI39 ANE35:ANE39 AXA35:AXA39 BGW35:BGW39 BQS35:BQS39 CAO35:CAO39 CKK35:CKK39 CUG35:CUG39 DEC35:DEC39 DNY35:DNY39 DXU35:DXU39 EHQ35:EHQ39 ERM35:ERM39 FBI35:FBI39 FLE35:FLE39 FVA35:FVA39 GEW35:GEW39 GOS35:GOS39 GYO35:GYO39 HIK35:HIK39 HSG35:HSG39 ICC35:ICC39 ILY35:ILY39 IVU35:IVU39 JFQ35:JFQ39 JPM35:JPM39 JZI35:JZI39 KJE35:KJE39 KTA35:KTA39 LCW35:LCW39 LMS35:LMS39 LWO35:LWO39 MGK35:MGK39 MQG35:MQG39 NAC35:NAC39 NJY35:NJY39 NTU35:NTU39 ODQ35:ODQ39 ONM35:ONM39 OXI35:OXI39 PHE35:PHE39 PRA35:PRA39 QAW35:QAW39 QKS35:QKS39 QUO35:QUO39 REK35:REK39 ROG35:ROG39 RYC35:RYC39 SHY35:SHY39 SRU35:SRU39 TBQ35:TBQ39 TLM35:TLM39 TVI35:TVI39 UFE35:UFE39 UPA35:UPA39 UYW35:UYW39 VIS35:VIS39 VSO35:VSO39 WCK35:WCK39 WMG35:WMG39 WWC35:WWC39 U65571:U65575 JQ65571:JQ65575 TM65571:TM65575 ADI65571:ADI65575 ANE65571:ANE65575 AXA65571:AXA65575 BGW65571:BGW65575 BQS65571:BQS65575 CAO65571:CAO65575 CKK65571:CKK65575 CUG65571:CUG65575 DEC65571:DEC65575 DNY65571:DNY65575 DXU65571:DXU65575 EHQ65571:EHQ65575 ERM65571:ERM65575 FBI65571:FBI65575 FLE65571:FLE65575 FVA65571:FVA65575 GEW65571:GEW65575 GOS65571:GOS65575 GYO65571:GYO65575 HIK65571:HIK65575 HSG65571:HSG65575 ICC65571:ICC65575 ILY65571:ILY65575 IVU65571:IVU65575 JFQ65571:JFQ65575 JPM65571:JPM65575 JZI65571:JZI65575 KJE65571:KJE65575 KTA65571:KTA65575 LCW65571:LCW65575 LMS65571:LMS65575 LWO65571:LWO65575 MGK65571:MGK65575 MQG65571:MQG65575 NAC65571:NAC65575 NJY65571:NJY65575 NTU65571:NTU65575 ODQ65571:ODQ65575 ONM65571:ONM65575 OXI65571:OXI65575 PHE65571:PHE65575 PRA65571:PRA65575 QAW65571:QAW65575 QKS65571:QKS65575 QUO65571:QUO65575 REK65571:REK65575 ROG65571:ROG65575 RYC65571:RYC65575 SHY65571:SHY65575 SRU65571:SRU65575 TBQ65571:TBQ65575 TLM65571:TLM65575 TVI65571:TVI65575 UFE65571:UFE65575 UPA65571:UPA65575 UYW65571:UYW65575 VIS65571:VIS65575 VSO65571:VSO65575 WCK65571:WCK65575 WMG65571:WMG65575 WWC65571:WWC65575 U131107:U131111 JQ131107:JQ131111 TM131107:TM131111 ADI131107:ADI131111 ANE131107:ANE131111 AXA131107:AXA131111 BGW131107:BGW131111 BQS131107:BQS131111 CAO131107:CAO131111 CKK131107:CKK131111 CUG131107:CUG131111 DEC131107:DEC131111 DNY131107:DNY131111 DXU131107:DXU131111 EHQ131107:EHQ131111 ERM131107:ERM131111 FBI131107:FBI131111 FLE131107:FLE131111 FVA131107:FVA131111 GEW131107:GEW131111 GOS131107:GOS131111 GYO131107:GYO131111 HIK131107:HIK131111 HSG131107:HSG131111 ICC131107:ICC131111 ILY131107:ILY131111 IVU131107:IVU131111 JFQ131107:JFQ131111 JPM131107:JPM131111 JZI131107:JZI131111 KJE131107:KJE131111 KTA131107:KTA131111 LCW131107:LCW131111 LMS131107:LMS131111 LWO131107:LWO131111 MGK131107:MGK131111 MQG131107:MQG131111 NAC131107:NAC131111 NJY131107:NJY131111 NTU131107:NTU131111 ODQ131107:ODQ131111 ONM131107:ONM131111 OXI131107:OXI131111 PHE131107:PHE131111 PRA131107:PRA131111 QAW131107:QAW131111 QKS131107:QKS131111 QUO131107:QUO131111 REK131107:REK131111 ROG131107:ROG131111 RYC131107:RYC131111 SHY131107:SHY131111 SRU131107:SRU131111 TBQ131107:TBQ131111 TLM131107:TLM131111 TVI131107:TVI131111 UFE131107:UFE131111 UPA131107:UPA131111 UYW131107:UYW131111 VIS131107:VIS131111 VSO131107:VSO131111 WCK131107:WCK131111 WMG131107:WMG131111 WWC131107:WWC131111 U196643:U196647 JQ196643:JQ196647 TM196643:TM196647 ADI196643:ADI196647 ANE196643:ANE196647 AXA196643:AXA196647 BGW196643:BGW196647 BQS196643:BQS196647 CAO196643:CAO196647 CKK196643:CKK196647 CUG196643:CUG196647 DEC196643:DEC196647 DNY196643:DNY196647 DXU196643:DXU196647 EHQ196643:EHQ196647 ERM196643:ERM196647 FBI196643:FBI196647 FLE196643:FLE196647 FVA196643:FVA196647 GEW196643:GEW196647 GOS196643:GOS196647 GYO196643:GYO196647 HIK196643:HIK196647 HSG196643:HSG196647 ICC196643:ICC196647 ILY196643:ILY196647 IVU196643:IVU196647 JFQ196643:JFQ196647 JPM196643:JPM196647 JZI196643:JZI196647 KJE196643:KJE196647 KTA196643:KTA196647 LCW196643:LCW196647 LMS196643:LMS196647 LWO196643:LWO196647 MGK196643:MGK196647 MQG196643:MQG196647 NAC196643:NAC196647 NJY196643:NJY196647 NTU196643:NTU196647 ODQ196643:ODQ196647 ONM196643:ONM196647 OXI196643:OXI196647 PHE196643:PHE196647 PRA196643:PRA196647 QAW196643:QAW196647 QKS196643:QKS196647 QUO196643:QUO196647 REK196643:REK196647 ROG196643:ROG196647 RYC196643:RYC196647 SHY196643:SHY196647 SRU196643:SRU196647 TBQ196643:TBQ196647 TLM196643:TLM196647 TVI196643:TVI196647 UFE196643:UFE196647 UPA196643:UPA196647 UYW196643:UYW196647 VIS196643:VIS196647 VSO196643:VSO196647 WCK196643:WCK196647 WMG196643:WMG196647 WWC196643:WWC196647 U262179:U262183 JQ262179:JQ262183 TM262179:TM262183 ADI262179:ADI262183 ANE262179:ANE262183 AXA262179:AXA262183 BGW262179:BGW262183 BQS262179:BQS262183 CAO262179:CAO262183 CKK262179:CKK262183 CUG262179:CUG262183 DEC262179:DEC262183 DNY262179:DNY262183 DXU262179:DXU262183 EHQ262179:EHQ262183 ERM262179:ERM262183 FBI262179:FBI262183 FLE262179:FLE262183 FVA262179:FVA262183 GEW262179:GEW262183 GOS262179:GOS262183 GYO262179:GYO262183 HIK262179:HIK262183 HSG262179:HSG262183 ICC262179:ICC262183 ILY262179:ILY262183 IVU262179:IVU262183 JFQ262179:JFQ262183 JPM262179:JPM262183 JZI262179:JZI262183 KJE262179:KJE262183 KTA262179:KTA262183 LCW262179:LCW262183 LMS262179:LMS262183 LWO262179:LWO262183 MGK262179:MGK262183 MQG262179:MQG262183 NAC262179:NAC262183 NJY262179:NJY262183 NTU262179:NTU262183 ODQ262179:ODQ262183 ONM262179:ONM262183 OXI262179:OXI262183 PHE262179:PHE262183 PRA262179:PRA262183 QAW262179:QAW262183 QKS262179:QKS262183 QUO262179:QUO262183 REK262179:REK262183 ROG262179:ROG262183 RYC262179:RYC262183 SHY262179:SHY262183 SRU262179:SRU262183 TBQ262179:TBQ262183 TLM262179:TLM262183 TVI262179:TVI262183 UFE262179:UFE262183 UPA262179:UPA262183 UYW262179:UYW262183 VIS262179:VIS262183 VSO262179:VSO262183 WCK262179:WCK262183 WMG262179:WMG262183 WWC262179:WWC262183 U327715:U327719 JQ327715:JQ327719 TM327715:TM327719 ADI327715:ADI327719 ANE327715:ANE327719 AXA327715:AXA327719 BGW327715:BGW327719 BQS327715:BQS327719 CAO327715:CAO327719 CKK327715:CKK327719 CUG327715:CUG327719 DEC327715:DEC327719 DNY327715:DNY327719 DXU327715:DXU327719 EHQ327715:EHQ327719 ERM327715:ERM327719 FBI327715:FBI327719 FLE327715:FLE327719 FVA327715:FVA327719 GEW327715:GEW327719 GOS327715:GOS327719 GYO327715:GYO327719 HIK327715:HIK327719 HSG327715:HSG327719 ICC327715:ICC327719 ILY327715:ILY327719 IVU327715:IVU327719 JFQ327715:JFQ327719 JPM327715:JPM327719 JZI327715:JZI327719 KJE327715:KJE327719 KTA327715:KTA327719 LCW327715:LCW327719 LMS327715:LMS327719 LWO327715:LWO327719 MGK327715:MGK327719 MQG327715:MQG327719 NAC327715:NAC327719 NJY327715:NJY327719 NTU327715:NTU327719 ODQ327715:ODQ327719 ONM327715:ONM327719 OXI327715:OXI327719 PHE327715:PHE327719 PRA327715:PRA327719 QAW327715:QAW327719 QKS327715:QKS327719 QUO327715:QUO327719 REK327715:REK327719 ROG327715:ROG327719 RYC327715:RYC327719 SHY327715:SHY327719 SRU327715:SRU327719 TBQ327715:TBQ327719 TLM327715:TLM327719 TVI327715:TVI327719 UFE327715:UFE327719 UPA327715:UPA327719 UYW327715:UYW327719 VIS327715:VIS327719 VSO327715:VSO327719 WCK327715:WCK327719 WMG327715:WMG327719 WWC327715:WWC327719 U393251:U393255 JQ393251:JQ393255 TM393251:TM393255 ADI393251:ADI393255 ANE393251:ANE393255 AXA393251:AXA393255 BGW393251:BGW393255 BQS393251:BQS393255 CAO393251:CAO393255 CKK393251:CKK393255 CUG393251:CUG393255 DEC393251:DEC393255 DNY393251:DNY393255 DXU393251:DXU393255 EHQ393251:EHQ393255 ERM393251:ERM393255 FBI393251:FBI393255 FLE393251:FLE393255 FVA393251:FVA393255 GEW393251:GEW393255 GOS393251:GOS393255 GYO393251:GYO393255 HIK393251:HIK393255 HSG393251:HSG393255 ICC393251:ICC393255 ILY393251:ILY393255 IVU393251:IVU393255 JFQ393251:JFQ393255 JPM393251:JPM393255 JZI393251:JZI393255 KJE393251:KJE393255 KTA393251:KTA393255 LCW393251:LCW393255 LMS393251:LMS393255 LWO393251:LWO393255 MGK393251:MGK393255 MQG393251:MQG393255 NAC393251:NAC393255 NJY393251:NJY393255 NTU393251:NTU393255 ODQ393251:ODQ393255 ONM393251:ONM393255 OXI393251:OXI393255 PHE393251:PHE393255 PRA393251:PRA393255 QAW393251:QAW393255 QKS393251:QKS393255 QUO393251:QUO393255 REK393251:REK393255 ROG393251:ROG393255 RYC393251:RYC393255 SHY393251:SHY393255 SRU393251:SRU393255 TBQ393251:TBQ393255 TLM393251:TLM393255 TVI393251:TVI393255 UFE393251:UFE393255 UPA393251:UPA393255 UYW393251:UYW393255 VIS393251:VIS393255 VSO393251:VSO393255 WCK393251:WCK393255 WMG393251:WMG393255 WWC393251:WWC393255 U458787:U458791 JQ458787:JQ458791 TM458787:TM458791 ADI458787:ADI458791 ANE458787:ANE458791 AXA458787:AXA458791 BGW458787:BGW458791 BQS458787:BQS458791 CAO458787:CAO458791 CKK458787:CKK458791 CUG458787:CUG458791 DEC458787:DEC458791 DNY458787:DNY458791 DXU458787:DXU458791 EHQ458787:EHQ458791 ERM458787:ERM458791 FBI458787:FBI458791 FLE458787:FLE458791 FVA458787:FVA458791 GEW458787:GEW458791 GOS458787:GOS458791 GYO458787:GYO458791 HIK458787:HIK458791 HSG458787:HSG458791 ICC458787:ICC458791 ILY458787:ILY458791 IVU458787:IVU458791 JFQ458787:JFQ458791 JPM458787:JPM458791 JZI458787:JZI458791 KJE458787:KJE458791 KTA458787:KTA458791 LCW458787:LCW458791 LMS458787:LMS458791 LWO458787:LWO458791 MGK458787:MGK458791 MQG458787:MQG458791 NAC458787:NAC458791 NJY458787:NJY458791 NTU458787:NTU458791 ODQ458787:ODQ458791 ONM458787:ONM458791 OXI458787:OXI458791 PHE458787:PHE458791 PRA458787:PRA458791 QAW458787:QAW458791 QKS458787:QKS458791 QUO458787:QUO458791 REK458787:REK458791 ROG458787:ROG458791 RYC458787:RYC458791 SHY458787:SHY458791 SRU458787:SRU458791 TBQ458787:TBQ458791 TLM458787:TLM458791 TVI458787:TVI458791 UFE458787:UFE458791 UPA458787:UPA458791 UYW458787:UYW458791 VIS458787:VIS458791 VSO458787:VSO458791 WCK458787:WCK458791 WMG458787:WMG458791 WWC458787:WWC458791 U524323:U524327 JQ524323:JQ524327 TM524323:TM524327 ADI524323:ADI524327 ANE524323:ANE524327 AXA524323:AXA524327 BGW524323:BGW524327 BQS524323:BQS524327 CAO524323:CAO524327 CKK524323:CKK524327 CUG524323:CUG524327 DEC524323:DEC524327 DNY524323:DNY524327 DXU524323:DXU524327 EHQ524323:EHQ524327 ERM524323:ERM524327 FBI524323:FBI524327 FLE524323:FLE524327 FVA524323:FVA524327 GEW524323:GEW524327 GOS524323:GOS524327 GYO524323:GYO524327 HIK524323:HIK524327 HSG524323:HSG524327 ICC524323:ICC524327 ILY524323:ILY524327 IVU524323:IVU524327 JFQ524323:JFQ524327 JPM524323:JPM524327 JZI524323:JZI524327 KJE524323:KJE524327 KTA524323:KTA524327 LCW524323:LCW524327 LMS524323:LMS524327 LWO524323:LWO524327 MGK524323:MGK524327 MQG524323:MQG524327 NAC524323:NAC524327 NJY524323:NJY524327 NTU524323:NTU524327 ODQ524323:ODQ524327 ONM524323:ONM524327 OXI524323:OXI524327 PHE524323:PHE524327 PRA524323:PRA524327 QAW524323:QAW524327 QKS524323:QKS524327 QUO524323:QUO524327 REK524323:REK524327 ROG524323:ROG524327 RYC524323:RYC524327 SHY524323:SHY524327 SRU524323:SRU524327 TBQ524323:TBQ524327 TLM524323:TLM524327 TVI524323:TVI524327 UFE524323:UFE524327 UPA524323:UPA524327 UYW524323:UYW524327 VIS524323:VIS524327 VSO524323:VSO524327 WCK524323:WCK524327 WMG524323:WMG524327 WWC524323:WWC524327 U589859:U589863 JQ589859:JQ589863 TM589859:TM589863 ADI589859:ADI589863 ANE589859:ANE589863 AXA589859:AXA589863 BGW589859:BGW589863 BQS589859:BQS589863 CAO589859:CAO589863 CKK589859:CKK589863 CUG589859:CUG589863 DEC589859:DEC589863 DNY589859:DNY589863 DXU589859:DXU589863 EHQ589859:EHQ589863 ERM589859:ERM589863 FBI589859:FBI589863 FLE589859:FLE589863 FVA589859:FVA589863 GEW589859:GEW589863 GOS589859:GOS589863 GYO589859:GYO589863 HIK589859:HIK589863 HSG589859:HSG589863 ICC589859:ICC589863 ILY589859:ILY589863 IVU589859:IVU589863 JFQ589859:JFQ589863 JPM589859:JPM589863 JZI589859:JZI589863 KJE589859:KJE589863 KTA589859:KTA589863 LCW589859:LCW589863 LMS589859:LMS589863 LWO589859:LWO589863 MGK589859:MGK589863 MQG589859:MQG589863 NAC589859:NAC589863 NJY589859:NJY589863 NTU589859:NTU589863 ODQ589859:ODQ589863 ONM589859:ONM589863 OXI589859:OXI589863 PHE589859:PHE589863 PRA589859:PRA589863 QAW589859:QAW589863 QKS589859:QKS589863 QUO589859:QUO589863 REK589859:REK589863 ROG589859:ROG589863 RYC589859:RYC589863 SHY589859:SHY589863 SRU589859:SRU589863 TBQ589859:TBQ589863 TLM589859:TLM589863 TVI589859:TVI589863 UFE589859:UFE589863 UPA589859:UPA589863 UYW589859:UYW589863 VIS589859:VIS589863 VSO589859:VSO589863 WCK589859:WCK589863 WMG589859:WMG589863 WWC589859:WWC589863 U655395:U655399 JQ655395:JQ655399 TM655395:TM655399 ADI655395:ADI655399 ANE655395:ANE655399 AXA655395:AXA655399 BGW655395:BGW655399 BQS655395:BQS655399 CAO655395:CAO655399 CKK655395:CKK655399 CUG655395:CUG655399 DEC655395:DEC655399 DNY655395:DNY655399 DXU655395:DXU655399 EHQ655395:EHQ655399 ERM655395:ERM655399 FBI655395:FBI655399 FLE655395:FLE655399 FVA655395:FVA655399 GEW655395:GEW655399 GOS655395:GOS655399 GYO655395:GYO655399 HIK655395:HIK655399 HSG655395:HSG655399 ICC655395:ICC655399 ILY655395:ILY655399 IVU655395:IVU655399 JFQ655395:JFQ655399 JPM655395:JPM655399 JZI655395:JZI655399 KJE655395:KJE655399 KTA655395:KTA655399 LCW655395:LCW655399 LMS655395:LMS655399 LWO655395:LWO655399 MGK655395:MGK655399 MQG655395:MQG655399 NAC655395:NAC655399 NJY655395:NJY655399 NTU655395:NTU655399 ODQ655395:ODQ655399 ONM655395:ONM655399 OXI655395:OXI655399 PHE655395:PHE655399 PRA655395:PRA655399 QAW655395:QAW655399 QKS655395:QKS655399 QUO655395:QUO655399 REK655395:REK655399 ROG655395:ROG655399 RYC655395:RYC655399 SHY655395:SHY655399 SRU655395:SRU655399 TBQ655395:TBQ655399 TLM655395:TLM655399 TVI655395:TVI655399 UFE655395:UFE655399 UPA655395:UPA655399 UYW655395:UYW655399 VIS655395:VIS655399 VSO655395:VSO655399 WCK655395:WCK655399 WMG655395:WMG655399 WWC655395:WWC655399 U720931:U720935 JQ720931:JQ720935 TM720931:TM720935 ADI720931:ADI720935 ANE720931:ANE720935 AXA720931:AXA720935 BGW720931:BGW720935 BQS720931:BQS720935 CAO720931:CAO720935 CKK720931:CKK720935 CUG720931:CUG720935 DEC720931:DEC720935 DNY720931:DNY720935 DXU720931:DXU720935 EHQ720931:EHQ720935 ERM720931:ERM720935 FBI720931:FBI720935 FLE720931:FLE720935 FVA720931:FVA720935 GEW720931:GEW720935 GOS720931:GOS720935 GYO720931:GYO720935 HIK720931:HIK720935 HSG720931:HSG720935 ICC720931:ICC720935 ILY720931:ILY720935 IVU720931:IVU720935 JFQ720931:JFQ720935 JPM720931:JPM720935 JZI720931:JZI720935 KJE720931:KJE720935 KTA720931:KTA720935 LCW720931:LCW720935 LMS720931:LMS720935 LWO720931:LWO720935 MGK720931:MGK720935 MQG720931:MQG720935 NAC720931:NAC720935 NJY720931:NJY720935 NTU720931:NTU720935 ODQ720931:ODQ720935 ONM720931:ONM720935 OXI720931:OXI720935 PHE720931:PHE720935 PRA720931:PRA720935 QAW720931:QAW720935 QKS720931:QKS720935 QUO720931:QUO720935 REK720931:REK720935 ROG720931:ROG720935 RYC720931:RYC720935 SHY720931:SHY720935 SRU720931:SRU720935 TBQ720931:TBQ720935 TLM720931:TLM720935 TVI720931:TVI720935 UFE720931:UFE720935 UPA720931:UPA720935 UYW720931:UYW720935 VIS720931:VIS720935 VSO720931:VSO720935 WCK720931:WCK720935 WMG720931:WMG720935 WWC720931:WWC720935 U786467:U786471 JQ786467:JQ786471 TM786467:TM786471 ADI786467:ADI786471 ANE786467:ANE786471 AXA786467:AXA786471 BGW786467:BGW786471 BQS786467:BQS786471 CAO786467:CAO786471 CKK786467:CKK786471 CUG786467:CUG786471 DEC786467:DEC786471 DNY786467:DNY786471 DXU786467:DXU786471 EHQ786467:EHQ786471 ERM786467:ERM786471 FBI786467:FBI786471 FLE786467:FLE786471 FVA786467:FVA786471 GEW786467:GEW786471 GOS786467:GOS786471 GYO786467:GYO786471 HIK786467:HIK786471 HSG786467:HSG786471 ICC786467:ICC786471 ILY786467:ILY786471 IVU786467:IVU786471 JFQ786467:JFQ786471 JPM786467:JPM786471 JZI786467:JZI786471 KJE786467:KJE786471 KTA786467:KTA786471 LCW786467:LCW786471 LMS786467:LMS786471 LWO786467:LWO786471 MGK786467:MGK786471 MQG786467:MQG786471 NAC786467:NAC786471 NJY786467:NJY786471 NTU786467:NTU786471 ODQ786467:ODQ786471 ONM786467:ONM786471 OXI786467:OXI786471 PHE786467:PHE786471 PRA786467:PRA786471 QAW786467:QAW786471 QKS786467:QKS786471 QUO786467:QUO786471 REK786467:REK786471 ROG786467:ROG786471 RYC786467:RYC786471 SHY786467:SHY786471 SRU786467:SRU786471 TBQ786467:TBQ786471 TLM786467:TLM786471 TVI786467:TVI786471 UFE786467:UFE786471 UPA786467:UPA786471 UYW786467:UYW786471 VIS786467:VIS786471 VSO786467:VSO786471 WCK786467:WCK786471 WMG786467:WMG786471 WWC786467:WWC786471 U852003:U852007 JQ852003:JQ852007 TM852003:TM852007 ADI852003:ADI852007 ANE852003:ANE852007 AXA852003:AXA852007 BGW852003:BGW852007 BQS852003:BQS852007 CAO852003:CAO852007 CKK852003:CKK852007 CUG852003:CUG852007 DEC852003:DEC852007 DNY852003:DNY852007 DXU852003:DXU852007 EHQ852003:EHQ852007 ERM852003:ERM852007 FBI852003:FBI852007 FLE852003:FLE852007 FVA852003:FVA852007 GEW852003:GEW852007 GOS852003:GOS852007 GYO852003:GYO852007 HIK852003:HIK852007 HSG852003:HSG852007 ICC852003:ICC852007 ILY852003:ILY852007 IVU852003:IVU852007 JFQ852003:JFQ852007 JPM852003:JPM852007 JZI852003:JZI852007 KJE852003:KJE852007 KTA852003:KTA852007 LCW852003:LCW852007 LMS852003:LMS852007 LWO852003:LWO852007 MGK852003:MGK852007 MQG852003:MQG852007 NAC852003:NAC852007 NJY852003:NJY852007 NTU852003:NTU852007 ODQ852003:ODQ852007 ONM852003:ONM852007 OXI852003:OXI852007 PHE852003:PHE852007 PRA852003:PRA852007 QAW852003:QAW852007 QKS852003:QKS852007 QUO852003:QUO852007 REK852003:REK852007 ROG852003:ROG852007 RYC852003:RYC852007 SHY852003:SHY852007 SRU852003:SRU852007 TBQ852003:TBQ852007 TLM852003:TLM852007 TVI852003:TVI852007 UFE852003:UFE852007 UPA852003:UPA852007 UYW852003:UYW852007 VIS852003:VIS852007 VSO852003:VSO852007 WCK852003:WCK852007 WMG852003:WMG852007 WWC852003:WWC852007 U917539:U917543 JQ917539:JQ917543 TM917539:TM917543 ADI917539:ADI917543 ANE917539:ANE917543 AXA917539:AXA917543 BGW917539:BGW917543 BQS917539:BQS917543 CAO917539:CAO917543 CKK917539:CKK917543 CUG917539:CUG917543 DEC917539:DEC917543 DNY917539:DNY917543 DXU917539:DXU917543 EHQ917539:EHQ917543 ERM917539:ERM917543 FBI917539:FBI917543 FLE917539:FLE917543 FVA917539:FVA917543 GEW917539:GEW917543 GOS917539:GOS917543 GYO917539:GYO917543 HIK917539:HIK917543 HSG917539:HSG917543 ICC917539:ICC917543 ILY917539:ILY917543 IVU917539:IVU917543 JFQ917539:JFQ917543 JPM917539:JPM917543 JZI917539:JZI917543 KJE917539:KJE917543 KTA917539:KTA917543 LCW917539:LCW917543 LMS917539:LMS917543 LWO917539:LWO917543 MGK917539:MGK917543 MQG917539:MQG917543 NAC917539:NAC917543 NJY917539:NJY917543 NTU917539:NTU917543 ODQ917539:ODQ917543 ONM917539:ONM917543 OXI917539:OXI917543 PHE917539:PHE917543 PRA917539:PRA917543 QAW917539:QAW917543 QKS917539:QKS917543 QUO917539:QUO917543 REK917539:REK917543 ROG917539:ROG917543 RYC917539:RYC917543 SHY917539:SHY917543 SRU917539:SRU917543 TBQ917539:TBQ917543 TLM917539:TLM917543 TVI917539:TVI917543 UFE917539:UFE917543 UPA917539:UPA917543 UYW917539:UYW917543 VIS917539:VIS917543 VSO917539:VSO917543 WCK917539:WCK917543 WMG917539:WMG917543 WWC917539:WWC917543 U983075:U983079 JQ983075:JQ983079 TM983075:TM983079 ADI983075:ADI983079 ANE983075:ANE983079 AXA983075:AXA983079 BGW983075:BGW983079 BQS983075:BQS983079 CAO983075:CAO983079 CKK983075:CKK983079 CUG983075:CUG983079 DEC983075:DEC983079 DNY983075:DNY983079 DXU983075:DXU983079 EHQ983075:EHQ983079 ERM983075:ERM983079 FBI983075:FBI983079 FLE983075:FLE983079 FVA983075:FVA983079 GEW983075:GEW983079 GOS983075:GOS983079 GYO983075:GYO983079 HIK983075:HIK983079 HSG983075:HSG983079 ICC983075:ICC983079 ILY983075:ILY983079 IVU983075:IVU983079 JFQ983075:JFQ983079 JPM983075:JPM983079 JZI983075:JZI983079 KJE983075:KJE983079 KTA983075:KTA983079 LCW983075:LCW983079 LMS983075:LMS983079 LWO983075:LWO983079 MGK983075:MGK983079 MQG983075:MQG983079 NAC983075:NAC983079 NJY983075:NJY983079 NTU983075:NTU983079 ODQ983075:ODQ983079 ONM983075:ONM983079 OXI983075:OXI983079 PHE983075:PHE983079 PRA983075:PRA983079 QAW983075:QAW983079 QKS983075:QKS983079 QUO983075:QUO983079 REK983075:REK983079 ROG983075:ROG983079 RYC983075:RYC983079 SHY983075:SHY983079 SRU983075:SRU983079 TBQ983075:TBQ983079 TLM983075:TLM983079 TVI983075:TVI983079 UFE983075:UFE983079 UPA983075:UPA983079 UYW983075:UYW983079 VIS983075:VIS983079 VSO983075:VSO983079 WCK983075:WCK983079 WMG983075:WMG983079 WWC983075:WWC983079 U17:U21 JQ17:JQ21 TM17:TM21 ADI17:ADI21 ANE17:ANE21 AXA17:AXA21 BGW17:BGW21 BQS17:BQS21 CAO17:CAO21 CKK17:CKK21 CUG17:CUG21 DEC17:DEC21 DNY17:DNY21 DXU17:DXU21 EHQ17:EHQ21 ERM17:ERM21 FBI17:FBI21 FLE17:FLE21 FVA17:FVA21 GEW17:GEW21 GOS17:GOS21 GYO17:GYO21 HIK17:HIK21 HSG17:HSG21 ICC17:ICC21 ILY17:ILY21 IVU17:IVU21 JFQ17:JFQ21 JPM17:JPM21 JZI17:JZI21 KJE17:KJE21 KTA17:KTA21 LCW17:LCW21 LMS17:LMS21 LWO17:LWO21 MGK17:MGK21 MQG17:MQG21 NAC17:NAC21 NJY17:NJY21 NTU17:NTU21 ODQ17:ODQ21 ONM17:ONM21 OXI17:OXI21 PHE17:PHE21 PRA17:PRA21 QAW17:QAW21 QKS17:QKS21 QUO17:QUO21 REK17:REK21 ROG17:ROG21 RYC17:RYC21 SHY17:SHY21 SRU17:SRU21 TBQ17:TBQ21 TLM17:TLM21 TVI17:TVI21 UFE17:UFE21 UPA17:UPA21 UYW17:UYW21 VIS17:VIS21 VSO17:VSO21 WCK17:WCK21 WMG17:WMG21 WWC17:WWC21 U65553:U65557 JQ65553:JQ65557 TM65553:TM65557 ADI65553:ADI65557 ANE65553:ANE65557 AXA65553:AXA65557 BGW65553:BGW65557 BQS65553:BQS65557 CAO65553:CAO65557 CKK65553:CKK65557 CUG65553:CUG65557 DEC65553:DEC65557 DNY65553:DNY65557 DXU65553:DXU65557 EHQ65553:EHQ65557 ERM65553:ERM65557 FBI65553:FBI65557 FLE65553:FLE65557 FVA65553:FVA65557 GEW65553:GEW65557 GOS65553:GOS65557 GYO65553:GYO65557 HIK65553:HIK65557 HSG65553:HSG65557 ICC65553:ICC65557 ILY65553:ILY65557 IVU65553:IVU65557 JFQ65553:JFQ65557 JPM65553:JPM65557 JZI65553:JZI65557 KJE65553:KJE65557 KTA65553:KTA65557 LCW65553:LCW65557 LMS65553:LMS65557 LWO65553:LWO65557 MGK65553:MGK65557 MQG65553:MQG65557 NAC65553:NAC65557 NJY65553:NJY65557 NTU65553:NTU65557 ODQ65553:ODQ65557 ONM65553:ONM65557 OXI65553:OXI65557 PHE65553:PHE65557 PRA65553:PRA65557 QAW65553:QAW65557 QKS65553:QKS65557 QUO65553:QUO65557 REK65553:REK65557 ROG65553:ROG65557 RYC65553:RYC65557 SHY65553:SHY65557 SRU65553:SRU65557 TBQ65553:TBQ65557 TLM65553:TLM65557 TVI65553:TVI65557 UFE65553:UFE65557 UPA65553:UPA65557 UYW65553:UYW65557 VIS65553:VIS65557 VSO65553:VSO65557 WCK65553:WCK65557 WMG65553:WMG65557 WWC65553:WWC65557 U131089:U131093 JQ131089:JQ131093 TM131089:TM131093 ADI131089:ADI131093 ANE131089:ANE131093 AXA131089:AXA131093 BGW131089:BGW131093 BQS131089:BQS131093 CAO131089:CAO131093 CKK131089:CKK131093 CUG131089:CUG131093 DEC131089:DEC131093 DNY131089:DNY131093 DXU131089:DXU131093 EHQ131089:EHQ131093 ERM131089:ERM131093 FBI131089:FBI131093 FLE131089:FLE131093 FVA131089:FVA131093 GEW131089:GEW131093 GOS131089:GOS131093 GYO131089:GYO131093 HIK131089:HIK131093 HSG131089:HSG131093 ICC131089:ICC131093 ILY131089:ILY131093 IVU131089:IVU131093 JFQ131089:JFQ131093 JPM131089:JPM131093 JZI131089:JZI131093 KJE131089:KJE131093 KTA131089:KTA131093 LCW131089:LCW131093 LMS131089:LMS131093 LWO131089:LWO131093 MGK131089:MGK131093 MQG131089:MQG131093 NAC131089:NAC131093 NJY131089:NJY131093 NTU131089:NTU131093 ODQ131089:ODQ131093 ONM131089:ONM131093 OXI131089:OXI131093 PHE131089:PHE131093 PRA131089:PRA131093 QAW131089:QAW131093 QKS131089:QKS131093 QUO131089:QUO131093 REK131089:REK131093 ROG131089:ROG131093 RYC131089:RYC131093 SHY131089:SHY131093 SRU131089:SRU131093 TBQ131089:TBQ131093 TLM131089:TLM131093 TVI131089:TVI131093 UFE131089:UFE131093 UPA131089:UPA131093 UYW131089:UYW131093 VIS131089:VIS131093 VSO131089:VSO131093 WCK131089:WCK131093 WMG131089:WMG131093 WWC131089:WWC131093 U196625:U196629 JQ196625:JQ196629 TM196625:TM196629 ADI196625:ADI196629 ANE196625:ANE196629 AXA196625:AXA196629 BGW196625:BGW196629 BQS196625:BQS196629 CAO196625:CAO196629 CKK196625:CKK196629 CUG196625:CUG196629 DEC196625:DEC196629 DNY196625:DNY196629 DXU196625:DXU196629 EHQ196625:EHQ196629 ERM196625:ERM196629 FBI196625:FBI196629 FLE196625:FLE196629 FVA196625:FVA196629 GEW196625:GEW196629 GOS196625:GOS196629 GYO196625:GYO196629 HIK196625:HIK196629 HSG196625:HSG196629 ICC196625:ICC196629 ILY196625:ILY196629 IVU196625:IVU196629 JFQ196625:JFQ196629 JPM196625:JPM196629 JZI196625:JZI196629 KJE196625:KJE196629 KTA196625:KTA196629 LCW196625:LCW196629 LMS196625:LMS196629 LWO196625:LWO196629 MGK196625:MGK196629 MQG196625:MQG196629 NAC196625:NAC196629 NJY196625:NJY196629 NTU196625:NTU196629 ODQ196625:ODQ196629 ONM196625:ONM196629 OXI196625:OXI196629 PHE196625:PHE196629 PRA196625:PRA196629 QAW196625:QAW196629 QKS196625:QKS196629 QUO196625:QUO196629 REK196625:REK196629 ROG196625:ROG196629 RYC196625:RYC196629 SHY196625:SHY196629 SRU196625:SRU196629 TBQ196625:TBQ196629 TLM196625:TLM196629 TVI196625:TVI196629 UFE196625:UFE196629 UPA196625:UPA196629 UYW196625:UYW196629 VIS196625:VIS196629 VSO196625:VSO196629 WCK196625:WCK196629 WMG196625:WMG196629 WWC196625:WWC196629 U262161:U262165 JQ262161:JQ262165 TM262161:TM262165 ADI262161:ADI262165 ANE262161:ANE262165 AXA262161:AXA262165 BGW262161:BGW262165 BQS262161:BQS262165 CAO262161:CAO262165 CKK262161:CKK262165 CUG262161:CUG262165 DEC262161:DEC262165 DNY262161:DNY262165 DXU262161:DXU262165 EHQ262161:EHQ262165 ERM262161:ERM262165 FBI262161:FBI262165 FLE262161:FLE262165 FVA262161:FVA262165 GEW262161:GEW262165 GOS262161:GOS262165 GYO262161:GYO262165 HIK262161:HIK262165 HSG262161:HSG262165 ICC262161:ICC262165 ILY262161:ILY262165 IVU262161:IVU262165 JFQ262161:JFQ262165 JPM262161:JPM262165 JZI262161:JZI262165 KJE262161:KJE262165 KTA262161:KTA262165 LCW262161:LCW262165 LMS262161:LMS262165 LWO262161:LWO262165 MGK262161:MGK262165 MQG262161:MQG262165 NAC262161:NAC262165 NJY262161:NJY262165 NTU262161:NTU262165 ODQ262161:ODQ262165 ONM262161:ONM262165 OXI262161:OXI262165 PHE262161:PHE262165 PRA262161:PRA262165 QAW262161:QAW262165 QKS262161:QKS262165 QUO262161:QUO262165 REK262161:REK262165 ROG262161:ROG262165 RYC262161:RYC262165 SHY262161:SHY262165 SRU262161:SRU262165 TBQ262161:TBQ262165 TLM262161:TLM262165 TVI262161:TVI262165 UFE262161:UFE262165 UPA262161:UPA262165 UYW262161:UYW262165 VIS262161:VIS262165 VSO262161:VSO262165 WCK262161:WCK262165 WMG262161:WMG262165 WWC262161:WWC262165 U327697:U327701 JQ327697:JQ327701 TM327697:TM327701 ADI327697:ADI327701 ANE327697:ANE327701 AXA327697:AXA327701 BGW327697:BGW327701 BQS327697:BQS327701 CAO327697:CAO327701 CKK327697:CKK327701 CUG327697:CUG327701 DEC327697:DEC327701 DNY327697:DNY327701 DXU327697:DXU327701 EHQ327697:EHQ327701 ERM327697:ERM327701 FBI327697:FBI327701 FLE327697:FLE327701 FVA327697:FVA327701 GEW327697:GEW327701 GOS327697:GOS327701 GYO327697:GYO327701 HIK327697:HIK327701 HSG327697:HSG327701 ICC327697:ICC327701 ILY327697:ILY327701 IVU327697:IVU327701 JFQ327697:JFQ327701 JPM327697:JPM327701 JZI327697:JZI327701 KJE327697:KJE327701 KTA327697:KTA327701 LCW327697:LCW327701 LMS327697:LMS327701 LWO327697:LWO327701 MGK327697:MGK327701 MQG327697:MQG327701 NAC327697:NAC327701 NJY327697:NJY327701 NTU327697:NTU327701 ODQ327697:ODQ327701 ONM327697:ONM327701 OXI327697:OXI327701 PHE327697:PHE327701 PRA327697:PRA327701 QAW327697:QAW327701 QKS327697:QKS327701 QUO327697:QUO327701 REK327697:REK327701 ROG327697:ROG327701 RYC327697:RYC327701 SHY327697:SHY327701 SRU327697:SRU327701 TBQ327697:TBQ327701 TLM327697:TLM327701 TVI327697:TVI327701 UFE327697:UFE327701 UPA327697:UPA327701 UYW327697:UYW327701 VIS327697:VIS327701 VSO327697:VSO327701 WCK327697:WCK327701 WMG327697:WMG327701 WWC327697:WWC327701 U393233:U393237 JQ393233:JQ393237 TM393233:TM393237 ADI393233:ADI393237 ANE393233:ANE393237 AXA393233:AXA393237 BGW393233:BGW393237 BQS393233:BQS393237 CAO393233:CAO393237 CKK393233:CKK393237 CUG393233:CUG393237 DEC393233:DEC393237 DNY393233:DNY393237 DXU393233:DXU393237 EHQ393233:EHQ393237 ERM393233:ERM393237 FBI393233:FBI393237 FLE393233:FLE393237 FVA393233:FVA393237 GEW393233:GEW393237 GOS393233:GOS393237 GYO393233:GYO393237 HIK393233:HIK393237 HSG393233:HSG393237 ICC393233:ICC393237 ILY393233:ILY393237 IVU393233:IVU393237 JFQ393233:JFQ393237 JPM393233:JPM393237 JZI393233:JZI393237 KJE393233:KJE393237 KTA393233:KTA393237 LCW393233:LCW393237 LMS393233:LMS393237 LWO393233:LWO393237 MGK393233:MGK393237 MQG393233:MQG393237 NAC393233:NAC393237 NJY393233:NJY393237 NTU393233:NTU393237 ODQ393233:ODQ393237 ONM393233:ONM393237 OXI393233:OXI393237 PHE393233:PHE393237 PRA393233:PRA393237 QAW393233:QAW393237 QKS393233:QKS393237 QUO393233:QUO393237 REK393233:REK393237 ROG393233:ROG393237 RYC393233:RYC393237 SHY393233:SHY393237 SRU393233:SRU393237 TBQ393233:TBQ393237 TLM393233:TLM393237 TVI393233:TVI393237 UFE393233:UFE393237 UPA393233:UPA393237 UYW393233:UYW393237 VIS393233:VIS393237 VSO393233:VSO393237 WCK393233:WCK393237 WMG393233:WMG393237 WWC393233:WWC393237 U458769:U458773 JQ458769:JQ458773 TM458769:TM458773 ADI458769:ADI458773 ANE458769:ANE458773 AXA458769:AXA458773 BGW458769:BGW458773 BQS458769:BQS458773 CAO458769:CAO458773 CKK458769:CKK458773 CUG458769:CUG458773 DEC458769:DEC458773 DNY458769:DNY458773 DXU458769:DXU458773 EHQ458769:EHQ458773 ERM458769:ERM458773 FBI458769:FBI458773 FLE458769:FLE458773 FVA458769:FVA458773 GEW458769:GEW458773 GOS458769:GOS458773 GYO458769:GYO458773 HIK458769:HIK458773 HSG458769:HSG458773 ICC458769:ICC458773 ILY458769:ILY458773 IVU458769:IVU458773 JFQ458769:JFQ458773 JPM458769:JPM458773 JZI458769:JZI458773 KJE458769:KJE458773 KTA458769:KTA458773 LCW458769:LCW458773 LMS458769:LMS458773 LWO458769:LWO458773 MGK458769:MGK458773 MQG458769:MQG458773 NAC458769:NAC458773 NJY458769:NJY458773 NTU458769:NTU458773 ODQ458769:ODQ458773 ONM458769:ONM458773 OXI458769:OXI458773 PHE458769:PHE458773 PRA458769:PRA458773 QAW458769:QAW458773 QKS458769:QKS458773 QUO458769:QUO458773 REK458769:REK458773 ROG458769:ROG458773 RYC458769:RYC458773 SHY458769:SHY458773 SRU458769:SRU458773 TBQ458769:TBQ458773 TLM458769:TLM458773 TVI458769:TVI458773 UFE458769:UFE458773 UPA458769:UPA458773 UYW458769:UYW458773 VIS458769:VIS458773 VSO458769:VSO458773 WCK458769:WCK458773 WMG458769:WMG458773 WWC458769:WWC458773 U524305:U524309 JQ524305:JQ524309 TM524305:TM524309 ADI524305:ADI524309 ANE524305:ANE524309 AXA524305:AXA524309 BGW524305:BGW524309 BQS524305:BQS524309 CAO524305:CAO524309 CKK524305:CKK524309 CUG524305:CUG524309 DEC524305:DEC524309 DNY524305:DNY524309 DXU524305:DXU524309 EHQ524305:EHQ524309 ERM524305:ERM524309 FBI524305:FBI524309 FLE524305:FLE524309 FVA524305:FVA524309 GEW524305:GEW524309 GOS524305:GOS524309 GYO524305:GYO524309 HIK524305:HIK524309 HSG524305:HSG524309 ICC524305:ICC524309 ILY524305:ILY524309 IVU524305:IVU524309 JFQ524305:JFQ524309 JPM524305:JPM524309 JZI524305:JZI524309 KJE524305:KJE524309 KTA524305:KTA524309 LCW524305:LCW524309 LMS524305:LMS524309 LWO524305:LWO524309 MGK524305:MGK524309 MQG524305:MQG524309 NAC524305:NAC524309 NJY524305:NJY524309 NTU524305:NTU524309 ODQ524305:ODQ524309 ONM524305:ONM524309 OXI524305:OXI524309 PHE524305:PHE524309 PRA524305:PRA524309 QAW524305:QAW524309 QKS524305:QKS524309 QUO524305:QUO524309 REK524305:REK524309 ROG524305:ROG524309 RYC524305:RYC524309 SHY524305:SHY524309 SRU524305:SRU524309 TBQ524305:TBQ524309 TLM524305:TLM524309 TVI524305:TVI524309 UFE524305:UFE524309 UPA524305:UPA524309 UYW524305:UYW524309 VIS524305:VIS524309 VSO524305:VSO524309 WCK524305:WCK524309 WMG524305:WMG524309 WWC524305:WWC524309 U589841:U589845 JQ589841:JQ589845 TM589841:TM589845 ADI589841:ADI589845 ANE589841:ANE589845 AXA589841:AXA589845 BGW589841:BGW589845 BQS589841:BQS589845 CAO589841:CAO589845 CKK589841:CKK589845 CUG589841:CUG589845 DEC589841:DEC589845 DNY589841:DNY589845 DXU589841:DXU589845 EHQ589841:EHQ589845 ERM589841:ERM589845 FBI589841:FBI589845 FLE589841:FLE589845 FVA589841:FVA589845 GEW589841:GEW589845 GOS589841:GOS589845 GYO589841:GYO589845 HIK589841:HIK589845 HSG589841:HSG589845 ICC589841:ICC589845 ILY589841:ILY589845 IVU589841:IVU589845 JFQ589841:JFQ589845 JPM589841:JPM589845 JZI589841:JZI589845 KJE589841:KJE589845 KTA589841:KTA589845 LCW589841:LCW589845 LMS589841:LMS589845 LWO589841:LWO589845 MGK589841:MGK589845 MQG589841:MQG589845 NAC589841:NAC589845 NJY589841:NJY589845 NTU589841:NTU589845 ODQ589841:ODQ589845 ONM589841:ONM589845 OXI589841:OXI589845 PHE589841:PHE589845 PRA589841:PRA589845 QAW589841:QAW589845 QKS589841:QKS589845 QUO589841:QUO589845 REK589841:REK589845 ROG589841:ROG589845 RYC589841:RYC589845 SHY589841:SHY589845 SRU589841:SRU589845 TBQ589841:TBQ589845 TLM589841:TLM589845 TVI589841:TVI589845 UFE589841:UFE589845 UPA589841:UPA589845 UYW589841:UYW589845 VIS589841:VIS589845 VSO589841:VSO589845 WCK589841:WCK589845 WMG589841:WMG589845 WWC589841:WWC589845 U655377:U655381 JQ655377:JQ655381 TM655377:TM655381 ADI655377:ADI655381 ANE655377:ANE655381 AXA655377:AXA655381 BGW655377:BGW655381 BQS655377:BQS655381 CAO655377:CAO655381 CKK655377:CKK655381 CUG655377:CUG655381 DEC655377:DEC655381 DNY655377:DNY655381 DXU655377:DXU655381 EHQ655377:EHQ655381 ERM655377:ERM655381 FBI655377:FBI655381 FLE655377:FLE655381 FVA655377:FVA655381 GEW655377:GEW655381 GOS655377:GOS655381 GYO655377:GYO655381 HIK655377:HIK655381 HSG655377:HSG655381 ICC655377:ICC655381 ILY655377:ILY655381 IVU655377:IVU655381 JFQ655377:JFQ655381 JPM655377:JPM655381 JZI655377:JZI655381 KJE655377:KJE655381 KTA655377:KTA655381 LCW655377:LCW655381 LMS655377:LMS655381 LWO655377:LWO655381 MGK655377:MGK655381 MQG655377:MQG655381 NAC655377:NAC655381 NJY655377:NJY655381 NTU655377:NTU655381 ODQ655377:ODQ655381 ONM655377:ONM655381 OXI655377:OXI655381 PHE655377:PHE655381 PRA655377:PRA655381 QAW655377:QAW655381 QKS655377:QKS655381 QUO655377:QUO655381 REK655377:REK655381 ROG655377:ROG655381 RYC655377:RYC655381 SHY655377:SHY655381 SRU655377:SRU655381 TBQ655377:TBQ655381 TLM655377:TLM655381 TVI655377:TVI655381 UFE655377:UFE655381 UPA655377:UPA655381 UYW655377:UYW655381 VIS655377:VIS655381 VSO655377:VSO655381 WCK655377:WCK655381 WMG655377:WMG655381 WWC655377:WWC655381 U720913:U720917 JQ720913:JQ720917 TM720913:TM720917 ADI720913:ADI720917 ANE720913:ANE720917 AXA720913:AXA720917 BGW720913:BGW720917 BQS720913:BQS720917 CAO720913:CAO720917 CKK720913:CKK720917 CUG720913:CUG720917 DEC720913:DEC720917 DNY720913:DNY720917 DXU720913:DXU720917 EHQ720913:EHQ720917 ERM720913:ERM720917 FBI720913:FBI720917 FLE720913:FLE720917 FVA720913:FVA720917 GEW720913:GEW720917 GOS720913:GOS720917 GYO720913:GYO720917 HIK720913:HIK720917 HSG720913:HSG720917 ICC720913:ICC720917 ILY720913:ILY720917 IVU720913:IVU720917 JFQ720913:JFQ720917 JPM720913:JPM720917 JZI720913:JZI720917 KJE720913:KJE720917 KTA720913:KTA720917 LCW720913:LCW720917 LMS720913:LMS720917 LWO720913:LWO720917 MGK720913:MGK720917 MQG720913:MQG720917 NAC720913:NAC720917 NJY720913:NJY720917 NTU720913:NTU720917 ODQ720913:ODQ720917 ONM720913:ONM720917 OXI720913:OXI720917 PHE720913:PHE720917 PRA720913:PRA720917 QAW720913:QAW720917 QKS720913:QKS720917 QUO720913:QUO720917 REK720913:REK720917 ROG720913:ROG720917 RYC720913:RYC720917 SHY720913:SHY720917 SRU720913:SRU720917 TBQ720913:TBQ720917 TLM720913:TLM720917 TVI720913:TVI720917 UFE720913:UFE720917 UPA720913:UPA720917 UYW720913:UYW720917 VIS720913:VIS720917 VSO720913:VSO720917 WCK720913:WCK720917 WMG720913:WMG720917 WWC720913:WWC720917 U786449:U786453 JQ786449:JQ786453 TM786449:TM786453 ADI786449:ADI786453 ANE786449:ANE786453 AXA786449:AXA786453 BGW786449:BGW786453 BQS786449:BQS786453 CAO786449:CAO786453 CKK786449:CKK786453 CUG786449:CUG786453 DEC786449:DEC786453 DNY786449:DNY786453 DXU786449:DXU786453 EHQ786449:EHQ786453 ERM786449:ERM786453 FBI786449:FBI786453 FLE786449:FLE786453 FVA786449:FVA786453 GEW786449:GEW786453 GOS786449:GOS786453 GYO786449:GYO786453 HIK786449:HIK786453 HSG786449:HSG786453 ICC786449:ICC786453 ILY786449:ILY786453 IVU786449:IVU786453 JFQ786449:JFQ786453 JPM786449:JPM786453 JZI786449:JZI786453 KJE786449:KJE786453 KTA786449:KTA786453 LCW786449:LCW786453 LMS786449:LMS786453 LWO786449:LWO786453 MGK786449:MGK786453 MQG786449:MQG786453 NAC786449:NAC786453 NJY786449:NJY786453 NTU786449:NTU786453 ODQ786449:ODQ786453 ONM786449:ONM786453 OXI786449:OXI786453 PHE786449:PHE786453 PRA786449:PRA786453 QAW786449:QAW786453 QKS786449:QKS786453 QUO786449:QUO786453 REK786449:REK786453 ROG786449:ROG786453 RYC786449:RYC786453 SHY786449:SHY786453 SRU786449:SRU786453 TBQ786449:TBQ786453 TLM786449:TLM786453 TVI786449:TVI786453 UFE786449:UFE786453 UPA786449:UPA786453 UYW786449:UYW786453 VIS786449:VIS786453 VSO786449:VSO786453 WCK786449:WCK786453 WMG786449:WMG786453 WWC786449:WWC786453 U851985:U851989 JQ851985:JQ851989 TM851985:TM851989 ADI851985:ADI851989 ANE851985:ANE851989 AXA851985:AXA851989 BGW851985:BGW851989 BQS851985:BQS851989 CAO851985:CAO851989 CKK851985:CKK851989 CUG851985:CUG851989 DEC851985:DEC851989 DNY851985:DNY851989 DXU851985:DXU851989 EHQ851985:EHQ851989 ERM851985:ERM851989 FBI851985:FBI851989 FLE851985:FLE851989 FVA851985:FVA851989 GEW851985:GEW851989 GOS851985:GOS851989 GYO851985:GYO851989 HIK851985:HIK851989 HSG851985:HSG851989 ICC851985:ICC851989 ILY851985:ILY851989 IVU851985:IVU851989 JFQ851985:JFQ851989 JPM851985:JPM851989 JZI851985:JZI851989 KJE851985:KJE851989 KTA851985:KTA851989 LCW851985:LCW851989 LMS851985:LMS851989 LWO851985:LWO851989 MGK851985:MGK851989 MQG851985:MQG851989 NAC851985:NAC851989 NJY851985:NJY851989 NTU851985:NTU851989 ODQ851985:ODQ851989 ONM851985:ONM851989 OXI851985:OXI851989 PHE851985:PHE851989 PRA851985:PRA851989 QAW851985:QAW851989 QKS851985:QKS851989 QUO851985:QUO851989 REK851985:REK851989 ROG851985:ROG851989 RYC851985:RYC851989 SHY851985:SHY851989 SRU851985:SRU851989 TBQ851985:TBQ851989 TLM851985:TLM851989 TVI851985:TVI851989 UFE851985:UFE851989 UPA851985:UPA851989 UYW851985:UYW851989 VIS851985:VIS851989 VSO851985:VSO851989 WCK851985:WCK851989 WMG851985:WMG851989 WWC851985:WWC851989 U917521:U917525 JQ917521:JQ917525 TM917521:TM917525 ADI917521:ADI917525 ANE917521:ANE917525 AXA917521:AXA917525 BGW917521:BGW917525 BQS917521:BQS917525 CAO917521:CAO917525 CKK917521:CKK917525 CUG917521:CUG917525 DEC917521:DEC917525 DNY917521:DNY917525 DXU917521:DXU917525 EHQ917521:EHQ917525 ERM917521:ERM917525 FBI917521:FBI917525 FLE917521:FLE917525 FVA917521:FVA917525 GEW917521:GEW917525 GOS917521:GOS917525 GYO917521:GYO917525 HIK917521:HIK917525 HSG917521:HSG917525 ICC917521:ICC917525 ILY917521:ILY917525 IVU917521:IVU917525 JFQ917521:JFQ917525 JPM917521:JPM917525 JZI917521:JZI917525 KJE917521:KJE917525 KTA917521:KTA917525 LCW917521:LCW917525 LMS917521:LMS917525 LWO917521:LWO917525 MGK917521:MGK917525 MQG917521:MQG917525 NAC917521:NAC917525 NJY917521:NJY917525 NTU917521:NTU917525 ODQ917521:ODQ917525 ONM917521:ONM917525 OXI917521:OXI917525 PHE917521:PHE917525 PRA917521:PRA917525 QAW917521:QAW917525 QKS917521:QKS917525 QUO917521:QUO917525 REK917521:REK917525 ROG917521:ROG917525 RYC917521:RYC917525 SHY917521:SHY917525 SRU917521:SRU917525 TBQ917521:TBQ917525 TLM917521:TLM917525 TVI917521:TVI917525 UFE917521:UFE917525 UPA917521:UPA917525 UYW917521:UYW917525 VIS917521:VIS917525 VSO917521:VSO917525 WCK917521:WCK917525 WMG917521:WMG917525 WWC917521:WWC917525 U983057:U983061 JQ983057:JQ983061 TM983057:TM983061 ADI983057:ADI983061 ANE983057:ANE983061 AXA983057:AXA983061 BGW983057:BGW983061 BQS983057:BQS983061 CAO983057:CAO983061 CKK983057:CKK983061 CUG983057:CUG983061 DEC983057:DEC983061 DNY983057:DNY983061 DXU983057:DXU983061 EHQ983057:EHQ983061 ERM983057:ERM983061 FBI983057:FBI983061 FLE983057:FLE983061 FVA983057:FVA983061 GEW983057:GEW983061 GOS983057:GOS983061 GYO983057:GYO983061 HIK983057:HIK983061 HSG983057:HSG983061 ICC983057:ICC983061 ILY983057:ILY983061 IVU983057:IVU983061 JFQ983057:JFQ983061 JPM983057:JPM983061 JZI983057:JZI983061 KJE983057:KJE983061 KTA983057:KTA983061 LCW983057:LCW983061 LMS983057:LMS983061 LWO983057:LWO983061 MGK983057:MGK983061 MQG983057:MQG983061 NAC983057:NAC983061 NJY983057:NJY983061 NTU983057:NTU983061 ODQ983057:ODQ983061 ONM983057:ONM983061 OXI983057:OXI983061 PHE983057:PHE983061 PRA983057:PRA983061 QAW983057:QAW983061 QKS983057:QKS983061 QUO983057:QUO983061 REK983057:REK983061 ROG983057:ROG983061 RYC983057:RYC983061 SHY983057:SHY983061 SRU983057:SRU983061 TBQ983057:TBQ983061 TLM983057:TLM983061 TVI983057:TVI983061 UFE983057:UFE983061 UPA983057:UPA983061 UYW983057:UYW983061 VIS983057:VIS983061 VSO983057:VSO983061 WCK983057:WCK983061 WMG983057:WMG983061 WWC983057:WWC983061 U14 JQ14 TM14 ADI14 ANE14 AXA14 BGW14 BQS14 CAO14 CKK14 CUG14 DEC14 DNY14 DXU14 EHQ14 ERM14 FBI14 FLE14 FVA14 GEW14 GOS14 GYO14 HIK14 HSG14 ICC14 ILY14 IVU14 JFQ14 JPM14 JZI14 KJE14 KTA14 LCW14 LMS14 LWO14 MGK14 MQG14 NAC14 NJY14 NTU14 ODQ14 ONM14 OXI14 PHE14 PRA14 QAW14 QKS14 QUO14 REK14 ROG14 RYC14 SHY14 SRU14 TBQ14 TLM14 TVI14 UFE14 UPA14 UYW14 VIS14 VSO14 WCK14 WMG14 WWC14 U65550 JQ65550 TM65550 ADI65550 ANE65550 AXA65550 BGW65550 BQS65550 CAO65550 CKK65550 CUG65550 DEC65550 DNY65550 DXU65550 EHQ65550 ERM65550 FBI65550 FLE65550 FVA65550 GEW65550 GOS65550 GYO65550 HIK65550 HSG65550 ICC65550 ILY65550 IVU65550 JFQ65550 JPM65550 JZI65550 KJE65550 KTA65550 LCW65550 LMS65550 LWO65550 MGK65550 MQG65550 NAC65550 NJY65550 NTU65550 ODQ65550 ONM65550 OXI65550 PHE65550 PRA65550 QAW65550 QKS65550 QUO65550 REK65550 ROG65550 RYC65550 SHY65550 SRU65550 TBQ65550 TLM65550 TVI65550 UFE65550 UPA65550 UYW65550 VIS65550 VSO65550 WCK65550 WMG65550 WWC65550 U131086 JQ131086 TM131086 ADI131086 ANE131086 AXA131086 BGW131086 BQS131086 CAO131086 CKK131086 CUG131086 DEC131086 DNY131086 DXU131086 EHQ131086 ERM131086 FBI131086 FLE131086 FVA131086 GEW131086 GOS131086 GYO131086 HIK131086 HSG131086 ICC131086 ILY131086 IVU131086 JFQ131086 JPM131086 JZI131086 KJE131086 KTA131086 LCW131086 LMS131086 LWO131086 MGK131086 MQG131086 NAC131086 NJY131086 NTU131086 ODQ131086 ONM131086 OXI131086 PHE131086 PRA131086 QAW131086 QKS131086 QUO131086 REK131086 ROG131086 RYC131086 SHY131086 SRU131086 TBQ131086 TLM131086 TVI131086 UFE131086 UPA131086 UYW131086 VIS131086 VSO131086 WCK131086 WMG131086 WWC131086 U196622 JQ196622 TM196622 ADI196622 ANE196622 AXA196622 BGW196622 BQS196622 CAO196622 CKK196622 CUG196622 DEC196622 DNY196622 DXU196622 EHQ196622 ERM196622 FBI196622 FLE196622 FVA196622 GEW196622 GOS196622 GYO196622 HIK196622 HSG196622 ICC196622 ILY196622 IVU196622 JFQ196622 JPM196622 JZI196622 KJE196622 KTA196622 LCW196622 LMS196622 LWO196622 MGK196622 MQG196622 NAC196622 NJY196622 NTU196622 ODQ196622 ONM196622 OXI196622 PHE196622 PRA196622 QAW196622 QKS196622 QUO196622 REK196622 ROG196622 RYC196622 SHY196622 SRU196622 TBQ196622 TLM196622 TVI196622 UFE196622 UPA196622 UYW196622 VIS196622 VSO196622 WCK196622 WMG196622 WWC196622 U262158 JQ262158 TM262158 ADI262158 ANE262158 AXA262158 BGW262158 BQS262158 CAO262158 CKK262158 CUG262158 DEC262158 DNY262158 DXU262158 EHQ262158 ERM262158 FBI262158 FLE262158 FVA262158 GEW262158 GOS262158 GYO262158 HIK262158 HSG262158 ICC262158 ILY262158 IVU262158 JFQ262158 JPM262158 JZI262158 KJE262158 KTA262158 LCW262158 LMS262158 LWO262158 MGK262158 MQG262158 NAC262158 NJY262158 NTU262158 ODQ262158 ONM262158 OXI262158 PHE262158 PRA262158 QAW262158 QKS262158 QUO262158 REK262158 ROG262158 RYC262158 SHY262158 SRU262158 TBQ262158 TLM262158 TVI262158 UFE262158 UPA262158 UYW262158 VIS262158 VSO262158 WCK262158 WMG262158 WWC262158 U327694 JQ327694 TM327694 ADI327694 ANE327694 AXA327694 BGW327694 BQS327694 CAO327694 CKK327694 CUG327694 DEC327694 DNY327694 DXU327694 EHQ327694 ERM327694 FBI327694 FLE327694 FVA327694 GEW327694 GOS327694 GYO327694 HIK327694 HSG327694 ICC327694 ILY327694 IVU327694 JFQ327694 JPM327694 JZI327694 KJE327694 KTA327694 LCW327694 LMS327694 LWO327694 MGK327694 MQG327694 NAC327694 NJY327694 NTU327694 ODQ327694 ONM327694 OXI327694 PHE327694 PRA327694 QAW327694 QKS327694 QUO327694 REK327694 ROG327694 RYC327694 SHY327694 SRU327694 TBQ327694 TLM327694 TVI327694 UFE327694 UPA327694 UYW327694 VIS327694 VSO327694 WCK327694 WMG327694 WWC327694 U393230 JQ393230 TM393230 ADI393230 ANE393230 AXA393230 BGW393230 BQS393230 CAO393230 CKK393230 CUG393230 DEC393230 DNY393230 DXU393230 EHQ393230 ERM393230 FBI393230 FLE393230 FVA393230 GEW393230 GOS393230 GYO393230 HIK393230 HSG393230 ICC393230 ILY393230 IVU393230 JFQ393230 JPM393230 JZI393230 KJE393230 KTA393230 LCW393230 LMS393230 LWO393230 MGK393230 MQG393230 NAC393230 NJY393230 NTU393230 ODQ393230 ONM393230 OXI393230 PHE393230 PRA393230 QAW393230 QKS393230 QUO393230 REK393230 ROG393230 RYC393230 SHY393230 SRU393230 TBQ393230 TLM393230 TVI393230 UFE393230 UPA393230 UYW393230 VIS393230 VSO393230 WCK393230 WMG393230 WWC393230 U458766 JQ458766 TM458766 ADI458766 ANE458766 AXA458766 BGW458766 BQS458766 CAO458766 CKK458766 CUG458766 DEC458766 DNY458766 DXU458766 EHQ458766 ERM458766 FBI458766 FLE458766 FVA458766 GEW458766 GOS458766 GYO458766 HIK458766 HSG458766 ICC458766 ILY458766 IVU458766 JFQ458766 JPM458766 JZI458766 KJE458766 KTA458766 LCW458766 LMS458766 LWO458766 MGK458766 MQG458766 NAC458766 NJY458766 NTU458766 ODQ458766 ONM458766 OXI458766 PHE458766 PRA458766 QAW458766 QKS458766 QUO458766 REK458766 ROG458766 RYC458766 SHY458766 SRU458766 TBQ458766 TLM458766 TVI458766 UFE458766 UPA458766 UYW458766 VIS458766 VSO458766 WCK458766 WMG458766 WWC458766 U524302 JQ524302 TM524302 ADI524302 ANE524302 AXA524302 BGW524302 BQS524302 CAO524302 CKK524302 CUG524302 DEC524302 DNY524302 DXU524302 EHQ524302 ERM524302 FBI524302 FLE524302 FVA524302 GEW524302 GOS524302 GYO524302 HIK524302 HSG524302 ICC524302 ILY524302 IVU524302 JFQ524302 JPM524302 JZI524302 KJE524302 KTA524302 LCW524302 LMS524302 LWO524302 MGK524302 MQG524302 NAC524302 NJY524302 NTU524302 ODQ524302 ONM524302 OXI524302 PHE524302 PRA524302 QAW524302 QKS524302 QUO524302 REK524302 ROG524302 RYC524302 SHY524302 SRU524302 TBQ524302 TLM524302 TVI524302 UFE524302 UPA524302 UYW524302 VIS524302 VSO524302 WCK524302 WMG524302 WWC524302 U589838 JQ589838 TM589838 ADI589838 ANE589838 AXA589838 BGW589838 BQS589838 CAO589838 CKK589838 CUG589838 DEC589838 DNY589838 DXU589838 EHQ589838 ERM589838 FBI589838 FLE589838 FVA589838 GEW589838 GOS589838 GYO589838 HIK589838 HSG589838 ICC589838 ILY589838 IVU589838 JFQ589838 JPM589838 JZI589838 KJE589838 KTA589838 LCW589838 LMS589838 LWO589838 MGK589838 MQG589838 NAC589838 NJY589838 NTU589838 ODQ589838 ONM589838 OXI589838 PHE589838 PRA589838 QAW589838 QKS589838 QUO589838 REK589838 ROG589838 RYC589838 SHY589838 SRU589838 TBQ589838 TLM589838 TVI589838 UFE589838 UPA589838 UYW589838 VIS589838 VSO589838 WCK589838 WMG589838 WWC589838 U655374 JQ655374 TM655374 ADI655374 ANE655374 AXA655374 BGW655374 BQS655374 CAO655374 CKK655374 CUG655374 DEC655374 DNY655374 DXU655374 EHQ655374 ERM655374 FBI655374 FLE655374 FVA655374 GEW655374 GOS655374 GYO655374 HIK655374 HSG655374 ICC655374 ILY655374 IVU655374 JFQ655374 JPM655374 JZI655374 KJE655374 KTA655374 LCW655374 LMS655374 LWO655374 MGK655374 MQG655374 NAC655374 NJY655374 NTU655374 ODQ655374 ONM655374 OXI655374 PHE655374 PRA655374 QAW655374 QKS655374 QUO655374 REK655374 ROG655374 RYC655374 SHY655374 SRU655374 TBQ655374 TLM655374 TVI655374 UFE655374 UPA655374 UYW655374 VIS655374 VSO655374 WCK655374 WMG655374 WWC655374 U720910 JQ720910 TM720910 ADI720910 ANE720910 AXA720910 BGW720910 BQS720910 CAO720910 CKK720910 CUG720910 DEC720910 DNY720910 DXU720910 EHQ720910 ERM720910 FBI720910 FLE720910 FVA720910 GEW720910 GOS720910 GYO720910 HIK720910 HSG720910 ICC720910 ILY720910 IVU720910 JFQ720910 JPM720910 JZI720910 KJE720910 KTA720910 LCW720910 LMS720910 LWO720910 MGK720910 MQG720910 NAC720910 NJY720910 NTU720910 ODQ720910 ONM720910 OXI720910 PHE720910 PRA720910 QAW720910 QKS720910 QUO720910 REK720910 ROG720910 RYC720910 SHY720910 SRU720910 TBQ720910 TLM720910 TVI720910 UFE720910 UPA720910 UYW720910 VIS720910 VSO720910 WCK720910 WMG720910 WWC720910 U786446 JQ786446 TM786446 ADI786446 ANE786446 AXA786446 BGW786446 BQS786446 CAO786446 CKK786446 CUG786446 DEC786446 DNY786446 DXU786446 EHQ786446 ERM786446 FBI786446 FLE786446 FVA786446 GEW786446 GOS786446 GYO786446 HIK786446 HSG786446 ICC786446 ILY786446 IVU786446 JFQ786446 JPM786446 JZI786446 KJE786446 KTA786446 LCW786446 LMS786446 LWO786446 MGK786446 MQG786446 NAC786446 NJY786446 NTU786446 ODQ786446 ONM786446 OXI786446 PHE786446 PRA786446 QAW786446 QKS786446 QUO786446 REK786446 ROG786446 RYC786446 SHY786446 SRU786446 TBQ786446 TLM786446 TVI786446 UFE786446 UPA786446 UYW786446 VIS786446 VSO786446 WCK786446 WMG786446 WWC786446 U851982 JQ851982 TM851982 ADI851982 ANE851982 AXA851982 BGW851982 BQS851982 CAO851982 CKK851982 CUG851982 DEC851982 DNY851982 DXU851982 EHQ851982 ERM851982 FBI851982 FLE851982 FVA851982 GEW851982 GOS851982 GYO851982 HIK851982 HSG851982 ICC851982 ILY851982 IVU851982 JFQ851982 JPM851982 JZI851982 KJE851982 KTA851982 LCW851982 LMS851982 LWO851982 MGK851982 MQG851982 NAC851982 NJY851982 NTU851982 ODQ851982 ONM851982 OXI851982 PHE851982 PRA851982 QAW851982 QKS851982 QUO851982 REK851982 ROG851982 RYC851982 SHY851982 SRU851982 TBQ851982 TLM851982 TVI851982 UFE851982 UPA851982 UYW851982 VIS851982 VSO851982 WCK851982 WMG851982 WWC851982 U917518 JQ917518 TM917518 ADI917518 ANE917518 AXA917518 BGW917518 BQS917518 CAO917518 CKK917518 CUG917518 DEC917518 DNY917518 DXU917518 EHQ917518 ERM917518 FBI917518 FLE917518 FVA917518 GEW917518 GOS917518 GYO917518 HIK917518 HSG917518 ICC917518 ILY917518 IVU917518 JFQ917518 JPM917518 JZI917518 KJE917518 KTA917518 LCW917518 LMS917518 LWO917518 MGK917518 MQG917518 NAC917518 NJY917518 NTU917518 ODQ917518 ONM917518 OXI917518 PHE917518 PRA917518 QAW917518 QKS917518 QUO917518 REK917518 ROG917518 RYC917518 SHY917518 SRU917518 TBQ917518 TLM917518 TVI917518 UFE917518 UPA917518 UYW917518 VIS917518 VSO917518 WCK917518 WMG917518 WWC917518 U983054 JQ983054 TM983054 ADI983054 ANE983054 AXA983054 BGW983054 BQS983054 CAO983054 CKK983054 CUG983054 DEC983054 DNY983054 DXU983054 EHQ983054 ERM983054 FBI983054 FLE983054 FVA983054 GEW983054 GOS983054 GYO983054 HIK983054 HSG983054 ICC983054 ILY983054 IVU983054 JFQ983054 JPM983054 JZI983054 KJE983054 KTA983054 LCW983054 LMS983054 LWO983054 MGK983054 MQG983054 NAC983054 NJY983054 NTU983054 ODQ983054 ONM983054 OXI983054 PHE983054 PRA983054 QAW983054 QKS983054 QUO983054 REK983054 ROG983054 RYC983054 SHY983054 SRU983054 TBQ983054 TLM983054 TVI983054 UFE983054 UPA983054 UYW983054 VIS983054 VSO983054 WCK983054 WMG983054 WWC983054 AA35:AA39 JW35:JW39 TS35:TS39 ADO35:ADO39 ANK35:ANK39 AXG35:AXG39 BHC35:BHC39 BQY35:BQY39 CAU35:CAU39 CKQ35:CKQ39 CUM35:CUM39 DEI35:DEI39 DOE35:DOE39 DYA35:DYA39 EHW35:EHW39 ERS35:ERS39 FBO35:FBO39 FLK35:FLK39 FVG35:FVG39 GFC35:GFC39 GOY35:GOY39 GYU35:GYU39 HIQ35:HIQ39 HSM35:HSM39 ICI35:ICI39 IME35:IME39 IWA35:IWA39 JFW35:JFW39 JPS35:JPS39 JZO35:JZO39 KJK35:KJK39 KTG35:KTG39 LDC35:LDC39 LMY35:LMY39 LWU35:LWU39 MGQ35:MGQ39 MQM35:MQM39 NAI35:NAI39 NKE35:NKE39 NUA35:NUA39 ODW35:ODW39 ONS35:ONS39 OXO35:OXO39 PHK35:PHK39 PRG35:PRG39 QBC35:QBC39 QKY35:QKY39 QUU35:QUU39 REQ35:REQ39 ROM35:ROM39 RYI35:RYI39 SIE35:SIE39 SSA35:SSA39 TBW35:TBW39 TLS35:TLS39 TVO35:TVO39 UFK35:UFK39 UPG35:UPG39 UZC35:UZC39 VIY35:VIY39 VSU35:VSU39 WCQ35:WCQ39 WMM35:WMM39 WWI35:WWI39 AA65571:AA65575 JW65571:JW65575 TS65571:TS65575 ADO65571:ADO65575 ANK65571:ANK65575 AXG65571:AXG65575 BHC65571:BHC65575 BQY65571:BQY65575 CAU65571:CAU65575 CKQ65571:CKQ65575 CUM65571:CUM65575 DEI65571:DEI65575 DOE65571:DOE65575 DYA65571:DYA65575 EHW65571:EHW65575 ERS65571:ERS65575 FBO65571:FBO65575 FLK65571:FLK65575 FVG65571:FVG65575 GFC65571:GFC65575 GOY65571:GOY65575 GYU65571:GYU65575 HIQ65571:HIQ65575 HSM65571:HSM65575 ICI65571:ICI65575 IME65571:IME65575 IWA65571:IWA65575 JFW65571:JFW65575 JPS65571:JPS65575 JZO65571:JZO65575 KJK65571:KJK65575 KTG65571:KTG65575 LDC65571:LDC65575 LMY65571:LMY65575 LWU65571:LWU65575 MGQ65571:MGQ65575 MQM65571:MQM65575 NAI65571:NAI65575 NKE65571:NKE65575 NUA65571:NUA65575 ODW65571:ODW65575 ONS65571:ONS65575 OXO65571:OXO65575 PHK65571:PHK65575 PRG65571:PRG65575 QBC65571:QBC65575 QKY65571:QKY65575 QUU65571:QUU65575 REQ65571:REQ65575 ROM65571:ROM65575 RYI65571:RYI65575 SIE65571:SIE65575 SSA65571:SSA65575 TBW65571:TBW65575 TLS65571:TLS65575 TVO65571:TVO65575 UFK65571:UFK65575 UPG65571:UPG65575 UZC65571:UZC65575 VIY65571:VIY65575 VSU65571:VSU65575 WCQ65571:WCQ65575 WMM65571:WMM65575 WWI65571:WWI65575 AA131107:AA131111 JW131107:JW131111 TS131107:TS131111 ADO131107:ADO131111 ANK131107:ANK131111 AXG131107:AXG131111 BHC131107:BHC131111 BQY131107:BQY131111 CAU131107:CAU131111 CKQ131107:CKQ131111 CUM131107:CUM131111 DEI131107:DEI131111 DOE131107:DOE131111 DYA131107:DYA131111 EHW131107:EHW131111 ERS131107:ERS131111 FBO131107:FBO131111 FLK131107:FLK131111 FVG131107:FVG131111 GFC131107:GFC131111 GOY131107:GOY131111 GYU131107:GYU131111 HIQ131107:HIQ131111 HSM131107:HSM131111 ICI131107:ICI131111 IME131107:IME131111 IWA131107:IWA131111 JFW131107:JFW131111 JPS131107:JPS131111 JZO131107:JZO131111 KJK131107:KJK131111 KTG131107:KTG131111 LDC131107:LDC131111 LMY131107:LMY131111 LWU131107:LWU131111 MGQ131107:MGQ131111 MQM131107:MQM131111 NAI131107:NAI131111 NKE131107:NKE131111 NUA131107:NUA131111 ODW131107:ODW131111 ONS131107:ONS131111 OXO131107:OXO131111 PHK131107:PHK131111 PRG131107:PRG131111 QBC131107:QBC131111 QKY131107:QKY131111 QUU131107:QUU131111 REQ131107:REQ131111 ROM131107:ROM131111 RYI131107:RYI131111 SIE131107:SIE131111 SSA131107:SSA131111 TBW131107:TBW131111 TLS131107:TLS131111 TVO131107:TVO131111 UFK131107:UFK131111 UPG131107:UPG131111 UZC131107:UZC131111 VIY131107:VIY131111 VSU131107:VSU131111 WCQ131107:WCQ131111 WMM131107:WMM131111 WWI131107:WWI131111 AA196643:AA196647 JW196643:JW196647 TS196643:TS196647 ADO196643:ADO196647 ANK196643:ANK196647 AXG196643:AXG196647 BHC196643:BHC196647 BQY196643:BQY196647 CAU196643:CAU196647 CKQ196643:CKQ196647 CUM196643:CUM196647 DEI196643:DEI196647 DOE196643:DOE196647 DYA196643:DYA196647 EHW196643:EHW196647 ERS196643:ERS196647 FBO196643:FBO196647 FLK196643:FLK196647 FVG196643:FVG196647 GFC196643:GFC196647 GOY196643:GOY196647 GYU196643:GYU196647 HIQ196643:HIQ196647 HSM196643:HSM196647 ICI196643:ICI196647 IME196643:IME196647 IWA196643:IWA196647 JFW196643:JFW196647 JPS196643:JPS196647 JZO196643:JZO196647 KJK196643:KJK196647 KTG196643:KTG196647 LDC196643:LDC196647 LMY196643:LMY196647 LWU196643:LWU196647 MGQ196643:MGQ196647 MQM196643:MQM196647 NAI196643:NAI196647 NKE196643:NKE196647 NUA196643:NUA196647 ODW196643:ODW196647 ONS196643:ONS196647 OXO196643:OXO196647 PHK196643:PHK196647 PRG196643:PRG196647 QBC196643:QBC196647 QKY196643:QKY196647 QUU196643:QUU196647 REQ196643:REQ196647 ROM196643:ROM196647 RYI196643:RYI196647 SIE196643:SIE196647 SSA196643:SSA196647 TBW196643:TBW196647 TLS196643:TLS196647 TVO196643:TVO196647 UFK196643:UFK196647 UPG196643:UPG196647 UZC196643:UZC196647 VIY196643:VIY196647 VSU196643:VSU196647 WCQ196643:WCQ196647 WMM196643:WMM196647 WWI196643:WWI196647 AA262179:AA262183 JW262179:JW262183 TS262179:TS262183 ADO262179:ADO262183 ANK262179:ANK262183 AXG262179:AXG262183 BHC262179:BHC262183 BQY262179:BQY262183 CAU262179:CAU262183 CKQ262179:CKQ262183 CUM262179:CUM262183 DEI262179:DEI262183 DOE262179:DOE262183 DYA262179:DYA262183 EHW262179:EHW262183 ERS262179:ERS262183 FBO262179:FBO262183 FLK262179:FLK262183 FVG262179:FVG262183 GFC262179:GFC262183 GOY262179:GOY262183 GYU262179:GYU262183 HIQ262179:HIQ262183 HSM262179:HSM262183 ICI262179:ICI262183 IME262179:IME262183 IWA262179:IWA262183 JFW262179:JFW262183 JPS262179:JPS262183 JZO262179:JZO262183 KJK262179:KJK262183 KTG262179:KTG262183 LDC262179:LDC262183 LMY262179:LMY262183 LWU262179:LWU262183 MGQ262179:MGQ262183 MQM262179:MQM262183 NAI262179:NAI262183 NKE262179:NKE262183 NUA262179:NUA262183 ODW262179:ODW262183 ONS262179:ONS262183 OXO262179:OXO262183 PHK262179:PHK262183 PRG262179:PRG262183 QBC262179:QBC262183 QKY262179:QKY262183 QUU262179:QUU262183 REQ262179:REQ262183 ROM262179:ROM262183 RYI262179:RYI262183 SIE262179:SIE262183 SSA262179:SSA262183 TBW262179:TBW262183 TLS262179:TLS262183 TVO262179:TVO262183 UFK262179:UFK262183 UPG262179:UPG262183 UZC262179:UZC262183 VIY262179:VIY262183 VSU262179:VSU262183 WCQ262179:WCQ262183 WMM262179:WMM262183 WWI262179:WWI262183 AA327715:AA327719 JW327715:JW327719 TS327715:TS327719 ADO327715:ADO327719 ANK327715:ANK327719 AXG327715:AXG327719 BHC327715:BHC327719 BQY327715:BQY327719 CAU327715:CAU327719 CKQ327715:CKQ327719 CUM327715:CUM327719 DEI327715:DEI327719 DOE327715:DOE327719 DYA327715:DYA327719 EHW327715:EHW327719 ERS327715:ERS327719 FBO327715:FBO327719 FLK327715:FLK327719 FVG327715:FVG327719 GFC327715:GFC327719 GOY327715:GOY327719 GYU327715:GYU327719 HIQ327715:HIQ327719 HSM327715:HSM327719 ICI327715:ICI327719 IME327715:IME327719 IWA327715:IWA327719 JFW327715:JFW327719 JPS327715:JPS327719 JZO327715:JZO327719 KJK327715:KJK327719 KTG327715:KTG327719 LDC327715:LDC327719 LMY327715:LMY327719 LWU327715:LWU327719 MGQ327715:MGQ327719 MQM327715:MQM327719 NAI327715:NAI327719 NKE327715:NKE327719 NUA327715:NUA327719 ODW327715:ODW327719 ONS327715:ONS327719 OXO327715:OXO327719 PHK327715:PHK327719 PRG327715:PRG327719 QBC327715:QBC327719 QKY327715:QKY327719 QUU327715:QUU327719 REQ327715:REQ327719 ROM327715:ROM327719 RYI327715:RYI327719 SIE327715:SIE327719 SSA327715:SSA327719 TBW327715:TBW327719 TLS327715:TLS327719 TVO327715:TVO327719 UFK327715:UFK327719 UPG327715:UPG327719 UZC327715:UZC327719 VIY327715:VIY327719 VSU327715:VSU327719 WCQ327715:WCQ327719 WMM327715:WMM327719 WWI327715:WWI327719 AA393251:AA393255 JW393251:JW393255 TS393251:TS393255 ADO393251:ADO393255 ANK393251:ANK393255 AXG393251:AXG393255 BHC393251:BHC393255 BQY393251:BQY393255 CAU393251:CAU393255 CKQ393251:CKQ393255 CUM393251:CUM393255 DEI393251:DEI393255 DOE393251:DOE393255 DYA393251:DYA393255 EHW393251:EHW393255 ERS393251:ERS393255 FBO393251:FBO393255 FLK393251:FLK393255 FVG393251:FVG393255 GFC393251:GFC393255 GOY393251:GOY393255 GYU393251:GYU393255 HIQ393251:HIQ393255 HSM393251:HSM393255 ICI393251:ICI393255 IME393251:IME393255 IWA393251:IWA393255 JFW393251:JFW393255 JPS393251:JPS393255 JZO393251:JZO393255 KJK393251:KJK393255 KTG393251:KTG393255 LDC393251:LDC393255 LMY393251:LMY393255 LWU393251:LWU393255 MGQ393251:MGQ393255 MQM393251:MQM393255 NAI393251:NAI393255 NKE393251:NKE393255 NUA393251:NUA393255 ODW393251:ODW393255 ONS393251:ONS393255 OXO393251:OXO393255 PHK393251:PHK393255 PRG393251:PRG393255 QBC393251:QBC393255 QKY393251:QKY393255 QUU393251:QUU393255 REQ393251:REQ393255 ROM393251:ROM393255 RYI393251:RYI393255 SIE393251:SIE393255 SSA393251:SSA393255 TBW393251:TBW393255 TLS393251:TLS393255 TVO393251:TVO393255 UFK393251:UFK393255 UPG393251:UPG393255 UZC393251:UZC393255 VIY393251:VIY393255 VSU393251:VSU393255 WCQ393251:WCQ393255 WMM393251:WMM393255 WWI393251:WWI393255 AA458787:AA458791 JW458787:JW458791 TS458787:TS458791 ADO458787:ADO458791 ANK458787:ANK458791 AXG458787:AXG458791 BHC458787:BHC458791 BQY458787:BQY458791 CAU458787:CAU458791 CKQ458787:CKQ458791 CUM458787:CUM458791 DEI458787:DEI458791 DOE458787:DOE458791 DYA458787:DYA458791 EHW458787:EHW458791 ERS458787:ERS458791 FBO458787:FBO458791 FLK458787:FLK458791 FVG458787:FVG458791 GFC458787:GFC458791 GOY458787:GOY458791 GYU458787:GYU458791 HIQ458787:HIQ458791 HSM458787:HSM458791 ICI458787:ICI458791 IME458787:IME458791 IWA458787:IWA458791 JFW458787:JFW458791 JPS458787:JPS458791 JZO458787:JZO458791 KJK458787:KJK458791 KTG458787:KTG458791 LDC458787:LDC458791 LMY458787:LMY458791 LWU458787:LWU458791 MGQ458787:MGQ458791 MQM458787:MQM458791 NAI458787:NAI458791 NKE458787:NKE458791 NUA458787:NUA458791 ODW458787:ODW458791 ONS458787:ONS458791 OXO458787:OXO458791 PHK458787:PHK458791 PRG458787:PRG458791 QBC458787:QBC458791 QKY458787:QKY458791 QUU458787:QUU458791 REQ458787:REQ458791 ROM458787:ROM458791 RYI458787:RYI458791 SIE458787:SIE458791 SSA458787:SSA458791 TBW458787:TBW458791 TLS458787:TLS458791 TVO458787:TVO458791 UFK458787:UFK458791 UPG458787:UPG458791 UZC458787:UZC458791 VIY458787:VIY458791 VSU458787:VSU458791 WCQ458787:WCQ458791 WMM458787:WMM458791 WWI458787:WWI458791 AA524323:AA524327 JW524323:JW524327 TS524323:TS524327 ADO524323:ADO524327 ANK524323:ANK524327 AXG524323:AXG524327 BHC524323:BHC524327 BQY524323:BQY524327 CAU524323:CAU524327 CKQ524323:CKQ524327 CUM524323:CUM524327 DEI524323:DEI524327 DOE524323:DOE524327 DYA524323:DYA524327 EHW524323:EHW524327 ERS524323:ERS524327 FBO524323:FBO524327 FLK524323:FLK524327 FVG524323:FVG524327 GFC524323:GFC524327 GOY524323:GOY524327 GYU524323:GYU524327 HIQ524323:HIQ524327 HSM524323:HSM524327 ICI524323:ICI524327 IME524323:IME524327 IWA524323:IWA524327 JFW524323:JFW524327 JPS524323:JPS524327 JZO524323:JZO524327 KJK524323:KJK524327 KTG524323:KTG524327 LDC524323:LDC524327 LMY524323:LMY524327 LWU524323:LWU524327 MGQ524323:MGQ524327 MQM524323:MQM524327 NAI524323:NAI524327 NKE524323:NKE524327 NUA524323:NUA524327 ODW524323:ODW524327 ONS524323:ONS524327 OXO524323:OXO524327 PHK524323:PHK524327 PRG524323:PRG524327 QBC524323:QBC524327 QKY524323:QKY524327 QUU524323:QUU524327 REQ524323:REQ524327 ROM524323:ROM524327 RYI524323:RYI524327 SIE524323:SIE524327 SSA524323:SSA524327 TBW524323:TBW524327 TLS524323:TLS524327 TVO524323:TVO524327 UFK524323:UFK524327 UPG524323:UPG524327 UZC524323:UZC524327 VIY524323:VIY524327 VSU524323:VSU524327 WCQ524323:WCQ524327 WMM524323:WMM524327 WWI524323:WWI524327 AA589859:AA589863 JW589859:JW589863 TS589859:TS589863 ADO589859:ADO589863 ANK589859:ANK589863 AXG589859:AXG589863 BHC589859:BHC589863 BQY589859:BQY589863 CAU589859:CAU589863 CKQ589859:CKQ589863 CUM589859:CUM589863 DEI589859:DEI589863 DOE589859:DOE589863 DYA589859:DYA589863 EHW589859:EHW589863 ERS589859:ERS589863 FBO589859:FBO589863 FLK589859:FLK589863 FVG589859:FVG589863 GFC589859:GFC589863 GOY589859:GOY589863 GYU589859:GYU589863 HIQ589859:HIQ589863 HSM589859:HSM589863 ICI589859:ICI589863 IME589859:IME589863 IWA589859:IWA589863 JFW589859:JFW589863 JPS589859:JPS589863 JZO589859:JZO589863 KJK589859:KJK589863 KTG589859:KTG589863 LDC589859:LDC589863 LMY589859:LMY589863 LWU589859:LWU589863 MGQ589859:MGQ589863 MQM589859:MQM589863 NAI589859:NAI589863 NKE589859:NKE589863 NUA589859:NUA589863 ODW589859:ODW589863 ONS589859:ONS589863 OXO589859:OXO589863 PHK589859:PHK589863 PRG589859:PRG589863 QBC589859:QBC589863 QKY589859:QKY589863 QUU589859:QUU589863 REQ589859:REQ589863 ROM589859:ROM589863 RYI589859:RYI589863 SIE589859:SIE589863 SSA589859:SSA589863 TBW589859:TBW589863 TLS589859:TLS589863 TVO589859:TVO589863 UFK589859:UFK589863 UPG589859:UPG589863 UZC589859:UZC589863 VIY589859:VIY589863 VSU589859:VSU589863 WCQ589859:WCQ589863 WMM589859:WMM589863 WWI589859:WWI589863 AA655395:AA655399 JW655395:JW655399 TS655395:TS655399 ADO655395:ADO655399 ANK655395:ANK655399 AXG655395:AXG655399 BHC655395:BHC655399 BQY655395:BQY655399 CAU655395:CAU655399 CKQ655395:CKQ655399 CUM655395:CUM655399 DEI655395:DEI655399 DOE655395:DOE655399 DYA655395:DYA655399 EHW655395:EHW655399 ERS655395:ERS655399 FBO655395:FBO655399 FLK655395:FLK655399 FVG655395:FVG655399 GFC655395:GFC655399 GOY655395:GOY655399 GYU655395:GYU655399 HIQ655395:HIQ655399 HSM655395:HSM655399 ICI655395:ICI655399 IME655395:IME655399 IWA655395:IWA655399 JFW655395:JFW655399 JPS655395:JPS655399 JZO655395:JZO655399 KJK655395:KJK655399 KTG655395:KTG655399 LDC655395:LDC655399 LMY655395:LMY655399 LWU655395:LWU655399 MGQ655395:MGQ655399 MQM655395:MQM655399 NAI655395:NAI655399 NKE655395:NKE655399 NUA655395:NUA655399 ODW655395:ODW655399 ONS655395:ONS655399 OXO655395:OXO655399 PHK655395:PHK655399 PRG655395:PRG655399 QBC655395:QBC655399 QKY655395:QKY655399 QUU655395:QUU655399 REQ655395:REQ655399 ROM655395:ROM655399 RYI655395:RYI655399 SIE655395:SIE655399 SSA655395:SSA655399 TBW655395:TBW655399 TLS655395:TLS655399 TVO655395:TVO655399 UFK655395:UFK655399 UPG655395:UPG655399 UZC655395:UZC655399 VIY655395:VIY655399 VSU655395:VSU655399 WCQ655395:WCQ655399 WMM655395:WMM655399 WWI655395:WWI655399 AA720931:AA720935 JW720931:JW720935 TS720931:TS720935 ADO720931:ADO720935 ANK720931:ANK720935 AXG720931:AXG720935 BHC720931:BHC720935 BQY720931:BQY720935 CAU720931:CAU720935 CKQ720931:CKQ720935 CUM720931:CUM720935 DEI720931:DEI720935 DOE720931:DOE720935 DYA720931:DYA720935 EHW720931:EHW720935 ERS720931:ERS720935 FBO720931:FBO720935 FLK720931:FLK720935 FVG720931:FVG720935 GFC720931:GFC720935 GOY720931:GOY720935 GYU720931:GYU720935 HIQ720931:HIQ720935 HSM720931:HSM720935 ICI720931:ICI720935 IME720931:IME720935 IWA720931:IWA720935 JFW720931:JFW720935 JPS720931:JPS720935 JZO720931:JZO720935 KJK720931:KJK720935 KTG720931:KTG720935 LDC720931:LDC720935 LMY720931:LMY720935 LWU720931:LWU720935 MGQ720931:MGQ720935 MQM720931:MQM720935 NAI720931:NAI720935 NKE720931:NKE720935 NUA720931:NUA720935 ODW720931:ODW720935 ONS720931:ONS720935 OXO720931:OXO720935 PHK720931:PHK720935 PRG720931:PRG720935 QBC720931:QBC720935 QKY720931:QKY720935 QUU720931:QUU720935 REQ720931:REQ720935 ROM720931:ROM720935 RYI720931:RYI720935 SIE720931:SIE720935 SSA720931:SSA720935 TBW720931:TBW720935 TLS720931:TLS720935 TVO720931:TVO720935 UFK720931:UFK720935 UPG720931:UPG720935 UZC720931:UZC720935 VIY720931:VIY720935 VSU720931:VSU720935 WCQ720931:WCQ720935 WMM720931:WMM720935 WWI720931:WWI720935 AA786467:AA786471 JW786467:JW786471 TS786467:TS786471 ADO786467:ADO786471 ANK786467:ANK786471 AXG786467:AXG786471 BHC786467:BHC786471 BQY786467:BQY786471 CAU786467:CAU786471 CKQ786467:CKQ786471 CUM786467:CUM786471 DEI786467:DEI786471 DOE786467:DOE786471 DYA786467:DYA786471 EHW786467:EHW786471 ERS786467:ERS786471 FBO786467:FBO786471 FLK786467:FLK786471 FVG786467:FVG786471 GFC786467:GFC786471 GOY786467:GOY786471 GYU786467:GYU786471 HIQ786467:HIQ786471 HSM786467:HSM786471 ICI786467:ICI786471 IME786467:IME786471 IWA786467:IWA786471 JFW786467:JFW786471 JPS786467:JPS786471 JZO786467:JZO786471 KJK786467:KJK786471 KTG786467:KTG786471 LDC786467:LDC786471 LMY786467:LMY786471 LWU786467:LWU786471 MGQ786467:MGQ786471 MQM786467:MQM786471 NAI786467:NAI786471 NKE786467:NKE786471 NUA786467:NUA786471 ODW786467:ODW786471 ONS786467:ONS786471 OXO786467:OXO786471 PHK786467:PHK786471 PRG786467:PRG786471 QBC786467:QBC786471 QKY786467:QKY786471 QUU786467:QUU786471 REQ786467:REQ786471 ROM786467:ROM786471 RYI786467:RYI786471 SIE786467:SIE786471 SSA786467:SSA786471 TBW786467:TBW786471 TLS786467:TLS786471 TVO786467:TVO786471 UFK786467:UFK786471 UPG786467:UPG786471 UZC786467:UZC786471 VIY786467:VIY786471 VSU786467:VSU786471 WCQ786467:WCQ786471 WMM786467:WMM786471 WWI786467:WWI786471 AA852003:AA852007 JW852003:JW852007 TS852003:TS852007 ADO852003:ADO852007 ANK852003:ANK852007 AXG852003:AXG852007 BHC852003:BHC852007 BQY852003:BQY852007 CAU852003:CAU852007 CKQ852003:CKQ852007 CUM852003:CUM852007 DEI852003:DEI852007 DOE852003:DOE852007 DYA852003:DYA852007 EHW852003:EHW852007 ERS852003:ERS852007 FBO852003:FBO852007 FLK852003:FLK852007 FVG852003:FVG852007 GFC852003:GFC852007 GOY852003:GOY852007 GYU852003:GYU852007 HIQ852003:HIQ852007 HSM852003:HSM852007 ICI852003:ICI852007 IME852003:IME852007 IWA852003:IWA852007 JFW852003:JFW852007 JPS852003:JPS852007 JZO852003:JZO852007 KJK852003:KJK852007 KTG852003:KTG852007 LDC852003:LDC852007 LMY852003:LMY852007 LWU852003:LWU852007 MGQ852003:MGQ852007 MQM852003:MQM852007 NAI852003:NAI852007 NKE852003:NKE852007 NUA852003:NUA852007 ODW852003:ODW852007 ONS852003:ONS852007 OXO852003:OXO852007 PHK852003:PHK852007 PRG852003:PRG852007 QBC852003:QBC852007 QKY852003:QKY852007 QUU852003:QUU852007 REQ852003:REQ852007 ROM852003:ROM852007 RYI852003:RYI852007 SIE852003:SIE852007 SSA852003:SSA852007 TBW852003:TBW852007 TLS852003:TLS852007 TVO852003:TVO852007 UFK852003:UFK852007 UPG852003:UPG852007 UZC852003:UZC852007 VIY852003:VIY852007 VSU852003:VSU852007 WCQ852003:WCQ852007 WMM852003:WMM852007 WWI852003:WWI852007 AA917539:AA917543 JW917539:JW917543 TS917539:TS917543 ADO917539:ADO917543 ANK917539:ANK917543 AXG917539:AXG917543 BHC917539:BHC917543 BQY917539:BQY917543 CAU917539:CAU917543 CKQ917539:CKQ917543 CUM917539:CUM917543 DEI917539:DEI917543 DOE917539:DOE917543 DYA917539:DYA917543 EHW917539:EHW917543 ERS917539:ERS917543 FBO917539:FBO917543 FLK917539:FLK917543 FVG917539:FVG917543 GFC917539:GFC917543 GOY917539:GOY917543 GYU917539:GYU917543 HIQ917539:HIQ917543 HSM917539:HSM917543 ICI917539:ICI917543 IME917539:IME917543 IWA917539:IWA917543 JFW917539:JFW917543 JPS917539:JPS917543 JZO917539:JZO917543 KJK917539:KJK917543 KTG917539:KTG917543 LDC917539:LDC917543 LMY917539:LMY917543 LWU917539:LWU917543 MGQ917539:MGQ917543 MQM917539:MQM917543 NAI917539:NAI917543 NKE917539:NKE917543 NUA917539:NUA917543 ODW917539:ODW917543 ONS917539:ONS917543 OXO917539:OXO917543 PHK917539:PHK917543 PRG917539:PRG917543 QBC917539:QBC917543 QKY917539:QKY917543 QUU917539:QUU917543 REQ917539:REQ917543 ROM917539:ROM917543 RYI917539:RYI917543 SIE917539:SIE917543 SSA917539:SSA917543 TBW917539:TBW917543 TLS917539:TLS917543 TVO917539:TVO917543 UFK917539:UFK917543 UPG917539:UPG917543 UZC917539:UZC917543 VIY917539:VIY917543 VSU917539:VSU917543 WCQ917539:WCQ917543 WMM917539:WMM917543 WWI917539:WWI917543 AA983075:AA983079 JW983075:JW983079 TS983075:TS983079 ADO983075:ADO983079 ANK983075:ANK983079 AXG983075:AXG983079 BHC983075:BHC983079 BQY983075:BQY983079 CAU983075:CAU983079 CKQ983075:CKQ983079 CUM983075:CUM983079 DEI983075:DEI983079 DOE983075:DOE983079 DYA983075:DYA983079 EHW983075:EHW983079 ERS983075:ERS983079 FBO983075:FBO983079 FLK983075:FLK983079 FVG983075:FVG983079 GFC983075:GFC983079 GOY983075:GOY983079 GYU983075:GYU983079 HIQ983075:HIQ983079 HSM983075:HSM983079 ICI983075:ICI983079 IME983075:IME983079 IWA983075:IWA983079 JFW983075:JFW983079 JPS983075:JPS983079 JZO983075:JZO983079 KJK983075:KJK983079 KTG983075:KTG983079 LDC983075:LDC983079 LMY983075:LMY983079 LWU983075:LWU983079 MGQ983075:MGQ983079 MQM983075:MQM983079 NAI983075:NAI983079 NKE983075:NKE983079 NUA983075:NUA983079 ODW983075:ODW983079 ONS983075:ONS983079 OXO983075:OXO983079 PHK983075:PHK983079 PRG983075:PRG983079 QBC983075:QBC983079 QKY983075:QKY983079 QUU983075:QUU983079 REQ983075:REQ983079 ROM983075:ROM983079 RYI983075:RYI983079 SIE983075:SIE983079 SSA983075:SSA983079 TBW983075:TBW983079 TLS983075:TLS983079 TVO983075:TVO983079 UFK983075:UFK983079 UPG983075:UPG983079 UZC983075:UZC983079 VIY983075:VIY983079 VSU983075:VSU983079 WCQ983075:WCQ983079 WMM983075:WMM983079 WWI983075:WWI983079 U32 JQ32 TM32 ADI32 ANE32 AXA32 BGW32 BQS32 CAO32 CKK32 CUG32 DEC32 DNY32 DXU32 EHQ32 ERM32 FBI32 FLE32 FVA32 GEW32 GOS32 GYO32 HIK32 HSG32 ICC32 ILY32 IVU32 JFQ32 JPM32 JZI32 KJE32 KTA32 LCW32 LMS32 LWO32 MGK32 MQG32 NAC32 NJY32 NTU32 ODQ32 ONM32 OXI32 PHE32 PRA32 QAW32 QKS32 QUO32 REK32 ROG32 RYC32 SHY32 SRU32 TBQ32 TLM32 TVI32 UFE32 UPA32 UYW32 VIS32 VSO32 WCK32 WMG32 WWC32 U65568 JQ65568 TM65568 ADI65568 ANE65568 AXA65568 BGW65568 BQS65568 CAO65568 CKK65568 CUG65568 DEC65568 DNY65568 DXU65568 EHQ65568 ERM65568 FBI65568 FLE65568 FVA65568 GEW65568 GOS65568 GYO65568 HIK65568 HSG65568 ICC65568 ILY65568 IVU65568 JFQ65568 JPM65568 JZI65568 KJE65568 KTA65568 LCW65568 LMS65568 LWO65568 MGK65568 MQG65568 NAC65568 NJY65568 NTU65568 ODQ65568 ONM65568 OXI65568 PHE65568 PRA65568 QAW65568 QKS65568 QUO65568 REK65568 ROG65568 RYC65568 SHY65568 SRU65568 TBQ65568 TLM65568 TVI65568 UFE65568 UPA65568 UYW65568 VIS65568 VSO65568 WCK65568 WMG65568 WWC65568 U131104 JQ131104 TM131104 ADI131104 ANE131104 AXA131104 BGW131104 BQS131104 CAO131104 CKK131104 CUG131104 DEC131104 DNY131104 DXU131104 EHQ131104 ERM131104 FBI131104 FLE131104 FVA131104 GEW131104 GOS131104 GYO131104 HIK131104 HSG131104 ICC131104 ILY131104 IVU131104 JFQ131104 JPM131104 JZI131104 KJE131104 KTA131104 LCW131104 LMS131104 LWO131104 MGK131104 MQG131104 NAC131104 NJY131104 NTU131104 ODQ131104 ONM131104 OXI131104 PHE131104 PRA131104 QAW131104 QKS131104 QUO131104 REK131104 ROG131104 RYC131104 SHY131104 SRU131104 TBQ131104 TLM131104 TVI131104 UFE131104 UPA131104 UYW131104 VIS131104 VSO131104 WCK131104 WMG131104 WWC131104 U196640 JQ196640 TM196640 ADI196640 ANE196640 AXA196640 BGW196640 BQS196640 CAO196640 CKK196640 CUG196640 DEC196640 DNY196640 DXU196640 EHQ196640 ERM196640 FBI196640 FLE196640 FVA196640 GEW196640 GOS196640 GYO196640 HIK196640 HSG196640 ICC196640 ILY196640 IVU196640 JFQ196640 JPM196640 JZI196640 KJE196640 KTA196640 LCW196640 LMS196640 LWO196640 MGK196640 MQG196640 NAC196640 NJY196640 NTU196640 ODQ196640 ONM196640 OXI196640 PHE196640 PRA196640 QAW196640 QKS196640 QUO196640 REK196640 ROG196640 RYC196640 SHY196640 SRU196640 TBQ196640 TLM196640 TVI196640 UFE196640 UPA196640 UYW196640 VIS196640 VSO196640 WCK196640 WMG196640 WWC196640 U262176 JQ262176 TM262176 ADI262176 ANE262176 AXA262176 BGW262176 BQS262176 CAO262176 CKK262176 CUG262176 DEC262176 DNY262176 DXU262176 EHQ262176 ERM262176 FBI262176 FLE262176 FVA262176 GEW262176 GOS262176 GYO262176 HIK262176 HSG262176 ICC262176 ILY262176 IVU262176 JFQ262176 JPM262176 JZI262176 KJE262176 KTA262176 LCW262176 LMS262176 LWO262176 MGK262176 MQG262176 NAC262176 NJY262176 NTU262176 ODQ262176 ONM262176 OXI262176 PHE262176 PRA262176 QAW262176 QKS262176 QUO262176 REK262176 ROG262176 RYC262176 SHY262176 SRU262176 TBQ262176 TLM262176 TVI262176 UFE262176 UPA262176 UYW262176 VIS262176 VSO262176 WCK262176 WMG262176 WWC262176 U327712 JQ327712 TM327712 ADI327712 ANE327712 AXA327712 BGW327712 BQS327712 CAO327712 CKK327712 CUG327712 DEC327712 DNY327712 DXU327712 EHQ327712 ERM327712 FBI327712 FLE327712 FVA327712 GEW327712 GOS327712 GYO327712 HIK327712 HSG327712 ICC327712 ILY327712 IVU327712 JFQ327712 JPM327712 JZI327712 KJE327712 KTA327712 LCW327712 LMS327712 LWO327712 MGK327712 MQG327712 NAC327712 NJY327712 NTU327712 ODQ327712 ONM327712 OXI327712 PHE327712 PRA327712 QAW327712 QKS327712 QUO327712 REK327712 ROG327712 RYC327712 SHY327712 SRU327712 TBQ327712 TLM327712 TVI327712 UFE327712 UPA327712 UYW327712 VIS327712 VSO327712 WCK327712 WMG327712 WWC327712 U393248 JQ393248 TM393248 ADI393248 ANE393248 AXA393248 BGW393248 BQS393248 CAO393248 CKK393248 CUG393248 DEC393248 DNY393248 DXU393248 EHQ393248 ERM393248 FBI393248 FLE393248 FVA393248 GEW393248 GOS393248 GYO393248 HIK393248 HSG393248 ICC393248 ILY393248 IVU393248 JFQ393248 JPM393248 JZI393248 KJE393248 KTA393248 LCW393248 LMS393248 LWO393248 MGK393248 MQG393248 NAC393248 NJY393248 NTU393248 ODQ393248 ONM393248 OXI393248 PHE393248 PRA393248 QAW393248 QKS393248 QUO393248 REK393248 ROG393248 RYC393248 SHY393248 SRU393248 TBQ393248 TLM393248 TVI393248 UFE393248 UPA393248 UYW393248 VIS393248 VSO393248 WCK393248 WMG393248 WWC393248 U458784 JQ458784 TM458784 ADI458784 ANE458784 AXA458784 BGW458784 BQS458784 CAO458784 CKK458784 CUG458784 DEC458784 DNY458784 DXU458784 EHQ458784 ERM458784 FBI458784 FLE458784 FVA458784 GEW458784 GOS458784 GYO458784 HIK458784 HSG458784 ICC458784 ILY458784 IVU458784 JFQ458784 JPM458784 JZI458784 KJE458784 KTA458784 LCW458784 LMS458784 LWO458784 MGK458784 MQG458784 NAC458784 NJY458784 NTU458784 ODQ458784 ONM458784 OXI458784 PHE458784 PRA458784 QAW458784 QKS458784 QUO458784 REK458784 ROG458784 RYC458784 SHY458784 SRU458784 TBQ458784 TLM458784 TVI458784 UFE458784 UPA458784 UYW458784 VIS458784 VSO458784 WCK458784 WMG458784 WWC458784 U524320 JQ524320 TM524320 ADI524320 ANE524320 AXA524320 BGW524320 BQS524320 CAO524320 CKK524320 CUG524320 DEC524320 DNY524320 DXU524320 EHQ524320 ERM524320 FBI524320 FLE524320 FVA524320 GEW524320 GOS524320 GYO524320 HIK524320 HSG524320 ICC524320 ILY524320 IVU524320 JFQ524320 JPM524320 JZI524320 KJE524320 KTA524320 LCW524320 LMS524320 LWO524320 MGK524320 MQG524320 NAC524320 NJY524320 NTU524320 ODQ524320 ONM524320 OXI524320 PHE524320 PRA524320 QAW524320 QKS524320 QUO524320 REK524320 ROG524320 RYC524320 SHY524320 SRU524320 TBQ524320 TLM524320 TVI524320 UFE524320 UPA524320 UYW524320 VIS524320 VSO524320 WCK524320 WMG524320 WWC524320 U589856 JQ589856 TM589856 ADI589856 ANE589856 AXA589856 BGW589856 BQS589856 CAO589856 CKK589856 CUG589856 DEC589856 DNY589856 DXU589856 EHQ589856 ERM589856 FBI589856 FLE589856 FVA589856 GEW589856 GOS589856 GYO589856 HIK589856 HSG589856 ICC589856 ILY589856 IVU589856 JFQ589856 JPM589856 JZI589856 KJE589856 KTA589856 LCW589856 LMS589856 LWO589856 MGK589856 MQG589856 NAC589856 NJY589856 NTU589856 ODQ589856 ONM589856 OXI589856 PHE589856 PRA589856 QAW589856 QKS589856 QUO589856 REK589856 ROG589856 RYC589856 SHY589856 SRU589856 TBQ589856 TLM589856 TVI589856 UFE589856 UPA589856 UYW589856 VIS589856 VSO589856 WCK589856 WMG589856 WWC589856 U655392 JQ655392 TM655392 ADI655392 ANE655392 AXA655392 BGW655392 BQS655392 CAO655392 CKK655392 CUG655392 DEC655392 DNY655392 DXU655392 EHQ655392 ERM655392 FBI655392 FLE655392 FVA655392 GEW655392 GOS655392 GYO655392 HIK655392 HSG655392 ICC655392 ILY655392 IVU655392 JFQ655392 JPM655392 JZI655392 KJE655392 KTA655392 LCW655392 LMS655392 LWO655392 MGK655392 MQG655392 NAC655392 NJY655392 NTU655392 ODQ655392 ONM655392 OXI655392 PHE655392 PRA655392 QAW655392 QKS655392 QUO655392 REK655392 ROG655392 RYC655392 SHY655392 SRU655392 TBQ655392 TLM655392 TVI655392 UFE655392 UPA655392 UYW655392 VIS655392 VSO655392 WCK655392 WMG655392 WWC655392 U720928 JQ720928 TM720928 ADI720928 ANE720928 AXA720928 BGW720928 BQS720928 CAO720928 CKK720928 CUG720928 DEC720928 DNY720928 DXU720928 EHQ720928 ERM720928 FBI720928 FLE720928 FVA720928 GEW720928 GOS720928 GYO720928 HIK720928 HSG720928 ICC720928 ILY720928 IVU720928 JFQ720928 JPM720928 JZI720928 KJE720928 KTA720928 LCW720928 LMS720928 LWO720928 MGK720928 MQG720928 NAC720928 NJY720928 NTU720928 ODQ720928 ONM720928 OXI720928 PHE720928 PRA720928 QAW720928 QKS720928 QUO720928 REK720928 ROG720928 RYC720928 SHY720928 SRU720928 TBQ720928 TLM720928 TVI720928 UFE720928 UPA720928 UYW720928 VIS720928 VSO720928 WCK720928 WMG720928 WWC720928 U786464 JQ786464 TM786464 ADI786464 ANE786464 AXA786464 BGW786464 BQS786464 CAO786464 CKK786464 CUG786464 DEC786464 DNY786464 DXU786464 EHQ786464 ERM786464 FBI786464 FLE786464 FVA786464 GEW786464 GOS786464 GYO786464 HIK786464 HSG786464 ICC786464 ILY786464 IVU786464 JFQ786464 JPM786464 JZI786464 KJE786464 KTA786464 LCW786464 LMS786464 LWO786464 MGK786464 MQG786464 NAC786464 NJY786464 NTU786464 ODQ786464 ONM786464 OXI786464 PHE786464 PRA786464 QAW786464 QKS786464 QUO786464 REK786464 ROG786464 RYC786464 SHY786464 SRU786464 TBQ786464 TLM786464 TVI786464 UFE786464 UPA786464 UYW786464 VIS786464 VSO786464 WCK786464 WMG786464 WWC786464 U852000 JQ852000 TM852000 ADI852000 ANE852000 AXA852000 BGW852000 BQS852000 CAO852000 CKK852000 CUG852000 DEC852000 DNY852000 DXU852000 EHQ852000 ERM852000 FBI852000 FLE852000 FVA852000 GEW852000 GOS852000 GYO852000 HIK852000 HSG852000 ICC852000 ILY852000 IVU852000 JFQ852000 JPM852000 JZI852000 KJE852000 KTA852000 LCW852000 LMS852000 LWO852000 MGK852000 MQG852000 NAC852000 NJY852000 NTU852000 ODQ852000 ONM852000 OXI852000 PHE852000 PRA852000 QAW852000 QKS852000 QUO852000 REK852000 ROG852000 RYC852000 SHY852000 SRU852000 TBQ852000 TLM852000 TVI852000 UFE852000 UPA852000 UYW852000 VIS852000 VSO852000 WCK852000 WMG852000 WWC852000 U917536 JQ917536 TM917536 ADI917536 ANE917536 AXA917536 BGW917536 BQS917536 CAO917536 CKK917536 CUG917536 DEC917536 DNY917536 DXU917536 EHQ917536 ERM917536 FBI917536 FLE917536 FVA917536 GEW917536 GOS917536 GYO917536 HIK917536 HSG917536 ICC917536 ILY917536 IVU917536 JFQ917536 JPM917536 JZI917536 KJE917536 KTA917536 LCW917536 LMS917536 LWO917536 MGK917536 MQG917536 NAC917536 NJY917536 NTU917536 ODQ917536 ONM917536 OXI917536 PHE917536 PRA917536 QAW917536 QKS917536 QUO917536 REK917536 ROG917536 RYC917536 SHY917536 SRU917536 TBQ917536 TLM917536 TVI917536 UFE917536 UPA917536 UYW917536 VIS917536 VSO917536 WCK917536 WMG917536 WWC917536 U983072 JQ983072 TM983072 ADI983072 ANE983072 AXA983072 BGW983072 BQS983072 CAO983072 CKK983072 CUG983072 DEC983072 DNY983072 DXU983072 EHQ983072 ERM983072 FBI983072 FLE983072 FVA983072 GEW983072 GOS983072 GYO983072 HIK983072 HSG983072 ICC983072 ILY983072 IVU983072 JFQ983072 JPM983072 JZI983072 KJE983072 KTA983072 LCW983072 LMS983072 LWO983072 MGK983072 MQG983072 NAC983072 NJY983072 NTU983072 ODQ983072 ONM983072 OXI983072 PHE983072 PRA983072 QAW983072 QKS983072 QUO983072 REK983072 ROG983072 RYC983072 SHY983072 SRU983072 TBQ983072 TLM983072 TVI983072 UFE983072 UPA983072 UYW983072 VIS983072 VSO983072 WCK983072 WMG983072 WWC983072 AA32 JW32 TS32 ADO32 ANK32 AXG32 BHC32 BQY32 CAU32 CKQ32 CUM32 DEI32 DOE32 DYA32 EHW32 ERS32 FBO32 FLK32 FVG32 GFC32 GOY32 GYU32 HIQ32 HSM32 ICI32 IME32 IWA32 JFW32 JPS32 JZO32 KJK32 KTG32 LDC32 LMY32 LWU32 MGQ32 MQM32 NAI32 NKE32 NUA32 ODW32 ONS32 OXO32 PHK32 PRG32 QBC32 QKY32 QUU32 REQ32 ROM32 RYI32 SIE32 SSA32 TBW32 TLS32 TVO32 UFK32 UPG32 UZC32 VIY32 VSU32 WCQ32 WMM32 WWI32 AA65568 JW65568 TS65568 ADO65568 ANK65568 AXG65568 BHC65568 BQY65568 CAU65568 CKQ65568 CUM65568 DEI65568 DOE65568 DYA65568 EHW65568 ERS65568 FBO65568 FLK65568 FVG65568 GFC65568 GOY65568 GYU65568 HIQ65568 HSM65568 ICI65568 IME65568 IWA65568 JFW65568 JPS65568 JZO65568 KJK65568 KTG65568 LDC65568 LMY65568 LWU65568 MGQ65568 MQM65568 NAI65568 NKE65568 NUA65568 ODW65568 ONS65568 OXO65568 PHK65568 PRG65568 QBC65568 QKY65568 QUU65568 REQ65568 ROM65568 RYI65568 SIE65568 SSA65568 TBW65568 TLS65568 TVO65568 UFK65568 UPG65568 UZC65568 VIY65568 VSU65568 WCQ65568 WMM65568 WWI65568 AA131104 JW131104 TS131104 ADO131104 ANK131104 AXG131104 BHC131104 BQY131104 CAU131104 CKQ131104 CUM131104 DEI131104 DOE131104 DYA131104 EHW131104 ERS131104 FBO131104 FLK131104 FVG131104 GFC131104 GOY131104 GYU131104 HIQ131104 HSM131104 ICI131104 IME131104 IWA131104 JFW131104 JPS131104 JZO131104 KJK131104 KTG131104 LDC131104 LMY131104 LWU131104 MGQ131104 MQM131104 NAI131104 NKE131104 NUA131104 ODW131104 ONS131104 OXO131104 PHK131104 PRG131104 QBC131104 QKY131104 QUU131104 REQ131104 ROM131104 RYI131104 SIE131104 SSA131104 TBW131104 TLS131104 TVO131104 UFK131104 UPG131104 UZC131104 VIY131104 VSU131104 WCQ131104 WMM131104 WWI131104 AA196640 JW196640 TS196640 ADO196640 ANK196640 AXG196640 BHC196640 BQY196640 CAU196640 CKQ196640 CUM196640 DEI196640 DOE196640 DYA196640 EHW196640 ERS196640 FBO196640 FLK196640 FVG196640 GFC196640 GOY196640 GYU196640 HIQ196640 HSM196640 ICI196640 IME196640 IWA196640 JFW196640 JPS196640 JZO196640 KJK196640 KTG196640 LDC196640 LMY196640 LWU196640 MGQ196640 MQM196640 NAI196640 NKE196640 NUA196640 ODW196640 ONS196640 OXO196640 PHK196640 PRG196640 QBC196640 QKY196640 QUU196640 REQ196640 ROM196640 RYI196640 SIE196640 SSA196640 TBW196640 TLS196640 TVO196640 UFK196640 UPG196640 UZC196640 VIY196640 VSU196640 WCQ196640 WMM196640 WWI196640 AA262176 JW262176 TS262176 ADO262176 ANK262176 AXG262176 BHC262176 BQY262176 CAU262176 CKQ262176 CUM262176 DEI262176 DOE262176 DYA262176 EHW262176 ERS262176 FBO262176 FLK262176 FVG262176 GFC262176 GOY262176 GYU262176 HIQ262176 HSM262176 ICI262176 IME262176 IWA262176 JFW262176 JPS262176 JZO262176 KJK262176 KTG262176 LDC262176 LMY262176 LWU262176 MGQ262176 MQM262176 NAI262176 NKE262176 NUA262176 ODW262176 ONS262176 OXO262176 PHK262176 PRG262176 QBC262176 QKY262176 QUU262176 REQ262176 ROM262176 RYI262176 SIE262176 SSA262176 TBW262176 TLS262176 TVO262176 UFK262176 UPG262176 UZC262176 VIY262176 VSU262176 WCQ262176 WMM262176 WWI262176 AA327712 JW327712 TS327712 ADO327712 ANK327712 AXG327712 BHC327712 BQY327712 CAU327712 CKQ327712 CUM327712 DEI327712 DOE327712 DYA327712 EHW327712 ERS327712 FBO327712 FLK327712 FVG327712 GFC327712 GOY327712 GYU327712 HIQ327712 HSM327712 ICI327712 IME327712 IWA327712 JFW327712 JPS327712 JZO327712 KJK327712 KTG327712 LDC327712 LMY327712 LWU327712 MGQ327712 MQM327712 NAI327712 NKE327712 NUA327712 ODW327712 ONS327712 OXO327712 PHK327712 PRG327712 QBC327712 QKY327712 QUU327712 REQ327712 ROM327712 RYI327712 SIE327712 SSA327712 TBW327712 TLS327712 TVO327712 UFK327712 UPG327712 UZC327712 VIY327712 VSU327712 WCQ327712 WMM327712 WWI327712 AA393248 JW393248 TS393248 ADO393248 ANK393248 AXG393248 BHC393248 BQY393248 CAU393248 CKQ393248 CUM393248 DEI393248 DOE393248 DYA393248 EHW393248 ERS393248 FBO393248 FLK393248 FVG393248 GFC393248 GOY393248 GYU393248 HIQ393248 HSM393248 ICI393248 IME393248 IWA393248 JFW393248 JPS393248 JZO393248 KJK393248 KTG393248 LDC393248 LMY393248 LWU393248 MGQ393248 MQM393248 NAI393248 NKE393248 NUA393248 ODW393248 ONS393248 OXO393248 PHK393248 PRG393248 QBC393248 QKY393248 QUU393248 REQ393248 ROM393248 RYI393248 SIE393248 SSA393248 TBW393248 TLS393248 TVO393248 UFK393248 UPG393248 UZC393248 VIY393248 VSU393248 WCQ393248 WMM393248 WWI393248 AA458784 JW458784 TS458784 ADO458784 ANK458784 AXG458784 BHC458784 BQY458784 CAU458784 CKQ458784 CUM458784 DEI458784 DOE458784 DYA458784 EHW458784 ERS458784 FBO458784 FLK458784 FVG458784 GFC458784 GOY458784 GYU458784 HIQ458784 HSM458784 ICI458784 IME458784 IWA458784 JFW458784 JPS458784 JZO458784 KJK458784 KTG458784 LDC458784 LMY458784 LWU458784 MGQ458784 MQM458784 NAI458784 NKE458784 NUA458784 ODW458784 ONS458784 OXO458784 PHK458784 PRG458784 QBC458784 QKY458784 QUU458784 REQ458784 ROM458784 RYI458784 SIE458784 SSA458784 TBW458784 TLS458784 TVO458784 UFK458784 UPG458784 UZC458784 VIY458784 VSU458784 WCQ458784 WMM458784 WWI458784 AA524320 JW524320 TS524320 ADO524320 ANK524320 AXG524320 BHC524320 BQY524320 CAU524320 CKQ524320 CUM524320 DEI524320 DOE524320 DYA524320 EHW524320 ERS524320 FBO524320 FLK524320 FVG524320 GFC524320 GOY524320 GYU524320 HIQ524320 HSM524320 ICI524320 IME524320 IWA524320 JFW524320 JPS524320 JZO524320 KJK524320 KTG524320 LDC524320 LMY524320 LWU524320 MGQ524320 MQM524320 NAI524320 NKE524320 NUA524320 ODW524320 ONS524320 OXO524320 PHK524320 PRG524320 QBC524320 QKY524320 QUU524320 REQ524320 ROM524320 RYI524320 SIE524320 SSA524320 TBW524320 TLS524320 TVO524320 UFK524320 UPG524320 UZC524320 VIY524320 VSU524320 WCQ524320 WMM524320 WWI524320 AA589856 JW589856 TS589856 ADO589856 ANK589856 AXG589856 BHC589856 BQY589856 CAU589856 CKQ589856 CUM589856 DEI589856 DOE589856 DYA589856 EHW589856 ERS589856 FBO589856 FLK589856 FVG589856 GFC589856 GOY589856 GYU589856 HIQ589856 HSM589856 ICI589856 IME589856 IWA589856 JFW589856 JPS589856 JZO589856 KJK589856 KTG589856 LDC589856 LMY589856 LWU589856 MGQ589856 MQM589856 NAI589856 NKE589856 NUA589856 ODW589856 ONS589856 OXO589856 PHK589856 PRG589856 QBC589856 QKY589856 QUU589856 REQ589856 ROM589856 RYI589856 SIE589856 SSA589856 TBW589856 TLS589856 TVO589856 UFK589856 UPG589856 UZC589856 VIY589856 VSU589856 WCQ589856 WMM589856 WWI589856 AA655392 JW655392 TS655392 ADO655392 ANK655392 AXG655392 BHC655392 BQY655392 CAU655392 CKQ655392 CUM655392 DEI655392 DOE655392 DYA655392 EHW655392 ERS655392 FBO655392 FLK655392 FVG655392 GFC655392 GOY655392 GYU655392 HIQ655392 HSM655392 ICI655392 IME655392 IWA655392 JFW655392 JPS655392 JZO655392 KJK655392 KTG655392 LDC655392 LMY655392 LWU655392 MGQ655392 MQM655392 NAI655392 NKE655392 NUA655392 ODW655392 ONS655392 OXO655392 PHK655392 PRG655392 QBC655392 QKY655392 QUU655392 REQ655392 ROM655392 RYI655392 SIE655392 SSA655392 TBW655392 TLS655392 TVO655392 UFK655392 UPG655392 UZC655392 VIY655392 VSU655392 WCQ655392 WMM655392 WWI655392 AA720928 JW720928 TS720928 ADO720928 ANK720928 AXG720928 BHC720928 BQY720928 CAU720928 CKQ720928 CUM720928 DEI720928 DOE720928 DYA720928 EHW720928 ERS720928 FBO720928 FLK720928 FVG720928 GFC720928 GOY720928 GYU720928 HIQ720928 HSM720928 ICI720928 IME720928 IWA720928 JFW720928 JPS720928 JZO720928 KJK720928 KTG720928 LDC720928 LMY720928 LWU720928 MGQ720928 MQM720928 NAI720928 NKE720928 NUA720928 ODW720928 ONS720928 OXO720928 PHK720928 PRG720928 QBC720928 QKY720928 QUU720928 REQ720928 ROM720928 RYI720928 SIE720928 SSA720928 TBW720928 TLS720928 TVO720928 UFK720928 UPG720928 UZC720928 VIY720928 VSU720928 WCQ720928 WMM720928 WWI720928 AA786464 JW786464 TS786464 ADO786464 ANK786464 AXG786464 BHC786464 BQY786464 CAU786464 CKQ786464 CUM786464 DEI786464 DOE786464 DYA786464 EHW786464 ERS786464 FBO786464 FLK786464 FVG786464 GFC786464 GOY786464 GYU786464 HIQ786464 HSM786464 ICI786464 IME786464 IWA786464 JFW786464 JPS786464 JZO786464 KJK786464 KTG786464 LDC786464 LMY786464 LWU786464 MGQ786464 MQM786464 NAI786464 NKE786464 NUA786464 ODW786464 ONS786464 OXO786464 PHK786464 PRG786464 QBC786464 QKY786464 QUU786464 REQ786464 ROM786464 RYI786464 SIE786464 SSA786464 TBW786464 TLS786464 TVO786464 UFK786464 UPG786464 UZC786464 VIY786464 VSU786464 WCQ786464 WMM786464 WWI786464 AA852000 JW852000 TS852000 ADO852000 ANK852000 AXG852000 BHC852000 BQY852000 CAU852000 CKQ852000 CUM852000 DEI852000 DOE852000 DYA852000 EHW852000 ERS852000 FBO852000 FLK852000 FVG852000 GFC852000 GOY852000 GYU852000 HIQ852000 HSM852000 ICI852000 IME852000 IWA852000 JFW852000 JPS852000 JZO852000 KJK852000 KTG852000 LDC852000 LMY852000 LWU852000 MGQ852000 MQM852000 NAI852000 NKE852000 NUA852000 ODW852000 ONS852000 OXO852000 PHK852000 PRG852000 QBC852000 QKY852000 QUU852000 REQ852000 ROM852000 RYI852000 SIE852000 SSA852000 TBW852000 TLS852000 TVO852000 UFK852000 UPG852000 UZC852000 VIY852000 VSU852000 WCQ852000 WMM852000 WWI852000 AA917536 JW917536 TS917536 ADO917536 ANK917536 AXG917536 BHC917536 BQY917536 CAU917536 CKQ917536 CUM917536 DEI917536 DOE917536 DYA917536 EHW917536 ERS917536 FBO917536 FLK917536 FVG917536 GFC917536 GOY917536 GYU917536 HIQ917536 HSM917536 ICI917536 IME917536 IWA917536 JFW917536 JPS917536 JZO917536 KJK917536 KTG917536 LDC917536 LMY917536 LWU917536 MGQ917536 MQM917536 NAI917536 NKE917536 NUA917536 ODW917536 ONS917536 OXO917536 PHK917536 PRG917536 QBC917536 QKY917536 QUU917536 REQ917536 ROM917536 RYI917536 SIE917536 SSA917536 TBW917536 TLS917536 TVO917536 UFK917536 UPG917536 UZC917536 VIY917536 VSU917536 WCQ917536 WMM917536 WWI917536 AA983072 JW983072 TS983072 ADO983072 ANK983072 AXG983072 BHC983072 BQY983072 CAU983072 CKQ983072 CUM983072 DEI983072 DOE983072 DYA983072 EHW983072 ERS983072 FBO983072 FLK983072 FVG983072 GFC983072 GOY983072 GYU983072 HIQ983072 HSM983072 ICI983072 IME983072 IWA983072 JFW983072 JPS983072 JZO983072 KJK983072 KTG983072 LDC983072 LMY983072 LWU983072 MGQ983072 MQM983072 NAI983072 NKE983072 NUA983072 ODW983072 ONS983072 OXO983072 PHK983072 PRG983072 QBC983072 QKY983072 QUU983072 REQ983072 ROM983072 RYI983072 SIE983072 SSA983072 TBW983072 TLS983072 TVO983072 UFK983072 UPG983072 UZC983072 VIY983072 VSU983072 WCQ983072 WMM983072 WWI983072 Z7 JV7 TR7 ADN7 ANJ7 AXF7 BHB7 BQX7 CAT7 CKP7 CUL7 DEH7 DOD7 DXZ7 EHV7 ERR7 FBN7 FLJ7 FVF7 GFB7 GOX7 GYT7 HIP7 HSL7 ICH7 IMD7 IVZ7 JFV7 JPR7 JZN7 KJJ7 KTF7 LDB7 LMX7 LWT7 MGP7 MQL7 NAH7 NKD7 NTZ7 ODV7 ONR7 OXN7 PHJ7 PRF7 QBB7 QKX7 QUT7 REP7 ROL7 RYH7 SID7 SRZ7 TBV7 TLR7 TVN7 UFJ7 UPF7 UZB7 VIX7 VST7 WCP7 WML7 WWH7 Z65543 JV65543 TR65543 ADN65543 ANJ65543 AXF65543 BHB65543 BQX65543 CAT65543 CKP65543 CUL65543 DEH65543 DOD65543 DXZ65543 EHV65543 ERR65543 FBN65543 FLJ65543 FVF65543 GFB65543 GOX65543 GYT65543 HIP65543 HSL65543 ICH65543 IMD65543 IVZ65543 JFV65543 JPR65543 JZN65543 KJJ65543 KTF65543 LDB65543 LMX65543 LWT65543 MGP65543 MQL65543 NAH65543 NKD65543 NTZ65543 ODV65543 ONR65543 OXN65543 PHJ65543 PRF65543 QBB65543 QKX65543 QUT65543 REP65543 ROL65543 RYH65543 SID65543 SRZ65543 TBV65543 TLR65543 TVN65543 UFJ65543 UPF65543 UZB65543 VIX65543 VST65543 WCP65543 WML65543 WWH65543 Z131079 JV131079 TR131079 ADN131079 ANJ131079 AXF131079 BHB131079 BQX131079 CAT131079 CKP131079 CUL131079 DEH131079 DOD131079 DXZ131079 EHV131079 ERR131079 FBN131079 FLJ131079 FVF131079 GFB131079 GOX131079 GYT131079 HIP131079 HSL131079 ICH131079 IMD131079 IVZ131079 JFV131079 JPR131079 JZN131079 KJJ131079 KTF131079 LDB131079 LMX131079 LWT131079 MGP131079 MQL131079 NAH131079 NKD131079 NTZ131079 ODV131079 ONR131079 OXN131079 PHJ131079 PRF131079 QBB131079 QKX131079 QUT131079 REP131079 ROL131079 RYH131079 SID131079 SRZ131079 TBV131079 TLR131079 TVN131079 UFJ131079 UPF131079 UZB131079 VIX131079 VST131079 WCP131079 WML131079 WWH131079 Z196615 JV196615 TR196615 ADN196615 ANJ196615 AXF196615 BHB196615 BQX196615 CAT196615 CKP196615 CUL196615 DEH196615 DOD196615 DXZ196615 EHV196615 ERR196615 FBN196615 FLJ196615 FVF196615 GFB196615 GOX196615 GYT196615 HIP196615 HSL196615 ICH196615 IMD196615 IVZ196615 JFV196615 JPR196615 JZN196615 KJJ196615 KTF196615 LDB196615 LMX196615 LWT196615 MGP196615 MQL196615 NAH196615 NKD196615 NTZ196615 ODV196615 ONR196615 OXN196615 PHJ196615 PRF196615 QBB196615 QKX196615 QUT196615 REP196615 ROL196615 RYH196615 SID196615 SRZ196615 TBV196615 TLR196615 TVN196615 UFJ196615 UPF196615 UZB196615 VIX196615 VST196615 WCP196615 WML196615 WWH196615 Z262151 JV262151 TR262151 ADN262151 ANJ262151 AXF262151 BHB262151 BQX262151 CAT262151 CKP262151 CUL262151 DEH262151 DOD262151 DXZ262151 EHV262151 ERR262151 FBN262151 FLJ262151 FVF262151 GFB262151 GOX262151 GYT262151 HIP262151 HSL262151 ICH262151 IMD262151 IVZ262151 JFV262151 JPR262151 JZN262151 KJJ262151 KTF262151 LDB262151 LMX262151 LWT262151 MGP262151 MQL262151 NAH262151 NKD262151 NTZ262151 ODV262151 ONR262151 OXN262151 PHJ262151 PRF262151 QBB262151 QKX262151 QUT262151 REP262151 ROL262151 RYH262151 SID262151 SRZ262151 TBV262151 TLR262151 TVN262151 UFJ262151 UPF262151 UZB262151 VIX262151 VST262151 WCP262151 WML262151 WWH262151 Z327687 JV327687 TR327687 ADN327687 ANJ327687 AXF327687 BHB327687 BQX327687 CAT327687 CKP327687 CUL327687 DEH327687 DOD327687 DXZ327687 EHV327687 ERR327687 FBN327687 FLJ327687 FVF327687 GFB327687 GOX327687 GYT327687 HIP327687 HSL327687 ICH327687 IMD327687 IVZ327687 JFV327687 JPR327687 JZN327687 KJJ327687 KTF327687 LDB327687 LMX327687 LWT327687 MGP327687 MQL327687 NAH327687 NKD327687 NTZ327687 ODV327687 ONR327687 OXN327687 PHJ327687 PRF327687 QBB327687 QKX327687 QUT327687 REP327687 ROL327687 RYH327687 SID327687 SRZ327687 TBV327687 TLR327687 TVN327687 UFJ327687 UPF327687 UZB327687 VIX327687 VST327687 WCP327687 WML327687 WWH327687 Z393223 JV393223 TR393223 ADN393223 ANJ393223 AXF393223 BHB393223 BQX393223 CAT393223 CKP393223 CUL393223 DEH393223 DOD393223 DXZ393223 EHV393223 ERR393223 FBN393223 FLJ393223 FVF393223 GFB393223 GOX393223 GYT393223 HIP393223 HSL393223 ICH393223 IMD393223 IVZ393223 JFV393223 JPR393223 JZN393223 KJJ393223 KTF393223 LDB393223 LMX393223 LWT393223 MGP393223 MQL393223 NAH393223 NKD393223 NTZ393223 ODV393223 ONR393223 OXN393223 PHJ393223 PRF393223 QBB393223 QKX393223 QUT393223 REP393223 ROL393223 RYH393223 SID393223 SRZ393223 TBV393223 TLR393223 TVN393223 UFJ393223 UPF393223 UZB393223 VIX393223 VST393223 WCP393223 WML393223 WWH393223 Z458759 JV458759 TR458759 ADN458759 ANJ458759 AXF458759 BHB458759 BQX458759 CAT458759 CKP458759 CUL458759 DEH458759 DOD458759 DXZ458759 EHV458759 ERR458759 FBN458759 FLJ458759 FVF458759 GFB458759 GOX458759 GYT458759 HIP458759 HSL458759 ICH458759 IMD458759 IVZ458759 JFV458759 JPR458759 JZN458759 KJJ458759 KTF458759 LDB458759 LMX458759 LWT458759 MGP458759 MQL458759 NAH458759 NKD458759 NTZ458759 ODV458759 ONR458759 OXN458759 PHJ458759 PRF458759 QBB458759 QKX458759 QUT458759 REP458759 ROL458759 RYH458759 SID458759 SRZ458759 TBV458759 TLR458759 TVN458759 UFJ458759 UPF458759 UZB458759 VIX458759 VST458759 WCP458759 WML458759 WWH458759 Z524295 JV524295 TR524295 ADN524295 ANJ524295 AXF524295 BHB524295 BQX524295 CAT524295 CKP524295 CUL524295 DEH524295 DOD524295 DXZ524295 EHV524295 ERR524295 FBN524295 FLJ524295 FVF524295 GFB524295 GOX524295 GYT524295 HIP524295 HSL524295 ICH524295 IMD524295 IVZ524295 JFV524295 JPR524295 JZN524295 KJJ524295 KTF524295 LDB524295 LMX524295 LWT524295 MGP524295 MQL524295 NAH524295 NKD524295 NTZ524295 ODV524295 ONR524295 OXN524295 PHJ524295 PRF524295 QBB524295 QKX524295 QUT524295 REP524295 ROL524295 RYH524295 SID524295 SRZ524295 TBV524295 TLR524295 TVN524295 UFJ524295 UPF524295 UZB524295 VIX524295 VST524295 WCP524295 WML524295 WWH524295 Z589831 JV589831 TR589831 ADN589831 ANJ589831 AXF589831 BHB589831 BQX589831 CAT589831 CKP589831 CUL589831 DEH589831 DOD589831 DXZ589831 EHV589831 ERR589831 FBN589831 FLJ589831 FVF589831 GFB589831 GOX589831 GYT589831 HIP589831 HSL589831 ICH589831 IMD589831 IVZ589831 JFV589831 JPR589831 JZN589831 KJJ589831 KTF589831 LDB589831 LMX589831 LWT589831 MGP589831 MQL589831 NAH589831 NKD589831 NTZ589831 ODV589831 ONR589831 OXN589831 PHJ589831 PRF589831 QBB589831 QKX589831 QUT589831 REP589831 ROL589831 RYH589831 SID589831 SRZ589831 TBV589831 TLR589831 TVN589831 UFJ589831 UPF589831 UZB589831 VIX589831 VST589831 WCP589831 WML589831 WWH589831 Z655367 JV655367 TR655367 ADN655367 ANJ655367 AXF655367 BHB655367 BQX655367 CAT655367 CKP655367 CUL655367 DEH655367 DOD655367 DXZ655367 EHV655367 ERR655367 FBN655367 FLJ655367 FVF655367 GFB655367 GOX655367 GYT655367 HIP655367 HSL655367 ICH655367 IMD655367 IVZ655367 JFV655367 JPR655367 JZN655367 KJJ655367 KTF655367 LDB655367 LMX655367 LWT655367 MGP655367 MQL655367 NAH655367 NKD655367 NTZ655367 ODV655367 ONR655367 OXN655367 PHJ655367 PRF655367 QBB655367 QKX655367 QUT655367 REP655367 ROL655367 RYH655367 SID655367 SRZ655367 TBV655367 TLR655367 TVN655367 UFJ655367 UPF655367 UZB655367 VIX655367 VST655367 WCP655367 WML655367 WWH655367 Z720903 JV720903 TR720903 ADN720903 ANJ720903 AXF720903 BHB720903 BQX720903 CAT720903 CKP720903 CUL720903 DEH720903 DOD720903 DXZ720903 EHV720903 ERR720903 FBN720903 FLJ720903 FVF720903 GFB720903 GOX720903 GYT720903 HIP720903 HSL720903 ICH720903 IMD720903 IVZ720903 JFV720903 JPR720903 JZN720903 KJJ720903 KTF720903 LDB720903 LMX720903 LWT720903 MGP720903 MQL720903 NAH720903 NKD720903 NTZ720903 ODV720903 ONR720903 OXN720903 PHJ720903 PRF720903 QBB720903 QKX720903 QUT720903 REP720903 ROL720903 RYH720903 SID720903 SRZ720903 TBV720903 TLR720903 TVN720903 UFJ720903 UPF720903 UZB720903 VIX720903 VST720903 WCP720903 WML720903 WWH720903 Z786439 JV786439 TR786439 ADN786439 ANJ786439 AXF786439 BHB786439 BQX786439 CAT786439 CKP786439 CUL786439 DEH786439 DOD786439 DXZ786439 EHV786439 ERR786439 FBN786439 FLJ786439 FVF786439 GFB786439 GOX786439 GYT786439 HIP786439 HSL786439 ICH786439 IMD786439 IVZ786439 JFV786439 JPR786439 JZN786439 KJJ786439 KTF786439 LDB786439 LMX786439 LWT786439 MGP786439 MQL786439 NAH786439 NKD786439 NTZ786439 ODV786439 ONR786439 OXN786439 PHJ786439 PRF786439 QBB786439 QKX786439 QUT786439 REP786439 ROL786439 RYH786439 SID786439 SRZ786439 TBV786439 TLR786439 TVN786439 UFJ786439 UPF786439 UZB786439 VIX786439 VST786439 WCP786439 WML786439 WWH786439 Z851975 JV851975 TR851975 ADN851975 ANJ851975 AXF851975 BHB851975 BQX851975 CAT851975 CKP851975 CUL851975 DEH851975 DOD851975 DXZ851975 EHV851975 ERR851975 FBN851975 FLJ851975 FVF851975 GFB851975 GOX851975 GYT851975 HIP851975 HSL851975 ICH851975 IMD851975 IVZ851975 JFV851975 JPR851975 JZN851975 KJJ851975 KTF851975 LDB851975 LMX851975 LWT851975 MGP851975 MQL851975 NAH851975 NKD851975 NTZ851975 ODV851975 ONR851975 OXN851975 PHJ851975 PRF851975 QBB851975 QKX851975 QUT851975 REP851975 ROL851975 RYH851975 SID851975 SRZ851975 TBV851975 TLR851975 TVN851975 UFJ851975 UPF851975 UZB851975 VIX851975 VST851975 WCP851975 WML851975 WWH851975 Z917511 JV917511 TR917511 ADN917511 ANJ917511 AXF917511 BHB917511 BQX917511 CAT917511 CKP917511 CUL917511 DEH917511 DOD917511 DXZ917511 EHV917511 ERR917511 FBN917511 FLJ917511 FVF917511 GFB917511 GOX917511 GYT917511 HIP917511 HSL917511 ICH917511 IMD917511 IVZ917511 JFV917511 JPR917511 JZN917511 KJJ917511 KTF917511 LDB917511 LMX917511 LWT917511 MGP917511 MQL917511 NAH917511 NKD917511 NTZ917511 ODV917511 ONR917511 OXN917511 PHJ917511 PRF917511 QBB917511 QKX917511 QUT917511 REP917511 ROL917511 RYH917511 SID917511 SRZ917511 TBV917511 TLR917511 TVN917511 UFJ917511 UPF917511 UZB917511 VIX917511 VST917511 WCP917511 WML917511 WWH917511 Z983047 JV983047 TR983047 ADN983047 ANJ983047 AXF983047 BHB983047 BQX983047 CAT983047 CKP983047 CUL983047 DEH983047 DOD983047 DXZ983047 EHV983047 ERR983047 FBN983047 FLJ983047 FVF983047 GFB983047 GOX983047 GYT983047 HIP983047 HSL983047 ICH983047 IMD983047 IVZ983047 JFV983047 JPR983047 JZN983047 KJJ983047 KTF983047 LDB983047 LMX983047 LWT983047 MGP983047 MQL983047 NAH983047 NKD983047 NTZ983047 ODV983047 ONR983047 OXN983047 PHJ983047 PRF983047 QBB983047 QKX983047 QUT983047 REP983047 ROL983047 RYH983047 SID983047 SRZ983047 TBV983047 TLR983047 TVN983047 UFJ983047 UPF983047 UZB983047 VIX983047 VST983047 WCP983047 WML983047 WWH983047"/>
    <dataValidation type="list" allowBlank="1" showInputMessage="1" showErrorMessage="1" sqref="WVL983045:WVO983045 IZ5:JC5 SV5:SY5 ACR5:ACU5 AMN5:AMQ5 AWJ5:AWM5 BGF5:BGI5 BQB5:BQE5 BZX5:CAA5 CJT5:CJW5 CTP5:CTS5 DDL5:DDO5 DNH5:DNK5 DXD5:DXG5 EGZ5:EHC5 EQV5:EQY5 FAR5:FAU5 FKN5:FKQ5 FUJ5:FUM5 GEF5:GEI5 GOB5:GOE5 GXX5:GYA5 HHT5:HHW5 HRP5:HRS5 IBL5:IBO5 ILH5:ILK5 IVD5:IVG5 JEZ5:JFC5 JOV5:JOY5 JYR5:JYU5 KIN5:KIQ5 KSJ5:KSM5 LCF5:LCI5 LMB5:LME5 LVX5:LWA5 MFT5:MFW5 MPP5:MPS5 MZL5:MZO5 NJH5:NJK5 NTD5:NTG5 OCZ5:ODC5 OMV5:OMY5 OWR5:OWU5 PGN5:PGQ5 PQJ5:PQM5 QAF5:QAI5 QKB5:QKE5 QTX5:QUA5 RDT5:RDW5 RNP5:RNS5 RXL5:RXO5 SHH5:SHK5 SRD5:SRG5 TAZ5:TBC5 TKV5:TKY5 TUR5:TUU5 UEN5:UEQ5 UOJ5:UOM5 UYF5:UYI5 VIB5:VIE5 VRX5:VSA5 WBT5:WBW5 WLP5:WLS5 WVL5:WVO5 D65541:G65541 IZ65541:JC65541 SV65541:SY65541 ACR65541:ACU65541 AMN65541:AMQ65541 AWJ65541:AWM65541 BGF65541:BGI65541 BQB65541:BQE65541 BZX65541:CAA65541 CJT65541:CJW65541 CTP65541:CTS65541 DDL65541:DDO65541 DNH65541:DNK65541 DXD65541:DXG65541 EGZ65541:EHC65541 EQV65541:EQY65541 FAR65541:FAU65541 FKN65541:FKQ65541 FUJ65541:FUM65541 GEF65541:GEI65541 GOB65541:GOE65541 GXX65541:GYA65541 HHT65541:HHW65541 HRP65541:HRS65541 IBL65541:IBO65541 ILH65541:ILK65541 IVD65541:IVG65541 JEZ65541:JFC65541 JOV65541:JOY65541 JYR65541:JYU65541 KIN65541:KIQ65541 KSJ65541:KSM65541 LCF65541:LCI65541 LMB65541:LME65541 LVX65541:LWA65541 MFT65541:MFW65541 MPP65541:MPS65541 MZL65541:MZO65541 NJH65541:NJK65541 NTD65541:NTG65541 OCZ65541:ODC65541 OMV65541:OMY65541 OWR65541:OWU65541 PGN65541:PGQ65541 PQJ65541:PQM65541 QAF65541:QAI65541 QKB65541:QKE65541 QTX65541:QUA65541 RDT65541:RDW65541 RNP65541:RNS65541 RXL65541:RXO65541 SHH65541:SHK65541 SRD65541:SRG65541 TAZ65541:TBC65541 TKV65541:TKY65541 TUR65541:TUU65541 UEN65541:UEQ65541 UOJ65541:UOM65541 UYF65541:UYI65541 VIB65541:VIE65541 VRX65541:VSA65541 WBT65541:WBW65541 WLP65541:WLS65541 WVL65541:WVO65541 D131077:G131077 IZ131077:JC131077 SV131077:SY131077 ACR131077:ACU131077 AMN131077:AMQ131077 AWJ131077:AWM131077 BGF131077:BGI131077 BQB131077:BQE131077 BZX131077:CAA131077 CJT131077:CJW131077 CTP131077:CTS131077 DDL131077:DDO131077 DNH131077:DNK131077 DXD131077:DXG131077 EGZ131077:EHC131077 EQV131077:EQY131077 FAR131077:FAU131077 FKN131077:FKQ131077 FUJ131077:FUM131077 GEF131077:GEI131077 GOB131077:GOE131077 GXX131077:GYA131077 HHT131077:HHW131077 HRP131077:HRS131077 IBL131077:IBO131077 ILH131077:ILK131077 IVD131077:IVG131077 JEZ131077:JFC131077 JOV131077:JOY131077 JYR131077:JYU131077 KIN131077:KIQ131077 KSJ131077:KSM131077 LCF131077:LCI131077 LMB131077:LME131077 LVX131077:LWA131077 MFT131077:MFW131077 MPP131077:MPS131077 MZL131077:MZO131077 NJH131077:NJK131077 NTD131077:NTG131077 OCZ131077:ODC131077 OMV131077:OMY131077 OWR131077:OWU131077 PGN131077:PGQ131077 PQJ131077:PQM131077 QAF131077:QAI131077 QKB131077:QKE131077 QTX131077:QUA131077 RDT131077:RDW131077 RNP131077:RNS131077 RXL131077:RXO131077 SHH131077:SHK131077 SRD131077:SRG131077 TAZ131077:TBC131077 TKV131077:TKY131077 TUR131077:TUU131077 UEN131077:UEQ131077 UOJ131077:UOM131077 UYF131077:UYI131077 VIB131077:VIE131077 VRX131077:VSA131077 WBT131077:WBW131077 WLP131077:WLS131077 WVL131077:WVO131077 D196613:G196613 IZ196613:JC196613 SV196613:SY196613 ACR196613:ACU196613 AMN196613:AMQ196613 AWJ196613:AWM196613 BGF196613:BGI196613 BQB196613:BQE196613 BZX196613:CAA196613 CJT196613:CJW196613 CTP196613:CTS196613 DDL196613:DDO196613 DNH196613:DNK196613 DXD196613:DXG196613 EGZ196613:EHC196613 EQV196613:EQY196613 FAR196613:FAU196613 FKN196613:FKQ196613 FUJ196613:FUM196613 GEF196613:GEI196613 GOB196613:GOE196613 GXX196613:GYA196613 HHT196613:HHW196613 HRP196613:HRS196613 IBL196613:IBO196613 ILH196613:ILK196613 IVD196613:IVG196613 JEZ196613:JFC196613 JOV196613:JOY196613 JYR196613:JYU196613 KIN196613:KIQ196613 KSJ196613:KSM196613 LCF196613:LCI196613 LMB196613:LME196613 LVX196613:LWA196613 MFT196613:MFW196613 MPP196613:MPS196613 MZL196613:MZO196613 NJH196613:NJK196613 NTD196613:NTG196613 OCZ196613:ODC196613 OMV196613:OMY196613 OWR196613:OWU196613 PGN196613:PGQ196613 PQJ196613:PQM196613 QAF196613:QAI196613 QKB196613:QKE196613 QTX196613:QUA196613 RDT196613:RDW196613 RNP196613:RNS196613 RXL196613:RXO196613 SHH196613:SHK196613 SRD196613:SRG196613 TAZ196613:TBC196613 TKV196613:TKY196613 TUR196613:TUU196613 UEN196613:UEQ196613 UOJ196613:UOM196613 UYF196613:UYI196613 VIB196613:VIE196613 VRX196613:VSA196613 WBT196613:WBW196613 WLP196613:WLS196613 WVL196613:WVO196613 D262149:G262149 IZ262149:JC262149 SV262149:SY262149 ACR262149:ACU262149 AMN262149:AMQ262149 AWJ262149:AWM262149 BGF262149:BGI262149 BQB262149:BQE262149 BZX262149:CAA262149 CJT262149:CJW262149 CTP262149:CTS262149 DDL262149:DDO262149 DNH262149:DNK262149 DXD262149:DXG262149 EGZ262149:EHC262149 EQV262149:EQY262149 FAR262149:FAU262149 FKN262149:FKQ262149 FUJ262149:FUM262149 GEF262149:GEI262149 GOB262149:GOE262149 GXX262149:GYA262149 HHT262149:HHW262149 HRP262149:HRS262149 IBL262149:IBO262149 ILH262149:ILK262149 IVD262149:IVG262149 JEZ262149:JFC262149 JOV262149:JOY262149 JYR262149:JYU262149 KIN262149:KIQ262149 KSJ262149:KSM262149 LCF262149:LCI262149 LMB262149:LME262149 LVX262149:LWA262149 MFT262149:MFW262149 MPP262149:MPS262149 MZL262149:MZO262149 NJH262149:NJK262149 NTD262149:NTG262149 OCZ262149:ODC262149 OMV262149:OMY262149 OWR262149:OWU262149 PGN262149:PGQ262149 PQJ262149:PQM262149 QAF262149:QAI262149 QKB262149:QKE262149 QTX262149:QUA262149 RDT262149:RDW262149 RNP262149:RNS262149 RXL262149:RXO262149 SHH262149:SHK262149 SRD262149:SRG262149 TAZ262149:TBC262149 TKV262149:TKY262149 TUR262149:TUU262149 UEN262149:UEQ262149 UOJ262149:UOM262149 UYF262149:UYI262149 VIB262149:VIE262149 VRX262149:VSA262149 WBT262149:WBW262149 WLP262149:WLS262149 WVL262149:WVO262149 D327685:G327685 IZ327685:JC327685 SV327685:SY327685 ACR327685:ACU327685 AMN327685:AMQ327685 AWJ327685:AWM327685 BGF327685:BGI327685 BQB327685:BQE327685 BZX327685:CAA327685 CJT327685:CJW327685 CTP327685:CTS327685 DDL327685:DDO327685 DNH327685:DNK327685 DXD327685:DXG327685 EGZ327685:EHC327685 EQV327685:EQY327685 FAR327685:FAU327685 FKN327685:FKQ327685 FUJ327685:FUM327685 GEF327685:GEI327685 GOB327685:GOE327685 GXX327685:GYA327685 HHT327685:HHW327685 HRP327685:HRS327685 IBL327685:IBO327685 ILH327685:ILK327685 IVD327685:IVG327685 JEZ327685:JFC327685 JOV327685:JOY327685 JYR327685:JYU327685 KIN327685:KIQ327685 KSJ327685:KSM327685 LCF327685:LCI327685 LMB327685:LME327685 LVX327685:LWA327685 MFT327685:MFW327685 MPP327685:MPS327685 MZL327685:MZO327685 NJH327685:NJK327685 NTD327685:NTG327685 OCZ327685:ODC327685 OMV327685:OMY327685 OWR327685:OWU327685 PGN327685:PGQ327685 PQJ327685:PQM327685 QAF327685:QAI327685 QKB327685:QKE327685 QTX327685:QUA327685 RDT327685:RDW327685 RNP327685:RNS327685 RXL327685:RXO327685 SHH327685:SHK327685 SRD327685:SRG327685 TAZ327685:TBC327685 TKV327685:TKY327685 TUR327685:TUU327685 UEN327685:UEQ327685 UOJ327685:UOM327685 UYF327685:UYI327685 VIB327685:VIE327685 VRX327685:VSA327685 WBT327685:WBW327685 WLP327685:WLS327685 WVL327685:WVO327685 D393221:G393221 IZ393221:JC393221 SV393221:SY393221 ACR393221:ACU393221 AMN393221:AMQ393221 AWJ393221:AWM393221 BGF393221:BGI393221 BQB393221:BQE393221 BZX393221:CAA393221 CJT393221:CJW393221 CTP393221:CTS393221 DDL393221:DDO393221 DNH393221:DNK393221 DXD393221:DXG393221 EGZ393221:EHC393221 EQV393221:EQY393221 FAR393221:FAU393221 FKN393221:FKQ393221 FUJ393221:FUM393221 GEF393221:GEI393221 GOB393221:GOE393221 GXX393221:GYA393221 HHT393221:HHW393221 HRP393221:HRS393221 IBL393221:IBO393221 ILH393221:ILK393221 IVD393221:IVG393221 JEZ393221:JFC393221 JOV393221:JOY393221 JYR393221:JYU393221 KIN393221:KIQ393221 KSJ393221:KSM393221 LCF393221:LCI393221 LMB393221:LME393221 LVX393221:LWA393221 MFT393221:MFW393221 MPP393221:MPS393221 MZL393221:MZO393221 NJH393221:NJK393221 NTD393221:NTG393221 OCZ393221:ODC393221 OMV393221:OMY393221 OWR393221:OWU393221 PGN393221:PGQ393221 PQJ393221:PQM393221 QAF393221:QAI393221 QKB393221:QKE393221 QTX393221:QUA393221 RDT393221:RDW393221 RNP393221:RNS393221 RXL393221:RXO393221 SHH393221:SHK393221 SRD393221:SRG393221 TAZ393221:TBC393221 TKV393221:TKY393221 TUR393221:TUU393221 UEN393221:UEQ393221 UOJ393221:UOM393221 UYF393221:UYI393221 VIB393221:VIE393221 VRX393221:VSA393221 WBT393221:WBW393221 WLP393221:WLS393221 WVL393221:WVO393221 D458757:G458757 IZ458757:JC458757 SV458757:SY458757 ACR458757:ACU458757 AMN458757:AMQ458757 AWJ458757:AWM458757 BGF458757:BGI458757 BQB458757:BQE458757 BZX458757:CAA458757 CJT458757:CJW458757 CTP458757:CTS458757 DDL458757:DDO458757 DNH458757:DNK458757 DXD458757:DXG458757 EGZ458757:EHC458757 EQV458757:EQY458757 FAR458757:FAU458757 FKN458757:FKQ458757 FUJ458757:FUM458757 GEF458757:GEI458757 GOB458757:GOE458757 GXX458757:GYA458757 HHT458757:HHW458757 HRP458757:HRS458757 IBL458757:IBO458757 ILH458757:ILK458757 IVD458757:IVG458757 JEZ458757:JFC458757 JOV458757:JOY458757 JYR458757:JYU458757 KIN458757:KIQ458757 KSJ458757:KSM458757 LCF458757:LCI458757 LMB458757:LME458757 LVX458757:LWA458757 MFT458757:MFW458757 MPP458757:MPS458757 MZL458757:MZO458757 NJH458757:NJK458757 NTD458757:NTG458757 OCZ458757:ODC458757 OMV458757:OMY458757 OWR458757:OWU458757 PGN458757:PGQ458757 PQJ458757:PQM458757 QAF458757:QAI458757 QKB458757:QKE458757 QTX458757:QUA458757 RDT458757:RDW458757 RNP458757:RNS458757 RXL458757:RXO458757 SHH458757:SHK458757 SRD458757:SRG458757 TAZ458757:TBC458757 TKV458757:TKY458757 TUR458757:TUU458757 UEN458757:UEQ458757 UOJ458757:UOM458757 UYF458757:UYI458757 VIB458757:VIE458757 VRX458757:VSA458757 WBT458757:WBW458757 WLP458757:WLS458757 WVL458757:WVO458757 D524293:G524293 IZ524293:JC524293 SV524293:SY524293 ACR524293:ACU524293 AMN524293:AMQ524293 AWJ524293:AWM524293 BGF524293:BGI524293 BQB524293:BQE524293 BZX524293:CAA524293 CJT524293:CJW524293 CTP524293:CTS524293 DDL524293:DDO524293 DNH524293:DNK524293 DXD524293:DXG524293 EGZ524293:EHC524293 EQV524293:EQY524293 FAR524293:FAU524293 FKN524293:FKQ524293 FUJ524293:FUM524293 GEF524293:GEI524293 GOB524293:GOE524293 GXX524293:GYA524293 HHT524293:HHW524293 HRP524293:HRS524293 IBL524293:IBO524293 ILH524293:ILK524293 IVD524293:IVG524293 JEZ524293:JFC524293 JOV524293:JOY524293 JYR524293:JYU524293 KIN524293:KIQ524293 KSJ524293:KSM524293 LCF524293:LCI524293 LMB524293:LME524293 LVX524293:LWA524293 MFT524293:MFW524293 MPP524293:MPS524293 MZL524293:MZO524293 NJH524293:NJK524293 NTD524293:NTG524293 OCZ524293:ODC524293 OMV524293:OMY524293 OWR524293:OWU524293 PGN524293:PGQ524293 PQJ524293:PQM524293 QAF524293:QAI524293 QKB524293:QKE524293 QTX524293:QUA524293 RDT524293:RDW524293 RNP524293:RNS524293 RXL524293:RXO524293 SHH524293:SHK524293 SRD524293:SRG524293 TAZ524293:TBC524293 TKV524293:TKY524293 TUR524293:TUU524293 UEN524293:UEQ524293 UOJ524293:UOM524293 UYF524293:UYI524293 VIB524293:VIE524293 VRX524293:VSA524293 WBT524293:WBW524293 WLP524293:WLS524293 WVL524293:WVO524293 D589829:G589829 IZ589829:JC589829 SV589829:SY589829 ACR589829:ACU589829 AMN589829:AMQ589829 AWJ589829:AWM589829 BGF589829:BGI589829 BQB589829:BQE589829 BZX589829:CAA589829 CJT589829:CJW589829 CTP589829:CTS589829 DDL589829:DDO589829 DNH589829:DNK589829 DXD589829:DXG589829 EGZ589829:EHC589829 EQV589829:EQY589829 FAR589829:FAU589829 FKN589829:FKQ589829 FUJ589829:FUM589829 GEF589829:GEI589829 GOB589829:GOE589829 GXX589829:GYA589829 HHT589829:HHW589829 HRP589829:HRS589829 IBL589829:IBO589829 ILH589829:ILK589829 IVD589829:IVG589829 JEZ589829:JFC589829 JOV589829:JOY589829 JYR589829:JYU589829 KIN589829:KIQ589829 KSJ589829:KSM589829 LCF589829:LCI589829 LMB589829:LME589829 LVX589829:LWA589829 MFT589829:MFW589829 MPP589829:MPS589829 MZL589829:MZO589829 NJH589829:NJK589829 NTD589829:NTG589829 OCZ589829:ODC589829 OMV589829:OMY589829 OWR589829:OWU589829 PGN589829:PGQ589829 PQJ589829:PQM589829 QAF589829:QAI589829 QKB589829:QKE589829 QTX589829:QUA589829 RDT589829:RDW589829 RNP589829:RNS589829 RXL589829:RXO589829 SHH589829:SHK589829 SRD589829:SRG589829 TAZ589829:TBC589829 TKV589829:TKY589829 TUR589829:TUU589829 UEN589829:UEQ589829 UOJ589829:UOM589829 UYF589829:UYI589829 VIB589829:VIE589829 VRX589829:VSA589829 WBT589829:WBW589829 WLP589829:WLS589829 WVL589829:WVO589829 D655365:G655365 IZ655365:JC655365 SV655365:SY655365 ACR655365:ACU655365 AMN655365:AMQ655365 AWJ655365:AWM655365 BGF655365:BGI655365 BQB655365:BQE655365 BZX655365:CAA655365 CJT655365:CJW655365 CTP655365:CTS655365 DDL655365:DDO655365 DNH655365:DNK655365 DXD655365:DXG655365 EGZ655365:EHC655365 EQV655365:EQY655365 FAR655365:FAU655365 FKN655365:FKQ655365 FUJ655365:FUM655365 GEF655365:GEI655365 GOB655365:GOE655365 GXX655365:GYA655365 HHT655365:HHW655365 HRP655365:HRS655365 IBL655365:IBO655365 ILH655365:ILK655365 IVD655365:IVG655365 JEZ655365:JFC655365 JOV655365:JOY655365 JYR655365:JYU655365 KIN655365:KIQ655365 KSJ655365:KSM655365 LCF655365:LCI655365 LMB655365:LME655365 LVX655365:LWA655365 MFT655365:MFW655365 MPP655365:MPS655365 MZL655365:MZO655365 NJH655365:NJK655365 NTD655365:NTG655365 OCZ655365:ODC655365 OMV655365:OMY655365 OWR655365:OWU655365 PGN655365:PGQ655365 PQJ655365:PQM655365 QAF655365:QAI655365 QKB655365:QKE655365 QTX655365:QUA655365 RDT655365:RDW655365 RNP655365:RNS655365 RXL655365:RXO655365 SHH655365:SHK655365 SRD655365:SRG655365 TAZ655365:TBC655365 TKV655365:TKY655365 TUR655365:TUU655365 UEN655365:UEQ655365 UOJ655365:UOM655365 UYF655365:UYI655365 VIB655365:VIE655365 VRX655365:VSA655365 WBT655365:WBW655365 WLP655365:WLS655365 WVL655365:WVO655365 D720901:G720901 IZ720901:JC720901 SV720901:SY720901 ACR720901:ACU720901 AMN720901:AMQ720901 AWJ720901:AWM720901 BGF720901:BGI720901 BQB720901:BQE720901 BZX720901:CAA720901 CJT720901:CJW720901 CTP720901:CTS720901 DDL720901:DDO720901 DNH720901:DNK720901 DXD720901:DXG720901 EGZ720901:EHC720901 EQV720901:EQY720901 FAR720901:FAU720901 FKN720901:FKQ720901 FUJ720901:FUM720901 GEF720901:GEI720901 GOB720901:GOE720901 GXX720901:GYA720901 HHT720901:HHW720901 HRP720901:HRS720901 IBL720901:IBO720901 ILH720901:ILK720901 IVD720901:IVG720901 JEZ720901:JFC720901 JOV720901:JOY720901 JYR720901:JYU720901 KIN720901:KIQ720901 KSJ720901:KSM720901 LCF720901:LCI720901 LMB720901:LME720901 LVX720901:LWA720901 MFT720901:MFW720901 MPP720901:MPS720901 MZL720901:MZO720901 NJH720901:NJK720901 NTD720901:NTG720901 OCZ720901:ODC720901 OMV720901:OMY720901 OWR720901:OWU720901 PGN720901:PGQ720901 PQJ720901:PQM720901 QAF720901:QAI720901 QKB720901:QKE720901 QTX720901:QUA720901 RDT720901:RDW720901 RNP720901:RNS720901 RXL720901:RXO720901 SHH720901:SHK720901 SRD720901:SRG720901 TAZ720901:TBC720901 TKV720901:TKY720901 TUR720901:TUU720901 UEN720901:UEQ720901 UOJ720901:UOM720901 UYF720901:UYI720901 VIB720901:VIE720901 VRX720901:VSA720901 WBT720901:WBW720901 WLP720901:WLS720901 WVL720901:WVO720901 D786437:G786437 IZ786437:JC786437 SV786437:SY786437 ACR786437:ACU786437 AMN786437:AMQ786437 AWJ786437:AWM786437 BGF786437:BGI786437 BQB786437:BQE786437 BZX786437:CAA786437 CJT786437:CJW786437 CTP786437:CTS786437 DDL786437:DDO786437 DNH786437:DNK786437 DXD786437:DXG786437 EGZ786437:EHC786437 EQV786437:EQY786437 FAR786437:FAU786437 FKN786437:FKQ786437 FUJ786437:FUM786437 GEF786437:GEI786437 GOB786437:GOE786437 GXX786437:GYA786437 HHT786437:HHW786437 HRP786437:HRS786437 IBL786437:IBO786437 ILH786437:ILK786437 IVD786437:IVG786437 JEZ786437:JFC786437 JOV786437:JOY786437 JYR786437:JYU786437 KIN786437:KIQ786437 KSJ786437:KSM786437 LCF786437:LCI786437 LMB786437:LME786437 LVX786437:LWA786437 MFT786437:MFW786437 MPP786437:MPS786437 MZL786437:MZO786437 NJH786437:NJK786437 NTD786437:NTG786437 OCZ786437:ODC786437 OMV786437:OMY786437 OWR786437:OWU786437 PGN786437:PGQ786437 PQJ786437:PQM786437 QAF786437:QAI786437 QKB786437:QKE786437 QTX786437:QUA786437 RDT786437:RDW786437 RNP786437:RNS786437 RXL786437:RXO786437 SHH786437:SHK786437 SRD786437:SRG786437 TAZ786437:TBC786437 TKV786437:TKY786437 TUR786437:TUU786437 UEN786437:UEQ786437 UOJ786437:UOM786437 UYF786437:UYI786437 VIB786437:VIE786437 VRX786437:VSA786437 WBT786437:WBW786437 WLP786437:WLS786437 WVL786437:WVO786437 D851973:G851973 IZ851973:JC851973 SV851973:SY851973 ACR851973:ACU851973 AMN851973:AMQ851973 AWJ851973:AWM851973 BGF851973:BGI851973 BQB851973:BQE851973 BZX851973:CAA851973 CJT851973:CJW851973 CTP851973:CTS851973 DDL851973:DDO851973 DNH851973:DNK851973 DXD851973:DXG851973 EGZ851973:EHC851973 EQV851973:EQY851973 FAR851973:FAU851973 FKN851973:FKQ851973 FUJ851973:FUM851973 GEF851973:GEI851973 GOB851973:GOE851973 GXX851973:GYA851973 HHT851973:HHW851973 HRP851973:HRS851973 IBL851973:IBO851973 ILH851973:ILK851973 IVD851973:IVG851973 JEZ851973:JFC851973 JOV851973:JOY851973 JYR851973:JYU851973 KIN851973:KIQ851973 KSJ851973:KSM851973 LCF851973:LCI851973 LMB851973:LME851973 LVX851973:LWA851973 MFT851973:MFW851973 MPP851973:MPS851973 MZL851973:MZO851973 NJH851973:NJK851973 NTD851973:NTG851973 OCZ851973:ODC851973 OMV851973:OMY851973 OWR851973:OWU851973 PGN851973:PGQ851973 PQJ851973:PQM851973 QAF851973:QAI851973 QKB851973:QKE851973 QTX851973:QUA851973 RDT851973:RDW851973 RNP851973:RNS851973 RXL851973:RXO851973 SHH851973:SHK851973 SRD851973:SRG851973 TAZ851973:TBC851973 TKV851973:TKY851973 TUR851973:TUU851973 UEN851973:UEQ851973 UOJ851973:UOM851973 UYF851973:UYI851973 VIB851973:VIE851973 VRX851973:VSA851973 WBT851973:WBW851973 WLP851973:WLS851973 WVL851973:WVO851973 D917509:G917509 IZ917509:JC917509 SV917509:SY917509 ACR917509:ACU917509 AMN917509:AMQ917509 AWJ917509:AWM917509 BGF917509:BGI917509 BQB917509:BQE917509 BZX917509:CAA917509 CJT917509:CJW917509 CTP917509:CTS917509 DDL917509:DDO917509 DNH917509:DNK917509 DXD917509:DXG917509 EGZ917509:EHC917509 EQV917509:EQY917509 FAR917509:FAU917509 FKN917509:FKQ917509 FUJ917509:FUM917509 GEF917509:GEI917509 GOB917509:GOE917509 GXX917509:GYA917509 HHT917509:HHW917509 HRP917509:HRS917509 IBL917509:IBO917509 ILH917509:ILK917509 IVD917509:IVG917509 JEZ917509:JFC917509 JOV917509:JOY917509 JYR917509:JYU917509 KIN917509:KIQ917509 KSJ917509:KSM917509 LCF917509:LCI917509 LMB917509:LME917509 LVX917509:LWA917509 MFT917509:MFW917509 MPP917509:MPS917509 MZL917509:MZO917509 NJH917509:NJK917509 NTD917509:NTG917509 OCZ917509:ODC917509 OMV917509:OMY917509 OWR917509:OWU917509 PGN917509:PGQ917509 PQJ917509:PQM917509 QAF917509:QAI917509 QKB917509:QKE917509 QTX917509:QUA917509 RDT917509:RDW917509 RNP917509:RNS917509 RXL917509:RXO917509 SHH917509:SHK917509 SRD917509:SRG917509 TAZ917509:TBC917509 TKV917509:TKY917509 TUR917509:TUU917509 UEN917509:UEQ917509 UOJ917509:UOM917509 UYF917509:UYI917509 VIB917509:VIE917509 VRX917509:VSA917509 WBT917509:WBW917509 WLP917509:WLS917509 WVL917509:WVO917509 D983045:G983045 IZ983045:JC983045 SV983045:SY983045 ACR983045:ACU983045 AMN983045:AMQ983045 AWJ983045:AWM983045 BGF983045:BGI983045 BQB983045:BQE983045 BZX983045:CAA983045 CJT983045:CJW983045 CTP983045:CTS983045 DDL983045:DDO983045 DNH983045:DNK983045 DXD983045:DXG983045 EGZ983045:EHC983045 EQV983045:EQY983045 FAR983045:FAU983045 FKN983045:FKQ983045 FUJ983045:FUM983045 GEF983045:GEI983045 GOB983045:GOE983045 GXX983045:GYA983045 HHT983045:HHW983045 HRP983045:HRS983045 IBL983045:IBO983045 ILH983045:ILK983045 IVD983045:IVG983045 JEZ983045:JFC983045 JOV983045:JOY983045 JYR983045:JYU983045 KIN983045:KIQ983045 KSJ983045:KSM983045 LCF983045:LCI983045 LMB983045:LME983045 LVX983045:LWA983045 MFT983045:MFW983045 MPP983045:MPS983045 MZL983045:MZO983045 NJH983045:NJK983045 NTD983045:NTG983045 OCZ983045:ODC983045 OMV983045:OMY983045 OWR983045:OWU983045 PGN983045:PGQ983045 PQJ983045:PQM983045 QAF983045:QAI983045 QKB983045:QKE983045 QTX983045:QUA983045 RDT983045:RDW983045 RNP983045:RNS983045 RXL983045:RXO983045 SHH983045:SHK983045 SRD983045:SRG983045 TAZ983045:TBC983045 TKV983045:TKY983045 TUR983045:TUU983045 UEN983045:UEQ983045 UOJ983045:UOM983045 UYF983045:UYI983045 VIB983045:VIE983045 VRX983045:VSA983045 WBT983045:WBW983045 WLP983045:WLS983045">
      <formula1>Years</formula1>
    </dataValidation>
    <dataValidation type="list" allowBlank="1" showInputMessage="1" sqref="D3:G3 IZ3:JC3 SV3:SY3 ACR3:ACU3 AMN3:AMQ3 AWJ3:AWM3 BGF3:BGI3 BQB3:BQE3 BZX3:CAA3 CJT3:CJW3 CTP3:CTS3 DDL3:DDO3 DNH3:DNK3 DXD3:DXG3 EGZ3:EHC3 EQV3:EQY3 FAR3:FAU3 FKN3:FKQ3 FUJ3:FUM3 GEF3:GEI3 GOB3:GOE3 GXX3:GYA3 HHT3:HHW3 HRP3:HRS3 IBL3:IBO3 ILH3:ILK3 IVD3:IVG3 JEZ3:JFC3 JOV3:JOY3 JYR3:JYU3 KIN3:KIQ3 KSJ3:KSM3 LCF3:LCI3 LMB3:LME3 LVX3:LWA3 MFT3:MFW3 MPP3:MPS3 MZL3:MZO3 NJH3:NJK3 NTD3:NTG3 OCZ3:ODC3 OMV3:OMY3 OWR3:OWU3 PGN3:PGQ3 PQJ3:PQM3 QAF3:QAI3 QKB3:QKE3 QTX3:QUA3 RDT3:RDW3 RNP3:RNS3 RXL3:RXO3 SHH3:SHK3 SRD3:SRG3 TAZ3:TBC3 TKV3:TKY3 TUR3:TUU3 UEN3:UEQ3 UOJ3:UOM3 UYF3:UYI3 VIB3:VIE3 VRX3:VSA3 WBT3:WBW3 WLP3:WLS3 WVL3:WVO3 D65539:G65539 IZ65539:JC65539 SV65539:SY65539 ACR65539:ACU65539 AMN65539:AMQ65539 AWJ65539:AWM65539 BGF65539:BGI65539 BQB65539:BQE65539 BZX65539:CAA65539 CJT65539:CJW65539 CTP65539:CTS65539 DDL65539:DDO65539 DNH65539:DNK65539 DXD65539:DXG65539 EGZ65539:EHC65539 EQV65539:EQY65539 FAR65539:FAU65539 FKN65539:FKQ65539 FUJ65539:FUM65539 GEF65539:GEI65539 GOB65539:GOE65539 GXX65539:GYA65539 HHT65539:HHW65539 HRP65539:HRS65539 IBL65539:IBO65539 ILH65539:ILK65539 IVD65539:IVG65539 JEZ65539:JFC65539 JOV65539:JOY65539 JYR65539:JYU65539 KIN65539:KIQ65539 KSJ65539:KSM65539 LCF65539:LCI65539 LMB65539:LME65539 LVX65539:LWA65539 MFT65539:MFW65539 MPP65539:MPS65539 MZL65539:MZO65539 NJH65539:NJK65539 NTD65539:NTG65539 OCZ65539:ODC65539 OMV65539:OMY65539 OWR65539:OWU65539 PGN65539:PGQ65539 PQJ65539:PQM65539 QAF65539:QAI65539 QKB65539:QKE65539 QTX65539:QUA65539 RDT65539:RDW65539 RNP65539:RNS65539 RXL65539:RXO65539 SHH65539:SHK65539 SRD65539:SRG65539 TAZ65539:TBC65539 TKV65539:TKY65539 TUR65539:TUU65539 UEN65539:UEQ65539 UOJ65539:UOM65539 UYF65539:UYI65539 VIB65539:VIE65539 VRX65539:VSA65539 WBT65539:WBW65539 WLP65539:WLS65539 WVL65539:WVO65539 D131075:G131075 IZ131075:JC131075 SV131075:SY131075 ACR131075:ACU131075 AMN131075:AMQ131075 AWJ131075:AWM131075 BGF131075:BGI131075 BQB131075:BQE131075 BZX131075:CAA131075 CJT131075:CJW131075 CTP131075:CTS131075 DDL131075:DDO131075 DNH131075:DNK131075 DXD131075:DXG131075 EGZ131075:EHC131075 EQV131075:EQY131075 FAR131075:FAU131075 FKN131075:FKQ131075 FUJ131075:FUM131075 GEF131075:GEI131075 GOB131075:GOE131075 GXX131075:GYA131075 HHT131075:HHW131075 HRP131075:HRS131075 IBL131075:IBO131075 ILH131075:ILK131075 IVD131075:IVG131075 JEZ131075:JFC131075 JOV131075:JOY131075 JYR131075:JYU131075 KIN131075:KIQ131075 KSJ131075:KSM131075 LCF131075:LCI131075 LMB131075:LME131075 LVX131075:LWA131075 MFT131075:MFW131075 MPP131075:MPS131075 MZL131075:MZO131075 NJH131075:NJK131075 NTD131075:NTG131075 OCZ131075:ODC131075 OMV131075:OMY131075 OWR131075:OWU131075 PGN131075:PGQ131075 PQJ131075:PQM131075 QAF131075:QAI131075 QKB131075:QKE131075 QTX131075:QUA131075 RDT131075:RDW131075 RNP131075:RNS131075 RXL131075:RXO131075 SHH131075:SHK131075 SRD131075:SRG131075 TAZ131075:TBC131075 TKV131075:TKY131075 TUR131075:TUU131075 UEN131075:UEQ131075 UOJ131075:UOM131075 UYF131075:UYI131075 VIB131075:VIE131075 VRX131075:VSA131075 WBT131075:WBW131075 WLP131075:WLS131075 WVL131075:WVO131075 D196611:G196611 IZ196611:JC196611 SV196611:SY196611 ACR196611:ACU196611 AMN196611:AMQ196611 AWJ196611:AWM196611 BGF196611:BGI196611 BQB196611:BQE196611 BZX196611:CAA196611 CJT196611:CJW196611 CTP196611:CTS196611 DDL196611:DDO196611 DNH196611:DNK196611 DXD196611:DXG196611 EGZ196611:EHC196611 EQV196611:EQY196611 FAR196611:FAU196611 FKN196611:FKQ196611 FUJ196611:FUM196611 GEF196611:GEI196611 GOB196611:GOE196611 GXX196611:GYA196611 HHT196611:HHW196611 HRP196611:HRS196611 IBL196611:IBO196611 ILH196611:ILK196611 IVD196611:IVG196611 JEZ196611:JFC196611 JOV196611:JOY196611 JYR196611:JYU196611 KIN196611:KIQ196611 KSJ196611:KSM196611 LCF196611:LCI196611 LMB196611:LME196611 LVX196611:LWA196611 MFT196611:MFW196611 MPP196611:MPS196611 MZL196611:MZO196611 NJH196611:NJK196611 NTD196611:NTG196611 OCZ196611:ODC196611 OMV196611:OMY196611 OWR196611:OWU196611 PGN196611:PGQ196611 PQJ196611:PQM196611 QAF196611:QAI196611 QKB196611:QKE196611 QTX196611:QUA196611 RDT196611:RDW196611 RNP196611:RNS196611 RXL196611:RXO196611 SHH196611:SHK196611 SRD196611:SRG196611 TAZ196611:TBC196611 TKV196611:TKY196611 TUR196611:TUU196611 UEN196611:UEQ196611 UOJ196611:UOM196611 UYF196611:UYI196611 VIB196611:VIE196611 VRX196611:VSA196611 WBT196611:WBW196611 WLP196611:WLS196611 WVL196611:WVO196611 D262147:G262147 IZ262147:JC262147 SV262147:SY262147 ACR262147:ACU262147 AMN262147:AMQ262147 AWJ262147:AWM262147 BGF262147:BGI262147 BQB262147:BQE262147 BZX262147:CAA262147 CJT262147:CJW262147 CTP262147:CTS262147 DDL262147:DDO262147 DNH262147:DNK262147 DXD262147:DXG262147 EGZ262147:EHC262147 EQV262147:EQY262147 FAR262147:FAU262147 FKN262147:FKQ262147 FUJ262147:FUM262147 GEF262147:GEI262147 GOB262147:GOE262147 GXX262147:GYA262147 HHT262147:HHW262147 HRP262147:HRS262147 IBL262147:IBO262147 ILH262147:ILK262147 IVD262147:IVG262147 JEZ262147:JFC262147 JOV262147:JOY262147 JYR262147:JYU262147 KIN262147:KIQ262147 KSJ262147:KSM262147 LCF262147:LCI262147 LMB262147:LME262147 LVX262147:LWA262147 MFT262147:MFW262147 MPP262147:MPS262147 MZL262147:MZO262147 NJH262147:NJK262147 NTD262147:NTG262147 OCZ262147:ODC262147 OMV262147:OMY262147 OWR262147:OWU262147 PGN262147:PGQ262147 PQJ262147:PQM262147 QAF262147:QAI262147 QKB262147:QKE262147 QTX262147:QUA262147 RDT262147:RDW262147 RNP262147:RNS262147 RXL262147:RXO262147 SHH262147:SHK262147 SRD262147:SRG262147 TAZ262147:TBC262147 TKV262147:TKY262147 TUR262147:TUU262147 UEN262147:UEQ262147 UOJ262147:UOM262147 UYF262147:UYI262147 VIB262147:VIE262147 VRX262147:VSA262147 WBT262147:WBW262147 WLP262147:WLS262147 WVL262147:WVO262147 D327683:G327683 IZ327683:JC327683 SV327683:SY327683 ACR327683:ACU327683 AMN327683:AMQ327683 AWJ327683:AWM327683 BGF327683:BGI327683 BQB327683:BQE327683 BZX327683:CAA327683 CJT327683:CJW327683 CTP327683:CTS327683 DDL327683:DDO327683 DNH327683:DNK327683 DXD327683:DXG327683 EGZ327683:EHC327683 EQV327683:EQY327683 FAR327683:FAU327683 FKN327683:FKQ327683 FUJ327683:FUM327683 GEF327683:GEI327683 GOB327683:GOE327683 GXX327683:GYA327683 HHT327683:HHW327683 HRP327683:HRS327683 IBL327683:IBO327683 ILH327683:ILK327683 IVD327683:IVG327683 JEZ327683:JFC327683 JOV327683:JOY327683 JYR327683:JYU327683 KIN327683:KIQ327683 KSJ327683:KSM327683 LCF327683:LCI327683 LMB327683:LME327683 LVX327683:LWA327683 MFT327683:MFW327683 MPP327683:MPS327683 MZL327683:MZO327683 NJH327683:NJK327683 NTD327683:NTG327683 OCZ327683:ODC327683 OMV327683:OMY327683 OWR327683:OWU327683 PGN327683:PGQ327683 PQJ327683:PQM327683 QAF327683:QAI327683 QKB327683:QKE327683 QTX327683:QUA327683 RDT327683:RDW327683 RNP327683:RNS327683 RXL327683:RXO327683 SHH327683:SHK327683 SRD327683:SRG327683 TAZ327683:TBC327683 TKV327683:TKY327683 TUR327683:TUU327683 UEN327683:UEQ327683 UOJ327683:UOM327683 UYF327683:UYI327683 VIB327683:VIE327683 VRX327683:VSA327683 WBT327683:WBW327683 WLP327683:WLS327683 WVL327683:WVO327683 D393219:G393219 IZ393219:JC393219 SV393219:SY393219 ACR393219:ACU393219 AMN393219:AMQ393219 AWJ393219:AWM393219 BGF393219:BGI393219 BQB393219:BQE393219 BZX393219:CAA393219 CJT393219:CJW393219 CTP393219:CTS393219 DDL393219:DDO393219 DNH393219:DNK393219 DXD393219:DXG393219 EGZ393219:EHC393219 EQV393219:EQY393219 FAR393219:FAU393219 FKN393219:FKQ393219 FUJ393219:FUM393219 GEF393219:GEI393219 GOB393219:GOE393219 GXX393219:GYA393219 HHT393219:HHW393219 HRP393219:HRS393219 IBL393219:IBO393219 ILH393219:ILK393219 IVD393219:IVG393219 JEZ393219:JFC393219 JOV393219:JOY393219 JYR393219:JYU393219 KIN393219:KIQ393219 KSJ393219:KSM393219 LCF393219:LCI393219 LMB393219:LME393219 LVX393219:LWA393219 MFT393219:MFW393219 MPP393219:MPS393219 MZL393219:MZO393219 NJH393219:NJK393219 NTD393219:NTG393219 OCZ393219:ODC393219 OMV393219:OMY393219 OWR393219:OWU393219 PGN393219:PGQ393219 PQJ393219:PQM393219 QAF393219:QAI393219 QKB393219:QKE393219 QTX393219:QUA393219 RDT393219:RDW393219 RNP393219:RNS393219 RXL393219:RXO393219 SHH393219:SHK393219 SRD393219:SRG393219 TAZ393219:TBC393219 TKV393219:TKY393219 TUR393219:TUU393219 UEN393219:UEQ393219 UOJ393219:UOM393219 UYF393219:UYI393219 VIB393219:VIE393219 VRX393219:VSA393219 WBT393219:WBW393219 WLP393219:WLS393219 WVL393219:WVO393219 D458755:G458755 IZ458755:JC458755 SV458755:SY458755 ACR458755:ACU458755 AMN458755:AMQ458755 AWJ458755:AWM458755 BGF458755:BGI458755 BQB458755:BQE458755 BZX458755:CAA458755 CJT458755:CJW458755 CTP458755:CTS458755 DDL458755:DDO458755 DNH458755:DNK458755 DXD458755:DXG458755 EGZ458755:EHC458755 EQV458755:EQY458755 FAR458755:FAU458755 FKN458755:FKQ458755 FUJ458755:FUM458755 GEF458755:GEI458755 GOB458755:GOE458755 GXX458755:GYA458755 HHT458755:HHW458755 HRP458755:HRS458755 IBL458755:IBO458755 ILH458755:ILK458755 IVD458755:IVG458755 JEZ458755:JFC458755 JOV458755:JOY458755 JYR458755:JYU458755 KIN458755:KIQ458755 KSJ458755:KSM458755 LCF458755:LCI458755 LMB458755:LME458755 LVX458755:LWA458755 MFT458755:MFW458755 MPP458755:MPS458755 MZL458755:MZO458755 NJH458755:NJK458755 NTD458755:NTG458755 OCZ458755:ODC458755 OMV458755:OMY458755 OWR458755:OWU458755 PGN458755:PGQ458755 PQJ458755:PQM458755 QAF458755:QAI458755 QKB458755:QKE458755 QTX458755:QUA458755 RDT458755:RDW458755 RNP458755:RNS458755 RXL458755:RXO458755 SHH458755:SHK458755 SRD458755:SRG458755 TAZ458755:TBC458755 TKV458755:TKY458755 TUR458755:TUU458755 UEN458755:UEQ458755 UOJ458755:UOM458755 UYF458755:UYI458755 VIB458755:VIE458755 VRX458755:VSA458755 WBT458755:WBW458755 WLP458755:WLS458755 WVL458755:WVO458755 D524291:G524291 IZ524291:JC524291 SV524291:SY524291 ACR524291:ACU524291 AMN524291:AMQ524291 AWJ524291:AWM524291 BGF524291:BGI524291 BQB524291:BQE524291 BZX524291:CAA524291 CJT524291:CJW524291 CTP524291:CTS524291 DDL524291:DDO524291 DNH524291:DNK524291 DXD524291:DXG524291 EGZ524291:EHC524291 EQV524291:EQY524291 FAR524291:FAU524291 FKN524291:FKQ524291 FUJ524291:FUM524291 GEF524291:GEI524291 GOB524291:GOE524291 GXX524291:GYA524291 HHT524291:HHW524291 HRP524291:HRS524291 IBL524291:IBO524291 ILH524291:ILK524291 IVD524291:IVG524291 JEZ524291:JFC524291 JOV524291:JOY524291 JYR524291:JYU524291 KIN524291:KIQ524291 KSJ524291:KSM524291 LCF524291:LCI524291 LMB524291:LME524291 LVX524291:LWA524291 MFT524291:MFW524291 MPP524291:MPS524291 MZL524291:MZO524291 NJH524291:NJK524291 NTD524291:NTG524291 OCZ524291:ODC524291 OMV524291:OMY524291 OWR524291:OWU524291 PGN524291:PGQ524291 PQJ524291:PQM524291 QAF524291:QAI524291 QKB524291:QKE524291 QTX524291:QUA524291 RDT524291:RDW524291 RNP524291:RNS524291 RXL524291:RXO524291 SHH524291:SHK524291 SRD524291:SRG524291 TAZ524291:TBC524291 TKV524291:TKY524291 TUR524291:TUU524291 UEN524291:UEQ524291 UOJ524291:UOM524291 UYF524291:UYI524291 VIB524291:VIE524291 VRX524291:VSA524291 WBT524291:WBW524291 WLP524291:WLS524291 WVL524291:WVO524291 D589827:G589827 IZ589827:JC589827 SV589827:SY589827 ACR589827:ACU589827 AMN589827:AMQ589827 AWJ589827:AWM589827 BGF589827:BGI589827 BQB589827:BQE589827 BZX589827:CAA589827 CJT589827:CJW589827 CTP589827:CTS589827 DDL589827:DDO589827 DNH589827:DNK589827 DXD589827:DXG589827 EGZ589827:EHC589827 EQV589827:EQY589827 FAR589827:FAU589827 FKN589827:FKQ589827 FUJ589827:FUM589827 GEF589827:GEI589827 GOB589827:GOE589827 GXX589827:GYA589827 HHT589827:HHW589827 HRP589827:HRS589827 IBL589827:IBO589827 ILH589827:ILK589827 IVD589827:IVG589827 JEZ589827:JFC589827 JOV589827:JOY589827 JYR589827:JYU589827 KIN589827:KIQ589827 KSJ589827:KSM589827 LCF589827:LCI589827 LMB589827:LME589827 LVX589827:LWA589827 MFT589827:MFW589827 MPP589827:MPS589827 MZL589827:MZO589827 NJH589827:NJK589827 NTD589827:NTG589827 OCZ589827:ODC589827 OMV589827:OMY589827 OWR589827:OWU589827 PGN589827:PGQ589827 PQJ589827:PQM589827 QAF589827:QAI589827 QKB589827:QKE589827 QTX589827:QUA589827 RDT589827:RDW589827 RNP589827:RNS589827 RXL589827:RXO589827 SHH589827:SHK589827 SRD589827:SRG589827 TAZ589827:TBC589827 TKV589827:TKY589827 TUR589827:TUU589827 UEN589827:UEQ589827 UOJ589827:UOM589827 UYF589827:UYI589827 VIB589827:VIE589827 VRX589827:VSA589827 WBT589827:WBW589827 WLP589827:WLS589827 WVL589827:WVO589827 D655363:G655363 IZ655363:JC655363 SV655363:SY655363 ACR655363:ACU655363 AMN655363:AMQ655363 AWJ655363:AWM655363 BGF655363:BGI655363 BQB655363:BQE655363 BZX655363:CAA655363 CJT655363:CJW655363 CTP655363:CTS655363 DDL655363:DDO655363 DNH655363:DNK655363 DXD655363:DXG655363 EGZ655363:EHC655363 EQV655363:EQY655363 FAR655363:FAU655363 FKN655363:FKQ655363 FUJ655363:FUM655363 GEF655363:GEI655363 GOB655363:GOE655363 GXX655363:GYA655363 HHT655363:HHW655363 HRP655363:HRS655363 IBL655363:IBO655363 ILH655363:ILK655363 IVD655363:IVG655363 JEZ655363:JFC655363 JOV655363:JOY655363 JYR655363:JYU655363 KIN655363:KIQ655363 KSJ655363:KSM655363 LCF655363:LCI655363 LMB655363:LME655363 LVX655363:LWA655363 MFT655363:MFW655363 MPP655363:MPS655363 MZL655363:MZO655363 NJH655363:NJK655363 NTD655363:NTG655363 OCZ655363:ODC655363 OMV655363:OMY655363 OWR655363:OWU655363 PGN655363:PGQ655363 PQJ655363:PQM655363 QAF655363:QAI655363 QKB655363:QKE655363 QTX655363:QUA655363 RDT655363:RDW655363 RNP655363:RNS655363 RXL655363:RXO655363 SHH655363:SHK655363 SRD655363:SRG655363 TAZ655363:TBC655363 TKV655363:TKY655363 TUR655363:TUU655363 UEN655363:UEQ655363 UOJ655363:UOM655363 UYF655363:UYI655363 VIB655363:VIE655363 VRX655363:VSA655363 WBT655363:WBW655363 WLP655363:WLS655363 WVL655363:WVO655363 D720899:G720899 IZ720899:JC720899 SV720899:SY720899 ACR720899:ACU720899 AMN720899:AMQ720899 AWJ720899:AWM720899 BGF720899:BGI720899 BQB720899:BQE720899 BZX720899:CAA720899 CJT720899:CJW720899 CTP720899:CTS720899 DDL720899:DDO720899 DNH720899:DNK720899 DXD720899:DXG720899 EGZ720899:EHC720899 EQV720899:EQY720899 FAR720899:FAU720899 FKN720899:FKQ720899 FUJ720899:FUM720899 GEF720899:GEI720899 GOB720899:GOE720899 GXX720899:GYA720899 HHT720899:HHW720899 HRP720899:HRS720899 IBL720899:IBO720899 ILH720899:ILK720899 IVD720899:IVG720899 JEZ720899:JFC720899 JOV720899:JOY720899 JYR720899:JYU720899 KIN720899:KIQ720899 KSJ720899:KSM720899 LCF720899:LCI720899 LMB720899:LME720899 LVX720899:LWA720899 MFT720899:MFW720899 MPP720899:MPS720899 MZL720899:MZO720899 NJH720899:NJK720899 NTD720899:NTG720899 OCZ720899:ODC720899 OMV720899:OMY720899 OWR720899:OWU720899 PGN720899:PGQ720899 PQJ720899:PQM720899 QAF720899:QAI720899 QKB720899:QKE720899 QTX720899:QUA720899 RDT720899:RDW720899 RNP720899:RNS720899 RXL720899:RXO720899 SHH720899:SHK720899 SRD720899:SRG720899 TAZ720899:TBC720899 TKV720899:TKY720899 TUR720899:TUU720899 UEN720899:UEQ720899 UOJ720899:UOM720899 UYF720899:UYI720899 VIB720899:VIE720899 VRX720899:VSA720899 WBT720899:WBW720899 WLP720899:WLS720899 WVL720899:WVO720899 D786435:G786435 IZ786435:JC786435 SV786435:SY786435 ACR786435:ACU786435 AMN786435:AMQ786435 AWJ786435:AWM786435 BGF786435:BGI786435 BQB786435:BQE786435 BZX786435:CAA786435 CJT786435:CJW786435 CTP786435:CTS786435 DDL786435:DDO786435 DNH786435:DNK786435 DXD786435:DXG786435 EGZ786435:EHC786435 EQV786435:EQY786435 FAR786435:FAU786435 FKN786435:FKQ786435 FUJ786435:FUM786435 GEF786435:GEI786435 GOB786435:GOE786435 GXX786435:GYA786435 HHT786435:HHW786435 HRP786435:HRS786435 IBL786435:IBO786435 ILH786435:ILK786435 IVD786435:IVG786435 JEZ786435:JFC786435 JOV786435:JOY786435 JYR786435:JYU786435 KIN786435:KIQ786435 KSJ786435:KSM786435 LCF786435:LCI786435 LMB786435:LME786435 LVX786435:LWA786435 MFT786435:MFW786435 MPP786435:MPS786435 MZL786435:MZO786435 NJH786435:NJK786435 NTD786435:NTG786435 OCZ786435:ODC786435 OMV786435:OMY786435 OWR786435:OWU786435 PGN786435:PGQ786435 PQJ786435:PQM786435 QAF786435:QAI786435 QKB786435:QKE786435 QTX786435:QUA786435 RDT786435:RDW786435 RNP786435:RNS786435 RXL786435:RXO786435 SHH786435:SHK786435 SRD786435:SRG786435 TAZ786435:TBC786435 TKV786435:TKY786435 TUR786435:TUU786435 UEN786435:UEQ786435 UOJ786435:UOM786435 UYF786435:UYI786435 VIB786435:VIE786435 VRX786435:VSA786435 WBT786435:WBW786435 WLP786435:WLS786435 WVL786435:WVO786435 D851971:G851971 IZ851971:JC851971 SV851971:SY851971 ACR851971:ACU851971 AMN851971:AMQ851971 AWJ851971:AWM851971 BGF851971:BGI851971 BQB851971:BQE851971 BZX851971:CAA851971 CJT851971:CJW851971 CTP851971:CTS851971 DDL851971:DDO851971 DNH851971:DNK851971 DXD851971:DXG851971 EGZ851971:EHC851971 EQV851971:EQY851971 FAR851971:FAU851971 FKN851971:FKQ851971 FUJ851971:FUM851971 GEF851971:GEI851971 GOB851971:GOE851971 GXX851971:GYA851971 HHT851971:HHW851971 HRP851971:HRS851971 IBL851971:IBO851971 ILH851971:ILK851971 IVD851971:IVG851971 JEZ851971:JFC851971 JOV851971:JOY851971 JYR851971:JYU851971 KIN851971:KIQ851971 KSJ851971:KSM851971 LCF851971:LCI851971 LMB851971:LME851971 LVX851971:LWA851971 MFT851971:MFW851971 MPP851971:MPS851971 MZL851971:MZO851971 NJH851971:NJK851971 NTD851971:NTG851971 OCZ851971:ODC851971 OMV851971:OMY851971 OWR851971:OWU851971 PGN851971:PGQ851971 PQJ851971:PQM851971 QAF851971:QAI851971 QKB851971:QKE851971 QTX851971:QUA851971 RDT851971:RDW851971 RNP851971:RNS851971 RXL851971:RXO851971 SHH851971:SHK851971 SRD851971:SRG851971 TAZ851971:TBC851971 TKV851971:TKY851971 TUR851971:TUU851971 UEN851971:UEQ851971 UOJ851971:UOM851971 UYF851971:UYI851971 VIB851971:VIE851971 VRX851971:VSA851971 WBT851971:WBW851971 WLP851971:WLS851971 WVL851971:WVO851971 D917507:G917507 IZ917507:JC917507 SV917507:SY917507 ACR917507:ACU917507 AMN917507:AMQ917507 AWJ917507:AWM917507 BGF917507:BGI917507 BQB917507:BQE917507 BZX917507:CAA917507 CJT917507:CJW917507 CTP917507:CTS917507 DDL917507:DDO917507 DNH917507:DNK917507 DXD917507:DXG917507 EGZ917507:EHC917507 EQV917507:EQY917507 FAR917507:FAU917507 FKN917507:FKQ917507 FUJ917507:FUM917507 GEF917507:GEI917507 GOB917507:GOE917507 GXX917507:GYA917507 HHT917507:HHW917507 HRP917507:HRS917507 IBL917507:IBO917507 ILH917507:ILK917507 IVD917507:IVG917507 JEZ917507:JFC917507 JOV917507:JOY917507 JYR917507:JYU917507 KIN917507:KIQ917507 KSJ917507:KSM917507 LCF917507:LCI917507 LMB917507:LME917507 LVX917507:LWA917507 MFT917507:MFW917507 MPP917507:MPS917507 MZL917507:MZO917507 NJH917507:NJK917507 NTD917507:NTG917507 OCZ917507:ODC917507 OMV917507:OMY917507 OWR917507:OWU917507 PGN917507:PGQ917507 PQJ917507:PQM917507 QAF917507:QAI917507 QKB917507:QKE917507 QTX917507:QUA917507 RDT917507:RDW917507 RNP917507:RNS917507 RXL917507:RXO917507 SHH917507:SHK917507 SRD917507:SRG917507 TAZ917507:TBC917507 TKV917507:TKY917507 TUR917507:TUU917507 UEN917507:UEQ917507 UOJ917507:UOM917507 UYF917507:UYI917507 VIB917507:VIE917507 VRX917507:VSA917507 WBT917507:WBW917507 WLP917507:WLS917507 WVL917507:WVO917507 D983043:G983043 IZ983043:JC983043 SV983043:SY983043 ACR983043:ACU983043 AMN983043:AMQ983043 AWJ983043:AWM983043 BGF983043:BGI983043 BQB983043:BQE983043 BZX983043:CAA983043 CJT983043:CJW983043 CTP983043:CTS983043 DDL983043:DDO983043 DNH983043:DNK983043 DXD983043:DXG983043 EGZ983043:EHC983043 EQV983043:EQY983043 FAR983043:FAU983043 FKN983043:FKQ983043 FUJ983043:FUM983043 GEF983043:GEI983043 GOB983043:GOE983043 GXX983043:GYA983043 HHT983043:HHW983043 HRP983043:HRS983043 IBL983043:IBO983043 ILH983043:ILK983043 IVD983043:IVG983043 JEZ983043:JFC983043 JOV983043:JOY983043 JYR983043:JYU983043 KIN983043:KIQ983043 KSJ983043:KSM983043 LCF983043:LCI983043 LMB983043:LME983043 LVX983043:LWA983043 MFT983043:MFW983043 MPP983043:MPS983043 MZL983043:MZO983043 NJH983043:NJK983043 NTD983043:NTG983043 OCZ983043:ODC983043 OMV983043:OMY983043 OWR983043:OWU983043 PGN983043:PGQ983043 PQJ983043:PQM983043 QAF983043:QAI983043 QKB983043:QKE983043 QTX983043:QUA983043 RDT983043:RDW983043 RNP983043:RNS983043 RXL983043:RXO983043 SHH983043:SHK983043 SRD983043:SRG983043 TAZ983043:TBC983043 TKV983043:TKY983043 TUR983043:TUU983043 UEN983043:UEQ983043 UOJ983043:UOM983043 UYF983043:UYI983043 VIB983043:VIE983043 VRX983043:VSA983043 WBT983043:WBW983043 WLP983043:WLS983043 WVL983043:WVO983043">
      <formula1>Country_Applicant</formula1>
    </dataValidation>
    <dataValidation type="list" allowBlank="1" showInputMessage="1" showErrorMessage="1" sqref="WVL983046:WVO983046 IZ6:JC6 SV6:SY6 ACR6:ACU6 AMN6:AMQ6 AWJ6:AWM6 BGF6:BGI6 BQB6:BQE6 BZX6:CAA6 CJT6:CJW6 CTP6:CTS6 DDL6:DDO6 DNH6:DNK6 DXD6:DXG6 EGZ6:EHC6 EQV6:EQY6 FAR6:FAU6 FKN6:FKQ6 FUJ6:FUM6 GEF6:GEI6 GOB6:GOE6 GXX6:GYA6 HHT6:HHW6 HRP6:HRS6 IBL6:IBO6 ILH6:ILK6 IVD6:IVG6 JEZ6:JFC6 JOV6:JOY6 JYR6:JYU6 KIN6:KIQ6 KSJ6:KSM6 LCF6:LCI6 LMB6:LME6 LVX6:LWA6 MFT6:MFW6 MPP6:MPS6 MZL6:MZO6 NJH6:NJK6 NTD6:NTG6 OCZ6:ODC6 OMV6:OMY6 OWR6:OWU6 PGN6:PGQ6 PQJ6:PQM6 QAF6:QAI6 QKB6:QKE6 QTX6:QUA6 RDT6:RDW6 RNP6:RNS6 RXL6:RXO6 SHH6:SHK6 SRD6:SRG6 TAZ6:TBC6 TKV6:TKY6 TUR6:TUU6 UEN6:UEQ6 UOJ6:UOM6 UYF6:UYI6 VIB6:VIE6 VRX6:VSA6 WBT6:WBW6 WLP6:WLS6 WVL6:WVO6 D65542:G65542 IZ65542:JC65542 SV65542:SY65542 ACR65542:ACU65542 AMN65542:AMQ65542 AWJ65542:AWM65542 BGF65542:BGI65542 BQB65542:BQE65542 BZX65542:CAA65542 CJT65542:CJW65542 CTP65542:CTS65542 DDL65542:DDO65542 DNH65542:DNK65542 DXD65542:DXG65542 EGZ65542:EHC65542 EQV65542:EQY65542 FAR65542:FAU65542 FKN65542:FKQ65542 FUJ65542:FUM65542 GEF65542:GEI65542 GOB65542:GOE65542 GXX65542:GYA65542 HHT65542:HHW65542 HRP65542:HRS65542 IBL65542:IBO65542 ILH65542:ILK65542 IVD65542:IVG65542 JEZ65542:JFC65542 JOV65542:JOY65542 JYR65542:JYU65542 KIN65542:KIQ65542 KSJ65542:KSM65542 LCF65542:LCI65542 LMB65542:LME65542 LVX65542:LWA65542 MFT65542:MFW65542 MPP65542:MPS65542 MZL65542:MZO65542 NJH65542:NJK65542 NTD65542:NTG65542 OCZ65542:ODC65542 OMV65542:OMY65542 OWR65542:OWU65542 PGN65542:PGQ65542 PQJ65542:PQM65542 QAF65542:QAI65542 QKB65542:QKE65542 QTX65542:QUA65542 RDT65542:RDW65542 RNP65542:RNS65542 RXL65542:RXO65542 SHH65542:SHK65542 SRD65542:SRG65542 TAZ65542:TBC65542 TKV65542:TKY65542 TUR65542:TUU65542 UEN65542:UEQ65542 UOJ65542:UOM65542 UYF65542:UYI65542 VIB65542:VIE65542 VRX65542:VSA65542 WBT65542:WBW65542 WLP65542:WLS65542 WVL65542:WVO65542 D131078:G131078 IZ131078:JC131078 SV131078:SY131078 ACR131078:ACU131078 AMN131078:AMQ131078 AWJ131078:AWM131078 BGF131078:BGI131078 BQB131078:BQE131078 BZX131078:CAA131078 CJT131078:CJW131078 CTP131078:CTS131078 DDL131078:DDO131078 DNH131078:DNK131078 DXD131078:DXG131078 EGZ131078:EHC131078 EQV131078:EQY131078 FAR131078:FAU131078 FKN131078:FKQ131078 FUJ131078:FUM131078 GEF131078:GEI131078 GOB131078:GOE131078 GXX131078:GYA131078 HHT131078:HHW131078 HRP131078:HRS131078 IBL131078:IBO131078 ILH131078:ILK131078 IVD131078:IVG131078 JEZ131078:JFC131078 JOV131078:JOY131078 JYR131078:JYU131078 KIN131078:KIQ131078 KSJ131078:KSM131078 LCF131078:LCI131078 LMB131078:LME131078 LVX131078:LWA131078 MFT131078:MFW131078 MPP131078:MPS131078 MZL131078:MZO131078 NJH131078:NJK131078 NTD131078:NTG131078 OCZ131078:ODC131078 OMV131078:OMY131078 OWR131078:OWU131078 PGN131078:PGQ131078 PQJ131078:PQM131078 QAF131078:QAI131078 QKB131078:QKE131078 QTX131078:QUA131078 RDT131078:RDW131078 RNP131078:RNS131078 RXL131078:RXO131078 SHH131078:SHK131078 SRD131078:SRG131078 TAZ131078:TBC131078 TKV131078:TKY131078 TUR131078:TUU131078 UEN131078:UEQ131078 UOJ131078:UOM131078 UYF131078:UYI131078 VIB131078:VIE131078 VRX131078:VSA131078 WBT131078:WBW131078 WLP131078:WLS131078 WVL131078:WVO131078 D196614:G196614 IZ196614:JC196614 SV196614:SY196614 ACR196614:ACU196614 AMN196614:AMQ196614 AWJ196614:AWM196614 BGF196614:BGI196614 BQB196614:BQE196614 BZX196614:CAA196614 CJT196614:CJW196614 CTP196614:CTS196614 DDL196614:DDO196614 DNH196614:DNK196614 DXD196614:DXG196614 EGZ196614:EHC196614 EQV196614:EQY196614 FAR196614:FAU196614 FKN196614:FKQ196614 FUJ196614:FUM196614 GEF196614:GEI196614 GOB196614:GOE196614 GXX196614:GYA196614 HHT196614:HHW196614 HRP196614:HRS196614 IBL196614:IBO196614 ILH196614:ILK196614 IVD196614:IVG196614 JEZ196614:JFC196614 JOV196614:JOY196614 JYR196614:JYU196614 KIN196614:KIQ196614 KSJ196614:KSM196614 LCF196614:LCI196614 LMB196614:LME196614 LVX196614:LWA196614 MFT196614:MFW196614 MPP196614:MPS196614 MZL196614:MZO196614 NJH196614:NJK196614 NTD196614:NTG196614 OCZ196614:ODC196614 OMV196614:OMY196614 OWR196614:OWU196614 PGN196614:PGQ196614 PQJ196614:PQM196614 QAF196614:QAI196614 QKB196614:QKE196614 QTX196614:QUA196614 RDT196614:RDW196614 RNP196614:RNS196614 RXL196614:RXO196614 SHH196614:SHK196614 SRD196614:SRG196614 TAZ196614:TBC196614 TKV196614:TKY196614 TUR196614:TUU196614 UEN196614:UEQ196614 UOJ196614:UOM196614 UYF196614:UYI196614 VIB196614:VIE196614 VRX196614:VSA196614 WBT196614:WBW196614 WLP196614:WLS196614 WVL196614:WVO196614 D262150:G262150 IZ262150:JC262150 SV262150:SY262150 ACR262150:ACU262150 AMN262150:AMQ262150 AWJ262150:AWM262150 BGF262150:BGI262150 BQB262150:BQE262150 BZX262150:CAA262150 CJT262150:CJW262150 CTP262150:CTS262150 DDL262150:DDO262150 DNH262150:DNK262150 DXD262150:DXG262150 EGZ262150:EHC262150 EQV262150:EQY262150 FAR262150:FAU262150 FKN262150:FKQ262150 FUJ262150:FUM262150 GEF262150:GEI262150 GOB262150:GOE262150 GXX262150:GYA262150 HHT262150:HHW262150 HRP262150:HRS262150 IBL262150:IBO262150 ILH262150:ILK262150 IVD262150:IVG262150 JEZ262150:JFC262150 JOV262150:JOY262150 JYR262150:JYU262150 KIN262150:KIQ262150 KSJ262150:KSM262150 LCF262150:LCI262150 LMB262150:LME262150 LVX262150:LWA262150 MFT262150:MFW262150 MPP262150:MPS262150 MZL262150:MZO262150 NJH262150:NJK262150 NTD262150:NTG262150 OCZ262150:ODC262150 OMV262150:OMY262150 OWR262150:OWU262150 PGN262150:PGQ262150 PQJ262150:PQM262150 QAF262150:QAI262150 QKB262150:QKE262150 QTX262150:QUA262150 RDT262150:RDW262150 RNP262150:RNS262150 RXL262150:RXO262150 SHH262150:SHK262150 SRD262150:SRG262150 TAZ262150:TBC262150 TKV262150:TKY262150 TUR262150:TUU262150 UEN262150:UEQ262150 UOJ262150:UOM262150 UYF262150:UYI262150 VIB262150:VIE262150 VRX262150:VSA262150 WBT262150:WBW262150 WLP262150:WLS262150 WVL262150:WVO262150 D327686:G327686 IZ327686:JC327686 SV327686:SY327686 ACR327686:ACU327686 AMN327686:AMQ327686 AWJ327686:AWM327686 BGF327686:BGI327686 BQB327686:BQE327686 BZX327686:CAA327686 CJT327686:CJW327686 CTP327686:CTS327686 DDL327686:DDO327686 DNH327686:DNK327686 DXD327686:DXG327686 EGZ327686:EHC327686 EQV327686:EQY327686 FAR327686:FAU327686 FKN327686:FKQ327686 FUJ327686:FUM327686 GEF327686:GEI327686 GOB327686:GOE327686 GXX327686:GYA327686 HHT327686:HHW327686 HRP327686:HRS327686 IBL327686:IBO327686 ILH327686:ILK327686 IVD327686:IVG327686 JEZ327686:JFC327686 JOV327686:JOY327686 JYR327686:JYU327686 KIN327686:KIQ327686 KSJ327686:KSM327686 LCF327686:LCI327686 LMB327686:LME327686 LVX327686:LWA327686 MFT327686:MFW327686 MPP327686:MPS327686 MZL327686:MZO327686 NJH327686:NJK327686 NTD327686:NTG327686 OCZ327686:ODC327686 OMV327686:OMY327686 OWR327686:OWU327686 PGN327686:PGQ327686 PQJ327686:PQM327686 QAF327686:QAI327686 QKB327686:QKE327686 QTX327686:QUA327686 RDT327686:RDW327686 RNP327686:RNS327686 RXL327686:RXO327686 SHH327686:SHK327686 SRD327686:SRG327686 TAZ327686:TBC327686 TKV327686:TKY327686 TUR327686:TUU327686 UEN327686:UEQ327686 UOJ327686:UOM327686 UYF327686:UYI327686 VIB327686:VIE327686 VRX327686:VSA327686 WBT327686:WBW327686 WLP327686:WLS327686 WVL327686:WVO327686 D393222:G393222 IZ393222:JC393222 SV393222:SY393222 ACR393222:ACU393222 AMN393222:AMQ393222 AWJ393222:AWM393222 BGF393222:BGI393222 BQB393222:BQE393222 BZX393222:CAA393222 CJT393222:CJW393222 CTP393222:CTS393222 DDL393222:DDO393222 DNH393222:DNK393222 DXD393222:DXG393222 EGZ393222:EHC393222 EQV393222:EQY393222 FAR393222:FAU393222 FKN393222:FKQ393222 FUJ393222:FUM393222 GEF393222:GEI393222 GOB393222:GOE393222 GXX393222:GYA393222 HHT393222:HHW393222 HRP393222:HRS393222 IBL393222:IBO393222 ILH393222:ILK393222 IVD393222:IVG393222 JEZ393222:JFC393222 JOV393222:JOY393222 JYR393222:JYU393222 KIN393222:KIQ393222 KSJ393222:KSM393222 LCF393222:LCI393222 LMB393222:LME393222 LVX393222:LWA393222 MFT393222:MFW393222 MPP393222:MPS393222 MZL393222:MZO393222 NJH393222:NJK393222 NTD393222:NTG393222 OCZ393222:ODC393222 OMV393222:OMY393222 OWR393222:OWU393222 PGN393222:PGQ393222 PQJ393222:PQM393222 QAF393222:QAI393222 QKB393222:QKE393222 QTX393222:QUA393222 RDT393222:RDW393222 RNP393222:RNS393222 RXL393222:RXO393222 SHH393222:SHK393222 SRD393222:SRG393222 TAZ393222:TBC393222 TKV393222:TKY393222 TUR393222:TUU393222 UEN393222:UEQ393222 UOJ393222:UOM393222 UYF393222:UYI393222 VIB393222:VIE393222 VRX393222:VSA393222 WBT393222:WBW393222 WLP393222:WLS393222 WVL393222:WVO393222 D458758:G458758 IZ458758:JC458758 SV458758:SY458758 ACR458758:ACU458758 AMN458758:AMQ458758 AWJ458758:AWM458758 BGF458758:BGI458758 BQB458758:BQE458758 BZX458758:CAA458758 CJT458758:CJW458758 CTP458758:CTS458758 DDL458758:DDO458758 DNH458758:DNK458758 DXD458758:DXG458758 EGZ458758:EHC458758 EQV458758:EQY458758 FAR458758:FAU458758 FKN458758:FKQ458758 FUJ458758:FUM458758 GEF458758:GEI458758 GOB458758:GOE458758 GXX458758:GYA458758 HHT458758:HHW458758 HRP458758:HRS458758 IBL458758:IBO458758 ILH458758:ILK458758 IVD458758:IVG458758 JEZ458758:JFC458758 JOV458758:JOY458758 JYR458758:JYU458758 KIN458758:KIQ458758 KSJ458758:KSM458758 LCF458758:LCI458758 LMB458758:LME458758 LVX458758:LWA458758 MFT458758:MFW458758 MPP458758:MPS458758 MZL458758:MZO458758 NJH458758:NJK458758 NTD458758:NTG458758 OCZ458758:ODC458758 OMV458758:OMY458758 OWR458758:OWU458758 PGN458758:PGQ458758 PQJ458758:PQM458758 QAF458758:QAI458758 QKB458758:QKE458758 QTX458758:QUA458758 RDT458758:RDW458758 RNP458758:RNS458758 RXL458758:RXO458758 SHH458758:SHK458758 SRD458758:SRG458758 TAZ458758:TBC458758 TKV458758:TKY458758 TUR458758:TUU458758 UEN458758:UEQ458758 UOJ458758:UOM458758 UYF458758:UYI458758 VIB458758:VIE458758 VRX458758:VSA458758 WBT458758:WBW458758 WLP458758:WLS458758 WVL458758:WVO458758 D524294:G524294 IZ524294:JC524294 SV524294:SY524294 ACR524294:ACU524294 AMN524294:AMQ524294 AWJ524294:AWM524294 BGF524294:BGI524294 BQB524294:BQE524294 BZX524294:CAA524294 CJT524294:CJW524294 CTP524294:CTS524294 DDL524294:DDO524294 DNH524294:DNK524294 DXD524294:DXG524294 EGZ524294:EHC524294 EQV524294:EQY524294 FAR524294:FAU524294 FKN524294:FKQ524294 FUJ524294:FUM524294 GEF524294:GEI524294 GOB524294:GOE524294 GXX524294:GYA524294 HHT524294:HHW524294 HRP524294:HRS524294 IBL524294:IBO524294 ILH524294:ILK524294 IVD524294:IVG524294 JEZ524294:JFC524294 JOV524294:JOY524294 JYR524294:JYU524294 KIN524294:KIQ524294 KSJ524294:KSM524294 LCF524294:LCI524294 LMB524294:LME524294 LVX524294:LWA524294 MFT524294:MFW524294 MPP524294:MPS524294 MZL524294:MZO524294 NJH524294:NJK524294 NTD524294:NTG524294 OCZ524294:ODC524294 OMV524294:OMY524294 OWR524294:OWU524294 PGN524294:PGQ524294 PQJ524294:PQM524294 QAF524294:QAI524294 QKB524294:QKE524294 QTX524294:QUA524294 RDT524294:RDW524294 RNP524294:RNS524294 RXL524294:RXO524294 SHH524294:SHK524294 SRD524294:SRG524294 TAZ524294:TBC524294 TKV524294:TKY524294 TUR524294:TUU524294 UEN524294:UEQ524294 UOJ524294:UOM524294 UYF524294:UYI524294 VIB524294:VIE524294 VRX524294:VSA524294 WBT524294:WBW524294 WLP524294:WLS524294 WVL524294:WVO524294 D589830:G589830 IZ589830:JC589830 SV589830:SY589830 ACR589830:ACU589830 AMN589830:AMQ589830 AWJ589830:AWM589830 BGF589830:BGI589830 BQB589830:BQE589830 BZX589830:CAA589830 CJT589830:CJW589830 CTP589830:CTS589830 DDL589830:DDO589830 DNH589830:DNK589830 DXD589830:DXG589830 EGZ589830:EHC589830 EQV589830:EQY589830 FAR589830:FAU589830 FKN589830:FKQ589830 FUJ589830:FUM589830 GEF589830:GEI589830 GOB589830:GOE589830 GXX589830:GYA589830 HHT589830:HHW589830 HRP589830:HRS589830 IBL589830:IBO589830 ILH589830:ILK589830 IVD589830:IVG589830 JEZ589830:JFC589830 JOV589830:JOY589830 JYR589830:JYU589830 KIN589830:KIQ589830 KSJ589830:KSM589830 LCF589830:LCI589830 LMB589830:LME589830 LVX589830:LWA589830 MFT589830:MFW589830 MPP589830:MPS589830 MZL589830:MZO589830 NJH589830:NJK589830 NTD589830:NTG589830 OCZ589830:ODC589830 OMV589830:OMY589830 OWR589830:OWU589830 PGN589830:PGQ589830 PQJ589830:PQM589830 QAF589830:QAI589830 QKB589830:QKE589830 QTX589830:QUA589830 RDT589830:RDW589830 RNP589830:RNS589830 RXL589830:RXO589830 SHH589830:SHK589830 SRD589830:SRG589830 TAZ589830:TBC589830 TKV589830:TKY589830 TUR589830:TUU589830 UEN589830:UEQ589830 UOJ589830:UOM589830 UYF589830:UYI589830 VIB589830:VIE589830 VRX589830:VSA589830 WBT589830:WBW589830 WLP589830:WLS589830 WVL589830:WVO589830 D655366:G655366 IZ655366:JC655366 SV655366:SY655366 ACR655366:ACU655366 AMN655366:AMQ655366 AWJ655366:AWM655366 BGF655366:BGI655366 BQB655366:BQE655366 BZX655366:CAA655366 CJT655366:CJW655366 CTP655366:CTS655366 DDL655366:DDO655366 DNH655366:DNK655366 DXD655366:DXG655366 EGZ655366:EHC655366 EQV655366:EQY655366 FAR655366:FAU655366 FKN655366:FKQ655366 FUJ655366:FUM655366 GEF655366:GEI655366 GOB655366:GOE655366 GXX655366:GYA655366 HHT655366:HHW655366 HRP655366:HRS655366 IBL655366:IBO655366 ILH655366:ILK655366 IVD655366:IVG655366 JEZ655366:JFC655366 JOV655366:JOY655366 JYR655366:JYU655366 KIN655366:KIQ655366 KSJ655366:KSM655366 LCF655366:LCI655366 LMB655366:LME655366 LVX655366:LWA655366 MFT655366:MFW655366 MPP655366:MPS655366 MZL655366:MZO655366 NJH655366:NJK655366 NTD655366:NTG655366 OCZ655366:ODC655366 OMV655366:OMY655366 OWR655366:OWU655366 PGN655366:PGQ655366 PQJ655366:PQM655366 QAF655366:QAI655366 QKB655366:QKE655366 QTX655366:QUA655366 RDT655366:RDW655366 RNP655366:RNS655366 RXL655366:RXO655366 SHH655366:SHK655366 SRD655366:SRG655366 TAZ655366:TBC655366 TKV655366:TKY655366 TUR655366:TUU655366 UEN655366:UEQ655366 UOJ655366:UOM655366 UYF655366:UYI655366 VIB655366:VIE655366 VRX655366:VSA655366 WBT655366:WBW655366 WLP655366:WLS655366 WVL655366:WVO655366 D720902:G720902 IZ720902:JC720902 SV720902:SY720902 ACR720902:ACU720902 AMN720902:AMQ720902 AWJ720902:AWM720902 BGF720902:BGI720902 BQB720902:BQE720902 BZX720902:CAA720902 CJT720902:CJW720902 CTP720902:CTS720902 DDL720902:DDO720902 DNH720902:DNK720902 DXD720902:DXG720902 EGZ720902:EHC720902 EQV720902:EQY720902 FAR720902:FAU720902 FKN720902:FKQ720902 FUJ720902:FUM720902 GEF720902:GEI720902 GOB720902:GOE720902 GXX720902:GYA720902 HHT720902:HHW720902 HRP720902:HRS720902 IBL720902:IBO720902 ILH720902:ILK720902 IVD720902:IVG720902 JEZ720902:JFC720902 JOV720902:JOY720902 JYR720902:JYU720902 KIN720902:KIQ720902 KSJ720902:KSM720902 LCF720902:LCI720902 LMB720902:LME720902 LVX720902:LWA720902 MFT720902:MFW720902 MPP720902:MPS720902 MZL720902:MZO720902 NJH720902:NJK720902 NTD720902:NTG720902 OCZ720902:ODC720902 OMV720902:OMY720902 OWR720902:OWU720902 PGN720902:PGQ720902 PQJ720902:PQM720902 QAF720902:QAI720902 QKB720902:QKE720902 QTX720902:QUA720902 RDT720902:RDW720902 RNP720902:RNS720902 RXL720902:RXO720902 SHH720902:SHK720902 SRD720902:SRG720902 TAZ720902:TBC720902 TKV720902:TKY720902 TUR720902:TUU720902 UEN720902:UEQ720902 UOJ720902:UOM720902 UYF720902:UYI720902 VIB720902:VIE720902 VRX720902:VSA720902 WBT720902:WBW720902 WLP720902:WLS720902 WVL720902:WVO720902 D786438:G786438 IZ786438:JC786438 SV786438:SY786438 ACR786438:ACU786438 AMN786438:AMQ786438 AWJ786438:AWM786438 BGF786438:BGI786438 BQB786438:BQE786438 BZX786438:CAA786438 CJT786438:CJW786438 CTP786438:CTS786438 DDL786438:DDO786438 DNH786438:DNK786438 DXD786438:DXG786438 EGZ786438:EHC786438 EQV786438:EQY786438 FAR786438:FAU786438 FKN786438:FKQ786438 FUJ786438:FUM786438 GEF786438:GEI786438 GOB786438:GOE786438 GXX786438:GYA786438 HHT786438:HHW786438 HRP786438:HRS786438 IBL786438:IBO786438 ILH786438:ILK786438 IVD786438:IVG786438 JEZ786438:JFC786438 JOV786438:JOY786438 JYR786438:JYU786438 KIN786438:KIQ786438 KSJ786438:KSM786438 LCF786438:LCI786438 LMB786438:LME786438 LVX786438:LWA786438 MFT786438:MFW786438 MPP786438:MPS786438 MZL786438:MZO786438 NJH786438:NJK786438 NTD786438:NTG786438 OCZ786438:ODC786438 OMV786438:OMY786438 OWR786438:OWU786438 PGN786438:PGQ786438 PQJ786438:PQM786438 QAF786438:QAI786438 QKB786438:QKE786438 QTX786438:QUA786438 RDT786438:RDW786438 RNP786438:RNS786438 RXL786438:RXO786438 SHH786438:SHK786438 SRD786438:SRG786438 TAZ786438:TBC786438 TKV786438:TKY786438 TUR786438:TUU786438 UEN786438:UEQ786438 UOJ786438:UOM786438 UYF786438:UYI786438 VIB786438:VIE786438 VRX786438:VSA786438 WBT786438:WBW786438 WLP786438:WLS786438 WVL786438:WVO786438 D851974:G851974 IZ851974:JC851974 SV851974:SY851974 ACR851974:ACU851974 AMN851974:AMQ851974 AWJ851974:AWM851974 BGF851974:BGI851974 BQB851974:BQE851974 BZX851974:CAA851974 CJT851974:CJW851974 CTP851974:CTS851974 DDL851974:DDO851974 DNH851974:DNK851974 DXD851974:DXG851974 EGZ851974:EHC851974 EQV851974:EQY851974 FAR851974:FAU851974 FKN851974:FKQ851974 FUJ851974:FUM851974 GEF851974:GEI851974 GOB851974:GOE851974 GXX851974:GYA851974 HHT851974:HHW851974 HRP851974:HRS851974 IBL851974:IBO851974 ILH851974:ILK851974 IVD851974:IVG851974 JEZ851974:JFC851974 JOV851974:JOY851974 JYR851974:JYU851974 KIN851974:KIQ851974 KSJ851974:KSM851974 LCF851974:LCI851974 LMB851974:LME851974 LVX851974:LWA851974 MFT851974:MFW851974 MPP851974:MPS851974 MZL851974:MZO851974 NJH851974:NJK851974 NTD851974:NTG851974 OCZ851974:ODC851974 OMV851974:OMY851974 OWR851974:OWU851974 PGN851974:PGQ851974 PQJ851974:PQM851974 QAF851974:QAI851974 QKB851974:QKE851974 QTX851974:QUA851974 RDT851974:RDW851974 RNP851974:RNS851974 RXL851974:RXO851974 SHH851974:SHK851974 SRD851974:SRG851974 TAZ851974:TBC851974 TKV851974:TKY851974 TUR851974:TUU851974 UEN851974:UEQ851974 UOJ851974:UOM851974 UYF851974:UYI851974 VIB851974:VIE851974 VRX851974:VSA851974 WBT851974:WBW851974 WLP851974:WLS851974 WVL851974:WVO851974 D917510:G917510 IZ917510:JC917510 SV917510:SY917510 ACR917510:ACU917510 AMN917510:AMQ917510 AWJ917510:AWM917510 BGF917510:BGI917510 BQB917510:BQE917510 BZX917510:CAA917510 CJT917510:CJW917510 CTP917510:CTS917510 DDL917510:DDO917510 DNH917510:DNK917510 DXD917510:DXG917510 EGZ917510:EHC917510 EQV917510:EQY917510 FAR917510:FAU917510 FKN917510:FKQ917510 FUJ917510:FUM917510 GEF917510:GEI917510 GOB917510:GOE917510 GXX917510:GYA917510 HHT917510:HHW917510 HRP917510:HRS917510 IBL917510:IBO917510 ILH917510:ILK917510 IVD917510:IVG917510 JEZ917510:JFC917510 JOV917510:JOY917510 JYR917510:JYU917510 KIN917510:KIQ917510 KSJ917510:KSM917510 LCF917510:LCI917510 LMB917510:LME917510 LVX917510:LWA917510 MFT917510:MFW917510 MPP917510:MPS917510 MZL917510:MZO917510 NJH917510:NJK917510 NTD917510:NTG917510 OCZ917510:ODC917510 OMV917510:OMY917510 OWR917510:OWU917510 PGN917510:PGQ917510 PQJ917510:PQM917510 QAF917510:QAI917510 QKB917510:QKE917510 QTX917510:QUA917510 RDT917510:RDW917510 RNP917510:RNS917510 RXL917510:RXO917510 SHH917510:SHK917510 SRD917510:SRG917510 TAZ917510:TBC917510 TKV917510:TKY917510 TUR917510:TUU917510 UEN917510:UEQ917510 UOJ917510:UOM917510 UYF917510:UYI917510 VIB917510:VIE917510 VRX917510:VSA917510 WBT917510:WBW917510 WLP917510:WLS917510 WVL917510:WVO917510 D983046:G983046 IZ983046:JC983046 SV983046:SY983046 ACR983046:ACU983046 AMN983046:AMQ983046 AWJ983046:AWM983046 BGF983046:BGI983046 BQB983046:BQE983046 BZX983046:CAA983046 CJT983046:CJW983046 CTP983046:CTS983046 DDL983046:DDO983046 DNH983046:DNK983046 DXD983046:DXG983046 EGZ983046:EHC983046 EQV983046:EQY983046 FAR983046:FAU983046 FKN983046:FKQ983046 FUJ983046:FUM983046 GEF983046:GEI983046 GOB983046:GOE983046 GXX983046:GYA983046 HHT983046:HHW983046 HRP983046:HRS983046 IBL983046:IBO983046 ILH983046:ILK983046 IVD983046:IVG983046 JEZ983046:JFC983046 JOV983046:JOY983046 JYR983046:JYU983046 KIN983046:KIQ983046 KSJ983046:KSM983046 LCF983046:LCI983046 LMB983046:LME983046 LVX983046:LWA983046 MFT983046:MFW983046 MPP983046:MPS983046 MZL983046:MZO983046 NJH983046:NJK983046 NTD983046:NTG983046 OCZ983046:ODC983046 OMV983046:OMY983046 OWR983046:OWU983046 PGN983046:PGQ983046 PQJ983046:PQM983046 QAF983046:QAI983046 QKB983046:QKE983046 QTX983046:QUA983046 RDT983046:RDW983046 RNP983046:RNS983046 RXL983046:RXO983046 SHH983046:SHK983046 SRD983046:SRG983046 TAZ983046:TBC983046 TKV983046:TKY983046 TUR983046:TUU983046 UEN983046:UEQ983046 UOJ983046:UOM983046 UYF983046:UYI983046 VIB983046:VIE983046 VRX983046:VSA983046 WBT983046:WBW983046 WLP983046:WLS983046">
      <formula1>Months</formula1>
    </dataValidation>
  </dataValidations>
  <pageMargins left="0.7" right="0.7" top="0.75" bottom="0.75" header="0.3" footer="0.3"/>
  <pageSetup paperSize="8" scale="31" fitToHeight="0" orientation="landscape" r:id="rId1"/>
  <headerFooter alignWithMargins="0"/>
  <legacyDrawing r:id="rId2"/>
  <extLst>
    <ext xmlns:x14="http://schemas.microsoft.com/office/spreadsheetml/2009/9/main" uri="{78C0D931-6437-407d-A8EE-F0AAD7539E65}">
      <x14:conditionalFormattings>
        <x14:conditionalFormatting xmlns:xm="http://schemas.microsoft.com/office/excel/2006/main">
          <x14:cfRule type="expression" priority="2" id="{08E1D4B6-5CA8-467D-AE92-C235471928F4}">
            <xm:f>MATCH(A69,'Coverage ind'!E:E,0)</xm:f>
            <x14:dxf>
              <fill>
                <patternFill>
                  <bgColor theme="8" tint="0.79998168889431442"/>
                </patternFill>
              </fill>
            </x14:dxf>
          </x14:cfRule>
          <xm:sqref>A69:A76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OFFSET(Interven!$E$1,MATCH(AM24,Interven!$A:$A,0)-1,0,COUNTIF(Interven!$A:$A,AM24),1)</xm:f>
          </x14:formula1>
          <xm:sqref>A69:C76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84"/>
  <sheetViews>
    <sheetView topLeftCell="A34" zoomScale="85" zoomScaleNormal="85" zoomScaleSheetLayoutView="25" workbookViewId="0">
      <selection activeCell="B11" sqref="B11:Z11"/>
    </sheetView>
  </sheetViews>
  <sheetFormatPr defaultRowHeight="15" x14ac:dyDescent="0.2"/>
  <cols>
    <col min="1" max="3" width="9.140625" style="246"/>
    <col min="4" max="4" width="13.28515625" style="246" customWidth="1"/>
    <col min="5" max="9" width="9.140625" style="246"/>
    <col min="10" max="10" width="13.5703125" style="246" customWidth="1"/>
    <col min="11" max="16384" width="9.140625" style="246"/>
  </cols>
  <sheetData>
    <row r="1" spans="1:28" ht="18" x14ac:dyDescent="0.2">
      <c r="A1" s="296" t="str">
        <f>Translations!D81</f>
        <v xml:space="preserve">Enfoque modular - nota conceptual </v>
      </c>
      <c r="B1" s="297"/>
      <c r="C1" s="297"/>
      <c r="D1" s="297"/>
      <c r="E1" s="297"/>
      <c r="F1" s="297"/>
      <c r="G1" s="297"/>
      <c r="H1" s="297"/>
      <c r="I1" s="297"/>
      <c r="J1" s="297"/>
      <c r="K1" s="297"/>
      <c r="L1" s="297"/>
      <c r="M1" s="297"/>
      <c r="N1" s="250"/>
      <c r="O1" s="257" t="str">
        <f>Translations!D80</f>
        <v>Idioma:</v>
      </c>
      <c r="P1" s="609" t="s">
        <v>2155</v>
      </c>
      <c r="Q1" s="479"/>
      <c r="R1" s="479"/>
      <c r="S1" s="479"/>
      <c r="T1" s="480"/>
      <c r="U1" s="289"/>
      <c r="V1" s="290"/>
      <c r="W1" s="290"/>
      <c r="X1" s="290"/>
      <c r="Y1" s="290"/>
      <c r="Z1" s="298"/>
      <c r="AA1" s="255"/>
      <c r="AB1" s="255"/>
    </row>
    <row r="2" spans="1:28" ht="18" x14ac:dyDescent="0.2">
      <c r="A2" s="295" t="str">
        <f>Translations!$D$7</f>
        <v>A. Datos del programa</v>
      </c>
      <c r="B2" s="284"/>
      <c r="C2" s="284"/>
      <c r="D2" s="284"/>
      <c r="E2" s="284"/>
      <c r="F2" s="284"/>
      <c r="G2" s="284"/>
      <c r="H2" s="284"/>
      <c r="I2" s="284"/>
      <c r="J2" s="284"/>
      <c r="K2" s="284"/>
      <c r="L2" s="284"/>
      <c r="M2" s="284"/>
      <c r="N2" s="248"/>
      <c r="O2" s="248"/>
      <c r="P2" s="248"/>
      <c r="Q2" s="248"/>
      <c r="R2" s="248"/>
      <c r="S2" s="248"/>
      <c r="T2" s="248"/>
      <c r="U2" s="302"/>
      <c r="V2" s="300"/>
      <c r="W2" s="300"/>
      <c r="X2" s="300"/>
      <c r="Y2" s="300"/>
      <c r="Z2" s="301"/>
      <c r="AA2" s="255"/>
      <c r="AB2" s="255"/>
    </row>
    <row r="3" spans="1:28" x14ac:dyDescent="0.2">
      <c r="A3" s="344" t="str">
        <f>Translations!$D$8</f>
        <v>País / Solicitante:</v>
      </c>
      <c r="B3" s="345"/>
      <c r="C3" s="346"/>
      <c r="D3" s="357" t="str">
        <f>Translations!$D$72</f>
        <v>Seleccione…</v>
      </c>
      <c r="E3" s="357"/>
      <c r="F3" s="357"/>
      <c r="G3" s="358"/>
      <c r="H3" s="359" t="str">
        <f>Translations!$D$13</f>
        <v>Receptores principales</v>
      </c>
      <c r="I3" s="360"/>
      <c r="J3" s="361"/>
      <c r="K3" s="481"/>
      <c r="L3" s="481"/>
      <c r="M3" s="481"/>
      <c r="N3" s="481"/>
      <c r="O3" s="481"/>
      <c r="P3" s="481"/>
      <c r="Q3" s="481"/>
      <c r="R3" s="481"/>
      <c r="S3" s="482" t="s">
        <v>2156</v>
      </c>
      <c r="T3" s="483"/>
      <c r="U3" s="359" t="e">
        <f>Translations!$D$77
                                                                                                                                                                                                                                                                solicitado</f>
        <v>#NAME?</v>
      </c>
      <c r="V3" s="360"/>
      <c r="W3" s="360"/>
      <c r="X3" s="360"/>
      <c r="Y3" s="360"/>
      <c r="Z3" s="391"/>
      <c r="AA3" s="255"/>
      <c r="AB3" s="255"/>
    </row>
    <row r="4" spans="1:28" x14ac:dyDescent="0.2">
      <c r="A4" s="344" t="str">
        <f>Translations!$D$9</f>
        <v>Componente:</v>
      </c>
      <c r="B4" s="345"/>
      <c r="C4" s="346"/>
      <c r="D4" s="347" t="str">
        <f>Translations!$D$72</f>
        <v>Seleccione…</v>
      </c>
      <c r="E4" s="347"/>
      <c r="F4" s="347"/>
      <c r="G4" s="348"/>
      <c r="H4" s="362"/>
      <c r="I4" s="363"/>
      <c r="J4" s="364"/>
      <c r="K4" s="484"/>
      <c r="L4" s="484"/>
      <c r="M4" s="484"/>
      <c r="N4" s="484"/>
      <c r="O4" s="484"/>
      <c r="P4" s="484"/>
      <c r="Q4" s="484"/>
      <c r="R4" s="484"/>
      <c r="S4" s="494" t="s">
        <v>2156</v>
      </c>
      <c r="T4" s="495"/>
      <c r="U4" s="362"/>
      <c r="V4" s="363"/>
      <c r="W4" s="363"/>
      <c r="X4" s="363"/>
      <c r="Y4" s="363"/>
      <c r="Z4" s="410"/>
      <c r="AA4" s="255"/>
      <c r="AB4" s="255"/>
    </row>
    <row r="5" spans="1:28" x14ac:dyDescent="0.2">
      <c r="A5" s="344" t="str">
        <f>Translations!$D$10</f>
        <v>Año de inicio:</v>
      </c>
      <c r="B5" s="345"/>
      <c r="C5" s="346"/>
      <c r="D5" s="347" t="str">
        <f>Translations!$D$72</f>
        <v>Seleccione…</v>
      </c>
      <c r="E5" s="347"/>
      <c r="F5" s="347"/>
      <c r="G5" s="348"/>
      <c r="H5" s="349" t="str">
        <f>Translations!$D$14</f>
        <v>(seleccione uno de la lista o añada uno nuevo)</v>
      </c>
      <c r="I5" s="350"/>
      <c r="J5" s="351"/>
      <c r="K5" s="484"/>
      <c r="L5" s="484"/>
      <c r="M5" s="484"/>
      <c r="N5" s="484"/>
      <c r="O5" s="484"/>
      <c r="P5" s="484"/>
      <c r="Q5" s="484"/>
      <c r="R5" s="484"/>
      <c r="S5" s="494" t="s">
        <v>2156</v>
      </c>
      <c r="T5" s="495"/>
      <c r="U5" s="496" t="str">
        <f>Translations!$D$78</f>
        <v>Indicativo</v>
      </c>
      <c r="V5" s="497"/>
      <c r="W5" s="497"/>
      <c r="X5" s="497"/>
      <c r="Y5" s="498">
        <v>0</v>
      </c>
      <c r="Z5" s="499"/>
      <c r="AA5" s="255"/>
      <c r="AB5" s="255"/>
    </row>
    <row r="6" spans="1:28" x14ac:dyDescent="0.2">
      <c r="A6" s="344" t="str">
        <f>Translations!$D$11</f>
        <v>Mes de inicio:</v>
      </c>
      <c r="B6" s="345"/>
      <c r="C6" s="346"/>
      <c r="D6" s="355" t="str">
        <f>Translations!$D$72</f>
        <v>Seleccione…</v>
      </c>
      <c r="E6" s="355"/>
      <c r="F6" s="355"/>
      <c r="G6" s="356"/>
      <c r="H6" s="352"/>
      <c r="I6" s="353"/>
      <c r="J6" s="354"/>
      <c r="K6" s="484"/>
      <c r="L6" s="484"/>
      <c r="M6" s="484"/>
      <c r="N6" s="484"/>
      <c r="O6" s="484"/>
      <c r="P6" s="484"/>
      <c r="Q6" s="484"/>
      <c r="R6" s="484"/>
      <c r="S6" s="500" t="s">
        <v>2156</v>
      </c>
      <c r="T6" s="501"/>
      <c r="U6" s="502" t="str">
        <f>Translations!$D$79</f>
        <v>Por encima del indicativo</v>
      </c>
      <c r="V6" s="503"/>
      <c r="W6" s="503"/>
      <c r="X6" s="503"/>
      <c r="Y6" s="504">
        <v>0</v>
      </c>
      <c r="Z6" s="505"/>
      <c r="AA6" s="255"/>
      <c r="AB6" s="255"/>
    </row>
    <row r="7" spans="1:28" x14ac:dyDescent="0.2">
      <c r="A7" s="365"/>
      <c r="B7" s="365"/>
      <c r="C7" s="365"/>
      <c r="D7" s="365"/>
      <c r="E7" s="365"/>
      <c r="F7" s="365"/>
      <c r="G7" s="365"/>
      <c r="H7" s="365"/>
      <c r="I7" s="365"/>
      <c r="J7" s="365"/>
      <c r="K7" s="365"/>
      <c r="L7" s="365"/>
      <c r="M7" s="365"/>
      <c r="N7" s="365"/>
      <c r="O7" s="365"/>
      <c r="P7" s="365"/>
      <c r="Q7" s="365"/>
      <c r="R7" s="365"/>
      <c r="S7" s="365"/>
      <c r="T7" s="365"/>
      <c r="U7" s="365"/>
      <c r="V7" s="365"/>
      <c r="W7" s="365"/>
      <c r="X7" s="365"/>
      <c r="Y7" s="365"/>
      <c r="Z7" s="299"/>
      <c r="AA7" s="255"/>
      <c r="AB7" s="255"/>
    </row>
    <row r="8" spans="1:28" ht="15.75" x14ac:dyDescent="0.2">
      <c r="A8" s="373" t="str">
        <f>Translations!$D$25</f>
        <v>B. Metas del programa e indicadores de impacto</v>
      </c>
      <c r="B8" s="374"/>
      <c r="C8" s="374"/>
      <c r="D8" s="374"/>
      <c r="E8" s="374"/>
      <c r="F8" s="374"/>
      <c r="G8" s="374"/>
      <c r="H8" s="374"/>
      <c r="I8" s="374"/>
      <c r="J8" s="374"/>
      <c r="K8" s="374"/>
      <c r="L8" s="374"/>
      <c r="M8" s="374"/>
      <c r="N8" s="374"/>
      <c r="O8" s="374"/>
      <c r="P8" s="374"/>
      <c r="Q8" s="374"/>
      <c r="R8" s="374"/>
      <c r="S8" s="374"/>
      <c r="T8" s="374"/>
      <c r="U8" s="374"/>
      <c r="V8" s="374"/>
      <c r="W8" s="374"/>
      <c r="X8" s="374"/>
      <c r="Y8" s="374"/>
      <c r="Z8" s="375"/>
      <c r="AA8" s="255"/>
      <c r="AB8" s="255"/>
    </row>
    <row r="9" spans="1:28" x14ac:dyDescent="0.2">
      <c r="A9" s="344" t="str">
        <f>Translations!$D$26</f>
        <v xml:space="preserve">  Metas:</v>
      </c>
      <c r="B9" s="345"/>
      <c r="C9" s="345"/>
      <c r="D9" s="345"/>
      <c r="E9" s="345"/>
      <c r="F9" s="345"/>
      <c r="G9" s="345"/>
      <c r="H9" s="345"/>
      <c r="I9" s="345"/>
      <c r="J9" s="345"/>
      <c r="K9" s="345"/>
      <c r="L9" s="345"/>
      <c r="M9" s="345"/>
      <c r="N9" s="345"/>
      <c r="O9" s="345"/>
      <c r="P9" s="345"/>
      <c r="Q9" s="345"/>
      <c r="R9" s="345"/>
      <c r="S9" s="345"/>
      <c r="T9" s="345"/>
      <c r="U9" s="345"/>
      <c r="V9" s="345"/>
      <c r="W9" s="345"/>
      <c r="X9" s="345"/>
      <c r="Y9" s="345"/>
      <c r="Z9" s="366"/>
      <c r="AA9" s="255"/>
      <c r="AB9" s="255"/>
    </row>
    <row r="10" spans="1:28" x14ac:dyDescent="0.2">
      <c r="A10" s="303">
        <v>1</v>
      </c>
      <c r="B10" s="376"/>
      <c r="C10" s="377"/>
      <c r="D10" s="377"/>
      <c r="E10" s="377"/>
      <c r="F10" s="377"/>
      <c r="G10" s="377"/>
      <c r="H10" s="377"/>
      <c r="I10" s="377"/>
      <c r="J10" s="377"/>
      <c r="K10" s="377"/>
      <c r="L10" s="377"/>
      <c r="M10" s="377"/>
      <c r="N10" s="377"/>
      <c r="O10" s="377"/>
      <c r="P10" s="377"/>
      <c r="Q10" s="377"/>
      <c r="R10" s="377"/>
      <c r="S10" s="377"/>
      <c r="T10" s="377"/>
      <c r="U10" s="377"/>
      <c r="V10" s="377"/>
      <c r="W10" s="377"/>
      <c r="X10" s="377"/>
      <c r="Y10" s="377"/>
      <c r="Z10" s="378"/>
      <c r="AA10" s="255"/>
      <c r="AB10" s="255"/>
    </row>
    <row r="11" spans="1:28" x14ac:dyDescent="0.2">
      <c r="A11" s="306">
        <v>2</v>
      </c>
      <c r="B11" s="367"/>
      <c r="C11" s="368"/>
      <c r="D11" s="368"/>
      <c r="E11" s="368"/>
      <c r="F11" s="368"/>
      <c r="G11" s="368"/>
      <c r="H11" s="368"/>
      <c r="I11" s="368"/>
      <c r="J11" s="368"/>
      <c r="K11" s="368"/>
      <c r="L11" s="368"/>
      <c r="M11" s="368"/>
      <c r="N11" s="368"/>
      <c r="O11" s="368"/>
      <c r="P11" s="368"/>
      <c r="Q11" s="368"/>
      <c r="R11" s="368"/>
      <c r="S11" s="368"/>
      <c r="T11" s="368"/>
      <c r="U11" s="368"/>
      <c r="V11" s="368"/>
      <c r="W11" s="368"/>
      <c r="X11" s="368"/>
      <c r="Y11" s="368"/>
      <c r="Z11" s="369"/>
      <c r="AA11" s="255"/>
      <c r="AB11" s="255"/>
    </row>
    <row r="12" spans="1:28" x14ac:dyDescent="0.2">
      <c r="A12" s="305">
        <v>3</v>
      </c>
      <c r="B12" s="370"/>
      <c r="C12" s="371"/>
      <c r="D12" s="371"/>
      <c r="E12" s="371"/>
      <c r="F12" s="371"/>
      <c r="G12" s="371"/>
      <c r="H12" s="371"/>
      <c r="I12" s="371"/>
      <c r="J12" s="371"/>
      <c r="K12" s="371"/>
      <c r="L12" s="371"/>
      <c r="M12" s="371"/>
      <c r="N12" s="371"/>
      <c r="O12" s="371"/>
      <c r="P12" s="371"/>
      <c r="Q12" s="371"/>
      <c r="R12" s="371"/>
      <c r="S12" s="371"/>
      <c r="T12" s="371"/>
      <c r="U12" s="371"/>
      <c r="V12" s="371"/>
      <c r="W12" s="371"/>
      <c r="X12" s="371"/>
      <c r="Y12" s="371"/>
      <c r="Z12" s="372"/>
      <c r="AA12" s="255"/>
      <c r="AB12" s="255"/>
    </row>
    <row r="13" spans="1:28" x14ac:dyDescent="0.2">
      <c r="A13" s="264"/>
      <c r="B13" s="264"/>
      <c r="C13" s="264"/>
      <c r="D13" s="264"/>
      <c r="E13" s="264"/>
      <c r="F13" s="264"/>
      <c r="G13" s="264"/>
      <c r="H13" s="264"/>
      <c r="I13" s="264"/>
      <c r="J13" s="264"/>
      <c r="K13" s="264"/>
      <c r="L13" s="264"/>
      <c r="M13" s="264"/>
      <c r="N13" s="264"/>
      <c r="O13" s="264"/>
      <c r="P13" s="264"/>
      <c r="Q13" s="264"/>
      <c r="R13" s="264"/>
      <c r="S13" s="264"/>
      <c r="T13" s="264"/>
      <c r="U13" s="264"/>
      <c r="V13" s="264"/>
      <c r="W13" s="264"/>
      <c r="X13" s="264"/>
      <c r="Y13" s="264"/>
      <c r="Z13" s="264"/>
      <c r="AA13" s="255"/>
      <c r="AB13" s="255"/>
    </row>
    <row r="14" spans="1:28" x14ac:dyDescent="0.2">
      <c r="A14" s="407" t="str">
        <f>Translations!$D$27</f>
        <v>Vinculado a lo(s) objetivos(s) nº</v>
      </c>
      <c r="B14" s="359" t="str">
        <f>Translations!$D$28</f>
        <v>Indicador de impacto</v>
      </c>
      <c r="C14" s="360"/>
      <c r="D14" s="360"/>
      <c r="E14" s="360"/>
      <c r="F14" s="360"/>
      <c r="G14" s="360"/>
      <c r="H14" s="391"/>
      <c r="I14" s="379" t="str">
        <f>Translations!$D$29</f>
        <v>Línea de base</v>
      </c>
      <c r="J14" s="380"/>
      <c r="K14" s="380"/>
      <c r="L14" s="380"/>
      <c r="M14" s="380"/>
      <c r="N14" s="381"/>
      <c r="O14" s="379" t="str">
        <f>Translations!$D$30</f>
        <v>Metas</v>
      </c>
      <c r="P14" s="380"/>
      <c r="Q14" s="380"/>
      <c r="R14" s="380"/>
      <c r="S14" s="380"/>
      <c r="T14" s="381"/>
      <c r="U14" s="382" t="str">
        <f>Translations!$D$73</f>
        <v>Comentarios y supuestos</v>
      </c>
      <c r="V14" s="383"/>
      <c r="W14" s="383"/>
      <c r="X14" s="383"/>
      <c r="Y14" s="383"/>
      <c r="Z14" s="384"/>
      <c r="AA14" s="255"/>
      <c r="AB14" s="255"/>
    </row>
    <row r="15" spans="1:28" x14ac:dyDescent="0.2">
      <c r="A15" s="408"/>
      <c r="B15" s="362"/>
      <c r="C15" s="363"/>
      <c r="D15" s="363"/>
      <c r="E15" s="363"/>
      <c r="F15" s="363"/>
      <c r="G15" s="363"/>
      <c r="H15" s="410"/>
      <c r="I15" s="359" t="str">
        <f>Translations!$D$31</f>
        <v>Valor</v>
      </c>
      <c r="J15" s="391"/>
      <c r="K15" s="394" t="str">
        <f>Translations!$D$32</f>
        <v xml:space="preserve">Año </v>
      </c>
      <c r="L15" s="359" t="str">
        <f>Translations!$D$33</f>
        <v>Fuente</v>
      </c>
      <c r="M15" s="360"/>
      <c r="N15" s="391"/>
      <c r="O15" s="379" t="str">
        <f>Translations!$D$34</f>
        <v>Año 1</v>
      </c>
      <c r="P15" s="381"/>
      <c r="Q15" s="379" t="str">
        <f>Translations!$D$35</f>
        <v>Año 2</v>
      </c>
      <c r="R15" s="381"/>
      <c r="S15" s="379" t="str">
        <f>Translations!$D$36</f>
        <v>Año 3</v>
      </c>
      <c r="T15" s="381"/>
      <c r="U15" s="385"/>
      <c r="V15" s="386"/>
      <c r="W15" s="386"/>
      <c r="X15" s="386"/>
      <c r="Y15" s="386"/>
      <c r="Z15" s="387"/>
      <c r="AA15" s="255"/>
      <c r="AB15" s="255"/>
    </row>
    <row r="16" spans="1:28" x14ac:dyDescent="0.2">
      <c r="A16" s="409"/>
      <c r="B16" s="392"/>
      <c r="C16" s="396"/>
      <c r="D16" s="396"/>
      <c r="E16" s="396"/>
      <c r="F16" s="396"/>
      <c r="G16" s="396"/>
      <c r="H16" s="393"/>
      <c r="I16" s="392"/>
      <c r="J16" s="393"/>
      <c r="K16" s="395"/>
      <c r="L16" s="392"/>
      <c r="M16" s="396"/>
      <c r="N16" s="393"/>
      <c r="O16" s="397" t="str">
        <f ca="1">IFERROR(IF(MonthIndex&lt;7,StartYearSelected,StartYearSelected+1),"")</f>
        <v>Please select…</v>
      </c>
      <c r="P16" s="398"/>
      <c r="Q16" s="397" t="str">
        <f ca="1">IFERROR(O16+1,"")</f>
        <v/>
      </c>
      <c r="R16" s="398"/>
      <c r="S16" s="397" t="str">
        <f ca="1">IFERROR(Q16+1,"")</f>
        <v/>
      </c>
      <c r="T16" s="398"/>
      <c r="U16" s="388"/>
      <c r="V16" s="389"/>
      <c r="W16" s="389"/>
      <c r="X16" s="389"/>
      <c r="Y16" s="389"/>
      <c r="Z16" s="390"/>
      <c r="AA16" s="255"/>
      <c r="AB16" s="255"/>
    </row>
    <row r="17" spans="1:28" ht="30" customHeight="1" x14ac:dyDescent="0.2">
      <c r="A17" s="247"/>
      <c r="B17" s="402" t="str">
        <f>Translations!$D$72</f>
        <v>Seleccione…</v>
      </c>
      <c r="C17" s="357"/>
      <c r="D17" s="357"/>
      <c r="E17" s="357"/>
      <c r="F17" s="357"/>
      <c r="G17" s="357"/>
      <c r="H17" s="403"/>
      <c r="I17" s="399"/>
      <c r="J17" s="400"/>
      <c r="K17" s="281"/>
      <c r="L17" s="404" t="str">
        <f>Translations!$D$72</f>
        <v>Seleccione…</v>
      </c>
      <c r="M17" s="405"/>
      <c r="N17" s="406"/>
      <c r="O17" s="399"/>
      <c r="P17" s="400"/>
      <c r="Q17" s="399"/>
      <c r="R17" s="400"/>
      <c r="S17" s="399"/>
      <c r="T17" s="401"/>
      <c r="U17" s="258"/>
      <c r="V17" s="259"/>
      <c r="W17" s="259"/>
      <c r="X17" s="259"/>
      <c r="Y17" s="259"/>
      <c r="Z17" s="260"/>
      <c r="AA17" s="255"/>
      <c r="AB17" s="255"/>
    </row>
    <row r="18" spans="1:28" ht="30" customHeight="1" x14ac:dyDescent="0.2">
      <c r="A18" s="251"/>
      <c r="B18" s="411" t="str">
        <f>Translations!$D$72</f>
        <v>Seleccione…</v>
      </c>
      <c r="C18" s="347"/>
      <c r="D18" s="347"/>
      <c r="E18" s="347"/>
      <c r="F18" s="347"/>
      <c r="G18" s="347"/>
      <c r="H18" s="412"/>
      <c r="I18" s="413"/>
      <c r="J18" s="414"/>
      <c r="K18" s="277"/>
      <c r="L18" s="415" t="str">
        <f>Translations!$D$72</f>
        <v>Seleccione…</v>
      </c>
      <c r="M18" s="416"/>
      <c r="N18" s="417"/>
      <c r="O18" s="413"/>
      <c r="P18" s="414"/>
      <c r="Q18" s="413"/>
      <c r="R18" s="414"/>
      <c r="S18" s="413"/>
      <c r="T18" s="418"/>
      <c r="U18" s="258"/>
      <c r="V18" s="259"/>
      <c r="W18" s="259"/>
      <c r="X18" s="259"/>
      <c r="Y18" s="259"/>
      <c r="Z18" s="260"/>
      <c r="AA18" s="255"/>
      <c r="AB18" s="255"/>
    </row>
    <row r="19" spans="1:28" ht="30" customHeight="1" x14ac:dyDescent="0.2">
      <c r="A19" s="252"/>
      <c r="B19" s="411" t="str">
        <f>Translations!$D$72</f>
        <v>Seleccione…</v>
      </c>
      <c r="C19" s="347"/>
      <c r="D19" s="347"/>
      <c r="E19" s="347"/>
      <c r="F19" s="347"/>
      <c r="G19" s="347"/>
      <c r="H19" s="412"/>
      <c r="I19" s="413"/>
      <c r="J19" s="414"/>
      <c r="K19" s="277"/>
      <c r="L19" s="415" t="str">
        <f>Translations!$D$72</f>
        <v>Seleccione…</v>
      </c>
      <c r="M19" s="416"/>
      <c r="N19" s="417"/>
      <c r="O19" s="413"/>
      <c r="P19" s="414"/>
      <c r="Q19" s="413"/>
      <c r="R19" s="414"/>
      <c r="S19" s="413"/>
      <c r="T19" s="418"/>
      <c r="U19" s="258"/>
      <c r="V19" s="259"/>
      <c r="W19" s="259"/>
      <c r="X19" s="259"/>
      <c r="Y19" s="259"/>
      <c r="Z19" s="260"/>
      <c r="AA19" s="255"/>
      <c r="AB19" s="255"/>
    </row>
    <row r="20" spans="1:28" ht="30" customHeight="1" x14ac:dyDescent="0.2">
      <c r="A20" s="252"/>
      <c r="B20" s="411" t="str">
        <f>Translations!$D$72</f>
        <v>Seleccione…</v>
      </c>
      <c r="C20" s="347"/>
      <c r="D20" s="347"/>
      <c r="E20" s="347"/>
      <c r="F20" s="347"/>
      <c r="G20" s="347"/>
      <c r="H20" s="412"/>
      <c r="I20" s="413"/>
      <c r="J20" s="414"/>
      <c r="K20" s="277"/>
      <c r="L20" s="415" t="str">
        <f>Translations!$D$72</f>
        <v>Seleccione…</v>
      </c>
      <c r="M20" s="416"/>
      <c r="N20" s="417"/>
      <c r="O20" s="413"/>
      <c r="P20" s="414"/>
      <c r="Q20" s="413"/>
      <c r="R20" s="414"/>
      <c r="S20" s="413"/>
      <c r="T20" s="418"/>
      <c r="U20" s="258"/>
      <c r="V20" s="259"/>
      <c r="W20" s="259"/>
      <c r="X20" s="259"/>
      <c r="Y20" s="259"/>
      <c r="Z20" s="260"/>
      <c r="AA20" s="255"/>
      <c r="AB20" s="255"/>
    </row>
    <row r="21" spans="1:28" ht="30" customHeight="1" x14ac:dyDescent="0.2">
      <c r="A21" s="254"/>
      <c r="B21" s="506" t="str">
        <f>Translations!$D$72</f>
        <v>Seleccione…</v>
      </c>
      <c r="C21" s="355"/>
      <c r="D21" s="355"/>
      <c r="E21" s="355"/>
      <c r="F21" s="355"/>
      <c r="G21" s="355"/>
      <c r="H21" s="507"/>
      <c r="I21" s="429"/>
      <c r="J21" s="430"/>
      <c r="K21" s="278"/>
      <c r="L21" s="431" t="str">
        <f>Translations!$D$72</f>
        <v>Seleccione…</v>
      </c>
      <c r="M21" s="432"/>
      <c r="N21" s="433"/>
      <c r="O21" s="429"/>
      <c r="P21" s="430"/>
      <c r="Q21" s="429"/>
      <c r="R21" s="430"/>
      <c r="S21" s="429"/>
      <c r="T21" s="434"/>
      <c r="U21" s="258"/>
      <c r="V21" s="259"/>
      <c r="W21" s="259"/>
      <c r="X21" s="259"/>
      <c r="Y21" s="259"/>
      <c r="Z21" s="260"/>
      <c r="AA21" s="255"/>
      <c r="AB21" s="255"/>
    </row>
    <row r="22" spans="1:28" x14ac:dyDescent="0.2">
      <c r="A22" s="265"/>
      <c r="B22" s="265"/>
      <c r="C22" s="265"/>
      <c r="D22" s="265"/>
      <c r="E22" s="265"/>
      <c r="F22" s="265"/>
      <c r="G22" s="265"/>
      <c r="H22" s="265"/>
      <c r="I22" s="265"/>
      <c r="J22" s="265"/>
      <c r="K22" s="265"/>
      <c r="L22" s="265"/>
      <c r="M22" s="265"/>
      <c r="N22" s="265"/>
      <c r="O22" s="265"/>
      <c r="P22" s="265"/>
      <c r="Q22" s="265"/>
      <c r="R22" s="265"/>
      <c r="S22" s="265"/>
      <c r="T22" s="265"/>
      <c r="U22" s="265"/>
      <c r="V22" s="265"/>
      <c r="W22" s="265"/>
      <c r="X22" s="265"/>
      <c r="Y22" s="265"/>
      <c r="Z22" s="265"/>
      <c r="AA22" s="255"/>
      <c r="AB22" s="255"/>
    </row>
    <row r="23" spans="1:28" ht="15.75" x14ac:dyDescent="0.2">
      <c r="A23" s="373" t="str">
        <f>Translations!$D$41</f>
        <v>C. Objetivos del programa e indicadores de resultados</v>
      </c>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5"/>
      <c r="AA23" s="255"/>
      <c r="AB23" s="255"/>
    </row>
    <row r="24" spans="1:28" x14ac:dyDescent="0.2">
      <c r="A24" s="344" t="str">
        <f>Translations!$D$42</f>
        <v xml:space="preserve">     Objetivos:</v>
      </c>
      <c r="B24" s="345"/>
      <c r="C24" s="345"/>
      <c r="D24" s="345"/>
      <c r="E24" s="345"/>
      <c r="F24" s="345"/>
      <c r="G24" s="345"/>
      <c r="H24" s="345"/>
      <c r="I24" s="345"/>
      <c r="J24" s="345"/>
      <c r="K24" s="345"/>
      <c r="L24" s="345"/>
      <c r="M24" s="345"/>
      <c r="N24" s="345"/>
      <c r="O24" s="345"/>
      <c r="P24" s="345"/>
      <c r="Q24" s="345"/>
      <c r="R24" s="345"/>
      <c r="S24" s="345"/>
      <c r="T24" s="345"/>
      <c r="U24" s="345"/>
      <c r="V24" s="345"/>
      <c r="W24" s="345"/>
      <c r="X24" s="345"/>
      <c r="Y24" s="345"/>
      <c r="Z24" s="366"/>
      <c r="AA24" s="255"/>
      <c r="AB24" s="255"/>
    </row>
    <row r="25" spans="1:28" ht="30" customHeight="1" x14ac:dyDescent="0.2">
      <c r="A25" s="303">
        <v>1</v>
      </c>
      <c r="B25" s="376"/>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8"/>
      <c r="AA25" s="255"/>
      <c r="AB25" s="255"/>
    </row>
    <row r="26" spans="1:28" ht="30" customHeight="1" x14ac:dyDescent="0.2">
      <c r="A26" s="304">
        <v>2</v>
      </c>
      <c r="B26" s="367"/>
      <c r="C26" s="368"/>
      <c r="D26" s="368"/>
      <c r="E26" s="368"/>
      <c r="F26" s="368"/>
      <c r="G26" s="368"/>
      <c r="H26" s="368"/>
      <c r="I26" s="368"/>
      <c r="J26" s="368"/>
      <c r="K26" s="368"/>
      <c r="L26" s="368"/>
      <c r="M26" s="368"/>
      <c r="N26" s="368"/>
      <c r="O26" s="368"/>
      <c r="P26" s="368"/>
      <c r="Q26" s="368"/>
      <c r="R26" s="368"/>
      <c r="S26" s="368"/>
      <c r="T26" s="368"/>
      <c r="U26" s="368"/>
      <c r="V26" s="368"/>
      <c r="W26" s="368"/>
      <c r="X26" s="368"/>
      <c r="Y26" s="368"/>
      <c r="Z26" s="369"/>
      <c r="AA26" s="255"/>
      <c r="AB26" s="255"/>
    </row>
    <row r="27" spans="1:28" ht="30" customHeight="1" x14ac:dyDescent="0.2">
      <c r="A27" s="304">
        <v>3</v>
      </c>
      <c r="B27" s="367"/>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9"/>
      <c r="AA27" s="255"/>
      <c r="AB27" s="255"/>
    </row>
    <row r="28" spans="1:28" ht="30" customHeight="1" x14ac:dyDescent="0.2">
      <c r="A28" s="304">
        <v>4</v>
      </c>
      <c r="B28" s="367"/>
      <c r="C28" s="368"/>
      <c r="D28" s="368"/>
      <c r="E28" s="368"/>
      <c r="F28" s="368"/>
      <c r="G28" s="368"/>
      <c r="H28" s="368"/>
      <c r="I28" s="368"/>
      <c r="J28" s="368"/>
      <c r="K28" s="368"/>
      <c r="L28" s="368"/>
      <c r="M28" s="368"/>
      <c r="N28" s="368"/>
      <c r="O28" s="368"/>
      <c r="P28" s="368"/>
      <c r="Q28" s="368"/>
      <c r="R28" s="368"/>
      <c r="S28" s="368"/>
      <c r="T28" s="368"/>
      <c r="U28" s="368"/>
      <c r="V28" s="368"/>
      <c r="W28" s="368"/>
      <c r="X28" s="368"/>
      <c r="Y28" s="368"/>
      <c r="Z28" s="369"/>
      <c r="AA28" s="255"/>
      <c r="AB28" s="255"/>
    </row>
    <row r="29" spans="1:28" ht="30" customHeight="1" x14ac:dyDescent="0.2">
      <c r="A29" s="304">
        <v>5</v>
      </c>
      <c r="B29" s="367"/>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9"/>
      <c r="AA29" s="255"/>
      <c r="AB29" s="255"/>
    </row>
    <row r="30" spans="1:28" ht="30" customHeight="1" x14ac:dyDescent="0.2">
      <c r="A30" s="305">
        <v>6</v>
      </c>
      <c r="B30" s="370"/>
      <c r="C30" s="371"/>
      <c r="D30" s="371"/>
      <c r="E30" s="371"/>
      <c r="F30" s="371"/>
      <c r="G30" s="371"/>
      <c r="H30" s="371"/>
      <c r="I30" s="371"/>
      <c r="J30" s="371"/>
      <c r="K30" s="371"/>
      <c r="L30" s="371"/>
      <c r="M30" s="371"/>
      <c r="N30" s="371"/>
      <c r="O30" s="371"/>
      <c r="P30" s="371"/>
      <c r="Q30" s="371"/>
      <c r="R30" s="371"/>
      <c r="S30" s="371"/>
      <c r="T30" s="371"/>
      <c r="U30" s="371"/>
      <c r="V30" s="371"/>
      <c r="W30" s="371"/>
      <c r="X30" s="371"/>
      <c r="Y30" s="371"/>
      <c r="Z30" s="372"/>
      <c r="AA30" s="255"/>
      <c r="AB30" s="255"/>
    </row>
    <row r="31" spans="1:28"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82"/>
    </row>
    <row r="32" spans="1:28" x14ac:dyDescent="0.2">
      <c r="A32" s="407" t="str">
        <f>Translations!$D$43</f>
        <v xml:space="preserve">Vinculado al (los) objetivo(s) nº </v>
      </c>
      <c r="B32" s="359" t="str">
        <f>Translations!D44</f>
        <v>Indicador de resultados</v>
      </c>
      <c r="C32" s="360"/>
      <c r="D32" s="360"/>
      <c r="E32" s="360"/>
      <c r="F32" s="360"/>
      <c r="G32" s="360"/>
      <c r="H32" s="391"/>
      <c r="I32" s="379" t="str">
        <f>Translations!$D$29</f>
        <v>Línea de base</v>
      </c>
      <c r="J32" s="380"/>
      <c r="K32" s="380"/>
      <c r="L32" s="380"/>
      <c r="M32" s="380"/>
      <c r="N32" s="381"/>
      <c r="O32" s="379" t="str">
        <f>Translations!$D$30</f>
        <v>Metas</v>
      </c>
      <c r="P32" s="380"/>
      <c r="Q32" s="380"/>
      <c r="R32" s="380"/>
      <c r="S32" s="380"/>
      <c r="T32" s="381"/>
      <c r="U32" s="382" t="str">
        <f>Translations!$D$73</f>
        <v>Comentarios y supuestos</v>
      </c>
      <c r="V32" s="383"/>
      <c r="W32" s="383"/>
      <c r="X32" s="383"/>
      <c r="Y32" s="383"/>
      <c r="Z32" s="384"/>
      <c r="AA32" s="292"/>
      <c r="AB32" s="279"/>
    </row>
    <row r="33" spans="1:28" x14ac:dyDescent="0.2">
      <c r="A33" s="408"/>
      <c r="B33" s="362"/>
      <c r="C33" s="363"/>
      <c r="D33" s="363"/>
      <c r="E33" s="363"/>
      <c r="F33" s="363"/>
      <c r="G33" s="363"/>
      <c r="H33" s="410"/>
      <c r="I33" s="359" t="str">
        <f>Translations!$D$31</f>
        <v>Valor</v>
      </c>
      <c r="J33" s="391"/>
      <c r="K33" s="394" t="str">
        <f>Translations!$D$32</f>
        <v xml:space="preserve">Año </v>
      </c>
      <c r="L33" s="359" t="str">
        <f>Translations!$D$33</f>
        <v>Fuente</v>
      </c>
      <c r="M33" s="360"/>
      <c r="N33" s="391"/>
      <c r="O33" s="379" t="str">
        <f>Translations!$D$34</f>
        <v>Año 1</v>
      </c>
      <c r="P33" s="381"/>
      <c r="Q33" s="379" t="str">
        <f>Translations!$D$35</f>
        <v>Año 2</v>
      </c>
      <c r="R33" s="381"/>
      <c r="S33" s="379" t="str">
        <f>Translations!$D$36</f>
        <v>Año 3</v>
      </c>
      <c r="T33" s="381"/>
      <c r="U33" s="385"/>
      <c r="V33" s="386"/>
      <c r="W33" s="386"/>
      <c r="X33" s="386"/>
      <c r="Y33" s="386"/>
      <c r="Z33" s="387"/>
      <c r="AA33" s="292"/>
      <c r="AB33" s="279"/>
    </row>
    <row r="34" spans="1:28" x14ac:dyDescent="0.2">
      <c r="A34" s="409"/>
      <c r="B34" s="392"/>
      <c r="C34" s="396"/>
      <c r="D34" s="396"/>
      <c r="E34" s="396"/>
      <c r="F34" s="396"/>
      <c r="G34" s="396"/>
      <c r="H34" s="393"/>
      <c r="I34" s="392"/>
      <c r="J34" s="393"/>
      <c r="K34" s="395"/>
      <c r="L34" s="392"/>
      <c r="M34" s="396"/>
      <c r="N34" s="393"/>
      <c r="O34" s="397" t="str">
        <f ca="1">O16</f>
        <v>Please select…</v>
      </c>
      <c r="P34" s="398"/>
      <c r="Q34" s="397" t="str">
        <f ca="1">Q16</f>
        <v/>
      </c>
      <c r="R34" s="398"/>
      <c r="S34" s="397" t="str">
        <f ca="1">S16</f>
        <v/>
      </c>
      <c r="T34" s="398"/>
      <c r="U34" s="388"/>
      <c r="V34" s="389"/>
      <c r="W34" s="389"/>
      <c r="X34" s="389"/>
      <c r="Y34" s="389"/>
      <c r="Z34" s="390"/>
      <c r="AA34" s="292"/>
      <c r="AB34" s="279"/>
    </row>
    <row r="35" spans="1:28" ht="30" customHeight="1" x14ac:dyDescent="0.2">
      <c r="A35" s="247"/>
      <c r="B35" s="402" t="str">
        <f>Translations!$D$72</f>
        <v>Seleccione…</v>
      </c>
      <c r="C35" s="357"/>
      <c r="D35" s="357"/>
      <c r="E35" s="357"/>
      <c r="F35" s="357"/>
      <c r="G35" s="357"/>
      <c r="H35" s="403"/>
      <c r="I35" s="399"/>
      <c r="J35" s="400"/>
      <c r="K35" s="281"/>
      <c r="L35" s="404" t="str">
        <f>Translations!$D$72</f>
        <v>Seleccione…</v>
      </c>
      <c r="M35" s="405"/>
      <c r="N35" s="406"/>
      <c r="O35" s="399"/>
      <c r="P35" s="400"/>
      <c r="Q35" s="399"/>
      <c r="R35" s="400"/>
      <c r="S35" s="399"/>
      <c r="T35" s="401"/>
      <c r="U35" s="266"/>
      <c r="V35" s="267"/>
      <c r="W35" s="267"/>
      <c r="X35" s="267"/>
      <c r="Y35" s="267"/>
      <c r="Z35" s="268"/>
      <c r="AA35" s="293"/>
      <c r="AB35" s="294"/>
    </row>
    <row r="36" spans="1:28" ht="30" customHeight="1" x14ac:dyDescent="0.2">
      <c r="A36" s="251"/>
      <c r="B36" s="423" t="str">
        <f>Translations!$D$72</f>
        <v>Seleccione…</v>
      </c>
      <c r="C36" s="424"/>
      <c r="D36" s="424"/>
      <c r="E36" s="424"/>
      <c r="F36" s="424"/>
      <c r="G36" s="424"/>
      <c r="H36" s="425"/>
      <c r="I36" s="413"/>
      <c r="J36" s="414"/>
      <c r="K36" s="277"/>
      <c r="L36" s="415" t="str">
        <f>Translations!$D$72</f>
        <v>Seleccione…</v>
      </c>
      <c r="M36" s="416"/>
      <c r="N36" s="417"/>
      <c r="O36" s="413"/>
      <c r="P36" s="414"/>
      <c r="Q36" s="413"/>
      <c r="R36" s="414"/>
      <c r="S36" s="413"/>
      <c r="T36" s="418"/>
      <c r="U36" s="269"/>
      <c r="V36" s="270"/>
      <c r="W36" s="270"/>
      <c r="X36" s="270"/>
      <c r="Y36" s="270"/>
      <c r="Z36" s="271"/>
      <c r="AA36" s="293"/>
      <c r="AB36" s="294"/>
    </row>
    <row r="37" spans="1:28" ht="30" customHeight="1" x14ac:dyDescent="0.2">
      <c r="A37" s="252"/>
      <c r="B37" s="423" t="str">
        <f>Translations!$D$72</f>
        <v>Seleccione…</v>
      </c>
      <c r="C37" s="424"/>
      <c r="D37" s="424"/>
      <c r="E37" s="424"/>
      <c r="F37" s="424"/>
      <c r="G37" s="424"/>
      <c r="H37" s="425"/>
      <c r="I37" s="413"/>
      <c r="J37" s="414"/>
      <c r="K37" s="277"/>
      <c r="L37" s="415" t="str">
        <f>Translations!$D$72</f>
        <v>Seleccione…</v>
      </c>
      <c r="M37" s="416"/>
      <c r="N37" s="417"/>
      <c r="O37" s="413"/>
      <c r="P37" s="414"/>
      <c r="Q37" s="413"/>
      <c r="R37" s="414"/>
      <c r="S37" s="413"/>
      <c r="T37" s="418"/>
      <c r="U37" s="269"/>
      <c r="V37" s="270"/>
      <c r="W37" s="270"/>
      <c r="X37" s="270"/>
      <c r="Y37" s="270"/>
      <c r="Z37" s="271"/>
      <c r="AA37" s="293"/>
      <c r="AB37" s="294"/>
    </row>
    <row r="38" spans="1:28" ht="30" customHeight="1" x14ac:dyDescent="0.2">
      <c r="A38" s="252"/>
      <c r="B38" s="423" t="str">
        <f>Translations!$D$72</f>
        <v>Seleccione…</v>
      </c>
      <c r="C38" s="424"/>
      <c r="D38" s="424"/>
      <c r="E38" s="424"/>
      <c r="F38" s="424"/>
      <c r="G38" s="424"/>
      <c r="H38" s="425"/>
      <c r="I38" s="413"/>
      <c r="J38" s="414"/>
      <c r="K38" s="277"/>
      <c r="L38" s="415" t="str">
        <f>Translations!$D$72</f>
        <v>Seleccione…</v>
      </c>
      <c r="M38" s="416"/>
      <c r="N38" s="417"/>
      <c r="O38" s="413"/>
      <c r="P38" s="414"/>
      <c r="Q38" s="413"/>
      <c r="R38" s="414"/>
      <c r="S38" s="413"/>
      <c r="T38" s="418"/>
      <c r="U38" s="269"/>
      <c r="V38" s="270"/>
      <c r="W38" s="270"/>
      <c r="X38" s="270"/>
      <c r="Y38" s="270"/>
      <c r="Z38" s="271"/>
      <c r="AA38" s="293"/>
      <c r="AB38" s="294"/>
    </row>
    <row r="39" spans="1:28" ht="30" customHeight="1" x14ac:dyDescent="0.2">
      <c r="A39" s="254"/>
      <c r="B39" s="426" t="str">
        <f>Translations!$D$72</f>
        <v>Seleccione…</v>
      </c>
      <c r="C39" s="427"/>
      <c r="D39" s="427"/>
      <c r="E39" s="427"/>
      <c r="F39" s="427"/>
      <c r="G39" s="427"/>
      <c r="H39" s="428"/>
      <c r="I39" s="429"/>
      <c r="J39" s="430"/>
      <c r="K39" s="278"/>
      <c r="L39" s="431" t="str">
        <f>Translations!$D$72</f>
        <v>Seleccione…</v>
      </c>
      <c r="M39" s="432"/>
      <c r="N39" s="433"/>
      <c r="O39" s="429"/>
      <c r="P39" s="430"/>
      <c r="Q39" s="429"/>
      <c r="R39" s="430"/>
      <c r="S39" s="429"/>
      <c r="T39" s="434"/>
      <c r="U39" s="272"/>
      <c r="V39" s="273"/>
      <c r="W39" s="273"/>
      <c r="X39" s="273"/>
      <c r="Y39" s="273"/>
      <c r="Z39" s="274"/>
      <c r="AA39" s="293"/>
      <c r="AB39" s="294"/>
    </row>
    <row r="40" spans="1:28" x14ac:dyDescent="0.2">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spans="1:28" ht="15.75" x14ac:dyDescent="0.2">
      <c r="A41" s="435" t="str">
        <f>Translations!$D$74</f>
        <v>D. Módulos</v>
      </c>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7"/>
    </row>
    <row r="42" spans="1:28" ht="15.75" x14ac:dyDescent="0.2">
      <c r="A42" s="261"/>
      <c r="B42" s="262"/>
      <c r="C42" s="262"/>
      <c r="D42" s="262"/>
      <c r="E42" s="262"/>
      <c r="F42" s="262"/>
      <c r="G42" s="262"/>
      <c r="H42" s="262"/>
      <c r="I42" s="262"/>
      <c r="J42" s="262"/>
      <c r="K42" s="262"/>
      <c r="L42" s="262"/>
      <c r="M42" s="262"/>
      <c r="N42" s="262"/>
      <c r="O42" s="262"/>
      <c r="P42" s="263"/>
      <c r="Q42" s="263"/>
      <c r="R42" s="263"/>
      <c r="S42" s="263"/>
      <c r="T42" s="263"/>
      <c r="U42" s="263"/>
      <c r="V42" s="263"/>
      <c r="W42" s="263"/>
      <c r="X42" s="263"/>
      <c r="Y42" s="263"/>
      <c r="Z42" s="256"/>
      <c r="AA42" s="256"/>
      <c r="AB42" s="256"/>
    </row>
    <row r="43" spans="1:28" ht="15.75" x14ac:dyDescent="0.2">
      <c r="A43" s="438" t="str">
        <f>Translations!$D$75</f>
        <v>Módulo</v>
      </c>
      <c r="B43" s="439"/>
      <c r="C43" s="314">
        <v>1</v>
      </c>
      <c r="D43" s="440" t="str">
        <f>Translations!$D$72</f>
        <v>Seleccione…</v>
      </c>
      <c r="E43" s="440"/>
      <c r="F43" s="440"/>
      <c r="G43" s="440"/>
      <c r="H43" s="440"/>
      <c r="I43" s="440"/>
      <c r="J43" s="440"/>
      <c r="K43" s="288"/>
      <c r="L43" s="248"/>
      <c r="M43" s="248"/>
      <c r="N43" s="248"/>
      <c r="O43" s="248"/>
      <c r="P43" s="248"/>
      <c r="Q43" s="248"/>
      <c r="R43" s="248"/>
      <c r="S43" s="248"/>
      <c r="T43" s="248"/>
      <c r="U43" s="248"/>
      <c r="V43" s="248"/>
      <c r="W43" s="248"/>
      <c r="X43" s="248"/>
      <c r="Y43" s="248"/>
      <c r="Z43" s="248"/>
      <c r="AA43" s="248"/>
      <c r="AB43" s="249"/>
    </row>
    <row r="44" spans="1:28" ht="15.75" x14ac:dyDescent="0.2">
      <c r="A44" s="295" t="str">
        <f>Translations!$D$76</f>
        <v>Marco de medición por módulo</v>
      </c>
      <c r="B44" s="309"/>
      <c r="C44" s="309"/>
      <c r="D44" s="309"/>
      <c r="E44" s="309"/>
      <c r="F44" s="309"/>
      <c r="G44" s="283"/>
      <c r="H44" s="283"/>
      <c r="I44" s="283"/>
      <c r="J44" s="283"/>
      <c r="K44" s="283"/>
      <c r="L44" s="283"/>
      <c r="M44" s="283"/>
      <c r="N44" s="283"/>
      <c r="O44" s="283"/>
      <c r="P44" s="283"/>
      <c r="Q44" s="283"/>
      <c r="R44" s="419"/>
      <c r="S44" s="419"/>
      <c r="T44" s="419"/>
      <c r="U44" s="419"/>
      <c r="V44" s="419"/>
      <c r="W44" s="419"/>
      <c r="X44" s="419"/>
      <c r="Y44" s="419"/>
      <c r="Z44" s="419"/>
      <c r="AA44" s="419"/>
      <c r="AB44" s="420"/>
    </row>
    <row r="45" spans="1:28" x14ac:dyDescent="0.2">
      <c r="A45" s="360" t="str">
        <f>Translations!$D$49</f>
        <v>Indicador de cobertura/producto</v>
      </c>
      <c r="B45" s="360"/>
      <c r="C45" s="391"/>
      <c r="D45" s="606" t="str">
        <f>Translations!$D$67</f>
        <v>Receptores principales</v>
      </c>
      <c r="E45" s="359" t="str">
        <f>Translations!$D$66</f>
        <v>Vinculado al</v>
      </c>
      <c r="F45" s="391"/>
      <c r="G45" s="359" t="str">
        <f>Translations!$D$29</f>
        <v>Línea de base</v>
      </c>
      <c r="H45" s="360"/>
      <c r="I45" s="360"/>
      <c r="J45" s="391"/>
      <c r="K45" s="359"/>
      <c r="L45" s="360"/>
      <c r="M45" s="379" t="str">
        <f>Translations!$D$30</f>
        <v>Metas</v>
      </c>
      <c r="N45" s="380"/>
      <c r="O45" s="380"/>
      <c r="P45" s="380"/>
      <c r="Q45" s="380"/>
      <c r="R45" s="381"/>
      <c r="S45" s="510" t="str">
        <f>Translations!$D$82</f>
        <v>Supuestos de metas</v>
      </c>
      <c r="T45" s="511"/>
      <c r="U45" s="511"/>
      <c r="V45" s="511"/>
      <c r="W45" s="511"/>
      <c r="X45" s="511"/>
      <c r="Y45" s="511"/>
      <c r="Z45" s="511"/>
      <c r="AA45" s="511"/>
      <c r="AB45" s="512"/>
    </row>
    <row r="46" spans="1:28" x14ac:dyDescent="0.2">
      <c r="A46" s="363"/>
      <c r="B46" s="363"/>
      <c r="C46" s="410"/>
      <c r="D46" s="607"/>
      <c r="E46" s="362"/>
      <c r="F46" s="410"/>
      <c r="G46" s="392"/>
      <c r="H46" s="396"/>
      <c r="I46" s="396"/>
      <c r="J46" s="393"/>
      <c r="K46" s="362"/>
      <c r="L46" s="363"/>
      <c r="M46" s="379" t="str">
        <f>Translations!$D$34</f>
        <v>Año 1</v>
      </c>
      <c r="N46" s="381"/>
      <c r="O46" s="379" t="str">
        <f>Translations!$D$35</f>
        <v>Año 2</v>
      </c>
      <c r="P46" s="381"/>
      <c r="Q46" s="379" t="str">
        <f>Translations!$D$36</f>
        <v>Año 3</v>
      </c>
      <c r="R46" s="381"/>
      <c r="S46" s="513" t="str">
        <f>Translations!$D$83</f>
        <v>Describa lo siguiente: 1) supuestos generales usados al calcular las metas;: 2) tasa de ampliación prevista; 3) estimaciones del tamaño de la población; 4) descripción del indicador/paquete de servicios; 5) fuente de datos; 6) otra información pertinente.</v>
      </c>
      <c r="T46" s="514"/>
      <c r="U46" s="514"/>
      <c r="V46" s="514"/>
      <c r="W46" s="514"/>
      <c r="X46" s="514"/>
      <c r="Y46" s="514"/>
      <c r="Z46" s="514"/>
      <c r="AA46" s="514"/>
      <c r="AB46" s="515"/>
    </row>
    <row r="47" spans="1:28" ht="25.5" x14ac:dyDescent="0.2">
      <c r="A47" s="363"/>
      <c r="B47" s="363"/>
      <c r="C47" s="410"/>
      <c r="D47" s="607"/>
      <c r="E47" s="362"/>
      <c r="F47" s="410"/>
      <c r="G47" s="280" t="s">
        <v>2157</v>
      </c>
      <c r="H47" s="394" t="s">
        <v>14</v>
      </c>
      <c r="I47" s="394" t="str">
        <f>Translations!$D$32</f>
        <v xml:space="preserve">Año </v>
      </c>
      <c r="J47" s="394" t="str">
        <f>Translations!$D$33</f>
        <v>Fuente</v>
      </c>
      <c r="K47" s="362"/>
      <c r="L47" s="421"/>
      <c r="M47" s="307" t="s">
        <v>2157</v>
      </c>
      <c r="N47" s="508" t="s">
        <v>14</v>
      </c>
      <c r="O47" s="307" t="s">
        <v>2157</v>
      </c>
      <c r="P47" s="508" t="s">
        <v>14</v>
      </c>
      <c r="Q47" s="307" t="s">
        <v>2157</v>
      </c>
      <c r="R47" s="508" t="s">
        <v>14</v>
      </c>
      <c r="S47" s="513"/>
      <c r="T47" s="514"/>
      <c r="U47" s="514"/>
      <c r="V47" s="514"/>
      <c r="W47" s="514"/>
      <c r="X47" s="514"/>
      <c r="Y47" s="514"/>
      <c r="Z47" s="514"/>
      <c r="AA47" s="514"/>
      <c r="AB47" s="515"/>
    </row>
    <row r="48" spans="1:28" ht="25.5" x14ac:dyDescent="0.2">
      <c r="A48" s="396"/>
      <c r="B48" s="396"/>
      <c r="C48" s="393"/>
      <c r="D48" s="608"/>
      <c r="E48" s="392"/>
      <c r="F48" s="393"/>
      <c r="G48" s="276" t="s">
        <v>2158</v>
      </c>
      <c r="H48" s="395"/>
      <c r="I48" s="395"/>
      <c r="J48" s="395"/>
      <c r="K48" s="392"/>
      <c r="L48" s="422"/>
      <c r="M48" s="308" t="s">
        <v>2158</v>
      </c>
      <c r="N48" s="509"/>
      <c r="O48" s="308" t="s">
        <v>2158</v>
      </c>
      <c r="P48" s="509"/>
      <c r="Q48" s="308" t="s">
        <v>2158</v>
      </c>
      <c r="R48" s="509"/>
      <c r="S48" s="516"/>
      <c r="T48" s="517"/>
      <c r="U48" s="517"/>
      <c r="V48" s="517"/>
      <c r="W48" s="517"/>
      <c r="X48" s="517"/>
      <c r="Y48" s="517"/>
      <c r="Z48" s="517"/>
      <c r="AA48" s="517"/>
      <c r="AB48" s="518"/>
    </row>
    <row r="49" spans="1:28" x14ac:dyDescent="0.2">
      <c r="A49" s="521"/>
      <c r="B49" s="522"/>
      <c r="C49" s="523"/>
      <c r="D49" s="530" t="str">
        <f>Translations!$D$72</f>
        <v>Seleccione…</v>
      </c>
      <c r="E49" s="533" t="str">
        <f>Translations!$D$72</f>
        <v>Seleccione…</v>
      </c>
      <c r="F49" s="534"/>
      <c r="G49" s="539"/>
      <c r="H49" s="519" t="str">
        <f>IF($G51&lt;&gt;"",$G49/$G51,"")</f>
        <v/>
      </c>
      <c r="I49" s="542"/>
      <c r="J49" s="545" t="str">
        <f>Translations!$D$72</f>
        <v>Seleccione…</v>
      </c>
      <c r="K49" s="548" t="str">
        <f>Translations!$D$78</f>
        <v>Indicativo</v>
      </c>
      <c r="L49" s="549"/>
      <c r="M49" s="315"/>
      <c r="N49" s="519" t="str">
        <f>IF(M50&lt;&gt;"",M49/M50,"")</f>
        <v/>
      </c>
      <c r="O49" s="317"/>
      <c r="P49" s="519" t="str">
        <f>IF(O50&lt;&gt;"",O49/O50,"")</f>
        <v/>
      </c>
      <c r="Q49" s="317"/>
      <c r="R49" s="519" t="str">
        <f>IF(Q50&lt;&gt;"",Q49/Q50,"")</f>
        <v/>
      </c>
      <c r="S49" s="485"/>
      <c r="T49" s="486"/>
      <c r="U49" s="486"/>
      <c r="V49" s="486"/>
      <c r="W49" s="486"/>
      <c r="X49" s="486"/>
      <c r="Y49" s="486"/>
      <c r="Z49" s="486"/>
      <c r="AA49" s="486"/>
      <c r="AB49" s="487"/>
    </row>
    <row r="50" spans="1:28" x14ac:dyDescent="0.2">
      <c r="A50" s="524"/>
      <c r="B50" s="525"/>
      <c r="C50" s="526"/>
      <c r="D50" s="531"/>
      <c r="E50" s="535"/>
      <c r="F50" s="536"/>
      <c r="G50" s="540"/>
      <c r="H50" s="541"/>
      <c r="I50" s="543"/>
      <c r="J50" s="546"/>
      <c r="K50" s="550"/>
      <c r="L50" s="551"/>
      <c r="M50" s="316"/>
      <c r="N50" s="520"/>
      <c r="O50" s="318"/>
      <c r="P50" s="520"/>
      <c r="Q50" s="318"/>
      <c r="R50" s="520"/>
      <c r="S50" s="488"/>
      <c r="T50" s="489"/>
      <c r="U50" s="489"/>
      <c r="V50" s="489"/>
      <c r="W50" s="489"/>
      <c r="X50" s="489"/>
      <c r="Y50" s="489"/>
      <c r="Z50" s="489"/>
      <c r="AA50" s="489"/>
      <c r="AB50" s="490"/>
    </row>
    <row r="51" spans="1:28" x14ac:dyDescent="0.2">
      <c r="A51" s="524"/>
      <c r="B51" s="525"/>
      <c r="C51" s="526"/>
      <c r="D51" s="531"/>
      <c r="E51" s="535"/>
      <c r="F51" s="536"/>
      <c r="G51" s="539"/>
      <c r="H51" s="541"/>
      <c r="I51" s="543"/>
      <c r="J51" s="546"/>
      <c r="K51" s="552" t="str">
        <f>Translations!$D$79</f>
        <v>Por encima del indicativo</v>
      </c>
      <c r="L51" s="553"/>
      <c r="M51" s="315"/>
      <c r="N51" s="519" t="str">
        <f>IF(M52&lt;&gt;"",M51/M52,"")</f>
        <v/>
      </c>
      <c r="O51" s="317"/>
      <c r="P51" s="519" t="str">
        <f>IF(O52&lt;&gt;"",O51/O52,"")</f>
        <v/>
      </c>
      <c r="Q51" s="317"/>
      <c r="R51" s="519" t="str">
        <f>IF(Q52&lt;&gt;"",Q51/Q52,"")</f>
        <v/>
      </c>
      <c r="S51" s="488"/>
      <c r="T51" s="489"/>
      <c r="U51" s="489"/>
      <c r="V51" s="489"/>
      <c r="W51" s="489"/>
      <c r="X51" s="489"/>
      <c r="Y51" s="489"/>
      <c r="Z51" s="489"/>
      <c r="AA51" s="489"/>
      <c r="AB51" s="490"/>
    </row>
    <row r="52" spans="1:28" x14ac:dyDescent="0.2">
      <c r="A52" s="527"/>
      <c r="B52" s="528"/>
      <c r="C52" s="529"/>
      <c r="D52" s="532"/>
      <c r="E52" s="537"/>
      <c r="F52" s="538"/>
      <c r="G52" s="540"/>
      <c r="H52" s="520"/>
      <c r="I52" s="544"/>
      <c r="J52" s="547"/>
      <c r="K52" s="554"/>
      <c r="L52" s="555"/>
      <c r="M52" s="316"/>
      <c r="N52" s="520"/>
      <c r="O52" s="318"/>
      <c r="P52" s="520"/>
      <c r="Q52" s="318"/>
      <c r="R52" s="520"/>
      <c r="S52" s="491"/>
      <c r="T52" s="492"/>
      <c r="U52" s="492"/>
      <c r="V52" s="492"/>
      <c r="W52" s="492"/>
      <c r="X52" s="492"/>
      <c r="Y52" s="492"/>
      <c r="Z52" s="492"/>
      <c r="AA52" s="492"/>
      <c r="AB52" s="493"/>
    </row>
    <row r="53" spans="1:28" x14ac:dyDescent="0.2">
      <c r="A53" s="521"/>
      <c r="B53" s="522"/>
      <c r="C53" s="523"/>
      <c r="D53" s="530" t="str">
        <f>Translations!$D$72</f>
        <v>Seleccione…</v>
      </c>
      <c r="E53" s="533" t="str">
        <f>Translations!$D$72</f>
        <v>Seleccione…</v>
      </c>
      <c r="F53" s="534"/>
      <c r="G53" s="539"/>
      <c r="H53" s="519" t="str">
        <f>IF($G55&lt;&gt;"",$G53/$G55,"")</f>
        <v/>
      </c>
      <c r="I53" s="542"/>
      <c r="J53" s="545" t="str">
        <f>Translations!$D$72</f>
        <v>Seleccione…</v>
      </c>
      <c r="K53" s="548" t="str">
        <f>Translations!$D$78</f>
        <v>Indicativo</v>
      </c>
      <c r="L53" s="549"/>
      <c r="M53" s="315"/>
      <c r="N53" s="519" t="str">
        <f>IF(M54&lt;&gt;"",M53/M54,"")</f>
        <v/>
      </c>
      <c r="O53" s="317"/>
      <c r="P53" s="519" t="str">
        <f>IF(O54&lt;&gt;"",O53/O54,"")</f>
        <v/>
      </c>
      <c r="Q53" s="317"/>
      <c r="R53" s="519" t="str">
        <f>IF(Q54&lt;&gt;"",Q53/Q54,"")</f>
        <v/>
      </c>
      <c r="S53" s="485"/>
      <c r="T53" s="486"/>
      <c r="U53" s="486"/>
      <c r="V53" s="486"/>
      <c r="W53" s="486"/>
      <c r="X53" s="486"/>
      <c r="Y53" s="486"/>
      <c r="Z53" s="486"/>
      <c r="AA53" s="486"/>
      <c r="AB53" s="487"/>
    </row>
    <row r="54" spans="1:28" x14ac:dyDescent="0.2">
      <c r="A54" s="524"/>
      <c r="B54" s="525"/>
      <c r="C54" s="526"/>
      <c r="D54" s="531"/>
      <c r="E54" s="535"/>
      <c r="F54" s="536"/>
      <c r="G54" s="540"/>
      <c r="H54" s="541"/>
      <c r="I54" s="543"/>
      <c r="J54" s="546"/>
      <c r="K54" s="550"/>
      <c r="L54" s="551"/>
      <c r="M54" s="316"/>
      <c r="N54" s="520"/>
      <c r="O54" s="318"/>
      <c r="P54" s="520"/>
      <c r="Q54" s="318"/>
      <c r="R54" s="520"/>
      <c r="S54" s="488"/>
      <c r="T54" s="489"/>
      <c r="U54" s="489"/>
      <c r="V54" s="489"/>
      <c r="W54" s="489"/>
      <c r="X54" s="489"/>
      <c r="Y54" s="489"/>
      <c r="Z54" s="489"/>
      <c r="AA54" s="489"/>
      <c r="AB54" s="490"/>
    </row>
    <row r="55" spans="1:28" x14ac:dyDescent="0.2">
      <c r="A55" s="524"/>
      <c r="B55" s="525"/>
      <c r="C55" s="526"/>
      <c r="D55" s="531"/>
      <c r="E55" s="535"/>
      <c r="F55" s="536"/>
      <c r="G55" s="539"/>
      <c r="H55" s="541"/>
      <c r="I55" s="543"/>
      <c r="J55" s="546"/>
      <c r="K55" s="552" t="str">
        <f>Translations!$D$79</f>
        <v>Por encima del indicativo</v>
      </c>
      <c r="L55" s="553"/>
      <c r="M55" s="315"/>
      <c r="N55" s="519" t="str">
        <f>IF(M56&lt;&gt;"",M55/M56,"")</f>
        <v/>
      </c>
      <c r="O55" s="317"/>
      <c r="P55" s="519" t="str">
        <f>IF(O56&lt;&gt;"",O55/O56,"")</f>
        <v/>
      </c>
      <c r="Q55" s="317"/>
      <c r="R55" s="519" t="str">
        <f>IF(Q56&lt;&gt;"",Q55/Q56,"")</f>
        <v/>
      </c>
      <c r="S55" s="488"/>
      <c r="T55" s="489"/>
      <c r="U55" s="489"/>
      <c r="V55" s="489"/>
      <c r="W55" s="489"/>
      <c r="X55" s="489"/>
      <c r="Y55" s="489"/>
      <c r="Z55" s="489"/>
      <c r="AA55" s="489"/>
      <c r="AB55" s="490"/>
    </row>
    <row r="56" spans="1:28" x14ac:dyDescent="0.2">
      <c r="A56" s="527"/>
      <c r="B56" s="528"/>
      <c r="C56" s="529"/>
      <c r="D56" s="532"/>
      <c r="E56" s="537"/>
      <c r="F56" s="538"/>
      <c r="G56" s="540"/>
      <c r="H56" s="520"/>
      <c r="I56" s="544"/>
      <c r="J56" s="547"/>
      <c r="K56" s="554"/>
      <c r="L56" s="555"/>
      <c r="M56" s="316"/>
      <c r="N56" s="520"/>
      <c r="O56" s="318"/>
      <c r="P56" s="520"/>
      <c r="Q56" s="318"/>
      <c r="R56" s="520"/>
      <c r="S56" s="491"/>
      <c r="T56" s="492"/>
      <c r="U56" s="492"/>
      <c r="V56" s="492"/>
      <c r="W56" s="492"/>
      <c r="X56" s="492"/>
      <c r="Y56" s="492"/>
      <c r="Z56" s="492"/>
      <c r="AA56" s="492"/>
      <c r="AB56" s="493"/>
    </row>
    <row r="57" spans="1:28" x14ac:dyDescent="0.2">
      <c r="A57" s="521"/>
      <c r="B57" s="522"/>
      <c r="C57" s="523"/>
      <c r="D57" s="530" t="str">
        <f>Translations!$D$72</f>
        <v>Seleccione…</v>
      </c>
      <c r="E57" s="533" t="str">
        <f>Translations!$D$72</f>
        <v>Seleccione…</v>
      </c>
      <c r="F57" s="534"/>
      <c r="G57" s="539"/>
      <c r="H57" s="519" t="str">
        <f>IF($G59&lt;&gt;"",$G57/$G59,"")</f>
        <v/>
      </c>
      <c r="I57" s="542"/>
      <c r="J57" s="545" t="str">
        <f>Translations!$D$72</f>
        <v>Seleccione…</v>
      </c>
      <c r="K57" s="548" t="str">
        <f>Translations!$D$78</f>
        <v>Indicativo</v>
      </c>
      <c r="L57" s="549"/>
      <c r="M57" s="315"/>
      <c r="N57" s="519" t="str">
        <f>IF(M58&lt;&gt;"",M57/M58,"")</f>
        <v/>
      </c>
      <c r="O57" s="317"/>
      <c r="P57" s="519" t="str">
        <f>IF(O58&lt;&gt;"",O57/O58,"")</f>
        <v/>
      </c>
      <c r="Q57" s="317"/>
      <c r="R57" s="519" t="str">
        <f>IF(Q58&lt;&gt;"",Q57/Q58,"")</f>
        <v/>
      </c>
      <c r="S57" s="485"/>
      <c r="T57" s="486"/>
      <c r="U57" s="486"/>
      <c r="V57" s="486"/>
      <c r="W57" s="486"/>
      <c r="X57" s="486"/>
      <c r="Y57" s="486"/>
      <c r="Z57" s="486"/>
      <c r="AA57" s="486"/>
      <c r="AB57" s="487"/>
    </row>
    <row r="58" spans="1:28" x14ac:dyDescent="0.2">
      <c r="A58" s="524"/>
      <c r="B58" s="525"/>
      <c r="C58" s="526"/>
      <c r="D58" s="531"/>
      <c r="E58" s="535"/>
      <c r="F58" s="536"/>
      <c r="G58" s="540"/>
      <c r="H58" s="541"/>
      <c r="I58" s="543"/>
      <c r="J58" s="546"/>
      <c r="K58" s="550"/>
      <c r="L58" s="551"/>
      <c r="M58" s="316"/>
      <c r="N58" s="520"/>
      <c r="O58" s="318"/>
      <c r="P58" s="520"/>
      <c r="Q58" s="318"/>
      <c r="R58" s="520"/>
      <c r="S58" s="488"/>
      <c r="T58" s="489"/>
      <c r="U58" s="489"/>
      <c r="V58" s="489"/>
      <c r="W58" s="489"/>
      <c r="X58" s="489"/>
      <c r="Y58" s="489"/>
      <c r="Z58" s="489"/>
      <c r="AA58" s="489"/>
      <c r="AB58" s="490"/>
    </row>
    <row r="59" spans="1:28" x14ac:dyDescent="0.2">
      <c r="A59" s="524"/>
      <c r="B59" s="525"/>
      <c r="C59" s="526"/>
      <c r="D59" s="531"/>
      <c r="E59" s="535"/>
      <c r="F59" s="536"/>
      <c r="G59" s="539"/>
      <c r="H59" s="541"/>
      <c r="I59" s="543"/>
      <c r="J59" s="546"/>
      <c r="K59" s="552" t="str">
        <f>Translations!$D$79</f>
        <v>Por encima del indicativo</v>
      </c>
      <c r="L59" s="553"/>
      <c r="M59" s="315"/>
      <c r="N59" s="519" t="str">
        <f>IF(M60&lt;&gt;"",M59/M60,"")</f>
        <v/>
      </c>
      <c r="O59" s="317"/>
      <c r="P59" s="519" t="str">
        <f>IF(O60&lt;&gt;"",O59/O60,"")</f>
        <v/>
      </c>
      <c r="Q59" s="317"/>
      <c r="R59" s="519" t="str">
        <f>IF(Q60&lt;&gt;"",Q59/Q60,"")</f>
        <v/>
      </c>
      <c r="S59" s="488"/>
      <c r="T59" s="489"/>
      <c r="U59" s="489"/>
      <c r="V59" s="489"/>
      <c r="W59" s="489"/>
      <c r="X59" s="489"/>
      <c r="Y59" s="489"/>
      <c r="Z59" s="489"/>
      <c r="AA59" s="489"/>
      <c r="AB59" s="490"/>
    </row>
    <row r="60" spans="1:28" x14ac:dyDescent="0.2">
      <c r="A60" s="527"/>
      <c r="B60" s="528"/>
      <c r="C60" s="529"/>
      <c r="D60" s="532"/>
      <c r="E60" s="537"/>
      <c r="F60" s="538"/>
      <c r="G60" s="540"/>
      <c r="H60" s="520"/>
      <c r="I60" s="544"/>
      <c r="J60" s="547"/>
      <c r="K60" s="554"/>
      <c r="L60" s="555"/>
      <c r="M60" s="316"/>
      <c r="N60" s="520"/>
      <c r="O60" s="318"/>
      <c r="P60" s="520"/>
      <c r="Q60" s="318"/>
      <c r="R60" s="520"/>
      <c r="S60" s="491"/>
      <c r="T60" s="492"/>
      <c r="U60" s="492"/>
      <c r="V60" s="492"/>
      <c r="W60" s="492"/>
      <c r="X60" s="492"/>
      <c r="Y60" s="492"/>
      <c r="Z60" s="492"/>
      <c r="AA60" s="492"/>
      <c r="AB60" s="493"/>
    </row>
    <row r="61" spans="1:28" ht="15.75" x14ac:dyDescent="0.2">
      <c r="A61" s="295" t="str">
        <f>Translations!$D$87</f>
        <v>Presupuesto del módulo</v>
      </c>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7"/>
    </row>
    <row r="62" spans="1:28" x14ac:dyDescent="0.2">
      <c r="A62" s="560" t="str">
        <f>Translations!$D$84</f>
        <v>Solicitud de importe indicativo para todo el módulo</v>
      </c>
      <c r="B62" s="561"/>
      <c r="C62" s="561"/>
      <c r="D62" s="561"/>
      <c r="E62" s="562"/>
      <c r="F62" s="313">
        <v>0</v>
      </c>
      <c r="G62" s="312"/>
      <c r="H62" s="312"/>
      <c r="I62" s="310"/>
      <c r="J62" s="563" t="str">
        <f>Translations!$D$85</f>
        <v>Solicitud de importe por encima del indicativo para todo el módulo</v>
      </c>
      <c r="K62" s="564"/>
      <c r="L62" s="564"/>
      <c r="M62" s="564"/>
      <c r="N62" s="564"/>
      <c r="O62" s="564"/>
      <c r="P62" s="564"/>
      <c r="Q62" s="565">
        <v>0</v>
      </c>
      <c r="R62" s="566"/>
      <c r="S62" s="567"/>
      <c r="T62" s="567"/>
      <c r="U62" s="567"/>
      <c r="V62" s="310"/>
      <c r="W62" s="310"/>
      <c r="X62" s="310"/>
      <c r="Y62" s="310"/>
      <c r="Z62" s="310"/>
      <c r="AA62" s="310"/>
      <c r="AB62" s="311"/>
    </row>
    <row r="63" spans="1:28" x14ac:dyDescent="0.2">
      <c r="A63" s="359" t="str">
        <f>Translations!$D$86</f>
        <v>Intervención</v>
      </c>
      <c r="B63" s="360"/>
      <c r="C63" s="391"/>
      <c r="D63" s="568" t="str">
        <f>Translations!$D$88</f>
        <v>Descripción de la intervención</v>
      </c>
      <c r="E63" s="569"/>
      <c r="F63" s="569"/>
      <c r="G63" s="569"/>
      <c r="H63" s="569"/>
      <c r="I63" s="570"/>
      <c r="J63" s="394" t="str">
        <f>Translations!$D$67</f>
        <v>Receptores principales</v>
      </c>
      <c r="K63" s="359" t="str">
        <f>Translations!$D$90</f>
        <v>Presupuesto de la intervención (solicitud al Fondo Mundial exclusivamente)</v>
      </c>
      <c r="L63" s="360"/>
      <c r="M63" s="360"/>
      <c r="N63" s="360"/>
      <c r="O63" s="360"/>
      <c r="P63" s="360"/>
      <c r="Q63" s="360"/>
      <c r="R63" s="391"/>
      <c r="S63" s="568" t="str">
        <f>Translations!$D$91</f>
        <v>Supuestos de costo para la solicitud al Fondo Mundial</v>
      </c>
      <c r="T63" s="569"/>
      <c r="U63" s="569"/>
      <c r="V63" s="569"/>
      <c r="W63" s="569"/>
      <c r="X63" s="569"/>
      <c r="Y63" s="570"/>
      <c r="Z63" s="596" t="str">
        <f>Translations!$D$93</f>
        <v>Otros fondos recibidos para esta intervención (incluido el alcance de las actividades financiadas)</v>
      </c>
      <c r="AA63" s="596"/>
      <c r="AB63" s="596"/>
    </row>
    <row r="64" spans="1:28" ht="40.5" customHeight="1" x14ac:dyDescent="0.2">
      <c r="A64" s="392"/>
      <c r="B64" s="396"/>
      <c r="C64" s="393"/>
      <c r="D64" s="557" t="str">
        <f>Translations!$D$89</f>
        <v>Describa lo siguiente: 1) justificación para el apoyo del Fondo Mundial; 2) vínculos con el plan estratégico nacional; 3) población objetivo y alcance geográfico; 4) enfoque de ejecución; y 5) otra información pertinente. Diferencie entre el alcance de la solicitud de financiamiento indicativo y la correspondiente al importe por encima del indicativo.</v>
      </c>
      <c r="E64" s="558"/>
      <c r="F64" s="558"/>
      <c r="G64" s="558"/>
      <c r="H64" s="558"/>
      <c r="I64" s="559"/>
      <c r="J64" s="395"/>
      <c r="K64" s="285"/>
      <c r="L64" s="286"/>
      <c r="M64" s="379" t="str">
        <f>Translations!$D$34</f>
        <v>Año 1</v>
      </c>
      <c r="N64" s="381"/>
      <c r="O64" s="596" t="str">
        <f>Translations!$D$35</f>
        <v>Año 2</v>
      </c>
      <c r="P64" s="596"/>
      <c r="Q64" s="596" t="str">
        <f>Translations!$D$36</f>
        <v>Año 3</v>
      </c>
      <c r="R64" s="596"/>
      <c r="S64" s="557" t="str">
        <f>Translations!$D$92</f>
        <v>Describa lo siguiente: 1) supuestos de costo y fuentes de datos; 2) actividades clave; 3) otra información pertinente. Diferencie entre el alcance de la solicitud de financiamiento indicativo y la correspondiente al importe por encima del indicativo..</v>
      </c>
      <c r="T64" s="558"/>
      <c r="U64" s="558"/>
      <c r="V64" s="558"/>
      <c r="W64" s="558"/>
      <c r="X64" s="558"/>
      <c r="Y64" s="559"/>
      <c r="Z64" s="596"/>
      <c r="AA64" s="596"/>
      <c r="AB64" s="596"/>
    </row>
    <row r="65" spans="1:28" x14ac:dyDescent="0.2">
      <c r="A65" s="459" t="str">
        <f>Translations!$D$72</f>
        <v>Seleccione…</v>
      </c>
      <c r="B65" s="460"/>
      <c r="C65" s="461"/>
      <c r="D65" s="571"/>
      <c r="E65" s="572"/>
      <c r="F65" s="572"/>
      <c r="G65" s="572"/>
      <c r="H65" s="572"/>
      <c r="I65" s="573"/>
      <c r="J65" s="580"/>
      <c r="K65" s="452" t="str">
        <f>Translations!$D$78</f>
        <v>Indicativo</v>
      </c>
      <c r="L65" s="453"/>
      <c r="M65" s="454"/>
      <c r="N65" s="455"/>
      <c r="O65" s="456"/>
      <c r="P65" s="457"/>
      <c r="Q65" s="456"/>
      <c r="R65" s="457"/>
      <c r="S65" s="588"/>
      <c r="T65" s="588"/>
      <c r="U65" s="588"/>
      <c r="V65" s="588"/>
      <c r="W65" s="588"/>
      <c r="X65" s="588"/>
      <c r="Y65" s="588"/>
      <c r="Z65" s="460"/>
      <c r="AA65" s="460"/>
      <c r="AB65" s="461"/>
    </row>
    <row r="66" spans="1:28" x14ac:dyDescent="0.2">
      <c r="A66" s="473"/>
      <c r="B66" s="474"/>
      <c r="C66" s="475"/>
      <c r="D66" s="574"/>
      <c r="E66" s="575"/>
      <c r="F66" s="575"/>
      <c r="G66" s="575"/>
      <c r="H66" s="575"/>
      <c r="I66" s="576"/>
      <c r="J66" s="581"/>
      <c r="K66" s="465" t="str">
        <f>Translations!$D$79</f>
        <v>Por encima del indicativo</v>
      </c>
      <c r="L66" s="466"/>
      <c r="M66" s="467"/>
      <c r="N66" s="468"/>
      <c r="O66" s="469"/>
      <c r="P66" s="470"/>
      <c r="Q66" s="471"/>
      <c r="R66" s="472"/>
      <c r="S66" s="588"/>
      <c r="T66" s="588"/>
      <c r="U66" s="588"/>
      <c r="V66" s="588"/>
      <c r="W66" s="588"/>
      <c r="X66" s="588"/>
      <c r="Y66" s="588"/>
      <c r="Z66" s="463"/>
      <c r="AA66" s="463"/>
      <c r="AB66" s="464"/>
    </row>
    <row r="67" spans="1:28" x14ac:dyDescent="0.2">
      <c r="A67" s="473"/>
      <c r="B67" s="474"/>
      <c r="C67" s="475"/>
      <c r="D67" s="574"/>
      <c r="E67" s="575"/>
      <c r="F67" s="575"/>
      <c r="G67" s="575"/>
      <c r="H67" s="575"/>
      <c r="I67" s="576"/>
      <c r="J67" s="476"/>
      <c r="K67" s="452" t="str">
        <f>Translations!$D$78</f>
        <v>Indicativo</v>
      </c>
      <c r="L67" s="453"/>
      <c r="M67" s="454"/>
      <c r="N67" s="455"/>
      <c r="O67" s="456"/>
      <c r="P67" s="457"/>
      <c r="Q67" s="456"/>
      <c r="R67" s="457"/>
      <c r="S67" s="588"/>
      <c r="T67" s="588"/>
      <c r="U67" s="588"/>
      <c r="V67" s="588"/>
      <c r="W67" s="588"/>
      <c r="X67" s="588"/>
      <c r="Y67" s="588"/>
      <c r="Z67" s="459"/>
      <c r="AA67" s="460"/>
      <c r="AB67" s="461"/>
    </row>
    <row r="68" spans="1:28" x14ac:dyDescent="0.2">
      <c r="A68" s="462"/>
      <c r="B68" s="463"/>
      <c r="C68" s="464"/>
      <c r="D68" s="577"/>
      <c r="E68" s="578"/>
      <c r="F68" s="578"/>
      <c r="G68" s="578"/>
      <c r="H68" s="578"/>
      <c r="I68" s="579"/>
      <c r="J68" s="477"/>
      <c r="K68" s="465" t="str">
        <f>Translations!$D$79</f>
        <v>Por encima del indicativo</v>
      </c>
      <c r="L68" s="466"/>
      <c r="M68" s="467"/>
      <c r="N68" s="468"/>
      <c r="O68" s="469"/>
      <c r="P68" s="470"/>
      <c r="Q68" s="471"/>
      <c r="R68" s="472"/>
      <c r="S68" s="588"/>
      <c r="T68" s="588"/>
      <c r="U68" s="588"/>
      <c r="V68" s="588"/>
      <c r="W68" s="588"/>
      <c r="X68" s="588"/>
      <c r="Y68" s="588"/>
      <c r="Z68" s="462"/>
      <c r="AA68" s="463"/>
      <c r="AB68" s="464"/>
    </row>
    <row r="69" spans="1:28" x14ac:dyDescent="0.2">
      <c r="A69" s="459" t="str">
        <f>Translations!$D$72</f>
        <v>Seleccione…</v>
      </c>
      <c r="B69" s="460"/>
      <c r="C69" s="461"/>
      <c r="D69" s="441"/>
      <c r="E69" s="442"/>
      <c r="F69" s="442"/>
      <c r="G69" s="442"/>
      <c r="H69" s="442"/>
      <c r="I69" s="443"/>
      <c r="J69" s="450"/>
      <c r="K69" s="452" t="str">
        <f>Translations!$D$78</f>
        <v>Indicativo</v>
      </c>
      <c r="L69" s="453"/>
      <c r="M69" s="454"/>
      <c r="N69" s="455"/>
      <c r="O69" s="456"/>
      <c r="P69" s="457"/>
      <c r="Q69" s="456"/>
      <c r="R69" s="457"/>
      <c r="S69" s="588"/>
      <c r="T69" s="588"/>
      <c r="U69" s="588"/>
      <c r="V69" s="588"/>
      <c r="W69" s="588"/>
      <c r="X69" s="588"/>
      <c r="Y69" s="588"/>
      <c r="Z69" s="459"/>
      <c r="AA69" s="460"/>
      <c r="AB69" s="461"/>
    </row>
    <row r="70" spans="1:28" x14ac:dyDescent="0.2">
      <c r="A70" s="473"/>
      <c r="B70" s="474"/>
      <c r="C70" s="475"/>
      <c r="D70" s="444"/>
      <c r="E70" s="445"/>
      <c r="F70" s="445"/>
      <c r="G70" s="445"/>
      <c r="H70" s="445"/>
      <c r="I70" s="446"/>
      <c r="J70" s="451"/>
      <c r="K70" s="465" t="str">
        <f>Translations!$D$79</f>
        <v>Por encima del indicativo</v>
      </c>
      <c r="L70" s="466"/>
      <c r="M70" s="467"/>
      <c r="N70" s="468"/>
      <c r="O70" s="469"/>
      <c r="P70" s="470"/>
      <c r="Q70" s="471"/>
      <c r="R70" s="472"/>
      <c r="S70" s="588"/>
      <c r="T70" s="588"/>
      <c r="U70" s="588"/>
      <c r="V70" s="588"/>
      <c r="W70" s="588"/>
      <c r="X70" s="588"/>
      <c r="Y70" s="588"/>
      <c r="Z70" s="462"/>
      <c r="AA70" s="463"/>
      <c r="AB70" s="464"/>
    </row>
    <row r="71" spans="1:28" x14ac:dyDescent="0.2">
      <c r="A71" s="473"/>
      <c r="B71" s="474"/>
      <c r="C71" s="475"/>
      <c r="D71" s="444"/>
      <c r="E71" s="445"/>
      <c r="F71" s="445"/>
      <c r="G71" s="445"/>
      <c r="H71" s="445"/>
      <c r="I71" s="446"/>
      <c r="J71" s="476"/>
      <c r="K71" s="452" t="str">
        <f>Translations!$D$78</f>
        <v>Indicativo</v>
      </c>
      <c r="L71" s="453"/>
      <c r="M71" s="454"/>
      <c r="N71" s="455"/>
      <c r="O71" s="456"/>
      <c r="P71" s="457"/>
      <c r="Q71" s="456"/>
      <c r="R71" s="457"/>
      <c r="S71" s="588"/>
      <c r="T71" s="588"/>
      <c r="U71" s="588"/>
      <c r="V71" s="588"/>
      <c r="W71" s="588"/>
      <c r="X71" s="588"/>
      <c r="Y71" s="588"/>
      <c r="Z71" s="459"/>
      <c r="AA71" s="460"/>
      <c r="AB71" s="461"/>
    </row>
    <row r="72" spans="1:28" x14ac:dyDescent="0.2">
      <c r="A72" s="462"/>
      <c r="B72" s="463"/>
      <c r="C72" s="464"/>
      <c r="D72" s="447"/>
      <c r="E72" s="448"/>
      <c r="F72" s="448"/>
      <c r="G72" s="448"/>
      <c r="H72" s="448"/>
      <c r="I72" s="449"/>
      <c r="J72" s="477"/>
      <c r="K72" s="465" t="str">
        <f>Translations!$D$79</f>
        <v>Por encima del indicativo</v>
      </c>
      <c r="L72" s="466"/>
      <c r="M72" s="467"/>
      <c r="N72" s="468"/>
      <c r="O72" s="469"/>
      <c r="P72" s="470"/>
      <c r="Q72" s="471"/>
      <c r="R72" s="472"/>
      <c r="S72" s="588"/>
      <c r="T72" s="588"/>
      <c r="U72" s="588"/>
      <c r="V72" s="588"/>
      <c r="W72" s="588"/>
      <c r="X72" s="588"/>
      <c r="Y72" s="588"/>
      <c r="Z72" s="462"/>
      <c r="AA72" s="463"/>
      <c r="AB72" s="464"/>
    </row>
    <row r="73" spans="1:28" x14ac:dyDescent="0.2">
      <c r="A73" s="459" t="str">
        <f>Translations!$D$72</f>
        <v>Seleccione…</v>
      </c>
      <c r="B73" s="460"/>
      <c r="C73" s="461"/>
      <c r="D73" s="441"/>
      <c r="E73" s="442"/>
      <c r="F73" s="442"/>
      <c r="G73" s="442"/>
      <c r="H73" s="442"/>
      <c r="I73" s="443"/>
      <c r="J73" s="450"/>
      <c r="K73" s="452" t="str">
        <f>Translations!$D$78</f>
        <v>Indicativo</v>
      </c>
      <c r="L73" s="453"/>
      <c r="M73" s="454"/>
      <c r="N73" s="455"/>
      <c r="O73" s="456"/>
      <c r="P73" s="457"/>
      <c r="Q73" s="456"/>
      <c r="R73" s="457"/>
      <c r="S73" s="588"/>
      <c r="T73" s="588"/>
      <c r="U73" s="588"/>
      <c r="V73" s="588"/>
      <c r="W73" s="588"/>
      <c r="X73" s="588"/>
      <c r="Y73" s="588"/>
      <c r="Z73" s="582"/>
      <c r="AA73" s="583"/>
      <c r="AB73" s="584"/>
    </row>
    <row r="74" spans="1:28" x14ac:dyDescent="0.2">
      <c r="A74" s="473"/>
      <c r="B74" s="474"/>
      <c r="C74" s="475"/>
      <c r="D74" s="444"/>
      <c r="E74" s="445"/>
      <c r="F74" s="445"/>
      <c r="G74" s="445"/>
      <c r="H74" s="445"/>
      <c r="I74" s="446"/>
      <c r="J74" s="451"/>
      <c r="K74" s="465" t="str">
        <f>Translations!$D$79</f>
        <v>Por encima del indicativo</v>
      </c>
      <c r="L74" s="466"/>
      <c r="M74" s="467"/>
      <c r="N74" s="468"/>
      <c r="O74" s="275"/>
      <c r="P74" s="275"/>
      <c r="Q74" s="469"/>
      <c r="R74" s="470"/>
      <c r="S74" s="588"/>
      <c r="T74" s="588"/>
      <c r="U74" s="588"/>
      <c r="V74" s="588"/>
      <c r="W74" s="588"/>
      <c r="X74" s="588"/>
      <c r="Y74" s="588"/>
      <c r="Z74" s="585"/>
      <c r="AA74" s="586"/>
      <c r="AB74" s="587"/>
    </row>
    <row r="75" spans="1:28" x14ac:dyDescent="0.2">
      <c r="A75" s="473"/>
      <c r="B75" s="474"/>
      <c r="C75" s="475"/>
      <c r="D75" s="444"/>
      <c r="E75" s="445"/>
      <c r="F75" s="445"/>
      <c r="G75" s="445"/>
      <c r="H75" s="445"/>
      <c r="I75" s="446"/>
      <c r="J75" s="476"/>
      <c r="K75" s="452" t="str">
        <f>Translations!$D$78</f>
        <v>Indicativo</v>
      </c>
      <c r="L75" s="453"/>
      <c r="M75" s="454"/>
      <c r="N75" s="455"/>
      <c r="O75" s="456"/>
      <c r="P75" s="457"/>
      <c r="Q75" s="456"/>
      <c r="R75" s="457"/>
      <c r="S75" s="588"/>
      <c r="T75" s="588"/>
      <c r="U75" s="588"/>
      <c r="V75" s="588"/>
      <c r="W75" s="588"/>
      <c r="X75" s="588"/>
      <c r="Y75" s="588"/>
      <c r="Z75" s="459"/>
      <c r="AA75" s="460"/>
      <c r="AB75" s="461"/>
    </row>
    <row r="76" spans="1:28" x14ac:dyDescent="0.2">
      <c r="A76" s="462"/>
      <c r="B76" s="463"/>
      <c r="C76" s="464"/>
      <c r="D76" s="447"/>
      <c r="E76" s="448"/>
      <c r="F76" s="448"/>
      <c r="G76" s="448"/>
      <c r="H76" s="448"/>
      <c r="I76" s="449"/>
      <c r="J76" s="477"/>
      <c r="K76" s="465" t="str">
        <f>Translations!$D$79</f>
        <v>Por encima del indicativo</v>
      </c>
      <c r="L76" s="466"/>
      <c r="M76" s="467"/>
      <c r="N76" s="468"/>
      <c r="O76" s="469"/>
      <c r="P76" s="470"/>
      <c r="Q76" s="471"/>
      <c r="R76" s="472"/>
      <c r="S76" s="588"/>
      <c r="T76" s="588"/>
      <c r="U76" s="588"/>
      <c r="V76" s="588"/>
      <c r="W76" s="588"/>
      <c r="X76" s="588"/>
      <c r="Y76" s="588"/>
      <c r="Z76" s="462"/>
      <c r="AA76" s="463"/>
      <c r="AB76" s="464"/>
    </row>
    <row r="77" spans="1:28" x14ac:dyDescent="0.2">
      <c r="A77" s="459" t="str">
        <f>Translations!$D$72</f>
        <v>Seleccione…</v>
      </c>
      <c r="B77" s="460"/>
      <c r="C77" s="461"/>
      <c r="D77" s="441"/>
      <c r="E77" s="442"/>
      <c r="F77" s="442"/>
      <c r="G77" s="442"/>
      <c r="H77" s="442"/>
      <c r="I77" s="443"/>
      <c r="J77" s="450"/>
      <c r="K77" s="452" t="str">
        <f>Translations!$D$78</f>
        <v>Indicativo</v>
      </c>
      <c r="L77" s="453"/>
      <c r="M77" s="454"/>
      <c r="N77" s="455"/>
      <c r="O77" s="456"/>
      <c r="P77" s="457"/>
      <c r="Q77" s="456"/>
      <c r="R77" s="457"/>
      <c r="S77" s="588"/>
      <c r="T77" s="588"/>
      <c r="U77" s="588"/>
      <c r="V77" s="588"/>
      <c r="W77" s="588"/>
      <c r="X77" s="588"/>
      <c r="Y77" s="588"/>
      <c r="Z77" s="459"/>
      <c r="AA77" s="460"/>
      <c r="AB77" s="461"/>
    </row>
    <row r="78" spans="1:28" x14ac:dyDescent="0.2">
      <c r="A78" s="473"/>
      <c r="B78" s="474"/>
      <c r="C78" s="475"/>
      <c r="D78" s="444"/>
      <c r="E78" s="445"/>
      <c r="F78" s="445"/>
      <c r="G78" s="445"/>
      <c r="H78" s="445"/>
      <c r="I78" s="446"/>
      <c r="J78" s="451"/>
      <c r="K78" s="465" t="str">
        <f>Translations!$D$79</f>
        <v>Por encima del indicativo</v>
      </c>
      <c r="L78" s="466"/>
      <c r="M78" s="467"/>
      <c r="N78" s="468"/>
      <c r="O78" s="469"/>
      <c r="P78" s="470"/>
      <c r="Q78" s="471"/>
      <c r="R78" s="472"/>
      <c r="S78" s="588"/>
      <c r="T78" s="588"/>
      <c r="U78" s="588"/>
      <c r="V78" s="588"/>
      <c r="W78" s="588"/>
      <c r="X78" s="588"/>
      <c r="Y78" s="588"/>
      <c r="Z78" s="462"/>
      <c r="AA78" s="463"/>
      <c r="AB78" s="464"/>
    </row>
    <row r="79" spans="1:28" x14ac:dyDescent="0.2">
      <c r="A79" s="473"/>
      <c r="B79" s="474"/>
      <c r="C79" s="475"/>
      <c r="D79" s="444"/>
      <c r="E79" s="445"/>
      <c r="F79" s="445"/>
      <c r="G79" s="445"/>
      <c r="H79" s="445"/>
      <c r="I79" s="446"/>
      <c r="J79" s="476"/>
      <c r="K79" s="452" t="str">
        <f>Translations!$D$78</f>
        <v>Indicativo</v>
      </c>
      <c r="L79" s="453"/>
      <c r="M79" s="454"/>
      <c r="N79" s="455"/>
      <c r="O79" s="456"/>
      <c r="P79" s="457"/>
      <c r="Q79" s="456"/>
      <c r="R79" s="457"/>
      <c r="S79" s="588"/>
      <c r="T79" s="588"/>
      <c r="U79" s="588"/>
      <c r="V79" s="588"/>
      <c r="W79" s="588"/>
      <c r="X79" s="588"/>
      <c r="Y79" s="588"/>
      <c r="Z79" s="459"/>
      <c r="AA79" s="460"/>
      <c r="AB79" s="461"/>
    </row>
    <row r="80" spans="1:28" x14ac:dyDescent="0.2">
      <c r="A80" s="462"/>
      <c r="B80" s="463"/>
      <c r="C80" s="464"/>
      <c r="D80" s="447"/>
      <c r="E80" s="448"/>
      <c r="F80" s="448"/>
      <c r="G80" s="448"/>
      <c r="H80" s="448"/>
      <c r="I80" s="449"/>
      <c r="J80" s="477"/>
      <c r="K80" s="465" t="str">
        <f>Translations!$D$79</f>
        <v>Por encima del indicativo</v>
      </c>
      <c r="L80" s="466"/>
      <c r="M80" s="467"/>
      <c r="N80" s="468"/>
      <c r="O80" s="469"/>
      <c r="P80" s="470"/>
      <c r="Q80" s="471"/>
      <c r="R80" s="472"/>
      <c r="S80" s="588"/>
      <c r="T80" s="588"/>
      <c r="U80" s="588"/>
      <c r="V80" s="588"/>
      <c r="W80" s="588"/>
      <c r="X80" s="588"/>
      <c r="Y80" s="588"/>
      <c r="Z80" s="462"/>
      <c r="AA80" s="463"/>
      <c r="AB80" s="464"/>
    </row>
    <row r="81" spans="1:28" x14ac:dyDescent="0.2">
      <c r="A81" s="459" t="str">
        <f>Translations!$D$72</f>
        <v>Seleccione…</v>
      </c>
      <c r="B81" s="460"/>
      <c r="C81" s="461"/>
      <c r="D81" s="441"/>
      <c r="E81" s="442"/>
      <c r="F81" s="442"/>
      <c r="G81" s="442"/>
      <c r="H81" s="442"/>
      <c r="I81" s="443"/>
      <c r="J81" s="450"/>
      <c r="K81" s="452" t="str">
        <f>Translations!$D$78</f>
        <v>Indicativo</v>
      </c>
      <c r="L81" s="453"/>
      <c r="M81" s="454"/>
      <c r="N81" s="455"/>
      <c r="O81" s="456"/>
      <c r="P81" s="457"/>
      <c r="Q81" s="456"/>
      <c r="R81" s="457"/>
      <c r="S81" s="588"/>
      <c r="T81" s="588"/>
      <c r="U81" s="588"/>
      <c r="V81" s="588"/>
      <c r="W81" s="588"/>
      <c r="X81" s="588"/>
      <c r="Y81" s="588"/>
      <c r="Z81" s="459"/>
      <c r="AA81" s="460"/>
      <c r="AB81" s="461"/>
    </row>
    <row r="82" spans="1:28" x14ac:dyDescent="0.2">
      <c r="A82" s="473"/>
      <c r="B82" s="474"/>
      <c r="C82" s="475"/>
      <c r="D82" s="444"/>
      <c r="E82" s="445"/>
      <c r="F82" s="445"/>
      <c r="G82" s="445"/>
      <c r="H82" s="445"/>
      <c r="I82" s="446"/>
      <c r="J82" s="451"/>
      <c r="K82" s="465" t="str">
        <f>Translations!$D$79</f>
        <v>Por encima del indicativo</v>
      </c>
      <c r="L82" s="466"/>
      <c r="M82" s="467"/>
      <c r="N82" s="468"/>
      <c r="O82" s="469"/>
      <c r="P82" s="470"/>
      <c r="Q82" s="471"/>
      <c r="R82" s="472"/>
      <c r="S82" s="588"/>
      <c r="T82" s="588"/>
      <c r="U82" s="588"/>
      <c r="V82" s="588"/>
      <c r="W82" s="588"/>
      <c r="X82" s="588"/>
      <c r="Y82" s="588"/>
      <c r="Z82" s="462"/>
      <c r="AA82" s="463"/>
      <c r="AB82" s="464"/>
    </row>
    <row r="83" spans="1:28" x14ac:dyDescent="0.2">
      <c r="A83" s="473"/>
      <c r="B83" s="474"/>
      <c r="C83" s="475"/>
      <c r="D83" s="444"/>
      <c r="E83" s="445"/>
      <c r="F83" s="445"/>
      <c r="G83" s="445"/>
      <c r="H83" s="445"/>
      <c r="I83" s="446"/>
      <c r="J83" s="450"/>
      <c r="K83" s="452" t="str">
        <f>Translations!$D$78</f>
        <v>Indicativo</v>
      </c>
      <c r="L83" s="453"/>
      <c r="M83" s="454"/>
      <c r="N83" s="455"/>
      <c r="O83" s="456"/>
      <c r="P83" s="457"/>
      <c r="Q83" s="456"/>
      <c r="R83" s="457"/>
      <c r="S83" s="588"/>
      <c r="T83" s="588"/>
      <c r="U83" s="588"/>
      <c r="V83" s="588"/>
      <c r="W83" s="588"/>
      <c r="X83" s="588"/>
      <c r="Y83" s="588"/>
      <c r="Z83" s="588"/>
      <c r="AA83" s="588"/>
      <c r="AB83" s="588"/>
    </row>
    <row r="84" spans="1:28" x14ac:dyDescent="0.2">
      <c r="A84" s="462"/>
      <c r="B84" s="463"/>
      <c r="C84" s="464"/>
      <c r="D84" s="447"/>
      <c r="E84" s="448"/>
      <c r="F84" s="448"/>
      <c r="G84" s="448"/>
      <c r="H84" s="448"/>
      <c r="I84" s="449"/>
      <c r="J84" s="451"/>
      <c r="K84" s="465" t="str">
        <f>Translations!$D$79</f>
        <v>Por encima del indicativo</v>
      </c>
      <c r="L84" s="466"/>
      <c r="M84" s="469"/>
      <c r="N84" s="470"/>
      <c r="O84" s="469"/>
      <c r="P84" s="470"/>
      <c r="Q84" s="469"/>
      <c r="R84" s="470"/>
      <c r="S84" s="588"/>
      <c r="T84" s="588"/>
      <c r="U84" s="588"/>
      <c r="V84" s="588"/>
      <c r="W84" s="588"/>
      <c r="X84" s="588"/>
      <c r="Y84" s="588"/>
      <c r="Z84" s="588"/>
      <c r="AA84" s="588"/>
      <c r="AB84" s="588"/>
    </row>
  </sheetData>
  <sheetProtection formatCells="0" formatColumns="0" formatRows="0" insertRows="0" deleteRows="0" selectLockedCells="1" sort="0" autoFilter="0"/>
  <mergeCells count="332">
    <mergeCell ref="P1:T1"/>
    <mergeCell ref="A3:C3"/>
    <mergeCell ref="D3:G3"/>
    <mergeCell ref="H3:J4"/>
    <mergeCell ref="K3:R3"/>
    <mergeCell ref="S3:T3"/>
    <mergeCell ref="U3:Z4"/>
    <mergeCell ref="A4:C4"/>
    <mergeCell ref="D4:G4"/>
    <mergeCell ref="K4:R4"/>
    <mergeCell ref="S4:T4"/>
    <mergeCell ref="B11:Z11"/>
    <mergeCell ref="B12:Z12"/>
    <mergeCell ref="U5:X5"/>
    <mergeCell ref="Y5:Z5"/>
    <mergeCell ref="A6:C6"/>
    <mergeCell ref="D6:G6"/>
    <mergeCell ref="K6:R6"/>
    <mergeCell ref="S6:T6"/>
    <mergeCell ref="U6:X6"/>
    <mergeCell ref="Y6:Z6"/>
    <mergeCell ref="A5:C5"/>
    <mergeCell ref="D5:G5"/>
    <mergeCell ref="H5:J6"/>
    <mergeCell ref="K5:R5"/>
    <mergeCell ref="S5:T5"/>
    <mergeCell ref="A7:Y7"/>
    <mergeCell ref="A8:Z8"/>
    <mergeCell ref="A9:Z9"/>
    <mergeCell ref="B10:Z10"/>
    <mergeCell ref="A14:A16"/>
    <mergeCell ref="B14:H16"/>
    <mergeCell ref="I14:N14"/>
    <mergeCell ref="O14:T14"/>
    <mergeCell ref="U14:Z16"/>
    <mergeCell ref="I15:J16"/>
    <mergeCell ref="K15:K16"/>
    <mergeCell ref="L15:N16"/>
    <mergeCell ref="O15:P15"/>
    <mergeCell ref="Q15:R15"/>
    <mergeCell ref="B18:H18"/>
    <mergeCell ref="I18:J18"/>
    <mergeCell ref="L18:N18"/>
    <mergeCell ref="O18:P18"/>
    <mergeCell ref="Q18:R18"/>
    <mergeCell ref="S18:T18"/>
    <mergeCell ref="S15:T15"/>
    <mergeCell ref="O16:P16"/>
    <mergeCell ref="Q16:R16"/>
    <mergeCell ref="S16:T16"/>
    <mergeCell ref="B17:H17"/>
    <mergeCell ref="I17:J17"/>
    <mergeCell ref="L17:N17"/>
    <mergeCell ref="O17:P17"/>
    <mergeCell ref="Q17:R17"/>
    <mergeCell ref="S17:T17"/>
    <mergeCell ref="B20:H20"/>
    <mergeCell ref="I20:J20"/>
    <mergeCell ref="L20:N20"/>
    <mergeCell ref="O20:P20"/>
    <mergeCell ref="Q20:R20"/>
    <mergeCell ref="S20:T20"/>
    <mergeCell ref="B19:H19"/>
    <mergeCell ref="I19:J19"/>
    <mergeCell ref="L19:N19"/>
    <mergeCell ref="O19:P19"/>
    <mergeCell ref="Q19:R19"/>
    <mergeCell ref="S19:T19"/>
    <mergeCell ref="A23:Z23"/>
    <mergeCell ref="A24:Z24"/>
    <mergeCell ref="B25:Z25"/>
    <mergeCell ref="B26:Z26"/>
    <mergeCell ref="B27:Z27"/>
    <mergeCell ref="B28:Z28"/>
    <mergeCell ref="B21:H21"/>
    <mergeCell ref="I21:J21"/>
    <mergeCell ref="L21:N21"/>
    <mergeCell ref="O21:P21"/>
    <mergeCell ref="Q21:R21"/>
    <mergeCell ref="S21:T21"/>
    <mergeCell ref="B29:Z29"/>
    <mergeCell ref="B30:Z30"/>
    <mergeCell ref="A32:A34"/>
    <mergeCell ref="B32:H34"/>
    <mergeCell ref="I32:N32"/>
    <mergeCell ref="O32:T32"/>
    <mergeCell ref="U32:Z34"/>
    <mergeCell ref="I33:J34"/>
    <mergeCell ref="K33:K34"/>
    <mergeCell ref="L33:N34"/>
    <mergeCell ref="B35:H35"/>
    <mergeCell ref="I35:J35"/>
    <mergeCell ref="L35:N35"/>
    <mergeCell ref="O35:P35"/>
    <mergeCell ref="Q35:R35"/>
    <mergeCell ref="S35:T35"/>
    <mergeCell ref="O33:P33"/>
    <mergeCell ref="Q33:R33"/>
    <mergeCell ref="S33:T33"/>
    <mergeCell ref="O34:P34"/>
    <mergeCell ref="Q34:R34"/>
    <mergeCell ref="S34:T34"/>
    <mergeCell ref="B37:H37"/>
    <mergeCell ref="I37:J37"/>
    <mergeCell ref="L37:N37"/>
    <mergeCell ref="O37:P37"/>
    <mergeCell ref="Q37:R37"/>
    <mergeCell ref="S37:T37"/>
    <mergeCell ref="B36:H36"/>
    <mergeCell ref="I36:J36"/>
    <mergeCell ref="L36:N36"/>
    <mergeCell ref="O36:P36"/>
    <mergeCell ref="Q36:R36"/>
    <mergeCell ref="S36:T36"/>
    <mergeCell ref="B39:H39"/>
    <mergeCell ref="I39:J39"/>
    <mergeCell ref="L39:N39"/>
    <mergeCell ref="O39:P39"/>
    <mergeCell ref="Q39:R39"/>
    <mergeCell ref="S39:T39"/>
    <mergeCell ref="B38:H38"/>
    <mergeCell ref="I38:J38"/>
    <mergeCell ref="L38:N38"/>
    <mergeCell ref="O38:P38"/>
    <mergeCell ref="Q38:R38"/>
    <mergeCell ref="S38:T38"/>
    <mergeCell ref="A41:AB41"/>
    <mergeCell ref="A43:B43"/>
    <mergeCell ref="D43:J43"/>
    <mergeCell ref="R44:AB44"/>
    <mergeCell ref="A45:C48"/>
    <mergeCell ref="D45:D48"/>
    <mergeCell ref="E45:F48"/>
    <mergeCell ref="G45:J46"/>
    <mergeCell ref="K45:L48"/>
    <mergeCell ref="M45:R45"/>
    <mergeCell ref="S45:AB45"/>
    <mergeCell ref="M46:N46"/>
    <mergeCell ref="O46:P46"/>
    <mergeCell ref="Q46:R46"/>
    <mergeCell ref="S46:AB48"/>
    <mergeCell ref="H47:H48"/>
    <mergeCell ref="I47:I48"/>
    <mergeCell ref="J47:J48"/>
    <mergeCell ref="N47:N48"/>
    <mergeCell ref="P47:P48"/>
    <mergeCell ref="A49:C52"/>
    <mergeCell ref="D49:D52"/>
    <mergeCell ref="E49:F52"/>
    <mergeCell ref="G49:G50"/>
    <mergeCell ref="H49:H52"/>
    <mergeCell ref="I49:I52"/>
    <mergeCell ref="J49:J52"/>
    <mergeCell ref="K49:L50"/>
    <mergeCell ref="N49:N50"/>
    <mergeCell ref="P49:P50"/>
    <mergeCell ref="R49:R50"/>
    <mergeCell ref="S49:AB52"/>
    <mergeCell ref="G51:G52"/>
    <mergeCell ref="K51:L52"/>
    <mergeCell ref="N51:N52"/>
    <mergeCell ref="P51:P52"/>
    <mergeCell ref="R51:R52"/>
    <mergeCell ref="R47:R48"/>
    <mergeCell ref="N53:N54"/>
    <mergeCell ref="P53:P54"/>
    <mergeCell ref="R53:R54"/>
    <mergeCell ref="S53:AB56"/>
    <mergeCell ref="K55:L56"/>
    <mergeCell ref="N55:N56"/>
    <mergeCell ref="P55:P56"/>
    <mergeCell ref="R55:R56"/>
    <mergeCell ref="A53:C56"/>
    <mergeCell ref="D53:D56"/>
    <mergeCell ref="E53:F56"/>
    <mergeCell ref="G53:G54"/>
    <mergeCell ref="H53:H56"/>
    <mergeCell ref="I53:I56"/>
    <mergeCell ref="G55:G56"/>
    <mergeCell ref="A57:C60"/>
    <mergeCell ref="D57:D60"/>
    <mergeCell ref="E57:F60"/>
    <mergeCell ref="G57:G58"/>
    <mergeCell ref="H57:H60"/>
    <mergeCell ref="I57:I60"/>
    <mergeCell ref="G59:G60"/>
    <mergeCell ref="J53:J56"/>
    <mergeCell ref="K53:L54"/>
    <mergeCell ref="J57:J60"/>
    <mergeCell ref="K57:L58"/>
    <mergeCell ref="N57:N58"/>
    <mergeCell ref="P57:P58"/>
    <mergeCell ref="R57:R58"/>
    <mergeCell ref="S57:AB60"/>
    <mergeCell ref="K59:L60"/>
    <mergeCell ref="N59:N60"/>
    <mergeCell ref="P59:P60"/>
    <mergeCell ref="R59:R60"/>
    <mergeCell ref="Z63:AB64"/>
    <mergeCell ref="D64:I64"/>
    <mergeCell ref="M64:N64"/>
    <mergeCell ref="O64:P64"/>
    <mergeCell ref="Q64:R64"/>
    <mergeCell ref="S64:Y64"/>
    <mergeCell ref="A62:E62"/>
    <mergeCell ref="J62:P62"/>
    <mergeCell ref="Q62:R62"/>
    <mergeCell ref="S62:U62"/>
    <mergeCell ref="A63:C64"/>
    <mergeCell ref="D63:I63"/>
    <mergeCell ref="J63:J64"/>
    <mergeCell ref="K63:R63"/>
    <mergeCell ref="S63:Y63"/>
    <mergeCell ref="A65:C68"/>
    <mergeCell ref="D65:I68"/>
    <mergeCell ref="J65:J66"/>
    <mergeCell ref="K65:L65"/>
    <mergeCell ref="M65:N65"/>
    <mergeCell ref="O65:P65"/>
    <mergeCell ref="J67:J68"/>
    <mergeCell ref="K67:L67"/>
    <mergeCell ref="M67:N67"/>
    <mergeCell ref="O67:P67"/>
    <mergeCell ref="Q67:R67"/>
    <mergeCell ref="S67:Y68"/>
    <mergeCell ref="Z67:AB68"/>
    <mergeCell ref="K68:L68"/>
    <mergeCell ref="M68:N68"/>
    <mergeCell ref="O68:P68"/>
    <mergeCell ref="Q68:R68"/>
    <mergeCell ref="Q65:R65"/>
    <mergeCell ref="S65:Y66"/>
    <mergeCell ref="Z65:AB66"/>
    <mergeCell ref="K66:L66"/>
    <mergeCell ref="M66:N66"/>
    <mergeCell ref="O66:P66"/>
    <mergeCell ref="Q66:R66"/>
    <mergeCell ref="A69:C72"/>
    <mergeCell ref="D69:I72"/>
    <mergeCell ref="J69:J70"/>
    <mergeCell ref="K69:L69"/>
    <mergeCell ref="M69:N69"/>
    <mergeCell ref="O69:P69"/>
    <mergeCell ref="J71:J72"/>
    <mergeCell ref="K71:L71"/>
    <mergeCell ref="M71:N71"/>
    <mergeCell ref="O71:P71"/>
    <mergeCell ref="Q71:R71"/>
    <mergeCell ref="S71:Y72"/>
    <mergeCell ref="Z71:AB72"/>
    <mergeCell ref="K72:L72"/>
    <mergeCell ref="M72:N72"/>
    <mergeCell ref="O72:P72"/>
    <mergeCell ref="Q72:R72"/>
    <mergeCell ref="Q69:R69"/>
    <mergeCell ref="S69:Y70"/>
    <mergeCell ref="Z69:AB70"/>
    <mergeCell ref="K70:L70"/>
    <mergeCell ref="M70:N70"/>
    <mergeCell ref="O70:P70"/>
    <mergeCell ref="Q70:R70"/>
    <mergeCell ref="A73:C76"/>
    <mergeCell ref="D73:I76"/>
    <mergeCell ref="J73:J74"/>
    <mergeCell ref="K73:L73"/>
    <mergeCell ref="M73:N73"/>
    <mergeCell ref="O73:P73"/>
    <mergeCell ref="J75:J76"/>
    <mergeCell ref="K75:L75"/>
    <mergeCell ref="M75:N75"/>
    <mergeCell ref="O75:P75"/>
    <mergeCell ref="Q75:R75"/>
    <mergeCell ref="S75:Y76"/>
    <mergeCell ref="Z75:AB76"/>
    <mergeCell ref="K76:L76"/>
    <mergeCell ref="M76:N76"/>
    <mergeCell ref="O76:P76"/>
    <mergeCell ref="Q76:R76"/>
    <mergeCell ref="Q73:R73"/>
    <mergeCell ref="S73:Y74"/>
    <mergeCell ref="Z73:AB74"/>
    <mergeCell ref="K74:L74"/>
    <mergeCell ref="M74:N74"/>
    <mergeCell ref="Q74:R74"/>
    <mergeCell ref="A77:C80"/>
    <mergeCell ref="D77:I80"/>
    <mergeCell ref="J77:J78"/>
    <mergeCell ref="K77:L77"/>
    <mergeCell ref="M77:N77"/>
    <mergeCell ref="O77:P77"/>
    <mergeCell ref="J79:J80"/>
    <mergeCell ref="K79:L79"/>
    <mergeCell ref="M79:N79"/>
    <mergeCell ref="O79:P79"/>
    <mergeCell ref="Q79:R79"/>
    <mergeCell ref="S79:Y80"/>
    <mergeCell ref="Z79:AB80"/>
    <mergeCell ref="K80:L80"/>
    <mergeCell ref="M80:N80"/>
    <mergeCell ref="O80:P80"/>
    <mergeCell ref="Q80:R80"/>
    <mergeCell ref="Q77:R77"/>
    <mergeCell ref="S77:Y78"/>
    <mergeCell ref="Z77:AB78"/>
    <mergeCell ref="K78:L78"/>
    <mergeCell ref="M78:N78"/>
    <mergeCell ref="O78:P78"/>
    <mergeCell ref="Q78:R78"/>
    <mergeCell ref="A81:C84"/>
    <mergeCell ref="D81:I84"/>
    <mergeCell ref="J81:J82"/>
    <mergeCell ref="K81:L81"/>
    <mergeCell ref="M81:N81"/>
    <mergeCell ref="O81:P81"/>
    <mergeCell ref="J83:J84"/>
    <mergeCell ref="K83:L83"/>
    <mergeCell ref="M83:N83"/>
    <mergeCell ref="O83:P83"/>
    <mergeCell ref="Q83:R83"/>
    <mergeCell ref="S83:Y84"/>
    <mergeCell ref="Z83:AB84"/>
    <mergeCell ref="K84:L84"/>
    <mergeCell ref="M84:N84"/>
    <mergeCell ref="O84:P84"/>
    <mergeCell ref="Q84:R84"/>
    <mergeCell ref="Q81:R81"/>
    <mergeCell ref="S81:Y82"/>
    <mergeCell ref="Z81:AB82"/>
    <mergeCell ref="K82:L82"/>
    <mergeCell ref="M82:N82"/>
    <mergeCell ref="O82:P82"/>
    <mergeCell ref="Q82:R82"/>
  </mergeCells>
  <dataValidations count="14">
    <dataValidation type="list" allowBlank="1" showInputMessage="1" showErrorMessage="1" sqref="D43:J43 IZ43:JF43 SV43:TB43 ACR43:ACX43 AMN43:AMT43 AWJ43:AWP43 BGF43:BGL43 BQB43:BQH43 BZX43:CAD43 CJT43:CJZ43 CTP43:CTV43 DDL43:DDR43 DNH43:DNN43 DXD43:DXJ43 EGZ43:EHF43 EQV43:ERB43 FAR43:FAX43 FKN43:FKT43 FUJ43:FUP43 GEF43:GEL43 GOB43:GOH43 GXX43:GYD43 HHT43:HHZ43 HRP43:HRV43 IBL43:IBR43 ILH43:ILN43 IVD43:IVJ43 JEZ43:JFF43 JOV43:JPB43 JYR43:JYX43 KIN43:KIT43 KSJ43:KSP43 LCF43:LCL43 LMB43:LMH43 LVX43:LWD43 MFT43:MFZ43 MPP43:MPV43 MZL43:MZR43 NJH43:NJN43 NTD43:NTJ43 OCZ43:ODF43 OMV43:ONB43 OWR43:OWX43 PGN43:PGT43 PQJ43:PQP43 QAF43:QAL43 QKB43:QKH43 QTX43:QUD43 RDT43:RDZ43 RNP43:RNV43 RXL43:RXR43 SHH43:SHN43 SRD43:SRJ43 TAZ43:TBF43 TKV43:TLB43 TUR43:TUX43 UEN43:UET43 UOJ43:UOP43 UYF43:UYL43 VIB43:VIH43 VRX43:VSD43 WBT43:WBZ43 WLP43:WLV43 WVL43:WVR43 D65579:J65579 IZ65579:JF65579 SV65579:TB65579 ACR65579:ACX65579 AMN65579:AMT65579 AWJ65579:AWP65579 BGF65579:BGL65579 BQB65579:BQH65579 BZX65579:CAD65579 CJT65579:CJZ65579 CTP65579:CTV65579 DDL65579:DDR65579 DNH65579:DNN65579 DXD65579:DXJ65579 EGZ65579:EHF65579 EQV65579:ERB65579 FAR65579:FAX65579 FKN65579:FKT65579 FUJ65579:FUP65579 GEF65579:GEL65579 GOB65579:GOH65579 GXX65579:GYD65579 HHT65579:HHZ65579 HRP65579:HRV65579 IBL65579:IBR65579 ILH65579:ILN65579 IVD65579:IVJ65579 JEZ65579:JFF65579 JOV65579:JPB65579 JYR65579:JYX65579 KIN65579:KIT65579 KSJ65579:KSP65579 LCF65579:LCL65579 LMB65579:LMH65579 LVX65579:LWD65579 MFT65579:MFZ65579 MPP65579:MPV65579 MZL65579:MZR65579 NJH65579:NJN65579 NTD65579:NTJ65579 OCZ65579:ODF65579 OMV65579:ONB65579 OWR65579:OWX65579 PGN65579:PGT65579 PQJ65579:PQP65579 QAF65579:QAL65579 QKB65579:QKH65579 QTX65579:QUD65579 RDT65579:RDZ65579 RNP65579:RNV65579 RXL65579:RXR65579 SHH65579:SHN65579 SRD65579:SRJ65579 TAZ65579:TBF65579 TKV65579:TLB65579 TUR65579:TUX65579 UEN65579:UET65579 UOJ65579:UOP65579 UYF65579:UYL65579 VIB65579:VIH65579 VRX65579:VSD65579 WBT65579:WBZ65579 WLP65579:WLV65579 WVL65579:WVR65579 D131115:J131115 IZ131115:JF131115 SV131115:TB131115 ACR131115:ACX131115 AMN131115:AMT131115 AWJ131115:AWP131115 BGF131115:BGL131115 BQB131115:BQH131115 BZX131115:CAD131115 CJT131115:CJZ131115 CTP131115:CTV131115 DDL131115:DDR131115 DNH131115:DNN131115 DXD131115:DXJ131115 EGZ131115:EHF131115 EQV131115:ERB131115 FAR131115:FAX131115 FKN131115:FKT131115 FUJ131115:FUP131115 GEF131115:GEL131115 GOB131115:GOH131115 GXX131115:GYD131115 HHT131115:HHZ131115 HRP131115:HRV131115 IBL131115:IBR131115 ILH131115:ILN131115 IVD131115:IVJ131115 JEZ131115:JFF131115 JOV131115:JPB131115 JYR131115:JYX131115 KIN131115:KIT131115 KSJ131115:KSP131115 LCF131115:LCL131115 LMB131115:LMH131115 LVX131115:LWD131115 MFT131115:MFZ131115 MPP131115:MPV131115 MZL131115:MZR131115 NJH131115:NJN131115 NTD131115:NTJ131115 OCZ131115:ODF131115 OMV131115:ONB131115 OWR131115:OWX131115 PGN131115:PGT131115 PQJ131115:PQP131115 QAF131115:QAL131115 QKB131115:QKH131115 QTX131115:QUD131115 RDT131115:RDZ131115 RNP131115:RNV131115 RXL131115:RXR131115 SHH131115:SHN131115 SRD131115:SRJ131115 TAZ131115:TBF131115 TKV131115:TLB131115 TUR131115:TUX131115 UEN131115:UET131115 UOJ131115:UOP131115 UYF131115:UYL131115 VIB131115:VIH131115 VRX131115:VSD131115 WBT131115:WBZ131115 WLP131115:WLV131115 WVL131115:WVR131115 D196651:J196651 IZ196651:JF196651 SV196651:TB196651 ACR196651:ACX196651 AMN196651:AMT196651 AWJ196651:AWP196651 BGF196651:BGL196651 BQB196651:BQH196651 BZX196651:CAD196651 CJT196651:CJZ196651 CTP196651:CTV196651 DDL196651:DDR196651 DNH196651:DNN196651 DXD196651:DXJ196651 EGZ196651:EHF196651 EQV196651:ERB196651 FAR196651:FAX196651 FKN196651:FKT196651 FUJ196651:FUP196651 GEF196651:GEL196651 GOB196651:GOH196651 GXX196651:GYD196651 HHT196651:HHZ196651 HRP196651:HRV196651 IBL196651:IBR196651 ILH196651:ILN196651 IVD196651:IVJ196651 JEZ196651:JFF196651 JOV196651:JPB196651 JYR196651:JYX196651 KIN196651:KIT196651 KSJ196651:KSP196651 LCF196651:LCL196651 LMB196651:LMH196651 LVX196651:LWD196651 MFT196651:MFZ196651 MPP196651:MPV196651 MZL196651:MZR196651 NJH196651:NJN196651 NTD196651:NTJ196651 OCZ196651:ODF196651 OMV196651:ONB196651 OWR196651:OWX196651 PGN196651:PGT196651 PQJ196651:PQP196651 QAF196651:QAL196651 QKB196651:QKH196651 QTX196651:QUD196651 RDT196651:RDZ196651 RNP196651:RNV196651 RXL196651:RXR196651 SHH196651:SHN196651 SRD196651:SRJ196651 TAZ196651:TBF196651 TKV196651:TLB196651 TUR196651:TUX196651 UEN196651:UET196651 UOJ196651:UOP196651 UYF196651:UYL196651 VIB196651:VIH196651 VRX196651:VSD196651 WBT196651:WBZ196651 WLP196651:WLV196651 WVL196651:WVR196651 D262187:J262187 IZ262187:JF262187 SV262187:TB262187 ACR262187:ACX262187 AMN262187:AMT262187 AWJ262187:AWP262187 BGF262187:BGL262187 BQB262187:BQH262187 BZX262187:CAD262187 CJT262187:CJZ262187 CTP262187:CTV262187 DDL262187:DDR262187 DNH262187:DNN262187 DXD262187:DXJ262187 EGZ262187:EHF262187 EQV262187:ERB262187 FAR262187:FAX262187 FKN262187:FKT262187 FUJ262187:FUP262187 GEF262187:GEL262187 GOB262187:GOH262187 GXX262187:GYD262187 HHT262187:HHZ262187 HRP262187:HRV262187 IBL262187:IBR262187 ILH262187:ILN262187 IVD262187:IVJ262187 JEZ262187:JFF262187 JOV262187:JPB262187 JYR262187:JYX262187 KIN262187:KIT262187 KSJ262187:KSP262187 LCF262187:LCL262187 LMB262187:LMH262187 LVX262187:LWD262187 MFT262187:MFZ262187 MPP262187:MPV262187 MZL262187:MZR262187 NJH262187:NJN262187 NTD262187:NTJ262187 OCZ262187:ODF262187 OMV262187:ONB262187 OWR262187:OWX262187 PGN262187:PGT262187 PQJ262187:PQP262187 QAF262187:QAL262187 QKB262187:QKH262187 QTX262187:QUD262187 RDT262187:RDZ262187 RNP262187:RNV262187 RXL262187:RXR262187 SHH262187:SHN262187 SRD262187:SRJ262187 TAZ262187:TBF262187 TKV262187:TLB262187 TUR262187:TUX262187 UEN262187:UET262187 UOJ262187:UOP262187 UYF262187:UYL262187 VIB262187:VIH262187 VRX262187:VSD262187 WBT262187:WBZ262187 WLP262187:WLV262187 WVL262187:WVR262187 D327723:J327723 IZ327723:JF327723 SV327723:TB327723 ACR327723:ACX327723 AMN327723:AMT327723 AWJ327723:AWP327723 BGF327723:BGL327723 BQB327723:BQH327723 BZX327723:CAD327723 CJT327723:CJZ327723 CTP327723:CTV327723 DDL327723:DDR327723 DNH327723:DNN327723 DXD327723:DXJ327723 EGZ327723:EHF327723 EQV327723:ERB327723 FAR327723:FAX327723 FKN327723:FKT327723 FUJ327723:FUP327723 GEF327723:GEL327723 GOB327723:GOH327723 GXX327723:GYD327723 HHT327723:HHZ327723 HRP327723:HRV327723 IBL327723:IBR327723 ILH327723:ILN327723 IVD327723:IVJ327723 JEZ327723:JFF327723 JOV327723:JPB327723 JYR327723:JYX327723 KIN327723:KIT327723 KSJ327723:KSP327723 LCF327723:LCL327723 LMB327723:LMH327723 LVX327723:LWD327723 MFT327723:MFZ327723 MPP327723:MPV327723 MZL327723:MZR327723 NJH327723:NJN327723 NTD327723:NTJ327723 OCZ327723:ODF327723 OMV327723:ONB327723 OWR327723:OWX327723 PGN327723:PGT327723 PQJ327723:PQP327723 QAF327723:QAL327723 QKB327723:QKH327723 QTX327723:QUD327723 RDT327723:RDZ327723 RNP327723:RNV327723 RXL327723:RXR327723 SHH327723:SHN327723 SRD327723:SRJ327723 TAZ327723:TBF327723 TKV327723:TLB327723 TUR327723:TUX327723 UEN327723:UET327723 UOJ327723:UOP327723 UYF327723:UYL327723 VIB327723:VIH327723 VRX327723:VSD327723 WBT327723:WBZ327723 WLP327723:WLV327723 WVL327723:WVR327723 D393259:J393259 IZ393259:JF393259 SV393259:TB393259 ACR393259:ACX393259 AMN393259:AMT393259 AWJ393259:AWP393259 BGF393259:BGL393259 BQB393259:BQH393259 BZX393259:CAD393259 CJT393259:CJZ393259 CTP393259:CTV393259 DDL393259:DDR393259 DNH393259:DNN393259 DXD393259:DXJ393259 EGZ393259:EHF393259 EQV393259:ERB393259 FAR393259:FAX393259 FKN393259:FKT393259 FUJ393259:FUP393259 GEF393259:GEL393259 GOB393259:GOH393259 GXX393259:GYD393259 HHT393259:HHZ393259 HRP393259:HRV393259 IBL393259:IBR393259 ILH393259:ILN393259 IVD393259:IVJ393259 JEZ393259:JFF393259 JOV393259:JPB393259 JYR393259:JYX393259 KIN393259:KIT393259 KSJ393259:KSP393259 LCF393259:LCL393259 LMB393259:LMH393259 LVX393259:LWD393259 MFT393259:MFZ393259 MPP393259:MPV393259 MZL393259:MZR393259 NJH393259:NJN393259 NTD393259:NTJ393259 OCZ393259:ODF393259 OMV393259:ONB393259 OWR393259:OWX393259 PGN393259:PGT393259 PQJ393259:PQP393259 QAF393259:QAL393259 QKB393259:QKH393259 QTX393259:QUD393259 RDT393259:RDZ393259 RNP393259:RNV393259 RXL393259:RXR393259 SHH393259:SHN393259 SRD393259:SRJ393259 TAZ393259:TBF393259 TKV393259:TLB393259 TUR393259:TUX393259 UEN393259:UET393259 UOJ393259:UOP393259 UYF393259:UYL393259 VIB393259:VIH393259 VRX393259:VSD393259 WBT393259:WBZ393259 WLP393259:WLV393259 WVL393259:WVR393259 D458795:J458795 IZ458795:JF458795 SV458795:TB458795 ACR458795:ACX458795 AMN458795:AMT458795 AWJ458795:AWP458795 BGF458795:BGL458795 BQB458795:BQH458795 BZX458795:CAD458795 CJT458795:CJZ458795 CTP458795:CTV458795 DDL458795:DDR458795 DNH458795:DNN458795 DXD458795:DXJ458795 EGZ458795:EHF458795 EQV458795:ERB458795 FAR458795:FAX458795 FKN458795:FKT458795 FUJ458795:FUP458795 GEF458795:GEL458795 GOB458795:GOH458795 GXX458795:GYD458795 HHT458795:HHZ458795 HRP458795:HRV458795 IBL458795:IBR458795 ILH458795:ILN458795 IVD458795:IVJ458795 JEZ458795:JFF458795 JOV458795:JPB458795 JYR458795:JYX458795 KIN458795:KIT458795 KSJ458795:KSP458795 LCF458795:LCL458795 LMB458795:LMH458795 LVX458795:LWD458795 MFT458795:MFZ458795 MPP458795:MPV458795 MZL458795:MZR458795 NJH458795:NJN458795 NTD458795:NTJ458795 OCZ458795:ODF458795 OMV458795:ONB458795 OWR458795:OWX458795 PGN458795:PGT458795 PQJ458795:PQP458795 QAF458795:QAL458795 QKB458795:QKH458795 QTX458795:QUD458795 RDT458795:RDZ458795 RNP458795:RNV458795 RXL458795:RXR458795 SHH458795:SHN458795 SRD458795:SRJ458795 TAZ458795:TBF458795 TKV458795:TLB458795 TUR458795:TUX458795 UEN458795:UET458795 UOJ458795:UOP458795 UYF458795:UYL458795 VIB458795:VIH458795 VRX458795:VSD458795 WBT458795:WBZ458795 WLP458795:WLV458795 WVL458795:WVR458795 D524331:J524331 IZ524331:JF524331 SV524331:TB524331 ACR524331:ACX524331 AMN524331:AMT524331 AWJ524331:AWP524331 BGF524331:BGL524331 BQB524331:BQH524331 BZX524331:CAD524331 CJT524331:CJZ524331 CTP524331:CTV524331 DDL524331:DDR524331 DNH524331:DNN524331 DXD524331:DXJ524331 EGZ524331:EHF524331 EQV524331:ERB524331 FAR524331:FAX524331 FKN524331:FKT524331 FUJ524331:FUP524331 GEF524331:GEL524331 GOB524331:GOH524331 GXX524331:GYD524331 HHT524331:HHZ524331 HRP524331:HRV524331 IBL524331:IBR524331 ILH524331:ILN524331 IVD524331:IVJ524331 JEZ524331:JFF524331 JOV524331:JPB524331 JYR524331:JYX524331 KIN524331:KIT524331 KSJ524331:KSP524331 LCF524331:LCL524331 LMB524331:LMH524331 LVX524331:LWD524331 MFT524331:MFZ524331 MPP524331:MPV524331 MZL524331:MZR524331 NJH524331:NJN524331 NTD524331:NTJ524331 OCZ524331:ODF524331 OMV524331:ONB524331 OWR524331:OWX524331 PGN524331:PGT524331 PQJ524331:PQP524331 QAF524331:QAL524331 QKB524331:QKH524331 QTX524331:QUD524331 RDT524331:RDZ524331 RNP524331:RNV524331 RXL524331:RXR524331 SHH524331:SHN524331 SRD524331:SRJ524331 TAZ524331:TBF524331 TKV524331:TLB524331 TUR524331:TUX524331 UEN524331:UET524331 UOJ524331:UOP524331 UYF524331:UYL524331 VIB524331:VIH524331 VRX524331:VSD524331 WBT524331:WBZ524331 WLP524331:WLV524331 WVL524331:WVR524331 D589867:J589867 IZ589867:JF589867 SV589867:TB589867 ACR589867:ACX589867 AMN589867:AMT589867 AWJ589867:AWP589867 BGF589867:BGL589867 BQB589867:BQH589867 BZX589867:CAD589867 CJT589867:CJZ589867 CTP589867:CTV589867 DDL589867:DDR589867 DNH589867:DNN589867 DXD589867:DXJ589867 EGZ589867:EHF589867 EQV589867:ERB589867 FAR589867:FAX589867 FKN589867:FKT589867 FUJ589867:FUP589867 GEF589867:GEL589867 GOB589867:GOH589867 GXX589867:GYD589867 HHT589867:HHZ589867 HRP589867:HRV589867 IBL589867:IBR589867 ILH589867:ILN589867 IVD589867:IVJ589867 JEZ589867:JFF589867 JOV589867:JPB589867 JYR589867:JYX589867 KIN589867:KIT589867 KSJ589867:KSP589867 LCF589867:LCL589867 LMB589867:LMH589867 LVX589867:LWD589867 MFT589867:MFZ589867 MPP589867:MPV589867 MZL589867:MZR589867 NJH589867:NJN589867 NTD589867:NTJ589867 OCZ589867:ODF589867 OMV589867:ONB589867 OWR589867:OWX589867 PGN589867:PGT589867 PQJ589867:PQP589867 QAF589867:QAL589867 QKB589867:QKH589867 QTX589867:QUD589867 RDT589867:RDZ589867 RNP589867:RNV589867 RXL589867:RXR589867 SHH589867:SHN589867 SRD589867:SRJ589867 TAZ589867:TBF589867 TKV589867:TLB589867 TUR589867:TUX589867 UEN589867:UET589867 UOJ589867:UOP589867 UYF589867:UYL589867 VIB589867:VIH589867 VRX589867:VSD589867 WBT589867:WBZ589867 WLP589867:WLV589867 WVL589867:WVR589867 D655403:J655403 IZ655403:JF655403 SV655403:TB655403 ACR655403:ACX655403 AMN655403:AMT655403 AWJ655403:AWP655403 BGF655403:BGL655403 BQB655403:BQH655403 BZX655403:CAD655403 CJT655403:CJZ655403 CTP655403:CTV655403 DDL655403:DDR655403 DNH655403:DNN655403 DXD655403:DXJ655403 EGZ655403:EHF655403 EQV655403:ERB655403 FAR655403:FAX655403 FKN655403:FKT655403 FUJ655403:FUP655403 GEF655403:GEL655403 GOB655403:GOH655403 GXX655403:GYD655403 HHT655403:HHZ655403 HRP655403:HRV655403 IBL655403:IBR655403 ILH655403:ILN655403 IVD655403:IVJ655403 JEZ655403:JFF655403 JOV655403:JPB655403 JYR655403:JYX655403 KIN655403:KIT655403 KSJ655403:KSP655403 LCF655403:LCL655403 LMB655403:LMH655403 LVX655403:LWD655403 MFT655403:MFZ655403 MPP655403:MPV655403 MZL655403:MZR655403 NJH655403:NJN655403 NTD655403:NTJ655403 OCZ655403:ODF655403 OMV655403:ONB655403 OWR655403:OWX655403 PGN655403:PGT655403 PQJ655403:PQP655403 QAF655403:QAL655403 QKB655403:QKH655403 QTX655403:QUD655403 RDT655403:RDZ655403 RNP655403:RNV655403 RXL655403:RXR655403 SHH655403:SHN655403 SRD655403:SRJ655403 TAZ655403:TBF655403 TKV655403:TLB655403 TUR655403:TUX655403 UEN655403:UET655403 UOJ655403:UOP655403 UYF655403:UYL655403 VIB655403:VIH655403 VRX655403:VSD655403 WBT655403:WBZ655403 WLP655403:WLV655403 WVL655403:WVR655403 D720939:J720939 IZ720939:JF720939 SV720939:TB720939 ACR720939:ACX720939 AMN720939:AMT720939 AWJ720939:AWP720939 BGF720939:BGL720939 BQB720939:BQH720939 BZX720939:CAD720939 CJT720939:CJZ720939 CTP720939:CTV720939 DDL720939:DDR720939 DNH720939:DNN720939 DXD720939:DXJ720939 EGZ720939:EHF720939 EQV720939:ERB720939 FAR720939:FAX720939 FKN720939:FKT720939 FUJ720939:FUP720939 GEF720939:GEL720939 GOB720939:GOH720939 GXX720939:GYD720939 HHT720939:HHZ720939 HRP720939:HRV720939 IBL720939:IBR720939 ILH720939:ILN720939 IVD720939:IVJ720939 JEZ720939:JFF720939 JOV720939:JPB720939 JYR720939:JYX720939 KIN720939:KIT720939 KSJ720939:KSP720939 LCF720939:LCL720939 LMB720939:LMH720939 LVX720939:LWD720939 MFT720939:MFZ720939 MPP720939:MPV720939 MZL720939:MZR720939 NJH720939:NJN720939 NTD720939:NTJ720939 OCZ720939:ODF720939 OMV720939:ONB720939 OWR720939:OWX720939 PGN720939:PGT720939 PQJ720939:PQP720939 QAF720939:QAL720939 QKB720939:QKH720939 QTX720939:QUD720939 RDT720939:RDZ720939 RNP720939:RNV720939 RXL720939:RXR720939 SHH720939:SHN720939 SRD720939:SRJ720939 TAZ720939:TBF720939 TKV720939:TLB720939 TUR720939:TUX720939 UEN720939:UET720939 UOJ720939:UOP720939 UYF720939:UYL720939 VIB720939:VIH720939 VRX720939:VSD720939 WBT720939:WBZ720939 WLP720939:WLV720939 WVL720939:WVR720939 D786475:J786475 IZ786475:JF786475 SV786475:TB786475 ACR786475:ACX786475 AMN786475:AMT786475 AWJ786475:AWP786475 BGF786475:BGL786475 BQB786475:BQH786475 BZX786475:CAD786475 CJT786475:CJZ786475 CTP786475:CTV786475 DDL786475:DDR786475 DNH786475:DNN786475 DXD786475:DXJ786475 EGZ786475:EHF786475 EQV786475:ERB786475 FAR786475:FAX786475 FKN786475:FKT786475 FUJ786475:FUP786475 GEF786475:GEL786475 GOB786475:GOH786475 GXX786475:GYD786475 HHT786475:HHZ786475 HRP786475:HRV786475 IBL786475:IBR786475 ILH786475:ILN786475 IVD786475:IVJ786475 JEZ786475:JFF786475 JOV786475:JPB786475 JYR786475:JYX786475 KIN786475:KIT786475 KSJ786475:KSP786475 LCF786475:LCL786475 LMB786475:LMH786475 LVX786475:LWD786475 MFT786475:MFZ786475 MPP786475:MPV786475 MZL786475:MZR786475 NJH786475:NJN786475 NTD786475:NTJ786475 OCZ786475:ODF786475 OMV786475:ONB786475 OWR786475:OWX786475 PGN786475:PGT786475 PQJ786475:PQP786475 QAF786475:QAL786475 QKB786475:QKH786475 QTX786475:QUD786475 RDT786475:RDZ786475 RNP786475:RNV786475 RXL786475:RXR786475 SHH786475:SHN786475 SRD786475:SRJ786475 TAZ786475:TBF786475 TKV786475:TLB786475 TUR786475:TUX786475 UEN786475:UET786475 UOJ786475:UOP786475 UYF786475:UYL786475 VIB786475:VIH786475 VRX786475:VSD786475 WBT786475:WBZ786475 WLP786475:WLV786475 WVL786475:WVR786475 D852011:J852011 IZ852011:JF852011 SV852011:TB852011 ACR852011:ACX852011 AMN852011:AMT852011 AWJ852011:AWP852011 BGF852011:BGL852011 BQB852011:BQH852011 BZX852011:CAD852011 CJT852011:CJZ852011 CTP852011:CTV852011 DDL852011:DDR852011 DNH852011:DNN852011 DXD852011:DXJ852011 EGZ852011:EHF852011 EQV852011:ERB852011 FAR852011:FAX852011 FKN852011:FKT852011 FUJ852011:FUP852011 GEF852011:GEL852011 GOB852011:GOH852011 GXX852011:GYD852011 HHT852011:HHZ852011 HRP852011:HRV852011 IBL852011:IBR852011 ILH852011:ILN852011 IVD852011:IVJ852011 JEZ852011:JFF852011 JOV852011:JPB852011 JYR852011:JYX852011 KIN852011:KIT852011 KSJ852011:KSP852011 LCF852011:LCL852011 LMB852011:LMH852011 LVX852011:LWD852011 MFT852011:MFZ852011 MPP852011:MPV852011 MZL852011:MZR852011 NJH852011:NJN852011 NTD852011:NTJ852011 OCZ852011:ODF852011 OMV852011:ONB852011 OWR852011:OWX852011 PGN852011:PGT852011 PQJ852011:PQP852011 QAF852011:QAL852011 QKB852011:QKH852011 QTX852011:QUD852011 RDT852011:RDZ852011 RNP852011:RNV852011 RXL852011:RXR852011 SHH852011:SHN852011 SRD852011:SRJ852011 TAZ852011:TBF852011 TKV852011:TLB852011 TUR852011:TUX852011 UEN852011:UET852011 UOJ852011:UOP852011 UYF852011:UYL852011 VIB852011:VIH852011 VRX852011:VSD852011 WBT852011:WBZ852011 WLP852011:WLV852011 WVL852011:WVR852011 D917547:J917547 IZ917547:JF917547 SV917547:TB917547 ACR917547:ACX917547 AMN917547:AMT917547 AWJ917547:AWP917547 BGF917547:BGL917547 BQB917547:BQH917547 BZX917547:CAD917547 CJT917547:CJZ917547 CTP917547:CTV917547 DDL917547:DDR917547 DNH917547:DNN917547 DXD917547:DXJ917547 EGZ917547:EHF917547 EQV917547:ERB917547 FAR917547:FAX917547 FKN917547:FKT917547 FUJ917547:FUP917547 GEF917547:GEL917547 GOB917547:GOH917547 GXX917547:GYD917547 HHT917547:HHZ917547 HRP917547:HRV917547 IBL917547:IBR917547 ILH917547:ILN917547 IVD917547:IVJ917547 JEZ917547:JFF917547 JOV917547:JPB917547 JYR917547:JYX917547 KIN917547:KIT917547 KSJ917547:KSP917547 LCF917547:LCL917547 LMB917547:LMH917547 LVX917547:LWD917547 MFT917547:MFZ917547 MPP917547:MPV917547 MZL917547:MZR917547 NJH917547:NJN917547 NTD917547:NTJ917547 OCZ917547:ODF917547 OMV917547:ONB917547 OWR917547:OWX917547 PGN917547:PGT917547 PQJ917547:PQP917547 QAF917547:QAL917547 QKB917547:QKH917547 QTX917547:QUD917547 RDT917547:RDZ917547 RNP917547:RNV917547 RXL917547:RXR917547 SHH917547:SHN917547 SRD917547:SRJ917547 TAZ917547:TBF917547 TKV917547:TLB917547 TUR917547:TUX917547 UEN917547:UET917547 UOJ917547:UOP917547 UYF917547:UYL917547 VIB917547:VIH917547 VRX917547:VSD917547 WBT917547:WBZ917547 WLP917547:WLV917547 WVL917547:WVR917547 D983083:J983083 IZ983083:JF983083 SV983083:TB983083 ACR983083:ACX983083 AMN983083:AMT983083 AWJ983083:AWP983083 BGF983083:BGL983083 BQB983083:BQH983083 BZX983083:CAD983083 CJT983083:CJZ983083 CTP983083:CTV983083 DDL983083:DDR983083 DNH983083:DNN983083 DXD983083:DXJ983083 EGZ983083:EHF983083 EQV983083:ERB983083 FAR983083:FAX983083 FKN983083:FKT983083 FUJ983083:FUP983083 GEF983083:GEL983083 GOB983083:GOH983083 GXX983083:GYD983083 HHT983083:HHZ983083 HRP983083:HRV983083 IBL983083:IBR983083 ILH983083:ILN983083 IVD983083:IVJ983083 JEZ983083:JFF983083 JOV983083:JPB983083 JYR983083:JYX983083 KIN983083:KIT983083 KSJ983083:KSP983083 LCF983083:LCL983083 LMB983083:LMH983083 LVX983083:LWD983083 MFT983083:MFZ983083 MPP983083:MPV983083 MZL983083:MZR983083 NJH983083:NJN983083 NTD983083:NTJ983083 OCZ983083:ODF983083 OMV983083:ONB983083 OWR983083:OWX983083 PGN983083:PGT983083 PQJ983083:PQP983083 QAF983083:QAL983083 QKB983083:QKH983083 QTX983083:QUD983083 RDT983083:RDZ983083 RNP983083:RNV983083 RXL983083:RXR983083 SHH983083:SHN983083 SRD983083:SRJ983083 TAZ983083:TBF983083 TKV983083:TLB983083 TUR983083:TUX983083 UEN983083:UET983083 UOJ983083:UOP983083 UYF983083:UYL983083 VIB983083:VIH983083 VRX983083:VSD983083 WBT983083:WBZ983083 WLP983083:WLV983083 WVL983083:WVR983083">
      <formula1>ModulesInCmp</formula1>
    </dataValidation>
    <dataValidation type="list" allowBlank="1" prompt="Please select a data source" sqref="L35:N39 JH35:JJ39 TD35:TF39 ACZ35:ADB39 AMV35:AMX39 AWR35:AWT39 BGN35:BGP39 BQJ35:BQL39 CAF35:CAH39 CKB35:CKD39 CTX35:CTZ39 DDT35:DDV39 DNP35:DNR39 DXL35:DXN39 EHH35:EHJ39 ERD35:ERF39 FAZ35:FBB39 FKV35:FKX39 FUR35:FUT39 GEN35:GEP39 GOJ35:GOL39 GYF35:GYH39 HIB35:HID39 HRX35:HRZ39 IBT35:IBV39 ILP35:ILR39 IVL35:IVN39 JFH35:JFJ39 JPD35:JPF39 JYZ35:JZB39 KIV35:KIX39 KSR35:KST39 LCN35:LCP39 LMJ35:LML39 LWF35:LWH39 MGB35:MGD39 MPX35:MPZ39 MZT35:MZV39 NJP35:NJR39 NTL35:NTN39 ODH35:ODJ39 OND35:ONF39 OWZ35:OXB39 PGV35:PGX39 PQR35:PQT39 QAN35:QAP39 QKJ35:QKL39 QUF35:QUH39 REB35:RED39 RNX35:RNZ39 RXT35:RXV39 SHP35:SHR39 SRL35:SRN39 TBH35:TBJ39 TLD35:TLF39 TUZ35:TVB39 UEV35:UEX39 UOR35:UOT39 UYN35:UYP39 VIJ35:VIL39 VSF35:VSH39 WCB35:WCD39 WLX35:WLZ39 WVT35:WVV39 L65571:N65575 JH65571:JJ65575 TD65571:TF65575 ACZ65571:ADB65575 AMV65571:AMX65575 AWR65571:AWT65575 BGN65571:BGP65575 BQJ65571:BQL65575 CAF65571:CAH65575 CKB65571:CKD65575 CTX65571:CTZ65575 DDT65571:DDV65575 DNP65571:DNR65575 DXL65571:DXN65575 EHH65571:EHJ65575 ERD65571:ERF65575 FAZ65571:FBB65575 FKV65571:FKX65575 FUR65571:FUT65575 GEN65571:GEP65575 GOJ65571:GOL65575 GYF65571:GYH65575 HIB65571:HID65575 HRX65571:HRZ65575 IBT65571:IBV65575 ILP65571:ILR65575 IVL65571:IVN65575 JFH65571:JFJ65575 JPD65571:JPF65575 JYZ65571:JZB65575 KIV65571:KIX65575 KSR65571:KST65575 LCN65571:LCP65575 LMJ65571:LML65575 LWF65571:LWH65575 MGB65571:MGD65575 MPX65571:MPZ65575 MZT65571:MZV65575 NJP65571:NJR65575 NTL65571:NTN65575 ODH65571:ODJ65575 OND65571:ONF65575 OWZ65571:OXB65575 PGV65571:PGX65575 PQR65571:PQT65575 QAN65571:QAP65575 QKJ65571:QKL65575 QUF65571:QUH65575 REB65571:RED65575 RNX65571:RNZ65575 RXT65571:RXV65575 SHP65571:SHR65575 SRL65571:SRN65575 TBH65571:TBJ65575 TLD65571:TLF65575 TUZ65571:TVB65575 UEV65571:UEX65575 UOR65571:UOT65575 UYN65571:UYP65575 VIJ65571:VIL65575 VSF65571:VSH65575 WCB65571:WCD65575 WLX65571:WLZ65575 WVT65571:WVV65575 L131107:N131111 JH131107:JJ131111 TD131107:TF131111 ACZ131107:ADB131111 AMV131107:AMX131111 AWR131107:AWT131111 BGN131107:BGP131111 BQJ131107:BQL131111 CAF131107:CAH131111 CKB131107:CKD131111 CTX131107:CTZ131111 DDT131107:DDV131111 DNP131107:DNR131111 DXL131107:DXN131111 EHH131107:EHJ131111 ERD131107:ERF131111 FAZ131107:FBB131111 FKV131107:FKX131111 FUR131107:FUT131111 GEN131107:GEP131111 GOJ131107:GOL131111 GYF131107:GYH131111 HIB131107:HID131111 HRX131107:HRZ131111 IBT131107:IBV131111 ILP131107:ILR131111 IVL131107:IVN131111 JFH131107:JFJ131111 JPD131107:JPF131111 JYZ131107:JZB131111 KIV131107:KIX131111 KSR131107:KST131111 LCN131107:LCP131111 LMJ131107:LML131111 LWF131107:LWH131111 MGB131107:MGD131111 MPX131107:MPZ131111 MZT131107:MZV131111 NJP131107:NJR131111 NTL131107:NTN131111 ODH131107:ODJ131111 OND131107:ONF131111 OWZ131107:OXB131111 PGV131107:PGX131111 PQR131107:PQT131111 QAN131107:QAP131111 QKJ131107:QKL131111 QUF131107:QUH131111 REB131107:RED131111 RNX131107:RNZ131111 RXT131107:RXV131111 SHP131107:SHR131111 SRL131107:SRN131111 TBH131107:TBJ131111 TLD131107:TLF131111 TUZ131107:TVB131111 UEV131107:UEX131111 UOR131107:UOT131111 UYN131107:UYP131111 VIJ131107:VIL131111 VSF131107:VSH131111 WCB131107:WCD131111 WLX131107:WLZ131111 WVT131107:WVV131111 L196643:N196647 JH196643:JJ196647 TD196643:TF196647 ACZ196643:ADB196647 AMV196643:AMX196647 AWR196643:AWT196647 BGN196643:BGP196647 BQJ196643:BQL196647 CAF196643:CAH196647 CKB196643:CKD196647 CTX196643:CTZ196647 DDT196643:DDV196647 DNP196643:DNR196647 DXL196643:DXN196647 EHH196643:EHJ196647 ERD196643:ERF196647 FAZ196643:FBB196647 FKV196643:FKX196647 FUR196643:FUT196647 GEN196643:GEP196647 GOJ196643:GOL196647 GYF196643:GYH196647 HIB196643:HID196647 HRX196643:HRZ196647 IBT196643:IBV196647 ILP196643:ILR196647 IVL196643:IVN196647 JFH196643:JFJ196647 JPD196643:JPF196647 JYZ196643:JZB196647 KIV196643:KIX196647 KSR196643:KST196647 LCN196643:LCP196647 LMJ196643:LML196647 LWF196643:LWH196647 MGB196643:MGD196647 MPX196643:MPZ196647 MZT196643:MZV196647 NJP196643:NJR196647 NTL196643:NTN196647 ODH196643:ODJ196647 OND196643:ONF196647 OWZ196643:OXB196647 PGV196643:PGX196647 PQR196643:PQT196647 QAN196643:QAP196647 QKJ196643:QKL196647 QUF196643:QUH196647 REB196643:RED196647 RNX196643:RNZ196647 RXT196643:RXV196647 SHP196643:SHR196647 SRL196643:SRN196647 TBH196643:TBJ196647 TLD196643:TLF196647 TUZ196643:TVB196647 UEV196643:UEX196647 UOR196643:UOT196647 UYN196643:UYP196647 VIJ196643:VIL196647 VSF196643:VSH196647 WCB196643:WCD196647 WLX196643:WLZ196647 WVT196643:WVV196647 L262179:N262183 JH262179:JJ262183 TD262179:TF262183 ACZ262179:ADB262183 AMV262179:AMX262183 AWR262179:AWT262183 BGN262179:BGP262183 BQJ262179:BQL262183 CAF262179:CAH262183 CKB262179:CKD262183 CTX262179:CTZ262183 DDT262179:DDV262183 DNP262179:DNR262183 DXL262179:DXN262183 EHH262179:EHJ262183 ERD262179:ERF262183 FAZ262179:FBB262183 FKV262179:FKX262183 FUR262179:FUT262183 GEN262179:GEP262183 GOJ262179:GOL262183 GYF262179:GYH262183 HIB262179:HID262183 HRX262179:HRZ262183 IBT262179:IBV262183 ILP262179:ILR262183 IVL262179:IVN262183 JFH262179:JFJ262183 JPD262179:JPF262183 JYZ262179:JZB262183 KIV262179:KIX262183 KSR262179:KST262183 LCN262179:LCP262183 LMJ262179:LML262183 LWF262179:LWH262183 MGB262179:MGD262183 MPX262179:MPZ262183 MZT262179:MZV262183 NJP262179:NJR262183 NTL262179:NTN262183 ODH262179:ODJ262183 OND262179:ONF262183 OWZ262179:OXB262183 PGV262179:PGX262183 PQR262179:PQT262183 QAN262179:QAP262183 QKJ262179:QKL262183 QUF262179:QUH262183 REB262179:RED262183 RNX262179:RNZ262183 RXT262179:RXV262183 SHP262179:SHR262183 SRL262179:SRN262183 TBH262179:TBJ262183 TLD262179:TLF262183 TUZ262179:TVB262183 UEV262179:UEX262183 UOR262179:UOT262183 UYN262179:UYP262183 VIJ262179:VIL262183 VSF262179:VSH262183 WCB262179:WCD262183 WLX262179:WLZ262183 WVT262179:WVV262183 L327715:N327719 JH327715:JJ327719 TD327715:TF327719 ACZ327715:ADB327719 AMV327715:AMX327719 AWR327715:AWT327719 BGN327715:BGP327719 BQJ327715:BQL327719 CAF327715:CAH327719 CKB327715:CKD327719 CTX327715:CTZ327719 DDT327715:DDV327719 DNP327715:DNR327719 DXL327715:DXN327719 EHH327715:EHJ327719 ERD327715:ERF327719 FAZ327715:FBB327719 FKV327715:FKX327719 FUR327715:FUT327719 GEN327715:GEP327719 GOJ327715:GOL327719 GYF327715:GYH327719 HIB327715:HID327719 HRX327715:HRZ327719 IBT327715:IBV327719 ILP327715:ILR327719 IVL327715:IVN327719 JFH327715:JFJ327719 JPD327715:JPF327719 JYZ327715:JZB327719 KIV327715:KIX327719 KSR327715:KST327719 LCN327715:LCP327719 LMJ327715:LML327719 LWF327715:LWH327719 MGB327715:MGD327719 MPX327715:MPZ327719 MZT327715:MZV327719 NJP327715:NJR327719 NTL327715:NTN327719 ODH327715:ODJ327719 OND327715:ONF327719 OWZ327715:OXB327719 PGV327715:PGX327719 PQR327715:PQT327719 QAN327715:QAP327719 QKJ327715:QKL327719 QUF327715:QUH327719 REB327715:RED327719 RNX327715:RNZ327719 RXT327715:RXV327719 SHP327715:SHR327719 SRL327715:SRN327719 TBH327715:TBJ327719 TLD327715:TLF327719 TUZ327715:TVB327719 UEV327715:UEX327719 UOR327715:UOT327719 UYN327715:UYP327719 VIJ327715:VIL327719 VSF327715:VSH327719 WCB327715:WCD327719 WLX327715:WLZ327719 WVT327715:WVV327719 L393251:N393255 JH393251:JJ393255 TD393251:TF393255 ACZ393251:ADB393255 AMV393251:AMX393255 AWR393251:AWT393255 BGN393251:BGP393255 BQJ393251:BQL393255 CAF393251:CAH393255 CKB393251:CKD393255 CTX393251:CTZ393255 DDT393251:DDV393255 DNP393251:DNR393255 DXL393251:DXN393255 EHH393251:EHJ393255 ERD393251:ERF393255 FAZ393251:FBB393255 FKV393251:FKX393255 FUR393251:FUT393255 GEN393251:GEP393255 GOJ393251:GOL393255 GYF393251:GYH393255 HIB393251:HID393255 HRX393251:HRZ393255 IBT393251:IBV393255 ILP393251:ILR393255 IVL393251:IVN393255 JFH393251:JFJ393255 JPD393251:JPF393255 JYZ393251:JZB393255 KIV393251:KIX393255 KSR393251:KST393255 LCN393251:LCP393255 LMJ393251:LML393255 LWF393251:LWH393255 MGB393251:MGD393255 MPX393251:MPZ393255 MZT393251:MZV393255 NJP393251:NJR393255 NTL393251:NTN393255 ODH393251:ODJ393255 OND393251:ONF393255 OWZ393251:OXB393255 PGV393251:PGX393255 PQR393251:PQT393255 QAN393251:QAP393255 QKJ393251:QKL393255 QUF393251:QUH393255 REB393251:RED393255 RNX393251:RNZ393255 RXT393251:RXV393255 SHP393251:SHR393255 SRL393251:SRN393255 TBH393251:TBJ393255 TLD393251:TLF393255 TUZ393251:TVB393255 UEV393251:UEX393255 UOR393251:UOT393255 UYN393251:UYP393255 VIJ393251:VIL393255 VSF393251:VSH393255 WCB393251:WCD393255 WLX393251:WLZ393255 WVT393251:WVV393255 L458787:N458791 JH458787:JJ458791 TD458787:TF458791 ACZ458787:ADB458791 AMV458787:AMX458791 AWR458787:AWT458791 BGN458787:BGP458791 BQJ458787:BQL458791 CAF458787:CAH458791 CKB458787:CKD458791 CTX458787:CTZ458791 DDT458787:DDV458791 DNP458787:DNR458791 DXL458787:DXN458791 EHH458787:EHJ458791 ERD458787:ERF458791 FAZ458787:FBB458791 FKV458787:FKX458791 FUR458787:FUT458791 GEN458787:GEP458791 GOJ458787:GOL458791 GYF458787:GYH458791 HIB458787:HID458791 HRX458787:HRZ458791 IBT458787:IBV458791 ILP458787:ILR458791 IVL458787:IVN458791 JFH458787:JFJ458791 JPD458787:JPF458791 JYZ458787:JZB458791 KIV458787:KIX458791 KSR458787:KST458791 LCN458787:LCP458791 LMJ458787:LML458791 LWF458787:LWH458791 MGB458787:MGD458791 MPX458787:MPZ458791 MZT458787:MZV458791 NJP458787:NJR458791 NTL458787:NTN458791 ODH458787:ODJ458791 OND458787:ONF458791 OWZ458787:OXB458791 PGV458787:PGX458791 PQR458787:PQT458791 QAN458787:QAP458791 QKJ458787:QKL458791 QUF458787:QUH458791 REB458787:RED458791 RNX458787:RNZ458791 RXT458787:RXV458791 SHP458787:SHR458791 SRL458787:SRN458791 TBH458787:TBJ458791 TLD458787:TLF458791 TUZ458787:TVB458791 UEV458787:UEX458791 UOR458787:UOT458791 UYN458787:UYP458791 VIJ458787:VIL458791 VSF458787:VSH458791 WCB458787:WCD458791 WLX458787:WLZ458791 WVT458787:WVV458791 L524323:N524327 JH524323:JJ524327 TD524323:TF524327 ACZ524323:ADB524327 AMV524323:AMX524327 AWR524323:AWT524327 BGN524323:BGP524327 BQJ524323:BQL524327 CAF524323:CAH524327 CKB524323:CKD524327 CTX524323:CTZ524327 DDT524323:DDV524327 DNP524323:DNR524327 DXL524323:DXN524327 EHH524323:EHJ524327 ERD524323:ERF524327 FAZ524323:FBB524327 FKV524323:FKX524327 FUR524323:FUT524327 GEN524323:GEP524327 GOJ524323:GOL524327 GYF524323:GYH524327 HIB524323:HID524327 HRX524323:HRZ524327 IBT524323:IBV524327 ILP524323:ILR524327 IVL524323:IVN524327 JFH524323:JFJ524327 JPD524323:JPF524327 JYZ524323:JZB524327 KIV524323:KIX524327 KSR524323:KST524327 LCN524323:LCP524327 LMJ524323:LML524327 LWF524323:LWH524327 MGB524323:MGD524327 MPX524323:MPZ524327 MZT524323:MZV524327 NJP524323:NJR524327 NTL524323:NTN524327 ODH524323:ODJ524327 OND524323:ONF524327 OWZ524323:OXB524327 PGV524323:PGX524327 PQR524323:PQT524327 QAN524323:QAP524327 QKJ524323:QKL524327 QUF524323:QUH524327 REB524323:RED524327 RNX524323:RNZ524327 RXT524323:RXV524327 SHP524323:SHR524327 SRL524323:SRN524327 TBH524323:TBJ524327 TLD524323:TLF524327 TUZ524323:TVB524327 UEV524323:UEX524327 UOR524323:UOT524327 UYN524323:UYP524327 VIJ524323:VIL524327 VSF524323:VSH524327 WCB524323:WCD524327 WLX524323:WLZ524327 WVT524323:WVV524327 L589859:N589863 JH589859:JJ589863 TD589859:TF589863 ACZ589859:ADB589863 AMV589859:AMX589863 AWR589859:AWT589863 BGN589859:BGP589863 BQJ589859:BQL589863 CAF589859:CAH589863 CKB589859:CKD589863 CTX589859:CTZ589863 DDT589859:DDV589863 DNP589859:DNR589863 DXL589859:DXN589863 EHH589859:EHJ589863 ERD589859:ERF589863 FAZ589859:FBB589863 FKV589859:FKX589863 FUR589859:FUT589863 GEN589859:GEP589863 GOJ589859:GOL589863 GYF589859:GYH589863 HIB589859:HID589863 HRX589859:HRZ589863 IBT589859:IBV589863 ILP589859:ILR589863 IVL589859:IVN589863 JFH589859:JFJ589863 JPD589859:JPF589863 JYZ589859:JZB589863 KIV589859:KIX589863 KSR589859:KST589863 LCN589859:LCP589863 LMJ589859:LML589863 LWF589859:LWH589863 MGB589859:MGD589863 MPX589859:MPZ589863 MZT589859:MZV589863 NJP589859:NJR589863 NTL589859:NTN589863 ODH589859:ODJ589863 OND589859:ONF589863 OWZ589859:OXB589863 PGV589859:PGX589863 PQR589859:PQT589863 QAN589859:QAP589863 QKJ589859:QKL589863 QUF589859:QUH589863 REB589859:RED589863 RNX589859:RNZ589863 RXT589859:RXV589863 SHP589859:SHR589863 SRL589859:SRN589863 TBH589859:TBJ589863 TLD589859:TLF589863 TUZ589859:TVB589863 UEV589859:UEX589863 UOR589859:UOT589863 UYN589859:UYP589863 VIJ589859:VIL589863 VSF589859:VSH589863 WCB589859:WCD589863 WLX589859:WLZ589863 WVT589859:WVV589863 L655395:N655399 JH655395:JJ655399 TD655395:TF655399 ACZ655395:ADB655399 AMV655395:AMX655399 AWR655395:AWT655399 BGN655395:BGP655399 BQJ655395:BQL655399 CAF655395:CAH655399 CKB655395:CKD655399 CTX655395:CTZ655399 DDT655395:DDV655399 DNP655395:DNR655399 DXL655395:DXN655399 EHH655395:EHJ655399 ERD655395:ERF655399 FAZ655395:FBB655399 FKV655395:FKX655399 FUR655395:FUT655399 GEN655395:GEP655399 GOJ655395:GOL655399 GYF655395:GYH655399 HIB655395:HID655399 HRX655395:HRZ655399 IBT655395:IBV655399 ILP655395:ILR655399 IVL655395:IVN655399 JFH655395:JFJ655399 JPD655395:JPF655399 JYZ655395:JZB655399 KIV655395:KIX655399 KSR655395:KST655399 LCN655395:LCP655399 LMJ655395:LML655399 LWF655395:LWH655399 MGB655395:MGD655399 MPX655395:MPZ655399 MZT655395:MZV655399 NJP655395:NJR655399 NTL655395:NTN655399 ODH655395:ODJ655399 OND655395:ONF655399 OWZ655395:OXB655399 PGV655395:PGX655399 PQR655395:PQT655399 QAN655395:QAP655399 QKJ655395:QKL655399 QUF655395:QUH655399 REB655395:RED655399 RNX655395:RNZ655399 RXT655395:RXV655399 SHP655395:SHR655399 SRL655395:SRN655399 TBH655395:TBJ655399 TLD655395:TLF655399 TUZ655395:TVB655399 UEV655395:UEX655399 UOR655395:UOT655399 UYN655395:UYP655399 VIJ655395:VIL655399 VSF655395:VSH655399 WCB655395:WCD655399 WLX655395:WLZ655399 WVT655395:WVV655399 L720931:N720935 JH720931:JJ720935 TD720931:TF720935 ACZ720931:ADB720935 AMV720931:AMX720935 AWR720931:AWT720935 BGN720931:BGP720935 BQJ720931:BQL720935 CAF720931:CAH720935 CKB720931:CKD720935 CTX720931:CTZ720935 DDT720931:DDV720935 DNP720931:DNR720935 DXL720931:DXN720935 EHH720931:EHJ720935 ERD720931:ERF720935 FAZ720931:FBB720935 FKV720931:FKX720935 FUR720931:FUT720935 GEN720931:GEP720935 GOJ720931:GOL720935 GYF720931:GYH720935 HIB720931:HID720935 HRX720931:HRZ720935 IBT720931:IBV720935 ILP720931:ILR720935 IVL720931:IVN720935 JFH720931:JFJ720935 JPD720931:JPF720935 JYZ720931:JZB720935 KIV720931:KIX720935 KSR720931:KST720935 LCN720931:LCP720935 LMJ720931:LML720935 LWF720931:LWH720935 MGB720931:MGD720935 MPX720931:MPZ720935 MZT720931:MZV720935 NJP720931:NJR720935 NTL720931:NTN720935 ODH720931:ODJ720935 OND720931:ONF720935 OWZ720931:OXB720935 PGV720931:PGX720935 PQR720931:PQT720935 QAN720931:QAP720935 QKJ720931:QKL720935 QUF720931:QUH720935 REB720931:RED720935 RNX720931:RNZ720935 RXT720931:RXV720935 SHP720931:SHR720935 SRL720931:SRN720935 TBH720931:TBJ720935 TLD720931:TLF720935 TUZ720931:TVB720935 UEV720931:UEX720935 UOR720931:UOT720935 UYN720931:UYP720935 VIJ720931:VIL720935 VSF720931:VSH720935 WCB720931:WCD720935 WLX720931:WLZ720935 WVT720931:WVV720935 L786467:N786471 JH786467:JJ786471 TD786467:TF786471 ACZ786467:ADB786471 AMV786467:AMX786471 AWR786467:AWT786471 BGN786467:BGP786471 BQJ786467:BQL786471 CAF786467:CAH786471 CKB786467:CKD786471 CTX786467:CTZ786471 DDT786467:DDV786471 DNP786467:DNR786471 DXL786467:DXN786471 EHH786467:EHJ786471 ERD786467:ERF786471 FAZ786467:FBB786471 FKV786467:FKX786471 FUR786467:FUT786471 GEN786467:GEP786471 GOJ786467:GOL786471 GYF786467:GYH786471 HIB786467:HID786471 HRX786467:HRZ786471 IBT786467:IBV786471 ILP786467:ILR786471 IVL786467:IVN786471 JFH786467:JFJ786471 JPD786467:JPF786471 JYZ786467:JZB786471 KIV786467:KIX786471 KSR786467:KST786471 LCN786467:LCP786471 LMJ786467:LML786471 LWF786467:LWH786471 MGB786467:MGD786471 MPX786467:MPZ786471 MZT786467:MZV786471 NJP786467:NJR786471 NTL786467:NTN786471 ODH786467:ODJ786471 OND786467:ONF786471 OWZ786467:OXB786471 PGV786467:PGX786471 PQR786467:PQT786471 QAN786467:QAP786471 QKJ786467:QKL786471 QUF786467:QUH786471 REB786467:RED786471 RNX786467:RNZ786471 RXT786467:RXV786471 SHP786467:SHR786471 SRL786467:SRN786471 TBH786467:TBJ786471 TLD786467:TLF786471 TUZ786467:TVB786471 UEV786467:UEX786471 UOR786467:UOT786471 UYN786467:UYP786471 VIJ786467:VIL786471 VSF786467:VSH786471 WCB786467:WCD786471 WLX786467:WLZ786471 WVT786467:WVV786471 L852003:N852007 JH852003:JJ852007 TD852003:TF852007 ACZ852003:ADB852007 AMV852003:AMX852007 AWR852003:AWT852007 BGN852003:BGP852007 BQJ852003:BQL852007 CAF852003:CAH852007 CKB852003:CKD852007 CTX852003:CTZ852007 DDT852003:DDV852007 DNP852003:DNR852007 DXL852003:DXN852007 EHH852003:EHJ852007 ERD852003:ERF852007 FAZ852003:FBB852007 FKV852003:FKX852007 FUR852003:FUT852007 GEN852003:GEP852007 GOJ852003:GOL852007 GYF852003:GYH852007 HIB852003:HID852007 HRX852003:HRZ852007 IBT852003:IBV852007 ILP852003:ILR852007 IVL852003:IVN852007 JFH852003:JFJ852007 JPD852003:JPF852007 JYZ852003:JZB852007 KIV852003:KIX852007 KSR852003:KST852007 LCN852003:LCP852007 LMJ852003:LML852007 LWF852003:LWH852007 MGB852003:MGD852007 MPX852003:MPZ852007 MZT852003:MZV852007 NJP852003:NJR852007 NTL852003:NTN852007 ODH852003:ODJ852007 OND852003:ONF852007 OWZ852003:OXB852007 PGV852003:PGX852007 PQR852003:PQT852007 QAN852003:QAP852007 QKJ852003:QKL852007 QUF852003:QUH852007 REB852003:RED852007 RNX852003:RNZ852007 RXT852003:RXV852007 SHP852003:SHR852007 SRL852003:SRN852007 TBH852003:TBJ852007 TLD852003:TLF852007 TUZ852003:TVB852007 UEV852003:UEX852007 UOR852003:UOT852007 UYN852003:UYP852007 VIJ852003:VIL852007 VSF852003:VSH852007 WCB852003:WCD852007 WLX852003:WLZ852007 WVT852003:WVV852007 L917539:N917543 JH917539:JJ917543 TD917539:TF917543 ACZ917539:ADB917543 AMV917539:AMX917543 AWR917539:AWT917543 BGN917539:BGP917543 BQJ917539:BQL917543 CAF917539:CAH917543 CKB917539:CKD917543 CTX917539:CTZ917543 DDT917539:DDV917543 DNP917539:DNR917543 DXL917539:DXN917543 EHH917539:EHJ917543 ERD917539:ERF917543 FAZ917539:FBB917543 FKV917539:FKX917543 FUR917539:FUT917543 GEN917539:GEP917543 GOJ917539:GOL917543 GYF917539:GYH917543 HIB917539:HID917543 HRX917539:HRZ917543 IBT917539:IBV917543 ILP917539:ILR917543 IVL917539:IVN917543 JFH917539:JFJ917543 JPD917539:JPF917543 JYZ917539:JZB917543 KIV917539:KIX917543 KSR917539:KST917543 LCN917539:LCP917543 LMJ917539:LML917543 LWF917539:LWH917543 MGB917539:MGD917543 MPX917539:MPZ917543 MZT917539:MZV917543 NJP917539:NJR917543 NTL917539:NTN917543 ODH917539:ODJ917543 OND917539:ONF917543 OWZ917539:OXB917543 PGV917539:PGX917543 PQR917539:PQT917543 QAN917539:QAP917543 QKJ917539:QKL917543 QUF917539:QUH917543 REB917539:RED917543 RNX917539:RNZ917543 RXT917539:RXV917543 SHP917539:SHR917543 SRL917539:SRN917543 TBH917539:TBJ917543 TLD917539:TLF917543 TUZ917539:TVB917543 UEV917539:UEX917543 UOR917539:UOT917543 UYN917539:UYP917543 VIJ917539:VIL917543 VSF917539:VSH917543 WCB917539:WCD917543 WLX917539:WLZ917543 WVT917539:WVV917543 L983075:N983079 JH983075:JJ983079 TD983075:TF983079 ACZ983075:ADB983079 AMV983075:AMX983079 AWR983075:AWT983079 BGN983075:BGP983079 BQJ983075:BQL983079 CAF983075:CAH983079 CKB983075:CKD983079 CTX983075:CTZ983079 DDT983075:DDV983079 DNP983075:DNR983079 DXL983075:DXN983079 EHH983075:EHJ983079 ERD983075:ERF983079 FAZ983075:FBB983079 FKV983075:FKX983079 FUR983075:FUT983079 GEN983075:GEP983079 GOJ983075:GOL983079 GYF983075:GYH983079 HIB983075:HID983079 HRX983075:HRZ983079 IBT983075:IBV983079 ILP983075:ILR983079 IVL983075:IVN983079 JFH983075:JFJ983079 JPD983075:JPF983079 JYZ983075:JZB983079 KIV983075:KIX983079 KSR983075:KST983079 LCN983075:LCP983079 LMJ983075:LML983079 LWF983075:LWH983079 MGB983075:MGD983079 MPX983075:MPZ983079 MZT983075:MZV983079 NJP983075:NJR983079 NTL983075:NTN983079 ODH983075:ODJ983079 OND983075:ONF983079 OWZ983075:OXB983079 PGV983075:PGX983079 PQR983075:PQT983079 QAN983075:QAP983079 QKJ983075:QKL983079 QUF983075:QUH983079 REB983075:RED983079 RNX983075:RNZ983079 RXT983075:RXV983079 SHP983075:SHR983079 SRL983075:SRN983079 TBH983075:TBJ983079 TLD983075:TLF983079 TUZ983075:TVB983079 UEV983075:UEX983079 UOR983075:UOT983079 UYN983075:UYP983079 VIJ983075:VIL983079 VSF983075:VSH983079 WCB983075:WCD983079 WLX983075:WLZ983079 WVT983075:WVV983079">
      <formula1>DataSrcInCmp</formula1>
    </dataValidation>
    <dataValidation type="list" allowBlank="1" showInputMessage="1" showErrorMessage="1" sqref="L17:N21 JH17:JJ21 TD17:TF21 ACZ17:ADB21 AMV17:AMX21 AWR17:AWT21 BGN17:BGP21 BQJ17:BQL21 CAF17:CAH21 CKB17:CKD21 CTX17:CTZ21 DDT17:DDV21 DNP17:DNR21 DXL17:DXN21 EHH17:EHJ21 ERD17:ERF21 FAZ17:FBB21 FKV17:FKX21 FUR17:FUT21 GEN17:GEP21 GOJ17:GOL21 GYF17:GYH21 HIB17:HID21 HRX17:HRZ21 IBT17:IBV21 ILP17:ILR21 IVL17:IVN21 JFH17:JFJ21 JPD17:JPF21 JYZ17:JZB21 KIV17:KIX21 KSR17:KST21 LCN17:LCP21 LMJ17:LML21 LWF17:LWH21 MGB17:MGD21 MPX17:MPZ21 MZT17:MZV21 NJP17:NJR21 NTL17:NTN21 ODH17:ODJ21 OND17:ONF21 OWZ17:OXB21 PGV17:PGX21 PQR17:PQT21 QAN17:QAP21 QKJ17:QKL21 QUF17:QUH21 REB17:RED21 RNX17:RNZ21 RXT17:RXV21 SHP17:SHR21 SRL17:SRN21 TBH17:TBJ21 TLD17:TLF21 TUZ17:TVB21 UEV17:UEX21 UOR17:UOT21 UYN17:UYP21 VIJ17:VIL21 VSF17:VSH21 WCB17:WCD21 WLX17:WLZ21 WVT17:WVV21 L65553:N65557 JH65553:JJ65557 TD65553:TF65557 ACZ65553:ADB65557 AMV65553:AMX65557 AWR65553:AWT65557 BGN65553:BGP65557 BQJ65553:BQL65557 CAF65553:CAH65557 CKB65553:CKD65557 CTX65553:CTZ65557 DDT65553:DDV65557 DNP65553:DNR65557 DXL65553:DXN65557 EHH65553:EHJ65557 ERD65553:ERF65557 FAZ65553:FBB65557 FKV65553:FKX65557 FUR65553:FUT65557 GEN65553:GEP65557 GOJ65553:GOL65557 GYF65553:GYH65557 HIB65553:HID65557 HRX65553:HRZ65557 IBT65553:IBV65557 ILP65553:ILR65557 IVL65553:IVN65557 JFH65553:JFJ65557 JPD65553:JPF65557 JYZ65553:JZB65557 KIV65553:KIX65557 KSR65553:KST65557 LCN65553:LCP65557 LMJ65553:LML65557 LWF65553:LWH65557 MGB65553:MGD65557 MPX65553:MPZ65557 MZT65553:MZV65557 NJP65553:NJR65557 NTL65553:NTN65557 ODH65553:ODJ65557 OND65553:ONF65557 OWZ65553:OXB65557 PGV65553:PGX65557 PQR65553:PQT65557 QAN65553:QAP65557 QKJ65553:QKL65557 QUF65553:QUH65557 REB65553:RED65557 RNX65553:RNZ65557 RXT65553:RXV65557 SHP65553:SHR65557 SRL65553:SRN65557 TBH65553:TBJ65557 TLD65553:TLF65557 TUZ65553:TVB65557 UEV65553:UEX65557 UOR65553:UOT65557 UYN65553:UYP65557 VIJ65553:VIL65557 VSF65553:VSH65557 WCB65553:WCD65557 WLX65553:WLZ65557 WVT65553:WVV65557 L131089:N131093 JH131089:JJ131093 TD131089:TF131093 ACZ131089:ADB131093 AMV131089:AMX131093 AWR131089:AWT131093 BGN131089:BGP131093 BQJ131089:BQL131093 CAF131089:CAH131093 CKB131089:CKD131093 CTX131089:CTZ131093 DDT131089:DDV131093 DNP131089:DNR131093 DXL131089:DXN131093 EHH131089:EHJ131093 ERD131089:ERF131093 FAZ131089:FBB131093 FKV131089:FKX131093 FUR131089:FUT131093 GEN131089:GEP131093 GOJ131089:GOL131093 GYF131089:GYH131093 HIB131089:HID131093 HRX131089:HRZ131093 IBT131089:IBV131093 ILP131089:ILR131093 IVL131089:IVN131093 JFH131089:JFJ131093 JPD131089:JPF131093 JYZ131089:JZB131093 KIV131089:KIX131093 KSR131089:KST131093 LCN131089:LCP131093 LMJ131089:LML131093 LWF131089:LWH131093 MGB131089:MGD131093 MPX131089:MPZ131093 MZT131089:MZV131093 NJP131089:NJR131093 NTL131089:NTN131093 ODH131089:ODJ131093 OND131089:ONF131093 OWZ131089:OXB131093 PGV131089:PGX131093 PQR131089:PQT131093 QAN131089:QAP131093 QKJ131089:QKL131093 QUF131089:QUH131093 REB131089:RED131093 RNX131089:RNZ131093 RXT131089:RXV131093 SHP131089:SHR131093 SRL131089:SRN131093 TBH131089:TBJ131093 TLD131089:TLF131093 TUZ131089:TVB131093 UEV131089:UEX131093 UOR131089:UOT131093 UYN131089:UYP131093 VIJ131089:VIL131093 VSF131089:VSH131093 WCB131089:WCD131093 WLX131089:WLZ131093 WVT131089:WVV131093 L196625:N196629 JH196625:JJ196629 TD196625:TF196629 ACZ196625:ADB196629 AMV196625:AMX196629 AWR196625:AWT196629 BGN196625:BGP196629 BQJ196625:BQL196629 CAF196625:CAH196629 CKB196625:CKD196629 CTX196625:CTZ196629 DDT196625:DDV196629 DNP196625:DNR196629 DXL196625:DXN196629 EHH196625:EHJ196629 ERD196625:ERF196629 FAZ196625:FBB196629 FKV196625:FKX196629 FUR196625:FUT196629 GEN196625:GEP196629 GOJ196625:GOL196629 GYF196625:GYH196629 HIB196625:HID196629 HRX196625:HRZ196629 IBT196625:IBV196629 ILP196625:ILR196629 IVL196625:IVN196629 JFH196625:JFJ196629 JPD196625:JPF196629 JYZ196625:JZB196629 KIV196625:KIX196629 KSR196625:KST196629 LCN196625:LCP196629 LMJ196625:LML196629 LWF196625:LWH196629 MGB196625:MGD196629 MPX196625:MPZ196629 MZT196625:MZV196629 NJP196625:NJR196629 NTL196625:NTN196629 ODH196625:ODJ196629 OND196625:ONF196629 OWZ196625:OXB196629 PGV196625:PGX196629 PQR196625:PQT196629 QAN196625:QAP196629 QKJ196625:QKL196629 QUF196625:QUH196629 REB196625:RED196629 RNX196625:RNZ196629 RXT196625:RXV196629 SHP196625:SHR196629 SRL196625:SRN196629 TBH196625:TBJ196629 TLD196625:TLF196629 TUZ196625:TVB196629 UEV196625:UEX196629 UOR196625:UOT196629 UYN196625:UYP196629 VIJ196625:VIL196629 VSF196625:VSH196629 WCB196625:WCD196629 WLX196625:WLZ196629 WVT196625:WVV196629 L262161:N262165 JH262161:JJ262165 TD262161:TF262165 ACZ262161:ADB262165 AMV262161:AMX262165 AWR262161:AWT262165 BGN262161:BGP262165 BQJ262161:BQL262165 CAF262161:CAH262165 CKB262161:CKD262165 CTX262161:CTZ262165 DDT262161:DDV262165 DNP262161:DNR262165 DXL262161:DXN262165 EHH262161:EHJ262165 ERD262161:ERF262165 FAZ262161:FBB262165 FKV262161:FKX262165 FUR262161:FUT262165 GEN262161:GEP262165 GOJ262161:GOL262165 GYF262161:GYH262165 HIB262161:HID262165 HRX262161:HRZ262165 IBT262161:IBV262165 ILP262161:ILR262165 IVL262161:IVN262165 JFH262161:JFJ262165 JPD262161:JPF262165 JYZ262161:JZB262165 KIV262161:KIX262165 KSR262161:KST262165 LCN262161:LCP262165 LMJ262161:LML262165 LWF262161:LWH262165 MGB262161:MGD262165 MPX262161:MPZ262165 MZT262161:MZV262165 NJP262161:NJR262165 NTL262161:NTN262165 ODH262161:ODJ262165 OND262161:ONF262165 OWZ262161:OXB262165 PGV262161:PGX262165 PQR262161:PQT262165 QAN262161:QAP262165 QKJ262161:QKL262165 QUF262161:QUH262165 REB262161:RED262165 RNX262161:RNZ262165 RXT262161:RXV262165 SHP262161:SHR262165 SRL262161:SRN262165 TBH262161:TBJ262165 TLD262161:TLF262165 TUZ262161:TVB262165 UEV262161:UEX262165 UOR262161:UOT262165 UYN262161:UYP262165 VIJ262161:VIL262165 VSF262161:VSH262165 WCB262161:WCD262165 WLX262161:WLZ262165 WVT262161:WVV262165 L327697:N327701 JH327697:JJ327701 TD327697:TF327701 ACZ327697:ADB327701 AMV327697:AMX327701 AWR327697:AWT327701 BGN327697:BGP327701 BQJ327697:BQL327701 CAF327697:CAH327701 CKB327697:CKD327701 CTX327697:CTZ327701 DDT327697:DDV327701 DNP327697:DNR327701 DXL327697:DXN327701 EHH327697:EHJ327701 ERD327697:ERF327701 FAZ327697:FBB327701 FKV327697:FKX327701 FUR327697:FUT327701 GEN327697:GEP327701 GOJ327697:GOL327701 GYF327697:GYH327701 HIB327697:HID327701 HRX327697:HRZ327701 IBT327697:IBV327701 ILP327697:ILR327701 IVL327697:IVN327701 JFH327697:JFJ327701 JPD327697:JPF327701 JYZ327697:JZB327701 KIV327697:KIX327701 KSR327697:KST327701 LCN327697:LCP327701 LMJ327697:LML327701 LWF327697:LWH327701 MGB327697:MGD327701 MPX327697:MPZ327701 MZT327697:MZV327701 NJP327697:NJR327701 NTL327697:NTN327701 ODH327697:ODJ327701 OND327697:ONF327701 OWZ327697:OXB327701 PGV327697:PGX327701 PQR327697:PQT327701 QAN327697:QAP327701 QKJ327697:QKL327701 QUF327697:QUH327701 REB327697:RED327701 RNX327697:RNZ327701 RXT327697:RXV327701 SHP327697:SHR327701 SRL327697:SRN327701 TBH327697:TBJ327701 TLD327697:TLF327701 TUZ327697:TVB327701 UEV327697:UEX327701 UOR327697:UOT327701 UYN327697:UYP327701 VIJ327697:VIL327701 VSF327697:VSH327701 WCB327697:WCD327701 WLX327697:WLZ327701 WVT327697:WVV327701 L393233:N393237 JH393233:JJ393237 TD393233:TF393237 ACZ393233:ADB393237 AMV393233:AMX393237 AWR393233:AWT393237 BGN393233:BGP393237 BQJ393233:BQL393237 CAF393233:CAH393237 CKB393233:CKD393237 CTX393233:CTZ393237 DDT393233:DDV393237 DNP393233:DNR393237 DXL393233:DXN393237 EHH393233:EHJ393237 ERD393233:ERF393237 FAZ393233:FBB393237 FKV393233:FKX393237 FUR393233:FUT393237 GEN393233:GEP393237 GOJ393233:GOL393237 GYF393233:GYH393237 HIB393233:HID393237 HRX393233:HRZ393237 IBT393233:IBV393237 ILP393233:ILR393237 IVL393233:IVN393237 JFH393233:JFJ393237 JPD393233:JPF393237 JYZ393233:JZB393237 KIV393233:KIX393237 KSR393233:KST393237 LCN393233:LCP393237 LMJ393233:LML393237 LWF393233:LWH393237 MGB393233:MGD393237 MPX393233:MPZ393237 MZT393233:MZV393237 NJP393233:NJR393237 NTL393233:NTN393237 ODH393233:ODJ393237 OND393233:ONF393237 OWZ393233:OXB393237 PGV393233:PGX393237 PQR393233:PQT393237 QAN393233:QAP393237 QKJ393233:QKL393237 QUF393233:QUH393237 REB393233:RED393237 RNX393233:RNZ393237 RXT393233:RXV393237 SHP393233:SHR393237 SRL393233:SRN393237 TBH393233:TBJ393237 TLD393233:TLF393237 TUZ393233:TVB393237 UEV393233:UEX393237 UOR393233:UOT393237 UYN393233:UYP393237 VIJ393233:VIL393237 VSF393233:VSH393237 WCB393233:WCD393237 WLX393233:WLZ393237 WVT393233:WVV393237 L458769:N458773 JH458769:JJ458773 TD458769:TF458773 ACZ458769:ADB458773 AMV458769:AMX458773 AWR458769:AWT458773 BGN458769:BGP458773 BQJ458769:BQL458773 CAF458769:CAH458773 CKB458769:CKD458773 CTX458769:CTZ458773 DDT458769:DDV458773 DNP458769:DNR458773 DXL458769:DXN458773 EHH458769:EHJ458773 ERD458769:ERF458773 FAZ458769:FBB458773 FKV458769:FKX458773 FUR458769:FUT458773 GEN458769:GEP458773 GOJ458769:GOL458773 GYF458769:GYH458773 HIB458769:HID458773 HRX458769:HRZ458773 IBT458769:IBV458773 ILP458769:ILR458773 IVL458769:IVN458773 JFH458769:JFJ458773 JPD458769:JPF458773 JYZ458769:JZB458773 KIV458769:KIX458773 KSR458769:KST458773 LCN458769:LCP458773 LMJ458769:LML458773 LWF458769:LWH458773 MGB458769:MGD458773 MPX458769:MPZ458773 MZT458769:MZV458773 NJP458769:NJR458773 NTL458769:NTN458773 ODH458769:ODJ458773 OND458769:ONF458773 OWZ458769:OXB458773 PGV458769:PGX458773 PQR458769:PQT458773 QAN458769:QAP458773 QKJ458769:QKL458773 QUF458769:QUH458773 REB458769:RED458773 RNX458769:RNZ458773 RXT458769:RXV458773 SHP458769:SHR458773 SRL458769:SRN458773 TBH458769:TBJ458773 TLD458769:TLF458773 TUZ458769:TVB458773 UEV458769:UEX458773 UOR458769:UOT458773 UYN458769:UYP458773 VIJ458769:VIL458773 VSF458769:VSH458773 WCB458769:WCD458773 WLX458769:WLZ458773 WVT458769:WVV458773 L524305:N524309 JH524305:JJ524309 TD524305:TF524309 ACZ524305:ADB524309 AMV524305:AMX524309 AWR524305:AWT524309 BGN524305:BGP524309 BQJ524305:BQL524309 CAF524305:CAH524309 CKB524305:CKD524309 CTX524305:CTZ524309 DDT524305:DDV524309 DNP524305:DNR524309 DXL524305:DXN524309 EHH524305:EHJ524309 ERD524305:ERF524309 FAZ524305:FBB524309 FKV524305:FKX524309 FUR524305:FUT524309 GEN524305:GEP524309 GOJ524305:GOL524309 GYF524305:GYH524309 HIB524305:HID524309 HRX524305:HRZ524309 IBT524305:IBV524309 ILP524305:ILR524309 IVL524305:IVN524309 JFH524305:JFJ524309 JPD524305:JPF524309 JYZ524305:JZB524309 KIV524305:KIX524309 KSR524305:KST524309 LCN524305:LCP524309 LMJ524305:LML524309 LWF524305:LWH524309 MGB524305:MGD524309 MPX524305:MPZ524309 MZT524305:MZV524309 NJP524305:NJR524309 NTL524305:NTN524309 ODH524305:ODJ524309 OND524305:ONF524309 OWZ524305:OXB524309 PGV524305:PGX524309 PQR524305:PQT524309 QAN524305:QAP524309 QKJ524305:QKL524309 QUF524305:QUH524309 REB524305:RED524309 RNX524305:RNZ524309 RXT524305:RXV524309 SHP524305:SHR524309 SRL524305:SRN524309 TBH524305:TBJ524309 TLD524305:TLF524309 TUZ524305:TVB524309 UEV524305:UEX524309 UOR524305:UOT524309 UYN524305:UYP524309 VIJ524305:VIL524309 VSF524305:VSH524309 WCB524305:WCD524309 WLX524305:WLZ524309 WVT524305:WVV524309 L589841:N589845 JH589841:JJ589845 TD589841:TF589845 ACZ589841:ADB589845 AMV589841:AMX589845 AWR589841:AWT589845 BGN589841:BGP589845 BQJ589841:BQL589845 CAF589841:CAH589845 CKB589841:CKD589845 CTX589841:CTZ589845 DDT589841:DDV589845 DNP589841:DNR589845 DXL589841:DXN589845 EHH589841:EHJ589845 ERD589841:ERF589845 FAZ589841:FBB589845 FKV589841:FKX589845 FUR589841:FUT589845 GEN589841:GEP589845 GOJ589841:GOL589845 GYF589841:GYH589845 HIB589841:HID589845 HRX589841:HRZ589845 IBT589841:IBV589845 ILP589841:ILR589845 IVL589841:IVN589845 JFH589841:JFJ589845 JPD589841:JPF589845 JYZ589841:JZB589845 KIV589841:KIX589845 KSR589841:KST589845 LCN589841:LCP589845 LMJ589841:LML589845 LWF589841:LWH589845 MGB589841:MGD589845 MPX589841:MPZ589845 MZT589841:MZV589845 NJP589841:NJR589845 NTL589841:NTN589845 ODH589841:ODJ589845 OND589841:ONF589845 OWZ589841:OXB589845 PGV589841:PGX589845 PQR589841:PQT589845 QAN589841:QAP589845 QKJ589841:QKL589845 QUF589841:QUH589845 REB589841:RED589845 RNX589841:RNZ589845 RXT589841:RXV589845 SHP589841:SHR589845 SRL589841:SRN589845 TBH589841:TBJ589845 TLD589841:TLF589845 TUZ589841:TVB589845 UEV589841:UEX589845 UOR589841:UOT589845 UYN589841:UYP589845 VIJ589841:VIL589845 VSF589841:VSH589845 WCB589841:WCD589845 WLX589841:WLZ589845 WVT589841:WVV589845 L655377:N655381 JH655377:JJ655381 TD655377:TF655381 ACZ655377:ADB655381 AMV655377:AMX655381 AWR655377:AWT655381 BGN655377:BGP655381 BQJ655377:BQL655381 CAF655377:CAH655381 CKB655377:CKD655381 CTX655377:CTZ655381 DDT655377:DDV655381 DNP655377:DNR655381 DXL655377:DXN655381 EHH655377:EHJ655381 ERD655377:ERF655381 FAZ655377:FBB655381 FKV655377:FKX655381 FUR655377:FUT655381 GEN655377:GEP655381 GOJ655377:GOL655381 GYF655377:GYH655381 HIB655377:HID655381 HRX655377:HRZ655381 IBT655377:IBV655381 ILP655377:ILR655381 IVL655377:IVN655381 JFH655377:JFJ655381 JPD655377:JPF655381 JYZ655377:JZB655381 KIV655377:KIX655381 KSR655377:KST655381 LCN655377:LCP655381 LMJ655377:LML655381 LWF655377:LWH655381 MGB655377:MGD655381 MPX655377:MPZ655381 MZT655377:MZV655381 NJP655377:NJR655381 NTL655377:NTN655381 ODH655377:ODJ655381 OND655377:ONF655381 OWZ655377:OXB655381 PGV655377:PGX655381 PQR655377:PQT655381 QAN655377:QAP655381 QKJ655377:QKL655381 QUF655377:QUH655381 REB655377:RED655381 RNX655377:RNZ655381 RXT655377:RXV655381 SHP655377:SHR655381 SRL655377:SRN655381 TBH655377:TBJ655381 TLD655377:TLF655381 TUZ655377:TVB655381 UEV655377:UEX655381 UOR655377:UOT655381 UYN655377:UYP655381 VIJ655377:VIL655381 VSF655377:VSH655381 WCB655377:WCD655381 WLX655377:WLZ655381 WVT655377:WVV655381 L720913:N720917 JH720913:JJ720917 TD720913:TF720917 ACZ720913:ADB720917 AMV720913:AMX720917 AWR720913:AWT720917 BGN720913:BGP720917 BQJ720913:BQL720917 CAF720913:CAH720917 CKB720913:CKD720917 CTX720913:CTZ720917 DDT720913:DDV720917 DNP720913:DNR720917 DXL720913:DXN720917 EHH720913:EHJ720917 ERD720913:ERF720917 FAZ720913:FBB720917 FKV720913:FKX720917 FUR720913:FUT720917 GEN720913:GEP720917 GOJ720913:GOL720917 GYF720913:GYH720917 HIB720913:HID720917 HRX720913:HRZ720917 IBT720913:IBV720917 ILP720913:ILR720917 IVL720913:IVN720917 JFH720913:JFJ720917 JPD720913:JPF720917 JYZ720913:JZB720917 KIV720913:KIX720917 KSR720913:KST720917 LCN720913:LCP720917 LMJ720913:LML720917 LWF720913:LWH720917 MGB720913:MGD720917 MPX720913:MPZ720917 MZT720913:MZV720917 NJP720913:NJR720917 NTL720913:NTN720917 ODH720913:ODJ720917 OND720913:ONF720917 OWZ720913:OXB720917 PGV720913:PGX720917 PQR720913:PQT720917 QAN720913:QAP720917 QKJ720913:QKL720917 QUF720913:QUH720917 REB720913:RED720917 RNX720913:RNZ720917 RXT720913:RXV720917 SHP720913:SHR720917 SRL720913:SRN720917 TBH720913:TBJ720917 TLD720913:TLF720917 TUZ720913:TVB720917 UEV720913:UEX720917 UOR720913:UOT720917 UYN720913:UYP720917 VIJ720913:VIL720917 VSF720913:VSH720917 WCB720913:WCD720917 WLX720913:WLZ720917 WVT720913:WVV720917 L786449:N786453 JH786449:JJ786453 TD786449:TF786453 ACZ786449:ADB786453 AMV786449:AMX786453 AWR786449:AWT786453 BGN786449:BGP786453 BQJ786449:BQL786453 CAF786449:CAH786453 CKB786449:CKD786453 CTX786449:CTZ786453 DDT786449:DDV786453 DNP786449:DNR786453 DXL786449:DXN786453 EHH786449:EHJ786453 ERD786449:ERF786453 FAZ786449:FBB786453 FKV786449:FKX786453 FUR786449:FUT786453 GEN786449:GEP786453 GOJ786449:GOL786453 GYF786449:GYH786453 HIB786449:HID786453 HRX786449:HRZ786453 IBT786449:IBV786453 ILP786449:ILR786453 IVL786449:IVN786453 JFH786449:JFJ786453 JPD786449:JPF786453 JYZ786449:JZB786453 KIV786449:KIX786453 KSR786449:KST786453 LCN786449:LCP786453 LMJ786449:LML786453 LWF786449:LWH786453 MGB786449:MGD786453 MPX786449:MPZ786453 MZT786449:MZV786453 NJP786449:NJR786453 NTL786449:NTN786453 ODH786449:ODJ786453 OND786449:ONF786453 OWZ786449:OXB786453 PGV786449:PGX786453 PQR786449:PQT786453 QAN786449:QAP786453 QKJ786449:QKL786453 QUF786449:QUH786453 REB786449:RED786453 RNX786449:RNZ786453 RXT786449:RXV786453 SHP786449:SHR786453 SRL786449:SRN786453 TBH786449:TBJ786453 TLD786449:TLF786453 TUZ786449:TVB786453 UEV786449:UEX786453 UOR786449:UOT786453 UYN786449:UYP786453 VIJ786449:VIL786453 VSF786449:VSH786453 WCB786449:WCD786453 WLX786449:WLZ786453 WVT786449:WVV786453 L851985:N851989 JH851985:JJ851989 TD851985:TF851989 ACZ851985:ADB851989 AMV851985:AMX851989 AWR851985:AWT851989 BGN851985:BGP851989 BQJ851985:BQL851989 CAF851985:CAH851989 CKB851985:CKD851989 CTX851985:CTZ851989 DDT851985:DDV851989 DNP851985:DNR851989 DXL851985:DXN851989 EHH851985:EHJ851989 ERD851985:ERF851989 FAZ851985:FBB851989 FKV851985:FKX851989 FUR851985:FUT851989 GEN851985:GEP851989 GOJ851985:GOL851989 GYF851985:GYH851989 HIB851985:HID851989 HRX851985:HRZ851989 IBT851985:IBV851989 ILP851985:ILR851989 IVL851985:IVN851989 JFH851985:JFJ851989 JPD851985:JPF851989 JYZ851985:JZB851989 KIV851985:KIX851989 KSR851985:KST851989 LCN851985:LCP851989 LMJ851985:LML851989 LWF851985:LWH851989 MGB851985:MGD851989 MPX851985:MPZ851989 MZT851985:MZV851989 NJP851985:NJR851989 NTL851985:NTN851989 ODH851985:ODJ851989 OND851985:ONF851989 OWZ851985:OXB851989 PGV851985:PGX851989 PQR851985:PQT851989 QAN851985:QAP851989 QKJ851985:QKL851989 QUF851985:QUH851989 REB851985:RED851989 RNX851985:RNZ851989 RXT851985:RXV851989 SHP851985:SHR851989 SRL851985:SRN851989 TBH851985:TBJ851989 TLD851985:TLF851989 TUZ851985:TVB851989 UEV851985:UEX851989 UOR851985:UOT851989 UYN851985:UYP851989 VIJ851985:VIL851989 VSF851985:VSH851989 WCB851985:WCD851989 WLX851985:WLZ851989 WVT851985:WVV851989 L917521:N917525 JH917521:JJ917525 TD917521:TF917525 ACZ917521:ADB917525 AMV917521:AMX917525 AWR917521:AWT917525 BGN917521:BGP917525 BQJ917521:BQL917525 CAF917521:CAH917525 CKB917521:CKD917525 CTX917521:CTZ917525 DDT917521:DDV917525 DNP917521:DNR917525 DXL917521:DXN917525 EHH917521:EHJ917525 ERD917521:ERF917525 FAZ917521:FBB917525 FKV917521:FKX917525 FUR917521:FUT917525 GEN917521:GEP917525 GOJ917521:GOL917525 GYF917521:GYH917525 HIB917521:HID917525 HRX917521:HRZ917525 IBT917521:IBV917525 ILP917521:ILR917525 IVL917521:IVN917525 JFH917521:JFJ917525 JPD917521:JPF917525 JYZ917521:JZB917525 KIV917521:KIX917525 KSR917521:KST917525 LCN917521:LCP917525 LMJ917521:LML917525 LWF917521:LWH917525 MGB917521:MGD917525 MPX917521:MPZ917525 MZT917521:MZV917525 NJP917521:NJR917525 NTL917521:NTN917525 ODH917521:ODJ917525 OND917521:ONF917525 OWZ917521:OXB917525 PGV917521:PGX917525 PQR917521:PQT917525 QAN917521:QAP917525 QKJ917521:QKL917525 QUF917521:QUH917525 REB917521:RED917525 RNX917521:RNZ917525 RXT917521:RXV917525 SHP917521:SHR917525 SRL917521:SRN917525 TBH917521:TBJ917525 TLD917521:TLF917525 TUZ917521:TVB917525 UEV917521:UEX917525 UOR917521:UOT917525 UYN917521:UYP917525 VIJ917521:VIL917525 VSF917521:VSH917525 WCB917521:WCD917525 WLX917521:WLZ917525 WVT917521:WVV917525 L983057:N983061 JH983057:JJ983061 TD983057:TF983061 ACZ983057:ADB983061 AMV983057:AMX983061 AWR983057:AWT983061 BGN983057:BGP983061 BQJ983057:BQL983061 CAF983057:CAH983061 CKB983057:CKD983061 CTX983057:CTZ983061 DDT983057:DDV983061 DNP983057:DNR983061 DXL983057:DXN983061 EHH983057:EHJ983061 ERD983057:ERF983061 FAZ983057:FBB983061 FKV983057:FKX983061 FUR983057:FUT983061 GEN983057:GEP983061 GOJ983057:GOL983061 GYF983057:GYH983061 HIB983057:HID983061 HRX983057:HRZ983061 IBT983057:IBV983061 ILP983057:ILR983061 IVL983057:IVN983061 JFH983057:JFJ983061 JPD983057:JPF983061 JYZ983057:JZB983061 KIV983057:KIX983061 KSR983057:KST983061 LCN983057:LCP983061 LMJ983057:LML983061 LWF983057:LWH983061 MGB983057:MGD983061 MPX983057:MPZ983061 MZT983057:MZV983061 NJP983057:NJR983061 NTL983057:NTN983061 ODH983057:ODJ983061 OND983057:ONF983061 OWZ983057:OXB983061 PGV983057:PGX983061 PQR983057:PQT983061 QAN983057:QAP983061 QKJ983057:QKL983061 QUF983057:QUH983061 REB983057:RED983061 RNX983057:RNZ983061 RXT983057:RXV983061 SHP983057:SHR983061 SRL983057:SRN983061 TBH983057:TBJ983061 TLD983057:TLF983061 TUZ983057:TVB983061 UEV983057:UEX983061 UOR983057:UOT983061 UYN983057:UYP983061 VIJ983057:VIL983061 VSF983057:VSH983061 WCB983057:WCD983061 WLX983057:WLZ983061 WVT983057:WVV983061 J49:J60 JF49:JF60 TB49:TB60 ACX49:ACX60 AMT49:AMT60 AWP49:AWP60 BGL49:BGL60 BQH49:BQH60 CAD49:CAD60 CJZ49:CJZ60 CTV49:CTV60 DDR49:DDR60 DNN49:DNN60 DXJ49:DXJ60 EHF49:EHF60 ERB49:ERB60 FAX49:FAX60 FKT49:FKT60 FUP49:FUP60 GEL49:GEL60 GOH49:GOH60 GYD49:GYD60 HHZ49:HHZ60 HRV49:HRV60 IBR49:IBR60 ILN49:ILN60 IVJ49:IVJ60 JFF49:JFF60 JPB49:JPB60 JYX49:JYX60 KIT49:KIT60 KSP49:KSP60 LCL49:LCL60 LMH49:LMH60 LWD49:LWD60 MFZ49:MFZ60 MPV49:MPV60 MZR49:MZR60 NJN49:NJN60 NTJ49:NTJ60 ODF49:ODF60 ONB49:ONB60 OWX49:OWX60 PGT49:PGT60 PQP49:PQP60 QAL49:QAL60 QKH49:QKH60 QUD49:QUD60 RDZ49:RDZ60 RNV49:RNV60 RXR49:RXR60 SHN49:SHN60 SRJ49:SRJ60 TBF49:TBF60 TLB49:TLB60 TUX49:TUX60 UET49:UET60 UOP49:UOP60 UYL49:UYL60 VIH49:VIH60 VSD49:VSD60 WBZ49:WBZ60 WLV49:WLV60 WVR49:WVR60 J65585:J65596 JF65585:JF65596 TB65585:TB65596 ACX65585:ACX65596 AMT65585:AMT65596 AWP65585:AWP65596 BGL65585:BGL65596 BQH65585:BQH65596 CAD65585:CAD65596 CJZ65585:CJZ65596 CTV65585:CTV65596 DDR65585:DDR65596 DNN65585:DNN65596 DXJ65585:DXJ65596 EHF65585:EHF65596 ERB65585:ERB65596 FAX65585:FAX65596 FKT65585:FKT65596 FUP65585:FUP65596 GEL65585:GEL65596 GOH65585:GOH65596 GYD65585:GYD65596 HHZ65585:HHZ65596 HRV65585:HRV65596 IBR65585:IBR65596 ILN65585:ILN65596 IVJ65585:IVJ65596 JFF65585:JFF65596 JPB65585:JPB65596 JYX65585:JYX65596 KIT65585:KIT65596 KSP65585:KSP65596 LCL65585:LCL65596 LMH65585:LMH65596 LWD65585:LWD65596 MFZ65585:MFZ65596 MPV65585:MPV65596 MZR65585:MZR65596 NJN65585:NJN65596 NTJ65585:NTJ65596 ODF65585:ODF65596 ONB65585:ONB65596 OWX65585:OWX65596 PGT65585:PGT65596 PQP65585:PQP65596 QAL65585:QAL65596 QKH65585:QKH65596 QUD65585:QUD65596 RDZ65585:RDZ65596 RNV65585:RNV65596 RXR65585:RXR65596 SHN65585:SHN65596 SRJ65585:SRJ65596 TBF65585:TBF65596 TLB65585:TLB65596 TUX65585:TUX65596 UET65585:UET65596 UOP65585:UOP65596 UYL65585:UYL65596 VIH65585:VIH65596 VSD65585:VSD65596 WBZ65585:WBZ65596 WLV65585:WLV65596 WVR65585:WVR65596 J131121:J131132 JF131121:JF131132 TB131121:TB131132 ACX131121:ACX131132 AMT131121:AMT131132 AWP131121:AWP131132 BGL131121:BGL131132 BQH131121:BQH131132 CAD131121:CAD131132 CJZ131121:CJZ131132 CTV131121:CTV131132 DDR131121:DDR131132 DNN131121:DNN131132 DXJ131121:DXJ131132 EHF131121:EHF131132 ERB131121:ERB131132 FAX131121:FAX131132 FKT131121:FKT131132 FUP131121:FUP131132 GEL131121:GEL131132 GOH131121:GOH131132 GYD131121:GYD131132 HHZ131121:HHZ131132 HRV131121:HRV131132 IBR131121:IBR131132 ILN131121:ILN131132 IVJ131121:IVJ131132 JFF131121:JFF131132 JPB131121:JPB131132 JYX131121:JYX131132 KIT131121:KIT131132 KSP131121:KSP131132 LCL131121:LCL131132 LMH131121:LMH131132 LWD131121:LWD131132 MFZ131121:MFZ131132 MPV131121:MPV131132 MZR131121:MZR131132 NJN131121:NJN131132 NTJ131121:NTJ131132 ODF131121:ODF131132 ONB131121:ONB131132 OWX131121:OWX131132 PGT131121:PGT131132 PQP131121:PQP131132 QAL131121:QAL131132 QKH131121:QKH131132 QUD131121:QUD131132 RDZ131121:RDZ131132 RNV131121:RNV131132 RXR131121:RXR131132 SHN131121:SHN131132 SRJ131121:SRJ131132 TBF131121:TBF131132 TLB131121:TLB131132 TUX131121:TUX131132 UET131121:UET131132 UOP131121:UOP131132 UYL131121:UYL131132 VIH131121:VIH131132 VSD131121:VSD131132 WBZ131121:WBZ131132 WLV131121:WLV131132 WVR131121:WVR131132 J196657:J196668 JF196657:JF196668 TB196657:TB196668 ACX196657:ACX196668 AMT196657:AMT196668 AWP196657:AWP196668 BGL196657:BGL196668 BQH196657:BQH196668 CAD196657:CAD196668 CJZ196657:CJZ196668 CTV196657:CTV196668 DDR196657:DDR196668 DNN196657:DNN196668 DXJ196657:DXJ196668 EHF196657:EHF196668 ERB196657:ERB196668 FAX196657:FAX196668 FKT196657:FKT196668 FUP196657:FUP196668 GEL196657:GEL196668 GOH196657:GOH196668 GYD196657:GYD196668 HHZ196657:HHZ196668 HRV196657:HRV196668 IBR196657:IBR196668 ILN196657:ILN196668 IVJ196657:IVJ196668 JFF196657:JFF196668 JPB196657:JPB196668 JYX196657:JYX196668 KIT196657:KIT196668 KSP196657:KSP196668 LCL196657:LCL196668 LMH196657:LMH196668 LWD196657:LWD196668 MFZ196657:MFZ196668 MPV196657:MPV196668 MZR196657:MZR196668 NJN196657:NJN196668 NTJ196657:NTJ196668 ODF196657:ODF196668 ONB196657:ONB196668 OWX196657:OWX196668 PGT196657:PGT196668 PQP196657:PQP196668 QAL196657:QAL196668 QKH196657:QKH196668 QUD196657:QUD196668 RDZ196657:RDZ196668 RNV196657:RNV196668 RXR196657:RXR196668 SHN196657:SHN196668 SRJ196657:SRJ196668 TBF196657:TBF196668 TLB196657:TLB196668 TUX196657:TUX196668 UET196657:UET196668 UOP196657:UOP196668 UYL196657:UYL196668 VIH196657:VIH196668 VSD196657:VSD196668 WBZ196657:WBZ196668 WLV196657:WLV196668 WVR196657:WVR196668 J262193:J262204 JF262193:JF262204 TB262193:TB262204 ACX262193:ACX262204 AMT262193:AMT262204 AWP262193:AWP262204 BGL262193:BGL262204 BQH262193:BQH262204 CAD262193:CAD262204 CJZ262193:CJZ262204 CTV262193:CTV262204 DDR262193:DDR262204 DNN262193:DNN262204 DXJ262193:DXJ262204 EHF262193:EHF262204 ERB262193:ERB262204 FAX262193:FAX262204 FKT262193:FKT262204 FUP262193:FUP262204 GEL262193:GEL262204 GOH262193:GOH262204 GYD262193:GYD262204 HHZ262193:HHZ262204 HRV262193:HRV262204 IBR262193:IBR262204 ILN262193:ILN262204 IVJ262193:IVJ262204 JFF262193:JFF262204 JPB262193:JPB262204 JYX262193:JYX262204 KIT262193:KIT262204 KSP262193:KSP262204 LCL262193:LCL262204 LMH262193:LMH262204 LWD262193:LWD262204 MFZ262193:MFZ262204 MPV262193:MPV262204 MZR262193:MZR262204 NJN262193:NJN262204 NTJ262193:NTJ262204 ODF262193:ODF262204 ONB262193:ONB262204 OWX262193:OWX262204 PGT262193:PGT262204 PQP262193:PQP262204 QAL262193:QAL262204 QKH262193:QKH262204 QUD262193:QUD262204 RDZ262193:RDZ262204 RNV262193:RNV262204 RXR262193:RXR262204 SHN262193:SHN262204 SRJ262193:SRJ262204 TBF262193:TBF262204 TLB262193:TLB262204 TUX262193:TUX262204 UET262193:UET262204 UOP262193:UOP262204 UYL262193:UYL262204 VIH262193:VIH262204 VSD262193:VSD262204 WBZ262193:WBZ262204 WLV262193:WLV262204 WVR262193:WVR262204 J327729:J327740 JF327729:JF327740 TB327729:TB327740 ACX327729:ACX327740 AMT327729:AMT327740 AWP327729:AWP327740 BGL327729:BGL327740 BQH327729:BQH327740 CAD327729:CAD327740 CJZ327729:CJZ327740 CTV327729:CTV327740 DDR327729:DDR327740 DNN327729:DNN327740 DXJ327729:DXJ327740 EHF327729:EHF327740 ERB327729:ERB327740 FAX327729:FAX327740 FKT327729:FKT327740 FUP327729:FUP327740 GEL327729:GEL327740 GOH327729:GOH327740 GYD327729:GYD327740 HHZ327729:HHZ327740 HRV327729:HRV327740 IBR327729:IBR327740 ILN327729:ILN327740 IVJ327729:IVJ327740 JFF327729:JFF327740 JPB327729:JPB327740 JYX327729:JYX327740 KIT327729:KIT327740 KSP327729:KSP327740 LCL327729:LCL327740 LMH327729:LMH327740 LWD327729:LWD327740 MFZ327729:MFZ327740 MPV327729:MPV327740 MZR327729:MZR327740 NJN327729:NJN327740 NTJ327729:NTJ327740 ODF327729:ODF327740 ONB327729:ONB327740 OWX327729:OWX327740 PGT327729:PGT327740 PQP327729:PQP327740 QAL327729:QAL327740 QKH327729:QKH327740 QUD327729:QUD327740 RDZ327729:RDZ327740 RNV327729:RNV327740 RXR327729:RXR327740 SHN327729:SHN327740 SRJ327729:SRJ327740 TBF327729:TBF327740 TLB327729:TLB327740 TUX327729:TUX327740 UET327729:UET327740 UOP327729:UOP327740 UYL327729:UYL327740 VIH327729:VIH327740 VSD327729:VSD327740 WBZ327729:WBZ327740 WLV327729:WLV327740 WVR327729:WVR327740 J393265:J393276 JF393265:JF393276 TB393265:TB393276 ACX393265:ACX393276 AMT393265:AMT393276 AWP393265:AWP393276 BGL393265:BGL393276 BQH393265:BQH393276 CAD393265:CAD393276 CJZ393265:CJZ393276 CTV393265:CTV393276 DDR393265:DDR393276 DNN393265:DNN393276 DXJ393265:DXJ393276 EHF393265:EHF393276 ERB393265:ERB393276 FAX393265:FAX393276 FKT393265:FKT393276 FUP393265:FUP393276 GEL393265:GEL393276 GOH393265:GOH393276 GYD393265:GYD393276 HHZ393265:HHZ393276 HRV393265:HRV393276 IBR393265:IBR393276 ILN393265:ILN393276 IVJ393265:IVJ393276 JFF393265:JFF393276 JPB393265:JPB393276 JYX393265:JYX393276 KIT393265:KIT393276 KSP393265:KSP393276 LCL393265:LCL393276 LMH393265:LMH393276 LWD393265:LWD393276 MFZ393265:MFZ393276 MPV393265:MPV393276 MZR393265:MZR393276 NJN393265:NJN393276 NTJ393265:NTJ393276 ODF393265:ODF393276 ONB393265:ONB393276 OWX393265:OWX393276 PGT393265:PGT393276 PQP393265:PQP393276 QAL393265:QAL393276 QKH393265:QKH393276 QUD393265:QUD393276 RDZ393265:RDZ393276 RNV393265:RNV393276 RXR393265:RXR393276 SHN393265:SHN393276 SRJ393265:SRJ393276 TBF393265:TBF393276 TLB393265:TLB393276 TUX393265:TUX393276 UET393265:UET393276 UOP393265:UOP393276 UYL393265:UYL393276 VIH393265:VIH393276 VSD393265:VSD393276 WBZ393265:WBZ393276 WLV393265:WLV393276 WVR393265:WVR393276 J458801:J458812 JF458801:JF458812 TB458801:TB458812 ACX458801:ACX458812 AMT458801:AMT458812 AWP458801:AWP458812 BGL458801:BGL458812 BQH458801:BQH458812 CAD458801:CAD458812 CJZ458801:CJZ458812 CTV458801:CTV458812 DDR458801:DDR458812 DNN458801:DNN458812 DXJ458801:DXJ458812 EHF458801:EHF458812 ERB458801:ERB458812 FAX458801:FAX458812 FKT458801:FKT458812 FUP458801:FUP458812 GEL458801:GEL458812 GOH458801:GOH458812 GYD458801:GYD458812 HHZ458801:HHZ458812 HRV458801:HRV458812 IBR458801:IBR458812 ILN458801:ILN458812 IVJ458801:IVJ458812 JFF458801:JFF458812 JPB458801:JPB458812 JYX458801:JYX458812 KIT458801:KIT458812 KSP458801:KSP458812 LCL458801:LCL458812 LMH458801:LMH458812 LWD458801:LWD458812 MFZ458801:MFZ458812 MPV458801:MPV458812 MZR458801:MZR458812 NJN458801:NJN458812 NTJ458801:NTJ458812 ODF458801:ODF458812 ONB458801:ONB458812 OWX458801:OWX458812 PGT458801:PGT458812 PQP458801:PQP458812 QAL458801:QAL458812 QKH458801:QKH458812 QUD458801:QUD458812 RDZ458801:RDZ458812 RNV458801:RNV458812 RXR458801:RXR458812 SHN458801:SHN458812 SRJ458801:SRJ458812 TBF458801:TBF458812 TLB458801:TLB458812 TUX458801:TUX458812 UET458801:UET458812 UOP458801:UOP458812 UYL458801:UYL458812 VIH458801:VIH458812 VSD458801:VSD458812 WBZ458801:WBZ458812 WLV458801:WLV458812 WVR458801:WVR458812 J524337:J524348 JF524337:JF524348 TB524337:TB524348 ACX524337:ACX524348 AMT524337:AMT524348 AWP524337:AWP524348 BGL524337:BGL524348 BQH524337:BQH524348 CAD524337:CAD524348 CJZ524337:CJZ524348 CTV524337:CTV524348 DDR524337:DDR524348 DNN524337:DNN524348 DXJ524337:DXJ524348 EHF524337:EHF524348 ERB524337:ERB524348 FAX524337:FAX524348 FKT524337:FKT524348 FUP524337:FUP524348 GEL524337:GEL524348 GOH524337:GOH524348 GYD524337:GYD524348 HHZ524337:HHZ524348 HRV524337:HRV524348 IBR524337:IBR524348 ILN524337:ILN524348 IVJ524337:IVJ524348 JFF524337:JFF524348 JPB524337:JPB524348 JYX524337:JYX524348 KIT524337:KIT524348 KSP524337:KSP524348 LCL524337:LCL524348 LMH524337:LMH524348 LWD524337:LWD524348 MFZ524337:MFZ524348 MPV524337:MPV524348 MZR524337:MZR524348 NJN524337:NJN524348 NTJ524337:NTJ524348 ODF524337:ODF524348 ONB524337:ONB524348 OWX524337:OWX524348 PGT524337:PGT524348 PQP524337:PQP524348 QAL524337:QAL524348 QKH524337:QKH524348 QUD524337:QUD524348 RDZ524337:RDZ524348 RNV524337:RNV524348 RXR524337:RXR524348 SHN524337:SHN524348 SRJ524337:SRJ524348 TBF524337:TBF524348 TLB524337:TLB524348 TUX524337:TUX524348 UET524337:UET524348 UOP524337:UOP524348 UYL524337:UYL524348 VIH524337:VIH524348 VSD524337:VSD524348 WBZ524337:WBZ524348 WLV524337:WLV524348 WVR524337:WVR524348 J589873:J589884 JF589873:JF589884 TB589873:TB589884 ACX589873:ACX589884 AMT589873:AMT589884 AWP589873:AWP589884 BGL589873:BGL589884 BQH589873:BQH589884 CAD589873:CAD589884 CJZ589873:CJZ589884 CTV589873:CTV589884 DDR589873:DDR589884 DNN589873:DNN589884 DXJ589873:DXJ589884 EHF589873:EHF589884 ERB589873:ERB589884 FAX589873:FAX589884 FKT589873:FKT589884 FUP589873:FUP589884 GEL589873:GEL589884 GOH589873:GOH589884 GYD589873:GYD589884 HHZ589873:HHZ589884 HRV589873:HRV589884 IBR589873:IBR589884 ILN589873:ILN589884 IVJ589873:IVJ589884 JFF589873:JFF589884 JPB589873:JPB589884 JYX589873:JYX589884 KIT589873:KIT589884 KSP589873:KSP589884 LCL589873:LCL589884 LMH589873:LMH589884 LWD589873:LWD589884 MFZ589873:MFZ589884 MPV589873:MPV589884 MZR589873:MZR589884 NJN589873:NJN589884 NTJ589873:NTJ589884 ODF589873:ODF589884 ONB589873:ONB589884 OWX589873:OWX589884 PGT589873:PGT589884 PQP589873:PQP589884 QAL589873:QAL589884 QKH589873:QKH589884 QUD589873:QUD589884 RDZ589873:RDZ589884 RNV589873:RNV589884 RXR589873:RXR589884 SHN589873:SHN589884 SRJ589873:SRJ589884 TBF589873:TBF589884 TLB589873:TLB589884 TUX589873:TUX589884 UET589873:UET589884 UOP589873:UOP589884 UYL589873:UYL589884 VIH589873:VIH589884 VSD589873:VSD589884 WBZ589873:WBZ589884 WLV589873:WLV589884 WVR589873:WVR589884 J655409:J655420 JF655409:JF655420 TB655409:TB655420 ACX655409:ACX655420 AMT655409:AMT655420 AWP655409:AWP655420 BGL655409:BGL655420 BQH655409:BQH655420 CAD655409:CAD655420 CJZ655409:CJZ655420 CTV655409:CTV655420 DDR655409:DDR655420 DNN655409:DNN655420 DXJ655409:DXJ655420 EHF655409:EHF655420 ERB655409:ERB655420 FAX655409:FAX655420 FKT655409:FKT655420 FUP655409:FUP655420 GEL655409:GEL655420 GOH655409:GOH655420 GYD655409:GYD655420 HHZ655409:HHZ655420 HRV655409:HRV655420 IBR655409:IBR655420 ILN655409:ILN655420 IVJ655409:IVJ655420 JFF655409:JFF655420 JPB655409:JPB655420 JYX655409:JYX655420 KIT655409:KIT655420 KSP655409:KSP655420 LCL655409:LCL655420 LMH655409:LMH655420 LWD655409:LWD655420 MFZ655409:MFZ655420 MPV655409:MPV655420 MZR655409:MZR655420 NJN655409:NJN655420 NTJ655409:NTJ655420 ODF655409:ODF655420 ONB655409:ONB655420 OWX655409:OWX655420 PGT655409:PGT655420 PQP655409:PQP655420 QAL655409:QAL655420 QKH655409:QKH655420 QUD655409:QUD655420 RDZ655409:RDZ655420 RNV655409:RNV655420 RXR655409:RXR655420 SHN655409:SHN655420 SRJ655409:SRJ655420 TBF655409:TBF655420 TLB655409:TLB655420 TUX655409:TUX655420 UET655409:UET655420 UOP655409:UOP655420 UYL655409:UYL655420 VIH655409:VIH655420 VSD655409:VSD655420 WBZ655409:WBZ655420 WLV655409:WLV655420 WVR655409:WVR655420 J720945:J720956 JF720945:JF720956 TB720945:TB720956 ACX720945:ACX720956 AMT720945:AMT720956 AWP720945:AWP720956 BGL720945:BGL720956 BQH720945:BQH720956 CAD720945:CAD720956 CJZ720945:CJZ720956 CTV720945:CTV720956 DDR720945:DDR720956 DNN720945:DNN720956 DXJ720945:DXJ720956 EHF720945:EHF720956 ERB720945:ERB720956 FAX720945:FAX720956 FKT720945:FKT720956 FUP720945:FUP720956 GEL720945:GEL720956 GOH720945:GOH720956 GYD720945:GYD720956 HHZ720945:HHZ720956 HRV720945:HRV720956 IBR720945:IBR720956 ILN720945:ILN720956 IVJ720945:IVJ720956 JFF720945:JFF720956 JPB720945:JPB720956 JYX720945:JYX720956 KIT720945:KIT720956 KSP720945:KSP720956 LCL720945:LCL720956 LMH720945:LMH720956 LWD720945:LWD720956 MFZ720945:MFZ720956 MPV720945:MPV720956 MZR720945:MZR720956 NJN720945:NJN720956 NTJ720945:NTJ720956 ODF720945:ODF720956 ONB720945:ONB720956 OWX720945:OWX720956 PGT720945:PGT720956 PQP720945:PQP720956 QAL720945:QAL720956 QKH720945:QKH720956 QUD720945:QUD720956 RDZ720945:RDZ720956 RNV720945:RNV720956 RXR720945:RXR720956 SHN720945:SHN720956 SRJ720945:SRJ720956 TBF720945:TBF720956 TLB720945:TLB720956 TUX720945:TUX720956 UET720945:UET720956 UOP720945:UOP720956 UYL720945:UYL720956 VIH720945:VIH720956 VSD720945:VSD720956 WBZ720945:WBZ720956 WLV720945:WLV720956 WVR720945:WVR720956 J786481:J786492 JF786481:JF786492 TB786481:TB786492 ACX786481:ACX786492 AMT786481:AMT786492 AWP786481:AWP786492 BGL786481:BGL786492 BQH786481:BQH786492 CAD786481:CAD786492 CJZ786481:CJZ786492 CTV786481:CTV786492 DDR786481:DDR786492 DNN786481:DNN786492 DXJ786481:DXJ786492 EHF786481:EHF786492 ERB786481:ERB786492 FAX786481:FAX786492 FKT786481:FKT786492 FUP786481:FUP786492 GEL786481:GEL786492 GOH786481:GOH786492 GYD786481:GYD786492 HHZ786481:HHZ786492 HRV786481:HRV786492 IBR786481:IBR786492 ILN786481:ILN786492 IVJ786481:IVJ786492 JFF786481:JFF786492 JPB786481:JPB786492 JYX786481:JYX786492 KIT786481:KIT786492 KSP786481:KSP786492 LCL786481:LCL786492 LMH786481:LMH786492 LWD786481:LWD786492 MFZ786481:MFZ786492 MPV786481:MPV786492 MZR786481:MZR786492 NJN786481:NJN786492 NTJ786481:NTJ786492 ODF786481:ODF786492 ONB786481:ONB786492 OWX786481:OWX786492 PGT786481:PGT786492 PQP786481:PQP786492 QAL786481:QAL786492 QKH786481:QKH786492 QUD786481:QUD786492 RDZ786481:RDZ786492 RNV786481:RNV786492 RXR786481:RXR786492 SHN786481:SHN786492 SRJ786481:SRJ786492 TBF786481:TBF786492 TLB786481:TLB786492 TUX786481:TUX786492 UET786481:UET786492 UOP786481:UOP786492 UYL786481:UYL786492 VIH786481:VIH786492 VSD786481:VSD786492 WBZ786481:WBZ786492 WLV786481:WLV786492 WVR786481:WVR786492 J852017:J852028 JF852017:JF852028 TB852017:TB852028 ACX852017:ACX852028 AMT852017:AMT852028 AWP852017:AWP852028 BGL852017:BGL852028 BQH852017:BQH852028 CAD852017:CAD852028 CJZ852017:CJZ852028 CTV852017:CTV852028 DDR852017:DDR852028 DNN852017:DNN852028 DXJ852017:DXJ852028 EHF852017:EHF852028 ERB852017:ERB852028 FAX852017:FAX852028 FKT852017:FKT852028 FUP852017:FUP852028 GEL852017:GEL852028 GOH852017:GOH852028 GYD852017:GYD852028 HHZ852017:HHZ852028 HRV852017:HRV852028 IBR852017:IBR852028 ILN852017:ILN852028 IVJ852017:IVJ852028 JFF852017:JFF852028 JPB852017:JPB852028 JYX852017:JYX852028 KIT852017:KIT852028 KSP852017:KSP852028 LCL852017:LCL852028 LMH852017:LMH852028 LWD852017:LWD852028 MFZ852017:MFZ852028 MPV852017:MPV852028 MZR852017:MZR852028 NJN852017:NJN852028 NTJ852017:NTJ852028 ODF852017:ODF852028 ONB852017:ONB852028 OWX852017:OWX852028 PGT852017:PGT852028 PQP852017:PQP852028 QAL852017:QAL852028 QKH852017:QKH852028 QUD852017:QUD852028 RDZ852017:RDZ852028 RNV852017:RNV852028 RXR852017:RXR852028 SHN852017:SHN852028 SRJ852017:SRJ852028 TBF852017:TBF852028 TLB852017:TLB852028 TUX852017:TUX852028 UET852017:UET852028 UOP852017:UOP852028 UYL852017:UYL852028 VIH852017:VIH852028 VSD852017:VSD852028 WBZ852017:WBZ852028 WLV852017:WLV852028 WVR852017:WVR852028 J917553:J917564 JF917553:JF917564 TB917553:TB917564 ACX917553:ACX917564 AMT917553:AMT917564 AWP917553:AWP917564 BGL917553:BGL917564 BQH917553:BQH917564 CAD917553:CAD917564 CJZ917553:CJZ917564 CTV917553:CTV917564 DDR917553:DDR917564 DNN917553:DNN917564 DXJ917553:DXJ917564 EHF917553:EHF917564 ERB917553:ERB917564 FAX917553:FAX917564 FKT917553:FKT917564 FUP917553:FUP917564 GEL917553:GEL917564 GOH917553:GOH917564 GYD917553:GYD917564 HHZ917553:HHZ917564 HRV917553:HRV917564 IBR917553:IBR917564 ILN917553:ILN917564 IVJ917553:IVJ917564 JFF917553:JFF917564 JPB917553:JPB917564 JYX917553:JYX917564 KIT917553:KIT917564 KSP917553:KSP917564 LCL917553:LCL917564 LMH917553:LMH917564 LWD917553:LWD917564 MFZ917553:MFZ917564 MPV917553:MPV917564 MZR917553:MZR917564 NJN917553:NJN917564 NTJ917553:NTJ917564 ODF917553:ODF917564 ONB917553:ONB917564 OWX917553:OWX917564 PGT917553:PGT917564 PQP917553:PQP917564 QAL917553:QAL917564 QKH917553:QKH917564 QUD917553:QUD917564 RDZ917553:RDZ917564 RNV917553:RNV917564 RXR917553:RXR917564 SHN917553:SHN917564 SRJ917553:SRJ917564 TBF917553:TBF917564 TLB917553:TLB917564 TUX917553:TUX917564 UET917553:UET917564 UOP917553:UOP917564 UYL917553:UYL917564 VIH917553:VIH917564 VSD917553:VSD917564 WBZ917553:WBZ917564 WLV917553:WLV917564 WVR917553:WVR917564 J983089:J983100 JF983089:JF983100 TB983089:TB983100 ACX983089:ACX983100 AMT983089:AMT983100 AWP983089:AWP983100 BGL983089:BGL983100 BQH983089:BQH983100 CAD983089:CAD983100 CJZ983089:CJZ983100 CTV983089:CTV983100 DDR983089:DDR983100 DNN983089:DNN983100 DXJ983089:DXJ983100 EHF983089:EHF983100 ERB983089:ERB983100 FAX983089:FAX983100 FKT983089:FKT983100 FUP983089:FUP983100 GEL983089:GEL983100 GOH983089:GOH983100 GYD983089:GYD983100 HHZ983089:HHZ983100 HRV983089:HRV983100 IBR983089:IBR983100 ILN983089:ILN983100 IVJ983089:IVJ983100 JFF983089:JFF983100 JPB983089:JPB983100 JYX983089:JYX983100 KIT983089:KIT983100 KSP983089:KSP983100 LCL983089:LCL983100 LMH983089:LMH983100 LWD983089:LWD983100 MFZ983089:MFZ983100 MPV983089:MPV983100 MZR983089:MZR983100 NJN983089:NJN983100 NTJ983089:NTJ983100 ODF983089:ODF983100 ONB983089:ONB983100 OWX983089:OWX983100 PGT983089:PGT983100 PQP983089:PQP983100 QAL983089:QAL983100 QKH983089:QKH983100 QUD983089:QUD983100 RDZ983089:RDZ983100 RNV983089:RNV983100 RXR983089:RXR983100 SHN983089:SHN983100 SRJ983089:SRJ983100 TBF983089:TBF983100 TLB983089:TLB983100 TUX983089:TUX983100 UET983089:UET983100 UOP983089:UOP983100 UYL983089:UYL983100 VIH983089:VIH983100 VSD983089:VSD983100 WBZ983089:WBZ983100 WLV983089:WLV983100 WVR983089:WVR983100">
      <formula1>DataSrcInCmp</formula1>
    </dataValidation>
    <dataValidation type="list" allowBlank="1" showInputMessage="1" showErrorMessage="1" sqref="B35:H39 IX35:JD39 ST35:SZ39 ACP35:ACV39 AML35:AMR39 AWH35:AWN39 BGD35:BGJ39 BPZ35:BQF39 BZV35:CAB39 CJR35:CJX39 CTN35:CTT39 DDJ35:DDP39 DNF35:DNL39 DXB35:DXH39 EGX35:EHD39 EQT35:EQZ39 FAP35:FAV39 FKL35:FKR39 FUH35:FUN39 GED35:GEJ39 GNZ35:GOF39 GXV35:GYB39 HHR35:HHX39 HRN35:HRT39 IBJ35:IBP39 ILF35:ILL39 IVB35:IVH39 JEX35:JFD39 JOT35:JOZ39 JYP35:JYV39 KIL35:KIR39 KSH35:KSN39 LCD35:LCJ39 LLZ35:LMF39 LVV35:LWB39 MFR35:MFX39 MPN35:MPT39 MZJ35:MZP39 NJF35:NJL39 NTB35:NTH39 OCX35:ODD39 OMT35:OMZ39 OWP35:OWV39 PGL35:PGR39 PQH35:PQN39 QAD35:QAJ39 QJZ35:QKF39 QTV35:QUB39 RDR35:RDX39 RNN35:RNT39 RXJ35:RXP39 SHF35:SHL39 SRB35:SRH39 TAX35:TBD39 TKT35:TKZ39 TUP35:TUV39 UEL35:UER39 UOH35:UON39 UYD35:UYJ39 VHZ35:VIF39 VRV35:VSB39 WBR35:WBX39 WLN35:WLT39 WVJ35:WVP39 B65571:H65575 IX65571:JD65575 ST65571:SZ65575 ACP65571:ACV65575 AML65571:AMR65575 AWH65571:AWN65575 BGD65571:BGJ65575 BPZ65571:BQF65575 BZV65571:CAB65575 CJR65571:CJX65575 CTN65571:CTT65575 DDJ65571:DDP65575 DNF65571:DNL65575 DXB65571:DXH65575 EGX65571:EHD65575 EQT65571:EQZ65575 FAP65571:FAV65575 FKL65571:FKR65575 FUH65571:FUN65575 GED65571:GEJ65575 GNZ65571:GOF65575 GXV65571:GYB65575 HHR65571:HHX65575 HRN65571:HRT65575 IBJ65571:IBP65575 ILF65571:ILL65575 IVB65571:IVH65575 JEX65571:JFD65575 JOT65571:JOZ65575 JYP65571:JYV65575 KIL65571:KIR65575 KSH65571:KSN65575 LCD65571:LCJ65575 LLZ65571:LMF65575 LVV65571:LWB65575 MFR65571:MFX65575 MPN65571:MPT65575 MZJ65571:MZP65575 NJF65571:NJL65575 NTB65571:NTH65575 OCX65571:ODD65575 OMT65571:OMZ65575 OWP65571:OWV65575 PGL65571:PGR65575 PQH65571:PQN65575 QAD65571:QAJ65575 QJZ65571:QKF65575 QTV65571:QUB65575 RDR65571:RDX65575 RNN65571:RNT65575 RXJ65571:RXP65575 SHF65571:SHL65575 SRB65571:SRH65575 TAX65571:TBD65575 TKT65571:TKZ65575 TUP65571:TUV65575 UEL65571:UER65575 UOH65571:UON65575 UYD65571:UYJ65575 VHZ65571:VIF65575 VRV65571:VSB65575 WBR65571:WBX65575 WLN65571:WLT65575 WVJ65571:WVP65575 B131107:H131111 IX131107:JD131111 ST131107:SZ131111 ACP131107:ACV131111 AML131107:AMR131111 AWH131107:AWN131111 BGD131107:BGJ131111 BPZ131107:BQF131111 BZV131107:CAB131111 CJR131107:CJX131111 CTN131107:CTT131111 DDJ131107:DDP131111 DNF131107:DNL131111 DXB131107:DXH131111 EGX131107:EHD131111 EQT131107:EQZ131111 FAP131107:FAV131111 FKL131107:FKR131111 FUH131107:FUN131111 GED131107:GEJ131111 GNZ131107:GOF131111 GXV131107:GYB131111 HHR131107:HHX131111 HRN131107:HRT131111 IBJ131107:IBP131111 ILF131107:ILL131111 IVB131107:IVH131111 JEX131107:JFD131111 JOT131107:JOZ131111 JYP131107:JYV131111 KIL131107:KIR131111 KSH131107:KSN131111 LCD131107:LCJ131111 LLZ131107:LMF131111 LVV131107:LWB131111 MFR131107:MFX131111 MPN131107:MPT131111 MZJ131107:MZP131111 NJF131107:NJL131111 NTB131107:NTH131111 OCX131107:ODD131111 OMT131107:OMZ131111 OWP131107:OWV131111 PGL131107:PGR131111 PQH131107:PQN131111 QAD131107:QAJ131111 QJZ131107:QKF131111 QTV131107:QUB131111 RDR131107:RDX131111 RNN131107:RNT131111 RXJ131107:RXP131111 SHF131107:SHL131111 SRB131107:SRH131111 TAX131107:TBD131111 TKT131107:TKZ131111 TUP131107:TUV131111 UEL131107:UER131111 UOH131107:UON131111 UYD131107:UYJ131111 VHZ131107:VIF131111 VRV131107:VSB131111 WBR131107:WBX131111 WLN131107:WLT131111 WVJ131107:WVP131111 B196643:H196647 IX196643:JD196647 ST196643:SZ196647 ACP196643:ACV196647 AML196643:AMR196647 AWH196643:AWN196647 BGD196643:BGJ196647 BPZ196643:BQF196647 BZV196643:CAB196647 CJR196643:CJX196647 CTN196643:CTT196647 DDJ196643:DDP196647 DNF196643:DNL196647 DXB196643:DXH196647 EGX196643:EHD196647 EQT196643:EQZ196647 FAP196643:FAV196647 FKL196643:FKR196647 FUH196643:FUN196647 GED196643:GEJ196647 GNZ196643:GOF196647 GXV196643:GYB196647 HHR196643:HHX196647 HRN196643:HRT196647 IBJ196643:IBP196647 ILF196643:ILL196647 IVB196643:IVH196647 JEX196643:JFD196647 JOT196643:JOZ196647 JYP196643:JYV196647 KIL196643:KIR196647 KSH196643:KSN196647 LCD196643:LCJ196647 LLZ196643:LMF196647 LVV196643:LWB196647 MFR196643:MFX196647 MPN196643:MPT196647 MZJ196643:MZP196647 NJF196643:NJL196647 NTB196643:NTH196647 OCX196643:ODD196647 OMT196643:OMZ196647 OWP196643:OWV196647 PGL196643:PGR196647 PQH196643:PQN196647 QAD196643:QAJ196647 QJZ196643:QKF196647 QTV196643:QUB196647 RDR196643:RDX196647 RNN196643:RNT196647 RXJ196643:RXP196647 SHF196643:SHL196647 SRB196643:SRH196647 TAX196643:TBD196647 TKT196643:TKZ196647 TUP196643:TUV196647 UEL196643:UER196647 UOH196643:UON196647 UYD196643:UYJ196647 VHZ196643:VIF196647 VRV196643:VSB196647 WBR196643:WBX196647 WLN196643:WLT196647 WVJ196643:WVP196647 B262179:H262183 IX262179:JD262183 ST262179:SZ262183 ACP262179:ACV262183 AML262179:AMR262183 AWH262179:AWN262183 BGD262179:BGJ262183 BPZ262179:BQF262183 BZV262179:CAB262183 CJR262179:CJX262183 CTN262179:CTT262183 DDJ262179:DDP262183 DNF262179:DNL262183 DXB262179:DXH262183 EGX262179:EHD262183 EQT262179:EQZ262183 FAP262179:FAV262183 FKL262179:FKR262183 FUH262179:FUN262183 GED262179:GEJ262183 GNZ262179:GOF262183 GXV262179:GYB262183 HHR262179:HHX262183 HRN262179:HRT262183 IBJ262179:IBP262183 ILF262179:ILL262183 IVB262179:IVH262183 JEX262179:JFD262183 JOT262179:JOZ262183 JYP262179:JYV262183 KIL262179:KIR262183 KSH262179:KSN262183 LCD262179:LCJ262183 LLZ262179:LMF262183 LVV262179:LWB262183 MFR262179:MFX262183 MPN262179:MPT262183 MZJ262179:MZP262183 NJF262179:NJL262183 NTB262179:NTH262183 OCX262179:ODD262183 OMT262179:OMZ262183 OWP262179:OWV262183 PGL262179:PGR262183 PQH262179:PQN262183 QAD262179:QAJ262183 QJZ262179:QKF262183 QTV262179:QUB262183 RDR262179:RDX262183 RNN262179:RNT262183 RXJ262179:RXP262183 SHF262179:SHL262183 SRB262179:SRH262183 TAX262179:TBD262183 TKT262179:TKZ262183 TUP262179:TUV262183 UEL262179:UER262183 UOH262179:UON262183 UYD262179:UYJ262183 VHZ262179:VIF262183 VRV262179:VSB262183 WBR262179:WBX262183 WLN262179:WLT262183 WVJ262179:WVP262183 B327715:H327719 IX327715:JD327719 ST327715:SZ327719 ACP327715:ACV327719 AML327715:AMR327719 AWH327715:AWN327719 BGD327715:BGJ327719 BPZ327715:BQF327719 BZV327715:CAB327719 CJR327715:CJX327719 CTN327715:CTT327719 DDJ327715:DDP327719 DNF327715:DNL327719 DXB327715:DXH327719 EGX327715:EHD327719 EQT327715:EQZ327719 FAP327715:FAV327719 FKL327715:FKR327719 FUH327715:FUN327719 GED327715:GEJ327719 GNZ327715:GOF327719 GXV327715:GYB327719 HHR327715:HHX327719 HRN327715:HRT327719 IBJ327715:IBP327719 ILF327715:ILL327719 IVB327715:IVH327719 JEX327715:JFD327719 JOT327715:JOZ327719 JYP327715:JYV327719 KIL327715:KIR327719 KSH327715:KSN327719 LCD327715:LCJ327719 LLZ327715:LMF327719 LVV327715:LWB327719 MFR327715:MFX327719 MPN327715:MPT327719 MZJ327715:MZP327719 NJF327715:NJL327719 NTB327715:NTH327719 OCX327715:ODD327719 OMT327715:OMZ327719 OWP327715:OWV327719 PGL327715:PGR327719 PQH327715:PQN327719 QAD327715:QAJ327719 QJZ327715:QKF327719 QTV327715:QUB327719 RDR327715:RDX327719 RNN327715:RNT327719 RXJ327715:RXP327719 SHF327715:SHL327719 SRB327715:SRH327719 TAX327715:TBD327719 TKT327715:TKZ327719 TUP327715:TUV327719 UEL327715:UER327719 UOH327715:UON327719 UYD327715:UYJ327719 VHZ327715:VIF327719 VRV327715:VSB327719 WBR327715:WBX327719 WLN327715:WLT327719 WVJ327715:WVP327719 B393251:H393255 IX393251:JD393255 ST393251:SZ393255 ACP393251:ACV393255 AML393251:AMR393255 AWH393251:AWN393255 BGD393251:BGJ393255 BPZ393251:BQF393255 BZV393251:CAB393255 CJR393251:CJX393255 CTN393251:CTT393255 DDJ393251:DDP393255 DNF393251:DNL393255 DXB393251:DXH393255 EGX393251:EHD393255 EQT393251:EQZ393255 FAP393251:FAV393255 FKL393251:FKR393255 FUH393251:FUN393255 GED393251:GEJ393255 GNZ393251:GOF393255 GXV393251:GYB393255 HHR393251:HHX393255 HRN393251:HRT393255 IBJ393251:IBP393255 ILF393251:ILL393255 IVB393251:IVH393255 JEX393251:JFD393255 JOT393251:JOZ393255 JYP393251:JYV393255 KIL393251:KIR393255 KSH393251:KSN393255 LCD393251:LCJ393255 LLZ393251:LMF393255 LVV393251:LWB393255 MFR393251:MFX393255 MPN393251:MPT393255 MZJ393251:MZP393255 NJF393251:NJL393255 NTB393251:NTH393255 OCX393251:ODD393255 OMT393251:OMZ393255 OWP393251:OWV393255 PGL393251:PGR393255 PQH393251:PQN393255 QAD393251:QAJ393255 QJZ393251:QKF393255 QTV393251:QUB393255 RDR393251:RDX393255 RNN393251:RNT393255 RXJ393251:RXP393255 SHF393251:SHL393255 SRB393251:SRH393255 TAX393251:TBD393255 TKT393251:TKZ393255 TUP393251:TUV393255 UEL393251:UER393255 UOH393251:UON393255 UYD393251:UYJ393255 VHZ393251:VIF393255 VRV393251:VSB393255 WBR393251:WBX393255 WLN393251:WLT393255 WVJ393251:WVP393255 B458787:H458791 IX458787:JD458791 ST458787:SZ458791 ACP458787:ACV458791 AML458787:AMR458791 AWH458787:AWN458791 BGD458787:BGJ458791 BPZ458787:BQF458791 BZV458787:CAB458791 CJR458787:CJX458791 CTN458787:CTT458791 DDJ458787:DDP458791 DNF458787:DNL458791 DXB458787:DXH458791 EGX458787:EHD458791 EQT458787:EQZ458791 FAP458787:FAV458791 FKL458787:FKR458791 FUH458787:FUN458791 GED458787:GEJ458791 GNZ458787:GOF458791 GXV458787:GYB458791 HHR458787:HHX458791 HRN458787:HRT458791 IBJ458787:IBP458791 ILF458787:ILL458791 IVB458787:IVH458791 JEX458787:JFD458791 JOT458787:JOZ458791 JYP458787:JYV458791 KIL458787:KIR458791 KSH458787:KSN458791 LCD458787:LCJ458791 LLZ458787:LMF458791 LVV458787:LWB458791 MFR458787:MFX458791 MPN458787:MPT458791 MZJ458787:MZP458791 NJF458787:NJL458791 NTB458787:NTH458791 OCX458787:ODD458791 OMT458787:OMZ458791 OWP458787:OWV458791 PGL458787:PGR458791 PQH458787:PQN458791 QAD458787:QAJ458791 QJZ458787:QKF458791 QTV458787:QUB458791 RDR458787:RDX458791 RNN458787:RNT458791 RXJ458787:RXP458791 SHF458787:SHL458791 SRB458787:SRH458791 TAX458787:TBD458791 TKT458787:TKZ458791 TUP458787:TUV458791 UEL458787:UER458791 UOH458787:UON458791 UYD458787:UYJ458791 VHZ458787:VIF458791 VRV458787:VSB458791 WBR458787:WBX458791 WLN458787:WLT458791 WVJ458787:WVP458791 B524323:H524327 IX524323:JD524327 ST524323:SZ524327 ACP524323:ACV524327 AML524323:AMR524327 AWH524323:AWN524327 BGD524323:BGJ524327 BPZ524323:BQF524327 BZV524323:CAB524327 CJR524323:CJX524327 CTN524323:CTT524327 DDJ524323:DDP524327 DNF524323:DNL524327 DXB524323:DXH524327 EGX524323:EHD524327 EQT524323:EQZ524327 FAP524323:FAV524327 FKL524323:FKR524327 FUH524323:FUN524327 GED524323:GEJ524327 GNZ524323:GOF524327 GXV524323:GYB524327 HHR524323:HHX524327 HRN524323:HRT524327 IBJ524323:IBP524327 ILF524323:ILL524327 IVB524323:IVH524327 JEX524323:JFD524327 JOT524323:JOZ524327 JYP524323:JYV524327 KIL524323:KIR524327 KSH524323:KSN524327 LCD524323:LCJ524327 LLZ524323:LMF524327 LVV524323:LWB524327 MFR524323:MFX524327 MPN524323:MPT524327 MZJ524323:MZP524327 NJF524323:NJL524327 NTB524323:NTH524327 OCX524323:ODD524327 OMT524323:OMZ524327 OWP524323:OWV524327 PGL524323:PGR524327 PQH524323:PQN524327 QAD524323:QAJ524327 QJZ524323:QKF524327 QTV524323:QUB524327 RDR524323:RDX524327 RNN524323:RNT524327 RXJ524323:RXP524327 SHF524323:SHL524327 SRB524323:SRH524327 TAX524323:TBD524327 TKT524323:TKZ524327 TUP524323:TUV524327 UEL524323:UER524327 UOH524323:UON524327 UYD524323:UYJ524327 VHZ524323:VIF524327 VRV524323:VSB524327 WBR524323:WBX524327 WLN524323:WLT524327 WVJ524323:WVP524327 B589859:H589863 IX589859:JD589863 ST589859:SZ589863 ACP589859:ACV589863 AML589859:AMR589863 AWH589859:AWN589863 BGD589859:BGJ589863 BPZ589859:BQF589863 BZV589859:CAB589863 CJR589859:CJX589863 CTN589859:CTT589863 DDJ589859:DDP589863 DNF589859:DNL589863 DXB589859:DXH589863 EGX589859:EHD589863 EQT589859:EQZ589863 FAP589859:FAV589863 FKL589859:FKR589863 FUH589859:FUN589863 GED589859:GEJ589863 GNZ589859:GOF589863 GXV589859:GYB589863 HHR589859:HHX589863 HRN589859:HRT589863 IBJ589859:IBP589863 ILF589859:ILL589863 IVB589859:IVH589863 JEX589859:JFD589863 JOT589859:JOZ589863 JYP589859:JYV589863 KIL589859:KIR589863 KSH589859:KSN589863 LCD589859:LCJ589863 LLZ589859:LMF589863 LVV589859:LWB589863 MFR589859:MFX589863 MPN589859:MPT589863 MZJ589859:MZP589863 NJF589859:NJL589863 NTB589859:NTH589863 OCX589859:ODD589863 OMT589859:OMZ589863 OWP589859:OWV589863 PGL589859:PGR589863 PQH589859:PQN589863 QAD589859:QAJ589863 QJZ589859:QKF589863 QTV589859:QUB589863 RDR589859:RDX589863 RNN589859:RNT589863 RXJ589859:RXP589863 SHF589859:SHL589863 SRB589859:SRH589863 TAX589859:TBD589863 TKT589859:TKZ589863 TUP589859:TUV589863 UEL589859:UER589863 UOH589859:UON589863 UYD589859:UYJ589863 VHZ589859:VIF589863 VRV589859:VSB589863 WBR589859:WBX589863 WLN589859:WLT589863 WVJ589859:WVP589863 B655395:H655399 IX655395:JD655399 ST655395:SZ655399 ACP655395:ACV655399 AML655395:AMR655399 AWH655395:AWN655399 BGD655395:BGJ655399 BPZ655395:BQF655399 BZV655395:CAB655399 CJR655395:CJX655399 CTN655395:CTT655399 DDJ655395:DDP655399 DNF655395:DNL655399 DXB655395:DXH655399 EGX655395:EHD655399 EQT655395:EQZ655399 FAP655395:FAV655399 FKL655395:FKR655399 FUH655395:FUN655399 GED655395:GEJ655399 GNZ655395:GOF655399 GXV655395:GYB655399 HHR655395:HHX655399 HRN655395:HRT655399 IBJ655395:IBP655399 ILF655395:ILL655399 IVB655395:IVH655399 JEX655395:JFD655399 JOT655395:JOZ655399 JYP655395:JYV655399 KIL655395:KIR655399 KSH655395:KSN655399 LCD655395:LCJ655399 LLZ655395:LMF655399 LVV655395:LWB655399 MFR655395:MFX655399 MPN655395:MPT655399 MZJ655395:MZP655399 NJF655395:NJL655399 NTB655395:NTH655399 OCX655395:ODD655399 OMT655395:OMZ655399 OWP655395:OWV655399 PGL655395:PGR655399 PQH655395:PQN655399 QAD655395:QAJ655399 QJZ655395:QKF655399 QTV655395:QUB655399 RDR655395:RDX655399 RNN655395:RNT655399 RXJ655395:RXP655399 SHF655395:SHL655399 SRB655395:SRH655399 TAX655395:TBD655399 TKT655395:TKZ655399 TUP655395:TUV655399 UEL655395:UER655399 UOH655395:UON655399 UYD655395:UYJ655399 VHZ655395:VIF655399 VRV655395:VSB655399 WBR655395:WBX655399 WLN655395:WLT655399 WVJ655395:WVP655399 B720931:H720935 IX720931:JD720935 ST720931:SZ720935 ACP720931:ACV720935 AML720931:AMR720935 AWH720931:AWN720935 BGD720931:BGJ720935 BPZ720931:BQF720935 BZV720931:CAB720935 CJR720931:CJX720935 CTN720931:CTT720935 DDJ720931:DDP720935 DNF720931:DNL720935 DXB720931:DXH720935 EGX720931:EHD720935 EQT720931:EQZ720935 FAP720931:FAV720935 FKL720931:FKR720935 FUH720931:FUN720935 GED720931:GEJ720935 GNZ720931:GOF720935 GXV720931:GYB720935 HHR720931:HHX720935 HRN720931:HRT720935 IBJ720931:IBP720935 ILF720931:ILL720935 IVB720931:IVH720935 JEX720931:JFD720935 JOT720931:JOZ720935 JYP720931:JYV720935 KIL720931:KIR720935 KSH720931:KSN720935 LCD720931:LCJ720935 LLZ720931:LMF720935 LVV720931:LWB720935 MFR720931:MFX720935 MPN720931:MPT720935 MZJ720931:MZP720935 NJF720931:NJL720935 NTB720931:NTH720935 OCX720931:ODD720935 OMT720931:OMZ720935 OWP720931:OWV720935 PGL720931:PGR720935 PQH720931:PQN720935 QAD720931:QAJ720935 QJZ720931:QKF720935 QTV720931:QUB720935 RDR720931:RDX720935 RNN720931:RNT720935 RXJ720931:RXP720935 SHF720931:SHL720935 SRB720931:SRH720935 TAX720931:TBD720935 TKT720931:TKZ720935 TUP720931:TUV720935 UEL720931:UER720935 UOH720931:UON720935 UYD720931:UYJ720935 VHZ720931:VIF720935 VRV720931:VSB720935 WBR720931:WBX720935 WLN720931:WLT720935 WVJ720931:WVP720935 B786467:H786471 IX786467:JD786471 ST786467:SZ786471 ACP786467:ACV786471 AML786467:AMR786471 AWH786467:AWN786471 BGD786467:BGJ786471 BPZ786467:BQF786471 BZV786467:CAB786471 CJR786467:CJX786471 CTN786467:CTT786471 DDJ786467:DDP786471 DNF786467:DNL786471 DXB786467:DXH786471 EGX786467:EHD786471 EQT786467:EQZ786471 FAP786467:FAV786471 FKL786467:FKR786471 FUH786467:FUN786471 GED786467:GEJ786471 GNZ786467:GOF786471 GXV786467:GYB786471 HHR786467:HHX786471 HRN786467:HRT786471 IBJ786467:IBP786471 ILF786467:ILL786471 IVB786467:IVH786471 JEX786467:JFD786471 JOT786467:JOZ786471 JYP786467:JYV786471 KIL786467:KIR786471 KSH786467:KSN786471 LCD786467:LCJ786471 LLZ786467:LMF786471 LVV786467:LWB786471 MFR786467:MFX786471 MPN786467:MPT786471 MZJ786467:MZP786471 NJF786467:NJL786471 NTB786467:NTH786471 OCX786467:ODD786471 OMT786467:OMZ786471 OWP786467:OWV786471 PGL786467:PGR786471 PQH786467:PQN786471 QAD786467:QAJ786471 QJZ786467:QKF786471 QTV786467:QUB786471 RDR786467:RDX786471 RNN786467:RNT786471 RXJ786467:RXP786471 SHF786467:SHL786471 SRB786467:SRH786471 TAX786467:TBD786471 TKT786467:TKZ786471 TUP786467:TUV786471 UEL786467:UER786471 UOH786467:UON786471 UYD786467:UYJ786471 VHZ786467:VIF786471 VRV786467:VSB786471 WBR786467:WBX786471 WLN786467:WLT786471 WVJ786467:WVP786471 B852003:H852007 IX852003:JD852007 ST852003:SZ852007 ACP852003:ACV852007 AML852003:AMR852007 AWH852003:AWN852007 BGD852003:BGJ852007 BPZ852003:BQF852007 BZV852003:CAB852007 CJR852003:CJX852007 CTN852003:CTT852007 DDJ852003:DDP852007 DNF852003:DNL852007 DXB852003:DXH852007 EGX852003:EHD852007 EQT852003:EQZ852007 FAP852003:FAV852007 FKL852003:FKR852007 FUH852003:FUN852007 GED852003:GEJ852007 GNZ852003:GOF852007 GXV852003:GYB852007 HHR852003:HHX852007 HRN852003:HRT852007 IBJ852003:IBP852007 ILF852003:ILL852007 IVB852003:IVH852007 JEX852003:JFD852007 JOT852003:JOZ852007 JYP852003:JYV852007 KIL852003:KIR852007 KSH852003:KSN852007 LCD852003:LCJ852007 LLZ852003:LMF852007 LVV852003:LWB852007 MFR852003:MFX852007 MPN852003:MPT852007 MZJ852003:MZP852007 NJF852003:NJL852007 NTB852003:NTH852007 OCX852003:ODD852007 OMT852003:OMZ852007 OWP852003:OWV852007 PGL852003:PGR852007 PQH852003:PQN852007 QAD852003:QAJ852007 QJZ852003:QKF852007 QTV852003:QUB852007 RDR852003:RDX852007 RNN852003:RNT852007 RXJ852003:RXP852007 SHF852003:SHL852007 SRB852003:SRH852007 TAX852003:TBD852007 TKT852003:TKZ852007 TUP852003:TUV852007 UEL852003:UER852007 UOH852003:UON852007 UYD852003:UYJ852007 VHZ852003:VIF852007 VRV852003:VSB852007 WBR852003:WBX852007 WLN852003:WLT852007 WVJ852003:WVP852007 B917539:H917543 IX917539:JD917543 ST917539:SZ917543 ACP917539:ACV917543 AML917539:AMR917543 AWH917539:AWN917543 BGD917539:BGJ917543 BPZ917539:BQF917543 BZV917539:CAB917543 CJR917539:CJX917543 CTN917539:CTT917543 DDJ917539:DDP917543 DNF917539:DNL917543 DXB917539:DXH917543 EGX917539:EHD917543 EQT917539:EQZ917543 FAP917539:FAV917543 FKL917539:FKR917543 FUH917539:FUN917543 GED917539:GEJ917543 GNZ917539:GOF917543 GXV917539:GYB917543 HHR917539:HHX917543 HRN917539:HRT917543 IBJ917539:IBP917543 ILF917539:ILL917543 IVB917539:IVH917543 JEX917539:JFD917543 JOT917539:JOZ917543 JYP917539:JYV917543 KIL917539:KIR917543 KSH917539:KSN917543 LCD917539:LCJ917543 LLZ917539:LMF917543 LVV917539:LWB917543 MFR917539:MFX917543 MPN917539:MPT917543 MZJ917539:MZP917543 NJF917539:NJL917543 NTB917539:NTH917543 OCX917539:ODD917543 OMT917539:OMZ917543 OWP917539:OWV917543 PGL917539:PGR917543 PQH917539:PQN917543 QAD917539:QAJ917543 QJZ917539:QKF917543 QTV917539:QUB917543 RDR917539:RDX917543 RNN917539:RNT917543 RXJ917539:RXP917543 SHF917539:SHL917543 SRB917539:SRH917543 TAX917539:TBD917543 TKT917539:TKZ917543 TUP917539:TUV917543 UEL917539:UER917543 UOH917539:UON917543 UYD917539:UYJ917543 VHZ917539:VIF917543 VRV917539:VSB917543 WBR917539:WBX917543 WLN917539:WLT917543 WVJ917539:WVP917543 B983075:H983079 IX983075:JD983079 ST983075:SZ983079 ACP983075:ACV983079 AML983075:AMR983079 AWH983075:AWN983079 BGD983075:BGJ983079 BPZ983075:BQF983079 BZV983075:CAB983079 CJR983075:CJX983079 CTN983075:CTT983079 DDJ983075:DDP983079 DNF983075:DNL983079 DXB983075:DXH983079 EGX983075:EHD983079 EQT983075:EQZ983079 FAP983075:FAV983079 FKL983075:FKR983079 FUH983075:FUN983079 GED983075:GEJ983079 GNZ983075:GOF983079 GXV983075:GYB983079 HHR983075:HHX983079 HRN983075:HRT983079 IBJ983075:IBP983079 ILF983075:ILL983079 IVB983075:IVH983079 JEX983075:JFD983079 JOT983075:JOZ983079 JYP983075:JYV983079 KIL983075:KIR983079 KSH983075:KSN983079 LCD983075:LCJ983079 LLZ983075:LMF983079 LVV983075:LWB983079 MFR983075:MFX983079 MPN983075:MPT983079 MZJ983075:MZP983079 NJF983075:NJL983079 NTB983075:NTH983079 OCX983075:ODD983079 OMT983075:OMZ983079 OWP983075:OWV983079 PGL983075:PGR983079 PQH983075:PQN983079 QAD983075:QAJ983079 QJZ983075:QKF983079 QTV983075:QUB983079 RDR983075:RDX983079 RNN983075:RNT983079 RXJ983075:RXP983079 SHF983075:SHL983079 SRB983075:SRH983079 TAX983075:TBD983079 TKT983075:TKZ983079 TUP983075:TUV983079 UEL983075:UER983079 UOH983075:UON983079 UYD983075:UYJ983079 VHZ983075:VIF983079 VRV983075:VSB983079 WBR983075:WBX983079 WLN983075:WLT983079 WVJ983075:WVP983079">
      <formula1>OutcomeIndInCmp</formula1>
    </dataValidation>
    <dataValidation type="list" allowBlank="1" prompt="Please select an indicator" sqref="B17:H21 IX17:JD21 ST17:SZ21 ACP17:ACV21 AML17:AMR21 AWH17:AWN21 BGD17:BGJ21 BPZ17:BQF21 BZV17:CAB21 CJR17:CJX21 CTN17:CTT21 DDJ17:DDP21 DNF17:DNL21 DXB17:DXH21 EGX17:EHD21 EQT17:EQZ21 FAP17:FAV21 FKL17:FKR21 FUH17:FUN21 GED17:GEJ21 GNZ17:GOF21 GXV17:GYB21 HHR17:HHX21 HRN17:HRT21 IBJ17:IBP21 ILF17:ILL21 IVB17:IVH21 JEX17:JFD21 JOT17:JOZ21 JYP17:JYV21 KIL17:KIR21 KSH17:KSN21 LCD17:LCJ21 LLZ17:LMF21 LVV17:LWB21 MFR17:MFX21 MPN17:MPT21 MZJ17:MZP21 NJF17:NJL21 NTB17:NTH21 OCX17:ODD21 OMT17:OMZ21 OWP17:OWV21 PGL17:PGR21 PQH17:PQN21 QAD17:QAJ21 QJZ17:QKF21 QTV17:QUB21 RDR17:RDX21 RNN17:RNT21 RXJ17:RXP21 SHF17:SHL21 SRB17:SRH21 TAX17:TBD21 TKT17:TKZ21 TUP17:TUV21 UEL17:UER21 UOH17:UON21 UYD17:UYJ21 VHZ17:VIF21 VRV17:VSB21 WBR17:WBX21 WLN17:WLT21 WVJ17:WVP21 B65553:H65557 IX65553:JD65557 ST65553:SZ65557 ACP65553:ACV65557 AML65553:AMR65557 AWH65553:AWN65557 BGD65553:BGJ65557 BPZ65553:BQF65557 BZV65553:CAB65557 CJR65553:CJX65557 CTN65553:CTT65557 DDJ65553:DDP65557 DNF65553:DNL65557 DXB65553:DXH65557 EGX65553:EHD65557 EQT65553:EQZ65557 FAP65553:FAV65557 FKL65553:FKR65557 FUH65553:FUN65557 GED65553:GEJ65557 GNZ65553:GOF65557 GXV65553:GYB65557 HHR65553:HHX65557 HRN65553:HRT65557 IBJ65553:IBP65557 ILF65553:ILL65557 IVB65553:IVH65557 JEX65553:JFD65557 JOT65553:JOZ65557 JYP65553:JYV65557 KIL65553:KIR65557 KSH65553:KSN65557 LCD65553:LCJ65557 LLZ65553:LMF65557 LVV65553:LWB65557 MFR65553:MFX65557 MPN65553:MPT65557 MZJ65553:MZP65557 NJF65553:NJL65557 NTB65553:NTH65557 OCX65553:ODD65557 OMT65553:OMZ65557 OWP65553:OWV65557 PGL65553:PGR65557 PQH65553:PQN65557 QAD65553:QAJ65557 QJZ65553:QKF65557 QTV65553:QUB65557 RDR65553:RDX65557 RNN65553:RNT65557 RXJ65553:RXP65557 SHF65553:SHL65557 SRB65553:SRH65557 TAX65553:TBD65557 TKT65553:TKZ65557 TUP65553:TUV65557 UEL65553:UER65557 UOH65553:UON65557 UYD65553:UYJ65557 VHZ65553:VIF65557 VRV65553:VSB65557 WBR65553:WBX65557 WLN65553:WLT65557 WVJ65553:WVP65557 B131089:H131093 IX131089:JD131093 ST131089:SZ131093 ACP131089:ACV131093 AML131089:AMR131093 AWH131089:AWN131093 BGD131089:BGJ131093 BPZ131089:BQF131093 BZV131089:CAB131093 CJR131089:CJX131093 CTN131089:CTT131093 DDJ131089:DDP131093 DNF131089:DNL131093 DXB131089:DXH131093 EGX131089:EHD131093 EQT131089:EQZ131093 FAP131089:FAV131093 FKL131089:FKR131093 FUH131089:FUN131093 GED131089:GEJ131093 GNZ131089:GOF131093 GXV131089:GYB131093 HHR131089:HHX131093 HRN131089:HRT131093 IBJ131089:IBP131093 ILF131089:ILL131093 IVB131089:IVH131093 JEX131089:JFD131093 JOT131089:JOZ131093 JYP131089:JYV131093 KIL131089:KIR131093 KSH131089:KSN131093 LCD131089:LCJ131093 LLZ131089:LMF131093 LVV131089:LWB131093 MFR131089:MFX131093 MPN131089:MPT131093 MZJ131089:MZP131093 NJF131089:NJL131093 NTB131089:NTH131093 OCX131089:ODD131093 OMT131089:OMZ131093 OWP131089:OWV131093 PGL131089:PGR131093 PQH131089:PQN131093 QAD131089:QAJ131093 QJZ131089:QKF131093 QTV131089:QUB131093 RDR131089:RDX131093 RNN131089:RNT131093 RXJ131089:RXP131093 SHF131089:SHL131093 SRB131089:SRH131093 TAX131089:TBD131093 TKT131089:TKZ131093 TUP131089:TUV131093 UEL131089:UER131093 UOH131089:UON131093 UYD131089:UYJ131093 VHZ131089:VIF131093 VRV131089:VSB131093 WBR131089:WBX131093 WLN131089:WLT131093 WVJ131089:WVP131093 B196625:H196629 IX196625:JD196629 ST196625:SZ196629 ACP196625:ACV196629 AML196625:AMR196629 AWH196625:AWN196629 BGD196625:BGJ196629 BPZ196625:BQF196629 BZV196625:CAB196629 CJR196625:CJX196629 CTN196625:CTT196629 DDJ196625:DDP196629 DNF196625:DNL196629 DXB196625:DXH196629 EGX196625:EHD196629 EQT196625:EQZ196629 FAP196625:FAV196629 FKL196625:FKR196629 FUH196625:FUN196629 GED196625:GEJ196629 GNZ196625:GOF196629 GXV196625:GYB196629 HHR196625:HHX196629 HRN196625:HRT196629 IBJ196625:IBP196629 ILF196625:ILL196629 IVB196625:IVH196629 JEX196625:JFD196629 JOT196625:JOZ196629 JYP196625:JYV196629 KIL196625:KIR196629 KSH196625:KSN196629 LCD196625:LCJ196629 LLZ196625:LMF196629 LVV196625:LWB196629 MFR196625:MFX196629 MPN196625:MPT196629 MZJ196625:MZP196629 NJF196625:NJL196629 NTB196625:NTH196629 OCX196625:ODD196629 OMT196625:OMZ196629 OWP196625:OWV196629 PGL196625:PGR196629 PQH196625:PQN196629 QAD196625:QAJ196629 QJZ196625:QKF196629 QTV196625:QUB196629 RDR196625:RDX196629 RNN196625:RNT196629 RXJ196625:RXP196629 SHF196625:SHL196629 SRB196625:SRH196629 TAX196625:TBD196629 TKT196625:TKZ196629 TUP196625:TUV196629 UEL196625:UER196629 UOH196625:UON196629 UYD196625:UYJ196629 VHZ196625:VIF196629 VRV196625:VSB196629 WBR196625:WBX196629 WLN196625:WLT196629 WVJ196625:WVP196629 B262161:H262165 IX262161:JD262165 ST262161:SZ262165 ACP262161:ACV262165 AML262161:AMR262165 AWH262161:AWN262165 BGD262161:BGJ262165 BPZ262161:BQF262165 BZV262161:CAB262165 CJR262161:CJX262165 CTN262161:CTT262165 DDJ262161:DDP262165 DNF262161:DNL262165 DXB262161:DXH262165 EGX262161:EHD262165 EQT262161:EQZ262165 FAP262161:FAV262165 FKL262161:FKR262165 FUH262161:FUN262165 GED262161:GEJ262165 GNZ262161:GOF262165 GXV262161:GYB262165 HHR262161:HHX262165 HRN262161:HRT262165 IBJ262161:IBP262165 ILF262161:ILL262165 IVB262161:IVH262165 JEX262161:JFD262165 JOT262161:JOZ262165 JYP262161:JYV262165 KIL262161:KIR262165 KSH262161:KSN262165 LCD262161:LCJ262165 LLZ262161:LMF262165 LVV262161:LWB262165 MFR262161:MFX262165 MPN262161:MPT262165 MZJ262161:MZP262165 NJF262161:NJL262165 NTB262161:NTH262165 OCX262161:ODD262165 OMT262161:OMZ262165 OWP262161:OWV262165 PGL262161:PGR262165 PQH262161:PQN262165 QAD262161:QAJ262165 QJZ262161:QKF262165 QTV262161:QUB262165 RDR262161:RDX262165 RNN262161:RNT262165 RXJ262161:RXP262165 SHF262161:SHL262165 SRB262161:SRH262165 TAX262161:TBD262165 TKT262161:TKZ262165 TUP262161:TUV262165 UEL262161:UER262165 UOH262161:UON262165 UYD262161:UYJ262165 VHZ262161:VIF262165 VRV262161:VSB262165 WBR262161:WBX262165 WLN262161:WLT262165 WVJ262161:WVP262165 B327697:H327701 IX327697:JD327701 ST327697:SZ327701 ACP327697:ACV327701 AML327697:AMR327701 AWH327697:AWN327701 BGD327697:BGJ327701 BPZ327697:BQF327701 BZV327697:CAB327701 CJR327697:CJX327701 CTN327697:CTT327701 DDJ327697:DDP327701 DNF327697:DNL327701 DXB327697:DXH327701 EGX327697:EHD327701 EQT327697:EQZ327701 FAP327697:FAV327701 FKL327697:FKR327701 FUH327697:FUN327701 GED327697:GEJ327701 GNZ327697:GOF327701 GXV327697:GYB327701 HHR327697:HHX327701 HRN327697:HRT327701 IBJ327697:IBP327701 ILF327697:ILL327701 IVB327697:IVH327701 JEX327697:JFD327701 JOT327697:JOZ327701 JYP327697:JYV327701 KIL327697:KIR327701 KSH327697:KSN327701 LCD327697:LCJ327701 LLZ327697:LMF327701 LVV327697:LWB327701 MFR327697:MFX327701 MPN327697:MPT327701 MZJ327697:MZP327701 NJF327697:NJL327701 NTB327697:NTH327701 OCX327697:ODD327701 OMT327697:OMZ327701 OWP327697:OWV327701 PGL327697:PGR327701 PQH327697:PQN327701 QAD327697:QAJ327701 QJZ327697:QKF327701 QTV327697:QUB327701 RDR327697:RDX327701 RNN327697:RNT327701 RXJ327697:RXP327701 SHF327697:SHL327701 SRB327697:SRH327701 TAX327697:TBD327701 TKT327697:TKZ327701 TUP327697:TUV327701 UEL327697:UER327701 UOH327697:UON327701 UYD327697:UYJ327701 VHZ327697:VIF327701 VRV327697:VSB327701 WBR327697:WBX327701 WLN327697:WLT327701 WVJ327697:WVP327701 B393233:H393237 IX393233:JD393237 ST393233:SZ393237 ACP393233:ACV393237 AML393233:AMR393237 AWH393233:AWN393237 BGD393233:BGJ393237 BPZ393233:BQF393237 BZV393233:CAB393237 CJR393233:CJX393237 CTN393233:CTT393237 DDJ393233:DDP393237 DNF393233:DNL393237 DXB393233:DXH393237 EGX393233:EHD393237 EQT393233:EQZ393237 FAP393233:FAV393237 FKL393233:FKR393237 FUH393233:FUN393237 GED393233:GEJ393237 GNZ393233:GOF393237 GXV393233:GYB393237 HHR393233:HHX393237 HRN393233:HRT393237 IBJ393233:IBP393237 ILF393233:ILL393237 IVB393233:IVH393237 JEX393233:JFD393237 JOT393233:JOZ393237 JYP393233:JYV393237 KIL393233:KIR393237 KSH393233:KSN393237 LCD393233:LCJ393237 LLZ393233:LMF393237 LVV393233:LWB393237 MFR393233:MFX393237 MPN393233:MPT393237 MZJ393233:MZP393237 NJF393233:NJL393237 NTB393233:NTH393237 OCX393233:ODD393237 OMT393233:OMZ393237 OWP393233:OWV393237 PGL393233:PGR393237 PQH393233:PQN393237 QAD393233:QAJ393237 QJZ393233:QKF393237 QTV393233:QUB393237 RDR393233:RDX393237 RNN393233:RNT393237 RXJ393233:RXP393237 SHF393233:SHL393237 SRB393233:SRH393237 TAX393233:TBD393237 TKT393233:TKZ393237 TUP393233:TUV393237 UEL393233:UER393237 UOH393233:UON393237 UYD393233:UYJ393237 VHZ393233:VIF393237 VRV393233:VSB393237 WBR393233:WBX393237 WLN393233:WLT393237 WVJ393233:WVP393237 B458769:H458773 IX458769:JD458773 ST458769:SZ458773 ACP458769:ACV458773 AML458769:AMR458773 AWH458769:AWN458773 BGD458769:BGJ458773 BPZ458769:BQF458773 BZV458769:CAB458773 CJR458769:CJX458773 CTN458769:CTT458773 DDJ458769:DDP458773 DNF458769:DNL458773 DXB458769:DXH458773 EGX458769:EHD458773 EQT458769:EQZ458773 FAP458769:FAV458773 FKL458769:FKR458773 FUH458769:FUN458773 GED458769:GEJ458773 GNZ458769:GOF458773 GXV458769:GYB458773 HHR458769:HHX458773 HRN458769:HRT458773 IBJ458769:IBP458773 ILF458769:ILL458773 IVB458769:IVH458773 JEX458769:JFD458773 JOT458769:JOZ458773 JYP458769:JYV458773 KIL458769:KIR458773 KSH458769:KSN458773 LCD458769:LCJ458773 LLZ458769:LMF458773 LVV458769:LWB458773 MFR458769:MFX458773 MPN458769:MPT458773 MZJ458769:MZP458773 NJF458769:NJL458773 NTB458769:NTH458773 OCX458769:ODD458773 OMT458769:OMZ458773 OWP458769:OWV458773 PGL458769:PGR458773 PQH458769:PQN458773 QAD458769:QAJ458773 QJZ458769:QKF458773 QTV458769:QUB458773 RDR458769:RDX458773 RNN458769:RNT458773 RXJ458769:RXP458773 SHF458769:SHL458773 SRB458769:SRH458773 TAX458769:TBD458773 TKT458769:TKZ458773 TUP458769:TUV458773 UEL458769:UER458773 UOH458769:UON458773 UYD458769:UYJ458773 VHZ458769:VIF458773 VRV458769:VSB458773 WBR458769:WBX458773 WLN458769:WLT458773 WVJ458769:WVP458773 B524305:H524309 IX524305:JD524309 ST524305:SZ524309 ACP524305:ACV524309 AML524305:AMR524309 AWH524305:AWN524309 BGD524305:BGJ524309 BPZ524305:BQF524309 BZV524305:CAB524309 CJR524305:CJX524309 CTN524305:CTT524309 DDJ524305:DDP524309 DNF524305:DNL524309 DXB524305:DXH524309 EGX524305:EHD524309 EQT524305:EQZ524309 FAP524305:FAV524309 FKL524305:FKR524309 FUH524305:FUN524309 GED524305:GEJ524309 GNZ524305:GOF524309 GXV524305:GYB524309 HHR524305:HHX524309 HRN524305:HRT524309 IBJ524305:IBP524309 ILF524305:ILL524309 IVB524305:IVH524309 JEX524305:JFD524309 JOT524305:JOZ524309 JYP524305:JYV524309 KIL524305:KIR524309 KSH524305:KSN524309 LCD524305:LCJ524309 LLZ524305:LMF524309 LVV524305:LWB524309 MFR524305:MFX524309 MPN524305:MPT524309 MZJ524305:MZP524309 NJF524305:NJL524309 NTB524305:NTH524309 OCX524305:ODD524309 OMT524305:OMZ524309 OWP524305:OWV524309 PGL524305:PGR524309 PQH524305:PQN524309 QAD524305:QAJ524309 QJZ524305:QKF524309 QTV524305:QUB524309 RDR524305:RDX524309 RNN524305:RNT524309 RXJ524305:RXP524309 SHF524305:SHL524309 SRB524305:SRH524309 TAX524305:TBD524309 TKT524305:TKZ524309 TUP524305:TUV524309 UEL524305:UER524309 UOH524305:UON524309 UYD524305:UYJ524309 VHZ524305:VIF524309 VRV524305:VSB524309 WBR524305:WBX524309 WLN524305:WLT524309 WVJ524305:WVP524309 B589841:H589845 IX589841:JD589845 ST589841:SZ589845 ACP589841:ACV589845 AML589841:AMR589845 AWH589841:AWN589845 BGD589841:BGJ589845 BPZ589841:BQF589845 BZV589841:CAB589845 CJR589841:CJX589845 CTN589841:CTT589845 DDJ589841:DDP589845 DNF589841:DNL589845 DXB589841:DXH589845 EGX589841:EHD589845 EQT589841:EQZ589845 FAP589841:FAV589845 FKL589841:FKR589845 FUH589841:FUN589845 GED589841:GEJ589845 GNZ589841:GOF589845 GXV589841:GYB589845 HHR589841:HHX589845 HRN589841:HRT589845 IBJ589841:IBP589845 ILF589841:ILL589845 IVB589841:IVH589845 JEX589841:JFD589845 JOT589841:JOZ589845 JYP589841:JYV589845 KIL589841:KIR589845 KSH589841:KSN589845 LCD589841:LCJ589845 LLZ589841:LMF589845 LVV589841:LWB589845 MFR589841:MFX589845 MPN589841:MPT589845 MZJ589841:MZP589845 NJF589841:NJL589845 NTB589841:NTH589845 OCX589841:ODD589845 OMT589841:OMZ589845 OWP589841:OWV589845 PGL589841:PGR589845 PQH589841:PQN589845 QAD589841:QAJ589845 QJZ589841:QKF589845 QTV589841:QUB589845 RDR589841:RDX589845 RNN589841:RNT589845 RXJ589841:RXP589845 SHF589841:SHL589845 SRB589841:SRH589845 TAX589841:TBD589845 TKT589841:TKZ589845 TUP589841:TUV589845 UEL589841:UER589845 UOH589841:UON589845 UYD589841:UYJ589845 VHZ589841:VIF589845 VRV589841:VSB589845 WBR589841:WBX589845 WLN589841:WLT589845 WVJ589841:WVP589845 B655377:H655381 IX655377:JD655381 ST655377:SZ655381 ACP655377:ACV655381 AML655377:AMR655381 AWH655377:AWN655381 BGD655377:BGJ655381 BPZ655377:BQF655381 BZV655377:CAB655381 CJR655377:CJX655381 CTN655377:CTT655381 DDJ655377:DDP655381 DNF655377:DNL655381 DXB655377:DXH655381 EGX655377:EHD655381 EQT655377:EQZ655381 FAP655377:FAV655381 FKL655377:FKR655381 FUH655377:FUN655381 GED655377:GEJ655381 GNZ655377:GOF655381 GXV655377:GYB655381 HHR655377:HHX655381 HRN655377:HRT655381 IBJ655377:IBP655381 ILF655377:ILL655381 IVB655377:IVH655381 JEX655377:JFD655381 JOT655377:JOZ655381 JYP655377:JYV655381 KIL655377:KIR655381 KSH655377:KSN655381 LCD655377:LCJ655381 LLZ655377:LMF655381 LVV655377:LWB655381 MFR655377:MFX655381 MPN655377:MPT655381 MZJ655377:MZP655381 NJF655377:NJL655381 NTB655377:NTH655381 OCX655377:ODD655381 OMT655377:OMZ655381 OWP655377:OWV655381 PGL655377:PGR655381 PQH655377:PQN655381 QAD655377:QAJ655381 QJZ655377:QKF655381 QTV655377:QUB655381 RDR655377:RDX655381 RNN655377:RNT655381 RXJ655377:RXP655381 SHF655377:SHL655381 SRB655377:SRH655381 TAX655377:TBD655381 TKT655377:TKZ655381 TUP655377:TUV655381 UEL655377:UER655381 UOH655377:UON655381 UYD655377:UYJ655381 VHZ655377:VIF655381 VRV655377:VSB655381 WBR655377:WBX655381 WLN655377:WLT655381 WVJ655377:WVP655381 B720913:H720917 IX720913:JD720917 ST720913:SZ720917 ACP720913:ACV720917 AML720913:AMR720917 AWH720913:AWN720917 BGD720913:BGJ720917 BPZ720913:BQF720917 BZV720913:CAB720917 CJR720913:CJX720917 CTN720913:CTT720917 DDJ720913:DDP720917 DNF720913:DNL720917 DXB720913:DXH720917 EGX720913:EHD720917 EQT720913:EQZ720917 FAP720913:FAV720917 FKL720913:FKR720917 FUH720913:FUN720917 GED720913:GEJ720917 GNZ720913:GOF720917 GXV720913:GYB720917 HHR720913:HHX720917 HRN720913:HRT720917 IBJ720913:IBP720917 ILF720913:ILL720917 IVB720913:IVH720917 JEX720913:JFD720917 JOT720913:JOZ720917 JYP720913:JYV720917 KIL720913:KIR720917 KSH720913:KSN720917 LCD720913:LCJ720917 LLZ720913:LMF720917 LVV720913:LWB720917 MFR720913:MFX720917 MPN720913:MPT720917 MZJ720913:MZP720917 NJF720913:NJL720917 NTB720913:NTH720917 OCX720913:ODD720917 OMT720913:OMZ720917 OWP720913:OWV720917 PGL720913:PGR720917 PQH720913:PQN720917 QAD720913:QAJ720917 QJZ720913:QKF720917 QTV720913:QUB720917 RDR720913:RDX720917 RNN720913:RNT720917 RXJ720913:RXP720917 SHF720913:SHL720917 SRB720913:SRH720917 TAX720913:TBD720917 TKT720913:TKZ720917 TUP720913:TUV720917 UEL720913:UER720917 UOH720913:UON720917 UYD720913:UYJ720917 VHZ720913:VIF720917 VRV720913:VSB720917 WBR720913:WBX720917 WLN720913:WLT720917 WVJ720913:WVP720917 B786449:H786453 IX786449:JD786453 ST786449:SZ786453 ACP786449:ACV786453 AML786449:AMR786453 AWH786449:AWN786453 BGD786449:BGJ786453 BPZ786449:BQF786453 BZV786449:CAB786453 CJR786449:CJX786453 CTN786449:CTT786453 DDJ786449:DDP786453 DNF786449:DNL786453 DXB786449:DXH786453 EGX786449:EHD786453 EQT786449:EQZ786453 FAP786449:FAV786453 FKL786449:FKR786453 FUH786449:FUN786453 GED786449:GEJ786453 GNZ786449:GOF786453 GXV786449:GYB786453 HHR786449:HHX786453 HRN786449:HRT786453 IBJ786449:IBP786453 ILF786449:ILL786453 IVB786449:IVH786453 JEX786449:JFD786453 JOT786449:JOZ786453 JYP786449:JYV786453 KIL786449:KIR786453 KSH786449:KSN786453 LCD786449:LCJ786453 LLZ786449:LMF786453 LVV786449:LWB786453 MFR786449:MFX786453 MPN786449:MPT786453 MZJ786449:MZP786453 NJF786449:NJL786453 NTB786449:NTH786453 OCX786449:ODD786453 OMT786449:OMZ786453 OWP786449:OWV786453 PGL786449:PGR786453 PQH786449:PQN786453 QAD786449:QAJ786453 QJZ786449:QKF786453 QTV786449:QUB786453 RDR786449:RDX786453 RNN786449:RNT786453 RXJ786449:RXP786453 SHF786449:SHL786453 SRB786449:SRH786453 TAX786449:TBD786453 TKT786449:TKZ786453 TUP786449:TUV786453 UEL786449:UER786453 UOH786449:UON786453 UYD786449:UYJ786453 VHZ786449:VIF786453 VRV786449:VSB786453 WBR786449:WBX786453 WLN786449:WLT786453 WVJ786449:WVP786453 B851985:H851989 IX851985:JD851989 ST851985:SZ851989 ACP851985:ACV851989 AML851985:AMR851989 AWH851985:AWN851989 BGD851985:BGJ851989 BPZ851985:BQF851989 BZV851985:CAB851989 CJR851985:CJX851989 CTN851985:CTT851989 DDJ851985:DDP851989 DNF851985:DNL851989 DXB851985:DXH851989 EGX851985:EHD851989 EQT851985:EQZ851989 FAP851985:FAV851989 FKL851985:FKR851989 FUH851985:FUN851989 GED851985:GEJ851989 GNZ851985:GOF851989 GXV851985:GYB851989 HHR851985:HHX851989 HRN851985:HRT851989 IBJ851985:IBP851989 ILF851985:ILL851989 IVB851985:IVH851989 JEX851985:JFD851989 JOT851985:JOZ851989 JYP851985:JYV851989 KIL851985:KIR851989 KSH851985:KSN851989 LCD851985:LCJ851989 LLZ851985:LMF851989 LVV851985:LWB851989 MFR851985:MFX851989 MPN851985:MPT851989 MZJ851985:MZP851989 NJF851985:NJL851989 NTB851985:NTH851989 OCX851985:ODD851989 OMT851985:OMZ851989 OWP851985:OWV851989 PGL851985:PGR851989 PQH851985:PQN851989 QAD851985:QAJ851989 QJZ851985:QKF851989 QTV851985:QUB851989 RDR851985:RDX851989 RNN851985:RNT851989 RXJ851985:RXP851989 SHF851985:SHL851989 SRB851985:SRH851989 TAX851985:TBD851989 TKT851985:TKZ851989 TUP851985:TUV851989 UEL851985:UER851989 UOH851985:UON851989 UYD851985:UYJ851989 VHZ851985:VIF851989 VRV851985:VSB851989 WBR851985:WBX851989 WLN851985:WLT851989 WVJ851985:WVP851989 B917521:H917525 IX917521:JD917525 ST917521:SZ917525 ACP917521:ACV917525 AML917521:AMR917525 AWH917521:AWN917525 BGD917521:BGJ917525 BPZ917521:BQF917525 BZV917521:CAB917525 CJR917521:CJX917525 CTN917521:CTT917525 DDJ917521:DDP917525 DNF917521:DNL917525 DXB917521:DXH917525 EGX917521:EHD917525 EQT917521:EQZ917525 FAP917521:FAV917525 FKL917521:FKR917525 FUH917521:FUN917525 GED917521:GEJ917525 GNZ917521:GOF917525 GXV917521:GYB917525 HHR917521:HHX917525 HRN917521:HRT917525 IBJ917521:IBP917525 ILF917521:ILL917525 IVB917521:IVH917525 JEX917521:JFD917525 JOT917521:JOZ917525 JYP917521:JYV917525 KIL917521:KIR917525 KSH917521:KSN917525 LCD917521:LCJ917525 LLZ917521:LMF917525 LVV917521:LWB917525 MFR917521:MFX917525 MPN917521:MPT917525 MZJ917521:MZP917525 NJF917521:NJL917525 NTB917521:NTH917525 OCX917521:ODD917525 OMT917521:OMZ917525 OWP917521:OWV917525 PGL917521:PGR917525 PQH917521:PQN917525 QAD917521:QAJ917525 QJZ917521:QKF917525 QTV917521:QUB917525 RDR917521:RDX917525 RNN917521:RNT917525 RXJ917521:RXP917525 SHF917521:SHL917525 SRB917521:SRH917525 TAX917521:TBD917525 TKT917521:TKZ917525 TUP917521:TUV917525 UEL917521:UER917525 UOH917521:UON917525 UYD917521:UYJ917525 VHZ917521:VIF917525 VRV917521:VSB917525 WBR917521:WBX917525 WLN917521:WLT917525 WVJ917521:WVP917525 B983057:H983061 IX983057:JD983061 ST983057:SZ983061 ACP983057:ACV983061 AML983057:AMR983061 AWH983057:AWN983061 BGD983057:BGJ983061 BPZ983057:BQF983061 BZV983057:CAB983061 CJR983057:CJX983061 CTN983057:CTT983061 DDJ983057:DDP983061 DNF983057:DNL983061 DXB983057:DXH983061 EGX983057:EHD983061 EQT983057:EQZ983061 FAP983057:FAV983061 FKL983057:FKR983061 FUH983057:FUN983061 GED983057:GEJ983061 GNZ983057:GOF983061 GXV983057:GYB983061 HHR983057:HHX983061 HRN983057:HRT983061 IBJ983057:IBP983061 ILF983057:ILL983061 IVB983057:IVH983061 JEX983057:JFD983061 JOT983057:JOZ983061 JYP983057:JYV983061 KIL983057:KIR983061 KSH983057:KSN983061 LCD983057:LCJ983061 LLZ983057:LMF983061 LVV983057:LWB983061 MFR983057:MFX983061 MPN983057:MPT983061 MZJ983057:MZP983061 NJF983057:NJL983061 NTB983057:NTH983061 OCX983057:ODD983061 OMT983057:OMZ983061 OWP983057:OWV983061 PGL983057:PGR983061 PQH983057:PQN983061 QAD983057:QAJ983061 QJZ983057:QKF983061 QTV983057:QUB983061 RDR983057:RDX983061 RNN983057:RNT983061 RXJ983057:RXP983061 SHF983057:SHL983061 SRB983057:SRH983061 TAX983057:TBD983061 TKT983057:TKZ983061 TUP983057:TUV983061 UEL983057:UER983061 UOH983057:UON983061 UYD983057:UYJ983061 VHZ983057:VIF983061 VRV983057:VSB983061 WBR983057:WBX983061 WLN983057:WLT983061 WVJ983057:WVP983061">
      <formula1>ImpactIndInCmp</formula1>
    </dataValidation>
    <dataValidation type="list" allowBlank="1" showInputMessage="1" showErrorMessage="1" sqref="J65:J84 JF65:JF84 TB65:TB84 ACX65:ACX84 AMT65:AMT84 AWP65:AWP84 BGL65:BGL84 BQH65:BQH84 CAD65:CAD84 CJZ65:CJZ84 CTV65:CTV84 DDR65:DDR84 DNN65:DNN84 DXJ65:DXJ84 EHF65:EHF84 ERB65:ERB84 FAX65:FAX84 FKT65:FKT84 FUP65:FUP84 GEL65:GEL84 GOH65:GOH84 GYD65:GYD84 HHZ65:HHZ84 HRV65:HRV84 IBR65:IBR84 ILN65:ILN84 IVJ65:IVJ84 JFF65:JFF84 JPB65:JPB84 JYX65:JYX84 KIT65:KIT84 KSP65:KSP84 LCL65:LCL84 LMH65:LMH84 LWD65:LWD84 MFZ65:MFZ84 MPV65:MPV84 MZR65:MZR84 NJN65:NJN84 NTJ65:NTJ84 ODF65:ODF84 ONB65:ONB84 OWX65:OWX84 PGT65:PGT84 PQP65:PQP84 QAL65:QAL84 QKH65:QKH84 QUD65:QUD84 RDZ65:RDZ84 RNV65:RNV84 RXR65:RXR84 SHN65:SHN84 SRJ65:SRJ84 TBF65:TBF84 TLB65:TLB84 TUX65:TUX84 UET65:UET84 UOP65:UOP84 UYL65:UYL84 VIH65:VIH84 VSD65:VSD84 WBZ65:WBZ84 WLV65:WLV84 WVR65:WVR84 J65601:J65620 JF65601:JF65620 TB65601:TB65620 ACX65601:ACX65620 AMT65601:AMT65620 AWP65601:AWP65620 BGL65601:BGL65620 BQH65601:BQH65620 CAD65601:CAD65620 CJZ65601:CJZ65620 CTV65601:CTV65620 DDR65601:DDR65620 DNN65601:DNN65620 DXJ65601:DXJ65620 EHF65601:EHF65620 ERB65601:ERB65620 FAX65601:FAX65620 FKT65601:FKT65620 FUP65601:FUP65620 GEL65601:GEL65620 GOH65601:GOH65620 GYD65601:GYD65620 HHZ65601:HHZ65620 HRV65601:HRV65620 IBR65601:IBR65620 ILN65601:ILN65620 IVJ65601:IVJ65620 JFF65601:JFF65620 JPB65601:JPB65620 JYX65601:JYX65620 KIT65601:KIT65620 KSP65601:KSP65620 LCL65601:LCL65620 LMH65601:LMH65620 LWD65601:LWD65620 MFZ65601:MFZ65620 MPV65601:MPV65620 MZR65601:MZR65620 NJN65601:NJN65620 NTJ65601:NTJ65620 ODF65601:ODF65620 ONB65601:ONB65620 OWX65601:OWX65620 PGT65601:PGT65620 PQP65601:PQP65620 QAL65601:QAL65620 QKH65601:QKH65620 QUD65601:QUD65620 RDZ65601:RDZ65620 RNV65601:RNV65620 RXR65601:RXR65620 SHN65601:SHN65620 SRJ65601:SRJ65620 TBF65601:TBF65620 TLB65601:TLB65620 TUX65601:TUX65620 UET65601:UET65620 UOP65601:UOP65620 UYL65601:UYL65620 VIH65601:VIH65620 VSD65601:VSD65620 WBZ65601:WBZ65620 WLV65601:WLV65620 WVR65601:WVR65620 J131137:J131156 JF131137:JF131156 TB131137:TB131156 ACX131137:ACX131156 AMT131137:AMT131156 AWP131137:AWP131156 BGL131137:BGL131156 BQH131137:BQH131156 CAD131137:CAD131156 CJZ131137:CJZ131156 CTV131137:CTV131156 DDR131137:DDR131156 DNN131137:DNN131156 DXJ131137:DXJ131156 EHF131137:EHF131156 ERB131137:ERB131156 FAX131137:FAX131156 FKT131137:FKT131156 FUP131137:FUP131156 GEL131137:GEL131156 GOH131137:GOH131156 GYD131137:GYD131156 HHZ131137:HHZ131156 HRV131137:HRV131156 IBR131137:IBR131156 ILN131137:ILN131156 IVJ131137:IVJ131156 JFF131137:JFF131156 JPB131137:JPB131156 JYX131137:JYX131156 KIT131137:KIT131156 KSP131137:KSP131156 LCL131137:LCL131156 LMH131137:LMH131156 LWD131137:LWD131156 MFZ131137:MFZ131156 MPV131137:MPV131156 MZR131137:MZR131156 NJN131137:NJN131156 NTJ131137:NTJ131156 ODF131137:ODF131156 ONB131137:ONB131156 OWX131137:OWX131156 PGT131137:PGT131156 PQP131137:PQP131156 QAL131137:QAL131156 QKH131137:QKH131156 QUD131137:QUD131156 RDZ131137:RDZ131156 RNV131137:RNV131156 RXR131137:RXR131156 SHN131137:SHN131156 SRJ131137:SRJ131156 TBF131137:TBF131156 TLB131137:TLB131156 TUX131137:TUX131156 UET131137:UET131156 UOP131137:UOP131156 UYL131137:UYL131156 VIH131137:VIH131156 VSD131137:VSD131156 WBZ131137:WBZ131156 WLV131137:WLV131156 WVR131137:WVR131156 J196673:J196692 JF196673:JF196692 TB196673:TB196692 ACX196673:ACX196692 AMT196673:AMT196692 AWP196673:AWP196692 BGL196673:BGL196692 BQH196673:BQH196692 CAD196673:CAD196692 CJZ196673:CJZ196692 CTV196673:CTV196692 DDR196673:DDR196692 DNN196673:DNN196692 DXJ196673:DXJ196692 EHF196673:EHF196692 ERB196673:ERB196692 FAX196673:FAX196692 FKT196673:FKT196692 FUP196673:FUP196692 GEL196673:GEL196692 GOH196673:GOH196692 GYD196673:GYD196692 HHZ196673:HHZ196692 HRV196673:HRV196692 IBR196673:IBR196692 ILN196673:ILN196692 IVJ196673:IVJ196692 JFF196673:JFF196692 JPB196673:JPB196692 JYX196673:JYX196692 KIT196673:KIT196692 KSP196673:KSP196692 LCL196673:LCL196692 LMH196673:LMH196692 LWD196673:LWD196692 MFZ196673:MFZ196692 MPV196673:MPV196692 MZR196673:MZR196692 NJN196673:NJN196692 NTJ196673:NTJ196692 ODF196673:ODF196692 ONB196673:ONB196692 OWX196673:OWX196692 PGT196673:PGT196692 PQP196673:PQP196692 QAL196673:QAL196692 QKH196673:QKH196692 QUD196673:QUD196692 RDZ196673:RDZ196692 RNV196673:RNV196692 RXR196673:RXR196692 SHN196673:SHN196692 SRJ196673:SRJ196692 TBF196673:TBF196692 TLB196673:TLB196692 TUX196673:TUX196692 UET196673:UET196692 UOP196673:UOP196692 UYL196673:UYL196692 VIH196673:VIH196692 VSD196673:VSD196692 WBZ196673:WBZ196692 WLV196673:WLV196692 WVR196673:WVR196692 J262209:J262228 JF262209:JF262228 TB262209:TB262228 ACX262209:ACX262228 AMT262209:AMT262228 AWP262209:AWP262228 BGL262209:BGL262228 BQH262209:BQH262228 CAD262209:CAD262228 CJZ262209:CJZ262228 CTV262209:CTV262228 DDR262209:DDR262228 DNN262209:DNN262228 DXJ262209:DXJ262228 EHF262209:EHF262228 ERB262209:ERB262228 FAX262209:FAX262228 FKT262209:FKT262228 FUP262209:FUP262228 GEL262209:GEL262228 GOH262209:GOH262228 GYD262209:GYD262228 HHZ262209:HHZ262228 HRV262209:HRV262228 IBR262209:IBR262228 ILN262209:ILN262228 IVJ262209:IVJ262228 JFF262209:JFF262228 JPB262209:JPB262228 JYX262209:JYX262228 KIT262209:KIT262228 KSP262209:KSP262228 LCL262209:LCL262228 LMH262209:LMH262228 LWD262209:LWD262228 MFZ262209:MFZ262228 MPV262209:MPV262228 MZR262209:MZR262228 NJN262209:NJN262228 NTJ262209:NTJ262228 ODF262209:ODF262228 ONB262209:ONB262228 OWX262209:OWX262228 PGT262209:PGT262228 PQP262209:PQP262228 QAL262209:QAL262228 QKH262209:QKH262228 QUD262209:QUD262228 RDZ262209:RDZ262228 RNV262209:RNV262228 RXR262209:RXR262228 SHN262209:SHN262228 SRJ262209:SRJ262228 TBF262209:TBF262228 TLB262209:TLB262228 TUX262209:TUX262228 UET262209:UET262228 UOP262209:UOP262228 UYL262209:UYL262228 VIH262209:VIH262228 VSD262209:VSD262228 WBZ262209:WBZ262228 WLV262209:WLV262228 WVR262209:WVR262228 J327745:J327764 JF327745:JF327764 TB327745:TB327764 ACX327745:ACX327764 AMT327745:AMT327764 AWP327745:AWP327764 BGL327745:BGL327764 BQH327745:BQH327764 CAD327745:CAD327764 CJZ327745:CJZ327764 CTV327745:CTV327764 DDR327745:DDR327764 DNN327745:DNN327764 DXJ327745:DXJ327764 EHF327745:EHF327764 ERB327745:ERB327764 FAX327745:FAX327764 FKT327745:FKT327764 FUP327745:FUP327764 GEL327745:GEL327764 GOH327745:GOH327764 GYD327745:GYD327764 HHZ327745:HHZ327764 HRV327745:HRV327764 IBR327745:IBR327764 ILN327745:ILN327764 IVJ327745:IVJ327764 JFF327745:JFF327764 JPB327745:JPB327764 JYX327745:JYX327764 KIT327745:KIT327764 KSP327745:KSP327764 LCL327745:LCL327764 LMH327745:LMH327764 LWD327745:LWD327764 MFZ327745:MFZ327764 MPV327745:MPV327764 MZR327745:MZR327764 NJN327745:NJN327764 NTJ327745:NTJ327764 ODF327745:ODF327764 ONB327745:ONB327764 OWX327745:OWX327764 PGT327745:PGT327764 PQP327745:PQP327764 QAL327745:QAL327764 QKH327745:QKH327764 QUD327745:QUD327764 RDZ327745:RDZ327764 RNV327745:RNV327764 RXR327745:RXR327764 SHN327745:SHN327764 SRJ327745:SRJ327764 TBF327745:TBF327764 TLB327745:TLB327764 TUX327745:TUX327764 UET327745:UET327764 UOP327745:UOP327764 UYL327745:UYL327764 VIH327745:VIH327764 VSD327745:VSD327764 WBZ327745:WBZ327764 WLV327745:WLV327764 WVR327745:WVR327764 J393281:J393300 JF393281:JF393300 TB393281:TB393300 ACX393281:ACX393300 AMT393281:AMT393300 AWP393281:AWP393300 BGL393281:BGL393300 BQH393281:BQH393300 CAD393281:CAD393300 CJZ393281:CJZ393300 CTV393281:CTV393300 DDR393281:DDR393300 DNN393281:DNN393300 DXJ393281:DXJ393300 EHF393281:EHF393300 ERB393281:ERB393300 FAX393281:FAX393300 FKT393281:FKT393300 FUP393281:FUP393300 GEL393281:GEL393300 GOH393281:GOH393300 GYD393281:GYD393300 HHZ393281:HHZ393300 HRV393281:HRV393300 IBR393281:IBR393300 ILN393281:ILN393300 IVJ393281:IVJ393300 JFF393281:JFF393300 JPB393281:JPB393300 JYX393281:JYX393300 KIT393281:KIT393300 KSP393281:KSP393300 LCL393281:LCL393300 LMH393281:LMH393300 LWD393281:LWD393300 MFZ393281:MFZ393300 MPV393281:MPV393300 MZR393281:MZR393300 NJN393281:NJN393300 NTJ393281:NTJ393300 ODF393281:ODF393300 ONB393281:ONB393300 OWX393281:OWX393300 PGT393281:PGT393300 PQP393281:PQP393300 QAL393281:QAL393300 QKH393281:QKH393300 QUD393281:QUD393300 RDZ393281:RDZ393300 RNV393281:RNV393300 RXR393281:RXR393300 SHN393281:SHN393300 SRJ393281:SRJ393300 TBF393281:TBF393300 TLB393281:TLB393300 TUX393281:TUX393300 UET393281:UET393300 UOP393281:UOP393300 UYL393281:UYL393300 VIH393281:VIH393300 VSD393281:VSD393300 WBZ393281:WBZ393300 WLV393281:WLV393300 WVR393281:WVR393300 J458817:J458836 JF458817:JF458836 TB458817:TB458836 ACX458817:ACX458836 AMT458817:AMT458836 AWP458817:AWP458836 BGL458817:BGL458836 BQH458817:BQH458836 CAD458817:CAD458836 CJZ458817:CJZ458836 CTV458817:CTV458836 DDR458817:DDR458836 DNN458817:DNN458836 DXJ458817:DXJ458836 EHF458817:EHF458836 ERB458817:ERB458836 FAX458817:FAX458836 FKT458817:FKT458836 FUP458817:FUP458836 GEL458817:GEL458836 GOH458817:GOH458836 GYD458817:GYD458836 HHZ458817:HHZ458836 HRV458817:HRV458836 IBR458817:IBR458836 ILN458817:ILN458836 IVJ458817:IVJ458836 JFF458817:JFF458836 JPB458817:JPB458836 JYX458817:JYX458836 KIT458817:KIT458836 KSP458817:KSP458836 LCL458817:LCL458836 LMH458817:LMH458836 LWD458817:LWD458836 MFZ458817:MFZ458836 MPV458817:MPV458836 MZR458817:MZR458836 NJN458817:NJN458836 NTJ458817:NTJ458836 ODF458817:ODF458836 ONB458817:ONB458836 OWX458817:OWX458836 PGT458817:PGT458836 PQP458817:PQP458836 QAL458817:QAL458836 QKH458817:QKH458836 QUD458817:QUD458836 RDZ458817:RDZ458836 RNV458817:RNV458836 RXR458817:RXR458836 SHN458817:SHN458836 SRJ458817:SRJ458836 TBF458817:TBF458836 TLB458817:TLB458836 TUX458817:TUX458836 UET458817:UET458836 UOP458817:UOP458836 UYL458817:UYL458836 VIH458817:VIH458836 VSD458817:VSD458836 WBZ458817:WBZ458836 WLV458817:WLV458836 WVR458817:WVR458836 J524353:J524372 JF524353:JF524372 TB524353:TB524372 ACX524353:ACX524372 AMT524353:AMT524372 AWP524353:AWP524372 BGL524353:BGL524372 BQH524353:BQH524372 CAD524353:CAD524372 CJZ524353:CJZ524372 CTV524353:CTV524372 DDR524353:DDR524372 DNN524353:DNN524372 DXJ524353:DXJ524372 EHF524353:EHF524372 ERB524353:ERB524372 FAX524353:FAX524372 FKT524353:FKT524372 FUP524353:FUP524372 GEL524353:GEL524372 GOH524353:GOH524372 GYD524353:GYD524372 HHZ524353:HHZ524372 HRV524353:HRV524372 IBR524353:IBR524372 ILN524353:ILN524372 IVJ524353:IVJ524372 JFF524353:JFF524372 JPB524353:JPB524372 JYX524353:JYX524372 KIT524353:KIT524372 KSP524353:KSP524372 LCL524353:LCL524372 LMH524353:LMH524372 LWD524353:LWD524372 MFZ524353:MFZ524372 MPV524353:MPV524372 MZR524353:MZR524372 NJN524353:NJN524372 NTJ524353:NTJ524372 ODF524353:ODF524372 ONB524353:ONB524372 OWX524353:OWX524372 PGT524353:PGT524372 PQP524353:PQP524372 QAL524353:QAL524372 QKH524353:QKH524372 QUD524353:QUD524372 RDZ524353:RDZ524372 RNV524353:RNV524372 RXR524353:RXR524372 SHN524353:SHN524372 SRJ524353:SRJ524372 TBF524353:TBF524372 TLB524353:TLB524372 TUX524353:TUX524372 UET524353:UET524372 UOP524353:UOP524372 UYL524353:UYL524372 VIH524353:VIH524372 VSD524353:VSD524372 WBZ524353:WBZ524372 WLV524353:WLV524372 WVR524353:WVR524372 J589889:J589908 JF589889:JF589908 TB589889:TB589908 ACX589889:ACX589908 AMT589889:AMT589908 AWP589889:AWP589908 BGL589889:BGL589908 BQH589889:BQH589908 CAD589889:CAD589908 CJZ589889:CJZ589908 CTV589889:CTV589908 DDR589889:DDR589908 DNN589889:DNN589908 DXJ589889:DXJ589908 EHF589889:EHF589908 ERB589889:ERB589908 FAX589889:FAX589908 FKT589889:FKT589908 FUP589889:FUP589908 GEL589889:GEL589908 GOH589889:GOH589908 GYD589889:GYD589908 HHZ589889:HHZ589908 HRV589889:HRV589908 IBR589889:IBR589908 ILN589889:ILN589908 IVJ589889:IVJ589908 JFF589889:JFF589908 JPB589889:JPB589908 JYX589889:JYX589908 KIT589889:KIT589908 KSP589889:KSP589908 LCL589889:LCL589908 LMH589889:LMH589908 LWD589889:LWD589908 MFZ589889:MFZ589908 MPV589889:MPV589908 MZR589889:MZR589908 NJN589889:NJN589908 NTJ589889:NTJ589908 ODF589889:ODF589908 ONB589889:ONB589908 OWX589889:OWX589908 PGT589889:PGT589908 PQP589889:PQP589908 QAL589889:QAL589908 QKH589889:QKH589908 QUD589889:QUD589908 RDZ589889:RDZ589908 RNV589889:RNV589908 RXR589889:RXR589908 SHN589889:SHN589908 SRJ589889:SRJ589908 TBF589889:TBF589908 TLB589889:TLB589908 TUX589889:TUX589908 UET589889:UET589908 UOP589889:UOP589908 UYL589889:UYL589908 VIH589889:VIH589908 VSD589889:VSD589908 WBZ589889:WBZ589908 WLV589889:WLV589908 WVR589889:WVR589908 J655425:J655444 JF655425:JF655444 TB655425:TB655444 ACX655425:ACX655444 AMT655425:AMT655444 AWP655425:AWP655444 BGL655425:BGL655444 BQH655425:BQH655444 CAD655425:CAD655444 CJZ655425:CJZ655444 CTV655425:CTV655444 DDR655425:DDR655444 DNN655425:DNN655444 DXJ655425:DXJ655444 EHF655425:EHF655444 ERB655425:ERB655444 FAX655425:FAX655444 FKT655425:FKT655444 FUP655425:FUP655444 GEL655425:GEL655444 GOH655425:GOH655444 GYD655425:GYD655444 HHZ655425:HHZ655444 HRV655425:HRV655444 IBR655425:IBR655444 ILN655425:ILN655444 IVJ655425:IVJ655444 JFF655425:JFF655444 JPB655425:JPB655444 JYX655425:JYX655444 KIT655425:KIT655444 KSP655425:KSP655444 LCL655425:LCL655444 LMH655425:LMH655444 LWD655425:LWD655444 MFZ655425:MFZ655444 MPV655425:MPV655444 MZR655425:MZR655444 NJN655425:NJN655444 NTJ655425:NTJ655444 ODF655425:ODF655444 ONB655425:ONB655444 OWX655425:OWX655444 PGT655425:PGT655444 PQP655425:PQP655444 QAL655425:QAL655444 QKH655425:QKH655444 QUD655425:QUD655444 RDZ655425:RDZ655444 RNV655425:RNV655444 RXR655425:RXR655444 SHN655425:SHN655444 SRJ655425:SRJ655444 TBF655425:TBF655444 TLB655425:TLB655444 TUX655425:TUX655444 UET655425:UET655444 UOP655425:UOP655444 UYL655425:UYL655444 VIH655425:VIH655444 VSD655425:VSD655444 WBZ655425:WBZ655444 WLV655425:WLV655444 WVR655425:WVR655444 J720961:J720980 JF720961:JF720980 TB720961:TB720980 ACX720961:ACX720980 AMT720961:AMT720980 AWP720961:AWP720980 BGL720961:BGL720980 BQH720961:BQH720980 CAD720961:CAD720980 CJZ720961:CJZ720980 CTV720961:CTV720980 DDR720961:DDR720980 DNN720961:DNN720980 DXJ720961:DXJ720980 EHF720961:EHF720980 ERB720961:ERB720980 FAX720961:FAX720980 FKT720961:FKT720980 FUP720961:FUP720980 GEL720961:GEL720980 GOH720961:GOH720980 GYD720961:GYD720980 HHZ720961:HHZ720980 HRV720961:HRV720980 IBR720961:IBR720980 ILN720961:ILN720980 IVJ720961:IVJ720980 JFF720961:JFF720980 JPB720961:JPB720980 JYX720961:JYX720980 KIT720961:KIT720980 KSP720961:KSP720980 LCL720961:LCL720980 LMH720961:LMH720980 LWD720961:LWD720980 MFZ720961:MFZ720980 MPV720961:MPV720980 MZR720961:MZR720980 NJN720961:NJN720980 NTJ720961:NTJ720980 ODF720961:ODF720980 ONB720961:ONB720980 OWX720961:OWX720980 PGT720961:PGT720980 PQP720961:PQP720980 QAL720961:QAL720980 QKH720961:QKH720980 QUD720961:QUD720980 RDZ720961:RDZ720980 RNV720961:RNV720980 RXR720961:RXR720980 SHN720961:SHN720980 SRJ720961:SRJ720980 TBF720961:TBF720980 TLB720961:TLB720980 TUX720961:TUX720980 UET720961:UET720980 UOP720961:UOP720980 UYL720961:UYL720980 VIH720961:VIH720980 VSD720961:VSD720980 WBZ720961:WBZ720980 WLV720961:WLV720980 WVR720961:WVR720980 J786497:J786516 JF786497:JF786516 TB786497:TB786516 ACX786497:ACX786516 AMT786497:AMT786516 AWP786497:AWP786516 BGL786497:BGL786516 BQH786497:BQH786516 CAD786497:CAD786516 CJZ786497:CJZ786516 CTV786497:CTV786516 DDR786497:DDR786516 DNN786497:DNN786516 DXJ786497:DXJ786516 EHF786497:EHF786516 ERB786497:ERB786516 FAX786497:FAX786516 FKT786497:FKT786516 FUP786497:FUP786516 GEL786497:GEL786516 GOH786497:GOH786516 GYD786497:GYD786516 HHZ786497:HHZ786516 HRV786497:HRV786516 IBR786497:IBR786516 ILN786497:ILN786516 IVJ786497:IVJ786516 JFF786497:JFF786516 JPB786497:JPB786516 JYX786497:JYX786516 KIT786497:KIT786516 KSP786497:KSP786516 LCL786497:LCL786516 LMH786497:LMH786516 LWD786497:LWD786516 MFZ786497:MFZ786516 MPV786497:MPV786516 MZR786497:MZR786516 NJN786497:NJN786516 NTJ786497:NTJ786516 ODF786497:ODF786516 ONB786497:ONB786516 OWX786497:OWX786516 PGT786497:PGT786516 PQP786497:PQP786516 QAL786497:QAL786516 QKH786497:QKH786516 QUD786497:QUD786516 RDZ786497:RDZ786516 RNV786497:RNV786516 RXR786497:RXR786516 SHN786497:SHN786516 SRJ786497:SRJ786516 TBF786497:TBF786516 TLB786497:TLB786516 TUX786497:TUX786516 UET786497:UET786516 UOP786497:UOP786516 UYL786497:UYL786516 VIH786497:VIH786516 VSD786497:VSD786516 WBZ786497:WBZ786516 WLV786497:WLV786516 WVR786497:WVR786516 J852033:J852052 JF852033:JF852052 TB852033:TB852052 ACX852033:ACX852052 AMT852033:AMT852052 AWP852033:AWP852052 BGL852033:BGL852052 BQH852033:BQH852052 CAD852033:CAD852052 CJZ852033:CJZ852052 CTV852033:CTV852052 DDR852033:DDR852052 DNN852033:DNN852052 DXJ852033:DXJ852052 EHF852033:EHF852052 ERB852033:ERB852052 FAX852033:FAX852052 FKT852033:FKT852052 FUP852033:FUP852052 GEL852033:GEL852052 GOH852033:GOH852052 GYD852033:GYD852052 HHZ852033:HHZ852052 HRV852033:HRV852052 IBR852033:IBR852052 ILN852033:ILN852052 IVJ852033:IVJ852052 JFF852033:JFF852052 JPB852033:JPB852052 JYX852033:JYX852052 KIT852033:KIT852052 KSP852033:KSP852052 LCL852033:LCL852052 LMH852033:LMH852052 LWD852033:LWD852052 MFZ852033:MFZ852052 MPV852033:MPV852052 MZR852033:MZR852052 NJN852033:NJN852052 NTJ852033:NTJ852052 ODF852033:ODF852052 ONB852033:ONB852052 OWX852033:OWX852052 PGT852033:PGT852052 PQP852033:PQP852052 QAL852033:QAL852052 QKH852033:QKH852052 QUD852033:QUD852052 RDZ852033:RDZ852052 RNV852033:RNV852052 RXR852033:RXR852052 SHN852033:SHN852052 SRJ852033:SRJ852052 TBF852033:TBF852052 TLB852033:TLB852052 TUX852033:TUX852052 UET852033:UET852052 UOP852033:UOP852052 UYL852033:UYL852052 VIH852033:VIH852052 VSD852033:VSD852052 WBZ852033:WBZ852052 WLV852033:WLV852052 WVR852033:WVR852052 J917569:J917588 JF917569:JF917588 TB917569:TB917588 ACX917569:ACX917588 AMT917569:AMT917588 AWP917569:AWP917588 BGL917569:BGL917588 BQH917569:BQH917588 CAD917569:CAD917588 CJZ917569:CJZ917588 CTV917569:CTV917588 DDR917569:DDR917588 DNN917569:DNN917588 DXJ917569:DXJ917588 EHF917569:EHF917588 ERB917569:ERB917588 FAX917569:FAX917588 FKT917569:FKT917588 FUP917569:FUP917588 GEL917569:GEL917588 GOH917569:GOH917588 GYD917569:GYD917588 HHZ917569:HHZ917588 HRV917569:HRV917588 IBR917569:IBR917588 ILN917569:ILN917588 IVJ917569:IVJ917588 JFF917569:JFF917588 JPB917569:JPB917588 JYX917569:JYX917588 KIT917569:KIT917588 KSP917569:KSP917588 LCL917569:LCL917588 LMH917569:LMH917588 LWD917569:LWD917588 MFZ917569:MFZ917588 MPV917569:MPV917588 MZR917569:MZR917588 NJN917569:NJN917588 NTJ917569:NTJ917588 ODF917569:ODF917588 ONB917569:ONB917588 OWX917569:OWX917588 PGT917569:PGT917588 PQP917569:PQP917588 QAL917569:QAL917588 QKH917569:QKH917588 QUD917569:QUD917588 RDZ917569:RDZ917588 RNV917569:RNV917588 RXR917569:RXR917588 SHN917569:SHN917588 SRJ917569:SRJ917588 TBF917569:TBF917588 TLB917569:TLB917588 TUX917569:TUX917588 UET917569:UET917588 UOP917569:UOP917588 UYL917569:UYL917588 VIH917569:VIH917588 VSD917569:VSD917588 WBZ917569:WBZ917588 WLV917569:WLV917588 WVR917569:WVR917588 J983105:J983124 JF983105:JF983124 TB983105:TB983124 ACX983105:ACX983124 AMT983105:AMT983124 AWP983105:AWP983124 BGL983105:BGL983124 BQH983105:BQH983124 CAD983105:CAD983124 CJZ983105:CJZ983124 CTV983105:CTV983124 DDR983105:DDR983124 DNN983105:DNN983124 DXJ983105:DXJ983124 EHF983105:EHF983124 ERB983105:ERB983124 FAX983105:FAX983124 FKT983105:FKT983124 FUP983105:FUP983124 GEL983105:GEL983124 GOH983105:GOH983124 GYD983105:GYD983124 HHZ983105:HHZ983124 HRV983105:HRV983124 IBR983105:IBR983124 ILN983105:ILN983124 IVJ983105:IVJ983124 JFF983105:JFF983124 JPB983105:JPB983124 JYX983105:JYX983124 KIT983105:KIT983124 KSP983105:KSP983124 LCL983105:LCL983124 LMH983105:LMH983124 LWD983105:LWD983124 MFZ983105:MFZ983124 MPV983105:MPV983124 MZR983105:MZR983124 NJN983105:NJN983124 NTJ983105:NTJ983124 ODF983105:ODF983124 ONB983105:ONB983124 OWX983105:OWX983124 PGT983105:PGT983124 PQP983105:PQP983124 QAL983105:QAL983124 QKH983105:QKH983124 QUD983105:QUD983124 RDZ983105:RDZ983124 RNV983105:RNV983124 RXR983105:RXR983124 SHN983105:SHN983124 SRJ983105:SRJ983124 TBF983105:TBF983124 TLB983105:TLB983124 TUX983105:TUX983124 UET983105:UET983124 UOP983105:UOP983124 UYL983105:UYL983124 VIH983105:VIH983124 VSD983105:VSD983124 WBZ983105:WBZ983124 WLV983105:WLV983124 WVR983105:WVR983124">
      <formula1>$S$3:$S$6</formula1>
    </dataValidation>
    <dataValidation type="list" allowBlank="1" showInputMessage="1" sqref="D49:D60 IZ49:IZ60 SV49:SV60 ACR49:ACR60 AMN49:AMN60 AWJ49:AWJ60 BGF49:BGF60 BQB49:BQB60 BZX49:BZX60 CJT49:CJT60 CTP49:CTP60 DDL49:DDL60 DNH49:DNH60 DXD49:DXD60 EGZ49:EGZ60 EQV49:EQV60 FAR49:FAR60 FKN49:FKN60 FUJ49:FUJ60 GEF49:GEF60 GOB49:GOB60 GXX49:GXX60 HHT49:HHT60 HRP49:HRP60 IBL49:IBL60 ILH49:ILH60 IVD49:IVD60 JEZ49:JEZ60 JOV49:JOV60 JYR49:JYR60 KIN49:KIN60 KSJ49:KSJ60 LCF49:LCF60 LMB49:LMB60 LVX49:LVX60 MFT49:MFT60 MPP49:MPP60 MZL49:MZL60 NJH49:NJH60 NTD49:NTD60 OCZ49:OCZ60 OMV49:OMV60 OWR49:OWR60 PGN49:PGN60 PQJ49:PQJ60 QAF49:QAF60 QKB49:QKB60 QTX49:QTX60 RDT49:RDT60 RNP49:RNP60 RXL49:RXL60 SHH49:SHH60 SRD49:SRD60 TAZ49:TAZ60 TKV49:TKV60 TUR49:TUR60 UEN49:UEN60 UOJ49:UOJ60 UYF49:UYF60 VIB49:VIB60 VRX49:VRX60 WBT49:WBT60 WLP49:WLP60 WVL49:WVL60 D65585:D65596 IZ65585:IZ65596 SV65585:SV65596 ACR65585:ACR65596 AMN65585:AMN65596 AWJ65585:AWJ65596 BGF65585:BGF65596 BQB65585:BQB65596 BZX65585:BZX65596 CJT65585:CJT65596 CTP65585:CTP65596 DDL65585:DDL65596 DNH65585:DNH65596 DXD65585:DXD65596 EGZ65585:EGZ65596 EQV65585:EQV65596 FAR65585:FAR65596 FKN65585:FKN65596 FUJ65585:FUJ65596 GEF65585:GEF65596 GOB65585:GOB65596 GXX65585:GXX65596 HHT65585:HHT65596 HRP65585:HRP65596 IBL65585:IBL65596 ILH65585:ILH65596 IVD65585:IVD65596 JEZ65585:JEZ65596 JOV65585:JOV65596 JYR65585:JYR65596 KIN65585:KIN65596 KSJ65585:KSJ65596 LCF65585:LCF65596 LMB65585:LMB65596 LVX65585:LVX65596 MFT65585:MFT65596 MPP65585:MPP65596 MZL65585:MZL65596 NJH65585:NJH65596 NTD65585:NTD65596 OCZ65585:OCZ65596 OMV65585:OMV65596 OWR65585:OWR65596 PGN65585:PGN65596 PQJ65585:PQJ65596 QAF65585:QAF65596 QKB65585:QKB65596 QTX65585:QTX65596 RDT65585:RDT65596 RNP65585:RNP65596 RXL65585:RXL65596 SHH65585:SHH65596 SRD65585:SRD65596 TAZ65585:TAZ65596 TKV65585:TKV65596 TUR65585:TUR65596 UEN65585:UEN65596 UOJ65585:UOJ65596 UYF65585:UYF65596 VIB65585:VIB65596 VRX65585:VRX65596 WBT65585:WBT65596 WLP65585:WLP65596 WVL65585:WVL65596 D131121:D131132 IZ131121:IZ131132 SV131121:SV131132 ACR131121:ACR131132 AMN131121:AMN131132 AWJ131121:AWJ131132 BGF131121:BGF131132 BQB131121:BQB131132 BZX131121:BZX131132 CJT131121:CJT131132 CTP131121:CTP131132 DDL131121:DDL131132 DNH131121:DNH131132 DXD131121:DXD131132 EGZ131121:EGZ131132 EQV131121:EQV131132 FAR131121:FAR131132 FKN131121:FKN131132 FUJ131121:FUJ131132 GEF131121:GEF131132 GOB131121:GOB131132 GXX131121:GXX131132 HHT131121:HHT131132 HRP131121:HRP131132 IBL131121:IBL131132 ILH131121:ILH131132 IVD131121:IVD131132 JEZ131121:JEZ131132 JOV131121:JOV131132 JYR131121:JYR131132 KIN131121:KIN131132 KSJ131121:KSJ131132 LCF131121:LCF131132 LMB131121:LMB131132 LVX131121:LVX131132 MFT131121:MFT131132 MPP131121:MPP131132 MZL131121:MZL131132 NJH131121:NJH131132 NTD131121:NTD131132 OCZ131121:OCZ131132 OMV131121:OMV131132 OWR131121:OWR131132 PGN131121:PGN131132 PQJ131121:PQJ131132 QAF131121:QAF131132 QKB131121:QKB131132 QTX131121:QTX131132 RDT131121:RDT131132 RNP131121:RNP131132 RXL131121:RXL131132 SHH131121:SHH131132 SRD131121:SRD131132 TAZ131121:TAZ131132 TKV131121:TKV131132 TUR131121:TUR131132 UEN131121:UEN131132 UOJ131121:UOJ131132 UYF131121:UYF131132 VIB131121:VIB131132 VRX131121:VRX131132 WBT131121:WBT131132 WLP131121:WLP131132 WVL131121:WVL131132 D196657:D196668 IZ196657:IZ196668 SV196657:SV196668 ACR196657:ACR196668 AMN196657:AMN196668 AWJ196657:AWJ196668 BGF196657:BGF196668 BQB196657:BQB196668 BZX196657:BZX196668 CJT196657:CJT196668 CTP196657:CTP196668 DDL196657:DDL196668 DNH196657:DNH196668 DXD196657:DXD196668 EGZ196657:EGZ196668 EQV196657:EQV196668 FAR196657:FAR196668 FKN196657:FKN196668 FUJ196657:FUJ196668 GEF196657:GEF196668 GOB196657:GOB196668 GXX196657:GXX196668 HHT196657:HHT196668 HRP196657:HRP196668 IBL196657:IBL196668 ILH196657:ILH196668 IVD196657:IVD196668 JEZ196657:JEZ196668 JOV196657:JOV196668 JYR196657:JYR196668 KIN196657:KIN196668 KSJ196657:KSJ196668 LCF196657:LCF196668 LMB196657:LMB196668 LVX196657:LVX196668 MFT196657:MFT196668 MPP196657:MPP196668 MZL196657:MZL196668 NJH196657:NJH196668 NTD196657:NTD196668 OCZ196657:OCZ196668 OMV196657:OMV196668 OWR196657:OWR196668 PGN196657:PGN196668 PQJ196657:PQJ196668 QAF196657:QAF196668 QKB196657:QKB196668 QTX196657:QTX196668 RDT196657:RDT196668 RNP196657:RNP196668 RXL196657:RXL196668 SHH196657:SHH196668 SRD196657:SRD196668 TAZ196657:TAZ196668 TKV196657:TKV196668 TUR196657:TUR196668 UEN196657:UEN196668 UOJ196657:UOJ196668 UYF196657:UYF196668 VIB196657:VIB196668 VRX196657:VRX196668 WBT196657:WBT196668 WLP196657:WLP196668 WVL196657:WVL196668 D262193:D262204 IZ262193:IZ262204 SV262193:SV262204 ACR262193:ACR262204 AMN262193:AMN262204 AWJ262193:AWJ262204 BGF262193:BGF262204 BQB262193:BQB262204 BZX262193:BZX262204 CJT262193:CJT262204 CTP262193:CTP262204 DDL262193:DDL262204 DNH262193:DNH262204 DXD262193:DXD262204 EGZ262193:EGZ262204 EQV262193:EQV262204 FAR262193:FAR262204 FKN262193:FKN262204 FUJ262193:FUJ262204 GEF262193:GEF262204 GOB262193:GOB262204 GXX262193:GXX262204 HHT262193:HHT262204 HRP262193:HRP262204 IBL262193:IBL262204 ILH262193:ILH262204 IVD262193:IVD262204 JEZ262193:JEZ262204 JOV262193:JOV262204 JYR262193:JYR262204 KIN262193:KIN262204 KSJ262193:KSJ262204 LCF262193:LCF262204 LMB262193:LMB262204 LVX262193:LVX262204 MFT262193:MFT262204 MPP262193:MPP262204 MZL262193:MZL262204 NJH262193:NJH262204 NTD262193:NTD262204 OCZ262193:OCZ262204 OMV262193:OMV262204 OWR262193:OWR262204 PGN262193:PGN262204 PQJ262193:PQJ262204 QAF262193:QAF262204 QKB262193:QKB262204 QTX262193:QTX262204 RDT262193:RDT262204 RNP262193:RNP262204 RXL262193:RXL262204 SHH262193:SHH262204 SRD262193:SRD262204 TAZ262193:TAZ262204 TKV262193:TKV262204 TUR262193:TUR262204 UEN262193:UEN262204 UOJ262193:UOJ262204 UYF262193:UYF262204 VIB262193:VIB262204 VRX262193:VRX262204 WBT262193:WBT262204 WLP262193:WLP262204 WVL262193:WVL262204 D327729:D327740 IZ327729:IZ327740 SV327729:SV327740 ACR327729:ACR327740 AMN327729:AMN327740 AWJ327729:AWJ327740 BGF327729:BGF327740 BQB327729:BQB327740 BZX327729:BZX327740 CJT327729:CJT327740 CTP327729:CTP327740 DDL327729:DDL327740 DNH327729:DNH327740 DXD327729:DXD327740 EGZ327729:EGZ327740 EQV327729:EQV327740 FAR327729:FAR327740 FKN327729:FKN327740 FUJ327729:FUJ327740 GEF327729:GEF327740 GOB327729:GOB327740 GXX327729:GXX327740 HHT327729:HHT327740 HRP327729:HRP327740 IBL327729:IBL327740 ILH327729:ILH327740 IVD327729:IVD327740 JEZ327729:JEZ327740 JOV327729:JOV327740 JYR327729:JYR327740 KIN327729:KIN327740 KSJ327729:KSJ327740 LCF327729:LCF327740 LMB327729:LMB327740 LVX327729:LVX327740 MFT327729:MFT327740 MPP327729:MPP327740 MZL327729:MZL327740 NJH327729:NJH327740 NTD327729:NTD327740 OCZ327729:OCZ327740 OMV327729:OMV327740 OWR327729:OWR327740 PGN327729:PGN327740 PQJ327729:PQJ327740 QAF327729:QAF327740 QKB327729:QKB327740 QTX327729:QTX327740 RDT327729:RDT327740 RNP327729:RNP327740 RXL327729:RXL327740 SHH327729:SHH327740 SRD327729:SRD327740 TAZ327729:TAZ327740 TKV327729:TKV327740 TUR327729:TUR327740 UEN327729:UEN327740 UOJ327729:UOJ327740 UYF327729:UYF327740 VIB327729:VIB327740 VRX327729:VRX327740 WBT327729:WBT327740 WLP327729:WLP327740 WVL327729:WVL327740 D393265:D393276 IZ393265:IZ393276 SV393265:SV393276 ACR393265:ACR393276 AMN393265:AMN393276 AWJ393265:AWJ393276 BGF393265:BGF393276 BQB393265:BQB393276 BZX393265:BZX393276 CJT393265:CJT393276 CTP393265:CTP393276 DDL393265:DDL393276 DNH393265:DNH393276 DXD393265:DXD393276 EGZ393265:EGZ393276 EQV393265:EQV393276 FAR393265:FAR393276 FKN393265:FKN393276 FUJ393265:FUJ393276 GEF393265:GEF393276 GOB393265:GOB393276 GXX393265:GXX393276 HHT393265:HHT393276 HRP393265:HRP393276 IBL393265:IBL393276 ILH393265:ILH393276 IVD393265:IVD393276 JEZ393265:JEZ393276 JOV393265:JOV393276 JYR393265:JYR393276 KIN393265:KIN393276 KSJ393265:KSJ393276 LCF393265:LCF393276 LMB393265:LMB393276 LVX393265:LVX393276 MFT393265:MFT393276 MPP393265:MPP393276 MZL393265:MZL393276 NJH393265:NJH393276 NTD393265:NTD393276 OCZ393265:OCZ393276 OMV393265:OMV393276 OWR393265:OWR393276 PGN393265:PGN393276 PQJ393265:PQJ393276 QAF393265:QAF393276 QKB393265:QKB393276 QTX393265:QTX393276 RDT393265:RDT393276 RNP393265:RNP393276 RXL393265:RXL393276 SHH393265:SHH393276 SRD393265:SRD393276 TAZ393265:TAZ393276 TKV393265:TKV393276 TUR393265:TUR393276 UEN393265:UEN393276 UOJ393265:UOJ393276 UYF393265:UYF393276 VIB393265:VIB393276 VRX393265:VRX393276 WBT393265:WBT393276 WLP393265:WLP393276 WVL393265:WVL393276 D458801:D458812 IZ458801:IZ458812 SV458801:SV458812 ACR458801:ACR458812 AMN458801:AMN458812 AWJ458801:AWJ458812 BGF458801:BGF458812 BQB458801:BQB458812 BZX458801:BZX458812 CJT458801:CJT458812 CTP458801:CTP458812 DDL458801:DDL458812 DNH458801:DNH458812 DXD458801:DXD458812 EGZ458801:EGZ458812 EQV458801:EQV458812 FAR458801:FAR458812 FKN458801:FKN458812 FUJ458801:FUJ458812 GEF458801:GEF458812 GOB458801:GOB458812 GXX458801:GXX458812 HHT458801:HHT458812 HRP458801:HRP458812 IBL458801:IBL458812 ILH458801:ILH458812 IVD458801:IVD458812 JEZ458801:JEZ458812 JOV458801:JOV458812 JYR458801:JYR458812 KIN458801:KIN458812 KSJ458801:KSJ458812 LCF458801:LCF458812 LMB458801:LMB458812 LVX458801:LVX458812 MFT458801:MFT458812 MPP458801:MPP458812 MZL458801:MZL458812 NJH458801:NJH458812 NTD458801:NTD458812 OCZ458801:OCZ458812 OMV458801:OMV458812 OWR458801:OWR458812 PGN458801:PGN458812 PQJ458801:PQJ458812 QAF458801:QAF458812 QKB458801:QKB458812 QTX458801:QTX458812 RDT458801:RDT458812 RNP458801:RNP458812 RXL458801:RXL458812 SHH458801:SHH458812 SRD458801:SRD458812 TAZ458801:TAZ458812 TKV458801:TKV458812 TUR458801:TUR458812 UEN458801:UEN458812 UOJ458801:UOJ458812 UYF458801:UYF458812 VIB458801:VIB458812 VRX458801:VRX458812 WBT458801:WBT458812 WLP458801:WLP458812 WVL458801:WVL458812 D524337:D524348 IZ524337:IZ524348 SV524337:SV524348 ACR524337:ACR524348 AMN524337:AMN524348 AWJ524337:AWJ524348 BGF524337:BGF524348 BQB524337:BQB524348 BZX524337:BZX524348 CJT524337:CJT524348 CTP524337:CTP524348 DDL524337:DDL524348 DNH524337:DNH524348 DXD524337:DXD524348 EGZ524337:EGZ524348 EQV524337:EQV524348 FAR524337:FAR524348 FKN524337:FKN524348 FUJ524337:FUJ524348 GEF524337:GEF524348 GOB524337:GOB524348 GXX524337:GXX524348 HHT524337:HHT524348 HRP524337:HRP524348 IBL524337:IBL524348 ILH524337:ILH524348 IVD524337:IVD524348 JEZ524337:JEZ524348 JOV524337:JOV524348 JYR524337:JYR524348 KIN524337:KIN524348 KSJ524337:KSJ524348 LCF524337:LCF524348 LMB524337:LMB524348 LVX524337:LVX524348 MFT524337:MFT524348 MPP524337:MPP524348 MZL524337:MZL524348 NJH524337:NJH524348 NTD524337:NTD524348 OCZ524337:OCZ524348 OMV524337:OMV524348 OWR524337:OWR524348 PGN524337:PGN524348 PQJ524337:PQJ524348 QAF524337:QAF524348 QKB524337:QKB524348 QTX524337:QTX524348 RDT524337:RDT524348 RNP524337:RNP524348 RXL524337:RXL524348 SHH524337:SHH524348 SRD524337:SRD524348 TAZ524337:TAZ524348 TKV524337:TKV524348 TUR524337:TUR524348 UEN524337:UEN524348 UOJ524337:UOJ524348 UYF524337:UYF524348 VIB524337:VIB524348 VRX524337:VRX524348 WBT524337:WBT524348 WLP524337:WLP524348 WVL524337:WVL524348 D589873:D589884 IZ589873:IZ589884 SV589873:SV589884 ACR589873:ACR589884 AMN589873:AMN589884 AWJ589873:AWJ589884 BGF589873:BGF589884 BQB589873:BQB589884 BZX589873:BZX589884 CJT589873:CJT589884 CTP589873:CTP589884 DDL589873:DDL589884 DNH589873:DNH589884 DXD589873:DXD589884 EGZ589873:EGZ589884 EQV589873:EQV589884 FAR589873:FAR589884 FKN589873:FKN589884 FUJ589873:FUJ589884 GEF589873:GEF589884 GOB589873:GOB589884 GXX589873:GXX589884 HHT589873:HHT589884 HRP589873:HRP589884 IBL589873:IBL589884 ILH589873:ILH589884 IVD589873:IVD589884 JEZ589873:JEZ589884 JOV589873:JOV589884 JYR589873:JYR589884 KIN589873:KIN589884 KSJ589873:KSJ589884 LCF589873:LCF589884 LMB589873:LMB589884 LVX589873:LVX589884 MFT589873:MFT589884 MPP589873:MPP589884 MZL589873:MZL589884 NJH589873:NJH589884 NTD589873:NTD589884 OCZ589873:OCZ589884 OMV589873:OMV589884 OWR589873:OWR589884 PGN589873:PGN589884 PQJ589873:PQJ589884 QAF589873:QAF589884 QKB589873:QKB589884 QTX589873:QTX589884 RDT589873:RDT589884 RNP589873:RNP589884 RXL589873:RXL589884 SHH589873:SHH589884 SRD589873:SRD589884 TAZ589873:TAZ589884 TKV589873:TKV589884 TUR589873:TUR589884 UEN589873:UEN589884 UOJ589873:UOJ589884 UYF589873:UYF589884 VIB589873:VIB589884 VRX589873:VRX589884 WBT589873:WBT589884 WLP589873:WLP589884 WVL589873:WVL589884 D655409:D655420 IZ655409:IZ655420 SV655409:SV655420 ACR655409:ACR655420 AMN655409:AMN655420 AWJ655409:AWJ655420 BGF655409:BGF655420 BQB655409:BQB655420 BZX655409:BZX655420 CJT655409:CJT655420 CTP655409:CTP655420 DDL655409:DDL655420 DNH655409:DNH655420 DXD655409:DXD655420 EGZ655409:EGZ655420 EQV655409:EQV655420 FAR655409:FAR655420 FKN655409:FKN655420 FUJ655409:FUJ655420 GEF655409:GEF655420 GOB655409:GOB655420 GXX655409:GXX655420 HHT655409:HHT655420 HRP655409:HRP655420 IBL655409:IBL655420 ILH655409:ILH655420 IVD655409:IVD655420 JEZ655409:JEZ655420 JOV655409:JOV655420 JYR655409:JYR655420 KIN655409:KIN655420 KSJ655409:KSJ655420 LCF655409:LCF655420 LMB655409:LMB655420 LVX655409:LVX655420 MFT655409:MFT655420 MPP655409:MPP655420 MZL655409:MZL655420 NJH655409:NJH655420 NTD655409:NTD655420 OCZ655409:OCZ655420 OMV655409:OMV655420 OWR655409:OWR655420 PGN655409:PGN655420 PQJ655409:PQJ655420 QAF655409:QAF655420 QKB655409:QKB655420 QTX655409:QTX655420 RDT655409:RDT655420 RNP655409:RNP655420 RXL655409:RXL655420 SHH655409:SHH655420 SRD655409:SRD655420 TAZ655409:TAZ655420 TKV655409:TKV655420 TUR655409:TUR655420 UEN655409:UEN655420 UOJ655409:UOJ655420 UYF655409:UYF655420 VIB655409:VIB655420 VRX655409:VRX655420 WBT655409:WBT655420 WLP655409:WLP655420 WVL655409:WVL655420 D720945:D720956 IZ720945:IZ720956 SV720945:SV720956 ACR720945:ACR720956 AMN720945:AMN720956 AWJ720945:AWJ720956 BGF720945:BGF720956 BQB720945:BQB720956 BZX720945:BZX720956 CJT720945:CJT720956 CTP720945:CTP720956 DDL720945:DDL720956 DNH720945:DNH720956 DXD720945:DXD720956 EGZ720945:EGZ720956 EQV720945:EQV720956 FAR720945:FAR720956 FKN720945:FKN720956 FUJ720945:FUJ720956 GEF720945:GEF720956 GOB720945:GOB720956 GXX720945:GXX720956 HHT720945:HHT720956 HRP720945:HRP720956 IBL720945:IBL720956 ILH720945:ILH720956 IVD720945:IVD720956 JEZ720945:JEZ720956 JOV720945:JOV720956 JYR720945:JYR720956 KIN720945:KIN720956 KSJ720945:KSJ720956 LCF720945:LCF720956 LMB720945:LMB720956 LVX720945:LVX720956 MFT720945:MFT720956 MPP720945:MPP720956 MZL720945:MZL720956 NJH720945:NJH720956 NTD720945:NTD720956 OCZ720945:OCZ720956 OMV720945:OMV720956 OWR720945:OWR720956 PGN720945:PGN720956 PQJ720945:PQJ720956 QAF720945:QAF720956 QKB720945:QKB720956 QTX720945:QTX720956 RDT720945:RDT720956 RNP720945:RNP720956 RXL720945:RXL720956 SHH720945:SHH720956 SRD720945:SRD720956 TAZ720945:TAZ720956 TKV720945:TKV720956 TUR720945:TUR720956 UEN720945:UEN720956 UOJ720945:UOJ720956 UYF720945:UYF720956 VIB720945:VIB720956 VRX720945:VRX720956 WBT720945:WBT720956 WLP720945:WLP720956 WVL720945:WVL720956 D786481:D786492 IZ786481:IZ786492 SV786481:SV786492 ACR786481:ACR786492 AMN786481:AMN786492 AWJ786481:AWJ786492 BGF786481:BGF786492 BQB786481:BQB786492 BZX786481:BZX786492 CJT786481:CJT786492 CTP786481:CTP786492 DDL786481:DDL786492 DNH786481:DNH786492 DXD786481:DXD786492 EGZ786481:EGZ786492 EQV786481:EQV786492 FAR786481:FAR786492 FKN786481:FKN786492 FUJ786481:FUJ786492 GEF786481:GEF786492 GOB786481:GOB786492 GXX786481:GXX786492 HHT786481:HHT786492 HRP786481:HRP786492 IBL786481:IBL786492 ILH786481:ILH786492 IVD786481:IVD786492 JEZ786481:JEZ786492 JOV786481:JOV786492 JYR786481:JYR786492 KIN786481:KIN786492 KSJ786481:KSJ786492 LCF786481:LCF786492 LMB786481:LMB786492 LVX786481:LVX786492 MFT786481:MFT786492 MPP786481:MPP786492 MZL786481:MZL786492 NJH786481:NJH786492 NTD786481:NTD786492 OCZ786481:OCZ786492 OMV786481:OMV786492 OWR786481:OWR786492 PGN786481:PGN786492 PQJ786481:PQJ786492 QAF786481:QAF786492 QKB786481:QKB786492 QTX786481:QTX786492 RDT786481:RDT786492 RNP786481:RNP786492 RXL786481:RXL786492 SHH786481:SHH786492 SRD786481:SRD786492 TAZ786481:TAZ786492 TKV786481:TKV786492 TUR786481:TUR786492 UEN786481:UEN786492 UOJ786481:UOJ786492 UYF786481:UYF786492 VIB786481:VIB786492 VRX786481:VRX786492 WBT786481:WBT786492 WLP786481:WLP786492 WVL786481:WVL786492 D852017:D852028 IZ852017:IZ852028 SV852017:SV852028 ACR852017:ACR852028 AMN852017:AMN852028 AWJ852017:AWJ852028 BGF852017:BGF852028 BQB852017:BQB852028 BZX852017:BZX852028 CJT852017:CJT852028 CTP852017:CTP852028 DDL852017:DDL852028 DNH852017:DNH852028 DXD852017:DXD852028 EGZ852017:EGZ852028 EQV852017:EQV852028 FAR852017:FAR852028 FKN852017:FKN852028 FUJ852017:FUJ852028 GEF852017:GEF852028 GOB852017:GOB852028 GXX852017:GXX852028 HHT852017:HHT852028 HRP852017:HRP852028 IBL852017:IBL852028 ILH852017:ILH852028 IVD852017:IVD852028 JEZ852017:JEZ852028 JOV852017:JOV852028 JYR852017:JYR852028 KIN852017:KIN852028 KSJ852017:KSJ852028 LCF852017:LCF852028 LMB852017:LMB852028 LVX852017:LVX852028 MFT852017:MFT852028 MPP852017:MPP852028 MZL852017:MZL852028 NJH852017:NJH852028 NTD852017:NTD852028 OCZ852017:OCZ852028 OMV852017:OMV852028 OWR852017:OWR852028 PGN852017:PGN852028 PQJ852017:PQJ852028 QAF852017:QAF852028 QKB852017:QKB852028 QTX852017:QTX852028 RDT852017:RDT852028 RNP852017:RNP852028 RXL852017:RXL852028 SHH852017:SHH852028 SRD852017:SRD852028 TAZ852017:TAZ852028 TKV852017:TKV852028 TUR852017:TUR852028 UEN852017:UEN852028 UOJ852017:UOJ852028 UYF852017:UYF852028 VIB852017:VIB852028 VRX852017:VRX852028 WBT852017:WBT852028 WLP852017:WLP852028 WVL852017:WVL852028 D917553:D917564 IZ917553:IZ917564 SV917553:SV917564 ACR917553:ACR917564 AMN917553:AMN917564 AWJ917553:AWJ917564 BGF917553:BGF917564 BQB917553:BQB917564 BZX917553:BZX917564 CJT917553:CJT917564 CTP917553:CTP917564 DDL917553:DDL917564 DNH917553:DNH917564 DXD917553:DXD917564 EGZ917553:EGZ917564 EQV917553:EQV917564 FAR917553:FAR917564 FKN917553:FKN917564 FUJ917553:FUJ917564 GEF917553:GEF917564 GOB917553:GOB917564 GXX917553:GXX917564 HHT917553:HHT917564 HRP917553:HRP917564 IBL917553:IBL917564 ILH917553:ILH917564 IVD917553:IVD917564 JEZ917553:JEZ917564 JOV917553:JOV917564 JYR917553:JYR917564 KIN917553:KIN917564 KSJ917553:KSJ917564 LCF917553:LCF917564 LMB917553:LMB917564 LVX917553:LVX917564 MFT917553:MFT917564 MPP917553:MPP917564 MZL917553:MZL917564 NJH917553:NJH917564 NTD917553:NTD917564 OCZ917553:OCZ917564 OMV917553:OMV917564 OWR917553:OWR917564 PGN917553:PGN917564 PQJ917553:PQJ917564 QAF917553:QAF917564 QKB917553:QKB917564 QTX917553:QTX917564 RDT917553:RDT917564 RNP917553:RNP917564 RXL917553:RXL917564 SHH917553:SHH917564 SRD917553:SRD917564 TAZ917553:TAZ917564 TKV917553:TKV917564 TUR917553:TUR917564 UEN917553:UEN917564 UOJ917553:UOJ917564 UYF917553:UYF917564 VIB917553:VIB917564 VRX917553:VRX917564 WBT917553:WBT917564 WLP917553:WLP917564 WVL917553:WVL917564 D983089:D983100 IZ983089:IZ983100 SV983089:SV983100 ACR983089:ACR983100 AMN983089:AMN983100 AWJ983089:AWJ983100 BGF983089:BGF983100 BQB983089:BQB983100 BZX983089:BZX983100 CJT983089:CJT983100 CTP983089:CTP983100 DDL983089:DDL983100 DNH983089:DNH983100 DXD983089:DXD983100 EGZ983089:EGZ983100 EQV983089:EQV983100 FAR983089:FAR983100 FKN983089:FKN983100 FUJ983089:FUJ983100 GEF983089:GEF983100 GOB983089:GOB983100 GXX983089:GXX983100 HHT983089:HHT983100 HRP983089:HRP983100 IBL983089:IBL983100 ILH983089:ILH983100 IVD983089:IVD983100 JEZ983089:JEZ983100 JOV983089:JOV983100 JYR983089:JYR983100 KIN983089:KIN983100 KSJ983089:KSJ983100 LCF983089:LCF983100 LMB983089:LMB983100 LVX983089:LVX983100 MFT983089:MFT983100 MPP983089:MPP983100 MZL983089:MZL983100 NJH983089:NJH983100 NTD983089:NTD983100 OCZ983089:OCZ983100 OMV983089:OMV983100 OWR983089:OWR983100 PGN983089:PGN983100 PQJ983089:PQJ983100 QAF983089:QAF983100 QKB983089:QKB983100 QTX983089:QTX983100 RDT983089:RDT983100 RNP983089:RNP983100 RXL983089:RXL983100 SHH983089:SHH983100 SRD983089:SRD983100 TAZ983089:TAZ983100 TKV983089:TKV983100 TUR983089:TUR983100 UEN983089:UEN983100 UOJ983089:UOJ983100 UYF983089:UYF983100 VIB983089:VIB983100 VRX983089:VRX983100 WBT983089:WBT983100 WLP983089:WLP983100 WVL983089:WVL983100">
      <formula1>$S$3:$S$6</formula1>
    </dataValidation>
    <dataValidation type="list" allowBlank="1" showInputMessage="1" showErrorMessage="1" sqref="K3:K6 JG3:JG6 TC3:TC6 ACY3:ACY6 AMU3:AMU6 AWQ3:AWQ6 BGM3:BGM6 BQI3:BQI6 CAE3:CAE6 CKA3:CKA6 CTW3:CTW6 DDS3:DDS6 DNO3:DNO6 DXK3:DXK6 EHG3:EHG6 ERC3:ERC6 FAY3:FAY6 FKU3:FKU6 FUQ3:FUQ6 GEM3:GEM6 GOI3:GOI6 GYE3:GYE6 HIA3:HIA6 HRW3:HRW6 IBS3:IBS6 ILO3:ILO6 IVK3:IVK6 JFG3:JFG6 JPC3:JPC6 JYY3:JYY6 KIU3:KIU6 KSQ3:KSQ6 LCM3:LCM6 LMI3:LMI6 LWE3:LWE6 MGA3:MGA6 MPW3:MPW6 MZS3:MZS6 NJO3:NJO6 NTK3:NTK6 ODG3:ODG6 ONC3:ONC6 OWY3:OWY6 PGU3:PGU6 PQQ3:PQQ6 QAM3:QAM6 QKI3:QKI6 QUE3:QUE6 REA3:REA6 RNW3:RNW6 RXS3:RXS6 SHO3:SHO6 SRK3:SRK6 TBG3:TBG6 TLC3:TLC6 TUY3:TUY6 UEU3:UEU6 UOQ3:UOQ6 UYM3:UYM6 VII3:VII6 VSE3:VSE6 WCA3:WCA6 WLW3:WLW6 WVS3:WVS6 K65539:K65542 JG65539:JG65542 TC65539:TC65542 ACY65539:ACY65542 AMU65539:AMU65542 AWQ65539:AWQ65542 BGM65539:BGM65542 BQI65539:BQI65542 CAE65539:CAE65542 CKA65539:CKA65542 CTW65539:CTW65542 DDS65539:DDS65542 DNO65539:DNO65542 DXK65539:DXK65542 EHG65539:EHG65542 ERC65539:ERC65542 FAY65539:FAY65542 FKU65539:FKU65542 FUQ65539:FUQ65542 GEM65539:GEM65542 GOI65539:GOI65542 GYE65539:GYE65542 HIA65539:HIA65542 HRW65539:HRW65542 IBS65539:IBS65542 ILO65539:ILO65542 IVK65539:IVK65542 JFG65539:JFG65542 JPC65539:JPC65542 JYY65539:JYY65542 KIU65539:KIU65542 KSQ65539:KSQ65542 LCM65539:LCM65542 LMI65539:LMI65542 LWE65539:LWE65542 MGA65539:MGA65542 MPW65539:MPW65542 MZS65539:MZS65542 NJO65539:NJO65542 NTK65539:NTK65542 ODG65539:ODG65542 ONC65539:ONC65542 OWY65539:OWY65542 PGU65539:PGU65542 PQQ65539:PQQ65542 QAM65539:QAM65542 QKI65539:QKI65542 QUE65539:QUE65542 REA65539:REA65542 RNW65539:RNW65542 RXS65539:RXS65542 SHO65539:SHO65542 SRK65539:SRK65542 TBG65539:TBG65542 TLC65539:TLC65542 TUY65539:TUY65542 UEU65539:UEU65542 UOQ65539:UOQ65542 UYM65539:UYM65542 VII65539:VII65542 VSE65539:VSE65542 WCA65539:WCA65542 WLW65539:WLW65542 WVS65539:WVS65542 K131075:K131078 JG131075:JG131078 TC131075:TC131078 ACY131075:ACY131078 AMU131075:AMU131078 AWQ131075:AWQ131078 BGM131075:BGM131078 BQI131075:BQI131078 CAE131075:CAE131078 CKA131075:CKA131078 CTW131075:CTW131078 DDS131075:DDS131078 DNO131075:DNO131078 DXK131075:DXK131078 EHG131075:EHG131078 ERC131075:ERC131078 FAY131075:FAY131078 FKU131075:FKU131078 FUQ131075:FUQ131078 GEM131075:GEM131078 GOI131075:GOI131078 GYE131075:GYE131078 HIA131075:HIA131078 HRW131075:HRW131078 IBS131075:IBS131078 ILO131075:ILO131078 IVK131075:IVK131078 JFG131075:JFG131078 JPC131075:JPC131078 JYY131075:JYY131078 KIU131075:KIU131078 KSQ131075:KSQ131078 LCM131075:LCM131078 LMI131075:LMI131078 LWE131075:LWE131078 MGA131075:MGA131078 MPW131075:MPW131078 MZS131075:MZS131078 NJO131075:NJO131078 NTK131075:NTK131078 ODG131075:ODG131078 ONC131075:ONC131078 OWY131075:OWY131078 PGU131075:PGU131078 PQQ131075:PQQ131078 QAM131075:QAM131078 QKI131075:QKI131078 QUE131075:QUE131078 REA131075:REA131078 RNW131075:RNW131078 RXS131075:RXS131078 SHO131075:SHO131078 SRK131075:SRK131078 TBG131075:TBG131078 TLC131075:TLC131078 TUY131075:TUY131078 UEU131075:UEU131078 UOQ131075:UOQ131078 UYM131075:UYM131078 VII131075:VII131078 VSE131075:VSE131078 WCA131075:WCA131078 WLW131075:WLW131078 WVS131075:WVS131078 K196611:K196614 JG196611:JG196614 TC196611:TC196614 ACY196611:ACY196614 AMU196611:AMU196614 AWQ196611:AWQ196614 BGM196611:BGM196614 BQI196611:BQI196614 CAE196611:CAE196614 CKA196611:CKA196614 CTW196611:CTW196614 DDS196611:DDS196614 DNO196611:DNO196614 DXK196611:DXK196614 EHG196611:EHG196614 ERC196611:ERC196614 FAY196611:FAY196614 FKU196611:FKU196614 FUQ196611:FUQ196614 GEM196611:GEM196614 GOI196611:GOI196614 GYE196611:GYE196614 HIA196611:HIA196614 HRW196611:HRW196614 IBS196611:IBS196614 ILO196611:ILO196614 IVK196611:IVK196614 JFG196611:JFG196614 JPC196611:JPC196614 JYY196611:JYY196614 KIU196611:KIU196614 KSQ196611:KSQ196614 LCM196611:LCM196614 LMI196611:LMI196614 LWE196611:LWE196614 MGA196611:MGA196614 MPW196611:MPW196614 MZS196611:MZS196614 NJO196611:NJO196614 NTK196611:NTK196614 ODG196611:ODG196614 ONC196611:ONC196614 OWY196611:OWY196614 PGU196611:PGU196614 PQQ196611:PQQ196614 QAM196611:QAM196614 QKI196611:QKI196614 QUE196611:QUE196614 REA196611:REA196614 RNW196611:RNW196614 RXS196611:RXS196614 SHO196611:SHO196614 SRK196611:SRK196614 TBG196611:TBG196614 TLC196611:TLC196614 TUY196611:TUY196614 UEU196611:UEU196614 UOQ196611:UOQ196614 UYM196611:UYM196614 VII196611:VII196614 VSE196611:VSE196614 WCA196611:WCA196614 WLW196611:WLW196614 WVS196611:WVS196614 K262147:K262150 JG262147:JG262150 TC262147:TC262150 ACY262147:ACY262150 AMU262147:AMU262150 AWQ262147:AWQ262150 BGM262147:BGM262150 BQI262147:BQI262150 CAE262147:CAE262150 CKA262147:CKA262150 CTW262147:CTW262150 DDS262147:DDS262150 DNO262147:DNO262150 DXK262147:DXK262150 EHG262147:EHG262150 ERC262147:ERC262150 FAY262147:FAY262150 FKU262147:FKU262150 FUQ262147:FUQ262150 GEM262147:GEM262150 GOI262147:GOI262150 GYE262147:GYE262150 HIA262147:HIA262150 HRW262147:HRW262150 IBS262147:IBS262150 ILO262147:ILO262150 IVK262147:IVK262150 JFG262147:JFG262150 JPC262147:JPC262150 JYY262147:JYY262150 KIU262147:KIU262150 KSQ262147:KSQ262150 LCM262147:LCM262150 LMI262147:LMI262150 LWE262147:LWE262150 MGA262147:MGA262150 MPW262147:MPW262150 MZS262147:MZS262150 NJO262147:NJO262150 NTK262147:NTK262150 ODG262147:ODG262150 ONC262147:ONC262150 OWY262147:OWY262150 PGU262147:PGU262150 PQQ262147:PQQ262150 QAM262147:QAM262150 QKI262147:QKI262150 QUE262147:QUE262150 REA262147:REA262150 RNW262147:RNW262150 RXS262147:RXS262150 SHO262147:SHO262150 SRK262147:SRK262150 TBG262147:TBG262150 TLC262147:TLC262150 TUY262147:TUY262150 UEU262147:UEU262150 UOQ262147:UOQ262150 UYM262147:UYM262150 VII262147:VII262150 VSE262147:VSE262150 WCA262147:WCA262150 WLW262147:WLW262150 WVS262147:WVS262150 K327683:K327686 JG327683:JG327686 TC327683:TC327686 ACY327683:ACY327686 AMU327683:AMU327686 AWQ327683:AWQ327686 BGM327683:BGM327686 BQI327683:BQI327686 CAE327683:CAE327686 CKA327683:CKA327686 CTW327683:CTW327686 DDS327683:DDS327686 DNO327683:DNO327686 DXK327683:DXK327686 EHG327683:EHG327686 ERC327683:ERC327686 FAY327683:FAY327686 FKU327683:FKU327686 FUQ327683:FUQ327686 GEM327683:GEM327686 GOI327683:GOI327686 GYE327683:GYE327686 HIA327683:HIA327686 HRW327683:HRW327686 IBS327683:IBS327686 ILO327683:ILO327686 IVK327683:IVK327686 JFG327683:JFG327686 JPC327683:JPC327686 JYY327683:JYY327686 KIU327683:KIU327686 KSQ327683:KSQ327686 LCM327683:LCM327686 LMI327683:LMI327686 LWE327683:LWE327686 MGA327683:MGA327686 MPW327683:MPW327686 MZS327683:MZS327686 NJO327683:NJO327686 NTK327683:NTK327686 ODG327683:ODG327686 ONC327683:ONC327686 OWY327683:OWY327686 PGU327683:PGU327686 PQQ327683:PQQ327686 QAM327683:QAM327686 QKI327683:QKI327686 QUE327683:QUE327686 REA327683:REA327686 RNW327683:RNW327686 RXS327683:RXS327686 SHO327683:SHO327686 SRK327683:SRK327686 TBG327683:TBG327686 TLC327683:TLC327686 TUY327683:TUY327686 UEU327683:UEU327686 UOQ327683:UOQ327686 UYM327683:UYM327686 VII327683:VII327686 VSE327683:VSE327686 WCA327683:WCA327686 WLW327683:WLW327686 WVS327683:WVS327686 K393219:K393222 JG393219:JG393222 TC393219:TC393222 ACY393219:ACY393222 AMU393219:AMU393222 AWQ393219:AWQ393222 BGM393219:BGM393222 BQI393219:BQI393222 CAE393219:CAE393222 CKA393219:CKA393222 CTW393219:CTW393222 DDS393219:DDS393222 DNO393219:DNO393222 DXK393219:DXK393222 EHG393219:EHG393222 ERC393219:ERC393222 FAY393219:FAY393222 FKU393219:FKU393222 FUQ393219:FUQ393222 GEM393219:GEM393222 GOI393219:GOI393222 GYE393219:GYE393222 HIA393219:HIA393222 HRW393219:HRW393222 IBS393219:IBS393222 ILO393219:ILO393222 IVK393219:IVK393222 JFG393219:JFG393222 JPC393219:JPC393222 JYY393219:JYY393222 KIU393219:KIU393222 KSQ393219:KSQ393222 LCM393219:LCM393222 LMI393219:LMI393222 LWE393219:LWE393222 MGA393219:MGA393222 MPW393219:MPW393222 MZS393219:MZS393222 NJO393219:NJO393222 NTK393219:NTK393222 ODG393219:ODG393222 ONC393219:ONC393222 OWY393219:OWY393222 PGU393219:PGU393222 PQQ393219:PQQ393222 QAM393219:QAM393222 QKI393219:QKI393222 QUE393219:QUE393222 REA393219:REA393222 RNW393219:RNW393222 RXS393219:RXS393222 SHO393219:SHO393222 SRK393219:SRK393222 TBG393219:TBG393222 TLC393219:TLC393222 TUY393219:TUY393222 UEU393219:UEU393222 UOQ393219:UOQ393222 UYM393219:UYM393222 VII393219:VII393222 VSE393219:VSE393222 WCA393219:WCA393222 WLW393219:WLW393222 WVS393219:WVS393222 K458755:K458758 JG458755:JG458758 TC458755:TC458758 ACY458755:ACY458758 AMU458755:AMU458758 AWQ458755:AWQ458758 BGM458755:BGM458758 BQI458755:BQI458758 CAE458755:CAE458758 CKA458755:CKA458758 CTW458755:CTW458758 DDS458755:DDS458758 DNO458755:DNO458758 DXK458755:DXK458758 EHG458755:EHG458758 ERC458755:ERC458758 FAY458755:FAY458758 FKU458755:FKU458758 FUQ458755:FUQ458758 GEM458755:GEM458758 GOI458755:GOI458758 GYE458755:GYE458758 HIA458755:HIA458758 HRW458755:HRW458758 IBS458755:IBS458758 ILO458755:ILO458758 IVK458755:IVK458758 JFG458755:JFG458758 JPC458755:JPC458758 JYY458755:JYY458758 KIU458755:KIU458758 KSQ458755:KSQ458758 LCM458755:LCM458758 LMI458755:LMI458758 LWE458755:LWE458758 MGA458755:MGA458758 MPW458755:MPW458758 MZS458755:MZS458758 NJO458755:NJO458758 NTK458755:NTK458758 ODG458755:ODG458758 ONC458755:ONC458758 OWY458755:OWY458758 PGU458755:PGU458758 PQQ458755:PQQ458758 QAM458755:QAM458758 QKI458755:QKI458758 QUE458755:QUE458758 REA458755:REA458758 RNW458755:RNW458758 RXS458755:RXS458758 SHO458755:SHO458758 SRK458755:SRK458758 TBG458755:TBG458758 TLC458755:TLC458758 TUY458755:TUY458758 UEU458755:UEU458758 UOQ458755:UOQ458758 UYM458755:UYM458758 VII458755:VII458758 VSE458755:VSE458758 WCA458755:WCA458758 WLW458755:WLW458758 WVS458755:WVS458758 K524291:K524294 JG524291:JG524294 TC524291:TC524294 ACY524291:ACY524294 AMU524291:AMU524294 AWQ524291:AWQ524294 BGM524291:BGM524294 BQI524291:BQI524294 CAE524291:CAE524294 CKA524291:CKA524294 CTW524291:CTW524294 DDS524291:DDS524294 DNO524291:DNO524294 DXK524291:DXK524294 EHG524291:EHG524294 ERC524291:ERC524294 FAY524291:FAY524294 FKU524291:FKU524294 FUQ524291:FUQ524294 GEM524291:GEM524294 GOI524291:GOI524294 GYE524291:GYE524294 HIA524291:HIA524294 HRW524291:HRW524294 IBS524291:IBS524294 ILO524291:ILO524294 IVK524291:IVK524294 JFG524291:JFG524294 JPC524291:JPC524294 JYY524291:JYY524294 KIU524291:KIU524294 KSQ524291:KSQ524294 LCM524291:LCM524294 LMI524291:LMI524294 LWE524291:LWE524294 MGA524291:MGA524294 MPW524291:MPW524294 MZS524291:MZS524294 NJO524291:NJO524294 NTK524291:NTK524294 ODG524291:ODG524294 ONC524291:ONC524294 OWY524291:OWY524294 PGU524291:PGU524294 PQQ524291:PQQ524294 QAM524291:QAM524294 QKI524291:QKI524294 QUE524291:QUE524294 REA524291:REA524294 RNW524291:RNW524294 RXS524291:RXS524294 SHO524291:SHO524294 SRK524291:SRK524294 TBG524291:TBG524294 TLC524291:TLC524294 TUY524291:TUY524294 UEU524291:UEU524294 UOQ524291:UOQ524294 UYM524291:UYM524294 VII524291:VII524294 VSE524291:VSE524294 WCA524291:WCA524294 WLW524291:WLW524294 WVS524291:WVS524294 K589827:K589830 JG589827:JG589830 TC589827:TC589830 ACY589827:ACY589830 AMU589827:AMU589830 AWQ589827:AWQ589830 BGM589827:BGM589830 BQI589827:BQI589830 CAE589827:CAE589830 CKA589827:CKA589830 CTW589827:CTW589830 DDS589827:DDS589830 DNO589827:DNO589830 DXK589827:DXK589830 EHG589827:EHG589830 ERC589827:ERC589830 FAY589827:FAY589830 FKU589827:FKU589830 FUQ589827:FUQ589830 GEM589827:GEM589830 GOI589827:GOI589830 GYE589827:GYE589830 HIA589827:HIA589830 HRW589827:HRW589830 IBS589827:IBS589830 ILO589827:ILO589830 IVK589827:IVK589830 JFG589827:JFG589830 JPC589827:JPC589830 JYY589827:JYY589830 KIU589827:KIU589830 KSQ589827:KSQ589830 LCM589827:LCM589830 LMI589827:LMI589830 LWE589827:LWE589830 MGA589827:MGA589830 MPW589827:MPW589830 MZS589827:MZS589830 NJO589827:NJO589830 NTK589827:NTK589830 ODG589827:ODG589830 ONC589827:ONC589830 OWY589827:OWY589830 PGU589827:PGU589830 PQQ589827:PQQ589830 QAM589827:QAM589830 QKI589827:QKI589830 QUE589827:QUE589830 REA589827:REA589830 RNW589827:RNW589830 RXS589827:RXS589830 SHO589827:SHO589830 SRK589827:SRK589830 TBG589827:TBG589830 TLC589827:TLC589830 TUY589827:TUY589830 UEU589827:UEU589830 UOQ589827:UOQ589830 UYM589827:UYM589830 VII589827:VII589830 VSE589827:VSE589830 WCA589827:WCA589830 WLW589827:WLW589830 WVS589827:WVS589830 K655363:K655366 JG655363:JG655366 TC655363:TC655366 ACY655363:ACY655366 AMU655363:AMU655366 AWQ655363:AWQ655366 BGM655363:BGM655366 BQI655363:BQI655366 CAE655363:CAE655366 CKA655363:CKA655366 CTW655363:CTW655366 DDS655363:DDS655366 DNO655363:DNO655366 DXK655363:DXK655366 EHG655363:EHG655366 ERC655363:ERC655366 FAY655363:FAY655366 FKU655363:FKU655366 FUQ655363:FUQ655366 GEM655363:GEM655366 GOI655363:GOI655366 GYE655363:GYE655366 HIA655363:HIA655366 HRW655363:HRW655366 IBS655363:IBS655366 ILO655363:ILO655366 IVK655363:IVK655366 JFG655363:JFG655366 JPC655363:JPC655366 JYY655363:JYY655366 KIU655363:KIU655366 KSQ655363:KSQ655366 LCM655363:LCM655366 LMI655363:LMI655366 LWE655363:LWE655366 MGA655363:MGA655366 MPW655363:MPW655366 MZS655363:MZS655366 NJO655363:NJO655366 NTK655363:NTK655366 ODG655363:ODG655366 ONC655363:ONC655366 OWY655363:OWY655366 PGU655363:PGU655366 PQQ655363:PQQ655366 QAM655363:QAM655366 QKI655363:QKI655366 QUE655363:QUE655366 REA655363:REA655366 RNW655363:RNW655366 RXS655363:RXS655366 SHO655363:SHO655366 SRK655363:SRK655366 TBG655363:TBG655366 TLC655363:TLC655366 TUY655363:TUY655366 UEU655363:UEU655366 UOQ655363:UOQ655366 UYM655363:UYM655366 VII655363:VII655366 VSE655363:VSE655366 WCA655363:WCA655366 WLW655363:WLW655366 WVS655363:WVS655366 K720899:K720902 JG720899:JG720902 TC720899:TC720902 ACY720899:ACY720902 AMU720899:AMU720902 AWQ720899:AWQ720902 BGM720899:BGM720902 BQI720899:BQI720902 CAE720899:CAE720902 CKA720899:CKA720902 CTW720899:CTW720902 DDS720899:DDS720902 DNO720899:DNO720902 DXK720899:DXK720902 EHG720899:EHG720902 ERC720899:ERC720902 FAY720899:FAY720902 FKU720899:FKU720902 FUQ720899:FUQ720902 GEM720899:GEM720902 GOI720899:GOI720902 GYE720899:GYE720902 HIA720899:HIA720902 HRW720899:HRW720902 IBS720899:IBS720902 ILO720899:ILO720902 IVK720899:IVK720902 JFG720899:JFG720902 JPC720899:JPC720902 JYY720899:JYY720902 KIU720899:KIU720902 KSQ720899:KSQ720902 LCM720899:LCM720902 LMI720899:LMI720902 LWE720899:LWE720902 MGA720899:MGA720902 MPW720899:MPW720902 MZS720899:MZS720902 NJO720899:NJO720902 NTK720899:NTK720902 ODG720899:ODG720902 ONC720899:ONC720902 OWY720899:OWY720902 PGU720899:PGU720902 PQQ720899:PQQ720902 QAM720899:QAM720902 QKI720899:QKI720902 QUE720899:QUE720902 REA720899:REA720902 RNW720899:RNW720902 RXS720899:RXS720902 SHO720899:SHO720902 SRK720899:SRK720902 TBG720899:TBG720902 TLC720899:TLC720902 TUY720899:TUY720902 UEU720899:UEU720902 UOQ720899:UOQ720902 UYM720899:UYM720902 VII720899:VII720902 VSE720899:VSE720902 WCA720899:WCA720902 WLW720899:WLW720902 WVS720899:WVS720902 K786435:K786438 JG786435:JG786438 TC786435:TC786438 ACY786435:ACY786438 AMU786435:AMU786438 AWQ786435:AWQ786438 BGM786435:BGM786438 BQI786435:BQI786438 CAE786435:CAE786438 CKA786435:CKA786438 CTW786435:CTW786438 DDS786435:DDS786438 DNO786435:DNO786438 DXK786435:DXK786438 EHG786435:EHG786438 ERC786435:ERC786438 FAY786435:FAY786438 FKU786435:FKU786438 FUQ786435:FUQ786438 GEM786435:GEM786438 GOI786435:GOI786438 GYE786435:GYE786438 HIA786435:HIA786438 HRW786435:HRW786438 IBS786435:IBS786438 ILO786435:ILO786438 IVK786435:IVK786438 JFG786435:JFG786438 JPC786435:JPC786438 JYY786435:JYY786438 KIU786435:KIU786438 KSQ786435:KSQ786438 LCM786435:LCM786438 LMI786435:LMI786438 LWE786435:LWE786438 MGA786435:MGA786438 MPW786435:MPW786438 MZS786435:MZS786438 NJO786435:NJO786438 NTK786435:NTK786438 ODG786435:ODG786438 ONC786435:ONC786438 OWY786435:OWY786438 PGU786435:PGU786438 PQQ786435:PQQ786438 QAM786435:QAM786438 QKI786435:QKI786438 QUE786435:QUE786438 REA786435:REA786438 RNW786435:RNW786438 RXS786435:RXS786438 SHO786435:SHO786438 SRK786435:SRK786438 TBG786435:TBG786438 TLC786435:TLC786438 TUY786435:TUY786438 UEU786435:UEU786438 UOQ786435:UOQ786438 UYM786435:UYM786438 VII786435:VII786438 VSE786435:VSE786438 WCA786435:WCA786438 WLW786435:WLW786438 WVS786435:WVS786438 K851971:K851974 JG851971:JG851974 TC851971:TC851974 ACY851971:ACY851974 AMU851971:AMU851974 AWQ851971:AWQ851974 BGM851971:BGM851974 BQI851971:BQI851974 CAE851971:CAE851974 CKA851971:CKA851974 CTW851971:CTW851974 DDS851971:DDS851974 DNO851971:DNO851974 DXK851971:DXK851974 EHG851971:EHG851974 ERC851971:ERC851974 FAY851971:FAY851974 FKU851971:FKU851974 FUQ851971:FUQ851974 GEM851971:GEM851974 GOI851971:GOI851974 GYE851971:GYE851974 HIA851971:HIA851974 HRW851971:HRW851974 IBS851971:IBS851974 ILO851971:ILO851974 IVK851971:IVK851974 JFG851971:JFG851974 JPC851971:JPC851974 JYY851971:JYY851974 KIU851971:KIU851974 KSQ851971:KSQ851974 LCM851971:LCM851974 LMI851971:LMI851974 LWE851971:LWE851974 MGA851971:MGA851974 MPW851971:MPW851974 MZS851971:MZS851974 NJO851971:NJO851974 NTK851971:NTK851974 ODG851971:ODG851974 ONC851971:ONC851974 OWY851971:OWY851974 PGU851971:PGU851974 PQQ851971:PQQ851974 QAM851971:QAM851974 QKI851971:QKI851974 QUE851971:QUE851974 REA851971:REA851974 RNW851971:RNW851974 RXS851971:RXS851974 SHO851971:SHO851974 SRK851971:SRK851974 TBG851971:TBG851974 TLC851971:TLC851974 TUY851971:TUY851974 UEU851971:UEU851974 UOQ851971:UOQ851974 UYM851971:UYM851974 VII851971:VII851974 VSE851971:VSE851974 WCA851971:WCA851974 WLW851971:WLW851974 WVS851971:WVS851974 K917507:K917510 JG917507:JG917510 TC917507:TC917510 ACY917507:ACY917510 AMU917507:AMU917510 AWQ917507:AWQ917510 BGM917507:BGM917510 BQI917507:BQI917510 CAE917507:CAE917510 CKA917507:CKA917510 CTW917507:CTW917510 DDS917507:DDS917510 DNO917507:DNO917510 DXK917507:DXK917510 EHG917507:EHG917510 ERC917507:ERC917510 FAY917507:FAY917510 FKU917507:FKU917510 FUQ917507:FUQ917510 GEM917507:GEM917510 GOI917507:GOI917510 GYE917507:GYE917510 HIA917507:HIA917510 HRW917507:HRW917510 IBS917507:IBS917510 ILO917507:ILO917510 IVK917507:IVK917510 JFG917507:JFG917510 JPC917507:JPC917510 JYY917507:JYY917510 KIU917507:KIU917510 KSQ917507:KSQ917510 LCM917507:LCM917510 LMI917507:LMI917510 LWE917507:LWE917510 MGA917507:MGA917510 MPW917507:MPW917510 MZS917507:MZS917510 NJO917507:NJO917510 NTK917507:NTK917510 ODG917507:ODG917510 ONC917507:ONC917510 OWY917507:OWY917510 PGU917507:PGU917510 PQQ917507:PQQ917510 QAM917507:QAM917510 QKI917507:QKI917510 QUE917507:QUE917510 REA917507:REA917510 RNW917507:RNW917510 RXS917507:RXS917510 SHO917507:SHO917510 SRK917507:SRK917510 TBG917507:TBG917510 TLC917507:TLC917510 TUY917507:TUY917510 UEU917507:UEU917510 UOQ917507:UOQ917510 UYM917507:UYM917510 VII917507:VII917510 VSE917507:VSE917510 WCA917507:WCA917510 WLW917507:WLW917510 WVS917507:WVS917510 K983043:K983046 JG983043:JG983046 TC983043:TC983046 ACY983043:ACY983046 AMU983043:AMU983046 AWQ983043:AWQ983046 BGM983043:BGM983046 BQI983043:BQI983046 CAE983043:CAE983046 CKA983043:CKA983046 CTW983043:CTW983046 DDS983043:DDS983046 DNO983043:DNO983046 DXK983043:DXK983046 EHG983043:EHG983046 ERC983043:ERC983046 FAY983043:FAY983046 FKU983043:FKU983046 FUQ983043:FUQ983046 GEM983043:GEM983046 GOI983043:GOI983046 GYE983043:GYE983046 HIA983043:HIA983046 HRW983043:HRW983046 IBS983043:IBS983046 ILO983043:ILO983046 IVK983043:IVK983046 JFG983043:JFG983046 JPC983043:JPC983046 JYY983043:JYY983046 KIU983043:KIU983046 KSQ983043:KSQ983046 LCM983043:LCM983046 LMI983043:LMI983046 LWE983043:LWE983046 MGA983043:MGA983046 MPW983043:MPW983046 MZS983043:MZS983046 NJO983043:NJO983046 NTK983043:NTK983046 ODG983043:ODG983046 ONC983043:ONC983046 OWY983043:OWY983046 PGU983043:PGU983046 PQQ983043:PQQ983046 QAM983043:QAM983046 QKI983043:QKI983046 QUE983043:QUE983046 REA983043:REA983046 RNW983043:RNW983046 RXS983043:RXS983046 SHO983043:SHO983046 SRK983043:SRK983046 TBG983043:TBG983046 TLC983043:TLC983046 TUY983043:TUY983046 UEU983043:UEU983046 UOQ983043:UOQ983046 UYM983043:UYM983046 VII983043:VII983046 VSE983043:VSE983046 WCA983043:WCA983046 WLW983043:WLW983046 WVS983043:WVS983046 L5:R6 JH5:JN6 TD5:TJ6 ACZ5:ADF6 AMV5:ANB6 AWR5:AWX6 BGN5:BGT6 BQJ5:BQP6 CAF5:CAL6 CKB5:CKH6 CTX5:CUD6 DDT5:DDZ6 DNP5:DNV6 DXL5:DXR6 EHH5:EHN6 ERD5:ERJ6 FAZ5:FBF6 FKV5:FLB6 FUR5:FUX6 GEN5:GET6 GOJ5:GOP6 GYF5:GYL6 HIB5:HIH6 HRX5:HSD6 IBT5:IBZ6 ILP5:ILV6 IVL5:IVR6 JFH5:JFN6 JPD5:JPJ6 JYZ5:JZF6 KIV5:KJB6 KSR5:KSX6 LCN5:LCT6 LMJ5:LMP6 LWF5:LWL6 MGB5:MGH6 MPX5:MQD6 MZT5:MZZ6 NJP5:NJV6 NTL5:NTR6 ODH5:ODN6 OND5:ONJ6 OWZ5:OXF6 PGV5:PHB6 PQR5:PQX6 QAN5:QAT6 QKJ5:QKP6 QUF5:QUL6 REB5:REH6 RNX5:ROD6 RXT5:RXZ6 SHP5:SHV6 SRL5:SRR6 TBH5:TBN6 TLD5:TLJ6 TUZ5:TVF6 UEV5:UFB6 UOR5:UOX6 UYN5:UYT6 VIJ5:VIP6 VSF5:VSL6 WCB5:WCH6 WLX5:WMD6 WVT5:WVZ6 L65541:R65542 JH65541:JN65542 TD65541:TJ65542 ACZ65541:ADF65542 AMV65541:ANB65542 AWR65541:AWX65542 BGN65541:BGT65542 BQJ65541:BQP65542 CAF65541:CAL65542 CKB65541:CKH65542 CTX65541:CUD65542 DDT65541:DDZ65542 DNP65541:DNV65542 DXL65541:DXR65542 EHH65541:EHN65542 ERD65541:ERJ65542 FAZ65541:FBF65542 FKV65541:FLB65542 FUR65541:FUX65542 GEN65541:GET65542 GOJ65541:GOP65542 GYF65541:GYL65542 HIB65541:HIH65542 HRX65541:HSD65542 IBT65541:IBZ65542 ILP65541:ILV65542 IVL65541:IVR65542 JFH65541:JFN65542 JPD65541:JPJ65542 JYZ65541:JZF65542 KIV65541:KJB65542 KSR65541:KSX65542 LCN65541:LCT65542 LMJ65541:LMP65542 LWF65541:LWL65542 MGB65541:MGH65542 MPX65541:MQD65542 MZT65541:MZZ65542 NJP65541:NJV65542 NTL65541:NTR65542 ODH65541:ODN65542 OND65541:ONJ65542 OWZ65541:OXF65542 PGV65541:PHB65542 PQR65541:PQX65542 QAN65541:QAT65542 QKJ65541:QKP65542 QUF65541:QUL65542 REB65541:REH65542 RNX65541:ROD65542 RXT65541:RXZ65542 SHP65541:SHV65542 SRL65541:SRR65542 TBH65541:TBN65542 TLD65541:TLJ65542 TUZ65541:TVF65542 UEV65541:UFB65542 UOR65541:UOX65542 UYN65541:UYT65542 VIJ65541:VIP65542 VSF65541:VSL65542 WCB65541:WCH65542 WLX65541:WMD65542 WVT65541:WVZ65542 L131077:R131078 JH131077:JN131078 TD131077:TJ131078 ACZ131077:ADF131078 AMV131077:ANB131078 AWR131077:AWX131078 BGN131077:BGT131078 BQJ131077:BQP131078 CAF131077:CAL131078 CKB131077:CKH131078 CTX131077:CUD131078 DDT131077:DDZ131078 DNP131077:DNV131078 DXL131077:DXR131078 EHH131077:EHN131078 ERD131077:ERJ131078 FAZ131077:FBF131078 FKV131077:FLB131078 FUR131077:FUX131078 GEN131077:GET131078 GOJ131077:GOP131078 GYF131077:GYL131078 HIB131077:HIH131078 HRX131077:HSD131078 IBT131077:IBZ131078 ILP131077:ILV131078 IVL131077:IVR131078 JFH131077:JFN131078 JPD131077:JPJ131078 JYZ131077:JZF131078 KIV131077:KJB131078 KSR131077:KSX131078 LCN131077:LCT131078 LMJ131077:LMP131078 LWF131077:LWL131078 MGB131077:MGH131078 MPX131077:MQD131078 MZT131077:MZZ131078 NJP131077:NJV131078 NTL131077:NTR131078 ODH131077:ODN131078 OND131077:ONJ131078 OWZ131077:OXF131078 PGV131077:PHB131078 PQR131077:PQX131078 QAN131077:QAT131078 QKJ131077:QKP131078 QUF131077:QUL131078 REB131077:REH131078 RNX131077:ROD131078 RXT131077:RXZ131078 SHP131077:SHV131078 SRL131077:SRR131078 TBH131077:TBN131078 TLD131077:TLJ131078 TUZ131077:TVF131078 UEV131077:UFB131078 UOR131077:UOX131078 UYN131077:UYT131078 VIJ131077:VIP131078 VSF131077:VSL131078 WCB131077:WCH131078 WLX131077:WMD131078 WVT131077:WVZ131078 L196613:R196614 JH196613:JN196614 TD196613:TJ196614 ACZ196613:ADF196614 AMV196613:ANB196614 AWR196613:AWX196614 BGN196613:BGT196614 BQJ196613:BQP196614 CAF196613:CAL196614 CKB196613:CKH196614 CTX196613:CUD196614 DDT196613:DDZ196614 DNP196613:DNV196614 DXL196613:DXR196614 EHH196613:EHN196614 ERD196613:ERJ196614 FAZ196613:FBF196614 FKV196613:FLB196614 FUR196613:FUX196614 GEN196613:GET196614 GOJ196613:GOP196614 GYF196613:GYL196614 HIB196613:HIH196614 HRX196613:HSD196614 IBT196613:IBZ196614 ILP196613:ILV196614 IVL196613:IVR196614 JFH196613:JFN196614 JPD196613:JPJ196614 JYZ196613:JZF196614 KIV196613:KJB196614 KSR196613:KSX196614 LCN196613:LCT196614 LMJ196613:LMP196614 LWF196613:LWL196614 MGB196613:MGH196614 MPX196613:MQD196614 MZT196613:MZZ196614 NJP196613:NJV196614 NTL196613:NTR196614 ODH196613:ODN196614 OND196613:ONJ196614 OWZ196613:OXF196614 PGV196613:PHB196614 PQR196613:PQX196614 QAN196613:QAT196614 QKJ196613:QKP196614 QUF196613:QUL196614 REB196613:REH196614 RNX196613:ROD196614 RXT196613:RXZ196614 SHP196613:SHV196614 SRL196613:SRR196614 TBH196613:TBN196614 TLD196613:TLJ196614 TUZ196613:TVF196614 UEV196613:UFB196614 UOR196613:UOX196614 UYN196613:UYT196614 VIJ196613:VIP196614 VSF196613:VSL196614 WCB196613:WCH196614 WLX196613:WMD196614 WVT196613:WVZ196614 L262149:R262150 JH262149:JN262150 TD262149:TJ262150 ACZ262149:ADF262150 AMV262149:ANB262150 AWR262149:AWX262150 BGN262149:BGT262150 BQJ262149:BQP262150 CAF262149:CAL262150 CKB262149:CKH262150 CTX262149:CUD262150 DDT262149:DDZ262150 DNP262149:DNV262150 DXL262149:DXR262150 EHH262149:EHN262150 ERD262149:ERJ262150 FAZ262149:FBF262150 FKV262149:FLB262150 FUR262149:FUX262150 GEN262149:GET262150 GOJ262149:GOP262150 GYF262149:GYL262150 HIB262149:HIH262150 HRX262149:HSD262150 IBT262149:IBZ262150 ILP262149:ILV262150 IVL262149:IVR262150 JFH262149:JFN262150 JPD262149:JPJ262150 JYZ262149:JZF262150 KIV262149:KJB262150 KSR262149:KSX262150 LCN262149:LCT262150 LMJ262149:LMP262150 LWF262149:LWL262150 MGB262149:MGH262150 MPX262149:MQD262150 MZT262149:MZZ262150 NJP262149:NJV262150 NTL262149:NTR262150 ODH262149:ODN262150 OND262149:ONJ262150 OWZ262149:OXF262150 PGV262149:PHB262150 PQR262149:PQX262150 QAN262149:QAT262150 QKJ262149:QKP262150 QUF262149:QUL262150 REB262149:REH262150 RNX262149:ROD262150 RXT262149:RXZ262150 SHP262149:SHV262150 SRL262149:SRR262150 TBH262149:TBN262150 TLD262149:TLJ262150 TUZ262149:TVF262150 UEV262149:UFB262150 UOR262149:UOX262150 UYN262149:UYT262150 VIJ262149:VIP262150 VSF262149:VSL262150 WCB262149:WCH262150 WLX262149:WMD262150 WVT262149:WVZ262150 L327685:R327686 JH327685:JN327686 TD327685:TJ327686 ACZ327685:ADF327686 AMV327685:ANB327686 AWR327685:AWX327686 BGN327685:BGT327686 BQJ327685:BQP327686 CAF327685:CAL327686 CKB327685:CKH327686 CTX327685:CUD327686 DDT327685:DDZ327686 DNP327685:DNV327686 DXL327685:DXR327686 EHH327685:EHN327686 ERD327685:ERJ327686 FAZ327685:FBF327686 FKV327685:FLB327686 FUR327685:FUX327686 GEN327685:GET327686 GOJ327685:GOP327686 GYF327685:GYL327686 HIB327685:HIH327686 HRX327685:HSD327686 IBT327685:IBZ327686 ILP327685:ILV327686 IVL327685:IVR327686 JFH327685:JFN327686 JPD327685:JPJ327686 JYZ327685:JZF327686 KIV327685:KJB327686 KSR327685:KSX327686 LCN327685:LCT327686 LMJ327685:LMP327686 LWF327685:LWL327686 MGB327685:MGH327686 MPX327685:MQD327686 MZT327685:MZZ327686 NJP327685:NJV327686 NTL327685:NTR327686 ODH327685:ODN327686 OND327685:ONJ327686 OWZ327685:OXF327686 PGV327685:PHB327686 PQR327685:PQX327686 QAN327685:QAT327686 QKJ327685:QKP327686 QUF327685:QUL327686 REB327685:REH327686 RNX327685:ROD327686 RXT327685:RXZ327686 SHP327685:SHV327686 SRL327685:SRR327686 TBH327685:TBN327686 TLD327685:TLJ327686 TUZ327685:TVF327686 UEV327685:UFB327686 UOR327685:UOX327686 UYN327685:UYT327686 VIJ327685:VIP327686 VSF327685:VSL327686 WCB327685:WCH327686 WLX327685:WMD327686 WVT327685:WVZ327686 L393221:R393222 JH393221:JN393222 TD393221:TJ393222 ACZ393221:ADF393222 AMV393221:ANB393222 AWR393221:AWX393222 BGN393221:BGT393222 BQJ393221:BQP393222 CAF393221:CAL393222 CKB393221:CKH393222 CTX393221:CUD393222 DDT393221:DDZ393222 DNP393221:DNV393222 DXL393221:DXR393222 EHH393221:EHN393222 ERD393221:ERJ393222 FAZ393221:FBF393222 FKV393221:FLB393222 FUR393221:FUX393222 GEN393221:GET393222 GOJ393221:GOP393222 GYF393221:GYL393222 HIB393221:HIH393222 HRX393221:HSD393222 IBT393221:IBZ393222 ILP393221:ILV393222 IVL393221:IVR393222 JFH393221:JFN393222 JPD393221:JPJ393222 JYZ393221:JZF393222 KIV393221:KJB393222 KSR393221:KSX393222 LCN393221:LCT393222 LMJ393221:LMP393222 LWF393221:LWL393222 MGB393221:MGH393222 MPX393221:MQD393222 MZT393221:MZZ393222 NJP393221:NJV393222 NTL393221:NTR393222 ODH393221:ODN393222 OND393221:ONJ393222 OWZ393221:OXF393222 PGV393221:PHB393222 PQR393221:PQX393222 QAN393221:QAT393222 QKJ393221:QKP393222 QUF393221:QUL393222 REB393221:REH393222 RNX393221:ROD393222 RXT393221:RXZ393222 SHP393221:SHV393222 SRL393221:SRR393222 TBH393221:TBN393222 TLD393221:TLJ393222 TUZ393221:TVF393222 UEV393221:UFB393222 UOR393221:UOX393222 UYN393221:UYT393222 VIJ393221:VIP393222 VSF393221:VSL393222 WCB393221:WCH393222 WLX393221:WMD393222 WVT393221:WVZ393222 L458757:R458758 JH458757:JN458758 TD458757:TJ458758 ACZ458757:ADF458758 AMV458757:ANB458758 AWR458757:AWX458758 BGN458757:BGT458758 BQJ458757:BQP458758 CAF458757:CAL458758 CKB458757:CKH458758 CTX458757:CUD458758 DDT458757:DDZ458758 DNP458757:DNV458758 DXL458757:DXR458758 EHH458757:EHN458758 ERD458757:ERJ458758 FAZ458757:FBF458758 FKV458757:FLB458758 FUR458757:FUX458758 GEN458757:GET458758 GOJ458757:GOP458758 GYF458757:GYL458758 HIB458757:HIH458758 HRX458757:HSD458758 IBT458757:IBZ458758 ILP458757:ILV458758 IVL458757:IVR458758 JFH458757:JFN458758 JPD458757:JPJ458758 JYZ458757:JZF458758 KIV458757:KJB458758 KSR458757:KSX458758 LCN458757:LCT458758 LMJ458757:LMP458758 LWF458757:LWL458758 MGB458757:MGH458758 MPX458757:MQD458758 MZT458757:MZZ458758 NJP458757:NJV458758 NTL458757:NTR458758 ODH458757:ODN458758 OND458757:ONJ458758 OWZ458757:OXF458758 PGV458757:PHB458758 PQR458757:PQX458758 QAN458757:QAT458758 QKJ458757:QKP458758 QUF458757:QUL458758 REB458757:REH458758 RNX458757:ROD458758 RXT458757:RXZ458758 SHP458757:SHV458758 SRL458757:SRR458758 TBH458757:TBN458758 TLD458757:TLJ458758 TUZ458757:TVF458758 UEV458757:UFB458758 UOR458757:UOX458758 UYN458757:UYT458758 VIJ458757:VIP458758 VSF458757:VSL458758 WCB458757:WCH458758 WLX458757:WMD458758 WVT458757:WVZ458758 L524293:R524294 JH524293:JN524294 TD524293:TJ524294 ACZ524293:ADF524294 AMV524293:ANB524294 AWR524293:AWX524294 BGN524293:BGT524294 BQJ524293:BQP524294 CAF524293:CAL524294 CKB524293:CKH524294 CTX524293:CUD524294 DDT524293:DDZ524294 DNP524293:DNV524294 DXL524293:DXR524294 EHH524293:EHN524294 ERD524293:ERJ524294 FAZ524293:FBF524294 FKV524293:FLB524294 FUR524293:FUX524294 GEN524293:GET524294 GOJ524293:GOP524294 GYF524293:GYL524294 HIB524293:HIH524294 HRX524293:HSD524294 IBT524293:IBZ524294 ILP524293:ILV524294 IVL524293:IVR524294 JFH524293:JFN524294 JPD524293:JPJ524294 JYZ524293:JZF524294 KIV524293:KJB524294 KSR524293:KSX524294 LCN524293:LCT524294 LMJ524293:LMP524294 LWF524293:LWL524294 MGB524293:MGH524294 MPX524293:MQD524294 MZT524293:MZZ524294 NJP524293:NJV524294 NTL524293:NTR524294 ODH524293:ODN524294 OND524293:ONJ524294 OWZ524293:OXF524294 PGV524293:PHB524294 PQR524293:PQX524294 QAN524293:QAT524294 QKJ524293:QKP524294 QUF524293:QUL524294 REB524293:REH524294 RNX524293:ROD524294 RXT524293:RXZ524294 SHP524293:SHV524294 SRL524293:SRR524294 TBH524293:TBN524294 TLD524293:TLJ524294 TUZ524293:TVF524294 UEV524293:UFB524294 UOR524293:UOX524294 UYN524293:UYT524294 VIJ524293:VIP524294 VSF524293:VSL524294 WCB524293:WCH524294 WLX524293:WMD524294 WVT524293:WVZ524294 L589829:R589830 JH589829:JN589830 TD589829:TJ589830 ACZ589829:ADF589830 AMV589829:ANB589830 AWR589829:AWX589830 BGN589829:BGT589830 BQJ589829:BQP589830 CAF589829:CAL589830 CKB589829:CKH589830 CTX589829:CUD589830 DDT589829:DDZ589830 DNP589829:DNV589830 DXL589829:DXR589830 EHH589829:EHN589830 ERD589829:ERJ589830 FAZ589829:FBF589830 FKV589829:FLB589830 FUR589829:FUX589830 GEN589829:GET589830 GOJ589829:GOP589830 GYF589829:GYL589830 HIB589829:HIH589830 HRX589829:HSD589830 IBT589829:IBZ589830 ILP589829:ILV589830 IVL589829:IVR589830 JFH589829:JFN589830 JPD589829:JPJ589830 JYZ589829:JZF589830 KIV589829:KJB589830 KSR589829:KSX589830 LCN589829:LCT589830 LMJ589829:LMP589830 LWF589829:LWL589830 MGB589829:MGH589830 MPX589829:MQD589830 MZT589829:MZZ589830 NJP589829:NJV589830 NTL589829:NTR589830 ODH589829:ODN589830 OND589829:ONJ589830 OWZ589829:OXF589830 PGV589829:PHB589830 PQR589829:PQX589830 QAN589829:QAT589830 QKJ589829:QKP589830 QUF589829:QUL589830 REB589829:REH589830 RNX589829:ROD589830 RXT589829:RXZ589830 SHP589829:SHV589830 SRL589829:SRR589830 TBH589829:TBN589830 TLD589829:TLJ589830 TUZ589829:TVF589830 UEV589829:UFB589830 UOR589829:UOX589830 UYN589829:UYT589830 VIJ589829:VIP589830 VSF589829:VSL589830 WCB589829:WCH589830 WLX589829:WMD589830 WVT589829:WVZ589830 L655365:R655366 JH655365:JN655366 TD655365:TJ655366 ACZ655365:ADF655366 AMV655365:ANB655366 AWR655365:AWX655366 BGN655365:BGT655366 BQJ655365:BQP655366 CAF655365:CAL655366 CKB655365:CKH655366 CTX655365:CUD655366 DDT655365:DDZ655366 DNP655365:DNV655366 DXL655365:DXR655366 EHH655365:EHN655366 ERD655365:ERJ655366 FAZ655365:FBF655366 FKV655365:FLB655366 FUR655365:FUX655366 GEN655365:GET655366 GOJ655365:GOP655366 GYF655365:GYL655366 HIB655365:HIH655366 HRX655365:HSD655366 IBT655365:IBZ655366 ILP655365:ILV655366 IVL655365:IVR655366 JFH655365:JFN655366 JPD655365:JPJ655366 JYZ655365:JZF655366 KIV655365:KJB655366 KSR655365:KSX655366 LCN655365:LCT655366 LMJ655365:LMP655366 LWF655365:LWL655366 MGB655365:MGH655366 MPX655365:MQD655366 MZT655365:MZZ655366 NJP655365:NJV655366 NTL655365:NTR655366 ODH655365:ODN655366 OND655365:ONJ655366 OWZ655365:OXF655366 PGV655365:PHB655366 PQR655365:PQX655366 QAN655365:QAT655366 QKJ655365:QKP655366 QUF655365:QUL655366 REB655365:REH655366 RNX655365:ROD655366 RXT655365:RXZ655366 SHP655365:SHV655366 SRL655365:SRR655366 TBH655365:TBN655366 TLD655365:TLJ655366 TUZ655365:TVF655366 UEV655365:UFB655366 UOR655365:UOX655366 UYN655365:UYT655366 VIJ655365:VIP655366 VSF655365:VSL655366 WCB655365:WCH655366 WLX655365:WMD655366 WVT655365:WVZ655366 L720901:R720902 JH720901:JN720902 TD720901:TJ720902 ACZ720901:ADF720902 AMV720901:ANB720902 AWR720901:AWX720902 BGN720901:BGT720902 BQJ720901:BQP720902 CAF720901:CAL720902 CKB720901:CKH720902 CTX720901:CUD720902 DDT720901:DDZ720902 DNP720901:DNV720902 DXL720901:DXR720902 EHH720901:EHN720902 ERD720901:ERJ720902 FAZ720901:FBF720902 FKV720901:FLB720902 FUR720901:FUX720902 GEN720901:GET720902 GOJ720901:GOP720902 GYF720901:GYL720902 HIB720901:HIH720902 HRX720901:HSD720902 IBT720901:IBZ720902 ILP720901:ILV720902 IVL720901:IVR720902 JFH720901:JFN720902 JPD720901:JPJ720902 JYZ720901:JZF720902 KIV720901:KJB720902 KSR720901:KSX720902 LCN720901:LCT720902 LMJ720901:LMP720902 LWF720901:LWL720902 MGB720901:MGH720902 MPX720901:MQD720902 MZT720901:MZZ720902 NJP720901:NJV720902 NTL720901:NTR720902 ODH720901:ODN720902 OND720901:ONJ720902 OWZ720901:OXF720902 PGV720901:PHB720902 PQR720901:PQX720902 QAN720901:QAT720902 QKJ720901:QKP720902 QUF720901:QUL720902 REB720901:REH720902 RNX720901:ROD720902 RXT720901:RXZ720902 SHP720901:SHV720902 SRL720901:SRR720902 TBH720901:TBN720902 TLD720901:TLJ720902 TUZ720901:TVF720902 UEV720901:UFB720902 UOR720901:UOX720902 UYN720901:UYT720902 VIJ720901:VIP720902 VSF720901:VSL720902 WCB720901:WCH720902 WLX720901:WMD720902 WVT720901:WVZ720902 L786437:R786438 JH786437:JN786438 TD786437:TJ786438 ACZ786437:ADF786438 AMV786437:ANB786438 AWR786437:AWX786438 BGN786437:BGT786438 BQJ786437:BQP786438 CAF786437:CAL786438 CKB786437:CKH786438 CTX786437:CUD786438 DDT786437:DDZ786438 DNP786437:DNV786438 DXL786437:DXR786438 EHH786437:EHN786438 ERD786437:ERJ786438 FAZ786437:FBF786438 FKV786437:FLB786438 FUR786437:FUX786438 GEN786437:GET786438 GOJ786437:GOP786438 GYF786437:GYL786438 HIB786437:HIH786438 HRX786437:HSD786438 IBT786437:IBZ786438 ILP786437:ILV786438 IVL786437:IVR786438 JFH786437:JFN786438 JPD786437:JPJ786438 JYZ786437:JZF786438 KIV786437:KJB786438 KSR786437:KSX786438 LCN786437:LCT786438 LMJ786437:LMP786438 LWF786437:LWL786438 MGB786437:MGH786438 MPX786437:MQD786438 MZT786437:MZZ786438 NJP786437:NJV786438 NTL786437:NTR786438 ODH786437:ODN786438 OND786437:ONJ786438 OWZ786437:OXF786438 PGV786437:PHB786438 PQR786437:PQX786438 QAN786437:QAT786438 QKJ786437:QKP786438 QUF786437:QUL786438 REB786437:REH786438 RNX786437:ROD786438 RXT786437:RXZ786438 SHP786437:SHV786438 SRL786437:SRR786438 TBH786437:TBN786438 TLD786437:TLJ786438 TUZ786437:TVF786438 UEV786437:UFB786438 UOR786437:UOX786438 UYN786437:UYT786438 VIJ786437:VIP786438 VSF786437:VSL786438 WCB786437:WCH786438 WLX786437:WMD786438 WVT786437:WVZ786438 L851973:R851974 JH851973:JN851974 TD851973:TJ851974 ACZ851973:ADF851974 AMV851973:ANB851974 AWR851973:AWX851974 BGN851973:BGT851974 BQJ851973:BQP851974 CAF851973:CAL851974 CKB851973:CKH851974 CTX851973:CUD851974 DDT851973:DDZ851974 DNP851973:DNV851974 DXL851973:DXR851974 EHH851973:EHN851974 ERD851973:ERJ851974 FAZ851973:FBF851974 FKV851973:FLB851974 FUR851973:FUX851974 GEN851973:GET851974 GOJ851973:GOP851974 GYF851973:GYL851974 HIB851973:HIH851974 HRX851973:HSD851974 IBT851973:IBZ851974 ILP851973:ILV851974 IVL851973:IVR851974 JFH851973:JFN851974 JPD851973:JPJ851974 JYZ851973:JZF851974 KIV851973:KJB851974 KSR851973:KSX851974 LCN851973:LCT851974 LMJ851973:LMP851974 LWF851973:LWL851974 MGB851973:MGH851974 MPX851973:MQD851974 MZT851973:MZZ851974 NJP851973:NJV851974 NTL851973:NTR851974 ODH851973:ODN851974 OND851973:ONJ851974 OWZ851973:OXF851974 PGV851973:PHB851974 PQR851973:PQX851974 QAN851973:QAT851974 QKJ851973:QKP851974 QUF851973:QUL851974 REB851973:REH851974 RNX851973:ROD851974 RXT851973:RXZ851974 SHP851973:SHV851974 SRL851973:SRR851974 TBH851973:TBN851974 TLD851973:TLJ851974 TUZ851973:TVF851974 UEV851973:UFB851974 UOR851973:UOX851974 UYN851973:UYT851974 VIJ851973:VIP851974 VSF851973:VSL851974 WCB851973:WCH851974 WLX851973:WMD851974 WVT851973:WVZ851974 L917509:R917510 JH917509:JN917510 TD917509:TJ917510 ACZ917509:ADF917510 AMV917509:ANB917510 AWR917509:AWX917510 BGN917509:BGT917510 BQJ917509:BQP917510 CAF917509:CAL917510 CKB917509:CKH917510 CTX917509:CUD917510 DDT917509:DDZ917510 DNP917509:DNV917510 DXL917509:DXR917510 EHH917509:EHN917510 ERD917509:ERJ917510 FAZ917509:FBF917510 FKV917509:FLB917510 FUR917509:FUX917510 GEN917509:GET917510 GOJ917509:GOP917510 GYF917509:GYL917510 HIB917509:HIH917510 HRX917509:HSD917510 IBT917509:IBZ917510 ILP917509:ILV917510 IVL917509:IVR917510 JFH917509:JFN917510 JPD917509:JPJ917510 JYZ917509:JZF917510 KIV917509:KJB917510 KSR917509:KSX917510 LCN917509:LCT917510 LMJ917509:LMP917510 LWF917509:LWL917510 MGB917509:MGH917510 MPX917509:MQD917510 MZT917509:MZZ917510 NJP917509:NJV917510 NTL917509:NTR917510 ODH917509:ODN917510 OND917509:ONJ917510 OWZ917509:OXF917510 PGV917509:PHB917510 PQR917509:PQX917510 QAN917509:QAT917510 QKJ917509:QKP917510 QUF917509:QUL917510 REB917509:REH917510 RNX917509:ROD917510 RXT917509:RXZ917510 SHP917509:SHV917510 SRL917509:SRR917510 TBH917509:TBN917510 TLD917509:TLJ917510 TUZ917509:TVF917510 UEV917509:UFB917510 UOR917509:UOX917510 UYN917509:UYT917510 VIJ917509:VIP917510 VSF917509:VSL917510 WCB917509:WCH917510 WLX917509:WMD917510 WVT917509:WVZ917510 L983045:R983046 JH983045:JN983046 TD983045:TJ983046 ACZ983045:ADF983046 AMV983045:ANB983046 AWR983045:AWX983046 BGN983045:BGT983046 BQJ983045:BQP983046 CAF983045:CAL983046 CKB983045:CKH983046 CTX983045:CUD983046 DDT983045:DDZ983046 DNP983045:DNV983046 DXL983045:DXR983046 EHH983045:EHN983046 ERD983045:ERJ983046 FAZ983045:FBF983046 FKV983045:FLB983046 FUR983045:FUX983046 GEN983045:GET983046 GOJ983045:GOP983046 GYF983045:GYL983046 HIB983045:HIH983046 HRX983045:HSD983046 IBT983045:IBZ983046 ILP983045:ILV983046 IVL983045:IVR983046 JFH983045:JFN983046 JPD983045:JPJ983046 JYZ983045:JZF983046 KIV983045:KJB983046 KSR983045:KSX983046 LCN983045:LCT983046 LMJ983045:LMP983046 LWF983045:LWL983046 MGB983045:MGH983046 MPX983045:MQD983046 MZT983045:MZZ983046 NJP983045:NJV983046 NTL983045:NTR983046 ODH983045:ODN983046 OND983045:ONJ983046 OWZ983045:OXF983046 PGV983045:PHB983046 PQR983045:PQX983046 QAN983045:QAT983046 QKJ983045:QKP983046 QUF983045:QUL983046 REB983045:REH983046 RNX983045:ROD983046 RXT983045:RXZ983046 SHP983045:SHV983046 SRL983045:SRR983046 TBH983045:TBN983046 TLD983045:TLJ983046 TUZ983045:TVF983046 UEV983045:UFB983046 UOR983045:UOX983046 UYN983045:UYT983046 VIJ983045:VIP983046 VSF983045:VSL983046 WCB983045:WCH983046 WLX983045:WMD983046 WVT983045:WVZ983046">
      <formula1>PRsInApplicant</formula1>
    </dataValidation>
    <dataValidation type="list" allowBlank="1" showInputMessage="1" showErrorMessage="1" sqref="P1 JL1 TH1 ADD1 AMZ1 AWV1 BGR1 BQN1 CAJ1 CKF1 CUB1 DDX1 DNT1 DXP1 EHL1 ERH1 FBD1 FKZ1 FUV1 GER1 GON1 GYJ1 HIF1 HSB1 IBX1 ILT1 IVP1 JFL1 JPH1 JZD1 KIZ1 KSV1 LCR1 LMN1 LWJ1 MGF1 MQB1 MZX1 NJT1 NTP1 ODL1 ONH1 OXD1 PGZ1 PQV1 QAR1 QKN1 QUJ1 REF1 ROB1 RXX1 SHT1 SRP1 TBL1 TLH1 TVD1 UEZ1 UOV1 UYR1 VIN1 VSJ1 WCF1 WMB1 WVX1 P65537 JL65537 TH65537 ADD65537 AMZ65537 AWV65537 BGR65537 BQN65537 CAJ65537 CKF65537 CUB65537 DDX65537 DNT65537 DXP65537 EHL65537 ERH65537 FBD65537 FKZ65537 FUV65537 GER65537 GON65537 GYJ65537 HIF65537 HSB65537 IBX65537 ILT65537 IVP65537 JFL65537 JPH65537 JZD65537 KIZ65537 KSV65537 LCR65537 LMN65537 LWJ65537 MGF65537 MQB65537 MZX65537 NJT65537 NTP65537 ODL65537 ONH65537 OXD65537 PGZ65537 PQV65537 QAR65537 QKN65537 QUJ65537 REF65537 ROB65537 RXX65537 SHT65537 SRP65537 TBL65537 TLH65537 TVD65537 UEZ65537 UOV65537 UYR65537 VIN65537 VSJ65537 WCF65537 WMB65537 WVX65537 P131073 JL131073 TH131073 ADD131073 AMZ131073 AWV131073 BGR131073 BQN131073 CAJ131073 CKF131073 CUB131073 DDX131073 DNT131073 DXP131073 EHL131073 ERH131073 FBD131073 FKZ131073 FUV131073 GER131073 GON131073 GYJ131073 HIF131073 HSB131073 IBX131073 ILT131073 IVP131073 JFL131073 JPH131073 JZD131073 KIZ131073 KSV131073 LCR131073 LMN131073 LWJ131073 MGF131073 MQB131073 MZX131073 NJT131073 NTP131073 ODL131073 ONH131073 OXD131073 PGZ131073 PQV131073 QAR131073 QKN131073 QUJ131073 REF131073 ROB131073 RXX131073 SHT131073 SRP131073 TBL131073 TLH131073 TVD131073 UEZ131073 UOV131073 UYR131073 VIN131073 VSJ131073 WCF131073 WMB131073 WVX131073 P196609 JL196609 TH196609 ADD196609 AMZ196609 AWV196609 BGR196609 BQN196609 CAJ196609 CKF196609 CUB196609 DDX196609 DNT196609 DXP196609 EHL196609 ERH196609 FBD196609 FKZ196609 FUV196609 GER196609 GON196609 GYJ196609 HIF196609 HSB196609 IBX196609 ILT196609 IVP196609 JFL196609 JPH196609 JZD196609 KIZ196609 KSV196609 LCR196609 LMN196609 LWJ196609 MGF196609 MQB196609 MZX196609 NJT196609 NTP196609 ODL196609 ONH196609 OXD196609 PGZ196609 PQV196609 QAR196609 QKN196609 QUJ196609 REF196609 ROB196609 RXX196609 SHT196609 SRP196609 TBL196609 TLH196609 TVD196609 UEZ196609 UOV196609 UYR196609 VIN196609 VSJ196609 WCF196609 WMB196609 WVX196609 P262145 JL262145 TH262145 ADD262145 AMZ262145 AWV262145 BGR262145 BQN262145 CAJ262145 CKF262145 CUB262145 DDX262145 DNT262145 DXP262145 EHL262145 ERH262145 FBD262145 FKZ262145 FUV262145 GER262145 GON262145 GYJ262145 HIF262145 HSB262145 IBX262145 ILT262145 IVP262145 JFL262145 JPH262145 JZD262145 KIZ262145 KSV262145 LCR262145 LMN262145 LWJ262145 MGF262145 MQB262145 MZX262145 NJT262145 NTP262145 ODL262145 ONH262145 OXD262145 PGZ262145 PQV262145 QAR262145 QKN262145 QUJ262145 REF262145 ROB262145 RXX262145 SHT262145 SRP262145 TBL262145 TLH262145 TVD262145 UEZ262145 UOV262145 UYR262145 VIN262145 VSJ262145 WCF262145 WMB262145 WVX262145 P327681 JL327681 TH327681 ADD327681 AMZ327681 AWV327681 BGR327681 BQN327681 CAJ327681 CKF327681 CUB327681 DDX327681 DNT327681 DXP327681 EHL327681 ERH327681 FBD327681 FKZ327681 FUV327681 GER327681 GON327681 GYJ327681 HIF327681 HSB327681 IBX327681 ILT327681 IVP327681 JFL327681 JPH327681 JZD327681 KIZ327681 KSV327681 LCR327681 LMN327681 LWJ327681 MGF327681 MQB327681 MZX327681 NJT327681 NTP327681 ODL327681 ONH327681 OXD327681 PGZ327681 PQV327681 QAR327681 QKN327681 QUJ327681 REF327681 ROB327681 RXX327681 SHT327681 SRP327681 TBL327681 TLH327681 TVD327681 UEZ327681 UOV327681 UYR327681 VIN327681 VSJ327681 WCF327681 WMB327681 WVX327681 P393217 JL393217 TH393217 ADD393217 AMZ393217 AWV393217 BGR393217 BQN393217 CAJ393217 CKF393217 CUB393217 DDX393217 DNT393217 DXP393217 EHL393217 ERH393217 FBD393217 FKZ393217 FUV393217 GER393217 GON393217 GYJ393217 HIF393217 HSB393217 IBX393217 ILT393217 IVP393217 JFL393217 JPH393217 JZD393217 KIZ393217 KSV393217 LCR393217 LMN393217 LWJ393217 MGF393217 MQB393217 MZX393217 NJT393217 NTP393217 ODL393217 ONH393217 OXD393217 PGZ393217 PQV393217 QAR393217 QKN393217 QUJ393217 REF393217 ROB393217 RXX393217 SHT393217 SRP393217 TBL393217 TLH393217 TVD393217 UEZ393217 UOV393217 UYR393217 VIN393217 VSJ393217 WCF393217 WMB393217 WVX393217 P458753 JL458753 TH458753 ADD458753 AMZ458753 AWV458753 BGR458753 BQN458753 CAJ458753 CKF458753 CUB458753 DDX458753 DNT458753 DXP458753 EHL458753 ERH458753 FBD458753 FKZ458753 FUV458753 GER458753 GON458753 GYJ458753 HIF458753 HSB458753 IBX458753 ILT458753 IVP458753 JFL458753 JPH458753 JZD458753 KIZ458753 KSV458753 LCR458753 LMN458753 LWJ458753 MGF458753 MQB458753 MZX458753 NJT458753 NTP458753 ODL458753 ONH458753 OXD458753 PGZ458753 PQV458753 QAR458753 QKN458753 QUJ458753 REF458753 ROB458753 RXX458753 SHT458753 SRP458753 TBL458753 TLH458753 TVD458753 UEZ458753 UOV458753 UYR458753 VIN458753 VSJ458753 WCF458753 WMB458753 WVX458753 P524289 JL524289 TH524289 ADD524289 AMZ524289 AWV524289 BGR524289 BQN524289 CAJ524289 CKF524289 CUB524289 DDX524289 DNT524289 DXP524289 EHL524289 ERH524289 FBD524289 FKZ524289 FUV524289 GER524289 GON524289 GYJ524289 HIF524289 HSB524289 IBX524289 ILT524289 IVP524289 JFL524289 JPH524289 JZD524289 KIZ524289 KSV524289 LCR524289 LMN524289 LWJ524289 MGF524289 MQB524289 MZX524289 NJT524289 NTP524289 ODL524289 ONH524289 OXD524289 PGZ524289 PQV524289 QAR524289 QKN524289 QUJ524289 REF524289 ROB524289 RXX524289 SHT524289 SRP524289 TBL524289 TLH524289 TVD524289 UEZ524289 UOV524289 UYR524289 VIN524289 VSJ524289 WCF524289 WMB524289 WVX524289 P589825 JL589825 TH589825 ADD589825 AMZ589825 AWV589825 BGR589825 BQN589825 CAJ589825 CKF589825 CUB589825 DDX589825 DNT589825 DXP589825 EHL589825 ERH589825 FBD589825 FKZ589825 FUV589825 GER589825 GON589825 GYJ589825 HIF589825 HSB589825 IBX589825 ILT589825 IVP589825 JFL589825 JPH589825 JZD589825 KIZ589825 KSV589825 LCR589825 LMN589825 LWJ589825 MGF589825 MQB589825 MZX589825 NJT589825 NTP589825 ODL589825 ONH589825 OXD589825 PGZ589825 PQV589825 QAR589825 QKN589825 QUJ589825 REF589825 ROB589825 RXX589825 SHT589825 SRP589825 TBL589825 TLH589825 TVD589825 UEZ589825 UOV589825 UYR589825 VIN589825 VSJ589825 WCF589825 WMB589825 WVX589825 P655361 JL655361 TH655361 ADD655361 AMZ655361 AWV655361 BGR655361 BQN655361 CAJ655361 CKF655361 CUB655361 DDX655361 DNT655361 DXP655361 EHL655361 ERH655361 FBD655361 FKZ655361 FUV655361 GER655361 GON655361 GYJ655361 HIF655361 HSB655361 IBX655361 ILT655361 IVP655361 JFL655361 JPH655361 JZD655361 KIZ655361 KSV655361 LCR655361 LMN655361 LWJ655361 MGF655361 MQB655361 MZX655361 NJT655361 NTP655361 ODL655361 ONH655361 OXD655361 PGZ655361 PQV655361 QAR655361 QKN655361 QUJ655361 REF655361 ROB655361 RXX655361 SHT655361 SRP655361 TBL655361 TLH655361 TVD655361 UEZ655361 UOV655361 UYR655361 VIN655361 VSJ655361 WCF655361 WMB655361 WVX655361 P720897 JL720897 TH720897 ADD720897 AMZ720897 AWV720897 BGR720897 BQN720897 CAJ720897 CKF720897 CUB720897 DDX720897 DNT720897 DXP720897 EHL720897 ERH720897 FBD720897 FKZ720897 FUV720897 GER720897 GON720897 GYJ720897 HIF720897 HSB720897 IBX720897 ILT720897 IVP720897 JFL720897 JPH720897 JZD720897 KIZ720897 KSV720897 LCR720897 LMN720897 LWJ720897 MGF720897 MQB720897 MZX720897 NJT720897 NTP720897 ODL720897 ONH720897 OXD720897 PGZ720897 PQV720897 QAR720897 QKN720897 QUJ720897 REF720897 ROB720897 RXX720897 SHT720897 SRP720897 TBL720897 TLH720897 TVD720897 UEZ720897 UOV720897 UYR720897 VIN720897 VSJ720897 WCF720897 WMB720897 WVX720897 P786433 JL786433 TH786433 ADD786433 AMZ786433 AWV786433 BGR786433 BQN786433 CAJ786433 CKF786433 CUB786433 DDX786433 DNT786433 DXP786433 EHL786433 ERH786433 FBD786433 FKZ786433 FUV786433 GER786433 GON786433 GYJ786433 HIF786433 HSB786433 IBX786433 ILT786433 IVP786433 JFL786433 JPH786433 JZD786433 KIZ786433 KSV786433 LCR786433 LMN786433 LWJ786433 MGF786433 MQB786433 MZX786433 NJT786433 NTP786433 ODL786433 ONH786433 OXD786433 PGZ786433 PQV786433 QAR786433 QKN786433 QUJ786433 REF786433 ROB786433 RXX786433 SHT786433 SRP786433 TBL786433 TLH786433 TVD786433 UEZ786433 UOV786433 UYR786433 VIN786433 VSJ786433 WCF786433 WMB786433 WVX786433 P851969 JL851969 TH851969 ADD851969 AMZ851969 AWV851969 BGR851969 BQN851969 CAJ851969 CKF851969 CUB851969 DDX851969 DNT851969 DXP851969 EHL851969 ERH851969 FBD851969 FKZ851969 FUV851969 GER851969 GON851969 GYJ851969 HIF851969 HSB851969 IBX851969 ILT851969 IVP851969 JFL851969 JPH851969 JZD851969 KIZ851969 KSV851969 LCR851969 LMN851969 LWJ851969 MGF851969 MQB851969 MZX851969 NJT851969 NTP851969 ODL851969 ONH851969 OXD851969 PGZ851969 PQV851969 QAR851969 QKN851969 QUJ851969 REF851969 ROB851969 RXX851969 SHT851969 SRP851969 TBL851969 TLH851969 TVD851969 UEZ851969 UOV851969 UYR851969 VIN851969 VSJ851969 WCF851969 WMB851969 WVX851969 P917505 JL917505 TH917505 ADD917505 AMZ917505 AWV917505 BGR917505 BQN917505 CAJ917505 CKF917505 CUB917505 DDX917505 DNT917505 DXP917505 EHL917505 ERH917505 FBD917505 FKZ917505 FUV917505 GER917505 GON917505 GYJ917505 HIF917505 HSB917505 IBX917505 ILT917505 IVP917505 JFL917505 JPH917505 JZD917505 KIZ917505 KSV917505 LCR917505 LMN917505 LWJ917505 MGF917505 MQB917505 MZX917505 NJT917505 NTP917505 ODL917505 ONH917505 OXD917505 PGZ917505 PQV917505 QAR917505 QKN917505 QUJ917505 REF917505 ROB917505 RXX917505 SHT917505 SRP917505 TBL917505 TLH917505 TVD917505 UEZ917505 UOV917505 UYR917505 VIN917505 VSJ917505 WCF917505 WMB917505 WVX917505 P983041 JL983041 TH983041 ADD983041 AMZ983041 AWV983041 BGR983041 BQN983041 CAJ983041 CKF983041 CUB983041 DDX983041 DNT983041 DXP983041 EHL983041 ERH983041 FBD983041 FKZ983041 FUV983041 GER983041 GON983041 GYJ983041 HIF983041 HSB983041 IBX983041 ILT983041 IVP983041 JFL983041 JPH983041 JZD983041 KIZ983041 KSV983041 LCR983041 LMN983041 LWJ983041 MGF983041 MQB983041 MZX983041 NJT983041 NTP983041 ODL983041 ONH983041 OXD983041 PGZ983041 PQV983041 QAR983041 QKN983041 QUJ983041 REF983041 ROB983041 RXX983041 SHT983041 SRP983041 TBL983041 TLH983041 TVD983041 UEZ983041 UOV983041 UYR983041 VIN983041 VSJ983041 WCF983041 WMB983041 WVX983041">
      <formula1>"English,French,Spanish,Russian"</formula1>
    </dataValidation>
    <dataValidation type="list" allowBlank="1" showInputMessage="1" showErrorMessage="1" sqref="E49:F60 JA49:JB60 SW49:SX60 ACS49:ACT60 AMO49:AMP60 AWK49:AWL60 BGG49:BGH60 BQC49:BQD60 BZY49:BZZ60 CJU49:CJV60 CTQ49:CTR60 DDM49:DDN60 DNI49:DNJ60 DXE49:DXF60 EHA49:EHB60 EQW49:EQX60 FAS49:FAT60 FKO49:FKP60 FUK49:FUL60 GEG49:GEH60 GOC49:GOD60 GXY49:GXZ60 HHU49:HHV60 HRQ49:HRR60 IBM49:IBN60 ILI49:ILJ60 IVE49:IVF60 JFA49:JFB60 JOW49:JOX60 JYS49:JYT60 KIO49:KIP60 KSK49:KSL60 LCG49:LCH60 LMC49:LMD60 LVY49:LVZ60 MFU49:MFV60 MPQ49:MPR60 MZM49:MZN60 NJI49:NJJ60 NTE49:NTF60 ODA49:ODB60 OMW49:OMX60 OWS49:OWT60 PGO49:PGP60 PQK49:PQL60 QAG49:QAH60 QKC49:QKD60 QTY49:QTZ60 RDU49:RDV60 RNQ49:RNR60 RXM49:RXN60 SHI49:SHJ60 SRE49:SRF60 TBA49:TBB60 TKW49:TKX60 TUS49:TUT60 UEO49:UEP60 UOK49:UOL60 UYG49:UYH60 VIC49:VID60 VRY49:VRZ60 WBU49:WBV60 WLQ49:WLR60 WVM49:WVN60 E65585:F65596 JA65585:JB65596 SW65585:SX65596 ACS65585:ACT65596 AMO65585:AMP65596 AWK65585:AWL65596 BGG65585:BGH65596 BQC65585:BQD65596 BZY65585:BZZ65596 CJU65585:CJV65596 CTQ65585:CTR65596 DDM65585:DDN65596 DNI65585:DNJ65596 DXE65585:DXF65596 EHA65585:EHB65596 EQW65585:EQX65596 FAS65585:FAT65596 FKO65585:FKP65596 FUK65585:FUL65596 GEG65585:GEH65596 GOC65585:GOD65596 GXY65585:GXZ65596 HHU65585:HHV65596 HRQ65585:HRR65596 IBM65585:IBN65596 ILI65585:ILJ65596 IVE65585:IVF65596 JFA65585:JFB65596 JOW65585:JOX65596 JYS65585:JYT65596 KIO65585:KIP65596 KSK65585:KSL65596 LCG65585:LCH65596 LMC65585:LMD65596 LVY65585:LVZ65596 MFU65585:MFV65596 MPQ65585:MPR65596 MZM65585:MZN65596 NJI65585:NJJ65596 NTE65585:NTF65596 ODA65585:ODB65596 OMW65585:OMX65596 OWS65585:OWT65596 PGO65585:PGP65596 PQK65585:PQL65596 QAG65585:QAH65596 QKC65585:QKD65596 QTY65585:QTZ65596 RDU65585:RDV65596 RNQ65585:RNR65596 RXM65585:RXN65596 SHI65585:SHJ65596 SRE65585:SRF65596 TBA65585:TBB65596 TKW65585:TKX65596 TUS65585:TUT65596 UEO65585:UEP65596 UOK65585:UOL65596 UYG65585:UYH65596 VIC65585:VID65596 VRY65585:VRZ65596 WBU65585:WBV65596 WLQ65585:WLR65596 WVM65585:WVN65596 E131121:F131132 JA131121:JB131132 SW131121:SX131132 ACS131121:ACT131132 AMO131121:AMP131132 AWK131121:AWL131132 BGG131121:BGH131132 BQC131121:BQD131132 BZY131121:BZZ131132 CJU131121:CJV131132 CTQ131121:CTR131132 DDM131121:DDN131132 DNI131121:DNJ131132 DXE131121:DXF131132 EHA131121:EHB131132 EQW131121:EQX131132 FAS131121:FAT131132 FKO131121:FKP131132 FUK131121:FUL131132 GEG131121:GEH131132 GOC131121:GOD131132 GXY131121:GXZ131132 HHU131121:HHV131132 HRQ131121:HRR131132 IBM131121:IBN131132 ILI131121:ILJ131132 IVE131121:IVF131132 JFA131121:JFB131132 JOW131121:JOX131132 JYS131121:JYT131132 KIO131121:KIP131132 KSK131121:KSL131132 LCG131121:LCH131132 LMC131121:LMD131132 LVY131121:LVZ131132 MFU131121:MFV131132 MPQ131121:MPR131132 MZM131121:MZN131132 NJI131121:NJJ131132 NTE131121:NTF131132 ODA131121:ODB131132 OMW131121:OMX131132 OWS131121:OWT131132 PGO131121:PGP131132 PQK131121:PQL131132 QAG131121:QAH131132 QKC131121:QKD131132 QTY131121:QTZ131132 RDU131121:RDV131132 RNQ131121:RNR131132 RXM131121:RXN131132 SHI131121:SHJ131132 SRE131121:SRF131132 TBA131121:TBB131132 TKW131121:TKX131132 TUS131121:TUT131132 UEO131121:UEP131132 UOK131121:UOL131132 UYG131121:UYH131132 VIC131121:VID131132 VRY131121:VRZ131132 WBU131121:WBV131132 WLQ131121:WLR131132 WVM131121:WVN131132 E196657:F196668 JA196657:JB196668 SW196657:SX196668 ACS196657:ACT196668 AMO196657:AMP196668 AWK196657:AWL196668 BGG196657:BGH196668 BQC196657:BQD196668 BZY196657:BZZ196668 CJU196657:CJV196668 CTQ196657:CTR196668 DDM196657:DDN196668 DNI196657:DNJ196668 DXE196657:DXF196668 EHA196657:EHB196668 EQW196657:EQX196668 FAS196657:FAT196668 FKO196657:FKP196668 FUK196657:FUL196668 GEG196657:GEH196668 GOC196657:GOD196668 GXY196657:GXZ196668 HHU196657:HHV196668 HRQ196657:HRR196668 IBM196657:IBN196668 ILI196657:ILJ196668 IVE196657:IVF196668 JFA196657:JFB196668 JOW196657:JOX196668 JYS196657:JYT196668 KIO196657:KIP196668 KSK196657:KSL196668 LCG196657:LCH196668 LMC196657:LMD196668 LVY196657:LVZ196668 MFU196657:MFV196668 MPQ196657:MPR196668 MZM196657:MZN196668 NJI196657:NJJ196668 NTE196657:NTF196668 ODA196657:ODB196668 OMW196657:OMX196668 OWS196657:OWT196668 PGO196657:PGP196668 PQK196657:PQL196668 QAG196657:QAH196668 QKC196657:QKD196668 QTY196657:QTZ196668 RDU196657:RDV196668 RNQ196657:RNR196668 RXM196657:RXN196668 SHI196657:SHJ196668 SRE196657:SRF196668 TBA196657:TBB196668 TKW196657:TKX196668 TUS196657:TUT196668 UEO196657:UEP196668 UOK196657:UOL196668 UYG196657:UYH196668 VIC196657:VID196668 VRY196657:VRZ196668 WBU196657:WBV196668 WLQ196657:WLR196668 WVM196657:WVN196668 E262193:F262204 JA262193:JB262204 SW262193:SX262204 ACS262193:ACT262204 AMO262193:AMP262204 AWK262193:AWL262204 BGG262193:BGH262204 BQC262193:BQD262204 BZY262193:BZZ262204 CJU262193:CJV262204 CTQ262193:CTR262204 DDM262193:DDN262204 DNI262193:DNJ262204 DXE262193:DXF262204 EHA262193:EHB262204 EQW262193:EQX262204 FAS262193:FAT262204 FKO262193:FKP262204 FUK262193:FUL262204 GEG262193:GEH262204 GOC262193:GOD262204 GXY262193:GXZ262204 HHU262193:HHV262204 HRQ262193:HRR262204 IBM262193:IBN262204 ILI262193:ILJ262204 IVE262193:IVF262204 JFA262193:JFB262204 JOW262193:JOX262204 JYS262193:JYT262204 KIO262193:KIP262204 KSK262193:KSL262204 LCG262193:LCH262204 LMC262193:LMD262204 LVY262193:LVZ262204 MFU262193:MFV262204 MPQ262193:MPR262204 MZM262193:MZN262204 NJI262193:NJJ262204 NTE262193:NTF262204 ODA262193:ODB262204 OMW262193:OMX262204 OWS262193:OWT262204 PGO262193:PGP262204 PQK262193:PQL262204 QAG262193:QAH262204 QKC262193:QKD262204 QTY262193:QTZ262204 RDU262193:RDV262204 RNQ262193:RNR262204 RXM262193:RXN262204 SHI262193:SHJ262204 SRE262193:SRF262204 TBA262193:TBB262204 TKW262193:TKX262204 TUS262193:TUT262204 UEO262193:UEP262204 UOK262193:UOL262204 UYG262193:UYH262204 VIC262193:VID262204 VRY262193:VRZ262204 WBU262193:WBV262204 WLQ262193:WLR262204 WVM262193:WVN262204 E327729:F327740 JA327729:JB327740 SW327729:SX327740 ACS327729:ACT327740 AMO327729:AMP327740 AWK327729:AWL327740 BGG327729:BGH327740 BQC327729:BQD327740 BZY327729:BZZ327740 CJU327729:CJV327740 CTQ327729:CTR327740 DDM327729:DDN327740 DNI327729:DNJ327740 DXE327729:DXF327740 EHA327729:EHB327740 EQW327729:EQX327740 FAS327729:FAT327740 FKO327729:FKP327740 FUK327729:FUL327740 GEG327729:GEH327740 GOC327729:GOD327740 GXY327729:GXZ327740 HHU327729:HHV327740 HRQ327729:HRR327740 IBM327729:IBN327740 ILI327729:ILJ327740 IVE327729:IVF327740 JFA327729:JFB327740 JOW327729:JOX327740 JYS327729:JYT327740 KIO327729:KIP327740 KSK327729:KSL327740 LCG327729:LCH327740 LMC327729:LMD327740 LVY327729:LVZ327740 MFU327729:MFV327740 MPQ327729:MPR327740 MZM327729:MZN327740 NJI327729:NJJ327740 NTE327729:NTF327740 ODA327729:ODB327740 OMW327729:OMX327740 OWS327729:OWT327740 PGO327729:PGP327740 PQK327729:PQL327740 QAG327729:QAH327740 QKC327729:QKD327740 QTY327729:QTZ327740 RDU327729:RDV327740 RNQ327729:RNR327740 RXM327729:RXN327740 SHI327729:SHJ327740 SRE327729:SRF327740 TBA327729:TBB327740 TKW327729:TKX327740 TUS327729:TUT327740 UEO327729:UEP327740 UOK327729:UOL327740 UYG327729:UYH327740 VIC327729:VID327740 VRY327729:VRZ327740 WBU327729:WBV327740 WLQ327729:WLR327740 WVM327729:WVN327740 E393265:F393276 JA393265:JB393276 SW393265:SX393276 ACS393265:ACT393276 AMO393265:AMP393276 AWK393265:AWL393276 BGG393265:BGH393276 BQC393265:BQD393276 BZY393265:BZZ393276 CJU393265:CJV393276 CTQ393265:CTR393276 DDM393265:DDN393276 DNI393265:DNJ393276 DXE393265:DXF393276 EHA393265:EHB393276 EQW393265:EQX393276 FAS393265:FAT393276 FKO393265:FKP393276 FUK393265:FUL393276 GEG393265:GEH393276 GOC393265:GOD393276 GXY393265:GXZ393276 HHU393265:HHV393276 HRQ393265:HRR393276 IBM393265:IBN393276 ILI393265:ILJ393276 IVE393265:IVF393276 JFA393265:JFB393276 JOW393265:JOX393276 JYS393265:JYT393276 KIO393265:KIP393276 KSK393265:KSL393276 LCG393265:LCH393276 LMC393265:LMD393276 LVY393265:LVZ393276 MFU393265:MFV393276 MPQ393265:MPR393276 MZM393265:MZN393276 NJI393265:NJJ393276 NTE393265:NTF393276 ODA393265:ODB393276 OMW393265:OMX393276 OWS393265:OWT393276 PGO393265:PGP393276 PQK393265:PQL393276 QAG393265:QAH393276 QKC393265:QKD393276 QTY393265:QTZ393276 RDU393265:RDV393276 RNQ393265:RNR393276 RXM393265:RXN393276 SHI393265:SHJ393276 SRE393265:SRF393276 TBA393265:TBB393276 TKW393265:TKX393276 TUS393265:TUT393276 UEO393265:UEP393276 UOK393265:UOL393276 UYG393265:UYH393276 VIC393265:VID393276 VRY393265:VRZ393276 WBU393265:WBV393276 WLQ393265:WLR393276 WVM393265:WVN393276 E458801:F458812 JA458801:JB458812 SW458801:SX458812 ACS458801:ACT458812 AMO458801:AMP458812 AWK458801:AWL458812 BGG458801:BGH458812 BQC458801:BQD458812 BZY458801:BZZ458812 CJU458801:CJV458812 CTQ458801:CTR458812 DDM458801:DDN458812 DNI458801:DNJ458812 DXE458801:DXF458812 EHA458801:EHB458812 EQW458801:EQX458812 FAS458801:FAT458812 FKO458801:FKP458812 FUK458801:FUL458812 GEG458801:GEH458812 GOC458801:GOD458812 GXY458801:GXZ458812 HHU458801:HHV458812 HRQ458801:HRR458812 IBM458801:IBN458812 ILI458801:ILJ458812 IVE458801:IVF458812 JFA458801:JFB458812 JOW458801:JOX458812 JYS458801:JYT458812 KIO458801:KIP458812 KSK458801:KSL458812 LCG458801:LCH458812 LMC458801:LMD458812 LVY458801:LVZ458812 MFU458801:MFV458812 MPQ458801:MPR458812 MZM458801:MZN458812 NJI458801:NJJ458812 NTE458801:NTF458812 ODA458801:ODB458812 OMW458801:OMX458812 OWS458801:OWT458812 PGO458801:PGP458812 PQK458801:PQL458812 QAG458801:QAH458812 QKC458801:QKD458812 QTY458801:QTZ458812 RDU458801:RDV458812 RNQ458801:RNR458812 RXM458801:RXN458812 SHI458801:SHJ458812 SRE458801:SRF458812 TBA458801:TBB458812 TKW458801:TKX458812 TUS458801:TUT458812 UEO458801:UEP458812 UOK458801:UOL458812 UYG458801:UYH458812 VIC458801:VID458812 VRY458801:VRZ458812 WBU458801:WBV458812 WLQ458801:WLR458812 WVM458801:WVN458812 E524337:F524348 JA524337:JB524348 SW524337:SX524348 ACS524337:ACT524348 AMO524337:AMP524348 AWK524337:AWL524348 BGG524337:BGH524348 BQC524337:BQD524348 BZY524337:BZZ524348 CJU524337:CJV524348 CTQ524337:CTR524348 DDM524337:DDN524348 DNI524337:DNJ524348 DXE524337:DXF524348 EHA524337:EHB524348 EQW524337:EQX524348 FAS524337:FAT524348 FKO524337:FKP524348 FUK524337:FUL524348 GEG524337:GEH524348 GOC524337:GOD524348 GXY524337:GXZ524348 HHU524337:HHV524348 HRQ524337:HRR524348 IBM524337:IBN524348 ILI524337:ILJ524348 IVE524337:IVF524348 JFA524337:JFB524348 JOW524337:JOX524348 JYS524337:JYT524348 KIO524337:KIP524348 KSK524337:KSL524348 LCG524337:LCH524348 LMC524337:LMD524348 LVY524337:LVZ524348 MFU524337:MFV524348 MPQ524337:MPR524348 MZM524337:MZN524348 NJI524337:NJJ524348 NTE524337:NTF524348 ODA524337:ODB524348 OMW524337:OMX524348 OWS524337:OWT524348 PGO524337:PGP524348 PQK524337:PQL524348 QAG524337:QAH524348 QKC524337:QKD524348 QTY524337:QTZ524348 RDU524337:RDV524348 RNQ524337:RNR524348 RXM524337:RXN524348 SHI524337:SHJ524348 SRE524337:SRF524348 TBA524337:TBB524348 TKW524337:TKX524348 TUS524337:TUT524348 UEO524337:UEP524348 UOK524337:UOL524348 UYG524337:UYH524348 VIC524337:VID524348 VRY524337:VRZ524348 WBU524337:WBV524348 WLQ524337:WLR524348 WVM524337:WVN524348 E589873:F589884 JA589873:JB589884 SW589873:SX589884 ACS589873:ACT589884 AMO589873:AMP589884 AWK589873:AWL589884 BGG589873:BGH589884 BQC589873:BQD589884 BZY589873:BZZ589884 CJU589873:CJV589884 CTQ589873:CTR589884 DDM589873:DDN589884 DNI589873:DNJ589884 DXE589873:DXF589884 EHA589873:EHB589884 EQW589873:EQX589884 FAS589873:FAT589884 FKO589873:FKP589884 FUK589873:FUL589884 GEG589873:GEH589884 GOC589873:GOD589884 GXY589873:GXZ589884 HHU589873:HHV589884 HRQ589873:HRR589884 IBM589873:IBN589884 ILI589873:ILJ589884 IVE589873:IVF589884 JFA589873:JFB589884 JOW589873:JOX589884 JYS589873:JYT589884 KIO589873:KIP589884 KSK589873:KSL589884 LCG589873:LCH589884 LMC589873:LMD589884 LVY589873:LVZ589884 MFU589873:MFV589884 MPQ589873:MPR589884 MZM589873:MZN589884 NJI589873:NJJ589884 NTE589873:NTF589884 ODA589873:ODB589884 OMW589873:OMX589884 OWS589873:OWT589884 PGO589873:PGP589884 PQK589873:PQL589884 QAG589873:QAH589884 QKC589873:QKD589884 QTY589873:QTZ589884 RDU589873:RDV589884 RNQ589873:RNR589884 RXM589873:RXN589884 SHI589873:SHJ589884 SRE589873:SRF589884 TBA589873:TBB589884 TKW589873:TKX589884 TUS589873:TUT589884 UEO589873:UEP589884 UOK589873:UOL589884 UYG589873:UYH589884 VIC589873:VID589884 VRY589873:VRZ589884 WBU589873:WBV589884 WLQ589873:WLR589884 WVM589873:WVN589884 E655409:F655420 JA655409:JB655420 SW655409:SX655420 ACS655409:ACT655420 AMO655409:AMP655420 AWK655409:AWL655420 BGG655409:BGH655420 BQC655409:BQD655420 BZY655409:BZZ655420 CJU655409:CJV655420 CTQ655409:CTR655420 DDM655409:DDN655420 DNI655409:DNJ655420 DXE655409:DXF655420 EHA655409:EHB655420 EQW655409:EQX655420 FAS655409:FAT655420 FKO655409:FKP655420 FUK655409:FUL655420 GEG655409:GEH655420 GOC655409:GOD655420 GXY655409:GXZ655420 HHU655409:HHV655420 HRQ655409:HRR655420 IBM655409:IBN655420 ILI655409:ILJ655420 IVE655409:IVF655420 JFA655409:JFB655420 JOW655409:JOX655420 JYS655409:JYT655420 KIO655409:KIP655420 KSK655409:KSL655420 LCG655409:LCH655420 LMC655409:LMD655420 LVY655409:LVZ655420 MFU655409:MFV655420 MPQ655409:MPR655420 MZM655409:MZN655420 NJI655409:NJJ655420 NTE655409:NTF655420 ODA655409:ODB655420 OMW655409:OMX655420 OWS655409:OWT655420 PGO655409:PGP655420 PQK655409:PQL655420 QAG655409:QAH655420 QKC655409:QKD655420 QTY655409:QTZ655420 RDU655409:RDV655420 RNQ655409:RNR655420 RXM655409:RXN655420 SHI655409:SHJ655420 SRE655409:SRF655420 TBA655409:TBB655420 TKW655409:TKX655420 TUS655409:TUT655420 UEO655409:UEP655420 UOK655409:UOL655420 UYG655409:UYH655420 VIC655409:VID655420 VRY655409:VRZ655420 WBU655409:WBV655420 WLQ655409:WLR655420 WVM655409:WVN655420 E720945:F720956 JA720945:JB720956 SW720945:SX720956 ACS720945:ACT720956 AMO720945:AMP720956 AWK720945:AWL720956 BGG720945:BGH720956 BQC720945:BQD720956 BZY720945:BZZ720956 CJU720945:CJV720956 CTQ720945:CTR720956 DDM720945:DDN720956 DNI720945:DNJ720956 DXE720945:DXF720956 EHA720945:EHB720956 EQW720945:EQX720956 FAS720945:FAT720956 FKO720945:FKP720956 FUK720945:FUL720956 GEG720945:GEH720956 GOC720945:GOD720956 GXY720945:GXZ720956 HHU720945:HHV720956 HRQ720945:HRR720956 IBM720945:IBN720956 ILI720945:ILJ720956 IVE720945:IVF720956 JFA720945:JFB720956 JOW720945:JOX720956 JYS720945:JYT720956 KIO720945:KIP720956 KSK720945:KSL720956 LCG720945:LCH720956 LMC720945:LMD720956 LVY720945:LVZ720956 MFU720945:MFV720956 MPQ720945:MPR720956 MZM720945:MZN720956 NJI720945:NJJ720956 NTE720945:NTF720956 ODA720945:ODB720956 OMW720945:OMX720956 OWS720945:OWT720956 PGO720945:PGP720956 PQK720945:PQL720956 QAG720945:QAH720956 QKC720945:QKD720956 QTY720945:QTZ720956 RDU720945:RDV720956 RNQ720945:RNR720956 RXM720945:RXN720956 SHI720945:SHJ720956 SRE720945:SRF720956 TBA720945:TBB720956 TKW720945:TKX720956 TUS720945:TUT720956 UEO720945:UEP720956 UOK720945:UOL720956 UYG720945:UYH720956 VIC720945:VID720956 VRY720945:VRZ720956 WBU720945:WBV720956 WLQ720945:WLR720956 WVM720945:WVN720956 E786481:F786492 JA786481:JB786492 SW786481:SX786492 ACS786481:ACT786492 AMO786481:AMP786492 AWK786481:AWL786492 BGG786481:BGH786492 BQC786481:BQD786492 BZY786481:BZZ786492 CJU786481:CJV786492 CTQ786481:CTR786492 DDM786481:DDN786492 DNI786481:DNJ786492 DXE786481:DXF786492 EHA786481:EHB786492 EQW786481:EQX786492 FAS786481:FAT786492 FKO786481:FKP786492 FUK786481:FUL786492 GEG786481:GEH786492 GOC786481:GOD786492 GXY786481:GXZ786492 HHU786481:HHV786492 HRQ786481:HRR786492 IBM786481:IBN786492 ILI786481:ILJ786492 IVE786481:IVF786492 JFA786481:JFB786492 JOW786481:JOX786492 JYS786481:JYT786492 KIO786481:KIP786492 KSK786481:KSL786492 LCG786481:LCH786492 LMC786481:LMD786492 LVY786481:LVZ786492 MFU786481:MFV786492 MPQ786481:MPR786492 MZM786481:MZN786492 NJI786481:NJJ786492 NTE786481:NTF786492 ODA786481:ODB786492 OMW786481:OMX786492 OWS786481:OWT786492 PGO786481:PGP786492 PQK786481:PQL786492 QAG786481:QAH786492 QKC786481:QKD786492 QTY786481:QTZ786492 RDU786481:RDV786492 RNQ786481:RNR786492 RXM786481:RXN786492 SHI786481:SHJ786492 SRE786481:SRF786492 TBA786481:TBB786492 TKW786481:TKX786492 TUS786481:TUT786492 UEO786481:UEP786492 UOK786481:UOL786492 UYG786481:UYH786492 VIC786481:VID786492 VRY786481:VRZ786492 WBU786481:WBV786492 WLQ786481:WLR786492 WVM786481:WVN786492 E852017:F852028 JA852017:JB852028 SW852017:SX852028 ACS852017:ACT852028 AMO852017:AMP852028 AWK852017:AWL852028 BGG852017:BGH852028 BQC852017:BQD852028 BZY852017:BZZ852028 CJU852017:CJV852028 CTQ852017:CTR852028 DDM852017:DDN852028 DNI852017:DNJ852028 DXE852017:DXF852028 EHA852017:EHB852028 EQW852017:EQX852028 FAS852017:FAT852028 FKO852017:FKP852028 FUK852017:FUL852028 GEG852017:GEH852028 GOC852017:GOD852028 GXY852017:GXZ852028 HHU852017:HHV852028 HRQ852017:HRR852028 IBM852017:IBN852028 ILI852017:ILJ852028 IVE852017:IVF852028 JFA852017:JFB852028 JOW852017:JOX852028 JYS852017:JYT852028 KIO852017:KIP852028 KSK852017:KSL852028 LCG852017:LCH852028 LMC852017:LMD852028 LVY852017:LVZ852028 MFU852017:MFV852028 MPQ852017:MPR852028 MZM852017:MZN852028 NJI852017:NJJ852028 NTE852017:NTF852028 ODA852017:ODB852028 OMW852017:OMX852028 OWS852017:OWT852028 PGO852017:PGP852028 PQK852017:PQL852028 QAG852017:QAH852028 QKC852017:QKD852028 QTY852017:QTZ852028 RDU852017:RDV852028 RNQ852017:RNR852028 RXM852017:RXN852028 SHI852017:SHJ852028 SRE852017:SRF852028 TBA852017:TBB852028 TKW852017:TKX852028 TUS852017:TUT852028 UEO852017:UEP852028 UOK852017:UOL852028 UYG852017:UYH852028 VIC852017:VID852028 VRY852017:VRZ852028 WBU852017:WBV852028 WLQ852017:WLR852028 WVM852017:WVN852028 E917553:F917564 JA917553:JB917564 SW917553:SX917564 ACS917553:ACT917564 AMO917553:AMP917564 AWK917553:AWL917564 BGG917553:BGH917564 BQC917553:BQD917564 BZY917553:BZZ917564 CJU917553:CJV917564 CTQ917553:CTR917564 DDM917553:DDN917564 DNI917553:DNJ917564 DXE917553:DXF917564 EHA917553:EHB917564 EQW917553:EQX917564 FAS917553:FAT917564 FKO917553:FKP917564 FUK917553:FUL917564 GEG917553:GEH917564 GOC917553:GOD917564 GXY917553:GXZ917564 HHU917553:HHV917564 HRQ917553:HRR917564 IBM917553:IBN917564 ILI917553:ILJ917564 IVE917553:IVF917564 JFA917553:JFB917564 JOW917553:JOX917564 JYS917553:JYT917564 KIO917553:KIP917564 KSK917553:KSL917564 LCG917553:LCH917564 LMC917553:LMD917564 LVY917553:LVZ917564 MFU917553:MFV917564 MPQ917553:MPR917564 MZM917553:MZN917564 NJI917553:NJJ917564 NTE917553:NTF917564 ODA917553:ODB917564 OMW917553:OMX917564 OWS917553:OWT917564 PGO917553:PGP917564 PQK917553:PQL917564 QAG917553:QAH917564 QKC917553:QKD917564 QTY917553:QTZ917564 RDU917553:RDV917564 RNQ917553:RNR917564 RXM917553:RXN917564 SHI917553:SHJ917564 SRE917553:SRF917564 TBA917553:TBB917564 TKW917553:TKX917564 TUS917553:TUT917564 UEO917553:UEP917564 UOK917553:UOL917564 UYG917553:UYH917564 VIC917553:VID917564 VRY917553:VRZ917564 WBU917553:WBV917564 WLQ917553:WLR917564 WVM917553:WVN917564 E983089:F983100 JA983089:JB983100 SW983089:SX983100 ACS983089:ACT983100 AMO983089:AMP983100 AWK983089:AWL983100 BGG983089:BGH983100 BQC983089:BQD983100 BZY983089:BZZ983100 CJU983089:CJV983100 CTQ983089:CTR983100 DDM983089:DDN983100 DNI983089:DNJ983100 DXE983089:DXF983100 EHA983089:EHB983100 EQW983089:EQX983100 FAS983089:FAT983100 FKO983089:FKP983100 FUK983089:FUL983100 GEG983089:GEH983100 GOC983089:GOD983100 GXY983089:GXZ983100 HHU983089:HHV983100 HRQ983089:HRR983100 IBM983089:IBN983100 ILI983089:ILJ983100 IVE983089:IVF983100 JFA983089:JFB983100 JOW983089:JOX983100 JYS983089:JYT983100 KIO983089:KIP983100 KSK983089:KSL983100 LCG983089:LCH983100 LMC983089:LMD983100 LVY983089:LVZ983100 MFU983089:MFV983100 MPQ983089:MPR983100 MZM983089:MZN983100 NJI983089:NJJ983100 NTE983089:NTF983100 ODA983089:ODB983100 OMW983089:OMX983100 OWS983089:OWT983100 PGO983089:PGP983100 PQK983089:PQL983100 QAG983089:QAH983100 QKC983089:QKD983100 QTY983089:QTZ983100 RDU983089:RDV983100 RNQ983089:RNR983100 RXM983089:RXN983100 SHI983089:SHJ983100 SRE983089:SRF983100 TBA983089:TBB983100 TKW983089:TKX983100 TUS983089:TUT983100 UEO983089:UEP983100 UOK983089:UOL983100 UYG983089:UYH983100 VIC983089:VID983100 VRY983089:VRZ983100 WBU983089:WBV983100 WLQ983089:WLR983100 WVM983089:WVN983100">
      <formula1>TiedTo</formula1>
    </dataValidation>
    <dataValidation allowBlank="1" showInputMessage="1" sqref="U35:U39 JQ35:JQ39 TM35:TM39 ADI35:ADI39 ANE35:ANE39 AXA35:AXA39 BGW35:BGW39 BQS35:BQS39 CAO35:CAO39 CKK35:CKK39 CUG35:CUG39 DEC35:DEC39 DNY35:DNY39 DXU35:DXU39 EHQ35:EHQ39 ERM35:ERM39 FBI35:FBI39 FLE35:FLE39 FVA35:FVA39 GEW35:GEW39 GOS35:GOS39 GYO35:GYO39 HIK35:HIK39 HSG35:HSG39 ICC35:ICC39 ILY35:ILY39 IVU35:IVU39 JFQ35:JFQ39 JPM35:JPM39 JZI35:JZI39 KJE35:KJE39 KTA35:KTA39 LCW35:LCW39 LMS35:LMS39 LWO35:LWO39 MGK35:MGK39 MQG35:MQG39 NAC35:NAC39 NJY35:NJY39 NTU35:NTU39 ODQ35:ODQ39 ONM35:ONM39 OXI35:OXI39 PHE35:PHE39 PRA35:PRA39 QAW35:QAW39 QKS35:QKS39 QUO35:QUO39 REK35:REK39 ROG35:ROG39 RYC35:RYC39 SHY35:SHY39 SRU35:SRU39 TBQ35:TBQ39 TLM35:TLM39 TVI35:TVI39 UFE35:UFE39 UPA35:UPA39 UYW35:UYW39 VIS35:VIS39 VSO35:VSO39 WCK35:WCK39 WMG35:WMG39 WWC35:WWC39 U65571:U65575 JQ65571:JQ65575 TM65571:TM65575 ADI65571:ADI65575 ANE65571:ANE65575 AXA65571:AXA65575 BGW65571:BGW65575 BQS65571:BQS65575 CAO65571:CAO65575 CKK65571:CKK65575 CUG65571:CUG65575 DEC65571:DEC65575 DNY65571:DNY65575 DXU65571:DXU65575 EHQ65571:EHQ65575 ERM65571:ERM65575 FBI65571:FBI65575 FLE65571:FLE65575 FVA65571:FVA65575 GEW65571:GEW65575 GOS65571:GOS65575 GYO65571:GYO65575 HIK65571:HIK65575 HSG65571:HSG65575 ICC65571:ICC65575 ILY65571:ILY65575 IVU65571:IVU65575 JFQ65571:JFQ65575 JPM65571:JPM65575 JZI65571:JZI65575 KJE65571:KJE65575 KTA65571:KTA65575 LCW65571:LCW65575 LMS65571:LMS65575 LWO65571:LWO65575 MGK65571:MGK65575 MQG65571:MQG65575 NAC65571:NAC65575 NJY65571:NJY65575 NTU65571:NTU65575 ODQ65571:ODQ65575 ONM65571:ONM65575 OXI65571:OXI65575 PHE65571:PHE65575 PRA65571:PRA65575 QAW65571:QAW65575 QKS65571:QKS65575 QUO65571:QUO65575 REK65571:REK65575 ROG65571:ROG65575 RYC65571:RYC65575 SHY65571:SHY65575 SRU65571:SRU65575 TBQ65571:TBQ65575 TLM65571:TLM65575 TVI65571:TVI65575 UFE65571:UFE65575 UPA65571:UPA65575 UYW65571:UYW65575 VIS65571:VIS65575 VSO65571:VSO65575 WCK65571:WCK65575 WMG65571:WMG65575 WWC65571:WWC65575 U131107:U131111 JQ131107:JQ131111 TM131107:TM131111 ADI131107:ADI131111 ANE131107:ANE131111 AXA131107:AXA131111 BGW131107:BGW131111 BQS131107:BQS131111 CAO131107:CAO131111 CKK131107:CKK131111 CUG131107:CUG131111 DEC131107:DEC131111 DNY131107:DNY131111 DXU131107:DXU131111 EHQ131107:EHQ131111 ERM131107:ERM131111 FBI131107:FBI131111 FLE131107:FLE131111 FVA131107:FVA131111 GEW131107:GEW131111 GOS131107:GOS131111 GYO131107:GYO131111 HIK131107:HIK131111 HSG131107:HSG131111 ICC131107:ICC131111 ILY131107:ILY131111 IVU131107:IVU131111 JFQ131107:JFQ131111 JPM131107:JPM131111 JZI131107:JZI131111 KJE131107:KJE131111 KTA131107:KTA131111 LCW131107:LCW131111 LMS131107:LMS131111 LWO131107:LWO131111 MGK131107:MGK131111 MQG131107:MQG131111 NAC131107:NAC131111 NJY131107:NJY131111 NTU131107:NTU131111 ODQ131107:ODQ131111 ONM131107:ONM131111 OXI131107:OXI131111 PHE131107:PHE131111 PRA131107:PRA131111 QAW131107:QAW131111 QKS131107:QKS131111 QUO131107:QUO131111 REK131107:REK131111 ROG131107:ROG131111 RYC131107:RYC131111 SHY131107:SHY131111 SRU131107:SRU131111 TBQ131107:TBQ131111 TLM131107:TLM131111 TVI131107:TVI131111 UFE131107:UFE131111 UPA131107:UPA131111 UYW131107:UYW131111 VIS131107:VIS131111 VSO131107:VSO131111 WCK131107:WCK131111 WMG131107:WMG131111 WWC131107:WWC131111 U196643:U196647 JQ196643:JQ196647 TM196643:TM196647 ADI196643:ADI196647 ANE196643:ANE196647 AXA196643:AXA196647 BGW196643:BGW196647 BQS196643:BQS196647 CAO196643:CAO196647 CKK196643:CKK196647 CUG196643:CUG196647 DEC196643:DEC196647 DNY196643:DNY196647 DXU196643:DXU196647 EHQ196643:EHQ196647 ERM196643:ERM196647 FBI196643:FBI196647 FLE196643:FLE196647 FVA196643:FVA196647 GEW196643:GEW196647 GOS196643:GOS196647 GYO196643:GYO196647 HIK196643:HIK196647 HSG196643:HSG196647 ICC196643:ICC196647 ILY196643:ILY196647 IVU196643:IVU196647 JFQ196643:JFQ196647 JPM196643:JPM196647 JZI196643:JZI196647 KJE196643:KJE196647 KTA196643:KTA196647 LCW196643:LCW196647 LMS196643:LMS196647 LWO196643:LWO196647 MGK196643:MGK196647 MQG196643:MQG196647 NAC196643:NAC196647 NJY196643:NJY196647 NTU196643:NTU196647 ODQ196643:ODQ196647 ONM196643:ONM196647 OXI196643:OXI196647 PHE196643:PHE196647 PRA196643:PRA196647 QAW196643:QAW196647 QKS196643:QKS196647 QUO196643:QUO196647 REK196643:REK196647 ROG196643:ROG196647 RYC196643:RYC196647 SHY196643:SHY196647 SRU196643:SRU196647 TBQ196643:TBQ196647 TLM196643:TLM196647 TVI196643:TVI196647 UFE196643:UFE196647 UPA196643:UPA196647 UYW196643:UYW196647 VIS196643:VIS196647 VSO196643:VSO196647 WCK196643:WCK196647 WMG196643:WMG196647 WWC196643:WWC196647 U262179:U262183 JQ262179:JQ262183 TM262179:TM262183 ADI262179:ADI262183 ANE262179:ANE262183 AXA262179:AXA262183 BGW262179:BGW262183 BQS262179:BQS262183 CAO262179:CAO262183 CKK262179:CKK262183 CUG262179:CUG262183 DEC262179:DEC262183 DNY262179:DNY262183 DXU262179:DXU262183 EHQ262179:EHQ262183 ERM262179:ERM262183 FBI262179:FBI262183 FLE262179:FLE262183 FVA262179:FVA262183 GEW262179:GEW262183 GOS262179:GOS262183 GYO262179:GYO262183 HIK262179:HIK262183 HSG262179:HSG262183 ICC262179:ICC262183 ILY262179:ILY262183 IVU262179:IVU262183 JFQ262179:JFQ262183 JPM262179:JPM262183 JZI262179:JZI262183 KJE262179:KJE262183 KTA262179:KTA262183 LCW262179:LCW262183 LMS262179:LMS262183 LWO262179:LWO262183 MGK262179:MGK262183 MQG262179:MQG262183 NAC262179:NAC262183 NJY262179:NJY262183 NTU262179:NTU262183 ODQ262179:ODQ262183 ONM262179:ONM262183 OXI262179:OXI262183 PHE262179:PHE262183 PRA262179:PRA262183 QAW262179:QAW262183 QKS262179:QKS262183 QUO262179:QUO262183 REK262179:REK262183 ROG262179:ROG262183 RYC262179:RYC262183 SHY262179:SHY262183 SRU262179:SRU262183 TBQ262179:TBQ262183 TLM262179:TLM262183 TVI262179:TVI262183 UFE262179:UFE262183 UPA262179:UPA262183 UYW262179:UYW262183 VIS262179:VIS262183 VSO262179:VSO262183 WCK262179:WCK262183 WMG262179:WMG262183 WWC262179:WWC262183 U327715:U327719 JQ327715:JQ327719 TM327715:TM327719 ADI327715:ADI327719 ANE327715:ANE327719 AXA327715:AXA327719 BGW327715:BGW327719 BQS327715:BQS327719 CAO327715:CAO327719 CKK327715:CKK327719 CUG327715:CUG327719 DEC327715:DEC327719 DNY327715:DNY327719 DXU327715:DXU327719 EHQ327715:EHQ327719 ERM327715:ERM327719 FBI327715:FBI327719 FLE327715:FLE327719 FVA327715:FVA327719 GEW327715:GEW327719 GOS327715:GOS327719 GYO327715:GYO327719 HIK327715:HIK327719 HSG327715:HSG327719 ICC327715:ICC327719 ILY327715:ILY327719 IVU327715:IVU327719 JFQ327715:JFQ327719 JPM327715:JPM327719 JZI327715:JZI327719 KJE327715:KJE327719 KTA327715:KTA327719 LCW327715:LCW327719 LMS327715:LMS327719 LWO327715:LWO327719 MGK327715:MGK327719 MQG327715:MQG327719 NAC327715:NAC327719 NJY327715:NJY327719 NTU327715:NTU327719 ODQ327715:ODQ327719 ONM327715:ONM327719 OXI327715:OXI327719 PHE327715:PHE327719 PRA327715:PRA327719 QAW327715:QAW327719 QKS327715:QKS327719 QUO327715:QUO327719 REK327715:REK327719 ROG327715:ROG327719 RYC327715:RYC327719 SHY327715:SHY327719 SRU327715:SRU327719 TBQ327715:TBQ327719 TLM327715:TLM327719 TVI327715:TVI327719 UFE327715:UFE327719 UPA327715:UPA327719 UYW327715:UYW327719 VIS327715:VIS327719 VSO327715:VSO327719 WCK327715:WCK327719 WMG327715:WMG327719 WWC327715:WWC327719 U393251:U393255 JQ393251:JQ393255 TM393251:TM393255 ADI393251:ADI393255 ANE393251:ANE393255 AXA393251:AXA393255 BGW393251:BGW393255 BQS393251:BQS393255 CAO393251:CAO393255 CKK393251:CKK393255 CUG393251:CUG393255 DEC393251:DEC393255 DNY393251:DNY393255 DXU393251:DXU393255 EHQ393251:EHQ393255 ERM393251:ERM393255 FBI393251:FBI393255 FLE393251:FLE393255 FVA393251:FVA393255 GEW393251:GEW393255 GOS393251:GOS393255 GYO393251:GYO393255 HIK393251:HIK393255 HSG393251:HSG393255 ICC393251:ICC393255 ILY393251:ILY393255 IVU393251:IVU393255 JFQ393251:JFQ393255 JPM393251:JPM393255 JZI393251:JZI393255 KJE393251:KJE393255 KTA393251:KTA393255 LCW393251:LCW393255 LMS393251:LMS393255 LWO393251:LWO393255 MGK393251:MGK393255 MQG393251:MQG393255 NAC393251:NAC393255 NJY393251:NJY393255 NTU393251:NTU393255 ODQ393251:ODQ393255 ONM393251:ONM393255 OXI393251:OXI393255 PHE393251:PHE393255 PRA393251:PRA393255 QAW393251:QAW393255 QKS393251:QKS393255 QUO393251:QUO393255 REK393251:REK393255 ROG393251:ROG393255 RYC393251:RYC393255 SHY393251:SHY393255 SRU393251:SRU393255 TBQ393251:TBQ393255 TLM393251:TLM393255 TVI393251:TVI393255 UFE393251:UFE393255 UPA393251:UPA393255 UYW393251:UYW393255 VIS393251:VIS393255 VSO393251:VSO393255 WCK393251:WCK393255 WMG393251:WMG393255 WWC393251:WWC393255 U458787:U458791 JQ458787:JQ458791 TM458787:TM458791 ADI458787:ADI458791 ANE458787:ANE458791 AXA458787:AXA458791 BGW458787:BGW458791 BQS458787:BQS458791 CAO458787:CAO458791 CKK458787:CKK458791 CUG458787:CUG458791 DEC458787:DEC458791 DNY458787:DNY458791 DXU458787:DXU458791 EHQ458787:EHQ458791 ERM458787:ERM458791 FBI458787:FBI458791 FLE458787:FLE458791 FVA458787:FVA458791 GEW458787:GEW458791 GOS458787:GOS458791 GYO458787:GYO458791 HIK458787:HIK458791 HSG458787:HSG458791 ICC458787:ICC458791 ILY458787:ILY458791 IVU458787:IVU458791 JFQ458787:JFQ458791 JPM458787:JPM458791 JZI458787:JZI458791 KJE458787:KJE458791 KTA458787:KTA458791 LCW458787:LCW458791 LMS458787:LMS458791 LWO458787:LWO458791 MGK458787:MGK458791 MQG458787:MQG458791 NAC458787:NAC458791 NJY458787:NJY458791 NTU458787:NTU458791 ODQ458787:ODQ458791 ONM458787:ONM458791 OXI458787:OXI458791 PHE458787:PHE458791 PRA458787:PRA458791 QAW458787:QAW458791 QKS458787:QKS458791 QUO458787:QUO458791 REK458787:REK458791 ROG458787:ROG458791 RYC458787:RYC458791 SHY458787:SHY458791 SRU458787:SRU458791 TBQ458787:TBQ458791 TLM458787:TLM458791 TVI458787:TVI458791 UFE458787:UFE458791 UPA458787:UPA458791 UYW458787:UYW458791 VIS458787:VIS458791 VSO458787:VSO458791 WCK458787:WCK458791 WMG458787:WMG458791 WWC458787:WWC458791 U524323:U524327 JQ524323:JQ524327 TM524323:TM524327 ADI524323:ADI524327 ANE524323:ANE524327 AXA524323:AXA524327 BGW524323:BGW524327 BQS524323:BQS524327 CAO524323:CAO524327 CKK524323:CKK524327 CUG524323:CUG524327 DEC524323:DEC524327 DNY524323:DNY524327 DXU524323:DXU524327 EHQ524323:EHQ524327 ERM524323:ERM524327 FBI524323:FBI524327 FLE524323:FLE524327 FVA524323:FVA524327 GEW524323:GEW524327 GOS524323:GOS524327 GYO524323:GYO524327 HIK524323:HIK524327 HSG524323:HSG524327 ICC524323:ICC524327 ILY524323:ILY524327 IVU524323:IVU524327 JFQ524323:JFQ524327 JPM524323:JPM524327 JZI524323:JZI524327 KJE524323:KJE524327 KTA524323:KTA524327 LCW524323:LCW524327 LMS524323:LMS524327 LWO524323:LWO524327 MGK524323:MGK524327 MQG524323:MQG524327 NAC524323:NAC524327 NJY524323:NJY524327 NTU524323:NTU524327 ODQ524323:ODQ524327 ONM524323:ONM524327 OXI524323:OXI524327 PHE524323:PHE524327 PRA524323:PRA524327 QAW524323:QAW524327 QKS524323:QKS524327 QUO524323:QUO524327 REK524323:REK524327 ROG524323:ROG524327 RYC524323:RYC524327 SHY524323:SHY524327 SRU524323:SRU524327 TBQ524323:TBQ524327 TLM524323:TLM524327 TVI524323:TVI524327 UFE524323:UFE524327 UPA524323:UPA524327 UYW524323:UYW524327 VIS524323:VIS524327 VSO524323:VSO524327 WCK524323:WCK524327 WMG524323:WMG524327 WWC524323:WWC524327 U589859:U589863 JQ589859:JQ589863 TM589859:TM589863 ADI589859:ADI589863 ANE589859:ANE589863 AXA589859:AXA589863 BGW589859:BGW589863 BQS589859:BQS589863 CAO589859:CAO589863 CKK589859:CKK589863 CUG589859:CUG589863 DEC589859:DEC589863 DNY589859:DNY589863 DXU589859:DXU589863 EHQ589859:EHQ589863 ERM589859:ERM589863 FBI589859:FBI589863 FLE589859:FLE589863 FVA589859:FVA589863 GEW589859:GEW589863 GOS589859:GOS589863 GYO589859:GYO589863 HIK589859:HIK589863 HSG589859:HSG589863 ICC589859:ICC589863 ILY589859:ILY589863 IVU589859:IVU589863 JFQ589859:JFQ589863 JPM589859:JPM589863 JZI589859:JZI589863 KJE589859:KJE589863 KTA589859:KTA589863 LCW589859:LCW589863 LMS589859:LMS589863 LWO589859:LWO589863 MGK589859:MGK589863 MQG589859:MQG589863 NAC589859:NAC589863 NJY589859:NJY589863 NTU589859:NTU589863 ODQ589859:ODQ589863 ONM589859:ONM589863 OXI589859:OXI589863 PHE589859:PHE589863 PRA589859:PRA589863 QAW589859:QAW589863 QKS589859:QKS589863 QUO589859:QUO589863 REK589859:REK589863 ROG589859:ROG589863 RYC589859:RYC589863 SHY589859:SHY589863 SRU589859:SRU589863 TBQ589859:TBQ589863 TLM589859:TLM589863 TVI589859:TVI589863 UFE589859:UFE589863 UPA589859:UPA589863 UYW589859:UYW589863 VIS589859:VIS589863 VSO589859:VSO589863 WCK589859:WCK589863 WMG589859:WMG589863 WWC589859:WWC589863 U655395:U655399 JQ655395:JQ655399 TM655395:TM655399 ADI655395:ADI655399 ANE655395:ANE655399 AXA655395:AXA655399 BGW655395:BGW655399 BQS655395:BQS655399 CAO655395:CAO655399 CKK655395:CKK655399 CUG655395:CUG655399 DEC655395:DEC655399 DNY655395:DNY655399 DXU655395:DXU655399 EHQ655395:EHQ655399 ERM655395:ERM655399 FBI655395:FBI655399 FLE655395:FLE655399 FVA655395:FVA655399 GEW655395:GEW655399 GOS655395:GOS655399 GYO655395:GYO655399 HIK655395:HIK655399 HSG655395:HSG655399 ICC655395:ICC655399 ILY655395:ILY655399 IVU655395:IVU655399 JFQ655395:JFQ655399 JPM655395:JPM655399 JZI655395:JZI655399 KJE655395:KJE655399 KTA655395:KTA655399 LCW655395:LCW655399 LMS655395:LMS655399 LWO655395:LWO655399 MGK655395:MGK655399 MQG655395:MQG655399 NAC655395:NAC655399 NJY655395:NJY655399 NTU655395:NTU655399 ODQ655395:ODQ655399 ONM655395:ONM655399 OXI655395:OXI655399 PHE655395:PHE655399 PRA655395:PRA655399 QAW655395:QAW655399 QKS655395:QKS655399 QUO655395:QUO655399 REK655395:REK655399 ROG655395:ROG655399 RYC655395:RYC655399 SHY655395:SHY655399 SRU655395:SRU655399 TBQ655395:TBQ655399 TLM655395:TLM655399 TVI655395:TVI655399 UFE655395:UFE655399 UPA655395:UPA655399 UYW655395:UYW655399 VIS655395:VIS655399 VSO655395:VSO655399 WCK655395:WCK655399 WMG655395:WMG655399 WWC655395:WWC655399 U720931:U720935 JQ720931:JQ720935 TM720931:TM720935 ADI720931:ADI720935 ANE720931:ANE720935 AXA720931:AXA720935 BGW720931:BGW720935 BQS720931:BQS720935 CAO720931:CAO720935 CKK720931:CKK720935 CUG720931:CUG720935 DEC720931:DEC720935 DNY720931:DNY720935 DXU720931:DXU720935 EHQ720931:EHQ720935 ERM720931:ERM720935 FBI720931:FBI720935 FLE720931:FLE720935 FVA720931:FVA720935 GEW720931:GEW720935 GOS720931:GOS720935 GYO720931:GYO720935 HIK720931:HIK720935 HSG720931:HSG720935 ICC720931:ICC720935 ILY720931:ILY720935 IVU720931:IVU720935 JFQ720931:JFQ720935 JPM720931:JPM720935 JZI720931:JZI720935 KJE720931:KJE720935 KTA720931:KTA720935 LCW720931:LCW720935 LMS720931:LMS720935 LWO720931:LWO720935 MGK720931:MGK720935 MQG720931:MQG720935 NAC720931:NAC720935 NJY720931:NJY720935 NTU720931:NTU720935 ODQ720931:ODQ720935 ONM720931:ONM720935 OXI720931:OXI720935 PHE720931:PHE720935 PRA720931:PRA720935 QAW720931:QAW720935 QKS720931:QKS720935 QUO720931:QUO720935 REK720931:REK720935 ROG720931:ROG720935 RYC720931:RYC720935 SHY720931:SHY720935 SRU720931:SRU720935 TBQ720931:TBQ720935 TLM720931:TLM720935 TVI720931:TVI720935 UFE720931:UFE720935 UPA720931:UPA720935 UYW720931:UYW720935 VIS720931:VIS720935 VSO720931:VSO720935 WCK720931:WCK720935 WMG720931:WMG720935 WWC720931:WWC720935 U786467:U786471 JQ786467:JQ786471 TM786467:TM786471 ADI786467:ADI786471 ANE786467:ANE786471 AXA786467:AXA786471 BGW786467:BGW786471 BQS786467:BQS786471 CAO786467:CAO786471 CKK786467:CKK786471 CUG786467:CUG786471 DEC786467:DEC786471 DNY786467:DNY786471 DXU786467:DXU786471 EHQ786467:EHQ786471 ERM786467:ERM786471 FBI786467:FBI786471 FLE786467:FLE786471 FVA786467:FVA786471 GEW786467:GEW786471 GOS786467:GOS786471 GYO786467:GYO786471 HIK786467:HIK786471 HSG786467:HSG786471 ICC786467:ICC786471 ILY786467:ILY786471 IVU786467:IVU786471 JFQ786467:JFQ786471 JPM786467:JPM786471 JZI786467:JZI786471 KJE786467:KJE786471 KTA786467:KTA786471 LCW786467:LCW786471 LMS786467:LMS786471 LWO786467:LWO786471 MGK786467:MGK786471 MQG786467:MQG786471 NAC786467:NAC786471 NJY786467:NJY786471 NTU786467:NTU786471 ODQ786467:ODQ786471 ONM786467:ONM786471 OXI786467:OXI786471 PHE786467:PHE786471 PRA786467:PRA786471 QAW786467:QAW786471 QKS786467:QKS786471 QUO786467:QUO786471 REK786467:REK786471 ROG786467:ROG786471 RYC786467:RYC786471 SHY786467:SHY786471 SRU786467:SRU786471 TBQ786467:TBQ786471 TLM786467:TLM786471 TVI786467:TVI786471 UFE786467:UFE786471 UPA786467:UPA786471 UYW786467:UYW786471 VIS786467:VIS786471 VSO786467:VSO786471 WCK786467:WCK786471 WMG786467:WMG786471 WWC786467:WWC786471 U852003:U852007 JQ852003:JQ852007 TM852003:TM852007 ADI852003:ADI852007 ANE852003:ANE852007 AXA852003:AXA852007 BGW852003:BGW852007 BQS852003:BQS852007 CAO852003:CAO852007 CKK852003:CKK852007 CUG852003:CUG852007 DEC852003:DEC852007 DNY852003:DNY852007 DXU852003:DXU852007 EHQ852003:EHQ852007 ERM852003:ERM852007 FBI852003:FBI852007 FLE852003:FLE852007 FVA852003:FVA852007 GEW852003:GEW852007 GOS852003:GOS852007 GYO852003:GYO852007 HIK852003:HIK852007 HSG852003:HSG852007 ICC852003:ICC852007 ILY852003:ILY852007 IVU852003:IVU852007 JFQ852003:JFQ852007 JPM852003:JPM852007 JZI852003:JZI852007 KJE852003:KJE852007 KTA852003:KTA852007 LCW852003:LCW852007 LMS852003:LMS852007 LWO852003:LWO852007 MGK852003:MGK852007 MQG852003:MQG852007 NAC852003:NAC852007 NJY852003:NJY852007 NTU852003:NTU852007 ODQ852003:ODQ852007 ONM852003:ONM852007 OXI852003:OXI852007 PHE852003:PHE852007 PRA852003:PRA852007 QAW852003:QAW852007 QKS852003:QKS852007 QUO852003:QUO852007 REK852003:REK852007 ROG852003:ROG852007 RYC852003:RYC852007 SHY852003:SHY852007 SRU852003:SRU852007 TBQ852003:TBQ852007 TLM852003:TLM852007 TVI852003:TVI852007 UFE852003:UFE852007 UPA852003:UPA852007 UYW852003:UYW852007 VIS852003:VIS852007 VSO852003:VSO852007 WCK852003:WCK852007 WMG852003:WMG852007 WWC852003:WWC852007 U917539:U917543 JQ917539:JQ917543 TM917539:TM917543 ADI917539:ADI917543 ANE917539:ANE917543 AXA917539:AXA917543 BGW917539:BGW917543 BQS917539:BQS917543 CAO917539:CAO917543 CKK917539:CKK917543 CUG917539:CUG917543 DEC917539:DEC917543 DNY917539:DNY917543 DXU917539:DXU917543 EHQ917539:EHQ917543 ERM917539:ERM917543 FBI917539:FBI917543 FLE917539:FLE917543 FVA917539:FVA917543 GEW917539:GEW917543 GOS917539:GOS917543 GYO917539:GYO917543 HIK917539:HIK917543 HSG917539:HSG917543 ICC917539:ICC917543 ILY917539:ILY917543 IVU917539:IVU917543 JFQ917539:JFQ917543 JPM917539:JPM917543 JZI917539:JZI917543 KJE917539:KJE917543 KTA917539:KTA917543 LCW917539:LCW917543 LMS917539:LMS917543 LWO917539:LWO917543 MGK917539:MGK917543 MQG917539:MQG917543 NAC917539:NAC917543 NJY917539:NJY917543 NTU917539:NTU917543 ODQ917539:ODQ917543 ONM917539:ONM917543 OXI917539:OXI917543 PHE917539:PHE917543 PRA917539:PRA917543 QAW917539:QAW917543 QKS917539:QKS917543 QUO917539:QUO917543 REK917539:REK917543 ROG917539:ROG917543 RYC917539:RYC917543 SHY917539:SHY917543 SRU917539:SRU917543 TBQ917539:TBQ917543 TLM917539:TLM917543 TVI917539:TVI917543 UFE917539:UFE917543 UPA917539:UPA917543 UYW917539:UYW917543 VIS917539:VIS917543 VSO917539:VSO917543 WCK917539:WCK917543 WMG917539:WMG917543 WWC917539:WWC917543 U983075:U983079 JQ983075:JQ983079 TM983075:TM983079 ADI983075:ADI983079 ANE983075:ANE983079 AXA983075:AXA983079 BGW983075:BGW983079 BQS983075:BQS983079 CAO983075:CAO983079 CKK983075:CKK983079 CUG983075:CUG983079 DEC983075:DEC983079 DNY983075:DNY983079 DXU983075:DXU983079 EHQ983075:EHQ983079 ERM983075:ERM983079 FBI983075:FBI983079 FLE983075:FLE983079 FVA983075:FVA983079 GEW983075:GEW983079 GOS983075:GOS983079 GYO983075:GYO983079 HIK983075:HIK983079 HSG983075:HSG983079 ICC983075:ICC983079 ILY983075:ILY983079 IVU983075:IVU983079 JFQ983075:JFQ983079 JPM983075:JPM983079 JZI983075:JZI983079 KJE983075:KJE983079 KTA983075:KTA983079 LCW983075:LCW983079 LMS983075:LMS983079 LWO983075:LWO983079 MGK983075:MGK983079 MQG983075:MQG983079 NAC983075:NAC983079 NJY983075:NJY983079 NTU983075:NTU983079 ODQ983075:ODQ983079 ONM983075:ONM983079 OXI983075:OXI983079 PHE983075:PHE983079 PRA983075:PRA983079 QAW983075:QAW983079 QKS983075:QKS983079 QUO983075:QUO983079 REK983075:REK983079 ROG983075:ROG983079 RYC983075:RYC983079 SHY983075:SHY983079 SRU983075:SRU983079 TBQ983075:TBQ983079 TLM983075:TLM983079 TVI983075:TVI983079 UFE983075:UFE983079 UPA983075:UPA983079 UYW983075:UYW983079 VIS983075:VIS983079 VSO983075:VSO983079 WCK983075:WCK983079 WMG983075:WMG983079 WWC983075:WWC983079 U17:U21 JQ17:JQ21 TM17:TM21 ADI17:ADI21 ANE17:ANE21 AXA17:AXA21 BGW17:BGW21 BQS17:BQS21 CAO17:CAO21 CKK17:CKK21 CUG17:CUG21 DEC17:DEC21 DNY17:DNY21 DXU17:DXU21 EHQ17:EHQ21 ERM17:ERM21 FBI17:FBI21 FLE17:FLE21 FVA17:FVA21 GEW17:GEW21 GOS17:GOS21 GYO17:GYO21 HIK17:HIK21 HSG17:HSG21 ICC17:ICC21 ILY17:ILY21 IVU17:IVU21 JFQ17:JFQ21 JPM17:JPM21 JZI17:JZI21 KJE17:KJE21 KTA17:KTA21 LCW17:LCW21 LMS17:LMS21 LWO17:LWO21 MGK17:MGK21 MQG17:MQG21 NAC17:NAC21 NJY17:NJY21 NTU17:NTU21 ODQ17:ODQ21 ONM17:ONM21 OXI17:OXI21 PHE17:PHE21 PRA17:PRA21 QAW17:QAW21 QKS17:QKS21 QUO17:QUO21 REK17:REK21 ROG17:ROG21 RYC17:RYC21 SHY17:SHY21 SRU17:SRU21 TBQ17:TBQ21 TLM17:TLM21 TVI17:TVI21 UFE17:UFE21 UPA17:UPA21 UYW17:UYW21 VIS17:VIS21 VSO17:VSO21 WCK17:WCK21 WMG17:WMG21 WWC17:WWC21 U65553:U65557 JQ65553:JQ65557 TM65553:TM65557 ADI65553:ADI65557 ANE65553:ANE65557 AXA65553:AXA65557 BGW65553:BGW65557 BQS65553:BQS65557 CAO65553:CAO65557 CKK65553:CKK65557 CUG65553:CUG65557 DEC65553:DEC65557 DNY65553:DNY65557 DXU65553:DXU65557 EHQ65553:EHQ65557 ERM65553:ERM65557 FBI65553:FBI65557 FLE65553:FLE65557 FVA65553:FVA65557 GEW65553:GEW65557 GOS65553:GOS65557 GYO65553:GYO65557 HIK65553:HIK65557 HSG65553:HSG65557 ICC65553:ICC65557 ILY65553:ILY65557 IVU65553:IVU65557 JFQ65553:JFQ65557 JPM65553:JPM65557 JZI65553:JZI65557 KJE65553:KJE65557 KTA65553:KTA65557 LCW65553:LCW65557 LMS65553:LMS65557 LWO65553:LWO65557 MGK65553:MGK65557 MQG65553:MQG65557 NAC65553:NAC65557 NJY65553:NJY65557 NTU65553:NTU65557 ODQ65553:ODQ65557 ONM65553:ONM65557 OXI65553:OXI65557 PHE65553:PHE65557 PRA65553:PRA65557 QAW65553:QAW65557 QKS65553:QKS65557 QUO65553:QUO65557 REK65553:REK65557 ROG65553:ROG65557 RYC65553:RYC65557 SHY65553:SHY65557 SRU65553:SRU65557 TBQ65553:TBQ65557 TLM65553:TLM65557 TVI65553:TVI65557 UFE65553:UFE65557 UPA65553:UPA65557 UYW65553:UYW65557 VIS65553:VIS65557 VSO65553:VSO65557 WCK65553:WCK65557 WMG65553:WMG65557 WWC65553:WWC65557 U131089:U131093 JQ131089:JQ131093 TM131089:TM131093 ADI131089:ADI131093 ANE131089:ANE131093 AXA131089:AXA131093 BGW131089:BGW131093 BQS131089:BQS131093 CAO131089:CAO131093 CKK131089:CKK131093 CUG131089:CUG131093 DEC131089:DEC131093 DNY131089:DNY131093 DXU131089:DXU131093 EHQ131089:EHQ131093 ERM131089:ERM131093 FBI131089:FBI131093 FLE131089:FLE131093 FVA131089:FVA131093 GEW131089:GEW131093 GOS131089:GOS131093 GYO131089:GYO131093 HIK131089:HIK131093 HSG131089:HSG131093 ICC131089:ICC131093 ILY131089:ILY131093 IVU131089:IVU131093 JFQ131089:JFQ131093 JPM131089:JPM131093 JZI131089:JZI131093 KJE131089:KJE131093 KTA131089:KTA131093 LCW131089:LCW131093 LMS131089:LMS131093 LWO131089:LWO131093 MGK131089:MGK131093 MQG131089:MQG131093 NAC131089:NAC131093 NJY131089:NJY131093 NTU131089:NTU131093 ODQ131089:ODQ131093 ONM131089:ONM131093 OXI131089:OXI131093 PHE131089:PHE131093 PRA131089:PRA131093 QAW131089:QAW131093 QKS131089:QKS131093 QUO131089:QUO131093 REK131089:REK131093 ROG131089:ROG131093 RYC131089:RYC131093 SHY131089:SHY131093 SRU131089:SRU131093 TBQ131089:TBQ131093 TLM131089:TLM131093 TVI131089:TVI131093 UFE131089:UFE131093 UPA131089:UPA131093 UYW131089:UYW131093 VIS131089:VIS131093 VSO131089:VSO131093 WCK131089:WCK131093 WMG131089:WMG131093 WWC131089:WWC131093 U196625:U196629 JQ196625:JQ196629 TM196625:TM196629 ADI196625:ADI196629 ANE196625:ANE196629 AXA196625:AXA196629 BGW196625:BGW196629 BQS196625:BQS196629 CAO196625:CAO196629 CKK196625:CKK196629 CUG196625:CUG196629 DEC196625:DEC196629 DNY196625:DNY196629 DXU196625:DXU196629 EHQ196625:EHQ196629 ERM196625:ERM196629 FBI196625:FBI196629 FLE196625:FLE196629 FVA196625:FVA196629 GEW196625:GEW196629 GOS196625:GOS196629 GYO196625:GYO196629 HIK196625:HIK196629 HSG196625:HSG196629 ICC196625:ICC196629 ILY196625:ILY196629 IVU196625:IVU196629 JFQ196625:JFQ196629 JPM196625:JPM196629 JZI196625:JZI196629 KJE196625:KJE196629 KTA196625:KTA196629 LCW196625:LCW196629 LMS196625:LMS196629 LWO196625:LWO196629 MGK196625:MGK196629 MQG196625:MQG196629 NAC196625:NAC196629 NJY196625:NJY196629 NTU196625:NTU196629 ODQ196625:ODQ196629 ONM196625:ONM196629 OXI196625:OXI196629 PHE196625:PHE196629 PRA196625:PRA196629 QAW196625:QAW196629 QKS196625:QKS196629 QUO196625:QUO196629 REK196625:REK196629 ROG196625:ROG196629 RYC196625:RYC196629 SHY196625:SHY196629 SRU196625:SRU196629 TBQ196625:TBQ196629 TLM196625:TLM196629 TVI196625:TVI196629 UFE196625:UFE196629 UPA196625:UPA196629 UYW196625:UYW196629 VIS196625:VIS196629 VSO196625:VSO196629 WCK196625:WCK196629 WMG196625:WMG196629 WWC196625:WWC196629 U262161:U262165 JQ262161:JQ262165 TM262161:TM262165 ADI262161:ADI262165 ANE262161:ANE262165 AXA262161:AXA262165 BGW262161:BGW262165 BQS262161:BQS262165 CAO262161:CAO262165 CKK262161:CKK262165 CUG262161:CUG262165 DEC262161:DEC262165 DNY262161:DNY262165 DXU262161:DXU262165 EHQ262161:EHQ262165 ERM262161:ERM262165 FBI262161:FBI262165 FLE262161:FLE262165 FVA262161:FVA262165 GEW262161:GEW262165 GOS262161:GOS262165 GYO262161:GYO262165 HIK262161:HIK262165 HSG262161:HSG262165 ICC262161:ICC262165 ILY262161:ILY262165 IVU262161:IVU262165 JFQ262161:JFQ262165 JPM262161:JPM262165 JZI262161:JZI262165 KJE262161:KJE262165 KTA262161:KTA262165 LCW262161:LCW262165 LMS262161:LMS262165 LWO262161:LWO262165 MGK262161:MGK262165 MQG262161:MQG262165 NAC262161:NAC262165 NJY262161:NJY262165 NTU262161:NTU262165 ODQ262161:ODQ262165 ONM262161:ONM262165 OXI262161:OXI262165 PHE262161:PHE262165 PRA262161:PRA262165 QAW262161:QAW262165 QKS262161:QKS262165 QUO262161:QUO262165 REK262161:REK262165 ROG262161:ROG262165 RYC262161:RYC262165 SHY262161:SHY262165 SRU262161:SRU262165 TBQ262161:TBQ262165 TLM262161:TLM262165 TVI262161:TVI262165 UFE262161:UFE262165 UPA262161:UPA262165 UYW262161:UYW262165 VIS262161:VIS262165 VSO262161:VSO262165 WCK262161:WCK262165 WMG262161:WMG262165 WWC262161:WWC262165 U327697:U327701 JQ327697:JQ327701 TM327697:TM327701 ADI327697:ADI327701 ANE327697:ANE327701 AXA327697:AXA327701 BGW327697:BGW327701 BQS327697:BQS327701 CAO327697:CAO327701 CKK327697:CKK327701 CUG327697:CUG327701 DEC327697:DEC327701 DNY327697:DNY327701 DXU327697:DXU327701 EHQ327697:EHQ327701 ERM327697:ERM327701 FBI327697:FBI327701 FLE327697:FLE327701 FVA327697:FVA327701 GEW327697:GEW327701 GOS327697:GOS327701 GYO327697:GYO327701 HIK327697:HIK327701 HSG327697:HSG327701 ICC327697:ICC327701 ILY327697:ILY327701 IVU327697:IVU327701 JFQ327697:JFQ327701 JPM327697:JPM327701 JZI327697:JZI327701 KJE327697:KJE327701 KTA327697:KTA327701 LCW327697:LCW327701 LMS327697:LMS327701 LWO327697:LWO327701 MGK327697:MGK327701 MQG327697:MQG327701 NAC327697:NAC327701 NJY327697:NJY327701 NTU327697:NTU327701 ODQ327697:ODQ327701 ONM327697:ONM327701 OXI327697:OXI327701 PHE327697:PHE327701 PRA327697:PRA327701 QAW327697:QAW327701 QKS327697:QKS327701 QUO327697:QUO327701 REK327697:REK327701 ROG327697:ROG327701 RYC327697:RYC327701 SHY327697:SHY327701 SRU327697:SRU327701 TBQ327697:TBQ327701 TLM327697:TLM327701 TVI327697:TVI327701 UFE327697:UFE327701 UPA327697:UPA327701 UYW327697:UYW327701 VIS327697:VIS327701 VSO327697:VSO327701 WCK327697:WCK327701 WMG327697:WMG327701 WWC327697:WWC327701 U393233:U393237 JQ393233:JQ393237 TM393233:TM393237 ADI393233:ADI393237 ANE393233:ANE393237 AXA393233:AXA393237 BGW393233:BGW393237 BQS393233:BQS393237 CAO393233:CAO393237 CKK393233:CKK393237 CUG393233:CUG393237 DEC393233:DEC393237 DNY393233:DNY393237 DXU393233:DXU393237 EHQ393233:EHQ393237 ERM393233:ERM393237 FBI393233:FBI393237 FLE393233:FLE393237 FVA393233:FVA393237 GEW393233:GEW393237 GOS393233:GOS393237 GYO393233:GYO393237 HIK393233:HIK393237 HSG393233:HSG393237 ICC393233:ICC393237 ILY393233:ILY393237 IVU393233:IVU393237 JFQ393233:JFQ393237 JPM393233:JPM393237 JZI393233:JZI393237 KJE393233:KJE393237 KTA393233:KTA393237 LCW393233:LCW393237 LMS393233:LMS393237 LWO393233:LWO393237 MGK393233:MGK393237 MQG393233:MQG393237 NAC393233:NAC393237 NJY393233:NJY393237 NTU393233:NTU393237 ODQ393233:ODQ393237 ONM393233:ONM393237 OXI393233:OXI393237 PHE393233:PHE393237 PRA393233:PRA393237 QAW393233:QAW393237 QKS393233:QKS393237 QUO393233:QUO393237 REK393233:REK393237 ROG393233:ROG393237 RYC393233:RYC393237 SHY393233:SHY393237 SRU393233:SRU393237 TBQ393233:TBQ393237 TLM393233:TLM393237 TVI393233:TVI393237 UFE393233:UFE393237 UPA393233:UPA393237 UYW393233:UYW393237 VIS393233:VIS393237 VSO393233:VSO393237 WCK393233:WCK393237 WMG393233:WMG393237 WWC393233:WWC393237 U458769:U458773 JQ458769:JQ458773 TM458769:TM458773 ADI458769:ADI458773 ANE458769:ANE458773 AXA458769:AXA458773 BGW458769:BGW458773 BQS458769:BQS458773 CAO458769:CAO458773 CKK458769:CKK458773 CUG458769:CUG458773 DEC458769:DEC458773 DNY458769:DNY458773 DXU458769:DXU458773 EHQ458769:EHQ458773 ERM458769:ERM458773 FBI458769:FBI458773 FLE458769:FLE458773 FVA458769:FVA458773 GEW458769:GEW458773 GOS458769:GOS458773 GYO458769:GYO458773 HIK458769:HIK458773 HSG458769:HSG458773 ICC458769:ICC458773 ILY458769:ILY458773 IVU458769:IVU458773 JFQ458769:JFQ458773 JPM458769:JPM458773 JZI458769:JZI458773 KJE458769:KJE458773 KTA458769:KTA458773 LCW458769:LCW458773 LMS458769:LMS458773 LWO458769:LWO458773 MGK458769:MGK458773 MQG458769:MQG458773 NAC458769:NAC458773 NJY458769:NJY458773 NTU458769:NTU458773 ODQ458769:ODQ458773 ONM458769:ONM458773 OXI458769:OXI458773 PHE458769:PHE458773 PRA458769:PRA458773 QAW458769:QAW458773 QKS458769:QKS458773 QUO458769:QUO458773 REK458769:REK458773 ROG458769:ROG458773 RYC458769:RYC458773 SHY458769:SHY458773 SRU458769:SRU458773 TBQ458769:TBQ458773 TLM458769:TLM458773 TVI458769:TVI458773 UFE458769:UFE458773 UPA458769:UPA458773 UYW458769:UYW458773 VIS458769:VIS458773 VSO458769:VSO458773 WCK458769:WCK458773 WMG458769:WMG458773 WWC458769:WWC458773 U524305:U524309 JQ524305:JQ524309 TM524305:TM524309 ADI524305:ADI524309 ANE524305:ANE524309 AXA524305:AXA524309 BGW524305:BGW524309 BQS524305:BQS524309 CAO524305:CAO524309 CKK524305:CKK524309 CUG524305:CUG524309 DEC524305:DEC524309 DNY524305:DNY524309 DXU524305:DXU524309 EHQ524305:EHQ524309 ERM524305:ERM524309 FBI524305:FBI524309 FLE524305:FLE524309 FVA524305:FVA524309 GEW524305:GEW524309 GOS524305:GOS524309 GYO524305:GYO524309 HIK524305:HIK524309 HSG524305:HSG524309 ICC524305:ICC524309 ILY524305:ILY524309 IVU524305:IVU524309 JFQ524305:JFQ524309 JPM524305:JPM524309 JZI524305:JZI524309 KJE524305:KJE524309 KTA524305:KTA524309 LCW524305:LCW524309 LMS524305:LMS524309 LWO524305:LWO524309 MGK524305:MGK524309 MQG524305:MQG524309 NAC524305:NAC524309 NJY524305:NJY524309 NTU524305:NTU524309 ODQ524305:ODQ524309 ONM524305:ONM524309 OXI524305:OXI524309 PHE524305:PHE524309 PRA524305:PRA524309 QAW524305:QAW524309 QKS524305:QKS524309 QUO524305:QUO524309 REK524305:REK524309 ROG524305:ROG524309 RYC524305:RYC524309 SHY524305:SHY524309 SRU524305:SRU524309 TBQ524305:TBQ524309 TLM524305:TLM524309 TVI524305:TVI524309 UFE524305:UFE524309 UPA524305:UPA524309 UYW524305:UYW524309 VIS524305:VIS524309 VSO524305:VSO524309 WCK524305:WCK524309 WMG524305:WMG524309 WWC524305:WWC524309 U589841:U589845 JQ589841:JQ589845 TM589841:TM589845 ADI589841:ADI589845 ANE589841:ANE589845 AXA589841:AXA589845 BGW589841:BGW589845 BQS589841:BQS589845 CAO589841:CAO589845 CKK589841:CKK589845 CUG589841:CUG589845 DEC589841:DEC589845 DNY589841:DNY589845 DXU589841:DXU589845 EHQ589841:EHQ589845 ERM589841:ERM589845 FBI589841:FBI589845 FLE589841:FLE589845 FVA589841:FVA589845 GEW589841:GEW589845 GOS589841:GOS589845 GYO589841:GYO589845 HIK589841:HIK589845 HSG589841:HSG589845 ICC589841:ICC589845 ILY589841:ILY589845 IVU589841:IVU589845 JFQ589841:JFQ589845 JPM589841:JPM589845 JZI589841:JZI589845 KJE589841:KJE589845 KTA589841:KTA589845 LCW589841:LCW589845 LMS589841:LMS589845 LWO589841:LWO589845 MGK589841:MGK589845 MQG589841:MQG589845 NAC589841:NAC589845 NJY589841:NJY589845 NTU589841:NTU589845 ODQ589841:ODQ589845 ONM589841:ONM589845 OXI589841:OXI589845 PHE589841:PHE589845 PRA589841:PRA589845 QAW589841:QAW589845 QKS589841:QKS589845 QUO589841:QUO589845 REK589841:REK589845 ROG589841:ROG589845 RYC589841:RYC589845 SHY589841:SHY589845 SRU589841:SRU589845 TBQ589841:TBQ589845 TLM589841:TLM589845 TVI589841:TVI589845 UFE589841:UFE589845 UPA589841:UPA589845 UYW589841:UYW589845 VIS589841:VIS589845 VSO589841:VSO589845 WCK589841:WCK589845 WMG589841:WMG589845 WWC589841:WWC589845 U655377:U655381 JQ655377:JQ655381 TM655377:TM655381 ADI655377:ADI655381 ANE655377:ANE655381 AXA655377:AXA655381 BGW655377:BGW655381 BQS655377:BQS655381 CAO655377:CAO655381 CKK655377:CKK655381 CUG655377:CUG655381 DEC655377:DEC655381 DNY655377:DNY655381 DXU655377:DXU655381 EHQ655377:EHQ655381 ERM655377:ERM655381 FBI655377:FBI655381 FLE655377:FLE655381 FVA655377:FVA655381 GEW655377:GEW655381 GOS655377:GOS655381 GYO655377:GYO655381 HIK655377:HIK655381 HSG655377:HSG655381 ICC655377:ICC655381 ILY655377:ILY655381 IVU655377:IVU655381 JFQ655377:JFQ655381 JPM655377:JPM655381 JZI655377:JZI655381 KJE655377:KJE655381 KTA655377:KTA655381 LCW655377:LCW655381 LMS655377:LMS655381 LWO655377:LWO655381 MGK655377:MGK655381 MQG655377:MQG655381 NAC655377:NAC655381 NJY655377:NJY655381 NTU655377:NTU655381 ODQ655377:ODQ655381 ONM655377:ONM655381 OXI655377:OXI655381 PHE655377:PHE655381 PRA655377:PRA655381 QAW655377:QAW655381 QKS655377:QKS655381 QUO655377:QUO655381 REK655377:REK655381 ROG655377:ROG655381 RYC655377:RYC655381 SHY655377:SHY655381 SRU655377:SRU655381 TBQ655377:TBQ655381 TLM655377:TLM655381 TVI655377:TVI655381 UFE655377:UFE655381 UPA655377:UPA655381 UYW655377:UYW655381 VIS655377:VIS655381 VSO655377:VSO655381 WCK655377:WCK655381 WMG655377:WMG655381 WWC655377:WWC655381 U720913:U720917 JQ720913:JQ720917 TM720913:TM720917 ADI720913:ADI720917 ANE720913:ANE720917 AXA720913:AXA720917 BGW720913:BGW720917 BQS720913:BQS720917 CAO720913:CAO720917 CKK720913:CKK720917 CUG720913:CUG720917 DEC720913:DEC720917 DNY720913:DNY720917 DXU720913:DXU720917 EHQ720913:EHQ720917 ERM720913:ERM720917 FBI720913:FBI720917 FLE720913:FLE720917 FVA720913:FVA720917 GEW720913:GEW720917 GOS720913:GOS720917 GYO720913:GYO720917 HIK720913:HIK720917 HSG720913:HSG720917 ICC720913:ICC720917 ILY720913:ILY720917 IVU720913:IVU720917 JFQ720913:JFQ720917 JPM720913:JPM720917 JZI720913:JZI720917 KJE720913:KJE720917 KTA720913:KTA720917 LCW720913:LCW720917 LMS720913:LMS720917 LWO720913:LWO720917 MGK720913:MGK720917 MQG720913:MQG720917 NAC720913:NAC720917 NJY720913:NJY720917 NTU720913:NTU720917 ODQ720913:ODQ720917 ONM720913:ONM720917 OXI720913:OXI720917 PHE720913:PHE720917 PRA720913:PRA720917 QAW720913:QAW720917 QKS720913:QKS720917 QUO720913:QUO720917 REK720913:REK720917 ROG720913:ROG720917 RYC720913:RYC720917 SHY720913:SHY720917 SRU720913:SRU720917 TBQ720913:TBQ720917 TLM720913:TLM720917 TVI720913:TVI720917 UFE720913:UFE720917 UPA720913:UPA720917 UYW720913:UYW720917 VIS720913:VIS720917 VSO720913:VSO720917 WCK720913:WCK720917 WMG720913:WMG720917 WWC720913:WWC720917 U786449:U786453 JQ786449:JQ786453 TM786449:TM786453 ADI786449:ADI786453 ANE786449:ANE786453 AXA786449:AXA786453 BGW786449:BGW786453 BQS786449:BQS786453 CAO786449:CAO786453 CKK786449:CKK786453 CUG786449:CUG786453 DEC786449:DEC786453 DNY786449:DNY786453 DXU786449:DXU786453 EHQ786449:EHQ786453 ERM786449:ERM786453 FBI786449:FBI786453 FLE786449:FLE786453 FVA786449:FVA786453 GEW786449:GEW786453 GOS786449:GOS786453 GYO786449:GYO786453 HIK786449:HIK786453 HSG786449:HSG786453 ICC786449:ICC786453 ILY786449:ILY786453 IVU786449:IVU786453 JFQ786449:JFQ786453 JPM786449:JPM786453 JZI786449:JZI786453 KJE786449:KJE786453 KTA786449:KTA786453 LCW786449:LCW786453 LMS786449:LMS786453 LWO786449:LWO786453 MGK786449:MGK786453 MQG786449:MQG786453 NAC786449:NAC786453 NJY786449:NJY786453 NTU786449:NTU786453 ODQ786449:ODQ786453 ONM786449:ONM786453 OXI786449:OXI786453 PHE786449:PHE786453 PRA786449:PRA786453 QAW786449:QAW786453 QKS786449:QKS786453 QUO786449:QUO786453 REK786449:REK786453 ROG786449:ROG786453 RYC786449:RYC786453 SHY786449:SHY786453 SRU786449:SRU786453 TBQ786449:TBQ786453 TLM786449:TLM786453 TVI786449:TVI786453 UFE786449:UFE786453 UPA786449:UPA786453 UYW786449:UYW786453 VIS786449:VIS786453 VSO786449:VSO786453 WCK786449:WCK786453 WMG786449:WMG786453 WWC786449:WWC786453 U851985:U851989 JQ851985:JQ851989 TM851985:TM851989 ADI851985:ADI851989 ANE851985:ANE851989 AXA851985:AXA851989 BGW851985:BGW851989 BQS851985:BQS851989 CAO851985:CAO851989 CKK851985:CKK851989 CUG851985:CUG851989 DEC851985:DEC851989 DNY851985:DNY851989 DXU851985:DXU851989 EHQ851985:EHQ851989 ERM851985:ERM851989 FBI851985:FBI851989 FLE851985:FLE851989 FVA851985:FVA851989 GEW851985:GEW851989 GOS851985:GOS851989 GYO851985:GYO851989 HIK851985:HIK851989 HSG851985:HSG851989 ICC851985:ICC851989 ILY851985:ILY851989 IVU851985:IVU851989 JFQ851985:JFQ851989 JPM851985:JPM851989 JZI851985:JZI851989 KJE851985:KJE851989 KTA851985:KTA851989 LCW851985:LCW851989 LMS851985:LMS851989 LWO851985:LWO851989 MGK851985:MGK851989 MQG851985:MQG851989 NAC851985:NAC851989 NJY851985:NJY851989 NTU851985:NTU851989 ODQ851985:ODQ851989 ONM851985:ONM851989 OXI851985:OXI851989 PHE851985:PHE851989 PRA851985:PRA851989 QAW851985:QAW851989 QKS851985:QKS851989 QUO851985:QUO851989 REK851985:REK851989 ROG851985:ROG851989 RYC851985:RYC851989 SHY851985:SHY851989 SRU851985:SRU851989 TBQ851985:TBQ851989 TLM851985:TLM851989 TVI851985:TVI851989 UFE851985:UFE851989 UPA851985:UPA851989 UYW851985:UYW851989 VIS851985:VIS851989 VSO851985:VSO851989 WCK851985:WCK851989 WMG851985:WMG851989 WWC851985:WWC851989 U917521:U917525 JQ917521:JQ917525 TM917521:TM917525 ADI917521:ADI917525 ANE917521:ANE917525 AXA917521:AXA917525 BGW917521:BGW917525 BQS917521:BQS917525 CAO917521:CAO917525 CKK917521:CKK917525 CUG917521:CUG917525 DEC917521:DEC917525 DNY917521:DNY917525 DXU917521:DXU917525 EHQ917521:EHQ917525 ERM917521:ERM917525 FBI917521:FBI917525 FLE917521:FLE917525 FVA917521:FVA917525 GEW917521:GEW917525 GOS917521:GOS917525 GYO917521:GYO917525 HIK917521:HIK917525 HSG917521:HSG917525 ICC917521:ICC917525 ILY917521:ILY917525 IVU917521:IVU917525 JFQ917521:JFQ917525 JPM917521:JPM917525 JZI917521:JZI917525 KJE917521:KJE917525 KTA917521:KTA917525 LCW917521:LCW917525 LMS917521:LMS917525 LWO917521:LWO917525 MGK917521:MGK917525 MQG917521:MQG917525 NAC917521:NAC917525 NJY917521:NJY917525 NTU917521:NTU917525 ODQ917521:ODQ917525 ONM917521:ONM917525 OXI917521:OXI917525 PHE917521:PHE917525 PRA917521:PRA917525 QAW917521:QAW917525 QKS917521:QKS917525 QUO917521:QUO917525 REK917521:REK917525 ROG917521:ROG917525 RYC917521:RYC917525 SHY917521:SHY917525 SRU917521:SRU917525 TBQ917521:TBQ917525 TLM917521:TLM917525 TVI917521:TVI917525 UFE917521:UFE917525 UPA917521:UPA917525 UYW917521:UYW917525 VIS917521:VIS917525 VSO917521:VSO917525 WCK917521:WCK917525 WMG917521:WMG917525 WWC917521:WWC917525 U983057:U983061 JQ983057:JQ983061 TM983057:TM983061 ADI983057:ADI983061 ANE983057:ANE983061 AXA983057:AXA983061 BGW983057:BGW983061 BQS983057:BQS983061 CAO983057:CAO983061 CKK983057:CKK983061 CUG983057:CUG983061 DEC983057:DEC983061 DNY983057:DNY983061 DXU983057:DXU983061 EHQ983057:EHQ983061 ERM983057:ERM983061 FBI983057:FBI983061 FLE983057:FLE983061 FVA983057:FVA983061 GEW983057:GEW983061 GOS983057:GOS983061 GYO983057:GYO983061 HIK983057:HIK983061 HSG983057:HSG983061 ICC983057:ICC983061 ILY983057:ILY983061 IVU983057:IVU983061 JFQ983057:JFQ983061 JPM983057:JPM983061 JZI983057:JZI983061 KJE983057:KJE983061 KTA983057:KTA983061 LCW983057:LCW983061 LMS983057:LMS983061 LWO983057:LWO983061 MGK983057:MGK983061 MQG983057:MQG983061 NAC983057:NAC983061 NJY983057:NJY983061 NTU983057:NTU983061 ODQ983057:ODQ983061 ONM983057:ONM983061 OXI983057:OXI983061 PHE983057:PHE983061 PRA983057:PRA983061 QAW983057:QAW983061 QKS983057:QKS983061 QUO983057:QUO983061 REK983057:REK983061 ROG983057:ROG983061 RYC983057:RYC983061 SHY983057:SHY983061 SRU983057:SRU983061 TBQ983057:TBQ983061 TLM983057:TLM983061 TVI983057:TVI983061 UFE983057:UFE983061 UPA983057:UPA983061 UYW983057:UYW983061 VIS983057:VIS983061 VSO983057:VSO983061 WCK983057:WCK983061 WMG983057:WMG983061 WWC983057:WWC983061 U14 JQ14 TM14 ADI14 ANE14 AXA14 BGW14 BQS14 CAO14 CKK14 CUG14 DEC14 DNY14 DXU14 EHQ14 ERM14 FBI14 FLE14 FVA14 GEW14 GOS14 GYO14 HIK14 HSG14 ICC14 ILY14 IVU14 JFQ14 JPM14 JZI14 KJE14 KTA14 LCW14 LMS14 LWO14 MGK14 MQG14 NAC14 NJY14 NTU14 ODQ14 ONM14 OXI14 PHE14 PRA14 QAW14 QKS14 QUO14 REK14 ROG14 RYC14 SHY14 SRU14 TBQ14 TLM14 TVI14 UFE14 UPA14 UYW14 VIS14 VSO14 WCK14 WMG14 WWC14 U65550 JQ65550 TM65550 ADI65550 ANE65550 AXA65550 BGW65550 BQS65550 CAO65550 CKK65550 CUG65550 DEC65550 DNY65550 DXU65550 EHQ65550 ERM65550 FBI65550 FLE65550 FVA65550 GEW65550 GOS65550 GYO65550 HIK65550 HSG65550 ICC65550 ILY65550 IVU65550 JFQ65550 JPM65550 JZI65550 KJE65550 KTA65550 LCW65550 LMS65550 LWO65550 MGK65550 MQG65550 NAC65550 NJY65550 NTU65550 ODQ65550 ONM65550 OXI65550 PHE65550 PRA65550 QAW65550 QKS65550 QUO65550 REK65550 ROG65550 RYC65550 SHY65550 SRU65550 TBQ65550 TLM65550 TVI65550 UFE65550 UPA65550 UYW65550 VIS65550 VSO65550 WCK65550 WMG65550 WWC65550 U131086 JQ131086 TM131086 ADI131086 ANE131086 AXA131086 BGW131086 BQS131086 CAO131086 CKK131086 CUG131086 DEC131086 DNY131086 DXU131086 EHQ131086 ERM131086 FBI131086 FLE131086 FVA131086 GEW131086 GOS131086 GYO131086 HIK131086 HSG131086 ICC131086 ILY131086 IVU131086 JFQ131086 JPM131086 JZI131086 KJE131086 KTA131086 LCW131086 LMS131086 LWO131086 MGK131086 MQG131086 NAC131086 NJY131086 NTU131086 ODQ131086 ONM131086 OXI131086 PHE131086 PRA131086 QAW131086 QKS131086 QUO131086 REK131086 ROG131086 RYC131086 SHY131086 SRU131086 TBQ131086 TLM131086 TVI131086 UFE131086 UPA131086 UYW131086 VIS131086 VSO131086 WCK131086 WMG131086 WWC131086 U196622 JQ196622 TM196622 ADI196622 ANE196622 AXA196622 BGW196622 BQS196622 CAO196622 CKK196622 CUG196622 DEC196622 DNY196622 DXU196622 EHQ196622 ERM196622 FBI196622 FLE196622 FVA196622 GEW196622 GOS196622 GYO196622 HIK196622 HSG196622 ICC196622 ILY196622 IVU196622 JFQ196622 JPM196622 JZI196622 KJE196622 KTA196622 LCW196622 LMS196622 LWO196622 MGK196622 MQG196622 NAC196622 NJY196622 NTU196622 ODQ196622 ONM196622 OXI196622 PHE196622 PRA196622 QAW196622 QKS196622 QUO196622 REK196622 ROG196622 RYC196622 SHY196622 SRU196622 TBQ196622 TLM196622 TVI196622 UFE196622 UPA196622 UYW196622 VIS196622 VSO196622 WCK196622 WMG196622 WWC196622 U262158 JQ262158 TM262158 ADI262158 ANE262158 AXA262158 BGW262158 BQS262158 CAO262158 CKK262158 CUG262158 DEC262158 DNY262158 DXU262158 EHQ262158 ERM262158 FBI262158 FLE262158 FVA262158 GEW262158 GOS262158 GYO262158 HIK262158 HSG262158 ICC262158 ILY262158 IVU262158 JFQ262158 JPM262158 JZI262158 KJE262158 KTA262158 LCW262158 LMS262158 LWO262158 MGK262158 MQG262158 NAC262158 NJY262158 NTU262158 ODQ262158 ONM262158 OXI262158 PHE262158 PRA262158 QAW262158 QKS262158 QUO262158 REK262158 ROG262158 RYC262158 SHY262158 SRU262158 TBQ262158 TLM262158 TVI262158 UFE262158 UPA262158 UYW262158 VIS262158 VSO262158 WCK262158 WMG262158 WWC262158 U327694 JQ327694 TM327694 ADI327694 ANE327694 AXA327694 BGW327694 BQS327694 CAO327694 CKK327694 CUG327694 DEC327694 DNY327694 DXU327694 EHQ327694 ERM327694 FBI327694 FLE327694 FVA327694 GEW327694 GOS327694 GYO327694 HIK327694 HSG327694 ICC327694 ILY327694 IVU327694 JFQ327694 JPM327694 JZI327694 KJE327694 KTA327694 LCW327694 LMS327694 LWO327694 MGK327694 MQG327694 NAC327694 NJY327694 NTU327694 ODQ327694 ONM327694 OXI327694 PHE327694 PRA327694 QAW327694 QKS327694 QUO327694 REK327694 ROG327694 RYC327694 SHY327694 SRU327694 TBQ327694 TLM327694 TVI327694 UFE327694 UPA327694 UYW327694 VIS327694 VSO327694 WCK327694 WMG327694 WWC327694 U393230 JQ393230 TM393230 ADI393230 ANE393230 AXA393230 BGW393230 BQS393230 CAO393230 CKK393230 CUG393230 DEC393230 DNY393230 DXU393230 EHQ393230 ERM393230 FBI393230 FLE393230 FVA393230 GEW393230 GOS393230 GYO393230 HIK393230 HSG393230 ICC393230 ILY393230 IVU393230 JFQ393230 JPM393230 JZI393230 KJE393230 KTA393230 LCW393230 LMS393230 LWO393230 MGK393230 MQG393230 NAC393230 NJY393230 NTU393230 ODQ393230 ONM393230 OXI393230 PHE393230 PRA393230 QAW393230 QKS393230 QUO393230 REK393230 ROG393230 RYC393230 SHY393230 SRU393230 TBQ393230 TLM393230 TVI393230 UFE393230 UPA393230 UYW393230 VIS393230 VSO393230 WCK393230 WMG393230 WWC393230 U458766 JQ458766 TM458766 ADI458766 ANE458766 AXA458766 BGW458766 BQS458766 CAO458766 CKK458766 CUG458766 DEC458766 DNY458766 DXU458766 EHQ458766 ERM458766 FBI458766 FLE458766 FVA458766 GEW458766 GOS458766 GYO458766 HIK458766 HSG458766 ICC458766 ILY458766 IVU458766 JFQ458766 JPM458766 JZI458766 KJE458766 KTA458766 LCW458766 LMS458766 LWO458766 MGK458766 MQG458766 NAC458766 NJY458766 NTU458766 ODQ458766 ONM458766 OXI458766 PHE458766 PRA458766 QAW458766 QKS458766 QUO458766 REK458766 ROG458766 RYC458766 SHY458766 SRU458766 TBQ458766 TLM458766 TVI458766 UFE458766 UPA458766 UYW458766 VIS458766 VSO458766 WCK458766 WMG458766 WWC458766 U524302 JQ524302 TM524302 ADI524302 ANE524302 AXA524302 BGW524302 BQS524302 CAO524302 CKK524302 CUG524302 DEC524302 DNY524302 DXU524302 EHQ524302 ERM524302 FBI524302 FLE524302 FVA524302 GEW524302 GOS524302 GYO524302 HIK524302 HSG524302 ICC524302 ILY524302 IVU524302 JFQ524302 JPM524302 JZI524302 KJE524302 KTA524302 LCW524302 LMS524302 LWO524302 MGK524302 MQG524302 NAC524302 NJY524302 NTU524302 ODQ524302 ONM524302 OXI524302 PHE524302 PRA524302 QAW524302 QKS524302 QUO524302 REK524302 ROG524302 RYC524302 SHY524302 SRU524302 TBQ524302 TLM524302 TVI524302 UFE524302 UPA524302 UYW524302 VIS524302 VSO524302 WCK524302 WMG524302 WWC524302 U589838 JQ589838 TM589838 ADI589838 ANE589838 AXA589838 BGW589838 BQS589838 CAO589838 CKK589838 CUG589838 DEC589838 DNY589838 DXU589838 EHQ589838 ERM589838 FBI589838 FLE589838 FVA589838 GEW589838 GOS589838 GYO589838 HIK589838 HSG589838 ICC589838 ILY589838 IVU589838 JFQ589838 JPM589838 JZI589838 KJE589838 KTA589838 LCW589838 LMS589838 LWO589838 MGK589838 MQG589838 NAC589838 NJY589838 NTU589838 ODQ589838 ONM589838 OXI589838 PHE589838 PRA589838 QAW589838 QKS589838 QUO589838 REK589838 ROG589838 RYC589838 SHY589838 SRU589838 TBQ589838 TLM589838 TVI589838 UFE589838 UPA589838 UYW589838 VIS589838 VSO589838 WCK589838 WMG589838 WWC589838 U655374 JQ655374 TM655374 ADI655374 ANE655374 AXA655374 BGW655374 BQS655374 CAO655374 CKK655374 CUG655374 DEC655374 DNY655374 DXU655374 EHQ655374 ERM655374 FBI655374 FLE655374 FVA655374 GEW655374 GOS655374 GYO655374 HIK655374 HSG655374 ICC655374 ILY655374 IVU655374 JFQ655374 JPM655374 JZI655374 KJE655374 KTA655374 LCW655374 LMS655374 LWO655374 MGK655374 MQG655374 NAC655374 NJY655374 NTU655374 ODQ655374 ONM655374 OXI655374 PHE655374 PRA655374 QAW655374 QKS655374 QUO655374 REK655374 ROG655374 RYC655374 SHY655374 SRU655374 TBQ655374 TLM655374 TVI655374 UFE655374 UPA655374 UYW655374 VIS655374 VSO655374 WCK655374 WMG655374 WWC655374 U720910 JQ720910 TM720910 ADI720910 ANE720910 AXA720910 BGW720910 BQS720910 CAO720910 CKK720910 CUG720910 DEC720910 DNY720910 DXU720910 EHQ720910 ERM720910 FBI720910 FLE720910 FVA720910 GEW720910 GOS720910 GYO720910 HIK720910 HSG720910 ICC720910 ILY720910 IVU720910 JFQ720910 JPM720910 JZI720910 KJE720910 KTA720910 LCW720910 LMS720910 LWO720910 MGK720910 MQG720910 NAC720910 NJY720910 NTU720910 ODQ720910 ONM720910 OXI720910 PHE720910 PRA720910 QAW720910 QKS720910 QUO720910 REK720910 ROG720910 RYC720910 SHY720910 SRU720910 TBQ720910 TLM720910 TVI720910 UFE720910 UPA720910 UYW720910 VIS720910 VSO720910 WCK720910 WMG720910 WWC720910 U786446 JQ786446 TM786446 ADI786446 ANE786446 AXA786446 BGW786446 BQS786446 CAO786446 CKK786446 CUG786446 DEC786446 DNY786446 DXU786446 EHQ786446 ERM786446 FBI786446 FLE786446 FVA786446 GEW786446 GOS786446 GYO786446 HIK786446 HSG786446 ICC786446 ILY786446 IVU786446 JFQ786446 JPM786446 JZI786446 KJE786446 KTA786446 LCW786446 LMS786446 LWO786446 MGK786446 MQG786446 NAC786446 NJY786446 NTU786446 ODQ786446 ONM786446 OXI786446 PHE786446 PRA786446 QAW786446 QKS786446 QUO786446 REK786446 ROG786446 RYC786446 SHY786446 SRU786446 TBQ786446 TLM786446 TVI786446 UFE786446 UPA786446 UYW786446 VIS786446 VSO786446 WCK786446 WMG786446 WWC786446 U851982 JQ851982 TM851982 ADI851982 ANE851982 AXA851982 BGW851982 BQS851982 CAO851982 CKK851982 CUG851982 DEC851982 DNY851982 DXU851982 EHQ851982 ERM851982 FBI851982 FLE851982 FVA851982 GEW851982 GOS851982 GYO851982 HIK851982 HSG851982 ICC851982 ILY851982 IVU851982 JFQ851982 JPM851982 JZI851982 KJE851982 KTA851982 LCW851982 LMS851982 LWO851982 MGK851982 MQG851982 NAC851982 NJY851982 NTU851982 ODQ851982 ONM851982 OXI851982 PHE851982 PRA851982 QAW851982 QKS851982 QUO851982 REK851982 ROG851982 RYC851982 SHY851982 SRU851982 TBQ851982 TLM851982 TVI851982 UFE851982 UPA851982 UYW851982 VIS851982 VSO851982 WCK851982 WMG851982 WWC851982 U917518 JQ917518 TM917518 ADI917518 ANE917518 AXA917518 BGW917518 BQS917518 CAO917518 CKK917518 CUG917518 DEC917518 DNY917518 DXU917518 EHQ917518 ERM917518 FBI917518 FLE917518 FVA917518 GEW917518 GOS917518 GYO917518 HIK917518 HSG917518 ICC917518 ILY917518 IVU917518 JFQ917518 JPM917518 JZI917518 KJE917518 KTA917518 LCW917518 LMS917518 LWO917518 MGK917518 MQG917518 NAC917518 NJY917518 NTU917518 ODQ917518 ONM917518 OXI917518 PHE917518 PRA917518 QAW917518 QKS917518 QUO917518 REK917518 ROG917518 RYC917518 SHY917518 SRU917518 TBQ917518 TLM917518 TVI917518 UFE917518 UPA917518 UYW917518 VIS917518 VSO917518 WCK917518 WMG917518 WWC917518 U983054 JQ983054 TM983054 ADI983054 ANE983054 AXA983054 BGW983054 BQS983054 CAO983054 CKK983054 CUG983054 DEC983054 DNY983054 DXU983054 EHQ983054 ERM983054 FBI983054 FLE983054 FVA983054 GEW983054 GOS983054 GYO983054 HIK983054 HSG983054 ICC983054 ILY983054 IVU983054 JFQ983054 JPM983054 JZI983054 KJE983054 KTA983054 LCW983054 LMS983054 LWO983054 MGK983054 MQG983054 NAC983054 NJY983054 NTU983054 ODQ983054 ONM983054 OXI983054 PHE983054 PRA983054 QAW983054 QKS983054 QUO983054 REK983054 ROG983054 RYC983054 SHY983054 SRU983054 TBQ983054 TLM983054 TVI983054 UFE983054 UPA983054 UYW983054 VIS983054 VSO983054 WCK983054 WMG983054 WWC983054 AA35:AA39 JW35:JW39 TS35:TS39 ADO35:ADO39 ANK35:ANK39 AXG35:AXG39 BHC35:BHC39 BQY35:BQY39 CAU35:CAU39 CKQ35:CKQ39 CUM35:CUM39 DEI35:DEI39 DOE35:DOE39 DYA35:DYA39 EHW35:EHW39 ERS35:ERS39 FBO35:FBO39 FLK35:FLK39 FVG35:FVG39 GFC35:GFC39 GOY35:GOY39 GYU35:GYU39 HIQ35:HIQ39 HSM35:HSM39 ICI35:ICI39 IME35:IME39 IWA35:IWA39 JFW35:JFW39 JPS35:JPS39 JZO35:JZO39 KJK35:KJK39 KTG35:KTG39 LDC35:LDC39 LMY35:LMY39 LWU35:LWU39 MGQ35:MGQ39 MQM35:MQM39 NAI35:NAI39 NKE35:NKE39 NUA35:NUA39 ODW35:ODW39 ONS35:ONS39 OXO35:OXO39 PHK35:PHK39 PRG35:PRG39 QBC35:QBC39 QKY35:QKY39 QUU35:QUU39 REQ35:REQ39 ROM35:ROM39 RYI35:RYI39 SIE35:SIE39 SSA35:SSA39 TBW35:TBW39 TLS35:TLS39 TVO35:TVO39 UFK35:UFK39 UPG35:UPG39 UZC35:UZC39 VIY35:VIY39 VSU35:VSU39 WCQ35:WCQ39 WMM35:WMM39 WWI35:WWI39 AA65571:AA65575 JW65571:JW65575 TS65571:TS65575 ADO65571:ADO65575 ANK65571:ANK65575 AXG65571:AXG65575 BHC65571:BHC65575 BQY65571:BQY65575 CAU65571:CAU65575 CKQ65571:CKQ65575 CUM65571:CUM65575 DEI65571:DEI65575 DOE65571:DOE65575 DYA65571:DYA65575 EHW65571:EHW65575 ERS65571:ERS65575 FBO65571:FBO65575 FLK65571:FLK65575 FVG65571:FVG65575 GFC65571:GFC65575 GOY65571:GOY65575 GYU65571:GYU65575 HIQ65571:HIQ65575 HSM65571:HSM65575 ICI65571:ICI65575 IME65571:IME65575 IWA65571:IWA65575 JFW65571:JFW65575 JPS65571:JPS65575 JZO65571:JZO65575 KJK65571:KJK65575 KTG65571:KTG65575 LDC65571:LDC65575 LMY65571:LMY65575 LWU65571:LWU65575 MGQ65571:MGQ65575 MQM65571:MQM65575 NAI65571:NAI65575 NKE65571:NKE65575 NUA65571:NUA65575 ODW65571:ODW65575 ONS65571:ONS65575 OXO65571:OXO65575 PHK65571:PHK65575 PRG65571:PRG65575 QBC65571:QBC65575 QKY65571:QKY65575 QUU65571:QUU65575 REQ65571:REQ65575 ROM65571:ROM65575 RYI65571:RYI65575 SIE65571:SIE65575 SSA65571:SSA65575 TBW65571:TBW65575 TLS65571:TLS65575 TVO65571:TVO65575 UFK65571:UFK65575 UPG65571:UPG65575 UZC65571:UZC65575 VIY65571:VIY65575 VSU65571:VSU65575 WCQ65571:WCQ65575 WMM65571:WMM65575 WWI65571:WWI65575 AA131107:AA131111 JW131107:JW131111 TS131107:TS131111 ADO131107:ADO131111 ANK131107:ANK131111 AXG131107:AXG131111 BHC131107:BHC131111 BQY131107:BQY131111 CAU131107:CAU131111 CKQ131107:CKQ131111 CUM131107:CUM131111 DEI131107:DEI131111 DOE131107:DOE131111 DYA131107:DYA131111 EHW131107:EHW131111 ERS131107:ERS131111 FBO131107:FBO131111 FLK131107:FLK131111 FVG131107:FVG131111 GFC131107:GFC131111 GOY131107:GOY131111 GYU131107:GYU131111 HIQ131107:HIQ131111 HSM131107:HSM131111 ICI131107:ICI131111 IME131107:IME131111 IWA131107:IWA131111 JFW131107:JFW131111 JPS131107:JPS131111 JZO131107:JZO131111 KJK131107:KJK131111 KTG131107:KTG131111 LDC131107:LDC131111 LMY131107:LMY131111 LWU131107:LWU131111 MGQ131107:MGQ131111 MQM131107:MQM131111 NAI131107:NAI131111 NKE131107:NKE131111 NUA131107:NUA131111 ODW131107:ODW131111 ONS131107:ONS131111 OXO131107:OXO131111 PHK131107:PHK131111 PRG131107:PRG131111 QBC131107:QBC131111 QKY131107:QKY131111 QUU131107:QUU131111 REQ131107:REQ131111 ROM131107:ROM131111 RYI131107:RYI131111 SIE131107:SIE131111 SSA131107:SSA131111 TBW131107:TBW131111 TLS131107:TLS131111 TVO131107:TVO131111 UFK131107:UFK131111 UPG131107:UPG131111 UZC131107:UZC131111 VIY131107:VIY131111 VSU131107:VSU131111 WCQ131107:WCQ131111 WMM131107:WMM131111 WWI131107:WWI131111 AA196643:AA196647 JW196643:JW196647 TS196643:TS196647 ADO196643:ADO196647 ANK196643:ANK196647 AXG196643:AXG196647 BHC196643:BHC196647 BQY196643:BQY196647 CAU196643:CAU196647 CKQ196643:CKQ196647 CUM196643:CUM196647 DEI196643:DEI196647 DOE196643:DOE196647 DYA196643:DYA196647 EHW196643:EHW196647 ERS196643:ERS196647 FBO196643:FBO196647 FLK196643:FLK196647 FVG196643:FVG196647 GFC196643:GFC196647 GOY196643:GOY196647 GYU196643:GYU196647 HIQ196643:HIQ196647 HSM196643:HSM196647 ICI196643:ICI196647 IME196643:IME196647 IWA196643:IWA196647 JFW196643:JFW196647 JPS196643:JPS196647 JZO196643:JZO196647 KJK196643:KJK196647 KTG196643:KTG196647 LDC196643:LDC196647 LMY196643:LMY196647 LWU196643:LWU196647 MGQ196643:MGQ196647 MQM196643:MQM196647 NAI196643:NAI196647 NKE196643:NKE196647 NUA196643:NUA196647 ODW196643:ODW196647 ONS196643:ONS196647 OXO196643:OXO196647 PHK196643:PHK196647 PRG196643:PRG196647 QBC196643:QBC196647 QKY196643:QKY196647 QUU196643:QUU196647 REQ196643:REQ196647 ROM196643:ROM196647 RYI196643:RYI196647 SIE196643:SIE196647 SSA196643:SSA196647 TBW196643:TBW196647 TLS196643:TLS196647 TVO196643:TVO196647 UFK196643:UFK196647 UPG196643:UPG196647 UZC196643:UZC196647 VIY196643:VIY196647 VSU196643:VSU196647 WCQ196643:WCQ196647 WMM196643:WMM196647 WWI196643:WWI196647 AA262179:AA262183 JW262179:JW262183 TS262179:TS262183 ADO262179:ADO262183 ANK262179:ANK262183 AXG262179:AXG262183 BHC262179:BHC262183 BQY262179:BQY262183 CAU262179:CAU262183 CKQ262179:CKQ262183 CUM262179:CUM262183 DEI262179:DEI262183 DOE262179:DOE262183 DYA262179:DYA262183 EHW262179:EHW262183 ERS262179:ERS262183 FBO262179:FBO262183 FLK262179:FLK262183 FVG262179:FVG262183 GFC262179:GFC262183 GOY262179:GOY262183 GYU262179:GYU262183 HIQ262179:HIQ262183 HSM262179:HSM262183 ICI262179:ICI262183 IME262179:IME262183 IWA262179:IWA262183 JFW262179:JFW262183 JPS262179:JPS262183 JZO262179:JZO262183 KJK262179:KJK262183 KTG262179:KTG262183 LDC262179:LDC262183 LMY262179:LMY262183 LWU262179:LWU262183 MGQ262179:MGQ262183 MQM262179:MQM262183 NAI262179:NAI262183 NKE262179:NKE262183 NUA262179:NUA262183 ODW262179:ODW262183 ONS262179:ONS262183 OXO262179:OXO262183 PHK262179:PHK262183 PRG262179:PRG262183 QBC262179:QBC262183 QKY262179:QKY262183 QUU262179:QUU262183 REQ262179:REQ262183 ROM262179:ROM262183 RYI262179:RYI262183 SIE262179:SIE262183 SSA262179:SSA262183 TBW262179:TBW262183 TLS262179:TLS262183 TVO262179:TVO262183 UFK262179:UFK262183 UPG262179:UPG262183 UZC262179:UZC262183 VIY262179:VIY262183 VSU262179:VSU262183 WCQ262179:WCQ262183 WMM262179:WMM262183 WWI262179:WWI262183 AA327715:AA327719 JW327715:JW327719 TS327715:TS327719 ADO327715:ADO327719 ANK327715:ANK327719 AXG327715:AXG327719 BHC327715:BHC327719 BQY327715:BQY327719 CAU327715:CAU327719 CKQ327715:CKQ327719 CUM327715:CUM327719 DEI327715:DEI327719 DOE327715:DOE327719 DYA327715:DYA327719 EHW327715:EHW327719 ERS327715:ERS327719 FBO327715:FBO327719 FLK327715:FLK327719 FVG327715:FVG327719 GFC327715:GFC327719 GOY327715:GOY327719 GYU327715:GYU327719 HIQ327715:HIQ327719 HSM327715:HSM327719 ICI327715:ICI327719 IME327715:IME327719 IWA327715:IWA327719 JFW327715:JFW327719 JPS327715:JPS327719 JZO327715:JZO327719 KJK327715:KJK327719 KTG327715:KTG327719 LDC327715:LDC327719 LMY327715:LMY327719 LWU327715:LWU327719 MGQ327715:MGQ327719 MQM327715:MQM327719 NAI327715:NAI327719 NKE327715:NKE327719 NUA327715:NUA327719 ODW327715:ODW327719 ONS327715:ONS327719 OXO327715:OXO327719 PHK327715:PHK327719 PRG327715:PRG327719 QBC327715:QBC327719 QKY327715:QKY327719 QUU327715:QUU327719 REQ327715:REQ327719 ROM327715:ROM327719 RYI327715:RYI327719 SIE327715:SIE327719 SSA327715:SSA327719 TBW327715:TBW327719 TLS327715:TLS327719 TVO327715:TVO327719 UFK327715:UFK327719 UPG327715:UPG327719 UZC327715:UZC327719 VIY327715:VIY327719 VSU327715:VSU327719 WCQ327715:WCQ327719 WMM327715:WMM327719 WWI327715:WWI327719 AA393251:AA393255 JW393251:JW393255 TS393251:TS393255 ADO393251:ADO393255 ANK393251:ANK393255 AXG393251:AXG393255 BHC393251:BHC393255 BQY393251:BQY393255 CAU393251:CAU393255 CKQ393251:CKQ393255 CUM393251:CUM393255 DEI393251:DEI393255 DOE393251:DOE393255 DYA393251:DYA393255 EHW393251:EHW393255 ERS393251:ERS393255 FBO393251:FBO393255 FLK393251:FLK393255 FVG393251:FVG393255 GFC393251:GFC393255 GOY393251:GOY393255 GYU393251:GYU393255 HIQ393251:HIQ393255 HSM393251:HSM393255 ICI393251:ICI393255 IME393251:IME393255 IWA393251:IWA393255 JFW393251:JFW393255 JPS393251:JPS393255 JZO393251:JZO393255 KJK393251:KJK393255 KTG393251:KTG393255 LDC393251:LDC393255 LMY393251:LMY393255 LWU393251:LWU393255 MGQ393251:MGQ393255 MQM393251:MQM393255 NAI393251:NAI393255 NKE393251:NKE393255 NUA393251:NUA393255 ODW393251:ODW393255 ONS393251:ONS393255 OXO393251:OXO393255 PHK393251:PHK393255 PRG393251:PRG393255 QBC393251:QBC393255 QKY393251:QKY393255 QUU393251:QUU393255 REQ393251:REQ393255 ROM393251:ROM393255 RYI393251:RYI393255 SIE393251:SIE393255 SSA393251:SSA393255 TBW393251:TBW393255 TLS393251:TLS393255 TVO393251:TVO393255 UFK393251:UFK393255 UPG393251:UPG393255 UZC393251:UZC393255 VIY393251:VIY393255 VSU393251:VSU393255 WCQ393251:WCQ393255 WMM393251:WMM393255 WWI393251:WWI393255 AA458787:AA458791 JW458787:JW458791 TS458787:TS458791 ADO458787:ADO458791 ANK458787:ANK458791 AXG458787:AXG458791 BHC458787:BHC458791 BQY458787:BQY458791 CAU458787:CAU458791 CKQ458787:CKQ458791 CUM458787:CUM458791 DEI458787:DEI458791 DOE458787:DOE458791 DYA458787:DYA458791 EHW458787:EHW458791 ERS458787:ERS458791 FBO458787:FBO458791 FLK458787:FLK458791 FVG458787:FVG458791 GFC458787:GFC458791 GOY458787:GOY458791 GYU458787:GYU458791 HIQ458787:HIQ458791 HSM458787:HSM458791 ICI458787:ICI458791 IME458787:IME458791 IWA458787:IWA458791 JFW458787:JFW458791 JPS458787:JPS458791 JZO458787:JZO458791 KJK458787:KJK458791 KTG458787:KTG458791 LDC458787:LDC458791 LMY458787:LMY458791 LWU458787:LWU458791 MGQ458787:MGQ458791 MQM458787:MQM458791 NAI458787:NAI458791 NKE458787:NKE458791 NUA458787:NUA458791 ODW458787:ODW458791 ONS458787:ONS458791 OXO458787:OXO458791 PHK458787:PHK458791 PRG458787:PRG458791 QBC458787:QBC458791 QKY458787:QKY458791 QUU458787:QUU458791 REQ458787:REQ458791 ROM458787:ROM458791 RYI458787:RYI458791 SIE458787:SIE458791 SSA458787:SSA458791 TBW458787:TBW458791 TLS458787:TLS458791 TVO458787:TVO458791 UFK458787:UFK458791 UPG458787:UPG458791 UZC458787:UZC458791 VIY458787:VIY458791 VSU458787:VSU458791 WCQ458787:WCQ458791 WMM458787:WMM458791 WWI458787:WWI458791 AA524323:AA524327 JW524323:JW524327 TS524323:TS524327 ADO524323:ADO524327 ANK524323:ANK524327 AXG524323:AXG524327 BHC524323:BHC524327 BQY524323:BQY524327 CAU524323:CAU524327 CKQ524323:CKQ524327 CUM524323:CUM524327 DEI524323:DEI524327 DOE524323:DOE524327 DYA524323:DYA524327 EHW524323:EHW524327 ERS524323:ERS524327 FBO524323:FBO524327 FLK524323:FLK524327 FVG524323:FVG524327 GFC524323:GFC524327 GOY524323:GOY524327 GYU524323:GYU524327 HIQ524323:HIQ524327 HSM524323:HSM524327 ICI524323:ICI524327 IME524323:IME524327 IWA524323:IWA524327 JFW524323:JFW524327 JPS524323:JPS524327 JZO524323:JZO524327 KJK524323:KJK524327 KTG524323:KTG524327 LDC524323:LDC524327 LMY524323:LMY524327 LWU524323:LWU524327 MGQ524323:MGQ524327 MQM524323:MQM524327 NAI524323:NAI524327 NKE524323:NKE524327 NUA524323:NUA524327 ODW524323:ODW524327 ONS524323:ONS524327 OXO524323:OXO524327 PHK524323:PHK524327 PRG524323:PRG524327 QBC524323:QBC524327 QKY524323:QKY524327 QUU524323:QUU524327 REQ524323:REQ524327 ROM524323:ROM524327 RYI524323:RYI524327 SIE524323:SIE524327 SSA524323:SSA524327 TBW524323:TBW524327 TLS524323:TLS524327 TVO524323:TVO524327 UFK524323:UFK524327 UPG524323:UPG524327 UZC524323:UZC524327 VIY524323:VIY524327 VSU524323:VSU524327 WCQ524323:WCQ524327 WMM524323:WMM524327 WWI524323:WWI524327 AA589859:AA589863 JW589859:JW589863 TS589859:TS589863 ADO589859:ADO589863 ANK589859:ANK589863 AXG589859:AXG589863 BHC589859:BHC589863 BQY589859:BQY589863 CAU589859:CAU589863 CKQ589859:CKQ589863 CUM589859:CUM589863 DEI589859:DEI589863 DOE589859:DOE589863 DYA589859:DYA589863 EHW589859:EHW589863 ERS589859:ERS589863 FBO589859:FBO589863 FLK589859:FLK589863 FVG589859:FVG589863 GFC589859:GFC589863 GOY589859:GOY589863 GYU589859:GYU589863 HIQ589859:HIQ589863 HSM589859:HSM589863 ICI589859:ICI589863 IME589859:IME589863 IWA589859:IWA589863 JFW589859:JFW589863 JPS589859:JPS589863 JZO589859:JZO589863 KJK589859:KJK589863 KTG589859:KTG589863 LDC589859:LDC589863 LMY589859:LMY589863 LWU589859:LWU589863 MGQ589859:MGQ589863 MQM589859:MQM589863 NAI589859:NAI589863 NKE589859:NKE589863 NUA589859:NUA589863 ODW589859:ODW589863 ONS589859:ONS589863 OXO589859:OXO589863 PHK589859:PHK589863 PRG589859:PRG589863 QBC589859:QBC589863 QKY589859:QKY589863 QUU589859:QUU589863 REQ589859:REQ589863 ROM589859:ROM589863 RYI589859:RYI589863 SIE589859:SIE589863 SSA589859:SSA589863 TBW589859:TBW589863 TLS589859:TLS589863 TVO589859:TVO589863 UFK589859:UFK589863 UPG589859:UPG589863 UZC589859:UZC589863 VIY589859:VIY589863 VSU589859:VSU589863 WCQ589859:WCQ589863 WMM589859:WMM589863 WWI589859:WWI589863 AA655395:AA655399 JW655395:JW655399 TS655395:TS655399 ADO655395:ADO655399 ANK655395:ANK655399 AXG655395:AXG655399 BHC655395:BHC655399 BQY655395:BQY655399 CAU655395:CAU655399 CKQ655395:CKQ655399 CUM655395:CUM655399 DEI655395:DEI655399 DOE655395:DOE655399 DYA655395:DYA655399 EHW655395:EHW655399 ERS655395:ERS655399 FBO655395:FBO655399 FLK655395:FLK655399 FVG655395:FVG655399 GFC655395:GFC655399 GOY655395:GOY655399 GYU655395:GYU655399 HIQ655395:HIQ655399 HSM655395:HSM655399 ICI655395:ICI655399 IME655395:IME655399 IWA655395:IWA655399 JFW655395:JFW655399 JPS655395:JPS655399 JZO655395:JZO655399 KJK655395:KJK655399 KTG655395:KTG655399 LDC655395:LDC655399 LMY655395:LMY655399 LWU655395:LWU655399 MGQ655395:MGQ655399 MQM655395:MQM655399 NAI655395:NAI655399 NKE655395:NKE655399 NUA655395:NUA655399 ODW655395:ODW655399 ONS655395:ONS655399 OXO655395:OXO655399 PHK655395:PHK655399 PRG655395:PRG655399 QBC655395:QBC655399 QKY655395:QKY655399 QUU655395:QUU655399 REQ655395:REQ655399 ROM655395:ROM655399 RYI655395:RYI655399 SIE655395:SIE655399 SSA655395:SSA655399 TBW655395:TBW655399 TLS655395:TLS655399 TVO655395:TVO655399 UFK655395:UFK655399 UPG655395:UPG655399 UZC655395:UZC655399 VIY655395:VIY655399 VSU655395:VSU655399 WCQ655395:WCQ655399 WMM655395:WMM655399 WWI655395:WWI655399 AA720931:AA720935 JW720931:JW720935 TS720931:TS720935 ADO720931:ADO720935 ANK720931:ANK720935 AXG720931:AXG720935 BHC720931:BHC720935 BQY720931:BQY720935 CAU720931:CAU720935 CKQ720931:CKQ720935 CUM720931:CUM720935 DEI720931:DEI720935 DOE720931:DOE720935 DYA720931:DYA720935 EHW720931:EHW720935 ERS720931:ERS720935 FBO720931:FBO720935 FLK720931:FLK720935 FVG720931:FVG720935 GFC720931:GFC720935 GOY720931:GOY720935 GYU720931:GYU720935 HIQ720931:HIQ720935 HSM720931:HSM720935 ICI720931:ICI720935 IME720931:IME720935 IWA720931:IWA720935 JFW720931:JFW720935 JPS720931:JPS720935 JZO720931:JZO720935 KJK720931:KJK720935 KTG720931:KTG720935 LDC720931:LDC720935 LMY720931:LMY720935 LWU720931:LWU720935 MGQ720931:MGQ720935 MQM720931:MQM720935 NAI720931:NAI720935 NKE720931:NKE720935 NUA720931:NUA720935 ODW720931:ODW720935 ONS720931:ONS720935 OXO720931:OXO720935 PHK720931:PHK720935 PRG720931:PRG720935 QBC720931:QBC720935 QKY720931:QKY720935 QUU720931:QUU720935 REQ720931:REQ720935 ROM720931:ROM720935 RYI720931:RYI720935 SIE720931:SIE720935 SSA720931:SSA720935 TBW720931:TBW720935 TLS720931:TLS720935 TVO720931:TVO720935 UFK720931:UFK720935 UPG720931:UPG720935 UZC720931:UZC720935 VIY720931:VIY720935 VSU720931:VSU720935 WCQ720931:WCQ720935 WMM720931:WMM720935 WWI720931:WWI720935 AA786467:AA786471 JW786467:JW786471 TS786467:TS786471 ADO786467:ADO786471 ANK786467:ANK786471 AXG786467:AXG786471 BHC786467:BHC786471 BQY786467:BQY786471 CAU786467:CAU786471 CKQ786467:CKQ786471 CUM786467:CUM786471 DEI786467:DEI786471 DOE786467:DOE786471 DYA786467:DYA786471 EHW786467:EHW786471 ERS786467:ERS786471 FBO786467:FBO786471 FLK786467:FLK786471 FVG786467:FVG786471 GFC786467:GFC786471 GOY786467:GOY786471 GYU786467:GYU786471 HIQ786467:HIQ786471 HSM786467:HSM786471 ICI786467:ICI786471 IME786467:IME786471 IWA786467:IWA786471 JFW786467:JFW786471 JPS786467:JPS786471 JZO786467:JZO786471 KJK786467:KJK786471 KTG786467:KTG786471 LDC786467:LDC786471 LMY786467:LMY786471 LWU786467:LWU786471 MGQ786467:MGQ786471 MQM786467:MQM786471 NAI786467:NAI786471 NKE786467:NKE786471 NUA786467:NUA786471 ODW786467:ODW786471 ONS786467:ONS786471 OXO786467:OXO786471 PHK786467:PHK786471 PRG786467:PRG786471 QBC786467:QBC786471 QKY786467:QKY786471 QUU786467:QUU786471 REQ786467:REQ786471 ROM786467:ROM786471 RYI786467:RYI786471 SIE786467:SIE786471 SSA786467:SSA786471 TBW786467:TBW786471 TLS786467:TLS786471 TVO786467:TVO786471 UFK786467:UFK786471 UPG786467:UPG786471 UZC786467:UZC786471 VIY786467:VIY786471 VSU786467:VSU786471 WCQ786467:WCQ786471 WMM786467:WMM786471 WWI786467:WWI786471 AA852003:AA852007 JW852003:JW852007 TS852003:TS852007 ADO852003:ADO852007 ANK852003:ANK852007 AXG852003:AXG852007 BHC852003:BHC852007 BQY852003:BQY852007 CAU852003:CAU852007 CKQ852003:CKQ852007 CUM852003:CUM852007 DEI852003:DEI852007 DOE852003:DOE852007 DYA852003:DYA852007 EHW852003:EHW852007 ERS852003:ERS852007 FBO852003:FBO852007 FLK852003:FLK852007 FVG852003:FVG852007 GFC852003:GFC852007 GOY852003:GOY852007 GYU852003:GYU852007 HIQ852003:HIQ852007 HSM852003:HSM852007 ICI852003:ICI852007 IME852003:IME852007 IWA852003:IWA852007 JFW852003:JFW852007 JPS852003:JPS852007 JZO852003:JZO852007 KJK852003:KJK852007 KTG852003:KTG852007 LDC852003:LDC852007 LMY852003:LMY852007 LWU852003:LWU852007 MGQ852003:MGQ852007 MQM852003:MQM852007 NAI852003:NAI852007 NKE852003:NKE852007 NUA852003:NUA852007 ODW852003:ODW852007 ONS852003:ONS852007 OXO852003:OXO852007 PHK852003:PHK852007 PRG852003:PRG852007 QBC852003:QBC852007 QKY852003:QKY852007 QUU852003:QUU852007 REQ852003:REQ852007 ROM852003:ROM852007 RYI852003:RYI852007 SIE852003:SIE852007 SSA852003:SSA852007 TBW852003:TBW852007 TLS852003:TLS852007 TVO852003:TVO852007 UFK852003:UFK852007 UPG852003:UPG852007 UZC852003:UZC852007 VIY852003:VIY852007 VSU852003:VSU852007 WCQ852003:WCQ852007 WMM852003:WMM852007 WWI852003:WWI852007 AA917539:AA917543 JW917539:JW917543 TS917539:TS917543 ADO917539:ADO917543 ANK917539:ANK917543 AXG917539:AXG917543 BHC917539:BHC917543 BQY917539:BQY917543 CAU917539:CAU917543 CKQ917539:CKQ917543 CUM917539:CUM917543 DEI917539:DEI917543 DOE917539:DOE917543 DYA917539:DYA917543 EHW917539:EHW917543 ERS917539:ERS917543 FBO917539:FBO917543 FLK917539:FLK917543 FVG917539:FVG917543 GFC917539:GFC917543 GOY917539:GOY917543 GYU917539:GYU917543 HIQ917539:HIQ917543 HSM917539:HSM917543 ICI917539:ICI917543 IME917539:IME917543 IWA917539:IWA917543 JFW917539:JFW917543 JPS917539:JPS917543 JZO917539:JZO917543 KJK917539:KJK917543 KTG917539:KTG917543 LDC917539:LDC917543 LMY917539:LMY917543 LWU917539:LWU917543 MGQ917539:MGQ917543 MQM917539:MQM917543 NAI917539:NAI917543 NKE917539:NKE917543 NUA917539:NUA917543 ODW917539:ODW917543 ONS917539:ONS917543 OXO917539:OXO917543 PHK917539:PHK917543 PRG917539:PRG917543 QBC917539:QBC917543 QKY917539:QKY917543 QUU917539:QUU917543 REQ917539:REQ917543 ROM917539:ROM917543 RYI917539:RYI917543 SIE917539:SIE917543 SSA917539:SSA917543 TBW917539:TBW917543 TLS917539:TLS917543 TVO917539:TVO917543 UFK917539:UFK917543 UPG917539:UPG917543 UZC917539:UZC917543 VIY917539:VIY917543 VSU917539:VSU917543 WCQ917539:WCQ917543 WMM917539:WMM917543 WWI917539:WWI917543 AA983075:AA983079 JW983075:JW983079 TS983075:TS983079 ADO983075:ADO983079 ANK983075:ANK983079 AXG983075:AXG983079 BHC983075:BHC983079 BQY983075:BQY983079 CAU983075:CAU983079 CKQ983075:CKQ983079 CUM983075:CUM983079 DEI983075:DEI983079 DOE983075:DOE983079 DYA983075:DYA983079 EHW983075:EHW983079 ERS983075:ERS983079 FBO983075:FBO983079 FLK983075:FLK983079 FVG983075:FVG983079 GFC983075:GFC983079 GOY983075:GOY983079 GYU983075:GYU983079 HIQ983075:HIQ983079 HSM983075:HSM983079 ICI983075:ICI983079 IME983075:IME983079 IWA983075:IWA983079 JFW983075:JFW983079 JPS983075:JPS983079 JZO983075:JZO983079 KJK983075:KJK983079 KTG983075:KTG983079 LDC983075:LDC983079 LMY983075:LMY983079 LWU983075:LWU983079 MGQ983075:MGQ983079 MQM983075:MQM983079 NAI983075:NAI983079 NKE983075:NKE983079 NUA983075:NUA983079 ODW983075:ODW983079 ONS983075:ONS983079 OXO983075:OXO983079 PHK983075:PHK983079 PRG983075:PRG983079 QBC983075:QBC983079 QKY983075:QKY983079 QUU983075:QUU983079 REQ983075:REQ983079 ROM983075:ROM983079 RYI983075:RYI983079 SIE983075:SIE983079 SSA983075:SSA983079 TBW983075:TBW983079 TLS983075:TLS983079 TVO983075:TVO983079 UFK983075:UFK983079 UPG983075:UPG983079 UZC983075:UZC983079 VIY983075:VIY983079 VSU983075:VSU983079 WCQ983075:WCQ983079 WMM983075:WMM983079 WWI983075:WWI983079 U32 JQ32 TM32 ADI32 ANE32 AXA32 BGW32 BQS32 CAO32 CKK32 CUG32 DEC32 DNY32 DXU32 EHQ32 ERM32 FBI32 FLE32 FVA32 GEW32 GOS32 GYO32 HIK32 HSG32 ICC32 ILY32 IVU32 JFQ32 JPM32 JZI32 KJE32 KTA32 LCW32 LMS32 LWO32 MGK32 MQG32 NAC32 NJY32 NTU32 ODQ32 ONM32 OXI32 PHE32 PRA32 QAW32 QKS32 QUO32 REK32 ROG32 RYC32 SHY32 SRU32 TBQ32 TLM32 TVI32 UFE32 UPA32 UYW32 VIS32 VSO32 WCK32 WMG32 WWC32 U65568 JQ65568 TM65568 ADI65568 ANE65568 AXA65568 BGW65568 BQS65568 CAO65568 CKK65568 CUG65568 DEC65568 DNY65568 DXU65568 EHQ65568 ERM65568 FBI65568 FLE65568 FVA65568 GEW65568 GOS65568 GYO65568 HIK65568 HSG65568 ICC65568 ILY65568 IVU65568 JFQ65568 JPM65568 JZI65568 KJE65568 KTA65568 LCW65568 LMS65568 LWO65568 MGK65568 MQG65568 NAC65568 NJY65568 NTU65568 ODQ65568 ONM65568 OXI65568 PHE65568 PRA65568 QAW65568 QKS65568 QUO65568 REK65568 ROG65568 RYC65568 SHY65568 SRU65568 TBQ65568 TLM65568 TVI65568 UFE65568 UPA65568 UYW65568 VIS65568 VSO65568 WCK65568 WMG65568 WWC65568 U131104 JQ131104 TM131104 ADI131104 ANE131104 AXA131104 BGW131104 BQS131104 CAO131104 CKK131104 CUG131104 DEC131104 DNY131104 DXU131104 EHQ131104 ERM131104 FBI131104 FLE131104 FVA131104 GEW131104 GOS131104 GYO131104 HIK131104 HSG131104 ICC131104 ILY131104 IVU131104 JFQ131104 JPM131104 JZI131104 KJE131104 KTA131104 LCW131104 LMS131104 LWO131104 MGK131104 MQG131104 NAC131104 NJY131104 NTU131104 ODQ131104 ONM131104 OXI131104 PHE131104 PRA131104 QAW131104 QKS131104 QUO131104 REK131104 ROG131104 RYC131104 SHY131104 SRU131104 TBQ131104 TLM131104 TVI131104 UFE131104 UPA131104 UYW131104 VIS131104 VSO131104 WCK131104 WMG131104 WWC131104 U196640 JQ196640 TM196640 ADI196640 ANE196640 AXA196640 BGW196640 BQS196640 CAO196640 CKK196640 CUG196640 DEC196640 DNY196640 DXU196640 EHQ196640 ERM196640 FBI196640 FLE196640 FVA196640 GEW196640 GOS196640 GYO196640 HIK196640 HSG196640 ICC196640 ILY196640 IVU196640 JFQ196640 JPM196640 JZI196640 KJE196640 KTA196640 LCW196640 LMS196640 LWO196640 MGK196640 MQG196640 NAC196640 NJY196640 NTU196640 ODQ196640 ONM196640 OXI196640 PHE196640 PRA196640 QAW196640 QKS196640 QUO196640 REK196640 ROG196640 RYC196640 SHY196640 SRU196640 TBQ196640 TLM196640 TVI196640 UFE196640 UPA196640 UYW196640 VIS196640 VSO196640 WCK196640 WMG196640 WWC196640 U262176 JQ262176 TM262176 ADI262176 ANE262176 AXA262176 BGW262176 BQS262176 CAO262176 CKK262176 CUG262176 DEC262176 DNY262176 DXU262176 EHQ262176 ERM262176 FBI262176 FLE262176 FVA262176 GEW262176 GOS262176 GYO262176 HIK262176 HSG262176 ICC262176 ILY262176 IVU262176 JFQ262176 JPM262176 JZI262176 KJE262176 KTA262176 LCW262176 LMS262176 LWO262176 MGK262176 MQG262176 NAC262176 NJY262176 NTU262176 ODQ262176 ONM262176 OXI262176 PHE262176 PRA262176 QAW262176 QKS262176 QUO262176 REK262176 ROG262176 RYC262176 SHY262176 SRU262176 TBQ262176 TLM262176 TVI262176 UFE262176 UPA262176 UYW262176 VIS262176 VSO262176 WCK262176 WMG262176 WWC262176 U327712 JQ327712 TM327712 ADI327712 ANE327712 AXA327712 BGW327712 BQS327712 CAO327712 CKK327712 CUG327712 DEC327712 DNY327712 DXU327712 EHQ327712 ERM327712 FBI327712 FLE327712 FVA327712 GEW327712 GOS327712 GYO327712 HIK327712 HSG327712 ICC327712 ILY327712 IVU327712 JFQ327712 JPM327712 JZI327712 KJE327712 KTA327712 LCW327712 LMS327712 LWO327712 MGK327712 MQG327712 NAC327712 NJY327712 NTU327712 ODQ327712 ONM327712 OXI327712 PHE327712 PRA327712 QAW327712 QKS327712 QUO327712 REK327712 ROG327712 RYC327712 SHY327712 SRU327712 TBQ327712 TLM327712 TVI327712 UFE327712 UPA327712 UYW327712 VIS327712 VSO327712 WCK327712 WMG327712 WWC327712 U393248 JQ393248 TM393248 ADI393248 ANE393248 AXA393248 BGW393248 BQS393248 CAO393248 CKK393248 CUG393248 DEC393248 DNY393248 DXU393248 EHQ393248 ERM393248 FBI393248 FLE393248 FVA393248 GEW393248 GOS393248 GYO393248 HIK393248 HSG393248 ICC393248 ILY393248 IVU393248 JFQ393248 JPM393248 JZI393248 KJE393248 KTA393248 LCW393248 LMS393248 LWO393248 MGK393248 MQG393248 NAC393248 NJY393248 NTU393248 ODQ393248 ONM393248 OXI393248 PHE393248 PRA393248 QAW393248 QKS393248 QUO393248 REK393248 ROG393248 RYC393248 SHY393248 SRU393248 TBQ393248 TLM393248 TVI393248 UFE393248 UPA393248 UYW393248 VIS393248 VSO393248 WCK393248 WMG393248 WWC393248 U458784 JQ458784 TM458784 ADI458784 ANE458784 AXA458784 BGW458784 BQS458784 CAO458784 CKK458784 CUG458784 DEC458784 DNY458784 DXU458784 EHQ458784 ERM458784 FBI458784 FLE458784 FVA458784 GEW458784 GOS458784 GYO458784 HIK458784 HSG458784 ICC458784 ILY458784 IVU458784 JFQ458784 JPM458784 JZI458784 KJE458784 KTA458784 LCW458784 LMS458784 LWO458784 MGK458784 MQG458784 NAC458784 NJY458784 NTU458784 ODQ458784 ONM458784 OXI458784 PHE458784 PRA458784 QAW458784 QKS458784 QUO458784 REK458784 ROG458784 RYC458784 SHY458784 SRU458784 TBQ458784 TLM458784 TVI458784 UFE458784 UPA458784 UYW458784 VIS458784 VSO458784 WCK458784 WMG458784 WWC458784 U524320 JQ524320 TM524320 ADI524320 ANE524320 AXA524320 BGW524320 BQS524320 CAO524320 CKK524320 CUG524320 DEC524320 DNY524320 DXU524320 EHQ524320 ERM524320 FBI524320 FLE524320 FVA524320 GEW524320 GOS524320 GYO524320 HIK524320 HSG524320 ICC524320 ILY524320 IVU524320 JFQ524320 JPM524320 JZI524320 KJE524320 KTA524320 LCW524320 LMS524320 LWO524320 MGK524320 MQG524320 NAC524320 NJY524320 NTU524320 ODQ524320 ONM524320 OXI524320 PHE524320 PRA524320 QAW524320 QKS524320 QUO524320 REK524320 ROG524320 RYC524320 SHY524320 SRU524320 TBQ524320 TLM524320 TVI524320 UFE524320 UPA524320 UYW524320 VIS524320 VSO524320 WCK524320 WMG524320 WWC524320 U589856 JQ589856 TM589856 ADI589856 ANE589856 AXA589856 BGW589856 BQS589856 CAO589856 CKK589856 CUG589856 DEC589856 DNY589856 DXU589856 EHQ589856 ERM589856 FBI589856 FLE589856 FVA589856 GEW589856 GOS589856 GYO589856 HIK589856 HSG589856 ICC589856 ILY589856 IVU589856 JFQ589856 JPM589856 JZI589856 KJE589856 KTA589856 LCW589856 LMS589856 LWO589856 MGK589856 MQG589856 NAC589856 NJY589856 NTU589856 ODQ589856 ONM589856 OXI589856 PHE589856 PRA589856 QAW589856 QKS589856 QUO589856 REK589856 ROG589856 RYC589856 SHY589856 SRU589856 TBQ589856 TLM589856 TVI589856 UFE589856 UPA589856 UYW589856 VIS589856 VSO589856 WCK589856 WMG589856 WWC589856 U655392 JQ655392 TM655392 ADI655392 ANE655392 AXA655392 BGW655392 BQS655392 CAO655392 CKK655392 CUG655392 DEC655392 DNY655392 DXU655392 EHQ655392 ERM655392 FBI655392 FLE655392 FVA655392 GEW655392 GOS655392 GYO655392 HIK655392 HSG655392 ICC655392 ILY655392 IVU655392 JFQ655392 JPM655392 JZI655392 KJE655392 KTA655392 LCW655392 LMS655392 LWO655392 MGK655392 MQG655392 NAC655392 NJY655392 NTU655392 ODQ655392 ONM655392 OXI655392 PHE655392 PRA655392 QAW655392 QKS655392 QUO655392 REK655392 ROG655392 RYC655392 SHY655392 SRU655392 TBQ655392 TLM655392 TVI655392 UFE655392 UPA655392 UYW655392 VIS655392 VSO655392 WCK655392 WMG655392 WWC655392 U720928 JQ720928 TM720928 ADI720928 ANE720928 AXA720928 BGW720928 BQS720928 CAO720928 CKK720928 CUG720928 DEC720928 DNY720928 DXU720928 EHQ720928 ERM720928 FBI720928 FLE720928 FVA720928 GEW720928 GOS720928 GYO720928 HIK720928 HSG720928 ICC720928 ILY720928 IVU720928 JFQ720928 JPM720928 JZI720928 KJE720928 KTA720928 LCW720928 LMS720928 LWO720928 MGK720928 MQG720928 NAC720928 NJY720928 NTU720928 ODQ720928 ONM720928 OXI720928 PHE720928 PRA720928 QAW720928 QKS720928 QUO720928 REK720928 ROG720928 RYC720928 SHY720928 SRU720928 TBQ720928 TLM720928 TVI720928 UFE720928 UPA720928 UYW720928 VIS720928 VSO720928 WCK720928 WMG720928 WWC720928 U786464 JQ786464 TM786464 ADI786464 ANE786464 AXA786464 BGW786464 BQS786464 CAO786464 CKK786464 CUG786464 DEC786464 DNY786464 DXU786464 EHQ786464 ERM786464 FBI786464 FLE786464 FVA786464 GEW786464 GOS786464 GYO786464 HIK786464 HSG786464 ICC786464 ILY786464 IVU786464 JFQ786464 JPM786464 JZI786464 KJE786464 KTA786464 LCW786464 LMS786464 LWO786464 MGK786464 MQG786464 NAC786464 NJY786464 NTU786464 ODQ786464 ONM786464 OXI786464 PHE786464 PRA786464 QAW786464 QKS786464 QUO786464 REK786464 ROG786464 RYC786464 SHY786464 SRU786464 TBQ786464 TLM786464 TVI786464 UFE786464 UPA786464 UYW786464 VIS786464 VSO786464 WCK786464 WMG786464 WWC786464 U852000 JQ852000 TM852000 ADI852000 ANE852000 AXA852000 BGW852000 BQS852000 CAO852000 CKK852000 CUG852000 DEC852000 DNY852000 DXU852000 EHQ852000 ERM852000 FBI852000 FLE852000 FVA852000 GEW852000 GOS852000 GYO852000 HIK852000 HSG852000 ICC852000 ILY852000 IVU852000 JFQ852000 JPM852000 JZI852000 KJE852000 KTA852000 LCW852000 LMS852000 LWO852000 MGK852000 MQG852000 NAC852000 NJY852000 NTU852000 ODQ852000 ONM852000 OXI852000 PHE852000 PRA852000 QAW852000 QKS852000 QUO852000 REK852000 ROG852000 RYC852000 SHY852000 SRU852000 TBQ852000 TLM852000 TVI852000 UFE852000 UPA852000 UYW852000 VIS852000 VSO852000 WCK852000 WMG852000 WWC852000 U917536 JQ917536 TM917536 ADI917536 ANE917536 AXA917536 BGW917536 BQS917536 CAO917536 CKK917536 CUG917536 DEC917536 DNY917536 DXU917536 EHQ917536 ERM917536 FBI917536 FLE917536 FVA917536 GEW917536 GOS917536 GYO917536 HIK917536 HSG917536 ICC917536 ILY917536 IVU917536 JFQ917536 JPM917536 JZI917536 KJE917536 KTA917536 LCW917536 LMS917536 LWO917536 MGK917536 MQG917536 NAC917536 NJY917536 NTU917536 ODQ917536 ONM917536 OXI917536 PHE917536 PRA917536 QAW917536 QKS917536 QUO917536 REK917536 ROG917536 RYC917536 SHY917536 SRU917536 TBQ917536 TLM917536 TVI917536 UFE917536 UPA917536 UYW917536 VIS917536 VSO917536 WCK917536 WMG917536 WWC917536 U983072 JQ983072 TM983072 ADI983072 ANE983072 AXA983072 BGW983072 BQS983072 CAO983072 CKK983072 CUG983072 DEC983072 DNY983072 DXU983072 EHQ983072 ERM983072 FBI983072 FLE983072 FVA983072 GEW983072 GOS983072 GYO983072 HIK983072 HSG983072 ICC983072 ILY983072 IVU983072 JFQ983072 JPM983072 JZI983072 KJE983072 KTA983072 LCW983072 LMS983072 LWO983072 MGK983072 MQG983072 NAC983072 NJY983072 NTU983072 ODQ983072 ONM983072 OXI983072 PHE983072 PRA983072 QAW983072 QKS983072 QUO983072 REK983072 ROG983072 RYC983072 SHY983072 SRU983072 TBQ983072 TLM983072 TVI983072 UFE983072 UPA983072 UYW983072 VIS983072 VSO983072 WCK983072 WMG983072 WWC983072 AA32 JW32 TS32 ADO32 ANK32 AXG32 BHC32 BQY32 CAU32 CKQ32 CUM32 DEI32 DOE32 DYA32 EHW32 ERS32 FBO32 FLK32 FVG32 GFC32 GOY32 GYU32 HIQ32 HSM32 ICI32 IME32 IWA32 JFW32 JPS32 JZO32 KJK32 KTG32 LDC32 LMY32 LWU32 MGQ32 MQM32 NAI32 NKE32 NUA32 ODW32 ONS32 OXO32 PHK32 PRG32 QBC32 QKY32 QUU32 REQ32 ROM32 RYI32 SIE32 SSA32 TBW32 TLS32 TVO32 UFK32 UPG32 UZC32 VIY32 VSU32 WCQ32 WMM32 WWI32 AA65568 JW65568 TS65568 ADO65568 ANK65568 AXG65568 BHC65568 BQY65568 CAU65568 CKQ65568 CUM65568 DEI65568 DOE65568 DYA65568 EHW65568 ERS65568 FBO65568 FLK65568 FVG65568 GFC65568 GOY65568 GYU65568 HIQ65568 HSM65568 ICI65568 IME65568 IWA65568 JFW65568 JPS65568 JZO65568 KJK65568 KTG65568 LDC65568 LMY65568 LWU65568 MGQ65568 MQM65568 NAI65568 NKE65568 NUA65568 ODW65568 ONS65568 OXO65568 PHK65568 PRG65568 QBC65568 QKY65568 QUU65568 REQ65568 ROM65568 RYI65568 SIE65568 SSA65568 TBW65568 TLS65568 TVO65568 UFK65568 UPG65568 UZC65568 VIY65568 VSU65568 WCQ65568 WMM65568 WWI65568 AA131104 JW131104 TS131104 ADO131104 ANK131104 AXG131104 BHC131104 BQY131104 CAU131104 CKQ131104 CUM131104 DEI131104 DOE131104 DYA131104 EHW131104 ERS131104 FBO131104 FLK131104 FVG131104 GFC131104 GOY131104 GYU131104 HIQ131104 HSM131104 ICI131104 IME131104 IWA131104 JFW131104 JPS131104 JZO131104 KJK131104 KTG131104 LDC131104 LMY131104 LWU131104 MGQ131104 MQM131104 NAI131104 NKE131104 NUA131104 ODW131104 ONS131104 OXO131104 PHK131104 PRG131104 QBC131104 QKY131104 QUU131104 REQ131104 ROM131104 RYI131104 SIE131104 SSA131104 TBW131104 TLS131104 TVO131104 UFK131104 UPG131104 UZC131104 VIY131104 VSU131104 WCQ131104 WMM131104 WWI131104 AA196640 JW196640 TS196640 ADO196640 ANK196640 AXG196640 BHC196640 BQY196640 CAU196640 CKQ196640 CUM196640 DEI196640 DOE196640 DYA196640 EHW196640 ERS196640 FBO196640 FLK196640 FVG196640 GFC196640 GOY196640 GYU196640 HIQ196640 HSM196640 ICI196640 IME196640 IWA196640 JFW196640 JPS196640 JZO196640 KJK196640 KTG196640 LDC196640 LMY196640 LWU196640 MGQ196640 MQM196640 NAI196640 NKE196640 NUA196640 ODW196640 ONS196640 OXO196640 PHK196640 PRG196640 QBC196640 QKY196640 QUU196640 REQ196640 ROM196640 RYI196640 SIE196640 SSA196640 TBW196640 TLS196640 TVO196640 UFK196640 UPG196640 UZC196640 VIY196640 VSU196640 WCQ196640 WMM196640 WWI196640 AA262176 JW262176 TS262176 ADO262176 ANK262176 AXG262176 BHC262176 BQY262176 CAU262176 CKQ262176 CUM262176 DEI262176 DOE262176 DYA262176 EHW262176 ERS262176 FBO262176 FLK262176 FVG262176 GFC262176 GOY262176 GYU262176 HIQ262176 HSM262176 ICI262176 IME262176 IWA262176 JFW262176 JPS262176 JZO262176 KJK262176 KTG262176 LDC262176 LMY262176 LWU262176 MGQ262176 MQM262176 NAI262176 NKE262176 NUA262176 ODW262176 ONS262176 OXO262176 PHK262176 PRG262176 QBC262176 QKY262176 QUU262176 REQ262176 ROM262176 RYI262176 SIE262176 SSA262176 TBW262176 TLS262176 TVO262176 UFK262176 UPG262176 UZC262176 VIY262176 VSU262176 WCQ262176 WMM262176 WWI262176 AA327712 JW327712 TS327712 ADO327712 ANK327712 AXG327712 BHC327712 BQY327712 CAU327712 CKQ327712 CUM327712 DEI327712 DOE327712 DYA327712 EHW327712 ERS327712 FBO327712 FLK327712 FVG327712 GFC327712 GOY327712 GYU327712 HIQ327712 HSM327712 ICI327712 IME327712 IWA327712 JFW327712 JPS327712 JZO327712 KJK327712 KTG327712 LDC327712 LMY327712 LWU327712 MGQ327712 MQM327712 NAI327712 NKE327712 NUA327712 ODW327712 ONS327712 OXO327712 PHK327712 PRG327712 QBC327712 QKY327712 QUU327712 REQ327712 ROM327712 RYI327712 SIE327712 SSA327712 TBW327712 TLS327712 TVO327712 UFK327712 UPG327712 UZC327712 VIY327712 VSU327712 WCQ327712 WMM327712 WWI327712 AA393248 JW393248 TS393248 ADO393248 ANK393248 AXG393248 BHC393248 BQY393248 CAU393248 CKQ393248 CUM393248 DEI393248 DOE393248 DYA393248 EHW393248 ERS393248 FBO393248 FLK393248 FVG393248 GFC393248 GOY393248 GYU393248 HIQ393248 HSM393248 ICI393248 IME393248 IWA393248 JFW393248 JPS393248 JZO393248 KJK393248 KTG393248 LDC393248 LMY393248 LWU393248 MGQ393248 MQM393248 NAI393248 NKE393248 NUA393248 ODW393248 ONS393248 OXO393248 PHK393248 PRG393248 QBC393248 QKY393248 QUU393248 REQ393248 ROM393248 RYI393248 SIE393248 SSA393248 TBW393248 TLS393248 TVO393248 UFK393248 UPG393248 UZC393248 VIY393248 VSU393248 WCQ393248 WMM393248 WWI393248 AA458784 JW458784 TS458784 ADO458784 ANK458784 AXG458784 BHC458784 BQY458784 CAU458784 CKQ458784 CUM458784 DEI458784 DOE458784 DYA458784 EHW458784 ERS458784 FBO458784 FLK458784 FVG458784 GFC458784 GOY458784 GYU458784 HIQ458784 HSM458784 ICI458784 IME458784 IWA458784 JFW458784 JPS458784 JZO458784 KJK458784 KTG458784 LDC458784 LMY458784 LWU458784 MGQ458784 MQM458784 NAI458784 NKE458784 NUA458784 ODW458784 ONS458784 OXO458784 PHK458784 PRG458784 QBC458784 QKY458784 QUU458784 REQ458784 ROM458784 RYI458784 SIE458784 SSA458784 TBW458784 TLS458784 TVO458784 UFK458784 UPG458784 UZC458784 VIY458784 VSU458784 WCQ458784 WMM458784 WWI458784 AA524320 JW524320 TS524320 ADO524320 ANK524320 AXG524320 BHC524320 BQY524320 CAU524320 CKQ524320 CUM524320 DEI524320 DOE524320 DYA524320 EHW524320 ERS524320 FBO524320 FLK524320 FVG524320 GFC524320 GOY524320 GYU524320 HIQ524320 HSM524320 ICI524320 IME524320 IWA524320 JFW524320 JPS524320 JZO524320 KJK524320 KTG524320 LDC524320 LMY524320 LWU524320 MGQ524320 MQM524320 NAI524320 NKE524320 NUA524320 ODW524320 ONS524320 OXO524320 PHK524320 PRG524320 QBC524320 QKY524320 QUU524320 REQ524320 ROM524320 RYI524320 SIE524320 SSA524320 TBW524320 TLS524320 TVO524320 UFK524320 UPG524320 UZC524320 VIY524320 VSU524320 WCQ524320 WMM524320 WWI524320 AA589856 JW589856 TS589856 ADO589856 ANK589856 AXG589856 BHC589856 BQY589856 CAU589856 CKQ589856 CUM589856 DEI589856 DOE589856 DYA589856 EHW589856 ERS589856 FBO589856 FLK589856 FVG589856 GFC589856 GOY589856 GYU589856 HIQ589856 HSM589856 ICI589856 IME589856 IWA589856 JFW589856 JPS589856 JZO589856 KJK589856 KTG589856 LDC589856 LMY589856 LWU589856 MGQ589856 MQM589856 NAI589856 NKE589856 NUA589856 ODW589856 ONS589856 OXO589856 PHK589856 PRG589856 QBC589856 QKY589856 QUU589856 REQ589856 ROM589856 RYI589856 SIE589856 SSA589856 TBW589856 TLS589856 TVO589856 UFK589856 UPG589856 UZC589856 VIY589856 VSU589856 WCQ589856 WMM589856 WWI589856 AA655392 JW655392 TS655392 ADO655392 ANK655392 AXG655392 BHC655392 BQY655392 CAU655392 CKQ655392 CUM655392 DEI655392 DOE655392 DYA655392 EHW655392 ERS655392 FBO655392 FLK655392 FVG655392 GFC655392 GOY655392 GYU655392 HIQ655392 HSM655392 ICI655392 IME655392 IWA655392 JFW655392 JPS655392 JZO655392 KJK655392 KTG655392 LDC655392 LMY655392 LWU655392 MGQ655392 MQM655392 NAI655392 NKE655392 NUA655392 ODW655392 ONS655392 OXO655392 PHK655392 PRG655392 QBC655392 QKY655392 QUU655392 REQ655392 ROM655392 RYI655392 SIE655392 SSA655392 TBW655392 TLS655392 TVO655392 UFK655392 UPG655392 UZC655392 VIY655392 VSU655392 WCQ655392 WMM655392 WWI655392 AA720928 JW720928 TS720928 ADO720928 ANK720928 AXG720928 BHC720928 BQY720928 CAU720928 CKQ720928 CUM720928 DEI720928 DOE720928 DYA720928 EHW720928 ERS720928 FBO720928 FLK720928 FVG720928 GFC720928 GOY720928 GYU720928 HIQ720928 HSM720928 ICI720928 IME720928 IWA720928 JFW720928 JPS720928 JZO720928 KJK720928 KTG720928 LDC720928 LMY720928 LWU720928 MGQ720928 MQM720928 NAI720928 NKE720928 NUA720928 ODW720928 ONS720928 OXO720928 PHK720928 PRG720928 QBC720928 QKY720928 QUU720928 REQ720928 ROM720928 RYI720928 SIE720928 SSA720928 TBW720928 TLS720928 TVO720928 UFK720928 UPG720928 UZC720928 VIY720928 VSU720928 WCQ720928 WMM720928 WWI720928 AA786464 JW786464 TS786464 ADO786464 ANK786464 AXG786464 BHC786464 BQY786464 CAU786464 CKQ786464 CUM786464 DEI786464 DOE786464 DYA786464 EHW786464 ERS786464 FBO786464 FLK786464 FVG786464 GFC786464 GOY786464 GYU786464 HIQ786464 HSM786464 ICI786464 IME786464 IWA786464 JFW786464 JPS786464 JZO786464 KJK786464 KTG786464 LDC786464 LMY786464 LWU786464 MGQ786464 MQM786464 NAI786464 NKE786464 NUA786464 ODW786464 ONS786464 OXO786464 PHK786464 PRG786464 QBC786464 QKY786464 QUU786464 REQ786464 ROM786464 RYI786464 SIE786464 SSA786464 TBW786464 TLS786464 TVO786464 UFK786464 UPG786464 UZC786464 VIY786464 VSU786464 WCQ786464 WMM786464 WWI786464 AA852000 JW852000 TS852000 ADO852000 ANK852000 AXG852000 BHC852000 BQY852000 CAU852000 CKQ852000 CUM852000 DEI852000 DOE852000 DYA852000 EHW852000 ERS852000 FBO852000 FLK852000 FVG852000 GFC852000 GOY852000 GYU852000 HIQ852000 HSM852000 ICI852000 IME852000 IWA852000 JFW852000 JPS852000 JZO852000 KJK852000 KTG852000 LDC852000 LMY852000 LWU852000 MGQ852000 MQM852000 NAI852000 NKE852000 NUA852000 ODW852000 ONS852000 OXO852000 PHK852000 PRG852000 QBC852000 QKY852000 QUU852000 REQ852000 ROM852000 RYI852000 SIE852000 SSA852000 TBW852000 TLS852000 TVO852000 UFK852000 UPG852000 UZC852000 VIY852000 VSU852000 WCQ852000 WMM852000 WWI852000 AA917536 JW917536 TS917536 ADO917536 ANK917536 AXG917536 BHC917536 BQY917536 CAU917536 CKQ917536 CUM917536 DEI917536 DOE917536 DYA917536 EHW917536 ERS917536 FBO917536 FLK917536 FVG917536 GFC917536 GOY917536 GYU917536 HIQ917536 HSM917536 ICI917536 IME917536 IWA917536 JFW917536 JPS917536 JZO917536 KJK917536 KTG917536 LDC917536 LMY917536 LWU917536 MGQ917536 MQM917536 NAI917536 NKE917536 NUA917536 ODW917536 ONS917536 OXO917536 PHK917536 PRG917536 QBC917536 QKY917536 QUU917536 REQ917536 ROM917536 RYI917536 SIE917536 SSA917536 TBW917536 TLS917536 TVO917536 UFK917536 UPG917536 UZC917536 VIY917536 VSU917536 WCQ917536 WMM917536 WWI917536 AA983072 JW983072 TS983072 ADO983072 ANK983072 AXG983072 BHC983072 BQY983072 CAU983072 CKQ983072 CUM983072 DEI983072 DOE983072 DYA983072 EHW983072 ERS983072 FBO983072 FLK983072 FVG983072 GFC983072 GOY983072 GYU983072 HIQ983072 HSM983072 ICI983072 IME983072 IWA983072 JFW983072 JPS983072 JZO983072 KJK983072 KTG983072 LDC983072 LMY983072 LWU983072 MGQ983072 MQM983072 NAI983072 NKE983072 NUA983072 ODW983072 ONS983072 OXO983072 PHK983072 PRG983072 QBC983072 QKY983072 QUU983072 REQ983072 ROM983072 RYI983072 SIE983072 SSA983072 TBW983072 TLS983072 TVO983072 UFK983072 UPG983072 UZC983072 VIY983072 VSU983072 WCQ983072 WMM983072 WWI983072 Z7 JV7 TR7 ADN7 ANJ7 AXF7 BHB7 BQX7 CAT7 CKP7 CUL7 DEH7 DOD7 DXZ7 EHV7 ERR7 FBN7 FLJ7 FVF7 GFB7 GOX7 GYT7 HIP7 HSL7 ICH7 IMD7 IVZ7 JFV7 JPR7 JZN7 KJJ7 KTF7 LDB7 LMX7 LWT7 MGP7 MQL7 NAH7 NKD7 NTZ7 ODV7 ONR7 OXN7 PHJ7 PRF7 QBB7 QKX7 QUT7 REP7 ROL7 RYH7 SID7 SRZ7 TBV7 TLR7 TVN7 UFJ7 UPF7 UZB7 VIX7 VST7 WCP7 WML7 WWH7 Z65543 JV65543 TR65543 ADN65543 ANJ65543 AXF65543 BHB65543 BQX65543 CAT65543 CKP65543 CUL65543 DEH65543 DOD65543 DXZ65543 EHV65543 ERR65543 FBN65543 FLJ65543 FVF65543 GFB65543 GOX65543 GYT65543 HIP65543 HSL65543 ICH65543 IMD65543 IVZ65543 JFV65543 JPR65543 JZN65543 KJJ65543 KTF65543 LDB65543 LMX65543 LWT65543 MGP65543 MQL65543 NAH65543 NKD65543 NTZ65543 ODV65543 ONR65543 OXN65543 PHJ65543 PRF65543 QBB65543 QKX65543 QUT65543 REP65543 ROL65543 RYH65543 SID65543 SRZ65543 TBV65543 TLR65543 TVN65543 UFJ65543 UPF65543 UZB65543 VIX65543 VST65543 WCP65543 WML65543 WWH65543 Z131079 JV131079 TR131079 ADN131079 ANJ131079 AXF131079 BHB131079 BQX131079 CAT131079 CKP131079 CUL131079 DEH131079 DOD131079 DXZ131079 EHV131079 ERR131079 FBN131079 FLJ131079 FVF131079 GFB131079 GOX131079 GYT131079 HIP131079 HSL131079 ICH131079 IMD131079 IVZ131079 JFV131079 JPR131079 JZN131079 KJJ131079 KTF131079 LDB131079 LMX131079 LWT131079 MGP131079 MQL131079 NAH131079 NKD131079 NTZ131079 ODV131079 ONR131079 OXN131079 PHJ131079 PRF131079 QBB131079 QKX131079 QUT131079 REP131079 ROL131079 RYH131079 SID131079 SRZ131079 TBV131079 TLR131079 TVN131079 UFJ131079 UPF131079 UZB131079 VIX131079 VST131079 WCP131079 WML131079 WWH131079 Z196615 JV196615 TR196615 ADN196615 ANJ196615 AXF196615 BHB196615 BQX196615 CAT196615 CKP196615 CUL196615 DEH196615 DOD196615 DXZ196615 EHV196615 ERR196615 FBN196615 FLJ196615 FVF196615 GFB196615 GOX196615 GYT196615 HIP196615 HSL196615 ICH196615 IMD196615 IVZ196615 JFV196615 JPR196615 JZN196615 KJJ196615 KTF196615 LDB196615 LMX196615 LWT196615 MGP196615 MQL196615 NAH196615 NKD196615 NTZ196615 ODV196615 ONR196615 OXN196615 PHJ196615 PRF196615 QBB196615 QKX196615 QUT196615 REP196615 ROL196615 RYH196615 SID196615 SRZ196615 TBV196615 TLR196615 TVN196615 UFJ196615 UPF196615 UZB196615 VIX196615 VST196615 WCP196615 WML196615 WWH196615 Z262151 JV262151 TR262151 ADN262151 ANJ262151 AXF262151 BHB262151 BQX262151 CAT262151 CKP262151 CUL262151 DEH262151 DOD262151 DXZ262151 EHV262151 ERR262151 FBN262151 FLJ262151 FVF262151 GFB262151 GOX262151 GYT262151 HIP262151 HSL262151 ICH262151 IMD262151 IVZ262151 JFV262151 JPR262151 JZN262151 KJJ262151 KTF262151 LDB262151 LMX262151 LWT262151 MGP262151 MQL262151 NAH262151 NKD262151 NTZ262151 ODV262151 ONR262151 OXN262151 PHJ262151 PRF262151 QBB262151 QKX262151 QUT262151 REP262151 ROL262151 RYH262151 SID262151 SRZ262151 TBV262151 TLR262151 TVN262151 UFJ262151 UPF262151 UZB262151 VIX262151 VST262151 WCP262151 WML262151 WWH262151 Z327687 JV327687 TR327687 ADN327687 ANJ327687 AXF327687 BHB327687 BQX327687 CAT327687 CKP327687 CUL327687 DEH327687 DOD327687 DXZ327687 EHV327687 ERR327687 FBN327687 FLJ327687 FVF327687 GFB327687 GOX327687 GYT327687 HIP327687 HSL327687 ICH327687 IMD327687 IVZ327687 JFV327687 JPR327687 JZN327687 KJJ327687 KTF327687 LDB327687 LMX327687 LWT327687 MGP327687 MQL327687 NAH327687 NKD327687 NTZ327687 ODV327687 ONR327687 OXN327687 PHJ327687 PRF327687 QBB327687 QKX327687 QUT327687 REP327687 ROL327687 RYH327687 SID327687 SRZ327687 TBV327687 TLR327687 TVN327687 UFJ327687 UPF327687 UZB327687 VIX327687 VST327687 WCP327687 WML327687 WWH327687 Z393223 JV393223 TR393223 ADN393223 ANJ393223 AXF393223 BHB393223 BQX393223 CAT393223 CKP393223 CUL393223 DEH393223 DOD393223 DXZ393223 EHV393223 ERR393223 FBN393223 FLJ393223 FVF393223 GFB393223 GOX393223 GYT393223 HIP393223 HSL393223 ICH393223 IMD393223 IVZ393223 JFV393223 JPR393223 JZN393223 KJJ393223 KTF393223 LDB393223 LMX393223 LWT393223 MGP393223 MQL393223 NAH393223 NKD393223 NTZ393223 ODV393223 ONR393223 OXN393223 PHJ393223 PRF393223 QBB393223 QKX393223 QUT393223 REP393223 ROL393223 RYH393223 SID393223 SRZ393223 TBV393223 TLR393223 TVN393223 UFJ393223 UPF393223 UZB393223 VIX393223 VST393223 WCP393223 WML393223 WWH393223 Z458759 JV458759 TR458759 ADN458759 ANJ458759 AXF458759 BHB458759 BQX458759 CAT458759 CKP458759 CUL458759 DEH458759 DOD458759 DXZ458759 EHV458759 ERR458759 FBN458759 FLJ458759 FVF458759 GFB458759 GOX458759 GYT458759 HIP458759 HSL458759 ICH458759 IMD458759 IVZ458759 JFV458759 JPR458759 JZN458759 KJJ458759 KTF458759 LDB458759 LMX458759 LWT458759 MGP458759 MQL458759 NAH458759 NKD458759 NTZ458759 ODV458759 ONR458759 OXN458759 PHJ458759 PRF458759 QBB458759 QKX458759 QUT458759 REP458759 ROL458759 RYH458759 SID458759 SRZ458759 TBV458759 TLR458759 TVN458759 UFJ458759 UPF458759 UZB458759 VIX458759 VST458759 WCP458759 WML458759 WWH458759 Z524295 JV524295 TR524295 ADN524295 ANJ524295 AXF524295 BHB524295 BQX524295 CAT524295 CKP524295 CUL524295 DEH524295 DOD524295 DXZ524295 EHV524295 ERR524295 FBN524295 FLJ524295 FVF524295 GFB524295 GOX524295 GYT524295 HIP524295 HSL524295 ICH524295 IMD524295 IVZ524295 JFV524295 JPR524295 JZN524295 KJJ524295 KTF524295 LDB524295 LMX524295 LWT524295 MGP524295 MQL524295 NAH524295 NKD524295 NTZ524295 ODV524295 ONR524295 OXN524295 PHJ524295 PRF524295 QBB524295 QKX524295 QUT524295 REP524295 ROL524295 RYH524295 SID524295 SRZ524295 TBV524295 TLR524295 TVN524295 UFJ524295 UPF524295 UZB524295 VIX524295 VST524295 WCP524295 WML524295 WWH524295 Z589831 JV589831 TR589831 ADN589831 ANJ589831 AXF589831 BHB589831 BQX589831 CAT589831 CKP589831 CUL589831 DEH589831 DOD589831 DXZ589831 EHV589831 ERR589831 FBN589831 FLJ589831 FVF589831 GFB589831 GOX589831 GYT589831 HIP589831 HSL589831 ICH589831 IMD589831 IVZ589831 JFV589831 JPR589831 JZN589831 KJJ589831 KTF589831 LDB589831 LMX589831 LWT589831 MGP589831 MQL589831 NAH589831 NKD589831 NTZ589831 ODV589831 ONR589831 OXN589831 PHJ589831 PRF589831 QBB589831 QKX589831 QUT589831 REP589831 ROL589831 RYH589831 SID589831 SRZ589831 TBV589831 TLR589831 TVN589831 UFJ589831 UPF589831 UZB589831 VIX589831 VST589831 WCP589831 WML589831 WWH589831 Z655367 JV655367 TR655367 ADN655367 ANJ655367 AXF655367 BHB655367 BQX655367 CAT655367 CKP655367 CUL655367 DEH655367 DOD655367 DXZ655367 EHV655367 ERR655367 FBN655367 FLJ655367 FVF655367 GFB655367 GOX655367 GYT655367 HIP655367 HSL655367 ICH655367 IMD655367 IVZ655367 JFV655367 JPR655367 JZN655367 KJJ655367 KTF655367 LDB655367 LMX655367 LWT655367 MGP655367 MQL655367 NAH655367 NKD655367 NTZ655367 ODV655367 ONR655367 OXN655367 PHJ655367 PRF655367 QBB655367 QKX655367 QUT655367 REP655367 ROL655367 RYH655367 SID655367 SRZ655367 TBV655367 TLR655367 TVN655367 UFJ655367 UPF655367 UZB655367 VIX655367 VST655367 WCP655367 WML655367 WWH655367 Z720903 JV720903 TR720903 ADN720903 ANJ720903 AXF720903 BHB720903 BQX720903 CAT720903 CKP720903 CUL720903 DEH720903 DOD720903 DXZ720903 EHV720903 ERR720903 FBN720903 FLJ720903 FVF720903 GFB720903 GOX720903 GYT720903 HIP720903 HSL720903 ICH720903 IMD720903 IVZ720903 JFV720903 JPR720903 JZN720903 KJJ720903 KTF720903 LDB720903 LMX720903 LWT720903 MGP720903 MQL720903 NAH720903 NKD720903 NTZ720903 ODV720903 ONR720903 OXN720903 PHJ720903 PRF720903 QBB720903 QKX720903 QUT720903 REP720903 ROL720903 RYH720903 SID720903 SRZ720903 TBV720903 TLR720903 TVN720903 UFJ720903 UPF720903 UZB720903 VIX720903 VST720903 WCP720903 WML720903 WWH720903 Z786439 JV786439 TR786439 ADN786439 ANJ786439 AXF786439 BHB786439 BQX786439 CAT786439 CKP786439 CUL786439 DEH786439 DOD786439 DXZ786439 EHV786439 ERR786439 FBN786439 FLJ786439 FVF786439 GFB786439 GOX786439 GYT786439 HIP786439 HSL786439 ICH786439 IMD786439 IVZ786439 JFV786439 JPR786439 JZN786439 KJJ786439 KTF786439 LDB786439 LMX786439 LWT786439 MGP786439 MQL786439 NAH786439 NKD786439 NTZ786439 ODV786439 ONR786439 OXN786439 PHJ786439 PRF786439 QBB786439 QKX786439 QUT786439 REP786439 ROL786439 RYH786439 SID786439 SRZ786439 TBV786439 TLR786439 TVN786439 UFJ786439 UPF786439 UZB786439 VIX786439 VST786439 WCP786439 WML786439 WWH786439 Z851975 JV851975 TR851975 ADN851975 ANJ851975 AXF851975 BHB851975 BQX851975 CAT851975 CKP851975 CUL851975 DEH851975 DOD851975 DXZ851975 EHV851975 ERR851975 FBN851975 FLJ851975 FVF851975 GFB851975 GOX851975 GYT851975 HIP851975 HSL851975 ICH851975 IMD851975 IVZ851975 JFV851975 JPR851975 JZN851975 KJJ851975 KTF851975 LDB851975 LMX851975 LWT851975 MGP851975 MQL851975 NAH851975 NKD851975 NTZ851975 ODV851975 ONR851975 OXN851975 PHJ851975 PRF851975 QBB851975 QKX851975 QUT851975 REP851975 ROL851975 RYH851975 SID851975 SRZ851975 TBV851975 TLR851975 TVN851975 UFJ851975 UPF851975 UZB851975 VIX851975 VST851975 WCP851975 WML851975 WWH851975 Z917511 JV917511 TR917511 ADN917511 ANJ917511 AXF917511 BHB917511 BQX917511 CAT917511 CKP917511 CUL917511 DEH917511 DOD917511 DXZ917511 EHV917511 ERR917511 FBN917511 FLJ917511 FVF917511 GFB917511 GOX917511 GYT917511 HIP917511 HSL917511 ICH917511 IMD917511 IVZ917511 JFV917511 JPR917511 JZN917511 KJJ917511 KTF917511 LDB917511 LMX917511 LWT917511 MGP917511 MQL917511 NAH917511 NKD917511 NTZ917511 ODV917511 ONR917511 OXN917511 PHJ917511 PRF917511 QBB917511 QKX917511 QUT917511 REP917511 ROL917511 RYH917511 SID917511 SRZ917511 TBV917511 TLR917511 TVN917511 UFJ917511 UPF917511 UZB917511 VIX917511 VST917511 WCP917511 WML917511 WWH917511 Z983047 JV983047 TR983047 ADN983047 ANJ983047 AXF983047 BHB983047 BQX983047 CAT983047 CKP983047 CUL983047 DEH983047 DOD983047 DXZ983047 EHV983047 ERR983047 FBN983047 FLJ983047 FVF983047 GFB983047 GOX983047 GYT983047 HIP983047 HSL983047 ICH983047 IMD983047 IVZ983047 JFV983047 JPR983047 JZN983047 KJJ983047 KTF983047 LDB983047 LMX983047 LWT983047 MGP983047 MQL983047 NAH983047 NKD983047 NTZ983047 ODV983047 ONR983047 OXN983047 PHJ983047 PRF983047 QBB983047 QKX983047 QUT983047 REP983047 ROL983047 RYH983047 SID983047 SRZ983047 TBV983047 TLR983047 TVN983047 UFJ983047 UPF983047 UZB983047 VIX983047 VST983047 WCP983047 WML983047 WWH983047"/>
    <dataValidation type="list" allowBlank="1" showInputMessage="1" showErrorMessage="1" sqref="D5:G5 IZ5:JC5 SV5:SY5 ACR5:ACU5 AMN5:AMQ5 AWJ5:AWM5 BGF5:BGI5 BQB5:BQE5 BZX5:CAA5 CJT5:CJW5 CTP5:CTS5 DDL5:DDO5 DNH5:DNK5 DXD5:DXG5 EGZ5:EHC5 EQV5:EQY5 FAR5:FAU5 FKN5:FKQ5 FUJ5:FUM5 GEF5:GEI5 GOB5:GOE5 GXX5:GYA5 HHT5:HHW5 HRP5:HRS5 IBL5:IBO5 ILH5:ILK5 IVD5:IVG5 JEZ5:JFC5 JOV5:JOY5 JYR5:JYU5 KIN5:KIQ5 KSJ5:KSM5 LCF5:LCI5 LMB5:LME5 LVX5:LWA5 MFT5:MFW5 MPP5:MPS5 MZL5:MZO5 NJH5:NJK5 NTD5:NTG5 OCZ5:ODC5 OMV5:OMY5 OWR5:OWU5 PGN5:PGQ5 PQJ5:PQM5 QAF5:QAI5 QKB5:QKE5 QTX5:QUA5 RDT5:RDW5 RNP5:RNS5 RXL5:RXO5 SHH5:SHK5 SRD5:SRG5 TAZ5:TBC5 TKV5:TKY5 TUR5:TUU5 UEN5:UEQ5 UOJ5:UOM5 UYF5:UYI5 VIB5:VIE5 VRX5:VSA5 WBT5:WBW5 WLP5:WLS5 WVL5:WVO5 D65541:G65541 IZ65541:JC65541 SV65541:SY65541 ACR65541:ACU65541 AMN65541:AMQ65541 AWJ65541:AWM65541 BGF65541:BGI65541 BQB65541:BQE65541 BZX65541:CAA65541 CJT65541:CJW65541 CTP65541:CTS65541 DDL65541:DDO65541 DNH65541:DNK65541 DXD65541:DXG65541 EGZ65541:EHC65541 EQV65541:EQY65541 FAR65541:FAU65541 FKN65541:FKQ65541 FUJ65541:FUM65541 GEF65541:GEI65541 GOB65541:GOE65541 GXX65541:GYA65541 HHT65541:HHW65541 HRP65541:HRS65541 IBL65541:IBO65541 ILH65541:ILK65541 IVD65541:IVG65541 JEZ65541:JFC65541 JOV65541:JOY65541 JYR65541:JYU65541 KIN65541:KIQ65541 KSJ65541:KSM65541 LCF65541:LCI65541 LMB65541:LME65541 LVX65541:LWA65541 MFT65541:MFW65541 MPP65541:MPS65541 MZL65541:MZO65541 NJH65541:NJK65541 NTD65541:NTG65541 OCZ65541:ODC65541 OMV65541:OMY65541 OWR65541:OWU65541 PGN65541:PGQ65541 PQJ65541:PQM65541 QAF65541:QAI65541 QKB65541:QKE65541 QTX65541:QUA65541 RDT65541:RDW65541 RNP65541:RNS65541 RXL65541:RXO65541 SHH65541:SHK65541 SRD65541:SRG65541 TAZ65541:TBC65541 TKV65541:TKY65541 TUR65541:TUU65541 UEN65541:UEQ65541 UOJ65541:UOM65541 UYF65541:UYI65541 VIB65541:VIE65541 VRX65541:VSA65541 WBT65541:WBW65541 WLP65541:WLS65541 WVL65541:WVO65541 D131077:G131077 IZ131077:JC131077 SV131077:SY131077 ACR131077:ACU131077 AMN131077:AMQ131077 AWJ131077:AWM131077 BGF131077:BGI131077 BQB131077:BQE131077 BZX131077:CAA131077 CJT131077:CJW131077 CTP131077:CTS131077 DDL131077:DDO131077 DNH131077:DNK131077 DXD131077:DXG131077 EGZ131077:EHC131077 EQV131077:EQY131077 FAR131077:FAU131077 FKN131077:FKQ131077 FUJ131077:FUM131077 GEF131077:GEI131077 GOB131077:GOE131077 GXX131077:GYA131077 HHT131077:HHW131077 HRP131077:HRS131077 IBL131077:IBO131077 ILH131077:ILK131077 IVD131077:IVG131077 JEZ131077:JFC131077 JOV131077:JOY131077 JYR131077:JYU131077 KIN131077:KIQ131077 KSJ131077:KSM131077 LCF131077:LCI131077 LMB131077:LME131077 LVX131077:LWA131077 MFT131077:MFW131077 MPP131077:MPS131077 MZL131077:MZO131077 NJH131077:NJK131077 NTD131077:NTG131077 OCZ131077:ODC131077 OMV131077:OMY131077 OWR131077:OWU131077 PGN131077:PGQ131077 PQJ131077:PQM131077 QAF131077:QAI131077 QKB131077:QKE131077 QTX131077:QUA131077 RDT131077:RDW131077 RNP131077:RNS131077 RXL131077:RXO131077 SHH131077:SHK131077 SRD131077:SRG131077 TAZ131077:TBC131077 TKV131077:TKY131077 TUR131077:TUU131077 UEN131077:UEQ131077 UOJ131077:UOM131077 UYF131077:UYI131077 VIB131077:VIE131077 VRX131077:VSA131077 WBT131077:WBW131077 WLP131077:WLS131077 WVL131077:WVO131077 D196613:G196613 IZ196613:JC196613 SV196613:SY196613 ACR196613:ACU196613 AMN196613:AMQ196613 AWJ196613:AWM196613 BGF196613:BGI196613 BQB196613:BQE196613 BZX196613:CAA196613 CJT196613:CJW196613 CTP196613:CTS196613 DDL196613:DDO196613 DNH196613:DNK196613 DXD196613:DXG196613 EGZ196613:EHC196613 EQV196613:EQY196613 FAR196613:FAU196613 FKN196613:FKQ196613 FUJ196613:FUM196613 GEF196613:GEI196613 GOB196613:GOE196613 GXX196613:GYA196613 HHT196613:HHW196613 HRP196613:HRS196613 IBL196613:IBO196613 ILH196613:ILK196613 IVD196613:IVG196613 JEZ196613:JFC196613 JOV196613:JOY196613 JYR196613:JYU196613 KIN196613:KIQ196613 KSJ196613:KSM196613 LCF196613:LCI196613 LMB196613:LME196613 LVX196613:LWA196613 MFT196613:MFW196613 MPP196613:MPS196613 MZL196613:MZO196613 NJH196613:NJK196613 NTD196613:NTG196613 OCZ196613:ODC196613 OMV196613:OMY196613 OWR196613:OWU196613 PGN196613:PGQ196613 PQJ196613:PQM196613 QAF196613:QAI196613 QKB196613:QKE196613 QTX196613:QUA196613 RDT196613:RDW196613 RNP196613:RNS196613 RXL196613:RXO196613 SHH196613:SHK196613 SRD196613:SRG196613 TAZ196613:TBC196613 TKV196613:TKY196613 TUR196613:TUU196613 UEN196613:UEQ196613 UOJ196613:UOM196613 UYF196613:UYI196613 VIB196613:VIE196613 VRX196613:VSA196613 WBT196613:WBW196613 WLP196613:WLS196613 WVL196613:WVO196613 D262149:G262149 IZ262149:JC262149 SV262149:SY262149 ACR262149:ACU262149 AMN262149:AMQ262149 AWJ262149:AWM262149 BGF262149:BGI262149 BQB262149:BQE262149 BZX262149:CAA262149 CJT262149:CJW262149 CTP262149:CTS262149 DDL262149:DDO262149 DNH262149:DNK262149 DXD262149:DXG262149 EGZ262149:EHC262149 EQV262149:EQY262149 FAR262149:FAU262149 FKN262149:FKQ262149 FUJ262149:FUM262149 GEF262149:GEI262149 GOB262149:GOE262149 GXX262149:GYA262149 HHT262149:HHW262149 HRP262149:HRS262149 IBL262149:IBO262149 ILH262149:ILK262149 IVD262149:IVG262149 JEZ262149:JFC262149 JOV262149:JOY262149 JYR262149:JYU262149 KIN262149:KIQ262149 KSJ262149:KSM262149 LCF262149:LCI262149 LMB262149:LME262149 LVX262149:LWA262149 MFT262149:MFW262149 MPP262149:MPS262149 MZL262149:MZO262149 NJH262149:NJK262149 NTD262149:NTG262149 OCZ262149:ODC262149 OMV262149:OMY262149 OWR262149:OWU262149 PGN262149:PGQ262149 PQJ262149:PQM262149 QAF262149:QAI262149 QKB262149:QKE262149 QTX262149:QUA262149 RDT262149:RDW262149 RNP262149:RNS262149 RXL262149:RXO262149 SHH262149:SHK262149 SRD262149:SRG262149 TAZ262149:TBC262149 TKV262149:TKY262149 TUR262149:TUU262149 UEN262149:UEQ262149 UOJ262149:UOM262149 UYF262149:UYI262149 VIB262149:VIE262149 VRX262149:VSA262149 WBT262149:WBW262149 WLP262149:WLS262149 WVL262149:WVO262149 D327685:G327685 IZ327685:JC327685 SV327685:SY327685 ACR327685:ACU327685 AMN327685:AMQ327685 AWJ327685:AWM327685 BGF327685:BGI327685 BQB327685:BQE327685 BZX327685:CAA327685 CJT327685:CJW327685 CTP327685:CTS327685 DDL327685:DDO327685 DNH327685:DNK327685 DXD327685:DXG327685 EGZ327685:EHC327685 EQV327685:EQY327685 FAR327685:FAU327685 FKN327685:FKQ327685 FUJ327685:FUM327685 GEF327685:GEI327685 GOB327685:GOE327685 GXX327685:GYA327685 HHT327685:HHW327685 HRP327685:HRS327685 IBL327685:IBO327685 ILH327685:ILK327685 IVD327685:IVG327685 JEZ327685:JFC327685 JOV327685:JOY327685 JYR327685:JYU327685 KIN327685:KIQ327685 KSJ327685:KSM327685 LCF327685:LCI327685 LMB327685:LME327685 LVX327685:LWA327685 MFT327685:MFW327685 MPP327685:MPS327685 MZL327685:MZO327685 NJH327685:NJK327685 NTD327685:NTG327685 OCZ327685:ODC327685 OMV327685:OMY327685 OWR327685:OWU327685 PGN327685:PGQ327685 PQJ327685:PQM327685 QAF327685:QAI327685 QKB327685:QKE327685 QTX327685:QUA327685 RDT327685:RDW327685 RNP327685:RNS327685 RXL327685:RXO327685 SHH327685:SHK327685 SRD327685:SRG327685 TAZ327685:TBC327685 TKV327685:TKY327685 TUR327685:TUU327685 UEN327685:UEQ327685 UOJ327685:UOM327685 UYF327685:UYI327685 VIB327685:VIE327685 VRX327685:VSA327685 WBT327685:WBW327685 WLP327685:WLS327685 WVL327685:WVO327685 D393221:G393221 IZ393221:JC393221 SV393221:SY393221 ACR393221:ACU393221 AMN393221:AMQ393221 AWJ393221:AWM393221 BGF393221:BGI393221 BQB393221:BQE393221 BZX393221:CAA393221 CJT393221:CJW393221 CTP393221:CTS393221 DDL393221:DDO393221 DNH393221:DNK393221 DXD393221:DXG393221 EGZ393221:EHC393221 EQV393221:EQY393221 FAR393221:FAU393221 FKN393221:FKQ393221 FUJ393221:FUM393221 GEF393221:GEI393221 GOB393221:GOE393221 GXX393221:GYA393221 HHT393221:HHW393221 HRP393221:HRS393221 IBL393221:IBO393221 ILH393221:ILK393221 IVD393221:IVG393221 JEZ393221:JFC393221 JOV393221:JOY393221 JYR393221:JYU393221 KIN393221:KIQ393221 KSJ393221:KSM393221 LCF393221:LCI393221 LMB393221:LME393221 LVX393221:LWA393221 MFT393221:MFW393221 MPP393221:MPS393221 MZL393221:MZO393221 NJH393221:NJK393221 NTD393221:NTG393221 OCZ393221:ODC393221 OMV393221:OMY393221 OWR393221:OWU393221 PGN393221:PGQ393221 PQJ393221:PQM393221 QAF393221:QAI393221 QKB393221:QKE393221 QTX393221:QUA393221 RDT393221:RDW393221 RNP393221:RNS393221 RXL393221:RXO393221 SHH393221:SHK393221 SRD393221:SRG393221 TAZ393221:TBC393221 TKV393221:TKY393221 TUR393221:TUU393221 UEN393221:UEQ393221 UOJ393221:UOM393221 UYF393221:UYI393221 VIB393221:VIE393221 VRX393221:VSA393221 WBT393221:WBW393221 WLP393221:WLS393221 WVL393221:WVO393221 D458757:G458757 IZ458757:JC458757 SV458757:SY458757 ACR458757:ACU458757 AMN458757:AMQ458757 AWJ458757:AWM458757 BGF458757:BGI458757 BQB458757:BQE458757 BZX458757:CAA458757 CJT458757:CJW458757 CTP458757:CTS458757 DDL458757:DDO458757 DNH458757:DNK458757 DXD458757:DXG458757 EGZ458757:EHC458757 EQV458757:EQY458757 FAR458757:FAU458757 FKN458757:FKQ458757 FUJ458757:FUM458757 GEF458757:GEI458757 GOB458757:GOE458757 GXX458757:GYA458757 HHT458757:HHW458757 HRP458757:HRS458757 IBL458757:IBO458757 ILH458757:ILK458757 IVD458757:IVG458757 JEZ458757:JFC458757 JOV458757:JOY458757 JYR458757:JYU458757 KIN458757:KIQ458757 KSJ458757:KSM458757 LCF458757:LCI458757 LMB458757:LME458757 LVX458757:LWA458757 MFT458757:MFW458757 MPP458757:MPS458757 MZL458757:MZO458757 NJH458757:NJK458757 NTD458757:NTG458757 OCZ458757:ODC458757 OMV458757:OMY458757 OWR458757:OWU458757 PGN458757:PGQ458757 PQJ458757:PQM458757 QAF458757:QAI458757 QKB458757:QKE458757 QTX458757:QUA458757 RDT458757:RDW458757 RNP458757:RNS458757 RXL458757:RXO458757 SHH458757:SHK458757 SRD458757:SRG458757 TAZ458757:TBC458757 TKV458757:TKY458757 TUR458757:TUU458757 UEN458757:UEQ458757 UOJ458757:UOM458757 UYF458757:UYI458757 VIB458757:VIE458757 VRX458757:VSA458757 WBT458757:WBW458757 WLP458757:WLS458757 WVL458757:WVO458757 D524293:G524293 IZ524293:JC524293 SV524293:SY524293 ACR524293:ACU524293 AMN524293:AMQ524293 AWJ524293:AWM524293 BGF524293:BGI524293 BQB524293:BQE524293 BZX524293:CAA524293 CJT524293:CJW524293 CTP524293:CTS524293 DDL524293:DDO524293 DNH524293:DNK524293 DXD524293:DXG524293 EGZ524293:EHC524293 EQV524293:EQY524293 FAR524293:FAU524293 FKN524293:FKQ524293 FUJ524293:FUM524293 GEF524293:GEI524293 GOB524293:GOE524293 GXX524293:GYA524293 HHT524293:HHW524293 HRP524293:HRS524293 IBL524293:IBO524293 ILH524293:ILK524293 IVD524293:IVG524293 JEZ524293:JFC524293 JOV524293:JOY524293 JYR524293:JYU524293 KIN524293:KIQ524293 KSJ524293:KSM524293 LCF524293:LCI524293 LMB524293:LME524293 LVX524293:LWA524293 MFT524293:MFW524293 MPP524293:MPS524293 MZL524293:MZO524293 NJH524293:NJK524293 NTD524293:NTG524293 OCZ524293:ODC524293 OMV524293:OMY524293 OWR524293:OWU524293 PGN524293:PGQ524293 PQJ524293:PQM524293 QAF524293:QAI524293 QKB524293:QKE524293 QTX524293:QUA524293 RDT524293:RDW524293 RNP524293:RNS524293 RXL524293:RXO524293 SHH524293:SHK524293 SRD524293:SRG524293 TAZ524293:TBC524293 TKV524293:TKY524293 TUR524293:TUU524293 UEN524293:UEQ524293 UOJ524293:UOM524293 UYF524293:UYI524293 VIB524293:VIE524293 VRX524293:VSA524293 WBT524293:WBW524293 WLP524293:WLS524293 WVL524293:WVO524293 D589829:G589829 IZ589829:JC589829 SV589829:SY589829 ACR589829:ACU589829 AMN589829:AMQ589829 AWJ589829:AWM589829 BGF589829:BGI589829 BQB589829:BQE589829 BZX589829:CAA589829 CJT589829:CJW589829 CTP589829:CTS589829 DDL589829:DDO589829 DNH589829:DNK589829 DXD589829:DXG589829 EGZ589829:EHC589829 EQV589829:EQY589829 FAR589829:FAU589829 FKN589829:FKQ589829 FUJ589829:FUM589829 GEF589829:GEI589829 GOB589829:GOE589829 GXX589829:GYA589829 HHT589829:HHW589829 HRP589829:HRS589829 IBL589829:IBO589829 ILH589829:ILK589829 IVD589829:IVG589829 JEZ589829:JFC589829 JOV589829:JOY589829 JYR589829:JYU589829 KIN589829:KIQ589829 KSJ589829:KSM589829 LCF589829:LCI589829 LMB589829:LME589829 LVX589829:LWA589829 MFT589829:MFW589829 MPP589829:MPS589829 MZL589829:MZO589829 NJH589829:NJK589829 NTD589829:NTG589829 OCZ589829:ODC589829 OMV589829:OMY589829 OWR589829:OWU589829 PGN589829:PGQ589829 PQJ589829:PQM589829 QAF589829:QAI589829 QKB589829:QKE589829 QTX589829:QUA589829 RDT589829:RDW589829 RNP589829:RNS589829 RXL589829:RXO589829 SHH589829:SHK589829 SRD589829:SRG589829 TAZ589829:TBC589829 TKV589829:TKY589829 TUR589829:TUU589829 UEN589829:UEQ589829 UOJ589829:UOM589829 UYF589829:UYI589829 VIB589829:VIE589829 VRX589829:VSA589829 WBT589829:WBW589829 WLP589829:WLS589829 WVL589829:WVO589829 D655365:G655365 IZ655365:JC655365 SV655365:SY655365 ACR655365:ACU655365 AMN655365:AMQ655365 AWJ655365:AWM655365 BGF655365:BGI655365 BQB655365:BQE655365 BZX655365:CAA655365 CJT655365:CJW655365 CTP655365:CTS655365 DDL655365:DDO655365 DNH655365:DNK655365 DXD655365:DXG655365 EGZ655365:EHC655365 EQV655365:EQY655365 FAR655365:FAU655365 FKN655365:FKQ655365 FUJ655365:FUM655365 GEF655365:GEI655365 GOB655365:GOE655365 GXX655365:GYA655365 HHT655365:HHW655365 HRP655365:HRS655365 IBL655365:IBO655365 ILH655365:ILK655365 IVD655365:IVG655365 JEZ655365:JFC655365 JOV655365:JOY655365 JYR655365:JYU655365 KIN655365:KIQ655365 KSJ655365:KSM655365 LCF655365:LCI655365 LMB655365:LME655365 LVX655365:LWA655365 MFT655365:MFW655365 MPP655365:MPS655365 MZL655365:MZO655365 NJH655365:NJK655365 NTD655365:NTG655365 OCZ655365:ODC655365 OMV655365:OMY655365 OWR655365:OWU655365 PGN655365:PGQ655365 PQJ655365:PQM655365 QAF655365:QAI655365 QKB655365:QKE655365 QTX655365:QUA655365 RDT655365:RDW655365 RNP655365:RNS655365 RXL655365:RXO655365 SHH655365:SHK655365 SRD655365:SRG655365 TAZ655365:TBC655365 TKV655365:TKY655365 TUR655365:TUU655365 UEN655365:UEQ655365 UOJ655365:UOM655365 UYF655365:UYI655365 VIB655365:VIE655365 VRX655365:VSA655365 WBT655365:WBW655365 WLP655365:WLS655365 WVL655365:WVO655365 D720901:G720901 IZ720901:JC720901 SV720901:SY720901 ACR720901:ACU720901 AMN720901:AMQ720901 AWJ720901:AWM720901 BGF720901:BGI720901 BQB720901:BQE720901 BZX720901:CAA720901 CJT720901:CJW720901 CTP720901:CTS720901 DDL720901:DDO720901 DNH720901:DNK720901 DXD720901:DXG720901 EGZ720901:EHC720901 EQV720901:EQY720901 FAR720901:FAU720901 FKN720901:FKQ720901 FUJ720901:FUM720901 GEF720901:GEI720901 GOB720901:GOE720901 GXX720901:GYA720901 HHT720901:HHW720901 HRP720901:HRS720901 IBL720901:IBO720901 ILH720901:ILK720901 IVD720901:IVG720901 JEZ720901:JFC720901 JOV720901:JOY720901 JYR720901:JYU720901 KIN720901:KIQ720901 KSJ720901:KSM720901 LCF720901:LCI720901 LMB720901:LME720901 LVX720901:LWA720901 MFT720901:MFW720901 MPP720901:MPS720901 MZL720901:MZO720901 NJH720901:NJK720901 NTD720901:NTG720901 OCZ720901:ODC720901 OMV720901:OMY720901 OWR720901:OWU720901 PGN720901:PGQ720901 PQJ720901:PQM720901 QAF720901:QAI720901 QKB720901:QKE720901 QTX720901:QUA720901 RDT720901:RDW720901 RNP720901:RNS720901 RXL720901:RXO720901 SHH720901:SHK720901 SRD720901:SRG720901 TAZ720901:TBC720901 TKV720901:TKY720901 TUR720901:TUU720901 UEN720901:UEQ720901 UOJ720901:UOM720901 UYF720901:UYI720901 VIB720901:VIE720901 VRX720901:VSA720901 WBT720901:WBW720901 WLP720901:WLS720901 WVL720901:WVO720901 D786437:G786437 IZ786437:JC786437 SV786437:SY786437 ACR786437:ACU786437 AMN786437:AMQ786437 AWJ786437:AWM786437 BGF786437:BGI786437 BQB786437:BQE786437 BZX786437:CAA786437 CJT786437:CJW786437 CTP786437:CTS786437 DDL786437:DDO786437 DNH786437:DNK786437 DXD786437:DXG786437 EGZ786437:EHC786437 EQV786437:EQY786437 FAR786437:FAU786437 FKN786437:FKQ786437 FUJ786437:FUM786437 GEF786437:GEI786437 GOB786437:GOE786437 GXX786437:GYA786437 HHT786437:HHW786437 HRP786437:HRS786437 IBL786437:IBO786437 ILH786437:ILK786437 IVD786437:IVG786437 JEZ786437:JFC786437 JOV786437:JOY786437 JYR786437:JYU786437 KIN786437:KIQ786437 KSJ786437:KSM786437 LCF786437:LCI786437 LMB786437:LME786437 LVX786437:LWA786437 MFT786437:MFW786437 MPP786437:MPS786437 MZL786437:MZO786437 NJH786437:NJK786437 NTD786437:NTG786437 OCZ786437:ODC786437 OMV786437:OMY786437 OWR786437:OWU786437 PGN786437:PGQ786437 PQJ786437:PQM786437 QAF786437:QAI786437 QKB786437:QKE786437 QTX786437:QUA786437 RDT786437:RDW786437 RNP786437:RNS786437 RXL786437:RXO786437 SHH786437:SHK786437 SRD786437:SRG786437 TAZ786437:TBC786437 TKV786437:TKY786437 TUR786437:TUU786437 UEN786437:UEQ786437 UOJ786437:UOM786437 UYF786437:UYI786437 VIB786437:VIE786437 VRX786437:VSA786437 WBT786437:WBW786437 WLP786437:WLS786437 WVL786437:WVO786437 D851973:G851973 IZ851973:JC851973 SV851973:SY851973 ACR851973:ACU851973 AMN851973:AMQ851973 AWJ851973:AWM851973 BGF851973:BGI851973 BQB851973:BQE851973 BZX851973:CAA851973 CJT851973:CJW851973 CTP851973:CTS851973 DDL851973:DDO851973 DNH851973:DNK851973 DXD851973:DXG851973 EGZ851973:EHC851973 EQV851973:EQY851973 FAR851973:FAU851973 FKN851973:FKQ851973 FUJ851973:FUM851973 GEF851973:GEI851973 GOB851973:GOE851973 GXX851973:GYA851973 HHT851973:HHW851973 HRP851973:HRS851973 IBL851973:IBO851973 ILH851973:ILK851973 IVD851973:IVG851973 JEZ851973:JFC851973 JOV851973:JOY851973 JYR851973:JYU851973 KIN851973:KIQ851973 KSJ851973:KSM851973 LCF851973:LCI851973 LMB851973:LME851973 LVX851973:LWA851973 MFT851973:MFW851973 MPP851973:MPS851973 MZL851973:MZO851973 NJH851973:NJK851973 NTD851973:NTG851973 OCZ851973:ODC851973 OMV851973:OMY851973 OWR851973:OWU851973 PGN851973:PGQ851973 PQJ851973:PQM851973 QAF851973:QAI851973 QKB851973:QKE851973 QTX851973:QUA851973 RDT851973:RDW851973 RNP851973:RNS851973 RXL851973:RXO851973 SHH851973:SHK851973 SRD851973:SRG851973 TAZ851973:TBC851973 TKV851973:TKY851973 TUR851973:TUU851973 UEN851973:UEQ851973 UOJ851973:UOM851973 UYF851973:UYI851973 VIB851973:VIE851973 VRX851973:VSA851973 WBT851973:WBW851973 WLP851973:WLS851973 WVL851973:WVO851973 D917509:G917509 IZ917509:JC917509 SV917509:SY917509 ACR917509:ACU917509 AMN917509:AMQ917509 AWJ917509:AWM917509 BGF917509:BGI917509 BQB917509:BQE917509 BZX917509:CAA917509 CJT917509:CJW917509 CTP917509:CTS917509 DDL917509:DDO917509 DNH917509:DNK917509 DXD917509:DXG917509 EGZ917509:EHC917509 EQV917509:EQY917509 FAR917509:FAU917509 FKN917509:FKQ917509 FUJ917509:FUM917509 GEF917509:GEI917509 GOB917509:GOE917509 GXX917509:GYA917509 HHT917509:HHW917509 HRP917509:HRS917509 IBL917509:IBO917509 ILH917509:ILK917509 IVD917509:IVG917509 JEZ917509:JFC917509 JOV917509:JOY917509 JYR917509:JYU917509 KIN917509:KIQ917509 KSJ917509:KSM917509 LCF917509:LCI917509 LMB917509:LME917509 LVX917509:LWA917509 MFT917509:MFW917509 MPP917509:MPS917509 MZL917509:MZO917509 NJH917509:NJK917509 NTD917509:NTG917509 OCZ917509:ODC917509 OMV917509:OMY917509 OWR917509:OWU917509 PGN917509:PGQ917509 PQJ917509:PQM917509 QAF917509:QAI917509 QKB917509:QKE917509 QTX917509:QUA917509 RDT917509:RDW917509 RNP917509:RNS917509 RXL917509:RXO917509 SHH917509:SHK917509 SRD917509:SRG917509 TAZ917509:TBC917509 TKV917509:TKY917509 TUR917509:TUU917509 UEN917509:UEQ917509 UOJ917509:UOM917509 UYF917509:UYI917509 VIB917509:VIE917509 VRX917509:VSA917509 WBT917509:WBW917509 WLP917509:WLS917509 WVL917509:WVO917509 D983045:G983045 IZ983045:JC983045 SV983045:SY983045 ACR983045:ACU983045 AMN983045:AMQ983045 AWJ983045:AWM983045 BGF983045:BGI983045 BQB983045:BQE983045 BZX983045:CAA983045 CJT983045:CJW983045 CTP983045:CTS983045 DDL983045:DDO983045 DNH983045:DNK983045 DXD983045:DXG983045 EGZ983045:EHC983045 EQV983045:EQY983045 FAR983045:FAU983045 FKN983045:FKQ983045 FUJ983045:FUM983045 GEF983045:GEI983045 GOB983045:GOE983045 GXX983045:GYA983045 HHT983045:HHW983045 HRP983045:HRS983045 IBL983045:IBO983045 ILH983045:ILK983045 IVD983045:IVG983045 JEZ983045:JFC983045 JOV983045:JOY983045 JYR983045:JYU983045 KIN983045:KIQ983045 KSJ983045:KSM983045 LCF983045:LCI983045 LMB983045:LME983045 LVX983045:LWA983045 MFT983045:MFW983045 MPP983045:MPS983045 MZL983045:MZO983045 NJH983045:NJK983045 NTD983045:NTG983045 OCZ983045:ODC983045 OMV983045:OMY983045 OWR983045:OWU983045 PGN983045:PGQ983045 PQJ983045:PQM983045 QAF983045:QAI983045 QKB983045:QKE983045 QTX983045:QUA983045 RDT983045:RDW983045 RNP983045:RNS983045 RXL983045:RXO983045 SHH983045:SHK983045 SRD983045:SRG983045 TAZ983045:TBC983045 TKV983045:TKY983045 TUR983045:TUU983045 UEN983045:UEQ983045 UOJ983045:UOM983045 UYF983045:UYI983045 VIB983045:VIE983045 VRX983045:VSA983045 WBT983045:WBW983045 WLP983045:WLS983045 WVL983045:WVO983045">
      <formula1>Years</formula1>
    </dataValidation>
    <dataValidation type="list" allowBlank="1" showInputMessage="1" sqref="D3:G3 IZ3:JC3 SV3:SY3 ACR3:ACU3 AMN3:AMQ3 AWJ3:AWM3 BGF3:BGI3 BQB3:BQE3 BZX3:CAA3 CJT3:CJW3 CTP3:CTS3 DDL3:DDO3 DNH3:DNK3 DXD3:DXG3 EGZ3:EHC3 EQV3:EQY3 FAR3:FAU3 FKN3:FKQ3 FUJ3:FUM3 GEF3:GEI3 GOB3:GOE3 GXX3:GYA3 HHT3:HHW3 HRP3:HRS3 IBL3:IBO3 ILH3:ILK3 IVD3:IVG3 JEZ3:JFC3 JOV3:JOY3 JYR3:JYU3 KIN3:KIQ3 KSJ3:KSM3 LCF3:LCI3 LMB3:LME3 LVX3:LWA3 MFT3:MFW3 MPP3:MPS3 MZL3:MZO3 NJH3:NJK3 NTD3:NTG3 OCZ3:ODC3 OMV3:OMY3 OWR3:OWU3 PGN3:PGQ3 PQJ3:PQM3 QAF3:QAI3 QKB3:QKE3 QTX3:QUA3 RDT3:RDW3 RNP3:RNS3 RXL3:RXO3 SHH3:SHK3 SRD3:SRG3 TAZ3:TBC3 TKV3:TKY3 TUR3:TUU3 UEN3:UEQ3 UOJ3:UOM3 UYF3:UYI3 VIB3:VIE3 VRX3:VSA3 WBT3:WBW3 WLP3:WLS3 WVL3:WVO3 D65539:G65539 IZ65539:JC65539 SV65539:SY65539 ACR65539:ACU65539 AMN65539:AMQ65539 AWJ65539:AWM65539 BGF65539:BGI65539 BQB65539:BQE65539 BZX65539:CAA65539 CJT65539:CJW65539 CTP65539:CTS65539 DDL65539:DDO65539 DNH65539:DNK65539 DXD65539:DXG65539 EGZ65539:EHC65539 EQV65539:EQY65539 FAR65539:FAU65539 FKN65539:FKQ65539 FUJ65539:FUM65539 GEF65539:GEI65539 GOB65539:GOE65539 GXX65539:GYA65539 HHT65539:HHW65539 HRP65539:HRS65539 IBL65539:IBO65539 ILH65539:ILK65539 IVD65539:IVG65539 JEZ65539:JFC65539 JOV65539:JOY65539 JYR65539:JYU65539 KIN65539:KIQ65539 KSJ65539:KSM65539 LCF65539:LCI65539 LMB65539:LME65539 LVX65539:LWA65539 MFT65539:MFW65539 MPP65539:MPS65539 MZL65539:MZO65539 NJH65539:NJK65539 NTD65539:NTG65539 OCZ65539:ODC65539 OMV65539:OMY65539 OWR65539:OWU65539 PGN65539:PGQ65539 PQJ65539:PQM65539 QAF65539:QAI65539 QKB65539:QKE65539 QTX65539:QUA65539 RDT65539:RDW65539 RNP65539:RNS65539 RXL65539:RXO65539 SHH65539:SHK65539 SRD65539:SRG65539 TAZ65539:TBC65539 TKV65539:TKY65539 TUR65539:TUU65539 UEN65539:UEQ65539 UOJ65539:UOM65539 UYF65539:UYI65539 VIB65539:VIE65539 VRX65539:VSA65539 WBT65539:WBW65539 WLP65539:WLS65539 WVL65539:WVO65539 D131075:G131075 IZ131075:JC131075 SV131075:SY131075 ACR131075:ACU131075 AMN131075:AMQ131075 AWJ131075:AWM131075 BGF131075:BGI131075 BQB131075:BQE131075 BZX131075:CAA131075 CJT131075:CJW131075 CTP131075:CTS131075 DDL131075:DDO131075 DNH131075:DNK131075 DXD131075:DXG131075 EGZ131075:EHC131075 EQV131075:EQY131075 FAR131075:FAU131075 FKN131075:FKQ131075 FUJ131075:FUM131075 GEF131075:GEI131075 GOB131075:GOE131075 GXX131075:GYA131075 HHT131075:HHW131075 HRP131075:HRS131075 IBL131075:IBO131075 ILH131075:ILK131075 IVD131075:IVG131075 JEZ131075:JFC131075 JOV131075:JOY131075 JYR131075:JYU131075 KIN131075:KIQ131075 KSJ131075:KSM131075 LCF131075:LCI131075 LMB131075:LME131075 LVX131075:LWA131075 MFT131075:MFW131075 MPP131075:MPS131075 MZL131075:MZO131075 NJH131075:NJK131075 NTD131075:NTG131075 OCZ131075:ODC131075 OMV131075:OMY131075 OWR131075:OWU131075 PGN131075:PGQ131075 PQJ131075:PQM131075 QAF131075:QAI131075 QKB131075:QKE131075 QTX131075:QUA131075 RDT131075:RDW131075 RNP131075:RNS131075 RXL131075:RXO131075 SHH131075:SHK131075 SRD131075:SRG131075 TAZ131075:TBC131075 TKV131075:TKY131075 TUR131075:TUU131075 UEN131075:UEQ131075 UOJ131075:UOM131075 UYF131075:UYI131075 VIB131075:VIE131075 VRX131075:VSA131075 WBT131075:WBW131075 WLP131075:WLS131075 WVL131075:WVO131075 D196611:G196611 IZ196611:JC196611 SV196611:SY196611 ACR196611:ACU196611 AMN196611:AMQ196611 AWJ196611:AWM196611 BGF196611:BGI196611 BQB196611:BQE196611 BZX196611:CAA196611 CJT196611:CJW196611 CTP196611:CTS196611 DDL196611:DDO196611 DNH196611:DNK196611 DXD196611:DXG196611 EGZ196611:EHC196611 EQV196611:EQY196611 FAR196611:FAU196611 FKN196611:FKQ196611 FUJ196611:FUM196611 GEF196611:GEI196611 GOB196611:GOE196611 GXX196611:GYA196611 HHT196611:HHW196611 HRP196611:HRS196611 IBL196611:IBO196611 ILH196611:ILK196611 IVD196611:IVG196611 JEZ196611:JFC196611 JOV196611:JOY196611 JYR196611:JYU196611 KIN196611:KIQ196611 KSJ196611:KSM196611 LCF196611:LCI196611 LMB196611:LME196611 LVX196611:LWA196611 MFT196611:MFW196611 MPP196611:MPS196611 MZL196611:MZO196611 NJH196611:NJK196611 NTD196611:NTG196611 OCZ196611:ODC196611 OMV196611:OMY196611 OWR196611:OWU196611 PGN196611:PGQ196611 PQJ196611:PQM196611 QAF196611:QAI196611 QKB196611:QKE196611 QTX196611:QUA196611 RDT196611:RDW196611 RNP196611:RNS196611 RXL196611:RXO196611 SHH196611:SHK196611 SRD196611:SRG196611 TAZ196611:TBC196611 TKV196611:TKY196611 TUR196611:TUU196611 UEN196611:UEQ196611 UOJ196611:UOM196611 UYF196611:UYI196611 VIB196611:VIE196611 VRX196611:VSA196611 WBT196611:WBW196611 WLP196611:WLS196611 WVL196611:WVO196611 D262147:G262147 IZ262147:JC262147 SV262147:SY262147 ACR262147:ACU262147 AMN262147:AMQ262147 AWJ262147:AWM262147 BGF262147:BGI262147 BQB262147:BQE262147 BZX262147:CAA262147 CJT262147:CJW262147 CTP262147:CTS262147 DDL262147:DDO262147 DNH262147:DNK262147 DXD262147:DXG262147 EGZ262147:EHC262147 EQV262147:EQY262147 FAR262147:FAU262147 FKN262147:FKQ262147 FUJ262147:FUM262147 GEF262147:GEI262147 GOB262147:GOE262147 GXX262147:GYA262147 HHT262147:HHW262147 HRP262147:HRS262147 IBL262147:IBO262147 ILH262147:ILK262147 IVD262147:IVG262147 JEZ262147:JFC262147 JOV262147:JOY262147 JYR262147:JYU262147 KIN262147:KIQ262147 KSJ262147:KSM262147 LCF262147:LCI262147 LMB262147:LME262147 LVX262147:LWA262147 MFT262147:MFW262147 MPP262147:MPS262147 MZL262147:MZO262147 NJH262147:NJK262147 NTD262147:NTG262147 OCZ262147:ODC262147 OMV262147:OMY262147 OWR262147:OWU262147 PGN262147:PGQ262147 PQJ262147:PQM262147 QAF262147:QAI262147 QKB262147:QKE262147 QTX262147:QUA262147 RDT262147:RDW262147 RNP262147:RNS262147 RXL262147:RXO262147 SHH262147:SHK262147 SRD262147:SRG262147 TAZ262147:TBC262147 TKV262147:TKY262147 TUR262147:TUU262147 UEN262147:UEQ262147 UOJ262147:UOM262147 UYF262147:UYI262147 VIB262147:VIE262147 VRX262147:VSA262147 WBT262147:WBW262147 WLP262147:WLS262147 WVL262147:WVO262147 D327683:G327683 IZ327683:JC327683 SV327683:SY327683 ACR327683:ACU327683 AMN327683:AMQ327683 AWJ327683:AWM327683 BGF327683:BGI327683 BQB327683:BQE327683 BZX327683:CAA327683 CJT327683:CJW327683 CTP327683:CTS327683 DDL327683:DDO327683 DNH327683:DNK327683 DXD327683:DXG327683 EGZ327683:EHC327683 EQV327683:EQY327683 FAR327683:FAU327683 FKN327683:FKQ327683 FUJ327683:FUM327683 GEF327683:GEI327683 GOB327683:GOE327683 GXX327683:GYA327683 HHT327683:HHW327683 HRP327683:HRS327683 IBL327683:IBO327683 ILH327683:ILK327683 IVD327683:IVG327683 JEZ327683:JFC327683 JOV327683:JOY327683 JYR327683:JYU327683 KIN327683:KIQ327683 KSJ327683:KSM327683 LCF327683:LCI327683 LMB327683:LME327683 LVX327683:LWA327683 MFT327683:MFW327683 MPP327683:MPS327683 MZL327683:MZO327683 NJH327683:NJK327683 NTD327683:NTG327683 OCZ327683:ODC327683 OMV327683:OMY327683 OWR327683:OWU327683 PGN327683:PGQ327683 PQJ327683:PQM327683 QAF327683:QAI327683 QKB327683:QKE327683 QTX327683:QUA327683 RDT327683:RDW327683 RNP327683:RNS327683 RXL327683:RXO327683 SHH327683:SHK327683 SRD327683:SRG327683 TAZ327683:TBC327683 TKV327683:TKY327683 TUR327683:TUU327683 UEN327683:UEQ327683 UOJ327683:UOM327683 UYF327683:UYI327683 VIB327683:VIE327683 VRX327683:VSA327683 WBT327683:WBW327683 WLP327683:WLS327683 WVL327683:WVO327683 D393219:G393219 IZ393219:JC393219 SV393219:SY393219 ACR393219:ACU393219 AMN393219:AMQ393219 AWJ393219:AWM393219 BGF393219:BGI393219 BQB393219:BQE393219 BZX393219:CAA393219 CJT393219:CJW393219 CTP393219:CTS393219 DDL393219:DDO393219 DNH393219:DNK393219 DXD393219:DXG393219 EGZ393219:EHC393219 EQV393219:EQY393219 FAR393219:FAU393219 FKN393219:FKQ393219 FUJ393219:FUM393219 GEF393219:GEI393219 GOB393219:GOE393219 GXX393219:GYA393219 HHT393219:HHW393219 HRP393219:HRS393219 IBL393219:IBO393219 ILH393219:ILK393219 IVD393219:IVG393219 JEZ393219:JFC393219 JOV393219:JOY393219 JYR393219:JYU393219 KIN393219:KIQ393219 KSJ393219:KSM393219 LCF393219:LCI393219 LMB393219:LME393219 LVX393219:LWA393219 MFT393219:MFW393219 MPP393219:MPS393219 MZL393219:MZO393219 NJH393219:NJK393219 NTD393219:NTG393219 OCZ393219:ODC393219 OMV393219:OMY393219 OWR393219:OWU393219 PGN393219:PGQ393219 PQJ393219:PQM393219 QAF393219:QAI393219 QKB393219:QKE393219 QTX393219:QUA393219 RDT393219:RDW393219 RNP393219:RNS393219 RXL393219:RXO393219 SHH393219:SHK393219 SRD393219:SRG393219 TAZ393219:TBC393219 TKV393219:TKY393219 TUR393219:TUU393219 UEN393219:UEQ393219 UOJ393219:UOM393219 UYF393219:UYI393219 VIB393219:VIE393219 VRX393219:VSA393219 WBT393219:WBW393219 WLP393219:WLS393219 WVL393219:WVO393219 D458755:G458755 IZ458755:JC458755 SV458755:SY458755 ACR458755:ACU458755 AMN458755:AMQ458755 AWJ458755:AWM458755 BGF458755:BGI458755 BQB458755:BQE458755 BZX458755:CAA458755 CJT458755:CJW458755 CTP458755:CTS458755 DDL458755:DDO458755 DNH458755:DNK458755 DXD458755:DXG458755 EGZ458755:EHC458755 EQV458755:EQY458755 FAR458755:FAU458755 FKN458755:FKQ458755 FUJ458755:FUM458755 GEF458755:GEI458755 GOB458755:GOE458755 GXX458755:GYA458755 HHT458755:HHW458755 HRP458755:HRS458755 IBL458755:IBO458755 ILH458755:ILK458755 IVD458755:IVG458755 JEZ458755:JFC458755 JOV458755:JOY458755 JYR458755:JYU458755 KIN458755:KIQ458755 KSJ458755:KSM458755 LCF458755:LCI458755 LMB458755:LME458755 LVX458755:LWA458755 MFT458755:MFW458755 MPP458755:MPS458755 MZL458755:MZO458755 NJH458755:NJK458755 NTD458755:NTG458755 OCZ458755:ODC458755 OMV458755:OMY458755 OWR458755:OWU458755 PGN458755:PGQ458755 PQJ458755:PQM458755 QAF458755:QAI458755 QKB458755:QKE458755 QTX458755:QUA458755 RDT458755:RDW458755 RNP458755:RNS458755 RXL458755:RXO458755 SHH458755:SHK458755 SRD458755:SRG458755 TAZ458755:TBC458755 TKV458755:TKY458755 TUR458755:TUU458755 UEN458755:UEQ458755 UOJ458755:UOM458755 UYF458755:UYI458755 VIB458755:VIE458755 VRX458755:VSA458755 WBT458755:WBW458755 WLP458755:WLS458755 WVL458755:WVO458755 D524291:G524291 IZ524291:JC524291 SV524291:SY524291 ACR524291:ACU524291 AMN524291:AMQ524291 AWJ524291:AWM524291 BGF524291:BGI524291 BQB524291:BQE524291 BZX524291:CAA524291 CJT524291:CJW524291 CTP524291:CTS524291 DDL524291:DDO524291 DNH524291:DNK524291 DXD524291:DXG524291 EGZ524291:EHC524291 EQV524291:EQY524291 FAR524291:FAU524291 FKN524291:FKQ524291 FUJ524291:FUM524291 GEF524291:GEI524291 GOB524291:GOE524291 GXX524291:GYA524291 HHT524291:HHW524291 HRP524291:HRS524291 IBL524291:IBO524291 ILH524291:ILK524291 IVD524291:IVG524291 JEZ524291:JFC524291 JOV524291:JOY524291 JYR524291:JYU524291 KIN524291:KIQ524291 KSJ524291:KSM524291 LCF524291:LCI524291 LMB524291:LME524291 LVX524291:LWA524291 MFT524291:MFW524291 MPP524291:MPS524291 MZL524291:MZO524291 NJH524291:NJK524291 NTD524291:NTG524291 OCZ524291:ODC524291 OMV524291:OMY524291 OWR524291:OWU524291 PGN524291:PGQ524291 PQJ524291:PQM524291 QAF524291:QAI524291 QKB524291:QKE524291 QTX524291:QUA524291 RDT524291:RDW524291 RNP524291:RNS524291 RXL524291:RXO524291 SHH524291:SHK524291 SRD524291:SRG524291 TAZ524291:TBC524291 TKV524291:TKY524291 TUR524291:TUU524291 UEN524291:UEQ524291 UOJ524291:UOM524291 UYF524291:UYI524291 VIB524291:VIE524291 VRX524291:VSA524291 WBT524291:WBW524291 WLP524291:WLS524291 WVL524291:WVO524291 D589827:G589827 IZ589827:JC589827 SV589827:SY589827 ACR589827:ACU589827 AMN589827:AMQ589827 AWJ589827:AWM589827 BGF589827:BGI589827 BQB589827:BQE589827 BZX589827:CAA589827 CJT589827:CJW589827 CTP589827:CTS589827 DDL589827:DDO589827 DNH589827:DNK589827 DXD589827:DXG589827 EGZ589827:EHC589827 EQV589827:EQY589827 FAR589827:FAU589827 FKN589827:FKQ589827 FUJ589827:FUM589827 GEF589827:GEI589827 GOB589827:GOE589827 GXX589827:GYA589827 HHT589827:HHW589827 HRP589827:HRS589827 IBL589827:IBO589827 ILH589827:ILK589827 IVD589827:IVG589827 JEZ589827:JFC589827 JOV589827:JOY589827 JYR589827:JYU589827 KIN589827:KIQ589827 KSJ589827:KSM589827 LCF589827:LCI589827 LMB589827:LME589827 LVX589827:LWA589827 MFT589827:MFW589827 MPP589827:MPS589827 MZL589827:MZO589827 NJH589827:NJK589827 NTD589827:NTG589827 OCZ589827:ODC589827 OMV589827:OMY589827 OWR589827:OWU589827 PGN589827:PGQ589827 PQJ589827:PQM589827 QAF589827:QAI589827 QKB589827:QKE589827 QTX589827:QUA589827 RDT589827:RDW589827 RNP589827:RNS589827 RXL589827:RXO589827 SHH589827:SHK589827 SRD589827:SRG589827 TAZ589827:TBC589827 TKV589827:TKY589827 TUR589827:TUU589827 UEN589827:UEQ589827 UOJ589827:UOM589827 UYF589827:UYI589827 VIB589827:VIE589827 VRX589827:VSA589827 WBT589827:WBW589827 WLP589827:WLS589827 WVL589827:WVO589827 D655363:G655363 IZ655363:JC655363 SV655363:SY655363 ACR655363:ACU655363 AMN655363:AMQ655363 AWJ655363:AWM655363 BGF655363:BGI655363 BQB655363:BQE655363 BZX655363:CAA655363 CJT655363:CJW655363 CTP655363:CTS655363 DDL655363:DDO655363 DNH655363:DNK655363 DXD655363:DXG655363 EGZ655363:EHC655363 EQV655363:EQY655363 FAR655363:FAU655363 FKN655363:FKQ655363 FUJ655363:FUM655363 GEF655363:GEI655363 GOB655363:GOE655363 GXX655363:GYA655363 HHT655363:HHW655363 HRP655363:HRS655363 IBL655363:IBO655363 ILH655363:ILK655363 IVD655363:IVG655363 JEZ655363:JFC655363 JOV655363:JOY655363 JYR655363:JYU655363 KIN655363:KIQ655363 KSJ655363:KSM655363 LCF655363:LCI655363 LMB655363:LME655363 LVX655363:LWA655363 MFT655363:MFW655363 MPP655363:MPS655363 MZL655363:MZO655363 NJH655363:NJK655363 NTD655363:NTG655363 OCZ655363:ODC655363 OMV655363:OMY655363 OWR655363:OWU655363 PGN655363:PGQ655363 PQJ655363:PQM655363 QAF655363:QAI655363 QKB655363:QKE655363 QTX655363:QUA655363 RDT655363:RDW655363 RNP655363:RNS655363 RXL655363:RXO655363 SHH655363:SHK655363 SRD655363:SRG655363 TAZ655363:TBC655363 TKV655363:TKY655363 TUR655363:TUU655363 UEN655363:UEQ655363 UOJ655363:UOM655363 UYF655363:UYI655363 VIB655363:VIE655363 VRX655363:VSA655363 WBT655363:WBW655363 WLP655363:WLS655363 WVL655363:WVO655363 D720899:G720899 IZ720899:JC720899 SV720899:SY720899 ACR720899:ACU720899 AMN720899:AMQ720899 AWJ720899:AWM720899 BGF720899:BGI720899 BQB720899:BQE720899 BZX720899:CAA720899 CJT720899:CJW720899 CTP720899:CTS720899 DDL720899:DDO720899 DNH720899:DNK720899 DXD720899:DXG720899 EGZ720899:EHC720899 EQV720899:EQY720899 FAR720899:FAU720899 FKN720899:FKQ720899 FUJ720899:FUM720899 GEF720899:GEI720899 GOB720899:GOE720899 GXX720899:GYA720899 HHT720899:HHW720899 HRP720899:HRS720899 IBL720899:IBO720899 ILH720899:ILK720899 IVD720899:IVG720899 JEZ720899:JFC720899 JOV720899:JOY720899 JYR720899:JYU720899 KIN720899:KIQ720899 KSJ720899:KSM720899 LCF720899:LCI720899 LMB720899:LME720899 LVX720899:LWA720899 MFT720899:MFW720899 MPP720899:MPS720899 MZL720899:MZO720899 NJH720899:NJK720899 NTD720899:NTG720899 OCZ720899:ODC720899 OMV720899:OMY720899 OWR720899:OWU720899 PGN720899:PGQ720899 PQJ720899:PQM720899 QAF720899:QAI720899 QKB720899:QKE720899 QTX720899:QUA720899 RDT720899:RDW720899 RNP720899:RNS720899 RXL720899:RXO720899 SHH720899:SHK720899 SRD720899:SRG720899 TAZ720899:TBC720899 TKV720899:TKY720899 TUR720899:TUU720899 UEN720899:UEQ720899 UOJ720899:UOM720899 UYF720899:UYI720899 VIB720899:VIE720899 VRX720899:VSA720899 WBT720899:WBW720899 WLP720899:WLS720899 WVL720899:WVO720899 D786435:G786435 IZ786435:JC786435 SV786435:SY786435 ACR786435:ACU786435 AMN786435:AMQ786435 AWJ786435:AWM786435 BGF786435:BGI786435 BQB786435:BQE786435 BZX786435:CAA786435 CJT786435:CJW786435 CTP786435:CTS786435 DDL786435:DDO786435 DNH786435:DNK786435 DXD786435:DXG786435 EGZ786435:EHC786435 EQV786435:EQY786435 FAR786435:FAU786435 FKN786435:FKQ786435 FUJ786435:FUM786435 GEF786435:GEI786435 GOB786435:GOE786435 GXX786435:GYA786435 HHT786435:HHW786435 HRP786435:HRS786435 IBL786435:IBO786435 ILH786435:ILK786435 IVD786435:IVG786435 JEZ786435:JFC786435 JOV786435:JOY786435 JYR786435:JYU786435 KIN786435:KIQ786435 KSJ786435:KSM786435 LCF786435:LCI786435 LMB786435:LME786435 LVX786435:LWA786435 MFT786435:MFW786435 MPP786435:MPS786435 MZL786435:MZO786435 NJH786435:NJK786435 NTD786435:NTG786435 OCZ786435:ODC786435 OMV786435:OMY786435 OWR786435:OWU786435 PGN786435:PGQ786435 PQJ786435:PQM786435 QAF786435:QAI786435 QKB786435:QKE786435 QTX786435:QUA786435 RDT786435:RDW786435 RNP786435:RNS786435 RXL786435:RXO786435 SHH786435:SHK786435 SRD786435:SRG786435 TAZ786435:TBC786435 TKV786435:TKY786435 TUR786435:TUU786435 UEN786435:UEQ786435 UOJ786435:UOM786435 UYF786435:UYI786435 VIB786435:VIE786435 VRX786435:VSA786435 WBT786435:WBW786435 WLP786435:WLS786435 WVL786435:WVO786435 D851971:G851971 IZ851971:JC851971 SV851971:SY851971 ACR851971:ACU851971 AMN851971:AMQ851971 AWJ851971:AWM851971 BGF851971:BGI851971 BQB851971:BQE851971 BZX851971:CAA851971 CJT851971:CJW851971 CTP851971:CTS851971 DDL851971:DDO851971 DNH851971:DNK851971 DXD851971:DXG851971 EGZ851971:EHC851971 EQV851971:EQY851971 FAR851971:FAU851971 FKN851971:FKQ851971 FUJ851971:FUM851971 GEF851971:GEI851971 GOB851971:GOE851971 GXX851971:GYA851971 HHT851971:HHW851971 HRP851971:HRS851971 IBL851971:IBO851971 ILH851971:ILK851971 IVD851971:IVG851971 JEZ851971:JFC851971 JOV851971:JOY851971 JYR851971:JYU851971 KIN851971:KIQ851971 KSJ851971:KSM851971 LCF851971:LCI851971 LMB851971:LME851971 LVX851971:LWA851971 MFT851971:MFW851971 MPP851971:MPS851971 MZL851971:MZO851971 NJH851971:NJK851971 NTD851971:NTG851971 OCZ851971:ODC851971 OMV851971:OMY851971 OWR851971:OWU851971 PGN851971:PGQ851971 PQJ851971:PQM851971 QAF851971:QAI851971 QKB851971:QKE851971 QTX851971:QUA851971 RDT851971:RDW851971 RNP851971:RNS851971 RXL851971:RXO851971 SHH851971:SHK851971 SRD851971:SRG851971 TAZ851971:TBC851971 TKV851971:TKY851971 TUR851971:TUU851971 UEN851971:UEQ851971 UOJ851971:UOM851971 UYF851971:UYI851971 VIB851971:VIE851971 VRX851971:VSA851971 WBT851971:WBW851971 WLP851971:WLS851971 WVL851971:WVO851971 D917507:G917507 IZ917507:JC917507 SV917507:SY917507 ACR917507:ACU917507 AMN917507:AMQ917507 AWJ917507:AWM917507 BGF917507:BGI917507 BQB917507:BQE917507 BZX917507:CAA917507 CJT917507:CJW917507 CTP917507:CTS917507 DDL917507:DDO917507 DNH917507:DNK917507 DXD917507:DXG917507 EGZ917507:EHC917507 EQV917507:EQY917507 FAR917507:FAU917507 FKN917507:FKQ917507 FUJ917507:FUM917507 GEF917507:GEI917507 GOB917507:GOE917507 GXX917507:GYA917507 HHT917507:HHW917507 HRP917507:HRS917507 IBL917507:IBO917507 ILH917507:ILK917507 IVD917507:IVG917507 JEZ917507:JFC917507 JOV917507:JOY917507 JYR917507:JYU917507 KIN917507:KIQ917507 KSJ917507:KSM917507 LCF917507:LCI917507 LMB917507:LME917507 LVX917507:LWA917507 MFT917507:MFW917507 MPP917507:MPS917507 MZL917507:MZO917507 NJH917507:NJK917507 NTD917507:NTG917507 OCZ917507:ODC917507 OMV917507:OMY917507 OWR917507:OWU917507 PGN917507:PGQ917507 PQJ917507:PQM917507 QAF917507:QAI917507 QKB917507:QKE917507 QTX917507:QUA917507 RDT917507:RDW917507 RNP917507:RNS917507 RXL917507:RXO917507 SHH917507:SHK917507 SRD917507:SRG917507 TAZ917507:TBC917507 TKV917507:TKY917507 TUR917507:TUU917507 UEN917507:UEQ917507 UOJ917507:UOM917507 UYF917507:UYI917507 VIB917507:VIE917507 VRX917507:VSA917507 WBT917507:WBW917507 WLP917507:WLS917507 WVL917507:WVO917507 D983043:G983043 IZ983043:JC983043 SV983043:SY983043 ACR983043:ACU983043 AMN983043:AMQ983043 AWJ983043:AWM983043 BGF983043:BGI983043 BQB983043:BQE983043 BZX983043:CAA983043 CJT983043:CJW983043 CTP983043:CTS983043 DDL983043:DDO983043 DNH983043:DNK983043 DXD983043:DXG983043 EGZ983043:EHC983043 EQV983043:EQY983043 FAR983043:FAU983043 FKN983043:FKQ983043 FUJ983043:FUM983043 GEF983043:GEI983043 GOB983043:GOE983043 GXX983043:GYA983043 HHT983043:HHW983043 HRP983043:HRS983043 IBL983043:IBO983043 ILH983043:ILK983043 IVD983043:IVG983043 JEZ983043:JFC983043 JOV983043:JOY983043 JYR983043:JYU983043 KIN983043:KIQ983043 KSJ983043:KSM983043 LCF983043:LCI983043 LMB983043:LME983043 LVX983043:LWA983043 MFT983043:MFW983043 MPP983043:MPS983043 MZL983043:MZO983043 NJH983043:NJK983043 NTD983043:NTG983043 OCZ983043:ODC983043 OMV983043:OMY983043 OWR983043:OWU983043 PGN983043:PGQ983043 PQJ983043:PQM983043 QAF983043:QAI983043 QKB983043:QKE983043 QTX983043:QUA983043 RDT983043:RDW983043 RNP983043:RNS983043 RXL983043:RXO983043 SHH983043:SHK983043 SRD983043:SRG983043 TAZ983043:TBC983043 TKV983043:TKY983043 TUR983043:TUU983043 UEN983043:UEQ983043 UOJ983043:UOM983043 UYF983043:UYI983043 VIB983043:VIE983043 VRX983043:VSA983043 WBT983043:WBW983043 WLP983043:WLS983043 WVL983043:WVO983043">
      <formula1>Country_Applicant</formula1>
    </dataValidation>
    <dataValidation type="list" allowBlank="1" showInputMessage="1" showErrorMessage="1" sqref="D6:G6 IZ6:JC6 SV6:SY6 ACR6:ACU6 AMN6:AMQ6 AWJ6:AWM6 BGF6:BGI6 BQB6:BQE6 BZX6:CAA6 CJT6:CJW6 CTP6:CTS6 DDL6:DDO6 DNH6:DNK6 DXD6:DXG6 EGZ6:EHC6 EQV6:EQY6 FAR6:FAU6 FKN6:FKQ6 FUJ6:FUM6 GEF6:GEI6 GOB6:GOE6 GXX6:GYA6 HHT6:HHW6 HRP6:HRS6 IBL6:IBO6 ILH6:ILK6 IVD6:IVG6 JEZ6:JFC6 JOV6:JOY6 JYR6:JYU6 KIN6:KIQ6 KSJ6:KSM6 LCF6:LCI6 LMB6:LME6 LVX6:LWA6 MFT6:MFW6 MPP6:MPS6 MZL6:MZO6 NJH6:NJK6 NTD6:NTG6 OCZ6:ODC6 OMV6:OMY6 OWR6:OWU6 PGN6:PGQ6 PQJ6:PQM6 QAF6:QAI6 QKB6:QKE6 QTX6:QUA6 RDT6:RDW6 RNP6:RNS6 RXL6:RXO6 SHH6:SHK6 SRD6:SRG6 TAZ6:TBC6 TKV6:TKY6 TUR6:TUU6 UEN6:UEQ6 UOJ6:UOM6 UYF6:UYI6 VIB6:VIE6 VRX6:VSA6 WBT6:WBW6 WLP6:WLS6 WVL6:WVO6 D65542:G65542 IZ65542:JC65542 SV65542:SY65542 ACR65542:ACU65542 AMN65542:AMQ65542 AWJ65542:AWM65542 BGF65542:BGI65542 BQB65542:BQE65542 BZX65542:CAA65542 CJT65542:CJW65542 CTP65542:CTS65542 DDL65542:DDO65542 DNH65542:DNK65542 DXD65542:DXG65542 EGZ65542:EHC65542 EQV65542:EQY65542 FAR65542:FAU65542 FKN65542:FKQ65542 FUJ65542:FUM65542 GEF65542:GEI65542 GOB65542:GOE65542 GXX65542:GYA65542 HHT65542:HHW65542 HRP65542:HRS65542 IBL65542:IBO65542 ILH65542:ILK65542 IVD65542:IVG65542 JEZ65542:JFC65542 JOV65542:JOY65542 JYR65542:JYU65542 KIN65542:KIQ65542 KSJ65542:KSM65542 LCF65542:LCI65542 LMB65542:LME65542 LVX65542:LWA65542 MFT65542:MFW65542 MPP65542:MPS65542 MZL65542:MZO65542 NJH65542:NJK65542 NTD65542:NTG65542 OCZ65542:ODC65542 OMV65542:OMY65542 OWR65542:OWU65542 PGN65542:PGQ65542 PQJ65542:PQM65542 QAF65542:QAI65542 QKB65542:QKE65542 QTX65542:QUA65542 RDT65542:RDW65542 RNP65542:RNS65542 RXL65542:RXO65542 SHH65542:SHK65542 SRD65542:SRG65542 TAZ65542:TBC65542 TKV65542:TKY65542 TUR65542:TUU65542 UEN65542:UEQ65542 UOJ65542:UOM65542 UYF65542:UYI65542 VIB65542:VIE65542 VRX65542:VSA65542 WBT65542:WBW65542 WLP65542:WLS65542 WVL65542:WVO65542 D131078:G131078 IZ131078:JC131078 SV131078:SY131078 ACR131078:ACU131078 AMN131078:AMQ131078 AWJ131078:AWM131078 BGF131078:BGI131078 BQB131078:BQE131078 BZX131078:CAA131078 CJT131078:CJW131078 CTP131078:CTS131078 DDL131078:DDO131078 DNH131078:DNK131078 DXD131078:DXG131078 EGZ131078:EHC131078 EQV131078:EQY131078 FAR131078:FAU131078 FKN131078:FKQ131078 FUJ131078:FUM131078 GEF131078:GEI131078 GOB131078:GOE131078 GXX131078:GYA131078 HHT131078:HHW131078 HRP131078:HRS131078 IBL131078:IBO131078 ILH131078:ILK131078 IVD131078:IVG131078 JEZ131078:JFC131078 JOV131078:JOY131078 JYR131078:JYU131078 KIN131078:KIQ131078 KSJ131078:KSM131078 LCF131078:LCI131078 LMB131078:LME131078 LVX131078:LWA131078 MFT131078:MFW131078 MPP131078:MPS131078 MZL131078:MZO131078 NJH131078:NJK131078 NTD131078:NTG131078 OCZ131078:ODC131078 OMV131078:OMY131078 OWR131078:OWU131078 PGN131078:PGQ131078 PQJ131078:PQM131078 QAF131078:QAI131078 QKB131078:QKE131078 QTX131078:QUA131078 RDT131078:RDW131078 RNP131078:RNS131078 RXL131078:RXO131078 SHH131078:SHK131078 SRD131078:SRG131078 TAZ131078:TBC131078 TKV131078:TKY131078 TUR131078:TUU131078 UEN131078:UEQ131078 UOJ131078:UOM131078 UYF131078:UYI131078 VIB131078:VIE131078 VRX131078:VSA131078 WBT131078:WBW131078 WLP131078:WLS131078 WVL131078:WVO131078 D196614:G196614 IZ196614:JC196614 SV196614:SY196614 ACR196614:ACU196614 AMN196614:AMQ196614 AWJ196614:AWM196614 BGF196614:BGI196614 BQB196614:BQE196614 BZX196614:CAA196614 CJT196614:CJW196614 CTP196614:CTS196614 DDL196614:DDO196614 DNH196614:DNK196614 DXD196614:DXG196614 EGZ196614:EHC196614 EQV196614:EQY196614 FAR196614:FAU196614 FKN196614:FKQ196614 FUJ196614:FUM196614 GEF196614:GEI196614 GOB196614:GOE196614 GXX196614:GYA196614 HHT196614:HHW196614 HRP196614:HRS196614 IBL196614:IBO196614 ILH196614:ILK196614 IVD196614:IVG196614 JEZ196614:JFC196614 JOV196614:JOY196614 JYR196614:JYU196614 KIN196614:KIQ196614 KSJ196614:KSM196614 LCF196614:LCI196614 LMB196614:LME196614 LVX196614:LWA196614 MFT196614:MFW196614 MPP196614:MPS196614 MZL196614:MZO196614 NJH196614:NJK196614 NTD196614:NTG196614 OCZ196614:ODC196614 OMV196614:OMY196614 OWR196614:OWU196614 PGN196614:PGQ196614 PQJ196614:PQM196614 QAF196614:QAI196614 QKB196614:QKE196614 QTX196614:QUA196614 RDT196614:RDW196614 RNP196614:RNS196614 RXL196614:RXO196614 SHH196614:SHK196614 SRD196614:SRG196614 TAZ196614:TBC196614 TKV196614:TKY196614 TUR196614:TUU196614 UEN196614:UEQ196614 UOJ196614:UOM196614 UYF196614:UYI196614 VIB196614:VIE196614 VRX196614:VSA196614 WBT196614:WBW196614 WLP196614:WLS196614 WVL196614:WVO196614 D262150:G262150 IZ262150:JC262150 SV262150:SY262150 ACR262150:ACU262150 AMN262150:AMQ262150 AWJ262150:AWM262150 BGF262150:BGI262150 BQB262150:BQE262150 BZX262150:CAA262150 CJT262150:CJW262150 CTP262150:CTS262150 DDL262150:DDO262150 DNH262150:DNK262150 DXD262150:DXG262150 EGZ262150:EHC262150 EQV262150:EQY262150 FAR262150:FAU262150 FKN262150:FKQ262150 FUJ262150:FUM262150 GEF262150:GEI262150 GOB262150:GOE262150 GXX262150:GYA262150 HHT262150:HHW262150 HRP262150:HRS262150 IBL262150:IBO262150 ILH262150:ILK262150 IVD262150:IVG262150 JEZ262150:JFC262150 JOV262150:JOY262150 JYR262150:JYU262150 KIN262150:KIQ262150 KSJ262150:KSM262150 LCF262150:LCI262150 LMB262150:LME262150 LVX262150:LWA262150 MFT262150:MFW262150 MPP262150:MPS262150 MZL262150:MZO262150 NJH262150:NJK262150 NTD262150:NTG262150 OCZ262150:ODC262150 OMV262150:OMY262150 OWR262150:OWU262150 PGN262150:PGQ262150 PQJ262150:PQM262150 QAF262150:QAI262150 QKB262150:QKE262150 QTX262150:QUA262150 RDT262150:RDW262150 RNP262150:RNS262150 RXL262150:RXO262150 SHH262150:SHK262150 SRD262150:SRG262150 TAZ262150:TBC262150 TKV262150:TKY262150 TUR262150:TUU262150 UEN262150:UEQ262150 UOJ262150:UOM262150 UYF262150:UYI262150 VIB262150:VIE262150 VRX262150:VSA262150 WBT262150:WBW262150 WLP262150:WLS262150 WVL262150:WVO262150 D327686:G327686 IZ327686:JC327686 SV327686:SY327686 ACR327686:ACU327686 AMN327686:AMQ327686 AWJ327686:AWM327686 BGF327686:BGI327686 BQB327686:BQE327686 BZX327686:CAA327686 CJT327686:CJW327686 CTP327686:CTS327686 DDL327686:DDO327686 DNH327686:DNK327686 DXD327686:DXG327686 EGZ327686:EHC327686 EQV327686:EQY327686 FAR327686:FAU327686 FKN327686:FKQ327686 FUJ327686:FUM327686 GEF327686:GEI327686 GOB327686:GOE327686 GXX327686:GYA327686 HHT327686:HHW327686 HRP327686:HRS327686 IBL327686:IBO327686 ILH327686:ILK327686 IVD327686:IVG327686 JEZ327686:JFC327686 JOV327686:JOY327686 JYR327686:JYU327686 KIN327686:KIQ327686 KSJ327686:KSM327686 LCF327686:LCI327686 LMB327686:LME327686 LVX327686:LWA327686 MFT327686:MFW327686 MPP327686:MPS327686 MZL327686:MZO327686 NJH327686:NJK327686 NTD327686:NTG327686 OCZ327686:ODC327686 OMV327686:OMY327686 OWR327686:OWU327686 PGN327686:PGQ327686 PQJ327686:PQM327686 QAF327686:QAI327686 QKB327686:QKE327686 QTX327686:QUA327686 RDT327686:RDW327686 RNP327686:RNS327686 RXL327686:RXO327686 SHH327686:SHK327686 SRD327686:SRG327686 TAZ327686:TBC327686 TKV327686:TKY327686 TUR327686:TUU327686 UEN327686:UEQ327686 UOJ327686:UOM327686 UYF327686:UYI327686 VIB327686:VIE327686 VRX327686:VSA327686 WBT327686:WBW327686 WLP327686:WLS327686 WVL327686:WVO327686 D393222:G393222 IZ393222:JC393222 SV393222:SY393222 ACR393222:ACU393222 AMN393222:AMQ393222 AWJ393222:AWM393222 BGF393222:BGI393222 BQB393222:BQE393222 BZX393222:CAA393222 CJT393222:CJW393222 CTP393222:CTS393222 DDL393222:DDO393222 DNH393222:DNK393222 DXD393222:DXG393222 EGZ393222:EHC393222 EQV393222:EQY393222 FAR393222:FAU393222 FKN393222:FKQ393222 FUJ393222:FUM393222 GEF393222:GEI393222 GOB393222:GOE393222 GXX393222:GYA393222 HHT393222:HHW393222 HRP393222:HRS393222 IBL393222:IBO393222 ILH393222:ILK393222 IVD393222:IVG393222 JEZ393222:JFC393222 JOV393222:JOY393222 JYR393222:JYU393222 KIN393222:KIQ393222 KSJ393222:KSM393222 LCF393222:LCI393222 LMB393222:LME393222 LVX393222:LWA393222 MFT393222:MFW393222 MPP393222:MPS393222 MZL393222:MZO393222 NJH393222:NJK393222 NTD393222:NTG393222 OCZ393222:ODC393222 OMV393222:OMY393222 OWR393222:OWU393222 PGN393222:PGQ393222 PQJ393222:PQM393222 QAF393222:QAI393222 QKB393222:QKE393222 QTX393222:QUA393222 RDT393222:RDW393222 RNP393222:RNS393222 RXL393222:RXO393222 SHH393222:SHK393222 SRD393222:SRG393222 TAZ393222:TBC393222 TKV393222:TKY393222 TUR393222:TUU393222 UEN393222:UEQ393222 UOJ393222:UOM393222 UYF393222:UYI393222 VIB393222:VIE393222 VRX393222:VSA393222 WBT393222:WBW393222 WLP393222:WLS393222 WVL393222:WVO393222 D458758:G458758 IZ458758:JC458758 SV458758:SY458758 ACR458758:ACU458758 AMN458758:AMQ458758 AWJ458758:AWM458758 BGF458758:BGI458758 BQB458758:BQE458758 BZX458758:CAA458758 CJT458758:CJW458758 CTP458758:CTS458758 DDL458758:DDO458758 DNH458758:DNK458758 DXD458758:DXG458758 EGZ458758:EHC458758 EQV458758:EQY458758 FAR458758:FAU458758 FKN458758:FKQ458758 FUJ458758:FUM458758 GEF458758:GEI458758 GOB458758:GOE458758 GXX458758:GYA458758 HHT458758:HHW458758 HRP458758:HRS458758 IBL458758:IBO458758 ILH458758:ILK458758 IVD458758:IVG458758 JEZ458758:JFC458758 JOV458758:JOY458758 JYR458758:JYU458758 KIN458758:KIQ458758 KSJ458758:KSM458758 LCF458758:LCI458758 LMB458758:LME458758 LVX458758:LWA458758 MFT458758:MFW458758 MPP458758:MPS458758 MZL458758:MZO458758 NJH458758:NJK458758 NTD458758:NTG458758 OCZ458758:ODC458758 OMV458758:OMY458758 OWR458758:OWU458758 PGN458758:PGQ458758 PQJ458758:PQM458758 QAF458758:QAI458758 QKB458758:QKE458758 QTX458758:QUA458758 RDT458758:RDW458758 RNP458758:RNS458758 RXL458758:RXO458758 SHH458758:SHK458758 SRD458758:SRG458758 TAZ458758:TBC458758 TKV458758:TKY458758 TUR458758:TUU458758 UEN458758:UEQ458758 UOJ458758:UOM458758 UYF458758:UYI458758 VIB458758:VIE458758 VRX458758:VSA458758 WBT458758:WBW458758 WLP458758:WLS458758 WVL458758:WVO458758 D524294:G524294 IZ524294:JC524294 SV524294:SY524294 ACR524294:ACU524294 AMN524294:AMQ524294 AWJ524294:AWM524294 BGF524294:BGI524294 BQB524294:BQE524294 BZX524294:CAA524294 CJT524294:CJW524294 CTP524294:CTS524294 DDL524294:DDO524294 DNH524294:DNK524294 DXD524294:DXG524294 EGZ524294:EHC524294 EQV524294:EQY524294 FAR524294:FAU524294 FKN524294:FKQ524294 FUJ524294:FUM524294 GEF524294:GEI524294 GOB524294:GOE524294 GXX524294:GYA524294 HHT524294:HHW524294 HRP524294:HRS524294 IBL524294:IBO524294 ILH524294:ILK524294 IVD524294:IVG524294 JEZ524294:JFC524294 JOV524294:JOY524294 JYR524294:JYU524294 KIN524294:KIQ524294 KSJ524294:KSM524294 LCF524294:LCI524294 LMB524294:LME524294 LVX524294:LWA524294 MFT524294:MFW524294 MPP524294:MPS524294 MZL524294:MZO524294 NJH524294:NJK524294 NTD524294:NTG524294 OCZ524294:ODC524294 OMV524294:OMY524294 OWR524294:OWU524294 PGN524294:PGQ524294 PQJ524294:PQM524294 QAF524294:QAI524294 QKB524294:QKE524294 QTX524294:QUA524294 RDT524294:RDW524294 RNP524294:RNS524294 RXL524294:RXO524294 SHH524294:SHK524294 SRD524294:SRG524294 TAZ524294:TBC524294 TKV524294:TKY524294 TUR524294:TUU524294 UEN524294:UEQ524294 UOJ524294:UOM524294 UYF524294:UYI524294 VIB524294:VIE524294 VRX524294:VSA524294 WBT524294:WBW524294 WLP524294:WLS524294 WVL524294:WVO524294 D589830:G589830 IZ589830:JC589830 SV589830:SY589830 ACR589830:ACU589830 AMN589830:AMQ589830 AWJ589830:AWM589830 BGF589830:BGI589830 BQB589830:BQE589830 BZX589830:CAA589830 CJT589830:CJW589830 CTP589830:CTS589830 DDL589830:DDO589830 DNH589830:DNK589830 DXD589830:DXG589830 EGZ589830:EHC589830 EQV589830:EQY589830 FAR589830:FAU589830 FKN589830:FKQ589830 FUJ589830:FUM589830 GEF589830:GEI589830 GOB589830:GOE589830 GXX589830:GYA589830 HHT589830:HHW589830 HRP589830:HRS589830 IBL589830:IBO589830 ILH589830:ILK589830 IVD589830:IVG589830 JEZ589830:JFC589830 JOV589830:JOY589830 JYR589830:JYU589830 KIN589830:KIQ589830 KSJ589830:KSM589830 LCF589830:LCI589830 LMB589830:LME589830 LVX589830:LWA589830 MFT589830:MFW589830 MPP589830:MPS589830 MZL589830:MZO589830 NJH589830:NJK589830 NTD589830:NTG589830 OCZ589830:ODC589830 OMV589830:OMY589830 OWR589830:OWU589830 PGN589830:PGQ589830 PQJ589830:PQM589830 QAF589830:QAI589830 QKB589830:QKE589830 QTX589830:QUA589830 RDT589830:RDW589830 RNP589830:RNS589830 RXL589830:RXO589830 SHH589830:SHK589830 SRD589830:SRG589830 TAZ589830:TBC589830 TKV589830:TKY589830 TUR589830:TUU589830 UEN589830:UEQ589830 UOJ589830:UOM589830 UYF589830:UYI589830 VIB589830:VIE589830 VRX589830:VSA589830 WBT589830:WBW589830 WLP589830:WLS589830 WVL589830:WVO589830 D655366:G655366 IZ655366:JC655366 SV655366:SY655366 ACR655366:ACU655366 AMN655366:AMQ655366 AWJ655366:AWM655366 BGF655366:BGI655366 BQB655366:BQE655366 BZX655366:CAA655366 CJT655366:CJW655366 CTP655366:CTS655366 DDL655366:DDO655366 DNH655366:DNK655366 DXD655366:DXG655366 EGZ655366:EHC655366 EQV655366:EQY655366 FAR655366:FAU655366 FKN655366:FKQ655366 FUJ655366:FUM655366 GEF655366:GEI655366 GOB655366:GOE655366 GXX655366:GYA655366 HHT655366:HHW655366 HRP655366:HRS655366 IBL655366:IBO655366 ILH655366:ILK655366 IVD655366:IVG655366 JEZ655366:JFC655366 JOV655366:JOY655366 JYR655366:JYU655366 KIN655366:KIQ655366 KSJ655366:KSM655366 LCF655366:LCI655366 LMB655366:LME655366 LVX655366:LWA655366 MFT655366:MFW655366 MPP655366:MPS655366 MZL655366:MZO655366 NJH655366:NJK655366 NTD655366:NTG655366 OCZ655366:ODC655366 OMV655366:OMY655366 OWR655366:OWU655366 PGN655366:PGQ655366 PQJ655366:PQM655366 QAF655366:QAI655366 QKB655366:QKE655366 QTX655366:QUA655366 RDT655366:RDW655366 RNP655366:RNS655366 RXL655366:RXO655366 SHH655366:SHK655366 SRD655366:SRG655366 TAZ655366:TBC655366 TKV655366:TKY655366 TUR655366:TUU655366 UEN655366:UEQ655366 UOJ655366:UOM655366 UYF655366:UYI655366 VIB655366:VIE655366 VRX655366:VSA655366 WBT655366:WBW655366 WLP655366:WLS655366 WVL655366:WVO655366 D720902:G720902 IZ720902:JC720902 SV720902:SY720902 ACR720902:ACU720902 AMN720902:AMQ720902 AWJ720902:AWM720902 BGF720902:BGI720902 BQB720902:BQE720902 BZX720902:CAA720902 CJT720902:CJW720902 CTP720902:CTS720902 DDL720902:DDO720902 DNH720902:DNK720902 DXD720902:DXG720902 EGZ720902:EHC720902 EQV720902:EQY720902 FAR720902:FAU720902 FKN720902:FKQ720902 FUJ720902:FUM720902 GEF720902:GEI720902 GOB720902:GOE720902 GXX720902:GYA720902 HHT720902:HHW720902 HRP720902:HRS720902 IBL720902:IBO720902 ILH720902:ILK720902 IVD720902:IVG720902 JEZ720902:JFC720902 JOV720902:JOY720902 JYR720902:JYU720902 KIN720902:KIQ720902 KSJ720902:KSM720902 LCF720902:LCI720902 LMB720902:LME720902 LVX720902:LWA720902 MFT720902:MFW720902 MPP720902:MPS720902 MZL720902:MZO720902 NJH720902:NJK720902 NTD720902:NTG720902 OCZ720902:ODC720902 OMV720902:OMY720902 OWR720902:OWU720902 PGN720902:PGQ720902 PQJ720902:PQM720902 QAF720902:QAI720902 QKB720902:QKE720902 QTX720902:QUA720902 RDT720902:RDW720902 RNP720902:RNS720902 RXL720902:RXO720902 SHH720902:SHK720902 SRD720902:SRG720902 TAZ720902:TBC720902 TKV720902:TKY720902 TUR720902:TUU720902 UEN720902:UEQ720902 UOJ720902:UOM720902 UYF720902:UYI720902 VIB720902:VIE720902 VRX720902:VSA720902 WBT720902:WBW720902 WLP720902:WLS720902 WVL720902:WVO720902 D786438:G786438 IZ786438:JC786438 SV786438:SY786438 ACR786438:ACU786438 AMN786438:AMQ786438 AWJ786438:AWM786438 BGF786438:BGI786438 BQB786438:BQE786438 BZX786438:CAA786438 CJT786438:CJW786438 CTP786438:CTS786438 DDL786438:DDO786438 DNH786438:DNK786438 DXD786438:DXG786438 EGZ786438:EHC786438 EQV786438:EQY786438 FAR786438:FAU786438 FKN786438:FKQ786438 FUJ786438:FUM786438 GEF786438:GEI786438 GOB786438:GOE786438 GXX786438:GYA786438 HHT786438:HHW786438 HRP786438:HRS786438 IBL786438:IBO786438 ILH786438:ILK786438 IVD786438:IVG786438 JEZ786438:JFC786438 JOV786438:JOY786438 JYR786438:JYU786438 KIN786438:KIQ786438 KSJ786438:KSM786438 LCF786438:LCI786438 LMB786438:LME786438 LVX786438:LWA786438 MFT786438:MFW786438 MPP786438:MPS786438 MZL786438:MZO786438 NJH786438:NJK786438 NTD786438:NTG786438 OCZ786438:ODC786438 OMV786438:OMY786438 OWR786438:OWU786438 PGN786438:PGQ786438 PQJ786438:PQM786438 QAF786438:QAI786438 QKB786438:QKE786438 QTX786438:QUA786438 RDT786438:RDW786438 RNP786438:RNS786438 RXL786438:RXO786438 SHH786438:SHK786438 SRD786438:SRG786438 TAZ786438:TBC786438 TKV786438:TKY786438 TUR786438:TUU786438 UEN786438:UEQ786438 UOJ786438:UOM786438 UYF786438:UYI786438 VIB786438:VIE786438 VRX786438:VSA786438 WBT786438:WBW786438 WLP786438:WLS786438 WVL786438:WVO786438 D851974:G851974 IZ851974:JC851974 SV851974:SY851974 ACR851974:ACU851974 AMN851974:AMQ851974 AWJ851974:AWM851974 BGF851974:BGI851974 BQB851974:BQE851974 BZX851974:CAA851974 CJT851974:CJW851974 CTP851974:CTS851974 DDL851974:DDO851974 DNH851974:DNK851974 DXD851974:DXG851974 EGZ851974:EHC851974 EQV851974:EQY851974 FAR851974:FAU851974 FKN851974:FKQ851974 FUJ851974:FUM851974 GEF851974:GEI851974 GOB851974:GOE851974 GXX851974:GYA851974 HHT851974:HHW851974 HRP851974:HRS851974 IBL851974:IBO851974 ILH851974:ILK851974 IVD851974:IVG851974 JEZ851974:JFC851974 JOV851974:JOY851974 JYR851974:JYU851974 KIN851974:KIQ851974 KSJ851974:KSM851974 LCF851974:LCI851974 LMB851974:LME851974 LVX851974:LWA851974 MFT851974:MFW851974 MPP851974:MPS851974 MZL851974:MZO851974 NJH851974:NJK851974 NTD851974:NTG851974 OCZ851974:ODC851974 OMV851974:OMY851974 OWR851974:OWU851974 PGN851974:PGQ851974 PQJ851974:PQM851974 QAF851974:QAI851974 QKB851974:QKE851974 QTX851974:QUA851974 RDT851974:RDW851974 RNP851974:RNS851974 RXL851974:RXO851974 SHH851974:SHK851974 SRD851974:SRG851974 TAZ851974:TBC851974 TKV851974:TKY851974 TUR851974:TUU851974 UEN851974:UEQ851974 UOJ851974:UOM851974 UYF851974:UYI851974 VIB851974:VIE851974 VRX851974:VSA851974 WBT851974:WBW851974 WLP851974:WLS851974 WVL851974:WVO851974 D917510:G917510 IZ917510:JC917510 SV917510:SY917510 ACR917510:ACU917510 AMN917510:AMQ917510 AWJ917510:AWM917510 BGF917510:BGI917510 BQB917510:BQE917510 BZX917510:CAA917510 CJT917510:CJW917510 CTP917510:CTS917510 DDL917510:DDO917510 DNH917510:DNK917510 DXD917510:DXG917510 EGZ917510:EHC917510 EQV917510:EQY917510 FAR917510:FAU917510 FKN917510:FKQ917510 FUJ917510:FUM917510 GEF917510:GEI917510 GOB917510:GOE917510 GXX917510:GYA917510 HHT917510:HHW917510 HRP917510:HRS917510 IBL917510:IBO917510 ILH917510:ILK917510 IVD917510:IVG917510 JEZ917510:JFC917510 JOV917510:JOY917510 JYR917510:JYU917510 KIN917510:KIQ917510 KSJ917510:KSM917510 LCF917510:LCI917510 LMB917510:LME917510 LVX917510:LWA917510 MFT917510:MFW917510 MPP917510:MPS917510 MZL917510:MZO917510 NJH917510:NJK917510 NTD917510:NTG917510 OCZ917510:ODC917510 OMV917510:OMY917510 OWR917510:OWU917510 PGN917510:PGQ917510 PQJ917510:PQM917510 QAF917510:QAI917510 QKB917510:QKE917510 QTX917510:QUA917510 RDT917510:RDW917510 RNP917510:RNS917510 RXL917510:RXO917510 SHH917510:SHK917510 SRD917510:SRG917510 TAZ917510:TBC917510 TKV917510:TKY917510 TUR917510:TUU917510 UEN917510:UEQ917510 UOJ917510:UOM917510 UYF917510:UYI917510 VIB917510:VIE917510 VRX917510:VSA917510 WBT917510:WBW917510 WLP917510:WLS917510 WVL917510:WVO917510 D983046:G983046 IZ983046:JC983046 SV983046:SY983046 ACR983046:ACU983046 AMN983046:AMQ983046 AWJ983046:AWM983046 BGF983046:BGI983046 BQB983046:BQE983046 BZX983046:CAA983046 CJT983046:CJW983046 CTP983046:CTS983046 DDL983046:DDO983046 DNH983046:DNK983046 DXD983046:DXG983046 EGZ983046:EHC983046 EQV983046:EQY983046 FAR983046:FAU983046 FKN983046:FKQ983046 FUJ983046:FUM983046 GEF983046:GEI983046 GOB983046:GOE983046 GXX983046:GYA983046 HHT983046:HHW983046 HRP983046:HRS983046 IBL983046:IBO983046 ILH983046:ILK983046 IVD983046:IVG983046 JEZ983046:JFC983046 JOV983046:JOY983046 JYR983046:JYU983046 KIN983046:KIQ983046 KSJ983046:KSM983046 LCF983046:LCI983046 LMB983046:LME983046 LVX983046:LWA983046 MFT983046:MFW983046 MPP983046:MPS983046 MZL983046:MZO983046 NJH983046:NJK983046 NTD983046:NTG983046 OCZ983046:ODC983046 OMV983046:OMY983046 OWR983046:OWU983046 PGN983046:PGQ983046 PQJ983046:PQM983046 QAF983046:QAI983046 QKB983046:QKE983046 QTX983046:QUA983046 RDT983046:RDW983046 RNP983046:RNS983046 RXL983046:RXO983046 SHH983046:SHK983046 SRD983046:SRG983046 TAZ983046:TBC983046 TKV983046:TKY983046 TUR983046:TUU983046 UEN983046:UEQ983046 UOJ983046:UOM983046 UYF983046:UYI983046 VIB983046:VIE983046 VRX983046:VSA983046 WBT983046:WBW983046 WLP983046:WLS983046 WVL983046:WVO983046">
      <formula1>Months</formula1>
    </dataValidation>
  </dataValidations>
  <pageMargins left="0.7" right="0.7" top="0.75" bottom="0.75" header="0.3" footer="0.3"/>
  <pageSetup paperSize="8" scale="31" fitToHeight="0"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84"/>
  <sheetViews>
    <sheetView zoomScale="75" zoomScaleNormal="75" zoomScaleSheetLayoutView="25" workbookViewId="0">
      <selection activeCell="AB17" sqref="AB17"/>
    </sheetView>
  </sheetViews>
  <sheetFormatPr defaultRowHeight="15" x14ac:dyDescent="0.2"/>
  <cols>
    <col min="1" max="3" width="11.42578125" style="246" customWidth="1"/>
    <col min="4" max="4" width="13.28515625" style="246" customWidth="1"/>
    <col min="5" max="9" width="11.42578125" style="246" customWidth="1"/>
    <col min="10" max="10" width="13.5703125" style="246" customWidth="1"/>
    <col min="11" max="256" width="11.42578125" style="246" customWidth="1"/>
    <col min="257" max="16384" width="9.140625" style="246"/>
  </cols>
  <sheetData>
    <row r="1" spans="1:28" ht="18" x14ac:dyDescent="0.2">
      <c r="A1" s="296" t="str">
        <f>Translations!E81</f>
        <v xml:space="preserve">Модульный подход — концептуальная записка </v>
      </c>
      <c r="B1" s="297"/>
      <c r="C1" s="297"/>
      <c r="D1" s="297"/>
      <c r="E1" s="297"/>
      <c r="F1" s="297"/>
      <c r="G1" s="297"/>
      <c r="H1" s="297"/>
      <c r="I1" s="297"/>
      <c r="J1" s="297"/>
      <c r="K1" s="297"/>
      <c r="L1" s="297"/>
      <c r="M1" s="297"/>
      <c r="N1" s="250"/>
      <c r="O1" s="257" t="str">
        <f>Translations!$E$80</f>
        <v>Язык:</v>
      </c>
      <c r="P1" s="609" t="s">
        <v>2498</v>
      </c>
      <c r="Q1" s="479"/>
      <c r="R1" s="479"/>
      <c r="S1" s="479"/>
      <c r="T1" s="480"/>
      <c r="U1" s="289"/>
      <c r="V1" s="290"/>
      <c r="W1" s="290"/>
      <c r="X1" s="290"/>
      <c r="Y1" s="290"/>
      <c r="Z1" s="298"/>
      <c r="AA1" s="255"/>
      <c r="AB1" s="255"/>
    </row>
    <row r="2" spans="1:28" ht="18" x14ac:dyDescent="0.2">
      <c r="A2" s="295" t="str">
        <f>Translations!$E$7</f>
        <v>A. Сведения о программе</v>
      </c>
      <c r="B2" s="324"/>
      <c r="C2" s="324"/>
      <c r="D2" s="324"/>
      <c r="E2" s="324"/>
      <c r="F2" s="324"/>
      <c r="G2" s="324"/>
      <c r="H2" s="324"/>
      <c r="I2" s="324"/>
      <c r="J2" s="324"/>
      <c r="K2" s="324"/>
      <c r="L2" s="324"/>
      <c r="M2" s="324"/>
      <c r="N2" s="327"/>
      <c r="O2" s="327"/>
      <c r="P2" s="327"/>
      <c r="Q2" s="327"/>
      <c r="R2" s="327"/>
      <c r="S2" s="327"/>
      <c r="T2" s="327"/>
      <c r="U2" s="302"/>
      <c r="V2" s="300"/>
      <c r="W2" s="300"/>
      <c r="X2" s="300"/>
      <c r="Y2" s="300"/>
      <c r="Z2" s="301"/>
      <c r="AA2" s="255"/>
      <c r="AB2" s="255"/>
    </row>
    <row r="3" spans="1:28" x14ac:dyDescent="0.2">
      <c r="A3" s="344" t="str">
        <f>Translations!$E$8</f>
        <v>Страна/ Кандидат:</v>
      </c>
      <c r="B3" s="345"/>
      <c r="C3" s="346"/>
      <c r="D3" s="357" t="str">
        <f>Translations!$E$72</f>
        <v>Выберите значение…</v>
      </c>
      <c r="E3" s="357"/>
      <c r="F3" s="357"/>
      <c r="G3" s="358"/>
      <c r="H3" s="359" t="str">
        <f>Translations!$E$13</f>
        <v>Основные реципиенты</v>
      </c>
      <c r="I3" s="360"/>
      <c r="J3" s="361"/>
      <c r="K3" s="481"/>
      <c r="L3" s="481"/>
      <c r="M3" s="481"/>
      <c r="N3" s="481"/>
      <c r="O3" s="481"/>
      <c r="P3" s="481"/>
      <c r="Q3" s="481"/>
      <c r="R3" s="481"/>
      <c r="S3" s="482" t="s">
        <v>2156</v>
      </c>
      <c r="T3" s="483"/>
      <c r="U3" s="359" t="e">
        <f>Translations!$E$77
                                                                                                                                                                                                                                                                запрашиваемого финансирования</f>
        <v>#NAME?</v>
      </c>
      <c r="V3" s="360"/>
      <c r="W3" s="360"/>
      <c r="X3" s="360"/>
      <c r="Y3" s="360"/>
      <c r="Z3" s="391"/>
      <c r="AA3" s="255"/>
      <c r="AB3" s="255"/>
    </row>
    <row r="4" spans="1:28" x14ac:dyDescent="0.2">
      <c r="A4" s="344" t="str">
        <f>Translations!$E$9</f>
        <v>Компонент:</v>
      </c>
      <c r="B4" s="345"/>
      <c r="C4" s="346"/>
      <c r="D4" s="347" t="str">
        <f>Translations!$E$72</f>
        <v>Выберите значение…</v>
      </c>
      <c r="E4" s="347"/>
      <c r="F4" s="347"/>
      <c r="G4" s="348"/>
      <c r="H4" s="362"/>
      <c r="I4" s="363"/>
      <c r="J4" s="364"/>
      <c r="K4" s="484"/>
      <c r="L4" s="484"/>
      <c r="M4" s="484"/>
      <c r="N4" s="484"/>
      <c r="O4" s="484"/>
      <c r="P4" s="484"/>
      <c r="Q4" s="484"/>
      <c r="R4" s="484"/>
      <c r="S4" s="494" t="s">
        <v>2156</v>
      </c>
      <c r="T4" s="495"/>
      <c r="U4" s="362"/>
      <c r="V4" s="363"/>
      <c r="W4" s="363"/>
      <c r="X4" s="363"/>
      <c r="Y4" s="363"/>
      <c r="Z4" s="410"/>
      <c r="AA4" s="255"/>
      <c r="AB4" s="255"/>
    </row>
    <row r="5" spans="1:28" x14ac:dyDescent="0.2">
      <c r="A5" s="344" t="str">
        <f>Translations!$E$10</f>
        <v>Год начала:</v>
      </c>
      <c r="B5" s="345"/>
      <c r="C5" s="346"/>
      <c r="D5" s="347" t="str">
        <f>Translations!$E$72</f>
        <v>Выберите значение…</v>
      </c>
      <c r="E5" s="347"/>
      <c r="F5" s="347"/>
      <c r="G5" s="348"/>
      <c r="H5" s="349" t="str">
        <f>Translations!$E$14</f>
        <v>(Выберите из списка или добавьте нового)</v>
      </c>
      <c r="I5" s="350"/>
      <c r="J5" s="351"/>
      <c r="K5" s="484"/>
      <c r="L5" s="484"/>
      <c r="M5" s="484"/>
      <c r="N5" s="484"/>
      <c r="O5" s="484"/>
      <c r="P5" s="484"/>
      <c r="Q5" s="484"/>
      <c r="R5" s="484"/>
      <c r="S5" s="494" t="s">
        <v>2156</v>
      </c>
      <c r="T5" s="495"/>
      <c r="U5" s="496" t="str">
        <f>Translations!$E$78</f>
        <v>Ориентировочное</v>
      </c>
      <c r="V5" s="497"/>
      <c r="W5" s="497"/>
      <c r="X5" s="497"/>
      <c r="Y5" s="498">
        <v>0</v>
      </c>
      <c r="Z5" s="499"/>
      <c r="AA5" s="255"/>
      <c r="AB5" s="255"/>
    </row>
    <row r="6" spans="1:28" x14ac:dyDescent="0.2">
      <c r="A6" s="344" t="str">
        <f>Translations!$E$11</f>
        <v>Месяц начала:</v>
      </c>
      <c r="B6" s="345"/>
      <c r="C6" s="346"/>
      <c r="D6" s="355" t="str">
        <f>Translations!$E$72</f>
        <v>Выберите значение…</v>
      </c>
      <c r="E6" s="355"/>
      <c r="F6" s="355"/>
      <c r="G6" s="356"/>
      <c r="H6" s="352"/>
      <c r="I6" s="353"/>
      <c r="J6" s="354"/>
      <c r="K6" s="484"/>
      <c r="L6" s="484"/>
      <c r="M6" s="484"/>
      <c r="N6" s="484"/>
      <c r="O6" s="484"/>
      <c r="P6" s="484"/>
      <c r="Q6" s="484"/>
      <c r="R6" s="484"/>
      <c r="S6" s="500" t="s">
        <v>2156</v>
      </c>
      <c r="T6" s="501"/>
      <c r="U6" s="502" t="str">
        <f>Translations!$E$79</f>
        <v>Свыше ориентировочного</v>
      </c>
      <c r="V6" s="503"/>
      <c r="W6" s="503"/>
      <c r="X6" s="503"/>
      <c r="Y6" s="504">
        <v>0</v>
      </c>
      <c r="Z6" s="505"/>
      <c r="AA6" s="255"/>
      <c r="AB6" s="255"/>
    </row>
    <row r="7" spans="1:28" x14ac:dyDescent="0.2">
      <c r="A7" s="365"/>
      <c r="B7" s="365"/>
      <c r="C7" s="365"/>
      <c r="D7" s="365"/>
      <c r="E7" s="365"/>
      <c r="F7" s="365"/>
      <c r="G7" s="365"/>
      <c r="H7" s="365"/>
      <c r="I7" s="365"/>
      <c r="J7" s="365"/>
      <c r="K7" s="365"/>
      <c r="L7" s="365"/>
      <c r="M7" s="365"/>
      <c r="N7" s="365"/>
      <c r="O7" s="365"/>
      <c r="P7" s="365"/>
      <c r="Q7" s="365"/>
      <c r="R7" s="365"/>
      <c r="S7" s="365"/>
      <c r="T7" s="365"/>
      <c r="U7" s="365"/>
      <c r="V7" s="365"/>
      <c r="W7" s="365"/>
      <c r="X7" s="365"/>
      <c r="Y7" s="365"/>
      <c r="Z7" s="299"/>
      <c r="AA7" s="255"/>
      <c r="AB7" s="255"/>
    </row>
    <row r="8" spans="1:28" ht="15.75" x14ac:dyDescent="0.2">
      <c r="A8" s="373" t="str">
        <f>Translations!$E$25</f>
        <v>B. Цели программы и показатели воздействия</v>
      </c>
      <c r="B8" s="374"/>
      <c r="C8" s="374"/>
      <c r="D8" s="374"/>
      <c r="E8" s="374"/>
      <c r="F8" s="374"/>
      <c r="G8" s="374"/>
      <c r="H8" s="374"/>
      <c r="I8" s="374"/>
      <c r="J8" s="374"/>
      <c r="K8" s="374"/>
      <c r="L8" s="374"/>
      <c r="M8" s="374"/>
      <c r="N8" s="374"/>
      <c r="O8" s="374"/>
      <c r="P8" s="374"/>
      <c r="Q8" s="374"/>
      <c r="R8" s="374"/>
      <c r="S8" s="374"/>
      <c r="T8" s="374"/>
      <c r="U8" s="374"/>
      <c r="V8" s="374"/>
      <c r="W8" s="374"/>
      <c r="X8" s="374"/>
      <c r="Y8" s="374"/>
      <c r="Z8" s="375"/>
      <c r="AA8" s="255"/>
      <c r="AB8" s="255"/>
    </row>
    <row r="9" spans="1:28" x14ac:dyDescent="0.2">
      <c r="A9" s="344" t="str">
        <f>Translations!$E$26</f>
        <v xml:space="preserve">  Цели:</v>
      </c>
      <c r="B9" s="345"/>
      <c r="C9" s="345"/>
      <c r="D9" s="345"/>
      <c r="E9" s="345"/>
      <c r="F9" s="345"/>
      <c r="G9" s="345"/>
      <c r="H9" s="345"/>
      <c r="I9" s="345"/>
      <c r="J9" s="345"/>
      <c r="K9" s="345"/>
      <c r="L9" s="345"/>
      <c r="M9" s="345"/>
      <c r="N9" s="345"/>
      <c r="O9" s="345"/>
      <c r="P9" s="345"/>
      <c r="Q9" s="345"/>
      <c r="R9" s="345"/>
      <c r="S9" s="345"/>
      <c r="T9" s="345"/>
      <c r="U9" s="345"/>
      <c r="V9" s="345"/>
      <c r="W9" s="345"/>
      <c r="X9" s="345"/>
      <c r="Y9" s="345"/>
      <c r="Z9" s="366"/>
      <c r="AA9" s="255"/>
      <c r="AB9" s="255"/>
    </row>
    <row r="10" spans="1:28" x14ac:dyDescent="0.2">
      <c r="A10" s="303">
        <v>1</v>
      </c>
      <c r="B10" s="376"/>
      <c r="C10" s="377"/>
      <c r="D10" s="377"/>
      <c r="E10" s="377"/>
      <c r="F10" s="377"/>
      <c r="G10" s="377"/>
      <c r="H10" s="377"/>
      <c r="I10" s="377"/>
      <c r="J10" s="377"/>
      <c r="K10" s="377"/>
      <c r="L10" s="377"/>
      <c r="M10" s="377"/>
      <c r="N10" s="377"/>
      <c r="O10" s="377"/>
      <c r="P10" s="377"/>
      <c r="Q10" s="377"/>
      <c r="R10" s="377"/>
      <c r="S10" s="377"/>
      <c r="T10" s="377"/>
      <c r="U10" s="377"/>
      <c r="V10" s="377"/>
      <c r="W10" s="377"/>
      <c r="X10" s="377"/>
      <c r="Y10" s="377"/>
      <c r="Z10" s="378"/>
      <c r="AA10" s="255"/>
      <c r="AB10" s="255"/>
    </row>
    <row r="11" spans="1:28" x14ac:dyDescent="0.2">
      <c r="A11" s="306">
        <v>2</v>
      </c>
      <c r="B11" s="367"/>
      <c r="C11" s="368"/>
      <c r="D11" s="368"/>
      <c r="E11" s="368"/>
      <c r="F11" s="368"/>
      <c r="G11" s="368"/>
      <c r="H11" s="368"/>
      <c r="I11" s="368"/>
      <c r="J11" s="368"/>
      <c r="K11" s="368"/>
      <c r="L11" s="368"/>
      <c r="M11" s="368"/>
      <c r="N11" s="368"/>
      <c r="O11" s="368"/>
      <c r="P11" s="368"/>
      <c r="Q11" s="368"/>
      <c r="R11" s="368"/>
      <c r="S11" s="368"/>
      <c r="T11" s="368"/>
      <c r="U11" s="368"/>
      <c r="V11" s="368"/>
      <c r="W11" s="368"/>
      <c r="X11" s="368"/>
      <c r="Y11" s="368"/>
      <c r="Z11" s="369"/>
      <c r="AA11" s="255"/>
      <c r="AB11" s="255"/>
    </row>
    <row r="12" spans="1:28" x14ac:dyDescent="0.2">
      <c r="A12" s="305">
        <v>3</v>
      </c>
      <c r="B12" s="370"/>
      <c r="C12" s="371"/>
      <c r="D12" s="371"/>
      <c r="E12" s="371"/>
      <c r="F12" s="371"/>
      <c r="G12" s="371"/>
      <c r="H12" s="371"/>
      <c r="I12" s="371"/>
      <c r="J12" s="371"/>
      <c r="K12" s="371"/>
      <c r="L12" s="371"/>
      <c r="M12" s="371"/>
      <c r="N12" s="371"/>
      <c r="O12" s="371"/>
      <c r="P12" s="371"/>
      <c r="Q12" s="371"/>
      <c r="R12" s="371"/>
      <c r="S12" s="371"/>
      <c r="T12" s="371"/>
      <c r="U12" s="371"/>
      <c r="V12" s="371"/>
      <c r="W12" s="371"/>
      <c r="X12" s="371"/>
      <c r="Y12" s="371"/>
      <c r="Z12" s="372"/>
      <c r="AA12" s="255"/>
      <c r="AB12" s="255"/>
    </row>
    <row r="13" spans="1:28" x14ac:dyDescent="0.2">
      <c r="A13" s="264"/>
      <c r="B13" s="264"/>
      <c r="C13" s="264"/>
      <c r="D13" s="264"/>
      <c r="E13" s="264"/>
      <c r="F13" s="264"/>
      <c r="G13" s="264"/>
      <c r="H13" s="264"/>
      <c r="I13" s="264"/>
      <c r="J13" s="264"/>
      <c r="K13" s="264"/>
      <c r="L13" s="264"/>
      <c r="M13" s="264"/>
      <c r="N13" s="264"/>
      <c r="O13" s="264"/>
      <c r="P13" s="264"/>
      <c r="Q13" s="264"/>
      <c r="R13" s="264"/>
      <c r="S13" s="264"/>
      <c r="T13" s="264"/>
      <c r="U13" s="264"/>
      <c r="V13" s="264"/>
      <c r="W13" s="264"/>
      <c r="X13" s="264"/>
      <c r="Y13" s="264"/>
      <c r="Z13" s="264"/>
      <c r="AA13" s="255"/>
      <c r="AB13" s="255"/>
    </row>
    <row r="14" spans="1:28" x14ac:dyDescent="0.2">
      <c r="A14" s="407" t="str">
        <f>Translations!$E$27</f>
        <v>Привязка к цели(ям) #</v>
      </c>
      <c r="B14" s="359" t="str">
        <f>Translations!$E$28</f>
        <v>Показатель воздействия</v>
      </c>
      <c r="C14" s="360"/>
      <c r="D14" s="360"/>
      <c r="E14" s="360"/>
      <c r="F14" s="360"/>
      <c r="G14" s="360"/>
      <c r="H14" s="391"/>
      <c r="I14" s="379" t="str">
        <f>Translations!$E$29</f>
        <v>Исходный уровень</v>
      </c>
      <c r="J14" s="380"/>
      <c r="K14" s="380"/>
      <c r="L14" s="380"/>
      <c r="M14" s="380"/>
      <c r="N14" s="381"/>
      <c r="O14" s="379" t="str">
        <f>Translations!$E$30</f>
        <v>Целевые показатели</v>
      </c>
      <c r="P14" s="380"/>
      <c r="Q14" s="380"/>
      <c r="R14" s="380"/>
      <c r="S14" s="380"/>
      <c r="T14" s="381"/>
      <c r="U14" s="382" t="str">
        <f>Translations!$E$73</f>
        <v>Комментарии и ориентировочные расчеты</v>
      </c>
      <c r="V14" s="383"/>
      <c r="W14" s="383"/>
      <c r="X14" s="383"/>
      <c r="Y14" s="383"/>
      <c r="Z14" s="384"/>
      <c r="AA14" s="255"/>
      <c r="AB14" s="255"/>
    </row>
    <row r="15" spans="1:28" x14ac:dyDescent="0.2">
      <c r="A15" s="408"/>
      <c r="B15" s="362"/>
      <c r="C15" s="363"/>
      <c r="D15" s="363"/>
      <c r="E15" s="363"/>
      <c r="F15" s="363"/>
      <c r="G15" s="363"/>
      <c r="H15" s="410"/>
      <c r="I15" s="359" t="str">
        <f>Translations!$E$31</f>
        <v>Величина</v>
      </c>
      <c r="J15" s="391"/>
      <c r="K15" s="394" t="str">
        <f>Translations!$E$32</f>
        <v xml:space="preserve">Год </v>
      </c>
      <c r="L15" s="359" t="str">
        <f>Translations!$E$33</f>
        <v>Источник</v>
      </c>
      <c r="M15" s="360"/>
      <c r="N15" s="391"/>
      <c r="O15" s="379" t="str">
        <f>Translations!$E$34</f>
        <v>Год 1</v>
      </c>
      <c r="P15" s="381"/>
      <c r="Q15" s="379" t="str">
        <f>Translations!$E$35</f>
        <v>Год 2</v>
      </c>
      <c r="R15" s="381"/>
      <c r="S15" s="379" t="str">
        <f>Translations!$E$36</f>
        <v>Год 3</v>
      </c>
      <c r="T15" s="381"/>
      <c r="U15" s="385"/>
      <c r="V15" s="386"/>
      <c r="W15" s="386"/>
      <c r="X15" s="386"/>
      <c r="Y15" s="386"/>
      <c r="Z15" s="387"/>
      <c r="AA15" s="255"/>
      <c r="AB15" s="255"/>
    </row>
    <row r="16" spans="1:28" x14ac:dyDescent="0.2">
      <c r="A16" s="409"/>
      <c r="B16" s="392"/>
      <c r="C16" s="396"/>
      <c r="D16" s="396"/>
      <c r="E16" s="396"/>
      <c r="F16" s="396"/>
      <c r="G16" s="396"/>
      <c r="H16" s="393"/>
      <c r="I16" s="392"/>
      <c r="J16" s="393"/>
      <c r="K16" s="395"/>
      <c r="L16" s="392"/>
      <c r="M16" s="396"/>
      <c r="N16" s="393"/>
      <c r="O16" s="397" t="str">
        <f ca="1">IFERROR(IF(MonthIndex&lt;7,StartYearSelected,StartYearSelected+1),"")</f>
        <v>Please select…</v>
      </c>
      <c r="P16" s="398"/>
      <c r="Q16" s="397" t="str">
        <f ca="1">IFERROR(O16+1,"")</f>
        <v/>
      </c>
      <c r="R16" s="398"/>
      <c r="S16" s="397" t="str">
        <f ca="1">IFERROR(Q16+1,"")</f>
        <v/>
      </c>
      <c r="T16" s="398"/>
      <c r="U16" s="388"/>
      <c r="V16" s="389"/>
      <c r="W16" s="389"/>
      <c r="X16" s="389"/>
      <c r="Y16" s="389"/>
      <c r="Z16" s="390"/>
      <c r="AA16" s="255"/>
      <c r="AB16" s="255"/>
    </row>
    <row r="17" spans="1:28" ht="30" customHeight="1" x14ac:dyDescent="0.2">
      <c r="A17" s="247"/>
      <c r="B17" s="402" t="str">
        <f>Translations!$E$72</f>
        <v>Выберите значение…</v>
      </c>
      <c r="C17" s="357"/>
      <c r="D17" s="357"/>
      <c r="E17" s="357"/>
      <c r="F17" s="357"/>
      <c r="G17" s="357"/>
      <c r="H17" s="403"/>
      <c r="I17" s="399"/>
      <c r="J17" s="400"/>
      <c r="K17" s="281"/>
      <c r="L17" s="404" t="str">
        <f>Translations!$E$72</f>
        <v>Выберите значение…</v>
      </c>
      <c r="M17" s="405"/>
      <c r="N17" s="406"/>
      <c r="O17" s="399"/>
      <c r="P17" s="400"/>
      <c r="Q17" s="399"/>
      <c r="R17" s="400"/>
      <c r="S17" s="399"/>
      <c r="T17" s="401"/>
      <c r="U17" s="258"/>
      <c r="V17" s="259"/>
      <c r="W17" s="259"/>
      <c r="X17" s="259"/>
      <c r="Y17" s="259"/>
      <c r="Z17" s="260"/>
      <c r="AA17" s="255"/>
      <c r="AB17" s="255"/>
    </row>
    <row r="18" spans="1:28" ht="30" customHeight="1" x14ac:dyDescent="0.2">
      <c r="A18" s="251"/>
      <c r="B18" s="411" t="str">
        <f>Translations!$E$72</f>
        <v>Выберите значение…</v>
      </c>
      <c r="C18" s="347"/>
      <c r="D18" s="347"/>
      <c r="E18" s="347"/>
      <c r="F18" s="347"/>
      <c r="G18" s="347"/>
      <c r="H18" s="412"/>
      <c r="I18" s="413"/>
      <c r="J18" s="414"/>
      <c r="K18" s="277"/>
      <c r="L18" s="415" t="str">
        <f>Translations!$E$72</f>
        <v>Выберите значение…</v>
      </c>
      <c r="M18" s="416"/>
      <c r="N18" s="417"/>
      <c r="O18" s="413"/>
      <c r="P18" s="414"/>
      <c r="Q18" s="413"/>
      <c r="R18" s="414"/>
      <c r="S18" s="413"/>
      <c r="T18" s="418"/>
      <c r="U18" s="258"/>
      <c r="V18" s="259"/>
      <c r="W18" s="259"/>
      <c r="X18" s="259"/>
      <c r="Y18" s="259"/>
      <c r="Z18" s="260"/>
      <c r="AA18" s="255"/>
      <c r="AB18" s="255"/>
    </row>
    <row r="19" spans="1:28" ht="30" customHeight="1" x14ac:dyDescent="0.2">
      <c r="A19" s="252"/>
      <c r="B19" s="411" t="str">
        <f>Translations!$E$72</f>
        <v>Выберите значение…</v>
      </c>
      <c r="C19" s="347"/>
      <c r="D19" s="347"/>
      <c r="E19" s="347"/>
      <c r="F19" s="347"/>
      <c r="G19" s="347"/>
      <c r="H19" s="412"/>
      <c r="I19" s="413"/>
      <c r="J19" s="414"/>
      <c r="K19" s="277"/>
      <c r="L19" s="415" t="str">
        <f>Translations!$E$72</f>
        <v>Выберите значение…</v>
      </c>
      <c r="M19" s="416"/>
      <c r="N19" s="417"/>
      <c r="O19" s="413"/>
      <c r="P19" s="414"/>
      <c r="Q19" s="413"/>
      <c r="R19" s="414"/>
      <c r="S19" s="413"/>
      <c r="T19" s="418"/>
      <c r="U19" s="258"/>
      <c r="V19" s="259"/>
      <c r="W19" s="259"/>
      <c r="X19" s="259"/>
      <c r="Y19" s="259"/>
      <c r="Z19" s="260"/>
      <c r="AA19" s="255"/>
      <c r="AB19" s="255"/>
    </row>
    <row r="20" spans="1:28" ht="30" customHeight="1" x14ac:dyDescent="0.2">
      <c r="A20" s="252"/>
      <c r="B20" s="411" t="str">
        <f>Translations!$E$72</f>
        <v>Выберите значение…</v>
      </c>
      <c r="C20" s="347"/>
      <c r="D20" s="347"/>
      <c r="E20" s="347"/>
      <c r="F20" s="347"/>
      <c r="G20" s="347"/>
      <c r="H20" s="412"/>
      <c r="I20" s="413"/>
      <c r="J20" s="414"/>
      <c r="K20" s="277"/>
      <c r="L20" s="415" t="str">
        <f>Translations!$E$72</f>
        <v>Выберите значение…</v>
      </c>
      <c r="M20" s="416"/>
      <c r="N20" s="417"/>
      <c r="O20" s="413"/>
      <c r="P20" s="414"/>
      <c r="Q20" s="413"/>
      <c r="R20" s="414"/>
      <c r="S20" s="413"/>
      <c r="T20" s="418"/>
      <c r="U20" s="258"/>
      <c r="V20" s="259"/>
      <c r="W20" s="259"/>
      <c r="X20" s="259"/>
      <c r="Y20" s="259"/>
      <c r="Z20" s="260"/>
      <c r="AA20" s="255"/>
      <c r="AB20" s="255"/>
    </row>
    <row r="21" spans="1:28" ht="30" customHeight="1" x14ac:dyDescent="0.2">
      <c r="A21" s="254"/>
      <c r="B21" s="506" t="str">
        <f>Translations!$E$72</f>
        <v>Выберите значение…</v>
      </c>
      <c r="C21" s="355"/>
      <c r="D21" s="355"/>
      <c r="E21" s="355"/>
      <c r="F21" s="355"/>
      <c r="G21" s="355"/>
      <c r="H21" s="507"/>
      <c r="I21" s="429"/>
      <c r="J21" s="430"/>
      <c r="K21" s="278"/>
      <c r="L21" s="431" t="str">
        <f>Translations!$E$72</f>
        <v>Выберите значение…</v>
      </c>
      <c r="M21" s="432"/>
      <c r="N21" s="433"/>
      <c r="O21" s="429"/>
      <c r="P21" s="430"/>
      <c r="Q21" s="429"/>
      <c r="R21" s="430"/>
      <c r="S21" s="429"/>
      <c r="T21" s="434"/>
      <c r="U21" s="258"/>
      <c r="V21" s="259"/>
      <c r="W21" s="259"/>
      <c r="X21" s="259"/>
      <c r="Y21" s="259"/>
      <c r="Z21" s="260"/>
      <c r="AA21" s="255"/>
      <c r="AB21" s="255"/>
    </row>
    <row r="22" spans="1:28" x14ac:dyDescent="0.2">
      <c r="A22" s="265"/>
      <c r="B22" s="265"/>
      <c r="C22" s="265"/>
      <c r="D22" s="265"/>
      <c r="E22" s="265"/>
      <c r="F22" s="265"/>
      <c r="G22" s="265"/>
      <c r="H22" s="265"/>
      <c r="I22" s="265"/>
      <c r="J22" s="265"/>
      <c r="K22" s="265"/>
      <c r="L22" s="265"/>
      <c r="M22" s="265"/>
      <c r="N22" s="265"/>
      <c r="O22" s="265"/>
      <c r="P22" s="265"/>
      <c r="Q22" s="265"/>
      <c r="R22" s="265"/>
      <c r="S22" s="265"/>
      <c r="T22" s="265"/>
      <c r="U22" s="265"/>
      <c r="V22" s="265"/>
      <c r="W22" s="265"/>
      <c r="X22" s="265"/>
      <c r="Y22" s="265"/>
      <c r="Z22" s="265"/>
      <c r="AA22" s="255"/>
      <c r="AB22" s="255"/>
    </row>
    <row r="23" spans="1:28" ht="15.75" x14ac:dyDescent="0.2">
      <c r="A23" s="373" t="str">
        <f>Translations!$E$41</f>
        <v>C. Задачи программы и показатели долгосрочных результатов</v>
      </c>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5"/>
      <c r="AA23" s="255"/>
      <c r="AB23" s="255"/>
    </row>
    <row r="24" spans="1:28" x14ac:dyDescent="0.2">
      <c r="A24" s="344" t="str">
        <f>Translations!$E$42</f>
        <v xml:space="preserve">     Задачи:</v>
      </c>
      <c r="B24" s="345"/>
      <c r="C24" s="345"/>
      <c r="D24" s="345"/>
      <c r="E24" s="345"/>
      <c r="F24" s="345"/>
      <c r="G24" s="345"/>
      <c r="H24" s="345"/>
      <c r="I24" s="345"/>
      <c r="J24" s="345"/>
      <c r="K24" s="345"/>
      <c r="L24" s="345"/>
      <c r="M24" s="345"/>
      <c r="N24" s="345"/>
      <c r="O24" s="345"/>
      <c r="P24" s="345"/>
      <c r="Q24" s="345"/>
      <c r="R24" s="345"/>
      <c r="S24" s="345"/>
      <c r="T24" s="345"/>
      <c r="U24" s="345"/>
      <c r="V24" s="345"/>
      <c r="W24" s="345"/>
      <c r="X24" s="345"/>
      <c r="Y24" s="345"/>
      <c r="Z24" s="366"/>
      <c r="AA24" s="255"/>
      <c r="AB24" s="255"/>
    </row>
    <row r="25" spans="1:28" ht="30" customHeight="1" x14ac:dyDescent="0.2">
      <c r="A25" s="303">
        <v>1</v>
      </c>
      <c r="B25" s="376"/>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8"/>
      <c r="AA25" s="255"/>
      <c r="AB25" s="255"/>
    </row>
    <row r="26" spans="1:28" ht="30" customHeight="1" x14ac:dyDescent="0.2">
      <c r="A26" s="304">
        <v>2</v>
      </c>
      <c r="B26" s="367"/>
      <c r="C26" s="368"/>
      <c r="D26" s="368"/>
      <c r="E26" s="368"/>
      <c r="F26" s="368"/>
      <c r="G26" s="368"/>
      <c r="H26" s="368"/>
      <c r="I26" s="368"/>
      <c r="J26" s="368"/>
      <c r="K26" s="368"/>
      <c r="L26" s="368"/>
      <c r="M26" s="368"/>
      <c r="N26" s="368"/>
      <c r="O26" s="368"/>
      <c r="P26" s="368"/>
      <c r="Q26" s="368"/>
      <c r="R26" s="368"/>
      <c r="S26" s="368"/>
      <c r="T26" s="368"/>
      <c r="U26" s="368"/>
      <c r="V26" s="368"/>
      <c r="W26" s="368"/>
      <c r="X26" s="368"/>
      <c r="Y26" s="368"/>
      <c r="Z26" s="369"/>
      <c r="AA26" s="255"/>
      <c r="AB26" s="255"/>
    </row>
    <row r="27" spans="1:28" ht="30" customHeight="1" x14ac:dyDescent="0.2">
      <c r="A27" s="304">
        <v>3</v>
      </c>
      <c r="B27" s="367"/>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9"/>
      <c r="AA27" s="255"/>
      <c r="AB27" s="255"/>
    </row>
    <row r="28" spans="1:28" ht="30" customHeight="1" x14ac:dyDescent="0.2">
      <c r="A28" s="304">
        <v>4</v>
      </c>
      <c r="B28" s="367"/>
      <c r="C28" s="368"/>
      <c r="D28" s="368"/>
      <c r="E28" s="368"/>
      <c r="F28" s="368"/>
      <c r="G28" s="368"/>
      <c r="H28" s="368"/>
      <c r="I28" s="368"/>
      <c r="J28" s="368"/>
      <c r="K28" s="368"/>
      <c r="L28" s="368"/>
      <c r="M28" s="368"/>
      <c r="N28" s="368"/>
      <c r="O28" s="368"/>
      <c r="P28" s="368"/>
      <c r="Q28" s="368"/>
      <c r="R28" s="368"/>
      <c r="S28" s="368"/>
      <c r="T28" s="368"/>
      <c r="U28" s="368"/>
      <c r="V28" s="368"/>
      <c r="W28" s="368"/>
      <c r="X28" s="368"/>
      <c r="Y28" s="368"/>
      <c r="Z28" s="369"/>
      <c r="AA28" s="255"/>
      <c r="AB28" s="255"/>
    </row>
    <row r="29" spans="1:28" ht="30" customHeight="1" x14ac:dyDescent="0.2">
      <c r="A29" s="304">
        <v>5</v>
      </c>
      <c r="B29" s="367"/>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9"/>
      <c r="AA29" s="255"/>
      <c r="AB29" s="255"/>
    </row>
    <row r="30" spans="1:28" ht="30" customHeight="1" x14ac:dyDescent="0.2">
      <c r="A30" s="305">
        <v>6</v>
      </c>
      <c r="B30" s="370"/>
      <c r="C30" s="371"/>
      <c r="D30" s="371"/>
      <c r="E30" s="371"/>
      <c r="F30" s="371"/>
      <c r="G30" s="371"/>
      <c r="H30" s="371"/>
      <c r="I30" s="371"/>
      <c r="J30" s="371"/>
      <c r="K30" s="371"/>
      <c r="L30" s="371"/>
      <c r="M30" s="371"/>
      <c r="N30" s="371"/>
      <c r="O30" s="371"/>
      <c r="P30" s="371"/>
      <c r="Q30" s="371"/>
      <c r="R30" s="371"/>
      <c r="S30" s="371"/>
      <c r="T30" s="371"/>
      <c r="U30" s="371"/>
      <c r="V30" s="371"/>
      <c r="W30" s="371"/>
      <c r="X30" s="371"/>
      <c r="Y30" s="371"/>
      <c r="Z30" s="372"/>
      <c r="AA30" s="255"/>
      <c r="AB30" s="255"/>
    </row>
    <row r="31" spans="1:28"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82"/>
    </row>
    <row r="32" spans="1:28" x14ac:dyDescent="0.2">
      <c r="A32" s="407" t="str">
        <f>Translations!$E$43</f>
        <v xml:space="preserve">Привязка к задаче(задачам) # </v>
      </c>
      <c r="B32" s="359" t="str">
        <f>Translations!E44</f>
        <v>Показатель долгосрочного результата</v>
      </c>
      <c r="C32" s="360"/>
      <c r="D32" s="360"/>
      <c r="E32" s="360"/>
      <c r="F32" s="360"/>
      <c r="G32" s="360"/>
      <c r="H32" s="391"/>
      <c r="I32" s="379" t="str">
        <f>Translations!$E$29</f>
        <v>Исходный уровень</v>
      </c>
      <c r="J32" s="380"/>
      <c r="K32" s="380"/>
      <c r="L32" s="380"/>
      <c r="M32" s="380"/>
      <c r="N32" s="381"/>
      <c r="O32" s="379" t="str">
        <f>Translations!$E$30</f>
        <v>Целевые показатели</v>
      </c>
      <c r="P32" s="380"/>
      <c r="Q32" s="380"/>
      <c r="R32" s="380"/>
      <c r="S32" s="380"/>
      <c r="T32" s="381"/>
      <c r="U32" s="382" t="str">
        <f>Translations!$E$73</f>
        <v>Комментарии и ориентировочные расчеты</v>
      </c>
      <c r="V32" s="383"/>
      <c r="W32" s="383"/>
      <c r="X32" s="383"/>
      <c r="Y32" s="383"/>
      <c r="Z32" s="384"/>
      <c r="AA32" s="292"/>
      <c r="AB32" s="328"/>
    </row>
    <row r="33" spans="1:28" x14ac:dyDescent="0.2">
      <c r="A33" s="408"/>
      <c r="B33" s="362"/>
      <c r="C33" s="363"/>
      <c r="D33" s="363"/>
      <c r="E33" s="363"/>
      <c r="F33" s="363"/>
      <c r="G33" s="363"/>
      <c r="H33" s="410"/>
      <c r="I33" s="359" t="str">
        <f>Translations!$E$31</f>
        <v>Величина</v>
      </c>
      <c r="J33" s="391"/>
      <c r="K33" s="394" t="str">
        <f>Translations!$E$32</f>
        <v xml:space="preserve">Год </v>
      </c>
      <c r="L33" s="359" t="str">
        <f>Translations!$E$33</f>
        <v>Источник</v>
      </c>
      <c r="M33" s="360"/>
      <c r="N33" s="391"/>
      <c r="O33" s="379" t="str">
        <f>Translations!$E$34</f>
        <v>Год 1</v>
      </c>
      <c r="P33" s="381"/>
      <c r="Q33" s="379" t="str">
        <f>Translations!$E$35</f>
        <v>Год 2</v>
      </c>
      <c r="R33" s="381"/>
      <c r="S33" s="379" t="str">
        <f>Translations!$E$36</f>
        <v>Год 3</v>
      </c>
      <c r="T33" s="381"/>
      <c r="U33" s="385"/>
      <c r="V33" s="386"/>
      <c r="W33" s="386"/>
      <c r="X33" s="386"/>
      <c r="Y33" s="386"/>
      <c r="Z33" s="387"/>
      <c r="AA33" s="292"/>
      <c r="AB33" s="328"/>
    </row>
    <row r="34" spans="1:28" x14ac:dyDescent="0.2">
      <c r="A34" s="409"/>
      <c r="B34" s="392"/>
      <c r="C34" s="396"/>
      <c r="D34" s="396"/>
      <c r="E34" s="396"/>
      <c r="F34" s="396"/>
      <c r="G34" s="396"/>
      <c r="H34" s="393"/>
      <c r="I34" s="392"/>
      <c r="J34" s="393"/>
      <c r="K34" s="395"/>
      <c r="L34" s="392"/>
      <c r="M34" s="396"/>
      <c r="N34" s="393"/>
      <c r="O34" s="397" t="str">
        <f ca="1">O16</f>
        <v>Please select…</v>
      </c>
      <c r="P34" s="398"/>
      <c r="Q34" s="397" t="str">
        <f ca="1">Q16</f>
        <v/>
      </c>
      <c r="R34" s="398"/>
      <c r="S34" s="397" t="str">
        <f ca="1">S16</f>
        <v/>
      </c>
      <c r="T34" s="398"/>
      <c r="U34" s="388"/>
      <c r="V34" s="389"/>
      <c r="W34" s="389"/>
      <c r="X34" s="389"/>
      <c r="Y34" s="389"/>
      <c r="Z34" s="390"/>
      <c r="AA34" s="292"/>
      <c r="AB34" s="328"/>
    </row>
    <row r="35" spans="1:28" ht="30" customHeight="1" x14ac:dyDescent="0.2">
      <c r="A35" s="247"/>
      <c r="B35" s="402" t="str">
        <f>Translations!$E$72</f>
        <v>Выберите значение…</v>
      </c>
      <c r="C35" s="357"/>
      <c r="D35" s="357"/>
      <c r="E35" s="357"/>
      <c r="F35" s="357"/>
      <c r="G35" s="357"/>
      <c r="H35" s="403"/>
      <c r="I35" s="399"/>
      <c r="J35" s="400"/>
      <c r="K35" s="281"/>
      <c r="L35" s="404" t="str">
        <f>Translations!$E$72</f>
        <v>Выберите значение…</v>
      </c>
      <c r="M35" s="405"/>
      <c r="N35" s="406"/>
      <c r="O35" s="399"/>
      <c r="P35" s="400"/>
      <c r="Q35" s="399"/>
      <c r="R35" s="400"/>
      <c r="S35" s="399"/>
      <c r="T35" s="401"/>
      <c r="U35" s="266"/>
      <c r="V35" s="267"/>
      <c r="W35" s="267"/>
      <c r="X35" s="267"/>
      <c r="Y35" s="267"/>
      <c r="Z35" s="268"/>
      <c r="AA35" s="293"/>
      <c r="AB35" s="329"/>
    </row>
    <row r="36" spans="1:28" ht="30" customHeight="1" x14ac:dyDescent="0.2">
      <c r="A36" s="251"/>
      <c r="B36" s="423" t="str">
        <f>Translations!$E$72</f>
        <v>Выберите значение…</v>
      </c>
      <c r="C36" s="424"/>
      <c r="D36" s="424"/>
      <c r="E36" s="424"/>
      <c r="F36" s="424"/>
      <c r="G36" s="424"/>
      <c r="H36" s="425"/>
      <c r="I36" s="413"/>
      <c r="J36" s="414"/>
      <c r="K36" s="277"/>
      <c r="L36" s="415" t="str">
        <f>Translations!$E$72</f>
        <v>Выберите значение…</v>
      </c>
      <c r="M36" s="416"/>
      <c r="N36" s="417"/>
      <c r="O36" s="413"/>
      <c r="P36" s="414"/>
      <c r="Q36" s="413"/>
      <c r="R36" s="414"/>
      <c r="S36" s="413"/>
      <c r="T36" s="418"/>
      <c r="U36" s="269"/>
      <c r="V36" s="270"/>
      <c r="W36" s="270"/>
      <c r="X36" s="270"/>
      <c r="Y36" s="270"/>
      <c r="Z36" s="271"/>
      <c r="AA36" s="293"/>
      <c r="AB36" s="329"/>
    </row>
    <row r="37" spans="1:28" ht="30" customHeight="1" x14ac:dyDescent="0.2">
      <c r="A37" s="252"/>
      <c r="B37" s="423" t="str">
        <f>Translations!$E$72</f>
        <v>Выберите значение…</v>
      </c>
      <c r="C37" s="424"/>
      <c r="D37" s="424"/>
      <c r="E37" s="424"/>
      <c r="F37" s="424"/>
      <c r="G37" s="424"/>
      <c r="H37" s="425"/>
      <c r="I37" s="413"/>
      <c r="J37" s="414"/>
      <c r="K37" s="277"/>
      <c r="L37" s="415" t="str">
        <f>Translations!$E$72</f>
        <v>Выберите значение…</v>
      </c>
      <c r="M37" s="416"/>
      <c r="N37" s="417"/>
      <c r="O37" s="413"/>
      <c r="P37" s="414"/>
      <c r="Q37" s="413"/>
      <c r="R37" s="414"/>
      <c r="S37" s="413"/>
      <c r="T37" s="418"/>
      <c r="U37" s="269"/>
      <c r="V37" s="270"/>
      <c r="W37" s="270"/>
      <c r="X37" s="270"/>
      <c r="Y37" s="270"/>
      <c r="Z37" s="271"/>
      <c r="AA37" s="293"/>
      <c r="AB37" s="329"/>
    </row>
    <row r="38" spans="1:28" ht="30" customHeight="1" x14ac:dyDescent="0.2">
      <c r="A38" s="252"/>
      <c r="B38" s="423" t="str">
        <f>Translations!$E$72</f>
        <v>Выберите значение…</v>
      </c>
      <c r="C38" s="424"/>
      <c r="D38" s="424"/>
      <c r="E38" s="424"/>
      <c r="F38" s="424"/>
      <c r="G38" s="424"/>
      <c r="H38" s="425"/>
      <c r="I38" s="413"/>
      <c r="J38" s="414"/>
      <c r="K38" s="277"/>
      <c r="L38" s="415" t="str">
        <f>Translations!$E$72</f>
        <v>Выберите значение…</v>
      </c>
      <c r="M38" s="416"/>
      <c r="N38" s="417"/>
      <c r="O38" s="413"/>
      <c r="P38" s="414"/>
      <c r="Q38" s="413"/>
      <c r="R38" s="414"/>
      <c r="S38" s="413"/>
      <c r="T38" s="418"/>
      <c r="U38" s="269"/>
      <c r="V38" s="270"/>
      <c r="W38" s="270"/>
      <c r="X38" s="270"/>
      <c r="Y38" s="270"/>
      <c r="Z38" s="271"/>
      <c r="AA38" s="293"/>
      <c r="AB38" s="329"/>
    </row>
    <row r="39" spans="1:28" ht="30" customHeight="1" x14ac:dyDescent="0.2">
      <c r="A39" s="254"/>
      <c r="B39" s="426" t="str">
        <f>Translations!$E$72</f>
        <v>Выберите значение…</v>
      </c>
      <c r="C39" s="427"/>
      <c r="D39" s="427"/>
      <c r="E39" s="427"/>
      <c r="F39" s="427"/>
      <c r="G39" s="427"/>
      <c r="H39" s="428"/>
      <c r="I39" s="429"/>
      <c r="J39" s="430"/>
      <c r="K39" s="278"/>
      <c r="L39" s="431" t="str">
        <f>Translations!$E$72</f>
        <v>Выберите значение…</v>
      </c>
      <c r="M39" s="432"/>
      <c r="N39" s="433"/>
      <c r="O39" s="429"/>
      <c r="P39" s="430"/>
      <c r="Q39" s="429"/>
      <c r="R39" s="430"/>
      <c r="S39" s="429"/>
      <c r="T39" s="434"/>
      <c r="U39" s="272"/>
      <c r="V39" s="273"/>
      <c r="W39" s="273"/>
      <c r="X39" s="273"/>
      <c r="Y39" s="273"/>
      <c r="Z39" s="274"/>
      <c r="AA39" s="293"/>
      <c r="AB39" s="329"/>
    </row>
    <row r="40" spans="1:28" x14ac:dyDescent="0.2">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spans="1:28" ht="15.75" x14ac:dyDescent="0.2">
      <c r="A41" s="435" t="str">
        <f>Translations!$E$74</f>
        <v>D. Модули</v>
      </c>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7"/>
    </row>
    <row r="42" spans="1:28" ht="15.75" x14ac:dyDescent="0.2">
      <c r="A42" s="261"/>
      <c r="B42" s="262"/>
      <c r="C42" s="262"/>
      <c r="D42" s="262"/>
      <c r="E42" s="262"/>
      <c r="F42" s="262"/>
      <c r="G42" s="262"/>
      <c r="H42" s="262"/>
      <c r="I42" s="262"/>
      <c r="J42" s="262"/>
      <c r="K42" s="262"/>
      <c r="L42" s="262"/>
      <c r="M42" s="262"/>
      <c r="N42" s="262"/>
      <c r="O42" s="262"/>
      <c r="P42" s="263"/>
      <c r="Q42" s="263"/>
      <c r="R42" s="263"/>
      <c r="S42" s="263"/>
      <c r="T42" s="263"/>
      <c r="U42" s="263"/>
      <c r="V42" s="263"/>
      <c r="W42" s="263"/>
      <c r="X42" s="263"/>
      <c r="Y42" s="263"/>
      <c r="Z42" s="256"/>
      <c r="AA42" s="256"/>
      <c r="AB42" s="256"/>
    </row>
    <row r="43" spans="1:28" ht="15.75" x14ac:dyDescent="0.2">
      <c r="A43" s="438" t="str">
        <f>Translations!$E$75</f>
        <v>Модуль</v>
      </c>
      <c r="B43" s="439"/>
      <c r="C43" s="314">
        <v>1</v>
      </c>
      <c r="D43" s="440" t="str">
        <f>Translations!$E$72</f>
        <v>Выберите значение…</v>
      </c>
      <c r="E43" s="440"/>
      <c r="F43" s="440"/>
      <c r="G43" s="440"/>
      <c r="H43" s="440"/>
      <c r="I43" s="440"/>
      <c r="J43" s="440"/>
      <c r="K43" s="326"/>
      <c r="L43" s="327"/>
      <c r="M43" s="327"/>
      <c r="N43" s="327"/>
      <c r="O43" s="327"/>
      <c r="P43" s="327"/>
      <c r="Q43" s="327"/>
      <c r="R43" s="327"/>
      <c r="S43" s="327"/>
      <c r="T43" s="327"/>
      <c r="U43" s="327"/>
      <c r="V43" s="327"/>
      <c r="W43" s="327"/>
      <c r="X43" s="327"/>
      <c r="Y43" s="327"/>
      <c r="Z43" s="327"/>
      <c r="AA43" s="327"/>
      <c r="AB43" s="249"/>
    </row>
    <row r="44" spans="1:28" ht="15.75" x14ac:dyDescent="0.2">
      <c r="A44" s="295" t="str">
        <f>Translations!$E$76</f>
        <v>Система показателей для модуля</v>
      </c>
      <c r="B44" s="309"/>
      <c r="C44" s="309"/>
      <c r="D44" s="309"/>
      <c r="E44" s="309"/>
      <c r="F44" s="309"/>
      <c r="G44" s="283"/>
      <c r="H44" s="283"/>
      <c r="I44" s="283"/>
      <c r="J44" s="283"/>
      <c r="K44" s="283"/>
      <c r="L44" s="283"/>
      <c r="M44" s="283"/>
      <c r="N44" s="283"/>
      <c r="O44" s="283"/>
      <c r="P44" s="283"/>
      <c r="Q44" s="283"/>
      <c r="R44" s="419"/>
      <c r="S44" s="419"/>
      <c r="T44" s="419"/>
      <c r="U44" s="419"/>
      <c r="V44" s="419"/>
      <c r="W44" s="419"/>
      <c r="X44" s="419"/>
      <c r="Y44" s="419"/>
      <c r="Z44" s="419"/>
      <c r="AA44" s="419"/>
      <c r="AB44" s="420"/>
    </row>
    <row r="45" spans="1:28" x14ac:dyDescent="0.2">
      <c r="A45" s="360" t="str">
        <f>Translations!$E$49</f>
        <v>Показатель долгосрочного охвата/ результата</v>
      </c>
      <c r="B45" s="360"/>
      <c r="C45" s="391"/>
      <c r="D45" s="606" t="str">
        <f>Translations!$E$67</f>
        <v>Ответственный основной реципиент (реципиенты)</v>
      </c>
      <c r="E45" s="359" t="str">
        <f>Translations!$E$66</f>
        <v>Привязывается к</v>
      </c>
      <c r="F45" s="391"/>
      <c r="G45" s="359" t="str">
        <f>Translations!$E$29</f>
        <v>Исходный уровень</v>
      </c>
      <c r="H45" s="360"/>
      <c r="I45" s="360"/>
      <c r="J45" s="391"/>
      <c r="K45" s="359"/>
      <c r="L45" s="360"/>
      <c r="M45" s="379" t="str">
        <f>Translations!$E$30</f>
        <v>Целевые показатели</v>
      </c>
      <c r="N45" s="380"/>
      <c r="O45" s="380"/>
      <c r="P45" s="380"/>
      <c r="Q45" s="380"/>
      <c r="R45" s="381"/>
      <c r="S45" s="510" t="str">
        <f>Translations!$E$82</f>
        <v>Целевые предпосылки</v>
      </c>
      <c r="T45" s="511"/>
      <c r="U45" s="511"/>
      <c r="V45" s="511"/>
      <c r="W45" s="511"/>
      <c r="X45" s="511"/>
      <c r="Y45" s="511"/>
      <c r="Z45" s="511"/>
      <c r="AA45" s="511"/>
      <c r="AB45" s="512"/>
    </row>
    <row r="46" spans="1:28" x14ac:dyDescent="0.2">
      <c r="A46" s="363"/>
      <c r="B46" s="363"/>
      <c r="C46" s="410"/>
      <c r="D46" s="607"/>
      <c r="E46" s="362"/>
      <c r="F46" s="410"/>
      <c r="G46" s="392"/>
      <c r="H46" s="396"/>
      <c r="I46" s="396"/>
      <c r="J46" s="393"/>
      <c r="K46" s="362"/>
      <c r="L46" s="363"/>
      <c r="M46" s="379" t="str">
        <f>Translations!$E$34</f>
        <v>Год 1</v>
      </c>
      <c r="N46" s="381"/>
      <c r="O46" s="379" t="str">
        <f>Translations!$E$35</f>
        <v>Год 2</v>
      </c>
      <c r="P46" s="381"/>
      <c r="Q46" s="379" t="str">
        <f>Translations!$E$36</f>
        <v>Год 3</v>
      </c>
      <c r="R46" s="381"/>
      <c r="S46" s="513" t="str">
        <f>Translations!$E$83</f>
        <v>Укажите: 1) общие предположения, использованные при расчете целевых показателей; 2) предположительный уровень расширения охвата; 3) показатели численности населения, 4) описание показателей/ пакета услуг; 5) источники данных; 6) другую необходимую информацию.</v>
      </c>
      <c r="T46" s="514"/>
      <c r="U46" s="514"/>
      <c r="V46" s="514"/>
      <c r="W46" s="514"/>
      <c r="X46" s="514"/>
      <c r="Y46" s="514"/>
      <c r="Z46" s="514"/>
      <c r="AA46" s="514"/>
      <c r="AB46" s="515"/>
    </row>
    <row r="47" spans="1:28" x14ac:dyDescent="0.2">
      <c r="A47" s="363"/>
      <c r="B47" s="363"/>
      <c r="C47" s="410"/>
      <c r="D47" s="607"/>
      <c r="E47" s="362"/>
      <c r="F47" s="410"/>
      <c r="G47" s="323" t="s">
        <v>2499</v>
      </c>
      <c r="H47" s="394" t="s">
        <v>14</v>
      </c>
      <c r="I47" s="394" t="str">
        <f>Translations!$E$32</f>
        <v xml:space="preserve">Год </v>
      </c>
      <c r="J47" s="394" t="str">
        <f>Translations!$E$33</f>
        <v>Источник</v>
      </c>
      <c r="K47" s="362"/>
      <c r="L47" s="421"/>
      <c r="M47" s="307" t="s">
        <v>2499</v>
      </c>
      <c r="N47" s="508" t="s">
        <v>14</v>
      </c>
      <c r="O47" s="307" t="s">
        <v>2499</v>
      </c>
      <c r="P47" s="508" t="s">
        <v>14</v>
      </c>
      <c r="Q47" s="307" t="s">
        <v>2499</v>
      </c>
      <c r="R47" s="508" t="s">
        <v>14</v>
      </c>
      <c r="S47" s="513"/>
      <c r="T47" s="514"/>
      <c r="U47" s="514"/>
      <c r="V47" s="514"/>
      <c r="W47" s="514"/>
      <c r="X47" s="514"/>
      <c r="Y47" s="514"/>
      <c r="Z47" s="514"/>
      <c r="AA47" s="514"/>
      <c r="AB47" s="515"/>
    </row>
    <row r="48" spans="1:28" x14ac:dyDescent="0.2">
      <c r="A48" s="396"/>
      <c r="B48" s="396"/>
      <c r="C48" s="393"/>
      <c r="D48" s="608"/>
      <c r="E48" s="392"/>
      <c r="F48" s="393"/>
      <c r="G48" s="319" t="s">
        <v>2500</v>
      </c>
      <c r="H48" s="395"/>
      <c r="I48" s="395"/>
      <c r="J48" s="395"/>
      <c r="K48" s="392"/>
      <c r="L48" s="422"/>
      <c r="M48" s="308" t="s">
        <v>2500</v>
      </c>
      <c r="N48" s="509"/>
      <c r="O48" s="308" t="s">
        <v>2500</v>
      </c>
      <c r="P48" s="509"/>
      <c r="Q48" s="308" t="s">
        <v>2500</v>
      </c>
      <c r="R48" s="509"/>
      <c r="S48" s="516"/>
      <c r="T48" s="517"/>
      <c r="U48" s="517"/>
      <c r="V48" s="517"/>
      <c r="W48" s="517"/>
      <c r="X48" s="517"/>
      <c r="Y48" s="517"/>
      <c r="Z48" s="517"/>
      <c r="AA48" s="517"/>
      <c r="AB48" s="518"/>
    </row>
    <row r="49" spans="1:28" x14ac:dyDescent="0.2">
      <c r="A49" s="521"/>
      <c r="B49" s="522"/>
      <c r="C49" s="523"/>
      <c r="D49" s="530" t="str">
        <f>Translations!$E$72</f>
        <v>Выберите значение…</v>
      </c>
      <c r="E49" s="533" t="str">
        <f>Translations!$E$72</f>
        <v>Выберите значение…</v>
      </c>
      <c r="F49" s="534"/>
      <c r="G49" s="539"/>
      <c r="H49" s="519" t="str">
        <f>IF($G51&lt;&gt;"",$G49/$G51,"")</f>
        <v/>
      </c>
      <c r="I49" s="542"/>
      <c r="J49" s="545" t="str">
        <f>Translations!$E$72</f>
        <v>Выберите значение…</v>
      </c>
      <c r="K49" s="548" t="str">
        <f>Translations!$E$78</f>
        <v>Ориентировочное</v>
      </c>
      <c r="L49" s="549"/>
      <c r="M49" s="315"/>
      <c r="N49" s="519" t="str">
        <f>IF(M50&lt;&gt;"",M49/M50,"")</f>
        <v/>
      </c>
      <c r="O49" s="317"/>
      <c r="P49" s="519" t="str">
        <f>IF(O50&lt;&gt;"",O49/O50,"")</f>
        <v/>
      </c>
      <c r="Q49" s="317"/>
      <c r="R49" s="519" t="str">
        <f>IF(Q50&lt;&gt;"",Q49/Q50,"")</f>
        <v/>
      </c>
      <c r="S49" s="485"/>
      <c r="T49" s="486"/>
      <c r="U49" s="486"/>
      <c r="V49" s="486"/>
      <c r="W49" s="486"/>
      <c r="X49" s="486"/>
      <c r="Y49" s="486"/>
      <c r="Z49" s="486"/>
      <c r="AA49" s="486"/>
      <c r="AB49" s="487"/>
    </row>
    <row r="50" spans="1:28" x14ac:dyDescent="0.2">
      <c r="A50" s="524"/>
      <c r="B50" s="525"/>
      <c r="C50" s="526"/>
      <c r="D50" s="531"/>
      <c r="E50" s="535"/>
      <c r="F50" s="536"/>
      <c r="G50" s="540"/>
      <c r="H50" s="541"/>
      <c r="I50" s="543"/>
      <c r="J50" s="546"/>
      <c r="K50" s="550"/>
      <c r="L50" s="551"/>
      <c r="M50" s="316"/>
      <c r="N50" s="520"/>
      <c r="O50" s="318"/>
      <c r="P50" s="520"/>
      <c r="Q50" s="318"/>
      <c r="R50" s="520"/>
      <c r="S50" s="488"/>
      <c r="T50" s="489"/>
      <c r="U50" s="489"/>
      <c r="V50" s="489"/>
      <c r="W50" s="489"/>
      <c r="X50" s="489"/>
      <c r="Y50" s="489"/>
      <c r="Z50" s="489"/>
      <c r="AA50" s="489"/>
      <c r="AB50" s="490"/>
    </row>
    <row r="51" spans="1:28" x14ac:dyDescent="0.2">
      <c r="A51" s="524"/>
      <c r="B51" s="525"/>
      <c r="C51" s="526"/>
      <c r="D51" s="531"/>
      <c r="E51" s="535"/>
      <c r="F51" s="536"/>
      <c r="G51" s="539"/>
      <c r="H51" s="541"/>
      <c r="I51" s="543"/>
      <c r="J51" s="546"/>
      <c r="K51" s="552" t="str">
        <f>Translations!$E$79</f>
        <v>Свыше ориентировочного</v>
      </c>
      <c r="L51" s="553"/>
      <c r="M51" s="315"/>
      <c r="N51" s="519" t="str">
        <f>IF(M52&lt;&gt;"",M51/M52,"")</f>
        <v/>
      </c>
      <c r="O51" s="317"/>
      <c r="P51" s="519" t="str">
        <f>IF(O52&lt;&gt;"",O51/O52,"")</f>
        <v/>
      </c>
      <c r="Q51" s="317"/>
      <c r="R51" s="519" t="str">
        <f>IF(Q52&lt;&gt;"",Q51/Q52,"")</f>
        <v/>
      </c>
      <c r="S51" s="488"/>
      <c r="T51" s="489"/>
      <c r="U51" s="489"/>
      <c r="V51" s="489"/>
      <c r="W51" s="489"/>
      <c r="X51" s="489"/>
      <c r="Y51" s="489"/>
      <c r="Z51" s="489"/>
      <c r="AA51" s="489"/>
      <c r="AB51" s="490"/>
    </row>
    <row r="52" spans="1:28" x14ac:dyDescent="0.2">
      <c r="A52" s="527"/>
      <c r="B52" s="528"/>
      <c r="C52" s="529"/>
      <c r="D52" s="532"/>
      <c r="E52" s="537"/>
      <c r="F52" s="538"/>
      <c r="G52" s="540"/>
      <c r="H52" s="520"/>
      <c r="I52" s="544"/>
      <c r="J52" s="547"/>
      <c r="K52" s="554"/>
      <c r="L52" s="555"/>
      <c r="M52" s="316"/>
      <c r="N52" s="520"/>
      <c r="O52" s="318"/>
      <c r="P52" s="520"/>
      <c r="Q52" s="318"/>
      <c r="R52" s="520"/>
      <c r="S52" s="491"/>
      <c r="T52" s="492"/>
      <c r="U52" s="492"/>
      <c r="V52" s="492"/>
      <c r="W52" s="492"/>
      <c r="X52" s="492"/>
      <c r="Y52" s="492"/>
      <c r="Z52" s="492"/>
      <c r="AA52" s="492"/>
      <c r="AB52" s="493"/>
    </row>
    <row r="53" spans="1:28" x14ac:dyDescent="0.2">
      <c r="A53" s="521"/>
      <c r="B53" s="522"/>
      <c r="C53" s="523"/>
      <c r="D53" s="530" t="str">
        <f>Translations!$E$72</f>
        <v>Выберите значение…</v>
      </c>
      <c r="E53" s="533" t="str">
        <f>Translations!$E$72</f>
        <v>Выберите значение…</v>
      </c>
      <c r="F53" s="534"/>
      <c r="G53" s="539"/>
      <c r="H53" s="519" t="str">
        <f>IF($G55&lt;&gt;"",$G53/$G55,"")</f>
        <v/>
      </c>
      <c r="I53" s="542"/>
      <c r="J53" s="545" t="str">
        <f>Translations!$E$72</f>
        <v>Выберите значение…</v>
      </c>
      <c r="K53" s="548" t="str">
        <f>Translations!$E$78</f>
        <v>Ориентировочное</v>
      </c>
      <c r="L53" s="549"/>
      <c r="M53" s="315"/>
      <c r="N53" s="519" t="str">
        <f>IF(M54&lt;&gt;"",M53/M54,"")</f>
        <v/>
      </c>
      <c r="O53" s="317"/>
      <c r="P53" s="519" t="str">
        <f>IF(O54&lt;&gt;"",O53/O54,"")</f>
        <v/>
      </c>
      <c r="Q53" s="317"/>
      <c r="R53" s="519" t="str">
        <f>IF(Q54&lt;&gt;"",Q53/Q54,"")</f>
        <v/>
      </c>
      <c r="S53" s="485"/>
      <c r="T53" s="486"/>
      <c r="U53" s="486"/>
      <c r="V53" s="486"/>
      <c r="W53" s="486"/>
      <c r="X53" s="486"/>
      <c r="Y53" s="486"/>
      <c r="Z53" s="486"/>
      <c r="AA53" s="486"/>
      <c r="AB53" s="487"/>
    </row>
    <row r="54" spans="1:28" x14ac:dyDescent="0.2">
      <c r="A54" s="524"/>
      <c r="B54" s="525"/>
      <c r="C54" s="526"/>
      <c r="D54" s="531"/>
      <c r="E54" s="535"/>
      <c r="F54" s="536"/>
      <c r="G54" s="540"/>
      <c r="H54" s="541"/>
      <c r="I54" s="543"/>
      <c r="J54" s="546"/>
      <c r="K54" s="550"/>
      <c r="L54" s="551"/>
      <c r="M54" s="316"/>
      <c r="N54" s="520"/>
      <c r="O54" s="318"/>
      <c r="P54" s="520"/>
      <c r="Q54" s="318"/>
      <c r="R54" s="520"/>
      <c r="S54" s="488"/>
      <c r="T54" s="489"/>
      <c r="U54" s="489"/>
      <c r="V54" s="489"/>
      <c r="W54" s="489"/>
      <c r="X54" s="489"/>
      <c r="Y54" s="489"/>
      <c r="Z54" s="489"/>
      <c r="AA54" s="489"/>
      <c r="AB54" s="490"/>
    </row>
    <row r="55" spans="1:28" x14ac:dyDescent="0.2">
      <c r="A55" s="524"/>
      <c r="B55" s="525"/>
      <c r="C55" s="526"/>
      <c r="D55" s="531"/>
      <c r="E55" s="535"/>
      <c r="F55" s="536"/>
      <c r="G55" s="539"/>
      <c r="H55" s="541"/>
      <c r="I55" s="543"/>
      <c r="J55" s="546"/>
      <c r="K55" s="552" t="str">
        <f>Translations!$E$79</f>
        <v>Свыше ориентировочного</v>
      </c>
      <c r="L55" s="553"/>
      <c r="M55" s="315"/>
      <c r="N55" s="519" t="str">
        <f>IF(M56&lt;&gt;"",M55/M56,"")</f>
        <v/>
      </c>
      <c r="O55" s="317"/>
      <c r="P55" s="519" t="str">
        <f>IF(O56&lt;&gt;"",O55/O56,"")</f>
        <v/>
      </c>
      <c r="Q55" s="317"/>
      <c r="R55" s="519" t="str">
        <f>IF(Q56&lt;&gt;"",Q55/Q56,"")</f>
        <v/>
      </c>
      <c r="S55" s="488"/>
      <c r="T55" s="489"/>
      <c r="U55" s="489"/>
      <c r="V55" s="489"/>
      <c r="W55" s="489"/>
      <c r="X55" s="489"/>
      <c r="Y55" s="489"/>
      <c r="Z55" s="489"/>
      <c r="AA55" s="489"/>
      <c r="AB55" s="490"/>
    </row>
    <row r="56" spans="1:28" x14ac:dyDescent="0.2">
      <c r="A56" s="527"/>
      <c r="B56" s="528"/>
      <c r="C56" s="529"/>
      <c r="D56" s="532"/>
      <c r="E56" s="537"/>
      <c r="F56" s="538"/>
      <c r="G56" s="540"/>
      <c r="H56" s="520"/>
      <c r="I56" s="544"/>
      <c r="J56" s="547"/>
      <c r="K56" s="554"/>
      <c r="L56" s="555"/>
      <c r="M56" s="316"/>
      <c r="N56" s="520"/>
      <c r="O56" s="318"/>
      <c r="P56" s="520"/>
      <c r="Q56" s="318"/>
      <c r="R56" s="520"/>
      <c r="S56" s="491"/>
      <c r="T56" s="492"/>
      <c r="U56" s="492"/>
      <c r="V56" s="492"/>
      <c r="W56" s="492"/>
      <c r="X56" s="492"/>
      <c r="Y56" s="492"/>
      <c r="Z56" s="492"/>
      <c r="AA56" s="492"/>
      <c r="AB56" s="493"/>
    </row>
    <row r="57" spans="1:28" x14ac:dyDescent="0.2">
      <c r="A57" s="521"/>
      <c r="B57" s="522"/>
      <c r="C57" s="523"/>
      <c r="D57" s="530" t="str">
        <f>Translations!$E$72</f>
        <v>Выберите значение…</v>
      </c>
      <c r="E57" s="533" t="str">
        <f>Translations!$E$72</f>
        <v>Выберите значение…</v>
      </c>
      <c r="F57" s="534"/>
      <c r="G57" s="539"/>
      <c r="H57" s="519" t="str">
        <f>IF($G59&lt;&gt;"",$G57/$G59,"")</f>
        <v/>
      </c>
      <c r="I57" s="542"/>
      <c r="J57" s="545" t="str">
        <f>Translations!$E$72</f>
        <v>Выберите значение…</v>
      </c>
      <c r="K57" s="548" t="str">
        <f>Translations!$E$78</f>
        <v>Ориентировочное</v>
      </c>
      <c r="L57" s="549"/>
      <c r="M57" s="315"/>
      <c r="N57" s="519" t="str">
        <f>IF(M58&lt;&gt;"",M57/M58,"")</f>
        <v/>
      </c>
      <c r="O57" s="317"/>
      <c r="P57" s="519" t="str">
        <f>IF(O58&lt;&gt;"",O57/O58,"")</f>
        <v/>
      </c>
      <c r="Q57" s="317"/>
      <c r="R57" s="519" t="str">
        <f>IF(Q58&lt;&gt;"",Q57/Q58,"")</f>
        <v/>
      </c>
      <c r="S57" s="485"/>
      <c r="T57" s="486"/>
      <c r="U57" s="486"/>
      <c r="V57" s="486"/>
      <c r="W57" s="486"/>
      <c r="X57" s="486"/>
      <c r="Y57" s="486"/>
      <c r="Z57" s="486"/>
      <c r="AA57" s="486"/>
      <c r="AB57" s="487"/>
    </row>
    <row r="58" spans="1:28" x14ac:dyDescent="0.2">
      <c r="A58" s="524"/>
      <c r="B58" s="525"/>
      <c r="C58" s="526"/>
      <c r="D58" s="531"/>
      <c r="E58" s="535"/>
      <c r="F58" s="536"/>
      <c r="G58" s="540"/>
      <c r="H58" s="541"/>
      <c r="I58" s="543"/>
      <c r="J58" s="546"/>
      <c r="K58" s="550"/>
      <c r="L58" s="551"/>
      <c r="M58" s="316"/>
      <c r="N58" s="520"/>
      <c r="O58" s="318"/>
      <c r="P58" s="520"/>
      <c r="Q58" s="318"/>
      <c r="R58" s="520"/>
      <c r="S58" s="488"/>
      <c r="T58" s="489"/>
      <c r="U58" s="489"/>
      <c r="V58" s="489"/>
      <c r="W58" s="489"/>
      <c r="X58" s="489"/>
      <c r="Y58" s="489"/>
      <c r="Z58" s="489"/>
      <c r="AA58" s="489"/>
      <c r="AB58" s="490"/>
    </row>
    <row r="59" spans="1:28" x14ac:dyDescent="0.2">
      <c r="A59" s="524"/>
      <c r="B59" s="525"/>
      <c r="C59" s="526"/>
      <c r="D59" s="531"/>
      <c r="E59" s="535"/>
      <c r="F59" s="536"/>
      <c r="G59" s="539"/>
      <c r="H59" s="541"/>
      <c r="I59" s="543"/>
      <c r="J59" s="546"/>
      <c r="K59" s="552" t="str">
        <f>Translations!$E$79</f>
        <v>Свыше ориентировочного</v>
      </c>
      <c r="L59" s="553"/>
      <c r="M59" s="315"/>
      <c r="N59" s="519" t="str">
        <f>IF(M60&lt;&gt;"",M59/M60,"")</f>
        <v/>
      </c>
      <c r="O59" s="317"/>
      <c r="P59" s="519" t="str">
        <f>IF(O60&lt;&gt;"",O59/O60,"")</f>
        <v/>
      </c>
      <c r="Q59" s="317"/>
      <c r="R59" s="519" t="str">
        <f>IF(Q60&lt;&gt;"",Q59/Q60,"")</f>
        <v/>
      </c>
      <c r="S59" s="488"/>
      <c r="T59" s="489"/>
      <c r="U59" s="489"/>
      <c r="V59" s="489"/>
      <c r="W59" s="489"/>
      <c r="X59" s="489"/>
      <c r="Y59" s="489"/>
      <c r="Z59" s="489"/>
      <c r="AA59" s="489"/>
      <c r="AB59" s="490"/>
    </row>
    <row r="60" spans="1:28" x14ac:dyDescent="0.2">
      <c r="A60" s="527"/>
      <c r="B60" s="528"/>
      <c r="C60" s="529"/>
      <c r="D60" s="532"/>
      <c r="E60" s="537"/>
      <c r="F60" s="538"/>
      <c r="G60" s="540"/>
      <c r="H60" s="520"/>
      <c r="I60" s="544"/>
      <c r="J60" s="547"/>
      <c r="K60" s="554"/>
      <c r="L60" s="555"/>
      <c r="M60" s="316"/>
      <c r="N60" s="520"/>
      <c r="O60" s="318"/>
      <c r="P60" s="520"/>
      <c r="Q60" s="318"/>
      <c r="R60" s="520"/>
      <c r="S60" s="491"/>
      <c r="T60" s="492"/>
      <c r="U60" s="492"/>
      <c r="V60" s="492"/>
      <c r="W60" s="492"/>
      <c r="X60" s="492"/>
      <c r="Y60" s="492"/>
      <c r="Z60" s="492"/>
      <c r="AA60" s="492"/>
      <c r="AB60" s="493"/>
    </row>
    <row r="61" spans="1:28" ht="15.75" x14ac:dyDescent="0.2">
      <c r="A61" s="295" t="str">
        <f>Translations!$E$87</f>
        <v>Бюджет модуля</v>
      </c>
      <c r="B61" s="324"/>
      <c r="C61" s="324"/>
      <c r="D61" s="324"/>
      <c r="E61" s="324"/>
      <c r="F61" s="324"/>
      <c r="G61" s="324"/>
      <c r="H61" s="324"/>
      <c r="I61" s="324"/>
      <c r="J61" s="324"/>
      <c r="K61" s="324"/>
      <c r="L61" s="324"/>
      <c r="M61" s="324"/>
      <c r="N61" s="324"/>
      <c r="O61" s="324"/>
      <c r="P61" s="324"/>
      <c r="Q61" s="324"/>
      <c r="R61" s="324"/>
      <c r="S61" s="324"/>
      <c r="T61" s="324"/>
      <c r="U61" s="324"/>
      <c r="V61" s="324"/>
      <c r="W61" s="324"/>
      <c r="X61" s="324"/>
      <c r="Y61" s="324"/>
      <c r="Z61" s="324"/>
      <c r="AA61" s="324"/>
      <c r="AB61" s="325"/>
    </row>
    <row r="62" spans="1:28" x14ac:dyDescent="0.2">
      <c r="A62" s="560" t="str">
        <f>Translations!$E$84</f>
        <v>Ориентировочное финансирование для всего модуля</v>
      </c>
      <c r="B62" s="561"/>
      <c r="C62" s="561"/>
      <c r="D62" s="561"/>
      <c r="E62" s="562"/>
      <c r="F62" s="313">
        <v>0</v>
      </c>
      <c r="G62" s="322"/>
      <c r="H62" s="322"/>
      <c r="I62" s="310"/>
      <c r="J62" s="563" t="str">
        <f>Translations!$E$85</f>
        <v>Объем финансирования сверх ориентировочного уровня для всего модуля</v>
      </c>
      <c r="K62" s="564"/>
      <c r="L62" s="564"/>
      <c r="M62" s="564"/>
      <c r="N62" s="564"/>
      <c r="O62" s="564"/>
      <c r="P62" s="564"/>
      <c r="Q62" s="565">
        <v>0</v>
      </c>
      <c r="R62" s="566"/>
      <c r="S62" s="567"/>
      <c r="T62" s="567"/>
      <c r="U62" s="567"/>
      <c r="V62" s="310"/>
      <c r="W62" s="310"/>
      <c r="X62" s="310"/>
      <c r="Y62" s="310"/>
      <c r="Z62" s="310"/>
      <c r="AA62" s="310"/>
      <c r="AB62" s="311"/>
    </row>
    <row r="63" spans="1:28" x14ac:dyDescent="0.2">
      <c r="A63" s="359" t="str">
        <f>Translations!$E$86</f>
        <v>Мероприятие</v>
      </c>
      <c r="B63" s="360"/>
      <c r="C63" s="391"/>
      <c r="D63" s="568" t="str">
        <f>Translations!$E$88</f>
        <v>Описание мероприятия</v>
      </c>
      <c r="E63" s="569"/>
      <c r="F63" s="569"/>
      <c r="G63" s="569"/>
      <c r="H63" s="569"/>
      <c r="I63" s="570"/>
      <c r="J63" s="394" t="str">
        <f>Translations!$E$67</f>
        <v>Ответственный основной реципиент (реципиенты)</v>
      </c>
      <c r="K63" s="359" t="str">
        <f>Translations!$E$90</f>
        <v>Бюджет мероприятия (только для запросов в Глобальный фонд)</v>
      </c>
      <c r="L63" s="360"/>
      <c r="M63" s="360"/>
      <c r="N63" s="360"/>
      <c r="O63" s="360"/>
      <c r="P63" s="360"/>
      <c r="Q63" s="360"/>
      <c r="R63" s="391"/>
      <c r="S63" s="568" t="str">
        <f>Translations!$E$91</f>
        <v>Предполагаемые затраты, для финансирования которых подается запрос в Глобальный фонд</v>
      </c>
      <c r="T63" s="569"/>
      <c r="U63" s="569"/>
      <c r="V63" s="569"/>
      <c r="W63" s="569"/>
      <c r="X63" s="569"/>
      <c r="Y63" s="570"/>
      <c r="Z63" s="596" t="str">
        <f>Translations!$E$93</f>
        <v>Другое финансирование, полученное для реализации данного мероприятия (включая охват финансируемыми видами деятельности)</v>
      </c>
      <c r="AA63" s="596"/>
      <c r="AB63" s="596"/>
    </row>
    <row r="64" spans="1:28" ht="40.5" customHeight="1" x14ac:dyDescent="0.2">
      <c r="A64" s="392"/>
      <c r="B64" s="396"/>
      <c r="C64" s="393"/>
      <c r="D64" s="557" t="str">
        <f>Translations!$E$89</f>
        <v>Укажите: 1) обоснование запроса на предоставление поддержки Глобальным фондом; 2) связь с национальным стратегическим планом; 3) целевую группу населения и географический охват; 4) подход к реализации; 5) другую необходимую информацию. Разграничьте охват запроса на ориентировочное финансирование и запроса на финансирование сверх ориентировочного уровня.</v>
      </c>
      <c r="E64" s="558"/>
      <c r="F64" s="558"/>
      <c r="G64" s="558"/>
      <c r="H64" s="558"/>
      <c r="I64" s="559"/>
      <c r="J64" s="395"/>
      <c r="K64" s="320"/>
      <c r="L64" s="321"/>
      <c r="M64" s="379" t="str">
        <f>Translations!$E$34</f>
        <v>Год 1</v>
      </c>
      <c r="N64" s="381"/>
      <c r="O64" s="596" t="str">
        <f>Translations!$E$35</f>
        <v>Год 2</v>
      </c>
      <c r="P64" s="596"/>
      <c r="Q64" s="596" t="str">
        <f>Translations!$E$36</f>
        <v>Год 3</v>
      </c>
      <c r="R64" s="596"/>
      <c r="S64" s="557" t="str">
        <f>Translations!$E$92</f>
        <v>Укажите: 1) примерное число услуг, которые предполагается профинансировать; 2) предполагаемые затраты и источники данных; 3) основные виды деятельности; 4) другую необходимую информацию. Разграничьте ориентировочное финансирование и финансирование сверх ориентировочного уровня.</v>
      </c>
      <c r="T64" s="558"/>
      <c r="U64" s="558"/>
      <c r="V64" s="558"/>
      <c r="W64" s="558"/>
      <c r="X64" s="558"/>
      <c r="Y64" s="559"/>
      <c r="Z64" s="596"/>
      <c r="AA64" s="596"/>
      <c r="AB64" s="596"/>
    </row>
    <row r="65" spans="1:28" x14ac:dyDescent="0.2">
      <c r="A65" s="459" t="s">
        <v>0</v>
      </c>
      <c r="B65" s="460"/>
      <c r="C65" s="461"/>
      <c r="D65" s="571"/>
      <c r="E65" s="572"/>
      <c r="F65" s="572"/>
      <c r="G65" s="572"/>
      <c r="H65" s="572"/>
      <c r="I65" s="573"/>
      <c r="J65" s="580"/>
      <c r="K65" s="452" t="str">
        <f>Translations!$E$78</f>
        <v>Ориентировочное</v>
      </c>
      <c r="L65" s="453"/>
      <c r="M65" s="454"/>
      <c r="N65" s="455"/>
      <c r="O65" s="456"/>
      <c r="P65" s="457"/>
      <c r="Q65" s="456"/>
      <c r="R65" s="457"/>
      <c r="S65" s="588"/>
      <c r="T65" s="588"/>
      <c r="U65" s="588"/>
      <c r="V65" s="588"/>
      <c r="W65" s="588"/>
      <c r="X65" s="588"/>
      <c r="Y65" s="588"/>
      <c r="Z65" s="460"/>
      <c r="AA65" s="460"/>
      <c r="AB65" s="461"/>
    </row>
    <row r="66" spans="1:28" x14ac:dyDescent="0.2">
      <c r="A66" s="473"/>
      <c r="B66" s="474"/>
      <c r="C66" s="475"/>
      <c r="D66" s="574"/>
      <c r="E66" s="575"/>
      <c r="F66" s="575"/>
      <c r="G66" s="575"/>
      <c r="H66" s="575"/>
      <c r="I66" s="576"/>
      <c r="J66" s="581"/>
      <c r="K66" s="465" t="str">
        <f>Translations!$E$79</f>
        <v>Свыше ориентировочного</v>
      </c>
      <c r="L66" s="466"/>
      <c r="M66" s="467"/>
      <c r="N66" s="468"/>
      <c r="O66" s="469"/>
      <c r="P66" s="470"/>
      <c r="Q66" s="471"/>
      <c r="R66" s="472"/>
      <c r="S66" s="588"/>
      <c r="T66" s="588"/>
      <c r="U66" s="588"/>
      <c r="V66" s="588"/>
      <c r="W66" s="588"/>
      <c r="X66" s="588"/>
      <c r="Y66" s="588"/>
      <c r="Z66" s="463"/>
      <c r="AA66" s="463"/>
      <c r="AB66" s="464"/>
    </row>
    <row r="67" spans="1:28" ht="15" customHeight="1" x14ac:dyDescent="0.2">
      <c r="A67" s="473"/>
      <c r="B67" s="474"/>
      <c r="C67" s="475"/>
      <c r="D67" s="574"/>
      <c r="E67" s="575"/>
      <c r="F67" s="575"/>
      <c r="G67" s="575"/>
      <c r="H67" s="575"/>
      <c r="I67" s="576"/>
      <c r="J67" s="476"/>
      <c r="K67" s="452" t="str">
        <f>Translations!$E$78</f>
        <v>Ориентировочное</v>
      </c>
      <c r="L67" s="453"/>
      <c r="M67" s="454"/>
      <c r="N67" s="455"/>
      <c r="O67" s="456"/>
      <c r="P67" s="457"/>
      <c r="Q67" s="456"/>
      <c r="R67" s="457"/>
      <c r="S67" s="588"/>
      <c r="T67" s="588"/>
      <c r="U67" s="588"/>
      <c r="V67" s="588"/>
      <c r="W67" s="588"/>
      <c r="X67" s="588"/>
      <c r="Y67" s="588"/>
      <c r="Z67" s="459"/>
      <c r="AA67" s="460"/>
      <c r="AB67" s="461"/>
    </row>
    <row r="68" spans="1:28" ht="15" customHeight="1" x14ac:dyDescent="0.2">
      <c r="A68" s="462"/>
      <c r="B68" s="463"/>
      <c r="C68" s="464"/>
      <c r="D68" s="577"/>
      <c r="E68" s="578"/>
      <c r="F68" s="578"/>
      <c r="G68" s="578"/>
      <c r="H68" s="578"/>
      <c r="I68" s="579"/>
      <c r="J68" s="477"/>
      <c r="K68" s="465" t="str">
        <f>Translations!$E$79</f>
        <v>Свыше ориентировочного</v>
      </c>
      <c r="L68" s="466"/>
      <c r="M68" s="467"/>
      <c r="N68" s="468"/>
      <c r="O68" s="469"/>
      <c r="P68" s="470"/>
      <c r="Q68" s="471"/>
      <c r="R68" s="472"/>
      <c r="S68" s="588"/>
      <c r="T68" s="588"/>
      <c r="U68" s="588"/>
      <c r="V68" s="588"/>
      <c r="W68" s="588"/>
      <c r="X68" s="588"/>
      <c r="Y68" s="588"/>
      <c r="Z68" s="462"/>
      <c r="AA68" s="463"/>
      <c r="AB68" s="464"/>
    </row>
    <row r="69" spans="1:28" x14ac:dyDescent="0.2">
      <c r="A69" s="459" t="s">
        <v>0</v>
      </c>
      <c r="B69" s="460"/>
      <c r="C69" s="461"/>
      <c r="D69" s="441"/>
      <c r="E69" s="442"/>
      <c r="F69" s="442"/>
      <c r="G69" s="442"/>
      <c r="H69" s="442"/>
      <c r="I69" s="443"/>
      <c r="J69" s="450"/>
      <c r="K69" s="452" t="str">
        <f>Translations!$E$78</f>
        <v>Ориентировочное</v>
      </c>
      <c r="L69" s="453"/>
      <c r="M69" s="454"/>
      <c r="N69" s="455"/>
      <c r="O69" s="456"/>
      <c r="P69" s="457"/>
      <c r="Q69" s="456"/>
      <c r="R69" s="457"/>
      <c r="S69" s="588"/>
      <c r="T69" s="588"/>
      <c r="U69" s="588"/>
      <c r="V69" s="588"/>
      <c r="W69" s="588"/>
      <c r="X69" s="588"/>
      <c r="Y69" s="588"/>
      <c r="Z69" s="459"/>
      <c r="AA69" s="460"/>
      <c r="AB69" s="461"/>
    </row>
    <row r="70" spans="1:28" x14ac:dyDescent="0.2">
      <c r="A70" s="473"/>
      <c r="B70" s="474"/>
      <c r="C70" s="475"/>
      <c r="D70" s="444"/>
      <c r="E70" s="445"/>
      <c r="F70" s="445"/>
      <c r="G70" s="445"/>
      <c r="H70" s="445"/>
      <c r="I70" s="446"/>
      <c r="J70" s="451"/>
      <c r="K70" s="465" t="str">
        <f>Translations!$E$79</f>
        <v>Свыше ориентировочного</v>
      </c>
      <c r="L70" s="466"/>
      <c r="M70" s="467"/>
      <c r="N70" s="468"/>
      <c r="O70" s="469"/>
      <c r="P70" s="470"/>
      <c r="Q70" s="471"/>
      <c r="R70" s="472"/>
      <c r="S70" s="588"/>
      <c r="T70" s="588"/>
      <c r="U70" s="588"/>
      <c r="V70" s="588"/>
      <c r="W70" s="588"/>
      <c r="X70" s="588"/>
      <c r="Y70" s="588"/>
      <c r="Z70" s="462"/>
      <c r="AA70" s="463"/>
      <c r="AB70" s="464"/>
    </row>
    <row r="71" spans="1:28" x14ac:dyDescent="0.2">
      <c r="A71" s="473"/>
      <c r="B71" s="474"/>
      <c r="C71" s="475"/>
      <c r="D71" s="444"/>
      <c r="E71" s="445"/>
      <c r="F71" s="445"/>
      <c r="G71" s="445"/>
      <c r="H71" s="445"/>
      <c r="I71" s="446"/>
      <c r="J71" s="476"/>
      <c r="K71" s="452" t="str">
        <f>Translations!$E$78</f>
        <v>Ориентировочное</v>
      </c>
      <c r="L71" s="453"/>
      <c r="M71" s="454"/>
      <c r="N71" s="455"/>
      <c r="O71" s="456"/>
      <c r="P71" s="457"/>
      <c r="Q71" s="456"/>
      <c r="R71" s="457"/>
      <c r="S71" s="588"/>
      <c r="T71" s="588"/>
      <c r="U71" s="588"/>
      <c r="V71" s="588"/>
      <c r="W71" s="588"/>
      <c r="X71" s="588"/>
      <c r="Y71" s="588"/>
      <c r="Z71" s="459"/>
      <c r="AA71" s="460"/>
      <c r="AB71" s="461"/>
    </row>
    <row r="72" spans="1:28" x14ac:dyDescent="0.2">
      <c r="A72" s="462"/>
      <c r="B72" s="463"/>
      <c r="C72" s="464"/>
      <c r="D72" s="447"/>
      <c r="E72" s="448"/>
      <c r="F72" s="448"/>
      <c r="G72" s="448"/>
      <c r="H72" s="448"/>
      <c r="I72" s="449"/>
      <c r="J72" s="477"/>
      <c r="K72" s="465" t="str">
        <f>Translations!$E$79</f>
        <v>Свыше ориентировочного</v>
      </c>
      <c r="L72" s="466"/>
      <c r="M72" s="467"/>
      <c r="N72" s="468"/>
      <c r="O72" s="469"/>
      <c r="P72" s="470"/>
      <c r="Q72" s="471"/>
      <c r="R72" s="472"/>
      <c r="S72" s="588"/>
      <c r="T72" s="588"/>
      <c r="U72" s="588"/>
      <c r="V72" s="588"/>
      <c r="W72" s="588"/>
      <c r="X72" s="588"/>
      <c r="Y72" s="588"/>
      <c r="Z72" s="462"/>
      <c r="AA72" s="463"/>
      <c r="AB72" s="464"/>
    </row>
    <row r="73" spans="1:28" x14ac:dyDescent="0.2">
      <c r="A73" s="459" t="s">
        <v>0</v>
      </c>
      <c r="B73" s="460"/>
      <c r="C73" s="461"/>
      <c r="D73" s="441"/>
      <c r="E73" s="442"/>
      <c r="F73" s="442"/>
      <c r="G73" s="442"/>
      <c r="H73" s="442"/>
      <c r="I73" s="443"/>
      <c r="J73" s="450"/>
      <c r="K73" s="452" t="str">
        <f>Translations!$E$78</f>
        <v>Ориентировочное</v>
      </c>
      <c r="L73" s="453"/>
      <c r="M73" s="454"/>
      <c r="N73" s="455"/>
      <c r="O73" s="456"/>
      <c r="P73" s="457"/>
      <c r="Q73" s="456"/>
      <c r="R73" s="457"/>
      <c r="S73" s="588"/>
      <c r="T73" s="588"/>
      <c r="U73" s="588"/>
      <c r="V73" s="588"/>
      <c r="W73" s="588"/>
      <c r="X73" s="588"/>
      <c r="Y73" s="588"/>
      <c r="Z73" s="582"/>
      <c r="AA73" s="583"/>
      <c r="AB73" s="584"/>
    </row>
    <row r="74" spans="1:28" x14ac:dyDescent="0.2">
      <c r="A74" s="473"/>
      <c r="B74" s="474"/>
      <c r="C74" s="475"/>
      <c r="D74" s="444"/>
      <c r="E74" s="445"/>
      <c r="F74" s="445"/>
      <c r="G74" s="445"/>
      <c r="H74" s="445"/>
      <c r="I74" s="446"/>
      <c r="J74" s="451"/>
      <c r="K74" s="465" t="str">
        <f>Translations!$E$79</f>
        <v>Свыше ориентировочного</v>
      </c>
      <c r="L74" s="466"/>
      <c r="M74" s="467"/>
      <c r="N74" s="468"/>
      <c r="O74" s="275"/>
      <c r="P74" s="275"/>
      <c r="Q74" s="469"/>
      <c r="R74" s="470"/>
      <c r="S74" s="588"/>
      <c r="T74" s="588"/>
      <c r="U74" s="588"/>
      <c r="V74" s="588"/>
      <c r="W74" s="588"/>
      <c r="X74" s="588"/>
      <c r="Y74" s="588"/>
      <c r="Z74" s="585"/>
      <c r="AA74" s="586"/>
      <c r="AB74" s="587"/>
    </row>
    <row r="75" spans="1:28" x14ac:dyDescent="0.2">
      <c r="A75" s="473"/>
      <c r="B75" s="474"/>
      <c r="C75" s="475"/>
      <c r="D75" s="444"/>
      <c r="E75" s="445"/>
      <c r="F75" s="445"/>
      <c r="G75" s="445"/>
      <c r="H75" s="445"/>
      <c r="I75" s="446"/>
      <c r="J75" s="476"/>
      <c r="K75" s="452" t="str">
        <f>Translations!$E$78</f>
        <v>Ориентировочное</v>
      </c>
      <c r="L75" s="453"/>
      <c r="M75" s="454"/>
      <c r="N75" s="455"/>
      <c r="O75" s="456"/>
      <c r="P75" s="457"/>
      <c r="Q75" s="456"/>
      <c r="R75" s="457"/>
      <c r="S75" s="588"/>
      <c r="T75" s="588"/>
      <c r="U75" s="588"/>
      <c r="V75" s="588"/>
      <c r="W75" s="588"/>
      <c r="X75" s="588"/>
      <c r="Y75" s="588"/>
      <c r="Z75" s="459"/>
      <c r="AA75" s="460"/>
      <c r="AB75" s="461"/>
    </row>
    <row r="76" spans="1:28" x14ac:dyDescent="0.2">
      <c r="A76" s="462"/>
      <c r="B76" s="463"/>
      <c r="C76" s="464"/>
      <c r="D76" s="447"/>
      <c r="E76" s="448"/>
      <c r="F76" s="448"/>
      <c r="G76" s="448"/>
      <c r="H76" s="448"/>
      <c r="I76" s="449"/>
      <c r="J76" s="477"/>
      <c r="K76" s="465" t="str">
        <f>Translations!$E$79</f>
        <v>Свыше ориентировочного</v>
      </c>
      <c r="L76" s="466"/>
      <c r="M76" s="467"/>
      <c r="N76" s="468"/>
      <c r="O76" s="469"/>
      <c r="P76" s="470"/>
      <c r="Q76" s="471"/>
      <c r="R76" s="472"/>
      <c r="S76" s="588"/>
      <c r="T76" s="588"/>
      <c r="U76" s="588"/>
      <c r="V76" s="588"/>
      <c r="W76" s="588"/>
      <c r="X76" s="588"/>
      <c r="Y76" s="588"/>
      <c r="Z76" s="462"/>
      <c r="AA76" s="463"/>
      <c r="AB76" s="464"/>
    </row>
    <row r="77" spans="1:28" x14ac:dyDescent="0.2">
      <c r="A77" s="459" t="s">
        <v>0</v>
      </c>
      <c r="B77" s="460"/>
      <c r="C77" s="461"/>
      <c r="D77" s="441"/>
      <c r="E77" s="442"/>
      <c r="F77" s="442"/>
      <c r="G77" s="442"/>
      <c r="H77" s="442"/>
      <c r="I77" s="443"/>
      <c r="J77" s="450"/>
      <c r="K77" s="452" t="str">
        <f>Translations!$E$78</f>
        <v>Ориентировочное</v>
      </c>
      <c r="L77" s="453"/>
      <c r="M77" s="454"/>
      <c r="N77" s="455"/>
      <c r="O77" s="456"/>
      <c r="P77" s="457"/>
      <c r="Q77" s="456"/>
      <c r="R77" s="457"/>
      <c r="S77" s="588"/>
      <c r="T77" s="588"/>
      <c r="U77" s="588"/>
      <c r="V77" s="588"/>
      <c r="W77" s="588"/>
      <c r="X77" s="588"/>
      <c r="Y77" s="588"/>
      <c r="Z77" s="459"/>
      <c r="AA77" s="460"/>
      <c r="AB77" s="461"/>
    </row>
    <row r="78" spans="1:28" ht="15" customHeight="1" x14ac:dyDescent="0.2">
      <c r="A78" s="473"/>
      <c r="B78" s="474"/>
      <c r="C78" s="475"/>
      <c r="D78" s="444"/>
      <c r="E78" s="445"/>
      <c r="F78" s="445"/>
      <c r="G78" s="445"/>
      <c r="H78" s="445"/>
      <c r="I78" s="446"/>
      <c r="J78" s="451"/>
      <c r="K78" s="465" t="str">
        <f>Translations!$E$79</f>
        <v>Свыше ориентировочного</v>
      </c>
      <c r="L78" s="466"/>
      <c r="M78" s="467"/>
      <c r="N78" s="468"/>
      <c r="O78" s="469"/>
      <c r="P78" s="470"/>
      <c r="Q78" s="471"/>
      <c r="R78" s="472"/>
      <c r="S78" s="588"/>
      <c r="T78" s="588"/>
      <c r="U78" s="588"/>
      <c r="V78" s="588"/>
      <c r="W78" s="588"/>
      <c r="X78" s="588"/>
      <c r="Y78" s="588"/>
      <c r="Z78" s="462"/>
      <c r="AA78" s="463"/>
      <c r="AB78" s="464"/>
    </row>
    <row r="79" spans="1:28" x14ac:dyDescent="0.2">
      <c r="A79" s="473"/>
      <c r="B79" s="474"/>
      <c r="C79" s="475"/>
      <c r="D79" s="444"/>
      <c r="E79" s="445"/>
      <c r="F79" s="445"/>
      <c r="G79" s="445"/>
      <c r="H79" s="445"/>
      <c r="I79" s="446"/>
      <c r="J79" s="476"/>
      <c r="K79" s="452" t="str">
        <f>Translations!$E$78</f>
        <v>Ориентировочное</v>
      </c>
      <c r="L79" s="453"/>
      <c r="M79" s="454"/>
      <c r="N79" s="455"/>
      <c r="O79" s="456"/>
      <c r="P79" s="457"/>
      <c r="Q79" s="456"/>
      <c r="R79" s="457"/>
      <c r="S79" s="588"/>
      <c r="T79" s="588"/>
      <c r="U79" s="588"/>
      <c r="V79" s="588"/>
      <c r="W79" s="588"/>
      <c r="X79" s="588"/>
      <c r="Y79" s="588"/>
      <c r="Z79" s="459"/>
      <c r="AA79" s="460"/>
      <c r="AB79" s="461"/>
    </row>
    <row r="80" spans="1:28" ht="15" customHeight="1" x14ac:dyDescent="0.2">
      <c r="A80" s="462"/>
      <c r="B80" s="463"/>
      <c r="C80" s="464"/>
      <c r="D80" s="447"/>
      <c r="E80" s="448"/>
      <c r="F80" s="448"/>
      <c r="G80" s="448"/>
      <c r="H80" s="448"/>
      <c r="I80" s="449"/>
      <c r="J80" s="477"/>
      <c r="K80" s="465" t="str">
        <f>Translations!$E$79</f>
        <v>Свыше ориентировочного</v>
      </c>
      <c r="L80" s="466"/>
      <c r="M80" s="467"/>
      <c r="N80" s="468"/>
      <c r="O80" s="469"/>
      <c r="P80" s="470"/>
      <c r="Q80" s="471"/>
      <c r="R80" s="472"/>
      <c r="S80" s="588"/>
      <c r="T80" s="588"/>
      <c r="U80" s="588"/>
      <c r="V80" s="588"/>
      <c r="W80" s="588"/>
      <c r="X80" s="588"/>
      <c r="Y80" s="588"/>
      <c r="Z80" s="462"/>
      <c r="AA80" s="463"/>
      <c r="AB80" s="464"/>
    </row>
    <row r="81" spans="1:28" x14ac:dyDescent="0.2">
      <c r="A81" s="459" t="s">
        <v>0</v>
      </c>
      <c r="B81" s="460"/>
      <c r="C81" s="461"/>
      <c r="D81" s="441"/>
      <c r="E81" s="442"/>
      <c r="F81" s="442"/>
      <c r="G81" s="442"/>
      <c r="H81" s="442"/>
      <c r="I81" s="443"/>
      <c r="J81" s="450"/>
      <c r="K81" s="452" t="str">
        <f>Translations!$E$78</f>
        <v>Ориентировочное</v>
      </c>
      <c r="L81" s="453"/>
      <c r="M81" s="454"/>
      <c r="N81" s="455"/>
      <c r="O81" s="456"/>
      <c r="P81" s="457"/>
      <c r="Q81" s="456"/>
      <c r="R81" s="457"/>
      <c r="S81" s="588"/>
      <c r="T81" s="588"/>
      <c r="U81" s="588"/>
      <c r="V81" s="588"/>
      <c r="W81" s="588"/>
      <c r="X81" s="588"/>
      <c r="Y81" s="588"/>
      <c r="Z81" s="459"/>
      <c r="AA81" s="460"/>
      <c r="AB81" s="461"/>
    </row>
    <row r="82" spans="1:28" x14ac:dyDescent="0.2">
      <c r="A82" s="473"/>
      <c r="B82" s="474"/>
      <c r="C82" s="475"/>
      <c r="D82" s="444"/>
      <c r="E82" s="445"/>
      <c r="F82" s="445"/>
      <c r="G82" s="445"/>
      <c r="H82" s="445"/>
      <c r="I82" s="446"/>
      <c r="J82" s="451"/>
      <c r="K82" s="465" t="str">
        <f>Translations!$E$79</f>
        <v>Свыше ориентировочного</v>
      </c>
      <c r="L82" s="466"/>
      <c r="M82" s="467"/>
      <c r="N82" s="468"/>
      <c r="O82" s="469"/>
      <c r="P82" s="470"/>
      <c r="Q82" s="471"/>
      <c r="R82" s="472"/>
      <c r="S82" s="588"/>
      <c r="T82" s="588"/>
      <c r="U82" s="588"/>
      <c r="V82" s="588"/>
      <c r="W82" s="588"/>
      <c r="X82" s="588"/>
      <c r="Y82" s="588"/>
      <c r="Z82" s="462"/>
      <c r="AA82" s="463"/>
      <c r="AB82" s="464"/>
    </row>
    <row r="83" spans="1:28" x14ac:dyDescent="0.2">
      <c r="A83" s="473"/>
      <c r="B83" s="474"/>
      <c r="C83" s="475"/>
      <c r="D83" s="444"/>
      <c r="E83" s="445"/>
      <c r="F83" s="445"/>
      <c r="G83" s="445"/>
      <c r="H83" s="445"/>
      <c r="I83" s="446"/>
      <c r="J83" s="450"/>
      <c r="K83" s="452" t="str">
        <f>Translations!$E$78</f>
        <v>Ориентировочное</v>
      </c>
      <c r="L83" s="453"/>
      <c r="M83" s="454"/>
      <c r="N83" s="455"/>
      <c r="O83" s="456"/>
      <c r="P83" s="457"/>
      <c r="Q83" s="456"/>
      <c r="R83" s="457"/>
      <c r="S83" s="588"/>
      <c r="T83" s="588"/>
      <c r="U83" s="588"/>
      <c r="V83" s="588"/>
      <c r="W83" s="588"/>
      <c r="X83" s="588"/>
      <c r="Y83" s="588"/>
      <c r="Z83" s="588"/>
      <c r="AA83" s="588"/>
      <c r="AB83" s="588"/>
    </row>
    <row r="84" spans="1:28" x14ac:dyDescent="0.2">
      <c r="A84" s="462"/>
      <c r="B84" s="463"/>
      <c r="C84" s="464"/>
      <c r="D84" s="447"/>
      <c r="E84" s="448"/>
      <c r="F84" s="448"/>
      <c r="G84" s="448"/>
      <c r="H84" s="448"/>
      <c r="I84" s="449"/>
      <c r="J84" s="451"/>
      <c r="K84" s="465" t="str">
        <f>Translations!$E$79</f>
        <v>Свыше ориентировочного</v>
      </c>
      <c r="L84" s="466"/>
      <c r="M84" s="469"/>
      <c r="N84" s="470"/>
      <c r="O84" s="469"/>
      <c r="P84" s="470"/>
      <c r="Q84" s="469"/>
      <c r="R84" s="470"/>
      <c r="S84" s="588"/>
      <c r="T84" s="588"/>
      <c r="U84" s="588"/>
      <c r="V84" s="588"/>
      <c r="W84" s="588"/>
      <c r="X84" s="588"/>
      <c r="Y84" s="588"/>
      <c r="Z84" s="588"/>
      <c r="AA84" s="588"/>
      <c r="AB84" s="588"/>
    </row>
  </sheetData>
  <sheetProtection formatCells="0" formatColumns="0" formatRows="0" insertRows="0" deleteRows="0" selectLockedCells="1" sort="0" autoFilter="0"/>
  <mergeCells count="332">
    <mergeCell ref="P1:T1"/>
    <mergeCell ref="A3:C3"/>
    <mergeCell ref="D3:G3"/>
    <mergeCell ref="H3:J4"/>
    <mergeCell ref="K3:R3"/>
    <mergeCell ref="S3:T3"/>
    <mergeCell ref="U3:Z4"/>
    <mergeCell ref="A4:C4"/>
    <mergeCell ref="D4:G4"/>
    <mergeCell ref="K4:R4"/>
    <mergeCell ref="S4:T4"/>
    <mergeCell ref="B11:Z11"/>
    <mergeCell ref="B12:Z12"/>
    <mergeCell ref="U5:X5"/>
    <mergeCell ref="Y5:Z5"/>
    <mergeCell ref="A6:C6"/>
    <mergeCell ref="D6:G6"/>
    <mergeCell ref="K6:R6"/>
    <mergeCell ref="S6:T6"/>
    <mergeCell ref="U6:X6"/>
    <mergeCell ref="Y6:Z6"/>
    <mergeCell ref="A5:C5"/>
    <mergeCell ref="D5:G5"/>
    <mergeCell ref="H5:J6"/>
    <mergeCell ref="K5:R5"/>
    <mergeCell ref="S5:T5"/>
    <mergeCell ref="A7:Y7"/>
    <mergeCell ref="A8:Z8"/>
    <mergeCell ref="A9:Z9"/>
    <mergeCell ref="B10:Z10"/>
    <mergeCell ref="A14:A16"/>
    <mergeCell ref="B14:H16"/>
    <mergeCell ref="I14:N14"/>
    <mergeCell ref="O14:T14"/>
    <mergeCell ref="U14:Z16"/>
    <mergeCell ref="I15:J16"/>
    <mergeCell ref="K15:K16"/>
    <mergeCell ref="L15:N16"/>
    <mergeCell ref="O15:P15"/>
    <mergeCell ref="Q15:R15"/>
    <mergeCell ref="B18:H18"/>
    <mergeCell ref="I18:J18"/>
    <mergeCell ref="L18:N18"/>
    <mergeCell ref="O18:P18"/>
    <mergeCell ref="Q18:R18"/>
    <mergeCell ref="S18:T18"/>
    <mergeCell ref="S15:T15"/>
    <mergeCell ref="O16:P16"/>
    <mergeCell ref="Q16:R16"/>
    <mergeCell ref="S16:T16"/>
    <mergeCell ref="B17:H17"/>
    <mergeCell ref="I17:J17"/>
    <mergeCell ref="L17:N17"/>
    <mergeCell ref="O17:P17"/>
    <mergeCell ref="Q17:R17"/>
    <mergeCell ref="S17:T17"/>
    <mergeCell ref="B20:H20"/>
    <mergeCell ref="I20:J20"/>
    <mergeCell ref="L20:N20"/>
    <mergeCell ref="O20:P20"/>
    <mergeCell ref="Q20:R20"/>
    <mergeCell ref="S20:T20"/>
    <mergeCell ref="B19:H19"/>
    <mergeCell ref="I19:J19"/>
    <mergeCell ref="L19:N19"/>
    <mergeCell ref="O19:P19"/>
    <mergeCell ref="Q19:R19"/>
    <mergeCell ref="S19:T19"/>
    <mergeCell ref="A23:Z23"/>
    <mergeCell ref="A24:Z24"/>
    <mergeCell ref="B25:Z25"/>
    <mergeCell ref="B26:Z26"/>
    <mergeCell ref="B27:Z27"/>
    <mergeCell ref="B28:Z28"/>
    <mergeCell ref="B21:H21"/>
    <mergeCell ref="I21:J21"/>
    <mergeCell ref="L21:N21"/>
    <mergeCell ref="O21:P21"/>
    <mergeCell ref="Q21:R21"/>
    <mergeCell ref="S21:T21"/>
    <mergeCell ref="B29:Z29"/>
    <mergeCell ref="B30:Z30"/>
    <mergeCell ref="A32:A34"/>
    <mergeCell ref="B32:H34"/>
    <mergeCell ref="I32:N32"/>
    <mergeCell ref="O32:T32"/>
    <mergeCell ref="U32:Z34"/>
    <mergeCell ref="I33:J34"/>
    <mergeCell ref="K33:K34"/>
    <mergeCell ref="L33:N34"/>
    <mergeCell ref="B35:H35"/>
    <mergeCell ref="I35:J35"/>
    <mergeCell ref="L35:N35"/>
    <mergeCell ref="O35:P35"/>
    <mergeCell ref="Q35:R35"/>
    <mergeCell ref="S35:T35"/>
    <mergeCell ref="O33:P33"/>
    <mergeCell ref="Q33:R33"/>
    <mergeCell ref="S33:T33"/>
    <mergeCell ref="O34:P34"/>
    <mergeCell ref="Q34:R34"/>
    <mergeCell ref="S34:T34"/>
    <mergeCell ref="B37:H37"/>
    <mergeCell ref="I37:J37"/>
    <mergeCell ref="L37:N37"/>
    <mergeCell ref="O37:P37"/>
    <mergeCell ref="Q37:R37"/>
    <mergeCell ref="S37:T37"/>
    <mergeCell ref="B36:H36"/>
    <mergeCell ref="I36:J36"/>
    <mergeCell ref="L36:N36"/>
    <mergeCell ref="O36:P36"/>
    <mergeCell ref="Q36:R36"/>
    <mergeCell ref="S36:T36"/>
    <mergeCell ref="B39:H39"/>
    <mergeCell ref="I39:J39"/>
    <mergeCell ref="L39:N39"/>
    <mergeCell ref="O39:P39"/>
    <mergeCell ref="Q39:R39"/>
    <mergeCell ref="S39:T39"/>
    <mergeCell ref="B38:H38"/>
    <mergeCell ref="I38:J38"/>
    <mergeCell ref="L38:N38"/>
    <mergeCell ref="O38:P38"/>
    <mergeCell ref="Q38:R38"/>
    <mergeCell ref="S38:T38"/>
    <mergeCell ref="A41:AB41"/>
    <mergeCell ref="A43:B43"/>
    <mergeCell ref="D43:J43"/>
    <mergeCell ref="R44:AB44"/>
    <mergeCell ref="A45:C48"/>
    <mergeCell ref="D45:D48"/>
    <mergeCell ref="E45:F48"/>
    <mergeCell ref="G45:J46"/>
    <mergeCell ref="K45:L48"/>
    <mergeCell ref="M45:R45"/>
    <mergeCell ref="S45:AB45"/>
    <mergeCell ref="M46:N46"/>
    <mergeCell ref="O46:P46"/>
    <mergeCell ref="Q46:R46"/>
    <mergeCell ref="S46:AB48"/>
    <mergeCell ref="H47:H48"/>
    <mergeCell ref="I47:I48"/>
    <mergeCell ref="J47:J48"/>
    <mergeCell ref="N47:N48"/>
    <mergeCell ref="P47:P48"/>
    <mergeCell ref="A49:C52"/>
    <mergeCell ref="D49:D52"/>
    <mergeCell ref="E49:F52"/>
    <mergeCell ref="G49:G50"/>
    <mergeCell ref="H49:H52"/>
    <mergeCell ref="I49:I52"/>
    <mergeCell ref="J49:J52"/>
    <mergeCell ref="K49:L50"/>
    <mergeCell ref="N49:N50"/>
    <mergeCell ref="P49:P50"/>
    <mergeCell ref="R49:R50"/>
    <mergeCell ref="S49:AB52"/>
    <mergeCell ref="G51:G52"/>
    <mergeCell ref="K51:L52"/>
    <mergeCell ref="N51:N52"/>
    <mergeCell ref="P51:P52"/>
    <mergeCell ref="R51:R52"/>
    <mergeCell ref="R47:R48"/>
    <mergeCell ref="N53:N54"/>
    <mergeCell ref="P53:P54"/>
    <mergeCell ref="R53:R54"/>
    <mergeCell ref="S53:AB56"/>
    <mergeCell ref="K55:L56"/>
    <mergeCell ref="N55:N56"/>
    <mergeCell ref="P55:P56"/>
    <mergeCell ref="R55:R56"/>
    <mergeCell ref="A53:C56"/>
    <mergeCell ref="D53:D56"/>
    <mergeCell ref="E53:F56"/>
    <mergeCell ref="G53:G54"/>
    <mergeCell ref="H53:H56"/>
    <mergeCell ref="I53:I56"/>
    <mergeCell ref="G55:G56"/>
    <mergeCell ref="A57:C60"/>
    <mergeCell ref="D57:D60"/>
    <mergeCell ref="E57:F60"/>
    <mergeCell ref="G57:G58"/>
    <mergeCell ref="H57:H60"/>
    <mergeCell ref="I57:I60"/>
    <mergeCell ref="G59:G60"/>
    <mergeCell ref="J53:J56"/>
    <mergeCell ref="K53:L54"/>
    <mergeCell ref="J57:J60"/>
    <mergeCell ref="K57:L58"/>
    <mergeCell ref="N57:N58"/>
    <mergeCell ref="P57:P58"/>
    <mergeCell ref="R57:R58"/>
    <mergeCell ref="S57:AB60"/>
    <mergeCell ref="K59:L60"/>
    <mergeCell ref="N59:N60"/>
    <mergeCell ref="P59:P60"/>
    <mergeCell ref="R59:R60"/>
    <mergeCell ref="Z63:AB64"/>
    <mergeCell ref="D64:I64"/>
    <mergeCell ref="M64:N64"/>
    <mergeCell ref="O64:P64"/>
    <mergeCell ref="Q64:R64"/>
    <mergeCell ref="S64:Y64"/>
    <mergeCell ref="A62:E62"/>
    <mergeCell ref="J62:P62"/>
    <mergeCell ref="Q62:R62"/>
    <mergeCell ref="S62:U62"/>
    <mergeCell ref="A63:C64"/>
    <mergeCell ref="D63:I63"/>
    <mergeCell ref="J63:J64"/>
    <mergeCell ref="K63:R63"/>
    <mergeCell ref="S63:Y63"/>
    <mergeCell ref="A65:C68"/>
    <mergeCell ref="D65:I68"/>
    <mergeCell ref="J65:J66"/>
    <mergeCell ref="K65:L65"/>
    <mergeCell ref="M65:N65"/>
    <mergeCell ref="O65:P65"/>
    <mergeCell ref="J67:J68"/>
    <mergeCell ref="K67:L67"/>
    <mergeCell ref="M67:N67"/>
    <mergeCell ref="O67:P67"/>
    <mergeCell ref="Q67:R67"/>
    <mergeCell ref="S67:Y68"/>
    <mergeCell ref="Z67:AB68"/>
    <mergeCell ref="K68:L68"/>
    <mergeCell ref="M68:N68"/>
    <mergeCell ref="O68:P68"/>
    <mergeCell ref="Q68:R68"/>
    <mergeCell ref="Q65:R65"/>
    <mergeCell ref="S65:Y66"/>
    <mergeCell ref="Z65:AB66"/>
    <mergeCell ref="K66:L66"/>
    <mergeCell ref="M66:N66"/>
    <mergeCell ref="O66:P66"/>
    <mergeCell ref="Q66:R66"/>
    <mergeCell ref="A69:C72"/>
    <mergeCell ref="D69:I72"/>
    <mergeCell ref="J69:J70"/>
    <mergeCell ref="K69:L69"/>
    <mergeCell ref="M69:N69"/>
    <mergeCell ref="O69:P69"/>
    <mergeCell ref="J71:J72"/>
    <mergeCell ref="K71:L71"/>
    <mergeCell ref="M71:N71"/>
    <mergeCell ref="O71:P71"/>
    <mergeCell ref="Q71:R71"/>
    <mergeCell ref="S71:Y72"/>
    <mergeCell ref="Z71:AB72"/>
    <mergeCell ref="K72:L72"/>
    <mergeCell ref="M72:N72"/>
    <mergeCell ref="O72:P72"/>
    <mergeCell ref="Q72:R72"/>
    <mergeCell ref="Q69:R69"/>
    <mergeCell ref="S69:Y70"/>
    <mergeCell ref="Z69:AB70"/>
    <mergeCell ref="K70:L70"/>
    <mergeCell ref="M70:N70"/>
    <mergeCell ref="O70:P70"/>
    <mergeCell ref="Q70:R70"/>
    <mergeCell ref="A73:C76"/>
    <mergeCell ref="D73:I76"/>
    <mergeCell ref="J73:J74"/>
    <mergeCell ref="K73:L73"/>
    <mergeCell ref="M73:N73"/>
    <mergeCell ref="O73:P73"/>
    <mergeCell ref="J75:J76"/>
    <mergeCell ref="K75:L75"/>
    <mergeCell ref="M75:N75"/>
    <mergeCell ref="O75:P75"/>
    <mergeCell ref="Q75:R75"/>
    <mergeCell ref="S75:Y76"/>
    <mergeCell ref="Z75:AB76"/>
    <mergeCell ref="K76:L76"/>
    <mergeCell ref="M76:N76"/>
    <mergeCell ref="O76:P76"/>
    <mergeCell ref="Q76:R76"/>
    <mergeCell ref="Q73:R73"/>
    <mergeCell ref="S73:Y74"/>
    <mergeCell ref="Z73:AB74"/>
    <mergeCell ref="K74:L74"/>
    <mergeCell ref="M74:N74"/>
    <mergeCell ref="Q74:R74"/>
    <mergeCell ref="A77:C80"/>
    <mergeCell ref="D77:I80"/>
    <mergeCell ref="J77:J78"/>
    <mergeCell ref="K77:L77"/>
    <mergeCell ref="M77:N77"/>
    <mergeCell ref="O77:P77"/>
    <mergeCell ref="J79:J80"/>
    <mergeCell ref="K79:L79"/>
    <mergeCell ref="M79:N79"/>
    <mergeCell ref="O79:P79"/>
    <mergeCell ref="Q79:R79"/>
    <mergeCell ref="S79:Y80"/>
    <mergeCell ref="Z79:AB80"/>
    <mergeCell ref="K80:L80"/>
    <mergeCell ref="M80:N80"/>
    <mergeCell ref="O80:P80"/>
    <mergeCell ref="Q80:R80"/>
    <mergeCell ref="Q77:R77"/>
    <mergeCell ref="S77:Y78"/>
    <mergeCell ref="Z77:AB78"/>
    <mergeCell ref="K78:L78"/>
    <mergeCell ref="M78:N78"/>
    <mergeCell ref="O78:P78"/>
    <mergeCell ref="Q78:R78"/>
    <mergeCell ref="A81:C84"/>
    <mergeCell ref="D81:I84"/>
    <mergeCell ref="J81:J82"/>
    <mergeCell ref="K81:L81"/>
    <mergeCell ref="M81:N81"/>
    <mergeCell ref="O81:P81"/>
    <mergeCell ref="J83:J84"/>
    <mergeCell ref="K83:L83"/>
    <mergeCell ref="M83:N83"/>
    <mergeCell ref="O83:P83"/>
    <mergeCell ref="Q83:R83"/>
    <mergeCell ref="S83:Y84"/>
    <mergeCell ref="Z83:AB84"/>
    <mergeCell ref="K84:L84"/>
    <mergeCell ref="M84:N84"/>
    <mergeCell ref="O84:P84"/>
    <mergeCell ref="Q84:R84"/>
    <mergeCell ref="Q81:R81"/>
    <mergeCell ref="S81:Y82"/>
    <mergeCell ref="Z81:AB82"/>
    <mergeCell ref="K82:L82"/>
    <mergeCell ref="M82:N82"/>
    <mergeCell ref="O82:P82"/>
    <mergeCell ref="Q82:R82"/>
  </mergeCells>
  <dataValidations count="14">
    <dataValidation type="list" allowBlank="1" showInputMessage="1" showErrorMessage="1" sqref="D43:J43 IZ43:JF43 SV43:TB43 ACR43:ACX43 AMN43:AMT43 AWJ43:AWP43 BGF43:BGL43 BQB43:BQH43 BZX43:CAD43 CJT43:CJZ43 CTP43:CTV43 DDL43:DDR43 DNH43:DNN43 DXD43:DXJ43 EGZ43:EHF43 EQV43:ERB43 FAR43:FAX43 FKN43:FKT43 FUJ43:FUP43 GEF43:GEL43 GOB43:GOH43 GXX43:GYD43 HHT43:HHZ43 HRP43:HRV43 IBL43:IBR43 ILH43:ILN43 IVD43:IVJ43 JEZ43:JFF43 JOV43:JPB43 JYR43:JYX43 KIN43:KIT43 KSJ43:KSP43 LCF43:LCL43 LMB43:LMH43 LVX43:LWD43 MFT43:MFZ43 MPP43:MPV43 MZL43:MZR43 NJH43:NJN43 NTD43:NTJ43 OCZ43:ODF43 OMV43:ONB43 OWR43:OWX43 PGN43:PGT43 PQJ43:PQP43 QAF43:QAL43 QKB43:QKH43 QTX43:QUD43 RDT43:RDZ43 RNP43:RNV43 RXL43:RXR43 SHH43:SHN43 SRD43:SRJ43 TAZ43:TBF43 TKV43:TLB43 TUR43:TUX43 UEN43:UET43 UOJ43:UOP43 UYF43:UYL43 VIB43:VIH43 VRX43:VSD43 WBT43:WBZ43 WLP43:WLV43 WVL43:WVR43 D65579:J65579 IZ65579:JF65579 SV65579:TB65579 ACR65579:ACX65579 AMN65579:AMT65579 AWJ65579:AWP65579 BGF65579:BGL65579 BQB65579:BQH65579 BZX65579:CAD65579 CJT65579:CJZ65579 CTP65579:CTV65579 DDL65579:DDR65579 DNH65579:DNN65579 DXD65579:DXJ65579 EGZ65579:EHF65579 EQV65579:ERB65579 FAR65579:FAX65579 FKN65579:FKT65579 FUJ65579:FUP65579 GEF65579:GEL65579 GOB65579:GOH65579 GXX65579:GYD65579 HHT65579:HHZ65579 HRP65579:HRV65579 IBL65579:IBR65579 ILH65579:ILN65579 IVD65579:IVJ65579 JEZ65579:JFF65579 JOV65579:JPB65579 JYR65579:JYX65579 KIN65579:KIT65579 KSJ65579:KSP65579 LCF65579:LCL65579 LMB65579:LMH65579 LVX65579:LWD65579 MFT65579:MFZ65579 MPP65579:MPV65579 MZL65579:MZR65579 NJH65579:NJN65579 NTD65579:NTJ65579 OCZ65579:ODF65579 OMV65579:ONB65579 OWR65579:OWX65579 PGN65579:PGT65579 PQJ65579:PQP65579 QAF65579:QAL65579 QKB65579:QKH65579 QTX65579:QUD65579 RDT65579:RDZ65579 RNP65579:RNV65579 RXL65579:RXR65579 SHH65579:SHN65579 SRD65579:SRJ65579 TAZ65579:TBF65579 TKV65579:TLB65579 TUR65579:TUX65579 UEN65579:UET65579 UOJ65579:UOP65579 UYF65579:UYL65579 VIB65579:VIH65579 VRX65579:VSD65579 WBT65579:WBZ65579 WLP65579:WLV65579 WVL65579:WVR65579 D131115:J131115 IZ131115:JF131115 SV131115:TB131115 ACR131115:ACX131115 AMN131115:AMT131115 AWJ131115:AWP131115 BGF131115:BGL131115 BQB131115:BQH131115 BZX131115:CAD131115 CJT131115:CJZ131115 CTP131115:CTV131115 DDL131115:DDR131115 DNH131115:DNN131115 DXD131115:DXJ131115 EGZ131115:EHF131115 EQV131115:ERB131115 FAR131115:FAX131115 FKN131115:FKT131115 FUJ131115:FUP131115 GEF131115:GEL131115 GOB131115:GOH131115 GXX131115:GYD131115 HHT131115:HHZ131115 HRP131115:HRV131115 IBL131115:IBR131115 ILH131115:ILN131115 IVD131115:IVJ131115 JEZ131115:JFF131115 JOV131115:JPB131115 JYR131115:JYX131115 KIN131115:KIT131115 KSJ131115:KSP131115 LCF131115:LCL131115 LMB131115:LMH131115 LVX131115:LWD131115 MFT131115:MFZ131115 MPP131115:MPV131115 MZL131115:MZR131115 NJH131115:NJN131115 NTD131115:NTJ131115 OCZ131115:ODF131115 OMV131115:ONB131115 OWR131115:OWX131115 PGN131115:PGT131115 PQJ131115:PQP131115 QAF131115:QAL131115 QKB131115:QKH131115 QTX131115:QUD131115 RDT131115:RDZ131115 RNP131115:RNV131115 RXL131115:RXR131115 SHH131115:SHN131115 SRD131115:SRJ131115 TAZ131115:TBF131115 TKV131115:TLB131115 TUR131115:TUX131115 UEN131115:UET131115 UOJ131115:UOP131115 UYF131115:UYL131115 VIB131115:VIH131115 VRX131115:VSD131115 WBT131115:WBZ131115 WLP131115:WLV131115 WVL131115:WVR131115 D196651:J196651 IZ196651:JF196651 SV196651:TB196651 ACR196651:ACX196651 AMN196651:AMT196651 AWJ196651:AWP196651 BGF196651:BGL196651 BQB196651:BQH196651 BZX196651:CAD196651 CJT196651:CJZ196651 CTP196651:CTV196651 DDL196651:DDR196651 DNH196651:DNN196651 DXD196651:DXJ196651 EGZ196651:EHF196651 EQV196651:ERB196651 FAR196651:FAX196651 FKN196651:FKT196651 FUJ196651:FUP196651 GEF196651:GEL196651 GOB196651:GOH196651 GXX196651:GYD196651 HHT196651:HHZ196651 HRP196651:HRV196651 IBL196651:IBR196651 ILH196651:ILN196651 IVD196651:IVJ196651 JEZ196651:JFF196651 JOV196651:JPB196651 JYR196651:JYX196651 KIN196651:KIT196651 KSJ196651:KSP196651 LCF196651:LCL196651 LMB196651:LMH196651 LVX196651:LWD196651 MFT196651:MFZ196651 MPP196651:MPV196651 MZL196651:MZR196651 NJH196651:NJN196651 NTD196651:NTJ196651 OCZ196651:ODF196651 OMV196651:ONB196651 OWR196651:OWX196651 PGN196651:PGT196651 PQJ196651:PQP196651 QAF196651:QAL196651 QKB196651:QKH196651 QTX196651:QUD196651 RDT196651:RDZ196651 RNP196651:RNV196651 RXL196651:RXR196651 SHH196651:SHN196651 SRD196651:SRJ196651 TAZ196651:TBF196651 TKV196651:TLB196651 TUR196651:TUX196651 UEN196651:UET196651 UOJ196651:UOP196651 UYF196651:UYL196651 VIB196651:VIH196651 VRX196651:VSD196651 WBT196651:WBZ196651 WLP196651:WLV196651 WVL196651:WVR196651 D262187:J262187 IZ262187:JF262187 SV262187:TB262187 ACR262187:ACX262187 AMN262187:AMT262187 AWJ262187:AWP262187 BGF262187:BGL262187 BQB262187:BQH262187 BZX262187:CAD262187 CJT262187:CJZ262187 CTP262187:CTV262187 DDL262187:DDR262187 DNH262187:DNN262187 DXD262187:DXJ262187 EGZ262187:EHF262187 EQV262187:ERB262187 FAR262187:FAX262187 FKN262187:FKT262187 FUJ262187:FUP262187 GEF262187:GEL262187 GOB262187:GOH262187 GXX262187:GYD262187 HHT262187:HHZ262187 HRP262187:HRV262187 IBL262187:IBR262187 ILH262187:ILN262187 IVD262187:IVJ262187 JEZ262187:JFF262187 JOV262187:JPB262187 JYR262187:JYX262187 KIN262187:KIT262187 KSJ262187:KSP262187 LCF262187:LCL262187 LMB262187:LMH262187 LVX262187:LWD262187 MFT262187:MFZ262187 MPP262187:MPV262187 MZL262187:MZR262187 NJH262187:NJN262187 NTD262187:NTJ262187 OCZ262187:ODF262187 OMV262187:ONB262187 OWR262187:OWX262187 PGN262187:PGT262187 PQJ262187:PQP262187 QAF262187:QAL262187 QKB262187:QKH262187 QTX262187:QUD262187 RDT262187:RDZ262187 RNP262187:RNV262187 RXL262187:RXR262187 SHH262187:SHN262187 SRD262187:SRJ262187 TAZ262187:TBF262187 TKV262187:TLB262187 TUR262187:TUX262187 UEN262187:UET262187 UOJ262187:UOP262187 UYF262187:UYL262187 VIB262187:VIH262187 VRX262187:VSD262187 WBT262187:WBZ262187 WLP262187:WLV262187 WVL262187:WVR262187 D327723:J327723 IZ327723:JF327723 SV327723:TB327723 ACR327723:ACX327723 AMN327723:AMT327723 AWJ327723:AWP327723 BGF327723:BGL327723 BQB327723:BQH327723 BZX327723:CAD327723 CJT327723:CJZ327723 CTP327723:CTV327723 DDL327723:DDR327723 DNH327723:DNN327723 DXD327723:DXJ327723 EGZ327723:EHF327723 EQV327723:ERB327723 FAR327723:FAX327723 FKN327723:FKT327723 FUJ327723:FUP327723 GEF327723:GEL327723 GOB327723:GOH327723 GXX327723:GYD327723 HHT327723:HHZ327723 HRP327723:HRV327723 IBL327723:IBR327723 ILH327723:ILN327723 IVD327723:IVJ327723 JEZ327723:JFF327723 JOV327723:JPB327723 JYR327723:JYX327723 KIN327723:KIT327723 KSJ327723:KSP327723 LCF327723:LCL327723 LMB327723:LMH327723 LVX327723:LWD327723 MFT327723:MFZ327723 MPP327723:MPV327723 MZL327723:MZR327723 NJH327723:NJN327723 NTD327723:NTJ327723 OCZ327723:ODF327723 OMV327723:ONB327723 OWR327723:OWX327723 PGN327723:PGT327723 PQJ327723:PQP327723 QAF327723:QAL327723 QKB327723:QKH327723 QTX327723:QUD327723 RDT327723:RDZ327723 RNP327723:RNV327723 RXL327723:RXR327723 SHH327723:SHN327723 SRD327723:SRJ327723 TAZ327723:TBF327723 TKV327723:TLB327723 TUR327723:TUX327723 UEN327723:UET327723 UOJ327723:UOP327723 UYF327723:UYL327723 VIB327723:VIH327723 VRX327723:VSD327723 WBT327723:WBZ327723 WLP327723:WLV327723 WVL327723:WVR327723 D393259:J393259 IZ393259:JF393259 SV393259:TB393259 ACR393259:ACX393259 AMN393259:AMT393259 AWJ393259:AWP393259 BGF393259:BGL393259 BQB393259:BQH393259 BZX393259:CAD393259 CJT393259:CJZ393259 CTP393259:CTV393259 DDL393259:DDR393259 DNH393259:DNN393259 DXD393259:DXJ393259 EGZ393259:EHF393259 EQV393259:ERB393259 FAR393259:FAX393259 FKN393259:FKT393259 FUJ393259:FUP393259 GEF393259:GEL393259 GOB393259:GOH393259 GXX393259:GYD393259 HHT393259:HHZ393259 HRP393259:HRV393259 IBL393259:IBR393259 ILH393259:ILN393259 IVD393259:IVJ393259 JEZ393259:JFF393259 JOV393259:JPB393259 JYR393259:JYX393259 KIN393259:KIT393259 KSJ393259:KSP393259 LCF393259:LCL393259 LMB393259:LMH393259 LVX393259:LWD393259 MFT393259:MFZ393259 MPP393259:MPV393259 MZL393259:MZR393259 NJH393259:NJN393259 NTD393259:NTJ393259 OCZ393259:ODF393259 OMV393259:ONB393259 OWR393259:OWX393259 PGN393259:PGT393259 PQJ393259:PQP393259 QAF393259:QAL393259 QKB393259:QKH393259 QTX393259:QUD393259 RDT393259:RDZ393259 RNP393259:RNV393259 RXL393259:RXR393259 SHH393259:SHN393259 SRD393259:SRJ393259 TAZ393259:TBF393259 TKV393259:TLB393259 TUR393259:TUX393259 UEN393259:UET393259 UOJ393259:UOP393259 UYF393259:UYL393259 VIB393259:VIH393259 VRX393259:VSD393259 WBT393259:WBZ393259 WLP393259:WLV393259 WVL393259:WVR393259 D458795:J458795 IZ458795:JF458795 SV458795:TB458795 ACR458795:ACX458795 AMN458795:AMT458795 AWJ458795:AWP458795 BGF458795:BGL458795 BQB458795:BQH458795 BZX458795:CAD458795 CJT458795:CJZ458795 CTP458795:CTV458795 DDL458795:DDR458795 DNH458795:DNN458795 DXD458795:DXJ458795 EGZ458795:EHF458795 EQV458795:ERB458795 FAR458795:FAX458795 FKN458795:FKT458795 FUJ458795:FUP458795 GEF458795:GEL458795 GOB458795:GOH458795 GXX458795:GYD458795 HHT458795:HHZ458795 HRP458795:HRV458795 IBL458795:IBR458795 ILH458795:ILN458795 IVD458795:IVJ458795 JEZ458795:JFF458795 JOV458795:JPB458795 JYR458795:JYX458795 KIN458795:KIT458795 KSJ458795:KSP458795 LCF458795:LCL458795 LMB458795:LMH458795 LVX458795:LWD458795 MFT458795:MFZ458795 MPP458795:MPV458795 MZL458795:MZR458795 NJH458795:NJN458795 NTD458795:NTJ458795 OCZ458795:ODF458795 OMV458795:ONB458795 OWR458795:OWX458795 PGN458795:PGT458795 PQJ458795:PQP458795 QAF458795:QAL458795 QKB458795:QKH458795 QTX458795:QUD458795 RDT458795:RDZ458795 RNP458795:RNV458795 RXL458795:RXR458795 SHH458795:SHN458795 SRD458795:SRJ458795 TAZ458795:TBF458795 TKV458795:TLB458795 TUR458795:TUX458795 UEN458795:UET458795 UOJ458795:UOP458795 UYF458795:UYL458795 VIB458795:VIH458795 VRX458795:VSD458795 WBT458795:WBZ458795 WLP458795:WLV458795 WVL458795:WVR458795 D524331:J524331 IZ524331:JF524331 SV524331:TB524331 ACR524331:ACX524331 AMN524331:AMT524331 AWJ524331:AWP524331 BGF524331:BGL524331 BQB524331:BQH524331 BZX524331:CAD524331 CJT524331:CJZ524331 CTP524331:CTV524331 DDL524331:DDR524331 DNH524331:DNN524331 DXD524331:DXJ524331 EGZ524331:EHF524331 EQV524331:ERB524331 FAR524331:FAX524331 FKN524331:FKT524331 FUJ524331:FUP524331 GEF524331:GEL524331 GOB524331:GOH524331 GXX524331:GYD524331 HHT524331:HHZ524331 HRP524331:HRV524331 IBL524331:IBR524331 ILH524331:ILN524331 IVD524331:IVJ524331 JEZ524331:JFF524331 JOV524331:JPB524331 JYR524331:JYX524331 KIN524331:KIT524331 KSJ524331:KSP524331 LCF524331:LCL524331 LMB524331:LMH524331 LVX524331:LWD524331 MFT524331:MFZ524331 MPP524331:MPV524331 MZL524331:MZR524331 NJH524331:NJN524331 NTD524331:NTJ524331 OCZ524331:ODF524331 OMV524331:ONB524331 OWR524331:OWX524331 PGN524331:PGT524331 PQJ524331:PQP524331 QAF524331:QAL524331 QKB524331:QKH524331 QTX524331:QUD524331 RDT524331:RDZ524331 RNP524331:RNV524331 RXL524331:RXR524331 SHH524331:SHN524331 SRD524331:SRJ524331 TAZ524331:TBF524331 TKV524331:TLB524331 TUR524331:TUX524331 UEN524331:UET524331 UOJ524331:UOP524331 UYF524331:UYL524331 VIB524331:VIH524331 VRX524331:VSD524331 WBT524331:WBZ524331 WLP524331:WLV524331 WVL524331:WVR524331 D589867:J589867 IZ589867:JF589867 SV589867:TB589867 ACR589867:ACX589867 AMN589867:AMT589867 AWJ589867:AWP589867 BGF589867:BGL589867 BQB589867:BQH589867 BZX589867:CAD589867 CJT589867:CJZ589867 CTP589867:CTV589867 DDL589867:DDR589867 DNH589867:DNN589867 DXD589867:DXJ589867 EGZ589867:EHF589867 EQV589867:ERB589867 FAR589867:FAX589867 FKN589867:FKT589867 FUJ589867:FUP589867 GEF589867:GEL589867 GOB589867:GOH589867 GXX589867:GYD589867 HHT589867:HHZ589867 HRP589867:HRV589867 IBL589867:IBR589867 ILH589867:ILN589867 IVD589867:IVJ589867 JEZ589867:JFF589867 JOV589867:JPB589867 JYR589867:JYX589867 KIN589867:KIT589867 KSJ589867:KSP589867 LCF589867:LCL589867 LMB589867:LMH589867 LVX589867:LWD589867 MFT589867:MFZ589867 MPP589867:MPV589867 MZL589867:MZR589867 NJH589867:NJN589867 NTD589867:NTJ589867 OCZ589867:ODF589867 OMV589867:ONB589867 OWR589867:OWX589867 PGN589867:PGT589867 PQJ589867:PQP589867 QAF589867:QAL589867 QKB589867:QKH589867 QTX589867:QUD589867 RDT589867:RDZ589867 RNP589867:RNV589867 RXL589867:RXR589867 SHH589867:SHN589867 SRD589867:SRJ589867 TAZ589867:TBF589867 TKV589867:TLB589867 TUR589867:TUX589867 UEN589867:UET589867 UOJ589867:UOP589867 UYF589867:UYL589867 VIB589867:VIH589867 VRX589867:VSD589867 WBT589867:WBZ589867 WLP589867:WLV589867 WVL589867:WVR589867 D655403:J655403 IZ655403:JF655403 SV655403:TB655403 ACR655403:ACX655403 AMN655403:AMT655403 AWJ655403:AWP655403 BGF655403:BGL655403 BQB655403:BQH655403 BZX655403:CAD655403 CJT655403:CJZ655403 CTP655403:CTV655403 DDL655403:DDR655403 DNH655403:DNN655403 DXD655403:DXJ655403 EGZ655403:EHF655403 EQV655403:ERB655403 FAR655403:FAX655403 FKN655403:FKT655403 FUJ655403:FUP655403 GEF655403:GEL655403 GOB655403:GOH655403 GXX655403:GYD655403 HHT655403:HHZ655403 HRP655403:HRV655403 IBL655403:IBR655403 ILH655403:ILN655403 IVD655403:IVJ655403 JEZ655403:JFF655403 JOV655403:JPB655403 JYR655403:JYX655403 KIN655403:KIT655403 KSJ655403:KSP655403 LCF655403:LCL655403 LMB655403:LMH655403 LVX655403:LWD655403 MFT655403:MFZ655403 MPP655403:MPV655403 MZL655403:MZR655403 NJH655403:NJN655403 NTD655403:NTJ655403 OCZ655403:ODF655403 OMV655403:ONB655403 OWR655403:OWX655403 PGN655403:PGT655403 PQJ655403:PQP655403 QAF655403:QAL655403 QKB655403:QKH655403 QTX655403:QUD655403 RDT655403:RDZ655403 RNP655403:RNV655403 RXL655403:RXR655403 SHH655403:SHN655403 SRD655403:SRJ655403 TAZ655403:TBF655403 TKV655403:TLB655403 TUR655403:TUX655403 UEN655403:UET655403 UOJ655403:UOP655403 UYF655403:UYL655403 VIB655403:VIH655403 VRX655403:VSD655403 WBT655403:WBZ655403 WLP655403:WLV655403 WVL655403:WVR655403 D720939:J720939 IZ720939:JF720939 SV720939:TB720939 ACR720939:ACX720939 AMN720939:AMT720939 AWJ720939:AWP720939 BGF720939:BGL720939 BQB720939:BQH720939 BZX720939:CAD720939 CJT720939:CJZ720939 CTP720939:CTV720939 DDL720939:DDR720939 DNH720939:DNN720939 DXD720939:DXJ720939 EGZ720939:EHF720939 EQV720939:ERB720939 FAR720939:FAX720939 FKN720939:FKT720939 FUJ720939:FUP720939 GEF720939:GEL720939 GOB720939:GOH720939 GXX720939:GYD720939 HHT720939:HHZ720939 HRP720939:HRV720939 IBL720939:IBR720939 ILH720939:ILN720939 IVD720939:IVJ720939 JEZ720939:JFF720939 JOV720939:JPB720939 JYR720939:JYX720939 KIN720939:KIT720939 KSJ720939:KSP720939 LCF720939:LCL720939 LMB720939:LMH720939 LVX720939:LWD720939 MFT720939:MFZ720939 MPP720939:MPV720939 MZL720939:MZR720939 NJH720939:NJN720939 NTD720939:NTJ720939 OCZ720939:ODF720939 OMV720939:ONB720939 OWR720939:OWX720939 PGN720939:PGT720939 PQJ720939:PQP720939 QAF720939:QAL720939 QKB720939:QKH720939 QTX720939:QUD720939 RDT720939:RDZ720939 RNP720939:RNV720939 RXL720939:RXR720939 SHH720939:SHN720939 SRD720939:SRJ720939 TAZ720939:TBF720939 TKV720939:TLB720939 TUR720939:TUX720939 UEN720939:UET720939 UOJ720939:UOP720939 UYF720939:UYL720939 VIB720939:VIH720939 VRX720939:VSD720939 WBT720939:WBZ720939 WLP720939:WLV720939 WVL720939:WVR720939 D786475:J786475 IZ786475:JF786475 SV786475:TB786475 ACR786475:ACX786475 AMN786475:AMT786475 AWJ786475:AWP786475 BGF786475:BGL786475 BQB786475:BQH786475 BZX786475:CAD786475 CJT786475:CJZ786475 CTP786475:CTV786475 DDL786475:DDR786475 DNH786475:DNN786475 DXD786475:DXJ786475 EGZ786475:EHF786475 EQV786475:ERB786475 FAR786475:FAX786475 FKN786475:FKT786475 FUJ786475:FUP786475 GEF786475:GEL786475 GOB786475:GOH786475 GXX786475:GYD786475 HHT786475:HHZ786475 HRP786475:HRV786475 IBL786475:IBR786475 ILH786475:ILN786475 IVD786475:IVJ786475 JEZ786475:JFF786475 JOV786475:JPB786475 JYR786475:JYX786475 KIN786475:KIT786475 KSJ786475:KSP786475 LCF786475:LCL786475 LMB786475:LMH786475 LVX786475:LWD786475 MFT786475:MFZ786475 MPP786475:MPV786475 MZL786475:MZR786475 NJH786475:NJN786475 NTD786475:NTJ786475 OCZ786475:ODF786475 OMV786475:ONB786475 OWR786475:OWX786475 PGN786475:PGT786475 PQJ786475:PQP786475 QAF786475:QAL786475 QKB786475:QKH786475 QTX786475:QUD786475 RDT786475:RDZ786475 RNP786475:RNV786475 RXL786475:RXR786475 SHH786475:SHN786475 SRD786475:SRJ786475 TAZ786475:TBF786475 TKV786475:TLB786475 TUR786475:TUX786475 UEN786475:UET786475 UOJ786475:UOP786475 UYF786475:UYL786475 VIB786475:VIH786475 VRX786475:VSD786475 WBT786475:WBZ786475 WLP786475:WLV786475 WVL786475:WVR786475 D852011:J852011 IZ852011:JF852011 SV852011:TB852011 ACR852011:ACX852011 AMN852011:AMT852011 AWJ852011:AWP852011 BGF852011:BGL852011 BQB852011:BQH852011 BZX852011:CAD852011 CJT852011:CJZ852011 CTP852011:CTV852011 DDL852011:DDR852011 DNH852011:DNN852011 DXD852011:DXJ852011 EGZ852011:EHF852011 EQV852011:ERB852011 FAR852011:FAX852011 FKN852011:FKT852011 FUJ852011:FUP852011 GEF852011:GEL852011 GOB852011:GOH852011 GXX852011:GYD852011 HHT852011:HHZ852011 HRP852011:HRV852011 IBL852011:IBR852011 ILH852011:ILN852011 IVD852011:IVJ852011 JEZ852011:JFF852011 JOV852011:JPB852011 JYR852011:JYX852011 KIN852011:KIT852011 KSJ852011:KSP852011 LCF852011:LCL852011 LMB852011:LMH852011 LVX852011:LWD852011 MFT852011:MFZ852011 MPP852011:MPV852011 MZL852011:MZR852011 NJH852011:NJN852011 NTD852011:NTJ852011 OCZ852011:ODF852011 OMV852011:ONB852011 OWR852011:OWX852011 PGN852011:PGT852011 PQJ852011:PQP852011 QAF852011:QAL852011 QKB852011:QKH852011 QTX852011:QUD852011 RDT852011:RDZ852011 RNP852011:RNV852011 RXL852011:RXR852011 SHH852011:SHN852011 SRD852011:SRJ852011 TAZ852011:TBF852011 TKV852011:TLB852011 TUR852011:TUX852011 UEN852011:UET852011 UOJ852011:UOP852011 UYF852011:UYL852011 VIB852011:VIH852011 VRX852011:VSD852011 WBT852011:WBZ852011 WLP852011:WLV852011 WVL852011:WVR852011 D917547:J917547 IZ917547:JF917547 SV917547:TB917547 ACR917547:ACX917547 AMN917547:AMT917547 AWJ917547:AWP917547 BGF917547:BGL917547 BQB917547:BQH917547 BZX917547:CAD917547 CJT917547:CJZ917547 CTP917547:CTV917547 DDL917547:DDR917547 DNH917547:DNN917547 DXD917547:DXJ917547 EGZ917547:EHF917547 EQV917547:ERB917547 FAR917547:FAX917547 FKN917547:FKT917547 FUJ917547:FUP917547 GEF917547:GEL917547 GOB917547:GOH917547 GXX917547:GYD917547 HHT917547:HHZ917547 HRP917547:HRV917547 IBL917547:IBR917547 ILH917547:ILN917547 IVD917547:IVJ917547 JEZ917547:JFF917547 JOV917547:JPB917547 JYR917547:JYX917547 KIN917547:KIT917547 KSJ917547:KSP917547 LCF917547:LCL917547 LMB917547:LMH917547 LVX917547:LWD917547 MFT917547:MFZ917547 MPP917547:MPV917547 MZL917547:MZR917547 NJH917547:NJN917547 NTD917547:NTJ917547 OCZ917547:ODF917547 OMV917547:ONB917547 OWR917547:OWX917547 PGN917547:PGT917547 PQJ917547:PQP917547 QAF917547:QAL917547 QKB917547:QKH917547 QTX917547:QUD917547 RDT917547:RDZ917547 RNP917547:RNV917547 RXL917547:RXR917547 SHH917547:SHN917547 SRD917547:SRJ917547 TAZ917547:TBF917547 TKV917547:TLB917547 TUR917547:TUX917547 UEN917547:UET917547 UOJ917547:UOP917547 UYF917547:UYL917547 VIB917547:VIH917547 VRX917547:VSD917547 WBT917547:WBZ917547 WLP917547:WLV917547 WVL917547:WVR917547 D983083:J983083 IZ983083:JF983083 SV983083:TB983083 ACR983083:ACX983083 AMN983083:AMT983083 AWJ983083:AWP983083 BGF983083:BGL983083 BQB983083:BQH983083 BZX983083:CAD983083 CJT983083:CJZ983083 CTP983083:CTV983083 DDL983083:DDR983083 DNH983083:DNN983083 DXD983083:DXJ983083 EGZ983083:EHF983083 EQV983083:ERB983083 FAR983083:FAX983083 FKN983083:FKT983083 FUJ983083:FUP983083 GEF983083:GEL983083 GOB983083:GOH983083 GXX983083:GYD983083 HHT983083:HHZ983083 HRP983083:HRV983083 IBL983083:IBR983083 ILH983083:ILN983083 IVD983083:IVJ983083 JEZ983083:JFF983083 JOV983083:JPB983083 JYR983083:JYX983083 KIN983083:KIT983083 KSJ983083:KSP983083 LCF983083:LCL983083 LMB983083:LMH983083 LVX983083:LWD983083 MFT983083:MFZ983083 MPP983083:MPV983083 MZL983083:MZR983083 NJH983083:NJN983083 NTD983083:NTJ983083 OCZ983083:ODF983083 OMV983083:ONB983083 OWR983083:OWX983083 PGN983083:PGT983083 PQJ983083:PQP983083 QAF983083:QAL983083 QKB983083:QKH983083 QTX983083:QUD983083 RDT983083:RDZ983083 RNP983083:RNV983083 RXL983083:RXR983083 SHH983083:SHN983083 SRD983083:SRJ983083 TAZ983083:TBF983083 TKV983083:TLB983083 TUR983083:TUX983083 UEN983083:UET983083 UOJ983083:UOP983083 UYF983083:UYL983083 VIB983083:VIH983083 VRX983083:VSD983083 WBT983083:WBZ983083 WLP983083:WLV983083 WVL983083:WVR983083">
      <formula1>ModulesInCmp</formula1>
    </dataValidation>
    <dataValidation type="list" allowBlank="1" prompt="Please select a data source" sqref="L35:N39 JH35:JJ39 TD35:TF39 ACZ35:ADB39 AMV35:AMX39 AWR35:AWT39 BGN35:BGP39 BQJ35:BQL39 CAF35:CAH39 CKB35:CKD39 CTX35:CTZ39 DDT35:DDV39 DNP35:DNR39 DXL35:DXN39 EHH35:EHJ39 ERD35:ERF39 FAZ35:FBB39 FKV35:FKX39 FUR35:FUT39 GEN35:GEP39 GOJ35:GOL39 GYF35:GYH39 HIB35:HID39 HRX35:HRZ39 IBT35:IBV39 ILP35:ILR39 IVL35:IVN39 JFH35:JFJ39 JPD35:JPF39 JYZ35:JZB39 KIV35:KIX39 KSR35:KST39 LCN35:LCP39 LMJ35:LML39 LWF35:LWH39 MGB35:MGD39 MPX35:MPZ39 MZT35:MZV39 NJP35:NJR39 NTL35:NTN39 ODH35:ODJ39 OND35:ONF39 OWZ35:OXB39 PGV35:PGX39 PQR35:PQT39 QAN35:QAP39 QKJ35:QKL39 QUF35:QUH39 REB35:RED39 RNX35:RNZ39 RXT35:RXV39 SHP35:SHR39 SRL35:SRN39 TBH35:TBJ39 TLD35:TLF39 TUZ35:TVB39 UEV35:UEX39 UOR35:UOT39 UYN35:UYP39 VIJ35:VIL39 VSF35:VSH39 WCB35:WCD39 WLX35:WLZ39 WVT35:WVV39 L65571:N65575 JH65571:JJ65575 TD65571:TF65575 ACZ65571:ADB65575 AMV65571:AMX65575 AWR65571:AWT65575 BGN65571:BGP65575 BQJ65571:BQL65575 CAF65571:CAH65575 CKB65571:CKD65575 CTX65571:CTZ65575 DDT65571:DDV65575 DNP65571:DNR65575 DXL65571:DXN65575 EHH65571:EHJ65575 ERD65571:ERF65575 FAZ65571:FBB65575 FKV65571:FKX65575 FUR65571:FUT65575 GEN65571:GEP65575 GOJ65571:GOL65575 GYF65571:GYH65575 HIB65571:HID65575 HRX65571:HRZ65575 IBT65571:IBV65575 ILP65571:ILR65575 IVL65571:IVN65575 JFH65571:JFJ65575 JPD65571:JPF65575 JYZ65571:JZB65575 KIV65571:KIX65575 KSR65571:KST65575 LCN65571:LCP65575 LMJ65571:LML65575 LWF65571:LWH65575 MGB65571:MGD65575 MPX65571:MPZ65575 MZT65571:MZV65575 NJP65571:NJR65575 NTL65571:NTN65575 ODH65571:ODJ65575 OND65571:ONF65575 OWZ65571:OXB65575 PGV65571:PGX65575 PQR65571:PQT65575 QAN65571:QAP65575 QKJ65571:QKL65575 QUF65571:QUH65575 REB65571:RED65575 RNX65571:RNZ65575 RXT65571:RXV65575 SHP65571:SHR65575 SRL65571:SRN65575 TBH65571:TBJ65575 TLD65571:TLF65575 TUZ65571:TVB65575 UEV65571:UEX65575 UOR65571:UOT65575 UYN65571:UYP65575 VIJ65571:VIL65575 VSF65571:VSH65575 WCB65571:WCD65575 WLX65571:WLZ65575 WVT65571:WVV65575 L131107:N131111 JH131107:JJ131111 TD131107:TF131111 ACZ131107:ADB131111 AMV131107:AMX131111 AWR131107:AWT131111 BGN131107:BGP131111 BQJ131107:BQL131111 CAF131107:CAH131111 CKB131107:CKD131111 CTX131107:CTZ131111 DDT131107:DDV131111 DNP131107:DNR131111 DXL131107:DXN131111 EHH131107:EHJ131111 ERD131107:ERF131111 FAZ131107:FBB131111 FKV131107:FKX131111 FUR131107:FUT131111 GEN131107:GEP131111 GOJ131107:GOL131111 GYF131107:GYH131111 HIB131107:HID131111 HRX131107:HRZ131111 IBT131107:IBV131111 ILP131107:ILR131111 IVL131107:IVN131111 JFH131107:JFJ131111 JPD131107:JPF131111 JYZ131107:JZB131111 KIV131107:KIX131111 KSR131107:KST131111 LCN131107:LCP131111 LMJ131107:LML131111 LWF131107:LWH131111 MGB131107:MGD131111 MPX131107:MPZ131111 MZT131107:MZV131111 NJP131107:NJR131111 NTL131107:NTN131111 ODH131107:ODJ131111 OND131107:ONF131111 OWZ131107:OXB131111 PGV131107:PGX131111 PQR131107:PQT131111 QAN131107:QAP131111 QKJ131107:QKL131111 QUF131107:QUH131111 REB131107:RED131111 RNX131107:RNZ131111 RXT131107:RXV131111 SHP131107:SHR131111 SRL131107:SRN131111 TBH131107:TBJ131111 TLD131107:TLF131111 TUZ131107:TVB131111 UEV131107:UEX131111 UOR131107:UOT131111 UYN131107:UYP131111 VIJ131107:VIL131111 VSF131107:VSH131111 WCB131107:WCD131111 WLX131107:WLZ131111 WVT131107:WVV131111 L196643:N196647 JH196643:JJ196647 TD196643:TF196647 ACZ196643:ADB196647 AMV196643:AMX196647 AWR196643:AWT196647 BGN196643:BGP196647 BQJ196643:BQL196647 CAF196643:CAH196647 CKB196643:CKD196647 CTX196643:CTZ196647 DDT196643:DDV196647 DNP196643:DNR196647 DXL196643:DXN196647 EHH196643:EHJ196647 ERD196643:ERF196647 FAZ196643:FBB196647 FKV196643:FKX196647 FUR196643:FUT196647 GEN196643:GEP196647 GOJ196643:GOL196647 GYF196643:GYH196647 HIB196643:HID196647 HRX196643:HRZ196647 IBT196643:IBV196647 ILP196643:ILR196647 IVL196643:IVN196647 JFH196643:JFJ196647 JPD196643:JPF196647 JYZ196643:JZB196647 KIV196643:KIX196647 KSR196643:KST196647 LCN196643:LCP196647 LMJ196643:LML196647 LWF196643:LWH196647 MGB196643:MGD196647 MPX196643:MPZ196647 MZT196643:MZV196647 NJP196643:NJR196647 NTL196643:NTN196647 ODH196643:ODJ196647 OND196643:ONF196647 OWZ196643:OXB196647 PGV196643:PGX196647 PQR196643:PQT196647 QAN196643:QAP196647 QKJ196643:QKL196647 QUF196643:QUH196647 REB196643:RED196647 RNX196643:RNZ196647 RXT196643:RXV196647 SHP196643:SHR196647 SRL196643:SRN196647 TBH196643:TBJ196647 TLD196643:TLF196647 TUZ196643:TVB196647 UEV196643:UEX196647 UOR196643:UOT196647 UYN196643:UYP196647 VIJ196643:VIL196647 VSF196643:VSH196647 WCB196643:WCD196647 WLX196643:WLZ196647 WVT196643:WVV196647 L262179:N262183 JH262179:JJ262183 TD262179:TF262183 ACZ262179:ADB262183 AMV262179:AMX262183 AWR262179:AWT262183 BGN262179:BGP262183 BQJ262179:BQL262183 CAF262179:CAH262183 CKB262179:CKD262183 CTX262179:CTZ262183 DDT262179:DDV262183 DNP262179:DNR262183 DXL262179:DXN262183 EHH262179:EHJ262183 ERD262179:ERF262183 FAZ262179:FBB262183 FKV262179:FKX262183 FUR262179:FUT262183 GEN262179:GEP262183 GOJ262179:GOL262183 GYF262179:GYH262183 HIB262179:HID262183 HRX262179:HRZ262183 IBT262179:IBV262183 ILP262179:ILR262183 IVL262179:IVN262183 JFH262179:JFJ262183 JPD262179:JPF262183 JYZ262179:JZB262183 KIV262179:KIX262183 KSR262179:KST262183 LCN262179:LCP262183 LMJ262179:LML262183 LWF262179:LWH262183 MGB262179:MGD262183 MPX262179:MPZ262183 MZT262179:MZV262183 NJP262179:NJR262183 NTL262179:NTN262183 ODH262179:ODJ262183 OND262179:ONF262183 OWZ262179:OXB262183 PGV262179:PGX262183 PQR262179:PQT262183 QAN262179:QAP262183 QKJ262179:QKL262183 QUF262179:QUH262183 REB262179:RED262183 RNX262179:RNZ262183 RXT262179:RXV262183 SHP262179:SHR262183 SRL262179:SRN262183 TBH262179:TBJ262183 TLD262179:TLF262183 TUZ262179:TVB262183 UEV262179:UEX262183 UOR262179:UOT262183 UYN262179:UYP262183 VIJ262179:VIL262183 VSF262179:VSH262183 WCB262179:WCD262183 WLX262179:WLZ262183 WVT262179:WVV262183 L327715:N327719 JH327715:JJ327719 TD327715:TF327719 ACZ327715:ADB327719 AMV327715:AMX327719 AWR327715:AWT327719 BGN327715:BGP327719 BQJ327715:BQL327719 CAF327715:CAH327719 CKB327715:CKD327719 CTX327715:CTZ327719 DDT327715:DDV327719 DNP327715:DNR327719 DXL327715:DXN327719 EHH327715:EHJ327719 ERD327715:ERF327719 FAZ327715:FBB327719 FKV327715:FKX327719 FUR327715:FUT327719 GEN327715:GEP327719 GOJ327715:GOL327719 GYF327715:GYH327719 HIB327715:HID327719 HRX327715:HRZ327719 IBT327715:IBV327719 ILP327715:ILR327719 IVL327715:IVN327719 JFH327715:JFJ327719 JPD327715:JPF327719 JYZ327715:JZB327719 KIV327715:KIX327719 KSR327715:KST327719 LCN327715:LCP327719 LMJ327715:LML327719 LWF327715:LWH327719 MGB327715:MGD327719 MPX327715:MPZ327719 MZT327715:MZV327719 NJP327715:NJR327719 NTL327715:NTN327719 ODH327715:ODJ327719 OND327715:ONF327719 OWZ327715:OXB327719 PGV327715:PGX327719 PQR327715:PQT327719 QAN327715:QAP327719 QKJ327715:QKL327719 QUF327715:QUH327719 REB327715:RED327719 RNX327715:RNZ327719 RXT327715:RXV327719 SHP327715:SHR327719 SRL327715:SRN327719 TBH327715:TBJ327719 TLD327715:TLF327719 TUZ327715:TVB327719 UEV327715:UEX327719 UOR327715:UOT327719 UYN327715:UYP327719 VIJ327715:VIL327719 VSF327715:VSH327719 WCB327715:WCD327719 WLX327715:WLZ327719 WVT327715:WVV327719 L393251:N393255 JH393251:JJ393255 TD393251:TF393255 ACZ393251:ADB393255 AMV393251:AMX393255 AWR393251:AWT393255 BGN393251:BGP393255 BQJ393251:BQL393255 CAF393251:CAH393255 CKB393251:CKD393255 CTX393251:CTZ393255 DDT393251:DDV393255 DNP393251:DNR393255 DXL393251:DXN393255 EHH393251:EHJ393255 ERD393251:ERF393255 FAZ393251:FBB393255 FKV393251:FKX393255 FUR393251:FUT393255 GEN393251:GEP393255 GOJ393251:GOL393255 GYF393251:GYH393255 HIB393251:HID393255 HRX393251:HRZ393255 IBT393251:IBV393255 ILP393251:ILR393255 IVL393251:IVN393255 JFH393251:JFJ393255 JPD393251:JPF393255 JYZ393251:JZB393255 KIV393251:KIX393255 KSR393251:KST393255 LCN393251:LCP393255 LMJ393251:LML393255 LWF393251:LWH393255 MGB393251:MGD393255 MPX393251:MPZ393255 MZT393251:MZV393255 NJP393251:NJR393255 NTL393251:NTN393255 ODH393251:ODJ393255 OND393251:ONF393255 OWZ393251:OXB393255 PGV393251:PGX393255 PQR393251:PQT393255 QAN393251:QAP393255 QKJ393251:QKL393255 QUF393251:QUH393255 REB393251:RED393255 RNX393251:RNZ393255 RXT393251:RXV393255 SHP393251:SHR393255 SRL393251:SRN393255 TBH393251:TBJ393255 TLD393251:TLF393255 TUZ393251:TVB393255 UEV393251:UEX393255 UOR393251:UOT393255 UYN393251:UYP393255 VIJ393251:VIL393255 VSF393251:VSH393255 WCB393251:WCD393255 WLX393251:WLZ393255 WVT393251:WVV393255 L458787:N458791 JH458787:JJ458791 TD458787:TF458791 ACZ458787:ADB458791 AMV458787:AMX458791 AWR458787:AWT458791 BGN458787:BGP458791 BQJ458787:BQL458791 CAF458787:CAH458791 CKB458787:CKD458791 CTX458787:CTZ458791 DDT458787:DDV458791 DNP458787:DNR458791 DXL458787:DXN458791 EHH458787:EHJ458791 ERD458787:ERF458791 FAZ458787:FBB458791 FKV458787:FKX458791 FUR458787:FUT458791 GEN458787:GEP458791 GOJ458787:GOL458791 GYF458787:GYH458791 HIB458787:HID458791 HRX458787:HRZ458791 IBT458787:IBV458791 ILP458787:ILR458791 IVL458787:IVN458791 JFH458787:JFJ458791 JPD458787:JPF458791 JYZ458787:JZB458791 KIV458787:KIX458791 KSR458787:KST458791 LCN458787:LCP458791 LMJ458787:LML458791 LWF458787:LWH458791 MGB458787:MGD458791 MPX458787:MPZ458791 MZT458787:MZV458791 NJP458787:NJR458791 NTL458787:NTN458791 ODH458787:ODJ458791 OND458787:ONF458791 OWZ458787:OXB458791 PGV458787:PGX458791 PQR458787:PQT458791 QAN458787:QAP458791 QKJ458787:QKL458791 QUF458787:QUH458791 REB458787:RED458791 RNX458787:RNZ458791 RXT458787:RXV458791 SHP458787:SHR458791 SRL458787:SRN458791 TBH458787:TBJ458791 TLD458787:TLF458791 TUZ458787:TVB458791 UEV458787:UEX458791 UOR458787:UOT458791 UYN458787:UYP458791 VIJ458787:VIL458791 VSF458787:VSH458791 WCB458787:WCD458791 WLX458787:WLZ458791 WVT458787:WVV458791 L524323:N524327 JH524323:JJ524327 TD524323:TF524327 ACZ524323:ADB524327 AMV524323:AMX524327 AWR524323:AWT524327 BGN524323:BGP524327 BQJ524323:BQL524327 CAF524323:CAH524327 CKB524323:CKD524327 CTX524323:CTZ524327 DDT524323:DDV524327 DNP524323:DNR524327 DXL524323:DXN524327 EHH524323:EHJ524327 ERD524323:ERF524327 FAZ524323:FBB524327 FKV524323:FKX524327 FUR524323:FUT524327 GEN524323:GEP524327 GOJ524323:GOL524327 GYF524323:GYH524327 HIB524323:HID524327 HRX524323:HRZ524327 IBT524323:IBV524327 ILP524323:ILR524327 IVL524323:IVN524327 JFH524323:JFJ524327 JPD524323:JPF524327 JYZ524323:JZB524327 KIV524323:KIX524327 KSR524323:KST524327 LCN524323:LCP524327 LMJ524323:LML524327 LWF524323:LWH524327 MGB524323:MGD524327 MPX524323:MPZ524327 MZT524323:MZV524327 NJP524323:NJR524327 NTL524323:NTN524327 ODH524323:ODJ524327 OND524323:ONF524327 OWZ524323:OXB524327 PGV524323:PGX524327 PQR524323:PQT524327 QAN524323:QAP524327 QKJ524323:QKL524327 QUF524323:QUH524327 REB524323:RED524327 RNX524323:RNZ524327 RXT524323:RXV524327 SHP524323:SHR524327 SRL524323:SRN524327 TBH524323:TBJ524327 TLD524323:TLF524327 TUZ524323:TVB524327 UEV524323:UEX524327 UOR524323:UOT524327 UYN524323:UYP524327 VIJ524323:VIL524327 VSF524323:VSH524327 WCB524323:WCD524327 WLX524323:WLZ524327 WVT524323:WVV524327 L589859:N589863 JH589859:JJ589863 TD589859:TF589863 ACZ589859:ADB589863 AMV589859:AMX589863 AWR589859:AWT589863 BGN589859:BGP589863 BQJ589859:BQL589863 CAF589859:CAH589863 CKB589859:CKD589863 CTX589859:CTZ589863 DDT589859:DDV589863 DNP589859:DNR589863 DXL589859:DXN589863 EHH589859:EHJ589863 ERD589859:ERF589863 FAZ589859:FBB589863 FKV589859:FKX589863 FUR589859:FUT589863 GEN589859:GEP589863 GOJ589859:GOL589863 GYF589859:GYH589863 HIB589859:HID589863 HRX589859:HRZ589863 IBT589859:IBV589863 ILP589859:ILR589863 IVL589859:IVN589863 JFH589859:JFJ589863 JPD589859:JPF589863 JYZ589859:JZB589863 KIV589859:KIX589863 KSR589859:KST589863 LCN589859:LCP589863 LMJ589859:LML589863 LWF589859:LWH589863 MGB589859:MGD589863 MPX589859:MPZ589863 MZT589859:MZV589863 NJP589859:NJR589863 NTL589859:NTN589863 ODH589859:ODJ589863 OND589859:ONF589863 OWZ589859:OXB589863 PGV589859:PGX589863 PQR589859:PQT589863 QAN589859:QAP589863 QKJ589859:QKL589863 QUF589859:QUH589863 REB589859:RED589863 RNX589859:RNZ589863 RXT589859:RXV589863 SHP589859:SHR589863 SRL589859:SRN589863 TBH589859:TBJ589863 TLD589859:TLF589863 TUZ589859:TVB589863 UEV589859:UEX589863 UOR589859:UOT589863 UYN589859:UYP589863 VIJ589859:VIL589863 VSF589859:VSH589863 WCB589859:WCD589863 WLX589859:WLZ589863 WVT589859:WVV589863 L655395:N655399 JH655395:JJ655399 TD655395:TF655399 ACZ655395:ADB655399 AMV655395:AMX655399 AWR655395:AWT655399 BGN655395:BGP655399 BQJ655395:BQL655399 CAF655395:CAH655399 CKB655395:CKD655399 CTX655395:CTZ655399 DDT655395:DDV655399 DNP655395:DNR655399 DXL655395:DXN655399 EHH655395:EHJ655399 ERD655395:ERF655399 FAZ655395:FBB655399 FKV655395:FKX655399 FUR655395:FUT655399 GEN655395:GEP655399 GOJ655395:GOL655399 GYF655395:GYH655399 HIB655395:HID655399 HRX655395:HRZ655399 IBT655395:IBV655399 ILP655395:ILR655399 IVL655395:IVN655399 JFH655395:JFJ655399 JPD655395:JPF655399 JYZ655395:JZB655399 KIV655395:KIX655399 KSR655395:KST655399 LCN655395:LCP655399 LMJ655395:LML655399 LWF655395:LWH655399 MGB655395:MGD655399 MPX655395:MPZ655399 MZT655395:MZV655399 NJP655395:NJR655399 NTL655395:NTN655399 ODH655395:ODJ655399 OND655395:ONF655399 OWZ655395:OXB655399 PGV655395:PGX655399 PQR655395:PQT655399 QAN655395:QAP655399 QKJ655395:QKL655399 QUF655395:QUH655399 REB655395:RED655399 RNX655395:RNZ655399 RXT655395:RXV655399 SHP655395:SHR655399 SRL655395:SRN655399 TBH655395:TBJ655399 TLD655395:TLF655399 TUZ655395:TVB655399 UEV655395:UEX655399 UOR655395:UOT655399 UYN655395:UYP655399 VIJ655395:VIL655399 VSF655395:VSH655399 WCB655395:WCD655399 WLX655395:WLZ655399 WVT655395:WVV655399 L720931:N720935 JH720931:JJ720935 TD720931:TF720935 ACZ720931:ADB720935 AMV720931:AMX720935 AWR720931:AWT720935 BGN720931:BGP720935 BQJ720931:BQL720935 CAF720931:CAH720935 CKB720931:CKD720935 CTX720931:CTZ720935 DDT720931:DDV720935 DNP720931:DNR720935 DXL720931:DXN720935 EHH720931:EHJ720935 ERD720931:ERF720935 FAZ720931:FBB720935 FKV720931:FKX720935 FUR720931:FUT720935 GEN720931:GEP720935 GOJ720931:GOL720935 GYF720931:GYH720935 HIB720931:HID720935 HRX720931:HRZ720935 IBT720931:IBV720935 ILP720931:ILR720935 IVL720931:IVN720935 JFH720931:JFJ720935 JPD720931:JPF720935 JYZ720931:JZB720935 KIV720931:KIX720935 KSR720931:KST720935 LCN720931:LCP720935 LMJ720931:LML720935 LWF720931:LWH720935 MGB720931:MGD720935 MPX720931:MPZ720935 MZT720931:MZV720935 NJP720931:NJR720935 NTL720931:NTN720935 ODH720931:ODJ720935 OND720931:ONF720935 OWZ720931:OXB720935 PGV720931:PGX720935 PQR720931:PQT720935 QAN720931:QAP720935 QKJ720931:QKL720935 QUF720931:QUH720935 REB720931:RED720935 RNX720931:RNZ720935 RXT720931:RXV720935 SHP720931:SHR720935 SRL720931:SRN720935 TBH720931:TBJ720935 TLD720931:TLF720935 TUZ720931:TVB720935 UEV720931:UEX720935 UOR720931:UOT720935 UYN720931:UYP720935 VIJ720931:VIL720935 VSF720931:VSH720935 WCB720931:WCD720935 WLX720931:WLZ720935 WVT720931:WVV720935 L786467:N786471 JH786467:JJ786471 TD786467:TF786471 ACZ786467:ADB786471 AMV786467:AMX786471 AWR786467:AWT786471 BGN786467:BGP786471 BQJ786467:BQL786471 CAF786467:CAH786471 CKB786467:CKD786471 CTX786467:CTZ786471 DDT786467:DDV786471 DNP786467:DNR786471 DXL786467:DXN786471 EHH786467:EHJ786471 ERD786467:ERF786471 FAZ786467:FBB786471 FKV786467:FKX786471 FUR786467:FUT786471 GEN786467:GEP786471 GOJ786467:GOL786471 GYF786467:GYH786471 HIB786467:HID786471 HRX786467:HRZ786471 IBT786467:IBV786471 ILP786467:ILR786471 IVL786467:IVN786471 JFH786467:JFJ786471 JPD786467:JPF786471 JYZ786467:JZB786471 KIV786467:KIX786471 KSR786467:KST786471 LCN786467:LCP786471 LMJ786467:LML786471 LWF786467:LWH786471 MGB786467:MGD786471 MPX786467:MPZ786471 MZT786467:MZV786471 NJP786467:NJR786471 NTL786467:NTN786471 ODH786467:ODJ786471 OND786467:ONF786471 OWZ786467:OXB786471 PGV786467:PGX786471 PQR786467:PQT786471 QAN786467:QAP786471 QKJ786467:QKL786471 QUF786467:QUH786471 REB786467:RED786471 RNX786467:RNZ786471 RXT786467:RXV786471 SHP786467:SHR786471 SRL786467:SRN786471 TBH786467:TBJ786471 TLD786467:TLF786471 TUZ786467:TVB786471 UEV786467:UEX786471 UOR786467:UOT786471 UYN786467:UYP786471 VIJ786467:VIL786471 VSF786467:VSH786471 WCB786467:WCD786471 WLX786467:WLZ786471 WVT786467:WVV786471 L852003:N852007 JH852003:JJ852007 TD852003:TF852007 ACZ852003:ADB852007 AMV852003:AMX852007 AWR852003:AWT852007 BGN852003:BGP852007 BQJ852003:BQL852007 CAF852003:CAH852007 CKB852003:CKD852007 CTX852003:CTZ852007 DDT852003:DDV852007 DNP852003:DNR852007 DXL852003:DXN852007 EHH852003:EHJ852007 ERD852003:ERF852007 FAZ852003:FBB852007 FKV852003:FKX852007 FUR852003:FUT852007 GEN852003:GEP852007 GOJ852003:GOL852007 GYF852003:GYH852007 HIB852003:HID852007 HRX852003:HRZ852007 IBT852003:IBV852007 ILP852003:ILR852007 IVL852003:IVN852007 JFH852003:JFJ852007 JPD852003:JPF852007 JYZ852003:JZB852007 KIV852003:KIX852007 KSR852003:KST852007 LCN852003:LCP852007 LMJ852003:LML852007 LWF852003:LWH852007 MGB852003:MGD852007 MPX852003:MPZ852007 MZT852003:MZV852007 NJP852003:NJR852007 NTL852003:NTN852007 ODH852003:ODJ852007 OND852003:ONF852007 OWZ852003:OXB852007 PGV852003:PGX852007 PQR852003:PQT852007 QAN852003:QAP852007 QKJ852003:QKL852007 QUF852003:QUH852007 REB852003:RED852007 RNX852003:RNZ852007 RXT852003:RXV852007 SHP852003:SHR852007 SRL852003:SRN852007 TBH852003:TBJ852007 TLD852003:TLF852007 TUZ852003:TVB852007 UEV852003:UEX852007 UOR852003:UOT852007 UYN852003:UYP852007 VIJ852003:VIL852007 VSF852003:VSH852007 WCB852003:WCD852007 WLX852003:WLZ852007 WVT852003:WVV852007 L917539:N917543 JH917539:JJ917543 TD917539:TF917543 ACZ917539:ADB917543 AMV917539:AMX917543 AWR917539:AWT917543 BGN917539:BGP917543 BQJ917539:BQL917543 CAF917539:CAH917543 CKB917539:CKD917543 CTX917539:CTZ917543 DDT917539:DDV917543 DNP917539:DNR917543 DXL917539:DXN917543 EHH917539:EHJ917543 ERD917539:ERF917543 FAZ917539:FBB917543 FKV917539:FKX917543 FUR917539:FUT917543 GEN917539:GEP917543 GOJ917539:GOL917543 GYF917539:GYH917543 HIB917539:HID917543 HRX917539:HRZ917543 IBT917539:IBV917543 ILP917539:ILR917543 IVL917539:IVN917543 JFH917539:JFJ917543 JPD917539:JPF917543 JYZ917539:JZB917543 KIV917539:KIX917543 KSR917539:KST917543 LCN917539:LCP917543 LMJ917539:LML917543 LWF917539:LWH917543 MGB917539:MGD917543 MPX917539:MPZ917543 MZT917539:MZV917543 NJP917539:NJR917543 NTL917539:NTN917543 ODH917539:ODJ917543 OND917539:ONF917543 OWZ917539:OXB917543 PGV917539:PGX917543 PQR917539:PQT917543 QAN917539:QAP917543 QKJ917539:QKL917543 QUF917539:QUH917543 REB917539:RED917543 RNX917539:RNZ917543 RXT917539:RXV917543 SHP917539:SHR917543 SRL917539:SRN917543 TBH917539:TBJ917543 TLD917539:TLF917543 TUZ917539:TVB917543 UEV917539:UEX917543 UOR917539:UOT917543 UYN917539:UYP917543 VIJ917539:VIL917543 VSF917539:VSH917543 WCB917539:WCD917543 WLX917539:WLZ917543 WVT917539:WVV917543 L983075:N983079 JH983075:JJ983079 TD983075:TF983079 ACZ983075:ADB983079 AMV983075:AMX983079 AWR983075:AWT983079 BGN983075:BGP983079 BQJ983075:BQL983079 CAF983075:CAH983079 CKB983075:CKD983079 CTX983075:CTZ983079 DDT983075:DDV983079 DNP983075:DNR983079 DXL983075:DXN983079 EHH983075:EHJ983079 ERD983075:ERF983079 FAZ983075:FBB983079 FKV983075:FKX983079 FUR983075:FUT983079 GEN983075:GEP983079 GOJ983075:GOL983079 GYF983075:GYH983079 HIB983075:HID983079 HRX983075:HRZ983079 IBT983075:IBV983079 ILP983075:ILR983079 IVL983075:IVN983079 JFH983075:JFJ983079 JPD983075:JPF983079 JYZ983075:JZB983079 KIV983075:KIX983079 KSR983075:KST983079 LCN983075:LCP983079 LMJ983075:LML983079 LWF983075:LWH983079 MGB983075:MGD983079 MPX983075:MPZ983079 MZT983075:MZV983079 NJP983075:NJR983079 NTL983075:NTN983079 ODH983075:ODJ983079 OND983075:ONF983079 OWZ983075:OXB983079 PGV983075:PGX983079 PQR983075:PQT983079 QAN983075:QAP983079 QKJ983075:QKL983079 QUF983075:QUH983079 REB983075:RED983079 RNX983075:RNZ983079 RXT983075:RXV983079 SHP983075:SHR983079 SRL983075:SRN983079 TBH983075:TBJ983079 TLD983075:TLF983079 TUZ983075:TVB983079 UEV983075:UEX983079 UOR983075:UOT983079 UYN983075:UYP983079 VIJ983075:VIL983079 VSF983075:VSH983079 WCB983075:WCD983079 WLX983075:WLZ983079 WVT983075:WVV983079">
      <formula1>DataSrcInCmp</formula1>
    </dataValidation>
    <dataValidation type="list" allowBlank="1" showInputMessage="1" showErrorMessage="1" sqref="L17:N21 JH17:JJ21 TD17:TF21 ACZ17:ADB21 AMV17:AMX21 AWR17:AWT21 BGN17:BGP21 BQJ17:BQL21 CAF17:CAH21 CKB17:CKD21 CTX17:CTZ21 DDT17:DDV21 DNP17:DNR21 DXL17:DXN21 EHH17:EHJ21 ERD17:ERF21 FAZ17:FBB21 FKV17:FKX21 FUR17:FUT21 GEN17:GEP21 GOJ17:GOL21 GYF17:GYH21 HIB17:HID21 HRX17:HRZ21 IBT17:IBV21 ILP17:ILR21 IVL17:IVN21 JFH17:JFJ21 JPD17:JPF21 JYZ17:JZB21 KIV17:KIX21 KSR17:KST21 LCN17:LCP21 LMJ17:LML21 LWF17:LWH21 MGB17:MGD21 MPX17:MPZ21 MZT17:MZV21 NJP17:NJR21 NTL17:NTN21 ODH17:ODJ21 OND17:ONF21 OWZ17:OXB21 PGV17:PGX21 PQR17:PQT21 QAN17:QAP21 QKJ17:QKL21 QUF17:QUH21 REB17:RED21 RNX17:RNZ21 RXT17:RXV21 SHP17:SHR21 SRL17:SRN21 TBH17:TBJ21 TLD17:TLF21 TUZ17:TVB21 UEV17:UEX21 UOR17:UOT21 UYN17:UYP21 VIJ17:VIL21 VSF17:VSH21 WCB17:WCD21 WLX17:WLZ21 WVT17:WVV21 L65553:N65557 JH65553:JJ65557 TD65553:TF65557 ACZ65553:ADB65557 AMV65553:AMX65557 AWR65553:AWT65557 BGN65553:BGP65557 BQJ65553:BQL65557 CAF65553:CAH65557 CKB65553:CKD65557 CTX65553:CTZ65557 DDT65553:DDV65557 DNP65553:DNR65557 DXL65553:DXN65557 EHH65553:EHJ65557 ERD65553:ERF65557 FAZ65553:FBB65557 FKV65553:FKX65557 FUR65553:FUT65557 GEN65553:GEP65557 GOJ65553:GOL65557 GYF65553:GYH65557 HIB65553:HID65557 HRX65553:HRZ65557 IBT65553:IBV65557 ILP65553:ILR65557 IVL65553:IVN65557 JFH65553:JFJ65557 JPD65553:JPF65557 JYZ65553:JZB65557 KIV65553:KIX65557 KSR65553:KST65557 LCN65553:LCP65557 LMJ65553:LML65557 LWF65553:LWH65557 MGB65553:MGD65557 MPX65553:MPZ65557 MZT65553:MZV65557 NJP65553:NJR65557 NTL65553:NTN65557 ODH65553:ODJ65557 OND65553:ONF65557 OWZ65553:OXB65557 PGV65553:PGX65557 PQR65553:PQT65557 QAN65553:QAP65557 QKJ65553:QKL65557 QUF65553:QUH65557 REB65553:RED65557 RNX65553:RNZ65557 RXT65553:RXV65557 SHP65553:SHR65557 SRL65553:SRN65557 TBH65553:TBJ65557 TLD65553:TLF65557 TUZ65553:TVB65557 UEV65553:UEX65557 UOR65553:UOT65557 UYN65553:UYP65557 VIJ65553:VIL65557 VSF65553:VSH65557 WCB65553:WCD65557 WLX65553:WLZ65557 WVT65553:WVV65557 L131089:N131093 JH131089:JJ131093 TD131089:TF131093 ACZ131089:ADB131093 AMV131089:AMX131093 AWR131089:AWT131093 BGN131089:BGP131093 BQJ131089:BQL131093 CAF131089:CAH131093 CKB131089:CKD131093 CTX131089:CTZ131093 DDT131089:DDV131093 DNP131089:DNR131093 DXL131089:DXN131093 EHH131089:EHJ131093 ERD131089:ERF131093 FAZ131089:FBB131093 FKV131089:FKX131093 FUR131089:FUT131093 GEN131089:GEP131093 GOJ131089:GOL131093 GYF131089:GYH131093 HIB131089:HID131093 HRX131089:HRZ131093 IBT131089:IBV131093 ILP131089:ILR131093 IVL131089:IVN131093 JFH131089:JFJ131093 JPD131089:JPF131093 JYZ131089:JZB131093 KIV131089:KIX131093 KSR131089:KST131093 LCN131089:LCP131093 LMJ131089:LML131093 LWF131089:LWH131093 MGB131089:MGD131093 MPX131089:MPZ131093 MZT131089:MZV131093 NJP131089:NJR131093 NTL131089:NTN131093 ODH131089:ODJ131093 OND131089:ONF131093 OWZ131089:OXB131093 PGV131089:PGX131093 PQR131089:PQT131093 QAN131089:QAP131093 QKJ131089:QKL131093 QUF131089:QUH131093 REB131089:RED131093 RNX131089:RNZ131093 RXT131089:RXV131093 SHP131089:SHR131093 SRL131089:SRN131093 TBH131089:TBJ131093 TLD131089:TLF131093 TUZ131089:TVB131093 UEV131089:UEX131093 UOR131089:UOT131093 UYN131089:UYP131093 VIJ131089:VIL131093 VSF131089:VSH131093 WCB131089:WCD131093 WLX131089:WLZ131093 WVT131089:WVV131093 L196625:N196629 JH196625:JJ196629 TD196625:TF196629 ACZ196625:ADB196629 AMV196625:AMX196629 AWR196625:AWT196629 BGN196625:BGP196629 BQJ196625:BQL196629 CAF196625:CAH196629 CKB196625:CKD196629 CTX196625:CTZ196629 DDT196625:DDV196629 DNP196625:DNR196629 DXL196625:DXN196629 EHH196625:EHJ196629 ERD196625:ERF196629 FAZ196625:FBB196629 FKV196625:FKX196629 FUR196625:FUT196629 GEN196625:GEP196629 GOJ196625:GOL196629 GYF196625:GYH196629 HIB196625:HID196629 HRX196625:HRZ196629 IBT196625:IBV196629 ILP196625:ILR196629 IVL196625:IVN196629 JFH196625:JFJ196629 JPD196625:JPF196629 JYZ196625:JZB196629 KIV196625:KIX196629 KSR196625:KST196629 LCN196625:LCP196629 LMJ196625:LML196629 LWF196625:LWH196629 MGB196625:MGD196629 MPX196625:MPZ196629 MZT196625:MZV196629 NJP196625:NJR196629 NTL196625:NTN196629 ODH196625:ODJ196629 OND196625:ONF196629 OWZ196625:OXB196629 PGV196625:PGX196629 PQR196625:PQT196629 QAN196625:QAP196629 QKJ196625:QKL196629 QUF196625:QUH196629 REB196625:RED196629 RNX196625:RNZ196629 RXT196625:RXV196629 SHP196625:SHR196629 SRL196625:SRN196629 TBH196625:TBJ196629 TLD196625:TLF196629 TUZ196625:TVB196629 UEV196625:UEX196629 UOR196625:UOT196629 UYN196625:UYP196629 VIJ196625:VIL196629 VSF196625:VSH196629 WCB196625:WCD196629 WLX196625:WLZ196629 WVT196625:WVV196629 L262161:N262165 JH262161:JJ262165 TD262161:TF262165 ACZ262161:ADB262165 AMV262161:AMX262165 AWR262161:AWT262165 BGN262161:BGP262165 BQJ262161:BQL262165 CAF262161:CAH262165 CKB262161:CKD262165 CTX262161:CTZ262165 DDT262161:DDV262165 DNP262161:DNR262165 DXL262161:DXN262165 EHH262161:EHJ262165 ERD262161:ERF262165 FAZ262161:FBB262165 FKV262161:FKX262165 FUR262161:FUT262165 GEN262161:GEP262165 GOJ262161:GOL262165 GYF262161:GYH262165 HIB262161:HID262165 HRX262161:HRZ262165 IBT262161:IBV262165 ILP262161:ILR262165 IVL262161:IVN262165 JFH262161:JFJ262165 JPD262161:JPF262165 JYZ262161:JZB262165 KIV262161:KIX262165 KSR262161:KST262165 LCN262161:LCP262165 LMJ262161:LML262165 LWF262161:LWH262165 MGB262161:MGD262165 MPX262161:MPZ262165 MZT262161:MZV262165 NJP262161:NJR262165 NTL262161:NTN262165 ODH262161:ODJ262165 OND262161:ONF262165 OWZ262161:OXB262165 PGV262161:PGX262165 PQR262161:PQT262165 QAN262161:QAP262165 QKJ262161:QKL262165 QUF262161:QUH262165 REB262161:RED262165 RNX262161:RNZ262165 RXT262161:RXV262165 SHP262161:SHR262165 SRL262161:SRN262165 TBH262161:TBJ262165 TLD262161:TLF262165 TUZ262161:TVB262165 UEV262161:UEX262165 UOR262161:UOT262165 UYN262161:UYP262165 VIJ262161:VIL262165 VSF262161:VSH262165 WCB262161:WCD262165 WLX262161:WLZ262165 WVT262161:WVV262165 L327697:N327701 JH327697:JJ327701 TD327697:TF327701 ACZ327697:ADB327701 AMV327697:AMX327701 AWR327697:AWT327701 BGN327697:BGP327701 BQJ327697:BQL327701 CAF327697:CAH327701 CKB327697:CKD327701 CTX327697:CTZ327701 DDT327697:DDV327701 DNP327697:DNR327701 DXL327697:DXN327701 EHH327697:EHJ327701 ERD327697:ERF327701 FAZ327697:FBB327701 FKV327697:FKX327701 FUR327697:FUT327701 GEN327697:GEP327701 GOJ327697:GOL327701 GYF327697:GYH327701 HIB327697:HID327701 HRX327697:HRZ327701 IBT327697:IBV327701 ILP327697:ILR327701 IVL327697:IVN327701 JFH327697:JFJ327701 JPD327697:JPF327701 JYZ327697:JZB327701 KIV327697:KIX327701 KSR327697:KST327701 LCN327697:LCP327701 LMJ327697:LML327701 LWF327697:LWH327701 MGB327697:MGD327701 MPX327697:MPZ327701 MZT327697:MZV327701 NJP327697:NJR327701 NTL327697:NTN327701 ODH327697:ODJ327701 OND327697:ONF327701 OWZ327697:OXB327701 PGV327697:PGX327701 PQR327697:PQT327701 QAN327697:QAP327701 QKJ327697:QKL327701 QUF327697:QUH327701 REB327697:RED327701 RNX327697:RNZ327701 RXT327697:RXV327701 SHP327697:SHR327701 SRL327697:SRN327701 TBH327697:TBJ327701 TLD327697:TLF327701 TUZ327697:TVB327701 UEV327697:UEX327701 UOR327697:UOT327701 UYN327697:UYP327701 VIJ327697:VIL327701 VSF327697:VSH327701 WCB327697:WCD327701 WLX327697:WLZ327701 WVT327697:WVV327701 L393233:N393237 JH393233:JJ393237 TD393233:TF393237 ACZ393233:ADB393237 AMV393233:AMX393237 AWR393233:AWT393237 BGN393233:BGP393237 BQJ393233:BQL393237 CAF393233:CAH393237 CKB393233:CKD393237 CTX393233:CTZ393237 DDT393233:DDV393237 DNP393233:DNR393237 DXL393233:DXN393237 EHH393233:EHJ393237 ERD393233:ERF393237 FAZ393233:FBB393237 FKV393233:FKX393237 FUR393233:FUT393237 GEN393233:GEP393237 GOJ393233:GOL393237 GYF393233:GYH393237 HIB393233:HID393237 HRX393233:HRZ393237 IBT393233:IBV393237 ILP393233:ILR393237 IVL393233:IVN393237 JFH393233:JFJ393237 JPD393233:JPF393237 JYZ393233:JZB393237 KIV393233:KIX393237 KSR393233:KST393237 LCN393233:LCP393237 LMJ393233:LML393237 LWF393233:LWH393237 MGB393233:MGD393237 MPX393233:MPZ393237 MZT393233:MZV393237 NJP393233:NJR393237 NTL393233:NTN393237 ODH393233:ODJ393237 OND393233:ONF393237 OWZ393233:OXB393237 PGV393233:PGX393237 PQR393233:PQT393237 QAN393233:QAP393237 QKJ393233:QKL393237 QUF393233:QUH393237 REB393233:RED393237 RNX393233:RNZ393237 RXT393233:RXV393237 SHP393233:SHR393237 SRL393233:SRN393237 TBH393233:TBJ393237 TLD393233:TLF393237 TUZ393233:TVB393237 UEV393233:UEX393237 UOR393233:UOT393237 UYN393233:UYP393237 VIJ393233:VIL393237 VSF393233:VSH393237 WCB393233:WCD393237 WLX393233:WLZ393237 WVT393233:WVV393237 L458769:N458773 JH458769:JJ458773 TD458769:TF458773 ACZ458769:ADB458773 AMV458769:AMX458773 AWR458769:AWT458773 BGN458769:BGP458773 BQJ458769:BQL458773 CAF458769:CAH458773 CKB458769:CKD458773 CTX458769:CTZ458773 DDT458769:DDV458773 DNP458769:DNR458773 DXL458769:DXN458773 EHH458769:EHJ458773 ERD458769:ERF458773 FAZ458769:FBB458773 FKV458769:FKX458773 FUR458769:FUT458773 GEN458769:GEP458773 GOJ458769:GOL458773 GYF458769:GYH458773 HIB458769:HID458773 HRX458769:HRZ458773 IBT458769:IBV458773 ILP458769:ILR458773 IVL458769:IVN458773 JFH458769:JFJ458773 JPD458769:JPF458773 JYZ458769:JZB458773 KIV458769:KIX458773 KSR458769:KST458773 LCN458769:LCP458773 LMJ458769:LML458773 LWF458769:LWH458773 MGB458769:MGD458773 MPX458769:MPZ458773 MZT458769:MZV458773 NJP458769:NJR458773 NTL458769:NTN458773 ODH458769:ODJ458773 OND458769:ONF458773 OWZ458769:OXB458773 PGV458769:PGX458773 PQR458769:PQT458773 QAN458769:QAP458773 QKJ458769:QKL458773 QUF458769:QUH458773 REB458769:RED458773 RNX458769:RNZ458773 RXT458769:RXV458773 SHP458769:SHR458773 SRL458769:SRN458773 TBH458769:TBJ458773 TLD458769:TLF458773 TUZ458769:TVB458773 UEV458769:UEX458773 UOR458769:UOT458773 UYN458769:UYP458773 VIJ458769:VIL458773 VSF458769:VSH458773 WCB458769:WCD458773 WLX458769:WLZ458773 WVT458769:WVV458773 L524305:N524309 JH524305:JJ524309 TD524305:TF524309 ACZ524305:ADB524309 AMV524305:AMX524309 AWR524305:AWT524309 BGN524305:BGP524309 BQJ524305:BQL524309 CAF524305:CAH524309 CKB524305:CKD524309 CTX524305:CTZ524309 DDT524305:DDV524309 DNP524305:DNR524309 DXL524305:DXN524309 EHH524305:EHJ524309 ERD524305:ERF524309 FAZ524305:FBB524309 FKV524305:FKX524309 FUR524305:FUT524309 GEN524305:GEP524309 GOJ524305:GOL524309 GYF524305:GYH524309 HIB524305:HID524309 HRX524305:HRZ524309 IBT524305:IBV524309 ILP524305:ILR524309 IVL524305:IVN524309 JFH524305:JFJ524309 JPD524305:JPF524309 JYZ524305:JZB524309 KIV524305:KIX524309 KSR524305:KST524309 LCN524305:LCP524309 LMJ524305:LML524309 LWF524305:LWH524309 MGB524305:MGD524309 MPX524305:MPZ524309 MZT524305:MZV524309 NJP524305:NJR524309 NTL524305:NTN524309 ODH524305:ODJ524309 OND524305:ONF524309 OWZ524305:OXB524309 PGV524305:PGX524309 PQR524305:PQT524309 QAN524305:QAP524309 QKJ524305:QKL524309 QUF524305:QUH524309 REB524305:RED524309 RNX524305:RNZ524309 RXT524305:RXV524309 SHP524305:SHR524309 SRL524305:SRN524309 TBH524305:TBJ524309 TLD524305:TLF524309 TUZ524305:TVB524309 UEV524305:UEX524309 UOR524305:UOT524309 UYN524305:UYP524309 VIJ524305:VIL524309 VSF524305:VSH524309 WCB524305:WCD524309 WLX524305:WLZ524309 WVT524305:WVV524309 L589841:N589845 JH589841:JJ589845 TD589841:TF589845 ACZ589841:ADB589845 AMV589841:AMX589845 AWR589841:AWT589845 BGN589841:BGP589845 BQJ589841:BQL589845 CAF589841:CAH589845 CKB589841:CKD589845 CTX589841:CTZ589845 DDT589841:DDV589845 DNP589841:DNR589845 DXL589841:DXN589845 EHH589841:EHJ589845 ERD589841:ERF589845 FAZ589841:FBB589845 FKV589841:FKX589845 FUR589841:FUT589845 GEN589841:GEP589845 GOJ589841:GOL589845 GYF589841:GYH589845 HIB589841:HID589845 HRX589841:HRZ589845 IBT589841:IBV589845 ILP589841:ILR589845 IVL589841:IVN589845 JFH589841:JFJ589845 JPD589841:JPF589845 JYZ589841:JZB589845 KIV589841:KIX589845 KSR589841:KST589845 LCN589841:LCP589845 LMJ589841:LML589845 LWF589841:LWH589845 MGB589841:MGD589845 MPX589841:MPZ589845 MZT589841:MZV589845 NJP589841:NJR589845 NTL589841:NTN589845 ODH589841:ODJ589845 OND589841:ONF589845 OWZ589841:OXB589845 PGV589841:PGX589845 PQR589841:PQT589845 QAN589841:QAP589845 QKJ589841:QKL589845 QUF589841:QUH589845 REB589841:RED589845 RNX589841:RNZ589845 RXT589841:RXV589845 SHP589841:SHR589845 SRL589841:SRN589845 TBH589841:TBJ589845 TLD589841:TLF589845 TUZ589841:TVB589845 UEV589841:UEX589845 UOR589841:UOT589845 UYN589841:UYP589845 VIJ589841:VIL589845 VSF589841:VSH589845 WCB589841:WCD589845 WLX589841:WLZ589845 WVT589841:WVV589845 L655377:N655381 JH655377:JJ655381 TD655377:TF655381 ACZ655377:ADB655381 AMV655377:AMX655381 AWR655377:AWT655381 BGN655377:BGP655381 BQJ655377:BQL655381 CAF655377:CAH655381 CKB655377:CKD655381 CTX655377:CTZ655381 DDT655377:DDV655381 DNP655377:DNR655381 DXL655377:DXN655381 EHH655377:EHJ655381 ERD655377:ERF655381 FAZ655377:FBB655381 FKV655377:FKX655381 FUR655377:FUT655381 GEN655377:GEP655381 GOJ655377:GOL655381 GYF655377:GYH655381 HIB655377:HID655381 HRX655377:HRZ655381 IBT655377:IBV655381 ILP655377:ILR655381 IVL655377:IVN655381 JFH655377:JFJ655381 JPD655377:JPF655381 JYZ655377:JZB655381 KIV655377:KIX655381 KSR655377:KST655381 LCN655377:LCP655381 LMJ655377:LML655381 LWF655377:LWH655381 MGB655377:MGD655381 MPX655377:MPZ655381 MZT655377:MZV655381 NJP655377:NJR655381 NTL655377:NTN655381 ODH655377:ODJ655381 OND655377:ONF655381 OWZ655377:OXB655381 PGV655377:PGX655381 PQR655377:PQT655381 QAN655377:QAP655381 QKJ655377:QKL655381 QUF655377:QUH655381 REB655377:RED655381 RNX655377:RNZ655381 RXT655377:RXV655381 SHP655377:SHR655381 SRL655377:SRN655381 TBH655377:TBJ655381 TLD655377:TLF655381 TUZ655377:TVB655381 UEV655377:UEX655381 UOR655377:UOT655381 UYN655377:UYP655381 VIJ655377:VIL655381 VSF655377:VSH655381 WCB655377:WCD655381 WLX655377:WLZ655381 WVT655377:WVV655381 L720913:N720917 JH720913:JJ720917 TD720913:TF720917 ACZ720913:ADB720917 AMV720913:AMX720917 AWR720913:AWT720917 BGN720913:BGP720917 BQJ720913:BQL720917 CAF720913:CAH720917 CKB720913:CKD720917 CTX720913:CTZ720917 DDT720913:DDV720917 DNP720913:DNR720917 DXL720913:DXN720917 EHH720913:EHJ720917 ERD720913:ERF720917 FAZ720913:FBB720917 FKV720913:FKX720917 FUR720913:FUT720917 GEN720913:GEP720917 GOJ720913:GOL720917 GYF720913:GYH720917 HIB720913:HID720917 HRX720913:HRZ720917 IBT720913:IBV720917 ILP720913:ILR720917 IVL720913:IVN720917 JFH720913:JFJ720917 JPD720913:JPF720917 JYZ720913:JZB720917 KIV720913:KIX720917 KSR720913:KST720917 LCN720913:LCP720917 LMJ720913:LML720917 LWF720913:LWH720917 MGB720913:MGD720917 MPX720913:MPZ720917 MZT720913:MZV720917 NJP720913:NJR720917 NTL720913:NTN720917 ODH720913:ODJ720917 OND720913:ONF720917 OWZ720913:OXB720917 PGV720913:PGX720917 PQR720913:PQT720917 QAN720913:QAP720917 QKJ720913:QKL720917 QUF720913:QUH720917 REB720913:RED720917 RNX720913:RNZ720917 RXT720913:RXV720917 SHP720913:SHR720917 SRL720913:SRN720917 TBH720913:TBJ720917 TLD720913:TLF720917 TUZ720913:TVB720917 UEV720913:UEX720917 UOR720913:UOT720917 UYN720913:UYP720917 VIJ720913:VIL720917 VSF720913:VSH720917 WCB720913:WCD720917 WLX720913:WLZ720917 WVT720913:WVV720917 L786449:N786453 JH786449:JJ786453 TD786449:TF786453 ACZ786449:ADB786453 AMV786449:AMX786453 AWR786449:AWT786453 BGN786449:BGP786453 BQJ786449:BQL786453 CAF786449:CAH786453 CKB786449:CKD786453 CTX786449:CTZ786453 DDT786449:DDV786453 DNP786449:DNR786453 DXL786449:DXN786453 EHH786449:EHJ786453 ERD786449:ERF786453 FAZ786449:FBB786453 FKV786449:FKX786453 FUR786449:FUT786453 GEN786449:GEP786453 GOJ786449:GOL786453 GYF786449:GYH786453 HIB786449:HID786453 HRX786449:HRZ786453 IBT786449:IBV786453 ILP786449:ILR786453 IVL786449:IVN786453 JFH786449:JFJ786453 JPD786449:JPF786453 JYZ786449:JZB786453 KIV786449:KIX786453 KSR786449:KST786453 LCN786449:LCP786453 LMJ786449:LML786453 LWF786449:LWH786453 MGB786449:MGD786453 MPX786449:MPZ786453 MZT786449:MZV786453 NJP786449:NJR786453 NTL786449:NTN786453 ODH786449:ODJ786453 OND786449:ONF786453 OWZ786449:OXB786453 PGV786449:PGX786453 PQR786449:PQT786453 QAN786449:QAP786453 QKJ786449:QKL786453 QUF786449:QUH786453 REB786449:RED786453 RNX786449:RNZ786453 RXT786449:RXV786453 SHP786449:SHR786453 SRL786449:SRN786453 TBH786449:TBJ786453 TLD786449:TLF786453 TUZ786449:TVB786453 UEV786449:UEX786453 UOR786449:UOT786453 UYN786449:UYP786453 VIJ786449:VIL786453 VSF786449:VSH786453 WCB786449:WCD786453 WLX786449:WLZ786453 WVT786449:WVV786453 L851985:N851989 JH851985:JJ851989 TD851985:TF851989 ACZ851985:ADB851989 AMV851985:AMX851989 AWR851985:AWT851989 BGN851985:BGP851989 BQJ851985:BQL851989 CAF851985:CAH851989 CKB851985:CKD851989 CTX851985:CTZ851989 DDT851985:DDV851989 DNP851985:DNR851989 DXL851985:DXN851989 EHH851985:EHJ851989 ERD851985:ERF851989 FAZ851985:FBB851989 FKV851985:FKX851989 FUR851985:FUT851989 GEN851985:GEP851989 GOJ851985:GOL851989 GYF851985:GYH851989 HIB851985:HID851989 HRX851985:HRZ851989 IBT851985:IBV851989 ILP851985:ILR851989 IVL851985:IVN851989 JFH851985:JFJ851989 JPD851985:JPF851989 JYZ851985:JZB851989 KIV851985:KIX851989 KSR851985:KST851989 LCN851985:LCP851989 LMJ851985:LML851989 LWF851985:LWH851989 MGB851985:MGD851989 MPX851985:MPZ851989 MZT851985:MZV851989 NJP851985:NJR851989 NTL851985:NTN851989 ODH851985:ODJ851989 OND851985:ONF851989 OWZ851985:OXB851989 PGV851985:PGX851989 PQR851985:PQT851989 QAN851985:QAP851989 QKJ851985:QKL851989 QUF851985:QUH851989 REB851985:RED851989 RNX851985:RNZ851989 RXT851985:RXV851989 SHP851985:SHR851989 SRL851985:SRN851989 TBH851985:TBJ851989 TLD851985:TLF851989 TUZ851985:TVB851989 UEV851985:UEX851989 UOR851985:UOT851989 UYN851985:UYP851989 VIJ851985:VIL851989 VSF851985:VSH851989 WCB851985:WCD851989 WLX851985:WLZ851989 WVT851985:WVV851989 L917521:N917525 JH917521:JJ917525 TD917521:TF917525 ACZ917521:ADB917525 AMV917521:AMX917525 AWR917521:AWT917525 BGN917521:BGP917525 BQJ917521:BQL917525 CAF917521:CAH917525 CKB917521:CKD917525 CTX917521:CTZ917525 DDT917521:DDV917525 DNP917521:DNR917525 DXL917521:DXN917525 EHH917521:EHJ917525 ERD917521:ERF917525 FAZ917521:FBB917525 FKV917521:FKX917525 FUR917521:FUT917525 GEN917521:GEP917525 GOJ917521:GOL917525 GYF917521:GYH917525 HIB917521:HID917525 HRX917521:HRZ917525 IBT917521:IBV917525 ILP917521:ILR917525 IVL917521:IVN917525 JFH917521:JFJ917525 JPD917521:JPF917525 JYZ917521:JZB917525 KIV917521:KIX917525 KSR917521:KST917525 LCN917521:LCP917525 LMJ917521:LML917525 LWF917521:LWH917525 MGB917521:MGD917525 MPX917521:MPZ917525 MZT917521:MZV917525 NJP917521:NJR917525 NTL917521:NTN917525 ODH917521:ODJ917525 OND917521:ONF917525 OWZ917521:OXB917525 PGV917521:PGX917525 PQR917521:PQT917525 QAN917521:QAP917525 QKJ917521:QKL917525 QUF917521:QUH917525 REB917521:RED917525 RNX917521:RNZ917525 RXT917521:RXV917525 SHP917521:SHR917525 SRL917521:SRN917525 TBH917521:TBJ917525 TLD917521:TLF917525 TUZ917521:TVB917525 UEV917521:UEX917525 UOR917521:UOT917525 UYN917521:UYP917525 VIJ917521:VIL917525 VSF917521:VSH917525 WCB917521:WCD917525 WLX917521:WLZ917525 WVT917521:WVV917525 L983057:N983061 JH983057:JJ983061 TD983057:TF983061 ACZ983057:ADB983061 AMV983057:AMX983061 AWR983057:AWT983061 BGN983057:BGP983061 BQJ983057:BQL983061 CAF983057:CAH983061 CKB983057:CKD983061 CTX983057:CTZ983061 DDT983057:DDV983061 DNP983057:DNR983061 DXL983057:DXN983061 EHH983057:EHJ983061 ERD983057:ERF983061 FAZ983057:FBB983061 FKV983057:FKX983061 FUR983057:FUT983061 GEN983057:GEP983061 GOJ983057:GOL983061 GYF983057:GYH983061 HIB983057:HID983061 HRX983057:HRZ983061 IBT983057:IBV983061 ILP983057:ILR983061 IVL983057:IVN983061 JFH983057:JFJ983061 JPD983057:JPF983061 JYZ983057:JZB983061 KIV983057:KIX983061 KSR983057:KST983061 LCN983057:LCP983061 LMJ983057:LML983061 LWF983057:LWH983061 MGB983057:MGD983061 MPX983057:MPZ983061 MZT983057:MZV983061 NJP983057:NJR983061 NTL983057:NTN983061 ODH983057:ODJ983061 OND983057:ONF983061 OWZ983057:OXB983061 PGV983057:PGX983061 PQR983057:PQT983061 QAN983057:QAP983061 QKJ983057:QKL983061 QUF983057:QUH983061 REB983057:RED983061 RNX983057:RNZ983061 RXT983057:RXV983061 SHP983057:SHR983061 SRL983057:SRN983061 TBH983057:TBJ983061 TLD983057:TLF983061 TUZ983057:TVB983061 UEV983057:UEX983061 UOR983057:UOT983061 UYN983057:UYP983061 VIJ983057:VIL983061 VSF983057:VSH983061 WCB983057:WCD983061 WLX983057:WLZ983061 WVT983057:WVV983061 J49:J60 JF49:JF60 TB49:TB60 ACX49:ACX60 AMT49:AMT60 AWP49:AWP60 BGL49:BGL60 BQH49:BQH60 CAD49:CAD60 CJZ49:CJZ60 CTV49:CTV60 DDR49:DDR60 DNN49:DNN60 DXJ49:DXJ60 EHF49:EHF60 ERB49:ERB60 FAX49:FAX60 FKT49:FKT60 FUP49:FUP60 GEL49:GEL60 GOH49:GOH60 GYD49:GYD60 HHZ49:HHZ60 HRV49:HRV60 IBR49:IBR60 ILN49:ILN60 IVJ49:IVJ60 JFF49:JFF60 JPB49:JPB60 JYX49:JYX60 KIT49:KIT60 KSP49:KSP60 LCL49:LCL60 LMH49:LMH60 LWD49:LWD60 MFZ49:MFZ60 MPV49:MPV60 MZR49:MZR60 NJN49:NJN60 NTJ49:NTJ60 ODF49:ODF60 ONB49:ONB60 OWX49:OWX60 PGT49:PGT60 PQP49:PQP60 QAL49:QAL60 QKH49:QKH60 QUD49:QUD60 RDZ49:RDZ60 RNV49:RNV60 RXR49:RXR60 SHN49:SHN60 SRJ49:SRJ60 TBF49:TBF60 TLB49:TLB60 TUX49:TUX60 UET49:UET60 UOP49:UOP60 UYL49:UYL60 VIH49:VIH60 VSD49:VSD60 WBZ49:WBZ60 WLV49:WLV60 WVR49:WVR60 J65585:J65596 JF65585:JF65596 TB65585:TB65596 ACX65585:ACX65596 AMT65585:AMT65596 AWP65585:AWP65596 BGL65585:BGL65596 BQH65585:BQH65596 CAD65585:CAD65596 CJZ65585:CJZ65596 CTV65585:CTV65596 DDR65585:DDR65596 DNN65585:DNN65596 DXJ65585:DXJ65596 EHF65585:EHF65596 ERB65585:ERB65596 FAX65585:FAX65596 FKT65585:FKT65596 FUP65585:FUP65596 GEL65585:GEL65596 GOH65585:GOH65596 GYD65585:GYD65596 HHZ65585:HHZ65596 HRV65585:HRV65596 IBR65585:IBR65596 ILN65585:ILN65596 IVJ65585:IVJ65596 JFF65585:JFF65596 JPB65585:JPB65596 JYX65585:JYX65596 KIT65585:KIT65596 KSP65585:KSP65596 LCL65585:LCL65596 LMH65585:LMH65596 LWD65585:LWD65596 MFZ65585:MFZ65596 MPV65585:MPV65596 MZR65585:MZR65596 NJN65585:NJN65596 NTJ65585:NTJ65596 ODF65585:ODF65596 ONB65585:ONB65596 OWX65585:OWX65596 PGT65585:PGT65596 PQP65585:PQP65596 QAL65585:QAL65596 QKH65585:QKH65596 QUD65585:QUD65596 RDZ65585:RDZ65596 RNV65585:RNV65596 RXR65585:RXR65596 SHN65585:SHN65596 SRJ65585:SRJ65596 TBF65585:TBF65596 TLB65585:TLB65596 TUX65585:TUX65596 UET65585:UET65596 UOP65585:UOP65596 UYL65585:UYL65596 VIH65585:VIH65596 VSD65585:VSD65596 WBZ65585:WBZ65596 WLV65585:WLV65596 WVR65585:WVR65596 J131121:J131132 JF131121:JF131132 TB131121:TB131132 ACX131121:ACX131132 AMT131121:AMT131132 AWP131121:AWP131132 BGL131121:BGL131132 BQH131121:BQH131132 CAD131121:CAD131132 CJZ131121:CJZ131132 CTV131121:CTV131132 DDR131121:DDR131132 DNN131121:DNN131132 DXJ131121:DXJ131132 EHF131121:EHF131132 ERB131121:ERB131132 FAX131121:FAX131132 FKT131121:FKT131132 FUP131121:FUP131132 GEL131121:GEL131132 GOH131121:GOH131132 GYD131121:GYD131132 HHZ131121:HHZ131132 HRV131121:HRV131132 IBR131121:IBR131132 ILN131121:ILN131132 IVJ131121:IVJ131132 JFF131121:JFF131132 JPB131121:JPB131132 JYX131121:JYX131132 KIT131121:KIT131132 KSP131121:KSP131132 LCL131121:LCL131132 LMH131121:LMH131132 LWD131121:LWD131132 MFZ131121:MFZ131132 MPV131121:MPV131132 MZR131121:MZR131132 NJN131121:NJN131132 NTJ131121:NTJ131132 ODF131121:ODF131132 ONB131121:ONB131132 OWX131121:OWX131132 PGT131121:PGT131132 PQP131121:PQP131132 QAL131121:QAL131132 QKH131121:QKH131132 QUD131121:QUD131132 RDZ131121:RDZ131132 RNV131121:RNV131132 RXR131121:RXR131132 SHN131121:SHN131132 SRJ131121:SRJ131132 TBF131121:TBF131132 TLB131121:TLB131132 TUX131121:TUX131132 UET131121:UET131132 UOP131121:UOP131132 UYL131121:UYL131132 VIH131121:VIH131132 VSD131121:VSD131132 WBZ131121:WBZ131132 WLV131121:WLV131132 WVR131121:WVR131132 J196657:J196668 JF196657:JF196668 TB196657:TB196668 ACX196657:ACX196668 AMT196657:AMT196668 AWP196657:AWP196668 BGL196657:BGL196668 BQH196657:BQH196668 CAD196657:CAD196668 CJZ196657:CJZ196668 CTV196657:CTV196668 DDR196657:DDR196668 DNN196657:DNN196668 DXJ196657:DXJ196668 EHF196657:EHF196668 ERB196657:ERB196668 FAX196657:FAX196668 FKT196657:FKT196668 FUP196657:FUP196668 GEL196657:GEL196668 GOH196657:GOH196668 GYD196657:GYD196668 HHZ196657:HHZ196668 HRV196657:HRV196668 IBR196657:IBR196668 ILN196657:ILN196668 IVJ196657:IVJ196668 JFF196657:JFF196668 JPB196657:JPB196668 JYX196657:JYX196668 KIT196657:KIT196668 KSP196657:KSP196668 LCL196657:LCL196668 LMH196657:LMH196668 LWD196657:LWD196668 MFZ196657:MFZ196668 MPV196657:MPV196668 MZR196657:MZR196668 NJN196657:NJN196668 NTJ196657:NTJ196668 ODF196657:ODF196668 ONB196657:ONB196668 OWX196657:OWX196668 PGT196657:PGT196668 PQP196657:PQP196668 QAL196657:QAL196668 QKH196657:QKH196668 QUD196657:QUD196668 RDZ196657:RDZ196668 RNV196657:RNV196668 RXR196657:RXR196668 SHN196657:SHN196668 SRJ196657:SRJ196668 TBF196657:TBF196668 TLB196657:TLB196668 TUX196657:TUX196668 UET196657:UET196668 UOP196657:UOP196668 UYL196657:UYL196668 VIH196657:VIH196668 VSD196657:VSD196668 WBZ196657:WBZ196668 WLV196657:WLV196668 WVR196657:WVR196668 J262193:J262204 JF262193:JF262204 TB262193:TB262204 ACX262193:ACX262204 AMT262193:AMT262204 AWP262193:AWP262204 BGL262193:BGL262204 BQH262193:BQH262204 CAD262193:CAD262204 CJZ262193:CJZ262204 CTV262193:CTV262204 DDR262193:DDR262204 DNN262193:DNN262204 DXJ262193:DXJ262204 EHF262193:EHF262204 ERB262193:ERB262204 FAX262193:FAX262204 FKT262193:FKT262204 FUP262193:FUP262204 GEL262193:GEL262204 GOH262193:GOH262204 GYD262193:GYD262204 HHZ262193:HHZ262204 HRV262193:HRV262204 IBR262193:IBR262204 ILN262193:ILN262204 IVJ262193:IVJ262204 JFF262193:JFF262204 JPB262193:JPB262204 JYX262193:JYX262204 KIT262193:KIT262204 KSP262193:KSP262204 LCL262193:LCL262204 LMH262193:LMH262204 LWD262193:LWD262204 MFZ262193:MFZ262204 MPV262193:MPV262204 MZR262193:MZR262204 NJN262193:NJN262204 NTJ262193:NTJ262204 ODF262193:ODF262204 ONB262193:ONB262204 OWX262193:OWX262204 PGT262193:PGT262204 PQP262193:PQP262204 QAL262193:QAL262204 QKH262193:QKH262204 QUD262193:QUD262204 RDZ262193:RDZ262204 RNV262193:RNV262204 RXR262193:RXR262204 SHN262193:SHN262204 SRJ262193:SRJ262204 TBF262193:TBF262204 TLB262193:TLB262204 TUX262193:TUX262204 UET262193:UET262204 UOP262193:UOP262204 UYL262193:UYL262204 VIH262193:VIH262204 VSD262193:VSD262204 WBZ262193:WBZ262204 WLV262193:WLV262204 WVR262193:WVR262204 J327729:J327740 JF327729:JF327740 TB327729:TB327740 ACX327729:ACX327740 AMT327729:AMT327740 AWP327729:AWP327740 BGL327729:BGL327740 BQH327729:BQH327740 CAD327729:CAD327740 CJZ327729:CJZ327740 CTV327729:CTV327740 DDR327729:DDR327740 DNN327729:DNN327740 DXJ327729:DXJ327740 EHF327729:EHF327740 ERB327729:ERB327740 FAX327729:FAX327740 FKT327729:FKT327740 FUP327729:FUP327740 GEL327729:GEL327740 GOH327729:GOH327740 GYD327729:GYD327740 HHZ327729:HHZ327740 HRV327729:HRV327740 IBR327729:IBR327740 ILN327729:ILN327740 IVJ327729:IVJ327740 JFF327729:JFF327740 JPB327729:JPB327740 JYX327729:JYX327740 KIT327729:KIT327740 KSP327729:KSP327740 LCL327729:LCL327740 LMH327729:LMH327740 LWD327729:LWD327740 MFZ327729:MFZ327740 MPV327729:MPV327740 MZR327729:MZR327740 NJN327729:NJN327740 NTJ327729:NTJ327740 ODF327729:ODF327740 ONB327729:ONB327740 OWX327729:OWX327740 PGT327729:PGT327740 PQP327729:PQP327740 QAL327729:QAL327740 QKH327729:QKH327740 QUD327729:QUD327740 RDZ327729:RDZ327740 RNV327729:RNV327740 RXR327729:RXR327740 SHN327729:SHN327740 SRJ327729:SRJ327740 TBF327729:TBF327740 TLB327729:TLB327740 TUX327729:TUX327740 UET327729:UET327740 UOP327729:UOP327740 UYL327729:UYL327740 VIH327729:VIH327740 VSD327729:VSD327740 WBZ327729:WBZ327740 WLV327729:WLV327740 WVR327729:WVR327740 J393265:J393276 JF393265:JF393276 TB393265:TB393276 ACX393265:ACX393276 AMT393265:AMT393276 AWP393265:AWP393276 BGL393265:BGL393276 BQH393265:BQH393276 CAD393265:CAD393276 CJZ393265:CJZ393276 CTV393265:CTV393276 DDR393265:DDR393276 DNN393265:DNN393276 DXJ393265:DXJ393276 EHF393265:EHF393276 ERB393265:ERB393276 FAX393265:FAX393276 FKT393265:FKT393276 FUP393265:FUP393276 GEL393265:GEL393276 GOH393265:GOH393276 GYD393265:GYD393276 HHZ393265:HHZ393276 HRV393265:HRV393276 IBR393265:IBR393276 ILN393265:ILN393276 IVJ393265:IVJ393276 JFF393265:JFF393276 JPB393265:JPB393276 JYX393265:JYX393276 KIT393265:KIT393276 KSP393265:KSP393276 LCL393265:LCL393276 LMH393265:LMH393276 LWD393265:LWD393276 MFZ393265:MFZ393276 MPV393265:MPV393276 MZR393265:MZR393276 NJN393265:NJN393276 NTJ393265:NTJ393276 ODF393265:ODF393276 ONB393265:ONB393276 OWX393265:OWX393276 PGT393265:PGT393276 PQP393265:PQP393276 QAL393265:QAL393276 QKH393265:QKH393276 QUD393265:QUD393276 RDZ393265:RDZ393276 RNV393265:RNV393276 RXR393265:RXR393276 SHN393265:SHN393276 SRJ393265:SRJ393276 TBF393265:TBF393276 TLB393265:TLB393276 TUX393265:TUX393276 UET393265:UET393276 UOP393265:UOP393276 UYL393265:UYL393276 VIH393265:VIH393276 VSD393265:VSD393276 WBZ393265:WBZ393276 WLV393265:WLV393276 WVR393265:WVR393276 J458801:J458812 JF458801:JF458812 TB458801:TB458812 ACX458801:ACX458812 AMT458801:AMT458812 AWP458801:AWP458812 BGL458801:BGL458812 BQH458801:BQH458812 CAD458801:CAD458812 CJZ458801:CJZ458812 CTV458801:CTV458812 DDR458801:DDR458812 DNN458801:DNN458812 DXJ458801:DXJ458812 EHF458801:EHF458812 ERB458801:ERB458812 FAX458801:FAX458812 FKT458801:FKT458812 FUP458801:FUP458812 GEL458801:GEL458812 GOH458801:GOH458812 GYD458801:GYD458812 HHZ458801:HHZ458812 HRV458801:HRV458812 IBR458801:IBR458812 ILN458801:ILN458812 IVJ458801:IVJ458812 JFF458801:JFF458812 JPB458801:JPB458812 JYX458801:JYX458812 KIT458801:KIT458812 KSP458801:KSP458812 LCL458801:LCL458812 LMH458801:LMH458812 LWD458801:LWD458812 MFZ458801:MFZ458812 MPV458801:MPV458812 MZR458801:MZR458812 NJN458801:NJN458812 NTJ458801:NTJ458812 ODF458801:ODF458812 ONB458801:ONB458812 OWX458801:OWX458812 PGT458801:PGT458812 PQP458801:PQP458812 QAL458801:QAL458812 QKH458801:QKH458812 QUD458801:QUD458812 RDZ458801:RDZ458812 RNV458801:RNV458812 RXR458801:RXR458812 SHN458801:SHN458812 SRJ458801:SRJ458812 TBF458801:TBF458812 TLB458801:TLB458812 TUX458801:TUX458812 UET458801:UET458812 UOP458801:UOP458812 UYL458801:UYL458812 VIH458801:VIH458812 VSD458801:VSD458812 WBZ458801:WBZ458812 WLV458801:WLV458812 WVR458801:WVR458812 J524337:J524348 JF524337:JF524348 TB524337:TB524348 ACX524337:ACX524348 AMT524337:AMT524348 AWP524337:AWP524348 BGL524337:BGL524348 BQH524337:BQH524348 CAD524337:CAD524348 CJZ524337:CJZ524348 CTV524337:CTV524348 DDR524337:DDR524348 DNN524337:DNN524348 DXJ524337:DXJ524348 EHF524337:EHF524348 ERB524337:ERB524348 FAX524337:FAX524348 FKT524337:FKT524348 FUP524337:FUP524348 GEL524337:GEL524348 GOH524337:GOH524348 GYD524337:GYD524348 HHZ524337:HHZ524348 HRV524337:HRV524348 IBR524337:IBR524348 ILN524337:ILN524348 IVJ524337:IVJ524348 JFF524337:JFF524348 JPB524337:JPB524348 JYX524337:JYX524348 KIT524337:KIT524348 KSP524337:KSP524348 LCL524337:LCL524348 LMH524337:LMH524348 LWD524337:LWD524348 MFZ524337:MFZ524348 MPV524337:MPV524348 MZR524337:MZR524348 NJN524337:NJN524348 NTJ524337:NTJ524348 ODF524337:ODF524348 ONB524337:ONB524348 OWX524337:OWX524348 PGT524337:PGT524348 PQP524337:PQP524348 QAL524337:QAL524348 QKH524337:QKH524348 QUD524337:QUD524348 RDZ524337:RDZ524348 RNV524337:RNV524348 RXR524337:RXR524348 SHN524337:SHN524348 SRJ524337:SRJ524348 TBF524337:TBF524348 TLB524337:TLB524348 TUX524337:TUX524348 UET524337:UET524348 UOP524337:UOP524348 UYL524337:UYL524348 VIH524337:VIH524348 VSD524337:VSD524348 WBZ524337:WBZ524348 WLV524337:WLV524348 WVR524337:WVR524348 J589873:J589884 JF589873:JF589884 TB589873:TB589884 ACX589873:ACX589884 AMT589873:AMT589884 AWP589873:AWP589884 BGL589873:BGL589884 BQH589873:BQH589884 CAD589873:CAD589884 CJZ589873:CJZ589884 CTV589873:CTV589884 DDR589873:DDR589884 DNN589873:DNN589884 DXJ589873:DXJ589884 EHF589873:EHF589884 ERB589873:ERB589884 FAX589873:FAX589884 FKT589873:FKT589884 FUP589873:FUP589884 GEL589873:GEL589884 GOH589873:GOH589884 GYD589873:GYD589884 HHZ589873:HHZ589884 HRV589873:HRV589884 IBR589873:IBR589884 ILN589873:ILN589884 IVJ589873:IVJ589884 JFF589873:JFF589884 JPB589873:JPB589884 JYX589873:JYX589884 KIT589873:KIT589884 KSP589873:KSP589884 LCL589873:LCL589884 LMH589873:LMH589884 LWD589873:LWD589884 MFZ589873:MFZ589884 MPV589873:MPV589884 MZR589873:MZR589884 NJN589873:NJN589884 NTJ589873:NTJ589884 ODF589873:ODF589884 ONB589873:ONB589884 OWX589873:OWX589884 PGT589873:PGT589884 PQP589873:PQP589884 QAL589873:QAL589884 QKH589873:QKH589884 QUD589873:QUD589884 RDZ589873:RDZ589884 RNV589873:RNV589884 RXR589873:RXR589884 SHN589873:SHN589884 SRJ589873:SRJ589884 TBF589873:TBF589884 TLB589873:TLB589884 TUX589873:TUX589884 UET589873:UET589884 UOP589873:UOP589884 UYL589873:UYL589884 VIH589873:VIH589884 VSD589873:VSD589884 WBZ589873:WBZ589884 WLV589873:WLV589884 WVR589873:WVR589884 J655409:J655420 JF655409:JF655420 TB655409:TB655420 ACX655409:ACX655420 AMT655409:AMT655420 AWP655409:AWP655420 BGL655409:BGL655420 BQH655409:BQH655420 CAD655409:CAD655420 CJZ655409:CJZ655420 CTV655409:CTV655420 DDR655409:DDR655420 DNN655409:DNN655420 DXJ655409:DXJ655420 EHF655409:EHF655420 ERB655409:ERB655420 FAX655409:FAX655420 FKT655409:FKT655420 FUP655409:FUP655420 GEL655409:GEL655420 GOH655409:GOH655420 GYD655409:GYD655420 HHZ655409:HHZ655420 HRV655409:HRV655420 IBR655409:IBR655420 ILN655409:ILN655420 IVJ655409:IVJ655420 JFF655409:JFF655420 JPB655409:JPB655420 JYX655409:JYX655420 KIT655409:KIT655420 KSP655409:KSP655420 LCL655409:LCL655420 LMH655409:LMH655420 LWD655409:LWD655420 MFZ655409:MFZ655420 MPV655409:MPV655420 MZR655409:MZR655420 NJN655409:NJN655420 NTJ655409:NTJ655420 ODF655409:ODF655420 ONB655409:ONB655420 OWX655409:OWX655420 PGT655409:PGT655420 PQP655409:PQP655420 QAL655409:QAL655420 QKH655409:QKH655420 QUD655409:QUD655420 RDZ655409:RDZ655420 RNV655409:RNV655420 RXR655409:RXR655420 SHN655409:SHN655420 SRJ655409:SRJ655420 TBF655409:TBF655420 TLB655409:TLB655420 TUX655409:TUX655420 UET655409:UET655420 UOP655409:UOP655420 UYL655409:UYL655420 VIH655409:VIH655420 VSD655409:VSD655420 WBZ655409:WBZ655420 WLV655409:WLV655420 WVR655409:WVR655420 J720945:J720956 JF720945:JF720956 TB720945:TB720956 ACX720945:ACX720956 AMT720945:AMT720956 AWP720945:AWP720956 BGL720945:BGL720956 BQH720945:BQH720956 CAD720945:CAD720956 CJZ720945:CJZ720956 CTV720945:CTV720956 DDR720945:DDR720956 DNN720945:DNN720956 DXJ720945:DXJ720956 EHF720945:EHF720956 ERB720945:ERB720956 FAX720945:FAX720956 FKT720945:FKT720956 FUP720945:FUP720956 GEL720945:GEL720956 GOH720945:GOH720956 GYD720945:GYD720956 HHZ720945:HHZ720956 HRV720945:HRV720956 IBR720945:IBR720956 ILN720945:ILN720956 IVJ720945:IVJ720956 JFF720945:JFF720956 JPB720945:JPB720956 JYX720945:JYX720956 KIT720945:KIT720956 KSP720945:KSP720956 LCL720945:LCL720956 LMH720945:LMH720956 LWD720945:LWD720956 MFZ720945:MFZ720956 MPV720945:MPV720956 MZR720945:MZR720956 NJN720945:NJN720956 NTJ720945:NTJ720956 ODF720945:ODF720956 ONB720945:ONB720956 OWX720945:OWX720956 PGT720945:PGT720956 PQP720945:PQP720956 QAL720945:QAL720956 QKH720945:QKH720956 QUD720945:QUD720956 RDZ720945:RDZ720956 RNV720945:RNV720956 RXR720945:RXR720956 SHN720945:SHN720956 SRJ720945:SRJ720956 TBF720945:TBF720956 TLB720945:TLB720956 TUX720945:TUX720956 UET720945:UET720956 UOP720945:UOP720956 UYL720945:UYL720956 VIH720945:VIH720956 VSD720945:VSD720956 WBZ720945:WBZ720956 WLV720945:WLV720956 WVR720945:WVR720956 J786481:J786492 JF786481:JF786492 TB786481:TB786492 ACX786481:ACX786492 AMT786481:AMT786492 AWP786481:AWP786492 BGL786481:BGL786492 BQH786481:BQH786492 CAD786481:CAD786492 CJZ786481:CJZ786492 CTV786481:CTV786492 DDR786481:DDR786492 DNN786481:DNN786492 DXJ786481:DXJ786492 EHF786481:EHF786492 ERB786481:ERB786492 FAX786481:FAX786492 FKT786481:FKT786492 FUP786481:FUP786492 GEL786481:GEL786492 GOH786481:GOH786492 GYD786481:GYD786492 HHZ786481:HHZ786492 HRV786481:HRV786492 IBR786481:IBR786492 ILN786481:ILN786492 IVJ786481:IVJ786492 JFF786481:JFF786492 JPB786481:JPB786492 JYX786481:JYX786492 KIT786481:KIT786492 KSP786481:KSP786492 LCL786481:LCL786492 LMH786481:LMH786492 LWD786481:LWD786492 MFZ786481:MFZ786492 MPV786481:MPV786492 MZR786481:MZR786492 NJN786481:NJN786492 NTJ786481:NTJ786492 ODF786481:ODF786492 ONB786481:ONB786492 OWX786481:OWX786492 PGT786481:PGT786492 PQP786481:PQP786492 QAL786481:QAL786492 QKH786481:QKH786492 QUD786481:QUD786492 RDZ786481:RDZ786492 RNV786481:RNV786492 RXR786481:RXR786492 SHN786481:SHN786492 SRJ786481:SRJ786492 TBF786481:TBF786492 TLB786481:TLB786492 TUX786481:TUX786492 UET786481:UET786492 UOP786481:UOP786492 UYL786481:UYL786492 VIH786481:VIH786492 VSD786481:VSD786492 WBZ786481:WBZ786492 WLV786481:WLV786492 WVR786481:WVR786492 J852017:J852028 JF852017:JF852028 TB852017:TB852028 ACX852017:ACX852028 AMT852017:AMT852028 AWP852017:AWP852028 BGL852017:BGL852028 BQH852017:BQH852028 CAD852017:CAD852028 CJZ852017:CJZ852028 CTV852017:CTV852028 DDR852017:DDR852028 DNN852017:DNN852028 DXJ852017:DXJ852028 EHF852017:EHF852028 ERB852017:ERB852028 FAX852017:FAX852028 FKT852017:FKT852028 FUP852017:FUP852028 GEL852017:GEL852028 GOH852017:GOH852028 GYD852017:GYD852028 HHZ852017:HHZ852028 HRV852017:HRV852028 IBR852017:IBR852028 ILN852017:ILN852028 IVJ852017:IVJ852028 JFF852017:JFF852028 JPB852017:JPB852028 JYX852017:JYX852028 KIT852017:KIT852028 KSP852017:KSP852028 LCL852017:LCL852028 LMH852017:LMH852028 LWD852017:LWD852028 MFZ852017:MFZ852028 MPV852017:MPV852028 MZR852017:MZR852028 NJN852017:NJN852028 NTJ852017:NTJ852028 ODF852017:ODF852028 ONB852017:ONB852028 OWX852017:OWX852028 PGT852017:PGT852028 PQP852017:PQP852028 QAL852017:QAL852028 QKH852017:QKH852028 QUD852017:QUD852028 RDZ852017:RDZ852028 RNV852017:RNV852028 RXR852017:RXR852028 SHN852017:SHN852028 SRJ852017:SRJ852028 TBF852017:TBF852028 TLB852017:TLB852028 TUX852017:TUX852028 UET852017:UET852028 UOP852017:UOP852028 UYL852017:UYL852028 VIH852017:VIH852028 VSD852017:VSD852028 WBZ852017:WBZ852028 WLV852017:WLV852028 WVR852017:WVR852028 J917553:J917564 JF917553:JF917564 TB917553:TB917564 ACX917553:ACX917564 AMT917553:AMT917564 AWP917553:AWP917564 BGL917553:BGL917564 BQH917553:BQH917564 CAD917553:CAD917564 CJZ917553:CJZ917564 CTV917553:CTV917564 DDR917553:DDR917564 DNN917553:DNN917564 DXJ917553:DXJ917564 EHF917553:EHF917564 ERB917553:ERB917564 FAX917553:FAX917564 FKT917553:FKT917564 FUP917553:FUP917564 GEL917553:GEL917564 GOH917553:GOH917564 GYD917553:GYD917564 HHZ917553:HHZ917564 HRV917553:HRV917564 IBR917553:IBR917564 ILN917553:ILN917564 IVJ917553:IVJ917564 JFF917553:JFF917564 JPB917553:JPB917564 JYX917553:JYX917564 KIT917553:KIT917564 KSP917553:KSP917564 LCL917553:LCL917564 LMH917553:LMH917564 LWD917553:LWD917564 MFZ917553:MFZ917564 MPV917553:MPV917564 MZR917553:MZR917564 NJN917553:NJN917564 NTJ917553:NTJ917564 ODF917553:ODF917564 ONB917553:ONB917564 OWX917553:OWX917564 PGT917553:PGT917564 PQP917553:PQP917564 QAL917553:QAL917564 QKH917553:QKH917564 QUD917553:QUD917564 RDZ917553:RDZ917564 RNV917553:RNV917564 RXR917553:RXR917564 SHN917553:SHN917564 SRJ917553:SRJ917564 TBF917553:TBF917564 TLB917553:TLB917564 TUX917553:TUX917564 UET917553:UET917564 UOP917553:UOP917564 UYL917553:UYL917564 VIH917553:VIH917564 VSD917553:VSD917564 WBZ917553:WBZ917564 WLV917553:WLV917564 WVR917553:WVR917564 J983089:J983100 JF983089:JF983100 TB983089:TB983100 ACX983089:ACX983100 AMT983089:AMT983100 AWP983089:AWP983100 BGL983089:BGL983100 BQH983089:BQH983100 CAD983089:CAD983100 CJZ983089:CJZ983100 CTV983089:CTV983100 DDR983089:DDR983100 DNN983089:DNN983100 DXJ983089:DXJ983100 EHF983089:EHF983100 ERB983089:ERB983100 FAX983089:FAX983100 FKT983089:FKT983100 FUP983089:FUP983100 GEL983089:GEL983100 GOH983089:GOH983100 GYD983089:GYD983100 HHZ983089:HHZ983100 HRV983089:HRV983100 IBR983089:IBR983100 ILN983089:ILN983100 IVJ983089:IVJ983100 JFF983089:JFF983100 JPB983089:JPB983100 JYX983089:JYX983100 KIT983089:KIT983100 KSP983089:KSP983100 LCL983089:LCL983100 LMH983089:LMH983100 LWD983089:LWD983100 MFZ983089:MFZ983100 MPV983089:MPV983100 MZR983089:MZR983100 NJN983089:NJN983100 NTJ983089:NTJ983100 ODF983089:ODF983100 ONB983089:ONB983100 OWX983089:OWX983100 PGT983089:PGT983100 PQP983089:PQP983100 QAL983089:QAL983100 QKH983089:QKH983100 QUD983089:QUD983100 RDZ983089:RDZ983100 RNV983089:RNV983100 RXR983089:RXR983100 SHN983089:SHN983100 SRJ983089:SRJ983100 TBF983089:TBF983100 TLB983089:TLB983100 TUX983089:TUX983100 UET983089:UET983100 UOP983089:UOP983100 UYL983089:UYL983100 VIH983089:VIH983100 VSD983089:VSD983100 WBZ983089:WBZ983100 WLV983089:WLV983100 WVR983089:WVR983100">
      <formula1>DataSrcInCmp</formula1>
    </dataValidation>
    <dataValidation type="list" allowBlank="1" showInputMessage="1" showErrorMessage="1" sqref="B35:H39 IX35:JD39 ST35:SZ39 ACP35:ACV39 AML35:AMR39 AWH35:AWN39 BGD35:BGJ39 BPZ35:BQF39 BZV35:CAB39 CJR35:CJX39 CTN35:CTT39 DDJ35:DDP39 DNF35:DNL39 DXB35:DXH39 EGX35:EHD39 EQT35:EQZ39 FAP35:FAV39 FKL35:FKR39 FUH35:FUN39 GED35:GEJ39 GNZ35:GOF39 GXV35:GYB39 HHR35:HHX39 HRN35:HRT39 IBJ35:IBP39 ILF35:ILL39 IVB35:IVH39 JEX35:JFD39 JOT35:JOZ39 JYP35:JYV39 KIL35:KIR39 KSH35:KSN39 LCD35:LCJ39 LLZ35:LMF39 LVV35:LWB39 MFR35:MFX39 MPN35:MPT39 MZJ35:MZP39 NJF35:NJL39 NTB35:NTH39 OCX35:ODD39 OMT35:OMZ39 OWP35:OWV39 PGL35:PGR39 PQH35:PQN39 QAD35:QAJ39 QJZ35:QKF39 QTV35:QUB39 RDR35:RDX39 RNN35:RNT39 RXJ35:RXP39 SHF35:SHL39 SRB35:SRH39 TAX35:TBD39 TKT35:TKZ39 TUP35:TUV39 UEL35:UER39 UOH35:UON39 UYD35:UYJ39 VHZ35:VIF39 VRV35:VSB39 WBR35:WBX39 WLN35:WLT39 WVJ35:WVP39 B65571:H65575 IX65571:JD65575 ST65571:SZ65575 ACP65571:ACV65575 AML65571:AMR65575 AWH65571:AWN65575 BGD65571:BGJ65575 BPZ65571:BQF65575 BZV65571:CAB65575 CJR65571:CJX65575 CTN65571:CTT65575 DDJ65571:DDP65575 DNF65571:DNL65575 DXB65571:DXH65575 EGX65571:EHD65575 EQT65571:EQZ65575 FAP65571:FAV65575 FKL65571:FKR65575 FUH65571:FUN65575 GED65571:GEJ65575 GNZ65571:GOF65575 GXV65571:GYB65575 HHR65571:HHX65575 HRN65571:HRT65575 IBJ65571:IBP65575 ILF65571:ILL65575 IVB65571:IVH65575 JEX65571:JFD65575 JOT65571:JOZ65575 JYP65571:JYV65575 KIL65571:KIR65575 KSH65571:KSN65575 LCD65571:LCJ65575 LLZ65571:LMF65575 LVV65571:LWB65575 MFR65571:MFX65575 MPN65571:MPT65575 MZJ65571:MZP65575 NJF65571:NJL65575 NTB65571:NTH65575 OCX65571:ODD65575 OMT65571:OMZ65575 OWP65571:OWV65575 PGL65571:PGR65575 PQH65571:PQN65575 QAD65571:QAJ65575 QJZ65571:QKF65575 QTV65571:QUB65575 RDR65571:RDX65575 RNN65571:RNT65575 RXJ65571:RXP65575 SHF65571:SHL65575 SRB65571:SRH65575 TAX65571:TBD65575 TKT65571:TKZ65575 TUP65571:TUV65575 UEL65571:UER65575 UOH65571:UON65575 UYD65571:UYJ65575 VHZ65571:VIF65575 VRV65571:VSB65575 WBR65571:WBX65575 WLN65571:WLT65575 WVJ65571:WVP65575 B131107:H131111 IX131107:JD131111 ST131107:SZ131111 ACP131107:ACV131111 AML131107:AMR131111 AWH131107:AWN131111 BGD131107:BGJ131111 BPZ131107:BQF131111 BZV131107:CAB131111 CJR131107:CJX131111 CTN131107:CTT131111 DDJ131107:DDP131111 DNF131107:DNL131111 DXB131107:DXH131111 EGX131107:EHD131111 EQT131107:EQZ131111 FAP131107:FAV131111 FKL131107:FKR131111 FUH131107:FUN131111 GED131107:GEJ131111 GNZ131107:GOF131111 GXV131107:GYB131111 HHR131107:HHX131111 HRN131107:HRT131111 IBJ131107:IBP131111 ILF131107:ILL131111 IVB131107:IVH131111 JEX131107:JFD131111 JOT131107:JOZ131111 JYP131107:JYV131111 KIL131107:KIR131111 KSH131107:KSN131111 LCD131107:LCJ131111 LLZ131107:LMF131111 LVV131107:LWB131111 MFR131107:MFX131111 MPN131107:MPT131111 MZJ131107:MZP131111 NJF131107:NJL131111 NTB131107:NTH131111 OCX131107:ODD131111 OMT131107:OMZ131111 OWP131107:OWV131111 PGL131107:PGR131111 PQH131107:PQN131111 QAD131107:QAJ131111 QJZ131107:QKF131111 QTV131107:QUB131111 RDR131107:RDX131111 RNN131107:RNT131111 RXJ131107:RXP131111 SHF131107:SHL131111 SRB131107:SRH131111 TAX131107:TBD131111 TKT131107:TKZ131111 TUP131107:TUV131111 UEL131107:UER131111 UOH131107:UON131111 UYD131107:UYJ131111 VHZ131107:VIF131111 VRV131107:VSB131111 WBR131107:WBX131111 WLN131107:WLT131111 WVJ131107:WVP131111 B196643:H196647 IX196643:JD196647 ST196643:SZ196647 ACP196643:ACV196647 AML196643:AMR196647 AWH196643:AWN196647 BGD196643:BGJ196647 BPZ196643:BQF196647 BZV196643:CAB196647 CJR196643:CJX196647 CTN196643:CTT196647 DDJ196643:DDP196647 DNF196643:DNL196647 DXB196643:DXH196647 EGX196643:EHD196647 EQT196643:EQZ196647 FAP196643:FAV196647 FKL196643:FKR196647 FUH196643:FUN196647 GED196643:GEJ196647 GNZ196643:GOF196647 GXV196643:GYB196647 HHR196643:HHX196647 HRN196643:HRT196647 IBJ196643:IBP196647 ILF196643:ILL196647 IVB196643:IVH196647 JEX196643:JFD196647 JOT196643:JOZ196647 JYP196643:JYV196647 KIL196643:KIR196647 KSH196643:KSN196647 LCD196643:LCJ196647 LLZ196643:LMF196647 LVV196643:LWB196647 MFR196643:MFX196647 MPN196643:MPT196647 MZJ196643:MZP196647 NJF196643:NJL196647 NTB196643:NTH196647 OCX196643:ODD196647 OMT196643:OMZ196647 OWP196643:OWV196647 PGL196643:PGR196647 PQH196643:PQN196647 QAD196643:QAJ196647 QJZ196643:QKF196647 QTV196643:QUB196647 RDR196643:RDX196647 RNN196643:RNT196647 RXJ196643:RXP196647 SHF196643:SHL196647 SRB196643:SRH196647 TAX196643:TBD196647 TKT196643:TKZ196647 TUP196643:TUV196647 UEL196643:UER196647 UOH196643:UON196647 UYD196643:UYJ196647 VHZ196643:VIF196647 VRV196643:VSB196647 WBR196643:WBX196647 WLN196643:WLT196647 WVJ196643:WVP196647 B262179:H262183 IX262179:JD262183 ST262179:SZ262183 ACP262179:ACV262183 AML262179:AMR262183 AWH262179:AWN262183 BGD262179:BGJ262183 BPZ262179:BQF262183 BZV262179:CAB262183 CJR262179:CJX262183 CTN262179:CTT262183 DDJ262179:DDP262183 DNF262179:DNL262183 DXB262179:DXH262183 EGX262179:EHD262183 EQT262179:EQZ262183 FAP262179:FAV262183 FKL262179:FKR262183 FUH262179:FUN262183 GED262179:GEJ262183 GNZ262179:GOF262183 GXV262179:GYB262183 HHR262179:HHX262183 HRN262179:HRT262183 IBJ262179:IBP262183 ILF262179:ILL262183 IVB262179:IVH262183 JEX262179:JFD262183 JOT262179:JOZ262183 JYP262179:JYV262183 KIL262179:KIR262183 KSH262179:KSN262183 LCD262179:LCJ262183 LLZ262179:LMF262183 LVV262179:LWB262183 MFR262179:MFX262183 MPN262179:MPT262183 MZJ262179:MZP262183 NJF262179:NJL262183 NTB262179:NTH262183 OCX262179:ODD262183 OMT262179:OMZ262183 OWP262179:OWV262183 PGL262179:PGR262183 PQH262179:PQN262183 QAD262179:QAJ262183 QJZ262179:QKF262183 QTV262179:QUB262183 RDR262179:RDX262183 RNN262179:RNT262183 RXJ262179:RXP262183 SHF262179:SHL262183 SRB262179:SRH262183 TAX262179:TBD262183 TKT262179:TKZ262183 TUP262179:TUV262183 UEL262179:UER262183 UOH262179:UON262183 UYD262179:UYJ262183 VHZ262179:VIF262183 VRV262179:VSB262183 WBR262179:WBX262183 WLN262179:WLT262183 WVJ262179:WVP262183 B327715:H327719 IX327715:JD327719 ST327715:SZ327719 ACP327715:ACV327719 AML327715:AMR327719 AWH327715:AWN327719 BGD327715:BGJ327719 BPZ327715:BQF327719 BZV327715:CAB327719 CJR327715:CJX327719 CTN327715:CTT327719 DDJ327715:DDP327719 DNF327715:DNL327719 DXB327715:DXH327719 EGX327715:EHD327719 EQT327715:EQZ327719 FAP327715:FAV327719 FKL327715:FKR327719 FUH327715:FUN327719 GED327715:GEJ327719 GNZ327715:GOF327719 GXV327715:GYB327719 HHR327715:HHX327719 HRN327715:HRT327719 IBJ327715:IBP327719 ILF327715:ILL327719 IVB327715:IVH327719 JEX327715:JFD327719 JOT327715:JOZ327719 JYP327715:JYV327719 KIL327715:KIR327719 KSH327715:KSN327719 LCD327715:LCJ327719 LLZ327715:LMF327719 LVV327715:LWB327719 MFR327715:MFX327719 MPN327715:MPT327719 MZJ327715:MZP327719 NJF327715:NJL327719 NTB327715:NTH327719 OCX327715:ODD327719 OMT327715:OMZ327719 OWP327715:OWV327719 PGL327715:PGR327719 PQH327715:PQN327719 QAD327715:QAJ327719 QJZ327715:QKF327719 QTV327715:QUB327719 RDR327715:RDX327719 RNN327715:RNT327719 RXJ327715:RXP327719 SHF327715:SHL327719 SRB327715:SRH327719 TAX327715:TBD327719 TKT327715:TKZ327719 TUP327715:TUV327719 UEL327715:UER327719 UOH327715:UON327719 UYD327715:UYJ327719 VHZ327715:VIF327719 VRV327715:VSB327719 WBR327715:WBX327719 WLN327715:WLT327719 WVJ327715:WVP327719 B393251:H393255 IX393251:JD393255 ST393251:SZ393255 ACP393251:ACV393255 AML393251:AMR393255 AWH393251:AWN393255 BGD393251:BGJ393255 BPZ393251:BQF393255 BZV393251:CAB393255 CJR393251:CJX393255 CTN393251:CTT393255 DDJ393251:DDP393255 DNF393251:DNL393255 DXB393251:DXH393255 EGX393251:EHD393255 EQT393251:EQZ393255 FAP393251:FAV393255 FKL393251:FKR393255 FUH393251:FUN393255 GED393251:GEJ393255 GNZ393251:GOF393255 GXV393251:GYB393255 HHR393251:HHX393255 HRN393251:HRT393255 IBJ393251:IBP393255 ILF393251:ILL393255 IVB393251:IVH393255 JEX393251:JFD393255 JOT393251:JOZ393255 JYP393251:JYV393255 KIL393251:KIR393255 KSH393251:KSN393255 LCD393251:LCJ393255 LLZ393251:LMF393255 LVV393251:LWB393255 MFR393251:MFX393255 MPN393251:MPT393255 MZJ393251:MZP393255 NJF393251:NJL393255 NTB393251:NTH393255 OCX393251:ODD393255 OMT393251:OMZ393255 OWP393251:OWV393255 PGL393251:PGR393255 PQH393251:PQN393255 QAD393251:QAJ393255 QJZ393251:QKF393255 QTV393251:QUB393255 RDR393251:RDX393255 RNN393251:RNT393255 RXJ393251:RXP393255 SHF393251:SHL393255 SRB393251:SRH393255 TAX393251:TBD393255 TKT393251:TKZ393255 TUP393251:TUV393255 UEL393251:UER393255 UOH393251:UON393255 UYD393251:UYJ393255 VHZ393251:VIF393255 VRV393251:VSB393255 WBR393251:WBX393255 WLN393251:WLT393255 WVJ393251:WVP393255 B458787:H458791 IX458787:JD458791 ST458787:SZ458791 ACP458787:ACV458791 AML458787:AMR458791 AWH458787:AWN458791 BGD458787:BGJ458791 BPZ458787:BQF458791 BZV458787:CAB458791 CJR458787:CJX458791 CTN458787:CTT458791 DDJ458787:DDP458791 DNF458787:DNL458791 DXB458787:DXH458791 EGX458787:EHD458791 EQT458787:EQZ458791 FAP458787:FAV458791 FKL458787:FKR458791 FUH458787:FUN458791 GED458787:GEJ458791 GNZ458787:GOF458791 GXV458787:GYB458791 HHR458787:HHX458791 HRN458787:HRT458791 IBJ458787:IBP458791 ILF458787:ILL458791 IVB458787:IVH458791 JEX458787:JFD458791 JOT458787:JOZ458791 JYP458787:JYV458791 KIL458787:KIR458791 KSH458787:KSN458791 LCD458787:LCJ458791 LLZ458787:LMF458791 LVV458787:LWB458791 MFR458787:MFX458791 MPN458787:MPT458791 MZJ458787:MZP458791 NJF458787:NJL458791 NTB458787:NTH458791 OCX458787:ODD458791 OMT458787:OMZ458791 OWP458787:OWV458791 PGL458787:PGR458791 PQH458787:PQN458791 QAD458787:QAJ458791 QJZ458787:QKF458791 QTV458787:QUB458791 RDR458787:RDX458791 RNN458787:RNT458791 RXJ458787:RXP458791 SHF458787:SHL458791 SRB458787:SRH458791 TAX458787:TBD458791 TKT458787:TKZ458791 TUP458787:TUV458791 UEL458787:UER458791 UOH458787:UON458791 UYD458787:UYJ458791 VHZ458787:VIF458791 VRV458787:VSB458791 WBR458787:WBX458791 WLN458787:WLT458791 WVJ458787:WVP458791 B524323:H524327 IX524323:JD524327 ST524323:SZ524327 ACP524323:ACV524327 AML524323:AMR524327 AWH524323:AWN524327 BGD524323:BGJ524327 BPZ524323:BQF524327 BZV524323:CAB524327 CJR524323:CJX524327 CTN524323:CTT524327 DDJ524323:DDP524327 DNF524323:DNL524327 DXB524323:DXH524327 EGX524323:EHD524327 EQT524323:EQZ524327 FAP524323:FAV524327 FKL524323:FKR524327 FUH524323:FUN524327 GED524323:GEJ524327 GNZ524323:GOF524327 GXV524323:GYB524327 HHR524323:HHX524327 HRN524323:HRT524327 IBJ524323:IBP524327 ILF524323:ILL524327 IVB524323:IVH524327 JEX524323:JFD524327 JOT524323:JOZ524327 JYP524323:JYV524327 KIL524323:KIR524327 KSH524323:KSN524327 LCD524323:LCJ524327 LLZ524323:LMF524327 LVV524323:LWB524327 MFR524323:MFX524327 MPN524323:MPT524327 MZJ524323:MZP524327 NJF524323:NJL524327 NTB524323:NTH524327 OCX524323:ODD524327 OMT524323:OMZ524327 OWP524323:OWV524327 PGL524323:PGR524327 PQH524323:PQN524327 QAD524323:QAJ524327 QJZ524323:QKF524327 QTV524323:QUB524327 RDR524323:RDX524327 RNN524323:RNT524327 RXJ524323:RXP524327 SHF524323:SHL524327 SRB524323:SRH524327 TAX524323:TBD524327 TKT524323:TKZ524327 TUP524323:TUV524327 UEL524323:UER524327 UOH524323:UON524327 UYD524323:UYJ524327 VHZ524323:VIF524327 VRV524323:VSB524327 WBR524323:WBX524327 WLN524323:WLT524327 WVJ524323:WVP524327 B589859:H589863 IX589859:JD589863 ST589859:SZ589863 ACP589859:ACV589863 AML589859:AMR589863 AWH589859:AWN589863 BGD589859:BGJ589863 BPZ589859:BQF589863 BZV589859:CAB589863 CJR589859:CJX589863 CTN589859:CTT589863 DDJ589859:DDP589863 DNF589859:DNL589863 DXB589859:DXH589863 EGX589859:EHD589863 EQT589859:EQZ589863 FAP589859:FAV589863 FKL589859:FKR589863 FUH589859:FUN589863 GED589859:GEJ589863 GNZ589859:GOF589863 GXV589859:GYB589863 HHR589859:HHX589863 HRN589859:HRT589863 IBJ589859:IBP589863 ILF589859:ILL589863 IVB589859:IVH589863 JEX589859:JFD589863 JOT589859:JOZ589863 JYP589859:JYV589863 KIL589859:KIR589863 KSH589859:KSN589863 LCD589859:LCJ589863 LLZ589859:LMF589863 LVV589859:LWB589863 MFR589859:MFX589863 MPN589859:MPT589863 MZJ589859:MZP589863 NJF589859:NJL589863 NTB589859:NTH589863 OCX589859:ODD589863 OMT589859:OMZ589863 OWP589859:OWV589863 PGL589859:PGR589863 PQH589859:PQN589863 QAD589859:QAJ589863 QJZ589859:QKF589863 QTV589859:QUB589863 RDR589859:RDX589863 RNN589859:RNT589863 RXJ589859:RXP589863 SHF589859:SHL589863 SRB589859:SRH589863 TAX589859:TBD589863 TKT589859:TKZ589863 TUP589859:TUV589863 UEL589859:UER589863 UOH589859:UON589863 UYD589859:UYJ589863 VHZ589859:VIF589863 VRV589859:VSB589863 WBR589859:WBX589863 WLN589859:WLT589863 WVJ589859:WVP589863 B655395:H655399 IX655395:JD655399 ST655395:SZ655399 ACP655395:ACV655399 AML655395:AMR655399 AWH655395:AWN655399 BGD655395:BGJ655399 BPZ655395:BQF655399 BZV655395:CAB655399 CJR655395:CJX655399 CTN655395:CTT655399 DDJ655395:DDP655399 DNF655395:DNL655399 DXB655395:DXH655399 EGX655395:EHD655399 EQT655395:EQZ655399 FAP655395:FAV655399 FKL655395:FKR655399 FUH655395:FUN655399 GED655395:GEJ655399 GNZ655395:GOF655399 GXV655395:GYB655399 HHR655395:HHX655399 HRN655395:HRT655399 IBJ655395:IBP655399 ILF655395:ILL655399 IVB655395:IVH655399 JEX655395:JFD655399 JOT655395:JOZ655399 JYP655395:JYV655399 KIL655395:KIR655399 KSH655395:KSN655399 LCD655395:LCJ655399 LLZ655395:LMF655399 LVV655395:LWB655399 MFR655395:MFX655399 MPN655395:MPT655399 MZJ655395:MZP655399 NJF655395:NJL655399 NTB655395:NTH655399 OCX655395:ODD655399 OMT655395:OMZ655399 OWP655395:OWV655399 PGL655395:PGR655399 PQH655395:PQN655399 QAD655395:QAJ655399 QJZ655395:QKF655399 QTV655395:QUB655399 RDR655395:RDX655399 RNN655395:RNT655399 RXJ655395:RXP655399 SHF655395:SHL655399 SRB655395:SRH655399 TAX655395:TBD655399 TKT655395:TKZ655399 TUP655395:TUV655399 UEL655395:UER655399 UOH655395:UON655399 UYD655395:UYJ655399 VHZ655395:VIF655399 VRV655395:VSB655399 WBR655395:WBX655399 WLN655395:WLT655399 WVJ655395:WVP655399 B720931:H720935 IX720931:JD720935 ST720931:SZ720935 ACP720931:ACV720935 AML720931:AMR720935 AWH720931:AWN720935 BGD720931:BGJ720935 BPZ720931:BQF720935 BZV720931:CAB720935 CJR720931:CJX720935 CTN720931:CTT720935 DDJ720931:DDP720935 DNF720931:DNL720935 DXB720931:DXH720935 EGX720931:EHD720935 EQT720931:EQZ720935 FAP720931:FAV720935 FKL720931:FKR720935 FUH720931:FUN720935 GED720931:GEJ720935 GNZ720931:GOF720935 GXV720931:GYB720935 HHR720931:HHX720935 HRN720931:HRT720935 IBJ720931:IBP720935 ILF720931:ILL720935 IVB720931:IVH720935 JEX720931:JFD720935 JOT720931:JOZ720935 JYP720931:JYV720935 KIL720931:KIR720935 KSH720931:KSN720935 LCD720931:LCJ720935 LLZ720931:LMF720935 LVV720931:LWB720935 MFR720931:MFX720935 MPN720931:MPT720935 MZJ720931:MZP720935 NJF720931:NJL720935 NTB720931:NTH720935 OCX720931:ODD720935 OMT720931:OMZ720935 OWP720931:OWV720935 PGL720931:PGR720935 PQH720931:PQN720935 QAD720931:QAJ720935 QJZ720931:QKF720935 QTV720931:QUB720935 RDR720931:RDX720935 RNN720931:RNT720935 RXJ720931:RXP720935 SHF720931:SHL720935 SRB720931:SRH720935 TAX720931:TBD720935 TKT720931:TKZ720935 TUP720931:TUV720935 UEL720931:UER720935 UOH720931:UON720935 UYD720931:UYJ720935 VHZ720931:VIF720935 VRV720931:VSB720935 WBR720931:WBX720935 WLN720931:WLT720935 WVJ720931:WVP720935 B786467:H786471 IX786467:JD786471 ST786467:SZ786471 ACP786467:ACV786471 AML786467:AMR786471 AWH786467:AWN786471 BGD786467:BGJ786471 BPZ786467:BQF786471 BZV786467:CAB786471 CJR786467:CJX786471 CTN786467:CTT786471 DDJ786467:DDP786471 DNF786467:DNL786471 DXB786467:DXH786471 EGX786467:EHD786471 EQT786467:EQZ786471 FAP786467:FAV786471 FKL786467:FKR786471 FUH786467:FUN786471 GED786467:GEJ786471 GNZ786467:GOF786471 GXV786467:GYB786471 HHR786467:HHX786471 HRN786467:HRT786471 IBJ786467:IBP786471 ILF786467:ILL786471 IVB786467:IVH786471 JEX786467:JFD786471 JOT786467:JOZ786471 JYP786467:JYV786471 KIL786467:KIR786471 KSH786467:KSN786471 LCD786467:LCJ786471 LLZ786467:LMF786471 LVV786467:LWB786471 MFR786467:MFX786471 MPN786467:MPT786471 MZJ786467:MZP786471 NJF786467:NJL786471 NTB786467:NTH786471 OCX786467:ODD786471 OMT786467:OMZ786471 OWP786467:OWV786471 PGL786467:PGR786471 PQH786467:PQN786471 QAD786467:QAJ786471 QJZ786467:QKF786471 QTV786467:QUB786471 RDR786467:RDX786471 RNN786467:RNT786471 RXJ786467:RXP786471 SHF786467:SHL786471 SRB786467:SRH786471 TAX786467:TBD786471 TKT786467:TKZ786471 TUP786467:TUV786471 UEL786467:UER786471 UOH786467:UON786471 UYD786467:UYJ786471 VHZ786467:VIF786471 VRV786467:VSB786471 WBR786467:WBX786471 WLN786467:WLT786471 WVJ786467:WVP786471 B852003:H852007 IX852003:JD852007 ST852003:SZ852007 ACP852003:ACV852007 AML852003:AMR852007 AWH852003:AWN852007 BGD852003:BGJ852007 BPZ852003:BQF852007 BZV852003:CAB852007 CJR852003:CJX852007 CTN852003:CTT852007 DDJ852003:DDP852007 DNF852003:DNL852007 DXB852003:DXH852007 EGX852003:EHD852007 EQT852003:EQZ852007 FAP852003:FAV852007 FKL852003:FKR852007 FUH852003:FUN852007 GED852003:GEJ852007 GNZ852003:GOF852007 GXV852003:GYB852007 HHR852003:HHX852007 HRN852003:HRT852007 IBJ852003:IBP852007 ILF852003:ILL852007 IVB852003:IVH852007 JEX852003:JFD852007 JOT852003:JOZ852007 JYP852003:JYV852007 KIL852003:KIR852007 KSH852003:KSN852007 LCD852003:LCJ852007 LLZ852003:LMF852007 LVV852003:LWB852007 MFR852003:MFX852007 MPN852003:MPT852007 MZJ852003:MZP852007 NJF852003:NJL852007 NTB852003:NTH852007 OCX852003:ODD852007 OMT852003:OMZ852007 OWP852003:OWV852007 PGL852003:PGR852007 PQH852003:PQN852007 QAD852003:QAJ852007 QJZ852003:QKF852007 QTV852003:QUB852007 RDR852003:RDX852007 RNN852003:RNT852007 RXJ852003:RXP852007 SHF852003:SHL852007 SRB852003:SRH852007 TAX852003:TBD852007 TKT852003:TKZ852007 TUP852003:TUV852007 UEL852003:UER852007 UOH852003:UON852007 UYD852003:UYJ852007 VHZ852003:VIF852007 VRV852003:VSB852007 WBR852003:WBX852007 WLN852003:WLT852007 WVJ852003:WVP852007 B917539:H917543 IX917539:JD917543 ST917539:SZ917543 ACP917539:ACV917543 AML917539:AMR917543 AWH917539:AWN917543 BGD917539:BGJ917543 BPZ917539:BQF917543 BZV917539:CAB917543 CJR917539:CJX917543 CTN917539:CTT917543 DDJ917539:DDP917543 DNF917539:DNL917543 DXB917539:DXH917543 EGX917539:EHD917543 EQT917539:EQZ917543 FAP917539:FAV917543 FKL917539:FKR917543 FUH917539:FUN917543 GED917539:GEJ917543 GNZ917539:GOF917543 GXV917539:GYB917543 HHR917539:HHX917543 HRN917539:HRT917543 IBJ917539:IBP917543 ILF917539:ILL917543 IVB917539:IVH917543 JEX917539:JFD917543 JOT917539:JOZ917543 JYP917539:JYV917543 KIL917539:KIR917543 KSH917539:KSN917543 LCD917539:LCJ917543 LLZ917539:LMF917543 LVV917539:LWB917543 MFR917539:MFX917543 MPN917539:MPT917543 MZJ917539:MZP917543 NJF917539:NJL917543 NTB917539:NTH917543 OCX917539:ODD917543 OMT917539:OMZ917543 OWP917539:OWV917543 PGL917539:PGR917543 PQH917539:PQN917543 QAD917539:QAJ917543 QJZ917539:QKF917543 QTV917539:QUB917543 RDR917539:RDX917543 RNN917539:RNT917543 RXJ917539:RXP917543 SHF917539:SHL917543 SRB917539:SRH917543 TAX917539:TBD917543 TKT917539:TKZ917543 TUP917539:TUV917543 UEL917539:UER917543 UOH917539:UON917543 UYD917539:UYJ917543 VHZ917539:VIF917543 VRV917539:VSB917543 WBR917539:WBX917543 WLN917539:WLT917543 WVJ917539:WVP917543 B983075:H983079 IX983075:JD983079 ST983075:SZ983079 ACP983075:ACV983079 AML983075:AMR983079 AWH983075:AWN983079 BGD983075:BGJ983079 BPZ983075:BQF983079 BZV983075:CAB983079 CJR983075:CJX983079 CTN983075:CTT983079 DDJ983075:DDP983079 DNF983075:DNL983079 DXB983075:DXH983079 EGX983075:EHD983079 EQT983075:EQZ983079 FAP983075:FAV983079 FKL983075:FKR983079 FUH983075:FUN983079 GED983075:GEJ983079 GNZ983075:GOF983079 GXV983075:GYB983079 HHR983075:HHX983079 HRN983075:HRT983079 IBJ983075:IBP983079 ILF983075:ILL983079 IVB983075:IVH983079 JEX983075:JFD983079 JOT983075:JOZ983079 JYP983075:JYV983079 KIL983075:KIR983079 KSH983075:KSN983079 LCD983075:LCJ983079 LLZ983075:LMF983079 LVV983075:LWB983079 MFR983075:MFX983079 MPN983075:MPT983079 MZJ983075:MZP983079 NJF983075:NJL983079 NTB983075:NTH983079 OCX983075:ODD983079 OMT983075:OMZ983079 OWP983075:OWV983079 PGL983075:PGR983079 PQH983075:PQN983079 QAD983075:QAJ983079 QJZ983075:QKF983079 QTV983075:QUB983079 RDR983075:RDX983079 RNN983075:RNT983079 RXJ983075:RXP983079 SHF983075:SHL983079 SRB983075:SRH983079 TAX983075:TBD983079 TKT983075:TKZ983079 TUP983075:TUV983079 UEL983075:UER983079 UOH983075:UON983079 UYD983075:UYJ983079 VHZ983075:VIF983079 VRV983075:VSB983079 WBR983075:WBX983079 WLN983075:WLT983079 WVJ983075:WVP983079">
      <formula1>OutcomeIndInCmp</formula1>
    </dataValidation>
    <dataValidation type="list" allowBlank="1" prompt="Please select an indicator" sqref="B17:H21 IX17:JD21 ST17:SZ21 ACP17:ACV21 AML17:AMR21 AWH17:AWN21 BGD17:BGJ21 BPZ17:BQF21 BZV17:CAB21 CJR17:CJX21 CTN17:CTT21 DDJ17:DDP21 DNF17:DNL21 DXB17:DXH21 EGX17:EHD21 EQT17:EQZ21 FAP17:FAV21 FKL17:FKR21 FUH17:FUN21 GED17:GEJ21 GNZ17:GOF21 GXV17:GYB21 HHR17:HHX21 HRN17:HRT21 IBJ17:IBP21 ILF17:ILL21 IVB17:IVH21 JEX17:JFD21 JOT17:JOZ21 JYP17:JYV21 KIL17:KIR21 KSH17:KSN21 LCD17:LCJ21 LLZ17:LMF21 LVV17:LWB21 MFR17:MFX21 MPN17:MPT21 MZJ17:MZP21 NJF17:NJL21 NTB17:NTH21 OCX17:ODD21 OMT17:OMZ21 OWP17:OWV21 PGL17:PGR21 PQH17:PQN21 QAD17:QAJ21 QJZ17:QKF21 QTV17:QUB21 RDR17:RDX21 RNN17:RNT21 RXJ17:RXP21 SHF17:SHL21 SRB17:SRH21 TAX17:TBD21 TKT17:TKZ21 TUP17:TUV21 UEL17:UER21 UOH17:UON21 UYD17:UYJ21 VHZ17:VIF21 VRV17:VSB21 WBR17:WBX21 WLN17:WLT21 WVJ17:WVP21 B65553:H65557 IX65553:JD65557 ST65553:SZ65557 ACP65553:ACV65557 AML65553:AMR65557 AWH65553:AWN65557 BGD65553:BGJ65557 BPZ65553:BQF65557 BZV65553:CAB65557 CJR65553:CJX65557 CTN65553:CTT65557 DDJ65553:DDP65557 DNF65553:DNL65557 DXB65553:DXH65557 EGX65553:EHD65557 EQT65553:EQZ65557 FAP65553:FAV65557 FKL65553:FKR65557 FUH65553:FUN65557 GED65553:GEJ65557 GNZ65553:GOF65557 GXV65553:GYB65557 HHR65553:HHX65557 HRN65553:HRT65557 IBJ65553:IBP65557 ILF65553:ILL65557 IVB65553:IVH65557 JEX65553:JFD65557 JOT65553:JOZ65557 JYP65553:JYV65557 KIL65553:KIR65557 KSH65553:KSN65557 LCD65553:LCJ65557 LLZ65553:LMF65557 LVV65553:LWB65557 MFR65553:MFX65557 MPN65553:MPT65557 MZJ65553:MZP65557 NJF65553:NJL65557 NTB65553:NTH65557 OCX65553:ODD65557 OMT65553:OMZ65557 OWP65553:OWV65557 PGL65553:PGR65557 PQH65553:PQN65557 QAD65553:QAJ65557 QJZ65553:QKF65557 QTV65553:QUB65557 RDR65553:RDX65557 RNN65553:RNT65557 RXJ65553:RXP65557 SHF65553:SHL65557 SRB65553:SRH65557 TAX65553:TBD65557 TKT65553:TKZ65557 TUP65553:TUV65557 UEL65553:UER65557 UOH65553:UON65557 UYD65553:UYJ65557 VHZ65553:VIF65557 VRV65553:VSB65557 WBR65553:WBX65557 WLN65553:WLT65557 WVJ65553:WVP65557 B131089:H131093 IX131089:JD131093 ST131089:SZ131093 ACP131089:ACV131093 AML131089:AMR131093 AWH131089:AWN131093 BGD131089:BGJ131093 BPZ131089:BQF131093 BZV131089:CAB131093 CJR131089:CJX131093 CTN131089:CTT131093 DDJ131089:DDP131093 DNF131089:DNL131093 DXB131089:DXH131093 EGX131089:EHD131093 EQT131089:EQZ131093 FAP131089:FAV131093 FKL131089:FKR131093 FUH131089:FUN131093 GED131089:GEJ131093 GNZ131089:GOF131093 GXV131089:GYB131093 HHR131089:HHX131093 HRN131089:HRT131093 IBJ131089:IBP131093 ILF131089:ILL131093 IVB131089:IVH131093 JEX131089:JFD131093 JOT131089:JOZ131093 JYP131089:JYV131093 KIL131089:KIR131093 KSH131089:KSN131093 LCD131089:LCJ131093 LLZ131089:LMF131093 LVV131089:LWB131093 MFR131089:MFX131093 MPN131089:MPT131093 MZJ131089:MZP131093 NJF131089:NJL131093 NTB131089:NTH131093 OCX131089:ODD131093 OMT131089:OMZ131093 OWP131089:OWV131093 PGL131089:PGR131093 PQH131089:PQN131093 QAD131089:QAJ131093 QJZ131089:QKF131093 QTV131089:QUB131093 RDR131089:RDX131093 RNN131089:RNT131093 RXJ131089:RXP131093 SHF131089:SHL131093 SRB131089:SRH131093 TAX131089:TBD131093 TKT131089:TKZ131093 TUP131089:TUV131093 UEL131089:UER131093 UOH131089:UON131093 UYD131089:UYJ131093 VHZ131089:VIF131093 VRV131089:VSB131093 WBR131089:WBX131093 WLN131089:WLT131093 WVJ131089:WVP131093 B196625:H196629 IX196625:JD196629 ST196625:SZ196629 ACP196625:ACV196629 AML196625:AMR196629 AWH196625:AWN196629 BGD196625:BGJ196629 BPZ196625:BQF196629 BZV196625:CAB196629 CJR196625:CJX196629 CTN196625:CTT196629 DDJ196625:DDP196629 DNF196625:DNL196629 DXB196625:DXH196629 EGX196625:EHD196629 EQT196625:EQZ196629 FAP196625:FAV196629 FKL196625:FKR196629 FUH196625:FUN196629 GED196625:GEJ196629 GNZ196625:GOF196629 GXV196625:GYB196629 HHR196625:HHX196629 HRN196625:HRT196629 IBJ196625:IBP196629 ILF196625:ILL196629 IVB196625:IVH196629 JEX196625:JFD196629 JOT196625:JOZ196629 JYP196625:JYV196629 KIL196625:KIR196629 KSH196625:KSN196629 LCD196625:LCJ196629 LLZ196625:LMF196629 LVV196625:LWB196629 MFR196625:MFX196629 MPN196625:MPT196629 MZJ196625:MZP196629 NJF196625:NJL196629 NTB196625:NTH196629 OCX196625:ODD196629 OMT196625:OMZ196629 OWP196625:OWV196629 PGL196625:PGR196629 PQH196625:PQN196629 QAD196625:QAJ196629 QJZ196625:QKF196629 QTV196625:QUB196629 RDR196625:RDX196629 RNN196625:RNT196629 RXJ196625:RXP196629 SHF196625:SHL196629 SRB196625:SRH196629 TAX196625:TBD196629 TKT196625:TKZ196629 TUP196625:TUV196629 UEL196625:UER196629 UOH196625:UON196629 UYD196625:UYJ196629 VHZ196625:VIF196629 VRV196625:VSB196629 WBR196625:WBX196629 WLN196625:WLT196629 WVJ196625:WVP196629 B262161:H262165 IX262161:JD262165 ST262161:SZ262165 ACP262161:ACV262165 AML262161:AMR262165 AWH262161:AWN262165 BGD262161:BGJ262165 BPZ262161:BQF262165 BZV262161:CAB262165 CJR262161:CJX262165 CTN262161:CTT262165 DDJ262161:DDP262165 DNF262161:DNL262165 DXB262161:DXH262165 EGX262161:EHD262165 EQT262161:EQZ262165 FAP262161:FAV262165 FKL262161:FKR262165 FUH262161:FUN262165 GED262161:GEJ262165 GNZ262161:GOF262165 GXV262161:GYB262165 HHR262161:HHX262165 HRN262161:HRT262165 IBJ262161:IBP262165 ILF262161:ILL262165 IVB262161:IVH262165 JEX262161:JFD262165 JOT262161:JOZ262165 JYP262161:JYV262165 KIL262161:KIR262165 KSH262161:KSN262165 LCD262161:LCJ262165 LLZ262161:LMF262165 LVV262161:LWB262165 MFR262161:MFX262165 MPN262161:MPT262165 MZJ262161:MZP262165 NJF262161:NJL262165 NTB262161:NTH262165 OCX262161:ODD262165 OMT262161:OMZ262165 OWP262161:OWV262165 PGL262161:PGR262165 PQH262161:PQN262165 QAD262161:QAJ262165 QJZ262161:QKF262165 QTV262161:QUB262165 RDR262161:RDX262165 RNN262161:RNT262165 RXJ262161:RXP262165 SHF262161:SHL262165 SRB262161:SRH262165 TAX262161:TBD262165 TKT262161:TKZ262165 TUP262161:TUV262165 UEL262161:UER262165 UOH262161:UON262165 UYD262161:UYJ262165 VHZ262161:VIF262165 VRV262161:VSB262165 WBR262161:WBX262165 WLN262161:WLT262165 WVJ262161:WVP262165 B327697:H327701 IX327697:JD327701 ST327697:SZ327701 ACP327697:ACV327701 AML327697:AMR327701 AWH327697:AWN327701 BGD327697:BGJ327701 BPZ327697:BQF327701 BZV327697:CAB327701 CJR327697:CJX327701 CTN327697:CTT327701 DDJ327697:DDP327701 DNF327697:DNL327701 DXB327697:DXH327701 EGX327697:EHD327701 EQT327697:EQZ327701 FAP327697:FAV327701 FKL327697:FKR327701 FUH327697:FUN327701 GED327697:GEJ327701 GNZ327697:GOF327701 GXV327697:GYB327701 HHR327697:HHX327701 HRN327697:HRT327701 IBJ327697:IBP327701 ILF327697:ILL327701 IVB327697:IVH327701 JEX327697:JFD327701 JOT327697:JOZ327701 JYP327697:JYV327701 KIL327697:KIR327701 KSH327697:KSN327701 LCD327697:LCJ327701 LLZ327697:LMF327701 LVV327697:LWB327701 MFR327697:MFX327701 MPN327697:MPT327701 MZJ327697:MZP327701 NJF327697:NJL327701 NTB327697:NTH327701 OCX327697:ODD327701 OMT327697:OMZ327701 OWP327697:OWV327701 PGL327697:PGR327701 PQH327697:PQN327701 QAD327697:QAJ327701 QJZ327697:QKF327701 QTV327697:QUB327701 RDR327697:RDX327701 RNN327697:RNT327701 RXJ327697:RXP327701 SHF327697:SHL327701 SRB327697:SRH327701 TAX327697:TBD327701 TKT327697:TKZ327701 TUP327697:TUV327701 UEL327697:UER327701 UOH327697:UON327701 UYD327697:UYJ327701 VHZ327697:VIF327701 VRV327697:VSB327701 WBR327697:WBX327701 WLN327697:WLT327701 WVJ327697:WVP327701 B393233:H393237 IX393233:JD393237 ST393233:SZ393237 ACP393233:ACV393237 AML393233:AMR393237 AWH393233:AWN393237 BGD393233:BGJ393237 BPZ393233:BQF393237 BZV393233:CAB393237 CJR393233:CJX393237 CTN393233:CTT393237 DDJ393233:DDP393237 DNF393233:DNL393237 DXB393233:DXH393237 EGX393233:EHD393237 EQT393233:EQZ393237 FAP393233:FAV393237 FKL393233:FKR393237 FUH393233:FUN393237 GED393233:GEJ393237 GNZ393233:GOF393237 GXV393233:GYB393237 HHR393233:HHX393237 HRN393233:HRT393237 IBJ393233:IBP393237 ILF393233:ILL393237 IVB393233:IVH393237 JEX393233:JFD393237 JOT393233:JOZ393237 JYP393233:JYV393237 KIL393233:KIR393237 KSH393233:KSN393237 LCD393233:LCJ393237 LLZ393233:LMF393237 LVV393233:LWB393237 MFR393233:MFX393237 MPN393233:MPT393237 MZJ393233:MZP393237 NJF393233:NJL393237 NTB393233:NTH393237 OCX393233:ODD393237 OMT393233:OMZ393237 OWP393233:OWV393237 PGL393233:PGR393237 PQH393233:PQN393237 QAD393233:QAJ393237 QJZ393233:QKF393237 QTV393233:QUB393237 RDR393233:RDX393237 RNN393233:RNT393237 RXJ393233:RXP393237 SHF393233:SHL393237 SRB393233:SRH393237 TAX393233:TBD393237 TKT393233:TKZ393237 TUP393233:TUV393237 UEL393233:UER393237 UOH393233:UON393237 UYD393233:UYJ393237 VHZ393233:VIF393237 VRV393233:VSB393237 WBR393233:WBX393237 WLN393233:WLT393237 WVJ393233:WVP393237 B458769:H458773 IX458769:JD458773 ST458769:SZ458773 ACP458769:ACV458773 AML458769:AMR458773 AWH458769:AWN458773 BGD458769:BGJ458773 BPZ458769:BQF458773 BZV458769:CAB458773 CJR458769:CJX458773 CTN458769:CTT458773 DDJ458769:DDP458773 DNF458769:DNL458773 DXB458769:DXH458773 EGX458769:EHD458773 EQT458769:EQZ458773 FAP458769:FAV458773 FKL458769:FKR458773 FUH458769:FUN458773 GED458769:GEJ458773 GNZ458769:GOF458773 GXV458769:GYB458773 HHR458769:HHX458773 HRN458769:HRT458773 IBJ458769:IBP458773 ILF458769:ILL458773 IVB458769:IVH458773 JEX458769:JFD458773 JOT458769:JOZ458773 JYP458769:JYV458773 KIL458769:KIR458773 KSH458769:KSN458773 LCD458769:LCJ458773 LLZ458769:LMF458773 LVV458769:LWB458773 MFR458769:MFX458773 MPN458769:MPT458773 MZJ458769:MZP458773 NJF458769:NJL458773 NTB458769:NTH458773 OCX458769:ODD458773 OMT458769:OMZ458773 OWP458769:OWV458773 PGL458769:PGR458773 PQH458769:PQN458773 QAD458769:QAJ458773 QJZ458769:QKF458773 QTV458769:QUB458773 RDR458769:RDX458773 RNN458769:RNT458773 RXJ458769:RXP458773 SHF458769:SHL458773 SRB458769:SRH458773 TAX458769:TBD458773 TKT458769:TKZ458773 TUP458769:TUV458773 UEL458769:UER458773 UOH458769:UON458773 UYD458769:UYJ458773 VHZ458769:VIF458773 VRV458769:VSB458773 WBR458769:WBX458773 WLN458769:WLT458773 WVJ458769:WVP458773 B524305:H524309 IX524305:JD524309 ST524305:SZ524309 ACP524305:ACV524309 AML524305:AMR524309 AWH524305:AWN524309 BGD524305:BGJ524309 BPZ524305:BQF524309 BZV524305:CAB524309 CJR524305:CJX524309 CTN524305:CTT524309 DDJ524305:DDP524309 DNF524305:DNL524309 DXB524305:DXH524309 EGX524305:EHD524309 EQT524305:EQZ524309 FAP524305:FAV524309 FKL524305:FKR524309 FUH524305:FUN524309 GED524305:GEJ524309 GNZ524305:GOF524309 GXV524305:GYB524309 HHR524305:HHX524309 HRN524305:HRT524309 IBJ524305:IBP524309 ILF524305:ILL524309 IVB524305:IVH524309 JEX524305:JFD524309 JOT524305:JOZ524309 JYP524305:JYV524309 KIL524305:KIR524309 KSH524305:KSN524309 LCD524305:LCJ524309 LLZ524305:LMF524309 LVV524305:LWB524309 MFR524305:MFX524309 MPN524305:MPT524309 MZJ524305:MZP524309 NJF524305:NJL524309 NTB524305:NTH524309 OCX524305:ODD524309 OMT524305:OMZ524309 OWP524305:OWV524309 PGL524305:PGR524309 PQH524305:PQN524309 QAD524305:QAJ524309 QJZ524305:QKF524309 QTV524305:QUB524309 RDR524305:RDX524309 RNN524305:RNT524309 RXJ524305:RXP524309 SHF524305:SHL524309 SRB524305:SRH524309 TAX524305:TBD524309 TKT524305:TKZ524309 TUP524305:TUV524309 UEL524305:UER524309 UOH524305:UON524309 UYD524305:UYJ524309 VHZ524305:VIF524309 VRV524305:VSB524309 WBR524305:WBX524309 WLN524305:WLT524309 WVJ524305:WVP524309 B589841:H589845 IX589841:JD589845 ST589841:SZ589845 ACP589841:ACV589845 AML589841:AMR589845 AWH589841:AWN589845 BGD589841:BGJ589845 BPZ589841:BQF589845 BZV589841:CAB589845 CJR589841:CJX589845 CTN589841:CTT589845 DDJ589841:DDP589845 DNF589841:DNL589845 DXB589841:DXH589845 EGX589841:EHD589845 EQT589841:EQZ589845 FAP589841:FAV589845 FKL589841:FKR589845 FUH589841:FUN589845 GED589841:GEJ589845 GNZ589841:GOF589845 GXV589841:GYB589845 HHR589841:HHX589845 HRN589841:HRT589845 IBJ589841:IBP589845 ILF589841:ILL589845 IVB589841:IVH589845 JEX589841:JFD589845 JOT589841:JOZ589845 JYP589841:JYV589845 KIL589841:KIR589845 KSH589841:KSN589845 LCD589841:LCJ589845 LLZ589841:LMF589845 LVV589841:LWB589845 MFR589841:MFX589845 MPN589841:MPT589845 MZJ589841:MZP589845 NJF589841:NJL589845 NTB589841:NTH589845 OCX589841:ODD589845 OMT589841:OMZ589845 OWP589841:OWV589845 PGL589841:PGR589845 PQH589841:PQN589845 QAD589841:QAJ589845 QJZ589841:QKF589845 QTV589841:QUB589845 RDR589841:RDX589845 RNN589841:RNT589845 RXJ589841:RXP589845 SHF589841:SHL589845 SRB589841:SRH589845 TAX589841:TBD589845 TKT589841:TKZ589845 TUP589841:TUV589845 UEL589841:UER589845 UOH589841:UON589845 UYD589841:UYJ589845 VHZ589841:VIF589845 VRV589841:VSB589845 WBR589841:WBX589845 WLN589841:WLT589845 WVJ589841:WVP589845 B655377:H655381 IX655377:JD655381 ST655377:SZ655381 ACP655377:ACV655381 AML655377:AMR655381 AWH655377:AWN655381 BGD655377:BGJ655381 BPZ655377:BQF655381 BZV655377:CAB655381 CJR655377:CJX655381 CTN655377:CTT655381 DDJ655377:DDP655381 DNF655377:DNL655381 DXB655377:DXH655381 EGX655377:EHD655381 EQT655377:EQZ655381 FAP655377:FAV655381 FKL655377:FKR655381 FUH655377:FUN655381 GED655377:GEJ655381 GNZ655377:GOF655381 GXV655377:GYB655381 HHR655377:HHX655381 HRN655377:HRT655381 IBJ655377:IBP655381 ILF655377:ILL655381 IVB655377:IVH655381 JEX655377:JFD655381 JOT655377:JOZ655381 JYP655377:JYV655381 KIL655377:KIR655381 KSH655377:KSN655381 LCD655377:LCJ655381 LLZ655377:LMF655381 LVV655377:LWB655381 MFR655377:MFX655381 MPN655377:MPT655381 MZJ655377:MZP655381 NJF655377:NJL655381 NTB655377:NTH655381 OCX655377:ODD655381 OMT655377:OMZ655381 OWP655377:OWV655381 PGL655377:PGR655381 PQH655377:PQN655381 QAD655377:QAJ655381 QJZ655377:QKF655381 QTV655377:QUB655381 RDR655377:RDX655381 RNN655377:RNT655381 RXJ655377:RXP655381 SHF655377:SHL655381 SRB655377:SRH655381 TAX655377:TBD655381 TKT655377:TKZ655381 TUP655377:TUV655381 UEL655377:UER655381 UOH655377:UON655381 UYD655377:UYJ655381 VHZ655377:VIF655381 VRV655377:VSB655381 WBR655377:WBX655381 WLN655377:WLT655381 WVJ655377:WVP655381 B720913:H720917 IX720913:JD720917 ST720913:SZ720917 ACP720913:ACV720917 AML720913:AMR720917 AWH720913:AWN720917 BGD720913:BGJ720917 BPZ720913:BQF720917 BZV720913:CAB720917 CJR720913:CJX720917 CTN720913:CTT720917 DDJ720913:DDP720917 DNF720913:DNL720917 DXB720913:DXH720917 EGX720913:EHD720917 EQT720913:EQZ720917 FAP720913:FAV720917 FKL720913:FKR720917 FUH720913:FUN720917 GED720913:GEJ720917 GNZ720913:GOF720917 GXV720913:GYB720917 HHR720913:HHX720917 HRN720913:HRT720917 IBJ720913:IBP720917 ILF720913:ILL720917 IVB720913:IVH720917 JEX720913:JFD720917 JOT720913:JOZ720917 JYP720913:JYV720917 KIL720913:KIR720917 KSH720913:KSN720917 LCD720913:LCJ720917 LLZ720913:LMF720917 LVV720913:LWB720917 MFR720913:MFX720917 MPN720913:MPT720917 MZJ720913:MZP720917 NJF720913:NJL720917 NTB720913:NTH720917 OCX720913:ODD720917 OMT720913:OMZ720917 OWP720913:OWV720917 PGL720913:PGR720917 PQH720913:PQN720917 QAD720913:QAJ720917 QJZ720913:QKF720917 QTV720913:QUB720917 RDR720913:RDX720917 RNN720913:RNT720917 RXJ720913:RXP720917 SHF720913:SHL720917 SRB720913:SRH720917 TAX720913:TBD720917 TKT720913:TKZ720917 TUP720913:TUV720917 UEL720913:UER720917 UOH720913:UON720917 UYD720913:UYJ720917 VHZ720913:VIF720917 VRV720913:VSB720917 WBR720913:WBX720917 WLN720913:WLT720917 WVJ720913:WVP720917 B786449:H786453 IX786449:JD786453 ST786449:SZ786453 ACP786449:ACV786453 AML786449:AMR786453 AWH786449:AWN786453 BGD786449:BGJ786453 BPZ786449:BQF786453 BZV786449:CAB786453 CJR786449:CJX786453 CTN786449:CTT786453 DDJ786449:DDP786453 DNF786449:DNL786453 DXB786449:DXH786453 EGX786449:EHD786453 EQT786449:EQZ786453 FAP786449:FAV786453 FKL786449:FKR786453 FUH786449:FUN786453 GED786449:GEJ786453 GNZ786449:GOF786453 GXV786449:GYB786453 HHR786449:HHX786453 HRN786449:HRT786453 IBJ786449:IBP786453 ILF786449:ILL786453 IVB786449:IVH786453 JEX786449:JFD786453 JOT786449:JOZ786453 JYP786449:JYV786453 KIL786449:KIR786453 KSH786449:KSN786453 LCD786449:LCJ786453 LLZ786449:LMF786453 LVV786449:LWB786453 MFR786449:MFX786453 MPN786449:MPT786453 MZJ786449:MZP786453 NJF786449:NJL786453 NTB786449:NTH786453 OCX786449:ODD786453 OMT786449:OMZ786453 OWP786449:OWV786453 PGL786449:PGR786453 PQH786449:PQN786453 QAD786449:QAJ786453 QJZ786449:QKF786453 QTV786449:QUB786453 RDR786449:RDX786453 RNN786449:RNT786453 RXJ786449:RXP786453 SHF786449:SHL786453 SRB786449:SRH786453 TAX786449:TBD786453 TKT786449:TKZ786453 TUP786449:TUV786453 UEL786449:UER786453 UOH786449:UON786453 UYD786449:UYJ786453 VHZ786449:VIF786453 VRV786449:VSB786453 WBR786449:WBX786453 WLN786449:WLT786453 WVJ786449:WVP786453 B851985:H851989 IX851985:JD851989 ST851985:SZ851989 ACP851985:ACV851989 AML851985:AMR851989 AWH851985:AWN851989 BGD851985:BGJ851989 BPZ851985:BQF851989 BZV851985:CAB851989 CJR851985:CJX851989 CTN851985:CTT851989 DDJ851985:DDP851989 DNF851985:DNL851989 DXB851985:DXH851989 EGX851985:EHD851989 EQT851985:EQZ851989 FAP851985:FAV851989 FKL851985:FKR851989 FUH851985:FUN851989 GED851985:GEJ851989 GNZ851985:GOF851989 GXV851985:GYB851989 HHR851985:HHX851989 HRN851985:HRT851989 IBJ851985:IBP851989 ILF851985:ILL851989 IVB851985:IVH851989 JEX851985:JFD851989 JOT851985:JOZ851989 JYP851985:JYV851989 KIL851985:KIR851989 KSH851985:KSN851989 LCD851985:LCJ851989 LLZ851985:LMF851989 LVV851985:LWB851989 MFR851985:MFX851989 MPN851985:MPT851989 MZJ851985:MZP851989 NJF851985:NJL851989 NTB851985:NTH851989 OCX851985:ODD851989 OMT851985:OMZ851989 OWP851985:OWV851989 PGL851985:PGR851989 PQH851985:PQN851989 QAD851985:QAJ851989 QJZ851985:QKF851989 QTV851985:QUB851989 RDR851985:RDX851989 RNN851985:RNT851989 RXJ851985:RXP851989 SHF851985:SHL851989 SRB851985:SRH851989 TAX851985:TBD851989 TKT851985:TKZ851989 TUP851985:TUV851989 UEL851985:UER851989 UOH851985:UON851989 UYD851985:UYJ851989 VHZ851985:VIF851989 VRV851985:VSB851989 WBR851985:WBX851989 WLN851985:WLT851989 WVJ851985:WVP851989 B917521:H917525 IX917521:JD917525 ST917521:SZ917525 ACP917521:ACV917525 AML917521:AMR917525 AWH917521:AWN917525 BGD917521:BGJ917525 BPZ917521:BQF917525 BZV917521:CAB917525 CJR917521:CJX917525 CTN917521:CTT917525 DDJ917521:DDP917525 DNF917521:DNL917525 DXB917521:DXH917525 EGX917521:EHD917525 EQT917521:EQZ917525 FAP917521:FAV917525 FKL917521:FKR917525 FUH917521:FUN917525 GED917521:GEJ917525 GNZ917521:GOF917525 GXV917521:GYB917525 HHR917521:HHX917525 HRN917521:HRT917525 IBJ917521:IBP917525 ILF917521:ILL917525 IVB917521:IVH917525 JEX917521:JFD917525 JOT917521:JOZ917525 JYP917521:JYV917525 KIL917521:KIR917525 KSH917521:KSN917525 LCD917521:LCJ917525 LLZ917521:LMF917525 LVV917521:LWB917525 MFR917521:MFX917525 MPN917521:MPT917525 MZJ917521:MZP917525 NJF917521:NJL917525 NTB917521:NTH917525 OCX917521:ODD917525 OMT917521:OMZ917525 OWP917521:OWV917525 PGL917521:PGR917525 PQH917521:PQN917525 QAD917521:QAJ917525 QJZ917521:QKF917525 QTV917521:QUB917525 RDR917521:RDX917525 RNN917521:RNT917525 RXJ917521:RXP917525 SHF917521:SHL917525 SRB917521:SRH917525 TAX917521:TBD917525 TKT917521:TKZ917525 TUP917521:TUV917525 UEL917521:UER917525 UOH917521:UON917525 UYD917521:UYJ917525 VHZ917521:VIF917525 VRV917521:VSB917525 WBR917521:WBX917525 WLN917521:WLT917525 WVJ917521:WVP917525 B983057:H983061 IX983057:JD983061 ST983057:SZ983061 ACP983057:ACV983061 AML983057:AMR983061 AWH983057:AWN983061 BGD983057:BGJ983061 BPZ983057:BQF983061 BZV983057:CAB983061 CJR983057:CJX983061 CTN983057:CTT983061 DDJ983057:DDP983061 DNF983057:DNL983061 DXB983057:DXH983061 EGX983057:EHD983061 EQT983057:EQZ983061 FAP983057:FAV983061 FKL983057:FKR983061 FUH983057:FUN983061 GED983057:GEJ983061 GNZ983057:GOF983061 GXV983057:GYB983061 HHR983057:HHX983061 HRN983057:HRT983061 IBJ983057:IBP983061 ILF983057:ILL983061 IVB983057:IVH983061 JEX983057:JFD983061 JOT983057:JOZ983061 JYP983057:JYV983061 KIL983057:KIR983061 KSH983057:KSN983061 LCD983057:LCJ983061 LLZ983057:LMF983061 LVV983057:LWB983061 MFR983057:MFX983061 MPN983057:MPT983061 MZJ983057:MZP983061 NJF983057:NJL983061 NTB983057:NTH983061 OCX983057:ODD983061 OMT983057:OMZ983061 OWP983057:OWV983061 PGL983057:PGR983061 PQH983057:PQN983061 QAD983057:QAJ983061 QJZ983057:QKF983061 QTV983057:QUB983061 RDR983057:RDX983061 RNN983057:RNT983061 RXJ983057:RXP983061 SHF983057:SHL983061 SRB983057:SRH983061 TAX983057:TBD983061 TKT983057:TKZ983061 TUP983057:TUV983061 UEL983057:UER983061 UOH983057:UON983061 UYD983057:UYJ983061 VHZ983057:VIF983061 VRV983057:VSB983061 WBR983057:WBX983061 WLN983057:WLT983061 WVJ983057:WVP983061">
      <formula1>ImpactIndInCmp</formula1>
    </dataValidation>
    <dataValidation type="list" allowBlank="1" showInputMessage="1" showErrorMessage="1" sqref="J65:J84 JF65:JF84 TB65:TB84 ACX65:ACX84 AMT65:AMT84 AWP65:AWP84 BGL65:BGL84 BQH65:BQH84 CAD65:CAD84 CJZ65:CJZ84 CTV65:CTV84 DDR65:DDR84 DNN65:DNN84 DXJ65:DXJ84 EHF65:EHF84 ERB65:ERB84 FAX65:FAX84 FKT65:FKT84 FUP65:FUP84 GEL65:GEL84 GOH65:GOH84 GYD65:GYD84 HHZ65:HHZ84 HRV65:HRV84 IBR65:IBR84 ILN65:ILN84 IVJ65:IVJ84 JFF65:JFF84 JPB65:JPB84 JYX65:JYX84 KIT65:KIT84 KSP65:KSP84 LCL65:LCL84 LMH65:LMH84 LWD65:LWD84 MFZ65:MFZ84 MPV65:MPV84 MZR65:MZR84 NJN65:NJN84 NTJ65:NTJ84 ODF65:ODF84 ONB65:ONB84 OWX65:OWX84 PGT65:PGT84 PQP65:PQP84 QAL65:QAL84 QKH65:QKH84 QUD65:QUD84 RDZ65:RDZ84 RNV65:RNV84 RXR65:RXR84 SHN65:SHN84 SRJ65:SRJ84 TBF65:TBF84 TLB65:TLB84 TUX65:TUX84 UET65:UET84 UOP65:UOP84 UYL65:UYL84 VIH65:VIH84 VSD65:VSD84 WBZ65:WBZ84 WLV65:WLV84 WVR65:WVR84 J65601:J65620 JF65601:JF65620 TB65601:TB65620 ACX65601:ACX65620 AMT65601:AMT65620 AWP65601:AWP65620 BGL65601:BGL65620 BQH65601:BQH65620 CAD65601:CAD65620 CJZ65601:CJZ65620 CTV65601:CTV65620 DDR65601:DDR65620 DNN65601:DNN65620 DXJ65601:DXJ65620 EHF65601:EHF65620 ERB65601:ERB65620 FAX65601:FAX65620 FKT65601:FKT65620 FUP65601:FUP65620 GEL65601:GEL65620 GOH65601:GOH65620 GYD65601:GYD65620 HHZ65601:HHZ65620 HRV65601:HRV65620 IBR65601:IBR65620 ILN65601:ILN65620 IVJ65601:IVJ65620 JFF65601:JFF65620 JPB65601:JPB65620 JYX65601:JYX65620 KIT65601:KIT65620 KSP65601:KSP65620 LCL65601:LCL65620 LMH65601:LMH65620 LWD65601:LWD65620 MFZ65601:MFZ65620 MPV65601:MPV65620 MZR65601:MZR65620 NJN65601:NJN65620 NTJ65601:NTJ65620 ODF65601:ODF65620 ONB65601:ONB65620 OWX65601:OWX65620 PGT65601:PGT65620 PQP65601:PQP65620 QAL65601:QAL65620 QKH65601:QKH65620 QUD65601:QUD65620 RDZ65601:RDZ65620 RNV65601:RNV65620 RXR65601:RXR65620 SHN65601:SHN65620 SRJ65601:SRJ65620 TBF65601:TBF65620 TLB65601:TLB65620 TUX65601:TUX65620 UET65601:UET65620 UOP65601:UOP65620 UYL65601:UYL65620 VIH65601:VIH65620 VSD65601:VSD65620 WBZ65601:WBZ65620 WLV65601:WLV65620 WVR65601:WVR65620 J131137:J131156 JF131137:JF131156 TB131137:TB131156 ACX131137:ACX131156 AMT131137:AMT131156 AWP131137:AWP131156 BGL131137:BGL131156 BQH131137:BQH131156 CAD131137:CAD131156 CJZ131137:CJZ131156 CTV131137:CTV131156 DDR131137:DDR131156 DNN131137:DNN131156 DXJ131137:DXJ131156 EHF131137:EHF131156 ERB131137:ERB131156 FAX131137:FAX131156 FKT131137:FKT131156 FUP131137:FUP131156 GEL131137:GEL131156 GOH131137:GOH131156 GYD131137:GYD131156 HHZ131137:HHZ131156 HRV131137:HRV131156 IBR131137:IBR131156 ILN131137:ILN131156 IVJ131137:IVJ131156 JFF131137:JFF131156 JPB131137:JPB131156 JYX131137:JYX131156 KIT131137:KIT131156 KSP131137:KSP131156 LCL131137:LCL131156 LMH131137:LMH131156 LWD131137:LWD131156 MFZ131137:MFZ131156 MPV131137:MPV131156 MZR131137:MZR131156 NJN131137:NJN131156 NTJ131137:NTJ131156 ODF131137:ODF131156 ONB131137:ONB131156 OWX131137:OWX131156 PGT131137:PGT131156 PQP131137:PQP131156 QAL131137:QAL131156 QKH131137:QKH131156 QUD131137:QUD131156 RDZ131137:RDZ131156 RNV131137:RNV131156 RXR131137:RXR131156 SHN131137:SHN131156 SRJ131137:SRJ131156 TBF131137:TBF131156 TLB131137:TLB131156 TUX131137:TUX131156 UET131137:UET131156 UOP131137:UOP131156 UYL131137:UYL131156 VIH131137:VIH131156 VSD131137:VSD131156 WBZ131137:WBZ131156 WLV131137:WLV131156 WVR131137:WVR131156 J196673:J196692 JF196673:JF196692 TB196673:TB196692 ACX196673:ACX196692 AMT196673:AMT196692 AWP196673:AWP196692 BGL196673:BGL196692 BQH196673:BQH196692 CAD196673:CAD196692 CJZ196673:CJZ196692 CTV196673:CTV196692 DDR196673:DDR196692 DNN196673:DNN196692 DXJ196673:DXJ196692 EHF196673:EHF196692 ERB196673:ERB196692 FAX196673:FAX196692 FKT196673:FKT196692 FUP196673:FUP196692 GEL196673:GEL196692 GOH196673:GOH196692 GYD196673:GYD196692 HHZ196673:HHZ196692 HRV196673:HRV196692 IBR196673:IBR196692 ILN196673:ILN196692 IVJ196673:IVJ196692 JFF196673:JFF196692 JPB196673:JPB196692 JYX196673:JYX196692 KIT196673:KIT196692 KSP196673:KSP196692 LCL196673:LCL196692 LMH196673:LMH196692 LWD196673:LWD196692 MFZ196673:MFZ196692 MPV196673:MPV196692 MZR196673:MZR196692 NJN196673:NJN196692 NTJ196673:NTJ196692 ODF196673:ODF196692 ONB196673:ONB196692 OWX196673:OWX196692 PGT196673:PGT196692 PQP196673:PQP196692 QAL196673:QAL196692 QKH196673:QKH196692 QUD196673:QUD196692 RDZ196673:RDZ196692 RNV196673:RNV196692 RXR196673:RXR196692 SHN196673:SHN196692 SRJ196673:SRJ196692 TBF196673:TBF196692 TLB196673:TLB196692 TUX196673:TUX196692 UET196673:UET196692 UOP196673:UOP196692 UYL196673:UYL196692 VIH196673:VIH196692 VSD196673:VSD196692 WBZ196673:WBZ196692 WLV196673:WLV196692 WVR196673:WVR196692 J262209:J262228 JF262209:JF262228 TB262209:TB262228 ACX262209:ACX262228 AMT262209:AMT262228 AWP262209:AWP262228 BGL262209:BGL262228 BQH262209:BQH262228 CAD262209:CAD262228 CJZ262209:CJZ262228 CTV262209:CTV262228 DDR262209:DDR262228 DNN262209:DNN262228 DXJ262209:DXJ262228 EHF262209:EHF262228 ERB262209:ERB262228 FAX262209:FAX262228 FKT262209:FKT262228 FUP262209:FUP262228 GEL262209:GEL262228 GOH262209:GOH262228 GYD262209:GYD262228 HHZ262209:HHZ262228 HRV262209:HRV262228 IBR262209:IBR262228 ILN262209:ILN262228 IVJ262209:IVJ262228 JFF262209:JFF262228 JPB262209:JPB262228 JYX262209:JYX262228 KIT262209:KIT262228 KSP262209:KSP262228 LCL262209:LCL262228 LMH262209:LMH262228 LWD262209:LWD262228 MFZ262209:MFZ262228 MPV262209:MPV262228 MZR262209:MZR262228 NJN262209:NJN262228 NTJ262209:NTJ262228 ODF262209:ODF262228 ONB262209:ONB262228 OWX262209:OWX262228 PGT262209:PGT262228 PQP262209:PQP262228 QAL262209:QAL262228 QKH262209:QKH262228 QUD262209:QUD262228 RDZ262209:RDZ262228 RNV262209:RNV262228 RXR262209:RXR262228 SHN262209:SHN262228 SRJ262209:SRJ262228 TBF262209:TBF262228 TLB262209:TLB262228 TUX262209:TUX262228 UET262209:UET262228 UOP262209:UOP262228 UYL262209:UYL262228 VIH262209:VIH262228 VSD262209:VSD262228 WBZ262209:WBZ262228 WLV262209:WLV262228 WVR262209:WVR262228 J327745:J327764 JF327745:JF327764 TB327745:TB327764 ACX327745:ACX327764 AMT327745:AMT327764 AWP327745:AWP327764 BGL327745:BGL327764 BQH327745:BQH327764 CAD327745:CAD327764 CJZ327745:CJZ327764 CTV327745:CTV327764 DDR327745:DDR327764 DNN327745:DNN327764 DXJ327745:DXJ327764 EHF327745:EHF327764 ERB327745:ERB327764 FAX327745:FAX327764 FKT327745:FKT327764 FUP327745:FUP327764 GEL327745:GEL327764 GOH327745:GOH327764 GYD327745:GYD327764 HHZ327745:HHZ327764 HRV327745:HRV327764 IBR327745:IBR327764 ILN327745:ILN327764 IVJ327745:IVJ327764 JFF327745:JFF327764 JPB327745:JPB327764 JYX327745:JYX327764 KIT327745:KIT327764 KSP327745:KSP327764 LCL327745:LCL327764 LMH327745:LMH327764 LWD327745:LWD327764 MFZ327745:MFZ327764 MPV327745:MPV327764 MZR327745:MZR327764 NJN327745:NJN327764 NTJ327745:NTJ327764 ODF327745:ODF327764 ONB327745:ONB327764 OWX327745:OWX327764 PGT327745:PGT327764 PQP327745:PQP327764 QAL327745:QAL327764 QKH327745:QKH327764 QUD327745:QUD327764 RDZ327745:RDZ327764 RNV327745:RNV327764 RXR327745:RXR327764 SHN327745:SHN327764 SRJ327745:SRJ327764 TBF327745:TBF327764 TLB327745:TLB327764 TUX327745:TUX327764 UET327745:UET327764 UOP327745:UOP327764 UYL327745:UYL327764 VIH327745:VIH327764 VSD327745:VSD327764 WBZ327745:WBZ327764 WLV327745:WLV327764 WVR327745:WVR327764 J393281:J393300 JF393281:JF393300 TB393281:TB393300 ACX393281:ACX393300 AMT393281:AMT393300 AWP393281:AWP393300 BGL393281:BGL393300 BQH393281:BQH393300 CAD393281:CAD393300 CJZ393281:CJZ393300 CTV393281:CTV393300 DDR393281:DDR393300 DNN393281:DNN393300 DXJ393281:DXJ393300 EHF393281:EHF393300 ERB393281:ERB393300 FAX393281:FAX393300 FKT393281:FKT393300 FUP393281:FUP393300 GEL393281:GEL393300 GOH393281:GOH393300 GYD393281:GYD393300 HHZ393281:HHZ393300 HRV393281:HRV393300 IBR393281:IBR393300 ILN393281:ILN393300 IVJ393281:IVJ393300 JFF393281:JFF393300 JPB393281:JPB393300 JYX393281:JYX393300 KIT393281:KIT393300 KSP393281:KSP393300 LCL393281:LCL393300 LMH393281:LMH393300 LWD393281:LWD393300 MFZ393281:MFZ393300 MPV393281:MPV393300 MZR393281:MZR393300 NJN393281:NJN393300 NTJ393281:NTJ393300 ODF393281:ODF393300 ONB393281:ONB393300 OWX393281:OWX393300 PGT393281:PGT393300 PQP393281:PQP393300 QAL393281:QAL393300 QKH393281:QKH393300 QUD393281:QUD393300 RDZ393281:RDZ393300 RNV393281:RNV393300 RXR393281:RXR393300 SHN393281:SHN393300 SRJ393281:SRJ393300 TBF393281:TBF393300 TLB393281:TLB393300 TUX393281:TUX393300 UET393281:UET393300 UOP393281:UOP393300 UYL393281:UYL393300 VIH393281:VIH393300 VSD393281:VSD393300 WBZ393281:WBZ393300 WLV393281:WLV393300 WVR393281:WVR393300 J458817:J458836 JF458817:JF458836 TB458817:TB458836 ACX458817:ACX458836 AMT458817:AMT458836 AWP458817:AWP458836 BGL458817:BGL458836 BQH458817:BQH458836 CAD458817:CAD458836 CJZ458817:CJZ458836 CTV458817:CTV458836 DDR458817:DDR458836 DNN458817:DNN458836 DXJ458817:DXJ458836 EHF458817:EHF458836 ERB458817:ERB458836 FAX458817:FAX458836 FKT458817:FKT458836 FUP458817:FUP458836 GEL458817:GEL458836 GOH458817:GOH458836 GYD458817:GYD458836 HHZ458817:HHZ458836 HRV458817:HRV458836 IBR458817:IBR458836 ILN458817:ILN458836 IVJ458817:IVJ458836 JFF458817:JFF458836 JPB458817:JPB458836 JYX458817:JYX458836 KIT458817:KIT458836 KSP458817:KSP458836 LCL458817:LCL458836 LMH458817:LMH458836 LWD458817:LWD458836 MFZ458817:MFZ458836 MPV458817:MPV458836 MZR458817:MZR458836 NJN458817:NJN458836 NTJ458817:NTJ458836 ODF458817:ODF458836 ONB458817:ONB458836 OWX458817:OWX458836 PGT458817:PGT458836 PQP458817:PQP458836 QAL458817:QAL458836 QKH458817:QKH458836 QUD458817:QUD458836 RDZ458817:RDZ458836 RNV458817:RNV458836 RXR458817:RXR458836 SHN458817:SHN458836 SRJ458817:SRJ458836 TBF458817:TBF458836 TLB458817:TLB458836 TUX458817:TUX458836 UET458817:UET458836 UOP458817:UOP458836 UYL458817:UYL458836 VIH458817:VIH458836 VSD458817:VSD458836 WBZ458817:WBZ458836 WLV458817:WLV458836 WVR458817:WVR458836 J524353:J524372 JF524353:JF524372 TB524353:TB524372 ACX524353:ACX524372 AMT524353:AMT524372 AWP524353:AWP524372 BGL524353:BGL524372 BQH524353:BQH524372 CAD524353:CAD524372 CJZ524353:CJZ524372 CTV524353:CTV524372 DDR524353:DDR524372 DNN524353:DNN524372 DXJ524353:DXJ524372 EHF524353:EHF524372 ERB524353:ERB524372 FAX524353:FAX524372 FKT524353:FKT524372 FUP524353:FUP524372 GEL524353:GEL524372 GOH524353:GOH524372 GYD524353:GYD524372 HHZ524353:HHZ524372 HRV524353:HRV524372 IBR524353:IBR524372 ILN524353:ILN524372 IVJ524353:IVJ524372 JFF524353:JFF524372 JPB524353:JPB524372 JYX524353:JYX524372 KIT524353:KIT524372 KSP524353:KSP524372 LCL524353:LCL524372 LMH524353:LMH524372 LWD524353:LWD524372 MFZ524353:MFZ524372 MPV524353:MPV524372 MZR524353:MZR524372 NJN524353:NJN524372 NTJ524353:NTJ524372 ODF524353:ODF524372 ONB524353:ONB524372 OWX524353:OWX524372 PGT524353:PGT524372 PQP524353:PQP524372 QAL524353:QAL524372 QKH524353:QKH524372 QUD524353:QUD524372 RDZ524353:RDZ524372 RNV524353:RNV524372 RXR524353:RXR524372 SHN524353:SHN524372 SRJ524353:SRJ524372 TBF524353:TBF524372 TLB524353:TLB524372 TUX524353:TUX524372 UET524353:UET524372 UOP524353:UOP524372 UYL524353:UYL524372 VIH524353:VIH524372 VSD524353:VSD524372 WBZ524353:WBZ524372 WLV524353:WLV524372 WVR524353:WVR524372 J589889:J589908 JF589889:JF589908 TB589889:TB589908 ACX589889:ACX589908 AMT589889:AMT589908 AWP589889:AWP589908 BGL589889:BGL589908 BQH589889:BQH589908 CAD589889:CAD589908 CJZ589889:CJZ589908 CTV589889:CTV589908 DDR589889:DDR589908 DNN589889:DNN589908 DXJ589889:DXJ589908 EHF589889:EHF589908 ERB589889:ERB589908 FAX589889:FAX589908 FKT589889:FKT589908 FUP589889:FUP589908 GEL589889:GEL589908 GOH589889:GOH589908 GYD589889:GYD589908 HHZ589889:HHZ589908 HRV589889:HRV589908 IBR589889:IBR589908 ILN589889:ILN589908 IVJ589889:IVJ589908 JFF589889:JFF589908 JPB589889:JPB589908 JYX589889:JYX589908 KIT589889:KIT589908 KSP589889:KSP589908 LCL589889:LCL589908 LMH589889:LMH589908 LWD589889:LWD589908 MFZ589889:MFZ589908 MPV589889:MPV589908 MZR589889:MZR589908 NJN589889:NJN589908 NTJ589889:NTJ589908 ODF589889:ODF589908 ONB589889:ONB589908 OWX589889:OWX589908 PGT589889:PGT589908 PQP589889:PQP589908 QAL589889:QAL589908 QKH589889:QKH589908 QUD589889:QUD589908 RDZ589889:RDZ589908 RNV589889:RNV589908 RXR589889:RXR589908 SHN589889:SHN589908 SRJ589889:SRJ589908 TBF589889:TBF589908 TLB589889:TLB589908 TUX589889:TUX589908 UET589889:UET589908 UOP589889:UOP589908 UYL589889:UYL589908 VIH589889:VIH589908 VSD589889:VSD589908 WBZ589889:WBZ589908 WLV589889:WLV589908 WVR589889:WVR589908 J655425:J655444 JF655425:JF655444 TB655425:TB655444 ACX655425:ACX655444 AMT655425:AMT655444 AWP655425:AWP655444 BGL655425:BGL655444 BQH655425:BQH655444 CAD655425:CAD655444 CJZ655425:CJZ655444 CTV655425:CTV655444 DDR655425:DDR655444 DNN655425:DNN655444 DXJ655425:DXJ655444 EHF655425:EHF655444 ERB655425:ERB655444 FAX655425:FAX655444 FKT655425:FKT655444 FUP655425:FUP655444 GEL655425:GEL655444 GOH655425:GOH655444 GYD655425:GYD655444 HHZ655425:HHZ655444 HRV655425:HRV655444 IBR655425:IBR655444 ILN655425:ILN655444 IVJ655425:IVJ655444 JFF655425:JFF655444 JPB655425:JPB655444 JYX655425:JYX655444 KIT655425:KIT655444 KSP655425:KSP655444 LCL655425:LCL655444 LMH655425:LMH655444 LWD655425:LWD655444 MFZ655425:MFZ655444 MPV655425:MPV655444 MZR655425:MZR655444 NJN655425:NJN655444 NTJ655425:NTJ655444 ODF655425:ODF655444 ONB655425:ONB655444 OWX655425:OWX655444 PGT655425:PGT655444 PQP655425:PQP655444 QAL655425:QAL655444 QKH655425:QKH655444 QUD655425:QUD655444 RDZ655425:RDZ655444 RNV655425:RNV655444 RXR655425:RXR655444 SHN655425:SHN655444 SRJ655425:SRJ655444 TBF655425:TBF655444 TLB655425:TLB655444 TUX655425:TUX655444 UET655425:UET655444 UOP655425:UOP655444 UYL655425:UYL655444 VIH655425:VIH655444 VSD655425:VSD655444 WBZ655425:WBZ655444 WLV655425:WLV655444 WVR655425:WVR655444 J720961:J720980 JF720961:JF720980 TB720961:TB720980 ACX720961:ACX720980 AMT720961:AMT720980 AWP720961:AWP720980 BGL720961:BGL720980 BQH720961:BQH720980 CAD720961:CAD720980 CJZ720961:CJZ720980 CTV720961:CTV720980 DDR720961:DDR720980 DNN720961:DNN720980 DXJ720961:DXJ720980 EHF720961:EHF720980 ERB720961:ERB720980 FAX720961:FAX720980 FKT720961:FKT720980 FUP720961:FUP720980 GEL720961:GEL720980 GOH720961:GOH720980 GYD720961:GYD720980 HHZ720961:HHZ720980 HRV720961:HRV720980 IBR720961:IBR720980 ILN720961:ILN720980 IVJ720961:IVJ720980 JFF720961:JFF720980 JPB720961:JPB720980 JYX720961:JYX720980 KIT720961:KIT720980 KSP720961:KSP720980 LCL720961:LCL720980 LMH720961:LMH720980 LWD720961:LWD720980 MFZ720961:MFZ720980 MPV720961:MPV720980 MZR720961:MZR720980 NJN720961:NJN720980 NTJ720961:NTJ720980 ODF720961:ODF720980 ONB720961:ONB720980 OWX720961:OWX720980 PGT720961:PGT720980 PQP720961:PQP720980 QAL720961:QAL720980 QKH720961:QKH720980 QUD720961:QUD720980 RDZ720961:RDZ720980 RNV720961:RNV720980 RXR720961:RXR720980 SHN720961:SHN720980 SRJ720961:SRJ720980 TBF720961:TBF720980 TLB720961:TLB720980 TUX720961:TUX720980 UET720961:UET720980 UOP720961:UOP720980 UYL720961:UYL720980 VIH720961:VIH720980 VSD720961:VSD720980 WBZ720961:WBZ720980 WLV720961:WLV720980 WVR720961:WVR720980 J786497:J786516 JF786497:JF786516 TB786497:TB786516 ACX786497:ACX786516 AMT786497:AMT786516 AWP786497:AWP786516 BGL786497:BGL786516 BQH786497:BQH786516 CAD786497:CAD786516 CJZ786497:CJZ786516 CTV786497:CTV786516 DDR786497:DDR786516 DNN786497:DNN786516 DXJ786497:DXJ786516 EHF786497:EHF786516 ERB786497:ERB786516 FAX786497:FAX786516 FKT786497:FKT786516 FUP786497:FUP786516 GEL786497:GEL786516 GOH786497:GOH786516 GYD786497:GYD786516 HHZ786497:HHZ786516 HRV786497:HRV786516 IBR786497:IBR786516 ILN786497:ILN786516 IVJ786497:IVJ786516 JFF786497:JFF786516 JPB786497:JPB786516 JYX786497:JYX786516 KIT786497:KIT786516 KSP786497:KSP786516 LCL786497:LCL786516 LMH786497:LMH786516 LWD786497:LWD786516 MFZ786497:MFZ786516 MPV786497:MPV786516 MZR786497:MZR786516 NJN786497:NJN786516 NTJ786497:NTJ786516 ODF786497:ODF786516 ONB786497:ONB786516 OWX786497:OWX786516 PGT786497:PGT786516 PQP786497:PQP786516 QAL786497:QAL786516 QKH786497:QKH786516 QUD786497:QUD786516 RDZ786497:RDZ786516 RNV786497:RNV786516 RXR786497:RXR786516 SHN786497:SHN786516 SRJ786497:SRJ786516 TBF786497:TBF786516 TLB786497:TLB786516 TUX786497:TUX786516 UET786497:UET786516 UOP786497:UOP786516 UYL786497:UYL786516 VIH786497:VIH786516 VSD786497:VSD786516 WBZ786497:WBZ786516 WLV786497:WLV786516 WVR786497:WVR786516 J852033:J852052 JF852033:JF852052 TB852033:TB852052 ACX852033:ACX852052 AMT852033:AMT852052 AWP852033:AWP852052 BGL852033:BGL852052 BQH852033:BQH852052 CAD852033:CAD852052 CJZ852033:CJZ852052 CTV852033:CTV852052 DDR852033:DDR852052 DNN852033:DNN852052 DXJ852033:DXJ852052 EHF852033:EHF852052 ERB852033:ERB852052 FAX852033:FAX852052 FKT852033:FKT852052 FUP852033:FUP852052 GEL852033:GEL852052 GOH852033:GOH852052 GYD852033:GYD852052 HHZ852033:HHZ852052 HRV852033:HRV852052 IBR852033:IBR852052 ILN852033:ILN852052 IVJ852033:IVJ852052 JFF852033:JFF852052 JPB852033:JPB852052 JYX852033:JYX852052 KIT852033:KIT852052 KSP852033:KSP852052 LCL852033:LCL852052 LMH852033:LMH852052 LWD852033:LWD852052 MFZ852033:MFZ852052 MPV852033:MPV852052 MZR852033:MZR852052 NJN852033:NJN852052 NTJ852033:NTJ852052 ODF852033:ODF852052 ONB852033:ONB852052 OWX852033:OWX852052 PGT852033:PGT852052 PQP852033:PQP852052 QAL852033:QAL852052 QKH852033:QKH852052 QUD852033:QUD852052 RDZ852033:RDZ852052 RNV852033:RNV852052 RXR852033:RXR852052 SHN852033:SHN852052 SRJ852033:SRJ852052 TBF852033:TBF852052 TLB852033:TLB852052 TUX852033:TUX852052 UET852033:UET852052 UOP852033:UOP852052 UYL852033:UYL852052 VIH852033:VIH852052 VSD852033:VSD852052 WBZ852033:WBZ852052 WLV852033:WLV852052 WVR852033:WVR852052 J917569:J917588 JF917569:JF917588 TB917569:TB917588 ACX917569:ACX917588 AMT917569:AMT917588 AWP917569:AWP917588 BGL917569:BGL917588 BQH917569:BQH917588 CAD917569:CAD917588 CJZ917569:CJZ917588 CTV917569:CTV917588 DDR917569:DDR917588 DNN917569:DNN917588 DXJ917569:DXJ917588 EHF917569:EHF917588 ERB917569:ERB917588 FAX917569:FAX917588 FKT917569:FKT917588 FUP917569:FUP917588 GEL917569:GEL917588 GOH917569:GOH917588 GYD917569:GYD917588 HHZ917569:HHZ917588 HRV917569:HRV917588 IBR917569:IBR917588 ILN917569:ILN917588 IVJ917569:IVJ917588 JFF917569:JFF917588 JPB917569:JPB917588 JYX917569:JYX917588 KIT917569:KIT917588 KSP917569:KSP917588 LCL917569:LCL917588 LMH917569:LMH917588 LWD917569:LWD917588 MFZ917569:MFZ917588 MPV917569:MPV917588 MZR917569:MZR917588 NJN917569:NJN917588 NTJ917569:NTJ917588 ODF917569:ODF917588 ONB917569:ONB917588 OWX917569:OWX917588 PGT917569:PGT917588 PQP917569:PQP917588 QAL917569:QAL917588 QKH917569:QKH917588 QUD917569:QUD917588 RDZ917569:RDZ917588 RNV917569:RNV917588 RXR917569:RXR917588 SHN917569:SHN917588 SRJ917569:SRJ917588 TBF917569:TBF917588 TLB917569:TLB917588 TUX917569:TUX917588 UET917569:UET917588 UOP917569:UOP917588 UYL917569:UYL917588 VIH917569:VIH917588 VSD917569:VSD917588 WBZ917569:WBZ917588 WLV917569:WLV917588 WVR917569:WVR917588 J983105:J983124 JF983105:JF983124 TB983105:TB983124 ACX983105:ACX983124 AMT983105:AMT983124 AWP983105:AWP983124 BGL983105:BGL983124 BQH983105:BQH983124 CAD983105:CAD983124 CJZ983105:CJZ983124 CTV983105:CTV983124 DDR983105:DDR983124 DNN983105:DNN983124 DXJ983105:DXJ983124 EHF983105:EHF983124 ERB983105:ERB983124 FAX983105:FAX983124 FKT983105:FKT983124 FUP983105:FUP983124 GEL983105:GEL983124 GOH983105:GOH983124 GYD983105:GYD983124 HHZ983105:HHZ983124 HRV983105:HRV983124 IBR983105:IBR983124 ILN983105:ILN983124 IVJ983105:IVJ983124 JFF983105:JFF983124 JPB983105:JPB983124 JYX983105:JYX983124 KIT983105:KIT983124 KSP983105:KSP983124 LCL983105:LCL983124 LMH983105:LMH983124 LWD983105:LWD983124 MFZ983105:MFZ983124 MPV983105:MPV983124 MZR983105:MZR983124 NJN983105:NJN983124 NTJ983105:NTJ983124 ODF983105:ODF983124 ONB983105:ONB983124 OWX983105:OWX983124 PGT983105:PGT983124 PQP983105:PQP983124 QAL983105:QAL983124 QKH983105:QKH983124 QUD983105:QUD983124 RDZ983105:RDZ983124 RNV983105:RNV983124 RXR983105:RXR983124 SHN983105:SHN983124 SRJ983105:SRJ983124 TBF983105:TBF983124 TLB983105:TLB983124 TUX983105:TUX983124 UET983105:UET983124 UOP983105:UOP983124 UYL983105:UYL983124 VIH983105:VIH983124 VSD983105:VSD983124 WBZ983105:WBZ983124 WLV983105:WLV983124 WVR983105:WVR983124">
      <formula1>$S$3:$S$6</formula1>
    </dataValidation>
    <dataValidation type="list" allowBlank="1" showInputMessage="1" sqref="D49:D60 IZ49:IZ60 SV49:SV60 ACR49:ACR60 AMN49:AMN60 AWJ49:AWJ60 BGF49:BGF60 BQB49:BQB60 BZX49:BZX60 CJT49:CJT60 CTP49:CTP60 DDL49:DDL60 DNH49:DNH60 DXD49:DXD60 EGZ49:EGZ60 EQV49:EQV60 FAR49:FAR60 FKN49:FKN60 FUJ49:FUJ60 GEF49:GEF60 GOB49:GOB60 GXX49:GXX60 HHT49:HHT60 HRP49:HRP60 IBL49:IBL60 ILH49:ILH60 IVD49:IVD60 JEZ49:JEZ60 JOV49:JOV60 JYR49:JYR60 KIN49:KIN60 KSJ49:KSJ60 LCF49:LCF60 LMB49:LMB60 LVX49:LVX60 MFT49:MFT60 MPP49:MPP60 MZL49:MZL60 NJH49:NJH60 NTD49:NTD60 OCZ49:OCZ60 OMV49:OMV60 OWR49:OWR60 PGN49:PGN60 PQJ49:PQJ60 QAF49:QAF60 QKB49:QKB60 QTX49:QTX60 RDT49:RDT60 RNP49:RNP60 RXL49:RXL60 SHH49:SHH60 SRD49:SRD60 TAZ49:TAZ60 TKV49:TKV60 TUR49:TUR60 UEN49:UEN60 UOJ49:UOJ60 UYF49:UYF60 VIB49:VIB60 VRX49:VRX60 WBT49:WBT60 WLP49:WLP60 WVL49:WVL60 D65585:D65596 IZ65585:IZ65596 SV65585:SV65596 ACR65585:ACR65596 AMN65585:AMN65596 AWJ65585:AWJ65596 BGF65585:BGF65596 BQB65585:BQB65596 BZX65585:BZX65596 CJT65585:CJT65596 CTP65585:CTP65596 DDL65585:DDL65596 DNH65585:DNH65596 DXD65585:DXD65596 EGZ65585:EGZ65596 EQV65585:EQV65596 FAR65585:FAR65596 FKN65585:FKN65596 FUJ65585:FUJ65596 GEF65585:GEF65596 GOB65585:GOB65596 GXX65585:GXX65596 HHT65585:HHT65596 HRP65585:HRP65596 IBL65585:IBL65596 ILH65585:ILH65596 IVD65585:IVD65596 JEZ65585:JEZ65596 JOV65585:JOV65596 JYR65585:JYR65596 KIN65585:KIN65596 KSJ65585:KSJ65596 LCF65585:LCF65596 LMB65585:LMB65596 LVX65585:LVX65596 MFT65585:MFT65596 MPP65585:MPP65596 MZL65585:MZL65596 NJH65585:NJH65596 NTD65585:NTD65596 OCZ65585:OCZ65596 OMV65585:OMV65596 OWR65585:OWR65596 PGN65585:PGN65596 PQJ65585:PQJ65596 QAF65585:QAF65596 QKB65585:QKB65596 QTX65585:QTX65596 RDT65585:RDT65596 RNP65585:RNP65596 RXL65585:RXL65596 SHH65585:SHH65596 SRD65585:SRD65596 TAZ65585:TAZ65596 TKV65585:TKV65596 TUR65585:TUR65596 UEN65585:UEN65596 UOJ65585:UOJ65596 UYF65585:UYF65596 VIB65585:VIB65596 VRX65585:VRX65596 WBT65585:WBT65596 WLP65585:WLP65596 WVL65585:WVL65596 D131121:D131132 IZ131121:IZ131132 SV131121:SV131132 ACR131121:ACR131132 AMN131121:AMN131132 AWJ131121:AWJ131132 BGF131121:BGF131132 BQB131121:BQB131132 BZX131121:BZX131132 CJT131121:CJT131132 CTP131121:CTP131132 DDL131121:DDL131132 DNH131121:DNH131132 DXD131121:DXD131132 EGZ131121:EGZ131132 EQV131121:EQV131132 FAR131121:FAR131132 FKN131121:FKN131132 FUJ131121:FUJ131132 GEF131121:GEF131132 GOB131121:GOB131132 GXX131121:GXX131132 HHT131121:HHT131132 HRP131121:HRP131132 IBL131121:IBL131132 ILH131121:ILH131132 IVD131121:IVD131132 JEZ131121:JEZ131132 JOV131121:JOV131132 JYR131121:JYR131132 KIN131121:KIN131132 KSJ131121:KSJ131132 LCF131121:LCF131132 LMB131121:LMB131132 LVX131121:LVX131132 MFT131121:MFT131132 MPP131121:MPP131132 MZL131121:MZL131132 NJH131121:NJH131132 NTD131121:NTD131132 OCZ131121:OCZ131132 OMV131121:OMV131132 OWR131121:OWR131132 PGN131121:PGN131132 PQJ131121:PQJ131132 QAF131121:QAF131132 QKB131121:QKB131132 QTX131121:QTX131132 RDT131121:RDT131132 RNP131121:RNP131132 RXL131121:RXL131132 SHH131121:SHH131132 SRD131121:SRD131132 TAZ131121:TAZ131132 TKV131121:TKV131132 TUR131121:TUR131132 UEN131121:UEN131132 UOJ131121:UOJ131132 UYF131121:UYF131132 VIB131121:VIB131132 VRX131121:VRX131132 WBT131121:WBT131132 WLP131121:WLP131132 WVL131121:WVL131132 D196657:D196668 IZ196657:IZ196668 SV196657:SV196668 ACR196657:ACR196668 AMN196657:AMN196668 AWJ196657:AWJ196668 BGF196657:BGF196668 BQB196657:BQB196668 BZX196657:BZX196668 CJT196657:CJT196668 CTP196657:CTP196668 DDL196657:DDL196668 DNH196657:DNH196668 DXD196657:DXD196668 EGZ196657:EGZ196668 EQV196657:EQV196668 FAR196657:FAR196668 FKN196657:FKN196668 FUJ196657:FUJ196668 GEF196657:GEF196668 GOB196657:GOB196668 GXX196657:GXX196668 HHT196657:HHT196668 HRP196657:HRP196668 IBL196657:IBL196668 ILH196657:ILH196668 IVD196657:IVD196668 JEZ196657:JEZ196668 JOV196657:JOV196668 JYR196657:JYR196668 KIN196657:KIN196668 KSJ196657:KSJ196668 LCF196657:LCF196668 LMB196657:LMB196668 LVX196657:LVX196668 MFT196657:MFT196668 MPP196657:MPP196668 MZL196657:MZL196668 NJH196657:NJH196668 NTD196657:NTD196668 OCZ196657:OCZ196668 OMV196657:OMV196668 OWR196657:OWR196668 PGN196657:PGN196668 PQJ196657:PQJ196668 QAF196657:QAF196668 QKB196657:QKB196668 QTX196657:QTX196668 RDT196657:RDT196668 RNP196657:RNP196668 RXL196657:RXL196668 SHH196657:SHH196668 SRD196657:SRD196668 TAZ196657:TAZ196668 TKV196657:TKV196668 TUR196657:TUR196668 UEN196657:UEN196668 UOJ196657:UOJ196668 UYF196657:UYF196668 VIB196657:VIB196668 VRX196657:VRX196668 WBT196657:WBT196668 WLP196657:WLP196668 WVL196657:WVL196668 D262193:D262204 IZ262193:IZ262204 SV262193:SV262204 ACR262193:ACR262204 AMN262193:AMN262204 AWJ262193:AWJ262204 BGF262193:BGF262204 BQB262193:BQB262204 BZX262193:BZX262204 CJT262193:CJT262204 CTP262193:CTP262204 DDL262193:DDL262204 DNH262193:DNH262204 DXD262193:DXD262204 EGZ262193:EGZ262204 EQV262193:EQV262204 FAR262193:FAR262204 FKN262193:FKN262204 FUJ262193:FUJ262204 GEF262193:GEF262204 GOB262193:GOB262204 GXX262193:GXX262204 HHT262193:HHT262204 HRP262193:HRP262204 IBL262193:IBL262204 ILH262193:ILH262204 IVD262193:IVD262204 JEZ262193:JEZ262204 JOV262193:JOV262204 JYR262193:JYR262204 KIN262193:KIN262204 KSJ262193:KSJ262204 LCF262193:LCF262204 LMB262193:LMB262204 LVX262193:LVX262204 MFT262193:MFT262204 MPP262193:MPP262204 MZL262193:MZL262204 NJH262193:NJH262204 NTD262193:NTD262204 OCZ262193:OCZ262204 OMV262193:OMV262204 OWR262193:OWR262204 PGN262193:PGN262204 PQJ262193:PQJ262204 QAF262193:QAF262204 QKB262193:QKB262204 QTX262193:QTX262204 RDT262193:RDT262204 RNP262193:RNP262204 RXL262193:RXL262204 SHH262193:SHH262204 SRD262193:SRD262204 TAZ262193:TAZ262204 TKV262193:TKV262204 TUR262193:TUR262204 UEN262193:UEN262204 UOJ262193:UOJ262204 UYF262193:UYF262204 VIB262193:VIB262204 VRX262193:VRX262204 WBT262193:WBT262204 WLP262193:WLP262204 WVL262193:WVL262204 D327729:D327740 IZ327729:IZ327740 SV327729:SV327740 ACR327729:ACR327740 AMN327729:AMN327740 AWJ327729:AWJ327740 BGF327729:BGF327740 BQB327729:BQB327740 BZX327729:BZX327740 CJT327729:CJT327740 CTP327729:CTP327740 DDL327729:DDL327740 DNH327729:DNH327740 DXD327729:DXD327740 EGZ327729:EGZ327740 EQV327729:EQV327740 FAR327729:FAR327740 FKN327729:FKN327740 FUJ327729:FUJ327740 GEF327729:GEF327740 GOB327729:GOB327740 GXX327729:GXX327740 HHT327729:HHT327740 HRP327729:HRP327740 IBL327729:IBL327740 ILH327729:ILH327740 IVD327729:IVD327740 JEZ327729:JEZ327740 JOV327729:JOV327740 JYR327729:JYR327740 KIN327729:KIN327740 KSJ327729:KSJ327740 LCF327729:LCF327740 LMB327729:LMB327740 LVX327729:LVX327740 MFT327729:MFT327740 MPP327729:MPP327740 MZL327729:MZL327740 NJH327729:NJH327740 NTD327729:NTD327740 OCZ327729:OCZ327740 OMV327729:OMV327740 OWR327729:OWR327740 PGN327729:PGN327740 PQJ327729:PQJ327740 QAF327729:QAF327740 QKB327729:QKB327740 QTX327729:QTX327740 RDT327729:RDT327740 RNP327729:RNP327740 RXL327729:RXL327740 SHH327729:SHH327740 SRD327729:SRD327740 TAZ327729:TAZ327740 TKV327729:TKV327740 TUR327729:TUR327740 UEN327729:UEN327740 UOJ327729:UOJ327740 UYF327729:UYF327740 VIB327729:VIB327740 VRX327729:VRX327740 WBT327729:WBT327740 WLP327729:WLP327740 WVL327729:WVL327740 D393265:D393276 IZ393265:IZ393276 SV393265:SV393276 ACR393265:ACR393276 AMN393265:AMN393276 AWJ393265:AWJ393276 BGF393265:BGF393276 BQB393265:BQB393276 BZX393265:BZX393276 CJT393265:CJT393276 CTP393265:CTP393276 DDL393265:DDL393276 DNH393265:DNH393276 DXD393265:DXD393276 EGZ393265:EGZ393276 EQV393265:EQV393276 FAR393265:FAR393276 FKN393265:FKN393276 FUJ393265:FUJ393276 GEF393265:GEF393276 GOB393265:GOB393276 GXX393265:GXX393276 HHT393265:HHT393276 HRP393265:HRP393276 IBL393265:IBL393276 ILH393265:ILH393276 IVD393265:IVD393276 JEZ393265:JEZ393276 JOV393265:JOV393276 JYR393265:JYR393276 KIN393265:KIN393276 KSJ393265:KSJ393276 LCF393265:LCF393276 LMB393265:LMB393276 LVX393265:LVX393276 MFT393265:MFT393276 MPP393265:MPP393276 MZL393265:MZL393276 NJH393265:NJH393276 NTD393265:NTD393276 OCZ393265:OCZ393276 OMV393265:OMV393276 OWR393265:OWR393276 PGN393265:PGN393276 PQJ393265:PQJ393276 QAF393265:QAF393276 QKB393265:QKB393276 QTX393265:QTX393276 RDT393265:RDT393276 RNP393265:RNP393276 RXL393265:RXL393276 SHH393265:SHH393276 SRD393265:SRD393276 TAZ393265:TAZ393276 TKV393265:TKV393276 TUR393265:TUR393276 UEN393265:UEN393276 UOJ393265:UOJ393276 UYF393265:UYF393276 VIB393265:VIB393276 VRX393265:VRX393276 WBT393265:WBT393276 WLP393265:WLP393276 WVL393265:WVL393276 D458801:D458812 IZ458801:IZ458812 SV458801:SV458812 ACR458801:ACR458812 AMN458801:AMN458812 AWJ458801:AWJ458812 BGF458801:BGF458812 BQB458801:BQB458812 BZX458801:BZX458812 CJT458801:CJT458812 CTP458801:CTP458812 DDL458801:DDL458812 DNH458801:DNH458812 DXD458801:DXD458812 EGZ458801:EGZ458812 EQV458801:EQV458812 FAR458801:FAR458812 FKN458801:FKN458812 FUJ458801:FUJ458812 GEF458801:GEF458812 GOB458801:GOB458812 GXX458801:GXX458812 HHT458801:HHT458812 HRP458801:HRP458812 IBL458801:IBL458812 ILH458801:ILH458812 IVD458801:IVD458812 JEZ458801:JEZ458812 JOV458801:JOV458812 JYR458801:JYR458812 KIN458801:KIN458812 KSJ458801:KSJ458812 LCF458801:LCF458812 LMB458801:LMB458812 LVX458801:LVX458812 MFT458801:MFT458812 MPP458801:MPP458812 MZL458801:MZL458812 NJH458801:NJH458812 NTD458801:NTD458812 OCZ458801:OCZ458812 OMV458801:OMV458812 OWR458801:OWR458812 PGN458801:PGN458812 PQJ458801:PQJ458812 QAF458801:QAF458812 QKB458801:QKB458812 QTX458801:QTX458812 RDT458801:RDT458812 RNP458801:RNP458812 RXL458801:RXL458812 SHH458801:SHH458812 SRD458801:SRD458812 TAZ458801:TAZ458812 TKV458801:TKV458812 TUR458801:TUR458812 UEN458801:UEN458812 UOJ458801:UOJ458812 UYF458801:UYF458812 VIB458801:VIB458812 VRX458801:VRX458812 WBT458801:WBT458812 WLP458801:WLP458812 WVL458801:WVL458812 D524337:D524348 IZ524337:IZ524348 SV524337:SV524348 ACR524337:ACR524348 AMN524337:AMN524348 AWJ524337:AWJ524348 BGF524337:BGF524348 BQB524337:BQB524348 BZX524337:BZX524348 CJT524337:CJT524348 CTP524337:CTP524348 DDL524337:DDL524348 DNH524337:DNH524348 DXD524337:DXD524348 EGZ524337:EGZ524348 EQV524337:EQV524348 FAR524337:FAR524348 FKN524337:FKN524348 FUJ524337:FUJ524348 GEF524337:GEF524348 GOB524337:GOB524348 GXX524337:GXX524348 HHT524337:HHT524348 HRP524337:HRP524348 IBL524337:IBL524348 ILH524337:ILH524348 IVD524337:IVD524348 JEZ524337:JEZ524348 JOV524337:JOV524348 JYR524337:JYR524348 KIN524337:KIN524348 KSJ524337:KSJ524348 LCF524337:LCF524348 LMB524337:LMB524348 LVX524337:LVX524348 MFT524337:MFT524348 MPP524337:MPP524348 MZL524337:MZL524348 NJH524337:NJH524348 NTD524337:NTD524348 OCZ524337:OCZ524348 OMV524337:OMV524348 OWR524337:OWR524348 PGN524337:PGN524348 PQJ524337:PQJ524348 QAF524337:QAF524348 QKB524337:QKB524348 QTX524337:QTX524348 RDT524337:RDT524348 RNP524337:RNP524348 RXL524337:RXL524348 SHH524337:SHH524348 SRD524337:SRD524348 TAZ524337:TAZ524348 TKV524337:TKV524348 TUR524337:TUR524348 UEN524337:UEN524348 UOJ524337:UOJ524348 UYF524337:UYF524348 VIB524337:VIB524348 VRX524337:VRX524348 WBT524337:WBT524348 WLP524337:WLP524348 WVL524337:WVL524348 D589873:D589884 IZ589873:IZ589884 SV589873:SV589884 ACR589873:ACR589884 AMN589873:AMN589884 AWJ589873:AWJ589884 BGF589873:BGF589884 BQB589873:BQB589884 BZX589873:BZX589884 CJT589873:CJT589884 CTP589873:CTP589884 DDL589873:DDL589884 DNH589873:DNH589884 DXD589873:DXD589884 EGZ589873:EGZ589884 EQV589873:EQV589884 FAR589873:FAR589884 FKN589873:FKN589884 FUJ589873:FUJ589884 GEF589873:GEF589884 GOB589873:GOB589884 GXX589873:GXX589884 HHT589873:HHT589884 HRP589873:HRP589884 IBL589873:IBL589884 ILH589873:ILH589884 IVD589873:IVD589884 JEZ589873:JEZ589884 JOV589873:JOV589884 JYR589873:JYR589884 KIN589873:KIN589884 KSJ589873:KSJ589884 LCF589873:LCF589884 LMB589873:LMB589884 LVX589873:LVX589884 MFT589873:MFT589884 MPP589873:MPP589884 MZL589873:MZL589884 NJH589873:NJH589884 NTD589873:NTD589884 OCZ589873:OCZ589884 OMV589873:OMV589884 OWR589873:OWR589884 PGN589873:PGN589884 PQJ589873:PQJ589884 QAF589873:QAF589884 QKB589873:QKB589884 QTX589873:QTX589884 RDT589873:RDT589884 RNP589873:RNP589884 RXL589873:RXL589884 SHH589873:SHH589884 SRD589873:SRD589884 TAZ589873:TAZ589884 TKV589873:TKV589884 TUR589873:TUR589884 UEN589873:UEN589884 UOJ589873:UOJ589884 UYF589873:UYF589884 VIB589873:VIB589884 VRX589873:VRX589884 WBT589873:WBT589884 WLP589873:WLP589884 WVL589873:WVL589884 D655409:D655420 IZ655409:IZ655420 SV655409:SV655420 ACR655409:ACR655420 AMN655409:AMN655420 AWJ655409:AWJ655420 BGF655409:BGF655420 BQB655409:BQB655420 BZX655409:BZX655420 CJT655409:CJT655420 CTP655409:CTP655420 DDL655409:DDL655420 DNH655409:DNH655420 DXD655409:DXD655420 EGZ655409:EGZ655420 EQV655409:EQV655420 FAR655409:FAR655420 FKN655409:FKN655420 FUJ655409:FUJ655420 GEF655409:GEF655420 GOB655409:GOB655420 GXX655409:GXX655420 HHT655409:HHT655420 HRP655409:HRP655420 IBL655409:IBL655420 ILH655409:ILH655420 IVD655409:IVD655420 JEZ655409:JEZ655420 JOV655409:JOV655420 JYR655409:JYR655420 KIN655409:KIN655420 KSJ655409:KSJ655420 LCF655409:LCF655420 LMB655409:LMB655420 LVX655409:LVX655420 MFT655409:MFT655420 MPP655409:MPP655420 MZL655409:MZL655420 NJH655409:NJH655420 NTD655409:NTD655420 OCZ655409:OCZ655420 OMV655409:OMV655420 OWR655409:OWR655420 PGN655409:PGN655420 PQJ655409:PQJ655420 QAF655409:QAF655420 QKB655409:QKB655420 QTX655409:QTX655420 RDT655409:RDT655420 RNP655409:RNP655420 RXL655409:RXL655420 SHH655409:SHH655420 SRD655409:SRD655420 TAZ655409:TAZ655420 TKV655409:TKV655420 TUR655409:TUR655420 UEN655409:UEN655420 UOJ655409:UOJ655420 UYF655409:UYF655420 VIB655409:VIB655420 VRX655409:VRX655420 WBT655409:WBT655420 WLP655409:WLP655420 WVL655409:WVL655420 D720945:D720956 IZ720945:IZ720956 SV720945:SV720956 ACR720945:ACR720956 AMN720945:AMN720956 AWJ720945:AWJ720956 BGF720945:BGF720956 BQB720945:BQB720956 BZX720945:BZX720956 CJT720945:CJT720956 CTP720945:CTP720956 DDL720945:DDL720956 DNH720945:DNH720956 DXD720945:DXD720956 EGZ720945:EGZ720956 EQV720945:EQV720956 FAR720945:FAR720956 FKN720945:FKN720956 FUJ720945:FUJ720956 GEF720945:GEF720956 GOB720945:GOB720956 GXX720945:GXX720956 HHT720945:HHT720956 HRP720945:HRP720956 IBL720945:IBL720956 ILH720945:ILH720956 IVD720945:IVD720956 JEZ720945:JEZ720956 JOV720945:JOV720956 JYR720945:JYR720956 KIN720945:KIN720956 KSJ720945:KSJ720956 LCF720945:LCF720956 LMB720945:LMB720956 LVX720945:LVX720956 MFT720945:MFT720956 MPP720945:MPP720956 MZL720945:MZL720956 NJH720945:NJH720956 NTD720945:NTD720956 OCZ720945:OCZ720956 OMV720945:OMV720956 OWR720945:OWR720956 PGN720945:PGN720956 PQJ720945:PQJ720956 QAF720945:QAF720956 QKB720945:QKB720956 QTX720945:QTX720956 RDT720945:RDT720956 RNP720945:RNP720956 RXL720945:RXL720956 SHH720945:SHH720956 SRD720945:SRD720956 TAZ720945:TAZ720956 TKV720945:TKV720956 TUR720945:TUR720956 UEN720945:UEN720956 UOJ720945:UOJ720956 UYF720945:UYF720956 VIB720945:VIB720956 VRX720945:VRX720956 WBT720945:WBT720956 WLP720945:WLP720956 WVL720945:WVL720956 D786481:D786492 IZ786481:IZ786492 SV786481:SV786492 ACR786481:ACR786492 AMN786481:AMN786492 AWJ786481:AWJ786492 BGF786481:BGF786492 BQB786481:BQB786492 BZX786481:BZX786492 CJT786481:CJT786492 CTP786481:CTP786492 DDL786481:DDL786492 DNH786481:DNH786492 DXD786481:DXD786492 EGZ786481:EGZ786492 EQV786481:EQV786492 FAR786481:FAR786492 FKN786481:FKN786492 FUJ786481:FUJ786492 GEF786481:GEF786492 GOB786481:GOB786492 GXX786481:GXX786492 HHT786481:HHT786492 HRP786481:HRP786492 IBL786481:IBL786492 ILH786481:ILH786492 IVD786481:IVD786492 JEZ786481:JEZ786492 JOV786481:JOV786492 JYR786481:JYR786492 KIN786481:KIN786492 KSJ786481:KSJ786492 LCF786481:LCF786492 LMB786481:LMB786492 LVX786481:LVX786492 MFT786481:MFT786492 MPP786481:MPP786492 MZL786481:MZL786492 NJH786481:NJH786492 NTD786481:NTD786492 OCZ786481:OCZ786492 OMV786481:OMV786492 OWR786481:OWR786492 PGN786481:PGN786492 PQJ786481:PQJ786492 QAF786481:QAF786492 QKB786481:QKB786492 QTX786481:QTX786492 RDT786481:RDT786492 RNP786481:RNP786492 RXL786481:RXL786492 SHH786481:SHH786492 SRD786481:SRD786492 TAZ786481:TAZ786492 TKV786481:TKV786492 TUR786481:TUR786492 UEN786481:UEN786492 UOJ786481:UOJ786492 UYF786481:UYF786492 VIB786481:VIB786492 VRX786481:VRX786492 WBT786481:WBT786492 WLP786481:WLP786492 WVL786481:WVL786492 D852017:D852028 IZ852017:IZ852028 SV852017:SV852028 ACR852017:ACR852028 AMN852017:AMN852028 AWJ852017:AWJ852028 BGF852017:BGF852028 BQB852017:BQB852028 BZX852017:BZX852028 CJT852017:CJT852028 CTP852017:CTP852028 DDL852017:DDL852028 DNH852017:DNH852028 DXD852017:DXD852028 EGZ852017:EGZ852028 EQV852017:EQV852028 FAR852017:FAR852028 FKN852017:FKN852028 FUJ852017:FUJ852028 GEF852017:GEF852028 GOB852017:GOB852028 GXX852017:GXX852028 HHT852017:HHT852028 HRP852017:HRP852028 IBL852017:IBL852028 ILH852017:ILH852028 IVD852017:IVD852028 JEZ852017:JEZ852028 JOV852017:JOV852028 JYR852017:JYR852028 KIN852017:KIN852028 KSJ852017:KSJ852028 LCF852017:LCF852028 LMB852017:LMB852028 LVX852017:LVX852028 MFT852017:MFT852028 MPP852017:MPP852028 MZL852017:MZL852028 NJH852017:NJH852028 NTD852017:NTD852028 OCZ852017:OCZ852028 OMV852017:OMV852028 OWR852017:OWR852028 PGN852017:PGN852028 PQJ852017:PQJ852028 QAF852017:QAF852028 QKB852017:QKB852028 QTX852017:QTX852028 RDT852017:RDT852028 RNP852017:RNP852028 RXL852017:RXL852028 SHH852017:SHH852028 SRD852017:SRD852028 TAZ852017:TAZ852028 TKV852017:TKV852028 TUR852017:TUR852028 UEN852017:UEN852028 UOJ852017:UOJ852028 UYF852017:UYF852028 VIB852017:VIB852028 VRX852017:VRX852028 WBT852017:WBT852028 WLP852017:WLP852028 WVL852017:WVL852028 D917553:D917564 IZ917553:IZ917564 SV917553:SV917564 ACR917553:ACR917564 AMN917553:AMN917564 AWJ917553:AWJ917564 BGF917553:BGF917564 BQB917553:BQB917564 BZX917553:BZX917564 CJT917553:CJT917564 CTP917553:CTP917564 DDL917553:DDL917564 DNH917553:DNH917564 DXD917553:DXD917564 EGZ917553:EGZ917564 EQV917553:EQV917564 FAR917553:FAR917564 FKN917553:FKN917564 FUJ917553:FUJ917564 GEF917553:GEF917564 GOB917553:GOB917564 GXX917553:GXX917564 HHT917553:HHT917564 HRP917553:HRP917564 IBL917553:IBL917564 ILH917553:ILH917564 IVD917553:IVD917564 JEZ917553:JEZ917564 JOV917553:JOV917564 JYR917553:JYR917564 KIN917553:KIN917564 KSJ917553:KSJ917564 LCF917553:LCF917564 LMB917553:LMB917564 LVX917553:LVX917564 MFT917553:MFT917564 MPP917553:MPP917564 MZL917553:MZL917564 NJH917553:NJH917564 NTD917553:NTD917564 OCZ917553:OCZ917564 OMV917553:OMV917564 OWR917553:OWR917564 PGN917553:PGN917564 PQJ917553:PQJ917564 QAF917553:QAF917564 QKB917553:QKB917564 QTX917553:QTX917564 RDT917553:RDT917564 RNP917553:RNP917564 RXL917553:RXL917564 SHH917553:SHH917564 SRD917553:SRD917564 TAZ917553:TAZ917564 TKV917553:TKV917564 TUR917553:TUR917564 UEN917553:UEN917564 UOJ917553:UOJ917564 UYF917553:UYF917564 VIB917553:VIB917564 VRX917553:VRX917564 WBT917553:WBT917564 WLP917553:WLP917564 WVL917553:WVL917564 D983089:D983100 IZ983089:IZ983100 SV983089:SV983100 ACR983089:ACR983100 AMN983089:AMN983100 AWJ983089:AWJ983100 BGF983089:BGF983100 BQB983089:BQB983100 BZX983089:BZX983100 CJT983089:CJT983100 CTP983089:CTP983100 DDL983089:DDL983100 DNH983089:DNH983100 DXD983089:DXD983100 EGZ983089:EGZ983100 EQV983089:EQV983100 FAR983089:FAR983100 FKN983089:FKN983100 FUJ983089:FUJ983100 GEF983089:GEF983100 GOB983089:GOB983100 GXX983089:GXX983100 HHT983089:HHT983100 HRP983089:HRP983100 IBL983089:IBL983100 ILH983089:ILH983100 IVD983089:IVD983100 JEZ983089:JEZ983100 JOV983089:JOV983100 JYR983089:JYR983100 KIN983089:KIN983100 KSJ983089:KSJ983100 LCF983089:LCF983100 LMB983089:LMB983100 LVX983089:LVX983100 MFT983089:MFT983100 MPP983089:MPP983100 MZL983089:MZL983100 NJH983089:NJH983100 NTD983089:NTD983100 OCZ983089:OCZ983100 OMV983089:OMV983100 OWR983089:OWR983100 PGN983089:PGN983100 PQJ983089:PQJ983100 QAF983089:QAF983100 QKB983089:QKB983100 QTX983089:QTX983100 RDT983089:RDT983100 RNP983089:RNP983100 RXL983089:RXL983100 SHH983089:SHH983100 SRD983089:SRD983100 TAZ983089:TAZ983100 TKV983089:TKV983100 TUR983089:TUR983100 UEN983089:UEN983100 UOJ983089:UOJ983100 UYF983089:UYF983100 VIB983089:VIB983100 VRX983089:VRX983100 WBT983089:WBT983100 WLP983089:WLP983100 WVL983089:WVL983100">
      <formula1>$S$3:$S$6</formula1>
    </dataValidation>
    <dataValidation type="list" allowBlank="1" showInputMessage="1" showErrorMessage="1" sqref="K3:K6 JG3:JG6 TC3:TC6 ACY3:ACY6 AMU3:AMU6 AWQ3:AWQ6 BGM3:BGM6 BQI3:BQI6 CAE3:CAE6 CKA3:CKA6 CTW3:CTW6 DDS3:DDS6 DNO3:DNO6 DXK3:DXK6 EHG3:EHG6 ERC3:ERC6 FAY3:FAY6 FKU3:FKU6 FUQ3:FUQ6 GEM3:GEM6 GOI3:GOI6 GYE3:GYE6 HIA3:HIA6 HRW3:HRW6 IBS3:IBS6 ILO3:ILO6 IVK3:IVK6 JFG3:JFG6 JPC3:JPC6 JYY3:JYY6 KIU3:KIU6 KSQ3:KSQ6 LCM3:LCM6 LMI3:LMI6 LWE3:LWE6 MGA3:MGA6 MPW3:MPW6 MZS3:MZS6 NJO3:NJO6 NTK3:NTK6 ODG3:ODG6 ONC3:ONC6 OWY3:OWY6 PGU3:PGU6 PQQ3:PQQ6 QAM3:QAM6 QKI3:QKI6 QUE3:QUE6 REA3:REA6 RNW3:RNW6 RXS3:RXS6 SHO3:SHO6 SRK3:SRK6 TBG3:TBG6 TLC3:TLC6 TUY3:TUY6 UEU3:UEU6 UOQ3:UOQ6 UYM3:UYM6 VII3:VII6 VSE3:VSE6 WCA3:WCA6 WLW3:WLW6 WVS3:WVS6 K65539:K65542 JG65539:JG65542 TC65539:TC65542 ACY65539:ACY65542 AMU65539:AMU65542 AWQ65539:AWQ65542 BGM65539:BGM65542 BQI65539:BQI65542 CAE65539:CAE65542 CKA65539:CKA65542 CTW65539:CTW65542 DDS65539:DDS65542 DNO65539:DNO65542 DXK65539:DXK65542 EHG65539:EHG65542 ERC65539:ERC65542 FAY65539:FAY65542 FKU65539:FKU65542 FUQ65539:FUQ65542 GEM65539:GEM65542 GOI65539:GOI65542 GYE65539:GYE65542 HIA65539:HIA65542 HRW65539:HRW65542 IBS65539:IBS65542 ILO65539:ILO65542 IVK65539:IVK65542 JFG65539:JFG65542 JPC65539:JPC65542 JYY65539:JYY65542 KIU65539:KIU65542 KSQ65539:KSQ65542 LCM65539:LCM65542 LMI65539:LMI65542 LWE65539:LWE65542 MGA65539:MGA65542 MPW65539:MPW65542 MZS65539:MZS65542 NJO65539:NJO65542 NTK65539:NTK65542 ODG65539:ODG65542 ONC65539:ONC65542 OWY65539:OWY65542 PGU65539:PGU65542 PQQ65539:PQQ65542 QAM65539:QAM65542 QKI65539:QKI65542 QUE65539:QUE65542 REA65539:REA65542 RNW65539:RNW65542 RXS65539:RXS65542 SHO65539:SHO65542 SRK65539:SRK65542 TBG65539:TBG65542 TLC65539:TLC65542 TUY65539:TUY65542 UEU65539:UEU65542 UOQ65539:UOQ65542 UYM65539:UYM65542 VII65539:VII65542 VSE65539:VSE65542 WCA65539:WCA65542 WLW65539:WLW65542 WVS65539:WVS65542 K131075:K131078 JG131075:JG131078 TC131075:TC131078 ACY131075:ACY131078 AMU131075:AMU131078 AWQ131075:AWQ131078 BGM131075:BGM131078 BQI131075:BQI131078 CAE131075:CAE131078 CKA131075:CKA131078 CTW131075:CTW131078 DDS131075:DDS131078 DNO131075:DNO131078 DXK131075:DXK131078 EHG131075:EHG131078 ERC131075:ERC131078 FAY131075:FAY131078 FKU131075:FKU131078 FUQ131075:FUQ131078 GEM131075:GEM131078 GOI131075:GOI131078 GYE131075:GYE131078 HIA131075:HIA131078 HRW131075:HRW131078 IBS131075:IBS131078 ILO131075:ILO131078 IVK131075:IVK131078 JFG131075:JFG131078 JPC131075:JPC131078 JYY131075:JYY131078 KIU131075:KIU131078 KSQ131075:KSQ131078 LCM131075:LCM131078 LMI131075:LMI131078 LWE131075:LWE131078 MGA131075:MGA131078 MPW131075:MPW131078 MZS131075:MZS131078 NJO131075:NJO131078 NTK131075:NTK131078 ODG131075:ODG131078 ONC131075:ONC131078 OWY131075:OWY131078 PGU131075:PGU131078 PQQ131075:PQQ131078 QAM131075:QAM131078 QKI131075:QKI131078 QUE131075:QUE131078 REA131075:REA131078 RNW131075:RNW131078 RXS131075:RXS131078 SHO131075:SHO131078 SRK131075:SRK131078 TBG131075:TBG131078 TLC131075:TLC131078 TUY131075:TUY131078 UEU131075:UEU131078 UOQ131075:UOQ131078 UYM131075:UYM131078 VII131075:VII131078 VSE131075:VSE131078 WCA131075:WCA131078 WLW131075:WLW131078 WVS131075:WVS131078 K196611:K196614 JG196611:JG196614 TC196611:TC196614 ACY196611:ACY196614 AMU196611:AMU196614 AWQ196611:AWQ196614 BGM196611:BGM196614 BQI196611:BQI196614 CAE196611:CAE196614 CKA196611:CKA196614 CTW196611:CTW196614 DDS196611:DDS196614 DNO196611:DNO196614 DXK196611:DXK196614 EHG196611:EHG196614 ERC196611:ERC196614 FAY196611:FAY196614 FKU196611:FKU196614 FUQ196611:FUQ196614 GEM196611:GEM196614 GOI196611:GOI196614 GYE196611:GYE196614 HIA196611:HIA196614 HRW196611:HRW196614 IBS196611:IBS196614 ILO196611:ILO196614 IVK196611:IVK196614 JFG196611:JFG196614 JPC196611:JPC196614 JYY196611:JYY196614 KIU196611:KIU196614 KSQ196611:KSQ196614 LCM196611:LCM196614 LMI196611:LMI196614 LWE196611:LWE196614 MGA196611:MGA196614 MPW196611:MPW196614 MZS196611:MZS196614 NJO196611:NJO196614 NTK196611:NTK196614 ODG196611:ODG196614 ONC196611:ONC196614 OWY196611:OWY196614 PGU196611:PGU196614 PQQ196611:PQQ196614 QAM196611:QAM196614 QKI196611:QKI196614 QUE196611:QUE196614 REA196611:REA196614 RNW196611:RNW196614 RXS196611:RXS196614 SHO196611:SHO196614 SRK196611:SRK196614 TBG196611:TBG196614 TLC196611:TLC196614 TUY196611:TUY196614 UEU196611:UEU196614 UOQ196611:UOQ196614 UYM196611:UYM196614 VII196611:VII196614 VSE196611:VSE196614 WCA196611:WCA196614 WLW196611:WLW196614 WVS196611:WVS196614 K262147:K262150 JG262147:JG262150 TC262147:TC262150 ACY262147:ACY262150 AMU262147:AMU262150 AWQ262147:AWQ262150 BGM262147:BGM262150 BQI262147:BQI262150 CAE262147:CAE262150 CKA262147:CKA262150 CTW262147:CTW262150 DDS262147:DDS262150 DNO262147:DNO262150 DXK262147:DXK262150 EHG262147:EHG262150 ERC262147:ERC262150 FAY262147:FAY262150 FKU262147:FKU262150 FUQ262147:FUQ262150 GEM262147:GEM262150 GOI262147:GOI262150 GYE262147:GYE262150 HIA262147:HIA262150 HRW262147:HRW262150 IBS262147:IBS262150 ILO262147:ILO262150 IVK262147:IVK262150 JFG262147:JFG262150 JPC262147:JPC262150 JYY262147:JYY262150 KIU262147:KIU262150 KSQ262147:KSQ262150 LCM262147:LCM262150 LMI262147:LMI262150 LWE262147:LWE262150 MGA262147:MGA262150 MPW262147:MPW262150 MZS262147:MZS262150 NJO262147:NJO262150 NTK262147:NTK262150 ODG262147:ODG262150 ONC262147:ONC262150 OWY262147:OWY262150 PGU262147:PGU262150 PQQ262147:PQQ262150 QAM262147:QAM262150 QKI262147:QKI262150 QUE262147:QUE262150 REA262147:REA262150 RNW262147:RNW262150 RXS262147:RXS262150 SHO262147:SHO262150 SRK262147:SRK262150 TBG262147:TBG262150 TLC262147:TLC262150 TUY262147:TUY262150 UEU262147:UEU262150 UOQ262147:UOQ262150 UYM262147:UYM262150 VII262147:VII262150 VSE262147:VSE262150 WCA262147:WCA262150 WLW262147:WLW262150 WVS262147:WVS262150 K327683:K327686 JG327683:JG327686 TC327683:TC327686 ACY327683:ACY327686 AMU327683:AMU327686 AWQ327683:AWQ327686 BGM327683:BGM327686 BQI327683:BQI327686 CAE327683:CAE327686 CKA327683:CKA327686 CTW327683:CTW327686 DDS327683:DDS327686 DNO327683:DNO327686 DXK327683:DXK327686 EHG327683:EHG327686 ERC327683:ERC327686 FAY327683:FAY327686 FKU327683:FKU327686 FUQ327683:FUQ327686 GEM327683:GEM327686 GOI327683:GOI327686 GYE327683:GYE327686 HIA327683:HIA327686 HRW327683:HRW327686 IBS327683:IBS327686 ILO327683:ILO327686 IVK327683:IVK327686 JFG327683:JFG327686 JPC327683:JPC327686 JYY327683:JYY327686 KIU327683:KIU327686 KSQ327683:KSQ327686 LCM327683:LCM327686 LMI327683:LMI327686 LWE327683:LWE327686 MGA327683:MGA327686 MPW327683:MPW327686 MZS327683:MZS327686 NJO327683:NJO327686 NTK327683:NTK327686 ODG327683:ODG327686 ONC327683:ONC327686 OWY327683:OWY327686 PGU327683:PGU327686 PQQ327683:PQQ327686 QAM327683:QAM327686 QKI327683:QKI327686 QUE327683:QUE327686 REA327683:REA327686 RNW327683:RNW327686 RXS327683:RXS327686 SHO327683:SHO327686 SRK327683:SRK327686 TBG327683:TBG327686 TLC327683:TLC327686 TUY327683:TUY327686 UEU327683:UEU327686 UOQ327683:UOQ327686 UYM327683:UYM327686 VII327683:VII327686 VSE327683:VSE327686 WCA327683:WCA327686 WLW327683:WLW327686 WVS327683:WVS327686 K393219:K393222 JG393219:JG393222 TC393219:TC393222 ACY393219:ACY393222 AMU393219:AMU393222 AWQ393219:AWQ393222 BGM393219:BGM393222 BQI393219:BQI393222 CAE393219:CAE393222 CKA393219:CKA393222 CTW393219:CTW393222 DDS393219:DDS393222 DNO393219:DNO393222 DXK393219:DXK393222 EHG393219:EHG393222 ERC393219:ERC393222 FAY393219:FAY393222 FKU393219:FKU393222 FUQ393219:FUQ393222 GEM393219:GEM393222 GOI393219:GOI393222 GYE393219:GYE393222 HIA393219:HIA393222 HRW393219:HRW393222 IBS393219:IBS393222 ILO393219:ILO393222 IVK393219:IVK393222 JFG393219:JFG393222 JPC393219:JPC393222 JYY393219:JYY393222 KIU393219:KIU393222 KSQ393219:KSQ393222 LCM393219:LCM393222 LMI393219:LMI393222 LWE393219:LWE393222 MGA393219:MGA393222 MPW393219:MPW393222 MZS393219:MZS393222 NJO393219:NJO393222 NTK393219:NTK393222 ODG393219:ODG393222 ONC393219:ONC393222 OWY393219:OWY393222 PGU393219:PGU393222 PQQ393219:PQQ393222 QAM393219:QAM393222 QKI393219:QKI393222 QUE393219:QUE393222 REA393219:REA393222 RNW393219:RNW393222 RXS393219:RXS393222 SHO393219:SHO393222 SRK393219:SRK393222 TBG393219:TBG393222 TLC393219:TLC393222 TUY393219:TUY393222 UEU393219:UEU393222 UOQ393219:UOQ393222 UYM393219:UYM393222 VII393219:VII393222 VSE393219:VSE393222 WCA393219:WCA393222 WLW393219:WLW393222 WVS393219:WVS393222 K458755:K458758 JG458755:JG458758 TC458755:TC458758 ACY458755:ACY458758 AMU458755:AMU458758 AWQ458755:AWQ458758 BGM458755:BGM458758 BQI458755:BQI458758 CAE458755:CAE458758 CKA458755:CKA458758 CTW458755:CTW458758 DDS458755:DDS458758 DNO458755:DNO458758 DXK458755:DXK458758 EHG458755:EHG458758 ERC458755:ERC458758 FAY458755:FAY458758 FKU458755:FKU458758 FUQ458755:FUQ458758 GEM458755:GEM458758 GOI458755:GOI458758 GYE458755:GYE458758 HIA458755:HIA458758 HRW458755:HRW458758 IBS458755:IBS458758 ILO458755:ILO458758 IVK458755:IVK458758 JFG458755:JFG458758 JPC458755:JPC458758 JYY458755:JYY458758 KIU458755:KIU458758 KSQ458755:KSQ458758 LCM458755:LCM458758 LMI458755:LMI458758 LWE458755:LWE458758 MGA458755:MGA458758 MPW458755:MPW458758 MZS458755:MZS458758 NJO458755:NJO458758 NTK458755:NTK458758 ODG458755:ODG458758 ONC458755:ONC458758 OWY458755:OWY458758 PGU458755:PGU458758 PQQ458755:PQQ458758 QAM458755:QAM458758 QKI458755:QKI458758 QUE458755:QUE458758 REA458755:REA458758 RNW458755:RNW458758 RXS458755:RXS458758 SHO458755:SHO458758 SRK458755:SRK458758 TBG458755:TBG458758 TLC458755:TLC458758 TUY458755:TUY458758 UEU458755:UEU458758 UOQ458755:UOQ458758 UYM458755:UYM458758 VII458755:VII458758 VSE458755:VSE458758 WCA458755:WCA458758 WLW458755:WLW458758 WVS458755:WVS458758 K524291:K524294 JG524291:JG524294 TC524291:TC524294 ACY524291:ACY524294 AMU524291:AMU524294 AWQ524291:AWQ524294 BGM524291:BGM524294 BQI524291:BQI524294 CAE524291:CAE524294 CKA524291:CKA524294 CTW524291:CTW524294 DDS524291:DDS524294 DNO524291:DNO524294 DXK524291:DXK524294 EHG524291:EHG524294 ERC524291:ERC524294 FAY524291:FAY524294 FKU524291:FKU524294 FUQ524291:FUQ524294 GEM524291:GEM524294 GOI524291:GOI524294 GYE524291:GYE524294 HIA524291:HIA524294 HRW524291:HRW524294 IBS524291:IBS524294 ILO524291:ILO524294 IVK524291:IVK524294 JFG524291:JFG524294 JPC524291:JPC524294 JYY524291:JYY524294 KIU524291:KIU524294 KSQ524291:KSQ524294 LCM524291:LCM524294 LMI524291:LMI524294 LWE524291:LWE524294 MGA524291:MGA524294 MPW524291:MPW524294 MZS524291:MZS524294 NJO524291:NJO524294 NTK524291:NTK524294 ODG524291:ODG524294 ONC524291:ONC524294 OWY524291:OWY524294 PGU524291:PGU524294 PQQ524291:PQQ524294 QAM524291:QAM524294 QKI524291:QKI524294 QUE524291:QUE524294 REA524291:REA524294 RNW524291:RNW524294 RXS524291:RXS524294 SHO524291:SHO524294 SRK524291:SRK524294 TBG524291:TBG524294 TLC524291:TLC524294 TUY524291:TUY524294 UEU524291:UEU524294 UOQ524291:UOQ524294 UYM524291:UYM524294 VII524291:VII524294 VSE524291:VSE524294 WCA524291:WCA524294 WLW524291:WLW524294 WVS524291:WVS524294 K589827:K589830 JG589827:JG589830 TC589827:TC589830 ACY589827:ACY589830 AMU589827:AMU589830 AWQ589827:AWQ589830 BGM589827:BGM589830 BQI589827:BQI589830 CAE589827:CAE589830 CKA589827:CKA589830 CTW589827:CTW589830 DDS589827:DDS589830 DNO589827:DNO589830 DXK589827:DXK589830 EHG589827:EHG589830 ERC589827:ERC589830 FAY589827:FAY589830 FKU589827:FKU589830 FUQ589827:FUQ589830 GEM589827:GEM589830 GOI589827:GOI589830 GYE589827:GYE589830 HIA589827:HIA589830 HRW589827:HRW589830 IBS589827:IBS589830 ILO589827:ILO589830 IVK589827:IVK589830 JFG589827:JFG589830 JPC589827:JPC589830 JYY589827:JYY589830 KIU589827:KIU589830 KSQ589827:KSQ589830 LCM589827:LCM589830 LMI589827:LMI589830 LWE589827:LWE589830 MGA589827:MGA589830 MPW589827:MPW589830 MZS589827:MZS589830 NJO589827:NJO589830 NTK589827:NTK589830 ODG589827:ODG589830 ONC589827:ONC589830 OWY589827:OWY589830 PGU589827:PGU589830 PQQ589827:PQQ589830 QAM589827:QAM589830 QKI589827:QKI589830 QUE589827:QUE589830 REA589827:REA589830 RNW589827:RNW589830 RXS589827:RXS589830 SHO589827:SHO589830 SRK589827:SRK589830 TBG589827:TBG589830 TLC589827:TLC589830 TUY589827:TUY589830 UEU589827:UEU589830 UOQ589827:UOQ589830 UYM589827:UYM589830 VII589827:VII589830 VSE589827:VSE589830 WCA589827:WCA589830 WLW589827:WLW589830 WVS589827:WVS589830 K655363:K655366 JG655363:JG655366 TC655363:TC655366 ACY655363:ACY655366 AMU655363:AMU655366 AWQ655363:AWQ655366 BGM655363:BGM655366 BQI655363:BQI655366 CAE655363:CAE655366 CKA655363:CKA655366 CTW655363:CTW655366 DDS655363:DDS655366 DNO655363:DNO655366 DXK655363:DXK655366 EHG655363:EHG655366 ERC655363:ERC655366 FAY655363:FAY655366 FKU655363:FKU655366 FUQ655363:FUQ655366 GEM655363:GEM655366 GOI655363:GOI655366 GYE655363:GYE655366 HIA655363:HIA655366 HRW655363:HRW655366 IBS655363:IBS655366 ILO655363:ILO655366 IVK655363:IVK655366 JFG655363:JFG655366 JPC655363:JPC655366 JYY655363:JYY655366 KIU655363:KIU655366 KSQ655363:KSQ655366 LCM655363:LCM655366 LMI655363:LMI655366 LWE655363:LWE655366 MGA655363:MGA655366 MPW655363:MPW655366 MZS655363:MZS655366 NJO655363:NJO655366 NTK655363:NTK655366 ODG655363:ODG655366 ONC655363:ONC655366 OWY655363:OWY655366 PGU655363:PGU655366 PQQ655363:PQQ655366 QAM655363:QAM655366 QKI655363:QKI655366 QUE655363:QUE655366 REA655363:REA655366 RNW655363:RNW655366 RXS655363:RXS655366 SHO655363:SHO655366 SRK655363:SRK655366 TBG655363:TBG655366 TLC655363:TLC655366 TUY655363:TUY655366 UEU655363:UEU655366 UOQ655363:UOQ655366 UYM655363:UYM655366 VII655363:VII655366 VSE655363:VSE655366 WCA655363:WCA655366 WLW655363:WLW655366 WVS655363:WVS655366 K720899:K720902 JG720899:JG720902 TC720899:TC720902 ACY720899:ACY720902 AMU720899:AMU720902 AWQ720899:AWQ720902 BGM720899:BGM720902 BQI720899:BQI720902 CAE720899:CAE720902 CKA720899:CKA720902 CTW720899:CTW720902 DDS720899:DDS720902 DNO720899:DNO720902 DXK720899:DXK720902 EHG720899:EHG720902 ERC720899:ERC720902 FAY720899:FAY720902 FKU720899:FKU720902 FUQ720899:FUQ720902 GEM720899:GEM720902 GOI720899:GOI720902 GYE720899:GYE720902 HIA720899:HIA720902 HRW720899:HRW720902 IBS720899:IBS720902 ILO720899:ILO720902 IVK720899:IVK720902 JFG720899:JFG720902 JPC720899:JPC720902 JYY720899:JYY720902 KIU720899:KIU720902 KSQ720899:KSQ720902 LCM720899:LCM720902 LMI720899:LMI720902 LWE720899:LWE720902 MGA720899:MGA720902 MPW720899:MPW720902 MZS720899:MZS720902 NJO720899:NJO720902 NTK720899:NTK720902 ODG720899:ODG720902 ONC720899:ONC720902 OWY720899:OWY720902 PGU720899:PGU720902 PQQ720899:PQQ720902 QAM720899:QAM720902 QKI720899:QKI720902 QUE720899:QUE720902 REA720899:REA720902 RNW720899:RNW720902 RXS720899:RXS720902 SHO720899:SHO720902 SRK720899:SRK720902 TBG720899:TBG720902 TLC720899:TLC720902 TUY720899:TUY720902 UEU720899:UEU720902 UOQ720899:UOQ720902 UYM720899:UYM720902 VII720899:VII720902 VSE720899:VSE720902 WCA720899:WCA720902 WLW720899:WLW720902 WVS720899:WVS720902 K786435:K786438 JG786435:JG786438 TC786435:TC786438 ACY786435:ACY786438 AMU786435:AMU786438 AWQ786435:AWQ786438 BGM786435:BGM786438 BQI786435:BQI786438 CAE786435:CAE786438 CKA786435:CKA786438 CTW786435:CTW786438 DDS786435:DDS786438 DNO786435:DNO786438 DXK786435:DXK786438 EHG786435:EHG786438 ERC786435:ERC786438 FAY786435:FAY786438 FKU786435:FKU786438 FUQ786435:FUQ786438 GEM786435:GEM786438 GOI786435:GOI786438 GYE786435:GYE786438 HIA786435:HIA786438 HRW786435:HRW786438 IBS786435:IBS786438 ILO786435:ILO786438 IVK786435:IVK786438 JFG786435:JFG786438 JPC786435:JPC786438 JYY786435:JYY786438 KIU786435:KIU786438 KSQ786435:KSQ786438 LCM786435:LCM786438 LMI786435:LMI786438 LWE786435:LWE786438 MGA786435:MGA786438 MPW786435:MPW786438 MZS786435:MZS786438 NJO786435:NJO786438 NTK786435:NTK786438 ODG786435:ODG786438 ONC786435:ONC786438 OWY786435:OWY786438 PGU786435:PGU786438 PQQ786435:PQQ786438 QAM786435:QAM786438 QKI786435:QKI786438 QUE786435:QUE786438 REA786435:REA786438 RNW786435:RNW786438 RXS786435:RXS786438 SHO786435:SHO786438 SRK786435:SRK786438 TBG786435:TBG786438 TLC786435:TLC786438 TUY786435:TUY786438 UEU786435:UEU786438 UOQ786435:UOQ786438 UYM786435:UYM786438 VII786435:VII786438 VSE786435:VSE786438 WCA786435:WCA786438 WLW786435:WLW786438 WVS786435:WVS786438 K851971:K851974 JG851971:JG851974 TC851971:TC851974 ACY851971:ACY851974 AMU851971:AMU851974 AWQ851971:AWQ851974 BGM851971:BGM851974 BQI851971:BQI851974 CAE851971:CAE851974 CKA851971:CKA851974 CTW851971:CTW851974 DDS851971:DDS851974 DNO851971:DNO851974 DXK851971:DXK851974 EHG851971:EHG851974 ERC851971:ERC851974 FAY851971:FAY851974 FKU851971:FKU851974 FUQ851971:FUQ851974 GEM851971:GEM851974 GOI851971:GOI851974 GYE851971:GYE851974 HIA851971:HIA851974 HRW851971:HRW851974 IBS851971:IBS851974 ILO851971:ILO851974 IVK851971:IVK851974 JFG851971:JFG851974 JPC851971:JPC851974 JYY851971:JYY851974 KIU851971:KIU851974 KSQ851971:KSQ851974 LCM851971:LCM851974 LMI851971:LMI851974 LWE851971:LWE851974 MGA851971:MGA851974 MPW851971:MPW851974 MZS851971:MZS851974 NJO851971:NJO851974 NTK851971:NTK851974 ODG851971:ODG851974 ONC851971:ONC851974 OWY851971:OWY851974 PGU851971:PGU851974 PQQ851971:PQQ851974 QAM851971:QAM851974 QKI851971:QKI851974 QUE851971:QUE851974 REA851971:REA851974 RNW851971:RNW851974 RXS851971:RXS851974 SHO851971:SHO851974 SRK851971:SRK851974 TBG851971:TBG851974 TLC851971:TLC851974 TUY851971:TUY851974 UEU851971:UEU851974 UOQ851971:UOQ851974 UYM851971:UYM851974 VII851971:VII851974 VSE851971:VSE851974 WCA851971:WCA851974 WLW851971:WLW851974 WVS851971:WVS851974 K917507:K917510 JG917507:JG917510 TC917507:TC917510 ACY917507:ACY917510 AMU917507:AMU917510 AWQ917507:AWQ917510 BGM917507:BGM917510 BQI917507:BQI917510 CAE917507:CAE917510 CKA917507:CKA917510 CTW917507:CTW917510 DDS917507:DDS917510 DNO917507:DNO917510 DXK917507:DXK917510 EHG917507:EHG917510 ERC917507:ERC917510 FAY917507:FAY917510 FKU917507:FKU917510 FUQ917507:FUQ917510 GEM917507:GEM917510 GOI917507:GOI917510 GYE917507:GYE917510 HIA917507:HIA917510 HRW917507:HRW917510 IBS917507:IBS917510 ILO917507:ILO917510 IVK917507:IVK917510 JFG917507:JFG917510 JPC917507:JPC917510 JYY917507:JYY917510 KIU917507:KIU917510 KSQ917507:KSQ917510 LCM917507:LCM917510 LMI917507:LMI917510 LWE917507:LWE917510 MGA917507:MGA917510 MPW917507:MPW917510 MZS917507:MZS917510 NJO917507:NJO917510 NTK917507:NTK917510 ODG917507:ODG917510 ONC917507:ONC917510 OWY917507:OWY917510 PGU917507:PGU917510 PQQ917507:PQQ917510 QAM917507:QAM917510 QKI917507:QKI917510 QUE917507:QUE917510 REA917507:REA917510 RNW917507:RNW917510 RXS917507:RXS917510 SHO917507:SHO917510 SRK917507:SRK917510 TBG917507:TBG917510 TLC917507:TLC917510 TUY917507:TUY917510 UEU917507:UEU917510 UOQ917507:UOQ917510 UYM917507:UYM917510 VII917507:VII917510 VSE917507:VSE917510 WCA917507:WCA917510 WLW917507:WLW917510 WVS917507:WVS917510 K983043:K983046 JG983043:JG983046 TC983043:TC983046 ACY983043:ACY983046 AMU983043:AMU983046 AWQ983043:AWQ983046 BGM983043:BGM983046 BQI983043:BQI983046 CAE983043:CAE983046 CKA983043:CKA983046 CTW983043:CTW983046 DDS983043:DDS983046 DNO983043:DNO983046 DXK983043:DXK983046 EHG983043:EHG983046 ERC983043:ERC983046 FAY983043:FAY983046 FKU983043:FKU983046 FUQ983043:FUQ983046 GEM983043:GEM983046 GOI983043:GOI983046 GYE983043:GYE983046 HIA983043:HIA983046 HRW983043:HRW983046 IBS983043:IBS983046 ILO983043:ILO983046 IVK983043:IVK983046 JFG983043:JFG983046 JPC983043:JPC983046 JYY983043:JYY983046 KIU983043:KIU983046 KSQ983043:KSQ983046 LCM983043:LCM983046 LMI983043:LMI983046 LWE983043:LWE983046 MGA983043:MGA983046 MPW983043:MPW983046 MZS983043:MZS983046 NJO983043:NJO983046 NTK983043:NTK983046 ODG983043:ODG983046 ONC983043:ONC983046 OWY983043:OWY983046 PGU983043:PGU983046 PQQ983043:PQQ983046 QAM983043:QAM983046 QKI983043:QKI983046 QUE983043:QUE983046 REA983043:REA983046 RNW983043:RNW983046 RXS983043:RXS983046 SHO983043:SHO983046 SRK983043:SRK983046 TBG983043:TBG983046 TLC983043:TLC983046 TUY983043:TUY983046 UEU983043:UEU983046 UOQ983043:UOQ983046 UYM983043:UYM983046 VII983043:VII983046 VSE983043:VSE983046 WCA983043:WCA983046 WLW983043:WLW983046 WVS983043:WVS983046 L5:R6 JH5:JN6 TD5:TJ6 ACZ5:ADF6 AMV5:ANB6 AWR5:AWX6 BGN5:BGT6 BQJ5:BQP6 CAF5:CAL6 CKB5:CKH6 CTX5:CUD6 DDT5:DDZ6 DNP5:DNV6 DXL5:DXR6 EHH5:EHN6 ERD5:ERJ6 FAZ5:FBF6 FKV5:FLB6 FUR5:FUX6 GEN5:GET6 GOJ5:GOP6 GYF5:GYL6 HIB5:HIH6 HRX5:HSD6 IBT5:IBZ6 ILP5:ILV6 IVL5:IVR6 JFH5:JFN6 JPD5:JPJ6 JYZ5:JZF6 KIV5:KJB6 KSR5:KSX6 LCN5:LCT6 LMJ5:LMP6 LWF5:LWL6 MGB5:MGH6 MPX5:MQD6 MZT5:MZZ6 NJP5:NJV6 NTL5:NTR6 ODH5:ODN6 OND5:ONJ6 OWZ5:OXF6 PGV5:PHB6 PQR5:PQX6 QAN5:QAT6 QKJ5:QKP6 QUF5:QUL6 REB5:REH6 RNX5:ROD6 RXT5:RXZ6 SHP5:SHV6 SRL5:SRR6 TBH5:TBN6 TLD5:TLJ6 TUZ5:TVF6 UEV5:UFB6 UOR5:UOX6 UYN5:UYT6 VIJ5:VIP6 VSF5:VSL6 WCB5:WCH6 WLX5:WMD6 WVT5:WVZ6 L65541:R65542 JH65541:JN65542 TD65541:TJ65542 ACZ65541:ADF65542 AMV65541:ANB65542 AWR65541:AWX65542 BGN65541:BGT65542 BQJ65541:BQP65542 CAF65541:CAL65542 CKB65541:CKH65542 CTX65541:CUD65542 DDT65541:DDZ65542 DNP65541:DNV65542 DXL65541:DXR65542 EHH65541:EHN65542 ERD65541:ERJ65542 FAZ65541:FBF65542 FKV65541:FLB65542 FUR65541:FUX65542 GEN65541:GET65542 GOJ65541:GOP65542 GYF65541:GYL65542 HIB65541:HIH65542 HRX65541:HSD65542 IBT65541:IBZ65542 ILP65541:ILV65542 IVL65541:IVR65542 JFH65541:JFN65542 JPD65541:JPJ65542 JYZ65541:JZF65542 KIV65541:KJB65542 KSR65541:KSX65542 LCN65541:LCT65542 LMJ65541:LMP65542 LWF65541:LWL65542 MGB65541:MGH65542 MPX65541:MQD65542 MZT65541:MZZ65542 NJP65541:NJV65542 NTL65541:NTR65542 ODH65541:ODN65542 OND65541:ONJ65542 OWZ65541:OXF65542 PGV65541:PHB65542 PQR65541:PQX65542 QAN65541:QAT65542 QKJ65541:QKP65542 QUF65541:QUL65542 REB65541:REH65542 RNX65541:ROD65542 RXT65541:RXZ65542 SHP65541:SHV65542 SRL65541:SRR65542 TBH65541:TBN65542 TLD65541:TLJ65542 TUZ65541:TVF65542 UEV65541:UFB65542 UOR65541:UOX65542 UYN65541:UYT65542 VIJ65541:VIP65542 VSF65541:VSL65542 WCB65541:WCH65542 WLX65541:WMD65542 WVT65541:WVZ65542 L131077:R131078 JH131077:JN131078 TD131077:TJ131078 ACZ131077:ADF131078 AMV131077:ANB131078 AWR131077:AWX131078 BGN131077:BGT131078 BQJ131077:BQP131078 CAF131077:CAL131078 CKB131077:CKH131078 CTX131077:CUD131078 DDT131077:DDZ131078 DNP131077:DNV131078 DXL131077:DXR131078 EHH131077:EHN131078 ERD131077:ERJ131078 FAZ131077:FBF131078 FKV131077:FLB131078 FUR131077:FUX131078 GEN131077:GET131078 GOJ131077:GOP131078 GYF131077:GYL131078 HIB131077:HIH131078 HRX131077:HSD131078 IBT131077:IBZ131078 ILP131077:ILV131078 IVL131077:IVR131078 JFH131077:JFN131078 JPD131077:JPJ131078 JYZ131077:JZF131078 KIV131077:KJB131078 KSR131077:KSX131078 LCN131077:LCT131078 LMJ131077:LMP131078 LWF131077:LWL131078 MGB131077:MGH131078 MPX131077:MQD131078 MZT131077:MZZ131078 NJP131077:NJV131078 NTL131077:NTR131078 ODH131077:ODN131078 OND131077:ONJ131078 OWZ131077:OXF131078 PGV131077:PHB131078 PQR131077:PQX131078 QAN131077:QAT131078 QKJ131077:QKP131078 QUF131077:QUL131078 REB131077:REH131078 RNX131077:ROD131078 RXT131077:RXZ131078 SHP131077:SHV131078 SRL131077:SRR131078 TBH131077:TBN131078 TLD131077:TLJ131078 TUZ131077:TVF131078 UEV131077:UFB131078 UOR131077:UOX131078 UYN131077:UYT131078 VIJ131077:VIP131078 VSF131077:VSL131078 WCB131077:WCH131078 WLX131077:WMD131078 WVT131077:WVZ131078 L196613:R196614 JH196613:JN196614 TD196613:TJ196614 ACZ196613:ADF196614 AMV196613:ANB196614 AWR196613:AWX196614 BGN196613:BGT196614 BQJ196613:BQP196614 CAF196613:CAL196614 CKB196613:CKH196614 CTX196613:CUD196614 DDT196613:DDZ196614 DNP196613:DNV196614 DXL196613:DXR196614 EHH196613:EHN196614 ERD196613:ERJ196614 FAZ196613:FBF196614 FKV196613:FLB196614 FUR196613:FUX196614 GEN196613:GET196614 GOJ196613:GOP196614 GYF196613:GYL196614 HIB196613:HIH196614 HRX196613:HSD196614 IBT196613:IBZ196614 ILP196613:ILV196614 IVL196613:IVR196614 JFH196613:JFN196614 JPD196613:JPJ196614 JYZ196613:JZF196614 KIV196613:KJB196614 KSR196613:KSX196614 LCN196613:LCT196614 LMJ196613:LMP196614 LWF196613:LWL196614 MGB196613:MGH196614 MPX196613:MQD196614 MZT196613:MZZ196614 NJP196613:NJV196614 NTL196613:NTR196614 ODH196613:ODN196614 OND196613:ONJ196614 OWZ196613:OXF196614 PGV196613:PHB196614 PQR196613:PQX196614 QAN196613:QAT196614 QKJ196613:QKP196614 QUF196613:QUL196614 REB196613:REH196614 RNX196613:ROD196614 RXT196613:RXZ196614 SHP196613:SHV196614 SRL196613:SRR196614 TBH196613:TBN196614 TLD196613:TLJ196614 TUZ196613:TVF196614 UEV196613:UFB196614 UOR196613:UOX196614 UYN196613:UYT196614 VIJ196613:VIP196614 VSF196613:VSL196614 WCB196613:WCH196614 WLX196613:WMD196614 WVT196613:WVZ196614 L262149:R262150 JH262149:JN262150 TD262149:TJ262150 ACZ262149:ADF262150 AMV262149:ANB262150 AWR262149:AWX262150 BGN262149:BGT262150 BQJ262149:BQP262150 CAF262149:CAL262150 CKB262149:CKH262150 CTX262149:CUD262150 DDT262149:DDZ262150 DNP262149:DNV262150 DXL262149:DXR262150 EHH262149:EHN262150 ERD262149:ERJ262150 FAZ262149:FBF262150 FKV262149:FLB262150 FUR262149:FUX262150 GEN262149:GET262150 GOJ262149:GOP262150 GYF262149:GYL262150 HIB262149:HIH262150 HRX262149:HSD262150 IBT262149:IBZ262150 ILP262149:ILV262150 IVL262149:IVR262150 JFH262149:JFN262150 JPD262149:JPJ262150 JYZ262149:JZF262150 KIV262149:KJB262150 KSR262149:KSX262150 LCN262149:LCT262150 LMJ262149:LMP262150 LWF262149:LWL262150 MGB262149:MGH262150 MPX262149:MQD262150 MZT262149:MZZ262150 NJP262149:NJV262150 NTL262149:NTR262150 ODH262149:ODN262150 OND262149:ONJ262150 OWZ262149:OXF262150 PGV262149:PHB262150 PQR262149:PQX262150 QAN262149:QAT262150 QKJ262149:QKP262150 QUF262149:QUL262150 REB262149:REH262150 RNX262149:ROD262150 RXT262149:RXZ262150 SHP262149:SHV262150 SRL262149:SRR262150 TBH262149:TBN262150 TLD262149:TLJ262150 TUZ262149:TVF262150 UEV262149:UFB262150 UOR262149:UOX262150 UYN262149:UYT262150 VIJ262149:VIP262150 VSF262149:VSL262150 WCB262149:WCH262150 WLX262149:WMD262150 WVT262149:WVZ262150 L327685:R327686 JH327685:JN327686 TD327685:TJ327686 ACZ327685:ADF327686 AMV327685:ANB327686 AWR327685:AWX327686 BGN327685:BGT327686 BQJ327685:BQP327686 CAF327685:CAL327686 CKB327685:CKH327686 CTX327685:CUD327686 DDT327685:DDZ327686 DNP327685:DNV327686 DXL327685:DXR327686 EHH327685:EHN327686 ERD327685:ERJ327686 FAZ327685:FBF327686 FKV327685:FLB327686 FUR327685:FUX327686 GEN327685:GET327686 GOJ327685:GOP327686 GYF327685:GYL327686 HIB327685:HIH327686 HRX327685:HSD327686 IBT327685:IBZ327686 ILP327685:ILV327686 IVL327685:IVR327686 JFH327685:JFN327686 JPD327685:JPJ327686 JYZ327685:JZF327686 KIV327685:KJB327686 KSR327685:KSX327686 LCN327685:LCT327686 LMJ327685:LMP327686 LWF327685:LWL327686 MGB327685:MGH327686 MPX327685:MQD327686 MZT327685:MZZ327686 NJP327685:NJV327686 NTL327685:NTR327686 ODH327685:ODN327686 OND327685:ONJ327686 OWZ327685:OXF327686 PGV327685:PHB327686 PQR327685:PQX327686 QAN327685:QAT327686 QKJ327685:QKP327686 QUF327685:QUL327686 REB327685:REH327686 RNX327685:ROD327686 RXT327685:RXZ327686 SHP327685:SHV327686 SRL327685:SRR327686 TBH327685:TBN327686 TLD327685:TLJ327686 TUZ327685:TVF327686 UEV327685:UFB327686 UOR327685:UOX327686 UYN327685:UYT327686 VIJ327685:VIP327686 VSF327685:VSL327686 WCB327685:WCH327686 WLX327685:WMD327686 WVT327685:WVZ327686 L393221:R393222 JH393221:JN393222 TD393221:TJ393222 ACZ393221:ADF393222 AMV393221:ANB393222 AWR393221:AWX393222 BGN393221:BGT393222 BQJ393221:BQP393222 CAF393221:CAL393222 CKB393221:CKH393222 CTX393221:CUD393222 DDT393221:DDZ393222 DNP393221:DNV393222 DXL393221:DXR393222 EHH393221:EHN393222 ERD393221:ERJ393222 FAZ393221:FBF393222 FKV393221:FLB393222 FUR393221:FUX393222 GEN393221:GET393222 GOJ393221:GOP393222 GYF393221:GYL393222 HIB393221:HIH393222 HRX393221:HSD393222 IBT393221:IBZ393222 ILP393221:ILV393222 IVL393221:IVR393222 JFH393221:JFN393222 JPD393221:JPJ393222 JYZ393221:JZF393222 KIV393221:KJB393222 KSR393221:KSX393222 LCN393221:LCT393222 LMJ393221:LMP393222 LWF393221:LWL393222 MGB393221:MGH393222 MPX393221:MQD393222 MZT393221:MZZ393222 NJP393221:NJV393222 NTL393221:NTR393222 ODH393221:ODN393222 OND393221:ONJ393222 OWZ393221:OXF393222 PGV393221:PHB393222 PQR393221:PQX393222 QAN393221:QAT393222 QKJ393221:QKP393222 QUF393221:QUL393222 REB393221:REH393222 RNX393221:ROD393222 RXT393221:RXZ393222 SHP393221:SHV393222 SRL393221:SRR393222 TBH393221:TBN393222 TLD393221:TLJ393222 TUZ393221:TVF393222 UEV393221:UFB393222 UOR393221:UOX393222 UYN393221:UYT393222 VIJ393221:VIP393222 VSF393221:VSL393222 WCB393221:WCH393222 WLX393221:WMD393222 WVT393221:WVZ393222 L458757:R458758 JH458757:JN458758 TD458757:TJ458758 ACZ458757:ADF458758 AMV458757:ANB458758 AWR458757:AWX458758 BGN458757:BGT458758 BQJ458757:BQP458758 CAF458757:CAL458758 CKB458757:CKH458758 CTX458757:CUD458758 DDT458757:DDZ458758 DNP458757:DNV458758 DXL458757:DXR458758 EHH458757:EHN458758 ERD458757:ERJ458758 FAZ458757:FBF458758 FKV458757:FLB458758 FUR458757:FUX458758 GEN458757:GET458758 GOJ458757:GOP458758 GYF458757:GYL458758 HIB458757:HIH458758 HRX458757:HSD458758 IBT458757:IBZ458758 ILP458757:ILV458758 IVL458757:IVR458758 JFH458757:JFN458758 JPD458757:JPJ458758 JYZ458757:JZF458758 KIV458757:KJB458758 KSR458757:KSX458758 LCN458757:LCT458758 LMJ458757:LMP458758 LWF458757:LWL458758 MGB458757:MGH458758 MPX458757:MQD458758 MZT458757:MZZ458758 NJP458757:NJV458758 NTL458757:NTR458758 ODH458757:ODN458758 OND458757:ONJ458758 OWZ458757:OXF458758 PGV458757:PHB458758 PQR458757:PQX458758 QAN458757:QAT458758 QKJ458757:QKP458758 QUF458757:QUL458758 REB458757:REH458758 RNX458757:ROD458758 RXT458757:RXZ458758 SHP458757:SHV458758 SRL458757:SRR458758 TBH458757:TBN458758 TLD458757:TLJ458758 TUZ458757:TVF458758 UEV458757:UFB458758 UOR458757:UOX458758 UYN458757:UYT458758 VIJ458757:VIP458758 VSF458757:VSL458758 WCB458757:WCH458758 WLX458757:WMD458758 WVT458757:WVZ458758 L524293:R524294 JH524293:JN524294 TD524293:TJ524294 ACZ524293:ADF524294 AMV524293:ANB524294 AWR524293:AWX524294 BGN524293:BGT524294 BQJ524293:BQP524294 CAF524293:CAL524294 CKB524293:CKH524294 CTX524293:CUD524294 DDT524293:DDZ524294 DNP524293:DNV524294 DXL524293:DXR524294 EHH524293:EHN524294 ERD524293:ERJ524294 FAZ524293:FBF524294 FKV524293:FLB524294 FUR524293:FUX524294 GEN524293:GET524294 GOJ524293:GOP524294 GYF524293:GYL524294 HIB524293:HIH524294 HRX524293:HSD524294 IBT524293:IBZ524294 ILP524293:ILV524294 IVL524293:IVR524294 JFH524293:JFN524294 JPD524293:JPJ524294 JYZ524293:JZF524294 KIV524293:KJB524294 KSR524293:KSX524294 LCN524293:LCT524294 LMJ524293:LMP524294 LWF524293:LWL524294 MGB524293:MGH524294 MPX524293:MQD524294 MZT524293:MZZ524294 NJP524293:NJV524294 NTL524293:NTR524294 ODH524293:ODN524294 OND524293:ONJ524294 OWZ524293:OXF524294 PGV524293:PHB524294 PQR524293:PQX524294 QAN524293:QAT524294 QKJ524293:QKP524294 QUF524293:QUL524294 REB524293:REH524294 RNX524293:ROD524294 RXT524293:RXZ524294 SHP524293:SHV524294 SRL524293:SRR524294 TBH524293:TBN524294 TLD524293:TLJ524294 TUZ524293:TVF524294 UEV524293:UFB524294 UOR524293:UOX524294 UYN524293:UYT524294 VIJ524293:VIP524294 VSF524293:VSL524294 WCB524293:WCH524294 WLX524293:WMD524294 WVT524293:WVZ524294 L589829:R589830 JH589829:JN589830 TD589829:TJ589830 ACZ589829:ADF589830 AMV589829:ANB589830 AWR589829:AWX589830 BGN589829:BGT589830 BQJ589829:BQP589830 CAF589829:CAL589830 CKB589829:CKH589830 CTX589829:CUD589830 DDT589829:DDZ589830 DNP589829:DNV589830 DXL589829:DXR589830 EHH589829:EHN589830 ERD589829:ERJ589830 FAZ589829:FBF589830 FKV589829:FLB589830 FUR589829:FUX589830 GEN589829:GET589830 GOJ589829:GOP589830 GYF589829:GYL589830 HIB589829:HIH589830 HRX589829:HSD589830 IBT589829:IBZ589830 ILP589829:ILV589830 IVL589829:IVR589830 JFH589829:JFN589830 JPD589829:JPJ589830 JYZ589829:JZF589830 KIV589829:KJB589830 KSR589829:KSX589830 LCN589829:LCT589830 LMJ589829:LMP589830 LWF589829:LWL589830 MGB589829:MGH589830 MPX589829:MQD589830 MZT589829:MZZ589830 NJP589829:NJV589830 NTL589829:NTR589830 ODH589829:ODN589830 OND589829:ONJ589830 OWZ589829:OXF589830 PGV589829:PHB589830 PQR589829:PQX589830 QAN589829:QAT589830 QKJ589829:QKP589830 QUF589829:QUL589830 REB589829:REH589830 RNX589829:ROD589830 RXT589829:RXZ589830 SHP589829:SHV589830 SRL589829:SRR589830 TBH589829:TBN589830 TLD589829:TLJ589830 TUZ589829:TVF589830 UEV589829:UFB589830 UOR589829:UOX589830 UYN589829:UYT589830 VIJ589829:VIP589830 VSF589829:VSL589830 WCB589829:WCH589830 WLX589829:WMD589830 WVT589829:WVZ589830 L655365:R655366 JH655365:JN655366 TD655365:TJ655366 ACZ655365:ADF655366 AMV655365:ANB655366 AWR655365:AWX655366 BGN655365:BGT655366 BQJ655365:BQP655366 CAF655365:CAL655366 CKB655365:CKH655366 CTX655365:CUD655366 DDT655365:DDZ655366 DNP655365:DNV655366 DXL655365:DXR655366 EHH655365:EHN655366 ERD655365:ERJ655366 FAZ655365:FBF655366 FKV655365:FLB655366 FUR655365:FUX655366 GEN655365:GET655366 GOJ655365:GOP655366 GYF655365:GYL655366 HIB655365:HIH655366 HRX655365:HSD655366 IBT655365:IBZ655366 ILP655365:ILV655366 IVL655365:IVR655366 JFH655365:JFN655366 JPD655365:JPJ655366 JYZ655365:JZF655366 KIV655365:KJB655366 KSR655365:KSX655366 LCN655365:LCT655366 LMJ655365:LMP655366 LWF655365:LWL655366 MGB655365:MGH655366 MPX655365:MQD655366 MZT655365:MZZ655366 NJP655365:NJV655366 NTL655365:NTR655366 ODH655365:ODN655366 OND655365:ONJ655366 OWZ655365:OXF655366 PGV655365:PHB655366 PQR655365:PQX655366 QAN655365:QAT655366 QKJ655365:QKP655366 QUF655365:QUL655366 REB655365:REH655366 RNX655365:ROD655366 RXT655365:RXZ655366 SHP655365:SHV655366 SRL655365:SRR655366 TBH655365:TBN655366 TLD655365:TLJ655366 TUZ655365:TVF655366 UEV655365:UFB655366 UOR655365:UOX655366 UYN655365:UYT655366 VIJ655365:VIP655366 VSF655365:VSL655366 WCB655365:WCH655366 WLX655365:WMD655366 WVT655365:WVZ655366 L720901:R720902 JH720901:JN720902 TD720901:TJ720902 ACZ720901:ADF720902 AMV720901:ANB720902 AWR720901:AWX720902 BGN720901:BGT720902 BQJ720901:BQP720902 CAF720901:CAL720902 CKB720901:CKH720902 CTX720901:CUD720902 DDT720901:DDZ720902 DNP720901:DNV720902 DXL720901:DXR720902 EHH720901:EHN720902 ERD720901:ERJ720902 FAZ720901:FBF720902 FKV720901:FLB720902 FUR720901:FUX720902 GEN720901:GET720902 GOJ720901:GOP720902 GYF720901:GYL720902 HIB720901:HIH720902 HRX720901:HSD720902 IBT720901:IBZ720902 ILP720901:ILV720902 IVL720901:IVR720902 JFH720901:JFN720902 JPD720901:JPJ720902 JYZ720901:JZF720902 KIV720901:KJB720902 KSR720901:KSX720902 LCN720901:LCT720902 LMJ720901:LMP720902 LWF720901:LWL720902 MGB720901:MGH720902 MPX720901:MQD720902 MZT720901:MZZ720902 NJP720901:NJV720902 NTL720901:NTR720902 ODH720901:ODN720902 OND720901:ONJ720902 OWZ720901:OXF720902 PGV720901:PHB720902 PQR720901:PQX720902 QAN720901:QAT720902 QKJ720901:QKP720902 QUF720901:QUL720902 REB720901:REH720902 RNX720901:ROD720902 RXT720901:RXZ720902 SHP720901:SHV720902 SRL720901:SRR720902 TBH720901:TBN720902 TLD720901:TLJ720902 TUZ720901:TVF720902 UEV720901:UFB720902 UOR720901:UOX720902 UYN720901:UYT720902 VIJ720901:VIP720902 VSF720901:VSL720902 WCB720901:WCH720902 WLX720901:WMD720902 WVT720901:WVZ720902 L786437:R786438 JH786437:JN786438 TD786437:TJ786438 ACZ786437:ADF786438 AMV786437:ANB786438 AWR786437:AWX786438 BGN786437:BGT786438 BQJ786437:BQP786438 CAF786437:CAL786438 CKB786437:CKH786438 CTX786437:CUD786438 DDT786437:DDZ786438 DNP786437:DNV786438 DXL786437:DXR786438 EHH786437:EHN786438 ERD786437:ERJ786438 FAZ786437:FBF786438 FKV786437:FLB786438 FUR786437:FUX786438 GEN786437:GET786438 GOJ786437:GOP786438 GYF786437:GYL786438 HIB786437:HIH786438 HRX786437:HSD786438 IBT786437:IBZ786438 ILP786437:ILV786438 IVL786437:IVR786438 JFH786437:JFN786438 JPD786437:JPJ786438 JYZ786437:JZF786438 KIV786437:KJB786438 KSR786437:KSX786438 LCN786437:LCT786438 LMJ786437:LMP786438 LWF786437:LWL786438 MGB786437:MGH786438 MPX786437:MQD786438 MZT786437:MZZ786438 NJP786437:NJV786438 NTL786437:NTR786438 ODH786437:ODN786438 OND786437:ONJ786438 OWZ786437:OXF786438 PGV786437:PHB786438 PQR786437:PQX786438 QAN786437:QAT786438 QKJ786437:QKP786438 QUF786437:QUL786438 REB786437:REH786438 RNX786437:ROD786438 RXT786437:RXZ786438 SHP786437:SHV786438 SRL786437:SRR786438 TBH786437:TBN786438 TLD786437:TLJ786438 TUZ786437:TVF786438 UEV786437:UFB786438 UOR786437:UOX786438 UYN786437:UYT786438 VIJ786437:VIP786438 VSF786437:VSL786438 WCB786437:WCH786438 WLX786437:WMD786438 WVT786437:WVZ786438 L851973:R851974 JH851973:JN851974 TD851973:TJ851974 ACZ851973:ADF851974 AMV851973:ANB851974 AWR851973:AWX851974 BGN851973:BGT851974 BQJ851973:BQP851974 CAF851973:CAL851974 CKB851973:CKH851974 CTX851973:CUD851974 DDT851973:DDZ851974 DNP851973:DNV851974 DXL851973:DXR851974 EHH851973:EHN851974 ERD851973:ERJ851974 FAZ851973:FBF851974 FKV851973:FLB851974 FUR851973:FUX851974 GEN851973:GET851974 GOJ851973:GOP851974 GYF851973:GYL851974 HIB851973:HIH851974 HRX851973:HSD851974 IBT851973:IBZ851974 ILP851973:ILV851974 IVL851973:IVR851974 JFH851973:JFN851974 JPD851973:JPJ851974 JYZ851973:JZF851974 KIV851973:KJB851974 KSR851973:KSX851974 LCN851973:LCT851974 LMJ851973:LMP851974 LWF851973:LWL851974 MGB851973:MGH851974 MPX851973:MQD851974 MZT851973:MZZ851974 NJP851973:NJV851974 NTL851973:NTR851974 ODH851973:ODN851974 OND851973:ONJ851974 OWZ851973:OXF851974 PGV851973:PHB851974 PQR851973:PQX851974 QAN851973:QAT851974 QKJ851973:QKP851974 QUF851973:QUL851974 REB851973:REH851974 RNX851973:ROD851974 RXT851973:RXZ851974 SHP851973:SHV851974 SRL851973:SRR851974 TBH851973:TBN851974 TLD851973:TLJ851974 TUZ851973:TVF851974 UEV851973:UFB851974 UOR851973:UOX851974 UYN851973:UYT851974 VIJ851973:VIP851974 VSF851973:VSL851974 WCB851973:WCH851974 WLX851973:WMD851974 WVT851973:WVZ851974 L917509:R917510 JH917509:JN917510 TD917509:TJ917510 ACZ917509:ADF917510 AMV917509:ANB917510 AWR917509:AWX917510 BGN917509:BGT917510 BQJ917509:BQP917510 CAF917509:CAL917510 CKB917509:CKH917510 CTX917509:CUD917510 DDT917509:DDZ917510 DNP917509:DNV917510 DXL917509:DXR917510 EHH917509:EHN917510 ERD917509:ERJ917510 FAZ917509:FBF917510 FKV917509:FLB917510 FUR917509:FUX917510 GEN917509:GET917510 GOJ917509:GOP917510 GYF917509:GYL917510 HIB917509:HIH917510 HRX917509:HSD917510 IBT917509:IBZ917510 ILP917509:ILV917510 IVL917509:IVR917510 JFH917509:JFN917510 JPD917509:JPJ917510 JYZ917509:JZF917510 KIV917509:KJB917510 KSR917509:KSX917510 LCN917509:LCT917510 LMJ917509:LMP917510 LWF917509:LWL917510 MGB917509:MGH917510 MPX917509:MQD917510 MZT917509:MZZ917510 NJP917509:NJV917510 NTL917509:NTR917510 ODH917509:ODN917510 OND917509:ONJ917510 OWZ917509:OXF917510 PGV917509:PHB917510 PQR917509:PQX917510 QAN917509:QAT917510 QKJ917509:QKP917510 QUF917509:QUL917510 REB917509:REH917510 RNX917509:ROD917510 RXT917509:RXZ917510 SHP917509:SHV917510 SRL917509:SRR917510 TBH917509:TBN917510 TLD917509:TLJ917510 TUZ917509:TVF917510 UEV917509:UFB917510 UOR917509:UOX917510 UYN917509:UYT917510 VIJ917509:VIP917510 VSF917509:VSL917510 WCB917509:WCH917510 WLX917509:WMD917510 WVT917509:WVZ917510 L983045:R983046 JH983045:JN983046 TD983045:TJ983046 ACZ983045:ADF983046 AMV983045:ANB983046 AWR983045:AWX983046 BGN983045:BGT983046 BQJ983045:BQP983046 CAF983045:CAL983046 CKB983045:CKH983046 CTX983045:CUD983046 DDT983045:DDZ983046 DNP983045:DNV983046 DXL983045:DXR983046 EHH983045:EHN983046 ERD983045:ERJ983046 FAZ983045:FBF983046 FKV983045:FLB983046 FUR983045:FUX983046 GEN983045:GET983046 GOJ983045:GOP983046 GYF983045:GYL983046 HIB983045:HIH983046 HRX983045:HSD983046 IBT983045:IBZ983046 ILP983045:ILV983046 IVL983045:IVR983046 JFH983045:JFN983046 JPD983045:JPJ983046 JYZ983045:JZF983046 KIV983045:KJB983046 KSR983045:KSX983046 LCN983045:LCT983046 LMJ983045:LMP983046 LWF983045:LWL983046 MGB983045:MGH983046 MPX983045:MQD983046 MZT983045:MZZ983046 NJP983045:NJV983046 NTL983045:NTR983046 ODH983045:ODN983046 OND983045:ONJ983046 OWZ983045:OXF983046 PGV983045:PHB983046 PQR983045:PQX983046 QAN983045:QAT983046 QKJ983045:QKP983046 QUF983045:QUL983046 REB983045:REH983046 RNX983045:ROD983046 RXT983045:RXZ983046 SHP983045:SHV983046 SRL983045:SRR983046 TBH983045:TBN983046 TLD983045:TLJ983046 TUZ983045:TVF983046 UEV983045:UFB983046 UOR983045:UOX983046 UYN983045:UYT983046 VIJ983045:VIP983046 VSF983045:VSL983046 WCB983045:WCH983046 WLX983045:WMD983046 WVT983045:WVZ983046">
      <formula1>PRsInApplicant</formula1>
    </dataValidation>
    <dataValidation type="list" allowBlank="1" showInputMessage="1" showErrorMessage="1" sqref="P1 JL1 TH1 ADD1 AMZ1 AWV1 BGR1 BQN1 CAJ1 CKF1 CUB1 DDX1 DNT1 DXP1 EHL1 ERH1 FBD1 FKZ1 FUV1 GER1 GON1 GYJ1 HIF1 HSB1 IBX1 ILT1 IVP1 JFL1 JPH1 JZD1 KIZ1 KSV1 LCR1 LMN1 LWJ1 MGF1 MQB1 MZX1 NJT1 NTP1 ODL1 ONH1 OXD1 PGZ1 PQV1 QAR1 QKN1 QUJ1 REF1 ROB1 RXX1 SHT1 SRP1 TBL1 TLH1 TVD1 UEZ1 UOV1 UYR1 VIN1 VSJ1 WCF1 WMB1 WVX1 P65537 JL65537 TH65537 ADD65537 AMZ65537 AWV65537 BGR65537 BQN65537 CAJ65537 CKF65537 CUB65537 DDX65537 DNT65537 DXP65537 EHL65537 ERH65537 FBD65537 FKZ65537 FUV65537 GER65537 GON65537 GYJ65537 HIF65537 HSB65537 IBX65537 ILT65537 IVP65537 JFL65537 JPH65537 JZD65537 KIZ65537 KSV65537 LCR65537 LMN65537 LWJ65537 MGF65537 MQB65537 MZX65537 NJT65537 NTP65537 ODL65537 ONH65537 OXD65537 PGZ65537 PQV65537 QAR65537 QKN65537 QUJ65537 REF65537 ROB65537 RXX65537 SHT65537 SRP65537 TBL65537 TLH65537 TVD65537 UEZ65537 UOV65537 UYR65537 VIN65537 VSJ65537 WCF65537 WMB65537 WVX65537 P131073 JL131073 TH131073 ADD131073 AMZ131073 AWV131073 BGR131073 BQN131073 CAJ131073 CKF131073 CUB131073 DDX131073 DNT131073 DXP131073 EHL131073 ERH131073 FBD131073 FKZ131073 FUV131073 GER131073 GON131073 GYJ131073 HIF131073 HSB131073 IBX131073 ILT131073 IVP131073 JFL131073 JPH131073 JZD131073 KIZ131073 KSV131073 LCR131073 LMN131073 LWJ131073 MGF131073 MQB131073 MZX131073 NJT131073 NTP131073 ODL131073 ONH131073 OXD131073 PGZ131073 PQV131073 QAR131073 QKN131073 QUJ131073 REF131073 ROB131073 RXX131073 SHT131073 SRP131073 TBL131073 TLH131073 TVD131073 UEZ131073 UOV131073 UYR131073 VIN131073 VSJ131073 WCF131073 WMB131073 WVX131073 P196609 JL196609 TH196609 ADD196609 AMZ196609 AWV196609 BGR196609 BQN196609 CAJ196609 CKF196609 CUB196609 DDX196609 DNT196609 DXP196609 EHL196609 ERH196609 FBD196609 FKZ196609 FUV196609 GER196609 GON196609 GYJ196609 HIF196609 HSB196609 IBX196609 ILT196609 IVP196609 JFL196609 JPH196609 JZD196609 KIZ196609 KSV196609 LCR196609 LMN196609 LWJ196609 MGF196609 MQB196609 MZX196609 NJT196609 NTP196609 ODL196609 ONH196609 OXD196609 PGZ196609 PQV196609 QAR196609 QKN196609 QUJ196609 REF196609 ROB196609 RXX196609 SHT196609 SRP196609 TBL196609 TLH196609 TVD196609 UEZ196609 UOV196609 UYR196609 VIN196609 VSJ196609 WCF196609 WMB196609 WVX196609 P262145 JL262145 TH262145 ADD262145 AMZ262145 AWV262145 BGR262145 BQN262145 CAJ262145 CKF262145 CUB262145 DDX262145 DNT262145 DXP262145 EHL262145 ERH262145 FBD262145 FKZ262145 FUV262145 GER262145 GON262145 GYJ262145 HIF262145 HSB262145 IBX262145 ILT262145 IVP262145 JFL262145 JPH262145 JZD262145 KIZ262145 KSV262145 LCR262145 LMN262145 LWJ262145 MGF262145 MQB262145 MZX262145 NJT262145 NTP262145 ODL262145 ONH262145 OXD262145 PGZ262145 PQV262145 QAR262145 QKN262145 QUJ262145 REF262145 ROB262145 RXX262145 SHT262145 SRP262145 TBL262145 TLH262145 TVD262145 UEZ262145 UOV262145 UYR262145 VIN262145 VSJ262145 WCF262145 WMB262145 WVX262145 P327681 JL327681 TH327681 ADD327681 AMZ327681 AWV327681 BGR327681 BQN327681 CAJ327681 CKF327681 CUB327681 DDX327681 DNT327681 DXP327681 EHL327681 ERH327681 FBD327681 FKZ327681 FUV327681 GER327681 GON327681 GYJ327681 HIF327681 HSB327681 IBX327681 ILT327681 IVP327681 JFL327681 JPH327681 JZD327681 KIZ327681 KSV327681 LCR327681 LMN327681 LWJ327681 MGF327681 MQB327681 MZX327681 NJT327681 NTP327681 ODL327681 ONH327681 OXD327681 PGZ327681 PQV327681 QAR327681 QKN327681 QUJ327681 REF327681 ROB327681 RXX327681 SHT327681 SRP327681 TBL327681 TLH327681 TVD327681 UEZ327681 UOV327681 UYR327681 VIN327681 VSJ327681 WCF327681 WMB327681 WVX327681 P393217 JL393217 TH393217 ADD393217 AMZ393217 AWV393217 BGR393217 BQN393217 CAJ393217 CKF393217 CUB393217 DDX393217 DNT393217 DXP393217 EHL393217 ERH393217 FBD393217 FKZ393217 FUV393217 GER393217 GON393217 GYJ393217 HIF393217 HSB393217 IBX393217 ILT393217 IVP393217 JFL393217 JPH393217 JZD393217 KIZ393217 KSV393217 LCR393217 LMN393217 LWJ393217 MGF393217 MQB393217 MZX393217 NJT393217 NTP393217 ODL393217 ONH393217 OXD393217 PGZ393217 PQV393217 QAR393217 QKN393217 QUJ393217 REF393217 ROB393217 RXX393217 SHT393217 SRP393217 TBL393217 TLH393217 TVD393217 UEZ393217 UOV393217 UYR393217 VIN393217 VSJ393217 WCF393217 WMB393217 WVX393217 P458753 JL458753 TH458753 ADD458753 AMZ458753 AWV458753 BGR458753 BQN458753 CAJ458753 CKF458753 CUB458753 DDX458753 DNT458753 DXP458753 EHL458753 ERH458753 FBD458753 FKZ458753 FUV458753 GER458753 GON458753 GYJ458753 HIF458753 HSB458753 IBX458753 ILT458753 IVP458753 JFL458753 JPH458753 JZD458753 KIZ458753 KSV458753 LCR458753 LMN458753 LWJ458753 MGF458753 MQB458753 MZX458753 NJT458753 NTP458753 ODL458753 ONH458753 OXD458753 PGZ458753 PQV458753 QAR458753 QKN458753 QUJ458753 REF458753 ROB458753 RXX458753 SHT458753 SRP458753 TBL458753 TLH458753 TVD458753 UEZ458753 UOV458753 UYR458753 VIN458753 VSJ458753 WCF458753 WMB458753 WVX458753 P524289 JL524289 TH524289 ADD524289 AMZ524289 AWV524289 BGR524289 BQN524289 CAJ524289 CKF524289 CUB524289 DDX524289 DNT524289 DXP524289 EHL524289 ERH524289 FBD524289 FKZ524289 FUV524289 GER524289 GON524289 GYJ524289 HIF524289 HSB524289 IBX524289 ILT524289 IVP524289 JFL524289 JPH524289 JZD524289 KIZ524289 KSV524289 LCR524289 LMN524289 LWJ524289 MGF524289 MQB524289 MZX524289 NJT524289 NTP524289 ODL524289 ONH524289 OXD524289 PGZ524289 PQV524289 QAR524289 QKN524289 QUJ524289 REF524289 ROB524289 RXX524289 SHT524289 SRP524289 TBL524289 TLH524289 TVD524289 UEZ524289 UOV524289 UYR524289 VIN524289 VSJ524289 WCF524289 WMB524289 WVX524289 P589825 JL589825 TH589825 ADD589825 AMZ589825 AWV589825 BGR589825 BQN589825 CAJ589825 CKF589825 CUB589825 DDX589825 DNT589825 DXP589825 EHL589825 ERH589825 FBD589825 FKZ589825 FUV589825 GER589825 GON589825 GYJ589825 HIF589825 HSB589825 IBX589825 ILT589825 IVP589825 JFL589825 JPH589825 JZD589825 KIZ589825 KSV589825 LCR589825 LMN589825 LWJ589825 MGF589825 MQB589825 MZX589825 NJT589825 NTP589825 ODL589825 ONH589825 OXD589825 PGZ589825 PQV589825 QAR589825 QKN589825 QUJ589825 REF589825 ROB589825 RXX589825 SHT589825 SRP589825 TBL589825 TLH589825 TVD589825 UEZ589825 UOV589825 UYR589825 VIN589825 VSJ589825 WCF589825 WMB589825 WVX589825 P655361 JL655361 TH655361 ADD655361 AMZ655361 AWV655361 BGR655361 BQN655361 CAJ655361 CKF655361 CUB655361 DDX655361 DNT655361 DXP655361 EHL655361 ERH655361 FBD655361 FKZ655361 FUV655361 GER655361 GON655361 GYJ655361 HIF655361 HSB655361 IBX655361 ILT655361 IVP655361 JFL655361 JPH655361 JZD655361 KIZ655361 KSV655361 LCR655361 LMN655361 LWJ655361 MGF655361 MQB655361 MZX655361 NJT655361 NTP655361 ODL655361 ONH655361 OXD655361 PGZ655361 PQV655361 QAR655361 QKN655361 QUJ655361 REF655361 ROB655361 RXX655361 SHT655361 SRP655361 TBL655361 TLH655361 TVD655361 UEZ655361 UOV655361 UYR655361 VIN655361 VSJ655361 WCF655361 WMB655361 WVX655361 P720897 JL720897 TH720897 ADD720897 AMZ720897 AWV720897 BGR720897 BQN720897 CAJ720897 CKF720897 CUB720897 DDX720897 DNT720897 DXP720897 EHL720897 ERH720897 FBD720897 FKZ720897 FUV720897 GER720897 GON720897 GYJ720897 HIF720897 HSB720897 IBX720897 ILT720897 IVP720897 JFL720897 JPH720897 JZD720897 KIZ720897 KSV720897 LCR720897 LMN720897 LWJ720897 MGF720897 MQB720897 MZX720897 NJT720897 NTP720897 ODL720897 ONH720897 OXD720897 PGZ720897 PQV720897 QAR720897 QKN720897 QUJ720897 REF720897 ROB720897 RXX720897 SHT720897 SRP720897 TBL720897 TLH720897 TVD720897 UEZ720897 UOV720897 UYR720897 VIN720897 VSJ720897 WCF720897 WMB720897 WVX720897 P786433 JL786433 TH786433 ADD786433 AMZ786433 AWV786433 BGR786433 BQN786433 CAJ786433 CKF786433 CUB786433 DDX786433 DNT786433 DXP786433 EHL786433 ERH786433 FBD786433 FKZ786433 FUV786433 GER786433 GON786433 GYJ786433 HIF786433 HSB786433 IBX786433 ILT786433 IVP786433 JFL786433 JPH786433 JZD786433 KIZ786433 KSV786433 LCR786433 LMN786433 LWJ786433 MGF786433 MQB786433 MZX786433 NJT786433 NTP786433 ODL786433 ONH786433 OXD786433 PGZ786433 PQV786433 QAR786433 QKN786433 QUJ786433 REF786433 ROB786433 RXX786433 SHT786433 SRP786433 TBL786433 TLH786433 TVD786433 UEZ786433 UOV786433 UYR786433 VIN786433 VSJ786433 WCF786433 WMB786433 WVX786433 P851969 JL851969 TH851969 ADD851969 AMZ851969 AWV851969 BGR851969 BQN851969 CAJ851969 CKF851969 CUB851969 DDX851969 DNT851969 DXP851969 EHL851969 ERH851969 FBD851969 FKZ851969 FUV851969 GER851969 GON851969 GYJ851969 HIF851969 HSB851969 IBX851969 ILT851969 IVP851969 JFL851969 JPH851969 JZD851969 KIZ851969 KSV851969 LCR851969 LMN851969 LWJ851969 MGF851969 MQB851969 MZX851969 NJT851969 NTP851969 ODL851969 ONH851969 OXD851969 PGZ851969 PQV851969 QAR851969 QKN851969 QUJ851969 REF851969 ROB851969 RXX851969 SHT851969 SRP851969 TBL851969 TLH851969 TVD851969 UEZ851969 UOV851969 UYR851969 VIN851969 VSJ851969 WCF851969 WMB851969 WVX851969 P917505 JL917505 TH917505 ADD917505 AMZ917505 AWV917505 BGR917505 BQN917505 CAJ917505 CKF917505 CUB917505 DDX917505 DNT917505 DXP917505 EHL917505 ERH917505 FBD917505 FKZ917505 FUV917505 GER917505 GON917505 GYJ917505 HIF917505 HSB917505 IBX917505 ILT917505 IVP917505 JFL917505 JPH917505 JZD917505 KIZ917505 KSV917505 LCR917505 LMN917505 LWJ917505 MGF917505 MQB917505 MZX917505 NJT917505 NTP917505 ODL917505 ONH917505 OXD917505 PGZ917505 PQV917505 QAR917505 QKN917505 QUJ917505 REF917505 ROB917505 RXX917505 SHT917505 SRP917505 TBL917505 TLH917505 TVD917505 UEZ917505 UOV917505 UYR917505 VIN917505 VSJ917505 WCF917505 WMB917505 WVX917505 P983041 JL983041 TH983041 ADD983041 AMZ983041 AWV983041 BGR983041 BQN983041 CAJ983041 CKF983041 CUB983041 DDX983041 DNT983041 DXP983041 EHL983041 ERH983041 FBD983041 FKZ983041 FUV983041 GER983041 GON983041 GYJ983041 HIF983041 HSB983041 IBX983041 ILT983041 IVP983041 JFL983041 JPH983041 JZD983041 KIZ983041 KSV983041 LCR983041 LMN983041 LWJ983041 MGF983041 MQB983041 MZX983041 NJT983041 NTP983041 ODL983041 ONH983041 OXD983041 PGZ983041 PQV983041 QAR983041 QKN983041 QUJ983041 REF983041 ROB983041 RXX983041 SHT983041 SRP983041 TBL983041 TLH983041 TVD983041 UEZ983041 UOV983041 UYR983041 VIN983041 VSJ983041 WCF983041 WMB983041 WVX983041">
      <formula1>"English,French,Spanish,Russian"</formula1>
    </dataValidation>
    <dataValidation type="list" allowBlank="1" showInputMessage="1" showErrorMessage="1" sqref="E49:F60 JA49:JB60 SW49:SX60 ACS49:ACT60 AMO49:AMP60 AWK49:AWL60 BGG49:BGH60 BQC49:BQD60 BZY49:BZZ60 CJU49:CJV60 CTQ49:CTR60 DDM49:DDN60 DNI49:DNJ60 DXE49:DXF60 EHA49:EHB60 EQW49:EQX60 FAS49:FAT60 FKO49:FKP60 FUK49:FUL60 GEG49:GEH60 GOC49:GOD60 GXY49:GXZ60 HHU49:HHV60 HRQ49:HRR60 IBM49:IBN60 ILI49:ILJ60 IVE49:IVF60 JFA49:JFB60 JOW49:JOX60 JYS49:JYT60 KIO49:KIP60 KSK49:KSL60 LCG49:LCH60 LMC49:LMD60 LVY49:LVZ60 MFU49:MFV60 MPQ49:MPR60 MZM49:MZN60 NJI49:NJJ60 NTE49:NTF60 ODA49:ODB60 OMW49:OMX60 OWS49:OWT60 PGO49:PGP60 PQK49:PQL60 QAG49:QAH60 QKC49:QKD60 QTY49:QTZ60 RDU49:RDV60 RNQ49:RNR60 RXM49:RXN60 SHI49:SHJ60 SRE49:SRF60 TBA49:TBB60 TKW49:TKX60 TUS49:TUT60 UEO49:UEP60 UOK49:UOL60 UYG49:UYH60 VIC49:VID60 VRY49:VRZ60 WBU49:WBV60 WLQ49:WLR60 WVM49:WVN60 E65585:F65596 JA65585:JB65596 SW65585:SX65596 ACS65585:ACT65596 AMO65585:AMP65596 AWK65585:AWL65596 BGG65585:BGH65596 BQC65585:BQD65596 BZY65585:BZZ65596 CJU65585:CJV65596 CTQ65585:CTR65596 DDM65585:DDN65596 DNI65585:DNJ65596 DXE65585:DXF65596 EHA65585:EHB65596 EQW65585:EQX65596 FAS65585:FAT65596 FKO65585:FKP65596 FUK65585:FUL65596 GEG65585:GEH65596 GOC65585:GOD65596 GXY65585:GXZ65596 HHU65585:HHV65596 HRQ65585:HRR65596 IBM65585:IBN65596 ILI65585:ILJ65596 IVE65585:IVF65596 JFA65585:JFB65596 JOW65585:JOX65596 JYS65585:JYT65596 KIO65585:KIP65596 KSK65585:KSL65596 LCG65585:LCH65596 LMC65585:LMD65596 LVY65585:LVZ65596 MFU65585:MFV65596 MPQ65585:MPR65596 MZM65585:MZN65596 NJI65585:NJJ65596 NTE65585:NTF65596 ODA65585:ODB65596 OMW65585:OMX65596 OWS65585:OWT65596 PGO65585:PGP65596 PQK65585:PQL65596 QAG65585:QAH65596 QKC65585:QKD65596 QTY65585:QTZ65596 RDU65585:RDV65596 RNQ65585:RNR65596 RXM65585:RXN65596 SHI65585:SHJ65596 SRE65585:SRF65596 TBA65585:TBB65596 TKW65585:TKX65596 TUS65585:TUT65596 UEO65585:UEP65596 UOK65585:UOL65596 UYG65585:UYH65596 VIC65585:VID65596 VRY65585:VRZ65596 WBU65585:WBV65596 WLQ65585:WLR65596 WVM65585:WVN65596 E131121:F131132 JA131121:JB131132 SW131121:SX131132 ACS131121:ACT131132 AMO131121:AMP131132 AWK131121:AWL131132 BGG131121:BGH131132 BQC131121:BQD131132 BZY131121:BZZ131132 CJU131121:CJV131132 CTQ131121:CTR131132 DDM131121:DDN131132 DNI131121:DNJ131132 DXE131121:DXF131132 EHA131121:EHB131132 EQW131121:EQX131132 FAS131121:FAT131132 FKO131121:FKP131132 FUK131121:FUL131132 GEG131121:GEH131132 GOC131121:GOD131132 GXY131121:GXZ131132 HHU131121:HHV131132 HRQ131121:HRR131132 IBM131121:IBN131132 ILI131121:ILJ131132 IVE131121:IVF131132 JFA131121:JFB131132 JOW131121:JOX131132 JYS131121:JYT131132 KIO131121:KIP131132 KSK131121:KSL131132 LCG131121:LCH131132 LMC131121:LMD131132 LVY131121:LVZ131132 MFU131121:MFV131132 MPQ131121:MPR131132 MZM131121:MZN131132 NJI131121:NJJ131132 NTE131121:NTF131132 ODA131121:ODB131132 OMW131121:OMX131132 OWS131121:OWT131132 PGO131121:PGP131132 PQK131121:PQL131132 QAG131121:QAH131132 QKC131121:QKD131132 QTY131121:QTZ131132 RDU131121:RDV131132 RNQ131121:RNR131132 RXM131121:RXN131132 SHI131121:SHJ131132 SRE131121:SRF131132 TBA131121:TBB131132 TKW131121:TKX131132 TUS131121:TUT131132 UEO131121:UEP131132 UOK131121:UOL131132 UYG131121:UYH131132 VIC131121:VID131132 VRY131121:VRZ131132 WBU131121:WBV131132 WLQ131121:WLR131132 WVM131121:WVN131132 E196657:F196668 JA196657:JB196668 SW196657:SX196668 ACS196657:ACT196668 AMO196657:AMP196668 AWK196657:AWL196668 BGG196657:BGH196668 BQC196657:BQD196668 BZY196657:BZZ196668 CJU196657:CJV196668 CTQ196657:CTR196668 DDM196657:DDN196668 DNI196657:DNJ196668 DXE196657:DXF196668 EHA196657:EHB196668 EQW196657:EQX196668 FAS196657:FAT196668 FKO196657:FKP196668 FUK196657:FUL196668 GEG196657:GEH196668 GOC196657:GOD196668 GXY196657:GXZ196668 HHU196657:HHV196668 HRQ196657:HRR196668 IBM196657:IBN196668 ILI196657:ILJ196668 IVE196657:IVF196668 JFA196657:JFB196668 JOW196657:JOX196668 JYS196657:JYT196668 KIO196657:KIP196668 KSK196657:KSL196668 LCG196657:LCH196668 LMC196657:LMD196668 LVY196657:LVZ196668 MFU196657:MFV196668 MPQ196657:MPR196668 MZM196657:MZN196668 NJI196657:NJJ196668 NTE196657:NTF196668 ODA196657:ODB196668 OMW196657:OMX196668 OWS196657:OWT196668 PGO196657:PGP196668 PQK196657:PQL196668 QAG196657:QAH196668 QKC196657:QKD196668 QTY196657:QTZ196668 RDU196657:RDV196668 RNQ196657:RNR196668 RXM196657:RXN196668 SHI196657:SHJ196668 SRE196657:SRF196668 TBA196657:TBB196668 TKW196657:TKX196668 TUS196657:TUT196668 UEO196657:UEP196668 UOK196657:UOL196668 UYG196657:UYH196668 VIC196657:VID196668 VRY196657:VRZ196668 WBU196657:WBV196668 WLQ196657:WLR196668 WVM196657:WVN196668 E262193:F262204 JA262193:JB262204 SW262193:SX262204 ACS262193:ACT262204 AMO262193:AMP262204 AWK262193:AWL262204 BGG262193:BGH262204 BQC262193:BQD262204 BZY262193:BZZ262204 CJU262193:CJV262204 CTQ262193:CTR262204 DDM262193:DDN262204 DNI262193:DNJ262204 DXE262193:DXF262204 EHA262193:EHB262204 EQW262193:EQX262204 FAS262193:FAT262204 FKO262193:FKP262204 FUK262193:FUL262204 GEG262193:GEH262204 GOC262193:GOD262204 GXY262193:GXZ262204 HHU262193:HHV262204 HRQ262193:HRR262204 IBM262193:IBN262204 ILI262193:ILJ262204 IVE262193:IVF262204 JFA262193:JFB262204 JOW262193:JOX262204 JYS262193:JYT262204 KIO262193:KIP262204 KSK262193:KSL262204 LCG262193:LCH262204 LMC262193:LMD262204 LVY262193:LVZ262204 MFU262193:MFV262204 MPQ262193:MPR262204 MZM262193:MZN262204 NJI262193:NJJ262204 NTE262193:NTF262204 ODA262193:ODB262204 OMW262193:OMX262204 OWS262193:OWT262204 PGO262193:PGP262204 PQK262193:PQL262204 QAG262193:QAH262204 QKC262193:QKD262204 QTY262193:QTZ262204 RDU262193:RDV262204 RNQ262193:RNR262204 RXM262193:RXN262204 SHI262193:SHJ262204 SRE262193:SRF262204 TBA262193:TBB262204 TKW262193:TKX262204 TUS262193:TUT262204 UEO262193:UEP262204 UOK262193:UOL262204 UYG262193:UYH262204 VIC262193:VID262204 VRY262193:VRZ262204 WBU262193:WBV262204 WLQ262193:WLR262204 WVM262193:WVN262204 E327729:F327740 JA327729:JB327740 SW327729:SX327740 ACS327729:ACT327740 AMO327729:AMP327740 AWK327729:AWL327740 BGG327729:BGH327740 BQC327729:BQD327740 BZY327729:BZZ327740 CJU327729:CJV327740 CTQ327729:CTR327740 DDM327729:DDN327740 DNI327729:DNJ327740 DXE327729:DXF327740 EHA327729:EHB327740 EQW327729:EQX327740 FAS327729:FAT327740 FKO327729:FKP327740 FUK327729:FUL327740 GEG327729:GEH327740 GOC327729:GOD327740 GXY327729:GXZ327740 HHU327729:HHV327740 HRQ327729:HRR327740 IBM327729:IBN327740 ILI327729:ILJ327740 IVE327729:IVF327740 JFA327729:JFB327740 JOW327729:JOX327740 JYS327729:JYT327740 KIO327729:KIP327740 KSK327729:KSL327740 LCG327729:LCH327740 LMC327729:LMD327740 LVY327729:LVZ327740 MFU327729:MFV327740 MPQ327729:MPR327740 MZM327729:MZN327740 NJI327729:NJJ327740 NTE327729:NTF327740 ODA327729:ODB327740 OMW327729:OMX327740 OWS327729:OWT327740 PGO327729:PGP327740 PQK327729:PQL327740 QAG327729:QAH327740 QKC327729:QKD327740 QTY327729:QTZ327740 RDU327729:RDV327740 RNQ327729:RNR327740 RXM327729:RXN327740 SHI327729:SHJ327740 SRE327729:SRF327740 TBA327729:TBB327740 TKW327729:TKX327740 TUS327729:TUT327740 UEO327729:UEP327740 UOK327729:UOL327740 UYG327729:UYH327740 VIC327729:VID327740 VRY327729:VRZ327740 WBU327729:WBV327740 WLQ327729:WLR327740 WVM327729:WVN327740 E393265:F393276 JA393265:JB393276 SW393265:SX393276 ACS393265:ACT393276 AMO393265:AMP393276 AWK393265:AWL393276 BGG393265:BGH393276 BQC393265:BQD393276 BZY393265:BZZ393276 CJU393265:CJV393276 CTQ393265:CTR393276 DDM393265:DDN393276 DNI393265:DNJ393276 DXE393265:DXF393276 EHA393265:EHB393276 EQW393265:EQX393276 FAS393265:FAT393276 FKO393265:FKP393276 FUK393265:FUL393276 GEG393265:GEH393276 GOC393265:GOD393276 GXY393265:GXZ393276 HHU393265:HHV393276 HRQ393265:HRR393276 IBM393265:IBN393276 ILI393265:ILJ393276 IVE393265:IVF393276 JFA393265:JFB393276 JOW393265:JOX393276 JYS393265:JYT393276 KIO393265:KIP393276 KSK393265:KSL393276 LCG393265:LCH393276 LMC393265:LMD393276 LVY393265:LVZ393276 MFU393265:MFV393276 MPQ393265:MPR393276 MZM393265:MZN393276 NJI393265:NJJ393276 NTE393265:NTF393276 ODA393265:ODB393276 OMW393265:OMX393276 OWS393265:OWT393276 PGO393265:PGP393276 PQK393265:PQL393276 QAG393265:QAH393276 QKC393265:QKD393276 QTY393265:QTZ393276 RDU393265:RDV393276 RNQ393265:RNR393276 RXM393265:RXN393276 SHI393265:SHJ393276 SRE393265:SRF393276 TBA393265:TBB393276 TKW393265:TKX393276 TUS393265:TUT393276 UEO393265:UEP393276 UOK393265:UOL393276 UYG393265:UYH393276 VIC393265:VID393276 VRY393265:VRZ393276 WBU393265:WBV393276 WLQ393265:WLR393276 WVM393265:WVN393276 E458801:F458812 JA458801:JB458812 SW458801:SX458812 ACS458801:ACT458812 AMO458801:AMP458812 AWK458801:AWL458812 BGG458801:BGH458812 BQC458801:BQD458812 BZY458801:BZZ458812 CJU458801:CJV458812 CTQ458801:CTR458812 DDM458801:DDN458812 DNI458801:DNJ458812 DXE458801:DXF458812 EHA458801:EHB458812 EQW458801:EQX458812 FAS458801:FAT458812 FKO458801:FKP458812 FUK458801:FUL458812 GEG458801:GEH458812 GOC458801:GOD458812 GXY458801:GXZ458812 HHU458801:HHV458812 HRQ458801:HRR458812 IBM458801:IBN458812 ILI458801:ILJ458812 IVE458801:IVF458812 JFA458801:JFB458812 JOW458801:JOX458812 JYS458801:JYT458812 KIO458801:KIP458812 KSK458801:KSL458812 LCG458801:LCH458812 LMC458801:LMD458812 LVY458801:LVZ458812 MFU458801:MFV458812 MPQ458801:MPR458812 MZM458801:MZN458812 NJI458801:NJJ458812 NTE458801:NTF458812 ODA458801:ODB458812 OMW458801:OMX458812 OWS458801:OWT458812 PGO458801:PGP458812 PQK458801:PQL458812 QAG458801:QAH458812 QKC458801:QKD458812 QTY458801:QTZ458812 RDU458801:RDV458812 RNQ458801:RNR458812 RXM458801:RXN458812 SHI458801:SHJ458812 SRE458801:SRF458812 TBA458801:TBB458812 TKW458801:TKX458812 TUS458801:TUT458812 UEO458801:UEP458812 UOK458801:UOL458812 UYG458801:UYH458812 VIC458801:VID458812 VRY458801:VRZ458812 WBU458801:WBV458812 WLQ458801:WLR458812 WVM458801:WVN458812 E524337:F524348 JA524337:JB524348 SW524337:SX524348 ACS524337:ACT524348 AMO524337:AMP524348 AWK524337:AWL524348 BGG524337:BGH524348 BQC524337:BQD524348 BZY524337:BZZ524348 CJU524337:CJV524348 CTQ524337:CTR524348 DDM524337:DDN524348 DNI524337:DNJ524348 DXE524337:DXF524348 EHA524337:EHB524348 EQW524337:EQX524348 FAS524337:FAT524348 FKO524337:FKP524348 FUK524337:FUL524348 GEG524337:GEH524348 GOC524337:GOD524348 GXY524337:GXZ524348 HHU524337:HHV524348 HRQ524337:HRR524348 IBM524337:IBN524348 ILI524337:ILJ524348 IVE524337:IVF524348 JFA524337:JFB524348 JOW524337:JOX524348 JYS524337:JYT524348 KIO524337:KIP524348 KSK524337:KSL524348 LCG524337:LCH524348 LMC524337:LMD524348 LVY524337:LVZ524348 MFU524337:MFV524348 MPQ524337:MPR524348 MZM524337:MZN524348 NJI524337:NJJ524348 NTE524337:NTF524348 ODA524337:ODB524348 OMW524337:OMX524348 OWS524337:OWT524348 PGO524337:PGP524348 PQK524337:PQL524348 QAG524337:QAH524348 QKC524337:QKD524348 QTY524337:QTZ524348 RDU524337:RDV524348 RNQ524337:RNR524348 RXM524337:RXN524348 SHI524337:SHJ524348 SRE524337:SRF524348 TBA524337:TBB524348 TKW524337:TKX524348 TUS524337:TUT524348 UEO524337:UEP524348 UOK524337:UOL524348 UYG524337:UYH524348 VIC524337:VID524348 VRY524337:VRZ524348 WBU524337:WBV524348 WLQ524337:WLR524348 WVM524337:WVN524348 E589873:F589884 JA589873:JB589884 SW589873:SX589884 ACS589873:ACT589884 AMO589873:AMP589884 AWK589873:AWL589884 BGG589873:BGH589884 BQC589873:BQD589884 BZY589873:BZZ589884 CJU589873:CJV589884 CTQ589873:CTR589884 DDM589873:DDN589884 DNI589873:DNJ589884 DXE589873:DXF589884 EHA589873:EHB589884 EQW589873:EQX589884 FAS589873:FAT589884 FKO589873:FKP589884 FUK589873:FUL589884 GEG589873:GEH589884 GOC589873:GOD589884 GXY589873:GXZ589884 HHU589873:HHV589884 HRQ589873:HRR589884 IBM589873:IBN589884 ILI589873:ILJ589884 IVE589873:IVF589884 JFA589873:JFB589884 JOW589873:JOX589884 JYS589873:JYT589884 KIO589873:KIP589884 KSK589873:KSL589884 LCG589873:LCH589884 LMC589873:LMD589884 LVY589873:LVZ589884 MFU589873:MFV589884 MPQ589873:MPR589884 MZM589873:MZN589884 NJI589873:NJJ589884 NTE589873:NTF589884 ODA589873:ODB589884 OMW589873:OMX589884 OWS589873:OWT589884 PGO589873:PGP589884 PQK589873:PQL589884 QAG589873:QAH589884 QKC589873:QKD589884 QTY589873:QTZ589884 RDU589873:RDV589884 RNQ589873:RNR589884 RXM589873:RXN589884 SHI589873:SHJ589884 SRE589873:SRF589884 TBA589873:TBB589884 TKW589873:TKX589884 TUS589873:TUT589884 UEO589873:UEP589884 UOK589873:UOL589884 UYG589873:UYH589884 VIC589873:VID589884 VRY589873:VRZ589884 WBU589873:WBV589884 WLQ589873:WLR589884 WVM589873:WVN589884 E655409:F655420 JA655409:JB655420 SW655409:SX655420 ACS655409:ACT655420 AMO655409:AMP655420 AWK655409:AWL655420 BGG655409:BGH655420 BQC655409:BQD655420 BZY655409:BZZ655420 CJU655409:CJV655420 CTQ655409:CTR655420 DDM655409:DDN655420 DNI655409:DNJ655420 DXE655409:DXF655420 EHA655409:EHB655420 EQW655409:EQX655420 FAS655409:FAT655420 FKO655409:FKP655420 FUK655409:FUL655420 GEG655409:GEH655420 GOC655409:GOD655420 GXY655409:GXZ655420 HHU655409:HHV655420 HRQ655409:HRR655420 IBM655409:IBN655420 ILI655409:ILJ655420 IVE655409:IVF655420 JFA655409:JFB655420 JOW655409:JOX655420 JYS655409:JYT655420 KIO655409:KIP655420 KSK655409:KSL655420 LCG655409:LCH655420 LMC655409:LMD655420 LVY655409:LVZ655420 MFU655409:MFV655420 MPQ655409:MPR655420 MZM655409:MZN655420 NJI655409:NJJ655420 NTE655409:NTF655420 ODA655409:ODB655420 OMW655409:OMX655420 OWS655409:OWT655420 PGO655409:PGP655420 PQK655409:PQL655420 QAG655409:QAH655420 QKC655409:QKD655420 QTY655409:QTZ655420 RDU655409:RDV655420 RNQ655409:RNR655420 RXM655409:RXN655420 SHI655409:SHJ655420 SRE655409:SRF655420 TBA655409:TBB655420 TKW655409:TKX655420 TUS655409:TUT655420 UEO655409:UEP655420 UOK655409:UOL655420 UYG655409:UYH655420 VIC655409:VID655420 VRY655409:VRZ655420 WBU655409:WBV655420 WLQ655409:WLR655420 WVM655409:WVN655420 E720945:F720956 JA720945:JB720956 SW720945:SX720956 ACS720945:ACT720956 AMO720945:AMP720956 AWK720945:AWL720956 BGG720945:BGH720956 BQC720945:BQD720956 BZY720945:BZZ720956 CJU720945:CJV720956 CTQ720945:CTR720956 DDM720945:DDN720956 DNI720945:DNJ720956 DXE720945:DXF720956 EHA720945:EHB720956 EQW720945:EQX720956 FAS720945:FAT720956 FKO720945:FKP720956 FUK720945:FUL720956 GEG720945:GEH720956 GOC720945:GOD720956 GXY720945:GXZ720956 HHU720945:HHV720956 HRQ720945:HRR720956 IBM720945:IBN720956 ILI720945:ILJ720956 IVE720945:IVF720956 JFA720945:JFB720956 JOW720945:JOX720956 JYS720945:JYT720956 KIO720945:KIP720956 KSK720945:KSL720956 LCG720945:LCH720956 LMC720945:LMD720956 LVY720945:LVZ720956 MFU720945:MFV720956 MPQ720945:MPR720956 MZM720945:MZN720956 NJI720945:NJJ720956 NTE720945:NTF720956 ODA720945:ODB720956 OMW720945:OMX720956 OWS720945:OWT720956 PGO720945:PGP720956 PQK720945:PQL720956 QAG720945:QAH720956 QKC720945:QKD720956 QTY720945:QTZ720956 RDU720945:RDV720956 RNQ720945:RNR720956 RXM720945:RXN720956 SHI720945:SHJ720956 SRE720945:SRF720956 TBA720945:TBB720956 TKW720945:TKX720956 TUS720945:TUT720956 UEO720945:UEP720956 UOK720945:UOL720956 UYG720945:UYH720956 VIC720945:VID720956 VRY720945:VRZ720956 WBU720945:WBV720956 WLQ720945:WLR720956 WVM720945:WVN720956 E786481:F786492 JA786481:JB786492 SW786481:SX786492 ACS786481:ACT786492 AMO786481:AMP786492 AWK786481:AWL786492 BGG786481:BGH786492 BQC786481:BQD786492 BZY786481:BZZ786492 CJU786481:CJV786492 CTQ786481:CTR786492 DDM786481:DDN786492 DNI786481:DNJ786492 DXE786481:DXF786492 EHA786481:EHB786492 EQW786481:EQX786492 FAS786481:FAT786492 FKO786481:FKP786492 FUK786481:FUL786492 GEG786481:GEH786492 GOC786481:GOD786492 GXY786481:GXZ786492 HHU786481:HHV786492 HRQ786481:HRR786492 IBM786481:IBN786492 ILI786481:ILJ786492 IVE786481:IVF786492 JFA786481:JFB786492 JOW786481:JOX786492 JYS786481:JYT786492 KIO786481:KIP786492 KSK786481:KSL786492 LCG786481:LCH786492 LMC786481:LMD786492 LVY786481:LVZ786492 MFU786481:MFV786492 MPQ786481:MPR786492 MZM786481:MZN786492 NJI786481:NJJ786492 NTE786481:NTF786492 ODA786481:ODB786492 OMW786481:OMX786492 OWS786481:OWT786492 PGO786481:PGP786492 PQK786481:PQL786492 QAG786481:QAH786492 QKC786481:QKD786492 QTY786481:QTZ786492 RDU786481:RDV786492 RNQ786481:RNR786492 RXM786481:RXN786492 SHI786481:SHJ786492 SRE786481:SRF786492 TBA786481:TBB786492 TKW786481:TKX786492 TUS786481:TUT786492 UEO786481:UEP786492 UOK786481:UOL786492 UYG786481:UYH786492 VIC786481:VID786492 VRY786481:VRZ786492 WBU786481:WBV786492 WLQ786481:WLR786492 WVM786481:WVN786492 E852017:F852028 JA852017:JB852028 SW852017:SX852028 ACS852017:ACT852028 AMO852017:AMP852028 AWK852017:AWL852028 BGG852017:BGH852028 BQC852017:BQD852028 BZY852017:BZZ852028 CJU852017:CJV852028 CTQ852017:CTR852028 DDM852017:DDN852028 DNI852017:DNJ852028 DXE852017:DXF852028 EHA852017:EHB852028 EQW852017:EQX852028 FAS852017:FAT852028 FKO852017:FKP852028 FUK852017:FUL852028 GEG852017:GEH852028 GOC852017:GOD852028 GXY852017:GXZ852028 HHU852017:HHV852028 HRQ852017:HRR852028 IBM852017:IBN852028 ILI852017:ILJ852028 IVE852017:IVF852028 JFA852017:JFB852028 JOW852017:JOX852028 JYS852017:JYT852028 KIO852017:KIP852028 KSK852017:KSL852028 LCG852017:LCH852028 LMC852017:LMD852028 LVY852017:LVZ852028 MFU852017:MFV852028 MPQ852017:MPR852028 MZM852017:MZN852028 NJI852017:NJJ852028 NTE852017:NTF852028 ODA852017:ODB852028 OMW852017:OMX852028 OWS852017:OWT852028 PGO852017:PGP852028 PQK852017:PQL852028 QAG852017:QAH852028 QKC852017:QKD852028 QTY852017:QTZ852028 RDU852017:RDV852028 RNQ852017:RNR852028 RXM852017:RXN852028 SHI852017:SHJ852028 SRE852017:SRF852028 TBA852017:TBB852028 TKW852017:TKX852028 TUS852017:TUT852028 UEO852017:UEP852028 UOK852017:UOL852028 UYG852017:UYH852028 VIC852017:VID852028 VRY852017:VRZ852028 WBU852017:WBV852028 WLQ852017:WLR852028 WVM852017:WVN852028 E917553:F917564 JA917553:JB917564 SW917553:SX917564 ACS917553:ACT917564 AMO917553:AMP917564 AWK917553:AWL917564 BGG917553:BGH917564 BQC917553:BQD917564 BZY917553:BZZ917564 CJU917553:CJV917564 CTQ917553:CTR917564 DDM917553:DDN917564 DNI917553:DNJ917564 DXE917553:DXF917564 EHA917553:EHB917564 EQW917553:EQX917564 FAS917553:FAT917564 FKO917553:FKP917564 FUK917553:FUL917564 GEG917553:GEH917564 GOC917553:GOD917564 GXY917553:GXZ917564 HHU917553:HHV917564 HRQ917553:HRR917564 IBM917553:IBN917564 ILI917553:ILJ917564 IVE917553:IVF917564 JFA917553:JFB917564 JOW917553:JOX917564 JYS917553:JYT917564 KIO917553:KIP917564 KSK917553:KSL917564 LCG917553:LCH917564 LMC917553:LMD917564 LVY917553:LVZ917564 MFU917553:MFV917564 MPQ917553:MPR917564 MZM917553:MZN917564 NJI917553:NJJ917564 NTE917553:NTF917564 ODA917553:ODB917564 OMW917553:OMX917564 OWS917553:OWT917564 PGO917553:PGP917564 PQK917553:PQL917564 QAG917553:QAH917564 QKC917553:QKD917564 QTY917553:QTZ917564 RDU917553:RDV917564 RNQ917553:RNR917564 RXM917553:RXN917564 SHI917553:SHJ917564 SRE917553:SRF917564 TBA917553:TBB917564 TKW917553:TKX917564 TUS917553:TUT917564 UEO917553:UEP917564 UOK917553:UOL917564 UYG917553:UYH917564 VIC917553:VID917564 VRY917553:VRZ917564 WBU917553:WBV917564 WLQ917553:WLR917564 WVM917553:WVN917564 E983089:F983100 JA983089:JB983100 SW983089:SX983100 ACS983089:ACT983100 AMO983089:AMP983100 AWK983089:AWL983100 BGG983089:BGH983100 BQC983089:BQD983100 BZY983089:BZZ983100 CJU983089:CJV983100 CTQ983089:CTR983100 DDM983089:DDN983100 DNI983089:DNJ983100 DXE983089:DXF983100 EHA983089:EHB983100 EQW983089:EQX983100 FAS983089:FAT983100 FKO983089:FKP983100 FUK983089:FUL983100 GEG983089:GEH983100 GOC983089:GOD983100 GXY983089:GXZ983100 HHU983089:HHV983100 HRQ983089:HRR983100 IBM983089:IBN983100 ILI983089:ILJ983100 IVE983089:IVF983100 JFA983089:JFB983100 JOW983089:JOX983100 JYS983089:JYT983100 KIO983089:KIP983100 KSK983089:KSL983100 LCG983089:LCH983100 LMC983089:LMD983100 LVY983089:LVZ983100 MFU983089:MFV983100 MPQ983089:MPR983100 MZM983089:MZN983100 NJI983089:NJJ983100 NTE983089:NTF983100 ODA983089:ODB983100 OMW983089:OMX983100 OWS983089:OWT983100 PGO983089:PGP983100 PQK983089:PQL983100 QAG983089:QAH983100 QKC983089:QKD983100 QTY983089:QTZ983100 RDU983089:RDV983100 RNQ983089:RNR983100 RXM983089:RXN983100 SHI983089:SHJ983100 SRE983089:SRF983100 TBA983089:TBB983100 TKW983089:TKX983100 TUS983089:TUT983100 UEO983089:UEP983100 UOK983089:UOL983100 UYG983089:UYH983100 VIC983089:VID983100 VRY983089:VRZ983100 WBU983089:WBV983100 WLQ983089:WLR983100 WVM983089:WVN983100">
      <formula1>TiedTo</formula1>
    </dataValidation>
    <dataValidation allowBlank="1" showInputMessage="1" sqref="U35:U39 JQ35:JQ39 TM35:TM39 ADI35:ADI39 ANE35:ANE39 AXA35:AXA39 BGW35:BGW39 BQS35:BQS39 CAO35:CAO39 CKK35:CKK39 CUG35:CUG39 DEC35:DEC39 DNY35:DNY39 DXU35:DXU39 EHQ35:EHQ39 ERM35:ERM39 FBI35:FBI39 FLE35:FLE39 FVA35:FVA39 GEW35:GEW39 GOS35:GOS39 GYO35:GYO39 HIK35:HIK39 HSG35:HSG39 ICC35:ICC39 ILY35:ILY39 IVU35:IVU39 JFQ35:JFQ39 JPM35:JPM39 JZI35:JZI39 KJE35:KJE39 KTA35:KTA39 LCW35:LCW39 LMS35:LMS39 LWO35:LWO39 MGK35:MGK39 MQG35:MQG39 NAC35:NAC39 NJY35:NJY39 NTU35:NTU39 ODQ35:ODQ39 ONM35:ONM39 OXI35:OXI39 PHE35:PHE39 PRA35:PRA39 QAW35:QAW39 QKS35:QKS39 QUO35:QUO39 REK35:REK39 ROG35:ROG39 RYC35:RYC39 SHY35:SHY39 SRU35:SRU39 TBQ35:TBQ39 TLM35:TLM39 TVI35:TVI39 UFE35:UFE39 UPA35:UPA39 UYW35:UYW39 VIS35:VIS39 VSO35:VSO39 WCK35:WCK39 WMG35:WMG39 WWC35:WWC39 U65571:U65575 JQ65571:JQ65575 TM65571:TM65575 ADI65571:ADI65575 ANE65571:ANE65575 AXA65571:AXA65575 BGW65571:BGW65575 BQS65571:BQS65575 CAO65571:CAO65575 CKK65571:CKK65575 CUG65571:CUG65575 DEC65571:DEC65575 DNY65571:DNY65575 DXU65571:DXU65575 EHQ65571:EHQ65575 ERM65571:ERM65575 FBI65571:FBI65575 FLE65571:FLE65575 FVA65571:FVA65575 GEW65571:GEW65575 GOS65571:GOS65575 GYO65571:GYO65575 HIK65571:HIK65575 HSG65571:HSG65575 ICC65571:ICC65575 ILY65571:ILY65575 IVU65571:IVU65575 JFQ65571:JFQ65575 JPM65571:JPM65575 JZI65571:JZI65575 KJE65571:KJE65575 KTA65571:KTA65575 LCW65571:LCW65575 LMS65571:LMS65575 LWO65571:LWO65575 MGK65571:MGK65575 MQG65571:MQG65575 NAC65571:NAC65575 NJY65571:NJY65575 NTU65571:NTU65575 ODQ65571:ODQ65575 ONM65571:ONM65575 OXI65571:OXI65575 PHE65571:PHE65575 PRA65571:PRA65575 QAW65571:QAW65575 QKS65571:QKS65575 QUO65571:QUO65575 REK65571:REK65575 ROG65571:ROG65575 RYC65571:RYC65575 SHY65571:SHY65575 SRU65571:SRU65575 TBQ65571:TBQ65575 TLM65571:TLM65575 TVI65571:TVI65575 UFE65571:UFE65575 UPA65571:UPA65575 UYW65571:UYW65575 VIS65571:VIS65575 VSO65571:VSO65575 WCK65571:WCK65575 WMG65571:WMG65575 WWC65571:WWC65575 U131107:U131111 JQ131107:JQ131111 TM131107:TM131111 ADI131107:ADI131111 ANE131107:ANE131111 AXA131107:AXA131111 BGW131107:BGW131111 BQS131107:BQS131111 CAO131107:CAO131111 CKK131107:CKK131111 CUG131107:CUG131111 DEC131107:DEC131111 DNY131107:DNY131111 DXU131107:DXU131111 EHQ131107:EHQ131111 ERM131107:ERM131111 FBI131107:FBI131111 FLE131107:FLE131111 FVA131107:FVA131111 GEW131107:GEW131111 GOS131107:GOS131111 GYO131107:GYO131111 HIK131107:HIK131111 HSG131107:HSG131111 ICC131107:ICC131111 ILY131107:ILY131111 IVU131107:IVU131111 JFQ131107:JFQ131111 JPM131107:JPM131111 JZI131107:JZI131111 KJE131107:KJE131111 KTA131107:KTA131111 LCW131107:LCW131111 LMS131107:LMS131111 LWO131107:LWO131111 MGK131107:MGK131111 MQG131107:MQG131111 NAC131107:NAC131111 NJY131107:NJY131111 NTU131107:NTU131111 ODQ131107:ODQ131111 ONM131107:ONM131111 OXI131107:OXI131111 PHE131107:PHE131111 PRA131107:PRA131111 QAW131107:QAW131111 QKS131107:QKS131111 QUO131107:QUO131111 REK131107:REK131111 ROG131107:ROG131111 RYC131107:RYC131111 SHY131107:SHY131111 SRU131107:SRU131111 TBQ131107:TBQ131111 TLM131107:TLM131111 TVI131107:TVI131111 UFE131107:UFE131111 UPA131107:UPA131111 UYW131107:UYW131111 VIS131107:VIS131111 VSO131107:VSO131111 WCK131107:WCK131111 WMG131107:WMG131111 WWC131107:WWC131111 U196643:U196647 JQ196643:JQ196647 TM196643:TM196647 ADI196643:ADI196647 ANE196643:ANE196647 AXA196643:AXA196647 BGW196643:BGW196647 BQS196643:BQS196647 CAO196643:CAO196647 CKK196643:CKK196647 CUG196643:CUG196647 DEC196643:DEC196647 DNY196643:DNY196647 DXU196643:DXU196647 EHQ196643:EHQ196647 ERM196643:ERM196647 FBI196643:FBI196647 FLE196643:FLE196647 FVA196643:FVA196647 GEW196643:GEW196647 GOS196643:GOS196647 GYO196643:GYO196647 HIK196643:HIK196647 HSG196643:HSG196647 ICC196643:ICC196647 ILY196643:ILY196647 IVU196643:IVU196647 JFQ196643:JFQ196647 JPM196643:JPM196647 JZI196643:JZI196647 KJE196643:KJE196647 KTA196643:KTA196647 LCW196643:LCW196647 LMS196643:LMS196647 LWO196643:LWO196647 MGK196643:MGK196647 MQG196643:MQG196647 NAC196643:NAC196647 NJY196643:NJY196647 NTU196643:NTU196647 ODQ196643:ODQ196647 ONM196643:ONM196647 OXI196643:OXI196647 PHE196643:PHE196647 PRA196643:PRA196647 QAW196643:QAW196647 QKS196643:QKS196647 QUO196643:QUO196647 REK196643:REK196647 ROG196643:ROG196647 RYC196643:RYC196647 SHY196643:SHY196647 SRU196643:SRU196647 TBQ196643:TBQ196647 TLM196643:TLM196647 TVI196643:TVI196647 UFE196643:UFE196647 UPA196643:UPA196647 UYW196643:UYW196647 VIS196643:VIS196647 VSO196643:VSO196647 WCK196643:WCK196647 WMG196643:WMG196647 WWC196643:WWC196647 U262179:U262183 JQ262179:JQ262183 TM262179:TM262183 ADI262179:ADI262183 ANE262179:ANE262183 AXA262179:AXA262183 BGW262179:BGW262183 BQS262179:BQS262183 CAO262179:CAO262183 CKK262179:CKK262183 CUG262179:CUG262183 DEC262179:DEC262183 DNY262179:DNY262183 DXU262179:DXU262183 EHQ262179:EHQ262183 ERM262179:ERM262183 FBI262179:FBI262183 FLE262179:FLE262183 FVA262179:FVA262183 GEW262179:GEW262183 GOS262179:GOS262183 GYO262179:GYO262183 HIK262179:HIK262183 HSG262179:HSG262183 ICC262179:ICC262183 ILY262179:ILY262183 IVU262179:IVU262183 JFQ262179:JFQ262183 JPM262179:JPM262183 JZI262179:JZI262183 KJE262179:KJE262183 KTA262179:KTA262183 LCW262179:LCW262183 LMS262179:LMS262183 LWO262179:LWO262183 MGK262179:MGK262183 MQG262179:MQG262183 NAC262179:NAC262183 NJY262179:NJY262183 NTU262179:NTU262183 ODQ262179:ODQ262183 ONM262179:ONM262183 OXI262179:OXI262183 PHE262179:PHE262183 PRA262179:PRA262183 QAW262179:QAW262183 QKS262179:QKS262183 QUO262179:QUO262183 REK262179:REK262183 ROG262179:ROG262183 RYC262179:RYC262183 SHY262179:SHY262183 SRU262179:SRU262183 TBQ262179:TBQ262183 TLM262179:TLM262183 TVI262179:TVI262183 UFE262179:UFE262183 UPA262179:UPA262183 UYW262179:UYW262183 VIS262179:VIS262183 VSO262179:VSO262183 WCK262179:WCK262183 WMG262179:WMG262183 WWC262179:WWC262183 U327715:U327719 JQ327715:JQ327719 TM327715:TM327719 ADI327715:ADI327719 ANE327715:ANE327719 AXA327715:AXA327719 BGW327715:BGW327719 BQS327715:BQS327719 CAO327715:CAO327719 CKK327715:CKK327719 CUG327715:CUG327719 DEC327715:DEC327719 DNY327715:DNY327719 DXU327715:DXU327719 EHQ327715:EHQ327719 ERM327715:ERM327719 FBI327715:FBI327719 FLE327715:FLE327719 FVA327715:FVA327719 GEW327715:GEW327719 GOS327715:GOS327719 GYO327715:GYO327719 HIK327715:HIK327719 HSG327715:HSG327719 ICC327715:ICC327719 ILY327715:ILY327719 IVU327715:IVU327719 JFQ327715:JFQ327719 JPM327715:JPM327719 JZI327715:JZI327719 KJE327715:KJE327719 KTA327715:KTA327719 LCW327715:LCW327719 LMS327715:LMS327719 LWO327715:LWO327719 MGK327715:MGK327719 MQG327715:MQG327719 NAC327715:NAC327719 NJY327715:NJY327719 NTU327715:NTU327719 ODQ327715:ODQ327719 ONM327715:ONM327719 OXI327715:OXI327719 PHE327715:PHE327719 PRA327715:PRA327719 QAW327715:QAW327719 QKS327715:QKS327719 QUO327715:QUO327719 REK327715:REK327719 ROG327715:ROG327719 RYC327715:RYC327719 SHY327715:SHY327719 SRU327715:SRU327719 TBQ327715:TBQ327719 TLM327715:TLM327719 TVI327715:TVI327719 UFE327715:UFE327719 UPA327715:UPA327719 UYW327715:UYW327719 VIS327715:VIS327719 VSO327715:VSO327719 WCK327715:WCK327719 WMG327715:WMG327719 WWC327715:WWC327719 U393251:U393255 JQ393251:JQ393255 TM393251:TM393255 ADI393251:ADI393255 ANE393251:ANE393255 AXA393251:AXA393255 BGW393251:BGW393255 BQS393251:BQS393255 CAO393251:CAO393255 CKK393251:CKK393255 CUG393251:CUG393255 DEC393251:DEC393255 DNY393251:DNY393255 DXU393251:DXU393255 EHQ393251:EHQ393255 ERM393251:ERM393255 FBI393251:FBI393255 FLE393251:FLE393255 FVA393251:FVA393255 GEW393251:GEW393255 GOS393251:GOS393255 GYO393251:GYO393255 HIK393251:HIK393255 HSG393251:HSG393255 ICC393251:ICC393255 ILY393251:ILY393255 IVU393251:IVU393255 JFQ393251:JFQ393255 JPM393251:JPM393255 JZI393251:JZI393255 KJE393251:KJE393255 KTA393251:KTA393255 LCW393251:LCW393255 LMS393251:LMS393255 LWO393251:LWO393255 MGK393251:MGK393255 MQG393251:MQG393255 NAC393251:NAC393255 NJY393251:NJY393255 NTU393251:NTU393255 ODQ393251:ODQ393255 ONM393251:ONM393255 OXI393251:OXI393255 PHE393251:PHE393255 PRA393251:PRA393255 QAW393251:QAW393255 QKS393251:QKS393255 QUO393251:QUO393255 REK393251:REK393255 ROG393251:ROG393255 RYC393251:RYC393255 SHY393251:SHY393255 SRU393251:SRU393255 TBQ393251:TBQ393255 TLM393251:TLM393255 TVI393251:TVI393255 UFE393251:UFE393255 UPA393251:UPA393255 UYW393251:UYW393255 VIS393251:VIS393255 VSO393251:VSO393255 WCK393251:WCK393255 WMG393251:WMG393255 WWC393251:WWC393255 U458787:U458791 JQ458787:JQ458791 TM458787:TM458791 ADI458787:ADI458791 ANE458787:ANE458791 AXA458787:AXA458791 BGW458787:BGW458791 BQS458787:BQS458791 CAO458787:CAO458791 CKK458787:CKK458791 CUG458787:CUG458791 DEC458787:DEC458791 DNY458787:DNY458791 DXU458787:DXU458791 EHQ458787:EHQ458791 ERM458787:ERM458791 FBI458787:FBI458791 FLE458787:FLE458791 FVA458787:FVA458791 GEW458787:GEW458791 GOS458787:GOS458791 GYO458787:GYO458791 HIK458787:HIK458791 HSG458787:HSG458791 ICC458787:ICC458791 ILY458787:ILY458791 IVU458787:IVU458791 JFQ458787:JFQ458791 JPM458787:JPM458791 JZI458787:JZI458791 KJE458787:KJE458791 KTA458787:KTA458791 LCW458787:LCW458791 LMS458787:LMS458791 LWO458787:LWO458791 MGK458787:MGK458791 MQG458787:MQG458791 NAC458787:NAC458791 NJY458787:NJY458791 NTU458787:NTU458791 ODQ458787:ODQ458791 ONM458787:ONM458791 OXI458787:OXI458791 PHE458787:PHE458791 PRA458787:PRA458791 QAW458787:QAW458791 QKS458787:QKS458791 QUO458787:QUO458791 REK458787:REK458791 ROG458787:ROG458791 RYC458787:RYC458791 SHY458787:SHY458791 SRU458787:SRU458791 TBQ458787:TBQ458791 TLM458787:TLM458791 TVI458787:TVI458791 UFE458787:UFE458791 UPA458787:UPA458791 UYW458787:UYW458791 VIS458787:VIS458791 VSO458787:VSO458791 WCK458787:WCK458791 WMG458787:WMG458791 WWC458787:WWC458791 U524323:U524327 JQ524323:JQ524327 TM524323:TM524327 ADI524323:ADI524327 ANE524323:ANE524327 AXA524323:AXA524327 BGW524323:BGW524327 BQS524323:BQS524327 CAO524323:CAO524327 CKK524323:CKK524327 CUG524323:CUG524327 DEC524323:DEC524327 DNY524323:DNY524327 DXU524323:DXU524327 EHQ524323:EHQ524327 ERM524323:ERM524327 FBI524323:FBI524327 FLE524323:FLE524327 FVA524323:FVA524327 GEW524323:GEW524327 GOS524323:GOS524327 GYO524323:GYO524327 HIK524323:HIK524327 HSG524323:HSG524327 ICC524323:ICC524327 ILY524323:ILY524327 IVU524323:IVU524327 JFQ524323:JFQ524327 JPM524323:JPM524327 JZI524323:JZI524327 KJE524323:KJE524327 KTA524323:KTA524327 LCW524323:LCW524327 LMS524323:LMS524327 LWO524323:LWO524327 MGK524323:MGK524327 MQG524323:MQG524327 NAC524323:NAC524327 NJY524323:NJY524327 NTU524323:NTU524327 ODQ524323:ODQ524327 ONM524323:ONM524327 OXI524323:OXI524327 PHE524323:PHE524327 PRA524323:PRA524327 QAW524323:QAW524327 QKS524323:QKS524327 QUO524323:QUO524327 REK524323:REK524327 ROG524323:ROG524327 RYC524323:RYC524327 SHY524323:SHY524327 SRU524323:SRU524327 TBQ524323:TBQ524327 TLM524323:TLM524327 TVI524323:TVI524327 UFE524323:UFE524327 UPA524323:UPA524327 UYW524323:UYW524327 VIS524323:VIS524327 VSO524323:VSO524327 WCK524323:WCK524327 WMG524323:WMG524327 WWC524323:WWC524327 U589859:U589863 JQ589859:JQ589863 TM589859:TM589863 ADI589859:ADI589863 ANE589859:ANE589863 AXA589859:AXA589863 BGW589859:BGW589863 BQS589859:BQS589863 CAO589859:CAO589863 CKK589859:CKK589863 CUG589859:CUG589863 DEC589859:DEC589863 DNY589859:DNY589863 DXU589859:DXU589863 EHQ589859:EHQ589863 ERM589859:ERM589863 FBI589859:FBI589863 FLE589859:FLE589863 FVA589859:FVA589863 GEW589859:GEW589863 GOS589859:GOS589863 GYO589859:GYO589863 HIK589859:HIK589863 HSG589859:HSG589863 ICC589859:ICC589863 ILY589859:ILY589863 IVU589859:IVU589863 JFQ589859:JFQ589863 JPM589859:JPM589863 JZI589859:JZI589863 KJE589859:KJE589863 KTA589859:KTA589863 LCW589859:LCW589863 LMS589859:LMS589863 LWO589859:LWO589863 MGK589859:MGK589863 MQG589859:MQG589863 NAC589859:NAC589863 NJY589859:NJY589863 NTU589859:NTU589863 ODQ589859:ODQ589863 ONM589859:ONM589863 OXI589859:OXI589863 PHE589859:PHE589863 PRA589859:PRA589863 QAW589859:QAW589863 QKS589859:QKS589863 QUO589859:QUO589863 REK589859:REK589863 ROG589859:ROG589863 RYC589859:RYC589863 SHY589859:SHY589863 SRU589859:SRU589863 TBQ589859:TBQ589863 TLM589859:TLM589863 TVI589859:TVI589863 UFE589859:UFE589863 UPA589859:UPA589863 UYW589859:UYW589863 VIS589859:VIS589863 VSO589859:VSO589863 WCK589859:WCK589863 WMG589859:WMG589863 WWC589859:WWC589863 U655395:U655399 JQ655395:JQ655399 TM655395:TM655399 ADI655395:ADI655399 ANE655395:ANE655399 AXA655395:AXA655399 BGW655395:BGW655399 BQS655395:BQS655399 CAO655395:CAO655399 CKK655395:CKK655399 CUG655395:CUG655399 DEC655395:DEC655399 DNY655395:DNY655399 DXU655395:DXU655399 EHQ655395:EHQ655399 ERM655395:ERM655399 FBI655395:FBI655399 FLE655395:FLE655399 FVA655395:FVA655399 GEW655395:GEW655399 GOS655395:GOS655399 GYO655395:GYO655399 HIK655395:HIK655399 HSG655395:HSG655399 ICC655395:ICC655399 ILY655395:ILY655399 IVU655395:IVU655399 JFQ655395:JFQ655399 JPM655395:JPM655399 JZI655395:JZI655399 KJE655395:KJE655399 KTA655395:KTA655399 LCW655395:LCW655399 LMS655395:LMS655399 LWO655395:LWO655399 MGK655395:MGK655399 MQG655395:MQG655399 NAC655395:NAC655399 NJY655395:NJY655399 NTU655395:NTU655399 ODQ655395:ODQ655399 ONM655395:ONM655399 OXI655395:OXI655399 PHE655395:PHE655399 PRA655395:PRA655399 QAW655395:QAW655399 QKS655395:QKS655399 QUO655395:QUO655399 REK655395:REK655399 ROG655395:ROG655399 RYC655395:RYC655399 SHY655395:SHY655399 SRU655395:SRU655399 TBQ655395:TBQ655399 TLM655395:TLM655399 TVI655395:TVI655399 UFE655395:UFE655399 UPA655395:UPA655399 UYW655395:UYW655399 VIS655395:VIS655399 VSO655395:VSO655399 WCK655395:WCK655399 WMG655395:WMG655399 WWC655395:WWC655399 U720931:U720935 JQ720931:JQ720935 TM720931:TM720935 ADI720931:ADI720935 ANE720931:ANE720935 AXA720931:AXA720935 BGW720931:BGW720935 BQS720931:BQS720935 CAO720931:CAO720935 CKK720931:CKK720935 CUG720931:CUG720935 DEC720931:DEC720935 DNY720931:DNY720935 DXU720931:DXU720935 EHQ720931:EHQ720935 ERM720931:ERM720935 FBI720931:FBI720935 FLE720931:FLE720935 FVA720931:FVA720935 GEW720931:GEW720935 GOS720931:GOS720935 GYO720931:GYO720935 HIK720931:HIK720935 HSG720931:HSG720935 ICC720931:ICC720935 ILY720931:ILY720935 IVU720931:IVU720935 JFQ720931:JFQ720935 JPM720931:JPM720935 JZI720931:JZI720935 KJE720931:KJE720935 KTA720931:KTA720935 LCW720931:LCW720935 LMS720931:LMS720935 LWO720931:LWO720935 MGK720931:MGK720935 MQG720931:MQG720935 NAC720931:NAC720935 NJY720931:NJY720935 NTU720931:NTU720935 ODQ720931:ODQ720935 ONM720931:ONM720935 OXI720931:OXI720935 PHE720931:PHE720935 PRA720931:PRA720935 QAW720931:QAW720935 QKS720931:QKS720935 QUO720931:QUO720935 REK720931:REK720935 ROG720931:ROG720935 RYC720931:RYC720935 SHY720931:SHY720935 SRU720931:SRU720935 TBQ720931:TBQ720935 TLM720931:TLM720935 TVI720931:TVI720935 UFE720931:UFE720935 UPA720931:UPA720935 UYW720931:UYW720935 VIS720931:VIS720935 VSO720931:VSO720935 WCK720931:WCK720935 WMG720931:WMG720935 WWC720931:WWC720935 U786467:U786471 JQ786467:JQ786471 TM786467:TM786471 ADI786467:ADI786471 ANE786467:ANE786471 AXA786467:AXA786471 BGW786467:BGW786471 BQS786467:BQS786471 CAO786467:CAO786471 CKK786467:CKK786471 CUG786467:CUG786471 DEC786467:DEC786471 DNY786467:DNY786471 DXU786467:DXU786471 EHQ786467:EHQ786471 ERM786467:ERM786471 FBI786467:FBI786471 FLE786467:FLE786471 FVA786467:FVA786471 GEW786467:GEW786471 GOS786467:GOS786471 GYO786467:GYO786471 HIK786467:HIK786471 HSG786467:HSG786471 ICC786467:ICC786471 ILY786467:ILY786471 IVU786467:IVU786471 JFQ786467:JFQ786471 JPM786467:JPM786471 JZI786467:JZI786471 KJE786467:KJE786471 KTA786467:KTA786471 LCW786467:LCW786471 LMS786467:LMS786471 LWO786467:LWO786471 MGK786467:MGK786471 MQG786467:MQG786471 NAC786467:NAC786471 NJY786467:NJY786471 NTU786467:NTU786471 ODQ786467:ODQ786471 ONM786467:ONM786471 OXI786467:OXI786471 PHE786467:PHE786471 PRA786467:PRA786471 QAW786467:QAW786471 QKS786467:QKS786471 QUO786467:QUO786471 REK786467:REK786471 ROG786467:ROG786471 RYC786467:RYC786471 SHY786467:SHY786471 SRU786467:SRU786471 TBQ786467:TBQ786471 TLM786467:TLM786471 TVI786467:TVI786471 UFE786467:UFE786471 UPA786467:UPA786471 UYW786467:UYW786471 VIS786467:VIS786471 VSO786467:VSO786471 WCK786467:WCK786471 WMG786467:WMG786471 WWC786467:WWC786471 U852003:U852007 JQ852003:JQ852007 TM852003:TM852007 ADI852003:ADI852007 ANE852003:ANE852007 AXA852003:AXA852007 BGW852003:BGW852007 BQS852003:BQS852007 CAO852003:CAO852007 CKK852003:CKK852007 CUG852003:CUG852007 DEC852003:DEC852007 DNY852003:DNY852007 DXU852003:DXU852007 EHQ852003:EHQ852007 ERM852003:ERM852007 FBI852003:FBI852007 FLE852003:FLE852007 FVA852003:FVA852007 GEW852003:GEW852007 GOS852003:GOS852007 GYO852003:GYO852007 HIK852003:HIK852007 HSG852003:HSG852007 ICC852003:ICC852007 ILY852003:ILY852007 IVU852003:IVU852007 JFQ852003:JFQ852007 JPM852003:JPM852007 JZI852003:JZI852007 KJE852003:KJE852007 KTA852003:KTA852007 LCW852003:LCW852007 LMS852003:LMS852007 LWO852003:LWO852007 MGK852003:MGK852007 MQG852003:MQG852007 NAC852003:NAC852007 NJY852003:NJY852007 NTU852003:NTU852007 ODQ852003:ODQ852007 ONM852003:ONM852007 OXI852003:OXI852007 PHE852003:PHE852007 PRA852003:PRA852007 QAW852003:QAW852007 QKS852003:QKS852007 QUO852003:QUO852007 REK852003:REK852007 ROG852003:ROG852007 RYC852003:RYC852007 SHY852003:SHY852007 SRU852003:SRU852007 TBQ852003:TBQ852007 TLM852003:TLM852007 TVI852003:TVI852007 UFE852003:UFE852007 UPA852003:UPA852007 UYW852003:UYW852007 VIS852003:VIS852007 VSO852003:VSO852007 WCK852003:WCK852007 WMG852003:WMG852007 WWC852003:WWC852007 U917539:U917543 JQ917539:JQ917543 TM917539:TM917543 ADI917539:ADI917543 ANE917539:ANE917543 AXA917539:AXA917543 BGW917539:BGW917543 BQS917539:BQS917543 CAO917539:CAO917543 CKK917539:CKK917543 CUG917539:CUG917543 DEC917539:DEC917543 DNY917539:DNY917543 DXU917539:DXU917543 EHQ917539:EHQ917543 ERM917539:ERM917543 FBI917539:FBI917543 FLE917539:FLE917543 FVA917539:FVA917543 GEW917539:GEW917543 GOS917539:GOS917543 GYO917539:GYO917543 HIK917539:HIK917543 HSG917539:HSG917543 ICC917539:ICC917543 ILY917539:ILY917543 IVU917539:IVU917543 JFQ917539:JFQ917543 JPM917539:JPM917543 JZI917539:JZI917543 KJE917539:KJE917543 KTA917539:KTA917543 LCW917539:LCW917543 LMS917539:LMS917543 LWO917539:LWO917543 MGK917539:MGK917543 MQG917539:MQG917543 NAC917539:NAC917543 NJY917539:NJY917543 NTU917539:NTU917543 ODQ917539:ODQ917543 ONM917539:ONM917543 OXI917539:OXI917543 PHE917539:PHE917543 PRA917539:PRA917543 QAW917539:QAW917543 QKS917539:QKS917543 QUO917539:QUO917543 REK917539:REK917543 ROG917539:ROG917543 RYC917539:RYC917543 SHY917539:SHY917543 SRU917539:SRU917543 TBQ917539:TBQ917543 TLM917539:TLM917543 TVI917539:TVI917543 UFE917539:UFE917543 UPA917539:UPA917543 UYW917539:UYW917543 VIS917539:VIS917543 VSO917539:VSO917543 WCK917539:WCK917543 WMG917539:WMG917543 WWC917539:WWC917543 U983075:U983079 JQ983075:JQ983079 TM983075:TM983079 ADI983075:ADI983079 ANE983075:ANE983079 AXA983075:AXA983079 BGW983075:BGW983079 BQS983075:BQS983079 CAO983075:CAO983079 CKK983075:CKK983079 CUG983075:CUG983079 DEC983075:DEC983079 DNY983075:DNY983079 DXU983075:DXU983079 EHQ983075:EHQ983079 ERM983075:ERM983079 FBI983075:FBI983079 FLE983075:FLE983079 FVA983075:FVA983079 GEW983075:GEW983079 GOS983075:GOS983079 GYO983075:GYO983079 HIK983075:HIK983079 HSG983075:HSG983079 ICC983075:ICC983079 ILY983075:ILY983079 IVU983075:IVU983079 JFQ983075:JFQ983079 JPM983075:JPM983079 JZI983075:JZI983079 KJE983075:KJE983079 KTA983075:KTA983079 LCW983075:LCW983079 LMS983075:LMS983079 LWO983075:LWO983079 MGK983075:MGK983079 MQG983075:MQG983079 NAC983075:NAC983079 NJY983075:NJY983079 NTU983075:NTU983079 ODQ983075:ODQ983079 ONM983075:ONM983079 OXI983075:OXI983079 PHE983075:PHE983079 PRA983075:PRA983079 QAW983075:QAW983079 QKS983075:QKS983079 QUO983075:QUO983079 REK983075:REK983079 ROG983075:ROG983079 RYC983075:RYC983079 SHY983075:SHY983079 SRU983075:SRU983079 TBQ983075:TBQ983079 TLM983075:TLM983079 TVI983075:TVI983079 UFE983075:UFE983079 UPA983075:UPA983079 UYW983075:UYW983079 VIS983075:VIS983079 VSO983075:VSO983079 WCK983075:WCK983079 WMG983075:WMG983079 WWC983075:WWC983079 U17:U21 JQ17:JQ21 TM17:TM21 ADI17:ADI21 ANE17:ANE21 AXA17:AXA21 BGW17:BGW21 BQS17:BQS21 CAO17:CAO21 CKK17:CKK21 CUG17:CUG21 DEC17:DEC21 DNY17:DNY21 DXU17:DXU21 EHQ17:EHQ21 ERM17:ERM21 FBI17:FBI21 FLE17:FLE21 FVA17:FVA21 GEW17:GEW21 GOS17:GOS21 GYO17:GYO21 HIK17:HIK21 HSG17:HSG21 ICC17:ICC21 ILY17:ILY21 IVU17:IVU21 JFQ17:JFQ21 JPM17:JPM21 JZI17:JZI21 KJE17:KJE21 KTA17:KTA21 LCW17:LCW21 LMS17:LMS21 LWO17:LWO21 MGK17:MGK21 MQG17:MQG21 NAC17:NAC21 NJY17:NJY21 NTU17:NTU21 ODQ17:ODQ21 ONM17:ONM21 OXI17:OXI21 PHE17:PHE21 PRA17:PRA21 QAW17:QAW21 QKS17:QKS21 QUO17:QUO21 REK17:REK21 ROG17:ROG21 RYC17:RYC21 SHY17:SHY21 SRU17:SRU21 TBQ17:TBQ21 TLM17:TLM21 TVI17:TVI21 UFE17:UFE21 UPA17:UPA21 UYW17:UYW21 VIS17:VIS21 VSO17:VSO21 WCK17:WCK21 WMG17:WMG21 WWC17:WWC21 U65553:U65557 JQ65553:JQ65557 TM65553:TM65557 ADI65553:ADI65557 ANE65553:ANE65557 AXA65553:AXA65557 BGW65553:BGW65557 BQS65553:BQS65557 CAO65553:CAO65557 CKK65553:CKK65557 CUG65553:CUG65557 DEC65553:DEC65557 DNY65553:DNY65557 DXU65553:DXU65557 EHQ65553:EHQ65557 ERM65553:ERM65557 FBI65553:FBI65557 FLE65553:FLE65557 FVA65553:FVA65557 GEW65553:GEW65557 GOS65553:GOS65557 GYO65553:GYO65557 HIK65553:HIK65557 HSG65553:HSG65557 ICC65553:ICC65557 ILY65553:ILY65557 IVU65553:IVU65557 JFQ65553:JFQ65557 JPM65553:JPM65557 JZI65553:JZI65557 KJE65553:KJE65557 KTA65553:KTA65557 LCW65553:LCW65557 LMS65553:LMS65557 LWO65553:LWO65557 MGK65553:MGK65557 MQG65553:MQG65557 NAC65553:NAC65557 NJY65553:NJY65557 NTU65553:NTU65557 ODQ65553:ODQ65557 ONM65553:ONM65557 OXI65553:OXI65557 PHE65553:PHE65557 PRA65553:PRA65557 QAW65553:QAW65557 QKS65553:QKS65557 QUO65553:QUO65557 REK65553:REK65557 ROG65553:ROG65557 RYC65553:RYC65557 SHY65553:SHY65557 SRU65553:SRU65557 TBQ65553:TBQ65557 TLM65553:TLM65557 TVI65553:TVI65557 UFE65553:UFE65557 UPA65553:UPA65557 UYW65553:UYW65557 VIS65553:VIS65557 VSO65553:VSO65557 WCK65553:WCK65557 WMG65553:WMG65557 WWC65553:WWC65557 U131089:U131093 JQ131089:JQ131093 TM131089:TM131093 ADI131089:ADI131093 ANE131089:ANE131093 AXA131089:AXA131093 BGW131089:BGW131093 BQS131089:BQS131093 CAO131089:CAO131093 CKK131089:CKK131093 CUG131089:CUG131093 DEC131089:DEC131093 DNY131089:DNY131093 DXU131089:DXU131093 EHQ131089:EHQ131093 ERM131089:ERM131093 FBI131089:FBI131093 FLE131089:FLE131093 FVA131089:FVA131093 GEW131089:GEW131093 GOS131089:GOS131093 GYO131089:GYO131093 HIK131089:HIK131093 HSG131089:HSG131093 ICC131089:ICC131093 ILY131089:ILY131093 IVU131089:IVU131093 JFQ131089:JFQ131093 JPM131089:JPM131093 JZI131089:JZI131093 KJE131089:KJE131093 KTA131089:KTA131093 LCW131089:LCW131093 LMS131089:LMS131093 LWO131089:LWO131093 MGK131089:MGK131093 MQG131089:MQG131093 NAC131089:NAC131093 NJY131089:NJY131093 NTU131089:NTU131093 ODQ131089:ODQ131093 ONM131089:ONM131093 OXI131089:OXI131093 PHE131089:PHE131093 PRA131089:PRA131093 QAW131089:QAW131093 QKS131089:QKS131093 QUO131089:QUO131093 REK131089:REK131093 ROG131089:ROG131093 RYC131089:RYC131093 SHY131089:SHY131093 SRU131089:SRU131093 TBQ131089:TBQ131093 TLM131089:TLM131093 TVI131089:TVI131093 UFE131089:UFE131093 UPA131089:UPA131093 UYW131089:UYW131093 VIS131089:VIS131093 VSO131089:VSO131093 WCK131089:WCK131093 WMG131089:WMG131093 WWC131089:WWC131093 U196625:U196629 JQ196625:JQ196629 TM196625:TM196629 ADI196625:ADI196629 ANE196625:ANE196629 AXA196625:AXA196629 BGW196625:BGW196629 BQS196625:BQS196629 CAO196625:CAO196629 CKK196625:CKK196629 CUG196625:CUG196629 DEC196625:DEC196629 DNY196625:DNY196629 DXU196625:DXU196629 EHQ196625:EHQ196629 ERM196625:ERM196629 FBI196625:FBI196629 FLE196625:FLE196629 FVA196625:FVA196629 GEW196625:GEW196629 GOS196625:GOS196629 GYO196625:GYO196629 HIK196625:HIK196629 HSG196625:HSG196629 ICC196625:ICC196629 ILY196625:ILY196629 IVU196625:IVU196629 JFQ196625:JFQ196629 JPM196625:JPM196629 JZI196625:JZI196629 KJE196625:KJE196629 KTA196625:KTA196629 LCW196625:LCW196629 LMS196625:LMS196629 LWO196625:LWO196629 MGK196625:MGK196629 MQG196625:MQG196629 NAC196625:NAC196629 NJY196625:NJY196629 NTU196625:NTU196629 ODQ196625:ODQ196629 ONM196625:ONM196629 OXI196625:OXI196629 PHE196625:PHE196629 PRA196625:PRA196629 QAW196625:QAW196629 QKS196625:QKS196629 QUO196625:QUO196629 REK196625:REK196629 ROG196625:ROG196629 RYC196625:RYC196629 SHY196625:SHY196629 SRU196625:SRU196629 TBQ196625:TBQ196629 TLM196625:TLM196629 TVI196625:TVI196629 UFE196625:UFE196629 UPA196625:UPA196629 UYW196625:UYW196629 VIS196625:VIS196629 VSO196625:VSO196629 WCK196625:WCK196629 WMG196625:WMG196629 WWC196625:WWC196629 U262161:U262165 JQ262161:JQ262165 TM262161:TM262165 ADI262161:ADI262165 ANE262161:ANE262165 AXA262161:AXA262165 BGW262161:BGW262165 BQS262161:BQS262165 CAO262161:CAO262165 CKK262161:CKK262165 CUG262161:CUG262165 DEC262161:DEC262165 DNY262161:DNY262165 DXU262161:DXU262165 EHQ262161:EHQ262165 ERM262161:ERM262165 FBI262161:FBI262165 FLE262161:FLE262165 FVA262161:FVA262165 GEW262161:GEW262165 GOS262161:GOS262165 GYO262161:GYO262165 HIK262161:HIK262165 HSG262161:HSG262165 ICC262161:ICC262165 ILY262161:ILY262165 IVU262161:IVU262165 JFQ262161:JFQ262165 JPM262161:JPM262165 JZI262161:JZI262165 KJE262161:KJE262165 KTA262161:KTA262165 LCW262161:LCW262165 LMS262161:LMS262165 LWO262161:LWO262165 MGK262161:MGK262165 MQG262161:MQG262165 NAC262161:NAC262165 NJY262161:NJY262165 NTU262161:NTU262165 ODQ262161:ODQ262165 ONM262161:ONM262165 OXI262161:OXI262165 PHE262161:PHE262165 PRA262161:PRA262165 QAW262161:QAW262165 QKS262161:QKS262165 QUO262161:QUO262165 REK262161:REK262165 ROG262161:ROG262165 RYC262161:RYC262165 SHY262161:SHY262165 SRU262161:SRU262165 TBQ262161:TBQ262165 TLM262161:TLM262165 TVI262161:TVI262165 UFE262161:UFE262165 UPA262161:UPA262165 UYW262161:UYW262165 VIS262161:VIS262165 VSO262161:VSO262165 WCK262161:WCK262165 WMG262161:WMG262165 WWC262161:WWC262165 U327697:U327701 JQ327697:JQ327701 TM327697:TM327701 ADI327697:ADI327701 ANE327697:ANE327701 AXA327697:AXA327701 BGW327697:BGW327701 BQS327697:BQS327701 CAO327697:CAO327701 CKK327697:CKK327701 CUG327697:CUG327701 DEC327697:DEC327701 DNY327697:DNY327701 DXU327697:DXU327701 EHQ327697:EHQ327701 ERM327697:ERM327701 FBI327697:FBI327701 FLE327697:FLE327701 FVA327697:FVA327701 GEW327697:GEW327701 GOS327697:GOS327701 GYO327697:GYO327701 HIK327697:HIK327701 HSG327697:HSG327701 ICC327697:ICC327701 ILY327697:ILY327701 IVU327697:IVU327701 JFQ327697:JFQ327701 JPM327697:JPM327701 JZI327697:JZI327701 KJE327697:KJE327701 KTA327697:KTA327701 LCW327697:LCW327701 LMS327697:LMS327701 LWO327697:LWO327701 MGK327697:MGK327701 MQG327697:MQG327701 NAC327697:NAC327701 NJY327697:NJY327701 NTU327697:NTU327701 ODQ327697:ODQ327701 ONM327697:ONM327701 OXI327697:OXI327701 PHE327697:PHE327701 PRA327697:PRA327701 QAW327697:QAW327701 QKS327697:QKS327701 QUO327697:QUO327701 REK327697:REK327701 ROG327697:ROG327701 RYC327697:RYC327701 SHY327697:SHY327701 SRU327697:SRU327701 TBQ327697:TBQ327701 TLM327697:TLM327701 TVI327697:TVI327701 UFE327697:UFE327701 UPA327697:UPA327701 UYW327697:UYW327701 VIS327697:VIS327701 VSO327697:VSO327701 WCK327697:WCK327701 WMG327697:WMG327701 WWC327697:WWC327701 U393233:U393237 JQ393233:JQ393237 TM393233:TM393237 ADI393233:ADI393237 ANE393233:ANE393237 AXA393233:AXA393237 BGW393233:BGW393237 BQS393233:BQS393237 CAO393233:CAO393237 CKK393233:CKK393237 CUG393233:CUG393237 DEC393233:DEC393237 DNY393233:DNY393237 DXU393233:DXU393237 EHQ393233:EHQ393237 ERM393233:ERM393237 FBI393233:FBI393237 FLE393233:FLE393237 FVA393233:FVA393237 GEW393233:GEW393237 GOS393233:GOS393237 GYO393233:GYO393237 HIK393233:HIK393237 HSG393233:HSG393237 ICC393233:ICC393237 ILY393233:ILY393237 IVU393233:IVU393237 JFQ393233:JFQ393237 JPM393233:JPM393237 JZI393233:JZI393237 KJE393233:KJE393237 KTA393233:KTA393237 LCW393233:LCW393237 LMS393233:LMS393237 LWO393233:LWO393237 MGK393233:MGK393237 MQG393233:MQG393237 NAC393233:NAC393237 NJY393233:NJY393237 NTU393233:NTU393237 ODQ393233:ODQ393237 ONM393233:ONM393237 OXI393233:OXI393237 PHE393233:PHE393237 PRA393233:PRA393237 QAW393233:QAW393237 QKS393233:QKS393237 QUO393233:QUO393237 REK393233:REK393237 ROG393233:ROG393237 RYC393233:RYC393237 SHY393233:SHY393237 SRU393233:SRU393237 TBQ393233:TBQ393237 TLM393233:TLM393237 TVI393233:TVI393237 UFE393233:UFE393237 UPA393233:UPA393237 UYW393233:UYW393237 VIS393233:VIS393237 VSO393233:VSO393237 WCK393233:WCK393237 WMG393233:WMG393237 WWC393233:WWC393237 U458769:U458773 JQ458769:JQ458773 TM458769:TM458773 ADI458769:ADI458773 ANE458769:ANE458773 AXA458769:AXA458773 BGW458769:BGW458773 BQS458769:BQS458773 CAO458769:CAO458773 CKK458769:CKK458773 CUG458769:CUG458773 DEC458769:DEC458773 DNY458769:DNY458773 DXU458769:DXU458773 EHQ458769:EHQ458773 ERM458769:ERM458773 FBI458769:FBI458773 FLE458769:FLE458773 FVA458769:FVA458773 GEW458769:GEW458773 GOS458769:GOS458773 GYO458769:GYO458773 HIK458769:HIK458773 HSG458769:HSG458773 ICC458769:ICC458773 ILY458769:ILY458773 IVU458769:IVU458773 JFQ458769:JFQ458773 JPM458769:JPM458773 JZI458769:JZI458773 KJE458769:KJE458773 KTA458769:KTA458773 LCW458769:LCW458773 LMS458769:LMS458773 LWO458769:LWO458773 MGK458769:MGK458773 MQG458769:MQG458773 NAC458769:NAC458773 NJY458769:NJY458773 NTU458769:NTU458773 ODQ458769:ODQ458773 ONM458769:ONM458773 OXI458769:OXI458773 PHE458769:PHE458773 PRA458769:PRA458773 QAW458769:QAW458773 QKS458769:QKS458773 QUO458769:QUO458773 REK458769:REK458773 ROG458769:ROG458773 RYC458769:RYC458773 SHY458769:SHY458773 SRU458769:SRU458773 TBQ458769:TBQ458773 TLM458769:TLM458773 TVI458769:TVI458773 UFE458769:UFE458773 UPA458769:UPA458773 UYW458769:UYW458773 VIS458769:VIS458773 VSO458769:VSO458773 WCK458769:WCK458773 WMG458769:WMG458773 WWC458769:WWC458773 U524305:U524309 JQ524305:JQ524309 TM524305:TM524309 ADI524305:ADI524309 ANE524305:ANE524309 AXA524305:AXA524309 BGW524305:BGW524309 BQS524305:BQS524309 CAO524305:CAO524309 CKK524305:CKK524309 CUG524305:CUG524309 DEC524305:DEC524309 DNY524305:DNY524309 DXU524305:DXU524309 EHQ524305:EHQ524309 ERM524305:ERM524309 FBI524305:FBI524309 FLE524305:FLE524309 FVA524305:FVA524309 GEW524305:GEW524309 GOS524305:GOS524309 GYO524305:GYO524309 HIK524305:HIK524309 HSG524305:HSG524309 ICC524305:ICC524309 ILY524305:ILY524309 IVU524305:IVU524309 JFQ524305:JFQ524309 JPM524305:JPM524309 JZI524305:JZI524309 KJE524305:KJE524309 KTA524305:KTA524309 LCW524305:LCW524309 LMS524305:LMS524309 LWO524305:LWO524309 MGK524305:MGK524309 MQG524305:MQG524309 NAC524305:NAC524309 NJY524305:NJY524309 NTU524305:NTU524309 ODQ524305:ODQ524309 ONM524305:ONM524309 OXI524305:OXI524309 PHE524305:PHE524309 PRA524305:PRA524309 QAW524305:QAW524309 QKS524305:QKS524309 QUO524305:QUO524309 REK524305:REK524309 ROG524305:ROG524309 RYC524305:RYC524309 SHY524305:SHY524309 SRU524305:SRU524309 TBQ524305:TBQ524309 TLM524305:TLM524309 TVI524305:TVI524309 UFE524305:UFE524309 UPA524305:UPA524309 UYW524305:UYW524309 VIS524305:VIS524309 VSO524305:VSO524309 WCK524305:WCK524309 WMG524305:WMG524309 WWC524305:WWC524309 U589841:U589845 JQ589841:JQ589845 TM589841:TM589845 ADI589841:ADI589845 ANE589841:ANE589845 AXA589841:AXA589845 BGW589841:BGW589845 BQS589841:BQS589845 CAO589841:CAO589845 CKK589841:CKK589845 CUG589841:CUG589845 DEC589841:DEC589845 DNY589841:DNY589845 DXU589841:DXU589845 EHQ589841:EHQ589845 ERM589841:ERM589845 FBI589841:FBI589845 FLE589841:FLE589845 FVA589841:FVA589845 GEW589841:GEW589845 GOS589841:GOS589845 GYO589841:GYO589845 HIK589841:HIK589845 HSG589841:HSG589845 ICC589841:ICC589845 ILY589841:ILY589845 IVU589841:IVU589845 JFQ589841:JFQ589845 JPM589841:JPM589845 JZI589841:JZI589845 KJE589841:KJE589845 KTA589841:KTA589845 LCW589841:LCW589845 LMS589841:LMS589845 LWO589841:LWO589845 MGK589841:MGK589845 MQG589841:MQG589845 NAC589841:NAC589845 NJY589841:NJY589845 NTU589841:NTU589845 ODQ589841:ODQ589845 ONM589841:ONM589845 OXI589841:OXI589845 PHE589841:PHE589845 PRA589841:PRA589845 QAW589841:QAW589845 QKS589841:QKS589845 QUO589841:QUO589845 REK589841:REK589845 ROG589841:ROG589845 RYC589841:RYC589845 SHY589841:SHY589845 SRU589841:SRU589845 TBQ589841:TBQ589845 TLM589841:TLM589845 TVI589841:TVI589845 UFE589841:UFE589845 UPA589841:UPA589845 UYW589841:UYW589845 VIS589841:VIS589845 VSO589841:VSO589845 WCK589841:WCK589845 WMG589841:WMG589845 WWC589841:WWC589845 U655377:U655381 JQ655377:JQ655381 TM655377:TM655381 ADI655377:ADI655381 ANE655377:ANE655381 AXA655377:AXA655381 BGW655377:BGW655381 BQS655377:BQS655381 CAO655377:CAO655381 CKK655377:CKK655381 CUG655377:CUG655381 DEC655377:DEC655381 DNY655377:DNY655381 DXU655377:DXU655381 EHQ655377:EHQ655381 ERM655377:ERM655381 FBI655377:FBI655381 FLE655377:FLE655381 FVA655377:FVA655381 GEW655377:GEW655381 GOS655377:GOS655381 GYO655377:GYO655381 HIK655377:HIK655381 HSG655377:HSG655381 ICC655377:ICC655381 ILY655377:ILY655381 IVU655377:IVU655381 JFQ655377:JFQ655381 JPM655377:JPM655381 JZI655377:JZI655381 KJE655377:KJE655381 KTA655377:KTA655381 LCW655377:LCW655381 LMS655377:LMS655381 LWO655377:LWO655381 MGK655377:MGK655381 MQG655377:MQG655381 NAC655377:NAC655381 NJY655377:NJY655381 NTU655377:NTU655381 ODQ655377:ODQ655381 ONM655377:ONM655381 OXI655377:OXI655381 PHE655377:PHE655381 PRA655377:PRA655381 QAW655377:QAW655381 QKS655377:QKS655381 QUO655377:QUO655381 REK655377:REK655381 ROG655377:ROG655381 RYC655377:RYC655381 SHY655377:SHY655381 SRU655377:SRU655381 TBQ655377:TBQ655381 TLM655377:TLM655381 TVI655377:TVI655381 UFE655377:UFE655381 UPA655377:UPA655381 UYW655377:UYW655381 VIS655377:VIS655381 VSO655377:VSO655381 WCK655377:WCK655381 WMG655377:WMG655381 WWC655377:WWC655381 U720913:U720917 JQ720913:JQ720917 TM720913:TM720917 ADI720913:ADI720917 ANE720913:ANE720917 AXA720913:AXA720917 BGW720913:BGW720917 BQS720913:BQS720917 CAO720913:CAO720917 CKK720913:CKK720917 CUG720913:CUG720917 DEC720913:DEC720917 DNY720913:DNY720917 DXU720913:DXU720917 EHQ720913:EHQ720917 ERM720913:ERM720917 FBI720913:FBI720917 FLE720913:FLE720917 FVA720913:FVA720917 GEW720913:GEW720917 GOS720913:GOS720917 GYO720913:GYO720917 HIK720913:HIK720917 HSG720913:HSG720917 ICC720913:ICC720917 ILY720913:ILY720917 IVU720913:IVU720917 JFQ720913:JFQ720917 JPM720913:JPM720917 JZI720913:JZI720917 KJE720913:KJE720917 KTA720913:KTA720917 LCW720913:LCW720917 LMS720913:LMS720917 LWO720913:LWO720917 MGK720913:MGK720917 MQG720913:MQG720917 NAC720913:NAC720917 NJY720913:NJY720917 NTU720913:NTU720917 ODQ720913:ODQ720917 ONM720913:ONM720917 OXI720913:OXI720917 PHE720913:PHE720917 PRA720913:PRA720917 QAW720913:QAW720917 QKS720913:QKS720917 QUO720913:QUO720917 REK720913:REK720917 ROG720913:ROG720917 RYC720913:RYC720917 SHY720913:SHY720917 SRU720913:SRU720917 TBQ720913:TBQ720917 TLM720913:TLM720917 TVI720913:TVI720917 UFE720913:UFE720917 UPA720913:UPA720917 UYW720913:UYW720917 VIS720913:VIS720917 VSO720913:VSO720917 WCK720913:WCK720917 WMG720913:WMG720917 WWC720913:WWC720917 U786449:U786453 JQ786449:JQ786453 TM786449:TM786453 ADI786449:ADI786453 ANE786449:ANE786453 AXA786449:AXA786453 BGW786449:BGW786453 BQS786449:BQS786453 CAO786449:CAO786453 CKK786449:CKK786453 CUG786449:CUG786453 DEC786449:DEC786453 DNY786449:DNY786453 DXU786449:DXU786453 EHQ786449:EHQ786453 ERM786449:ERM786453 FBI786449:FBI786453 FLE786449:FLE786453 FVA786449:FVA786453 GEW786449:GEW786453 GOS786449:GOS786453 GYO786449:GYO786453 HIK786449:HIK786453 HSG786449:HSG786453 ICC786449:ICC786453 ILY786449:ILY786453 IVU786449:IVU786453 JFQ786449:JFQ786453 JPM786449:JPM786453 JZI786449:JZI786453 KJE786449:KJE786453 KTA786449:KTA786453 LCW786449:LCW786453 LMS786449:LMS786453 LWO786449:LWO786453 MGK786449:MGK786453 MQG786449:MQG786453 NAC786449:NAC786453 NJY786449:NJY786453 NTU786449:NTU786453 ODQ786449:ODQ786453 ONM786449:ONM786453 OXI786449:OXI786453 PHE786449:PHE786453 PRA786449:PRA786453 QAW786449:QAW786453 QKS786449:QKS786453 QUO786449:QUO786453 REK786449:REK786453 ROG786449:ROG786453 RYC786449:RYC786453 SHY786449:SHY786453 SRU786449:SRU786453 TBQ786449:TBQ786453 TLM786449:TLM786453 TVI786449:TVI786453 UFE786449:UFE786453 UPA786449:UPA786453 UYW786449:UYW786453 VIS786449:VIS786453 VSO786449:VSO786453 WCK786449:WCK786453 WMG786449:WMG786453 WWC786449:WWC786453 U851985:U851989 JQ851985:JQ851989 TM851985:TM851989 ADI851985:ADI851989 ANE851985:ANE851989 AXA851985:AXA851989 BGW851985:BGW851989 BQS851985:BQS851989 CAO851985:CAO851989 CKK851985:CKK851989 CUG851985:CUG851989 DEC851985:DEC851989 DNY851985:DNY851989 DXU851985:DXU851989 EHQ851985:EHQ851989 ERM851985:ERM851989 FBI851985:FBI851989 FLE851985:FLE851989 FVA851985:FVA851989 GEW851985:GEW851989 GOS851985:GOS851989 GYO851985:GYO851989 HIK851985:HIK851989 HSG851985:HSG851989 ICC851985:ICC851989 ILY851985:ILY851989 IVU851985:IVU851989 JFQ851985:JFQ851989 JPM851985:JPM851989 JZI851985:JZI851989 KJE851985:KJE851989 KTA851985:KTA851989 LCW851985:LCW851989 LMS851985:LMS851989 LWO851985:LWO851989 MGK851985:MGK851989 MQG851985:MQG851989 NAC851985:NAC851989 NJY851985:NJY851989 NTU851985:NTU851989 ODQ851985:ODQ851989 ONM851985:ONM851989 OXI851985:OXI851989 PHE851985:PHE851989 PRA851985:PRA851989 QAW851985:QAW851989 QKS851985:QKS851989 QUO851985:QUO851989 REK851985:REK851989 ROG851985:ROG851989 RYC851985:RYC851989 SHY851985:SHY851989 SRU851985:SRU851989 TBQ851985:TBQ851989 TLM851985:TLM851989 TVI851985:TVI851989 UFE851985:UFE851989 UPA851985:UPA851989 UYW851985:UYW851989 VIS851985:VIS851989 VSO851985:VSO851989 WCK851985:WCK851989 WMG851985:WMG851989 WWC851985:WWC851989 U917521:U917525 JQ917521:JQ917525 TM917521:TM917525 ADI917521:ADI917525 ANE917521:ANE917525 AXA917521:AXA917525 BGW917521:BGW917525 BQS917521:BQS917525 CAO917521:CAO917525 CKK917521:CKK917525 CUG917521:CUG917525 DEC917521:DEC917525 DNY917521:DNY917525 DXU917521:DXU917525 EHQ917521:EHQ917525 ERM917521:ERM917525 FBI917521:FBI917525 FLE917521:FLE917525 FVA917521:FVA917525 GEW917521:GEW917525 GOS917521:GOS917525 GYO917521:GYO917525 HIK917521:HIK917525 HSG917521:HSG917525 ICC917521:ICC917525 ILY917521:ILY917525 IVU917521:IVU917525 JFQ917521:JFQ917525 JPM917521:JPM917525 JZI917521:JZI917525 KJE917521:KJE917525 KTA917521:KTA917525 LCW917521:LCW917525 LMS917521:LMS917525 LWO917521:LWO917525 MGK917521:MGK917525 MQG917521:MQG917525 NAC917521:NAC917525 NJY917521:NJY917525 NTU917521:NTU917525 ODQ917521:ODQ917525 ONM917521:ONM917525 OXI917521:OXI917525 PHE917521:PHE917525 PRA917521:PRA917525 QAW917521:QAW917525 QKS917521:QKS917525 QUO917521:QUO917525 REK917521:REK917525 ROG917521:ROG917525 RYC917521:RYC917525 SHY917521:SHY917525 SRU917521:SRU917525 TBQ917521:TBQ917525 TLM917521:TLM917525 TVI917521:TVI917525 UFE917521:UFE917525 UPA917521:UPA917525 UYW917521:UYW917525 VIS917521:VIS917525 VSO917521:VSO917525 WCK917521:WCK917525 WMG917521:WMG917525 WWC917521:WWC917525 U983057:U983061 JQ983057:JQ983061 TM983057:TM983061 ADI983057:ADI983061 ANE983057:ANE983061 AXA983057:AXA983061 BGW983057:BGW983061 BQS983057:BQS983061 CAO983057:CAO983061 CKK983057:CKK983061 CUG983057:CUG983061 DEC983057:DEC983061 DNY983057:DNY983061 DXU983057:DXU983061 EHQ983057:EHQ983061 ERM983057:ERM983061 FBI983057:FBI983061 FLE983057:FLE983061 FVA983057:FVA983061 GEW983057:GEW983061 GOS983057:GOS983061 GYO983057:GYO983061 HIK983057:HIK983061 HSG983057:HSG983061 ICC983057:ICC983061 ILY983057:ILY983061 IVU983057:IVU983061 JFQ983057:JFQ983061 JPM983057:JPM983061 JZI983057:JZI983061 KJE983057:KJE983061 KTA983057:KTA983061 LCW983057:LCW983061 LMS983057:LMS983061 LWO983057:LWO983061 MGK983057:MGK983061 MQG983057:MQG983061 NAC983057:NAC983061 NJY983057:NJY983061 NTU983057:NTU983061 ODQ983057:ODQ983061 ONM983057:ONM983061 OXI983057:OXI983061 PHE983057:PHE983061 PRA983057:PRA983061 QAW983057:QAW983061 QKS983057:QKS983061 QUO983057:QUO983061 REK983057:REK983061 ROG983057:ROG983061 RYC983057:RYC983061 SHY983057:SHY983061 SRU983057:SRU983061 TBQ983057:TBQ983061 TLM983057:TLM983061 TVI983057:TVI983061 UFE983057:UFE983061 UPA983057:UPA983061 UYW983057:UYW983061 VIS983057:VIS983061 VSO983057:VSO983061 WCK983057:WCK983061 WMG983057:WMG983061 WWC983057:WWC983061 U14 JQ14 TM14 ADI14 ANE14 AXA14 BGW14 BQS14 CAO14 CKK14 CUG14 DEC14 DNY14 DXU14 EHQ14 ERM14 FBI14 FLE14 FVA14 GEW14 GOS14 GYO14 HIK14 HSG14 ICC14 ILY14 IVU14 JFQ14 JPM14 JZI14 KJE14 KTA14 LCW14 LMS14 LWO14 MGK14 MQG14 NAC14 NJY14 NTU14 ODQ14 ONM14 OXI14 PHE14 PRA14 QAW14 QKS14 QUO14 REK14 ROG14 RYC14 SHY14 SRU14 TBQ14 TLM14 TVI14 UFE14 UPA14 UYW14 VIS14 VSO14 WCK14 WMG14 WWC14 U65550 JQ65550 TM65550 ADI65550 ANE65550 AXA65550 BGW65550 BQS65550 CAO65550 CKK65550 CUG65550 DEC65550 DNY65550 DXU65550 EHQ65550 ERM65550 FBI65550 FLE65550 FVA65550 GEW65550 GOS65550 GYO65550 HIK65550 HSG65550 ICC65550 ILY65550 IVU65550 JFQ65550 JPM65550 JZI65550 KJE65550 KTA65550 LCW65550 LMS65550 LWO65550 MGK65550 MQG65550 NAC65550 NJY65550 NTU65550 ODQ65550 ONM65550 OXI65550 PHE65550 PRA65550 QAW65550 QKS65550 QUO65550 REK65550 ROG65550 RYC65550 SHY65550 SRU65550 TBQ65550 TLM65550 TVI65550 UFE65550 UPA65550 UYW65550 VIS65550 VSO65550 WCK65550 WMG65550 WWC65550 U131086 JQ131086 TM131086 ADI131086 ANE131086 AXA131086 BGW131086 BQS131086 CAO131086 CKK131086 CUG131086 DEC131086 DNY131086 DXU131086 EHQ131086 ERM131086 FBI131086 FLE131086 FVA131086 GEW131086 GOS131086 GYO131086 HIK131086 HSG131086 ICC131086 ILY131086 IVU131086 JFQ131086 JPM131086 JZI131086 KJE131086 KTA131086 LCW131086 LMS131086 LWO131086 MGK131086 MQG131086 NAC131086 NJY131086 NTU131086 ODQ131086 ONM131086 OXI131086 PHE131086 PRA131086 QAW131086 QKS131086 QUO131086 REK131086 ROG131086 RYC131086 SHY131086 SRU131086 TBQ131086 TLM131086 TVI131086 UFE131086 UPA131086 UYW131086 VIS131086 VSO131086 WCK131086 WMG131086 WWC131086 U196622 JQ196622 TM196622 ADI196622 ANE196622 AXA196622 BGW196622 BQS196622 CAO196622 CKK196622 CUG196622 DEC196622 DNY196622 DXU196622 EHQ196622 ERM196622 FBI196622 FLE196622 FVA196622 GEW196622 GOS196622 GYO196622 HIK196622 HSG196622 ICC196622 ILY196622 IVU196622 JFQ196622 JPM196622 JZI196622 KJE196622 KTA196622 LCW196622 LMS196622 LWO196622 MGK196622 MQG196622 NAC196622 NJY196622 NTU196622 ODQ196622 ONM196622 OXI196622 PHE196622 PRA196622 QAW196622 QKS196622 QUO196622 REK196622 ROG196622 RYC196622 SHY196622 SRU196622 TBQ196622 TLM196622 TVI196622 UFE196622 UPA196622 UYW196622 VIS196622 VSO196622 WCK196622 WMG196622 WWC196622 U262158 JQ262158 TM262158 ADI262158 ANE262158 AXA262158 BGW262158 BQS262158 CAO262158 CKK262158 CUG262158 DEC262158 DNY262158 DXU262158 EHQ262158 ERM262158 FBI262158 FLE262158 FVA262158 GEW262158 GOS262158 GYO262158 HIK262158 HSG262158 ICC262158 ILY262158 IVU262158 JFQ262158 JPM262158 JZI262158 KJE262158 KTA262158 LCW262158 LMS262158 LWO262158 MGK262158 MQG262158 NAC262158 NJY262158 NTU262158 ODQ262158 ONM262158 OXI262158 PHE262158 PRA262158 QAW262158 QKS262158 QUO262158 REK262158 ROG262158 RYC262158 SHY262158 SRU262158 TBQ262158 TLM262158 TVI262158 UFE262158 UPA262158 UYW262158 VIS262158 VSO262158 WCK262158 WMG262158 WWC262158 U327694 JQ327694 TM327694 ADI327694 ANE327694 AXA327694 BGW327694 BQS327694 CAO327694 CKK327694 CUG327694 DEC327694 DNY327694 DXU327694 EHQ327694 ERM327694 FBI327694 FLE327694 FVA327694 GEW327694 GOS327694 GYO327694 HIK327694 HSG327694 ICC327694 ILY327694 IVU327694 JFQ327694 JPM327694 JZI327694 KJE327694 KTA327694 LCW327694 LMS327694 LWO327694 MGK327694 MQG327694 NAC327694 NJY327694 NTU327694 ODQ327694 ONM327694 OXI327694 PHE327694 PRA327694 QAW327694 QKS327694 QUO327694 REK327694 ROG327694 RYC327694 SHY327694 SRU327694 TBQ327694 TLM327694 TVI327694 UFE327694 UPA327694 UYW327694 VIS327694 VSO327694 WCK327694 WMG327694 WWC327694 U393230 JQ393230 TM393230 ADI393230 ANE393230 AXA393230 BGW393230 BQS393230 CAO393230 CKK393230 CUG393230 DEC393230 DNY393230 DXU393230 EHQ393230 ERM393230 FBI393230 FLE393230 FVA393230 GEW393230 GOS393230 GYO393230 HIK393230 HSG393230 ICC393230 ILY393230 IVU393230 JFQ393230 JPM393230 JZI393230 KJE393230 KTA393230 LCW393230 LMS393230 LWO393230 MGK393230 MQG393230 NAC393230 NJY393230 NTU393230 ODQ393230 ONM393230 OXI393230 PHE393230 PRA393230 QAW393230 QKS393230 QUO393230 REK393230 ROG393230 RYC393230 SHY393230 SRU393230 TBQ393230 TLM393230 TVI393230 UFE393230 UPA393230 UYW393230 VIS393230 VSO393230 WCK393230 WMG393230 WWC393230 U458766 JQ458766 TM458766 ADI458766 ANE458766 AXA458766 BGW458766 BQS458766 CAO458766 CKK458766 CUG458766 DEC458766 DNY458766 DXU458766 EHQ458766 ERM458766 FBI458766 FLE458766 FVA458766 GEW458766 GOS458766 GYO458766 HIK458766 HSG458766 ICC458766 ILY458766 IVU458766 JFQ458766 JPM458766 JZI458766 KJE458766 KTA458766 LCW458766 LMS458766 LWO458766 MGK458766 MQG458766 NAC458766 NJY458766 NTU458766 ODQ458766 ONM458766 OXI458766 PHE458766 PRA458766 QAW458766 QKS458766 QUO458766 REK458766 ROG458766 RYC458766 SHY458766 SRU458766 TBQ458766 TLM458766 TVI458766 UFE458766 UPA458766 UYW458766 VIS458766 VSO458766 WCK458766 WMG458766 WWC458766 U524302 JQ524302 TM524302 ADI524302 ANE524302 AXA524302 BGW524302 BQS524302 CAO524302 CKK524302 CUG524302 DEC524302 DNY524302 DXU524302 EHQ524302 ERM524302 FBI524302 FLE524302 FVA524302 GEW524302 GOS524302 GYO524302 HIK524302 HSG524302 ICC524302 ILY524302 IVU524302 JFQ524302 JPM524302 JZI524302 KJE524302 KTA524302 LCW524302 LMS524302 LWO524302 MGK524302 MQG524302 NAC524302 NJY524302 NTU524302 ODQ524302 ONM524302 OXI524302 PHE524302 PRA524302 QAW524302 QKS524302 QUO524302 REK524302 ROG524302 RYC524302 SHY524302 SRU524302 TBQ524302 TLM524302 TVI524302 UFE524302 UPA524302 UYW524302 VIS524302 VSO524302 WCK524302 WMG524302 WWC524302 U589838 JQ589838 TM589838 ADI589838 ANE589838 AXA589838 BGW589838 BQS589838 CAO589838 CKK589838 CUG589838 DEC589838 DNY589838 DXU589838 EHQ589838 ERM589838 FBI589838 FLE589838 FVA589838 GEW589838 GOS589838 GYO589838 HIK589838 HSG589838 ICC589838 ILY589838 IVU589838 JFQ589838 JPM589838 JZI589838 KJE589838 KTA589838 LCW589838 LMS589838 LWO589838 MGK589838 MQG589838 NAC589838 NJY589838 NTU589838 ODQ589838 ONM589838 OXI589838 PHE589838 PRA589838 QAW589838 QKS589838 QUO589838 REK589838 ROG589838 RYC589838 SHY589838 SRU589838 TBQ589838 TLM589838 TVI589838 UFE589838 UPA589838 UYW589838 VIS589838 VSO589838 WCK589838 WMG589838 WWC589838 U655374 JQ655374 TM655374 ADI655374 ANE655374 AXA655374 BGW655374 BQS655374 CAO655374 CKK655374 CUG655374 DEC655374 DNY655374 DXU655374 EHQ655374 ERM655374 FBI655374 FLE655374 FVA655374 GEW655374 GOS655374 GYO655374 HIK655374 HSG655374 ICC655374 ILY655374 IVU655374 JFQ655374 JPM655374 JZI655374 KJE655374 KTA655374 LCW655374 LMS655374 LWO655374 MGK655374 MQG655374 NAC655374 NJY655374 NTU655374 ODQ655374 ONM655374 OXI655374 PHE655374 PRA655374 QAW655374 QKS655374 QUO655374 REK655374 ROG655374 RYC655374 SHY655374 SRU655374 TBQ655374 TLM655374 TVI655374 UFE655374 UPA655374 UYW655374 VIS655374 VSO655374 WCK655374 WMG655374 WWC655374 U720910 JQ720910 TM720910 ADI720910 ANE720910 AXA720910 BGW720910 BQS720910 CAO720910 CKK720910 CUG720910 DEC720910 DNY720910 DXU720910 EHQ720910 ERM720910 FBI720910 FLE720910 FVA720910 GEW720910 GOS720910 GYO720910 HIK720910 HSG720910 ICC720910 ILY720910 IVU720910 JFQ720910 JPM720910 JZI720910 KJE720910 KTA720910 LCW720910 LMS720910 LWO720910 MGK720910 MQG720910 NAC720910 NJY720910 NTU720910 ODQ720910 ONM720910 OXI720910 PHE720910 PRA720910 QAW720910 QKS720910 QUO720910 REK720910 ROG720910 RYC720910 SHY720910 SRU720910 TBQ720910 TLM720910 TVI720910 UFE720910 UPA720910 UYW720910 VIS720910 VSO720910 WCK720910 WMG720910 WWC720910 U786446 JQ786446 TM786446 ADI786446 ANE786446 AXA786446 BGW786446 BQS786446 CAO786446 CKK786446 CUG786446 DEC786446 DNY786446 DXU786446 EHQ786446 ERM786446 FBI786446 FLE786446 FVA786446 GEW786446 GOS786446 GYO786446 HIK786446 HSG786446 ICC786446 ILY786446 IVU786446 JFQ786446 JPM786446 JZI786446 KJE786446 KTA786446 LCW786446 LMS786446 LWO786446 MGK786446 MQG786446 NAC786446 NJY786446 NTU786446 ODQ786446 ONM786446 OXI786446 PHE786446 PRA786446 QAW786446 QKS786446 QUO786446 REK786446 ROG786446 RYC786446 SHY786446 SRU786446 TBQ786446 TLM786446 TVI786446 UFE786446 UPA786446 UYW786446 VIS786446 VSO786446 WCK786446 WMG786446 WWC786446 U851982 JQ851982 TM851982 ADI851982 ANE851982 AXA851982 BGW851982 BQS851982 CAO851982 CKK851982 CUG851982 DEC851982 DNY851982 DXU851982 EHQ851982 ERM851982 FBI851982 FLE851982 FVA851982 GEW851982 GOS851982 GYO851982 HIK851982 HSG851982 ICC851982 ILY851982 IVU851982 JFQ851982 JPM851982 JZI851982 KJE851982 KTA851982 LCW851982 LMS851982 LWO851982 MGK851982 MQG851982 NAC851982 NJY851982 NTU851982 ODQ851982 ONM851982 OXI851982 PHE851982 PRA851982 QAW851982 QKS851982 QUO851982 REK851982 ROG851982 RYC851982 SHY851982 SRU851982 TBQ851982 TLM851982 TVI851982 UFE851982 UPA851982 UYW851982 VIS851982 VSO851982 WCK851982 WMG851982 WWC851982 U917518 JQ917518 TM917518 ADI917518 ANE917518 AXA917518 BGW917518 BQS917518 CAO917518 CKK917518 CUG917518 DEC917518 DNY917518 DXU917518 EHQ917518 ERM917518 FBI917518 FLE917518 FVA917518 GEW917518 GOS917518 GYO917518 HIK917518 HSG917518 ICC917518 ILY917518 IVU917518 JFQ917518 JPM917518 JZI917518 KJE917518 KTA917518 LCW917518 LMS917518 LWO917518 MGK917518 MQG917518 NAC917518 NJY917518 NTU917518 ODQ917518 ONM917518 OXI917518 PHE917518 PRA917518 QAW917518 QKS917518 QUO917518 REK917518 ROG917518 RYC917518 SHY917518 SRU917518 TBQ917518 TLM917518 TVI917518 UFE917518 UPA917518 UYW917518 VIS917518 VSO917518 WCK917518 WMG917518 WWC917518 U983054 JQ983054 TM983054 ADI983054 ANE983054 AXA983054 BGW983054 BQS983054 CAO983054 CKK983054 CUG983054 DEC983054 DNY983054 DXU983054 EHQ983054 ERM983054 FBI983054 FLE983054 FVA983054 GEW983054 GOS983054 GYO983054 HIK983054 HSG983054 ICC983054 ILY983054 IVU983054 JFQ983054 JPM983054 JZI983054 KJE983054 KTA983054 LCW983054 LMS983054 LWO983054 MGK983054 MQG983054 NAC983054 NJY983054 NTU983054 ODQ983054 ONM983054 OXI983054 PHE983054 PRA983054 QAW983054 QKS983054 QUO983054 REK983054 ROG983054 RYC983054 SHY983054 SRU983054 TBQ983054 TLM983054 TVI983054 UFE983054 UPA983054 UYW983054 VIS983054 VSO983054 WCK983054 WMG983054 WWC983054 AA35:AA39 JW35:JW39 TS35:TS39 ADO35:ADO39 ANK35:ANK39 AXG35:AXG39 BHC35:BHC39 BQY35:BQY39 CAU35:CAU39 CKQ35:CKQ39 CUM35:CUM39 DEI35:DEI39 DOE35:DOE39 DYA35:DYA39 EHW35:EHW39 ERS35:ERS39 FBO35:FBO39 FLK35:FLK39 FVG35:FVG39 GFC35:GFC39 GOY35:GOY39 GYU35:GYU39 HIQ35:HIQ39 HSM35:HSM39 ICI35:ICI39 IME35:IME39 IWA35:IWA39 JFW35:JFW39 JPS35:JPS39 JZO35:JZO39 KJK35:KJK39 KTG35:KTG39 LDC35:LDC39 LMY35:LMY39 LWU35:LWU39 MGQ35:MGQ39 MQM35:MQM39 NAI35:NAI39 NKE35:NKE39 NUA35:NUA39 ODW35:ODW39 ONS35:ONS39 OXO35:OXO39 PHK35:PHK39 PRG35:PRG39 QBC35:QBC39 QKY35:QKY39 QUU35:QUU39 REQ35:REQ39 ROM35:ROM39 RYI35:RYI39 SIE35:SIE39 SSA35:SSA39 TBW35:TBW39 TLS35:TLS39 TVO35:TVO39 UFK35:UFK39 UPG35:UPG39 UZC35:UZC39 VIY35:VIY39 VSU35:VSU39 WCQ35:WCQ39 WMM35:WMM39 WWI35:WWI39 AA65571:AA65575 JW65571:JW65575 TS65571:TS65575 ADO65571:ADO65575 ANK65571:ANK65575 AXG65571:AXG65575 BHC65571:BHC65575 BQY65571:BQY65575 CAU65571:CAU65575 CKQ65571:CKQ65575 CUM65571:CUM65575 DEI65571:DEI65575 DOE65571:DOE65575 DYA65571:DYA65575 EHW65571:EHW65575 ERS65571:ERS65575 FBO65571:FBO65575 FLK65571:FLK65575 FVG65571:FVG65575 GFC65571:GFC65575 GOY65571:GOY65575 GYU65571:GYU65575 HIQ65571:HIQ65575 HSM65571:HSM65575 ICI65571:ICI65575 IME65571:IME65575 IWA65571:IWA65575 JFW65571:JFW65575 JPS65571:JPS65575 JZO65571:JZO65575 KJK65571:KJK65575 KTG65571:KTG65575 LDC65571:LDC65575 LMY65571:LMY65575 LWU65571:LWU65575 MGQ65571:MGQ65575 MQM65571:MQM65575 NAI65571:NAI65575 NKE65571:NKE65575 NUA65571:NUA65575 ODW65571:ODW65575 ONS65571:ONS65575 OXO65571:OXO65575 PHK65571:PHK65575 PRG65571:PRG65575 QBC65571:QBC65575 QKY65571:QKY65575 QUU65571:QUU65575 REQ65571:REQ65575 ROM65571:ROM65575 RYI65571:RYI65575 SIE65571:SIE65575 SSA65571:SSA65575 TBW65571:TBW65575 TLS65571:TLS65575 TVO65571:TVO65575 UFK65571:UFK65575 UPG65571:UPG65575 UZC65571:UZC65575 VIY65571:VIY65575 VSU65571:VSU65575 WCQ65571:WCQ65575 WMM65571:WMM65575 WWI65571:WWI65575 AA131107:AA131111 JW131107:JW131111 TS131107:TS131111 ADO131107:ADO131111 ANK131107:ANK131111 AXG131107:AXG131111 BHC131107:BHC131111 BQY131107:BQY131111 CAU131107:CAU131111 CKQ131107:CKQ131111 CUM131107:CUM131111 DEI131107:DEI131111 DOE131107:DOE131111 DYA131107:DYA131111 EHW131107:EHW131111 ERS131107:ERS131111 FBO131107:FBO131111 FLK131107:FLK131111 FVG131107:FVG131111 GFC131107:GFC131111 GOY131107:GOY131111 GYU131107:GYU131111 HIQ131107:HIQ131111 HSM131107:HSM131111 ICI131107:ICI131111 IME131107:IME131111 IWA131107:IWA131111 JFW131107:JFW131111 JPS131107:JPS131111 JZO131107:JZO131111 KJK131107:KJK131111 KTG131107:KTG131111 LDC131107:LDC131111 LMY131107:LMY131111 LWU131107:LWU131111 MGQ131107:MGQ131111 MQM131107:MQM131111 NAI131107:NAI131111 NKE131107:NKE131111 NUA131107:NUA131111 ODW131107:ODW131111 ONS131107:ONS131111 OXO131107:OXO131111 PHK131107:PHK131111 PRG131107:PRG131111 QBC131107:QBC131111 QKY131107:QKY131111 QUU131107:QUU131111 REQ131107:REQ131111 ROM131107:ROM131111 RYI131107:RYI131111 SIE131107:SIE131111 SSA131107:SSA131111 TBW131107:TBW131111 TLS131107:TLS131111 TVO131107:TVO131111 UFK131107:UFK131111 UPG131107:UPG131111 UZC131107:UZC131111 VIY131107:VIY131111 VSU131107:VSU131111 WCQ131107:WCQ131111 WMM131107:WMM131111 WWI131107:WWI131111 AA196643:AA196647 JW196643:JW196647 TS196643:TS196647 ADO196643:ADO196647 ANK196643:ANK196647 AXG196643:AXG196647 BHC196643:BHC196647 BQY196643:BQY196647 CAU196643:CAU196647 CKQ196643:CKQ196647 CUM196643:CUM196647 DEI196643:DEI196647 DOE196643:DOE196647 DYA196643:DYA196647 EHW196643:EHW196647 ERS196643:ERS196647 FBO196643:FBO196647 FLK196643:FLK196647 FVG196643:FVG196647 GFC196643:GFC196647 GOY196643:GOY196647 GYU196643:GYU196647 HIQ196643:HIQ196647 HSM196643:HSM196647 ICI196643:ICI196647 IME196643:IME196647 IWA196643:IWA196647 JFW196643:JFW196647 JPS196643:JPS196647 JZO196643:JZO196647 KJK196643:KJK196647 KTG196643:KTG196647 LDC196643:LDC196647 LMY196643:LMY196647 LWU196643:LWU196647 MGQ196643:MGQ196647 MQM196643:MQM196647 NAI196643:NAI196647 NKE196643:NKE196647 NUA196643:NUA196647 ODW196643:ODW196647 ONS196643:ONS196647 OXO196643:OXO196647 PHK196643:PHK196647 PRG196643:PRG196647 QBC196643:QBC196647 QKY196643:QKY196647 QUU196643:QUU196647 REQ196643:REQ196647 ROM196643:ROM196647 RYI196643:RYI196647 SIE196643:SIE196647 SSA196643:SSA196647 TBW196643:TBW196647 TLS196643:TLS196647 TVO196643:TVO196647 UFK196643:UFK196647 UPG196643:UPG196647 UZC196643:UZC196647 VIY196643:VIY196647 VSU196643:VSU196647 WCQ196643:WCQ196647 WMM196643:WMM196647 WWI196643:WWI196647 AA262179:AA262183 JW262179:JW262183 TS262179:TS262183 ADO262179:ADO262183 ANK262179:ANK262183 AXG262179:AXG262183 BHC262179:BHC262183 BQY262179:BQY262183 CAU262179:CAU262183 CKQ262179:CKQ262183 CUM262179:CUM262183 DEI262179:DEI262183 DOE262179:DOE262183 DYA262179:DYA262183 EHW262179:EHW262183 ERS262179:ERS262183 FBO262179:FBO262183 FLK262179:FLK262183 FVG262179:FVG262183 GFC262179:GFC262183 GOY262179:GOY262183 GYU262179:GYU262183 HIQ262179:HIQ262183 HSM262179:HSM262183 ICI262179:ICI262183 IME262179:IME262183 IWA262179:IWA262183 JFW262179:JFW262183 JPS262179:JPS262183 JZO262179:JZO262183 KJK262179:KJK262183 KTG262179:KTG262183 LDC262179:LDC262183 LMY262179:LMY262183 LWU262179:LWU262183 MGQ262179:MGQ262183 MQM262179:MQM262183 NAI262179:NAI262183 NKE262179:NKE262183 NUA262179:NUA262183 ODW262179:ODW262183 ONS262179:ONS262183 OXO262179:OXO262183 PHK262179:PHK262183 PRG262179:PRG262183 QBC262179:QBC262183 QKY262179:QKY262183 QUU262179:QUU262183 REQ262179:REQ262183 ROM262179:ROM262183 RYI262179:RYI262183 SIE262179:SIE262183 SSA262179:SSA262183 TBW262179:TBW262183 TLS262179:TLS262183 TVO262179:TVO262183 UFK262179:UFK262183 UPG262179:UPG262183 UZC262179:UZC262183 VIY262179:VIY262183 VSU262179:VSU262183 WCQ262179:WCQ262183 WMM262179:WMM262183 WWI262179:WWI262183 AA327715:AA327719 JW327715:JW327719 TS327715:TS327719 ADO327715:ADO327719 ANK327715:ANK327719 AXG327715:AXG327719 BHC327715:BHC327719 BQY327715:BQY327719 CAU327715:CAU327719 CKQ327715:CKQ327719 CUM327715:CUM327719 DEI327715:DEI327719 DOE327715:DOE327719 DYA327715:DYA327719 EHW327715:EHW327719 ERS327715:ERS327719 FBO327715:FBO327719 FLK327715:FLK327719 FVG327715:FVG327719 GFC327715:GFC327719 GOY327715:GOY327719 GYU327715:GYU327719 HIQ327715:HIQ327719 HSM327715:HSM327719 ICI327715:ICI327719 IME327715:IME327719 IWA327715:IWA327719 JFW327715:JFW327719 JPS327715:JPS327719 JZO327715:JZO327719 KJK327715:KJK327719 KTG327715:KTG327719 LDC327715:LDC327719 LMY327715:LMY327719 LWU327715:LWU327719 MGQ327715:MGQ327719 MQM327715:MQM327719 NAI327715:NAI327719 NKE327715:NKE327719 NUA327715:NUA327719 ODW327715:ODW327719 ONS327715:ONS327719 OXO327715:OXO327719 PHK327715:PHK327719 PRG327715:PRG327719 QBC327715:QBC327719 QKY327715:QKY327719 QUU327715:QUU327719 REQ327715:REQ327719 ROM327715:ROM327719 RYI327715:RYI327719 SIE327715:SIE327719 SSA327715:SSA327719 TBW327715:TBW327719 TLS327715:TLS327719 TVO327715:TVO327719 UFK327715:UFK327719 UPG327715:UPG327719 UZC327715:UZC327719 VIY327715:VIY327719 VSU327715:VSU327719 WCQ327715:WCQ327719 WMM327715:WMM327719 WWI327715:WWI327719 AA393251:AA393255 JW393251:JW393255 TS393251:TS393255 ADO393251:ADO393255 ANK393251:ANK393255 AXG393251:AXG393255 BHC393251:BHC393255 BQY393251:BQY393255 CAU393251:CAU393255 CKQ393251:CKQ393255 CUM393251:CUM393255 DEI393251:DEI393255 DOE393251:DOE393255 DYA393251:DYA393255 EHW393251:EHW393255 ERS393251:ERS393255 FBO393251:FBO393255 FLK393251:FLK393255 FVG393251:FVG393255 GFC393251:GFC393255 GOY393251:GOY393255 GYU393251:GYU393255 HIQ393251:HIQ393255 HSM393251:HSM393255 ICI393251:ICI393255 IME393251:IME393255 IWA393251:IWA393255 JFW393251:JFW393255 JPS393251:JPS393255 JZO393251:JZO393255 KJK393251:KJK393255 KTG393251:KTG393255 LDC393251:LDC393255 LMY393251:LMY393255 LWU393251:LWU393255 MGQ393251:MGQ393255 MQM393251:MQM393255 NAI393251:NAI393255 NKE393251:NKE393255 NUA393251:NUA393255 ODW393251:ODW393255 ONS393251:ONS393255 OXO393251:OXO393255 PHK393251:PHK393255 PRG393251:PRG393255 QBC393251:QBC393255 QKY393251:QKY393255 QUU393251:QUU393255 REQ393251:REQ393255 ROM393251:ROM393255 RYI393251:RYI393255 SIE393251:SIE393255 SSA393251:SSA393255 TBW393251:TBW393255 TLS393251:TLS393255 TVO393251:TVO393255 UFK393251:UFK393255 UPG393251:UPG393255 UZC393251:UZC393255 VIY393251:VIY393255 VSU393251:VSU393255 WCQ393251:WCQ393255 WMM393251:WMM393255 WWI393251:WWI393255 AA458787:AA458791 JW458787:JW458791 TS458787:TS458791 ADO458787:ADO458791 ANK458787:ANK458791 AXG458787:AXG458791 BHC458787:BHC458791 BQY458787:BQY458791 CAU458787:CAU458791 CKQ458787:CKQ458791 CUM458787:CUM458791 DEI458787:DEI458791 DOE458787:DOE458791 DYA458787:DYA458791 EHW458787:EHW458791 ERS458787:ERS458791 FBO458787:FBO458791 FLK458787:FLK458791 FVG458787:FVG458791 GFC458787:GFC458791 GOY458787:GOY458791 GYU458787:GYU458791 HIQ458787:HIQ458791 HSM458787:HSM458791 ICI458787:ICI458791 IME458787:IME458791 IWA458787:IWA458791 JFW458787:JFW458791 JPS458787:JPS458791 JZO458787:JZO458791 KJK458787:KJK458791 KTG458787:KTG458791 LDC458787:LDC458791 LMY458787:LMY458791 LWU458787:LWU458791 MGQ458787:MGQ458791 MQM458787:MQM458791 NAI458787:NAI458791 NKE458787:NKE458791 NUA458787:NUA458791 ODW458787:ODW458791 ONS458787:ONS458791 OXO458787:OXO458791 PHK458787:PHK458791 PRG458787:PRG458791 QBC458787:QBC458791 QKY458787:QKY458791 QUU458787:QUU458791 REQ458787:REQ458791 ROM458787:ROM458791 RYI458787:RYI458791 SIE458787:SIE458791 SSA458787:SSA458791 TBW458787:TBW458791 TLS458787:TLS458791 TVO458787:TVO458791 UFK458787:UFK458791 UPG458787:UPG458791 UZC458787:UZC458791 VIY458787:VIY458791 VSU458787:VSU458791 WCQ458787:WCQ458791 WMM458787:WMM458791 WWI458787:WWI458791 AA524323:AA524327 JW524323:JW524327 TS524323:TS524327 ADO524323:ADO524327 ANK524323:ANK524327 AXG524323:AXG524327 BHC524323:BHC524327 BQY524323:BQY524327 CAU524323:CAU524327 CKQ524323:CKQ524327 CUM524323:CUM524327 DEI524323:DEI524327 DOE524323:DOE524327 DYA524323:DYA524327 EHW524323:EHW524327 ERS524323:ERS524327 FBO524323:FBO524327 FLK524323:FLK524327 FVG524323:FVG524327 GFC524323:GFC524327 GOY524323:GOY524327 GYU524323:GYU524327 HIQ524323:HIQ524327 HSM524323:HSM524327 ICI524323:ICI524327 IME524323:IME524327 IWA524323:IWA524327 JFW524323:JFW524327 JPS524323:JPS524327 JZO524323:JZO524327 KJK524323:KJK524327 KTG524323:KTG524327 LDC524323:LDC524327 LMY524323:LMY524327 LWU524323:LWU524327 MGQ524323:MGQ524327 MQM524323:MQM524327 NAI524323:NAI524327 NKE524323:NKE524327 NUA524323:NUA524327 ODW524323:ODW524327 ONS524323:ONS524327 OXO524323:OXO524327 PHK524323:PHK524327 PRG524323:PRG524327 QBC524323:QBC524327 QKY524323:QKY524327 QUU524323:QUU524327 REQ524323:REQ524327 ROM524323:ROM524327 RYI524323:RYI524327 SIE524323:SIE524327 SSA524323:SSA524327 TBW524323:TBW524327 TLS524323:TLS524327 TVO524323:TVO524327 UFK524323:UFK524327 UPG524323:UPG524327 UZC524323:UZC524327 VIY524323:VIY524327 VSU524323:VSU524327 WCQ524323:WCQ524327 WMM524323:WMM524327 WWI524323:WWI524327 AA589859:AA589863 JW589859:JW589863 TS589859:TS589863 ADO589859:ADO589863 ANK589859:ANK589863 AXG589859:AXG589863 BHC589859:BHC589863 BQY589859:BQY589863 CAU589859:CAU589863 CKQ589859:CKQ589863 CUM589859:CUM589863 DEI589859:DEI589863 DOE589859:DOE589863 DYA589859:DYA589863 EHW589859:EHW589863 ERS589859:ERS589863 FBO589859:FBO589863 FLK589859:FLK589863 FVG589859:FVG589863 GFC589859:GFC589863 GOY589859:GOY589863 GYU589859:GYU589863 HIQ589859:HIQ589863 HSM589859:HSM589863 ICI589859:ICI589863 IME589859:IME589863 IWA589859:IWA589863 JFW589859:JFW589863 JPS589859:JPS589863 JZO589859:JZO589863 KJK589859:KJK589863 KTG589859:KTG589863 LDC589859:LDC589863 LMY589859:LMY589863 LWU589859:LWU589863 MGQ589859:MGQ589863 MQM589859:MQM589863 NAI589859:NAI589863 NKE589859:NKE589863 NUA589859:NUA589863 ODW589859:ODW589863 ONS589859:ONS589863 OXO589859:OXO589863 PHK589859:PHK589863 PRG589859:PRG589863 QBC589859:QBC589863 QKY589859:QKY589863 QUU589859:QUU589863 REQ589859:REQ589863 ROM589859:ROM589863 RYI589859:RYI589863 SIE589859:SIE589863 SSA589859:SSA589863 TBW589859:TBW589863 TLS589859:TLS589863 TVO589859:TVO589863 UFK589859:UFK589863 UPG589859:UPG589863 UZC589859:UZC589863 VIY589859:VIY589863 VSU589859:VSU589863 WCQ589859:WCQ589863 WMM589859:WMM589863 WWI589859:WWI589863 AA655395:AA655399 JW655395:JW655399 TS655395:TS655399 ADO655395:ADO655399 ANK655395:ANK655399 AXG655395:AXG655399 BHC655395:BHC655399 BQY655395:BQY655399 CAU655395:CAU655399 CKQ655395:CKQ655399 CUM655395:CUM655399 DEI655395:DEI655399 DOE655395:DOE655399 DYA655395:DYA655399 EHW655395:EHW655399 ERS655395:ERS655399 FBO655395:FBO655399 FLK655395:FLK655399 FVG655395:FVG655399 GFC655395:GFC655399 GOY655395:GOY655399 GYU655395:GYU655399 HIQ655395:HIQ655399 HSM655395:HSM655399 ICI655395:ICI655399 IME655395:IME655399 IWA655395:IWA655399 JFW655395:JFW655399 JPS655395:JPS655399 JZO655395:JZO655399 KJK655395:KJK655399 KTG655395:KTG655399 LDC655395:LDC655399 LMY655395:LMY655399 LWU655395:LWU655399 MGQ655395:MGQ655399 MQM655395:MQM655399 NAI655395:NAI655399 NKE655395:NKE655399 NUA655395:NUA655399 ODW655395:ODW655399 ONS655395:ONS655399 OXO655395:OXO655399 PHK655395:PHK655399 PRG655395:PRG655399 QBC655395:QBC655399 QKY655395:QKY655399 QUU655395:QUU655399 REQ655395:REQ655399 ROM655395:ROM655399 RYI655395:RYI655399 SIE655395:SIE655399 SSA655395:SSA655399 TBW655395:TBW655399 TLS655395:TLS655399 TVO655395:TVO655399 UFK655395:UFK655399 UPG655395:UPG655399 UZC655395:UZC655399 VIY655395:VIY655399 VSU655395:VSU655399 WCQ655395:WCQ655399 WMM655395:WMM655399 WWI655395:WWI655399 AA720931:AA720935 JW720931:JW720935 TS720931:TS720935 ADO720931:ADO720935 ANK720931:ANK720935 AXG720931:AXG720935 BHC720931:BHC720935 BQY720931:BQY720935 CAU720931:CAU720935 CKQ720931:CKQ720935 CUM720931:CUM720935 DEI720931:DEI720935 DOE720931:DOE720935 DYA720931:DYA720935 EHW720931:EHW720935 ERS720931:ERS720935 FBO720931:FBO720935 FLK720931:FLK720935 FVG720931:FVG720935 GFC720931:GFC720935 GOY720931:GOY720935 GYU720931:GYU720935 HIQ720931:HIQ720935 HSM720931:HSM720935 ICI720931:ICI720935 IME720931:IME720935 IWA720931:IWA720935 JFW720931:JFW720935 JPS720931:JPS720935 JZO720931:JZO720935 KJK720931:KJK720935 KTG720931:KTG720935 LDC720931:LDC720935 LMY720931:LMY720935 LWU720931:LWU720935 MGQ720931:MGQ720935 MQM720931:MQM720935 NAI720931:NAI720935 NKE720931:NKE720935 NUA720931:NUA720935 ODW720931:ODW720935 ONS720931:ONS720935 OXO720931:OXO720935 PHK720931:PHK720935 PRG720931:PRG720935 QBC720931:QBC720935 QKY720931:QKY720935 QUU720931:QUU720935 REQ720931:REQ720935 ROM720931:ROM720935 RYI720931:RYI720935 SIE720931:SIE720935 SSA720931:SSA720935 TBW720931:TBW720935 TLS720931:TLS720935 TVO720931:TVO720935 UFK720931:UFK720935 UPG720931:UPG720935 UZC720931:UZC720935 VIY720931:VIY720935 VSU720931:VSU720935 WCQ720931:WCQ720935 WMM720931:WMM720935 WWI720931:WWI720935 AA786467:AA786471 JW786467:JW786471 TS786467:TS786471 ADO786467:ADO786471 ANK786467:ANK786471 AXG786467:AXG786471 BHC786467:BHC786471 BQY786467:BQY786471 CAU786467:CAU786471 CKQ786467:CKQ786471 CUM786467:CUM786471 DEI786467:DEI786471 DOE786467:DOE786471 DYA786467:DYA786471 EHW786467:EHW786471 ERS786467:ERS786471 FBO786467:FBO786471 FLK786467:FLK786471 FVG786467:FVG786471 GFC786467:GFC786471 GOY786467:GOY786471 GYU786467:GYU786471 HIQ786467:HIQ786471 HSM786467:HSM786471 ICI786467:ICI786471 IME786467:IME786471 IWA786467:IWA786471 JFW786467:JFW786471 JPS786467:JPS786471 JZO786467:JZO786471 KJK786467:KJK786471 KTG786467:KTG786471 LDC786467:LDC786471 LMY786467:LMY786471 LWU786467:LWU786471 MGQ786467:MGQ786471 MQM786467:MQM786471 NAI786467:NAI786471 NKE786467:NKE786471 NUA786467:NUA786471 ODW786467:ODW786471 ONS786467:ONS786471 OXO786467:OXO786471 PHK786467:PHK786471 PRG786467:PRG786471 QBC786467:QBC786471 QKY786467:QKY786471 QUU786467:QUU786471 REQ786467:REQ786471 ROM786467:ROM786471 RYI786467:RYI786471 SIE786467:SIE786471 SSA786467:SSA786471 TBW786467:TBW786471 TLS786467:TLS786471 TVO786467:TVO786471 UFK786467:UFK786471 UPG786467:UPG786471 UZC786467:UZC786471 VIY786467:VIY786471 VSU786467:VSU786471 WCQ786467:WCQ786471 WMM786467:WMM786471 WWI786467:WWI786471 AA852003:AA852007 JW852003:JW852007 TS852003:TS852007 ADO852003:ADO852007 ANK852003:ANK852007 AXG852003:AXG852007 BHC852003:BHC852007 BQY852003:BQY852007 CAU852003:CAU852007 CKQ852003:CKQ852007 CUM852003:CUM852007 DEI852003:DEI852007 DOE852003:DOE852007 DYA852003:DYA852007 EHW852003:EHW852007 ERS852003:ERS852007 FBO852003:FBO852007 FLK852003:FLK852007 FVG852003:FVG852007 GFC852003:GFC852007 GOY852003:GOY852007 GYU852003:GYU852007 HIQ852003:HIQ852007 HSM852003:HSM852007 ICI852003:ICI852007 IME852003:IME852007 IWA852003:IWA852007 JFW852003:JFW852007 JPS852003:JPS852007 JZO852003:JZO852007 KJK852003:KJK852007 KTG852003:KTG852007 LDC852003:LDC852007 LMY852003:LMY852007 LWU852003:LWU852007 MGQ852003:MGQ852007 MQM852003:MQM852007 NAI852003:NAI852007 NKE852003:NKE852007 NUA852003:NUA852007 ODW852003:ODW852007 ONS852003:ONS852007 OXO852003:OXO852007 PHK852003:PHK852007 PRG852003:PRG852007 QBC852003:QBC852007 QKY852003:QKY852007 QUU852003:QUU852007 REQ852003:REQ852007 ROM852003:ROM852007 RYI852003:RYI852007 SIE852003:SIE852007 SSA852003:SSA852007 TBW852003:TBW852007 TLS852003:TLS852007 TVO852003:TVO852007 UFK852003:UFK852007 UPG852003:UPG852007 UZC852003:UZC852007 VIY852003:VIY852007 VSU852003:VSU852007 WCQ852003:WCQ852007 WMM852003:WMM852007 WWI852003:WWI852007 AA917539:AA917543 JW917539:JW917543 TS917539:TS917543 ADO917539:ADO917543 ANK917539:ANK917543 AXG917539:AXG917543 BHC917539:BHC917543 BQY917539:BQY917543 CAU917539:CAU917543 CKQ917539:CKQ917543 CUM917539:CUM917543 DEI917539:DEI917543 DOE917539:DOE917543 DYA917539:DYA917543 EHW917539:EHW917543 ERS917539:ERS917543 FBO917539:FBO917543 FLK917539:FLK917543 FVG917539:FVG917543 GFC917539:GFC917543 GOY917539:GOY917543 GYU917539:GYU917543 HIQ917539:HIQ917543 HSM917539:HSM917543 ICI917539:ICI917543 IME917539:IME917543 IWA917539:IWA917543 JFW917539:JFW917543 JPS917539:JPS917543 JZO917539:JZO917543 KJK917539:KJK917543 KTG917539:KTG917543 LDC917539:LDC917543 LMY917539:LMY917543 LWU917539:LWU917543 MGQ917539:MGQ917543 MQM917539:MQM917543 NAI917539:NAI917543 NKE917539:NKE917543 NUA917539:NUA917543 ODW917539:ODW917543 ONS917539:ONS917543 OXO917539:OXO917543 PHK917539:PHK917543 PRG917539:PRG917543 QBC917539:QBC917543 QKY917539:QKY917543 QUU917539:QUU917543 REQ917539:REQ917543 ROM917539:ROM917543 RYI917539:RYI917543 SIE917539:SIE917543 SSA917539:SSA917543 TBW917539:TBW917543 TLS917539:TLS917543 TVO917539:TVO917543 UFK917539:UFK917543 UPG917539:UPG917543 UZC917539:UZC917543 VIY917539:VIY917543 VSU917539:VSU917543 WCQ917539:WCQ917543 WMM917539:WMM917543 WWI917539:WWI917543 AA983075:AA983079 JW983075:JW983079 TS983075:TS983079 ADO983075:ADO983079 ANK983075:ANK983079 AXG983075:AXG983079 BHC983075:BHC983079 BQY983075:BQY983079 CAU983075:CAU983079 CKQ983075:CKQ983079 CUM983075:CUM983079 DEI983075:DEI983079 DOE983075:DOE983079 DYA983075:DYA983079 EHW983075:EHW983079 ERS983075:ERS983079 FBO983075:FBO983079 FLK983075:FLK983079 FVG983075:FVG983079 GFC983075:GFC983079 GOY983075:GOY983079 GYU983075:GYU983079 HIQ983075:HIQ983079 HSM983075:HSM983079 ICI983075:ICI983079 IME983075:IME983079 IWA983075:IWA983079 JFW983075:JFW983079 JPS983075:JPS983079 JZO983075:JZO983079 KJK983075:KJK983079 KTG983075:KTG983079 LDC983075:LDC983079 LMY983075:LMY983079 LWU983075:LWU983079 MGQ983075:MGQ983079 MQM983075:MQM983079 NAI983075:NAI983079 NKE983075:NKE983079 NUA983075:NUA983079 ODW983075:ODW983079 ONS983075:ONS983079 OXO983075:OXO983079 PHK983075:PHK983079 PRG983075:PRG983079 QBC983075:QBC983079 QKY983075:QKY983079 QUU983075:QUU983079 REQ983075:REQ983079 ROM983075:ROM983079 RYI983075:RYI983079 SIE983075:SIE983079 SSA983075:SSA983079 TBW983075:TBW983079 TLS983075:TLS983079 TVO983075:TVO983079 UFK983075:UFK983079 UPG983075:UPG983079 UZC983075:UZC983079 VIY983075:VIY983079 VSU983075:VSU983079 WCQ983075:WCQ983079 WMM983075:WMM983079 WWI983075:WWI983079 U32 JQ32 TM32 ADI32 ANE32 AXA32 BGW32 BQS32 CAO32 CKK32 CUG32 DEC32 DNY32 DXU32 EHQ32 ERM32 FBI32 FLE32 FVA32 GEW32 GOS32 GYO32 HIK32 HSG32 ICC32 ILY32 IVU32 JFQ32 JPM32 JZI32 KJE32 KTA32 LCW32 LMS32 LWO32 MGK32 MQG32 NAC32 NJY32 NTU32 ODQ32 ONM32 OXI32 PHE32 PRA32 QAW32 QKS32 QUO32 REK32 ROG32 RYC32 SHY32 SRU32 TBQ32 TLM32 TVI32 UFE32 UPA32 UYW32 VIS32 VSO32 WCK32 WMG32 WWC32 U65568 JQ65568 TM65568 ADI65568 ANE65568 AXA65568 BGW65568 BQS65568 CAO65568 CKK65568 CUG65568 DEC65568 DNY65568 DXU65568 EHQ65568 ERM65568 FBI65568 FLE65568 FVA65568 GEW65568 GOS65568 GYO65568 HIK65568 HSG65568 ICC65568 ILY65568 IVU65568 JFQ65568 JPM65568 JZI65568 KJE65568 KTA65568 LCW65568 LMS65568 LWO65568 MGK65568 MQG65568 NAC65568 NJY65568 NTU65568 ODQ65568 ONM65568 OXI65568 PHE65568 PRA65568 QAW65568 QKS65568 QUO65568 REK65568 ROG65568 RYC65568 SHY65568 SRU65568 TBQ65568 TLM65568 TVI65568 UFE65568 UPA65568 UYW65568 VIS65568 VSO65568 WCK65568 WMG65568 WWC65568 U131104 JQ131104 TM131104 ADI131104 ANE131104 AXA131104 BGW131104 BQS131104 CAO131104 CKK131104 CUG131104 DEC131104 DNY131104 DXU131104 EHQ131104 ERM131104 FBI131104 FLE131104 FVA131104 GEW131104 GOS131104 GYO131104 HIK131104 HSG131104 ICC131104 ILY131104 IVU131104 JFQ131104 JPM131104 JZI131104 KJE131104 KTA131104 LCW131104 LMS131104 LWO131104 MGK131104 MQG131104 NAC131104 NJY131104 NTU131104 ODQ131104 ONM131104 OXI131104 PHE131104 PRA131104 QAW131104 QKS131104 QUO131104 REK131104 ROG131104 RYC131104 SHY131104 SRU131104 TBQ131104 TLM131104 TVI131104 UFE131104 UPA131104 UYW131104 VIS131104 VSO131104 WCK131104 WMG131104 WWC131104 U196640 JQ196640 TM196640 ADI196640 ANE196640 AXA196640 BGW196640 BQS196640 CAO196640 CKK196640 CUG196640 DEC196640 DNY196640 DXU196640 EHQ196640 ERM196640 FBI196640 FLE196640 FVA196640 GEW196640 GOS196640 GYO196640 HIK196640 HSG196640 ICC196640 ILY196640 IVU196640 JFQ196640 JPM196640 JZI196640 KJE196640 KTA196640 LCW196640 LMS196640 LWO196640 MGK196640 MQG196640 NAC196640 NJY196640 NTU196640 ODQ196640 ONM196640 OXI196640 PHE196640 PRA196640 QAW196640 QKS196640 QUO196640 REK196640 ROG196640 RYC196640 SHY196640 SRU196640 TBQ196640 TLM196640 TVI196640 UFE196640 UPA196640 UYW196640 VIS196640 VSO196640 WCK196640 WMG196640 WWC196640 U262176 JQ262176 TM262176 ADI262176 ANE262176 AXA262176 BGW262176 BQS262176 CAO262176 CKK262176 CUG262176 DEC262176 DNY262176 DXU262176 EHQ262176 ERM262176 FBI262176 FLE262176 FVA262176 GEW262176 GOS262176 GYO262176 HIK262176 HSG262176 ICC262176 ILY262176 IVU262176 JFQ262176 JPM262176 JZI262176 KJE262176 KTA262176 LCW262176 LMS262176 LWO262176 MGK262176 MQG262176 NAC262176 NJY262176 NTU262176 ODQ262176 ONM262176 OXI262176 PHE262176 PRA262176 QAW262176 QKS262176 QUO262176 REK262176 ROG262176 RYC262176 SHY262176 SRU262176 TBQ262176 TLM262176 TVI262176 UFE262176 UPA262176 UYW262176 VIS262176 VSO262176 WCK262176 WMG262176 WWC262176 U327712 JQ327712 TM327712 ADI327712 ANE327712 AXA327712 BGW327712 BQS327712 CAO327712 CKK327712 CUG327712 DEC327712 DNY327712 DXU327712 EHQ327712 ERM327712 FBI327712 FLE327712 FVA327712 GEW327712 GOS327712 GYO327712 HIK327712 HSG327712 ICC327712 ILY327712 IVU327712 JFQ327712 JPM327712 JZI327712 KJE327712 KTA327712 LCW327712 LMS327712 LWO327712 MGK327712 MQG327712 NAC327712 NJY327712 NTU327712 ODQ327712 ONM327712 OXI327712 PHE327712 PRA327712 QAW327712 QKS327712 QUO327712 REK327712 ROG327712 RYC327712 SHY327712 SRU327712 TBQ327712 TLM327712 TVI327712 UFE327712 UPA327712 UYW327712 VIS327712 VSO327712 WCK327712 WMG327712 WWC327712 U393248 JQ393248 TM393248 ADI393248 ANE393248 AXA393248 BGW393248 BQS393248 CAO393248 CKK393248 CUG393248 DEC393248 DNY393248 DXU393248 EHQ393248 ERM393248 FBI393248 FLE393248 FVA393248 GEW393248 GOS393248 GYO393248 HIK393248 HSG393248 ICC393248 ILY393248 IVU393248 JFQ393248 JPM393248 JZI393248 KJE393248 KTA393248 LCW393248 LMS393248 LWO393248 MGK393248 MQG393248 NAC393248 NJY393248 NTU393248 ODQ393248 ONM393248 OXI393248 PHE393248 PRA393248 QAW393248 QKS393248 QUO393248 REK393248 ROG393248 RYC393248 SHY393248 SRU393248 TBQ393248 TLM393248 TVI393248 UFE393248 UPA393248 UYW393248 VIS393248 VSO393248 WCK393248 WMG393248 WWC393248 U458784 JQ458784 TM458784 ADI458784 ANE458784 AXA458784 BGW458784 BQS458784 CAO458784 CKK458784 CUG458784 DEC458784 DNY458784 DXU458784 EHQ458784 ERM458784 FBI458784 FLE458784 FVA458784 GEW458784 GOS458784 GYO458784 HIK458784 HSG458784 ICC458784 ILY458784 IVU458784 JFQ458784 JPM458784 JZI458784 KJE458784 KTA458784 LCW458784 LMS458784 LWO458784 MGK458784 MQG458784 NAC458784 NJY458784 NTU458784 ODQ458784 ONM458784 OXI458784 PHE458784 PRA458784 QAW458784 QKS458784 QUO458784 REK458784 ROG458784 RYC458784 SHY458784 SRU458784 TBQ458784 TLM458784 TVI458784 UFE458784 UPA458784 UYW458784 VIS458784 VSO458784 WCK458784 WMG458784 WWC458784 U524320 JQ524320 TM524320 ADI524320 ANE524320 AXA524320 BGW524320 BQS524320 CAO524320 CKK524320 CUG524320 DEC524320 DNY524320 DXU524320 EHQ524320 ERM524320 FBI524320 FLE524320 FVA524320 GEW524320 GOS524320 GYO524320 HIK524320 HSG524320 ICC524320 ILY524320 IVU524320 JFQ524320 JPM524320 JZI524320 KJE524320 KTA524320 LCW524320 LMS524320 LWO524320 MGK524320 MQG524320 NAC524320 NJY524320 NTU524320 ODQ524320 ONM524320 OXI524320 PHE524320 PRA524320 QAW524320 QKS524320 QUO524320 REK524320 ROG524320 RYC524320 SHY524320 SRU524320 TBQ524320 TLM524320 TVI524320 UFE524320 UPA524320 UYW524320 VIS524320 VSO524320 WCK524320 WMG524320 WWC524320 U589856 JQ589856 TM589856 ADI589856 ANE589856 AXA589856 BGW589856 BQS589856 CAO589856 CKK589856 CUG589856 DEC589856 DNY589856 DXU589856 EHQ589856 ERM589856 FBI589856 FLE589856 FVA589856 GEW589856 GOS589856 GYO589856 HIK589856 HSG589856 ICC589856 ILY589856 IVU589856 JFQ589856 JPM589856 JZI589856 KJE589856 KTA589856 LCW589856 LMS589856 LWO589856 MGK589856 MQG589856 NAC589856 NJY589856 NTU589856 ODQ589856 ONM589856 OXI589856 PHE589856 PRA589856 QAW589856 QKS589856 QUO589856 REK589856 ROG589856 RYC589856 SHY589856 SRU589856 TBQ589856 TLM589856 TVI589856 UFE589856 UPA589856 UYW589856 VIS589856 VSO589856 WCK589856 WMG589856 WWC589856 U655392 JQ655392 TM655392 ADI655392 ANE655392 AXA655392 BGW655392 BQS655392 CAO655392 CKK655392 CUG655392 DEC655392 DNY655392 DXU655392 EHQ655392 ERM655392 FBI655392 FLE655392 FVA655392 GEW655392 GOS655392 GYO655392 HIK655392 HSG655392 ICC655392 ILY655392 IVU655392 JFQ655392 JPM655392 JZI655392 KJE655392 KTA655392 LCW655392 LMS655392 LWO655392 MGK655392 MQG655392 NAC655392 NJY655392 NTU655392 ODQ655392 ONM655392 OXI655392 PHE655392 PRA655392 QAW655392 QKS655392 QUO655392 REK655392 ROG655392 RYC655392 SHY655392 SRU655392 TBQ655392 TLM655392 TVI655392 UFE655392 UPA655392 UYW655392 VIS655392 VSO655392 WCK655392 WMG655392 WWC655392 U720928 JQ720928 TM720928 ADI720928 ANE720928 AXA720928 BGW720928 BQS720928 CAO720928 CKK720928 CUG720928 DEC720928 DNY720928 DXU720928 EHQ720928 ERM720928 FBI720928 FLE720928 FVA720928 GEW720928 GOS720928 GYO720928 HIK720928 HSG720928 ICC720928 ILY720928 IVU720928 JFQ720928 JPM720928 JZI720928 KJE720928 KTA720928 LCW720928 LMS720928 LWO720928 MGK720928 MQG720928 NAC720928 NJY720928 NTU720928 ODQ720928 ONM720928 OXI720928 PHE720928 PRA720928 QAW720928 QKS720928 QUO720928 REK720928 ROG720928 RYC720928 SHY720928 SRU720928 TBQ720928 TLM720928 TVI720928 UFE720928 UPA720928 UYW720928 VIS720928 VSO720928 WCK720928 WMG720928 WWC720928 U786464 JQ786464 TM786464 ADI786464 ANE786464 AXA786464 BGW786464 BQS786464 CAO786464 CKK786464 CUG786464 DEC786464 DNY786464 DXU786464 EHQ786464 ERM786464 FBI786464 FLE786464 FVA786464 GEW786464 GOS786464 GYO786464 HIK786464 HSG786464 ICC786464 ILY786464 IVU786464 JFQ786464 JPM786464 JZI786464 KJE786464 KTA786464 LCW786464 LMS786464 LWO786464 MGK786464 MQG786464 NAC786464 NJY786464 NTU786464 ODQ786464 ONM786464 OXI786464 PHE786464 PRA786464 QAW786464 QKS786464 QUO786464 REK786464 ROG786464 RYC786464 SHY786464 SRU786464 TBQ786464 TLM786464 TVI786464 UFE786464 UPA786464 UYW786464 VIS786464 VSO786464 WCK786464 WMG786464 WWC786464 U852000 JQ852000 TM852000 ADI852000 ANE852000 AXA852000 BGW852000 BQS852000 CAO852000 CKK852000 CUG852000 DEC852000 DNY852000 DXU852000 EHQ852000 ERM852000 FBI852000 FLE852000 FVA852000 GEW852000 GOS852000 GYO852000 HIK852000 HSG852000 ICC852000 ILY852000 IVU852000 JFQ852000 JPM852000 JZI852000 KJE852000 KTA852000 LCW852000 LMS852000 LWO852000 MGK852000 MQG852000 NAC852000 NJY852000 NTU852000 ODQ852000 ONM852000 OXI852000 PHE852000 PRA852000 QAW852000 QKS852000 QUO852000 REK852000 ROG852000 RYC852000 SHY852000 SRU852000 TBQ852000 TLM852000 TVI852000 UFE852000 UPA852000 UYW852000 VIS852000 VSO852000 WCK852000 WMG852000 WWC852000 U917536 JQ917536 TM917536 ADI917536 ANE917536 AXA917536 BGW917536 BQS917536 CAO917536 CKK917536 CUG917536 DEC917536 DNY917536 DXU917536 EHQ917536 ERM917536 FBI917536 FLE917536 FVA917536 GEW917536 GOS917536 GYO917536 HIK917536 HSG917536 ICC917536 ILY917536 IVU917536 JFQ917536 JPM917536 JZI917536 KJE917536 KTA917536 LCW917536 LMS917536 LWO917536 MGK917536 MQG917536 NAC917536 NJY917536 NTU917536 ODQ917536 ONM917536 OXI917536 PHE917536 PRA917536 QAW917536 QKS917536 QUO917536 REK917536 ROG917536 RYC917536 SHY917536 SRU917536 TBQ917536 TLM917536 TVI917536 UFE917536 UPA917536 UYW917536 VIS917536 VSO917536 WCK917536 WMG917536 WWC917536 U983072 JQ983072 TM983072 ADI983072 ANE983072 AXA983072 BGW983072 BQS983072 CAO983072 CKK983072 CUG983072 DEC983072 DNY983072 DXU983072 EHQ983072 ERM983072 FBI983072 FLE983072 FVA983072 GEW983072 GOS983072 GYO983072 HIK983072 HSG983072 ICC983072 ILY983072 IVU983072 JFQ983072 JPM983072 JZI983072 KJE983072 KTA983072 LCW983072 LMS983072 LWO983072 MGK983072 MQG983072 NAC983072 NJY983072 NTU983072 ODQ983072 ONM983072 OXI983072 PHE983072 PRA983072 QAW983072 QKS983072 QUO983072 REK983072 ROG983072 RYC983072 SHY983072 SRU983072 TBQ983072 TLM983072 TVI983072 UFE983072 UPA983072 UYW983072 VIS983072 VSO983072 WCK983072 WMG983072 WWC983072 AA32 JW32 TS32 ADO32 ANK32 AXG32 BHC32 BQY32 CAU32 CKQ32 CUM32 DEI32 DOE32 DYA32 EHW32 ERS32 FBO32 FLK32 FVG32 GFC32 GOY32 GYU32 HIQ32 HSM32 ICI32 IME32 IWA32 JFW32 JPS32 JZO32 KJK32 KTG32 LDC32 LMY32 LWU32 MGQ32 MQM32 NAI32 NKE32 NUA32 ODW32 ONS32 OXO32 PHK32 PRG32 QBC32 QKY32 QUU32 REQ32 ROM32 RYI32 SIE32 SSA32 TBW32 TLS32 TVO32 UFK32 UPG32 UZC32 VIY32 VSU32 WCQ32 WMM32 WWI32 AA65568 JW65568 TS65568 ADO65568 ANK65568 AXG65568 BHC65568 BQY65568 CAU65568 CKQ65568 CUM65568 DEI65568 DOE65568 DYA65568 EHW65568 ERS65568 FBO65568 FLK65568 FVG65568 GFC65568 GOY65568 GYU65568 HIQ65568 HSM65568 ICI65568 IME65568 IWA65568 JFW65568 JPS65568 JZO65568 KJK65568 KTG65568 LDC65568 LMY65568 LWU65568 MGQ65568 MQM65568 NAI65568 NKE65568 NUA65568 ODW65568 ONS65568 OXO65568 PHK65568 PRG65568 QBC65568 QKY65568 QUU65568 REQ65568 ROM65568 RYI65568 SIE65568 SSA65568 TBW65568 TLS65568 TVO65568 UFK65568 UPG65568 UZC65568 VIY65568 VSU65568 WCQ65568 WMM65568 WWI65568 AA131104 JW131104 TS131104 ADO131104 ANK131104 AXG131104 BHC131104 BQY131104 CAU131104 CKQ131104 CUM131104 DEI131104 DOE131104 DYA131104 EHW131104 ERS131104 FBO131104 FLK131104 FVG131104 GFC131104 GOY131104 GYU131104 HIQ131104 HSM131104 ICI131104 IME131104 IWA131104 JFW131104 JPS131104 JZO131104 KJK131104 KTG131104 LDC131104 LMY131104 LWU131104 MGQ131104 MQM131104 NAI131104 NKE131104 NUA131104 ODW131104 ONS131104 OXO131104 PHK131104 PRG131104 QBC131104 QKY131104 QUU131104 REQ131104 ROM131104 RYI131104 SIE131104 SSA131104 TBW131104 TLS131104 TVO131104 UFK131104 UPG131104 UZC131104 VIY131104 VSU131104 WCQ131104 WMM131104 WWI131104 AA196640 JW196640 TS196640 ADO196640 ANK196640 AXG196640 BHC196640 BQY196640 CAU196640 CKQ196640 CUM196640 DEI196640 DOE196640 DYA196640 EHW196640 ERS196640 FBO196640 FLK196640 FVG196640 GFC196640 GOY196640 GYU196640 HIQ196640 HSM196640 ICI196640 IME196640 IWA196640 JFW196640 JPS196640 JZO196640 KJK196640 KTG196640 LDC196640 LMY196640 LWU196640 MGQ196640 MQM196640 NAI196640 NKE196640 NUA196640 ODW196640 ONS196640 OXO196640 PHK196640 PRG196640 QBC196640 QKY196640 QUU196640 REQ196640 ROM196640 RYI196640 SIE196640 SSA196640 TBW196640 TLS196640 TVO196640 UFK196640 UPG196640 UZC196640 VIY196640 VSU196640 WCQ196640 WMM196640 WWI196640 AA262176 JW262176 TS262176 ADO262176 ANK262176 AXG262176 BHC262176 BQY262176 CAU262176 CKQ262176 CUM262176 DEI262176 DOE262176 DYA262176 EHW262176 ERS262176 FBO262176 FLK262176 FVG262176 GFC262176 GOY262176 GYU262176 HIQ262176 HSM262176 ICI262176 IME262176 IWA262176 JFW262176 JPS262176 JZO262176 KJK262176 KTG262176 LDC262176 LMY262176 LWU262176 MGQ262176 MQM262176 NAI262176 NKE262176 NUA262176 ODW262176 ONS262176 OXO262176 PHK262176 PRG262176 QBC262176 QKY262176 QUU262176 REQ262176 ROM262176 RYI262176 SIE262176 SSA262176 TBW262176 TLS262176 TVO262176 UFK262176 UPG262176 UZC262176 VIY262176 VSU262176 WCQ262176 WMM262176 WWI262176 AA327712 JW327712 TS327712 ADO327712 ANK327712 AXG327712 BHC327712 BQY327712 CAU327712 CKQ327712 CUM327712 DEI327712 DOE327712 DYA327712 EHW327712 ERS327712 FBO327712 FLK327712 FVG327712 GFC327712 GOY327712 GYU327712 HIQ327712 HSM327712 ICI327712 IME327712 IWA327712 JFW327712 JPS327712 JZO327712 KJK327712 KTG327712 LDC327712 LMY327712 LWU327712 MGQ327712 MQM327712 NAI327712 NKE327712 NUA327712 ODW327712 ONS327712 OXO327712 PHK327712 PRG327712 QBC327712 QKY327712 QUU327712 REQ327712 ROM327712 RYI327712 SIE327712 SSA327712 TBW327712 TLS327712 TVO327712 UFK327712 UPG327712 UZC327712 VIY327712 VSU327712 WCQ327712 WMM327712 WWI327712 AA393248 JW393248 TS393248 ADO393248 ANK393248 AXG393248 BHC393248 BQY393248 CAU393248 CKQ393248 CUM393248 DEI393248 DOE393248 DYA393248 EHW393248 ERS393248 FBO393248 FLK393248 FVG393248 GFC393248 GOY393248 GYU393248 HIQ393248 HSM393248 ICI393248 IME393248 IWA393248 JFW393248 JPS393248 JZO393248 KJK393248 KTG393248 LDC393248 LMY393248 LWU393248 MGQ393248 MQM393248 NAI393248 NKE393248 NUA393248 ODW393248 ONS393248 OXO393248 PHK393248 PRG393248 QBC393248 QKY393248 QUU393248 REQ393248 ROM393248 RYI393248 SIE393248 SSA393248 TBW393248 TLS393248 TVO393248 UFK393248 UPG393248 UZC393248 VIY393248 VSU393248 WCQ393248 WMM393248 WWI393248 AA458784 JW458784 TS458784 ADO458784 ANK458784 AXG458784 BHC458784 BQY458784 CAU458784 CKQ458784 CUM458784 DEI458784 DOE458784 DYA458784 EHW458784 ERS458784 FBO458784 FLK458784 FVG458784 GFC458784 GOY458784 GYU458784 HIQ458784 HSM458784 ICI458784 IME458784 IWA458784 JFW458784 JPS458784 JZO458784 KJK458784 KTG458784 LDC458784 LMY458784 LWU458784 MGQ458784 MQM458784 NAI458784 NKE458784 NUA458784 ODW458784 ONS458784 OXO458784 PHK458784 PRG458784 QBC458784 QKY458784 QUU458784 REQ458784 ROM458784 RYI458784 SIE458784 SSA458784 TBW458784 TLS458784 TVO458784 UFK458784 UPG458784 UZC458784 VIY458784 VSU458784 WCQ458784 WMM458784 WWI458784 AA524320 JW524320 TS524320 ADO524320 ANK524320 AXG524320 BHC524320 BQY524320 CAU524320 CKQ524320 CUM524320 DEI524320 DOE524320 DYA524320 EHW524320 ERS524320 FBO524320 FLK524320 FVG524320 GFC524320 GOY524320 GYU524320 HIQ524320 HSM524320 ICI524320 IME524320 IWA524320 JFW524320 JPS524320 JZO524320 KJK524320 KTG524320 LDC524320 LMY524320 LWU524320 MGQ524320 MQM524320 NAI524320 NKE524320 NUA524320 ODW524320 ONS524320 OXO524320 PHK524320 PRG524320 QBC524320 QKY524320 QUU524320 REQ524320 ROM524320 RYI524320 SIE524320 SSA524320 TBW524320 TLS524320 TVO524320 UFK524320 UPG524320 UZC524320 VIY524320 VSU524320 WCQ524320 WMM524320 WWI524320 AA589856 JW589856 TS589856 ADO589856 ANK589856 AXG589856 BHC589856 BQY589856 CAU589856 CKQ589856 CUM589856 DEI589856 DOE589856 DYA589856 EHW589856 ERS589856 FBO589856 FLK589856 FVG589856 GFC589856 GOY589856 GYU589856 HIQ589856 HSM589856 ICI589856 IME589856 IWA589856 JFW589856 JPS589856 JZO589856 KJK589856 KTG589856 LDC589856 LMY589856 LWU589856 MGQ589856 MQM589856 NAI589856 NKE589856 NUA589856 ODW589856 ONS589856 OXO589856 PHK589856 PRG589856 QBC589856 QKY589856 QUU589856 REQ589856 ROM589856 RYI589856 SIE589856 SSA589856 TBW589856 TLS589856 TVO589856 UFK589856 UPG589856 UZC589856 VIY589856 VSU589856 WCQ589856 WMM589856 WWI589856 AA655392 JW655392 TS655392 ADO655392 ANK655392 AXG655392 BHC655392 BQY655392 CAU655392 CKQ655392 CUM655392 DEI655392 DOE655392 DYA655392 EHW655392 ERS655392 FBO655392 FLK655392 FVG655392 GFC655392 GOY655392 GYU655392 HIQ655392 HSM655392 ICI655392 IME655392 IWA655392 JFW655392 JPS655392 JZO655392 KJK655392 KTG655392 LDC655392 LMY655392 LWU655392 MGQ655392 MQM655392 NAI655392 NKE655392 NUA655392 ODW655392 ONS655392 OXO655392 PHK655392 PRG655392 QBC655392 QKY655392 QUU655392 REQ655392 ROM655392 RYI655392 SIE655392 SSA655392 TBW655392 TLS655392 TVO655392 UFK655392 UPG655392 UZC655392 VIY655392 VSU655392 WCQ655392 WMM655392 WWI655392 AA720928 JW720928 TS720928 ADO720928 ANK720928 AXG720928 BHC720928 BQY720928 CAU720928 CKQ720928 CUM720928 DEI720928 DOE720928 DYA720928 EHW720928 ERS720928 FBO720928 FLK720928 FVG720928 GFC720928 GOY720928 GYU720928 HIQ720928 HSM720928 ICI720928 IME720928 IWA720928 JFW720928 JPS720928 JZO720928 KJK720928 KTG720928 LDC720928 LMY720928 LWU720928 MGQ720928 MQM720928 NAI720928 NKE720928 NUA720928 ODW720928 ONS720928 OXO720928 PHK720928 PRG720928 QBC720928 QKY720928 QUU720928 REQ720928 ROM720928 RYI720928 SIE720928 SSA720928 TBW720928 TLS720928 TVO720928 UFK720928 UPG720928 UZC720928 VIY720928 VSU720928 WCQ720928 WMM720928 WWI720928 AA786464 JW786464 TS786464 ADO786464 ANK786464 AXG786464 BHC786464 BQY786464 CAU786464 CKQ786464 CUM786464 DEI786464 DOE786464 DYA786464 EHW786464 ERS786464 FBO786464 FLK786464 FVG786464 GFC786464 GOY786464 GYU786464 HIQ786464 HSM786464 ICI786464 IME786464 IWA786464 JFW786464 JPS786464 JZO786464 KJK786464 KTG786464 LDC786464 LMY786464 LWU786464 MGQ786464 MQM786464 NAI786464 NKE786464 NUA786464 ODW786464 ONS786464 OXO786464 PHK786464 PRG786464 QBC786464 QKY786464 QUU786464 REQ786464 ROM786464 RYI786464 SIE786464 SSA786464 TBW786464 TLS786464 TVO786464 UFK786464 UPG786464 UZC786464 VIY786464 VSU786464 WCQ786464 WMM786464 WWI786464 AA852000 JW852000 TS852000 ADO852000 ANK852000 AXG852000 BHC852000 BQY852000 CAU852000 CKQ852000 CUM852000 DEI852000 DOE852000 DYA852000 EHW852000 ERS852000 FBO852000 FLK852000 FVG852000 GFC852000 GOY852000 GYU852000 HIQ852000 HSM852000 ICI852000 IME852000 IWA852000 JFW852000 JPS852000 JZO852000 KJK852000 KTG852000 LDC852000 LMY852000 LWU852000 MGQ852000 MQM852000 NAI852000 NKE852000 NUA852000 ODW852000 ONS852000 OXO852000 PHK852000 PRG852000 QBC852000 QKY852000 QUU852000 REQ852000 ROM852000 RYI852000 SIE852000 SSA852000 TBW852000 TLS852000 TVO852000 UFK852000 UPG852000 UZC852000 VIY852000 VSU852000 WCQ852000 WMM852000 WWI852000 AA917536 JW917536 TS917536 ADO917536 ANK917536 AXG917536 BHC917536 BQY917536 CAU917536 CKQ917536 CUM917536 DEI917536 DOE917536 DYA917536 EHW917536 ERS917536 FBO917536 FLK917536 FVG917536 GFC917536 GOY917536 GYU917536 HIQ917536 HSM917536 ICI917536 IME917536 IWA917536 JFW917536 JPS917536 JZO917536 KJK917536 KTG917536 LDC917536 LMY917536 LWU917536 MGQ917536 MQM917536 NAI917536 NKE917536 NUA917536 ODW917536 ONS917536 OXO917536 PHK917536 PRG917536 QBC917536 QKY917536 QUU917536 REQ917536 ROM917536 RYI917536 SIE917536 SSA917536 TBW917536 TLS917536 TVO917536 UFK917536 UPG917536 UZC917536 VIY917536 VSU917536 WCQ917536 WMM917536 WWI917536 AA983072 JW983072 TS983072 ADO983072 ANK983072 AXG983072 BHC983072 BQY983072 CAU983072 CKQ983072 CUM983072 DEI983072 DOE983072 DYA983072 EHW983072 ERS983072 FBO983072 FLK983072 FVG983072 GFC983072 GOY983072 GYU983072 HIQ983072 HSM983072 ICI983072 IME983072 IWA983072 JFW983072 JPS983072 JZO983072 KJK983072 KTG983072 LDC983072 LMY983072 LWU983072 MGQ983072 MQM983072 NAI983072 NKE983072 NUA983072 ODW983072 ONS983072 OXO983072 PHK983072 PRG983072 QBC983072 QKY983072 QUU983072 REQ983072 ROM983072 RYI983072 SIE983072 SSA983072 TBW983072 TLS983072 TVO983072 UFK983072 UPG983072 UZC983072 VIY983072 VSU983072 WCQ983072 WMM983072 WWI983072 Z7 JV7 TR7 ADN7 ANJ7 AXF7 BHB7 BQX7 CAT7 CKP7 CUL7 DEH7 DOD7 DXZ7 EHV7 ERR7 FBN7 FLJ7 FVF7 GFB7 GOX7 GYT7 HIP7 HSL7 ICH7 IMD7 IVZ7 JFV7 JPR7 JZN7 KJJ7 KTF7 LDB7 LMX7 LWT7 MGP7 MQL7 NAH7 NKD7 NTZ7 ODV7 ONR7 OXN7 PHJ7 PRF7 QBB7 QKX7 QUT7 REP7 ROL7 RYH7 SID7 SRZ7 TBV7 TLR7 TVN7 UFJ7 UPF7 UZB7 VIX7 VST7 WCP7 WML7 WWH7 Z65543 JV65543 TR65543 ADN65543 ANJ65543 AXF65543 BHB65543 BQX65543 CAT65543 CKP65543 CUL65543 DEH65543 DOD65543 DXZ65543 EHV65543 ERR65543 FBN65543 FLJ65543 FVF65543 GFB65543 GOX65543 GYT65543 HIP65543 HSL65543 ICH65543 IMD65543 IVZ65543 JFV65543 JPR65543 JZN65543 KJJ65543 KTF65543 LDB65543 LMX65543 LWT65543 MGP65543 MQL65543 NAH65543 NKD65543 NTZ65543 ODV65543 ONR65543 OXN65543 PHJ65543 PRF65543 QBB65543 QKX65543 QUT65543 REP65543 ROL65543 RYH65543 SID65543 SRZ65543 TBV65543 TLR65543 TVN65543 UFJ65543 UPF65543 UZB65543 VIX65543 VST65543 WCP65543 WML65543 WWH65543 Z131079 JV131079 TR131079 ADN131079 ANJ131079 AXF131079 BHB131079 BQX131079 CAT131079 CKP131079 CUL131079 DEH131079 DOD131079 DXZ131079 EHV131079 ERR131079 FBN131079 FLJ131079 FVF131079 GFB131079 GOX131079 GYT131079 HIP131079 HSL131079 ICH131079 IMD131079 IVZ131079 JFV131079 JPR131079 JZN131079 KJJ131079 KTF131079 LDB131079 LMX131079 LWT131079 MGP131079 MQL131079 NAH131079 NKD131079 NTZ131079 ODV131079 ONR131079 OXN131079 PHJ131079 PRF131079 QBB131079 QKX131079 QUT131079 REP131079 ROL131079 RYH131079 SID131079 SRZ131079 TBV131079 TLR131079 TVN131079 UFJ131079 UPF131079 UZB131079 VIX131079 VST131079 WCP131079 WML131079 WWH131079 Z196615 JV196615 TR196615 ADN196615 ANJ196615 AXF196615 BHB196615 BQX196615 CAT196615 CKP196615 CUL196615 DEH196615 DOD196615 DXZ196615 EHV196615 ERR196615 FBN196615 FLJ196615 FVF196615 GFB196615 GOX196615 GYT196615 HIP196615 HSL196615 ICH196615 IMD196615 IVZ196615 JFV196615 JPR196615 JZN196615 KJJ196615 KTF196615 LDB196615 LMX196615 LWT196615 MGP196615 MQL196615 NAH196615 NKD196615 NTZ196615 ODV196615 ONR196615 OXN196615 PHJ196615 PRF196615 QBB196615 QKX196615 QUT196615 REP196615 ROL196615 RYH196615 SID196615 SRZ196615 TBV196615 TLR196615 TVN196615 UFJ196615 UPF196615 UZB196615 VIX196615 VST196615 WCP196615 WML196615 WWH196615 Z262151 JV262151 TR262151 ADN262151 ANJ262151 AXF262151 BHB262151 BQX262151 CAT262151 CKP262151 CUL262151 DEH262151 DOD262151 DXZ262151 EHV262151 ERR262151 FBN262151 FLJ262151 FVF262151 GFB262151 GOX262151 GYT262151 HIP262151 HSL262151 ICH262151 IMD262151 IVZ262151 JFV262151 JPR262151 JZN262151 KJJ262151 KTF262151 LDB262151 LMX262151 LWT262151 MGP262151 MQL262151 NAH262151 NKD262151 NTZ262151 ODV262151 ONR262151 OXN262151 PHJ262151 PRF262151 QBB262151 QKX262151 QUT262151 REP262151 ROL262151 RYH262151 SID262151 SRZ262151 TBV262151 TLR262151 TVN262151 UFJ262151 UPF262151 UZB262151 VIX262151 VST262151 WCP262151 WML262151 WWH262151 Z327687 JV327687 TR327687 ADN327687 ANJ327687 AXF327687 BHB327687 BQX327687 CAT327687 CKP327687 CUL327687 DEH327687 DOD327687 DXZ327687 EHV327687 ERR327687 FBN327687 FLJ327687 FVF327687 GFB327687 GOX327687 GYT327687 HIP327687 HSL327687 ICH327687 IMD327687 IVZ327687 JFV327687 JPR327687 JZN327687 KJJ327687 KTF327687 LDB327687 LMX327687 LWT327687 MGP327687 MQL327687 NAH327687 NKD327687 NTZ327687 ODV327687 ONR327687 OXN327687 PHJ327687 PRF327687 QBB327687 QKX327687 QUT327687 REP327687 ROL327687 RYH327687 SID327687 SRZ327687 TBV327687 TLR327687 TVN327687 UFJ327687 UPF327687 UZB327687 VIX327687 VST327687 WCP327687 WML327687 WWH327687 Z393223 JV393223 TR393223 ADN393223 ANJ393223 AXF393223 BHB393223 BQX393223 CAT393223 CKP393223 CUL393223 DEH393223 DOD393223 DXZ393223 EHV393223 ERR393223 FBN393223 FLJ393223 FVF393223 GFB393223 GOX393223 GYT393223 HIP393223 HSL393223 ICH393223 IMD393223 IVZ393223 JFV393223 JPR393223 JZN393223 KJJ393223 KTF393223 LDB393223 LMX393223 LWT393223 MGP393223 MQL393223 NAH393223 NKD393223 NTZ393223 ODV393223 ONR393223 OXN393223 PHJ393223 PRF393223 QBB393223 QKX393223 QUT393223 REP393223 ROL393223 RYH393223 SID393223 SRZ393223 TBV393223 TLR393223 TVN393223 UFJ393223 UPF393223 UZB393223 VIX393223 VST393223 WCP393223 WML393223 WWH393223 Z458759 JV458759 TR458759 ADN458759 ANJ458759 AXF458759 BHB458759 BQX458759 CAT458759 CKP458759 CUL458759 DEH458759 DOD458759 DXZ458759 EHV458759 ERR458759 FBN458759 FLJ458759 FVF458759 GFB458759 GOX458759 GYT458759 HIP458759 HSL458759 ICH458759 IMD458759 IVZ458759 JFV458759 JPR458759 JZN458759 KJJ458759 KTF458759 LDB458759 LMX458759 LWT458759 MGP458759 MQL458759 NAH458759 NKD458759 NTZ458759 ODV458759 ONR458759 OXN458759 PHJ458759 PRF458759 QBB458759 QKX458759 QUT458759 REP458759 ROL458759 RYH458759 SID458759 SRZ458759 TBV458759 TLR458759 TVN458759 UFJ458759 UPF458759 UZB458759 VIX458759 VST458759 WCP458759 WML458759 WWH458759 Z524295 JV524295 TR524295 ADN524295 ANJ524295 AXF524295 BHB524295 BQX524295 CAT524295 CKP524295 CUL524295 DEH524295 DOD524295 DXZ524295 EHV524295 ERR524295 FBN524295 FLJ524295 FVF524295 GFB524295 GOX524295 GYT524295 HIP524295 HSL524295 ICH524295 IMD524295 IVZ524295 JFV524295 JPR524295 JZN524295 KJJ524295 KTF524295 LDB524295 LMX524295 LWT524295 MGP524295 MQL524295 NAH524295 NKD524295 NTZ524295 ODV524295 ONR524295 OXN524295 PHJ524295 PRF524295 QBB524295 QKX524295 QUT524295 REP524295 ROL524295 RYH524295 SID524295 SRZ524295 TBV524295 TLR524295 TVN524295 UFJ524295 UPF524295 UZB524295 VIX524295 VST524295 WCP524295 WML524295 WWH524295 Z589831 JV589831 TR589831 ADN589831 ANJ589831 AXF589831 BHB589831 BQX589831 CAT589831 CKP589831 CUL589831 DEH589831 DOD589831 DXZ589831 EHV589831 ERR589831 FBN589831 FLJ589831 FVF589831 GFB589831 GOX589831 GYT589831 HIP589831 HSL589831 ICH589831 IMD589831 IVZ589831 JFV589831 JPR589831 JZN589831 KJJ589831 KTF589831 LDB589831 LMX589831 LWT589831 MGP589831 MQL589831 NAH589831 NKD589831 NTZ589831 ODV589831 ONR589831 OXN589831 PHJ589831 PRF589831 QBB589831 QKX589831 QUT589831 REP589831 ROL589831 RYH589831 SID589831 SRZ589831 TBV589831 TLR589831 TVN589831 UFJ589831 UPF589831 UZB589831 VIX589831 VST589831 WCP589831 WML589831 WWH589831 Z655367 JV655367 TR655367 ADN655367 ANJ655367 AXF655367 BHB655367 BQX655367 CAT655367 CKP655367 CUL655367 DEH655367 DOD655367 DXZ655367 EHV655367 ERR655367 FBN655367 FLJ655367 FVF655367 GFB655367 GOX655367 GYT655367 HIP655367 HSL655367 ICH655367 IMD655367 IVZ655367 JFV655367 JPR655367 JZN655367 KJJ655367 KTF655367 LDB655367 LMX655367 LWT655367 MGP655367 MQL655367 NAH655367 NKD655367 NTZ655367 ODV655367 ONR655367 OXN655367 PHJ655367 PRF655367 QBB655367 QKX655367 QUT655367 REP655367 ROL655367 RYH655367 SID655367 SRZ655367 TBV655367 TLR655367 TVN655367 UFJ655367 UPF655367 UZB655367 VIX655367 VST655367 WCP655367 WML655367 WWH655367 Z720903 JV720903 TR720903 ADN720903 ANJ720903 AXF720903 BHB720903 BQX720903 CAT720903 CKP720903 CUL720903 DEH720903 DOD720903 DXZ720903 EHV720903 ERR720903 FBN720903 FLJ720903 FVF720903 GFB720903 GOX720903 GYT720903 HIP720903 HSL720903 ICH720903 IMD720903 IVZ720903 JFV720903 JPR720903 JZN720903 KJJ720903 KTF720903 LDB720903 LMX720903 LWT720903 MGP720903 MQL720903 NAH720903 NKD720903 NTZ720903 ODV720903 ONR720903 OXN720903 PHJ720903 PRF720903 QBB720903 QKX720903 QUT720903 REP720903 ROL720903 RYH720903 SID720903 SRZ720903 TBV720903 TLR720903 TVN720903 UFJ720903 UPF720903 UZB720903 VIX720903 VST720903 WCP720903 WML720903 WWH720903 Z786439 JV786439 TR786439 ADN786439 ANJ786439 AXF786439 BHB786439 BQX786439 CAT786439 CKP786439 CUL786439 DEH786439 DOD786439 DXZ786439 EHV786439 ERR786439 FBN786439 FLJ786439 FVF786439 GFB786439 GOX786439 GYT786439 HIP786439 HSL786439 ICH786439 IMD786439 IVZ786439 JFV786439 JPR786439 JZN786439 KJJ786439 KTF786439 LDB786439 LMX786439 LWT786439 MGP786439 MQL786439 NAH786439 NKD786439 NTZ786439 ODV786439 ONR786439 OXN786439 PHJ786439 PRF786439 QBB786439 QKX786439 QUT786439 REP786439 ROL786439 RYH786439 SID786439 SRZ786439 TBV786439 TLR786439 TVN786439 UFJ786439 UPF786439 UZB786439 VIX786439 VST786439 WCP786439 WML786439 WWH786439 Z851975 JV851975 TR851975 ADN851975 ANJ851975 AXF851975 BHB851975 BQX851975 CAT851975 CKP851975 CUL851975 DEH851975 DOD851975 DXZ851975 EHV851975 ERR851975 FBN851975 FLJ851975 FVF851975 GFB851975 GOX851975 GYT851975 HIP851975 HSL851975 ICH851975 IMD851975 IVZ851975 JFV851975 JPR851975 JZN851975 KJJ851975 KTF851975 LDB851975 LMX851975 LWT851975 MGP851975 MQL851975 NAH851975 NKD851975 NTZ851975 ODV851975 ONR851975 OXN851975 PHJ851975 PRF851975 QBB851975 QKX851975 QUT851975 REP851975 ROL851975 RYH851975 SID851975 SRZ851975 TBV851975 TLR851975 TVN851975 UFJ851975 UPF851975 UZB851975 VIX851975 VST851975 WCP851975 WML851975 WWH851975 Z917511 JV917511 TR917511 ADN917511 ANJ917511 AXF917511 BHB917511 BQX917511 CAT917511 CKP917511 CUL917511 DEH917511 DOD917511 DXZ917511 EHV917511 ERR917511 FBN917511 FLJ917511 FVF917511 GFB917511 GOX917511 GYT917511 HIP917511 HSL917511 ICH917511 IMD917511 IVZ917511 JFV917511 JPR917511 JZN917511 KJJ917511 KTF917511 LDB917511 LMX917511 LWT917511 MGP917511 MQL917511 NAH917511 NKD917511 NTZ917511 ODV917511 ONR917511 OXN917511 PHJ917511 PRF917511 QBB917511 QKX917511 QUT917511 REP917511 ROL917511 RYH917511 SID917511 SRZ917511 TBV917511 TLR917511 TVN917511 UFJ917511 UPF917511 UZB917511 VIX917511 VST917511 WCP917511 WML917511 WWH917511 Z983047 JV983047 TR983047 ADN983047 ANJ983047 AXF983047 BHB983047 BQX983047 CAT983047 CKP983047 CUL983047 DEH983047 DOD983047 DXZ983047 EHV983047 ERR983047 FBN983047 FLJ983047 FVF983047 GFB983047 GOX983047 GYT983047 HIP983047 HSL983047 ICH983047 IMD983047 IVZ983047 JFV983047 JPR983047 JZN983047 KJJ983047 KTF983047 LDB983047 LMX983047 LWT983047 MGP983047 MQL983047 NAH983047 NKD983047 NTZ983047 ODV983047 ONR983047 OXN983047 PHJ983047 PRF983047 QBB983047 QKX983047 QUT983047 REP983047 ROL983047 RYH983047 SID983047 SRZ983047 TBV983047 TLR983047 TVN983047 UFJ983047 UPF983047 UZB983047 VIX983047 VST983047 WCP983047 WML983047 WWH983047"/>
    <dataValidation type="list" allowBlank="1" showInputMessage="1" showErrorMessage="1" sqref="D5:G5 IZ5:JC5 SV5:SY5 ACR5:ACU5 AMN5:AMQ5 AWJ5:AWM5 BGF5:BGI5 BQB5:BQE5 BZX5:CAA5 CJT5:CJW5 CTP5:CTS5 DDL5:DDO5 DNH5:DNK5 DXD5:DXG5 EGZ5:EHC5 EQV5:EQY5 FAR5:FAU5 FKN5:FKQ5 FUJ5:FUM5 GEF5:GEI5 GOB5:GOE5 GXX5:GYA5 HHT5:HHW5 HRP5:HRS5 IBL5:IBO5 ILH5:ILK5 IVD5:IVG5 JEZ5:JFC5 JOV5:JOY5 JYR5:JYU5 KIN5:KIQ5 KSJ5:KSM5 LCF5:LCI5 LMB5:LME5 LVX5:LWA5 MFT5:MFW5 MPP5:MPS5 MZL5:MZO5 NJH5:NJK5 NTD5:NTG5 OCZ5:ODC5 OMV5:OMY5 OWR5:OWU5 PGN5:PGQ5 PQJ5:PQM5 QAF5:QAI5 QKB5:QKE5 QTX5:QUA5 RDT5:RDW5 RNP5:RNS5 RXL5:RXO5 SHH5:SHK5 SRD5:SRG5 TAZ5:TBC5 TKV5:TKY5 TUR5:TUU5 UEN5:UEQ5 UOJ5:UOM5 UYF5:UYI5 VIB5:VIE5 VRX5:VSA5 WBT5:WBW5 WLP5:WLS5 WVL5:WVO5 D65541:G65541 IZ65541:JC65541 SV65541:SY65541 ACR65541:ACU65541 AMN65541:AMQ65541 AWJ65541:AWM65541 BGF65541:BGI65541 BQB65541:BQE65541 BZX65541:CAA65541 CJT65541:CJW65541 CTP65541:CTS65541 DDL65541:DDO65541 DNH65541:DNK65541 DXD65541:DXG65541 EGZ65541:EHC65541 EQV65541:EQY65541 FAR65541:FAU65541 FKN65541:FKQ65541 FUJ65541:FUM65541 GEF65541:GEI65541 GOB65541:GOE65541 GXX65541:GYA65541 HHT65541:HHW65541 HRP65541:HRS65541 IBL65541:IBO65541 ILH65541:ILK65541 IVD65541:IVG65541 JEZ65541:JFC65541 JOV65541:JOY65541 JYR65541:JYU65541 KIN65541:KIQ65541 KSJ65541:KSM65541 LCF65541:LCI65541 LMB65541:LME65541 LVX65541:LWA65541 MFT65541:MFW65541 MPP65541:MPS65541 MZL65541:MZO65541 NJH65541:NJK65541 NTD65541:NTG65541 OCZ65541:ODC65541 OMV65541:OMY65541 OWR65541:OWU65541 PGN65541:PGQ65541 PQJ65541:PQM65541 QAF65541:QAI65541 QKB65541:QKE65541 QTX65541:QUA65541 RDT65541:RDW65541 RNP65541:RNS65541 RXL65541:RXO65541 SHH65541:SHK65541 SRD65541:SRG65541 TAZ65541:TBC65541 TKV65541:TKY65541 TUR65541:TUU65541 UEN65541:UEQ65541 UOJ65541:UOM65541 UYF65541:UYI65541 VIB65541:VIE65541 VRX65541:VSA65541 WBT65541:WBW65541 WLP65541:WLS65541 WVL65541:WVO65541 D131077:G131077 IZ131077:JC131077 SV131077:SY131077 ACR131077:ACU131077 AMN131077:AMQ131077 AWJ131077:AWM131077 BGF131077:BGI131077 BQB131077:BQE131077 BZX131077:CAA131077 CJT131077:CJW131077 CTP131077:CTS131077 DDL131077:DDO131077 DNH131077:DNK131077 DXD131077:DXG131077 EGZ131077:EHC131077 EQV131077:EQY131077 FAR131077:FAU131077 FKN131077:FKQ131077 FUJ131077:FUM131077 GEF131077:GEI131077 GOB131077:GOE131077 GXX131077:GYA131077 HHT131077:HHW131077 HRP131077:HRS131077 IBL131077:IBO131077 ILH131077:ILK131077 IVD131077:IVG131077 JEZ131077:JFC131077 JOV131077:JOY131077 JYR131077:JYU131077 KIN131077:KIQ131077 KSJ131077:KSM131077 LCF131077:LCI131077 LMB131077:LME131077 LVX131077:LWA131077 MFT131077:MFW131077 MPP131077:MPS131077 MZL131077:MZO131077 NJH131077:NJK131077 NTD131077:NTG131077 OCZ131077:ODC131077 OMV131077:OMY131077 OWR131077:OWU131077 PGN131077:PGQ131077 PQJ131077:PQM131077 QAF131077:QAI131077 QKB131077:QKE131077 QTX131077:QUA131077 RDT131077:RDW131077 RNP131077:RNS131077 RXL131077:RXO131077 SHH131077:SHK131077 SRD131077:SRG131077 TAZ131077:TBC131077 TKV131077:TKY131077 TUR131077:TUU131077 UEN131077:UEQ131077 UOJ131077:UOM131077 UYF131077:UYI131077 VIB131077:VIE131077 VRX131077:VSA131077 WBT131077:WBW131077 WLP131077:WLS131077 WVL131077:WVO131077 D196613:G196613 IZ196613:JC196613 SV196613:SY196613 ACR196613:ACU196613 AMN196613:AMQ196613 AWJ196613:AWM196613 BGF196613:BGI196613 BQB196613:BQE196613 BZX196613:CAA196613 CJT196613:CJW196613 CTP196613:CTS196613 DDL196613:DDO196613 DNH196613:DNK196613 DXD196613:DXG196613 EGZ196613:EHC196613 EQV196613:EQY196613 FAR196613:FAU196613 FKN196613:FKQ196613 FUJ196613:FUM196613 GEF196613:GEI196613 GOB196613:GOE196613 GXX196613:GYA196613 HHT196613:HHW196613 HRP196613:HRS196613 IBL196613:IBO196613 ILH196613:ILK196613 IVD196613:IVG196613 JEZ196613:JFC196613 JOV196613:JOY196613 JYR196613:JYU196613 KIN196613:KIQ196613 KSJ196613:KSM196613 LCF196613:LCI196613 LMB196613:LME196613 LVX196613:LWA196613 MFT196613:MFW196613 MPP196613:MPS196613 MZL196613:MZO196613 NJH196613:NJK196613 NTD196613:NTG196613 OCZ196613:ODC196613 OMV196613:OMY196613 OWR196613:OWU196613 PGN196613:PGQ196613 PQJ196613:PQM196613 QAF196613:QAI196613 QKB196613:QKE196613 QTX196613:QUA196613 RDT196613:RDW196613 RNP196613:RNS196613 RXL196613:RXO196613 SHH196613:SHK196613 SRD196613:SRG196613 TAZ196613:TBC196613 TKV196613:TKY196613 TUR196613:TUU196613 UEN196613:UEQ196613 UOJ196613:UOM196613 UYF196613:UYI196613 VIB196613:VIE196613 VRX196613:VSA196613 WBT196613:WBW196613 WLP196613:WLS196613 WVL196613:WVO196613 D262149:G262149 IZ262149:JC262149 SV262149:SY262149 ACR262149:ACU262149 AMN262149:AMQ262149 AWJ262149:AWM262149 BGF262149:BGI262149 BQB262149:BQE262149 BZX262149:CAA262149 CJT262149:CJW262149 CTP262149:CTS262149 DDL262149:DDO262149 DNH262149:DNK262149 DXD262149:DXG262149 EGZ262149:EHC262149 EQV262149:EQY262149 FAR262149:FAU262149 FKN262149:FKQ262149 FUJ262149:FUM262149 GEF262149:GEI262149 GOB262149:GOE262149 GXX262149:GYA262149 HHT262149:HHW262149 HRP262149:HRS262149 IBL262149:IBO262149 ILH262149:ILK262149 IVD262149:IVG262149 JEZ262149:JFC262149 JOV262149:JOY262149 JYR262149:JYU262149 KIN262149:KIQ262149 KSJ262149:KSM262149 LCF262149:LCI262149 LMB262149:LME262149 LVX262149:LWA262149 MFT262149:MFW262149 MPP262149:MPS262149 MZL262149:MZO262149 NJH262149:NJK262149 NTD262149:NTG262149 OCZ262149:ODC262149 OMV262149:OMY262149 OWR262149:OWU262149 PGN262149:PGQ262149 PQJ262149:PQM262149 QAF262149:QAI262149 QKB262149:QKE262149 QTX262149:QUA262149 RDT262149:RDW262149 RNP262149:RNS262149 RXL262149:RXO262149 SHH262149:SHK262149 SRD262149:SRG262149 TAZ262149:TBC262149 TKV262149:TKY262149 TUR262149:TUU262149 UEN262149:UEQ262149 UOJ262149:UOM262149 UYF262149:UYI262149 VIB262149:VIE262149 VRX262149:VSA262149 WBT262149:WBW262149 WLP262149:WLS262149 WVL262149:WVO262149 D327685:G327685 IZ327685:JC327685 SV327685:SY327685 ACR327685:ACU327685 AMN327685:AMQ327685 AWJ327685:AWM327685 BGF327685:BGI327685 BQB327685:BQE327685 BZX327685:CAA327685 CJT327685:CJW327685 CTP327685:CTS327685 DDL327685:DDO327685 DNH327685:DNK327685 DXD327685:DXG327685 EGZ327685:EHC327685 EQV327685:EQY327685 FAR327685:FAU327685 FKN327685:FKQ327685 FUJ327685:FUM327685 GEF327685:GEI327685 GOB327685:GOE327685 GXX327685:GYA327685 HHT327685:HHW327685 HRP327685:HRS327685 IBL327685:IBO327685 ILH327685:ILK327685 IVD327685:IVG327685 JEZ327685:JFC327685 JOV327685:JOY327685 JYR327685:JYU327685 KIN327685:KIQ327685 KSJ327685:KSM327685 LCF327685:LCI327685 LMB327685:LME327685 LVX327685:LWA327685 MFT327685:MFW327685 MPP327685:MPS327685 MZL327685:MZO327685 NJH327685:NJK327685 NTD327685:NTG327685 OCZ327685:ODC327685 OMV327685:OMY327685 OWR327685:OWU327685 PGN327685:PGQ327685 PQJ327685:PQM327685 QAF327685:QAI327685 QKB327685:QKE327685 QTX327685:QUA327685 RDT327685:RDW327685 RNP327685:RNS327685 RXL327685:RXO327685 SHH327685:SHK327685 SRD327685:SRG327685 TAZ327685:TBC327685 TKV327685:TKY327685 TUR327685:TUU327685 UEN327685:UEQ327685 UOJ327685:UOM327685 UYF327685:UYI327685 VIB327685:VIE327685 VRX327685:VSA327685 WBT327685:WBW327685 WLP327685:WLS327685 WVL327685:WVO327685 D393221:G393221 IZ393221:JC393221 SV393221:SY393221 ACR393221:ACU393221 AMN393221:AMQ393221 AWJ393221:AWM393221 BGF393221:BGI393221 BQB393221:BQE393221 BZX393221:CAA393221 CJT393221:CJW393221 CTP393221:CTS393221 DDL393221:DDO393221 DNH393221:DNK393221 DXD393221:DXG393221 EGZ393221:EHC393221 EQV393221:EQY393221 FAR393221:FAU393221 FKN393221:FKQ393221 FUJ393221:FUM393221 GEF393221:GEI393221 GOB393221:GOE393221 GXX393221:GYA393221 HHT393221:HHW393221 HRP393221:HRS393221 IBL393221:IBO393221 ILH393221:ILK393221 IVD393221:IVG393221 JEZ393221:JFC393221 JOV393221:JOY393221 JYR393221:JYU393221 KIN393221:KIQ393221 KSJ393221:KSM393221 LCF393221:LCI393221 LMB393221:LME393221 LVX393221:LWA393221 MFT393221:MFW393221 MPP393221:MPS393221 MZL393221:MZO393221 NJH393221:NJK393221 NTD393221:NTG393221 OCZ393221:ODC393221 OMV393221:OMY393221 OWR393221:OWU393221 PGN393221:PGQ393221 PQJ393221:PQM393221 QAF393221:QAI393221 QKB393221:QKE393221 QTX393221:QUA393221 RDT393221:RDW393221 RNP393221:RNS393221 RXL393221:RXO393221 SHH393221:SHK393221 SRD393221:SRG393221 TAZ393221:TBC393221 TKV393221:TKY393221 TUR393221:TUU393221 UEN393221:UEQ393221 UOJ393221:UOM393221 UYF393221:UYI393221 VIB393221:VIE393221 VRX393221:VSA393221 WBT393221:WBW393221 WLP393221:WLS393221 WVL393221:WVO393221 D458757:G458757 IZ458757:JC458757 SV458757:SY458757 ACR458757:ACU458757 AMN458757:AMQ458757 AWJ458757:AWM458757 BGF458757:BGI458757 BQB458757:BQE458757 BZX458757:CAA458757 CJT458757:CJW458757 CTP458757:CTS458757 DDL458757:DDO458757 DNH458757:DNK458757 DXD458757:DXG458757 EGZ458757:EHC458757 EQV458757:EQY458757 FAR458757:FAU458757 FKN458757:FKQ458757 FUJ458757:FUM458757 GEF458757:GEI458757 GOB458757:GOE458757 GXX458757:GYA458757 HHT458757:HHW458757 HRP458757:HRS458757 IBL458757:IBO458757 ILH458757:ILK458757 IVD458757:IVG458757 JEZ458757:JFC458757 JOV458757:JOY458757 JYR458757:JYU458757 KIN458757:KIQ458757 KSJ458757:KSM458757 LCF458757:LCI458757 LMB458757:LME458757 LVX458757:LWA458757 MFT458757:MFW458757 MPP458757:MPS458757 MZL458757:MZO458757 NJH458757:NJK458757 NTD458757:NTG458757 OCZ458757:ODC458757 OMV458757:OMY458757 OWR458757:OWU458757 PGN458757:PGQ458757 PQJ458757:PQM458757 QAF458757:QAI458757 QKB458757:QKE458757 QTX458757:QUA458757 RDT458757:RDW458757 RNP458757:RNS458757 RXL458757:RXO458757 SHH458757:SHK458757 SRD458757:SRG458757 TAZ458757:TBC458757 TKV458757:TKY458757 TUR458757:TUU458757 UEN458757:UEQ458757 UOJ458757:UOM458757 UYF458757:UYI458757 VIB458757:VIE458757 VRX458757:VSA458757 WBT458757:WBW458757 WLP458757:WLS458757 WVL458757:WVO458757 D524293:G524293 IZ524293:JC524293 SV524293:SY524293 ACR524293:ACU524293 AMN524293:AMQ524293 AWJ524293:AWM524293 BGF524293:BGI524293 BQB524293:BQE524293 BZX524293:CAA524293 CJT524293:CJW524293 CTP524293:CTS524293 DDL524293:DDO524293 DNH524293:DNK524293 DXD524293:DXG524293 EGZ524293:EHC524293 EQV524293:EQY524293 FAR524293:FAU524293 FKN524293:FKQ524293 FUJ524293:FUM524293 GEF524293:GEI524293 GOB524293:GOE524293 GXX524293:GYA524293 HHT524293:HHW524293 HRP524293:HRS524293 IBL524293:IBO524293 ILH524293:ILK524293 IVD524293:IVG524293 JEZ524293:JFC524293 JOV524293:JOY524293 JYR524293:JYU524293 KIN524293:KIQ524293 KSJ524293:KSM524293 LCF524293:LCI524293 LMB524293:LME524293 LVX524293:LWA524293 MFT524293:MFW524293 MPP524293:MPS524293 MZL524293:MZO524293 NJH524293:NJK524293 NTD524293:NTG524293 OCZ524293:ODC524293 OMV524293:OMY524293 OWR524293:OWU524293 PGN524293:PGQ524293 PQJ524293:PQM524293 QAF524293:QAI524293 QKB524293:QKE524293 QTX524293:QUA524293 RDT524293:RDW524293 RNP524293:RNS524293 RXL524293:RXO524293 SHH524293:SHK524293 SRD524293:SRG524293 TAZ524293:TBC524293 TKV524293:TKY524293 TUR524293:TUU524293 UEN524293:UEQ524293 UOJ524293:UOM524293 UYF524293:UYI524293 VIB524293:VIE524293 VRX524293:VSA524293 WBT524293:WBW524293 WLP524293:WLS524293 WVL524293:WVO524293 D589829:G589829 IZ589829:JC589829 SV589829:SY589829 ACR589829:ACU589829 AMN589829:AMQ589829 AWJ589829:AWM589829 BGF589829:BGI589829 BQB589829:BQE589829 BZX589829:CAA589829 CJT589829:CJW589829 CTP589829:CTS589829 DDL589829:DDO589829 DNH589829:DNK589829 DXD589829:DXG589829 EGZ589829:EHC589829 EQV589829:EQY589829 FAR589829:FAU589829 FKN589829:FKQ589829 FUJ589829:FUM589829 GEF589829:GEI589829 GOB589829:GOE589829 GXX589829:GYA589829 HHT589829:HHW589829 HRP589829:HRS589829 IBL589829:IBO589829 ILH589829:ILK589829 IVD589829:IVG589829 JEZ589829:JFC589829 JOV589829:JOY589829 JYR589829:JYU589829 KIN589829:KIQ589829 KSJ589829:KSM589829 LCF589829:LCI589829 LMB589829:LME589829 LVX589829:LWA589829 MFT589829:MFW589829 MPP589829:MPS589829 MZL589829:MZO589829 NJH589829:NJK589829 NTD589829:NTG589829 OCZ589829:ODC589829 OMV589829:OMY589829 OWR589829:OWU589829 PGN589829:PGQ589829 PQJ589829:PQM589829 QAF589829:QAI589829 QKB589829:QKE589829 QTX589829:QUA589829 RDT589829:RDW589829 RNP589829:RNS589829 RXL589829:RXO589829 SHH589829:SHK589829 SRD589829:SRG589829 TAZ589829:TBC589829 TKV589829:TKY589829 TUR589829:TUU589829 UEN589829:UEQ589829 UOJ589829:UOM589829 UYF589829:UYI589829 VIB589829:VIE589829 VRX589829:VSA589829 WBT589829:WBW589829 WLP589829:WLS589829 WVL589829:WVO589829 D655365:G655365 IZ655365:JC655365 SV655365:SY655365 ACR655365:ACU655365 AMN655365:AMQ655365 AWJ655365:AWM655365 BGF655365:BGI655365 BQB655365:BQE655365 BZX655365:CAA655365 CJT655365:CJW655365 CTP655365:CTS655365 DDL655365:DDO655365 DNH655365:DNK655365 DXD655365:DXG655365 EGZ655365:EHC655365 EQV655365:EQY655365 FAR655365:FAU655365 FKN655365:FKQ655365 FUJ655365:FUM655365 GEF655365:GEI655365 GOB655365:GOE655365 GXX655365:GYA655365 HHT655365:HHW655365 HRP655365:HRS655365 IBL655365:IBO655365 ILH655365:ILK655365 IVD655365:IVG655365 JEZ655365:JFC655365 JOV655365:JOY655365 JYR655365:JYU655365 KIN655365:KIQ655365 KSJ655365:KSM655365 LCF655365:LCI655365 LMB655365:LME655365 LVX655365:LWA655365 MFT655365:MFW655365 MPP655365:MPS655365 MZL655365:MZO655365 NJH655365:NJK655365 NTD655365:NTG655365 OCZ655365:ODC655365 OMV655365:OMY655365 OWR655365:OWU655365 PGN655365:PGQ655365 PQJ655365:PQM655365 QAF655365:QAI655365 QKB655365:QKE655365 QTX655365:QUA655365 RDT655365:RDW655365 RNP655365:RNS655365 RXL655365:RXO655365 SHH655365:SHK655365 SRD655365:SRG655365 TAZ655365:TBC655365 TKV655365:TKY655365 TUR655365:TUU655365 UEN655365:UEQ655365 UOJ655365:UOM655365 UYF655365:UYI655365 VIB655365:VIE655365 VRX655365:VSA655365 WBT655365:WBW655365 WLP655365:WLS655365 WVL655365:WVO655365 D720901:G720901 IZ720901:JC720901 SV720901:SY720901 ACR720901:ACU720901 AMN720901:AMQ720901 AWJ720901:AWM720901 BGF720901:BGI720901 BQB720901:BQE720901 BZX720901:CAA720901 CJT720901:CJW720901 CTP720901:CTS720901 DDL720901:DDO720901 DNH720901:DNK720901 DXD720901:DXG720901 EGZ720901:EHC720901 EQV720901:EQY720901 FAR720901:FAU720901 FKN720901:FKQ720901 FUJ720901:FUM720901 GEF720901:GEI720901 GOB720901:GOE720901 GXX720901:GYA720901 HHT720901:HHW720901 HRP720901:HRS720901 IBL720901:IBO720901 ILH720901:ILK720901 IVD720901:IVG720901 JEZ720901:JFC720901 JOV720901:JOY720901 JYR720901:JYU720901 KIN720901:KIQ720901 KSJ720901:KSM720901 LCF720901:LCI720901 LMB720901:LME720901 LVX720901:LWA720901 MFT720901:MFW720901 MPP720901:MPS720901 MZL720901:MZO720901 NJH720901:NJK720901 NTD720901:NTG720901 OCZ720901:ODC720901 OMV720901:OMY720901 OWR720901:OWU720901 PGN720901:PGQ720901 PQJ720901:PQM720901 QAF720901:QAI720901 QKB720901:QKE720901 QTX720901:QUA720901 RDT720901:RDW720901 RNP720901:RNS720901 RXL720901:RXO720901 SHH720901:SHK720901 SRD720901:SRG720901 TAZ720901:TBC720901 TKV720901:TKY720901 TUR720901:TUU720901 UEN720901:UEQ720901 UOJ720901:UOM720901 UYF720901:UYI720901 VIB720901:VIE720901 VRX720901:VSA720901 WBT720901:WBW720901 WLP720901:WLS720901 WVL720901:WVO720901 D786437:G786437 IZ786437:JC786437 SV786437:SY786437 ACR786437:ACU786437 AMN786437:AMQ786437 AWJ786437:AWM786437 BGF786437:BGI786437 BQB786437:BQE786437 BZX786437:CAA786437 CJT786437:CJW786437 CTP786437:CTS786437 DDL786437:DDO786437 DNH786437:DNK786437 DXD786437:DXG786437 EGZ786437:EHC786437 EQV786437:EQY786437 FAR786437:FAU786437 FKN786437:FKQ786437 FUJ786437:FUM786437 GEF786437:GEI786437 GOB786437:GOE786437 GXX786437:GYA786437 HHT786437:HHW786437 HRP786437:HRS786437 IBL786437:IBO786437 ILH786437:ILK786437 IVD786437:IVG786437 JEZ786437:JFC786437 JOV786437:JOY786437 JYR786437:JYU786437 KIN786437:KIQ786437 KSJ786437:KSM786437 LCF786437:LCI786437 LMB786437:LME786437 LVX786437:LWA786437 MFT786437:MFW786437 MPP786437:MPS786437 MZL786437:MZO786437 NJH786437:NJK786437 NTD786437:NTG786437 OCZ786437:ODC786437 OMV786437:OMY786437 OWR786437:OWU786437 PGN786437:PGQ786437 PQJ786437:PQM786437 QAF786437:QAI786437 QKB786437:QKE786437 QTX786437:QUA786437 RDT786437:RDW786437 RNP786437:RNS786437 RXL786437:RXO786437 SHH786437:SHK786437 SRD786437:SRG786437 TAZ786437:TBC786437 TKV786437:TKY786437 TUR786437:TUU786437 UEN786437:UEQ786437 UOJ786437:UOM786437 UYF786437:UYI786437 VIB786437:VIE786437 VRX786437:VSA786437 WBT786437:WBW786437 WLP786437:WLS786437 WVL786437:WVO786437 D851973:G851973 IZ851973:JC851973 SV851973:SY851973 ACR851973:ACU851973 AMN851973:AMQ851973 AWJ851973:AWM851973 BGF851973:BGI851973 BQB851973:BQE851973 BZX851973:CAA851973 CJT851973:CJW851973 CTP851973:CTS851973 DDL851973:DDO851973 DNH851973:DNK851973 DXD851973:DXG851973 EGZ851973:EHC851973 EQV851973:EQY851973 FAR851973:FAU851973 FKN851973:FKQ851973 FUJ851973:FUM851973 GEF851973:GEI851973 GOB851973:GOE851973 GXX851973:GYA851973 HHT851973:HHW851973 HRP851973:HRS851973 IBL851973:IBO851973 ILH851973:ILK851973 IVD851973:IVG851973 JEZ851973:JFC851973 JOV851973:JOY851973 JYR851973:JYU851973 KIN851973:KIQ851973 KSJ851973:KSM851973 LCF851973:LCI851973 LMB851973:LME851973 LVX851973:LWA851973 MFT851973:MFW851973 MPP851973:MPS851973 MZL851973:MZO851973 NJH851973:NJK851973 NTD851973:NTG851973 OCZ851973:ODC851973 OMV851973:OMY851973 OWR851973:OWU851973 PGN851973:PGQ851973 PQJ851973:PQM851973 QAF851973:QAI851973 QKB851973:QKE851973 QTX851973:QUA851973 RDT851973:RDW851973 RNP851973:RNS851973 RXL851973:RXO851973 SHH851973:SHK851973 SRD851973:SRG851973 TAZ851973:TBC851973 TKV851973:TKY851973 TUR851973:TUU851973 UEN851973:UEQ851973 UOJ851973:UOM851973 UYF851973:UYI851973 VIB851973:VIE851973 VRX851973:VSA851973 WBT851973:WBW851973 WLP851973:WLS851973 WVL851973:WVO851973 D917509:G917509 IZ917509:JC917509 SV917509:SY917509 ACR917509:ACU917509 AMN917509:AMQ917509 AWJ917509:AWM917509 BGF917509:BGI917509 BQB917509:BQE917509 BZX917509:CAA917509 CJT917509:CJW917509 CTP917509:CTS917509 DDL917509:DDO917509 DNH917509:DNK917509 DXD917509:DXG917509 EGZ917509:EHC917509 EQV917509:EQY917509 FAR917509:FAU917509 FKN917509:FKQ917509 FUJ917509:FUM917509 GEF917509:GEI917509 GOB917509:GOE917509 GXX917509:GYA917509 HHT917509:HHW917509 HRP917509:HRS917509 IBL917509:IBO917509 ILH917509:ILK917509 IVD917509:IVG917509 JEZ917509:JFC917509 JOV917509:JOY917509 JYR917509:JYU917509 KIN917509:KIQ917509 KSJ917509:KSM917509 LCF917509:LCI917509 LMB917509:LME917509 LVX917509:LWA917509 MFT917509:MFW917509 MPP917509:MPS917509 MZL917509:MZO917509 NJH917509:NJK917509 NTD917509:NTG917509 OCZ917509:ODC917509 OMV917509:OMY917509 OWR917509:OWU917509 PGN917509:PGQ917509 PQJ917509:PQM917509 QAF917509:QAI917509 QKB917509:QKE917509 QTX917509:QUA917509 RDT917509:RDW917509 RNP917509:RNS917509 RXL917509:RXO917509 SHH917509:SHK917509 SRD917509:SRG917509 TAZ917509:TBC917509 TKV917509:TKY917509 TUR917509:TUU917509 UEN917509:UEQ917509 UOJ917509:UOM917509 UYF917509:UYI917509 VIB917509:VIE917509 VRX917509:VSA917509 WBT917509:WBW917509 WLP917509:WLS917509 WVL917509:WVO917509 D983045:G983045 IZ983045:JC983045 SV983045:SY983045 ACR983045:ACU983045 AMN983045:AMQ983045 AWJ983045:AWM983045 BGF983045:BGI983045 BQB983045:BQE983045 BZX983045:CAA983045 CJT983045:CJW983045 CTP983045:CTS983045 DDL983045:DDO983045 DNH983045:DNK983045 DXD983045:DXG983045 EGZ983045:EHC983045 EQV983045:EQY983045 FAR983045:FAU983045 FKN983045:FKQ983045 FUJ983045:FUM983045 GEF983045:GEI983045 GOB983045:GOE983045 GXX983045:GYA983045 HHT983045:HHW983045 HRP983045:HRS983045 IBL983045:IBO983045 ILH983045:ILK983045 IVD983045:IVG983045 JEZ983045:JFC983045 JOV983045:JOY983045 JYR983045:JYU983045 KIN983045:KIQ983045 KSJ983045:KSM983045 LCF983045:LCI983045 LMB983045:LME983045 LVX983045:LWA983045 MFT983045:MFW983045 MPP983045:MPS983045 MZL983045:MZO983045 NJH983045:NJK983045 NTD983045:NTG983045 OCZ983045:ODC983045 OMV983045:OMY983045 OWR983045:OWU983045 PGN983045:PGQ983045 PQJ983045:PQM983045 QAF983045:QAI983045 QKB983045:QKE983045 QTX983045:QUA983045 RDT983045:RDW983045 RNP983045:RNS983045 RXL983045:RXO983045 SHH983045:SHK983045 SRD983045:SRG983045 TAZ983045:TBC983045 TKV983045:TKY983045 TUR983045:TUU983045 UEN983045:UEQ983045 UOJ983045:UOM983045 UYF983045:UYI983045 VIB983045:VIE983045 VRX983045:VSA983045 WBT983045:WBW983045 WLP983045:WLS983045 WVL983045:WVO983045">
      <formula1>Years</formula1>
    </dataValidation>
    <dataValidation type="list" allowBlank="1" showInputMessage="1" sqref="D3:G3 IZ3:JC3 SV3:SY3 ACR3:ACU3 AMN3:AMQ3 AWJ3:AWM3 BGF3:BGI3 BQB3:BQE3 BZX3:CAA3 CJT3:CJW3 CTP3:CTS3 DDL3:DDO3 DNH3:DNK3 DXD3:DXG3 EGZ3:EHC3 EQV3:EQY3 FAR3:FAU3 FKN3:FKQ3 FUJ3:FUM3 GEF3:GEI3 GOB3:GOE3 GXX3:GYA3 HHT3:HHW3 HRP3:HRS3 IBL3:IBO3 ILH3:ILK3 IVD3:IVG3 JEZ3:JFC3 JOV3:JOY3 JYR3:JYU3 KIN3:KIQ3 KSJ3:KSM3 LCF3:LCI3 LMB3:LME3 LVX3:LWA3 MFT3:MFW3 MPP3:MPS3 MZL3:MZO3 NJH3:NJK3 NTD3:NTG3 OCZ3:ODC3 OMV3:OMY3 OWR3:OWU3 PGN3:PGQ3 PQJ3:PQM3 QAF3:QAI3 QKB3:QKE3 QTX3:QUA3 RDT3:RDW3 RNP3:RNS3 RXL3:RXO3 SHH3:SHK3 SRD3:SRG3 TAZ3:TBC3 TKV3:TKY3 TUR3:TUU3 UEN3:UEQ3 UOJ3:UOM3 UYF3:UYI3 VIB3:VIE3 VRX3:VSA3 WBT3:WBW3 WLP3:WLS3 WVL3:WVO3 D65539:G65539 IZ65539:JC65539 SV65539:SY65539 ACR65539:ACU65539 AMN65539:AMQ65539 AWJ65539:AWM65539 BGF65539:BGI65539 BQB65539:BQE65539 BZX65539:CAA65539 CJT65539:CJW65539 CTP65539:CTS65539 DDL65539:DDO65539 DNH65539:DNK65539 DXD65539:DXG65539 EGZ65539:EHC65539 EQV65539:EQY65539 FAR65539:FAU65539 FKN65539:FKQ65539 FUJ65539:FUM65539 GEF65539:GEI65539 GOB65539:GOE65539 GXX65539:GYA65539 HHT65539:HHW65539 HRP65539:HRS65539 IBL65539:IBO65539 ILH65539:ILK65539 IVD65539:IVG65539 JEZ65539:JFC65539 JOV65539:JOY65539 JYR65539:JYU65539 KIN65539:KIQ65539 KSJ65539:KSM65539 LCF65539:LCI65539 LMB65539:LME65539 LVX65539:LWA65539 MFT65539:MFW65539 MPP65539:MPS65539 MZL65539:MZO65539 NJH65539:NJK65539 NTD65539:NTG65539 OCZ65539:ODC65539 OMV65539:OMY65539 OWR65539:OWU65539 PGN65539:PGQ65539 PQJ65539:PQM65539 QAF65539:QAI65539 QKB65539:QKE65539 QTX65539:QUA65539 RDT65539:RDW65539 RNP65539:RNS65539 RXL65539:RXO65539 SHH65539:SHK65539 SRD65539:SRG65539 TAZ65539:TBC65539 TKV65539:TKY65539 TUR65539:TUU65539 UEN65539:UEQ65539 UOJ65539:UOM65539 UYF65539:UYI65539 VIB65539:VIE65539 VRX65539:VSA65539 WBT65539:WBW65539 WLP65539:WLS65539 WVL65539:WVO65539 D131075:G131075 IZ131075:JC131075 SV131075:SY131075 ACR131075:ACU131075 AMN131075:AMQ131075 AWJ131075:AWM131075 BGF131075:BGI131075 BQB131075:BQE131075 BZX131075:CAA131075 CJT131075:CJW131075 CTP131075:CTS131075 DDL131075:DDO131075 DNH131075:DNK131075 DXD131075:DXG131075 EGZ131075:EHC131075 EQV131075:EQY131075 FAR131075:FAU131075 FKN131075:FKQ131075 FUJ131075:FUM131075 GEF131075:GEI131075 GOB131075:GOE131075 GXX131075:GYA131075 HHT131075:HHW131075 HRP131075:HRS131075 IBL131075:IBO131075 ILH131075:ILK131075 IVD131075:IVG131075 JEZ131075:JFC131075 JOV131075:JOY131075 JYR131075:JYU131075 KIN131075:KIQ131075 KSJ131075:KSM131075 LCF131075:LCI131075 LMB131075:LME131075 LVX131075:LWA131075 MFT131075:MFW131075 MPP131075:MPS131075 MZL131075:MZO131075 NJH131075:NJK131075 NTD131075:NTG131075 OCZ131075:ODC131075 OMV131075:OMY131075 OWR131075:OWU131075 PGN131075:PGQ131075 PQJ131075:PQM131075 QAF131075:QAI131075 QKB131075:QKE131075 QTX131075:QUA131075 RDT131075:RDW131075 RNP131075:RNS131075 RXL131075:RXO131075 SHH131075:SHK131075 SRD131075:SRG131075 TAZ131075:TBC131075 TKV131075:TKY131075 TUR131075:TUU131075 UEN131075:UEQ131075 UOJ131075:UOM131075 UYF131075:UYI131075 VIB131075:VIE131075 VRX131075:VSA131075 WBT131075:WBW131075 WLP131075:WLS131075 WVL131075:WVO131075 D196611:G196611 IZ196611:JC196611 SV196611:SY196611 ACR196611:ACU196611 AMN196611:AMQ196611 AWJ196611:AWM196611 BGF196611:BGI196611 BQB196611:BQE196611 BZX196611:CAA196611 CJT196611:CJW196611 CTP196611:CTS196611 DDL196611:DDO196611 DNH196611:DNK196611 DXD196611:DXG196611 EGZ196611:EHC196611 EQV196611:EQY196611 FAR196611:FAU196611 FKN196611:FKQ196611 FUJ196611:FUM196611 GEF196611:GEI196611 GOB196611:GOE196611 GXX196611:GYA196611 HHT196611:HHW196611 HRP196611:HRS196611 IBL196611:IBO196611 ILH196611:ILK196611 IVD196611:IVG196611 JEZ196611:JFC196611 JOV196611:JOY196611 JYR196611:JYU196611 KIN196611:KIQ196611 KSJ196611:KSM196611 LCF196611:LCI196611 LMB196611:LME196611 LVX196611:LWA196611 MFT196611:MFW196611 MPP196611:MPS196611 MZL196611:MZO196611 NJH196611:NJK196611 NTD196611:NTG196611 OCZ196611:ODC196611 OMV196611:OMY196611 OWR196611:OWU196611 PGN196611:PGQ196611 PQJ196611:PQM196611 QAF196611:QAI196611 QKB196611:QKE196611 QTX196611:QUA196611 RDT196611:RDW196611 RNP196611:RNS196611 RXL196611:RXO196611 SHH196611:SHK196611 SRD196611:SRG196611 TAZ196611:TBC196611 TKV196611:TKY196611 TUR196611:TUU196611 UEN196611:UEQ196611 UOJ196611:UOM196611 UYF196611:UYI196611 VIB196611:VIE196611 VRX196611:VSA196611 WBT196611:WBW196611 WLP196611:WLS196611 WVL196611:WVO196611 D262147:G262147 IZ262147:JC262147 SV262147:SY262147 ACR262147:ACU262147 AMN262147:AMQ262147 AWJ262147:AWM262147 BGF262147:BGI262147 BQB262147:BQE262147 BZX262147:CAA262147 CJT262147:CJW262147 CTP262147:CTS262147 DDL262147:DDO262147 DNH262147:DNK262147 DXD262147:DXG262147 EGZ262147:EHC262147 EQV262147:EQY262147 FAR262147:FAU262147 FKN262147:FKQ262147 FUJ262147:FUM262147 GEF262147:GEI262147 GOB262147:GOE262147 GXX262147:GYA262147 HHT262147:HHW262147 HRP262147:HRS262147 IBL262147:IBO262147 ILH262147:ILK262147 IVD262147:IVG262147 JEZ262147:JFC262147 JOV262147:JOY262147 JYR262147:JYU262147 KIN262147:KIQ262147 KSJ262147:KSM262147 LCF262147:LCI262147 LMB262147:LME262147 LVX262147:LWA262147 MFT262147:MFW262147 MPP262147:MPS262147 MZL262147:MZO262147 NJH262147:NJK262147 NTD262147:NTG262147 OCZ262147:ODC262147 OMV262147:OMY262147 OWR262147:OWU262147 PGN262147:PGQ262147 PQJ262147:PQM262147 QAF262147:QAI262147 QKB262147:QKE262147 QTX262147:QUA262147 RDT262147:RDW262147 RNP262147:RNS262147 RXL262147:RXO262147 SHH262147:SHK262147 SRD262147:SRG262147 TAZ262147:TBC262147 TKV262147:TKY262147 TUR262147:TUU262147 UEN262147:UEQ262147 UOJ262147:UOM262147 UYF262147:UYI262147 VIB262147:VIE262147 VRX262147:VSA262147 WBT262147:WBW262147 WLP262147:WLS262147 WVL262147:WVO262147 D327683:G327683 IZ327683:JC327683 SV327683:SY327683 ACR327683:ACU327683 AMN327683:AMQ327683 AWJ327683:AWM327683 BGF327683:BGI327683 BQB327683:BQE327683 BZX327683:CAA327683 CJT327683:CJW327683 CTP327683:CTS327683 DDL327683:DDO327683 DNH327683:DNK327683 DXD327683:DXG327683 EGZ327683:EHC327683 EQV327683:EQY327683 FAR327683:FAU327683 FKN327683:FKQ327683 FUJ327683:FUM327683 GEF327683:GEI327683 GOB327683:GOE327683 GXX327683:GYA327683 HHT327683:HHW327683 HRP327683:HRS327683 IBL327683:IBO327683 ILH327683:ILK327683 IVD327683:IVG327683 JEZ327683:JFC327683 JOV327683:JOY327683 JYR327683:JYU327683 KIN327683:KIQ327683 KSJ327683:KSM327683 LCF327683:LCI327683 LMB327683:LME327683 LVX327683:LWA327683 MFT327683:MFW327683 MPP327683:MPS327683 MZL327683:MZO327683 NJH327683:NJK327683 NTD327683:NTG327683 OCZ327683:ODC327683 OMV327683:OMY327683 OWR327683:OWU327683 PGN327683:PGQ327683 PQJ327683:PQM327683 QAF327683:QAI327683 QKB327683:QKE327683 QTX327683:QUA327683 RDT327683:RDW327683 RNP327683:RNS327683 RXL327683:RXO327683 SHH327683:SHK327683 SRD327683:SRG327683 TAZ327683:TBC327683 TKV327683:TKY327683 TUR327683:TUU327683 UEN327683:UEQ327683 UOJ327683:UOM327683 UYF327683:UYI327683 VIB327683:VIE327683 VRX327683:VSA327683 WBT327683:WBW327683 WLP327683:WLS327683 WVL327683:WVO327683 D393219:G393219 IZ393219:JC393219 SV393219:SY393219 ACR393219:ACU393219 AMN393219:AMQ393219 AWJ393219:AWM393219 BGF393219:BGI393219 BQB393219:BQE393219 BZX393219:CAA393219 CJT393219:CJW393219 CTP393219:CTS393219 DDL393219:DDO393219 DNH393219:DNK393219 DXD393219:DXG393219 EGZ393219:EHC393219 EQV393219:EQY393219 FAR393219:FAU393219 FKN393219:FKQ393219 FUJ393219:FUM393219 GEF393219:GEI393219 GOB393219:GOE393219 GXX393219:GYA393219 HHT393219:HHW393219 HRP393219:HRS393219 IBL393219:IBO393219 ILH393219:ILK393219 IVD393219:IVG393219 JEZ393219:JFC393219 JOV393219:JOY393219 JYR393219:JYU393219 KIN393219:KIQ393219 KSJ393219:KSM393219 LCF393219:LCI393219 LMB393219:LME393219 LVX393219:LWA393219 MFT393219:MFW393219 MPP393219:MPS393219 MZL393219:MZO393219 NJH393219:NJK393219 NTD393219:NTG393219 OCZ393219:ODC393219 OMV393219:OMY393219 OWR393219:OWU393219 PGN393219:PGQ393219 PQJ393219:PQM393219 QAF393219:QAI393219 QKB393219:QKE393219 QTX393219:QUA393219 RDT393219:RDW393219 RNP393219:RNS393219 RXL393219:RXO393219 SHH393219:SHK393219 SRD393219:SRG393219 TAZ393219:TBC393219 TKV393219:TKY393219 TUR393219:TUU393219 UEN393219:UEQ393219 UOJ393219:UOM393219 UYF393219:UYI393219 VIB393219:VIE393219 VRX393219:VSA393219 WBT393219:WBW393219 WLP393219:WLS393219 WVL393219:WVO393219 D458755:G458755 IZ458755:JC458755 SV458755:SY458755 ACR458755:ACU458755 AMN458755:AMQ458755 AWJ458755:AWM458755 BGF458755:BGI458755 BQB458755:BQE458755 BZX458755:CAA458755 CJT458755:CJW458755 CTP458755:CTS458755 DDL458755:DDO458755 DNH458755:DNK458755 DXD458755:DXG458755 EGZ458755:EHC458755 EQV458755:EQY458755 FAR458755:FAU458755 FKN458755:FKQ458755 FUJ458755:FUM458755 GEF458755:GEI458755 GOB458755:GOE458755 GXX458755:GYA458755 HHT458755:HHW458755 HRP458755:HRS458755 IBL458755:IBO458755 ILH458755:ILK458755 IVD458755:IVG458755 JEZ458755:JFC458755 JOV458755:JOY458755 JYR458755:JYU458755 KIN458755:KIQ458755 KSJ458755:KSM458755 LCF458755:LCI458755 LMB458755:LME458755 LVX458755:LWA458755 MFT458755:MFW458755 MPP458755:MPS458755 MZL458755:MZO458755 NJH458755:NJK458755 NTD458755:NTG458755 OCZ458755:ODC458755 OMV458755:OMY458755 OWR458755:OWU458755 PGN458755:PGQ458755 PQJ458755:PQM458755 QAF458755:QAI458755 QKB458755:QKE458755 QTX458755:QUA458755 RDT458755:RDW458755 RNP458755:RNS458755 RXL458755:RXO458755 SHH458755:SHK458755 SRD458755:SRG458755 TAZ458755:TBC458755 TKV458755:TKY458755 TUR458755:TUU458755 UEN458755:UEQ458755 UOJ458755:UOM458755 UYF458755:UYI458755 VIB458755:VIE458755 VRX458755:VSA458755 WBT458755:WBW458755 WLP458755:WLS458755 WVL458755:WVO458755 D524291:G524291 IZ524291:JC524291 SV524291:SY524291 ACR524291:ACU524291 AMN524291:AMQ524291 AWJ524291:AWM524291 BGF524291:BGI524291 BQB524291:BQE524291 BZX524291:CAA524291 CJT524291:CJW524291 CTP524291:CTS524291 DDL524291:DDO524291 DNH524291:DNK524291 DXD524291:DXG524291 EGZ524291:EHC524291 EQV524291:EQY524291 FAR524291:FAU524291 FKN524291:FKQ524291 FUJ524291:FUM524291 GEF524291:GEI524291 GOB524291:GOE524291 GXX524291:GYA524291 HHT524291:HHW524291 HRP524291:HRS524291 IBL524291:IBO524291 ILH524291:ILK524291 IVD524291:IVG524291 JEZ524291:JFC524291 JOV524291:JOY524291 JYR524291:JYU524291 KIN524291:KIQ524291 KSJ524291:KSM524291 LCF524291:LCI524291 LMB524291:LME524291 LVX524291:LWA524291 MFT524291:MFW524291 MPP524291:MPS524291 MZL524291:MZO524291 NJH524291:NJK524291 NTD524291:NTG524291 OCZ524291:ODC524291 OMV524291:OMY524291 OWR524291:OWU524291 PGN524291:PGQ524291 PQJ524291:PQM524291 QAF524291:QAI524291 QKB524291:QKE524291 QTX524291:QUA524291 RDT524291:RDW524291 RNP524291:RNS524291 RXL524291:RXO524291 SHH524291:SHK524291 SRD524291:SRG524291 TAZ524291:TBC524291 TKV524291:TKY524291 TUR524291:TUU524291 UEN524291:UEQ524291 UOJ524291:UOM524291 UYF524291:UYI524291 VIB524291:VIE524291 VRX524291:VSA524291 WBT524291:WBW524291 WLP524291:WLS524291 WVL524291:WVO524291 D589827:G589827 IZ589827:JC589827 SV589827:SY589827 ACR589827:ACU589827 AMN589827:AMQ589827 AWJ589827:AWM589827 BGF589827:BGI589827 BQB589827:BQE589827 BZX589827:CAA589827 CJT589827:CJW589827 CTP589827:CTS589827 DDL589827:DDO589827 DNH589827:DNK589827 DXD589827:DXG589827 EGZ589827:EHC589827 EQV589827:EQY589827 FAR589827:FAU589827 FKN589827:FKQ589827 FUJ589827:FUM589827 GEF589827:GEI589827 GOB589827:GOE589827 GXX589827:GYA589827 HHT589827:HHW589827 HRP589827:HRS589827 IBL589827:IBO589827 ILH589827:ILK589827 IVD589827:IVG589827 JEZ589827:JFC589827 JOV589827:JOY589827 JYR589827:JYU589827 KIN589827:KIQ589827 KSJ589827:KSM589827 LCF589827:LCI589827 LMB589827:LME589827 LVX589827:LWA589827 MFT589827:MFW589827 MPP589827:MPS589827 MZL589827:MZO589827 NJH589827:NJK589827 NTD589827:NTG589827 OCZ589827:ODC589827 OMV589827:OMY589827 OWR589827:OWU589827 PGN589827:PGQ589827 PQJ589827:PQM589827 QAF589827:QAI589827 QKB589827:QKE589827 QTX589827:QUA589827 RDT589827:RDW589827 RNP589827:RNS589827 RXL589827:RXO589827 SHH589827:SHK589827 SRD589827:SRG589827 TAZ589827:TBC589827 TKV589827:TKY589827 TUR589827:TUU589827 UEN589827:UEQ589827 UOJ589827:UOM589827 UYF589827:UYI589827 VIB589827:VIE589827 VRX589827:VSA589827 WBT589827:WBW589827 WLP589827:WLS589827 WVL589827:WVO589827 D655363:G655363 IZ655363:JC655363 SV655363:SY655363 ACR655363:ACU655363 AMN655363:AMQ655363 AWJ655363:AWM655363 BGF655363:BGI655363 BQB655363:BQE655363 BZX655363:CAA655363 CJT655363:CJW655363 CTP655363:CTS655363 DDL655363:DDO655363 DNH655363:DNK655363 DXD655363:DXG655363 EGZ655363:EHC655363 EQV655363:EQY655363 FAR655363:FAU655363 FKN655363:FKQ655363 FUJ655363:FUM655363 GEF655363:GEI655363 GOB655363:GOE655363 GXX655363:GYA655363 HHT655363:HHW655363 HRP655363:HRS655363 IBL655363:IBO655363 ILH655363:ILK655363 IVD655363:IVG655363 JEZ655363:JFC655363 JOV655363:JOY655363 JYR655363:JYU655363 KIN655363:KIQ655363 KSJ655363:KSM655363 LCF655363:LCI655363 LMB655363:LME655363 LVX655363:LWA655363 MFT655363:MFW655363 MPP655363:MPS655363 MZL655363:MZO655363 NJH655363:NJK655363 NTD655363:NTG655363 OCZ655363:ODC655363 OMV655363:OMY655363 OWR655363:OWU655363 PGN655363:PGQ655363 PQJ655363:PQM655363 QAF655363:QAI655363 QKB655363:QKE655363 QTX655363:QUA655363 RDT655363:RDW655363 RNP655363:RNS655363 RXL655363:RXO655363 SHH655363:SHK655363 SRD655363:SRG655363 TAZ655363:TBC655363 TKV655363:TKY655363 TUR655363:TUU655363 UEN655363:UEQ655363 UOJ655363:UOM655363 UYF655363:UYI655363 VIB655363:VIE655363 VRX655363:VSA655363 WBT655363:WBW655363 WLP655363:WLS655363 WVL655363:WVO655363 D720899:G720899 IZ720899:JC720899 SV720899:SY720899 ACR720899:ACU720899 AMN720899:AMQ720899 AWJ720899:AWM720899 BGF720899:BGI720899 BQB720899:BQE720899 BZX720899:CAA720899 CJT720899:CJW720899 CTP720899:CTS720899 DDL720899:DDO720899 DNH720899:DNK720899 DXD720899:DXG720899 EGZ720899:EHC720899 EQV720899:EQY720899 FAR720899:FAU720899 FKN720899:FKQ720899 FUJ720899:FUM720899 GEF720899:GEI720899 GOB720899:GOE720899 GXX720899:GYA720899 HHT720899:HHW720899 HRP720899:HRS720899 IBL720899:IBO720899 ILH720899:ILK720899 IVD720899:IVG720899 JEZ720899:JFC720899 JOV720899:JOY720899 JYR720899:JYU720899 KIN720899:KIQ720899 KSJ720899:KSM720899 LCF720899:LCI720899 LMB720899:LME720899 LVX720899:LWA720899 MFT720899:MFW720899 MPP720899:MPS720899 MZL720899:MZO720899 NJH720899:NJK720899 NTD720899:NTG720899 OCZ720899:ODC720899 OMV720899:OMY720899 OWR720899:OWU720899 PGN720899:PGQ720899 PQJ720899:PQM720899 QAF720899:QAI720899 QKB720899:QKE720899 QTX720899:QUA720899 RDT720899:RDW720899 RNP720899:RNS720899 RXL720899:RXO720899 SHH720899:SHK720899 SRD720899:SRG720899 TAZ720899:TBC720899 TKV720899:TKY720899 TUR720899:TUU720899 UEN720899:UEQ720899 UOJ720899:UOM720899 UYF720899:UYI720899 VIB720899:VIE720899 VRX720899:VSA720899 WBT720899:WBW720899 WLP720899:WLS720899 WVL720899:WVO720899 D786435:G786435 IZ786435:JC786435 SV786435:SY786435 ACR786435:ACU786435 AMN786435:AMQ786435 AWJ786435:AWM786435 BGF786435:BGI786435 BQB786435:BQE786435 BZX786435:CAA786435 CJT786435:CJW786435 CTP786435:CTS786435 DDL786435:DDO786435 DNH786435:DNK786435 DXD786435:DXG786435 EGZ786435:EHC786435 EQV786435:EQY786435 FAR786435:FAU786435 FKN786435:FKQ786435 FUJ786435:FUM786435 GEF786435:GEI786435 GOB786435:GOE786435 GXX786435:GYA786435 HHT786435:HHW786435 HRP786435:HRS786435 IBL786435:IBO786435 ILH786435:ILK786435 IVD786435:IVG786435 JEZ786435:JFC786435 JOV786435:JOY786435 JYR786435:JYU786435 KIN786435:KIQ786435 KSJ786435:KSM786435 LCF786435:LCI786435 LMB786435:LME786435 LVX786435:LWA786435 MFT786435:MFW786435 MPP786435:MPS786435 MZL786435:MZO786435 NJH786435:NJK786435 NTD786435:NTG786435 OCZ786435:ODC786435 OMV786435:OMY786435 OWR786435:OWU786435 PGN786435:PGQ786435 PQJ786435:PQM786435 QAF786435:QAI786435 QKB786435:QKE786435 QTX786435:QUA786435 RDT786435:RDW786435 RNP786435:RNS786435 RXL786435:RXO786435 SHH786435:SHK786435 SRD786435:SRG786435 TAZ786435:TBC786435 TKV786435:TKY786435 TUR786435:TUU786435 UEN786435:UEQ786435 UOJ786435:UOM786435 UYF786435:UYI786435 VIB786435:VIE786435 VRX786435:VSA786435 WBT786435:WBW786435 WLP786435:WLS786435 WVL786435:WVO786435 D851971:G851971 IZ851971:JC851971 SV851971:SY851971 ACR851971:ACU851971 AMN851971:AMQ851971 AWJ851971:AWM851971 BGF851971:BGI851971 BQB851971:BQE851971 BZX851971:CAA851971 CJT851971:CJW851971 CTP851971:CTS851971 DDL851971:DDO851971 DNH851971:DNK851971 DXD851971:DXG851971 EGZ851971:EHC851971 EQV851971:EQY851971 FAR851971:FAU851971 FKN851971:FKQ851971 FUJ851971:FUM851971 GEF851971:GEI851971 GOB851971:GOE851971 GXX851971:GYA851971 HHT851971:HHW851971 HRP851971:HRS851971 IBL851971:IBO851971 ILH851971:ILK851971 IVD851971:IVG851971 JEZ851971:JFC851971 JOV851971:JOY851971 JYR851971:JYU851971 KIN851971:KIQ851971 KSJ851971:KSM851971 LCF851971:LCI851971 LMB851971:LME851971 LVX851971:LWA851971 MFT851971:MFW851971 MPP851971:MPS851971 MZL851971:MZO851971 NJH851971:NJK851971 NTD851971:NTG851971 OCZ851971:ODC851971 OMV851971:OMY851971 OWR851971:OWU851971 PGN851971:PGQ851971 PQJ851971:PQM851971 QAF851971:QAI851971 QKB851971:QKE851971 QTX851971:QUA851971 RDT851971:RDW851971 RNP851971:RNS851971 RXL851971:RXO851971 SHH851971:SHK851971 SRD851971:SRG851971 TAZ851971:TBC851971 TKV851971:TKY851971 TUR851971:TUU851971 UEN851971:UEQ851971 UOJ851971:UOM851971 UYF851971:UYI851971 VIB851971:VIE851971 VRX851971:VSA851971 WBT851971:WBW851971 WLP851971:WLS851971 WVL851971:WVO851971 D917507:G917507 IZ917507:JC917507 SV917507:SY917507 ACR917507:ACU917507 AMN917507:AMQ917507 AWJ917507:AWM917507 BGF917507:BGI917507 BQB917507:BQE917507 BZX917507:CAA917507 CJT917507:CJW917507 CTP917507:CTS917507 DDL917507:DDO917507 DNH917507:DNK917507 DXD917507:DXG917507 EGZ917507:EHC917507 EQV917507:EQY917507 FAR917507:FAU917507 FKN917507:FKQ917507 FUJ917507:FUM917507 GEF917507:GEI917507 GOB917507:GOE917507 GXX917507:GYA917507 HHT917507:HHW917507 HRP917507:HRS917507 IBL917507:IBO917507 ILH917507:ILK917507 IVD917507:IVG917507 JEZ917507:JFC917507 JOV917507:JOY917507 JYR917507:JYU917507 KIN917507:KIQ917507 KSJ917507:KSM917507 LCF917507:LCI917507 LMB917507:LME917507 LVX917507:LWA917507 MFT917507:MFW917507 MPP917507:MPS917507 MZL917507:MZO917507 NJH917507:NJK917507 NTD917507:NTG917507 OCZ917507:ODC917507 OMV917507:OMY917507 OWR917507:OWU917507 PGN917507:PGQ917507 PQJ917507:PQM917507 QAF917507:QAI917507 QKB917507:QKE917507 QTX917507:QUA917507 RDT917507:RDW917507 RNP917507:RNS917507 RXL917507:RXO917507 SHH917507:SHK917507 SRD917507:SRG917507 TAZ917507:TBC917507 TKV917507:TKY917507 TUR917507:TUU917507 UEN917507:UEQ917507 UOJ917507:UOM917507 UYF917507:UYI917507 VIB917507:VIE917507 VRX917507:VSA917507 WBT917507:WBW917507 WLP917507:WLS917507 WVL917507:WVO917507 D983043:G983043 IZ983043:JC983043 SV983043:SY983043 ACR983043:ACU983043 AMN983043:AMQ983043 AWJ983043:AWM983043 BGF983043:BGI983043 BQB983043:BQE983043 BZX983043:CAA983043 CJT983043:CJW983043 CTP983043:CTS983043 DDL983043:DDO983043 DNH983043:DNK983043 DXD983043:DXG983043 EGZ983043:EHC983043 EQV983043:EQY983043 FAR983043:FAU983043 FKN983043:FKQ983043 FUJ983043:FUM983043 GEF983043:GEI983043 GOB983043:GOE983043 GXX983043:GYA983043 HHT983043:HHW983043 HRP983043:HRS983043 IBL983043:IBO983043 ILH983043:ILK983043 IVD983043:IVG983043 JEZ983043:JFC983043 JOV983043:JOY983043 JYR983043:JYU983043 KIN983043:KIQ983043 KSJ983043:KSM983043 LCF983043:LCI983043 LMB983043:LME983043 LVX983043:LWA983043 MFT983043:MFW983043 MPP983043:MPS983043 MZL983043:MZO983043 NJH983043:NJK983043 NTD983043:NTG983043 OCZ983043:ODC983043 OMV983043:OMY983043 OWR983043:OWU983043 PGN983043:PGQ983043 PQJ983043:PQM983043 QAF983043:QAI983043 QKB983043:QKE983043 QTX983043:QUA983043 RDT983043:RDW983043 RNP983043:RNS983043 RXL983043:RXO983043 SHH983043:SHK983043 SRD983043:SRG983043 TAZ983043:TBC983043 TKV983043:TKY983043 TUR983043:TUU983043 UEN983043:UEQ983043 UOJ983043:UOM983043 UYF983043:UYI983043 VIB983043:VIE983043 VRX983043:VSA983043 WBT983043:WBW983043 WLP983043:WLS983043 WVL983043:WVO983043">
      <formula1>Country_Applicant</formula1>
    </dataValidation>
    <dataValidation type="list" allowBlank="1" showInputMessage="1" showErrorMessage="1" sqref="D6:G6 IZ6:JC6 SV6:SY6 ACR6:ACU6 AMN6:AMQ6 AWJ6:AWM6 BGF6:BGI6 BQB6:BQE6 BZX6:CAA6 CJT6:CJW6 CTP6:CTS6 DDL6:DDO6 DNH6:DNK6 DXD6:DXG6 EGZ6:EHC6 EQV6:EQY6 FAR6:FAU6 FKN6:FKQ6 FUJ6:FUM6 GEF6:GEI6 GOB6:GOE6 GXX6:GYA6 HHT6:HHW6 HRP6:HRS6 IBL6:IBO6 ILH6:ILK6 IVD6:IVG6 JEZ6:JFC6 JOV6:JOY6 JYR6:JYU6 KIN6:KIQ6 KSJ6:KSM6 LCF6:LCI6 LMB6:LME6 LVX6:LWA6 MFT6:MFW6 MPP6:MPS6 MZL6:MZO6 NJH6:NJK6 NTD6:NTG6 OCZ6:ODC6 OMV6:OMY6 OWR6:OWU6 PGN6:PGQ6 PQJ6:PQM6 QAF6:QAI6 QKB6:QKE6 QTX6:QUA6 RDT6:RDW6 RNP6:RNS6 RXL6:RXO6 SHH6:SHK6 SRD6:SRG6 TAZ6:TBC6 TKV6:TKY6 TUR6:TUU6 UEN6:UEQ6 UOJ6:UOM6 UYF6:UYI6 VIB6:VIE6 VRX6:VSA6 WBT6:WBW6 WLP6:WLS6 WVL6:WVO6 D65542:G65542 IZ65542:JC65542 SV65542:SY65542 ACR65542:ACU65542 AMN65542:AMQ65542 AWJ65542:AWM65542 BGF65542:BGI65542 BQB65542:BQE65542 BZX65542:CAA65542 CJT65542:CJW65542 CTP65542:CTS65542 DDL65542:DDO65542 DNH65542:DNK65542 DXD65542:DXG65542 EGZ65542:EHC65542 EQV65542:EQY65542 FAR65542:FAU65542 FKN65542:FKQ65542 FUJ65542:FUM65542 GEF65542:GEI65542 GOB65542:GOE65542 GXX65542:GYA65542 HHT65542:HHW65542 HRP65542:HRS65542 IBL65542:IBO65542 ILH65542:ILK65542 IVD65542:IVG65542 JEZ65542:JFC65542 JOV65542:JOY65542 JYR65542:JYU65542 KIN65542:KIQ65542 KSJ65542:KSM65542 LCF65542:LCI65542 LMB65542:LME65542 LVX65542:LWA65542 MFT65542:MFW65542 MPP65542:MPS65542 MZL65542:MZO65542 NJH65542:NJK65542 NTD65542:NTG65542 OCZ65542:ODC65542 OMV65542:OMY65542 OWR65542:OWU65542 PGN65542:PGQ65542 PQJ65542:PQM65542 QAF65542:QAI65542 QKB65542:QKE65542 QTX65542:QUA65542 RDT65542:RDW65542 RNP65542:RNS65542 RXL65542:RXO65542 SHH65542:SHK65542 SRD65542:SRG65542 TAZ65542:TBC65542 TKV65542:TKY65542 TUR65542:TUU65542 UEN65542:UEQ65542 UOJ65542:UOM65542 UYF65542:UYI65542 VIB65542:VIE65542 VRX65542:VSA65542 WBT65542:WBW65542 WLP65542:WLS65542 WVL65542:WVO65542 D131078:G131078 IZ131078:JC131078 SV131078:SY131078 ACR131078:ACU131078 AMN131078:AMQ131078 AWJ131078:AWM131078 BGF131078:BGI131078 BQB131078:BQE131078 BZX131078:CAA131078 CJT131078:CJW131078 CTP131078:CTS131078 DDL131078:DDO131078 DNH131078:DNK131078 DXD131078:DXG131078 EGZ131078:EHC131078 EQV131078:EQY131078 FAR131078:FAU131078 FKN131078:FKQ131078 FUJ131078:FUM131078 GEF131078:GEI131078 GOB131078:GOE131078 GXX131078:GYA131078 HHT131078:HHW131078 HRP131078:HRS131078 IBL131078:IBO131078 ILH131078:ILK131078 IVD131078:IVG131078 JEZ131078:JFC131078 JOV131078:JOY131078 JYR131078:JYU131078 KIN131078:KIQ131078 KSJ131078:KSM131078 LCF131078:LCI131078 LMB131078:LME131078 LVX131078:LWA131078 MFT131078:MFW131078 MPP131078:MPS131078 MZL131078:MZO131078 NJH131078:NJK131078 NTD131078:NTG131078 OCZ131078:ODC131078 OMV131078:OMY131078 OWR131078:OWU131078 PGN131078:PGQ131078 PQJ131078:PQM131078 QAF131078:QAI131078 QKB131078:QKE131078 QTX131078:QUA131078 RDT131078:RDW131078 RNP131078:RNS131078 RXL131078:RXO131078 SHH131078:SHK131078 SRD131078:SRG131078 TAZ131078:TBC131078 TKV131078:TKY131078 TUR131078:TUU131078 UEN131078:UEQ131078 UOJ131078:UOM131078 UYF131078:UYI131078 VIB131078:VIE131078 VRX131078:VSA131078 WBT131078:WBW131078 WLP131078:WLS131078 WVL131078:WVO131078 D196614:G196614 IZ196614:JC196614 SV196614:SY196614 ACR196614:ACU196614 AMN196614:AMQ196614 AWJ196614:AWM196614 BGF196614:BGI196614 BQB196614:BQE196614 BZX196614:CAA196614 CJT196614:CJW196614 CTP196614:CTS196614 DDL196614:DDO196614 DNH196614:DNK196614 DXD196614:DXG196614 EGZ196614:EHC196614 EQV196614:EQY196614 FAR196614:FAU196614 FKN196614:FKQ196614 FUJ196614:FUM196614 GEF196614:GEI196614 GOB196614:GOE196614 GXX196614:GYA196614 HHT196614:HHW196614 HRP196614:HRS196614 IBL196614:IBO196614 ILH196614:ILK196614 IVD196614:IVG196614 JEZ196614:JFC196614 JOV196614:JOY196614 JYR196614:JYU196614 KIN196614:KIQ196614 KSJ196614:KSM196614 LCF196614:LCI196614 LMB196614:LME196614 LVX196614:LWA196614 MFT196614:MFW196614 MPP196614:MPS196614 MZL196614:MZO196614 NJH196614:NJK196614 NTD196614:NTG196614 OCZ196614:ODC196614 OMV196614:OMY196614 OWR196614:OWU196614 PGN196614:PGQ196614 PQJ196614:PQM196614 QAF196614:QAI196614 QKB196614:QKE196614 QTX196614:QUA196614 RDT196614:RDW196614 RNP196614:RNS196614 RXL196614:RXO196614 SHH196614:SHK196614 SRD196614:SRG196614 TAZ196614:TBC196614 TKV196614:TKY196614 TUR196614:TUU196614 UEN196614:UEQ196614 UOJ196614:UOM196614 UYF196614:UYI196614 VIB196614:VIE196614 VRX196614:VSA196614 WBT196614:WBW196614 WLP196614:WLS196614 WVL196614:WVO196614 D262150:G262150 IZ262150:JC262150 SV262150:SY262150 ACR262150:ACU262150 AMN262150:AMQ262150 AWJ262150:AWM262150 BGF262150:BGI262150 BQB262150:BQE262150 BZX262150:CAA262150 CJT262150:CJW262150 CTP262150:CTS262150 DDL262150:DDO262150 DNH262150:DNK262150 DXD262150:DXG262150 EGZ262150:EHC262150 EQV262150:EQY262150 FAR262150:FAU262150 FKN262150:FKQ262150 FUJ262150:FUM262150 GEF262150:GEI262150 GOB262150:GOE262150 GXX262150:GYA262150 HHT262150:HHW262150 HRP262150:HRS262150 IBL262150:IBO262150 ILH262150:ILK262150 IVD262150:IVG262150 JEZ262150:JFC262150 JOV262150:JOY262150 JYR262150:JYU262150 KIN262150:KIQ262150 KSJ262150:KSM262150 LCF262150:LCI262150 LMB262150:LME262150 LVX262150:LWA262150 MFT262150:MFW262150 MPP262150:MPS262150 MZL262150:MZO262150 NJH262150:NJK262150 NTD262150:NTG262150 OCZ262150:ODC262150 OMV262150:OMY262150 OWR262150:OWU262150 PGN262150:PGQ262150 PQJ262150:PQM262150 QAF262150:QAI262150 QKB262150:QKE262150 QTX262150:QUA262150 RDT262150:RDW262150 RNP262150:RNS262150 RXL262150:RXO262150 SHH262150:SHK262150 SRD262150:SRG262150 TAZ262150:TBC262150 TKV262150:TKY262150 TUR262150:TUU262150 UEN262150:UEQ262150 UOJ262150:UOM262150 UYF262150:UYI262150 VIB262150:VIE262150 VRX262150:VSA262150 WBT262150:WBW262150 WLP262150:WLS262150 WVL262150:WVO262150 D327686:G327686 IZ327686:JC327686 SV327686:SY327686 ACR327686:ACU327686 AMN327686:AMQ327686 AWJ327686:AWM327686 BGF327686:BGI327686 BQB327686:BQE327686 BZX327686:CAA327686 CJT327686:CJW327686 CTP327686:CTS327686 DDL327686:DDO327686 DNH327686:DNK327686 DXD327686:DXG327686 EGZ327686:EHC327686 EQV327686:EQY327686 FAR327686:FAU327686 FKN327686:FKQ327686 FUJ327686:FUM327686 GEF327686:GEI327686 GOB327686:GOE327686 GXX327686:GYA327686 HHT327686:HHW327686 HRP327686:HRS327686 IBL327686:IBO327686 ILH327686:ILK327686 IVD327686:IVG327686 JEZ327686:JFC327686 JOV327686:JOY327686 JYR327686:JYU327686 KIN327686:KIQ327686 KSJ327686:KSM327686 LCF327686:LCI327686 LMB327686:LME327686 LVX327686:LWA327686 MFT327686:MFW327686 MPP327686:MPS327686 MZL327686:MZO327686 NJH327686:NJK327686 NTD327686:NTG327686 OCZ327686:ODC327686 OMV327686:OMY327686 OWR327686:OWU327686 PGN327686:PGQ327686 PQJ327686:PQM327686 QAF327686:QAI327686 QKB327686:QKE327686 QTX327686:QUA327686 RDT327686:RDW327686 RNP327686:RNS327686 RXL327686:RXO327686 SHH327686:SHK327686 SRD327686:SRG327686 TAZ327686:TBC327686 TKV327686:TKY327686 TUR327686:TUU327686 UEN327686:UEQ327686 UOJ327686:UOM327686 UYF327686:UYI327686 VIB327686:VIE327686 VRX327686:VSA327686 WBT327686:WBW327686 WLP327686:WLS327686 WVL327686:WVO327686 D393222:G393222 IZ393222:JC393222 SV393222:SY393222 ACR393222:ACU393222 AMN393222:AMQ393222 AWJ393222:AWM393222 BGF393222:BGI393222 BQB393222:BQE393222 BZX393222:CAA393222 CJT393222:CJW393222 CTP393222:CTS393222 DDL393222:DDO393222 DNH393222:DNK393222 DXD393222:DXG393222 EGZ393222:EHC393222 EQV393222:EQY393222 FAR393222:FAU393222 FKN393222:FKQ393222 FUJ393222:FUM393222 GEF393222:GEI393222 GOB393222:GOE393222 GXX393222:GYA393222 HHT393222:HHW393222 HRP393222:HRS393222 IBL393222:IBO393222 ILH393222:ILK393222 IVD393222:IVG393222 JEZ393222:JFC393222 JOV393222:JOY393222 JYR393222:JYU393222 KIN393222:KIQ393222 KSJ393222:KSM393222 LCF393222:LCI393222 LMB393222:LME393222 LVX393222:LWA393222 MFT393222:MFW393222 MPP393222:MPS393222 MZL393222:MZO393222 NJH393222:NJK393222 NTD393222:NTG393222 OCZ393222:ODC393222 OMV393222:OMY393222 OWR393222:OWU393222 PGN393222:PGQ393222 PQJ393222:PQM393222 QAF393222:QAI393222 QKB393222:QKE393222 QTX393222:QUA393222 RDT393222:RDW393222 RNP393222:RNS393222 RXL393222:RXO393222 SHH393222:SHK393222 SRD393222:SRG393222 TAZ393222:TBC393222 TKV393222:TKY393222 TUR393222:TUU393222 UEN393222:UEQ393222 UOJ393222:UOM393222 UYF393222:UYI393222 VIB393222:VIE393222 VRX393222:VSA393222 WBT393222:WBW393222 WLP393222:WLS393222 WVL393222:WVO393222 D458758:G458758 IZ458758:JC458758 SV458758:SY458758 ACR458758:ACU458758 AMN458758:AMQ458758 AWJ458758:AWM458758 BGF458758:BGI458758 BQB458758:BQE458758 BZX458758:CAA458758 CJT458758:CJW458758 CTP458758:CTS458758 DDL458758:DDO458758 DNH458758:DNK458758 DXD458758:DXG458758 EGZ458758:EHC458758 EQV458758:EQY458758 FAR458758:FAU458758 FKN458758:FKQ458758 FUJ458758:FUM458758 GEF458758:GEI458758 GOB458758:GOE458758 GXX458758:GYA458758 HHT458758:HHW458758 HRP458758:HRS458758 IBL458758:IBO458758 ILH458758:ILK458758 IVD458758:IVG458758 JEZ458758:JFC458758 JOV458758:JOY458758 JYR458758:JYU458758 KIN458758:KIQ458758 KSJ458758:KSM458758 LCF458758:LCI458758 LMB458758:LME458758 LVX458758:LWA458758 MFT458758:MFW458758 MPP458758:MPS458758 MZL458758:MZO458758 NJH458758:NJK458758 NTD458758:NTG458758 OCZ458758:ODC458758 OMV458758:OMY458758 OWR458758:OWU458758 PGN458758:PGQ458758 PQJ458758:PQM458758 QAF458758:QAI458758 QKB458758:QKE458758 QTX458758:QUA458758 RDT458758:RDW458758 RNP458758:RNS458758 RXL458758:RXO458758 SHH458758:SHK458758 SRD458758:SRG458758 TAZ458758:TBC458758 TKV458758:TKY458758 TUR458758:TUU458758 UEN458758:UEQ458758 UOJ458758:UOM458758 UYF458758:UYI458758 VIB458758:VIE458758 VRX458758:VSA458758 WBT458758:WBW458758 WLP458758:WLS458758 WVL458758:WVO458758 D524294:G524294 IZ524294:JC524294 SV524294:SY524294 ACR524294:ACU524294 AMN524294:AMQ524294 AWJ524294:AWM524294 BGF524294:BGI524294 BQB524294:BQE524294 BZX524294:CAA524294 CJT524294:CJW524294 CTP524294:CTS524294 DDL524294:DDO524294 DNH524294:DNK524294 DXD524294:DXG524294 EGZ524294:EHC524294 EQV524294:EQY524294 FAR524294:FAU524294 FKN524294:FKQ524294 FUJ524294:FUM524294 GEF524294:GEI524294 GOB524294:GOE524294 GXX524294:GYA524294 HHT524294:HHW524294 HRP524294:HRS524294 IBL524294:IBO524294 ILH524294:ILK524294 IVD524294:IVG524294 JEZ524294:JFC524294 JOV524294:JOY524294 JYR524294:JYU524294 KIN524294:KIQ524294 KSJ524294:KSM524294 LCF524294:LCI524294 LMB524294:LME524294 LVX524294:LWA524294 MFT524294:MFW524294 MPP524294:MPS524294 MZL524294:MZO524294 NJH524294:NJK524294 NTD524294:NTG524294 OCZ524294:ODC524294 OMV524294:OMY524294 OWR524294:OWU524294 PGN524294:PGQ524294 PQJ524294:PQM524294 QAF524294:QAI524294 QKB524294:QKE524294 QTX524294:QUA524294 RDT524294:RDW524294 RNP524294:RNS524294 RXL524294:RXO524294 SHH524294:SHK524294 SRD524294:SRG524294 TAZ524294:TBC524294 TKV524294:TKY524294 TUR524294:TUU524294 UEN524294:UEQ524294 UOJ524294:UOM524294 UYF524294:UYI524294 VIB524294:VIE524294 VRX524294:VSA524294 WBT524294:WBW524294 WLP524294:WLS524294 WVL524294:WVO524294 D589830:G589830 IZ589830:JC589830 SV589830:SY589830 ACR589830:ACU589830 AMN589830:AMQ589830 AWJ589830:AWM589830 BGF589830:BGI589830 BQB589830:BQE589830 BZX589830:CAA589830 CJT589830:CJW589830 CTP589830:CTS589830 DDL589830:DDO589830 DNH589830:DNK589830 DXD589830:DXG589830 EGZ589830:EHC589830 EQV589830:EQY589830 FAR589830:FAU589830 FKN589830:FKQ589830 FUJ589830:FUM589830 GEF589830:GEI589830 GOB589830:GOE589830 GXX589830:GYA589830 HHT589830:HHW589830 HRP589830:HRS589830 IBL589830:IBO589830 ILH589830:ILK589830 IVD589830:IVG589830 JEZ589830:JFC589830 JOV589830:JOY589830 JYR589830:JYU589830 KIN589830:KIQ589830 KSJ589830:KSM589830 LCF589830:LCI589830 LMB589830:LME589830 LVX589830:LWA589830 MFT589830:MFW589830 MPP589830:MPS589830 MZL589830:MZO589830 NJH589830:NJK589830 NTD589830:NTG589830 OCZ589830:ODC589830 OMV589830:OMY589830 OWR589830:OWU589830 PGN589830:PGQ589830 PQJ589830:PQM589830 QAF589830:QAI589830 QKB589830:QKE589830 QTX589830:QUA589830 RDT589830:RDW589830 RNP589830:RNS589830 RXL589830:RXO589830 SHH589830:SHK589830 SRD589830:SRG589830 TAZ589830:TBC589830 TKV589830:TKY589830 TUR589830:TUU589830 UEN589830:UEQ589830 UOJ589830:UOM589830 UYF589830:UYI589830 VIB589830:VIE589830 VRX589830:VSA589830 WBT589830:WBW589830 WLP589830:WLS589830 WVL589830:WVO589830 D655366:G655366 IZ655366:JC655366 SV655366:SY655366 ACR655366:ACU655366 AMN655366:AMQ655366 AWJ655366:AWM655366 BGF655366:BGI655366 BQB655366:BQE655366 BZX655366:CAA655366 CJT655366:CJW655366 CTP655366:CTS655366 DDL655366:DDO655366 DNH655366:DNK655366 DXD655366:DXG655366 EGZ655366:EHC655366 EQV655366:EQY655366 FAR655366:FAU655366 FKN655366:FKQ655366 FUJ655366:FUM655366 GEF655366:GEI655366 GOB655366:GOE655366 GXX655366:GYA655366 HHT655366:HHW655366 HRP655366:HRS655366 IBL655366:IBO655366 ILH655366:ILK655366 IVD655366:IVG655366 JEZ655366:JFC655366 JOV655366:JOY655366 JYR655366:JYU655366 KIN655366:KIQ655366 KSJ655366:KSM655366 LCF655366:LCI655366 LMB655366:LME655366 LVX655366:LWA655366 MFT655366:MFW655366 MPP655366:MPS655366 MZL655366:MZO655366 NJH655366:NJK655366 NTD655366:NTG655366 OCZ655366:ODC655366 OMV655366:OMY655366 OWR655366:OWU655366 PGN655366:PGQ655366 PQJ655366:PQM655366 QAF655366:QAI655366 QKB655366:QKE655366 QTX655366:QUA655366 RDT655366:RDW655366 RNP655366:RNS655366 RXL655366:RXO655366 SHH655366:SHK655366 SRD655366:SRG655366 TAZ655366:TBC655366 TKV655366:TKY655366 TUR655366:TUU655366 UEN655366:UEQ655366 UOJ655366:UOM655366 UYF655366:UYI655366 VIB655366:VIE655366 VRX655366:VSA655366 WBT655366:WBW655366 WLP655366:WLS655366 WVL655366:WVO655366 D720902:G720902 IZ720902:JC720902 SV720902:SY720902 ACR720902:ACU720902 AMN720902:AMQ720902 AWJ720902:AWM720902 BGF720902:BGI720902 BQB720902:BQE720902 BZX720902:CAA720902 CJT720902:CJW720902 CTP720902:CTS720902 DDL720902:DDO720902 DNH720902:DNK720902 DXD720902:DXG720902 EGZ720902:EHC720902 EQV720902:EQY720902 FAR720902:FAU720902 FKN720902:FKQ720902 FUJ720902:FUM720902 GEF720902:GEI720902 GOB720902:GOE720902 GXX720902:GYA720902 HHT720902:HHW720902 HRP720902:HRS720902 IBL720902:IBO720902 ILH720902:ILK720902 IVD720902:IVG720902 JEZ720902:JFC720902 JOV720902:JOY720902 JYR720902:JYU720902 KIN720902:KIQ720902 KSJ720902:KSM720902 LCF720902:LCI720902 LMB720902:LME720902 LVX720902:LWA720902 MFT720902:MFW720902 MPP720902:MPS720902 MZL720902:MZO720902 NJH720902:NJK720902 NTD720902:NTG720902 OCZ720902:ODC720902 OMV720902:OMY720902 OWR720902:OWU720902 PGN720902:PGQ720902 PQJ720902:PQM720902 QAF720902:QAI720902 QKB720902:QKE720902 QTX720902:QUA720902 RDT720902:RDW720902 RNP720902:RNS720902 RXL720902:RXO720902 SHH720902:SHK720902 SRD720902:SRG720902 TAZ720902:TBC720902 TKV720902:TKY720902 TUR720902:TUU720902 UEN720902:UEQ720902 UOJ720902:UOM720902 UYF720902:UYI720902 VIB720902:VIE720902 VRX720902:VSA720902 WBT720902:WBW720902 WLP720902:WLS720902 WVL720902:WVO720902 D786438:G786438 IZ786438:JC786438 SV786438:SY786438 ACR786438:ACU786438 AMN786438:AMQ786438 AWJ786438:AWM786438 BGF786438:BGI786438 BQB786438:BQE786438 BZX786438:CAA786438 CJT786438:CJW786438 CTP786438:CTS786438 DDL786438:DDO786438 DNH786438:DNK786438 DXD786438:DXG786438 EGZ786438:EHC786438 EQV786438:EQY786438 FAR786438:FAU786438 FKN786438:FKQ786438 FUJ786438:FUM786438 GEF786438:GEI786438 GOB786438:GOE786438 GXX786438:GYA786438 HHT786438:HHW786438 HRP786438:HRS786438 IBL786438:IBO786438 ILH786438:ILK786438 IVD786438:IVG786438 JEZ786438:JFC786438 JOV786438:JOY786438 JYR786438:JYU786438 KIN786438:KIQ786438 KSJ786438:KSM786438 LCF786438:LCI786438 LMB786438:LME786438 LVX786438:LWA786438 MFT786438:MFW786438 MPP786438:MPS786438 MZL786438:MZO786438 NJH786438:NJK786438 NTD786438:NTG786438 OCZ786438:ODC786438 OMV786438:OMY786438 OWR786438:OWU786438 PGN786438:PGQ786438 PQJ786438:PQM786438 QAF786438:QAI786438 QKB786438:QKE786438 QTX786438:QUA786438 RDT786438:RDW786438 RNP786438:RNS786438 RXL786438:RXO786438 SHH786438:SHK786438 SRD786438:SRG786438 TAZ786438:TBC786438 TKV786438:TKY786438 TUR786438:TUU786438 UEN786438:UEQ786438 UOJ786438:UOM786438 UYF786438:UYI786438 VIB786438:VIE786438 VRX786438:VSA786438 WBT786438:WBW786438 WLP786438:WLS786438 WVL786438:WVO786438 D851974:G851974 IZ851974:JC851974 SV851974:SY851974 ACR851974:ACU851974 AMN851974:AMQ851974 AWJ851974:AWM851974 BGF851974:BGI851974 BQB851974:BQE851974 BZX851974:CAA851974 CJT851974:CJW851974 CTP851974:CTS851974 DDL851974:DDO851974 DNH851974:DNK851974 DXD851974:DXG851974 EGZ851974:EHC851974 EQV851974:EQY851974 FAR851974:FAU851974 FKN851974:FKQ851974 FUJ851974:FUM851974 GEF851974:GEI851974 GOB851974:GOE851974 GXX851974:GYA851974 HHT851974:HHW851974 HRP851974:HRS851974 IBL851974:IBO851974 ILH851974:ILK851974 IVD851974:IVG851974 JEZ851974:JFC851974 JOV851974:JOY851974 JYR851974:JYU851974 KIN851974:KIQ851974 KSJ851974:KSM851974 LCF851974:LCI851974 LMB851974:LME851974 LVX851974:LWA851974 MFT851974:MFW851974 MPP851974:MPS851974 MZL851974:MZO851974 NJH851974:NJK851974 NTD851974:NTG851974 OCZ851974:ODC851974 OMV851974:OMY851974 OWR851974:OWU851974 PGN851974:PGQ851974 PQJ851974:PQM851974 QAF851974:QAI851974 QKB851974:QKE851974 QTX851974:QUA851974 RDT851974:RDW851974 RNP851974:RNS851974 RXL851974:RXO851974 SHH851974:SHK851974 SRD851974:SRG851974 TAZ851974:TBC851974 TKV851974:TKY851974 TUR851974:TUU851974 UEN851974:UEQ851974 UOJ851974:UOM851974 UYF851974:UYI851974 VIB851974:VIE851974 VRX851974:VSA851974 WBT851974:WBW851974 WLP851974:WLS851974 WVL851974:WVO851974 D917510:G917510 IZ917510:JC917510 SV917510:SY917510 ACR917510:ACU917510 AMN917510:AMQ917510 AWJ917510:AWM917510 BGF917510:BGI917510 BQB917510:BQE917510 BZX917510:CAA917510 CJT917510:CJW917510 CTP917510:CTS917510 DDL917510:DDO917510 DNH917510:DNK917510 DXD917510:DXG917510 EGZ917510:EHC917510 EQV917510:EQY917510 FAR917510:FAU917510 FKN917510:FKQ917510 FUJ917510:FUM917510 GEF917510:GEI917510 GOB917510:GOE917510 GXX917510:GYA917510 HHT917510:HHW917510 HRP917510:HRS917510 IBL917510:IBO917510 ILH917510:ILK917510 IVD917510:IVG917510 JEZ917510:JFC917510 JOV917510:JOY917510 JYR917510:JYU917510 KIN917510:KIQ917510 KSJ917510:KSM917510 LCF917510:LCI917510 LMB917510:LME917510 LVX917510:LWA917510 MFT917510:MFW917510 MPP917510:MPS917510 MZL917510:MZO917510 NJH917510:NJK917510 NTD917510:NTG917510 OCZ917510:ODC917510 OMV917510:OMY917510 OWR917510:OWU917510 PGN917510:PGQ917510 PQJ917510:PQM917510 QAF917510:QAI917510 QKB917510:QKE917510 QTX917510:QUA917510 RDT917510:RDW917510 RNP917510:RNS917510 RXL917510:RXO917510 SHH917510:SHK917510 SRD917510:SRG917510 TAZ917510:TBC917510 TKV917510:TKY917510 TUR917510:TUU917510 UEN917510:UEQ917510 UOJ917510:UOM917510 UYF917510:UYI917510 VIB917510:VIE917510 VRX917510:VSA917510 WBT917510:WBW917510 WLP917510:WLS917510 WVL917510:WVO917510 D983046:G983046 IZ983046:JC983046 SV983046:SY983046 ACR983046:ACU983046 AMN983046:AMQ983046 AWJ983046:AWM983046 BGF983046:BGI983046 BQB983046:BQE983046 BZX983046:CAA983046 CJT983046:CJW983046 CTP983046:CTS983046 DDL983046:DDO983046 DNH983046:DNK983046 DXD983046:DXG983046 EGZ983046:EHC983046 EQV983046:EQY983046 FAR983046:FAU983046 FKN983046:FKQ983046 FUJ983046:FUM983046 GEF983046:GEI983046 GOB983046:GOE983046 GXX983046:GYA983046 HHT983046:HHW983046 HRP983046:HRS983046 IBL983046:IBO983046 ILH983046:ILK983046 IVD983046:IVG983046 JEZ983046:JFC983046 JOV983046:JOY983046 JYR983046:JYU983046 KIN983046:KIQ983046 KSJ983046:KSM983046 LCF983046:LCI983046 LMB983046:LME983046 LVX983046:LWA983046 MFT983046:MFW983046 MPP983046:MPS983046 MZL983046:MZO983046 NJH983046:NJK983046 NTD983046:NTG983046 OCZ983046:ODC983046 OMV983046:OMY983046 OWR983046:OWU983046 PGN983046:PGQ983046 PQJ983046:PQM983046 QAF983046:QAI983046 QKB983046:QKE983046 QTX983046:QUA983046 RDT983046:RDW983046 RNP983046:RNS983046 RXL983046:RXO983046 SHH983046:SHK983046 SRD983046:SRG983046 TAZ983046:TBC983046 TKV983046:TKY983046 TUR983046:TUU983046 UEN983046:UEQ983046 UOJ983046:UOM983046 UYF983046:UYI983046 VIB983046:VIE983046 VRX983046:VSA983046 WBT983046:WBW983046 WLP983046:WLS983046 WVL983046:WVO983046">
      <formula1>Months</formula1>
    </dataValidation>
  </dataValidations>
  <pageMargins left="0.7" right="0.7" top="0.75" bottom="0.75" header="0.3" footer="0.3"/>
  <pageSetup paperSize="8" scale="31" fitToHeight="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Z176"/>
  <sheetViews>
    <sheetView tabSelected="1" zoomScale="85" zoomScaleNormal="85" zoomScaleSheetLayoutView="25" workbookViewId="0">
      <selection activeCell="P1" sqref="P1:T1"/>
    </sheetView>
  </sheetViews>
  <sheetFormatPr defaultRowHeight="15" x14ac:dyDescent="0.2"/>
  <cols>
    <col min="1" max="1" width="9.7109375" style="1" customWidth="1"/>
    <col min="2" max="2" width="16.85546875" style="1" customWidth="1"/>
    <col min="3" max="3" width="10.85546875" style="1" customWidth="1"/>
    <col min="4" max="4" width="13.7109375" style="1" customWidth="1"/>
    <col min="5" max="5" width="4.5703125" style="1" customWidth="1"/>
    <col min="6" max="6" width="13.85546875" style="1" customWidth="1"/>
    <col min="7" max="7" width="10.5703125" style="1" customWidth="1"/>
    <col min="8" max="8" width="11.42578125" style="1" customWidth="1"/>
    <col min="9" max="9" width="12.5703125" style="1" customWidth="1"/>
    <col min="10" max="10" width="13.5703125" style="1" customWidth="1"/>
    <col min="11" max="12" width="6.85546875" style="1" customWidth="1"/>
    <col min="13" max="13" width="9.7109375" style="1" customWidth="1"/>
    <col min="14" max="14" width="5.7109375" style="1" customWidth="1"/>
    <col min="15" max="15" width="9.7109375" style="1" customWidth="1"/>
    <col min="16" max="16" width="5.7109375" style="1" customWidth="1"/>
    <col min="17" max="17" width="9.7109375" style="1" customWidth="1"/>
    <col min="18" max="18" width="5.7109375" style="1" customWidth="1"/>
    <col min="19" max="19" width="9.7109375" style="1" customWidth="1"/>
    <col min="20" max="20" width="5.7109375" style="1" customWidth="1"/>
    <col min="21" max="21" width="7.7109375" style="1" customWidth="1"/>
    <col min="22" max="22" width="2.85546875" style="1" customWidth="1"/>
    <col min="23" max="23" width="2.7109375" style="1" customWidth="1"/>
    <col min="24" max="24" width="6.7109375" style="1" customWidth="1"/>
    <col min="25" max="25" width="7.28515625" style="1" customWidth="1"/>
    <col min="26" max="26" width="8.85546875" style="1" customWidth="1"/>
    <col min="27" max="27" width="6.85546875" style="1" customWidth="1"/>
    <col min="28" max="28" width="8.28515625" style="1" customWidth="1"/>
    <col min="29" max="29" width="7.28515625" style="1" customWidth="1"/>
    <col min="30" max="30" width="8.42578125" style="1" customWidth="1"/>
    <col min="31" max="31" width="6.7109375" style="1" customWidth="1"/>
    <col min="32" max="32" width="8.5703125" style="1" customWidth="1"/>
    <col min="33" max="33" width="6.7109375" style="1" customWidth="1"/>
    <col min="34" max="34" width="8.85546875" style="1" customWidth="1"/>
    <col min="35" max="35" width="6.7109375" style="1" customWidth="1"/>
    <col min="36" max="36" width="14.140625" style="1" hidden="1" customWidth="1"/>
    <col min="37" max="37" width="13.140625" style="1" hidden="1" customWidth="1"/>
    <col min="38" max="38" width="15" style="225" hidden="1" customWidth="1"/>
    <col min="39" max="39" width="17.5703125" style="1" hidden="1" customWidth="1"/>
    <col min="40" max="40" width="13.85546875" style="75" hidden="1" customWidth="1"/>
    <col min="41" max="41" width="13.28515625" style="75" hidden="1" customWidth="1"/>
    <col min="42" max="42" width="10.85546875" style="1" bestFit="1" customWidth="1"/>
    <col min="43" max="69" width="6.7109375" style="1" customWidth="1"/>
    <col min="70" max="16384" width="9.140625" style="1"/>
  </cols>
  <sheetData>
    <row r="1" spans="1:78" ht="34.5" customHeight="1" x14ac:dyDescent="0.2">
      <c r="A1" s="147" t="str">
        <f ca="1">Translations!A81</f>
        <v xml:space="preserve">Modular Approach - Concept Note </v>
      </c>
      <c r="B1" s="148"/>
      <c r="C1" s="148"/>
      <c r="D1" s="148"/>
      <c r="E1" s="148"/>
      <c r="F1" s="148"/>
      <c r="G1" s="148"/>
      <c r="H1" s="148"/>
      <c r="I1" s="148"/>
      <c r="J1" s="148"/>
      <c r="K1" s="148"/>
      <c r="L1" s="148"/>
      <c r="M1" s="148"/>
      <c r="N1" s="15"/>
      <c r="O1" s="46" t="str">
        <f ca="1">Translations!$A$80</f>
        <v>Language:</v>
      </c>
      <c r="P1" s="478" t="s">
        <v>537</v>
      </c>
      <c r="Q1" s="479"/>
      <c r="R1" s="479"/>
      <c r="S1" s="479"/>
      <c r="T1" s="480"/>
      <c r="U1" s="126"/>
      <c r="V1" s="127"/>
      <c r="W1" s="127"/>
      <c r="X1" s="127"/>
      <c r="Y1" s="127"/>
      <c r="Z1" s="149"/>
      <c r="AA1" s="87"/>
      <c r="AB1" s="87"/>
      <c r="AC1" s="87"/>
      <c r="AD1" s="87"/>
      <c r="AE1" s="87"/>
      <c r="AF1" s="87"/>
      <c r="AG1" s="87"/>
      <c r="AH1" s="87"/>
      <c r="AI1" s="87"/>
      <c r="AJ1" s="50"/>
      <c r="AK1" s="50"/>
      <c r="AL1" s="220"/>
      <c r="AM1" s="50"/>
      <c r="AN1" s="87"/>
      <c r="AO1" s="87"/>
      <c r="AP1" s="50"/>
      <c r="AQ1" s="50"/>
      <c r="AR1" s="50"/>
      <c r="AS1" s="50"/>
      <c r="AT1" s="50"/>
      <c r="AU1" s="50"/>
      <c r="AV1" s="50"/>
      <c r="AW1" s="50"/>
      <c r="AX1" s="50"/>
      <c r="AY1" s="50"/>
      <c r="AZ1" s="26"/>
      <c r="BA1" s="26"/>
      <c r="BB1" s="26"/>
      <c r="BC1" s="26"/>
      <c r="BD1" s="26"/>
      <c r="BE1" s="26"/>
      <c r="BF1" s="26"/>
      <c r="BG1" s="26"/>
      <c r="BH1" s="28"/>
      <c r="BI1" s="28"/>
      <c r="BJ1" s="28"/>
      <c r="BK1" s="28"/>
    </row>
    <row r="2" spans="1:78" s="2" customFormat="1" ht="18" customHeight="1" x14ac:dyDescent="0.2">
      <c r="A2" s="146" t="str">
        <f ca="1">Translations!$A$7</f>
        <v>A. Program details</v>
      </c>
      <c r="B2" s="120"/>
      <c r="C2" s="120"/>
      <c r="D2" s="120"/>
      <c r="E2" s="120"/>
      <c r="F2" s="120"/>
      <c r="G2" s="120"/>
      <c r="H2" s="120"/>
      <c r="I2" s="120"/>
      <c r="J2" s="120"/>
      <c r="K2" s="120"/>
      <c r="L2" s="120"/>
      <c r="M2" s="120"/>
      <c r="N2" s="13"/>
      <c r="O2" s="13"/>
      <c r="P2" s="13"/>
      <c r="Q2" s="13"/>
      <c r="R2" s="13"/>
      <c r="S2" s="13"/>
      <c r="T2" s="125"/>
      <c r="U2" s="153"/>
      <c r="V2" s="151"/>
      <c r="W2" s="151"/>
      <c r="X2" s="151"/>
      <c r="Y2" s="151"/>
      <c r="Z2" s="152"/>
      <c r="AA2" s="87"/>
      <c r="AB2" s="87"/>
      <c r="AC2" s="87"/>
      <c r="AD2" s="87"/>
      <c r="AE2" s="87"/>
      <c r="AF2" s="87"/>
      <c r="AG2" s="87"/>
      <c r="AH2" s="87"/>
      <c r="AI2" s="87"/>
      <c r="AJ2" s="42"/>
      <c r="AK2" s="42"/>
      <c r="AL2" s="221"/>
      <c r="AM2" s="42"/>
      <c r="AN2" s="87"/>
      <c r="AO2" s="87"/>
      <c r="AP2" s="42"/>
      <c r="AQ2" s="42"/>
      <c r="AR2" s="42"/>
      <c r="AS2" s="42"/>
      <c r="AT2" s="42"/>
      <c r="AU2" s="42"/>
      <c r="AV2" s="42"/>
      <c r="AW2" s="42"/>
      <c r="AX2" s="42"/>
      <c r="AY2" s="42"/>
      <c r="AZ2" s="42"/>
      <c r="BA2" s="42"/>
      <c r="BB2" s="42"/>
      <c r="BC2" s="42"/>
      <c r="BD2" s="42"/>
      <c r="BE2" s="42"/>
      <c r="BF2" s="42"/>
      <c r="BG2" s="42"/>
      <c r="BH2" s="47"/>
      <c r="BI2" s="47"/>
      <c r="BJ2" s="47"/>
      <c r="BK2" s="47"/>
    </row>
    <row r="3" spans="1:78" ht="18" customHeight="1" x14ac:dyDescent="0.2">
      <c r="A3" s="344" t="str">
        <f ca="1">Translations!$A$8</f>
        <v>Country / Applicant:</v>
      </c>
      <c r="B3" s="345"/>
      <c r="C3" s="707" t="s">
        <v>0</v>
      </c>
      <c r="D3" s="708"/>
      <c r="E3" s="708"/>
      <c r="F3" s="708"/>
      <c r="G3" s="709"/>
      <c r="H3" s="359" t="str">
        <f ca="1">Translations!$A$13</f>
        <v>Principal Recipients</v>
      </c>
      <c r="I3" s="360"/>
      <c r="J3" s="361"/>
      <c r="K3" s="481"/>
      <c r="L3" s="481"/>
      <c r="M3" s="481"/>
      <c r="N3" s="481"/>
      <c r="O3" s="481"/>
      <c r="P3" s="481"/>
      <c r="Q3" s="481"/>
      <c r="R3" s="481"/>
      <c r="S3" s="691" t="str">
        <f>IFERROR(VLOOKUP(K3,Definitions!R:S,2,FALSE),"")</f>
        <v/>
      </c>
      <c r="T3" s="692"/>
      <c r="U3" s="359" t="str">
        <f ca="1">Translations!$A$77</f>
        <v>Total requested
amount</v>
      </c>
      <c r="V3" s="360"/>
      <c r="W3" s="360"/>
      <c r="X3" s="360"/>
      <c r="Y3" s="360"/>
      <c r="Z3" s="391"/>
      <c r="AA3" s="87"/>
      <c r="AB3" s="87"/>
      <c r="AC3" s="87"/>
      <c r="AD3" s="87"/>
      <c r="AE3" s="87"/>
      <c r="AF3" s="87"/>
      <c r="AG3" s="87"/>
      <c r="AH3" s="87"/>
      <c r="AI3" s="87"/>
      <c r="AJ3" s="50"/>
      <c r="AK3" s="50"/>
      <c r="AL3" s="220"/>
      <c r="AM3" s="50"/>
      <c r="AN3" s="87"/>
      <c r="AO3" s="87"/>
      <c r="AP3" s="50"/>
      <c r="AQ3" s="50"/>
      <c r="AR3" s="50"/>
      <c r="AS3" s="50"/>
      <c r="AT3" s="50"/>
      <c r="AU3" s="50"/>
      <c r="AV3" s="50"/>
      <c r="AW3" s="50"/>
      <c r="AX3" s="50"/>
      <c r="AY3" s="26"/>
      <c r="AZ3" s="26"/>
      <c r="BA3" s="26"/>
      <c r="BB3" s="26"/>
      <c r="BC3" s="26"/>
      <c r="BD3" s="26"/>
      <c r="BE3" s="26"/>
      <c r="BF3" s="26"/>
      <c r="BG3" s="26"/>
      <c r="BH3" s="26"/>
      <c r="BI3" s="26"/>
      <c r="BJ3" s="26"/>
      <c r="BK3" s="26"/>
      <c r="BL3" s="26"/>
      <c r="BM3" s="26"/>
      <c r="BN3" s="26"/>
      <c r="BO3" s="26"/>
      <c r="BP3" s="26"/>
      <c r="BQ3" s="26"/>
      <c r="BR3" s="26"/>
      <c r="BS3" s="26"/>
      <c r="BT3" s="28"/>
      <c r="BU3" s="28"/>
      <c r="BV3" s="28"/>
      <c r="BW3" s="28"/>
    </row>
    <row r="4" spans="1:78" ht="18" customHeight="1" x14ac:dyDescent="0.2">
      <c r="A4" s="344" t="str">
        <f ca="1">Translations!$A$9</f>
        <v>Component:</v>
      </c>
      <c r="B4" s="345"/>
      <c r="C4" s="710" t="str">
        <f ca="1">Translations!$A$72</f>
        <v>Please select…</v>
      </c>
      <c r="D4" s="711"/>
      <c r="E4" s="711"/>
      <c r="F4" s="711"/>
      <c r="G4" s="712"/>
      <c r="H4" s="362"/>
      <c r="I4" s="363"/>
      <c r="J4" s="364"/>
      <c r="K4" s="484"/>
      <c r="L4" s="484"/>
      <c r="M4" s="484"/>
      <c r="N4" s="484"/>
      <c r="O4" s="484"/>
      <c r="P4" s="484"/>
      <c r="Q4" s="484"/>
      <c r="R4" s="484"/>
      <c r="S4" s="693" t="str">
        <f>IFERROR(VLOOKUP(K4,Definitions!R:S,2,FALSE),"")</f>
        <v/>
      </c>
      <c r="T4" s="694"/>
      <c r="U4" s="362"/>
      <c r="V4" s="363"/>
      <c r="W4" s="363"/>
      <c r="X4" s="363"/>
      <c r="Y4" s="363"/>
      <c r="Z4" s="410"/>
      <c r="AA4" s="87"/>
      <c r="AB4" s="87"/>
      <c r="AC4" s="87"/>
      <c r="AD4" s="87"/>
      <c r="AE4" s="87"/>
      <c r="AF4" s="87"/>
      <c r="AG4" s="87"/>
      <c r="AH4" s="87"/>
      <c r="AI4" s="87"/>
      <c r="AJ4" s="50"/>
      <c r="AK4" s="50"/>
      <c r="AL4" s="220"/>
      <c r="AM4" s="50"/>
      <c r="AN4" s="87"/>
      <c r="AO4" s="87"/>
      <c r="AP4" s="50"/>
      <c r="AQ4" s="50"/>
      <c r="AR4" s="50"/>
      <c r="AS4" s="50"/>
      <c r="AT4" s="50"/>
      <c r="AU4" s="50"/>
      <c r="AV4" s="50"/>
      <c r="AW4" s="50"/>
      <c r="AX4" s="50"/>
      <c r="AY4" s="26"/>
      <c r="AZ4" s="26"/>
      <c r="BA4" s="26"/>
      <c r="BB4" s="26"/>
      <c r="BC4" s="26"/>
      <c r="BD4" s="26"/>
      <c r="BE4" s="26"/>
      <c r="BF4" s="26"/>
      <c r="BG4" s="26"/>
      <c r="BH4" s="26"/>
      <c r="BI4" s="26"/>
      <c r="BJ4" s="26"/>
      <c r="BK4" s="26"/>
      <c r="BL4" s="26"/>
      <c r="BM4" s="26"/>
      <c r="BN4" s="26"/>
      <c r="BO4" s="26"/>
      <c r="BP4" s="26"/>
      <c r="BQ4" s="26"/>
      <c r="BR4" s="26"/>
      <c r="BS4" s="26"/>
      <c r="BT4" s="28"/>
      <c r="BU4" s="28"/>
      <c r="BV4" s="28"/>
      <c r="BW4" s="28"/>
    </row>
    <row r="5" spans="1:78" ht="18" customHeight="1" x14ac:dyDescent="0.2">
      <c r="A5" s="344" t="str">
        <f ca="1">Translations!$A$10</f>
        <v>Start Year:</v>
      </c>
      <c r="B5" s="345"/>
      <c r="C5" s="710" t="str">
        <f ca="1">Translations!$A$72</f>
        <v>Please select…</v>
      </c>
      <c r="D5" s="711"/>
      <c r="E5" s="711"/>
      <c r="F5" s="711"/>
      <c r="G5" s="712"/>
      <c r="H5" s="349" t="str">
        <f ca="1">Translations!$A$14</f>
        <v>(Please select from list or add a new one)</v>
      </c>
      <c r="I5" s="350"/>
      <c r="J5" s="351"/>
      <c r="K5" s="484"/>
      <c r="L5" s="484"/>
      <c r="M5" s="484"/>
      <c r="N5" s="484"/>
      <c r="O5" s="484"/>
      <c r="P5" s="484"/>
      <c r="Q5" s="484"/>
      <c r="R5" s="484"/>
      <c r="S5" s="693" t="str">
        <f>IFERROR(VLOOKUP(K5,Definitions!R:S,2,FALSE),"")</f>
        <v/>
      </c>
      <c r="T5" s="694"/>
      <c r="U5" s="496" t="str">
        <f ca="1">Translations!$A$78</f>
        <v>Indicative</v>
      </c>
      <c r="V5" s="497"/>
      <c r="W5" s="497"/>
      <c r="X5" s="497"/>
      <c r="Y5" s="653">
        <f ca="1">SUMIF(A:A,Translations!$A$84,F:F)</f>
        <v>0</v>
      </c>
      <c r="Z5" s="654"/>
      <c r="AA5" s="87"/>
      <c r="AB5" s="87"/>
      <c r="AC5" s="87"/>
      <c r="AD5" s="87"/>
      <c r="AE5" s="87"/>
      <c r="AF5" s="87"/>
      <c r="AG5" s="87"/>
      <c r="AH5" s="87"/>
      <c r="AI5" s="87"/>
      <c r="AJ5" s="50"/>
      <c r="AK5" s="50"/>
      <c r="AL5" s="220"/>
      <c r="AM5" s="50"/>
      <c r="AN5" s="87"/>
      <c r="AO5" s="87"/>
      <c r="AP5" s="50"/>
      <c r="AQ5" s="50"/>
      <c r="AR5" s="50"/>
      <c r="AS5" s="50"/>
      <c r="AT5" s="50"/>
      <c r="AU5" s="50"/>
      <c r="AV5" s="50"/>
      <c r="AW5" s="50"/>
      <c r="AX5" s="50"/>
      <c r="AY5" s="26"/>
      <c r="AZ5" s="26"/>
      <c r="BA5" s="26"/>
      <c r="BB5" s="26"/>
      <c r="BC5" s="26"/>
      <c r="BD5" s="26"/>
      <c r="BE5" s="26"/>
      <c r="BF5" s="26"/>
      <c r="BG5" s="26"/>
      <c r="BH5" s="26"/>
      <c r="BI5" s="26"/>
      <c r="BJ5" s="26"/>
      <c r="BK5" s="26"/>
      <c r="BL5" s="26"/>
      <c r="BM5" s="26"/>
      <c r="BN5" s="26"/>
      <c r="BO5" s="26"/>
      <c r="BP5" s="26"/>
      <c r="BQ5" s="26"/>
      <c r="BR5" s="26"/>
      <c r="BS5" s="26"/>
      <c r="BT5" s="28"/>
      <c r="BU5" s="28"/>
      <c r="BV5" s="28"/>
      <c r="BW5" s="28"/>
    </row>
    <row r="6" spans="1:78" ht="18" customHeight="1" x14ac:dyDescent="0.2">
      <c r="A6" s="344" t="str">
        <f ca="1">Translations!$A$11</f>
        <v>Start Month:</v>
      </c>
      <c r="B6" s="345"/>
      <c r="C6" s="713" t="str">
        <f ca="1">Translations!$A$72</f>
        <v>Please select…</v>
      </c>
      <c r="D6" s="714"/>
      <c r="E6" s="714"/>
      <c r="F6" s="714"/>
      <c r="G6" s="715"/>
      <c r="H6" s="352"/>
      <c r="I6" s="353"/>
      <c r="J6" s="354"/>
      <c r="K6" s="484"/>
      <c r="L6" s="484"/>
      <c r="M6" s="484"/>
      <c r="N6" s="484"/>
      <c r="O6" s="484"/>
      <c r="P6" s="484"/>
      <c r="Q6" s="484"/>
      <c r="R6" s="484"/>
      <c r="S6" s="695" t="str">
        <f>IFERROR(VLOOKUP(K6,Definitions!R:S,2,FALSE),"")</f>
        <v/>
      </c>
      <c r="T6" s="696"/>
      <c r="U6" s="502" t="str">
        <f ca="1">Translations!$A$79</f>
        <v>Above indicative</v>
      </c>
      <c r="V6" s="503"/>
      <c r="W6" s="503"/>
      <c r="X6" s="503"/>
      <c r="Y6" s="655">
        <f ca="1">SUMIF(J:J,Translations!$A$85,Q:Q)</f>
        <v>0</v>
      </c>
      <c r="Z6" s="656"/>
      <c r="AA6" s="87"/>
      <c r="AB6" s="87"/>
      <c r="AC6" s="87"/>
      <c r="AD6" s="87"/>
      <c r="AE6" s="87"/>
      <c r="AF6" s="87"/>
      <c r="AG6" s="87"/>
      <c r="AH6" s="87"/>
      <c r="AI6" s="87"/>
      <c r="AJ6" s="50"/>
      <c r="AK6" s="50"/>
      <c r="AL6" s="220"/>
      <c r="AM6" s="50"/>
      <c r="AN6" s="87"/>
      <c r="AO6" s="87"/>
      <c r="AP6" s="50"/>
      <c r="AQ6" s="50"/>
      <c r="AR6" s="50"/>
      <c r="AS6" s="50"/>
      <c r="AT6" s="50"/>
      <c r="AU6" s="50"/>
      <c r="AV6" s="50"/>
      <c r="AW6" s="50"/>
      <c r="AX6" s="50"/>
      <c r="AY6" s="26"/>
      <c r="AZ6" s="26"/>
      <c r="BA6" s="26"/>
      <c r="BB6" s="26"/>
      <c r="BC6" s="26"/>
      <c r="BD6" s="26"/>
      <c r="BE6" s="26"/>
      <c r="BF6" s="26"/>
      <c r="BG6" s="26"/>
      <c r="BH6" s="26"/>
      <c r="BI6" s="26"/>
      <c r="BJ6" s="26"/>
      <c r="BK6" s="26"/>
      <c r="BL6" s="26"/>
      <c r="BM6" s="26"/>
      <c r="BN6" s="26"/>
      <c r="BO6" s="26"/>
      <c r="BP6" s="26"/>
      <c r="BQ6" s="26"/>
      <c r="BR6" s="26"/>
      <c r="BS6" s="26"/>
      <c r="BT6" s="28"/>
      <c r="BU6" s="28"/>
      <c r="BV6" s="28"/>
      <c r="BW6" s="28"/>
    </row>
    <row r="7" spans="1:78" ht="11.25" customHeight="1" x14ac:dyDescent="0.2">
      <c r="A7" s="365"/>
      <c r="B7" s="365"/>
      <c r="C7" s="365"/>
      <c r="D7" s="365"/>
      <c r="E7" s="365"/>
      <c r="F7" s="365"/>
      <c r="G7" s="365"/>
      <c r="H7" s="365"/>
      <c r="I7" s="365"/>
      <c r="J7" s="365"/>
      <c r="K7" s="365"/>
      <c r="L7" s="365"/>
      <c r="M7" s="365"/>
      <c r="N7" s="365"/>
      <c r="O7" s="365"/>
      <c r="P7" s="365"/>
      <c r="Q7" s="365"/>
      <c r="R7" s="365"/>
      <c r="S7" s="365"/>
      <c r="T7" s="365"/>
      <c r="U7" s="365"/>
      <c r="V7" s="365"/>
      <c r="W7" s="365"/>
      <c r="X7" s="365"/>
      <c r="Y7" s="365"/>
      <c r="Z7" s="150"/>
      <c r="AA7" s="87"/>
      <c r="AB7" s="87"/>
      <c r="AC7" s="87"/>
      <c r="AD7" s="87"/>
      <c r="AE7" s="87"/>
      <c r="AF7" s="87"/>
      <c r="AG7" s="87"/>
      <c r="AH7" s="87"/>
      <c r="AI7" s="87"/>
      <c r="AJ7" s="50"/>
      <c r="AK7" s="50"/>
      <c r="AL7" s="220"/>
      <c r="AM7" s="50"/>
      <c r="AN7" s="87"/>
      <c r="AO7" s="87"/>
      <c r="AP7" s="50"/>
      <c r="AQ7" s="50"/>
      <c r="AR7" s="50"/>
      <c r="AS7" s="50"/>
      <c r="AT7" s="50"/>
      <c r="AU7" s="50"/>
      <c r="AV7" s="50"/>
      <c r="AW7" s="50"/>
      <c r="AX7" s="50"/>
      <c r="AY7" s="50"/>
      <c r="AZ7" s="50"/>
      <c r="BA7" s="50"/>
      <c r="BB7" s="26"/>
      <c r="BC7" s="26"/>
      <c r="BD7" s="26"/>
      <c r="BE7" s="26"/>
      <c r="BF7" s="26"/>
      <c r="BG7" s="26"/>
      <c r="BH7" s="26"/>
      <c r="BI7" s="26"/>
      <c r="BJ7" s="26"/>
      <c r="BK7" s="26"/>
      <c r="BL7" s="26"/>
      <c r="BM7" s="26"/>
      <c r="BN7" s="26"/>
      <c r="BO7" s="26"/>
      <c r="BP7" s="26"/>
      <c r="BQ7" s="26"/>
      <c r="BR7" s="26"/>
      <c r="BS7" s="26"/>
      <c r="BT7" s="26"/>
      <c r="BU7" s="26"/>
      <c r="BV7" s="26"/>
      <c r="BW7" s="28"/>
      <c r="BX7" s="28"/>
      <c r="BY7" s="28"/>
      <c r="BZ7" s="28"/>
    </row>
    <row r="8" spans="1:78" s="2" customFormat="1" ht="18" customHeight="1" x14ac:dyDescent="0.2">
      <c r="A8" s="373" t="str">
        <f ca="1">Translations!$A$25</f>
        <v>B. Program goals and impact indicators</v>
      </c>
      <c r="B8" s="374"/>
      <c r="C8" s="374"/>
      <c r="D8" s="374"/>
      <c r="E8" s="374"/>
      <c r="F8" s="374"/>
      <c r="G8" s="374"/>
      <c r="H8" s="374"/>
      <c r="I8" s="374"/>
      <c r="J8" s="374"/>
      <c r="K8" s="374"/>
      <c r="L8" s="374"/>
      <c r="M8" s="374"/>
      <c r="N8" s="374"/>
      <c r="O8" s="374"/>
      <c r="P8" s="374"/>
      <c r="Q8" s="374"/>
      <c r="R8" s="374"/>
      <c r="S8" s="374"/>
      <c r="T8" s="374"/>
      <c r="U8" s="374"/>
      <c r="V8" s="374"/>
      <c r="W8" s="374"/>
      <c r="X8" s="374"/>
      <c r="Y8" s="374"/>
      <c r="Z8" s="375"/>
      <c r="AA8" s="87"/>
      <c r="AB8" s="87"/>
      <c r="AC8" s="87"/>
      <c r="AD8" s="87"/>
      <c r="AE8" s="87"/>
      <c r="AF8" s="87"/>
      <c r="AG8" s="87"/>
      <c r="AH8" s="87"/>
      <c r="AI8" s="87"/>
      <c r="AJ8" s="42"/>
      <c r="AK8" s="42"/>
      <c r="AL8" s="221"/>
      <c r="AM8" s="42"/>
      <c r="AN8" s="87"/>
      <c r="AO8" s="87"/>
      <c r="AP8" s="42"/>
      <c r="AQ8" s="42"/>
      <c r="AR8" s="42"/>
      <c r="AS8" s="42"/>
      <c r="AT8" s="42"/>
      <c r="AU8" s="42"/>
      <c r="AV8" s="50"/>
      <c r="AW8" s="50"/>
      <c r="AX8" s="50"/>
      <c r="AY8" s="50"/>
      <c r="AZ8" s="50"/>
      <c r="BA8" s="50"/>
      <c r="BB8" s="26"/>
      <c r="BC8" s="26"/>
      <c r="BD8" s="47"/>
      <c r="BE8" s="47"/>
      <c r="BF8" s="47"/>
      <c r="BG8" s="47"/>
    </row>
    <row r="9" spans="1:78" s="6" customFormat="1" ht="18" customHeight="1" x14ac:dyDescent="0.2">
      <c r="A9" s="344" t="str">
        <f ca="1">Translations!$A$26</f>
        <v xml:space="preserve">  Goals:</v>
      </c>
      <c r="B9" s="345"/>
      <c r="C9" s="345"/>
      <c r="D9" s="345"/>
      <c r="E9" s="345"/>
      <c r="F9" s="345"/>
      <c r="G9" s="345"/>
      <c r="H9" s="345"/>
      <c r="I9" s="345"/>
      <c r="J9" s="345"/>
      <c r="K9" s="345"/>
      <c r="L9" s="345"/>
      <c r="M9" s="345"/>
      <c r="N9" s="345"/>
      <c r="O9" s="345"/>
      <c r="P9" s="345"/>
      <c r="Q9" s="345"/>
      <c r="R9" s="345"/>
      <c r="S9" s="345"/>
      <c r="T9" s="345"/>
      <c r="U9" s="345"/>
      <c r="V9" s="345"/>
      <c r="W9" s="345"/>
      <c r="X9" s="345"/>
      <c r="Y9" s="345"/>
      <c r="Z9" s="366"/>
      <c r="AA9" s="87"/>
      <c r="AB9" s="87"/>
      <c r="AC9" s="87"/>
      <c r="AD9" s="87"/>
      <c r="AE9" s="87"/>
      <c r="AF9" s="87"/>
      <c r="AG9" s="87"/>
      <c r="AH9" s="87"/>
      <c r="AI9" s="87"/>
      <c r="AJ9" s="43"/>
      <c r="AK9" s="43"/>
      <c r="AL9" s="220"/>
      <c r="AM9" s="43"/>
      <c r="AN9" s="93"/>
      <c r="AO9" s="93"/>
      <c r="AP9" s="43"/>
      <c r="AQ9" s="43"/>
      <c r="AR9" s="43"/>
      <c r="AS9" s="43"/>
      <c r="AT9" s="43"/>
      <c r="AU9" s="43"/>
      <c r="AV9" s="50"/>
      <c r="AW9" s="50"/>
      <c r="AX9" s="50"/>
      <c r="AY9" s="50"/>
      <c r="AZ9" s="50"/>
      <c r="BA9" s="50"/>
      <c r="BB9" s="26"/>
      <c r="BC9" s="26"/>
      <c r="BD9" s="48"/>
      <c r="BE9" s="48"/>
      <c r="BF9" s="48"/>
      <c r="BG9" s="48"/>
    </row>
    <row r="10" spans="1:78" s="27" customFormat="1" ht="18" customHeight="1" x14ac:dyDescent="0.2">
      <c r="A10" s="154">
        <v>1</v>
      </c>
      <c r="B10" s="376"/>
      <c r="C10" s="377"/>
      <c r="D10" s="377"/>
      <c r="E10" s="377"/>
      <c r="F10" s="377"/>
      <c r="G10" s="377"/>
      <c r="H10" s="377"/>
      <c r="I10" s="377"/>
      <c r="J10" s="377"/>
      <c r="K10" s="377"/>
      <c r="L10" s="377"/>
      <c r="M10" s="377"/>
      <c r="N10" s="377"/>
      <c r="O10" s="377"/>
      <c r="P10" s="377"/>
      <c r="Q10" s="377"/>
      <c r="R10" s="377"/>
      <c r="S10" s="377"/>
      <c r="T10" s="377"/>
      <c r="U10" s="377"/>
      <c r="V10" s="377"/>
      <c r="W10" s="377"/>
      <c r="X10" s="377"/>
      <c r="Y10" s="377"/>
      <c r="Z10" s="378"/>
      <c r="AA10" s="87"/>
      <c r="AB10" s="87"/>
      <c r="AC10" s="87"/>
      <c r="AD10" s="87"/>
      <c r="AE10" s="87"/>
      <c r="AF10" s="87"/>
      <c r="AG10" s="87"/>
      <c r="AH10" s="87"/>
      <c r="AI10" s="87"/>
      <c r="AJ10" s="50"/>
      <c r="AK10" s="50"/>
      <c r="AL10" s="220"/>
      <c r="AM10" s="50"/>
      <c r="AN10" s="87"/>
      <c r="AO10" s="87"/>
      <c r="AP10" s="50"/>
      <c r="AQ10" s="50"/>
      <c r="AR10" s="50"/>
      <c r="AS10" s="50"/>
      <c r="AT10" s="50"/>
      <c r="AU10" s="50"/>
      <c r="AV10" s="50"/>
      <c r="AW10" s="50"/>
      <c r="AX10" s="50"/>
      <c r="AY10" s="50"/>
      <c r="AZ10" s="50"/>
      <c r="BA10" s="50"/>
      <c r="BB10" s="26"/>
      <c r="BC10" s="26"/>
    </row>
    <row r="11" spans="1:78" s="27" customFormat="1" ht="18" customHeight="1" x14ac:dyDescent="0.2">
      <c r="A11" s="157">
        <v>2</v>
      </c>
      <c r="B11" s="367"/>
      <c r="C11" s="368"/>
      <c r="D11" s="368"/>
      <c r="E11" s="368"/>
      <c r="F11" s="368"/>
      <c r="G11" s="368"/>
      <c r="H11" s="368"/>
      <c r="I11" s="368"/>
      <c r="J11" s="368"/>
      <c r="K11" s="368"/>
      <c r="L11" s="368"/>
      <c r="M11" s="368"/>
      <c r="N11" s="368"/>
      <c r="O11" s="368"/>
      <c r="P11" s="368"/>
      <c r="Q11" s="368"/>
      <c r="R11" s="368"/>
      <c r="S11" s="368"/>
      <c r="T11" s="368"/>
      <c r="U11" s="368"/>
      <c r="V11" s="368"/>
      <c r="W11" s="368"/>
      <c r="X11" s="368"/>
      <c r="Y11" s="368"/>
      <c r="Z11" s="369"/>
      <c r="AA11" s="87"/>
      <c r="AB11" s="87"/>
      <c r="AC11" s="87"/>
      <c r="AD11" s="87"/>
      <c r="AE11" s="87"/>
      <c r="AF11" s="87"/>
      <c r="AG11" s="87"/>
      <c r="AH11" s="87"/>
      <c r="AI11" s="87"/>
      <c r="AJ11" s="50"/>
      <c r="AK11" s="50"/>
      <c r="AL11" s="220"/>
      <c r="AM11" s="50"/>
      <c r="AN11" s="87"/>
      <c r="AO11" s="87"/>
      <c r="AP11" s="50"/>
      <c r="AQ11" s="50"/>
      <c r="AR11" s="50"/>
      <c r="AS11" s="50"/>
      <c r="AT11" s="50"/>
      <c r="AU11" s="50"/>
      <c r="AV11" s="50"/>
      <c r="AW11" s="50"/>
      <c r="AX11" s="50"/>
      <c r="AY11" s="50"/>
      <c r="AZ11" s="50"/>
      <c r="BA11" s="50"/>
      <c r="BB11" s="26"/>
      <c r="BC11" s="26"/>
    </row>
    <row r="12" spans="1:78" s="27" customFormat="1" ht="18" customHeight="1" x14ac:dyDescent="0.2">
      <c r="A12" s="156">
        <v>3</v>
      </c>
      <c r="B12" s="370"/>
      <c r="C12" s="371"/>
      <c r="D12" s="371"/>
      <c r="E12" s="371"/>
      <c r="F12" s="371"/>
      <c r="G12" s="371"/>
      <c r="H12" s="371"/>
      <c r="I12" s="371"/>
      <c r="J12" s="371"/>
      <c r="K12" s="371"/>
      <c r="L12" s="371"/>
      <c r="M12" s="371"/>
      <c r="N12" s="371"/>
      <c r="O12" s="371"/>
      <c r="P12" s="371"/>
      <c r="Q12" s="371"/>
      <c r="R12" s="371"/>
      <c r="S12" s="371"/>
      <c r="T12" s="371"/>
      <c r="U12" s="371"/>
      <c r="V12" s="371"/>
      <c r="W12" s="371"/>
      <c r="X12" s="371"/>
      <c r="Y12" s="371"/>
      <c r="Z12" s="372"/>
      <c r="AA12" s="87"/>
      <c r="AB12" s="87"/>
      <c r="AC12" s="87"/>
      <c r="AD12" s="87"/>
      <c r="AE12" s="87"/>
      <c r="AF12" s="87"/>
      <c r="AG12" s="87"/>
      <c r="AH12" s="87"/>
      <c r="AI12" s="87"/>
      <c r="AJ12" s="50"/>
      <c r="AK12" s="50"/>
      <c r="AL12" s="220"/>
      <c r="AM12" s="50"/>
      <c r="AN12" s="87"/>
      <c r="AO12" s="87"/>
      <c r="AP12" s="50"/>
      <c r="AQ12" s="50"/>
      <c r="AR12" s="50"/>
      <c r="AS12" s="50"/>
      <c r="AT12" s="50"/>
      <c r="AU12" s="50"/>
      <c r="AV12" s="50"/>
      <c r="AW12" s="50"/>
      <c r="AX12" s="50"/>
      <c r="AY12" s="50"/>
      <c r="AZ12" s="50"/>
      <c r="BA12" s="50"/>
      <c r="BB12" s="26"/>
      <c r="BC12" s="26"/>
    </row>
    <row r="13" spans="1:78" ht="9.9499999999999993" customHeight="1" x14ac:dyDescent="0.2">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87"/>
      <c r="AB13" s="87"/>
      <c r="AC13" s="87"/>
      <c r="AD13" s="87"/>
      <c r="AE13" s="87"/>
      <c r="AF13" s="87"/>
      <c r="AG13" s="87"/>
      <c r="AH13" s="87"/>
      <c r="AI13" s="87"/>
      <c r="AJ13" s="50"/>
      <c r="AK13" s="50"/>
      <c r="AL13" s="220"/>
      <c r="AM13" s="50"/>
      <c r="AN13" s="87"/>
      <c r="AO13" s="87"/>
      <c r="AP13" s="50"/>
      <c r="AQ13" s="50"/>
      <c r="AR13" s="50"/>
      <c r="AS13" s="50"/>
      <c r="AT13" s="50"/>
      <c r="AU13" s="50"/>
      <c r="AV13" s="50"/>
      <c r="AW13" s="50"/>
      <c r="AX13" s="50"/>
      <c r="AY13" s="50"/>
      <c r="AZ13" s="50"/>
      <c r="BA13" s="50"/>
      <c r="BB13" s="26"/>
      <c r="BC13" s="26"/>
      <c r="BD13" s="26"/>
      <c r="BE13" s="26"/>
      <c r="BF13" s="26"/>
      <c r="BG13" s="26"/>
      <c r="BH13" s="26"/>
      <c r="BI13" s="26"/>
      <c r="BJ13" s="26"/>
      <c r="BK13" s="26"/>
      <c r="BL13" s="26"/>
      <c r="BM13" s="26"/>
      <c r="BN13" s="26"/>
      <c r="BO13" s="26"/>
      <c r="BP13" s="26"/>
      <c r="BQ13" s="26"/>
      <c r="BR13" s="26"/>
      <c r="BS13" s="26"/>
      <c r="BT13" s="26"/>
      <c r="BU13" s="26"/>
      <c r="BV13" s="26"/>
      <c r="BW13" s="28"/>
      <c r="BX13" s="28"/>
      <c r="BY13" s="28"/>
      <c r="BZ13" s="28"/>
    </row>
    <row r="14" spans="1:78" s="5" customFormat="1" ht="21" customHeight="1" x14ac:dyDescent="0.2">
      <c r="A14" s="407" t="str">
        <f ca="1">Translations!$A$27</f>
        <v>Linked to goal(s) #</v>
      </c>
      <c r="B14" s="359" t="str">
        <f ca="1">Translations!$A$28</f>
        <v>Impact indicator</v>
      </c>
      <c r="C14" s="360"/>
      <c r="D14" s="360"/>
      <c r="E14" s="360"/>
      <c r="F14" s="360"/>
      <c r="G14" s="360"/>
      <c r="H14" s="391"/>
      <c r="I14" s="379" t="str">
        <f ca="1">Translations!$A$29</f>
        <v>Baseline</v>
      </c>
      <c r="J14" s="380"/>
      <c r="K14" s="380"/>
      <c r="L14" s="380"/>
      <c r="M14" s="380"/>
      <c r="N14" s="381"/>
      <c r="O14" s="379" t="str">
        <f ca="1">Translations!$A$30</f>
        <v>Targets</v>
      </c>
      <c r="P14" s="380"/>
      <c r="Q14" s="380"/>
      <c r="R14" s="380"/>
      <c r="S14" s="380"/>
      <c r="T14" s="381"/>
      <c r="U14" s="382" t="str">
        <f ca="1">Translations!$A$73</f>
        <v>Comments and Assumptions</v>
      </c>
      <c r="V14" s="383"/>
      <c r="W14" s="383"/>
      <c r="X14" s="383"/>
      <c r="Y14" s="383"/>
      <c r="Z14" s="384"/>
      <c r="AA14" s="87"/>
      <c r="AB14" s="87"/>
      <c r="AC14" s="87"/>
      <c r="AD14" s="87"/>
      <c r="AE14" s="87"/>
      <c r="AF14" s="87"/>
      <c r="AG14" s="87"/>
      <c r="AH14" s="87"/>
      <c r="AI14" s="87"/>
      <c r="AJ14" s="665"/>
      <c r="AK14" s="665"/>
      <c r="AL14" s="665"/>
      <c r="AM14" s="665"/>
      <c r="AN14" s="665"/>
      <c r="AO14" s="665"/>
      <c r="AP14" s="665"/>
      <c r="AQ14" s="665"/>
      <c r="AR14" s="665"/>
      <c r="AS14" s="50"/>
      <c r="AT14" s="50"/>
      <c r="AU14" s="50"/>
      <c r="AV14" s="48"/>
      <c r="AW14" s="48"/>
      <c r="AX14" s="48"/>
      <c r="AY14" s="48"/>
    </row>
    <row r="15" spans="1:78" s="5" customFormat="1" ht="21" customHeight="1" x14ac:dyDescent="0.2">
      <c r="A15" s="408"/>
      <c r="B15" s="362"/>
      <c r="C15" s="363"/>
      <c r="D15" s="363"/>
      <c r="E15" s="363"/>
      <c r="F15" s="363"/>
      <c r="G15" s="363"/>
      <c r="H15" s="410"/>
      <c r="I15" s="359" t="str">
        <f ca="1">Translations!$A$31</f>
        <v>Value</v>
      </c>
      <c r="J15" s="391"/>
      <c r="K15" s="394" t="str">
        <f ca="1">Translations!$A$32</f>
        <v xml:space="preserve">Year </v>
      </c>
      <c r="L15" s="359" t="str">
        <f ca="1">Translations!$A$33</f>
        <v>Source</v>
      </c>
      <c r="M15" s="360"/>
      <c r="N15" s="391"/>
      <c r="O15" s="379" t="str">
        <f ca="1">Translations!$A$34</f>
        <v>Year 1</v>
      </c>
      <c r="P15" s="381"/>
      <c r="Q15" s="379" t="str">
        <f ca="1">Translations!$A$35</f>
        <v>Year 2</v>
      </c>
      <c r="R15" s="381"/>
      <c r="S15" s="379" t="str">
        <f ca="1">Translations!$A$36</f>
        <v>Year 3</v>
      </c>
      <c r="T15" s="381"/>
      <c r="U15" s="385"/>
      <c r="V15" s="386"/>
      <c r="W15" s="386"/>
      <c r="X15" s="386"/>
      <c r="Y15" s="386"/>
      <c r="Z15" s="387"/>
      <c r="AA15" s="87"/>
      <c r="AB15" s="87"/>
      <c r="AC15" s="87"/>
      <c r="AD15" s="87"/>
      <c r="AE15" s="87"/>
      <c r="AF15" s="87"/>
      <c r="AG15" s="87"/>
      <c r="AH15" s="87"/>
      <c r="AI15" s="87"/>
      <c r="AJ15" s="665"/>
      <c r="AK15" s="665"/>
      <c r="AL15" s="665"/>
      <c r="AM15" s="665"/>
      <c r="AN15" s="665"/>
      <c r="AO15" s="665"/>
      <c r="AP15" s="665"/>
      <c r="AQ15" s="665"/>
      <c r="AR15" s="665"/>
      <c r="AS15" s="50"/>
      <c r="AT15" s="50"/>
      <c r="AU15" s="50"/>
      <c r="AV15" s="48"/>
      <c r="AW15" s="48"/>
      <c r="AX15" s="48"/>
      <c r="AY15" s="48"/>
    </row>
    <row r="16" spans="1:78" s="5" customFormat="1" ht="21" customHeight="1" x14ac:dyDescent="0.2">
      <c r="A16" s="409"/>
      <c r="B16" s="392"/>
      <c r="C16" s="396"/>
      <c r="D16" s="396"/>
      <c r="E16" s="396"/>
      <c r="F16" s="396"/>
      <c r="G16" s="396"/>
      <c r="H16" s="393"/>
      <c r="I16" s="392"/>
      <c r="J16" s="393"/>
      <c r="K16" s="395"/>
      <c r="L16" s="392"/>
      <c r="M16" s="396"/>
      <c r="N16" s="393"/>
      <c r="O16" s="397" t="str">
        <f ca="1">IFERROR(IF(MonthIndex&lt;7,StartYearSelected,StartYearSelected+1),"")</f>
        <v>Please select…</v>
      </c>
      <c r="P16" s="398"/>
      <c r="Q16" s="397" t="str">
        <f ca="1">IFERROR(O16+1,"")</f>
        <v/>
      </c>
      <c r="R16" s="398"/>
      <c r="S16" s="397" t="str">
        <f ca="1">IFERROR(Q16+1,"")</f>
        <v/>
      </c>
      <c r="T16" s="398"/>
      <c r="U16" s="388"/>
      <c r="V16" s="389"/>
      <c r="W16" s="389"/>
      <c r="X16" s="389"/>
      <c r="Y16" s="389"/>
      <c r="Z16" s="390"/>
      <c r="AA16" s="87"/>
      <c r="AB16" s="87"/>
      <c r="AC16" s="87"/>
      <c r="AD16" s="87"/>
      <c r="AE16" s="87"/>
      <c r="AF16" s="87"/>
      <c r="AG16" s="87"/>
      <c r="AH16" s="87"/>
      <c r="AI16" s="87"/>
      <c r="AJ16" s="665"/>
      <c r="AK16" s="665"/>
      <c r="AL16" s="665"/>
      <c r="AM16" s="665"/>
      <c r="AN16" s="665"/>
      <c r="AO16" s="665"/>
      <c r="AP16" s="665"/>
      <c r="AQ16" s="665"/>
      <c r="AR16" s="665"/>
      <c r="AS16" s="50"/>
      <c r="AT16" s="50"/>
      <c r="AU16" s="50"/>
      <c r="AV16" s="48"/>
      <c r="AW16" s="48"/>
      <c r="AX16" s="48"/>
      <c r="AY16" s="48"/>
    </row>
    <row r="17" spans="1:78" s="28" customFormat="1" ht="39.950000000000003" customHeight="1" x14ac:dyDescent="0.2">
      <c r="A17" s="11"/>
      <c r="B17" s="682" t="str">
        <f ca="1">Translations!$A$72</f>
        <v>Please select…</v>
      </c>
      <c r="C17" s="683"/>
      <c r="D17" s="683"/>
      <c r="E17" s="683"/>
      <c r="F17" s="683"/>
      <c r="G17" s="683"/>
      <c r="H17" s="684"/>
      <c r="I17" s="399"/>
      <c r="J17" s="400"/>
      <c r="K17" s="64"/>
      <c r="L17" s="685" t="str">
        <f ca="1">Translations!$A$72</f>
        <v>Please select…</v>
      </c>
      <c r="M17" s="686"/>
      <c r="N17" s="687"/>
      <c r="O17" s="399"/>
      <c r="P17" s="400"/>
      <c r="Q17" s="399"/>
      <c r="R17" s="400"/>
      <c r="S17" s="399"/>
      <c r="T17" s="401"/>
      <c r="U17" s="701"/>
      <c r="V17" s="702"/>
      <c r="W17" s="702"/>
      <c r="X17" s="702"/>
      <c r="Y17" s="702"/>
      <c r="Z17" s="703"/>
      <c r="AA17" s="87"/>
      <c r="AB17" s="87"/>
      <c r="AC17" s="87"/>
      <c r="AD17" s="87"/>
      <c r="AE17" s="87"/>
      <c r="AF17" s="87"/>
      <c r="AG17" s="87"/>
      <c r="AH17" s="87"/>
      <c r="AI17" s="87"/>
      <c r="AJ17" s="666"/>
      <c r="AK17" s="666"/>
      <c r="AL17" s="666"/>
      <c r="AM17" s="666"/>
      <c r="AN17" s="666"/>
      <c r="AO17" s="666"/>
      <c r="AP17" s="666"/>
      <c r="AQ17" s="666"/>
      <c r="AR17" s="666"/>
      <c r="AS17" s="50"/>
      <c r="AT17" s="50"/>
      <c r="AU17" s="50"/>
    </row>
    <row r="18" spans="1:78" s="28" customFormat="1" ht="39.950000000000003" customHeight="1" x14ac:dyDescent="0.2">
      <c r="A18" s="16"/>
      <c r="B18" s="698" t="str">
        <f ca="1">Translations!$A$72</f>
        <v>Please select…</v>
      </c>
      <c r="C18" s="699"/>
      <c r="D18" s="699"/>
      <c r="E18" s="699"/>
      <c r="F18" s="699"/>
      <c r="G18" s="699"/>
      <c r="H18" s="700"/>
      <c r="I18" s="413"/>
      <c r="J18" s="414"/>
      <c r="K18" s="60"/>
      <c r="L18" s="676" t="str">
        <f ca="1">Translations!$A$72</f>
        <v>Please select…</v>
      </c>
      <c r="M18" s="677"/>
      <c r="N18" s="678"/>
      <c r="O18" s="413"/>
      <c r="P18" s="414"/>
      <c r="Q18" s="413"/>
      <c r="R18" s="414"/>
      <c r="S18" s="413"/>
      <c r="T18" s="418"/>
      <c r="U18" s="701"/>
      <c r="V18" s="702"/>
      <c r="W18" s="702"/>
      <c r="X18" s="702"/>
      <c r="Y18" s="702"/>
      <c r="Z18" s="703"/>
      <c r="AA18" s="87"/>
      <c r="AB18" s="87"/>
      <c r="AC18" s="87"/>
      <c r="AD18" s="87"/>
      <c r="AE18" s="87"/>
      <c r="AF18" s="87"/>
      <c r="AG18" s="87"/>
      <c r="AH18" s="87"/>
      <c r="AI18" s="87"/>
      <c r="AJ18" s="666"/>
      <c r="AK18" s="666"/>
      <c r="AL18" s="666"/>
      <c r="AM18" s="666"/>
      <c r="AN18" s="666"/>
      <c r="AO18" s="666"/>
      <c r="AP18" s="666"/>
      <c r="AQ18" s="666"/>
      <c r="AR18" s="666"/>
      <c r="AS18" s="50"/>
      <c r="AT18" s="50"/>
      <c r="AU18" s="50"/>
    </row>
    <row r="19" spans="1:78" s="28" customFormat="1" ht="39.950000000000003" customHeight="1" x14ac:dyDescent="0.2">
      <c r="A19" s="17"/>
      <c r="B19" s="698" t="str">
        <f ca="1">Translations!$A$72</f>
        <v>Please select…</v>
      </c>
      <c r="C19" s="699"/>
      <c r="D19" s="699"/>
      <c r="E19" s="699"/>
      <c r="F19" s="699"/>
      <c r="G19" s="699"/>
      <c r="H19" s="700"/>
      <c r="I19" s="413"/>
      <c r="J19" s="414"/>
      <c r="K19" s="60"/>
      <c r="L19" s="676" t="str">
        <f ca="1">Translations!$A$72</f>
        <v>Please select…</v>
      </c>
      <c r="M19" s="677"/>
      <c r="N19" s="678"/>
      <c r="O19" s="413"/>
      <c r="P19" s="414"/>
      <c r="Q19" s="413"/>
      <c r="R19" s="414"/>
      <c r="S19" s="413"/>
      <c r="T19" s="418"/>
      <c r="U19" s="701"/>
      <c r="V19" s="702"/>
      <c r="W19" s="702"/>
      <c r="X19" s="702"/>
      <c r="Y19" s="702"/>
      <c r="Z19" s="703"/>
      <c r="AA19" s="87"/>
      <c r="AB19" s="87"/>
      <c r="AC19" s="87"/>
      <c r="AD19" s="87"/>
      <c r="AE19" s="87"/>
      <c r="AF19" s="87"/>
      <c r="AG19" s="87"/>
      <c r="AH19" s="87"/>
      <c r="AI19" s="87"/>
      <c r="AJ19" s="666"/>
      <c r="AK19" s="666"/>
      <c r="AL19" s="666"/>
      <c r="AM19" s="666"/>
      <c r="AN19" s="666"/>
      <c r="AO19" s="666"/>
      <c r="AP19" s="666"/>
      <c r="AQ19" s="666"/>
      <c r="AR19" s="666"/>
      <c r="AS19" s="50"/>
      <c r="AT19" s="50"/>
      <c r="AU19" s="50"/>
    </row>
    <row r="20" spans="1:78" s="28" customFormat="1" ht="39.950000000000003" customHeight="1" x14ac:dyDescent="0.2">
      <c r="A20" s="17"/>
      <c r="B20" s="698" t="str">
        <f ca="1">Translations!$A$72</f>
        <v>Please select…</v>
      </c>
      <c r="C20" s="699"/>
      <c r="D20" s="699"/>
      <c r="E20" s="699"/>
      <c r="F20" s="699"/>
      <c r="G20" s="699"/>
      <c r="H20" s="700"/>
      <c r="I20" s="413"/>
      <c r="J20" s="414"/>
      <c r="K20" s="60"/>
      <c r="L20" s="676" t="str">
        <f ca="1">Translations!$A$72</f>
        <v>Please select…</v>
      </c>
      <c r="M20" s="677"/>
      <c r="N20" s="678"/>
      <c r="O20" s="413"/>
      <c r="P20" s="414"/>
      <c r="Q20" s="413"/>
      <c r="R20" s="414"/>
      <c r="S20" s="413"/>
      <c r="T20" s="418"/>
      <c r="U20" s="701"/>
      <c r="V20" s="702"/>
      <c r="W20" s="702"/>
      <c r="X20" s="702"/>
      <c r="Y20" s="702"/>
      <c r="Z20" s="703"/>
      <c r="AA20" s="87"/>
      <c r="AB20" s="87"/>
      <c r="AC20" s="87"/>
      <c r="AD20" s="87"/>
      <c r="AE20" s="87"/>
      <c r="AF20" s="87"/>
      <c r="AG20" s="87"/>
      <c r="AH20" s="87"/>
      <c r="AI20" s="87"/>
      <c r="AJ20" s="666"/>
      <c r="AK20" s="666"/>
      <c r="AL20" s="666"/>
      <c r="AM20" s="666"/>
      <c r="AN20" s="666"/>
      <c r="AO20" s="666"/>
      <c r="AP20" s="666"/>
      <c r="AQ20" s="666"/>
      <c r="AR20" s="666"/>
      <c r="AS20" s="50"/>
      <c r="AT20" s="50"/>
      <c r="AU20" s="50"/>
    </row>
    <row r="21" spans="1:78" s="28" customFormat="1" ht="39.950000000000003" customHeight="1" x14ac:dyDescent="0.2">
      <c r="A21" s="25"/>
      <c r="B21" s="704" t="str">
        <f ca="1">Translations!$A$72</f>
        <v>Please select…</v>
      </c>
      <c r="C21" s="705"/>
      <c r="D21" s="705"/>
      <c r="E21" s="705"/>
      <c r="F21" s="705"/>
      <c r="G21" s="705"/>
      <c r="H21" s="706"/>
      <c r="I21" s="429"/>
      <c r="J21" s="430"/>
      <c r="K21" s="61"/>
      <c r="L21" s="670" t="str">
        <f ca="1">Translations!$A$72</f>
        <v>Please select…</v>
      </c>
      <c r="M21" s="671"/>
      <c r="N21" s="672"/>
      <c r="O21" s="429"/>
      <c r="P21" s="430"/>
      <c r="Q21" s="429"/>
      <c r="R21" s="430"/>
      <c r="S21" s="429"/>
      <c r="T21" s="434"/>
      <c r="U21" s="701"/>
      <c r="V21" s="702"/>
      <c r="W21" s="702"/>
      <c r="X21" s="702"/>
      <c r="Y21" s="702"/>
      <c r="Z21" s="703"/>
      <c r="AA21" s="87"/>
      <c r="AB21" s="87"/>
      <c r="AC21" s="87"/>
      <c r="AD21" s="87"/>
      <c r="AE21" s="87"/>
      <c r="AF21" s="87"/>
      <c r="AG21" s="87"/>
      <c r="AH21" s="87"/>
      <c r="AI21" s="87"/>
      <c r="AJ21" s="666"/>
      <c r="AK21" s="666"/>
      <c r="AL21" s="666"/>
      <c r="AM21" s="666"/>
      <c r="AN21" s="666"/>
      <c r="AO21" s="666"/>
      <c r="AP21" s="666"/>
      <c r="AQ21" s="666"/>
      <c r="AR21" s="666"/>
      <c r="AS21" s="50"/>
      <c r="AT21" s="50"/>
      <c r="AU21" s="50"/>
    </row>
    <row r="22" spans="1:78" ht="9.9499999999999993" customHeight="1" x14ac:dyDescent="0.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87"/>
      <c r="AB22" s="87"/>
      <c r="AC22" s="87"/>
      <c r="AD22" s="87"/>
      <c r="AE22" s="87"/>
      <c r="AF22" s="87"/>
      <c r="AG22" s="87"/>
      <c r="AH22" s="87"/>
      <c r="AI22" s="87"/>
      <c r="AJ22" s="50"/>
      <c r="AK22" s="50"/>
      <c r="AL22" s="220"/>
      <c r="AM22" s="50"/>
      <c r="AN22" s="87"/>
      <c r="AO22" s="87"/>
      <c r="AP22" s="50"/>
      <c r="AQ22" s="50"/>
      <c r="AR22" s="50"/>
      <c r="AS22" s="50"/>
      <c r="AT22" s="50"/>
      <c r="AU22" s="50"/>
      <c r="AV22" s="50"/>
      <c r="AW22" s="50"/>
      <c r="AX22" s="50"/>
      <c r="AY22" s="50"/>
      <c r="AZ22" s="50"/>
      <c r="BA22" s="50"/>
      <c r="BB22" s="26"/>
      <c r="BC22" s="26"/>
      <c r="BD22" s="26"/>
      <c r="BE22" s="26"/>
      <c r="BF22" s="26"/>
      <c r="BG22" s="26"/>
      <c r="BH22" s="26"/>
      <c r="BI22" s="26"/>
      <c r="BJ22" s="26"/>
      <c r="BK22" s="26"/>
      <c r="BL22" s="26"/>
      <c r="BM22" s="26"/>
      <c r="BN22" s="26"/>
      <c r="BO22" s="26"/>
      <c r="BP22" s="26"/>
      <c r="BQ22" s="26"/>
      <c r="BR22" s="26"/>
      <c r="BS22" s="26"/>
      <c r="BT22" s="26"/>
      <c r="BU22" s="26"/>
      <c r="BV22" s="26"/>
      <c r="BW22" s="28"/>
      <c r="BX22" s="28"/>
      <c r="BY22" s="28"/>
      <c r="BZ22" s="28"/>
    </row>
    <row r="23" spans="1:78" s="2" customFormat="1" ht="18" customHeight="1" x14ac:dyDescent="0.2">
      <c r="A23" s="373" t="str">
        <f ca="1">Translations!$A$41</f>
        <v>C. Program objectives and outcome indicators</v>
      </c>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5"/>
      <c r="AA23" s="87"/>
      <c r="AB23" s="87"/>
      <c r="AC23" s="87"/>
      <c r="AD23" s="87"/>
      <c r="AE23" s="87"/>
      <c r="AF23" s="87"/>
      <c r="AG23" s="87"/>
      <c r="AH23" s="87"/>
      <c r="AI23" s="87"/>
      <c r="AJ23" s="42"/>
      <c r="AK23" s="42"/>
      <c r="AL23" s="221"/>
      <c r="AM23" s="42"/>
      <c r="AN23" s="87"/>
      <c r="AO23" s="87"/>
      <c r="AP23" s="42"/>
      <c r="AQ23" s="42"/>
      <c r="AR23" s="42"/>
      <c r="AS23" s="42"/>
      <c r="AT23" s="42"/>
      <c r="AU23" s="42"/>
      <c r="AV23" s="50"/>
      <c r="AW23" s="50"/>
      <c r="AX23" s="50"/>
      <c r="AY23" s="50"/>
      <c r="AZ23" s="50"/>
      <c r="BA23" s="50"/>
      <c r="BB23" s="26"/>
      <c r="BC23" s="26"/>
      <c r="BD23" s="47"/>
      <c r="BE23" s="47"/>
      <c r="BF23" s="47"/>
      <c r="BG23" s="47"/>
    </row>
    <row r="24" spans="1:78" s="6" customFormat="1" ht="18" customHeight="1" x14ac:dyDescent="0.2">
      <c r="A24" s="344" t="str">
        <f ca="1">Translations!$A$42</f>
        <v xml:space="preserve">     Objectives:</v>
      </c>
      <c r="B24" s="345"/>
      <c r="C24" s="345"/>
      <c r="D24" s="345"/>
      <c r="E24" s="345"/>
      <c r="F24" s="345"/>
      <c r="G24" s="345"/>
      <c r="H24" s="345"/>
      <c r="I24" s="345"/>
      <c r="J24" s="345"/>
      <c r="K24" s="345"/>
      <c r="L24" s="345"/>
      <c r="M24" s="345"/>
      <c r="N24" s="345"/>
      <c r="O24" s="345"/>
      <c r="P24" s="345"/>
      <c r="Q24" s="345"/>
      <c r="R24" s="345"/>
      <c r="S24" s="345"/>
      <c r="T24" s="345"/>
      <c r="U24" s="345"/>
      <c r="V24" s="345"/>
      <c r="W24" s="345"/>
      <c r="X24" s="345"/>
      <c r="Y24" s="345"/>
      <c r="Z24" s="366"/>
      <c r="AA24" s="87"/>
      <c r="AB24" s="87"/>
      <c r="AC24" s="87"/>
      <c r="AD24" s="87"/>
      <c r="AE24" s="87"/>
      <c r="AF24" s="87"/>
      <c r="AG24" s="87"/>
      <c r="AH24" s="87"/>
      <c r="AI24" s="87"/>
      <c r="AJ24" s="43"/>
      <c r="AK24" s="43"/>
      <c r="AL24" s="220"/>
      <c r="AM24" s="43"/>
      <c r="AN24" s="93"/>
      <c r="AO24" s="93"/>
      <c r="AP24" s="43"/>
      <c r="AQ24" s="43"/>
      <c r="AR24" s="43"/>
      <c r="AS24" s="43"/>
      <c r="AT24" s="43"/>
      <c r="AU24" s="43"/>
      <c r="AV24" s="50"/>
      <c r="AW24" s="50"/>
      <c r="AX24" s="50"/>
      <c r="AY24" s="50"/>
      <c r="AZ24" s="50"/>
      <c r="BA24" s="50"/>
      <c r="BB24" s="26"/>
      <c r="BC24" s="26"/>
      <c r="BD24" s="48"/>
      <c r="BE24" s="48"/>
      <c r="BF24" s="48"/>
      <c r="BG24" s="48"/>
    </row>
    <row r="25" spans="1:78" s="29" customFormat="1" ht="18.75" customHeight="1" x14ac:dyDescent="0.2">
      <c r="A25" s="154">
        <v>1</v>
      </c>
      <c r="B25" s="376"/>
      <c r="C25" s="377"/>
      <c r="D25" s="377"/>
      <c r="E25" s="377"/>
      <c r="F25" s="377"/>
      <c r="G25" s="377"/>
      <c r="H25" s="377"/>
      <c r="I25" s="377"/>
      <c r="J25" s="377"/>
      <c r="K25" s="377"/>
      <c r="L25" s="377"/>
      <c r="M25" s="377"/>
      <c r="N25" s="377"/>
      <c r="O25" s="377"/>
      <c r="P25" s="377"/>
      <c r="Q25" s="377"/>
      <c r="R25" s="377"/>
      <c r="S25" s="377"/>
      <c r="T25" s="377"/>
      <c r="U25" s="377"/>
      <c r="V25" s="377"/>
      <c r="W25" s="377"/>
      <c r="X25" s="377"/>
      <c r="Y25" s="377"/>
      <c r="Z25" s="378"/>
      <c r="AA25" s="87"/>
      <c r="AB25" s="87"/>
      <c r="AC25" s="87"/>
      <c r="AD25" s="87"/>
      <c r="AE25" s="87"/>
      <c r="AF25" s="87"/>
      <c r="AG25" s="87"/>
      <c r="AH25" s="87"/>
      <c r="AI25" s="87"/>
      <c r="AJ25" s="44"/>
      <c r="AK25" s="44"/>
      <c r="AL25" s="222"/>
      <c r="AM25" s="44"/>
      <c r="AN25" s="179"/>
      <c r="AO25" s="179"/>
      <c r="AP25" s="44"/>
      <c r="AQ25" s="44"/>
      <c r="AR25" s="44"/>
      <c r="AS25" s="44"/>
      <c r="AT25" s="44"/>
      <c r="AU25" s="44"/>
      <c r="AV25" s="50"/>
      <c r="AW25" s="50"/>
      <c r="AX25" s="50"/>
      <c r="AY25" s="50"/>
      <c r="AZ25" s="50"/>
      <c r="BA25" s="50"/>
      <c r="BB25" s="26"/>
      <c r="BC25" s="26"/>
      <c r="BD25" s="49"/>
      <c r="BE25" s="49"/>
      <c r="BF25" s="49"/>
      <c r="BG25" s="49"/>
    </row>
    <row r="26" spans="1:78" s="29" customFormat="1" ht="18.75" customHeight="1" x14ac:dyDescent="0.2">
      <c r="A26" s="155">
        <v>2</v>
      </c>
      <c r="B26" s="367"/>
      <c r="C26" s="368"/>
      <c r="D26" s="368"/>
      <c r="E26" s="368"/>
      <c r="F26" s="368"/>
      <c r="G26" s="368"/>
      <c r="H26" s="368"/>
      <c r="I26" s="368"/>
      <c r="J26" s="368"/>
      <c r="K26" s="368"/>
      <c r="L26" s="368"/>
      <c r="M26" s="368"/>
      <c r="N26" s="368"/>
      <c r="O26" s="368"/>
      <c r="P26" s="368"/>
      <c r="Q26" s="368"/>
      <c r="R26" s="368"/>
      <c r="S26" s="368"/>
      <c r="T26" s="368"/>
      <c r="U26" s="368"/>
      <c r="V26" s="368"/>
      <c r="W26" s="368"/>
      <c r="X26" s="368"/>
      <c r="Y26" s="368"/>
      <c r="Z26" s="369"/>
      <c r="AA26" s="87"/>
      <c r="AB26" s="87"/>
      <c r="AC26" s="87"/>
      <c r="AD26" s="87"/>
      <c r="AE26" s="87"/>
      <c r="AF26" s="87"/>
      <c r="AG26" s="87"/>
      <c r="AH26" s="87"/>
      <c r="AI26" s="87"/>
      <c r="AJ26" s="44"/>
      <c r="AK26" s="44"/>
      <c r="AL26" s="222"/>
      <c r="AM26" s="44"/>
      <c r="AN26" s="179"/>
      <c r="AO26" s="179"/>
      <c r="AP26" s="44"/>
      <c r="AQ26" s="44"/>
      <c r="AR26" s="44"/>
      <c r="AS26" s="44"/>
      <c r="AT26" s="44"/>
      <c r="AU26" s="44"/>
      <c r="AV26" s="50"/>
      <c r="AW26" s="50"/>
      <c r="AX26" s="50"/>
      <c r="AY26" s="50"/>
      <c r="AZ26" s="50"/>
      <c r="BA26" s="50"/>
      <c r="BB26" s="26"/>
      <c r="BC26" s="26"/>
      <c r="BD26" s="49"/>
      <c r="BE26" s="49"/>
      <c r="BF26" s="49"/>
      <c r="BG26" s="49"/>
    </row>
    <row r="27" spans="1:78" s="29" customFormat="1" ht="18.75" customHeight="1" x14ac:dyDescent="0.2">
      <c r="A27" s="155">
        <v>3</v>
      </c>
      <c r="B27" s="367"/>
      <c r="C27" s="368"/>
      <c r="D27" s="368"/>
      <c r="E27" s="368"/>
      <c r="F27" s="368"/>
      <c r="G27" s="368"/>
      <c r="H27" s="368"/>
      <c r="I27" s="368"/>
      <c r="J27" s="368"/>
      <c r="K27" s="368"/>
      <c r="L27" s="368"/>
      <c r="M27" s="368"/>
      <c r="N27" s="368"/>
      <c r="O27" s="368"/>
      <c r="P27" s="368"/>
      <c r="Q27" s="368"/>
      <c r="R27" s="368"/>
      <c r="S27" s="368"/>
      <c r="T27" s="368"/>
      <c r="U27" s="368"/>
      <c r="V27" s="368"/>
      <c r="W27" s="368"/>
      <c r="X27" s="368"/>
      <c r="Y27" s="368"/>
      <c r="Z27" s="369"/>
      <c r="AA27" s="87"/>
      <c r="AB27" s="87"/>
      <c r="AC27" s="87"/>
      <c r="AD27" s="87"/>
      <c r="AE27" s="87"/>
      <c r="AF27" s="87"/>
      <c r="AG27" s="87"/>
      <c r="AH27" s="87"/>
      <c r="AI27" s="87"/>
      <c r="AJ27" s="44"/>
      <c r="AK27" s="44"/>
      <c r="AL27" s="222"/>
      <c r="AM27" s="44"/>
      <c r="AN27" s="179"/>
      <c r="AO27" s="179"/>
      <c r="AP27" s="44"/>
      <c r="AQ27" s="44"/>
      <c r="AR27" s="44"/>
      <c r="AS27" s="44"/>
      <c r="AT27" s="44"/>
      <c r="AU27" s="44"/>
      <c r="AV27" s="50"/>
      <c r="AW27" s="50"/>
      <c r="AX27" s="50"/>
      <c r="AY27" s="50"/>
      <c r="AZ27" s="50"/>
      <c r="BA27" s="50"/>
      <c r="BB27" s="26"/>
      <c r="BC27" s="26"/>
      <c r="BD27" s="49"/>
      <c r="BE27" s="49"/>
      <c r="BF27" s="49"/>
      <c r="BG27" s="49"/>
    </row>
    <row r="28" spans="1:78" s="29" customFormat="1" ht="18.75" customHeight="1" x14ac:dyDescent="0.2">
      <c r="A28" s="155">
        <v>4</v>
      </c>
      <c r="B28" s="367"/>
      <c r="C28" s="368"/>
      <c r="D28" s="368"/>
      <c r="E28" s="368"/>
      <c r="F28" s="368"/>
      <c r="G28" s="368"/>
      <c r="H28" s="368"/>
      <c r="I28" s="368"/>
      <c r="J28" s="368"/>
      <c r="K28" s="368"/>
      <c r="L28" s="368"/>
      <c r="M28" s="368"/>
      <c r="N28" s="368"/>
      <c r="O28" s="368"/>
      <c r="P28" s="368"/>
      <c r="Q28" s="368"/>
      <c r="R28" s="368"/>
      <c r="S28" s="368"/>
      <c r="T28" s="368"/>
      <c r="U28" s="368"/>
      <c r="V28" s="368"/>
      <c r="W28" s="368"/>
      <c r="X28" s="368"/>
      <c r="Y28" s="368"/>
      <c r="Z28" s="369"/>
      <c r="AA28" s="87"/>
      <c r="AB28" s="87"/>
      <c r="AC28" s="87"/>
      <c r="AD28" s="87"/>
      <c r="AE28" s="87"/>
      <c r="AF28" s="87"/>
      <c r="AG28" s="87"/>
      <c r="AH28" s="87"/>
      <c r="AI28" s="87"/>
      <c r="AJ28" s="44"/>
      <c r="AK28" s="44"/>
      <c r="AL28" s="222"/>
      <c r="AM28" s="44"/>
      <c r="AN28" s="179"/>
      <c r="AO28" s="179"/>
      <c r="AP28" s="44"/>
      <c r="AQ28" s="44"/>
      <c r="AR28" s="44"/>
      <c r="AS28" s="44"/>
      <c r="AT28" s="44"/>
      <c r="AU28" s="44"/>
      <c r="AV28" s="50"/>
      <c r="AW28" s="50"/>
      <c r="AX28" s="50"/>
      <c r="AY28" s="50"/>
      <c r="AZ28" s="50"/>
      <c r="BA28" s="50"/>
      <c r="BB28" s="26"/>
      <c r="BC28" s="26"/>
      <c r="BD28" s="49"/>
      <c r="BE28" s="49"/>
      <c r="BF28" s="49"/>
      <c r="BG28" s="49"/>
    </row>
    <row r="29" spans="1:78" s="29" customFormat="1" ht="18.75" customHeight="1" x14ac:dyDescent="0.2">
      <c r="A29" s="155">
        <v>5</v>
      </c>
      <c r="B29" s="367"/>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9"/>
      <c r="AA29" s="87"/>
      <c r="AB29" s="87"/>
      <c r="AC29" s="87"/>
      <c r="AD29" s="87"/>
      <c r="AE29" s="87"/>
      <c r="AF29" s="87"/>
      <c r="AG29" s="87"/>
      <c r="AH29" s="87"/>
      <c r="AI29" s="87"/>
      <c r="AJ29" s="44"/>
      <c r="AK29" s="44"/>
      <c r="AL29" s="222"/>
      <c r="AM29" s="44"/>
      <c r="AN29" s="179"/>
      <c r="AO29" s="179"/>
      <c r="AP29" s="44"/>
      <c r="AQ29" s="44"/>
      <c r="AR29" s="44"/>
      <c r="AS29" s="44"/>
      <c r="AT29" s="44"/>
      <c r="AU29" s="44"/>
      <c r="AV29" s="50"/>
      <c r="AW29" s="50"/>
      <c r="AX29" s="50"/>
      <c r="AY29" s="50"/>
      <c r="AZ29" s="50"/>
      <c r="BA29" s="50"/>
      <c r="BB29" s="26"/>
      <c r="BC29" s="26"/>
      <c r="BD29" s="49"/>
      <c r="BE29" s="49"/>
      <c r="BF29" s="49"/>
      <c r="BG29" s="49"/>
    </row>
    <row r="30" spans="1:78" s="29" customFormat="1" ht="18.75" customHeight="1" x14ac:dyDescent="0.2">
      <c r="A30" s="156">
        <v>6</v>
      </c>
      <c r="B30" s="370"/>
      <c r="C30" s="371"/>
      <c r="D30" s="371"/>
      <c r="E30" s="371"/>
      <c r="F30" s="371"/>
      <c r="G30" s="371"/>
      <c r="H30" s="371"/>
      <c r="I30" s="371"/>
      <c r="J30" s="371"/>
      <c r="K30" s="371"/>
      <c r="L30" s="371"/>
      <c r="M30" s="371"/>
      <c r="N30" s="371"/>
      <c r="O30" s="371"/>
      <c r="P30" s="371"/>
      <c r="Q30" s="371"/>
      <c r="R30" s="371"/>
      <c r="S30" s="371"/>
      <c r="T30" s="371"/>
      <c r="U30" s="371"/>
      <c r="V30" s="371"/>
      <c r="W30" s="371"/>
      <c r="X30" s="371"/>
      <c r="Y30" s="371"/>
      <c r="Z30" s="372"/>
      <c r="AA30" s="87"/>
      <c r="AB30" s="87"/>
      <c r="AC30" s="87"/>
      <c r="AD30" s="87"/>
      <c r="AE30" s="87"/>
      <c r="AF30" s="87"/>
      <c r="AG30" s="87"/>
      <c r="AH30" s="87"/>
      <c r="AI30" s="87"/>
      <c r="AJ30" s="44"/>
      <c r="AK30" s="44"/>
      <c r="AL30" s="222"/>
      <c r="AM30" s="44"/>
      <c r="AN30" s="179"/>
      <c r="AO30" s="179"/>
      <c r="AP30" s="44"/>
      <c r="AQ30" s="44"/>
      <c r="AR30" s="44"/>
      <c r="AS30" s="44"/>
      <c r="AT30" s="44"/>
      <c r="AU30" s="44"/>
      <c r="AV30" s="50"/>
      <c r="AW30" s="50"/>
      <c r="AX30" s="50"/>
      <c r="AY30" s="50"/>
      <c r="AZ30" s="50"/>
      <c r="BA30" s="50"/>
      <c r="BB30" s="26"/>
      <c r="BC30" s="26"/>
      <c r="BD30" s="49"/>
      <c r="BE30" s="49"/>
      <c r="BF30" s="49"/>
      <c r="BG30" s="49"/>
    </row>
    <row r="31" spans="1:78" ht="9.9499999999999993" customHeight="1" x14ac:dyDescent="0.2">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85"/>
      <c r="AC31" s="85"/>
      <c r="AD31" s="83"/>
      <c r="AE31" s="83"/>
      <c r="AF31" s="83"/>
      <c r="AG31" s="83"/>
      <c r="AH31" s="83"/>
      <c r="AI31" s="83"/>
      <c r="AJ31" s="50"/>
      <c r="AK31" s="50"/>
      <c r="AL31" s="220"/>
      <c r="AM31" s="50"/>
      <c r="AN31" s="87"/>
      <c r="AO31" s="87"/>
      <c r="AP31" s="50"/>
      <c r="AQ31" s="50"/>
      <c r="AR31" s="50"/>
      <c r="AS31" s="50"/>
      <c r="AT31" s="50"/>
      <c r="AU31" s="50"/>
      <c r="AV31" s="50"/>
      <c r="AW31" s="50"/>
      <c r="AX31" s="50"/>
      <c r="AY31" s="50"/>
      <c r="AZ31" s="50"/>
      <c r="BA31" s="50"/>
      <c r="BB31" s="26"/>
      <c r="BC31" s="26"/>
      <c r="BD31" s="26"/>
      <c r="BE31" s="26"/>
      <c r="BF31" s="26"/>
      <c r="BG31" s="26"/>
      <c r="BH31" s="26"/>
      <c r="BI31" s="26"/>
      <c r="BJ31" s="26"/>
      <c r="BK31" s="26"/>
      <c r="BL31" s="26"/>
      <c r="BM31" s="26"/>
      <c r="BN31" s="26"/>
      <c r="BO31" s="26"/>
      <c r="BP31" s="26"/>
      <c r="BQ31" s="26"/>
      <c r="BR31" s="26"/>
      <c r="BS31" s="26"/>
      <c r="BT31" s="26"/>
      <c r="BU31" s="26"/>
      <c r="BV31" s="26"/>
      <c r="BW31" s="28"/>
      <c r="BX31" s="28"/>
      <c r="BY31" s="28"/>
      <c r="BZ31" s="28"/>
    </row>
    <row r="32" spans="1:78" s="5" customFormat="1" ht="21" customHeight="1" x14ac:dyDescent="0.2">
      <c r="A32" s="407" t="str">
        <f ca="1">Translations!$A$43</f>
        <v xml:space="preserve">Linked to objective(s) # </v>
      </c>
      <c r="B32" s="359" t="str">
        <f ca="1">Translations!A44</f>
        <v>Outcome indicator</v>
      </c>
      <c r="C32" s="360"/>
      <c r="D32" s="360"/>
      <c r="E32" s="360"/>
      <c r="F32" s="360"/>
      <c r="G32" s="360"/>
      <c r="H32" s="391"/>
      <c r="I32" s="379" t="str">
        <f ca="1">Translations!$A$29</f>
        <v>Baseline</v>
      </c>
      <c r="J32" s="380"/>
      <c r="K32" s="380"/>
      <c r="L32" s="380"/>
      <c r="M32" s="380"/>
      <c r="N32" s="381"/>
      <c r="O32" s="379" t="str">
        <f ca="1">Translations!$A$30</f>
        <v>Targets</v>
      </c>
      <c r="P32" s="380"/>
      <c r="Q32" s="380"/>
      <c r="R32" s="380"/>
      <c r="S32" s="380"/>
      <c r="T32" s="381"/>
      <c r="U32" s="382" t="str">
        <f ca="1">Translations!$A$73</f>
        <v>Comments and Assumptions</v>
      </c>
      <c r="V32" s="383"/>
      <c r="W32" s="383"/>
      <c r="X32" s="383"/>
      <c r="Y32" s="383"/>
      <c r="Z32" s="384"/>
      <c r="AA32" s="136"/>
      <c r="AB32" s="137"/>
      <c r="AC32" s="137"/>
      <c r="AD32" s="137"/>
      <c r="AE32" s="137"/>
      <c r="AF32" s="137"/>
      <c r="AG32" s="137"/>
      <c r="AH32" s="137"/>
      <c r="AI32" s="137"/>
      <c r="AJ32" s="665"/>
      <c r="AK32" s="665"/>
      <c r="AL32" s="665"/>
      <c r="AM32" s="665"/>
      <c r="AN32" s="665"/>
      <c r="AO32" s="665"/>
      <c r="AP32" s="665"/>
      <c r="AQ32" s="665"/>
      <c r="AR32" s="665"/>
      <c r="AS32" s="665"/>
      <c r="AT32" s="665"/>
      <c r="AU32" s="665"/>
      <c r="AV32" s="665"/>
      <c r="AW32" s="665"/>
      <c r="AX32" s="665"/>
      <c r="AY32" s="665"/>
      <c r="AZ32" s="665"/>
      <c r="BA32" s="665"/>
      <c r="BB32" s="665"/>
      <c r="BC32" s="665"/>
      <c r="BD32" s="665"/>
      <c r="BE32" s="665"/>
      <c r="BF32" s="665"/>
      <c r="BG32" s="665"/>
      <c r="BH32" s="665"/>
      <c r="BI32" s="665"/>
      <c r="BJ32" s="665"/>
      <c r="BK32" s="26"/>
      <c r="BL32" s="26"/>
      <c r="BM32" s="26"/>
      <c r="BN32" s="48"/>
      <c r="BO32" s="48"/>
      <c r="BP32" s="48"/>
      <c r="BQ32" s="48"/>
    </row>
    <row r="33" spans="1:78" s="5" customFormat="1" ht="21" customHeight="1" x14ac:dyDescent="0.2">
      <c r="A33" s="408"/>
      <c r="B33" s="362"/>
      <c r="C33" s="363"/>
      <c r="D33" s="363"/>
      <c r="E33" s="363"/>
      <c r="F33" s="363"/>
      <c r="G33" s="363"/>
      <c r="H33" s="410"/>
      <c r="I33" s="359" t="str">
        <f ca="1">Translations!$A$31</f>
        <v>Value</v>
      </c>
      <c r="J33" s="391"/>
      <c r="K33" s="394" t="str">
        <f ca="1">Translations!$A$32</f>
        <v xml:space="preserve">Year </v>
      </c>
      <c r="L33" s="359" t="str">
        <f ca="1">Translations!$A$33</f>
        <v>Source</v>
      </c>
      <c r="M33" s="360"/>
      <c r="N33" s="391"/>
      <c r="O33" s="379" t="str">
        <f ca="1">Translations!$A$34</f>
        <v>Year 1</v>
      </c>
      <c r="P33" s="381"/>
      <c r="Q33" s="379" t="str">
        <f ca="1">Translations!$A$35</f>
        <v>Year 2</v>
      </c>
      <c r="R33" s="381"/>
      <c r="S33" s="379" t="str">
        <f ca="1">Translations!$A$36</f>
        <v>Year 3</v>
      </c>
      <c r="T33" s="381"/>
      <c r="U33" s="385"/>
      <c r="V33" s="386"/>
      <c r="W33" s="386"/>
      <c r="X33" s="386"/>
      <c r="Y33" s="386"/>
      <c r="Z33" s="387"/>
      <c r="AA33" s="136"/>
      <c r="AB33" s="137"/>
      <c r="AC33" s="137"/>
      <c r="AD33" s="137"/>
      <c r="AE33" s="137"/>
      <c r="AF33" s="137"/>
      <c r="AG33" s="137"/>
      <c r="AH33" s="137"/>
      <c r="AI33" s="137"/>
      <c r="AJ33" s="665"/>
      <c r="AK33" s="665"/>
      <c r="AL33" s="665"/>
      <c r="AM33" s="665"/>
      <c r="AN33" s="665"/>
      <c r="AO33" s="665"/>
      <c r="AP33" s="665"/>
      <c r="AQ33" s="665"/>
      <c r="AR33" s="665"/>
      <c r="AS33" s="665"/>
      <c r="AT33" s="665"/>
      <c r="AU33" s="665"/>
      <c r="AV33" s="665"/>
      <c r="AW33" s="665"/>
      <c r="AX33" s="665"/>
      <c r="AY33" s="665"/>
      <c r="AZ33" s="665"/>
      <c r="BA33" s="665"/>
      <c r="BB33" s="665"/>
      <c r="BC33" s="665"/>
      <c r="BD33" s="665"/>
      <c r="BE33" s="665"/>
      <c r="BF33" s="665"/>
      <c r="BG33" s="665"/>
      <c r="BH33" s="665"/>
      <c r="BI33" s="665"/>
      <c r="BJ33" s="665"/>
      <c r="BK33" s="26"/>
      <c r="BL33" s="26"/>
      <c r="BM33" s="26"/>
      <c r="BN33" s="48"/>
      <c r="BO33" s="48"/>
      <c r="BP33" s="48"/>
      <c r="BQ33" s="48"/>
    </row>
    <row r="34" spans="1:78" s="5" customFormat="1" ht="21" customHeight="1" x14ac:dyDescent="0.2">
      <c r="A34" s="409"/>
      <c r="B34" s="392"/>
      <c r="C34" s="396"/>
      <c r="D34" s="396"/>
      <c r="E34" s="396"/>
      <c r="F34" s="396"/>
      <c r="G34" s="396"/>
      <c r="H34" s="393"/>
      <c r="I34" s="392"/>
      <c r="J34" s="393"/>
      <c r="K34" s="395"/>
      <c r="L34" s="392"/>
      <c r="M34" s="396"/>
      <c r="N34" s="393"/>
      <c r="O34" s="397" t="str">
        <f ca="1">O16</f>
        <v>Please select…</v>
      </c>
      <c r="P34" s="398"/>
      <c r="Q34" s="397" t="str">
        <f ca="1">Q16</f>
        <v/>
      </c>
      <c r="R34" s="398"/>
      <c r="S34" s="397" t="str">
        <f ca="1">S16</f>
        <v/>
      </c>
      <c r="T34" s="398"/>
      <c r="U34" s="388"/>
      <c r="V34" s="389"/>
      <c r="W34" s="389"/>
      <c r="X34" s="389"/>
      <c r="Y34" s="389"/>
      <c r="Z34" s="390"/>
      <c r="AA34" s="136"/>
      <c r="AB34" s="137"/>
      <c r="AC34" s="137"/>
      <c r="AD34" s="137"/>
      <c r="AE34" s="137"/>
      <c r="AF34" s="137"/>
      <c r="AG34" s="137"/>
      <c r="AH34" s="137"/>
      <c r="AI34" s="137"/>
      <c r="AJ34" s="665"/>
      <c r="AK34" s="665"/>
      <c r="AL34" s="665"/>
      <c r="AM34" s="665"/>
      <c r="AN34" s="665"/>
      <c r="AO34" s="665"/>
      <c r="AP34" s="665"/>
      <c r="AQ34" s="665"/>
      <c r="AR34" s="665"/>
      <c r="AS34" s="665"/>
      <c r="AT34" s="665"/>
      <c r="AU34" s="665"/>
      <c r="AV34" s="665"/>
      <c r="AW34" s="665"/>
      <c r="AX34" s="665"/>
      <c r="AY34" s="665"/>
      <c r="AZ34" s="665"/>
      <c r="BA34" s="665"/>
      <c r="BB34" s="665"/>
      <c r="BC34" s="665"/>
      <c r="BD34" s="665"/>
      <c r="BE34" s="665"/>
      <c r="BF34" s="665"/>
      <c r="BG34" s="665"/>
      <c r="BH34" s="665"/>
      <c r="BI34" s="665"/>
      <c r="BJ34" s="665"/>
      <c r="BK34" s="26"/>
      <c r="BL34" s="26"/>
      <c r="BM34" s="26"/>
      <c r="BN34" s="48"/>
      <c r="BO34" s="48"/>
      <c r="BP34" s="48"/>
      <c r="BQ34" s="48"/>
    </row>
    <row r="35" spans="1:78" s="28" customFormat="1" ht="39.950000000000003" customHeight="1" x14ac:dyDescent="0.2">
      <c r="A35" s="11"/>
      <c r="B35" s="682" t="str">
        <f ca="1">Translations!$A$72</f>
        <v>Please select…</v>
      </c>
      <c r="C35" s="683"/>
      <c r="D35" s="683"/>
      <c r="E35" s="683"/>
      <c r="F35" s="683"/>
      <c r="G35" s="683"/>
      <c r="H35" s="684"/>
      <c r="I35" s="399"/>
      <c r="J35" s="400"/>
      <c r="K35" s="64"/>
      <c r="L35" s="685" t="str">
        <f ca="1">Translations!$A$72</f>
        <v>Please select…</v>
      </c>
      <c r="M35" s="686"/>
      <c r="N35" s="687"/>
      <c r="O35" s="399"/>
      <c r="P35" s="400"/>
      <c r="Q35" s="399"/>
      <c r="R35" s="400"/>
      <c r="S35" s="399"/>
      <c r="T35" s="401"/>
      <c r="U35" s="688"/>
      <c r="V35" s="689"/>
      <c r="W35" s="689"/>
      <c r="X35" s="689"/>
      <c r="Y35" s="689"/>
      <c r="Z35" s="690"/>
      <c r="AA35" s="139"/>
      <c r="AB35" s="140"/>
      <c r="AC35" s="140"/>
      <c r="AD35" s="140"/>
      <c r="AE35" s="140"/>
      <c r="AF35" s="140"/>
      <c r="AG35" s="140"/>
      <c r="AH35" s="140"/>
      <c r="AI35" s="140"/>
      <c r="AJ35" s="666"/>
      <c r="AK35" s="666"/>
      <c r="AL35" s="666"/>
      <c r="AM35" s="666"/>
      <c r="AN35" s="666"/>
      <c r="AO35" s="666"/>
      <c r="AP35" s="666"/>
      <c r="AQ35" s="666"/>
      <c r="AR35" s="666"/>
      <c r="AS35" s="666"/>
      <c r="AT35" s="666"/>
      <c r="AU35" s="666"/>
      <c r="AV35" s="666"/>
      <c r="AW35" s="666"/>
      <c r="AX35" s="666"/>
      <c r="AY35" s="666"/>
      <c r="AZ35" s="666"/>
      <c r="BA35" s="666"/>
      <c r="BB35" s="666"/>
      <c r="BC35" s="666"/>
      <c r="BD35" s="666"/>
      <c r="BE35" s="666"/>
      <c r="BF35" s="666"/>
      <c r="BG35" s="666"/>
      <c r="BH35" s="666"/>
      <c r="BI35" s="666"/>
      <c r="BJ35" s="666"/>
      <c r="BK35" s="26"/>
      <c r="BL35" s="26"/>
      <c r="BM35" s="26"/>
    </row>
    <row r="36" spans="1:78" s="28" customFormat="1" ht="39.950000000000003" customHeight="1" x14ac:dyDescent="0.2">
      <c r="A36" s="16"/>
      <c r="B36" s="673" t="str">
        <f ca="1">Translations!$A$72</f>
        <v>Please select…</v>
      </c>
      <c r="C36" s="674"/>
      <c r="D36" s="674"/>
      <c r="E36" s="674"/>
      <c r="F36" s="674"/>
      <c r="G36" s="674"/>
      <c r="H36" s="675"/>
      <c r="I36" s="413"/>
      <c r="J36" s="414"/>
      <c r="K36" s="60"/>
      <c r="L36" s="676" t="str">
        <f ca="1">Translations!$A$72</f>
        <v>Please select…</v>
      </c>
      <c r="M36" s="677"/>
      <c r="N36" s="678"/>
      <c r="O36" s="413"/>
      <c r="P36" s="414"/>
      <c r="Q36" s="413"/>
      <c r="R36" s="414"/>
      <c r="S36" s="413"/>
      <c r="T36" s="418"/>
      <c r="U36" s="679"/>
      <c r="V36" s="680"/>
      <c r="W36" s="680"/>
      <c r="X36" s="680"/>
      <c r="Y36" s="680"/>
      <c r="Z36" s="681"/>
      <c r="AA36" s="139"/>
      <c r="AB36" s="140"/>
      <c r="AC36" s="140"/>
      <c r="AD36" s="140"/>
      <c r="AE36" s="140"/>
      <c r="AF36" s="140"/>
      <c r="AG36" s="140"/>
      <c r="AH36" s="140"/>
      <c r="AI36" s="140"/>
      <c r="AJ36" s="666"/>
      <c r="AK36" s="666"/>
      <c r="AL36" s="666"/>
      <c r="AM36" s="666"/>
      <c r="AN36" s="666"/>
      <c r="AO36" s="666"/>
      <c r="AP36" s="666"/>
      <c r="AQ36" s="666"/>
      <c r="AR36" s="666"/>
      <c r="AS36" s="666"/>
      <c r="AT36" s="666"/>
      <c r="AU36" s="666"/>
      <c r="AV36" s="666"/>
      <c r="AW36" s="666"/>
      <c r="AX36" s="666"/>
      <c r="AY36" s="666"/>
      <c r="AZ36" s="666"/>
      <c r="BA36" s="666"/>
      <c r="BB36" s="666"/>
      <c r="BC36" s="666"/>
      <c r="BD36" s="666"/>
      <c r="BE36" s="666"/>
      <c r="BF36" s="666"/>
      <c r="BG36" s="666"/>
      <c r="BH36" s="666"/>
      <c r="BI36" s="666"/>
      <c r="BJ36" s="666"/>
      <c r="BK36" s="26"/>
      <c r="BL36" s="26"/>
      <c r="BM36" s="26"/>
    </row>
    <row r="37" spans="1:78" s="28" customFormat="1" ht="39.950000000000003" customHeight="1" x14ac:dyDescent="0.2">
      <c r="A37" s="17"/>
      <c r="B37" s="673" t="str">
        <f ca="1">Translations!$A$72</f>
        <v>Please select…</v>
      </c>
      <c r="C37" s="674"/>
      <c r="D37" s="674"/>
      <c r="E37" s="674"/>
      <c r="F37" s="674"/>
      <c r="G37" s="674"/>
      <c r="H37" s="675"/>
      <c r="I37" s="413"/>
      <c r="J37" s="414"/>
      <c r="K37" s="60"/>
      <c r="L37" s="676" t="str">
        <f ca="1">Translations!$A$72</f>
        <v>Please select…</v>
      </c>
      <c r="M37" s="677"/>
      <c r="N37" s="678"/>
      <c r="O37" s="413"/>
      <c r="P37" s="414"/>
      <c r="Q37" s="413"/>
      <c r="R37" s="414"/>
      <c r="S37" s="413"/>
      <c r="T37" s="418"/>
      <c r="U37" s="679"/>
      <c r="V37" s="680"/>
      <c r="W37" s="680"/>
      <c r="X37" s="680"/>
      <c r="Y37" s="680"/>
      <c r="Z37" s="681"/>
      <c r="AA37" s="139"/>
      <c r="AB37" s="140"/>
      <c r="AC37" s="140"/>
      <c r="AD37" s="140"/>
      <c r="AE37" s="140"/>
      <c r="AF37" s="140"/>
      <c r="AG37" s="140"/>
      <c r="AH37" s="140"/>
      <c r="AI37" s="140"/>
      <c r="AJ37" s="666"/>
      <c r="AK37" s="666"/>
      <c r="AL37" s="666"/>
      <c r="AM37" s="666"/>
      <c r="AN37" s="666"/>
      <c r="AO37" s="666"/>
      <c r="AP37" s="666"/>
      <c r="AQ37" s="666"/>
      <c r="AR37" s="666"/>
      <c r="AS37" s="666"/>
      <c r="AT37" s="666"/>
      <c r="AU37" s="666"/>
      <c r="AV37" s="666"/>
      <c r="AW37" s="666"/>
      <c r="AX37" s="666"/>
      <c r="AY37" s="666"/>
      <c r="AZ37" s="666"/>
      <c r="BA37" s="666"/>
      <c r="BB37" s="666"/>
      <c r="BC37" s="666"/>
      <c r="BD37" s="666"/>
      <c r="BE37" s="666"/>
      <c r="BF37" s="666"/>
      <c r="BG37" s="666"/>
      <c r="BH37" s="666"/>
      <c r="BI37" s="666"/>
      <c r="BJ37" s="666"/>
      <c r="BK37" s="26"/>
      <c r="BL37" s="26"/>
      <c r="BM37" s="26"/>
    </row>
    <row r="38" spans="1:78" s="28" customFormat="1" ht="39.950000000000003" customHeight="1" x14ac:dyDescent="0.2">
      <c r="A38" s="17"/>
      <c r="B38" s="673" t="str">
        <f ca="1">Translations!$A$72</f>
        <v>Please select…</v>
      </c>
      <c r="C38" s="674"/>
      <c r="D38" s="674"/>
      <c r="E38" s="674"/>
      <c r="F38" s="674"/>
      <c r="G38" s="674"/>
      <c r="H38" s="675"/>
      <c r="I38" s="413"/>
      <c r="J38" s="414"/>
      <c r="K38" s="60"/>
      <c r="L38" s="676" t="str">
        <f ca="1">Translations!$A$72</f>
        <v>Please select…</v>
      </c>
      <c r="M38" s="677"/>
      <c r="N38" s="678"/>
      <c r="O38" s="413"/>
      <c r="P38" s="414"/>
      <c r="Q38" s="413"/>
      <c r="R38" s="414"/>
      <c r="S38" s="413"/>
      <c r="T38" s="418"/>
      <c r="U38" s="679"/>
      <c r="V38" s="680"/>
      <c r="W38" s="680"/>
      <c r="X38" s="680"/>
      <c r="Y38" s="680"/>
      <c r="Z38" s="681"/>
      <c r="AA38" s="139"/>
      <c r="AB38" s="140"/>
      <c r="AC38" s="140"/>
      <c r="AD38" s="140"/>
      <c r="AE38" s="140"/>
      <c r="AF38" s="140"/>
      <c r="AG38" s="140"/>
      <c r="AH38" s="140"/>
      <c r="AI38" s="140"/>
      <c r="AJ38" s="666"/>
      <c r="AK38" s="666"/>
      <c r="AL38" s="666"/>
      <c r="AM38" s="666"/>
      <c r="AN38" s="666"/>
      <c r="AO38" s="666"/>
      <c r="AP38" s="666"/>
      <c r="AQ38" s="666"/>
      <c r="AR38" s="666"/>
      <c r="AS38" s="666"/>
      <c r="AT38" s="666"/>
      <c r="AU38" s="666"/>
      <c r="AV38" s="666"/>
      <c r="AW38" s="666"/>
      <c r="AX38" s="666"/>
      <c r="AY38" s="666"/>
      <c r="AZ38" s="666"/>
      <c r="BA38" s="666"/>
      <c r="BB38" s="666"/>
      <c r="BC38" s="666"/>
      <c r="BD38" s="666"/>
      <c r="BE38" s="666"/>
      <c r="BF38" s="666"/>
      <c r="BG38" s="666"/>
      <c r="BH38" s="666"/>
      <c r="BI38" s="666"/>
      <c r="BJ38" s="666"/>
      <c r="BK38" s="26"/>
      <c r="BL38" s="26"/>
      <c r="BM38" s="26"/>
    </row>
    <row r="39" spans="1:78" s="28" customFormat="1" ht="39.950000000000003" customHeight="1" x14ac:dyDescent="0.2">
      <c r="A39" s="25"/>
      <c r="B39" s="667" t="str">
        <f ca="1">Translations!$A$72</f>
        <v>Please select…</v>
      </c>
      <c r="C39" s="668"/>
      <c r="D39" s="668"/>
      <c r="E39" s="668"/>
      <c r="F39" s="668"/>
      <c r="G39" s="668"/>
      <c r="H39" s="669"/>
      <c r="I39" s="429"/>
      <c r="J39" s="430"/>
      <c r="K39" s="61"/>
      <c r="L39" s="670" t="str">
        <f ca="1">Translations!$A$72</f>
        <v>Please select…</v>
      </c>
      <c r="M39" s="671"/>
      <c r="N39" s="672"/>
      <c r="O39" s="429"/>
      <c r="P39" s="430"/>
      <c r="Q39" s="429"/>
      <c r="R39" s="430"/>
      <c r="S39" s="429"/>
      <c r="T39" s="434"/>
      <c r="U39" s="716"/>
      <c r="V39" s="717"/>
      <c r="W39" s="717"/>
      <c r="X39" s="717"/>
      <c r="Y39" s="717"/>
      <c r="Z39" s="718"/>
      <c r="AA39" s="139"/>
      <c r="AB39" s="140"/>
      <c r="AC39" s="140"/>
      <c r="AD39" s="140"/>
      <c r="AE39" s="140"/>
      <c r="AF39" s="140"/>
      <c r="AG39" s="140"/>
      <c r="AH39" s="140"/>
      <c r="AI39" s="140"/>
      <c r="AJ39" s="666"/>
      <c r="AK39" s="666"/>
      <c r="AL39" s="666"/>
      <c r="AM39" s="666"/>
      <c r="AN39" s="666"/>
      <c r="AO39" s="666"/>
      <c r="AP39" s="666"/>
      <c r="AQ39" s="666"/>
      <c r="AR39" s="666"/>
      <c r="AS39" s="666"/>
      <c r="AT39" s="666"/>
      <c r="AU39" s="666"/>
      <c r="AV39" s="666"/>
      <c r="AW39" s="666"/>
      <c r="AX39" s="666"/>
      <c r="AY39" s="666"/>
      <c r="AZ39" s="666"/>
      <c r="BA39" s="666"/>
      <c r="BB39" s="666"/>
      <c r="BC39" s="666"/>
      <c r="BD39" s="666"/>
      <c r="BE39" s="666"/>
      <c r="BF39" s="666"/>
      <c r="BG39" s="666"/>
      <c r="BH39" s="666"/>
      <c r="BI39" s="666"/>
      <c r="BJ39" s="666"/>
      <c r="BK39" s="26"/>
      <c r="BL39" s="26"/>
      <c r="BM39" s="26"/>
    </row>
    <row r="40" spans="1:78" ht="18.75" customHeight="1" x14ac:dyDescent="0.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84"/>
      <c r="AB40" s="84"/>
      <c r="AC40" s="84"/>
      <c r="AD40" s="84"/>
      <c r="AE40" s="83"/>
      <c r="AF40" s="83"/>
      <c r="AG40" s="83"/>
      <c r="AH40" s="83"/>
      <c r="AI40" s="83"/>
      <c r="AJ40" s="50"/>
      <c r="AK40" s="50"/>
      <c r="AL40" s="220"/>
      <c r="AM40" s="50"/>
      <c r="AN40" s="87"/>
      <c r="AO40" s="87"/>
      <c r="AP40" s="50"/>
      <c r="AQ40" s="50"/>
      <c r="AR40" s="50"/>
      <c r="AS40" s="50"/>
      <c r="AT40" s="50"/>
      <c r="AU40" s="50"/>
      <c r="AV40" s="50"/>
      <c r="AW40" s="50"/>
      <c r="AX40" s="50"/>
      <c r="AY40" s="50"/>
      <c r="AZ40" s="50"/>
      <c r="BA40" s="50"/>
      <c r="BB40" s="26"/>
      <c r="BC40" s="26"/>
      <c r="BD40" s="26"/>
      <c r="BE40" s="26"/>
      <c r="BF40" s="26"/>
      <c r="BG40" s="26"/>
      <c r="BH40" s="26"/>
      <c r="BI40" s="26"/>
      <c r="BJ40" s="26"/>
      <c r="BK40" s="26"/>
      <c r="BL40" s="26"/>
      <c r="BM40" s="26"/>
      <c r="BN40" s="26"/>
      <c r="BO40" s="26"/>
      <c r="BP40" s="26"/>
      <c r="BQ40" s="26"/>
      <c r="BR40" s="26"/>
      <c r="BS40" s="26"/>
      <c r="BT40" s="26"/>
      <c r="BU40" s="26"/>
      <c r="BV40" s="26"/>
      <c r="BW40" s="28"/>
      <c r="BX40" s="28"/>
      <c r="BY40" s="28"/>
      <c r="BZ40" s="28"/>
    </row>
    <row r="41" spans="1:78" s="2" customFormat="1" ht="18" customHeight="1" x14ac:dyDescent="0.2">
      <c r="A41" s="435" t="str">
        <f ca="1">Translations!A74</f>
        <v>D. Modules</v>
      </c>
      <c r="B41" s="436"/>
      <c r="C41" s="436"/>
      <c r="D41" s="436"/>
      <c r="E41" s="436"/>
      <c r="F41" s="436"/>
      <c r="G41" s="436"/>
      <c r="H41" s="436"/>
      <c r="I41" s="436"/>
      <c r="J41" s="436"/>
      <c r="K41" s="436"/>
      <c r="L41" s="436"/>
      <c r="M41" s="436"/>
      <c r="N41" s="436"/>
      <c r="O41" s="436"/>
      <c r="P41" s="436"/>
      <c r="Q41" s="436"/>
      <c r="R41" s="436"/>
      <c r="S41" s="436"/>
      <c r="T41" s="436"/>
      <c r="U41" s="436"/>
      <c r="V41" s="436"/>
      <c r="W41" s="436"/>
      <c r="X41" s="436"/>
      <c r="Y41" s="436"/>
      <c r="Z41" s="436"/>
      <c r="AA41" s="436"/>
      <c r="AB41" s="437"/>
      <c r="AC41" s="94"/>
      <c r="AD41" s="94"/>
      <c r="AE41" s="94"/>
      <c r="AF41" s="94"/>
      <c r="AG41" s="94"/>
      <c r="AH41" s="45"/>
      <c r="AI41" s="45"/>
      <c r="AJ41" s="45" t="s">
        <v>1821</v>
      </c>
      <c r="AK41" s="45" t="s">
        <v>1820</v>
      </c>
      <c r="AL41" s="226" t="s">
        <v>1819</v>
      </c>
      <c r="AM41" s="45" t="s">
        <v>1800</v>
      </c>
      <c r="AN41" s="94" t="s">
        <v>889</v>
      </c>
      <c r="AO41" s="94" t="s">
        <v>1454</v>
      </c>
      <c r="AP41" s="45"/>
      <c r="AQ41" s="45"/>
      <c r="AR41" s="45"/>
      <c r="AS41" s="45"/>
      <c r="AT41" s="45"/>
      <c r="AU41" s="45"/>
      <c r="AV41" s="45"/>
      <c r="AW41" s="45"/>
      <c r="AX41" s="50"/>
      <c r="AY41" s="50"/>
      <c r="AZ41" s="50"/>
      <c r="BA41" s="50"/>
      <c r="BB41" s="26"/>
      <c r="BC41" s="26"/>
      <c r="BD41" s="26"/>
      <c r="BE41" s="47"/>
      <c r="BF41" s="47"/>
      <c r="BG41" s="47"/>
      <c r="BH41" s="47"/>
      <c r="BI41" s="47"/>
      <c r="BJ41" s="47"/>
      <c r="BK41" s="47"/>
      <c r="BL41" s="47"/>
      <c r="BM41" s="47"/>
      <c r="BN41" s="47"/>
      <c r="BO41" s="47"/>
      <c r="BP41" s="47"/>
      <c r="BQ41" s="47"/>
      <c r="BR41" s="47"/>
      <c r="BS41" s="47"/>
      <c r="BT41" s="47"/>
      <c r="BU41" s="47"/>
      <c r="BV41" s="47"/>
      <c r="BW41" s="47"/>
    </row>
    <row r="42" spans="1:78" s="54" customFormat="1" ht="18" customHeight="1" x14ac:dyDescent="0.2">
      <c r="A42" s="51"/>
      <c r="B42" s="52"/>
      <c r="C42" s="52"/>
      <c r="D42" s="52"/>
      <c r="E42" s="52"/>
      <c r="F42" s="52"/>
      <c r="G42" s="52"/>
      <c r="H42" s="52"/>
      <c r="I42" s="52"/>
      <c r="J42" s="52"/>
      <c r="K42" s="52"/>
      <c r="L42" s="52"/>
      <c r="M42" s="52"/>
      <c r="N42" s="52"/>
      <c r="O42" s="52"/>
      <c r="P42" s="53"/>
      <c r="Q42" s="53"/>
      <c r="R42" s="53"/>
      <c r="S42" s="53"/>
      <c r="T42" s="53"/>
      <c r="U42" s="53"/>
      <c r="V42" s="53"/>
      <c r="W42" s="53"/>
      <c r="X42" s="53"/>
      <c r="Y42" s="53"/>
      <c r="Z42" s="45"/>
      <c r="AA42" s="45"/>
      <c r="AB42" s="45"/>
      <c r="AC42" s="94"/>
      <c r="AD42" s="94"/>
      <c r="AE42" s="94"/>
      <c r="AF42" s="94"/>
      <c r="AG42" s="94"/>
      <c r="AH42" s="45"/>
      <c r="AI42" s="45"/>
      <c r="AJ42" s="45"/>
      <c r="AK42" s="45"/>
      <c r="AL42" s="223"/>
      <c r="AM42" s="65"/>
      <c r="AN42" s="94"/>
      <c r="AO42" s="94"/>
      <c r="AP42" s="45"/>
      <c r="AQ42" s="45"/>
      <c r="AR42" s="45"/>
      <c r="AS42" s="45"/>
      <c r="AT42" s="45"/>
      <c r="AU42" s="45"/>
      <c r="AV42" s="45"/>
      <c r="AW42" s="45"/>
      <c r="AX42" s="50"/>
      <c r="AY42" s="50"/>
      <c r="AZ42" s="50"/>
      <c r="BA42" s="50"/>
      <c r="BB42" s="50"/>
      <c r="BC42" s="50"/>
      <c r="BD42" s="50"/>
      <c r="BE42" s="42"/>
      <c r="BF42" s="42"/>
      <c r="BG42" s="42"/>
      <c r="BH42" s="42"/>
      <c r="BI42" s="42"/>
      <c r="BJ42" s="42"/>
      <c r="BK42" s="42"/>
      <c r="BL42" s="42"/>
      <c r="BM42" s="42"/>
      <c r="BN42" s="42"/>
      <c r="BO42" s="42"/>
      <c r="BP42" s="42"/>
      <c r="BQ42" s="42"/>
      <c r="BR42" s="42"/>
      <c r="BS42" s="42"/>
      <c r="BT42" s="42"/>
      <c r="BU42" s="42"/>
      <c r="BV42" s="42"/>
      <c r="BW42" s="42"/>
    </row>
    <row r="43" spans="1:78" s="2" customFormat="1" ht="33" customHeight="1" x14ac:dyDescent="0.2">
      <c r="A43" s="438" t="str">
        <f ca="1">Translations!$A$75</f>
        <v>Module</v>
      </c>
      <c r="B43" s="439"/>
      <c r="C43" s="178"/>
      <c r="D43" s="440"/>
      <c r="E43" s="440"/>
      <c r="F43" s="440"/>
      <c r="G43" s="440"/>
      <c r="H43" s="440"/>
      <c r="I43" s="440"/>
      <c r="J43" s="440"/>
      <c r="K43" s="124"/>
      <c r="L43" s="13"/>
      <c r="M43" s="13"/>
      <c r="N43" s="13"/>
      <c r="O43" s="13"/>
      <c r="P43" s="13"/>
      <c r="Q43" s="13"/>
      <c r="R43" s="13"/>
      <c r="S43" s="13"/>
      <c r="T43" s="13"/>
      <c r="U43" s="13"/>
      <c r="V43" s="13"/>
      <c r="W43" s="13"/>
      <c r="X43" s="13"/>
      <c r="Y43" s="13"/>
      <c r="Z43" s="13"/>
      <c r="AA43" s="13"/>
      <c r="AB43" s="14"/>
      <c r="AC43" s="94"/>
      <c r="AD43" s="94"/>
      <c r="AE43" s="94"/>
      <c r="AF43" s="94"/>
      <c r="AG43" s="94"/>
      <c r="AH43" s="45"/>
      <c r="AI43" s="45"/>
      <c r="AJ43" s="94"/>
      <c r="AK43" s="45"/>
      <c r="AL43" s="223"/>
      <c r="AM43" s="65" t="e">
        <f ca="1">INDIRECT(ADDRESS(MATCH(D43,ModulesInCmp,0)+MATCH(CmpIdSelected,Modules!$A:$A,0)-1,3,1,TRUE,"Modules"))</f>
        <v>#VALUE!</v>
      </c>
      <c r="AN43" s="94"/>
      <c r="AO43" s="94"/>
      <c r="AP43" s="45"/>
      <c r="AQ43" s="45"/>
      <c r="AR43" s="45"/>
      <c r="AS43" s="45"/>
      <c r="AT43" s="45"/>
      <c r="AU43" s="45"/>
      <c r="AV43" s="50"/>
      <c r="AW43" s="50"/>
      <c r="AX43" s="50"/>
      <c r="AY43" s="50"/>
      <c r="AZ43" s="50"/>
      <c r="BA43" s="50"/>
      <c r="BB43" s="50"/>
      <c r="BC43" s="47"/>
      <c r="BD43" s="47"/>
      <c r="BE43" s="47"/>
      <c r="BF43" s="47"/>
      <c r="BG43" s="47"/>
      <c r="BH43" s="47"/>
      <c r="BI43" s="47"/>
      <c r="BJ43" s="47"/>
      <c r="BK43" s="47"/>
      <c r="BL43" s="47"/>
      <c r="BM43" s="47"/>
      <c r="BN43" s="47"/>
      <c r="BO43" s="47"/>
      <c r="BP43" s="47"/>
      <c r="BQ43" s="47"/>
      <c r="BR43" s="47"/>
      <c r="BS43" s="47"/>
      <c r="BT43" s="47"/>
      <c r="BU43" s="47"/>
    </row>
    <row r="44" spans="1:78" s="165" customFormat="1" ht="18" customHeight="1" x14ac:dyDescent="0.2">
      <c r="A44" s="146" t="str">
        <f ca="1">Translations!$A$76</f>
        <v>Measurement framework for module</v>
      </c>
      <c r="B44" s="162"/>
      <c r="C44" s="162"/>
      <c r="D44" s="162"/>
      <c r="E44" s="162"/>
      <c r="F44" s="162"/>
      <c r="G44" s="102"/>
      <c r="H44" s="102"/>
      <c r="I44" s="102"/>
      <c r="J44" s="102"/>
      <c r="K44" s="102"/>
      <c r="L44" s="102"/>
      <c r="M44" s="102"/>
      <c r="N44" s="102"/>
      <c r="O44" s="102"/>
      <c r="P44" s="102"/>
      <c r="Q44" s="102"/>
      <c r="R44" s="419"/>
      <c r="S44" s="419"/>
      <c r="T44" s="419"/>
      <c r="U44" s="419"/>
      <c r="V44" s="419"/>
      <c r="W44" s="419"/>
      <c r="X44" s="419"/>
      <c r="Y44" s="419"/>
      <c r="Z44" s="419"/>
      <c r="AA44" s="419"/>
      <c r="AB44" s="420"/>
      <c r="AC44" s="94"/>
      <c r="AD44" s="94"/>
      <c r="AE44" s="94"/>
      <c r="AF44" s="94"/>
      <c r="AG44" s="94"/>
      <c r="AH44" s="94"/>
      <c r="AI44" s="94"/>
      <c r="AJ44" s="94"/>
      <c r="AK44" s="94"/>
      <c r="AL44" s="223"/>
      <c r="AM44" s="94" t="e">
        <f ca="1">INDIRECT(ADDRESS(ROW()-1,COLUMN()))</f>
        <v>#VALUE!</v>
      </c>
      <c r="AN44" s="94"/>
      <c r="AO44" s="94"/>
      <c r="AP44" s="94"/>
      <c r="AQ44" s="94"/>
      <c r="AR44" s="94"/>
      <c r="AS44" s="94"/>
      <c r="AT44" s="94"/>
      <c r="AU44" s="94"/>
      <c r="AV44" s="94"/>
      <c r="AW44" s="163"/>
      <c r="AX44" s="163"/>
      <c r="AY44" s="163"/>
      <c r="AZ44" s="163"/>
      <c r="BA44" s="163"/>
      <c r="BB44" s="163"/>
      <c r="BC44" s="163"/>
      <c r="BD44" s="164"/>
      <c r="BE44" s="164"/>
      <c r="BF44" s="164"/>
      <c r="BG44" s="164"/>
      <c r="BH44" s="164"/>
      <c r="BI44" s="164"/>
      <c r="BJ44" s="164"/>
      <c r="BK44" s="164"/>
      <c r="BL44" s="164"/>
      <c r="BM44" s="164"/>
      <c r="BN44" s="164"/>
      <c r="BO44" s="164"/>
      <c r="BP44" s="164"/>
      <c r="BQ44" s="164"/>
      <c r="BR44" s="164"/>
      <c r="BS44" s="164"/>
      <c r="BT44" s="164"/>
      <c r="BU44" s="164"/>
      <c r="BV44" s="164"/>
    </row>
    <row r="45" spans="1:78" s="5" customFormat="1" ht="24.95" customHeight="1" x14ac:dyDescent="0.2">
      <c r="A45" s="360" t="str">
        <f ca="1">Translations!$A$49</f>
        <v xml:space="preserve">Coverage/Output indicator </v>
      </c>
      <c r="B45" s="360"/>
      <c r="C45" s="391"/>
      <c r="D45" s="359" t="str">
        <f ca="1">Translations!$A$67</f>
        <v>Responsible Principal Recipient(s)</v>
      </c>
      <c r="E45" s="359" t="str">
        <f ca="1">Translations!$A$66</f>
        <v>Tied to</v>
      </c>
      <c r="F45" s="391"/>
      <c r="G45" s="359" t="str">
        <f ca="1">Translations!$A$29</f>
        <v>Baseline</v>
      </c>
      <c r="H45" s="360"/>
      <c r="I45" s="360"/>
      <c r="J45" s="391"/>
      <c r="K45" s="359"/>
      <c r="L45" s="360"/>
      <c r="M45" s="379" t="str">
        <f ca="1">Translations!$A$30</f>
        <v>Targets</v>
      </c>
      <c r="N45" s="380"/>
      <c r="O45" s="380"/>
      <c r="P45" s="380"/>
      <c r="Q45" s="380"/>
      <c r="R45" s="381"/>
      <c r="S45" s="510" t="str">
        <f ca="1">Translations!$A$82</f>
        <v>Target assumptions</v>
      </c>
      <c r="T45" s="511"/>
      <c r="U45" s="511"/>
      <c r="V45" s="511"/>
      <c r="W45" s="511"/>
      <c r="X45" s="511"/>
      <c r="Y45" s="511"/>
      <c r="Z45" s="511"/>
      <c r="AA45" s="511"/>
      <c r="AB45" s="512"/>
      <c r="AC45" s="136"/>
      <c r="AD45" s="137"/>
      <c r="AE45" s="137"/>
      <c r="AF45" s="137"/>
      <c r="AG45" s="137"/>
      <c r="AH45" s="217"/>
      <c r="AI45" s="217"/>
      <c r="AJ45" s="227" t="e">
        <f ca="1">MATCH(AM44,'Coverage ind'!$A:$A,0)-1</f>
        <v>#VALUE!</v>
      </c>
      <c r="AK45" s="227">
        <f ca="1">COUNTIF('Coverage ind'!A:A,'Concept Note'!AM44)</f>
        <v>0</v>
      </c>
      <c r="AL45" s="697" t="e">
        <f ca="1">MATCH(AM44,'Coverage ind'!$A:$A,0)-1</f>
        <v>#VALUE!</v>
      </c>
      <c r="AM45" s="65" t="e">
        <f ca="1">INDIRECT(ADDRESS(ROW()-1,COLUMN()))</f>
        <v>#VALUE!</v>
      </c>
      <c r="AN45" s="180"/>
      <c r="AO45" s="180"/>
      <c r="AP45" s="62"/>
      <c r="AQ45" s="62"/>
      <c r="AR45" s="665"/>
      <c r="AS45" s="665"/>
      <c r="AT45" s="665"/>
      <c r="AU45" s="665"/>
      <c r="AV45" s="665"/>
      <c r="AW45" s="50"/>
      <c r="AX45" s="50"/>
      <c r="AY45" s="50"/>
      <c r="AZ45" s="50"/>
      <c r="BA45" s="50"/>
      <c r="BB45" s="50"/>
      <c r="BC45" s="50"/>
      <c r="BD45" s="48"/>
      <c r="BE45" s="48"/>
      <c r="BF45" s="48"/>
      <c r="BG45" s="48"/>
      <c r="BH45" s="48"/>
      <c r="BI45" s="48"/>
      <c r="BJ45" s="48"/>
      <c r="BK45" s="48"/>
      <c r="BL45" s="48"/>
      <c r="BM45" s="48"/>
      <c r="BN45" s="48"/>
      <c r="BO45" s="48"/>
      <c r="BP45" s="48"/>
      <c r="BQ45" s="48"/>
      <c r="BR45" s="48"/>
      <c r="BS45" s="48"/>
      <c r="BT45" s="48"/>
      <c r="BU45" s="48"/>
      <c r="BV45" s="48"/>
    </row>
    <row r="46" spans="1:78" s="5" customFormat="1" ht="26.25" customHeight="1" x14ac:dyDescent="0.2">
      <c r="A46" s="363"/>
      <c r="B46" s="363"/>
      <c r="C46" s="410"/>
      <c r="D46" s="362"/>
      <c r="E46" s="362"/>
      <c r="F46" s="410"/>
      <c r="G46" s="392"/>
      <c r="H46" s="396"/>
      <c r="I46" s="396"/>
      <c r="J46" s="393"/>
      <c r="K46" s="362"/>
      <c r="L46" s="363"/>
      <c r="M46" s="379" t="str">
        <f ca="1">Translations!$A$34</f>
        <v>Year 1</v>
      </c>
      <c r="N46" s="381"/>
      <c r="O46" s="379" t="str">
        <f ca="1">Translations!$A$35</f>
        <v>Year 2</v>
      </c>
      <c r="P46" s="381"/>
      <c r="Q46" s="379" t="str">
        <f ca="1">Translations!$A$36</f>
        <v>Year 3</v>
      </c>
      <c r="R46" s="381"/>
      <c r="S46" s="513" t="str">
        <f ca="1">Translations!$A$83</f>
        <v>Please describe: 1) overall assumptions used in calculating targets, 2) anticipated rate of scale-up, 3) population size estimates, 4) description of indicator/package of services, 5) data source, 6) other relevant information</v>
      </c>
      <c r="T46" s="514"/>
      <c r="U46" s="514"/>
      <c r="V46" s="514"/>
      <c r="W46" s="514"/>
      <c r="X46" s="514"/>
      <c r="Y46" s="514"/>
      <c r="Z46" s="514"/>
      <c r="AA46" s="514"/>
      <c r="AB46" s="515"/>
      <c r="AC46" s="136"/>
      <c r="AD46" s="137"/>
      <c r="AE46" s="137"/>
      <c r="AF46" s="137"/>
      <c r="AG46" s="137"/>
      <c r="AH46" s="217"/>
      <c r="AI46" s="217"/>
      <c r="AJ46" s="228" t="e">
        <f ca="1">INDIRECT(ADDRESS(ROW()-1,COLUMN()))</f>
        <v>#VALUE!</v>
      </c>
      <c r="AK46" s="228">
        <f ca="1">INDIRECT(ADDRESS(ROW()-1,COLUMN()))</f>
        <v>0</v>
      </c>
      <c r="AL46" s="697"/>
      <c r="AM46" s="65" t="e">
        <f ca="1">INDIRECT(ADDRESS(ROW()-1,COLUMN()))</f>
        <v>#VALUE!</v>
      </c>
      <c r="AN46" s="180"/>
      <c r="AO46" s="180"/>
      <c r="AP46" s="62"/>
      <c r="AQ46" s="62"/>
      <c r="AR46" s="665"/>
      <c r="AS46" s="665"/>
      <c r="AT46" s="665"/>
      <c r="AU46" s="665"/>
      <c r="AV46" s="665"/>
      <c r="AW46" s="50"/>
      <c r="AX46" s="50"/>
      <c r="AY46" s="50"/>
      <c r="AZ46" s="50"/>
      <c r="BA46" s="50"/>
      <c r="BB46" s="50"/>
      <c r="BC46" s="50"/>
      <c r="BD46" s="48"/>
      <c r="BE46" s="48"/>
      <c r="BF46" s="48"/>
      <c r="BG46" s="48"/>
      <c r="BH46" s="48"/>
      <c r="BI46" s="48"/>
      <c r="BJ46" s="48"/>
      <c r="BK46" s="48"/>
      <c r="BL46" s="48"/>
      <c r="BM46" s="48"/>
      <c r="BN46" s="48"/>
      <c r="BO46" s="48"/>
      <c r="BP46" s="48"/>
      <c r="BQ46" s="48"/>
      <c r="BR46" s="48"/>
      <c r="BS46" s="48"/>
      <c r="BT46" s="48"/>
      <c r="BU46" s="48"/>
      <c r="BV46" s="48"/>
    </row>
    <row r="47" spans="1:78" s="5" customFormat="1" ht="18" customHeight="1" x14ac:dyDescent="0.2">
      <c r="A47" s="363"/>
      <c r="B47" s="363"/>
      <c r="C47" s="410"/>
      <c r="D47" s="362"/>
      <c r="E47" s="362"/>
      <c r="F47" s="410"/>
      <c r="G47" s="63" t="s">
        <v>15</v>
      </c>
      <c r="H47" s="394" t="s">
        <v>14</v>
      </c>
      <c r="I47" s="394" t="str">
        <f ca="1">Translations!$A$32</f>
        <v xml:space="preserve">Year </v>
      </c>
      <c r="J47" s="394" t="str">
        <f ca="1">Translations!$A$33</f>
        <v>Source</v>
      </c>
      <c r="K47" s="362"/>
      <c r="L47" s="421"/>
      <c r="M47" s="158" t="s">
        <v>15</v>
      </c>
      <c r="N47" s="508" t="s">
        <v>14</v>
      </c>
      <c r="O47" s="158" t="s">
        <v>15</v>
      </c>
      <c r="P47" s="508" t="s">
        <v>14</v>
      </c>
      <c r="Q47" s="158" t="s">
        <v>15</v>
      </c>
      <c r="R47" s="508" t="s">
        <v>14</v>
      </c>
      <c r="S47" s="513"/>
      <c r="T47" s="514"/>
      <c r="U47" s="514"/>
      <c r="V47" s="514"/>
      <c r="W47" s="514"/>
      <c r="X47" s="514"/>
      <c r="Y47" s="514"/>
      <c r="Z47" s="514"/>
      <c r="AA47" s="514"/>
      <c r="AB47" s="515"/>
      <c r="AC47" s="136"/>
      <c r="AD47" s="137"/>
      <c r="AE47" s="137"/>
      <c r="AF47" s="137"/>
      <c r="AG47" s="137"/>
      <c r="AH47" s="217"/>
      <c r="AI47" s="217"/>
      <c r="AJ47" s="228" t="e">
        <f t="shared" ref="AJ47:AK84" ca="1" si="0">INDIRECT(ADDRESS(ROW()-1,COLUMN()))</f>
        <v>#VALUE!</v>
      </c>
      <c r="AK47" s="228">
        <f t="shared" ca="1" si="0"/>
        <v>0</v>
      </c>
      <c r="AL47" s="697"/>
      <c r="AM47" s="65" t="e">
        <f t="shared" ref="AM47:AM88" ca="1" si="1">INDIRECT(ADDRESS(ROW()-1,COLUMN()))</f>
        <v>#VALUE!</v>
      </c>
      <c r="AN47" s="180"/>
      <c r="AO47" s="180"/>
      <c r="AP47" s="62"/>
      <c r="AQ47" s="62"/>
      <c r="AR47" s="665"/>
      <c r="AS47" s="665"/>
      <c r="AT47" s="665"/>
      <c r="AU47" s="665"/>
      <c r="AV47" s="665"/>
      <c r="AW47" s="50"/>
      <c r="AX47" s="50"/>
      <c r="AY47" s="50"/>
      <c r="AZ47" s="50"/>
      <c r="BA47" s="50"/>
      <c r="BB47" s="50"/>
      <c r="BC47" s="50"/>
      <c r="BD47" s="48"/>
      <c r="BE47" s="48"/>
      <c r="BF47" s="48"/>
      <c r="BG47" s="48"/>
      <c r="BH47" s="48"/>
      <c r="BI47" s="48"/>
      <c r="BJ47" s="48"/>
      <c r="BK47" s="48"/>
      <c r="BL47" s="48"/>
      <c r="BM47" s="48"/>
      <c r="BN47" s="48"/>
      <c r="BO47" s="48"/>
      <c r="BP47" s="48"/>
      <c r="BQ47" s="48"/>
      <c r="BR47" s="48"/>
      <c r="BS47" s="48"/>
      <c r="BT47" s="48"/>
      <c r="BU47" s="48"/>
      <c r="BV47" s="48"/>
    </row>
    <row r="48" spans="1:78" s="5" customFormat="1" ht="18" customHeight="1" x14ac:dyDescent="0.2">
      <c r="A48" s="396"/>
      <c r="B48" s="396"/>
      <c r="C48" s="393"/>
      <c r="D48" s="392"/>
      <c r="E48" s="392"/>
      <c r="F48" s="393"/>
      <c r="G48" s="58" t="s">
        <v>13</v>
      </c>
      <c r="H48" s="395"/>
      <c r="I48" s="395"/>
      <c r="J48" s="395"/>
      <c r="K48" s="392"/>
      <c r="L48" s="422"/>
      <c r="M48" s="159" t="s">
        <v>13</v>
      </c>
      <c r="N48" s="509"/>
      <c r="O48" s="159" t="s">
        <v>13</v>
      </c>
      <c r="P48" s="509"/>
      <c r="Q48" s="159" t="s">
        <v>13</v>
      </c>
      <c r="R48" s="509"/>
      <c r="S48" s="516"/>
      <c r="T48" s="517"/>
      <c r="U48" s="517"/>
      <c r="V48" s="517"/>
      <c r="W48" s="517"/>
      <c r="X48" s="517"/>
      <c r="Y48" s="517"/>
      <c r="Z48" s="517"/>
      <c r="AA48" s="517"/>
      <c r="AB48" s="518"/>
      <c r="AC48" s="136"/>
      <c r="AD48" s="137"/>
      <c r="AE48" s="137"/>
      <c r="AF48" s="137"/>
      <c r="AG48" s="137"/>
      <c r="AH48" s="217"/>
      <c r="AI48" s="217"/>
      <c r="AJ48" s="228" t="e">
        <f t="shared" ca="1" si="0"/>
        <v>#VALUE!</v>
      </c>
      <c r="AK48" s="228">
        <f t="shared" ca="1" si="0"/>
        <v>0</v>
      </c>
      <c r="AL48" s="697"/>
      <c r="AM48" s="65" t="e">
        <f t="shared" ca="1" si="1"/>
        <v>#VALUE!</v>
      </c>
      <c r="AN48" s="180"/>
      <c r="AO48" s="180"/>
      <c r="AP48" s="62"/>
      <c r="AQ48" s="62"/>
      <c r="AR48" s="665"/>
      <c r="AS48" s="665"/>
      <c r="AT48" s="665"/>
      <c r="AU48" s="665"/>
      <c r="AV48" s="665"/>
      <c r="AW48" s="50"/>
      <c r="AX48" s="50"/>
      <c r="AY48" s="50"/>
      <c r="AZ48" s="50"/>
      <c r="BA48" s="50"/>
      <c r="BB48" s="50"/>
      <c r="BC48" s="50"/>
      <c r="BD48" s="48"/>
      <c r="BE48" s="48"/>
      <c r="BF48" s="48"/>
      <c r="BG48" s="48"/>
      <c r="BH48" s="48"/>
      <c r="BI48" s="48"/>
      <c r="BJ48" s="48"/>
      <c r="BK48" s="48"/>
      <c r="BL48" s="48"/>
      <c r="BM48" s="48"/>
      <c r="BN48" s="48"/>
      <c r="BO48" s="48"/>
      <c r="BP48" s="48"/>
      <c r="BQ48" s="48"/>
      <c r="BR48" s="48"/>
      <c r="BS48" s="48"/>
      <c r="BT48" s="48"/>
      <c r="BU48" s="48"/>
      <c r="BV48" s="48"/>
    </row>
    <row r="49" spans="1:55" s="28" customFormat="1" ht="15" customHeight="1" x14ac:dyDescent="0.2">
      <c r="A49" s="632" t="str">
        <f ca="1">IFERROR(INDIRECT(ADDRESS(AL49,5,1,TRUE,"Coverage ind")),"")</f>
        <v/>
      </c>
      <c r="B49" s="633"/>
      <c r="C49" s="633"/>
      <c r="D49" s="614" t="str">
        <f ca="1">Translations!$A$72</f>
        <v>Please select…</v>
      </c>
      <c r="E49" s="597" t="str">
        <f ca="1">Translations!$A$72</f>
        <v>Please select…</v>
      </c>
      <c r="F49" s="598"/>
      <c r="G49" s="539"/>
      <c r="H49" s="519" t="str">
        <f>IF($G51&lt;&gt;"",$G49/$G51,"")</f>
        <v/>
      </c>
      <c r="I49" s="542"/>
      <c r="J49" s="603" t="str">
        <f ca="1">Translations!$A$72</f>
        <v>Please select…</v>
      </c>
      <c r="K49" s="626" t="str">
        <f ca="1">Translations!$A$78</f>
        <v>Indicative</v>
      </c>
      <c r="L49" s="627"/>
      <c r="M49" s="183"/>
      <c r="N49" s="519" t="str">
        <f>IF(M50&lt;&gt;"",M49/M50,"")</f>
        <v/>
      </c>
      <c r="O49" s="185"/>
      <c r="P49" s="519" t="str">
        <f>IF(O50&lt;&gt;"",O49/O50,"")</f>
        <v/>
      </c>
      <c r="Q49" s="185"/>
      <c r="R49" s="519" t="str">
        <f>IF(Q50&lt;&gt;"",Q49/Q50,"")</f>
        <v/>
      </c>
      <c r="S49" s="617"/>
      <c r="T49" s="618"/>
      <c r="U49" s="618"/>
      <c r="V49" s="618"/>
      <c r="W49" s="618"/>
      <c r="X49" s="618"/>
      <c r="Y49" s="618"/>
      <c r="Z49" s="618"/>
      <c r="AA49" s="618"/>
      <c r="AB49" s="619"/>
      <c r="AC49" s="143"/>
      <c r="AD49" s="144"/>
      <c r="AE49" s="144"/>
      <c r="AF49" s="144"/>
      <c r="AG49" s="144"/>
      <c r="AH49" s="219"/>
      <c r="AI49" s="219"/>
      <c r="AJ49" s="228" t="e">
        <f t="shared" ca="1" si="0"/>
        <v>#VALUE!</v>
      </c>
      <c r="AK49" s="228">
        <f t="shared" ca="1" si="0"/>
        <v>0</v>
      </c>
      <c r="AL49" s="663" t="str">
        <f ca="1">IFERROR(IF(INDIRECT(ADDRESS(ROW()-4,COLUMN()))+1&lt;=AJ49+AK49,INDIRECT(ADDRESS(ROW()-4,COLUMN()))+1,""),"")</f>
        <v/>
      </c>
      <c r="AM49" s="65" t="e">
        <f ca="1">INDIRECT(ADDRESS(ROW()-1,COLUMN()))</f>
        <v>#VALUE!</v>
      </c>
      <c r="AN49" s="181"/>
      <c r="AO49" s="181"/>
      <c r="AP49" s="59"/>
      <c r="AQ49" s="59"/>
      <c r="AR49" s="664"/>
      <c r="AS49" s="664"/>
      <c r="AT49" s="664"/>
      <c r="AU49" s="664"/>
      <c r="AV49" s="664"/>
      <c r="AW49" s="50"/>
      <c r="AX49" s="50"/>
      <c r="AY49" s="50"/>
      <c r="AZ49" s="50"/>
      <c r="BA49" s="50"/>
      <c r="BB49" s="50"/>
      <c r="BC49" s="50"/>
    </row>
    <row r="50" spans="1:55" s="28" customFormat="1" x14ac:dyDescent="0.2">
      <c r="A50" s="634"/>
      <c r="B50" s="635"/>
      <c r="C50" s="635"/>
      <c r="D50" s="615"/>
      <c r="E50" s="599"/>
      <c r="F50" s="600"/>
      <c r="G50" s="540"/>
      <c r="H50" s="541"/>
      <c r="I50" s="543"/>
      <c r="J50" s="604"/>
      <c r="K50" s="628"/>
      <c r="L50" s="629"/>
      <c r="M50" s="184"/>
      <c r="N50" s="520"/>
      <c r="O50" s="186"/>
      <c r="P50" s="520"/>
      <c r="Q50" s="186"/>
      <c r="R50" s="520"/>
      <c r="S50" s="620"/>
      <c r="T50" s="621"/>
      <c r="U50" s="621"/>
      <c r="V50" s="621"/>
      <c r="W50" s="621"/>
      <c r="X50" s="621"/>
      <c r="Y50" s="621"/>
      <c r="Z50" s="621"/>
      <c r="AA50" s="621"/>
      <c r="AB50" s="622"/>
      <c r="AC50" s="143"/>
      <c r="AD50" s="144"/>
      <c r="AE50" s="144"/>
      <c r="AF50" s="144"/>
      <c r="AG50" s="144"/>
      <c r="AH50" s="219"/>
      <c r="AI50" s="219"/>
      <c r="AJ50" s="228" t="e">
        <f t="shared" ca="1" si="0"/>
        <v>#VALUE!</v>
      </c>
      <c r="AK50" s="228">
        <f t="shared" ca="1" si="0"/>
        <v>0</v>
      </c>
      <c r="AL50" s="663"/>
      <c r="AM50" s="65" t="e">
        <f t="shared" ca="1" si="1"/>
        <v>#VALUE!</v>
      </c>
      <c r="AN50" s="181"/>
      <c r="AO50" s="181"/>
      <c r="AP50" s="59"/>
      <c r="AQ50" s="59"/>
      <c r="AR50" s="664"/>
      <c r="AS50" s="664"/>
      <c r="AT50" s="664"/>
      <c r="AU50" s="664"/>
      <c r="AV50" s="664"/>
      <c r="AW50" s="50"/>
      <c r="AX50" s="50"/>
      <c r="AY50" s="50"/>
      <c r="AZ50" s="50"/>
      <c r="BA50" s="50"/>
      <c r="BB50" s="50"/>
      <c r="BC50" s="50"/>
    </row>
    <row r="51" spans="1:55" s="28" customFormat="1" ht="15" customHeight="1" x14ac:dyDescent="0.2">
      <c r="A51" s="634"/>
      <c r="B51" s="635"/>
      <c r="C51" s="635"/>
      <c r="D51" s="615"/>
      <c r="E51" s="599"/>
      <c r="F51" s="600"/>
      <c r="G51" s="539"/>
      <c r="H51" s="541"/>
      <c r="I51" s="543"/>
      <c r="J51" s="604"/>
      <c r="K51" s="610" t="str">
        <f ca="1">Translations!$A$79</f>
        <v>Above indicative</v>
      </c>
      <c r="L51" s="611"/>
      <c r="M51" s="183"/>
      <c r="N51" s="519" t="str">
        <f>IF(M52&lt;&gt;"",M51/M52,"")</f>
        <v/>
      </c>
      <c r="O51" s="185"/>
      <c r="P51" s="519" t="str">
        <f>IF(O52&lt;&gt;"",O51/O52,"")</f>
        <v/>
      </c>
      <c r="Q51" s="185"/>
      <c r="R51" s="519" t="str">
        <f>IF(Q52&lt;&gt;"",Q51/Q52,"")</f>
        <v/>
      </c>
      <c r="S51" s="620"/>
      <c r="T51" s="621"/>
      <c r="U51" s="621"/>
      <c r="V51" s="621"/>
      <c r="W51" s="621"/>
      <c r="X51" s="621"/>
      <c r="Y51" s="621"/>
      <c r="Z51" s="621"/>
      <c r="AA51" s="621"/>
      <c r="AB51" s="622"/>
      <c r="AC51" s="143"/>
      <c r="AD51" s="144"/>
      <c r="AE51" s="144"/>
      <c r="AF51" s="144"/>
      <c r="AG51" s="144"/>
      <c r="AH51" s="218"/>
      <c r="AI51" s="218"/>
      <c r="AJ51" s="228" t="e">
        <f t="shared" ca="1" si="0"/>
        <v>#VALUE!</v>
      </c>
      <c r="AK51" s="228">
        <f t="shared" ca="1" si="0"/>
        <v>0</v>
      </c>
      <c r="AL51" s="663"/>
      <c r="AM51" s="65" t="e">
        <f t="shared" ca="1" si="1"/>
        <v>#VALUE!</v>
      </c>
      <c r="AN51" s="181"/>
      <c r="AO51" s="181"/>
      <c r="AP51" s="59"/>
      <c r="AQ51" s="59"/>
      <c r="AR51" s="664"/>
      <c r="AS51" s="664"/>
      <c r="AT51" s="664"/>
      <c r="AU51" s="664"/>
      <c r="AV51" s="664"/>
      <c r="AW51" s="50"/>
      <c r="AX51" s="50"/>
      <c r="AY51" s="50"/>
      <c r="AZ51" s="50"/>
      <c r="BA51" s="50"/>
      <c r="BB51" s="50"/>
      <c r="BC51" s="50"/>
    </row>
    <row r="52" spans="1:55" s="28" customFormat="1" x14ac:dyDescent="0.2">
      <c r="A52" s="636"/>
      <c r="B52" s="637"/>
      <c r="C52" s="637"/>
      <c r="D52" s="616"/>
      <c r="E52" s="601"/>
      <c r="F52" s="602"/>
      <c r="G52" s="540"/>
      <c r="H52" s="520"/>
      <c r="I52" s="544"/>
      <c r="J52" s="605"/>
      <c r="K52" s="612"/>
      <c r="L52" s="613"/>
      <c r="M52" s="184"/>
      <c r="N52" s="520"/>
      <c r="O52" s="186"/>
      <c r="P52" s="520"/>
      <c r="Q52" s="186"/>
      <c r="R52" s="520"/>
      <c r="S52" s="623"/>
      <c r="T52" s="624"/>
      <c r="U52" s="624"/>
      <c r="V52" s="624"/>
      <c r="W52" s="624"/>
      <c r="X52" s="624"/>
      <c r="Y52" s="624"/>
      <c r="Z52" s="624"/>
      <c r="AA52" s="624"/>
      <c r="AB52" s="625"/>
      <c r="AC52" s="143"/>
      <c r="AD52" s="144"/>
      <c r="AE52" s="144"/>
      <c r="AF52" s="144"/>
      <c r="AG52" s="144"/>
      <c r="AH52" s="218"/>
      <c r="AI52" s="218"/>
      <c r="AJ52" s="228" t="e">
        <f t="shared" ca="1" si="0"/>
        <v>#VALUE!</v>
      </c>
      <c r="AK52" s="228">
        <f t="shared" ca="1" si="0"/>
        <v>0</v>
      </c>
      <c r="AL52" s="663"/>
      <c r="AM52" s="65" t="e">
        <f t="shared" ca="1" si="1"/>
        <v>#VALUE!</v>
      </c>
      <c r="AN52" s="181"/>
      <c r="AO52" s="181"/>
      <c r="AP52" s="59"/>
      <c r="AQ52" s="59"/>
      <c r="AR52" s="664"/>
      <c r="AS52" s="664"/>
      <c r="AT52" s="664"/>
      <c r="AU52" s="664"/>
      <c r="AV52" s="664"/>
      <c r="AW52" s="50"/>
      <c r="AX52" s="50"/>
      <c r="AY52" s="50"/>
      <c r="AZ52" s="50"/>
      <c r="BA52" s="50"/>
      <c r="BB52" s="50"/>
      <c r="BC52" s="50"/>
    </row>
    <row r="53" spans="1:55" s="28" customFormat="1" ht="15" customHeight="1" x14ac:dyDescent="0.2">
      <c r="A53" s="632" t="str">
        <f ca="1">IFERROR(INDIRECT(ADDRESS(AL53,5,1,TRUE,"Coverage ind")),"")</f>
        <v/>
      </c>
      <c r="B53" s="633"/>
      <c r="C53" s="633"/>
      <c r="D53" s="614" t="str">
        <f ca="1">Translations!$A$72</f>
        <v>Please select…</v>
      </c>
      <c r="E53" s="597" t="str">
        <f ca="1">Translations!$A$72</f>
        <v>Please select…</v>
      </c>
      <c r="F53" s="598"/>
      <c r="G53" s="539"/>
      <c r="H53" s="519" t="str">
        <f>IF($G55&lt;&gt;"",$G53/$G55,"")</f>
        <v/>
      </c>
      <c r="I53" s="542"/>
      <c r="J53" s="603" t="str">
        <f ca="1">Translations!$A$72</f>
        <v>Please select…</v>
      </c>
      <c r="K53" s="626" t="str">
        <f ca="1">Translations!$A$78</f>
        <v>Indicative</v>
      </c>
      <c r="L53" s="627"/>
      <c r="M53" s="183"/>
      <c r="N53" s="519" t="str">
        <f>IF(M54&lt;&gt;"",M53/M54,"")</f>
        <v/>
      </c>
      <c r="O53" s="185"/>
      <c r="P53" s="519" t="str">
        <f>IF(O54&lt;&gt;"",O53/O54,"")</f>
        <v/>
      </c>
      <c r="Q53" s="185"/>
      <c r="R53" s="519" t="str">
        <f>IF(Q54&lt;&gt;"",Q53/Q54,"")</f>
        <v/>
      </c>
      <c r="S53" s="617"/>
      <c r="T53" s="618"/>
      <c r="U53" s="618"/>
      <c r="V53" s="618"/>
      <c r="W53" s="618"/>
      <c r="X53" s="618"/>
      <c r="Y53" s="618"/>
      <c r="Z53" s="618"/>
      <c r="AA53" s="618"/>
      <c r="AB53" s="619"/>
      <c r="AC53" s="143"/>
      <c r="AD53" s="144"/>
      <c r="AE53" s="144"/>
      <c r="AF53" s="144"/>
      <c r="AG53" s="144"/>
      <c r="AH53" s="218"/>
      <c r="AI53" s="218"/>
      <c r="AJ53" s="228" t="e">
        <f t="shared" ca="1" si="0"/>
        <v>#VALUE!</v>
      </c>
      <c r="AK53" s="228">
        <f t="shared" ca="1" si="0"/>
        <v>0</v>
      </c>
      <c r="AL53" s="663" t="str">
        <f t="shared" ref="AL53" ca="1" si="2">IFERROR(IF(INDIRECT(ADDRESS(ROW()-4,COLUMN()))+1&lt;=AJ53+AK53,INDIRECT(ADDRESS(ROW()-4,COLUMN()))+1,""),"")</f>
        <v/>
      </c>
      <c r="AM53" s="65" t="e">
        <f t="shared" ca="1" si="1"/>
        <v>#VALUE!</v>
      </c>
      <c r="AN53" s="181"/>
      <c r="AO53" s="181"/>
      <c r="AP53" s="59"/>
      <c r="AQ53" s="59"/>
      <c r="AR53" s="664"/>
      <c r="AS53" s="664"/>
      <c r="AT53" s="664"/>
      <c r="AU53" s="664"/>
      <c r="AV53" s="664"/>
      <c r="AW53" s="50"/>
      <c r="AX53" s="50"/>
      <c r="AY53" s="50"/>
      <c r="AZ53" s="50"/>
      <c r="BA53" s="50"/>
      <c r="BB53" s="50"/>
      <c r="BC53" s="50"/>
    </row>
    <row r="54" spans="1:55" s="28" customFormat="1" x14ac:dyDescent="0.2">
      <c r="A54" s="634"/>
      <c r="B54" s="635"/>
      <c r="C54" s="635"/>
      <c r="D54" s="615"/>
      <c r="E54" s="599"/>
      <c r="F54" s="600"/>
      <c r="G54" s="540"/>
      <c r="H54" s="541"/>
      <c r="I54" s="543"/>
      <c r="J54" s="604"/>
      <c r="K54" s="628"/>
      <c r="L54" s="629"/>
      <c r="M54" s="184"/>
      <c r="N54" s="520"/>
      <c r="O54" s="186"/>
      <c r="P54" s="520"/>
      <c r="Q54" s="186"/>
      <c r="R54" s="520"/>
      <c r="S54" s="620"/>
      <c r="T54" s="621"/>
      <c r="U54" s="621"/>
      <c r="V54" s="621"/>
      <c r="W54" s="621"/>
      <c r="X54" s="621"/>
      <c r="Y54" s="621"/>
      <c r="Z54" s="621"/>
      <c r="AA54" s="621"/>
      <c r="AB54" s="622"/>
      <c r="AC54" s="143"/>
      <c r="AD54" s="144"/>
      <c r="AE54" s="144"/>
      <c r="AF54" s="144"/>
      <c r="AG54" s="144"/>
      <c r="AH54" s="218"/>
      <c r="AI54" s="218"/>
      <c r="AJ54" s="228" t="e">
        <f t="shared" ca="1" si="0"/>
        <v>#VALUE!</v>
      </c>
      <c r="AK54" s="228">
        <f t="shared" ca="1" si="0"/>
        <v>0</v>
      </c>
      <c r="AL54" s="663"/>
      <c r="AM54" s="65" t="e">
        <f t="shared" ca="1" si="1"/>
        <v>#VALUE!</v>
      </c>
      <c r="AN54" s="181"/>
      <c r="AO54" s="181"/>
      <c r="AP54" s="59"/>
      <c r="AQ54" s="59"/>
      <c r="AR54" s="664"/>
      <c r="AS54" s="664"/>
      <c r="AT54" s="664"/>
      <c r="AU54" s="664"/>
      <c r="AV54" s="664"/>
      <c r="AW54" s="50"/>
      <c r="AX54" s="50"/>
      <c r="AY54" s="50"/>
      <c r="AZ54" s="50"/>
      <c r="BA54" s="50"/>
      <c r="BB54" s="50"/>
      <c r="BC54" s="50"/>
    </row>
    <row r="55" spans="1:55" s="28" customFormat="1" ht="15" customHeight="1" x14ac:dyDescent="0.2">
      <c r="A55" s="634"/>
      <c r="B55" s="635"/>
      <c r="C55" s="635"/>
      <c r="D55" s="615"/>
      <c r="E55" s="599"/>
      <c r="F55" s="600"/>
      <c r="G55" s="539"/>
      <c r="H55" s="541"/>
      <c r="I55" s="543"/>
      <c r="J55" s="604"/>
      <c r="K55" s="610" t="str">
        <f ca="1">Translations!$A$79</f>
        <v>Above indicative</v>
      </c>
      <c r="L55" s="611"/>
      <c r="M55" s="183"/>
      <c r="N55" s="519" t="str">
        <f>IF(M56&lt;&gt;"",M55/M56,"")</f>
        <v/>
      </c>
      <c r="O55" s="185"/>
      <c r="P55" s="519" t="str">
        <f>IF(O56&lt;&gt;"",O55/O56,"")</f>
        <v/>
      </c>
      <c r="Q55" s="185"/>
      <c r="R55" s="519" t="str">
        <f>IF(Q56&lt;&gt;"",Q55/Q56,"")</f>
        <v/>
      </c>
      <c r="S55" s="620"/>
      <c r="T55" s="621"/>
      <c r="U55" s="621"/>
      <c r="V55" s="621"/>
      <c r="W55" s="621"/>
      <c r="X55" s="621"/>
      <c r="Y55" s="621"/>
      <c r="Z55" s="621"/>
      <c r="AA55" s="621"/>
      <c r="AB55" s="622"/>
      <c r="AC55" s="143"/>
      <c r="AD55" s="144"/>
      <c r="AE55" s="144"/>
      <c r="AF55" s="144"/>
      <c r="AG55" s="144"/>
      <c r="AH55" s="218"/>
      <c r="AI55" s="218"/>
      <c r="AJ55" s="228" t="e">
        <f t="shared" ca="1" si="0"/>
        <v>#VALUE!</v>
      </c>
      <c r="AK55" s="228">
        <f t="shared" ca="1" si="0"/>
        <v>0</v>
      </c>
      <c r="AL55" s="663"/>
      <c r="AM55" s="65" t="e">
        <f t="shared" ca="1" si="1"/>
        <v>#VALUE!</v>
      </c>
      <c r="AN55" s="181"/>
      <c r="AO55" s="181"/>
      <c r="AP55" s="59"/>
      <c r="AQ55" s="59"/>
      <c r="AR55" s="664"/>
      <c r="AS55" s="664"/>
      <c r="AT55" s="664"/>
      <c r="AU55" s="664"/>
      <c r="AV55" s="664"/>
      <c r="AW55" s="50"/>
      <c r="AX55" s="50"/>
      <c r="AY55" s="50"/>
      <c r="AZ55" s="50"/>
      <c r="BA55" s="50"/>
      <c r="BB55" s="50"/>
      <c r="BC55" s="50"/>
    </row>
    <row r="56" spans="1:55" s="28" customFormat="1" x14ac:dyDescent="0.2">
      <c r="A56" s="636"/>
      <c r="B56" s="637"/>
      <c r="C56" s="637"/>
      <c r="D56" s="616"/>
      <c r="E56" s="601"/>
      <c r="F56" s="602"/>
      <c r="G56" s="540"/>
      <c r="H56" s="520"/>
      <c r="I56" s="544"/>
      <c r="J56" s="605"/>
      <c r="K56" s="612"/>
      <c r="L56" s="613"/>
      <c r="M56" s="184"/>
      <c r="N56" s="520"/>
      <c r="O56" s="186"/>
      <c r="P56" s="520"/>
      <c r="Q56" s="186"/>
      <c r="R56" s="520"/>
      <c r="S56" s="623"/>
      <c r="T56" s="624"/>
      <c r="U56" s="624"/>
      <c r="V56" s="624"/>
      <c r="W56" s="624"/>
      <c r="X56" s="624"/>
      <c r="Y56" s="624"/>
      <c r="Z56" s="624"/>
      <c r="AA56" s="624"/>
      <c r="AB56" s="625"/>
      <c r="AC56" s="143"/>
      <c r="AD56" s="144"/>
      <c r="AE56" s="144"/>
      <c r="AF56" s="144"/>
      <c r="AG56" s="144"/>
      <c r="AH56" s="218"/>
      <c r="AI56" s="218"/>
      <c r="AJ56" s="228" t="e">
        <f t="shared" ca="1" si="0"/>
        <v>#VALUE!</v>
      </c>
      <c r="AK56" s="228">
        <f t="shared" ca="1" si="0"/>
        <v>0</v>
      </c>
      <c r="AL56" s="663"/>
      <c r="AM56" s="65" t="e">
        <f t="shared" ca="1" si="1"/>
        <v>#VALUE!</v>
      </c>
      <c r="AN56" s="181"/>
      <c r="AO56" s="181"/>
      <c r="AP56" s="59"/>
      <c r="AQ56" s="59"/>
      <c r="AR56" s="664"/>
      <c r="AS56" s="664"/>
      <c r="AT56" s="664"/>
      <c r="AU56" s="664"/>
      <c r="AV56" s="664"/>
      <c r="AW56" s="50"/>
      <c r="AX56" s="50"/>
      <c r="AY56" s="50"/>
      <c r="AZ56" s="50"/>
      <c r="BA56" s="50"/>
      <c r="BB56" s="50"/>
      <c r="BC56" s="50"/>
    </row>
    <row r="57" spans="1:55" s="88" customFormat="1" ht="15" customHeight="1" x14ac:dyDescent="0.2">
      <c r="A57" s="632" t="str">
        <f ca="1">IFERROR(INDIRECT(ADDRESS(AL57,5,1,TRUE,"Coverage ind")),"")</f>
        <v/>
      </c>
      <c r="B57" s="633"/>
      <c r="C57" s="633"/>
      <c r="D57" s="614" t="str">
        <f ca="1">Translations!$A$72</f>
        <v>Please select…</v>
      </c>
      <c r="E57" s="597" t="str">
        <f ca="1">Translations!$A$72</f>
        <v>Please select…</v>
      </c>
      <c r="F57" s="598"/>
      <c r="G57" s="539"/>
      <c r="H57" s="519" t="str">
        <f>IF($G59&lt;&gt;"",$G57/$G59,"")</f>
        <v/>
      </c>
      <c r="I57" s="542"/>
      <c r="J57" s="603" t="str">
        <f ca="1">Translations!$A$72</f>
        <v>Please select…</v>
      </c>
      <c r="K57" s="626" t="str">
        <f ca="1">Translations!$A$78</f>
        <v>Indicative</v>
      </c>
      <c r="L57" s="627"/>
      <c r="M57" s="183"/>
      <c r="N57" s="519" t="str">
        <f>IF(M58&lt;&gt;"",M57/M58,"")</f>
        <v/>
      </c>
      <c r="O57" s="185"/>
      <c r="P57" s="519" t="str">
        <f>IF(O58&lt;&gt;"",O57/O58,"")</f>
        <v/>
      </c>
      <c r="Q57" s="185"/>
      <c r="R57" s="519" t="str">
        <f>IF(Q58&lt;&gt;"",Q57/Q58,"")</f>
        <v/>
      </c>
      <c r="S57" s="617"/>
      <c r="T57" s="618"/>
      <c r="U57" s="618"/>
      <c r="V57" s="618"/>
      <c r="W57" s="618"/>
      <c r="X57" s="618"/>
      <c r="Y57" s="618"/>
      <c r="Z57" s="618"/>
      <c r="AA57" s="618"/>
      <c r="AB57" s="619"/>
      <c r="AC57" s="143"/>
      <c r="AD57" s="218"/>
      <c r="AE57" s="218"/>
      <c r="AF57" s="218"/>
      <c r="AG57" s="218"/>
      <c r="AH57" s="218"/>
      <c r="AI57" s="218"/>
      <c r="AJ57" s="228" t="e">
        <f t="shared" ca="1" si="0"/>
        <v>#VALUE!</v>
      </c>
      <c r="AK57" s="228">
        <f t="shared" ca="1" si="0"/>
        <v>0</v>
      </c>
      <c r="AL57" s="663" t="str">
        <f t="shared" ref="AL57" ca="1" si="3">IFERROR(IF(INDIRECT(ADDRESS(ROW()-4,COLUMN()))+1&lt;=AJ57+AK57,INDIRECT(ADDRESS(ROW()-4,COLUMN()))+1,""),"")</f>
        <v/>
      </c>
      <c r="AM57" s="65" t="e">
        <f t="shared" ca="1" si="1"/>
        <v>#VALUE!</v>
      </c>
      <c r="AN57" s="181"/>
      <c r="AO57" s="181"/>
      <c r="AP57" s="218"/>
      <c r="AQ57" s="218"/>
      <c r="AR57" s="664"/>
      <c r="AS57" s="664"/>
      <c r="AT57" s="664"/>
      <c r="AU57" s="664"/>
      <c r="AV57" s="664"/>
      <c r="AW57" s="87"/>
      <c r="AX57" s="87"/>
      <c r="AY57" s="87"/>
      <c r="AZ57" s="87"/>
      <c r="BA57" s="87"/>
      <c r="BB57" s="87"/>
      <c r="BC57" s="87"/>
    </row>
    <row r="58" spans="1:55" s="88" customFormat="1" x14ac:dyDescent="0.2">
      <c r="A58" s="634"/>
      <c r="B58" s="635"/>
      <c r="C58" s="635"/>
      <c r="D58" s="615"/>
      <c r="E58" s="599"/>
      <c r="F58" s="600"/>
      <c r="G58" s="540"/>
      <c r="H58" s="541"/>
      <c r="I58" s="543"/>
      <c r="J58" s="604"/>
      <c r="K58" s="628"/>
      <c r="L58" s="629"/>
      <c r="M58" s="184"/>
      <c r="N58" s="520"/>
      <c r="O58" s="186"/>
      <c r="P58" s="520"/>
      <c r="Q58" s="186"/>
      <c r="R58" s="520"/>
      <c r="S58" s="620"/>
      <c r="T58" s="621"/>
      <c r="U58" s="621"/>
      <c r="V58" s="621"/>
      <c r="W58" s="621"/>
      <c r="X58" s="621"/>
      <c r="Y58" s="621"/>
      <c r="Z58" s="621"/>
      <c r="AA58" s="621"/>
      <c r="AB58" s="622"/>
      <c r="AC58" s="143"/>
      <c r="AD58" s="218"/>
      <c r="AE58" s="218"/>
      <c r="AF58" s="218"/>
      <c r="AG58" s="218"/>
      <c r="AH58" s="218"/>
      <c r="AI58" s="218"/>
      <c r="AJ58" s="228" t="e">
        <f t="shared" ca="1" si="0"/>
        <v>#VALUE!</v>
      </c>
      <c r="AK58" s="228">
        <f t="shared" ca="1" si="0"/>
        <v>0</v>
      </c>
      <c r="AL58" s="663"/>
      <c r="AM58" s="65" t="e">
        <f t="shared" ca="1" si="1"/>
        <v>#VALUE!</v>
      </c>
      <c r="AN58" s="181"/>
      <c r="AO58" s="181"/>
      <c r="AP58" s="218"/>
      <c r="AQ58" s="218"/>
      <c r="AR58" s="664"/>
      <c r="AS58" s="664"/>
      <c r="AT58" s="664"/>
      <c r="AU58" s="664"/>
      <c r="AV58" s="664"/>
      <c r="AW58" s="87"/>
      <c r="AX58" s="87"/>
      <c r="AY58" s="87"/>
      <c r="AZ58" s="87"/>
      <c r="BA58" s="87"/>
      <c r="BB58" s="87"/>
      <c r="BC58" s="87"/>
    </row>
    <row r="59" spans="1:55" s="88" customFormat="1" ht="15" customHeight="1" x14ac:dyDescent="0.2">
      <c r="A59" s="634"/>
      <c r="B59" s="635"/>
      <c r="C59" s="635"/>
      <c r="D59" s="615"/>
      <c r="E59" s="599"/>
      <c r="F59" s="600"/>
      <c r="G59" s="539"/>
      <c r="H59" s="541"/>
      <c r="I59" s="543"/>
      <c r="J59" s="604"/>
      <c r="K59" s="610" t="str">
        <f ca="1">Translations!$A$79</f>
        <v>Above indicative</v>
      </c>
      <c r="L59" s="611"/>
      <c r="M59" s="183"/>
      <c r="N59" s="519" t="str">
        <f>IF(M60&lt;&gt;"",M59/M60,"")</f>
        <v/>
      </c>
      <c r="O59" s="185"/>
      <c r="P59" s="519" t="str">
        <f>IF(O60&lt;&gt;"",O59/O60,"")</f>
        <v/>
      </c>
      <c r="Q59" s="185"/>
      <c r="R59" s="519" t="str">
        <f>IF(Q60&lt;&gt;"",Q59/Q60,"")</f>
        <v/>
      </c>
      <c r="S59" s="620"/>
      <c r="T59" s="621"/>
      <c r="U59" s="621"/>
      <c r="V59" s="621"/>
      <c r="W59" s="621"/>
      <c r="X59" s="621"/>
      <c r="Y59" s="621"/>
      <c r="Z59" s="621"/>
      <c r="AA59" s="621"/>
      <c r="AB59" s="622"/>
      <c r="AC59" s="143"/>
      <c r="AD59" s="218"/>
      <c r="AE59" s="218"/>
      <c r="AF59" s="218"/>
      <c r="AG59" s="218"/>
      <c r="AH59" s="218"/>
      <c r="AI59" s="218"/>
      <c r="AJ59" s="228" t="e">
        <f t="shared" ca="1" si="0"/>
        <v>#VALUE!</v>
      </c>
      <c r="AK59" s="228">
        <f t="shared" ca="1" si="0"/>
        <v>0</v>
      </c>
      <c r="AL59" s="663"/>
      <c r="AM59" s="65" t="e">
        <f t="shared" ca="1" si="1"/>
        <v>#VALUE!</v>
      </c>
      <c r="AN59" s="181"/>
      <c r="AO59" s="181"/>
      <c r="AP59" s="218"/>
      <c r="AQ59" s="218"/>
      <c r="AR59" s="664"/>
      <c r="AS59" s="664"/>
      <c r="AT59" s="664"/>
      <c r="AU59" s="664"/>
      <c r="AV59" s="664"/>
      <c r="AW59" s="87"/>
      <c r="AX59" s="87"/>
      <c r="AY59" s="87"/>
      <c r="AZ59" s="87"/>
      <c r="BA59" s="87"/>
      <c r="BB59" s="87"/>
      <c r="BC59" s="87"/>
    </row>
    <row r="60" spans="1:55" s="88" customFormat="1" x14ac:dyDescent="0.2">
      <c r="A60" s="636"/>
      <c r="B60" s="637"/>
      <c r="C60" s="637"/>
      <c r="D60" s="616"/>
      <c r="E60" s="601"/>
      <c r="F60" s="602"/>
      <c r="G60" s="540"/>
      <c r="H60" s="520"/>
      <c r="I60" s="544"/>
      <c r="J60" s="605"/>
      <c r="K60" s="612"/>
      <c r="L60" s="613"/>
      <c r="M60" s="184"/>
      <c r="N60" s="520"/>
      <c r="O60" s="186"/>
      <c r="P60" s="520"/>
      <c r="Q60" s="186"/>
      <c r="R60" s="520"/>
      <c r="S60" s="623"/>
      <c r="T60" s="624"/>
      <c r="U60" s="624"/>
      <c r="V60" s="624"/>
      <c r="W60" s="624"/>
      <c r="X60" s="624"/>
      <c r="Y60" s="624"/>
      <c r="Z60" s="624"/>
      <c r="AA60" s="624"/>
      <c r="AB60" s="625"/>
      <c r="AC60" s="143"/>
      <c r="AD60" s="218"/>
      <c r="AE60" s="218"/>
      <c r="AF60" s="218"/>
      <c r="AG60" s="218"/>
      <c r="AH60" s="218"/>
      <c r="AI60" s="218"/>
      <c r="AJ60" s="228" t="e">
        <f t="shared" ca="1" si="0"/>
        <v>#VALUE!</v>
      </c>
      <c r="AK60" s="228">
        <f t="shared" ca="1" si="0"/>
        <v>0</v>
      </c>
      <c r="AL60" s="663"/>
      <c r="AM60" s="65" t="e">
        <f t="shared" ca="1" si="1"/>
        <v>#VALUE!</v>
      </c>
      <c r="AN60" s="181"/>
      <c r="AO60" s="181"/>
      <c r="AP60" s="218"/>
      <c r="AQ60" s="218"/>
      <c r="AR60" s="664"/>
      <c r="AS60" s="664"/>
      <c r="AT60" s="664"/>
      <c r="AU60" s="664"/>
      <c r="AV60" s="664"/>
      <c r="AW60" s="87"/>
      <c r="AX60" s="87"/>
      <c r="AY60" s="87"/>
      <c r="AZ60" s="87"/>
      <c r="BA60" s="87"/>
      <c r="BB60" s="87"/>
      <c r="BC60" s="87"/>
    </row>
    <row r="61" spans="1:55" s="88" customFormat="1" ht="15" customHeight="1" x14ac:dyDescent="0.2">
      <c r="A61" s="632" t="str">
        <f ca="1">IFERROR(INDIRECT(ADDRESS(AL61,5,1,TRUE,"Coverage ind")),"")</f>
        <v/>
      </c>
      <c r="B61" s="633"/>
      <c r="C61" s="633"/>
      <c r="D61" s="614" t="str">
        <f ca="1">Translations!$A$72</f>
        <v>Please select…</v>
      </c>
      <c r="E61" s="597" t="str">
        <f ca="1">Translations!$A$72</f>
        <v>Please select…</v>
      </c>
      <c r="F61" s="598"/>
      <c r="G61" s="539"/>
      <c r="H61" s="519" t="str">
        <f>IF($G63&lt;&gt;"",$G61/$G63,"")</f>
        <v/>
      </c>
      <c r="I61" s="542"/>
      <c r="J61" s="603" t="str">
        <f ca="1">Translations!$A$72</f>
        <v>Please select…</v>
      </c>
      <c r="K61" s="626" t="str">
        <f ca="1">Translations!$A$78</f>
        <v>Indicative</v>
      </c>
      <c r="L61" s="627"/>
      <c r="M61" s="183"/>
      <c r="N61" s="519" t="str">
        <f>IF(M62&lt;&gt;"",M61/M62,"")</f>
        <v/>
      </c>
      <c r="O61" s="185"/>
      <c r="P61" s="519" t="str">
        <f>IF(O62&lt;&gt;"",O61/O62,"")</f>
        <v/>
      </c>
      <c r="Q61" s="185"/>
      <c r="R61" s="519" t="str">
        <f>IF(Q62&lt;&gt;"",Q61/Q62,"")</f>
        <v/>
      </c>
      <c r="S61" s="617"/>
      <c r="T61" s="618"/>
      <c r="U61" s="618"/>
      <c r="V61" s="618"/>
      <c r="W61" s="618"/>
      <c r="X61" s="618"/>
      <c r="Y61" s="618"/>
      <c r="Z61" s="618"/>
      <c r="AA61" s="618"/>
      <c r="AB61" s="619"/>
      <c r="AC61" s="143"/>
      <c r="AD61" s="218"/>
      <c r="AE61" s="218"/>
      <c r="AF61" s="218"/>
      <c r="AG61" s="218"/>
      <c r="AH61" s="218"/>
      <c r="AI61" s="218"/>
      <c r="AJ61" s="228" t="e">
        <f t="shared" ca="1" si="0"/>
        <v>#VALUE!</v>
      </c>
      <c r="AK61" s="228">
        <f t="shared" ca="1" si="0"/>
        <v>0</v>
      </c>
      <c r="AL61" s="663" t="str">
        <f t="shared" ref="AL61" ca="1" si="4">IFERROR(IF(INDIRECT(ADDRESS(ROW()-4,COLUMN()))+1&lt;=AJ61+AK61,INDIRECT(ADDRESS(ROW()-4,COLUMN()))+1,""),"")</f>
        <v/>
      </c>
      <c r="AM61" s="65" t="e">
        <f t="shared" ca="1" si="1"/>
        <v>#VALUE!</v>
      </c>
      <c r="AN61" s="181"/>
      <c r="AO61" s="181"/>
      <c r="AP61" s="218"/>
      <c r="AQ61" s="218"/>
      <c r="AR61" s="664"/>
      <c r="AS61" s="664"/>
      <c r="AT61" s="664"/>
      <c r="AU61" s="664"/>
      <c r="AV61" s="664"/>
      <c r="AW61" s="87"/>
      <c r="AX61" s="87"/>
      <c r="AY61" s="87"/>
      <c r="AZ61" s="87"/>
      <c r="BA61" s="87"/>
      <c r="BB61" s="87"/>
      <c r="BC61" s="87"/>
    </row>
    <row r="62" spans="1:55" s="88" customFormat="1" x14ac:dyDescent="0.2">
      <c r="A62" s="634"/>
      <c r="B62" s="635"/>
      <c r="C62" s="635"/>
      <c r="D62" s="615"/>
      <c r="E62" s="599"/>
      <c r="F62" s="600"/>
      <c r="G62" s="540"/>
      <c r="H62" s="541"/>
      <c r="I62" s="543"/>
      <c r="J62" s="604"/>
      <c r="K62" s="628"/>
      <c r="L62" s="629"/>
      <c r="M62" s="184"/>
      <c r="N62" s="520"/>
      <c r="O62" s="186"/>
      <c r="P62" s="520"/>
      <c r="Q62" s="186"/>
      <c r="R62" s="520"/>
      <c r="S62" s="620"/>
      <c r="T62" s="621"/>
      <c r="U62" s="621"/>
      <c r="V62" s="621"/>
      <c r="W62" s="621"/>
      <c r="X62" s="621"/>
      <c r="Y62" s="621"/>
      <c r="Z62" s="621"/>
      <c r="AA62" s="621"/>
      <c r="AB62" s="622"/>
      <c r="AC62" s="143"/>
      <c r="AD62" s="218"/>
      <c r="AE62" s="218"/>
      <c r="AF62" s="218"/>
      <c r="AG62" s="218"/>
      <c r="AH62" s="218"/>
      <c r="AI62" s="218"/>
      <c r="AJ62" s="228" t="e">
        <f t="shared" ca="1" si="0"/>
        <v>#VALUE!</v>
      </c>
      <c r="AK62" s="228">
        <f t="shared" ca="1" si="0"/>
        <v>0</v>
      </c>
      <c r="AL62" s="663"/>
      <c r="AM62" s="65" t="e">
        <f t="shared" ca="1" si="1"/>
        <v>#VALUE!</v>
      </c>
      <c r="AN62" s="181"/>
      <c r="AO62" s="181"/>
      <c r="AP62" s="218"/>
      <c r="AQ62" s="218"/>
      <c r="AR62" s="664"/>
      <c r="AS62" s="664"/>
      <c r="AT62" s="664"/>
      <c r="AU62" s="664"/>
      <c r="AV62" s="664"/>
      <c r="AW62" s="87"/>
      <c r="AX62" s="87"/>
      <c r="AY62" s="87"/>
      <c r="AZ62" s="87"/>
      <c r="BA62" s="87"/>
      <c r="BB62" s="87"/>
      <c r="BC62" s="87"/>
    </row>
    <row r="63" spans="1:55" s="88" customFormat="1" ht="15" customHeight="1" x14ac:dyDescent="0.2">
      <c r="A63" s="634"/>
      <c r="B63" s="635"/>
      <c r="C63" s="635"/>
      <c r="D63" s="615"/>
      <c r="E63" s="599"/>
      <c r="F63" s="600"/>
      <c r="G63" s="539"/>
      <c r="H63" s="541"/>
      <c r="I63" s="543"/>
      <c r="J63" s="604"/>
      <c r="K63" s="610" t="str">
        <f ca="1">Translations!$A$79</f>
        <v>Above indicative</v>
      </c>
      <c r="L63" s="611"/>
      <c r="M63" s="183"/>
      <c r="N63" s="519" t="str">
        <f>IF(M64&lt;&gt;"",M63/M64,"")</f>
        <v/>
      </c>
      <c r="O63" s="185"/>
      <c r="P63" s="519" t="str">
        <f>IF(O64&lt;&gt;"",O63/O64,"")</f>
        <v/>
      </c>
      <c r="Q63" s="185"/>
      <c r="R63" s="519" t="str">
        <f>IF(Q64&lt;&gt;"",Q63/Q64,"")</f>
        <v/>
      </c>
      <c r="S63" s="620"/>
      <c r="T63" s="621"/>
      <c r="U63" s="621"/>
      <c r="V63" s="621"/>
      <c r="W63" s="621"/>
      <c r="X63" s="621"/>
      <c r="Y63" s="621"/>
      <c r="Z63" s="621"/>
      <c r="AA63" s="621"/>
      <c r="AB63" s="622"/>
      <c r="AC63" s="143"/>
      <c r="AD63" s="218"/>
      <c r="AE63" s="218"/>
      <c r="AF63" s="218"/>
      <c r="AG63" s="218"/>
      <c r="AH63" s="218"/>
      <c r="AI63" s="218"/>
      <c r="AJ63" s="228" t="e">
        <f t="shared" ca="1" si="0"/>
        <v>#VALUE!</v>
      </c>
      <c r="AK63" s="228">
        <f t="shared" ca="1" si="0"/>
        <v>0</v>
      </c>
      <c r="AL63" s="663"/>
      <c r="AM63" s="65" t="e">
        <f t="shared" ca="1" si="1"/>
        <v>#VALUE!</v>
      </c>
      <c r="AN63" s="181"/>
      <c r="AO63" s="181"/>
      <c r="AP63" s="218"/>
      <c r="AQ63" s="218"/>
      <c r="AR63" s="664"/>
      <c r="AS63" s="664"/>
      <c r="AT63" s="664"/>
      <c r="AU63" s="664"/>
      <c r="AV63" s="664"/>
      <c r="AW63" s="87"/>
      <c r="AX63" s="87"/>
      <c r="AY63" s="87"/>
      <c r="AZ63" s="87"/>
      <c r="BA63" s="87"/>
      <c r="BB63" s="87"/>
      <c r="BC63" s="87"/>
    </row>
    <row r="64" spans="1:55" s="88" customFormat="1" x14ac:dyDescent="0.2">
      <c r="A64" s="636"/>
      <c r="B64" s="637"/>
      <c r="C64" s="637"/>
      <c r="D64" s="616"/>
      <c r="E64" s="601"/>
      <c r="F64" s="602"/>
      <c r="G64" s="540"/>
      <c r="H64" s="520"/>
      <c r="I64" s="544"/>
      <c r="J64" s="605"/>
      <c r="K64" s="612"/>
      <c r="L64" s="613"/>
      <c r="M64" s="184"/>
      <c r="N64" s="520"/>
      <c r="O64" s="186"/>
      <c r="P64" s="520"/>
      <c r="Q64" s="186"/>
      <c r="R64" s="520"/>
      <c r="S64" s="623"/>
      <c r="T64" s="624"/>
      <c r="U64" s="624"/>
      <c r="V64" s="624"/>
      <c r="W64" s="624"/>
      <c r="X64" s="624"/>
      <c r="Y64" s="624"/>
      <c r="Z64" s="624"/>
      <c r="AA64" s="624"/>
      <c r="AB64" s="625"/>
      <c r="AC64" s="143"/>
      <c r="AD64" s="218"/>
      <c r="AE64" s="218"/>
      <c r="AF64" s="218"/>
      <c r="AG64" s="218"/>
      <c r="AH64" s="218"/>
      <c r="AI64" s="218"/>
      <c r="AJ64" s="228" t="e">
        <f t="shared" ca="1" si="0"/>
        <v>#VALUE!</v>
      </c>
      <c r="AK64" s="228">
        <f t="shared" ca="1" si="0"/>
        <v>0</v>
      </c>
      <c r="AL64" s="663"/>
      <c r="AM64" s="65" t="e">
        <f t="shared" ca="1" si="1"/>
        <v>#VALUE!</v>
      </c>
      <c r="AN64" s="181"/>
      <c r="AO64" s="181"/>
      <c r="AP64" s="218"/>
      <c r="AQ64" s="218"/>
      <c r="AR64" s="664"/>
      <c r="AS64" s="664"/>
      <c r="AT64" s="664"/>
      <c r="AU64" s="664"/>
      <c r="AV64" s="664"/>
      <c r="AW64" s="87"/>
      <c r="AX64" s="87"/>
      <c r="AY64" s="87"/>
      <c r="AZ64" s="87"/>
      <c r="BA64" s="87"/>
      <c r="BB64" s="87"/>
      <c r="BC64" s="87"/>
    </row>
    <row r="65" spans="1:55" s="88" customFormat="1" ht="15" customHeight="1" x14ac:dyDescent="0.2">
      <c r="A65" s="632" t="str">
        <f t="shared" ref="A65" ca="1" si="5">IFERROR(INDIRECT(ADDRESS(AL65,5,1,TRUE,"Coverage ind")),"")</f>
        <v/>
      </c>
      <c r="B65" s="633"/>
      <c r="C65" s="633"/>
      <c r="D65" s="614" t="str">
        <f ca="1">Translations!$A$72</f>
        <v>Please select…</v>
      </c>
      <c r="E65" s="597" t="str">
        <f ca="1">Translations!$A$72</f>
        <v>Please select…</v>
      </c>
      <c r="F65" s="598"/>
      <c r="G65" s="539"/>
      <c r="H65" s="519" t="str">
        <f>IF($G67&lt;&gt;"",$G65/$G67,"")</f>
        <v/>
      </c>
      <c r="I65" s="542"/>
      <c r="J65" s="603" t="str">
        <f ca="1">Translations!$A$72</f>
        <v>Please select…</v>
      </c>
      <c r="K65" s="626" t="str">
        <f ca="1">Translations!$A$78</f>
        <v>Indicative</v>
      </c>
      <c r="L65" s="627"/>
      <c r="M65" s="183"/>
      <c r="N65" s="519" t="str">
        <f>IF(M66&lt;&gt;"",M65/M66,"")</f>
        <v/>
      </c>
      <c r="O65" s="185"/>
      <c r="P65" s="519" t="str">
        <f>IF(O66&lt;&gt;"",O65/O66,"")</f>
        <v/>
      </c>
      <c r="Q65" s="185"/>
      <c r="R65" s="519" t="str">
        <f>IF(Q66&lt;&gt;"",Q65/Q66,"")</f>
        <v/>
      </c>
      <c r="S65" s="617"/>
      <c r="T65" s="618"/>
      <c r="U65" s="618"/>
      <c r="V65" s="618"/>
      <c r="W65" s="618"/>
      <c r="X65" s="618"/>
      <c r="Y65" s="618"/>
      <c r="Z65" s="618"/>
      <c r="AA65" s="618"/>
      <c r="AB65" s="619"/>
      <c r="AC65" s="143"/>
      <c r="AD65" s="218"/>
      <c r="AE65" s="218"/>
      <c r="AF65" s="218"/>
      <c r="AG65" s="218"/>
      <c r="AH65" s="218"/>
      <c r="AI65" s="218"/>
      <c r="AJ65" s="228" t="e">
        <f t="shared" ca="1" si="0"/>
        <v>#VALUE!</v>
      </c>
      <c r="AK65" s="228">
        <f t="shared" ca="1" si="0"/>
        <v>0</v>
      </c>
      <c r="AL65" s="663" t="str">
        <f t="shared" ref="AL65" ca="1" si="6">IFERROR(IF(INDIRECT(ADDRESS(ROW()-4,COLUMN()))+1&lt;=AJ65+AK65,INDIRECT(ADDRESS(ROW()-4,COLUMN()))+1,""),"")</f>
        <v/>
      </c>
      <c r="AM65" s="65" t="e">
        <f t="shared" ca="1" si="1"/>
        <v>#VALUE!</v>
      </c>
      <c r="AN65" s="181"/>
      <c r="AO65" s="181"/>
      <c r="AP65" s="218"/>
      <c r="AQ65" s="218"/>
      <c r="AR65" s="664"/>
      <c r="AS65" s="664"/>
      <c r="AT65" s="664"/>
      <c r="AU65" s="664"/>
      <c r="AV65" s="664"/>
      <c r="AW65" s="87"/>
      <c r="AX65" s="87"/>
      <c r="AY65" s="87"/>
      <c r="AZ65" s="87"/>
      <c r="BA65" s="87"/>
      <c r="BB65" s="87"/>
      <c r="BC65" s="87"/>
    </row>
    <row r="66" spans="1:55" s="88" customFormat="1" x14ac:dyDescent="0.2">
      <c r="A66" s="634"/>
      <c r="B66" s="635"/>
      <c r="C66" s="635"/>
      <c r="D66" s="615"/>
      <c r="E66" s="599"/>
      <c r="F66" s="600"/>
      <c r="G66" s="540"/>
      <c r="H66" s="541"/>
      <c r="I66" s="543"/>
      <c r="J66" s="604"/>
      <c r="K66" s="628"/>
      <c r="L66" s="629"/>
      <c r="M66" s="184"/>
      <c r="N66" s="520"/>
      <c r="O66" s="186"/>
      <c r="P66" s="520"/>
      <c r="Q66" s="186"/>
      <c r="R66" s="520"/>
      <c r="S66" s="620"/>
      <c r="T66" s="621"/>
      <c r="U66" s="621"/>
      <c r="V66" s="621"/>
      <c r="W66" s="621"/>
      <c r="X66" s="621"/>
      <c r="Y66" s="621"/>
      <c r="Z66" s="621"/>
      <c r="AA66" s="621"/>
      <c r="AB66" s="622"/>
      <c r="AC66" s="143"/>
      <c r="AD66" s="218"/>
      <c r="AE66" s="218"/>
      <c r="AF66" s="218"/>
      <c r="AG66" s="218"/>
      <c r="AH66" s="218"/>
      <c r="AI66" s="218"/>
      <c r="AJ66" s="228" t="e">
        <f t="shared" ca="1" si="0"/>
        <v>#VALUE!</v>
      </c>
      <c r="AK66" s="228">
        <f t="shared" ca="1" si="0"/>
        <v>0</v>
      </c>
      <c r="AL66" s="663"/>
      <c r="AM66" s="65" t="e">
        <f t="shared" ca="1" si="1"/>
        <v>#VALUE!</v>
      </c>
      <c r="AN66" s="181"/>
      <c r="AO66" s="181"/>
      <c r="AP66" s="218"/>
      <c r="AQ66" s="218"/>
      <c r="AR66" s="664"/>
      <c r="AS66" s="664"/>
      <c r="AT66" s="664"/>
      <c r="AU66" s="664"/>
      <c r="AV66" s="664"/>
      <c r="AW66" s="87"/>
      <c r="AX66" s="87"/>
      <c r="AY66" s="87"/>
      <c r="AZ66" s="87"/>
      <c r="BA66" s="87"/>
      <c r="BB66" s="87"/>
      <c r="BC66" s="87"/>
    </row>
    <row r="67" spans="1:55" s="88" customFormat="1" ht="15" customHeight="1" x14ac:dyDescent="0.2">
      <c r="A67" s="634"/>
      <c r="B67" s="635"/>
      <c r="C67" s="635"/>
      <c r="D67" s="615"/>
      <c r="E67" s="599"/>
      <c r="F67" s="600"/>
      <c r="G67" s="539"/>
      <c r="H67" s="541"/>
      <c r="I67" s="543"/>
      <c r="J67" s="604"/>
      <c r="K67" s="610" t="str">
        <f ca="1">Translations!$A$79</f>
        <v>Above indicative</v>
      </c>
      <c r="L67" s="611"/>
      <c r="M67" s="183"/>
      <c r="N67" s="519" t="str">
        <f>IF(M68&lt;&gt;"",M67/M68,"")</f>
        <v/>
      </c>
      <c r="O67" s="185"/>
      <c r="P67" s="519" t="str">
        <f>IF(O68&lt;&gt;"",O67/O68,"")</f>
        <v/>
      </c>
      <c r="Q67" s="185"/>
      <c r="R67" s="519" t="str">
        <f>IF(Q68&lt;&gt;"",Q67/Q68,"")</f>
        <v/>
      </c>
      <c r="S67" s="620"/>
      <c r="T67" s="621"/>
      <c r="U67" s="621"/>
      <c r="V67" s="621"/>
      <c r="W67" s="621"/>
      <c r="X67" s="621"/>
      <c r="Y67" s="621"/>
      <c r="Z67" s="621"/>
      <c r="AA67" s="621"/>
      <c r="AB67" s="622"/>
      <c r="AC67" s="143"/>
      <c r="AD67" s="218"/>
      <c r="AE67" s="218"/>
      <c r="AF67" s="218"/>
      <c r="AG67" s="218"/>
      <c r="AH67" s="218"/>
      <c r="AI67" s="218"/>
      <c r="AJ67" s="228" t="e">
        <f t="shared" ca="1" si="0"/>
        <v>#VALUE!</v>
      </c>
      <c r="AK67" s="228">
        <f t="shared" ca="1" si="0"/>
        <v>0</v>
      </c>
      <c r="AL67" s="663"/>
      <c r="AM67" s="65" t="e">
        <f t="shared" ca="1" si="1"/>
        <v>#VALUE!</v>
      </c>
      <c r="AN67" s="181"/>
      <c r="AO67" s="181"/>
      <c r="AP67" s="218"/>
      <c r="AQ67" s="218"/>
      <c r="AR67" s="664"/>
      <c r="AS67" s="664"/>
      <c r="AT67" s="664"/>
      <c r="AU67" s="664"/>
      <c r="AV67" s="664"/>
      <c r="AW67" s="87"/>
      <c r="AX67" s="87"/>
      <c r="AY67" s="87"/>
      <c r="AZ67" s="87"/>
      <c r="BA67" s="87"/>
      <c r="BB67" s="87"/>
      <c r="BC67" s="87"/>
    </row>
    <row r="68" spans="1:55" s="88" customFormat="1" x14ac:dyDescent="0.2">
      <c r="A68" s="636"/>
      <c r="B68" s="637"/>
      <c r="C68" s="637"/>
      <c r="D68" s="616"/>
      <c r="E68" s="601"/>
      <c r="F68" s="602"/>
      <c r="G68" s="540"/>
      <c r="H68" s="520"/>
      <c r="I68" s="544"/>
      <c r="J68" s="605"/>
      <c r="K68" s="612"/>
      <c r="L68" s="613"/>
      <c r="M68" s="184"/>
      <c r="N68" s="520"/>
      <c r="O68" s="186"/>
      <c r="P68" s="520"/>
      <c r="Q68" s="186"/>
      <c r="R68" s="520"/>
      <c r="S68" s="623"/>
      <c r="T68" s="624"/>
      <c r="U68" s="624"/>
      <c r="V68" s="624"/>
      <c r="W68" s="624"/>
      <c r="X68" s="624"/>
      <c r="Y68" s="624"/>
      <c r="Z68" s="624"/>
      <c r="AA68" s="624"/>
      <c r="AB68" s="625"/>
      <c r="AC68" s="143"/>
      <c r="AD68" s="218"/>
      <c r="AE68" s="218"/>
      <c r="AF68" s="218"/>
      <c r="AG68" s="218"/>
      <c r="AH68" s="218"/>
      <c r="AI68" s="218"/>
      <c r="AJ68" s="228" t="e">
        <f t="shared" ca="1" si="0"/>
        <v>#VALUE!</v>
      </c>
      <c r="AK68" s="228">
        <f t="shared" ca="1" si="0"/>
        <v>0</v>
      </c>
      <c r="AL68" s="663"/>
      <c r="AM68" s="65" t="e">
        <f t="shared" ca="1" si="1"/>
        <v>#VALUE!</v>
      </c>
      <c r="AN68" s="181"/>
      <c r="AO68" s="181"/>
      <c r="AP68" s="218"/>
      <c r="AQ68" s="218"/>
      <c r="AR68" s="664"/>
      <c r="AS68" s="664"/>
      <c r="AT68" s="664"/>
      <c r="AU68" s="664"/>
      <c r="AV68" s="664"/>
      <c r="AW68" s="87"/>
      <c r="AX68" s="87"/>
      <c r="AY68" s="87"/>
      <c r="AZ68" s="87"/>
      <c r="BA68" s="87"/>
      <c r="BB68" s="87"/>
      <c r="BC68" s="87"/>
    </row>
    <row r="69" spans="1:55" s="88" customFormat="1" ht="15" customHeight="1" x14ac:dyDescent="0.2">
      <c r="A69" s="632" t="str">
        <f t="shared" ref="A69" ca="1" si="7">IFERROR(INDIRECT(ADDRESS(AL69,5,1,TRUE,"Coverage ind")),"")</f>
        <v/>
      </c>
      <c r="B69" s="633"/>
      <c r="C69" s="633"/>
      <c r="D69" s="614" t="str">
        <f ca="1">Translations!$A$72</f>
        <v>Please select…</v>
      </c>
      <c r="E69" s="597" t="str">
        <f ca="1">Translations!$A$72</f>
        <v>Please select…</v>
      </c>
      <c r="F69" s="598"/>
      <c r="G69" s="539"/>
      <c r="H69" s="519" t="str">
        <f>IF($G71&lt;&gt;"",$G69/$G71,"")</f>
        <v/>
      </c>
      <c r="I69" s="542"/>
      <c r="J69" s="603" t="str">
        <f ca="1">Translations!$A$72</f>
        <v>Please select…</v>
      </c>
      <c r="K69" s="626" t="str">
        <f ca="1">Translations!$A$78</f>
        <v>Indicative</v>
      </c>
      <c r="L69" s="627"/>
      <c r="M69" s="183"/>
      <c r="N69" s="519" t="str">
        <f>IF(M70&lt;&gt;"",M69/M70,"")</f>
        <v/>
      </c>
      <c r="O69" s="185"/>
      <c r="P69" s="519" t="str">
        <f>IF(O70&lt;&gt;"",O69/O70,"")</f>
        <v/>
      </c>
      <c r="Q69" s="185"/>
      <c r="R69" s="519" t="str">
        <f>IF(Q70&lt;&gt;"",Q69/Q70,"")</f>
        <v/>
      </c>
      <c r="S69" s="617"/>
      <c r="T69" s="618"/>
      <c r="U69" s="618"/>
      <c r="V69" s="618"/>
      <c r="W69" s="618"/>
      <c r="X69" s="618"/>
      <c r="Y69" s="618"/>
      <c r="Z69" s="618"/>
      <c r="AA69" s="618"/>
      <c r="AB69" s="619"/>
      <c r="AC69" s="143"/>
      <c r="AD69" s="218"/>
      <c r="AE69" s="218"/>
      <c r="AF69" s="218"/>
      <c r="AG69" s="218"/>
      <c r="AH69" s="218"/>
      <c r="AI69" s="218"/>
      <c r="AJ69" s="228" t="e">
        <f t="shared" ca="1" si="0"/>
        <v>#VALUE!</v>
      </c>
      <c r="AK69" s="228">
        <f t="shared" ca="1" si="0"/>
        <v>0</v>
      </c>
      <c r="AL69" s="663" t="str">
        <f t="shared" ref="AL69" ca="1" si="8">IFERROR(IF(INDIRECT(ADDRESS(ROW()-4,COLUMN()))+1&lt;=AJ69+AK69,INDIRECT(ADDRESS(ROW()-4,COLUMN()))+1,""),"")</f>
        <v/>
      </c>
      <c r="AM69" s="65" t="e">
        <f t="shared" ca="1" si="1"/>
        <v>#VALUE!</v>
      </c>
      <c r="AN69" s="181"/>
      <c r="AO69" s="181"/>
      <c r="AP69" s="218"/>
      <c r="AQ69" s="218"/>
      <c r="AR69" s="664"/>
      <c r="AS69" s="664"/>
      <c r="AT69" s="664"/>
      <c r="AU69" s="664"/>
      <c r="AV69" s="664"/>
      <c r="AW69" s="87"/>
      <c r="AX69" s="87"/>
      <c r="AY69" s="87"/>
      <c r="AZ69" s="87"/>
      <c r="BA69" s="87"/>
      <c r="BB69" s="87"/>
      <c r="BC69" s="87"/>
    </row>
    <row r="70" spans="1:55" s="88" customFormat="1" x14ac:dyDescent="0.2">
      <c r="A70" s="634"/>
      <c r="B70" s="635"/>
      <c r="C70" s="635"/>
      <c r="D70" s="615"/>
      <c r="E70" s="599"/>
      <c r="F70" s="600"/>
      <c r="G70" s="540"/>
      <c r="H70" s="541"/>
      <c r="I70" s="543"/>
      <c r="J70" s="604"/>
      <c r="K70" s="628"/>
      <c r="L70" s="629"/>
      <c r="M70" s="184"/>
      <c r="N70" s="520"/>
      <c r="O70" s="186"/>
      <c r="P70" s="520"/>
      <c r="Q70" s="186"/>
      <c r="R70" s="520"/>
      <c r="S70" s="620"/>
      <c r="T70" s="621"/>
      <c r="U70" s="621"/>
      <c r="V70" s="621"/>
      <c r="W70" s="621"/>
      <c r="X70" s="621"/>
      <c r="Y70" s="621"/>
      <c r="Z70" s="621"/>
      <c r="AA70" s="621"/>
      <c r="AB70" s="622"/>
      <c r="AC70" s="143"/>
      <c r="AD70" s="218"/>
      <c r="AE70" s="218"/>
      <c r="AF70" s="218"/>
      <c r="AG70" s="218"/>
      <c r="AH70" s="218"/>
      <c r="AI70" s="218"/>
      <c r="AJ70" s="228" t="e">
        <f t="shared" ca="1" si="0"/>
        <v>#VALUE!</v>
      </c>
      <c r="AK70" s="228">
        <f t="shared" ca="1" si="0"/>
        <v>0</v>
      </c>
      <c r="AL70" s="663"/>
      <c r="AM70" s="65" t="e">
        <f t="shared" ca="1" si="1"/>
        <v>#VALUE!</v>
      </c>
      <c r="AN70" s="181"/>
      <c r="AO70" s="181"/>
      <c r="AP70" s="218"/>
      <c r="AQ70" s="218"/>
      <c r="AR70" s="664"/>
      <c r="AS70" s="664"/>
      <c r="AT70" s="664"/>
      <c r="AU70" s="664"/>
      <c r="AV70" s="664"/>
      <c r="AW70" s="87"/>
      <c r="AX70" s="87"/>
      <c r="AY70" s="87"/>
      <c r="AZ70" s="87"/>
      <c r="BA70" s="87"/>
      <c r="BB70" s="87"/>
      <c r="BC70" s="87"/>
    </row>
    <row r="71" spans="1:55" s="88" customFormat="1" ht="15" customHeight="1" x14ac:dyDescent="0.2">
      <c r="A71" s="634"/>
      <c r="B71" s="635"/>
      <c r="C71" s="635"/>
      <c r="D71" s="615"/>
      <c r="E71" s="599"/>
      <c r="F71" s="600"/>
      <c r="G71" s="539"/>
      <c r="H71" s="541"/>
      <c r="I71" s="543"/>
      <c r="J71" s="604"/>
      <c r="K71" s="610" t="str">
        <f ca="1">Translations!$A$79</f>
        <v>Above indicative</v>
      </c>
      <c r="L71" s="611"/>
      <c r="M71" s="183"/>
      <c r="N71" s="519" t="str">
        <f>IF(M72&lt;&gt;"",M71/M72,"")</f>
        <v/>
      </c>
      <c r="O71" s="185"/>
      <c r="P71" s="519" t="str">
        <f>IF(O72&lt;&gt;"",O71/O72,"")</f>
        <v/>
      </c>
      <c r="Q71" s="185"/>
      <c r="R71" s="519" t="str">
        <f>IF(Q72&lt;&gt;"",Q71/Q72,"")</f>
        <v/>
      </c>
      <c r="S71" s="620"/>
      <c r="T71" s="621"/>
      <c r="U71" s="621"/>
      <c r="V71" s="621"/>
      <c r="W71" s="621"/>
      <c r="X71" s="621"/>
      <c r="Y71" s="621"/>
      <c r="Z71" s="621"/>
      <c r="AA71" s="621"/>
      <c r="AB71" s="622"/>
      <c r="AC71" s="143"/>
      <c r="AD71" s="218"/>
      <c r="AE71" s="218"/>
      <c r="AF71" s="218"/>
      <c r="AG71" s="218"/>
      <c r="AH71" s="218"/>
      <c r="AI71" s="218"/>
      <c r="AJ71" s="228" t="e">
        <f t="shared" ca="1" si="0"/>
        <v>#VALUE!</v>
      </c>
      <c r="AK71" s="228">
        <f t="shared" ca="1" si="0"/>
        <v>0</v>
      </c>
      <c r="AL71" s="663"/>
      <c r="AM71" s="65" t="e">
        <f t="shared" ca="1" si="1"/>
        <v>#VALUE!</v>
      </c>
      <c r="AN71" s="181"/>
      <c r="AO71" s="181"/>
      <c r="AP71" s="218"/>
      <c r="AQ71" s="218"/>
      <c r="AR71" s="664"/>
      <c r="AS71" s="664"/>
      <c r="AT71" s="664"/>
      <c r="AU71" s="664"/>
      <c r="AV71" s="664"/>
      <c r="AW71" s="87"/>
      <c r="AX71" s="87"/>
      <c r="AY71" s="87"/>
      <c r="AZ71" s="87"/>
      <c r="BA71" s="87"/>
      <c r="BB71" s="87"/>
      <c r="BC71" s="87"/>
    </row>
    <row r="72" spans="1:55" s="88" customFormat="1" x14ac:dyDescent="0.2">
      <c r="A72" s="636"/>
      <c r="B72" s="637"/>
      <c r="C72" s="637"/>
      <c r="D72" s="616"/>
      <c r="E72" s="601"/>
      <c r="F72" s="602"/>
      <c r="G72" s="540"/>
      <c r="H72" s="520"/>
      <c r="I72" s="544"/>
      <c r="J72" s="605"/>
      <c r="K72" s="612"/>
      <c r="L72" s="613"/>
      <c r="M72" s="184"/>
      <c r="N72" s="520"/>
      <c r="O72" s="186"/>
      <c r="P72" s="520"/>
      <c r="Q72" s="186"/>
      <c r="R72" s="520"/>
      <c r="S72" s="623"/>
      <c r="T72" s="624"/>
      <c r="U72" s="624"/>
      <c r="V72" s="624"/>
      <c r="W72" s="624"/>
      <c r="X72" s="624"/>
      <c r="Y72" s="624"/>
      <c r="Z72" s="624"/>
      <c r="AA72" s="624"/>
      <c r="AB72" s="625"/>
      <c r="AC72" s="143"/>
      <c r="AD72" s="218"/>
      <c r="AE72" s="218"/>
      <c r="AF72" s="218"/>
      <c r="AG72" s="218"/>
      <c r="AH72" s="218"/>
      <c r="AI72" s="218"/>
      <c r="AJ72" s="228" t="e">
        <f t="shared" ca="1" si="0"/>
        <v>#VALUE!</v>
      </c>
      <c r="AK72" s="228">
        <f t="shared" ca="1" si="0"/>
        <v>0</v>
      </c>
      <c r="AL72" s="663"/>
      <c r="AM72" s="65" t="e">
        <f t="shared" ca="1" si="1"/>
        <v>#VALUE!</v>
      </c>
      <c r="AN72" s="181"/>
      <c r="AO72" s="181"/>
      <c r="AP72" s="218"/>
      <c r="AQ72" s="218"/>
      <c r="AR72" s="664"/>
      <c r="AS72" s="664"/>
      <c r="AT72" s="664"/>
      <c r="AU72" s="664"/>
      <c r="AV72" s="664"/>
      <c r="AW72" s="87"/>
      <c r="AX72" s="87"/>
      <c r="AY72" s="87"/>
      <c r="AZ72" s="87"/>
      <c r="BA72" s="87"/>
      <c r="BB72" s="87"/>
      <c r="BC72" s="87"/>
    </row>
    <row r="73" spans="1:55" s="88" customFormat="1" ht="15" customHeight="1" x14ac:dyDescent="0.2">
      <c r="A73" s="632" t="str">
        <f t="shared" ref="A73" ca="1" si="9">IFERROR(INDIRECT(ADDRESS(AL73,5,1,TRUE,"Coverage ind")),"")</f>
        <v/>
      </c>
      <c r="B73" s="633"/>
      <c r="C73" s="633"/>
      <c r="D73" s="614" t="str">
        <f ca="1">Translations!$A$72</f>
        <v>Please select…</v>
      </c>
      <c r="E73" s="597" t="str">
        <f ca="1">Translations!$A$72</f>
        <v>Please select…</v>
      </c>
      <c r="F73" s="598"/>
      <c r="G73" s="539"/>
      <c r="H73" s="519" t="str">
        <f>IF($G75&lt;&gt;"",$G73/$G75,"")</f>
        <v/>
      </c>
      <c r="I73" s="542"/>
      <c r="J73" s="603" t="str">
        <f ca="1">Translations!$A$72</f>
        <v>Please select…</v>
      </c>
      <c r="K73" s="626" t="str">
        <f ca="1">Translations!$A$78</f>
        <v>Indicative</v>
      </c>
      <c r="L73" s="627"/>
      <c r="M73" s="183"/>
      <c r="N73" s="519" t="str">
        <f>IF(M74&lt;&gt;"",M73/M74,"")</f>
        <v/>
      </c>
      <c r="O73" s="185"/>
      <c r="P73" s="519" t="str">
        <f>IF(O74&lt;&gt;"",O73/O74,"")</f>
        <v/>
      </c>
      <c r="Q73" s="185"/>
      <c r="R73" s="519" t="str">
        <f>IF(Q74&lt;&gt;"",Q73/Q74,"")</f>
        <v/>
      </c>
      <c r="S73" s="617"/>
      <c r="T73" s="618"/>
      <c r="U73" s="618"/>
      <c r="V73" s="618"/>
      <c r="W73" s="618"/>
      <c r="X73" s="618"/>
      <c r="Y73" s="618"/>
      <c r="Z73" s="618"/>
      <c r="AA73" s="618"/>
      <c r="AB73" s="619"/>
      <c r="AC73" s="143"/>
      <c r="AD73" s="218"/>
      <c r="AE73" s="218"/>
      <c r="AF73" s="218"/>
      <c r="AG73" s="218"/>
      <c r="AH73" s="218"/>
      <c r="AI73" s="218"/>
      <c r="AJ73" s="228" t="e">
        <f t="shared" ca="1" si="0"/>
        <v>#VALUE!</v>
      </c>
      <c r="AK73" s="228">
        <f t="shared" ca="1" si="0"/>
        <v>0</v>
      </c>
      <c r="AL73" s="663" t="str">
        <f t="shared" ref="AL73" ca="1" si="10">IFERROR(IF(INDIRECT(ADDRESS(ROW()-4,COLUMN()))+1&lt;=AJ73+AK73,INDIRECT(ADDRESS(ROW()-4,COLUMN()))+1,""),"")</f>
        <v/>
      </c>
      <c r="AM73" s="65" t="e">
        <f t="shared" ca="1" si="1"/>
        <v>#VALUE!</v>
      </c>
      <c r="AN73" s="181"/>
      <c r="AO73" s="181"/>
      <c r="AP73" s="218"/>
      <c r="AQ73" s="218"/>
      <c r="AR73" s="664"/>
      <c r="AS73" s="664"/>
      <c r="AT73" s="664"/>
      <c r="AU73" s="664"/>
      <c r="AV73" s="664"/>
      <c r="AW73" s="87"/>
      <c r="AX73" s="87"/>
      <c r="AY73" s="87"/>
      <c r="AZ73" s="87"/>
      <c r="BA73" s="87"/>
      <c r="BB73" s="87"/>
      <c r="BC73" s="87"/>
    </row>
    <row r="74" spans="1:55" s="88" customFormat="1" x14ac:dyDescent="0.2">
      <c r="A74" s="634"/>
      <c r="B74" s="635"/>
      <c r="C74" s="635"/>
      <c r="D74" s="615"/>
      <c r="E74" s="599"/>
      <c r="F74" s="600"/>
      <c r="G74" s="540"/>
      <c r="H74" s="541"/>
      <c r="I74" s="543"/>
      <c r="J74" s="604"/>
      <c r="K74" s="628"/>
      <c r="L74" s="629"/>
      <c r="M74" s="184"/>
      <c r="N74" s="520"/>
      <c r="O74" s="186"/>
      <c r="P74" s="520"/>
      <c r="Q74" s="186"/>
      <c r="R74" s="520"/>
      <c r="S74" s="620"/>
      <c r="T74" s="621"/>
      <c r="U74" s="621"/>
      <c r="V74" s="621"/>
      <c r="W74" s="621"/>
      <c r="X74" s="621"/>
      <c r="Y74" s="621"/>
      <c r="Z74" s="621"/>
      <c r="AA74" s="621"/>
      <c r="AB74" s="622"/>
      <c r="AC74" s="143"/>
      <c r="AD74" s="218"/>
      <c r="AE74" s="218"/>
      <c r="AF74" s="218"/>
      <c r="AG74" s="218"/>
      <c r="AH74" s="218"/>
      <c r="AI74" s="218"/>
      <c r="AJ74" s="228" t="e">
        <f t="shared" ca="1" si="0"/>
        <v>#VALUE!</v>
      </c>
      <c r="AK74" s="228">
        <f t="shared" ca="1" si="0"/>
        <v>0</v>
      </c>
      <c r="AL74" s="663"/>
      <c r="AM74" s="65" t="e">
        <f t="shared" ca="1" si="1"/>
        <v>#VALUE!</v>
      </c>
      <c r="AN74" s="181"/>
      <c r="AO74" s="181"/>
      <c r="AP74" s="218"/>
      <c r="AQ74" s="218"/>
      <c r="AR74" s="664"/>
      <c r="AS74" s="664"/>
      <c r="AT74" s="664"/>
      <c r="AU74" s="664"/>
      <c r="AV74" s="664"/>
      <c r="AW74" s="87"/>
      <c r="AX74" s="87"/>
      <c r="AY74" s="87"/>
      <c r="AZ74" s="87"/>
      <c r="BA74" s="87"/>
      <c r="BB74" s="87"/>
      <c r="BC74" s="87"/>
    </row>
    <row r="75" spans="1:55" s="88" customFormat="1" ht="15" customHeight="1" x14ac:dyDescent="0.2">
      <c r="A75" s="634"/>
      <c r="B75" s="635"/>
      <c r="C75" s="635"/>
      <c r="D75" s="615"/>
      <c r="E75" s="599"/>
      <c r="F75" s="600"/>
      <c r="G75" s="539"/>
      <c r="H75" s="541"/>
      <c r="I75" s="543"/>
      <c r="J75" s="604"/>
      <c r="K75" s="610" t="str">
        <f ca="1">Translations!$A$79</f>
        <v>Above indicative</v>
      </c>
      <c r="L75" s="611"/>
      <c r="M75" s="183"/>
      <c r="N75" s="519" t="str">
        <f>IF(M76&lt;&gt;"",M75/M76,"")</f>
        <v/>
      </c>
      <c r="O75" s="185"/>
      <c r="P75" s="519" t="str">
        <f>IF(O76&lt;&gt;"",O75/O76,"")</f>
        <v/>
      </c>
      <c r="Q75" s="185"/>
      <c r="R75" s="519" t="str">
        <f>IF(Q76&lt;&gt;"",Q75/Q76,"")</f>
        <v/>
      </c>
      <c r="S75" s="620"/>
      <c r="T75" s="621"/>
      <c r="U75" s="621"/>
      <c r="V75" s="621"/>
      <c r="W75" s="621"/>
      <c r="X75" s="621"/>
      <c r="Y75" s="621"/>
      <c r="Z75" s="621"/>
      <c r="AA75" s="621"/>
      <c r="AB75" s="622"/>
      <c r="AC75" s="143"/>
      <c r="AD75" s="218"/>
      <c r="AE75" s="218"/>
      <c r="AF75" s="218"/>
      <c r="AG75" s="218"/>
      <c r="AH75" s="218"/>
      <c r="AI75" s="218"/>
      <c r="AJ75" s="228" t="e">
        <f t="shared" ca="1" si="0"/>
        <v>#VALUE!</v>
      </c>
      <c r="AK75" s="228">
        <f t="shared" ca="1" si="0"/>
        <v>0</v>
      </c>
      <c r="AL75" s="663"/>
      <c r="AM75" s="65" t="e">
        <f t="shared" ca="1" si="1"/>
        <v>#VALUE!</v>
      </c>
      <c r="AN75" s="181"/>
      <c r="AO75" s="181"/>
      <c r="AP75" s="218"/>
      <c r="AQ75" s="218"/>
      <c r="AR75" s="664"/>
      <c r="AS75" s="664"/>
      <c r="AT75" s="664"/>
      <c r="AU75" s="664"/>
      <c r="AV75" s="664"/>
      <c r="AW75" s="87"/>
      <c r="AX75" s="87"/>
      <c r="AY75" s="87"/>
      <c r="AZ75" s="87"/>
      <c r="BA75" s="87"/>
      <c r="BB75" s="87"/>
      <c r="BC75" s="87"/>
    </row>
    <row r="76" spans="1:55" s="88" customFormat="1" x14ac:dyDescent="0.2">
      <c r="A76" s="636"/>
      <c r="B76" s="637"/>
      <c r="C76" s="637"/>
      <c r="D76" s="616"/>
      <c r="E76" s="601"/>
      <c r="F76" s="602"/>
      <c r="G76" s="540"/>
      <c r="H76" s="520"/>
      <c r="I76" s="544"/>
      <c r="J76" s="605"/>
      <c r="K76" s="612"/>
      <c r="L76" s="613"/>
      <c r="M76" s="184"/>
      <c r="N76" s="520"/>
      <c r="O76" s="186"/>
      <c r="P76" s="520"/>
      <c r="Q76" s="186"/>
      <c r="R76" s="520"/>
      <c r="S76" s="623"/>
      <c r="T76" s="624"/>
      <c r="U76" s="624"/>
      <c r="V76" s="624"/>
      <c r="W76" s="624"/>
      <c r="X76" s="624"/>
      <c r="Y76" s="624"/>
      <c r="Z76" s="624"/>
      <c r="AA76" s="624"/>
      <c r="AB76" s="625"/>
      <c r="AC76" s="143"/>
      <c r="AD76" s="218"/>
      <c r="AE76" s="218"/>
      <c r="AF76" s="218"/>
      <c r="AG76" s="218"/>
      <c r="AH76" s="218"/>
      <c r="AI76" s="218"/>
      <c r="AJ76" s="228" t="e">
        <f t="shared" ca="1" si="0"/>
        <v>#VALUE!</v>
      </c>
      <c r="AK76" s="228">
        <f t="shared" ca="1" si="0"/>
        <v>0</v>
      </c>
      <c r="AL76" s="663"/>
      <c r="AM76" s="65" t="e">
        <f t="shared" ca="1" si="1"/>
        <v>#VALUE!</v>
      </c>
      <c r="AN76" s="181"/>
      <c r="AO76" s="181"/>
      <c r="AP76" s="218"/>
      <c r="AQ76" s="218"/>
      <c r="AR76" s="664"/>
      <c r="AS76" s="664"/>
      <c r="AT76" s="664"/>
      <c r="AU76" s="664"/>
      <c r="AV76" s="664"/>
      <c r="AW76" s="87"/>
      <c r="AX76" s="87"/>
      <c r="AY76" s="87"/>
      <c r="AZ76" s="87"/>
      <c r="BA76" s="87"/>
      <c r="BB76" s="87"/>
      <c r="BC76" s="87"/>
    </row>
    <row r="77" spans="1:55" s="88" customFormat="1" ht="15" customHeight="1" x14ac:dyDescent="0.2">
      <c r="A77" s="632" t="str">
        <f t="shared" ref="A77" ca="1" si="11">IFERROR(INDIRECT(ADDRESS(AL77,5,1,TRUE,"Coverage ind")),"")</f>
        <v/>
      </c>
      <c r="B77" s="633"/>
      <c r="C77" s="633"/>
      <c r="D77" s="614" t="str">
        <f ca="1">Translations!$A$72</f>
        <v>Please select…</v>
      </c>
      <c r="E77" s="597" t="str">
        <f ca="1">Translations!$A$72</f>
        <v>Please select…</v>
      </c>
      <c r="F77" s="598"/>
      <c r="G77" s="539"/>
      <c r="H77" s="519" t="str">
        <f>IF($G79&lt;&gt;"",$G77/$G79,"")</f>
        <v/>
      </c>
      <c r="I77" s="542"/>
      <c r="J77" s="603" t="str">
        <f ca="1">Translations!$A$72</f>
        <v>Please select…</v>
      </c>
      <c r="K77" s="626" t="str">
        <f ca="1">Translations!$A$78</f>
        <v>Indicative</v>
      </c>
      <c r="L77" s="627"/>
      <c r="M77" s="183"/>
      <c r="N77" s="519" t="str">
        <f>IF(M78&lt;&gt;"",M77/M78,"")</f>
        <v/>
      </c>
      <c r="O77" s="185"/>
      <c r="P77" s="519" t="str">
        <f>IF(O78&lt;&gt;"",O77/O78,"")</f>
        <v/>
      </c>
      <c r="Q77" s="185"/>
      <c r="R77" s="630" t="str">
        <f>IF(Q78&lt;&gt;"",Q77/Q78,"")</f>
        <v/>
      </c>
      <c r="S77" s="617"/>
      <c r="T77" s="618"/>
      <c r="U77" s="618"/>
      <c r="V77" s="618"/>
      <c r="W77" s="618"/>
      <c r="X77" s="618"/>
      <c r="Y77" s="618"/>
      <c r="Z77" s="618"/>
      <c r="AA77" s="618"/>
      <c r="AB77" s="619"/>
      <c r="AC77" s="143"/>
      <c r="AD77" s="218"/>
      <c r="AE77" s="218"/>
      <c r="AF77" s="218"/>
      <c r="AG77" s="218"/>
      <c r="AH77" s="218"/>
      <c r="AI77" s="218"/>
      <c r="AJ77" s="228" t="e">
        <f t="shared" ca="1" si="0"/>
        <v>#VALUE!</v>
      </c>
      <c r="AK77" s="228">
        <f t="shared" ca="1" si="0"/>
        <v>0</v>
      </c>
      <c r="AL77" s="663" t="str">
        <f t="shared" ref="AL77" ca="1" si="12">IFERROR(IF(INDIRECT(ADDRESS(ROW()-4,COLUMN()))+1&lt;=AJ77+AK77,INDIRECT(ADDRESS(ROW()-4,COLUMN()))+1,""),"")</f>
        <v/>
      </c>
      <c r="AM77" s="65" t="e">
        <f t="shared" ca="1" si="1"/>
        <v>#VALUE!</v>
      </c>
      <c r="AN77" s="181"/>
      <c r="AO77" s="181"/>
      <c r="AP77" s="218"/>
      <c r="AQ77" s="218"/>
      <c r="AR77" s="664"/>
      <c r="AS77" s="664"/>
      <c r="AT77" s="664"/>
      <c r="AU77" s="664"/>
      <c r="AV77" s="664"/>
      <c r="AW77" s="87"/>
      <c r="AX77" s="87"/>
      <c r="AY77" s="87"/>
      <c r="AZ77" s="87"/>
      <c r="BA77" s="87"/>
      <c r="BB77" s="87"/>
      <c r="BC77" s="87"/>
    </row>
    <row r="78" spans="1:55" s="88" customFormat="1" x14ac:dyDescent="0.2">
      <c r="A78" s="634"/>
      <c r="B78" s="635"/>
      <c r="C78" s="635"/>
      <c r="D78" s="615"/>
      <c r="E78" s="599"/>
      <c r="F78" s="600"/>
      <c r="G78" s="540"/>
      <c r="H78" s="541"/>
      <c r="I78" s="543"/>
      <c r="J78" s="604"/>
      <c r="K78" s="628"/>
      <c r="L78" s="629"/>
      <c r="M78" s="184"/>
      <c r="N78" s="520"/>
      <c r="O78" s="186"/>
      <c r="P78" s="520"/>
      <c r="Q78" s="186"/>
      <c r="R78" s="631"/>
      <c r="S78" s="620"/>
      <c r="T78" s="621"/>
      <c r="U78" s="621"/>
      <c r="V78" s="621"/>
      <c r="W78" s="621"/>
      <c r="X78" s="621"/>
      <c r="Y78" s="621"/>
      <c r="Z78" s="621"/>
      <c r="AA78" s="621"/>
      <c r="AB78" s="622"/>
      <c r="AC78" s="143"/>
      <c r="AD78" s="218"/>
      <c r="AE78" s="218"/>
      <c r="AF78" s="218"/>
      <c r="AG78" s="218"/>
      <c r="AH78" s="218"/>
      <c r="AI78" s="218"/>
      <c r="AJ78" s="228" t="e">
        <f t="shared" ca="1" si="0"/>
        <v>#VALUE!</v>
      </c>
      <c r="AK78" s="228">
        <f t="shared" ca="1" si="0"/>
        <v>0</v>
      </c>
      <c r="AL78" s="663"/>
      <c r="AM78" s="65" t="e">
        <f t="shared" ca="1" si="1"/>
        <v>#VALUE!</v>
      </c>
      <c r="AN78" s="181"/>
      <c r="AO78" s="181"/>
      <c r="AP78" s="218"/>
      <c r="AQ78" s="218"/>
      <c r="AR78" s="664"/>
      <c r="AS78" s="664"/>
      <c r="AT78" s="664"/>
      <c r="AU78" s="664"/>
      <c r="AV78" s="664"/>
      <c r="AW78" s="87"/>
      <c r="AX78" s="87"/>
      <c r="AY78" s="87"/>
      <c r="AZ78" s="87"/>
      <c r="BA78" s="87"/>
      <c r="BB78" s="87"/>
      <c r="BC78" s="87"/>
    </row>
    <row r="79" spans="1:55" s="88" customFormat="1" ht="15" customHeight="1" x14ac:dyDescent="0.2">
      <c r="A79" s="634"/>
      <c r="B79" s="635"/>
      <c r="C79" s="635"/>
      <c r="D79" s="615"/>
      <c r="E79" s="599"/>
      <c r="F79" s="600"/>
      <c r="G79" s="539"/>
      <c r="H79" s="541"/>
      <c r="I79" s="543"/>
      <c r="J79" s="604"/>
      <c r="K79" s="610" t="str">
        <f ca="1">Translations!$A$79</f>
        <v>Above indicative</v>
      </c>
      <c r="L79" s="611"/>
      <c r="M79" s="183"/>
      <c r="N79" s="519" t="str">
        <f>IF(M80&lt;&gt;"",M79/M80,"")</f>
        <v/>
      </c>
      <c r="O79" s="185"/>
      <c r="P79" s="519" t="str">
        <f>IF(O80&lt;&gt;"",O79/O80,"")</f>
        <v/>
      </c>
      <c r="Q79" s="185"/>
      <c r="R79" s="630" t="str">
        <f>IF(Q80&lt;&gt;"",Q79/Q80,"")</f>
        <v/>
      </c>
      <c r="S79" s="620"/>
      <c r="T79" s="621"/>
      <c r="U79" s="621"/>
      <c r="V79" s="621"/>
      <c r="W79" s="621"/>
      <c r="X79" s="621"/>
      <c r="Y79" s="621"/>
      <c r="Z79" s="621"/>
      <c r="AA79" s="621"/>
      <c r="AB79" s="622"/>
      <c r="AC79" s="143"/>
      <c r="AD79" s="218"/>
      <c r="AE79" s="218"/>
      <c r="AF79" s="218"/>
      <c r="AG79" s="218"/>
      <c r="AH79" s="218"/>
      <c r="AI79" s="218"/>
      <c r="AJ79" s="228" t="e">
        <f t="shared" ca="1" si="0"/>
        <v>#VALUE!</v>
      </c>
      <c r="AK79" s="228">
        <f t="shared" ca="1" si="0"/>
        <v>0</v>
      </c>
      <c r="AL79" s="663"/>
      <c r="AM79" s="65" t="e">
        <f t="shared" ca="1" si="1"/>
        <v>#VALUE!</v>
      </c>
      <c r="AN79" s="181"/>
      <c r="AO79" s="181"/>
      <c r="AP79" s="218"/>
      <c r="AQ79" s="218"/>
      <c r="AR79" s="664"/>
      <c r="AS79" s="664"/>
      <c r="AT79" s="664"/>
      <c r="AU79" s="664"/>
      <c r="AV79" s="664"/>
      <c r="AW79" s="87"/>
      <c r="AX79" s="87"/>
      <c r="AY79" s="87"/>
      <c r="AZ79" s="87"/>
      <c r="BA79" s="87"/>
      <c r="BB79" s="87"/>
      <c r="BC79" s="87"/>
    </row>
    <row r="80" spans="1:55" s="88" customFormat="1" x14ac:dyDescent="0.2">
      <c r="A80" s="636"/>
      <c r="B80" s="637"/>
      <c r="C80" s="637"/>
      <c r="D80" s="616"/>
      <c r="E80" s="601"/>
      <c r="F80" s="602"/>
      <c r="G80" s="540"/>
      <c r="H80" s="520"/>
      <c r="I80" s="544"/>
      <c r="J80" s="605"/>
      <c r="K80" s="612"/>
      <c r="L80" s="613"/>
      <c r="M80" s="184"/>
      <c r="N80" s="520"/>
      <c r="O80" s="186"/>
      <c r="P80" s="520"/>
      <c r="Q80" s="186"/>
      <c r="R80" s="631"/>
      <c r="S80" s="623"/>
      <c r="T80" s="624"/>
      <c r="U80" s="624"/>
      <c r="V80" s="624"/>
      <c r="W80" s="624"/>
      <c r="X80" s="624"/>
      <c r="Y80" s="624"/>
      <c r="Z80" s="624"/>
      <c r="AA80" s="624"/>
      <c r="AB80" s="625"/>
      <c r="AC80" s="143"/>
      <c r="AD80" s="218"/>
      <c r="AE80" s="218"/>
      <c r="AF80" s="218"/>
      <c r="AG80" s="218"/>
      <c r="AH80" s="218"/>
      <c r="AI80" s="218"/>
      <c r="AJ80" s="228" t="e">
        <f t="shared" ca="1" si="0"/>
        <v>#VALUE!</v>
      </c>
      <c r="AK80" s="228">
        <f t="shared" ca="1" si="0"/>
        <v>0</v>
      </c>
      <c r="AL80" s="663"/>
      <c r="AM80" s="65" t="e">
        <f t="shared" ca="1" si="1"/>
        <v>#VALUE!</v>
      </c>
      <c r="AN80" s="181"/>
      <c r="AO80" s="181"/>
      <c r="AP80" s="218"/>
      <c r="AQ80" s="218"/>
      <c r="AR80" s="664"/>
      <c r="AS80" s="664"/>
      <c r="AT80" s="664"/>
      <c r="AU80" s="664"/>
      <c r="AV80" s="664"/>
      <c r="AW80" s="87"/>
      <c r="AX80" s="87"/>
      <c r="AY80" s="87"/>
      <c r="AZ80" s="87"/>
      <c r="BA80" s="87"/>
      <c r="BB80" s="87"/>
      <c r="BC80" s="87"/>
    </row>
    <row r="81" spans="1:75" s="88" customFormat="1" ht="15" customHeight="1" x14ac:dyDescent="0.2">
      <c r="A81" s="632" t="str">
        <f t="shared" ref="A81" ca="1" si="13">IFERROR(INDIRECT(ADDRESS(AL81,5,1,TRUE,"Coverage ind")),"")</f>
        <v/>
      </c>
      <c r="B81" s="633"/>
      <c r="C81" s="633"/>
      <c r="D81" s="614" t="str">
        <f ca="1">Translations!$A$72</f>
        <v>Please select…</v>
      </c>
      <c r="E81" s="597" t="str">
        <f ca="1">Translations!$A$72</f>
        <v>Please select…</v>
      </c>
      <c r="F81" s="598"/>
      <c r="G81" s="539"/>
      <c r="H81" s="519" t="str">
        <f>IF($G83&lt;&gt;"",$G81/$G83,"")</f>
        <v/>
      </c>
      <c r="I81" s="542"/>
      <c r="J81" s="603" t="str">
        <f ca="1">Translations!$A$72</f>
        <v>Please select…</v>
      </c>
      <c r="K81" s="626" t="str">
        <f ca="1">Translations!$A$78</f>
        <v>Indicative</v>
      </c>
      <c r="L81" s="627"/>
      <c r="M81" s="183"/>
      <c r="N81" s="519" t="str">
        <f>IF(M82&lt;&gt;"",M81/M82,"")</f>
        <v/>
      </c>
      <c r="O81" s="185"/>
      <c r="P81" s="519" t="str">
        <f>IF(O82&lt;&gt;"",O81/O82,"")</f>
        <v/>
      </c>
      <c r="Q81" s="185"/>
      <c r="R81" s="630" t="str">
        <f>IF(Q82&lt;&gt;"",Q81/Q82,"")</f>
        <v/>
      </c>
      <c r="S81" s="617"/>
      <c r="T81" s="618"/>
      <c r="U81" s="618"/>
      <c r="V81" s="618"/>
      <c r="W81" s="618"/>
      <c r="X81" s="618"/>
      <c r="Y81" s="618"/>
      <c r="Z81" s="618"/>
      <c r="AA81" s="618"/>
      <c r="AB81" s="619"/>
      <c r="AC81" s="143"/>
      <c r="AD81" s="218"/>
      <c r="AE81" s="218"/>
      <c r="AF81" s="218"/>
      <c r="AG81" s="218"/>
      <c r="AH81" s="218"/>
      <c r="AI81" s="218"/>
      <c r="AJ81" s="228" t="e">
        <f t="shared" ca="1" si="0"/>
        <v>#VALUE!</v>
      </c>
      <c r="AK81" s="228">
        <f t="shared" ca="1" si="0"/>
        <v>0</v>
      </c>
      <c r="AL81" s="663" t="str">
        <f t="shared" ref="AL81" ca="1" si="14">IFERROR(IF(INDIRECT(ADDRESS(ROW()-4,COLUMN()))+1&lt;=AJ81+AK81,INDIRECT(ADDRESS(ROW()-4,COLUMN()))+1,""),"")</f>
        <v/>
      </c>
      <c r="AM81" s="65" t="e">
        <f t="shared" ca="1" si="1"/>
        <v>#VALUE!</v>
      </c>
      <c r="AN81" s="181"/>
      <c r="AO81" s="181"/>
      <c r="AP81" s="218"/>
      <c r="AQ81" s="218"/>
      <c r="AR81" s="664"/>
      <c r="AS81" s="664"/>
      <c r="AT81" s="664"/>
      <c r="AU81" s="664"/>
      <c r="AV81" s="664"/>
      <c r="AW81" s="87"/>
      <c r="AX81" s="87"/>
      <c r="AY81" s="87"/>
      <c r="AZ81" s="87"/>
      <c r="BA81" s="87"/>
      <c r="BB81" s="87"/>
      <c r="BC81" s="87"/>
    </row>
    <row r="82" spans="1:75" s="88" customFormat="1" x14ac:dyDescent="0.2">
      <c r="A82" s="634"/>
      <c r="B82" s="635"/>
      <c r="C82" s="635"/>
      <c r="D82" s="615"/>
      <c r="E82" s="599"/>
      <c r="F82" s="600"/>
      <c r="G82" s="540"/>
      <c r="H82" s="541"/>
      <c r="I82" s="543"/>
      <c r="J82" s="604"/>
      <c r="K82" s="628"/>
      <c r="L82" s="629"/>
      <c r="M82" s="184"/>
      <c r="N82" s="520"/>
      <c r="O82" s="186"/>
      <c r="P82" s="520"/>
      <c r="Q82" s="186"/>
      <c r="R82" s="631"/>
      <c r="S82" s="620"/>
      <c r="T82" s="621"/>
      <c r="U82" s="621"/>
      <c r="V82" s="621"/>
      <c r="W82" s="621"/>
      <c r="X82" s="621"/>
      <c r="Y82" s="621"/>
      <c r="Z82" s="621"/>
      <c r="AA82" s="621"/>
      <c r="AB82" s="622"/>
      <c r="AC82" s="143"/>
      <c r="AD82" s="218"/>
      <c r="AE82" s="218"/>
      <c r="AF82" s="218"/>
      <c r="AG82" s="218"/>
      <c r="AH82" s="218"/>
      <c r="AI82" s="218"/>
      <c r="AJ82" s="228" t="e">
        <f t="shared" ca="1" si="0"/>
        <v>#VALUE!</v>
      </c>
      <c r="AK82" s="228">
        <f t="shared" ca="1" si="0"/>
        <v>0</v>
      </c>
      <c r="AL82" s="663"/>
      <c r="AM82" s="65" t="e">
        <f t="shared" ca="1" si="1"/>
        <v>#VALUE!</v>
      </c>
      <c r="AN82" s="181"/>
      <c r="AO82" s="181"/>
      <c r="AP82" s="218"/>
      <c r="AQ82" s="218"/>
      <c r="AR82" s="664"/>
      <c r="AS82" s="664"/>
      <c r="AT82" s="664"/>
      <c r="AU82" s="664"/>
      <c r="AV82" s="664"/>
      <c r="AW82" s="87"/>
      <c r="AX82" s="87"/>
      <c r="AY82" s="87"/>
      <c r="AZ82" s="87"/>
      <c r="BA82" s="87"/>
      <c r="BB82" s="87"/>
      <c r="BC82" s="87"/>
    </row>
    <row r="83" spans="1:75" s="88" customFormat="1" ht="15" customHeight="1" x14ac:dyDescent="0.2">
      <c r="A83" s="634"/>
      <c r="B83" s="635"/>
      <c r="C83" s="635"/>
      <c r="D83" s="615"/>
      <c r="E83" s="599"/>
      <c r="F83" s="600"/>
      <c r="G83" s="539"/>
      <c r="H83" s="541"/>
      <c r="I83" s="543"/>
      <c r="J83" s="604"/>
      <c r="K83" s="610" t="str">
        <f ca="1">Translations!$A$79</f>
        <v>Above indicative</v>
      </c>
      <c r="L83" s="611"/>
      <c r="M83" s="183"/>
      <c r="N83" s="519" t="str">
        <f>IF(M84&lt;&gt;"",M83/M84,"")</f>
        <v/>
      </c>
      <c r="O83" s="185"/>
      <c r="P83" s="519" t="str">
        <f>IF(O84&lt;&gt;"",O83/O84,"")</f>
        <v/>
      </c>
      <c r="Q83" s="185"/>
      <c r="R83" s="630" t="str">
        <f>IF(Q84&lt;&gt;"",Q83/Q84,"")</f>
        <v/>
      </c>
      <c r="S83" s="620"/>
      <c r="T83" s="621"/>
      <c r="U83" s="621"/>
      <c r="V83" s="621"/>
      <c r="W83" s="621"/>
      <c r="X83" s="621"/>
      <c r="Y83" s="621"/>
      <c r="Z83" s="621"/>
      <c r="AA83" s="621"/>
      <c r="AB83" s="622"/>
      <c r="AC83" s="143"/>
      <c r="AD83" s="218"/>
      <c r="AE83" s="218"/>
      <c r="AF83" s="218"/>
      <c r="AG83" s="218"/>
      <c r="AH83" s="218"/>
      <c r="AI83" s="218"/>
      <c r="AJ83" s="228" t="e">
        <f t="shared" ca="1" si="0"/>
        <v>#VALUE!</v>
      </c>
      <c r="AK83" s="228">
        <f t="shared" ca="1" si="0"/>
        <v>0</v>
      </c>
      <c r="AL83" s="663"/>
      <c r="AM83" s="65" t="e">
        <f t="shared" ca="1" si="1"/>
        <v>#VALUE!</v>
      </c>
      <c r="AN83" s="181"/>
      <c r="AO83" s="181"/>
      <c r="AP83" s="218"/>
      <c r="AQ83" s="218"/>
      <c r="AR83" s="664"/>
      <c r="AS83" s="664"/>
      <c r="AT83" s="664"/>
      <c r="AU83" s="664"/>
      <c r="AV83" s="664"/>
      <c r="AW83" s="87"/>
      <c r="AX83" s="87"/>
      <c r="AY83" s="87"/>
      <c r="AZ83" s="87"/>
      <c r="BA83" s="87"/>
      <c r="BB83" s="87"/>
      <c r="BC83" s="87"/>
    </row>
    <row r="84" spans="1:75" s="88" customFormat="1" x14ac:dyDescent="0.2">
      <c r="A84" s="636"/>
      <c r="B84" s="637"/>
      <c r="C84" s="637"/>
      <c r="D84" s="616"/>
      <c r="E84" s="601"/>
      <c r="F84" s="602"/>
      <c r="G84" s="540"/>
      <c r="H84" s="520"/>
      <c r="I84" s="544"/>
      <c r="J84" s="605"/>
      <c r="K84" s="612"/>
      <c r="L84" s="613"/>
      <c r="M84" s="184"/>
      <c r="N84" s="520"/>
      <c r="O84" s="186"/>
      <c r="P84" s="520"/>
      <c r="Q84" s="186"/>
      <c r="R84" s="631"/>
      <c r="S84" s="623"/>
      <c r="T84" s="624"/>
      <c r="U84" s="624"/>
      <c r="V84" s="624"/>
      <c r="W84" s="624"/>
      <c r="X84" s="624"/>
      <c r="Y84" s="624"/>
      <c r="Z84" s="624"/>
      <c r="AA84" s="624"/>
      <c r="AB84" s="625"/>
      <c r="AC84" s="143"/>
      <c r="AD84" s="218"/>
      <c r="AE84" s="218"/>
      <c r="AF84" s="218"/>
      <c r="AG84" s="218"/>
      <c r="AH84" s="218"/>
      <c r="AI84" s="218"/>
      <c r="AJ84" s="228" t="e">
        <f t="shared" ca="1" si="0"/>
        <v>#VALUE!</v>
      </c>
      <c r="AK84" s="228">
        <f t="shared" ca="1" si="0"/>
        <v>0</v>
      </c>
      <c r="AL84" s="663"/>
      <c r="AM84" s="65" t="e">
        <f t="shared" ca="1" si="1"/>
        <v>#VALUE!</v>
      </c>
      <c r="AN84" s="181"/>
      <c r="AO84" s="181"/>
      <c r="AP84" s="218"/>
      <c r="AQ84" s="218"/>
      <c r="AR84" s="664"/>
      <c r="AS84" s="664"/>
      <c r="AT84" s="664"/>
      <c r="AU84" s="664"/>
      <c r="AV84" s="664"/>
      <c r="AW84" s="87"/>
      <c r="AX84" s="87"/>
      <c r="AY84" s="87"/>
      <c r="AZ84" s="87"/>
      <c r="BA84" s="87"/>
      <c r="BB84" s="87"/>
      <c r="BC84" s="87"/>
    </row>
    <row r="85" spans="1:75" s="165" customFormat="1" ht="18" customHeight="1" x14ac:dyDescent="0.2">
      <c r="A85" s="146" t="str">
        <f ca="1">Translations!$A$87</f>
        <v>Module budget</v>
      </c>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3"/>
      <c r="AC85" s="94"/>
      <c r="AD85" s="94"/>
      <c r="AE85" s="94"/>
      <c r="AF85" s="94"/>
      <c r="AG85" s="94"/>
      <c r="AH85" s="94"/>
      <c r="AI85" s="94"/>
      <c r="AJ85" s="94"/>
      <c r="AK85" s="94"/>
      <c r="AL85" s="223"/>
      <c r="AM85" s="94" t="e">
        <f t="shared" ca="1" si="1"/>
        <v>#VALUE!</v>
      </c>
      <c r="AN85" s="94"/>
      <c r="AO85" s="94"/>
      <c r="AP85" s="94"/>
      <c r="AQ85" s="94"/>
      <c r="AR85" s="94"/>
      <c r="AS85" s="94"/>
      <c r="AT85" s="94"/>
      <c r="AU85" s="94"/>
      <c r="AV85" s="163"/>
      <c r="AW85" s="163"/>
      <c r="AX85" s="163"/>
      <c r="AY85" s="163"/>
      <c r="AZ85" s="163"/>
      <c r="BA85" s="163"/>
      <c r="BB85" s="163"/>
      <c r="BC85" s="164"/>
      <c r="BD85" s="164"/>
      <c r="BE85" s="164"/>
      <c r="BF85" s="164"/>
      <c r="BG85" s="164"/>
      <c r="BH85" s="164"/>
      <c r="BI85" s="164"/>
      <c r="BJ85" s="164"/>
      <c r="BK85" s="164"/>
      <c r="BL85" s="164"/>
      <c r="BM85" s="164"/>
      <c r="BN85" s="164"/>
      <c r="BO85" s="164"/>
      <c r="BP85" s="164"/>
      <c r="BQ85" s="164"/>
      <c r="BR85" s="164"/>
      <c r="BS85" s="164"/>
      <c r="BT85" s="164"/>
      <c r="BU85" s="164"/>
    </row>
    <row r="86" spans="1:75" s="161" customFormat="1" ht="18" customHeight="1" x14ac:dyDescent="0.2">
      <c r="A86" s="560" t="str">
        <f ca="1">Translations!$A$84</f>
        <v>Indicative request for entire module</v>
      </c>
      <c r="B86" s="561"/>
      <c r="C86" s="561"/>
      <c r="D86" s="561"/>
      <c r="E86" s="562"/>
      <c r="F86" s="169">
        <f ca="1">SUMIF($K89:$K108,Translations!$A$78,$M89:$M108)+SUMIF($K89:$K108,Translations!$A$78,$O89:$O108)+SUMIF($K89:$K108,Translations!$A$78,$Q89:$Q108)</f>
        <v>0</v>
      </c>
      <c r="G86" s="168"/>
      <c r="H86" s="168"/>
      <c r="I86" s="166"/>
      <c r="J86" s="563" t="str">
        <f ca="1">Translations!$A$85</f>
        <v>Above indicative request for entire module</v>
      </c>
      <c r="K86" s="564"/>
      <c r="L86" s="564"/>
      <c r="M86" s="564"/>
      <c r="N86" s="564"/>
      <c r="O86" s="564"/>
      <c r="P86" s="564"/>
      <c r="Q86" s="565">
        <f ca="1">SUMIF($K89:$K108,Translations!$A$79,$M89:$M108)+SUMIF($K89:$K108,Translations!$A$79,$O89:$O108)+SUMIF($K89:$K108,Translations!$A$79,$Q89:$Q108)</f>
        <v>0</v>
      </c>
      <c r="R86" s="566"/>
      <c r="S86" s="567"/>
      <c r="T86" s="567"/>
      <c r="U86" s="567"/>
      <c r="V86" s="166"/>
      <c r="W86" s="166"/>
      <c r="X86" s="166"/>
      <c r="Y86" s="166"/>
      <c r="Z86" s="166"/>
      <c r="AA86" s="166"/>
      <c r="AB86" s="167"/>
      <c r="AC86" s="98"/>
      <c r="AD86" s="98"/>
      <c r="AE86" s="98"/>
      <c r="AF86" s="98"/>
      <c r="AG86" s="98"/>
      <c r="AH86" s="98"/>
      <c r="AI86" s="98"/>
      <c r="AJ86" s="98"/>
      <c r="AK86" s="98"/>
      <c r="AL86" s="224"/>
      <c r="AM86" s="65" t="e">
        <f t="shared" ca="1" si="1"/>
        <v>#VALUE!</v>
      </c>
      <c r="AN86" s="182">
        <f ca="1">F86</f>
        <v>0</v>
      </c>
      <c r="AO86" s="182">
        <f ca="1">Q86</f>
        <v>0</v>
      </c>
      <c r="AP86" s="98"/>
      <c r="AQ86" s="98"/>
      <c r="AR86" s="98"/>
      <c r="AS86" s="98"/>
      <c r="AT86" s="98"/>
      <c r="AU86" s="98"/>
      <c r="AV86" s="118"/>
      <c r="AW86" s="118"/>
      <c r="AX86" s="118"/>
      <c r="AY86" s="118"/>
      <c r="AZ86" s="118"/>
      <c r="BA86" s="118"/>
      <c r="BB86" s="118"/>
      <c r="BC86" s="160"/>
      <c r="BD86" s="160"/>
      <c r="BE86" s="160"/>
      <c r="BF86" s="160"/>
      <c r="BG86" s="160"/>
      <c r="BH86" s="160"/>
      <c r="BI86" s="160"/>
      <c r="BJ86" s="160"/>
      <c r="BK86" s="160"/>
      <c r="BL86" s="160"/>
      <c r="BM86" s="160"/>
      <c r="BN86" s="160"/>
      <c r="BO86" s="160"/>
      <c r="BP86" s="160"/>
      <c r="BQ86" s="160"/>
      <c r="BR86" s="160"/>
      <c r="BS86" s="160"/>
      <c r="BT86" s="160"/>
      <c r="BU86" s="160"/>
    </row>
    <row r="87" spans="1:75" s="54" customFormat="1" ht="44.25" customHeight="1" x14ac:dyDescent="0.2">
      <c r="A87" s="359" t="str">
        <f ca="1">Translations!$A$86</f>
        <v>Intervention</v>
      </c>
      <c r="B87" s="360"/>
      <c r="C87" s="391"/>
      <c r="D87" s="568" t="str">
        <f ca="1">Translations!$A$88</f>
        <v>Description of Intervention</v>
      </c>
      <c r="E87" s="569"/>
      <c r="F87" s="569"/>
      <c r="G87" s="569"/>
      <c r="H87" s="569"/>
      <c r="I87" s="570"/>
      <c r="J87" s="394" t="str">
        <f ca="1">Translations!$A$67</f>
        <v>Responsible Principal Recipient(s)</v>
      </c>
      <c r="K87" s="359" t="str">
        <f ca="1">Translations!$A$90</f>
        <v>Intervention budget (request to the Global Fund only)</v>
      </c>
      <c r="L87" s="360"/>
      <c r="M87" s="360"/>
      <c r="N87" s="360"/>
      <c r="O87" s="360"/>
      <c r="P87" s="360"/>
      <c r="Q87" s="360"/>
      <c r="R87" s="391"/>
      <c r="S87" s="568" t="str">
        <f ca="1">Translations!$A$91</f>
        <v>Cost Assumptions for the request to the Global Fund</v>
      </c>
      <c r="T87" s="569"/>
      <c r="U87" s="569"/>
      <c r="V87" s="569"/>
      <c r="W87" s="569"/>
      <c r="X87" s="569"/>
      <c r="Y87" s="570"/>
      <c r="Z87" s="556" t="str">
        <f ca="1">Translations!$A$93</f>
        <v>Other funding received for this intervention (including scope of activities funded)</v>
      </c>
      <c r="AA87" s="556"/>
      <c r="AB87" s="556"/>
      <c r="AC87" s="94"/>
      <c r="AD87" s="94"/>
      <c r="AE87" s="94"/>
      <c r="AF87" s="94"/>
      <c r="AG87" s="94"/>
      <c r="AH87" s="94"/>
      <c r="AI87" s="94"/>
      <c r="AJ87" s="94"/>
      <c r="AK87" s="94"/>
      <c r="AL87" s="223"/>
      <c r="AM87" s="65" t="e">
        <f t="shared" ca="1" si="1"/>
        <v>#VALUE!</v>
      </c>
      <c r="AN87" s="94"/>
      <c r="AO87" s="94"/>
      <c r="AP87" s="72"/>
      <c r="AQ87" s="72"/>
      <c r="AR87" s="72"/>
      <c r="AS87" s="72"/>
      <c r="AT87" s="72"/>
      <c r="AU87" s="72"/>
      <c r="AV87" s="72"/>
      <c r="AW87" s="72"/>
      <c r="AX87" s="70"/>
      <c r="AY87" s="70"/>
      <c r="AZ87" s="70"/>
      <c r="BA87" s="70"/>
      <c r="BB87" s="70"/>
      <c r="BC87" s="70"/>
      <c r="BD87" s="70"/>
      <c r="BE87" s="71"/>
      <c r="BF87" s="71"/>
      <c r="BG87" s="71"/>
      <c r="BH87" s="71"/>
      <c r="BI87" s="71"/>
      <c r="BJ87" s="71"/>
      <c r="BK87" s="71"/>
      <c r="BL87" s="71"/>
      <c r="BM87" s="71"/>
      <c r="BN87" s="71"/>
      <c r="BO87" s="71"/>
      <c r="BP87" s="71"/>
      <c r="BQ87" s="71"/>
      <c r="BR87" s="71"/>
      <c r="BS87" s="71"/>
      <c r="BT87" s="71"/>
      <c r="BU87" s="71"/>
      <c r="BV87" s="71"/>
      <c r="BW87" s="71"/>
    </row>
    <row r="88" spans="1:75" s="54" customFormat="1" ht="87" customHeight="1" x14ac:dyDescent="0.2">
      <c r="A88" s="392"/>
      <c r="B88" s="396"/>
      <c r="C88" s="393"/>
      <c r="D88" s="557" t="str">
        <f ca="1">Translations!$A$89</f>
        <v>Please describe 1) rationale for Global Fund support, 2) linkages to national strategic plan, 3) target population &amp; geographic scope,  4) implementation approach, and 5) other relevant information. Please differentiate between scope of indicative and above indicative request</v>
      </c>
      <c r="E88" s="558"/>
      <c r="F88" s="558"/>
      <c r="G88" s="558"/>
      <c r="H88" s="558"/>
      <c r="I88" s="559"/>
      <c r="J88" s="395"/>
      <c r="K88" s="121"/>
      <c r="L88" s="122"/>
      <c r="M88" s="379" t="str">
        <f ca="1">Translations!$A$34</f>
        <v>Year 1</v>
      </c>
      <c r="N88" s="381"/>
      <c r="O88" s="556" t="str">
        <f ca="1">Translations!$A$35</f>
        <v>Year 2</v>
      </c>
      <c r="P88" s="556"/>
      <c r="Q88" s="556" t="str">
        <f ca="1">Translations!$A$36</f>
        <v>Year 3</v>
      </c>
      <c r="R88" s="556"/>
      <c r="S88" s="557" t="str">
        <f ca="1">Translations!$A$92</f>
        <v>Please describe: 1) cost assumptions and data sources, 2) key activities, 3) other relevant information. Please differentiate between indicative and above indicative</v>
      </c>
      <c r="T88" s="558"/>
      <c r="U88" s="558"/>
      <c r="V88" s="558"/>
      <c r="W88" s="558"/>
      <c r="X88" s="558"/>
      <c r="Y88" s="559"/>
      <c r="Z88" s="556"/>
      <c r="AA88" s="556"/>
      <c r="AB88" s="556"/>
      <c r="AC88" s="94"/>
      <c r="AD88" s="94"/>
      <c r="AE88" s="94"/>
      <c r="AF88" s="94"/>
      <c r="AG88" s="94"/>
      <c r="AH88" s="94"/>
      <c r="AI88" s="94"/>
      <c r="AJ88" s="94"/>
      <c r="AK88" s="94"/>
      <c r="AL88" s="223"/>
      <c r="AM88" s="65" t="e">
        <f t="shared" ca="1" si="1"/>
        <v>#VALUE!</v>
      </c>
      <c r="AN88" s="94"/>
      <c r="AO88" s="94"/>
      <c r="AP88" s="72"/>
      <c r="AQ88" s="72"/>
      <c r="AR88" s="72"/>
      <c r="AS88" s="72"/>
      <c r="AT88" s="72"/>
      <c r="AU88" s="72"/>
      <c r="AV88" s="72"/>
      <c r="AW88" s="72"/>
      <c r="AX88" s="70"/>
      <c r="AY88" s="70"/>
      <c r="AZ88" s="70"/>
      <c r="BA88" s="70"/>
      <c r="BB88" s="70"/>
      <c r="BC88" s="70"/>
      <c r="BD88" s="70"/>
      <c r="BE88" s="71"/>
      <c r="BF88" s="71"/>
      <c r="BG88" s="71"/>
      <c r="BH88" s="71"/>
      <c r="BI88" s="71"/>
      <c r="BJ88" s="71"/>
      <c r="BK88" s="71"/>
      <c r="BL88" s="71"/>
      <c r="BM88" s="71"/>
      <c r="BN88" s="71"/>
      <c r="BO88" s="71"/>
      <c r="BP88" s="71"/>
      <c r="BQ88" s="71"/>
      <c r="BR88" s="71"/>
      <c r="BS88" s="71"/>
      <c r="BT88" s="71"/>
      <c r="BU88" s="71"/>
      <c r="BV88" s="71"/>
      <c r="BW88" s="71"/>
    </row>
    <row r="89" spans="1:75" s="57" customFormat="1" ht="25.5" customHeight="1" x14ac:dyDescent="0.2">
      <c r="A89" s="590" t="str">
        <f ca="1">Translations!$A$72</f>
        <v>Please select…</v>
      </c>
      <c r="B89" s="591"/>
      <c r="C89" s="591"/>
      <c r="D89" s="640"/>
      <c r="E89" s="640"/>
      <c r="F89" s="640"/>
      <c r="G89" s="640"/>
      <c r="H89" s="640"/>
      <c r="I89" s="640"/>
      <c r="J89" s="647"/>
      <c r="K89" s="589" t="str">
        <f ca="1">Translations!$A$78</f>
        <v>Indicative</v>
      </c>
      <c r="L89" s="589"/>
      <c r="M89" s="638"/>
      <c r="N89" s="638"/>
      <c r="O89" s="639"/>
      <c r="P89" s="639"/>
      <c r="Q89" s="639"/>
      <c r="R89" s="639"/>
      <c r="S89" s="661"/>
      <c r="T89" s="661"/>
      <c r="U89" s="661"/>
      <c r="V89" s="661"/>
      <c r="W89" s="661"/>
      <c r="X89" s="661"/>
      <c r="Y89" s="661"/>
      <c r="Z89" s="657"/>
      <c r="AA89" s="657"/>
      <c r="AB89" s="658"/>
      <c r="AC89" s="145"/>
      <c r="AD89" s="145"/>
      <c r="AE89" s="145"/>
      <c r="AF89" s="98"/>
      <c r="AG89" s="98"/>
      <c r="AH89" s="98"/>
      <c r="AI89" s="98"/>
      <c r="AJ89" s="98"/>
      <c r="AK89" s="98"/>
      <c r="AL89" s="224"/>
      <c r="AM89" s="73"/>
      <c r="AN89" s="94"/>
      <c r="AO89" s="94"/>
      <c r="AP89" s="73"/>
      <c r="AQ89" s="73"/>
      <c r="AR89" s="73"/>
      <c r="AS89" s="73"/>
      <c r="AT89" s="73"/>
      <c r="AU89" s="73"/>
      <c r="AV89" s="73"/>
      <c r="AW89" s="73"/>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row>
    <row r="90" spans="1:75" s="57" customFormat="1" ht="25.5" customHeight="1" x14ac:dyDescent="0.2">
      <c r="A90" s="592"/>
      <c r="B90" s="593"/>
      <c r="C90" s="593"/>
      <c r="D90" s="641"/>
      <c r="E90" s="641"/>
      <c r="F90" s="641"/>
      <c r="G90" s="641"/>
      <c r="H90" s="641"/>
      <c r="I90" s="641"/>
      <c r="J90" s="648"/>
      <c r="K90" s="643" t="str">
        <f ca="1">Translations!$A$79</f>
        <v>Above indicative</v>
      </c>
      <c r="L90" s="643"/>
      <c r="M90" s="644"/>
      <c r="N90" s="644"/>
      <c r="O90" s="645"/>
      <c r="P90" s="645"/>
      <c r="Q90" s="646"/>
      <c r="R90" s="646"/>
      <c r="S90" s="661"/>
      <c r="T90" s="661"/>
      <c r="U90" s="661"/>
      <c r="V90" s="661"/>
      <c r="W90" s="661"/>
      <c r="X90" s="661"/>
      <c r="Y90" s="661"/>
      <c r="Z90" s="659"/>
      <c r="AA90" s="659"/>
      <c r="AB90" s="660"/>
      <c r="AC90" s="98"/>
      <c r="AD90" s="98"/>
      <c r="AE90" s="98"/>
      <c r="AF90" s="98"/>
      <c r="AG90" s="98"/>
      <c r="AH90" s="98"/>
      <c r="AI90" s="98"/>
      <c r="AJ90" s="98"/>
      <c r="AK90" s="98"/>
      <c r="AL90" s="224"/>
      <c r="AM90" s="73"/>
      <c r="AN90" s="94"/>
      <c r="AO90" s="94"/>
      <c r="AP90" s="73"/>
      <c r="AQ90" s="73"/>
      <c r="AR90" s="73"/>
      <c r="AS90" s="73"/>
      <c r="AT90" s="73"/>
      <c r="AU90" s="73"/>
      <c r="AV90" s="73"/>
      <c r="AW90" s="73"/>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row>
    <row r="91" spans="1:75" s="57" customFormat="1" ht="25.5" customHeight="1" x14ac:dyDescent="0.2">
      <c r="A91" s="592"/>
      <c r="B91" s="593"/>
      <c r="C91" s="593"/>
      <c r="D91" s="641"/>
      <c r="E91" s="641"/>
      <c r="F91" s="641"/>
      <c r="G91" s="641"/>
      <c r="H91" s="641"/>
      <c r="I91" s="641"/>
      <c r="J91" s="647"/>
      <c r="K91" s="589" t="str">
        <f ca="1">Translations!$A$78</f>
        <v>Indicative</v>
      </c>
      <c r="L91" s="589"/>
      <c r="M91" s="638"/>
      <c r="N91" s="638"/>
      <c r="O91" s="639"/>
      <c r="P91" s="639"/>
      <c r="Q91" s="639"/>
      <c r="R91" s="639"/>
      <c r="S91" s="661"/>
      <c r="T91" s="661"/>
      <c r="U91" s="661"/>
      <c r="V91" s="661"/>
      <c r="W91" s="661"/>
      <c r="X91" s="661"/>
      <c r="Y91" s="661"/>
      <c r="Z91" s="657"/>
      <c r="AA91" s="657"/>
      <c r="AB91" s="658"/>
      <c r="AC91" s="145"/>
      <c r="AD91" s="145"/>
      <c r="AE91" s="145"/>
      <c r="AF91" s="98"/>
      <c r="AG91" s="98"/>
      <c r="AH91" s="98"/>
      <c r="AI91" s="98"/>
      <c r="AJ91" s="98"/>
      <c r="AK91" s="98"/>
      <c r="AL91" s="224"/>
      <c r="AM91" s="73"/>
      <c r="AN91" s="94"/>
      <c r="AO91" s="94"/>
      <c r="AP91" s="73"/>
      <c r="AQ91" s="73"/>
      <c r="AR91" s="73"/>
      <c r="AS91" s="73"/>
      <c r="AT91" s="73"/>
      <c r="AU91" s="73"/>
      <c r="AV91" s="73"/>
      <c r="AW91" s="73"/>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row>
    <row r="92" spans="1:75" s="57" customFormat="1" ht="25.5" customHeight="1" x14ac:dyDescent="0.2">
      <c r="A92" s="594"/>
      <c r="B92" s="595"/>
      <c r="C92" s="595"/>
      <c r="D92" s="642"/>
      <c r="E92" s="642"/>
      <c r="F92" s="642"/>
      <c r="G92" s="642"/>
      <c r="H92" s="642"/>
      <c r="I92" s="642"/>
      <c r="J92" s="648"/>
      <c r="K92" s="643" t="str">
        <f ca="1">Translations!$A$79</f>
        <v>Above indicative</v>
      </c>
      <c r="L92" s="643"/>
      <c r="M92" s="644"/>
      <c r="N92" s="644"/>
      <c r="O92" s="645"/>
      <c r="P92" s="645"/>
      <c r="Q92" s="646"/>
      <c r="R92" s="646"/>
      <c r="S92" s="661"/>
      <c r="T92" s="661"/>
      <c r="U92" s="661"/>
      <c r="V92" s="661"/>
      <c r="W92" s="661"/>
      <c r="X92" s="661"/>
      <c r="Y92" s="661"/>
      <c r="Z92" s="659"/>
      <c r="AA92" s="659"/>
      <c r="AB92" s="660"/>
      <c r="AC92" s="98"/>
      <c r="AD92" s="98"/>
      <c r="AE92" s="98"/>
      <c r="AF92" s="98"/>
      <c r="AG92" s="98"/>
      <c r="AH92" s="98"/>
      <c r="AI92" s="98"/>
      <c r="AJ92" s="98"/>
      <c r="AK92" s="98"/>
      <c r="AL92" s="224"/>
      <c r="AM92" s="73"/>
      <c r="AN92" s="94"/>
      <c r="AO92" s="94"/>
      <c r="AP92" s="73"/>
      <c r="AQ92" s="73"/>
      <c r="AR92" s="73"/>
      <c r="AS92" s="73"/>
      <c r="AT92" s="73"/>
      <c r="AU92" s="73"/>
      <c r="AV92" s="73"/>
      <c r="AW92" s="73"/>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row>
    <row r="93" spans="1:75" s="57" customFormat="1" ht="25.5" customHeight="1" x14ac:dyDescent="0.2">
      <c r="A93" s="590" t="str">
        <f ca="1">Translations!$A$72</f>
        <v>Please select…</v>
      </c>
      <c r="B93" s="591"/>
      <c r="C93" s="591"/>
      <c r="D93" s="640"/>
      <c r="E93" s="640"/>
      <c r="F93" s="640"/>
      <c r="G93" s="640"/>
      <c r="H93" s="640"/>
      <c r="I93" s="640"/>
      <c r="J93" s="649"/>
      <c r="K93" s="589" t="str">
        <f ca="1">Translations!$A$78</f>
        <v>Indicative</v>
      </c>
      <c r="L93" s="589"/>
      <c r="M93" s="638"/>
      <c r="N93" s="638"/>
      <c r="O93" s="639"/>
      <c r="P93" s="639"/>
      <c r="Q93" s="639"/>
      <c r="R93" s="639"/>
      <c r="S93" s="661"/>
      <c r="T93" s="661"/>
      <c r="U93" s="661"/>
      <c r="V93" s="661"/>
      <c r="W93" s="661"/>
      <c r="X93" s="661"/>
      <c r="Y93" s="661"/>
      <c r="Z93" s="657"/>
      <c r="AA93" s="657"/>
      <c r="AB93" s="658"/>
      <c r="AC93" s="98"/>
      <c r="AD93" s="98"/>
      <c r="AE93" s="98"/>
      <c r="AF93" s="98"/>
      <c r="AG93" s="98"/>
      <c r="AH93" s="98"/>
      <c r="AI93" s="98"/>
      <c r="AJ93" s="98"/>
      <c r="AK93" s="98"/>
      <c r="AL93" s="224"/>
      <c r="AM93" s="73"/>
      <c r="AN93" s="94"/>
      <c r="AO93" s="94"/>
      <c r="AP93" s="73"/>
      <c r="AQ93" s="73"/>
      <c r="AR93" s="73"/>
      <c r="AS93" s="73"/>
      <c r="AT93" s="73"/>
      <c r="AU93" s="73"/>
      <c r="AV93" s="73"/>
      <c r="AW93" s="73"/>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row>
    <row r="94" spans="1:75" s="57" customFormat="1" ht="25.5" customHeight="1" x14ac:dyDescent="0.2">
      <c r="A94" s="592"/>
      <c r="B94" s="593"/>
      <c r="C94" s="593"/>
      <c r="D94" s="641"/>
      <c r="E94" s="641"/>
      <c r="F94" s="641"/>
      <c r="G94" s="641"/>
      <c r="H94" s="641"/>
      <c r="I94" s="641"/>
      <c r="J94" s="650"/>
      <c r="K94" s="643" t="str">
        <f ca="1">Translations!$A$79</f>
        <v>Above indicative</v>
      </c>
      <c r="L94" s="643"/>
      <c r="M94" s="644"/>
      <c r="N94" s="644"/>
      <c r="O94" s="645"/>
      <c r="P94" s="645"/>
      <c r="Q94" s="646"/>
      <c r="R94" s="646"/>
      <c r="S94" s="661"/>
      <c r="T94" s="661"/>
      <c r="U94" s="661"/>
      <c r="V94" s="661"/>
      <c r="W94" s="661"/>
      <c r="X94" s="661"/>
      <c r="Y94" s="661"/>
      <c r="Z94" s="659"/>
      <c r="AA94" s="659"/>
      <c r="AB94" s="660"/>
      <c r="AC94" s="98"/>
      <c r="AD94" s="98"/>
      <c r="AE94" s="98"/>
      <c r="AF94" s="98"/>
      <c r="AG94" s="98"/>
      <c r="AH94" s="98"/>
      <c r="AI94" s="98"/>
      <c r="AJ94" s="98"/>
      <c r="AK94" s="98"/>
      <c r="AL94" s="224"/>
      <c r="AM94" s="73"/>
      <c r="AN94" s="94"/>
      <c r="AO94" s="94"/>
      <c r="AP94" s="73"/>
      <c r="AQ94" s="73"/>
      <c r="AR94" s="73"/>
      <c r="AS94" s="73"/>
      <c r="AT94" s="73"/>
      <c r="AU94" s="73"/>
      <c r="AV94" s="73"/>
      <c r="AW94" s="73"/>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row>
    <row r="95" spans="1:75" s="119" customFormat="1" ht="25.5" customHeight="1" x14ac:dyDescent="0.2">
      <c r="A95" s="592"/>
      <c r="B95" s="593"/>
      <c r="C95" s="593"/>
      <c r="D95" s="641"/>
      <c r="E95" s="641"/>
      <c r="F95" s="641"/>
      <c r="G95" s="641"/>
      <c r="H95" s="641"/>
      <c r="I95" s="641"/>
      <c r="J95" s="647"/>
      <c r="K95" s="589" t="str">
        <f ca="1">Translations!$A$78</f>
        <v>Indicative</v>
      </c>
      <c r="L95" s="589"/>
      <c r="M95" s="638"/>
      <c r="N95" s="638"/>
      <c r="O95" s="639"/>
      <c r="P95" s="639"/>
      <c r="Q95" s="639"/>
      <c r="R95" s="639"/>
      <c r="S95" s="661"/>
      <c r="T95" s="661"/>
      <c r="U95" s="661"/>
      <c r="V95" s="661"/>
      <c r="W95" s="661"/>
      <c r="X95" s="661"/>
      <c r="Y95" s="661"/>
      <c r="Z95" s="657"/>
      <c r="AA95" s="657"/>
      <c r="AB95" s="658"/>
      <c r="AC95" s="145"/>
      <c r="AD95" s="145"/>
      <c r="AE95" s="145"/>
      <c r="AF95" s="98"/>
      <c r="AG95" s="98"/>
      <c r="AH95" s="98"/>
      <c r="AI95" s="98"/>
      <c r="AJ95" s="98"/>
      <c r="AK95" s="98"/>
      <c r="AL95" s="224"/>
      <c r="AM95" s="98"/>
      <c r="AN95" s="94"/>
      <c r="AO95" s="94"/>
      <c r="AP95" s="98"/>
      <c r="AQ95" s="98"/>
      <c r="AR95" s="98"/>
      <c r="AS95" s="98"/>
      <c r="AT95" s="98"/>
      <c r="AU95" s="98"/>
      <c r="AV95" s="98"/>
      <c r="AW95" s="98"/>
      <c r="AX95" s="118"/>
      <c r="AY95" s="118"/>
      <c r="AZ95" s="118"/>
      <c r="BA95" s="118"/>
      <c r="BB95" s="118"/>
      <c r="BC95" s="118"/>
      <c r="BD95" s="118"/>
      <c r="BE95" s="118"/>
      <c r="BF95" s="118"/>
      <c r="BG95" s="118"/>
      <c r="BH95" s="118"/>
      <c r="BI95" s="118"/>
      <c r="BJ95" s="118"/>
      <c r="BK95" s="118"/>
      <c r="BL95" s="118"/>
      <c r="BM95" s="118"/>
      <c r="BN95" s="118"/>
      <c r="BO95" s="118"/>
      <c r="BP95" s="118"/>
      <c r="BQ95" s="118"/>
      <c r="BR95" s="118"/>
      <c r="BS95" s="118"/>
      <c r="BT95" s="118"/>
      <c r="BU95" s="118"/>
      <c r="BV95" s="118"/>
      <c r="BW95" s="118"/>
    </row>
    <row r="96" spans="1:75" s="119" customFormat="1" ht="25.5" customHeight="1" x14ac:dyDescent="0.2">
      <c r="A96" s="594"/>
      <c r="B96" s="595"/>
      <c r="C96" s="595"/>
      <c r="D96" s="642"/>
      <c r="E96" s="642"/>
      <c r="F96" s="642"/>
      <c r="G96" s="642"/>
      <c r="H96" s="642"/>
      <c r="I96" s="642"/>
      <c r="J96" s="648"/>
      <c r="K96" s="643" t="str">
        <f ca="1">Translations!$A$79</f>
        <v>Above indicative</v>
      </c>
      <c r="L96" s="643"/>
      <c r="M96" s="644"/>
      <c r="N96" s="644"/>
      <c r="O96" s="645"/>
      <c r="P96" s="645"/>
      <c r="Q96" s="646"/>
      <c r="R96" s="646"/>
      <c r="S96" s="661"/>
      <c r="T96" s="661"/>
      <c r="U96" s="661"/>
      <c r="V96" s="661"/>
      <c r="W96" s="661"/>
      <c r="X96" s="661"/>
      <c r="Y96" s="661"/>
      <c r="Z96" s="659"/>
      <c r="AA96" s="659"/>
      <c r="AB96" s="660"/>
      <c r="AC96" s="98"/>
      <c r="AD96" s="98"/>
      <c r="AE96" s="98"/>
      <c r="AF96" s="98"/>
      <c r="AG96" s="98"/>
      <c r="AH96" s="98"/>
      <c r="AI96" s="98"/>
      <c r="AJ96" s="98"/>
      <c r="AK96" s="98"/>
      <c r="AL96" s="224"/>
      <c r="AM96" s="98"/>
      <c r="AN96" s="94"/>
      <c r="AO96" s="94"/>
      <c r="AP96" s="98"/>
      <c r="AQ96" s="98"/>
      <c r="AR96" s="98"/>
      <c r="AS96" s="98"/>
      <c r="AT96" s="98"/>
      <c r="AU96" s="98"/>
      <c r="AV96" s="98"/>
      <c r="AW96" s="98"/>
      <c r="AX96" s="118"/>
      <c r="AY96" s="118"/>
      <c r="AZ96" s="118"/>
      <c r="BA96" s="118"/>
      <c r="BB96" s="118"/>
      <c r="BC96" s="118"/>
      <c r="BD96" s="118"/>
      <c r="BE96" s="118"/>
      <c r="BF96" s="118"/>
      <c r="BG96" s="118"/>
      <c r="BH96" s="118"/>
      <c r="BI96" s="118"/>
      <c r="BJ96" s="118"/>
      <c r="BK96" s="118"/>
      <c r="BL96" s="118"/>
      <c r="BM96" s="118"/>
      <c r="BN96" s="118"/>
      <c r="BO96" s="118"/>
      <c r="BP96" s="118"/>
      <c r="BQ96" s="118"/>
      <c r="BR96" s="118"/>
      <c r="BS96" s="118"/>
      <c r="BT96" s="118"/>
      <c r="BU96" s="118"/>
      <c r="BV96" s="118"/>
      <c r="BW96" s="118"/>
    </row>
    <row r="97" spans="1:75" s="57" customFormat="1" ht="25.5" customHeight="1" x14ac:dyDescent="0.2">
      <c r="A97" s="590" t="str">
        <f ca="1">Translations!$A$72</f>
        <v>Please select…</v>
      </c>
      <c r="B97" s="591"/>
      <c r="C97" s="591"/>
      <c r="D97" s="640"/>
      <c r="E97" s="640"/>
      <c r="F97" s="640"/>
      <c r="G97" s="640"/>
      <c r="H97" s="640"/>
      <c r="I97" s="640"/>
      <c r="J97" s="649"/>
      <c r="K97" s="589" t="str">
        <f ca="1">Translations!$A$78</f>
        <v>Indicative</v>
      </c>
      <c r="L97" s="589"/>
      <c r="M97" s="638"/>
      <c r="N97" s="638"/>
      <c r="O97" s="639"/>
      <c r="P97" s="639"/>
      <c r="Q97" s="639"/>
      <c r="R97" s="639"/>
      <c r="S97" s="661"/>
      <c r="T97" s="661"/>
      <c r="U97" s="661"/>
      <c r="V97" s="661"/>
      <c r="W97" s="661"/>
      <c r="X97" s="661"/>
      <c r="Y97" s="661"/>
      <c r="Z97" s="657"/>
      <c r="AA97" s="657"/>
      <c r="AB97" s="658"/>
      <c r="AC97" s="98"/>
      <c r="AD97" s="98"/>
      <c r="AE97" s="98"/>
      <c r="AF97" s="98"/>
      <c r="AG97" s="98"/>
      <c r="AH97" s="98"/>
      <c r="AI97" s="98"/>
      <c r="AJ97" s="98"/>
      <c r="AK97" s="98"/>
      <c r="AL97" s="224"/>
      <c r="AM97" s="73"/>
      <c r="AN97" s="94"/>
      <c r="AO97" s="94"/>
      <c r="AP97" s="73"/>
      <c r="AQ97" s="73"/>
      <c r="AR97" s="73"/>
      <c r="AS97" s="73"/>
      <c r="AT97" s="73"/>
      <c r="AU97" s="73"/>
      <c r="AV97" s="73"/>
      <c r="AW97" s="73"/>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row>
    <row r="98" spans="1:75" s="57" customFormat="1" ht="25.5" customHeight="1" x14ac:dyDescent="0.2">
      <c r="A98" s="592"/>
      <c r="B98" s="593"/>
      <c r="C98" s="593"/>
      <c r="D98" s="641"/>
      <c r="E98" s="641"/>
      <c r="F98" s="641"/>
      <c r="G98" s="641"/>
      <c r="H98" s="641"/>
      <c r="I98" s="641"/>
      <c r="J98" s="650"/>
      <c r="K98" s="643" t="str">
        <f ca="1">Translations!$A$79</f>
        <v>Above indicative</v>
      </c>
      <c r="L98" s="643"/>
      <c r="M98" s="644"/>
      <c r="N98" s="644"/>
      <c r="O98" s="651"/>
      <c r="P98" s="652"/>
      <c r="Q98" s="645"/>
      <c r="R98" s="645"/>
      <c r="S98" s="661"/>
      <c r="T98" s="661"/>
      <c r="U98" s="661"/>
      <c r="V98" s="661"/>
      <c r="W98" s="661"/>
      <c r="X98" s="661"/>
      <c r="Y98" s="661"/>
      <c r="Z98" s="659"/>
      <c r="AA98" s="659"/>
      <c r="AB98" s="660"/>
      <c r="AC98" s="98"/>
      <c r="AD98" s="98"/>
      <c r="AE98" s="98"/>
      <c r="AF98" s="98"/>
      <c r="AG98" s="98"/>
      <c r="AH98" s="98"/>
      <c r="AI98" s="98"/>
      <c r="AJ98" s="98"/>
      <c r="AK98" s="98"/>
      <c r="AL98" s="224"/>
      <c r="AM98" s="73"/>
      <c r="AN98" s="94"/>
      <c r="AO98" s="94"/>
      <c r="AP98" s="73"/>
      <c r="AQ98" s="73"/>
      <c r="AR98" s="73"/>
      <c r="AS98" s="73"/>
      <c r="AT98" s="73"/>
      <c r="AU98" s="73"/>
      <c r="AV98" s="73"/>
      <c r="AW98" s="73"/>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row>
    <row r="99" spans="1:75" s="119" customFormat="1" ht="25.5" customHeight="1" x14ac:dyDescent="0.2">
      <c r="A99" s="592"/>
      <c r="B99" s="593"/>
      <c r="C99" s="593"/>
      <c r="D99" s="641"/>
      <c r="E99" s="641"/>
      <c r="F99" s="641"/>
      <c r="G99" s="641"/>
      <c r="H99" s="641"/>
      <c r="I99" s="641"/>
      <c r="J99" s="647"/>
      <c r="K99" s="589" t="str">
        <f ca="1">Translations!$A$78</f>
        <v>Indicative</v>
      </c>
      <c r="L99" s="589"/>
      <c r="M99" s="638"/>
      <c r="N99" s="638"/>
      <c r="O99" s="639"/>
      <c r="P99" s="639"/>
      <c r="Q99" s="639"/>
      <c r="R99" s="639"/>
      <c r="S99" s="661"/>
      <c r="T99" s="661"/>
      <c r="U99" s="661"/>
      <c r="V99" s="661"/>
      <c r="W99" s="661"/>
      <c r="X99" s="661"/>
      <c r="Y99" s="661"/>
      <c r="Z99" s="657"/>
      <c r="AA99" s="657"/>
      <c r="AB99" s="658"/>
      <c r="AC99" s="145"/>
      <c r="AD99" s="145"/>
      <c r="AE99" s="145"/>
      <c r="AF99" s="98"/>
      <c r="AG99" s="98"/>
      <c r="AH99" s="98"/>
      <c r="AI99" s="98"/>
      <c r="AJ99" s="98"/>
      <c r="AK99" s="98"/>
      <c r="AL99" s="224"/>
      <c r="AM99" s="98"/>
      <c r="AN99" s="94"/>
      <c r="AO99" s="94"/>
      <c r="AP99" s="98"/>
      <c r="AQ99" s="98"/>
      <c r="AR99" s="98"/>
      <c r="AS99" s="98"/>
      <c r="AT99" s="98"/>
      <c r="AU99" s="98"/>
      <c r="AV99" s="98"/>
      <c r="AW99" s="9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row>
    <row r="100" spans="1:75" s="119" customFormat="1" ht="25.5" customHeight="1" x14ac:dyDescent="0.2">
      <c r="A100" s="594"/>
      <c r="B100" s="595"/>
      <c r="C100" s="595"/>
      <c r="D100" s="642"/>
      <c r="E100" s="642"/>
      <c r="F100" s="642"/>
      <c r="G100" s="642"/>
      <c r="H100" s="642"/>
      <c r="I100" s="642"/>
      <c r="J100" s="648"/>
      <c r="K100" s="643" t="str">
        <f ca="1">Translations!$A$79</f>
        <v>Above indicative</v>
      </c>
      <c r="L100" s="643"/>
      <c r="M100" s="644"/>
      <c r="N100" s="644"/>
      <c r="O100" s="645"/>
      <c r="P100" s="645"/>
      <c r="Q100" s="646"/>
      <c r="R100" s="646"/>
      <c r="S100" s="661"/>
      <c r="T100" s="661"/>
      <c r="U100" s="661"/>
      <c r="V100" s="661"/>
      <c r="W100" s="661"/>
      <c r="X100" s="661"/>
      <c r="Y100" s="661"/>
      <c r="Z100" s="659"/>
      <c r="AA100" s="659"/>
      <c r="AB100" s="660"/>
      <c r="AC100" s="98"/>
      <c r="AD100" s="98"/>
      <c r="AE100" s="98"/>
      <c r="AF100" s="98"/>
      <c r="AG100" s="98"/>
      <c r="AH100" s="98"/>
      <c r="AI100" s="98"/>
      <c r="AJ100" s="98"/>
      <c r="AK100" s="98"/>
      <c r="AL100" s="224"/>
      <c r="AM100" s="98"/>
      <c r="AN100" s="94"/>
      <c r="AO100" s="94"/>
      <c r="AP100" s="98"/>
      <c r="AQ100" s="98"/>
      <c r="AR100" s="98"/>
      <c r="AS100" s="98"/>
      <c r="AT100" s="98"/>
      <c r="AU100" s="98"/>
      <c r="AV100" s="98"/>
      <c r="AW100" s="98"/>
      <c r="AX100" s="118"/>
      <c r="AY100" s="118"/>
      <c r="AZ100" s="118"/>
      <c r="BA100" s="118"/>
      <c r="BB100" s="118"/>
      <c r="BC100" s="118"/>
      <c r="BD100" s="118"/>
      <c r="BE100" s="118"/>
      <c r="BF100" s="118"/>
      <c r="BG100" s="118"/>
      <c r="BH100" s="118"/>
      <c r="BI100" s="118"/>
      <c r="BJ100" s="118"/>
      <c r="BK100" s="118"/>
      <c r="BL100" s="118"/>
      <c r="BM100" s="118"/>
      <c r="BN100" s="118"/>
      <c r="BO100" s="118"/>
      <c r="BP100" s="118"/>
      <c r="BQ100" s="118"/>
      <c r="BR100" s="118"/>
      <c r="BS100" s="118"/>
      <c r="BT100" s="118"/>
      <c r="BU100" s="118"/>
      <c r="BV100" s="118"/>
      <c r="BW100" s="118"/>
    </row>
    <row r="101" spans="1:75" s="57" customFormat="1" ht="25.5" customHeight="1" x14ac:dyDescent="0.2">
      <c r="A101" s="590" t="str">
        <f ca="1">Translations!$A$72</f>
        <v>Please select…</v>
      </c>
      <c r="B101" s="591"/>
      <c r="C101" s="591"/>
      <c r="D101" s="640"/>
      <c r="E101" s="640"/>
      <c r="F101" s="640"/>
      <c r="G101" s="640"/>
      <c r="H101" s="640"/>
      <c r="I101" s="640"/>
      <c r="J101" s="649"/>
      <c r="K101" s="589" t="str">
        <f ca="1">Translations!$A$78</f>
        <v>Indicative</v>
      </c>
      <c r="L101" s="589"/>
      <c r="M101" s="638"/>
      <c r="N101" s="638"/>
      <c r="O101" s="639"/>
      <c r="P101" s="639"/>
      <c r="Q101" s="639"/>
      <c r="R101" s="639"/>
      <c r="S101" s="661"/>
      <c r="T101" s="661"/>
      <c r="U101" s="661"/>
      <c r="V101" s="661"/>
      <c r="W101" s="661"/>
      <c r="X101" s="661"/>
      <c r="Y101" s="661"/>
      <c r="Z101" s="657"/>
      <c r="AA101" s="657"/>
      <c r="AB101" s="658"/>
      <c r="AC101" s="98"/>
      <c r="AD101" s="98"/>
      <c r="AE101" s="98"/>
      <c r="AF101" s="98"/>
      <c r="AG101" s="98"/>
      <c r="AH101" s="98"/>
      <c r="AI101" s="98"/>
      <c r="AJ101" s="98"/>
      <c r="AK101" s="98"/>
      <c r="AL101" s="224"/>
      <c r="AM101" s="73"/>
      <c r="AN101" s="94"/>
      <c r="AO101" s="94"/>
      <c r="AP101" s="73"/>
      <c r="AQ101" s="73"/>
      <c r="AR101" s="73"/>
      <c r="AS101" s="73"/>
      <c r="AT101" s="73"/>
      <c r="AU101" s="73"/>
      <c r="AV101" s="73"/>
      <c r="AW101" s="73"/>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row>
    <row r="102" spans="1:75" s="57" customFormat="1" ht="25.5" customHeight="1" x14ac:dyDescent="0.2">
      <c r="A102" s="592"/>
      <c r="B102" s="593"/>
      <c r="C102" s="593"/>
      <c r="D102" s="641"/>
      <c r="E102" s="641"/>
      <c r="F102" s="641"/>
      <c r="G102" s="641"/>
      <c r="H102" s="641"/>
      <c r="I102" s="641"/>
      <c r="J102" s="650"/>
      <c r="K102" s="643" t="str">
        <f ca="1">Translations!$A$79</f>
        <v>Above indicative</v>
      </c>
      <c r="L102" s="643"/>
      <c r="M102" s="644"/>
      <c r="N102" s="644"/>
      <c r="O102" s="645"/>
      <c r="P102" s="645"/>
      <c r="Q102" s="646"/>
      <c r="R102" s="646"/>
      <c r="S102" s="661"/>
      <c r="T102" s="661"/>
      <c r="U102" s="661"/>
      <c r="V102" s="661"/>
      <c r="W102" s="661"/>
      <c r="X102" s="661"/>
      <c r="Y102" s="661"/>
      <c r="Z102" s="659"/>
      <c r="AA102" s="659"/>
      <c r="AB102" s="660"/>
      <c r="AC102" s="98"/>
      <c r="AD102" s="98"/>
      <c r="AE102" s="98"/>
      <c r="AF102" s="98"/>
      <c r="AG102" s="98"/>
      <c r="AH102" s="98"/>
      <c r="AI102" s="98"/>
      <c r="AJ102" s="98"/>
      <c r="AK102" s="98"/>
      <c r="AL102" s="224"/>
      <c r="AM102" s="73"/>
      <c r="AN102" s="94"/>
      <c r="AO102" s="94"/>
      <c r="AP102" s="73"/>
      <c r="AQ102" s="73"/>
      <c r="AR102" s="73"/>
      <c r="AS102" s="73"/>
      <c r="AT102" s="73"/>
      <c r="AU102" s="73"/>
      <c r="AV102" s="73"/>
      <c r="AW102" s="73"/>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row>
    <row r="103" spans="1:75" s="119" customFormat="1" ht="25.5" customHeight="1" x14ac:dyDescent="0.2">
      <c r="A103" s="592"/>
      <c r="B103" s="593"/>
      <c r="C103" s="593"/>
      <c r="D103" s="641"/>
      <c r="E103" s="641"/>
      <c r="F103" s="641"/>
      <c r="G103" s="641"/>
      <c r="H103" s="641"/>
      <c r="I103" s="641"/>
      <c r="J103" s="647"/>
      <c r="K103" s="589" t="str">
        <f ca="1">Translations!$A$78</f>
        <v>Indicative</v>
      </c>
      <c r="L103" s="589"/>
      <c r="M103" s="638"/>
      <c r="N103" s="638"/>
      <c r="O103" s="639"/>
      <c r="P103" s="639"/>
      <c r="Q103" s="639"/>
      <c r="R103" s="639"/>
      <c r="S103" s="661"/>
      <c r="T103" s="661"/>
      <c r="U103" s="661"/>
      <c r="V103" s="661"/>
      <c r="W103" s="661"/>
      <c r="X103" s="661"/>
      <c r="Y103" s="661"/>
      <c r="Z103" s="657"/>
      <c r="AA103" s="657"/>
      <c r="AB103" s="658"/>
      <c r="AC103" s="145"/>
      <c r="AD103" s="145"/>
      <c r="AE103" s="145"/>
      <c r="AF103" s="98"/>
      <c r="AG103" s="98"/>
      <c r="AH103" s="98"/>
      <c r="AI103" s="98"/>
      <c r="AJ103" s="98"/>
      <c r="AK103" s="98"/>
      <c r="AL103" s="224"/>
      <c r="AM103" s="98"/>
      <c r="AN103" s="94"/>
      <c r="AO103" s="94"/>
      <c r="AP103" s="98"/>
      <c r="AQ103" s="98"/>
      <c r="AR103" s="98"/>
      <c r="AS103" s="98"/>
      <c r="AT103" s="98"/>
      <c r="AU103" s="98"/>
      <c r="AV103" s="98"/>
      <c r="AW103" s="98"/>
      <c r="AX103" s="118"/>
      <c r="AY103" s="118"/>
      <c r="AZ103" s="118"/>
      <c r="BA103" s="118"/>
      <c r="BB103" s="118"/>
      <c r="BC103" s="118"/>
      <c r="BD103" s="118"/>
      <c r="BE103" s="118"/>
      <c r="BF103" s="118"/>
      <c r="BG103" s="118"/>
      <c r="BH103" s="118"/>
      <c r="BI103" s="118"/>
      <c r="BJ103" s="118"/>
      <c r="BK103" s="118"/>
      <c r="BL103" s="118"/>
      <c r="BM103" s="118"/>
      <c r="BN103" s="118"/>
      <c r="BO103" s="118"/>
      <c r="BP103" s="118"/>
      <c r="BQ103" s="118"/>
      <c r="BR103" s="118"/>
      <c r="BS103" s="118"/>
      <c r="BT103" s="118"/>
      <c r="BU103" s="118"/>
      <c r="BV103" s="118"/>
      <c r="BW103" s="118"/>
    </row>
    <row r="104" spans="1:75" s="119" customFormat="1" ht="25.5" customHeight="1" x14ac:dyDescent="0.2">
      <c r="A104" s="594"/>
      <c r="B104" s="595"/>
      <c r="C104" s="595"/>
      <c r="D104" s="642"/>
      <c r="E104" s="642"/>
      <c r="F104" s="642"/>
      <c r="G104" s="642"/>
      <c r="H104" s="642"/>
      <c r="I104" s="642"/>
      <c r="J104" s="648"/>
      <c r="K104" s="643" t="str">
        <f ca="1">Translations!$A$79</f>
        <v>Above indicative</v>
      </c>
      <c r="L104" s="643"/>
      <c r="M104" s="644"/>
      <c r="N104" s="644"/>
      <c r="O104" s="645"/>
      <c r="P104" s="645"/>
      <c r="Q104" s="646"/>
      <c r="R104" s="646"/>
      <c r="S104" s="661"/>
      <c r="T104" s="661"/>
      <c r="U104" s="661"/>
      <c r="V104" s="661"/>
      <c r="W104" s="661"/>
      <c r="X104" s="661"/>
      <c r="Y104" s="661"/>
      <c r="Z104" s="659"/>
      <c r="AA104" s="659"/>
      <c r="AB104" s="660"/>
      <c r="AC104" s="98"/>
      <c r="AD104" s="98"/>
      <c r="AE104" s="98"/>
      <c r="AF104" s="98"/>
      <c r="AG104" s="98"/>
      <c r="AH104" s="98"/>
      <c r="AI104" s="98"/>
      <c r="AJ104" s="98"/>
      <c r="AK104" s="98"/>
      <c r="AL104" s="224"/>
      <c r="AM104" s="98"/>
      <c r="AN104" s="94"/>
      <c r="AO104" s="94"/>
      <c r="AP104" s="98"/>
      <c r="AQ104" s="98"/>
      <c r="AR104" s="98"/>
      <c r="AS104" s="98"/>
      <c r="AT104" s="98"/>
      <c r="AU104" s="98"/>
      <c r="AV104" s="98"/>
      <c r="AW104" s="98"/>
      <c r="AX104" s="118"/>
      <c r="AY104" s="118"/>
      <c r="AZ104" s="118"/>
      <c r="BA104" s="118"/>
      <c r="BB104" s="118"/>
      <c r="BC104" s="118"/>
      <c r="BD104" s="118"/>
      <c r="BE104" s="118"/>
      <c r="BF104" s="118"/>
      <c r="BG104" s="118"/>
      <c r="BH104" s="118"/>
      <c r="BI104" s="118"/>
      <c r="BJ104" s="118"/>
      <c r="BK104" s="118"/>
      <c r="BL104" s="118"/>
      <c r="BM104" s="118"/>
      <c r="BN104" s="118"/>
      <c r="BO104" s="118"/>
      <c r="BP104" s="118"/>
      <c r="BQ104" s="118"/>
      <c r="BR104" s="118"/>
      <c r="BS104" s="118"/>
      <c r="BT104" s="118"/>
      <c r="BU104" s="118"/>
      <c r="BV104" s="118"/>
      <c r="BW104" s="118"/>
    </row>
    <row r="105" spans="1:75" s="119" customFormat="1" ht="25.5" customHeight="1" x14ac:dyDescent="0.2">
      <c r="A105" s="590" t="str">
        <f ca="1">Translations!$A$72</f>
        <v>Please select…</v>
      </c>
      <c r="B105" s="591"/>
      <c r="C105" s="591"/>
      <c r="D105" s="640"/>
      <c r="E105" s="640"/>
      <c r="F105" s="640"/>
      <c r="G105" s="640"/>
      <c r="H105" s="640"/>
      <c r="I105" s="640"/>
      <c r="J105" s="649"/>
      <c r="K105" s="589" t="str">
        <f ca="1">Translations!$A$78</f>
        <v>Indicative</v>
      </c>
      <c r="L105" s="589"/>
      <c r="M105" s="638"/>
      <c r="N105" s="638"/>
      <c r="O105" s="639"/>
      <c r="P105" s="639"/>
      <c r="Q105" s="639"/>
      <c r="R105" s="639"/>
      <c r="S105" s="661"/>
      <c r="T105" s="661"/>
      <c r="U105" s="661"/>
      <c r="V105" s="661"/>
      <c r="W105" s="661"/>
      <c r="X105" s="661"/>
      <c r="Y105" s="661"/>
      <c r="Z105" s="657"/>
      <c r="AA105" s="657"/>
      <c r="AB105" s="658"/>
      <c r="AC105" s="98"/>
      <c r="AD105" s="98"/>
      <c r="AE105" s="98"/>
      <c r="AF105" s="98"/>
      <c r="AG105" s="98"/>
      <c r="AH105" s="98"/>
      <c r="AI105" s="98"/>
      <c r="AJ105" s="98"/>
      <c r="AK105" s="98"/>
      <c r="AL105" s="224"/>
      <c r="AM105" s="98"/>
      <c r="AN105" s="94"/>
      <c r="AO105" s="94"/>
      <c r="AP105" s="98"/>
      <c r="AQ105" s="98"/>
      <c r="AR105" s="98"/>
      <c r="AS105" s="98"/>
      <c r="AT105" s="98"/>
      <c r="AU105" s="98"/>
      <c r="AV105" s="98"/>
      <c r="AW105" s="98"/>
      <c r="AX105" s="118"/>
      <c r="AY105" s="118"/>
      <c r="AZ105" s="118"/>
      <c r="BA105" s="118"/>
      <c r="BB105" s="118"/>
      <c r="BC105" s="118"/>
      <c r="BD105" s="118"/>
      <c r="BE105" s="118"/>
      <c r="BF105" s="118"/>
      <c r="BG105" s="118"/>
      <c r="BH105" s="118"/>
      <c r="BI105" s="118"/>
      <c r="BJ105" s="118"/>
      <c r="BK105" s="118"/>
      <c r="BL105" s="118"/>
      <c r="BM105" s="118"/>
      <c r="BN105" s="118"/>
      <c r="BO105" s="118"/>
      <c r="BP105" s="118"/>
      <c r="BQ105" s="118"/>
      <c r="BR105" s="118"/>
      <c r="BS105" s="118"/>
      <c r="BT105" s="118"/>
      <c r="BU105" s="118"/>
      <c r="BV105" s="118"/>
      <c r="BW105" s="118"/>
    </row>
    <row r="106" spans="1:75" s="119" customFormat="1" ht="25.5" customHeight="1" x14ac:dyDescent="0.2">
      <c r="A106" s="592"/>
      <c r="B106" s="593"/>
      <c r="C106" s="593"/>
      <c r="D106" s="641"/>
      <c r="E106" s="641"/>
      <c r="F106" s="641"/>
      <c r="G106" s="641"/>
      <c r="H106" s="641"/>
      <c r="I106" s="641"/>
      <c r="J106" s="650"/>
      <c r="K106" s="643" t="str">
        <f ca="1">Translations!$A$79</f>
        <v>Above indicative</v>
      </c>
      <c r="L106" s="643"/>
      <c r="M106" s="644"/>
      <c r="N106" s="644"/>
      <c r="O106" s="645"/>
      <c r="P106" s="645"/>
      <c r="Q106" s="646"/>
      <c r="R106" s="646"/>
      <c r="S106" s="661"/>
      <c r="T106" s="661"/>
      <c r="U106" s="661"/>
      <c r="V106" s="661"/>
      <c r="W106" s="661"/>
      <c r="X106" s="661"/>
      <c r="Y106" s="661"/>
      <c r="Z106" s="659"/>
      <c r="AA106" s="659"/>
      <c r="AB106" s="660"/>
      <c r="AC106" s="98"/>
      <c r="AD106" s="98"/>
      <c r="AE106" s="98"/>
      <c r="AF106" s="98"/>
      <c r="AG106" s="98"/>
      <c r="AH106" s="98"/>
      <c r="AI106" s="98"/>
      <c r="AJ106" s="98"/>
      <c r="AK106" s="98"/>
      <c r="AL106" s="224"/>
      <c r="AM106" s="98"/>
      <c r="AN106" s="94"/>
      <c r="AO106" s="94"/>
      <c r="AP106" s="98"/>
      <c r="AQ106" s="98"/>
      <c r="AR106" s="98"/>
      <c r="AS106" s="98"/>
      <c r="AT106" s="98"/>
      <c r="AU106" s="98"/>
      <c r="AV106" s="98"/>
      <c r="AW106" s="98"/>
      <c r="AX106" s="118"/>
      <c r="AY106" s="118"/>
      <c r="AZ106" s="118"/>
      <c r="BA106" s="118"/>
      <c r="BB106" s="118"/>
      <c r="BC106" s="118"/>
      <c r="BD106" s="118"/>
      <c r="BE106" s="118"/>
      <c r="BF106" s="118"/>
      <c r="BG106" s="118"/>
      <c r="BH106" s="118"/>
      <c r="BI106" s="118"/>
      <c r="BJ106" s="118"/>
      <c r="BK106" s="118"/>
      <c r="BL106" s="118"/>
      <c r="BM106" s="118"/>
      <c r="BN106" s="118"/>
      <c r="BO106" s="118"/>
      <c r="BP106" s="118"/>
      <c r="BQ106" s="118"/>
      <c r="BR106" s="118"/>
      <c r="BS106" s="118"/>
      <c r="BT106" s="118"/>
      <c r="BU106" s="118"/>
      <c r="BV106" s="118"/>
      <c r="BW106" s="118"/>
    </row>
    <row r="107" spans="1:75" s="57" customFormat="1" ht="25.5" customHeight="1" x14ac:dyDescent="0.2">
      <c r="A107" s="592"/>
      <c r="B107" s="593"/>
      <c r="C107" s="593"/>
      <c r="D107" s="641"/>
      <c r="E107" s="641"/>
      <c r="F107" s="641"/>
      <c r="G107" s="641"/>
      <c r="H107" s="641"/>
      <c r="I107" s="641"/>
      <c r="J107" s="649"/>
      <c r="K107" s="589" t="str">
        <f ca="1">Translations!$A$78</f>
        <v>Indicative</v>
      </c>
      <c r="L107" s="589"/>
      <c r="M107" s="638"/>
      <c r="N107" s="638"/>
      <c r="O107" s="639"/>
      <c r="P107" s="639"/>
      <c r="Q107" s="639"/>
      <c r="R107" s="639"/>
      <c r="S107" s="661"/>
      <c r="T107" s="661"/>
      <c r="U107" s="661"/>
      <c r="V107" s="661"/>
      <c r="W107" s="661"/>
      <c r="X107" s="661"/>
      <c r="Y107" s="661"/>
      <c r="Z107" s="661"/>
      <c r="AA107" s="661"/>
      <c r="AB107" s="662"/>
      <c r="AC107" s="98"/>
      <c r="AD107" s="98"/>
      <c r="AE107" s="98"/>
      <c r="AF107" s="98"/>
      <c r="AG107" s="98"/>
      <c r="AH107" s="98"/>
      <c r="AI107" s="98"/>
      <c r="AJ107" s="98"/>
      <c r="AK107" s="98"/>
      <c r="AL107" s="224"/>
      <c r="AM107" s="73"/>
      <c r="AN107" s="94"/>
      <c r="AO107" s="94"/>
      <c r="AP107" s="73"/>
      <c r="AQ107" s="73"/>
      <c r="AR107" s="73"/>
      <c r="AS107" s="73"/>
      <c r="AT107" s="73"/>
      <c r="AU107" s="73"/>
      <c r="AV107" s="73"/>
      <c r="AW107" s="73"/>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row>
    <row r="108" spans="1:75" s="57" customFormat="1" ht="25.5" customHeight="1" x14ac:dyDescent="0.2">
      <c r="A108" s="594"/>
      <c r="B108" s="595"/>
      <c r="C108" s="595"/>
      <c r="D108" s="642"/>
      <c r="E108" s="642"/>
      <c r="F108" s="642"/>
      <c r="G108" s="642"/>
      <c r="H108" s="642"/>
      <c r="I108" s="642"/>
      <c r="J108" s="650"/>
      <c r="K108" s="643" t="str">
        <f ca="1">Translations!$A$79</f>
        <v>Above indicative</v>
      </c>
      <c r="L108" s="643"/>
      <c r="M108" s="645"/>
      <c r="N108" s="645"/>
      <c r="O108" s="645"/>
      <c r="P108" s="645"/>
      <c r="Q108" s="645"/>
      <c r="R108" s="645"/>
      <c r="S108" s="661"/>
      <c r="T108" s="661"/>
      <c r="U108" s="661"/>
      <c r="V108" s="661"/>
      <c r="W108" s="661"/>
      <c r="X108" s="661"/>
      <c r="Y108" s="661"/>
      <c r="Z108" s="661"/>
      <c r="AA108" s="661"/>
      <c r="AB108" s="662"/>
      <c r="AC108" s="98"/>
      <c r="AD108" s="98"/>
      <c r="AE108" s="98"/>
      <c r="AF108" s="98"/>
      <c r="AG108" s="98"/>
      <c r="AH108" s="98"/>
      <c r="AI108" s="98"/>
      <c r="AJ108" s="98"/>
      <c r="AK108" s="98"/>
      <c r="AL108" s="224"/>
      <c r="AM108" s="73"/>
      <c r="AN108" s="94"/>
      <c r="AO108" s="94"/>
      <c r="AP108" s="73"/>
      <c r="AQ108" s="73"/>
      <c r="AR108" s="73"/>
      <c r="AS108" s="73"/>
      <c r="AT108" s="73"/>
      <c r="AU108" s="73"/>
      <c r="AV108" s="73"/>
      <c r="AW108" s="73"/>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row>
    <row r="109" spans="1:75" s="54" customFormat="1" ht="18" customHeight="1" x14ac:dyDescent="0.2">
      <c r="A109" s="51"/>
      <c r="B109" s="52"/>
      <c r="C109" s="52"/>
      <c r="D109" s="52"/>
      <c r="E109" s="52"/>
      <c r="F109" s="52"/>
      <c r="G109" s="52"/>
      <c r="H109" s="52"/>
      <c r="I109" s="52"/>
      <c r="J109" s="52"/>
      <c r="K109" s="52"/>
      <c r="L109" s="52"/>
      <c r="M109" s="52"/>
      <c r="N109" s="52"/>
      <c r="O109" s="52"/>
      <c r="P109" s="53"/>
      <c r="Q109" s="53"/>
      <c r="R109" s="53"/>
      <c r="S109" s="53"/>
      <c r="T109" s="53"/>
      <c r="U109" s="53"/>
      <c r="V109" s="53"/>
      <c r="W109" s="53"/>
      <c r="X109" s="53"/>
      <c r="Y109" s="53"/>
      <c r="Z109" s="45"/>
      <c r="AA109" s="45"/>
      <c r="AB109" s="45"/>
      <c r="AC109" s="94"/>
      <c r="AD109" s="94"/>
      <c r="AE109" s="94"/>
      <c r="AF109" s="94"/>
      <c r="AG109" s="94"/>
      <c r="AH109" s="94"/>
      <c r="AI109" s="94"/>
      <c r="AJ109" s="94"/>
      <c r="AK109" s="94"/>
      <c r="AL109" s="223"/>
      <c r="AM109" s="94"/>
      <c r="AN109" s="94"/>
      <c r="AO109" s="94"/>
      <c r="AP109" s="45"/>
      <c r="AQ109" s="45"/>
      <c r="AR109" s="45"/>
      <c r="AS109" s="45"/>
      <c r="AT109" s="45"/>
      <c r="AU109" s="45"/>
      <c r="AV109" s="45"/>
      <c r="AW109" s="45"/>
      <c r="AX109" s="50"/>
      <c r="AY109" s="50"/>
      <c r="AZ109" s="50"/>
      <c r="BA109" s="50"/>
      <c r="BB109" s="50"/>
      <c r="BC109" s="50"/>
      <c r="BD109" s="50"/>
      <c r="BE109" s="42"/>
      <c r="BF109" s="42"/>
      <c r="BG109" s="42"/>
      <c r="BH109" s="42"/>
      <c r="BI109" s="42"/>
      <c r="BJ109" s="42"/>
      <c r="BK109" s="42"/>
      <c r="BL109" s="42"/>
      <c r="BM109" s="42"/>
      <c r="BN109" s="42"/>
      <c r="BO109" s="42"/>
      <c r="BP109" s="42"/>
      <c r="BQ109" s="42"/>
      <c r="BR109" s="42"/>
      <c r="BS109" s="42"/>
      <c r="BT109" s="42"/>
      <c r="BU109" s="42"/>
      <c r="BV109" s="42"/>
      <c r="BW109" s="42"/>
    </row>
    <row r="110" spans="1:75" s="76" customFormat="1" ht="33" customHeight="1" x14ac:dyDescent="0.2">
      <c r="A110" s="438" t="str">
        <f ca="1">Translations!$A$75</f>
        <v>Module</v>
      </c>
      <c r="B110" s="439"/>
      <c r="C110" s="178"/>
      <c r="D110" s="440" t="str">
        <f ca="1">Translations!$A$72</f>
        <v>Please select…</v>
      </c>
      <c r="E110" s="440"/>
      <c r="F110" s="440"/>
      <c r="G110" s="440"/>
      <c r="H110" s="440"/>
      <c r="I110" s="440"/>
      <c r="J110" s="440"/>
      <c r="K110" s="215"/>
      <c r="L110" s="216"/>
      <c r="M110" s="216"/>
      <c r="N110" s="216"/>
      <c r="O110" s="216"/>
      <c r="P110" s="216"/>
      <c r="Q110" s="216"/>
      <c r="R110" s="216"/>
      <c r="S110" s="216"/>
      <c r="T110" s="216"/>
      <c r="U110" s="216"/>
      <c r="V110" s="216"/>
      <c r="W110" s="216"/>
      <c r="X110" s="216"/>
      <c r="Y110" s="216"/>
      <c r="Z110" s="216"/>
      <c r="AA110" s="216"/>
      <c r="AB110" s="79"/>
      <c r="AC110" s="94"/>
      <c r="AD110" s="94"/>
      <c r="AE110" s="94"/>
      <c r="AF110" s="94"/>
      <c r="AG110" s="94"/>
      <c r="AH110" s="94"/>
      <c r="AI110" s="94"/>
      <c r="AJ110" s="94"/>
      <c r="AK110" s="94"/>
      <c r="AL110" s="223"/>
      <c r="AM110" s="65" t="e">
        <f ca="1">INDIRECT(ADDRESS(MATCH(D110,ModulesInCmp,0)+MATCH(CmpIdSelected,Modules!$A:$A,0)-1,3,1,TRUE,"Modules"))</f>
        <v>#VALUE!</v>
      </c>
      <c r="AN110" s="94"/>
      <c r="AO110" s="94"/>
      <c r="AP110" s="94"/>
      <c r="AQ110" s="94"/>
      <c r="AR110" s="94"/>
      <c r="AS110" s="94"/>
      <c r="AT110" s="94"/>
      <c r="AU110" s="94"/>
      <c r="AV110" s="87"/>
      <c r="AW110" s="87"/>
      <c r="AX110" s="87"/>
      <c r="AY110" s="87"/>
      <c r="AZ110" s="87"/>
      <c r="BA110" s="87"/>
      <c r="BB110" s="87"/>
      <c r="BC110" s="96"/>
      <c r="BD110" s="96"/>
      <c r="BE110" s="96"/>
      <c r="BF110" s="96"/>
      <c r="BG110" s="96"/>
      <c r="BH110" s="96"/>
      <c r="BI110" s="96"/>
      <c r="BJ110" s="96"/>
      <c r="BK110" s="96"/>
      <c r="BL110" s="96"/>
      <c r="BM110" s="96"/>
      <c r="BN110" s="96"/>
      <c r="BO110" s="96"/>
      <c r="BP110" s="96"/>
      <c r="BQ110" s="96"/>
      <c r="BR110" s="96"/>
      <c r="BS110" s="96"/>
      <c r="BT110" s="96"/>
      <c r="BU110" s="96"/>
    </row>
    <row r="111" spans="1:75" s="165" customFormat="1" ht="18" customHeight="1" x14ac:dyDescent="0.2">
      <c r="A111" s="146" t="str">
        <f ca="1">Translations!$A$76</f>
        <v>Measurement framework for module</v>
      </c>
      <c r="B111" s="162"/>
      <c r="C111" s="162"/>
      <c r="D111" s="162"/>
      <c r="E111" s="162"/>
      <c r="F111" s="162"/>
      <c r="G111" s="102"/>
      <c r="H111" s="102"/>
      <c r="I111" s="102"/>
      <c r="J111" s="102"/>
      <c r="K111" s="102"/>
      <c r="L111" s="102"/>
      <c r="M111" s="102"/>
      <c r="N111" s="102"/>
      <c r="O111" s="102"/>
      <c r="P111" s="102"/>
      <c r="Q111" s="102"/>
      <c r="R111" s="419"/>
      <c r="S111" s="419"/>
      <c r="T111" s="419"/>
      <c r="U111" s="419"/>
      <c r="V111" s="419"/>
      <c r="W111" s="419"/>
      <c r="X111" s="419"/>
      <c r="Y111" s="419"/>
      <c r="Z111" s="419"/>
      <c r="AA111" s="419"/>
      <c r="AB111" s="420"/>
      <c r="AC111" s="94"/>
      <c r="AD111" s="94"/>
      <c r="AE111" s="94"/>
      <c r="AF111" s="94"/>
      <c r="AG111" s="94"/>
      <c r="AH111" s="94"/>
      <c r="AI111" s="94"/>
      <c r="AJ111" s="94"/>
      <c r="AK111" s="94"/>
      <c r="AL111" s="223"/>
      <c r="AM111" s="94" t="e">
        <f ca="1">INDIRECT(ADDRESS(ROW()-1,COLUMN()))</f>
        <v>#VALUE!</v>
      </c>
      <c r="AN111" s="94"/>
      <c r="AO111" s="94"/>
      <c r="AP111" s="94"/>
      <c r="AQ111" s="94"/>
      <c r="AR111" s="94"/>
      <c r="AS111" s="94"/>
      <c r="AT111" s="94"/>
      <c r="AU111" s="94"/>
      <c r="AV111" s="94"/>
      <c r="AW111" s="163"/>
      <c r="AX111" s="163"/>
      <c r="AY111" s="163"/>
      <c r="AZ111" s="163"/>
      <c r="BA111" s="163"/>
      <c r="BB111" s="163"/>
      <c r="BC111" s="163"/>
      <c r="BD111" s="164"/>
      <c r="BE111" s="164"/>
      <c r="BF111" s="164"/>
      <c r="BG111" s="164"/>
      <c r="BH111" s="164"/>
      <c r="BI111" s="164"/>
      <c r="BJ111" s="164"/>
      <c r="BK111" s="164"/>
      <c r="BL111" s="164"/>
      <c r="BM111" s="164"/>
      <c r="BN111" s="164"/>
      <c r="BO111" s="164"/>
      <c r="BP111" s="164"/>
      <c r="BQ111" s="164"/>
      <c r="BR111" s="164"/>
      <c r="BS111" s="164"/>
      <c r="BT111" s="164"/>
      <c r="BU111" s="164"/>
      <c r="BV111" s="164"/>
    </row>
    <row r="112" spans="1:75" s="77" customFormat="1" ht="24.95" customHeight="1" x14ac:dyDescent="0.2">
      <c r="A112" s="360" t="str">
        <f ca="1">Translations!$A$49</f>
        <v xml:space="preserve">Coverage/Output indicator </v>
      </c>
      <c r="B112" s="360"/>
      <c r="C112" s="391"/>
      <c r="D112" s="606" t="str">
        <f ca="1">Translations!$A$67</f>
        <v>Responsible Principal Recipient(s)</v>
      </c>
      <c r="E112" s="359" t="str">
        <f ca="1">Translations!$A$66</f>
        <v>Tied to</v>
      </c>
      <c r="F112" s="391"/>
      <c r="G112" s="359" t="str">
        <f ca="1">Translations!$A$29</f>
        <v>Baseline</v>
      </c>
      <c r="H112" s="360"/>
      <c r="I112" s="360"/>
      <c r="J112" s="391"/>
      <c r="K112" s="359"/>
      <c r="L112" s="360"/>
      <c r="M112" s="379" t="str">
        <f ca="1">Translations!$A$30</f>
        <v>Targets</v>
      </c>
      <c r="N112" s="380"/>
      <c r="O112" s="380"/>
      <c r="P112" s="380"/>
      <c r="Q112" s="380"/>
      <c r="R112" s="381"/>
      <c r="S112" s="510" t="str">
        <f ca="1">Translations!$A$82</f>
        <v>Target assumptions</v>
      </c>
      <c r="T112" s="511"/>
      <c r="U112" s="511"/>
      <c r="V112" s="511"/>
      <c r="W112" s="511"/>
      <c r="X112" s="511"/>
      <c r="Y112" s="511"/>
      <c r="Z112" s="511"/>
      <c r="AA112" s="511"/>
      <c r="AB112" s="512"/>
      <c r="AC112" s="136"/>
      <c r="AD112" s="217"/>
      <c r="AE112" s="217"/>
      <c r="AF112" s="217"/>
      <c r="AG112" s="217"/>
      <c r="AH112" s="217"/>
      <c r="AI112" s="217"/>
      <c r="AJ112" s="227" t="e">
        <f ca="1">MATCH(AM111,'Coverage ind'!$A:$A,0)-1</f>
        <v>#VALUE!</v>
      </c>
      <c r="AK112" s="227">
        <f ca="1">COUNTIF('Coverage ind'!A:A,'Concept Note'!AM111)</f>
        <v>0</v>
      </c>
      <c r="AL112" s="697" t="e">
        <f ca="1">MATCH(AM111,'Coverage ind'!$A:$A,0)-1</f>
        <v>#VALUE!</v>
      </c>
      <c r="AM112" s="65" t="e">
        <f ca="1">INDIRECT(ADDRESS(ROW()-1,COLUMN()))</f>
        <v>#VALUE!</v>
      </c>
      <c r="AN112" s="180"/>
      <c r="AO112" s="180"/>
      <c r="AP112" s="217"/>
      <c r="AQ112" s="217"/>
      <c r="AR112" s="665"/>
      <c r="AS112" s="665"/>
      <c r="AT112" s="665"/>
      <c r="AU112" s="665"/>
      <c r="AV112" s="665"/>
      <c r="AW112" s="87"/>
      <c r="AX112" s="87"/>
      <c r="AY112" s="87"/>
      <c r="AZ112" s="87"/>
      <c r="BA112" s="87"/>
      <c r="BB112" s="87"/>
      <c r="BC112" s="87"/>
      <c r="BD112" s="97"/>
      <c r="BE112" s="97"/>
      <c r="BF112" s="97"/>
      <c r="BG112" s="97"/>
      <c r="BH112" s="97"/>
      <c r="BI112" s="97"/>
      <c r="BJ112" s="97"/>
      <c r="BK112" s="97"/>
      <c r="BL112" s="97"/>
      <c r="BM112" s="97"/>
      <c r="BN112" s="97"/>
      <c r="BO112" s="97"/>
      <c r="BP112" s="97"/>
      <c r="BQ112" s="97"/>
      <c r="BR112" s="97"/>
      <c r="BS112" s="97"/>
      <c r="BT112" s="97"/>
      <c r="BU112" s="97"/>
      <c r="BV112" s="97"/>
    </row>
    <row r="113" spans="1:74" s="77" customFormat="1" ht="26.25" customHeight="1" x14ac:dyDescent="0.2">
      <c r="A113" s="363"/>
      <c r="B113" s="363"/>
      <c r="C113" s="410"/>
      <c r="D113" s="607"/>
      <c r="E113" s="362"/>
      <c r="F113" s="410"/>
      <c r="G113" s="392"/>
      <c r="H113" s="396"/>
      <c r="I113" s="396"/>
      <c r="J113" s="393"/>
      <c r="K113" s="362"/>
      <c r="L113" s="363"/>
      <c r="M113" s="379" t="str">
        <f ca="1">Translations!$A$34</f>
        <v>Year 1</v>
      </c>
      <c r="N113" s="381"/>
      <c r="O113" s="379" t="str">
        <f ca="1">Translations!$A$35</f>
        <v>Year 2</v>
      </c>
      <c r="P113" s="381"/>
      <c r="Q113" s="379" t="str">
        <f ca="1">Translations!$A$36</f>
        <v>Year 3</v>
      </c>
      <c r="R113" s="381"/>
      <c r="S113" s="513" t="str">
        <f ca="1">Translations!$A$83</f>
        <v>Please describe: 1) overall assumptions used in calculating targets, 2) anticipated rate of scale-up, 3) population size estimates, 4) description of indicator/package of services, 5) data source, 6) other relevant information</v>
      </c>
      <c r="T113" s="514"/>
      <c r="U113" s="514"/>
      <c r="V113" s="514"/>
      <c r="W113" s="514"/>
      <c r="X113" s="514"/>
      <c r="Y113" s="514"/>
      <c r="Z113" s="514"/>
      <c r="AA113" s="514"/>
      <c r="AB113" s="515"/>
      <c r="AC113" s="136"/>
      <c r="AD113" s="217"/>
      <c r="AE113" s="217"/>
      <c r="AF113" s="217"/>
      <c r="AG113" s="217"/>
      <c r="AH113" s="217"/>
      <c r="AI113" s="217"/>
      <c r="AJ113" s="228" t="e">
        <f ca="1">INDIRECT(ADDRESS(ROW()-1,COLUMN()))</f>
        <v>#VALUE!</v>
      </c>
      <c r="AK113" s="228">
        <f ca="1">INDIRECT(ADDRESS(ROW()-1,COLUMN()))</f>
        <v>0</v>
      </c>
      <c r="AL113" s="697"/>
      <c r="AM113" s="65" t="e">
        <f ca="1">INDIRECT(ADDRESS(ROW()-1,COLUMN()))</f>
        <v>#VALUE!</v>
      </c>
      <c r="AN113" s="180"/>
      <c r="AO113" s="180"/>
      <c r="AP113" s="217"/>
      <c r="AQ113" s="217"/>
      <c r="AR113" s="665"/>
      <c r="AS113" s="665"/>
      <c r="AT113" s="665"/>
      <c r="AU113" s="665"/>
      <c r="AV113" s="665"/>
      <c r="AW113" s="87"/>
      <c r="AX113" s="87"/>
      <c r="AY113" s="87"/>
      <c r="AZ113" s="87"/>
      <c r="BA113" s="87"/>
      <c r="BB113" s="87"/>
      <c r="BC113" s="87"/>
      <c r="BD113" s="97"/>
      <c r="BE113" s="97"/>
      <c r="BF113" s="97"/>
      <c r="BG113" s="97"/>
      <c r="BH113" s="97"/>
      <c r="BI113" s="97"/>
      <c r="BJ113" s="97"/>
      <c r="BK113" s="97"/>
      <c r="BL113" s="97"/>
      <c r="BM113" s="97"/>
      <c r="BN113" s="97"/>
      <c r="BO113" s="97"/>
      <c r="BP113" s="97"/>
      <c r="BQ113" s="97"/>
      <c r="BR113" s="97"/>
      <c r="BS113" s="97"/>
      <c r="BT113" s="97"/>
      <c r="BU113" s="97"/>
      <c r="BV113" s="97"/>
    </row>
    <row r="114" spans="1:74" s="77" customFormat="1" ht="18" customHeight="1" x14ac:dyDescent="0.2">
      <c r="A114" s="363"/>
      <c r="B114" s="363"/>
      <c r="C114" s="410"/>
      <c r="D114" s="607"/>
      <c r="E114" s="362"/>
      <c r="F114" s="410"/>
      <c r="G114" s="212" t="s">
        <v>15</v>
      </c>
      <c r="H114" s="394" t="s">
        <v>14</v>
      </c>
      <c r="I114" s="394" t="str">
        <f ca="1">Translations!$A$32</f>
        <v xml:space="preserve">Year </v>
      </c>
      <c r="J114" s="394" t="str">
        <f ca="1">Translations!$A$33</f>
        <v>Source</v>
      </c>
      <c r="K114" s="362"/>
      <c r="L114" s="421"/>
      <c r="M114" s="158" t="s">
        <v>15</v>
      </c>
      <c r="N114" s="508" t="s">
        <v>14</v>
      </c>
      <c r="O114" s="158" t="s">
        <v>15</v>
      </c>
      <c r="P114" s="508" t="s">
        <v>14</v>
      </c>
      <c r="Q114" s="158" t="s">
        <v>15</v>
      </c>
      <c r="R114" s="508" t="s">
        <v>14</v>
      </c>
      <c r="S114" s="513"/>
      <c r="T114" s="514"/>
      <c r="U114" s="514"/>
      <c r="V114" s="514"/>
      <c r="W114" s="514"/>
      <c r="X114" s="514"/>
      <c r="Y114" s="514"/>
      <c r="Z114" s="514"/>
      <c r="AA114" s="514"/>
      <c r="AB114" s="515"/>
      <c r="AC114" s="136"/>
      <c r="AD114" s="217"/>
      <c r="AE114" s="217"/>
      <c r="AF114" s="217"/>
      <c r="AG114" s="217"/>
      <c r="AH114" s="217"/>
      <c r="AI114" s="217"/>
      <c r="AJ114" s="228" t="e">
        <f t="shared" ref="AJ114:AK151" ca="1" si="15">INDIRECT(ADDRESS(ROW()-1,COLUMN()))</f>
        <v>#VALUE!</v>
      </c>
      <c r="AK114" s="228">
        <f t="shared" ca="1" si="15"/>
        <v>0</v>
      </c>
      <c r="AL114" s="697"/>
      <c r="AM114" s="65" t="e">
        <f t="shared" ref="AM114:AM155" ca="1" si="16">INDIRECT(ADDRESS(ROW()-1,COLUMN()))</f>
        <v>#VALUE!</v>
      </c>
      <c r="AN114" s="180"/>
      <c r="AO114" s="180"/>
      <c r="AP114" s="217"/>
      <c r="AQ114" s="217"/>
      <c r="AR114" s="665"/>
      <c r="AS114" s="665"/>
      <c r="AT114" s="665"/>
      <c r="AU114" s="665"/>
      <c r="AV114" s="665"/>
      <c r="AW114" s="87"/>
      <c r="AX114" s="87"/>
      <c r="AY114" s="87"/>
      <c r="AZ114" s="87"/>
      <c r="BA114" s="87"/>
      <c r="BB114" s="87"/>
      <c r="BC114" s="87"/>
      <c r="BD114" s="97"/>
      <c r="BE114" s="97"/>
      <c r="BF114" s="97"/>
      <c r="BG114" s="97"/>
      <c r="BH114" s="97"/>
      <c r="BI114" s="97"/>
      <c r="BJ114" s="97"/>
      <c r="BK114" s="97"/>
      <c r="BL114" s="97"/>
      <c r="BM114" s="97"/>
      <c r="BN114" s="97"/>
      <c r="BO114" s="97"/>
      <c r="BP114" s="97"/>
      <c r="BQ114" s="97"/>
      <c r="BR114" s="97"/>
      <c r="BS114" s="97"/>
      <c r="BT114" s="97"/>
      <c r="BU114" s="97"/>
      <c r="BV114" s="97"/>
    </row>
    <row r="115" spans="1:74" s="77" customFormat="1" ht="18" customHeight="1" x14ac:dyDescent="0.2">
      <c r="A115" s="396"/>
      <c r="B115" s="396"/>
      <c r="C115" s="393"/>
      <c r="D115" s="608"/>
      <c r="E115" s="392"/>
      <c r="F115" s="393"/>
      <c r="G115" s="208" t="s">
        <v>13</v>
      </c>
      <c r="H115" s="395"/>
      <c r="I115" s="395"/>
      <c r="J115" s="395"/>
      <c r="K115" s="392"/>
      <c r="L115" s="422"/>
      <c r="M115" s="159" t="s">
        <v>13</v>
      </c>
      <c r="N115" s="509"/>
      <c r="O115" s="159" t="s">
        <v>13</v>
      </c>
      <c r="P115" s="509"/>
      <c r="Q115" s="159" t="s">
        <v>13</v>
      </c>
      <c r="R115" s="509"/>
      <c r="S115" s="516"/>
      <c r="T115" s="517"/>
      <c r="U115" s="517"/>
      <c r="V115" s="517"/>
      <c r="W115" s="517"/>
      <c r="X115" s="517"/>
      <c r="Y115" s="517"/>
      <c r="Z115" s="517"/>
      <c r="AA115" s="517"/>
      <c r="AB115" s="518"/>
      <c r="AC115" s="136"/>
      <c r="AD115" s="217"/>
      <c r="AE115" s="217"/>
      <c r="AF115" s="217"/>
      <c r="AG115" s="217"/>
      <c r="AH115" s="217"/>
      <c r="AI115" s="217"/>
      <c r="AJ115" s="228" t="e">
        <f t="shared" ca="1" si="15"/>
        <v>#VALUE!</v>
      </c>
      <c r="AK115" s="228">
        <f t="shared" ca="1" si="15"/>
        <v>0</v>
      </c>
      <c r="AL115" s="697"/>
      <c r="AM115" s="65" t="e">
        <f t="shared" ca="1" si="16"/>
        <v>#VALUE!</v>
      </c>
      <c r="AN115" s="180"/>
      <c r="AO115" s="180"/>
      <c r="AP115" s="217"/>
      <c r="AQ115" s="217"/>
      <c r="AR115" s="665"/>
      <c r="AS115" s="665"/>
      <c r="AT115" s="665"/>
      <c r="AU115" s="665"/>
      <c r="AV115" s="665"/>
      <c r="AW115" s="87"/>
      <c r="AX115" s="87"/>
      <c r="AY115" s="87"/>
      <c r="AZ115" s="87"/>
      <c r="BA115" s="87"/>
      <c r="BB115" s="87"/>
      <c r="BC115" s="87"/>
      <c r="BD115" s="97"/>
      <c r="BE115" s="97"/>
      <c r="BF115" s="97"/>
      <c r="BG115" s="97"/>
      <c r="BH115" s="97"/>
      <c r="BI115" s="97"/>
      <c r="BJ115" s="97"/>
      <c r="BK115" s="97"/>
      <c r="BL115" s="97"/>
      <c r="BM115" s="97"/>
      <c r="BN115" s="97"/>
      <c r="BO115" s="97"/>
      <c r="BP115" s="97"/>
      <c r="BQ115" s="97"/>
      <c r="BR115" s="97"/>
      <c r="BS115" s="97"/>
      <c r="BT115" s="97"/>
      <c r="BU115" s="97"/>
      <c r="BV115" s="97"/>
    </row>
    <row r="116" spans="1:74" s="88" customFormat="1" ht="15" customHeight="1" x14ac:dyDescent="0.2">
      <c r="A116" s="632" t="str">
        <f ca="1">IFERROR(INDIRECT(ADDRESS(AL116,5,1,TRUE,"Coverage ind")),"")</f>
        <v/>
      </c>
      <c r="B116" s="633"/>
      <c r="C116" s="633"/>
      <c r="D116" s="614" t="str">
        <f ca="1">Translations!$A$72</f>
        <v>Please select…</v>
      </c>
      <c r="E116" s="597" t="str">
        <f ca="1">Translations!$A$72</f>
        <v>Please select…</v>
      </c>
      <c r="F116" s="598"/>
      <c r="G116" s="539"/>
      <c r="H116" s="519" t="str">
        <f>IF($G118&lt;&gt;"",$G116/$G118,"")</f>
        <v/>
      </c>
      <c r="I116" s="542"/>
      <c r="J116" s="603" t="str">
        <f ca="1">Translations!$A$72</f>
        <v>Please select…</v>
      </c>
      <c r="K116" s="626" t="str">
        <f ca="1">Translations!$A$78</f>
        <v>Indicative</v>
      </c>
      <c r="L116" s="627"/>
      <c r="M116" s="183"/>
      <c r="N116" s="519" t="str">
        <f>IF(M117&lt;&gt;"",M116/M117,"")</f>
        <v/>
      </c>
      <c r="O116" s="185"/>
      <c r="P116" s="519" t="str">
        <f>IF(O117&lt;&gt;"",O116/O117,"")</f>
        <v/>
      </c>
      <c r="Q116" s="185"/>
      <c r="R116" s="519" t="str">
        <f>IF(Q117&lt;&gt;"",Q116/Q117,"")</f>
        <v/>
      </c>
      <c r="S116" s="617"/>
      <c r="T116" s="618"/>
      <c r="U116" s="618"/>
      <c r="V116" s="618"/>
      <c r="W116" s="618"/>
      <c r="X116" s="618"/>
      <c r="Y116" s="618"/>
      <c r="Z116" s="618"/>
      <c r="AA116" s="618"/>
      <c r="AB116" s="619"/>
      <c r="AC116" s="143"/>
      <c r="AD116" s="218"/>
      <c r="AE116" s="218"/>
      <c r="AF116" s="218"/>
      <c r="AG116" s="218"/>
      <c r="AH116" s="219"/>
      <c r="AI116" s="219"/>
      <c r="AJ116" s="228" t="e">
        <f t="shared" ca="1" si="15"/>
        <v>#VALUE!</v>
      </c>
      <c r="AK116" s="228">
        <f t="shared" ca="1" si="15"/>
        <v>0</v>
      </c>
      <c r="AL116" s="663" t="str">
        <f ca="1">IFERROR(IF(INDIRECT(ADDRESS(ROW()-4,COLUMN()))+1&lt;=AJ116+AK116,INDIRECT(ADDRESS(ROW()-4,COLUMN()))+1,""),"")</f>
        <v/>
      </c>
      <c r="AM116" s="65" t="e">
        <f ca="1">INDIRECT(ADDRESS(ROW()-1,COLUMN()))</f>
        <v>#VALUE!</v>
      </c>
      <c r="AN116" s="181"/>
      <c r="AO116" s="181"/>
      <c r="AP116" s="218"/>
      <c r="AQ116" s="218"/>
      <c r="AR116" s="664"/>
      <c r="AS116" s="664"/>
      <c r="AT116" s="664"/>
      <c r="AU116" s="664"/>
      <c r="AV116" s="664"/>
      <c r="AW116" s="87"/>
      <c r="AX116" s="87"/>
      <c r="AY116" s="87"/>
      <c r="AZ116" s="87"/>
      <c r="BA116" s="87"/>
      <c r="BB116" s="87"/>
      <c r="BC116" s="87"/>
    </row>
    <row r="117" spans="1:74" s="88" customFormat="1" x14ac:dyDescent="0.2">
      <c r="A117" s="634"/>
      <c r="B117" s="635"/>
      <c r="C117" s="635"/>
      <c r="D117" s="615"/>
      <c r="E117" s="599"/>
      <c r="F117" s="600"/>
      <c r="G117" s="540"/>
      <c r="H117" s="541"/>
      <c r="I117" s="543"/>
      <c r="J117" s="604"/>
      <c r="K117" s="628"/>
      <c r="L117" s="629"/>
      <c r="M117" s="184"/>
      <c r="N117" s="520"/>
      <c r="O117" s="186"/>
      <c r="P117" s="520"/>
      <c r="Q117" s="186"/>
      <c r="R117" s="520"/>
      <c r="S117" s="620"/>
      <c r="T117" s="621"/>
      <c r="U117" s="621"/>
      <c r="V117" s="621"/>
      <c r="W117" s="621"/>
      <c r="X117" s="621"/>
      <c r="Y117" s="621"/>
      <c r="Z117" s="621"/>
      <c r="AA117" s="621"/>
      <c r="AB117" s="622"/>
      <c r="AC117" s="143"/>
      <c r="AD117" s="218"/>
      <c r="AE117" s="218"/>
      <c r="AF117" s="218"/>
      <c r="AG117" s="218"/>
      <c r="AH117" s="219"/>
      <c r="AI117" s="219"/>
      <c r="AJ117" s="228" t="e">
        <f t="shared" ca="1" si="15"/>
        <v>#VALUE!</v>
      </c>
      <c r="AK117" s="228">
        <f t="shared" ca="1" si="15"/>
        <v>0</v>
      </c>
      <c r="AL117" s="663"/>
      <c r="AM117" s="65" t="e">
        <f t="shared" ca="1" si="16"/>
        <v>#VALUE!</v>
      </c>
      <c r="AN117" s="181"/>
      <c r="AO117" s="181"/>
      <c r="AP117" s="218"/>
      <c r="AQ117" s="218"/>
      <c r="AR117" s="664"/>
      <c r="AS117" s="664"/>
      <c r="AT117" s="664"/>
      <c r="AU117" s="664"/>
      <c r="AV117" s="664"/>
      <c r="AW117" s="87"/>
      <c r="AX117" s="87"/>
      <c r="AY117" s="87"/>
      <c r="AZ117" s="87"/>
      <c r="BA117" s="87"/>
      <c r="BB117" s="87"/>
      <c r="BC117" s="87"/>
    </row>
    <row r="118" spans="1:74" s="88" customFormat="1" ht="15" customHeight="1" x14ac:dyDescent="0.2">
      <c r="A118" s="634"/>
      <c r="B118" s="635"/>
      <c r="C118" s="635"/>
      <c r="D118" s="615"/>
      <c r="E118" s="599"/>
      <c r="F118" s="600"/>
      <c r="G118" s="539"/>
      <c r="H118" s="541"/>
      <c r="I118" s="543"/>
      <c r="J118" s="604"/>
      <c r="K118" s="610" t="str">
        <f ca="1">Translations!$A$79</f>
        <v>Above indicative</v>
      </c>
      <c r="L118" s="611"/>
      <c r="M118" s="183"/>
      <c r="N118" s="519" t="str">
        <f>IF(M119&lt;&gt;"",M118/M119,"")</f>
        <v/>
      </c>
      <c r="O118" s="185"/>
      <c r="P118" s="519" t="str">
        <f>IF(O119&lt;&gt;"",O118/O119,"")</f>
        <v/>
      </c>
      <c r="Q118" s="185"/>
      <c r="R118" s="519" t="str">
        <f>IF(Q119&lt;&gt;"",Q118/Q119,"")</f>
        <v/>
      </c>
      <c r="S118" s="620"/>
      <c r="T118" s="621"/>
      <c r="U118" s="621"/>
      <c r="V118" s="621"/>
      <c r="W118" s="621"/>
      <c r="X118" s="621"/>
      <c r="Y118" s="621"/>
      <c r="Z118" s="621"/>
      <c r="AA118" s="621"/>
      <c r="AB118" s="622"/>
      <c r="AC118" s="143"/>
      <c r="AD118" s="218"/>
      <c r="AE118" s="218"/>
      <c r="AF118" s="218"/>
      <c r="AG118" s="218"/>
      <c r="AH118" s="218"/>
      <c r="AI118" s="218"/>
      <c r="AJ118" s="228" t="e">
        <f t="shared" ca="1" si="15"/>
        <v>#VALUE!</v>
      </c>
      <c r="AK118" s="228">
        <f t="shared" ca="1" si="15"/>
        <v>0</v>
      </c>
      <c r="AL118" s="663"/>
      <c r="AM118" s="65" t="e">
        <f t="shared" ca="1" si="16"/>
        <v>#VALUE!</v>
      </c>
      <c r="AN118" s="181"/>
      <c r="AO118" s="181"/>
      <c r="AP118" s="218"/>
      <c r="AQ118" s="218"/>
      <c r="AR118" s="664"/>
      <c r="AS118" s="664"/>
      <c r="AT118" s="664"/>
      <c r="AU118" s="664"/>
      <c r="AV118" s="664"/>
      <c r="AW118" s="87"/>
      <c r="AX118" s="87"/>
      <c r="AY118" s="87"/>
      <c r="AZ118" s="87"/>
      <c r="BA118" s="87"/>
      <c r="BB118" s="87"/>
      <c r="BC118" s="87"/>
    </row>
    <row r="119" spans="1:74" s="88" customFormat="1" x14ac:dyDescent="0.2">
      <c r="A119" s="636"/>
      <c r="B119" s="637"/>
      <c r="C119" s="637"/>
      <c r="D119" s="616"/>
      <c r="E119" s="601"/>
      <c r="F119" s="602"/>
      <c r="G119" s="540"/>
      <c r="H119" s="520"/>
      <c r="I119" s="544"/>
      <c r="J119" s="605"/>
      <c r="K119" s="612"/>
      <c r="L119" s="613"/>
      <c r="M119" s="184"/>
      <c r="N119" s="520"/>
      <c r="O119" s="186"/>
      <c r="P119" s="520"/>
      <c r="Q119" s="186"/>
      <c r="R119" s="520"/>
      <c r="S119" s="623"/>
      <c r="T119" s="624"/>
      <c r="U119" s="624"/>
      <c r="V119" s="624"/>
      <c r="W119" s="624"/>
      <c r="X119" s="624"/>
      <c r="Y119" s="624"/>
      <c r="Z119" s="624"/>
      <c r="AA119" s="624"/>
      <c r="AB119" s="625"/>
      <c r="AC119" s="143"/>
      <c r="AD119" s="218"/>
      <c r="AE119" s="218"/>
      <c r="AF119" s="218"/>
      <c r="AG119" s="218"/>
      <c r="AH119" s="218"/>
      <c r="AI119" s="218"/>
      <c r="AJ119" s="228" t="e">
        <f t="shared" ca="1" si="15"/>
        <v>#VALUE!</v>
      </c>
      <c r="AK119" s="228">
        <f t="shared" ca="1" si="15"/>
        <v>0</v>
      </c>
      <c r="AL119" s="663"/>
      <c r="AM119" s="65" t="e">
        <f t="shared" ca="1" si="16"/>
        <v>#VALUE!</v>
      </c>
      <c r="AN119" s="181"/>
      <c r="AO119" s="181"/>
      <c r="AP119" s="218"/>
      <c r="AQ119" s="218"/>
      <c r="AR119" s="664"/>
      <c r="AS119" s="664"/>
      <c r="AT119" s="664"/>
      <c r="AU119" s="664"/>
      <c r="AV119" s="664"/>
      <c r="AW119" s="87"/>
      <c r="AX119" s="87"/>
      <c r="AY119" s="87"/>
      <c r="AZ119" s="87"/>
      <c r="BA119" s="87"/>
      <c r="BB119" s="87"/>
      <c r="BC119" s="87"/>
    </row>
    <row r="120" spans="1:74" s="88" customFormat="1" ht="15" customHeight="1" x14ac:dyDescent="0.2">
      <c r="A120" s="632" t="str">
        <f t="shared" ref="A120" ca="1" si="17">IFERROR(INDIRECT(ADDRESS(AL120,5,1,TRUE,"Coverage ind")),"")</f>
        <v/>
      </c>
      <c r="B120" s="633"/>
      <c r="C120" s="633"/>
      <c r="D120" s="614" t="str">
        <f ca="1">Translations!$A$72</f>
        <v>Please select…</v>
      </c>
      <c r="E120" s="597" t="str">
        <f ca="1">Translations!$A$72</f>
        <v>Please select…</v>
      </c>
      <c r="F120" s="598"/>
      <c r="G120" s="539"/>
      <c r="H120" s="519" t="str">
        <f>IF($G122&lt;&gt;"",$G120/$G122,"")</f>
        <v/>
      </c>
      <c r="I120" s="542"/>
      <c r="J120" s="603" t="str">
        <f ca="1">Translations!$A$72</f>
        <v>Please select…</v>
      </c>
      <c r="K120" s="626" t="str">
        <f ca="1">Translations!$A$78</f>
        <v>Indicative</v>
      </c>
      <c r="L120" s="627"/>
      <c r="M120" s="183"/>
      <c r="N120" s="519" t="str">
        <f>IF(M121&lt;&gt;"",M120/M121,"")</f>
        <v/>
      </c>
      <c r="O120" s="185"/>
      <c r="P120" s="519" t="str">
        <f>IF(O121&lt;&gt;"",O120/O121,"")</f>
        <v/>
      </c>
      <c r="Q120" s="185"/>
      <c r="R120" s="519" t="str">
        <f>IF(Q121&lt;&gt;"",Q120/Q121,"")</f>
        <v/>
      </c>
      <c r="S120" s="617"/>
      <c r="T120" s="618"/>
      <c r="U120" s="618"/>
      <c r="V120" s="618"/>
      <c r="W120" s="618"/>
      <c r="X120" s="618"/>
      <c r="Y120" s="618"/>
      <c r="Z120" s="618"/>
      <c r="AA120" s="618"/>
      <c r="AB120" s="619"/>
      <c r="AC120" s="143"/>
      <c r="AD120" s="218"/>
      <c r="AE120" s="218"/>
      <c r="AF120" s="218"/>
      <c r="AG120" s="218"/>
      <c r="AH120" s="218"/>
      <c r="AI120" s="218"/>
      <c r="AJ120" s="228" t="e">
        <f t="shared" ca="1" si="15"/>
        <v>#VALUE!</v>
      </c>
      <c r="AK120" s="228">
        <f t="shared" ca="1" si="15"/>
        <v>0</v>
      </c>
      <c r="AL120" s="663" t="str">
        <f t="shared" ref="AL120" ca="1" si="18">IFERROR(IF(INDIRECT(ADDRESS(ROW()-4,COLUMN()))+1&lt;=AJ120+AK120,INDIRECT(ADDRESS(ROW()-4,COLUMN()))+1,""),"")</f>
        <v/>
      </c>
      <c r="AM120" s="65" t="e">
        <f t="shared" ca="1" si="16"/>
        <v>#VALUE!</v>
      </c>
      <c r="AN120" s="181"/>
      <c r="AO120" s="181"/>
      <c r="AP120" s="218"/>
      <c r="AQ120" s="218"/>
      <c r="AR120" s="664"/>
      <c r="AS120" s="664"/>
      <c r="AT120" s="664"/>
      <c r="AU120" s="664"/>
      <c r="AV120" s="664"/>
      <c r="AW120" s="87"/>
      <c r="AX120" s="87"/>
      <c r="AY120" s="87"/>
      <c r="AZ120" s="87"/>
      <c r="BA120" s="87"/>
      <c r="BB120" s="87"/>
      <c r="BC120" s="87"/>
    </row>
    <row r="121" spans="1:74" s="88" customFormat="1" x14ac:dyDescent="0.2">
      <c r="A121" s="634"/>
      <c r="B121" s="635"/>
      <c r="C121" s="635"/>
      <c r="D121" s="615"/>
      <c r="E121" s="599"/>
      <c r="F121" s="600"/>
      <c r="G121" s="540"/>
      <c r="H121" s="541"/>
      <c r="I121" s="543"/>
      <c r="J121" s="604"/>
      <c r="K121" s="628"/>
      <c r="L121" s="629"/>
      <c r="M121" s="184"/>
      <c r="N121" s="520"/>
      <c r="O121" s="186"/>
      <c r="P121" s="520"/>
      <c r="Q121" s="186"/>
      <c r="R121" s="520"/>
      <c r="S121" s="620"/>
      <c r="T121" s="621"/>
      <c r="U121" s="621"/>
      <c r="V121" s="621"/>
      <c r="W121" s="621"/>
      <c r="X121" s="621"/>
      <c r="Y121" s="621"/>
      <c r="Z121" s="621"/>
      <c r="AA121" s="621"/>
      <c r="AB121" s="622"/>
      <c r="AC121" s="143"/>
      <c r="AD121" s="218"/>
      <c r="AE121" s="218"/>
      <c r="AF121" s="218"/>
      <c r="AG121" s="218"/>
      <c r="AH121" s="218"/>
      <c r="AI121" s="218"/>
      <c r="AJ121" s="228" t="e">
        <f t="shared" ca="1" si="15"/>
        <v>#VALUE!</v>
      </c>
      <c r="AK121" s="228">
        <f t="shared" ca="1" si="15"/>
        <v>0</v>
      </c>
      <c r="AL121" s="663"/>
      <c r="AM121" s="65" t="e">
        <f t="shared" ca="1" si="16"/>
        <v>#VALUE!</v>
      </c>
      <c r="AN121" s="181"/>
      <c r="AO121" s="181"/>
      <c r="AP121" s="218"/>
      <c r="AQ121" s="218"/>
      <c r="AR121" s="664"/>
      <c r="AS121" s="664"/>
      <c r="AT121" s="664"/>
      <c r="AU121" s="664"/>
      <c r="AV121" s="664"/>
      <c r="AW121" s="87"/>
      <c r="AX121" s="87"/>
      <c r="AY121" s="87"/>
      <c r="AZ121" s="87"/>
      <c r="BA121" s="87"/>
      <c r="BB121" s="87"/>
      <c r="BC121" s="87"/>
    </row>
    <row r="122" spans="1:74" s="88" customFormat="1" ht="15" customHeight="1" x14ac:dyDescent="0.2">
      <c r="A122" s="634"/>
      <c r="B122" s="635"/>
      <c r="C122" s="635"/>
      <c r="D122" s="615"/>
      <c r="E122" s="599"/>
      <c r="F122" s="600"/>
      <c r="G122" s="539"/>
      <c r="H122" s="541"/>
      <c r="I122" s="543"/>
      <c r="J122" s="604"/>
      <c r="K122" s="610" t="str">
        <f ca="1">Translations!$A$79</f>
        <v>Above indicative</v>
      </c>
      <c r="L122" s="611"/>
      <c r="M122" s="183"/>
      <c r="N122" s="519" t="str">
        <f>IF(M123&lt;&gt;"",M122/M123,"")</f>
        <v/>
      </c>
      <c r="O122" s="185"/>
      <c r="P122" s="519" t="str">
        <f>IF(O123&lt;&gt;"",O122/O123,"")</f>
        <v/>
      </c>
      <c r="Q122" s="185"/>
      <c r="R122" s="519" t="str">
        <f>IF(Q123&lt;&gt;"",Q122/Q123,"")</f>
        <v/>
      </c>
      <c r="S122" s="620"/>
      <c r="T122" s="621"/>
      <c r="U122" s="621"/>
      <c r="V122" s="621"/>
      <c r="W122" s="621"/>
      <c r="X122" s="621"/>
      <c r="Y122" s="621"/>
      <c r="Z122" s="621"/>
      <c r="AA122" s="621"/>
      <c r="AB122" s="622"/>
      <c r="AC122" s="143"/>
      <c r="AD122" s="218"/>
      <c r="AE122" s="218"/>
      <c r="AF122" s="218"/>
      <c r="AG122" s="218"/>
      <c r="AH122" s="218"/>
      <c r="AI122" s="218"/>
      <c r="AJ122" s="228" t="e">
        <f t="shared" ca="1" si="15"/>
        <v>#VALUE!</v>
      </c>
      <c r="AK122" s="228">
        <f t="shared" ca="1" si="15"/>
        <v>0</v>
      </c>
      <c r="AL122" s="663"/>
      <c r="AM122" s="65" t="e">
        <f t="shared" ca="1" si="16"/>
        <v>#VALUE!</v>
      </c>
      <c r="AN122" s="181"/>
      <c r="AO122" s="181"/>
      <c r="AP122" s="218"/>
      <c r="AQ122" s="218"/>
      <c r="AR122" s="664"/>
      <c r="AS122" s="664"/>
      <c r="AT122" s="664"/>
      <c r="AU122" s="664"/>
      <c r="AV122" s="664"/>
      <c r="AW122" s="87"/>
      <c r="AX122" s="87"/>
      <c r="AY122" s="87"/>
      <c r="AZ122" s="87"/>
      <c r="BA122" s="87"/>
      <c r="BB122" s="87"/>
      <c r="BC122" s="87"/>
    </row>
    <row r="123" spans="1:74" s="88" customFormat="1" x14ac:dyDescent="0.2">
      <c r="A123" s="636"/>
      <c r="B123" s="637"/>
      <c r="C123" s="637"/>
      <c r="D123" s="616"/>
      <c r="E123" s="601"/>
      <c r="F123" s="602"/>
      <c r="G123" s="540"/>
      <c r="H123" s="520"/>
      <c r="I123" s="544"/>
      <c r="J123" s="605"/>
      <c r="K123" s="612"/>
      <c r="L123" s="613"/>
      <c r="M123" s="184"/>
      <c r="N123" s="520"/>
      <c r="O123" s="186"/>
      <c r="P123" s="520"/>
      <c r="Q123" s="186"/>
      <c r="R123" s="520"/>
      <c r="S123" s="623"/>
      <c r="T123" s="624"/>
      <c r="U123" s="624"/>
      <c r="V123" s="624"/>
      <c r="W123" s="624"/>
      <c r="X123" s="624"/>
      <c r="Y123" s="624"/>
      <c r="Z123" s="624"/>
      <c r="AA123" s="624"/>
      <c r="AB123" s="625"/>
      <c r="AC123" s="143"/>
      <c r="AD123" s="218"/>
      <c r="AE123" s="218"/>
      <c r="AF123" s="218"/>
      <c r="AG123" s="218"/>
      <c r="AH123" s="218"/>
      <c r="AI123" s="218"/>
      <c r="AJ123" s="228" t="e">
        <f t="shared" ca="1" si="15"/>
        <v>#VALUE!</v>
      </c>
      <c r="AK123" s="228">
        <f t="shared" ca="1" si="15"/>
        <v>0</v>
      </c>
      <c r="AL123" s="663"/>
      <c r="AM123" s="65" t="e">
        <f t="shared" ca="1" si="16"/>
        <v>#VALUE!</v>
      </c>
      <c r="AN123" s="181"/>
      <c r="AO123" s="181"/>
      <c r="AP123" s="218"/>
      <c r="AQ123" s="218"/>
      <c r="AR123" s="664"/>
      <c r="AS123" s="664"/>
      <c r="AT123" s="664"/>
      <c r="AU123" s="664"/>
      <c r="AV123" s="664"/>
      <c r="AW123" s="87"/>
      <c r="AX123" s="87"/>
      <c r="AY123" s="87"/>
      <c r="AZ123" s="87"/>
      <c r="BA123" s="87"/>
      <c r="BB123" s="87"/>
      <c r="BC123" s="87"/>
    </row>
    <row r="124" spans="1:74" s="88" customFormat="1" ht="15" customHeight="1" x14ac:dyDescent="0.2">
      <c r="A124" s="632" t="str">
        <f t="shared" ref="A124" ca="1" si="19">IFERROR(INDIRECT(ADDRESS(AL124,5,1,TRUE,"Coverage ind")),"")</f>
        <v/>
      </c>
      <c r="B124" s="633"/>
      <c r="C124" s="633"/>
      <c r="D124" s="614" t="str">
        <f ca="1">Translations!$A$72</f>
        <v>Please select…</v>
      </c>
      <c r="E124" s="597" t="str">
        <f ca="1">Translations!$A$72</f>
        <v>Please select…</v>
      </c>
      <c r="F124" s="598"/>
      <c r="G124" s="539"/>
      <c r="H124" s="519" t="str">
        <f>IF($G126&lt;&gt;"",$G124/$G126,"")</f>
        <v/>
      </c>
      <c r="I124" s="542"/>
      <c r="J124" s="603" t="str">
        <f ca="1">Translations!$A$72</f>
        <v>Please select…</v>
      </c>
      <c r="K124" s="626" t="str">
        <f ca="1">Translations!$A$78</f>
        <v>Indicative</v>
      </c>
      <c r="L124" s="627"/>
      <c r="M124" s="183"/>
      <c r="N124" s="519" t="str">
        <f>IF(M125&lt;&gt;"",M124/M125,"")</f>
        <v/>
      </c>
      <c r="O124" s="185"/>
      <c r="P124" s="519" t="str">
        <f>IF(O125&lt;&gt;"",O124/O125,"")</f>
        <v/>
      </c>
      <c r="Q124" s="185"/>
      <c r="R124" s="519" t="str">
        <f>IF(Q125&lt;&gt;"",Q124/Q125,"")</f>
        <v/>
      </c>
      <c r="S124" s="617"/>
      <c r="T124" s="618"/>
      <c r="U124" s="618"/>
      <c r="V124" s="618"/>
      <c r="W124" s="618"/>
      <c r="X124" s="618"/>
      <c r="Y124" s="618"/>
      <c r="Z124" s="618"/>
      <c r="AA124" s="618"/>
      <c r="AB124" s="619"/>
      <c r="AC124" s="143"/>
      <c r="AD124" s="218"/>
      <c r="AE124" s="218"/>
      <c r="AF124" s="218"/>
      <c r="AG124" s="218"/>
      <c r="AH124" s="218"/>
      <c r="AI124" s="218"/>
      <c r="AJ124" s="228" t="e">
        <f t="shared" ca="1" si="15"/>
        <v>#VALUE!</v>
      </c>
      <c r="AK124" s="228">
        <f t="shared" ca="1" si="15"/>
        <v>0</v>
      </c>
      <c r="AL124" s="663" t="str">
        <f t="shared" ref="AL124" ca="1" si="20">IFERROR(IF(INDIRECT(ADDRESS(ROW()-4,COLUMN()))+1&lt;=AJ124+AK124,INDIRECT(ADDRESS(ROW()-4,COLUMN()))+1,""),"")</f>
        <v/>
      </c>
      <c r="AM124" s="65" t="e">
        <f t="shared" ca="1" si="16"/>
        <v>#VALUE!</v>
      </c>
      <c r="AN124" s="181"/>
      <c r="AO124" s="181"/>
      <c r="AP124" s="218"/>
      <c r="AQ124" s="218"/>
      <c r="AR124" s="664"/>
      <c r="AS124" s="664"/>
      <c r="AT124" s="664"/>
      <c r="AU124" s="664"/>
      <c r="AV124" s="664"/>
      <c r="AW124" s="87"/>
      <c r="AX124" s="87"/>
      <c r="AY124" s="87"/>
      <c r="AZ124" s="87"/>
      <c r="BA124" s="87"/>
      <c r="BB124" s="87"/>
      <c r="BC124" s="87"/>
    </row>
    <row r="125" spans="1:74" s="88" customFormat="1" x14ac:dyDescent="0.2">
      <c r="A125" s="634"/>
      <c r="B125" s="635"/>
      <c r="C125" s="635"/>
      <c r="D125" s="615"/>
      <c r="E125" s="599"/>
      <c r="F125" s="600"/>
      <c r="G125" s="540"/>
      <c r="H125" s="541"/>
      <c r="I125" s="543"/>
      <c r="J125" s="604"/>
      <c r="K125" s="628"/>
      <c r="L125" s="629"/>
      <c r="M125" s="184"/>
      <c r="N125" s="520"/>
      <c r="O125" s="186"/>
      <c r="P125" s="520"/>
      <c r="Q125" s="186"/>
      <c r="R125" s="520"/>
      <c r="S125" s="620"/>
      <c r="T125" s="621"/>
      <c r="U125" s="621"/>
      <c r="V125" s="621"/>
      <c r="W125" s="621"/>
      <c r="X125" s="621"/>
      <c r="Y125" s="621"/>
      <c r="Z125" s="621"/>
      <c r="AA125" s="621"/>
      <c r="AB125" s="622"/>
      <c r="AC125" s="143"/>
      <c r="AD125" s="218"/>
      <c r="AE125" s="218"/>
      <c r="AF125" s="218"/>
      <c r="AG125" s="218"/>
      <c r="AH125" s="218"/>
      <c r="AI125" s="218"/>
      <c r="AJ125" s="228" t="e">
        <f t="shared" ca="1" si="15"/>
        <v>#VALUE!</v>
      </c>
      <c r="AK125" s="228">
        <f t="shared" ca="1" si="15"/>
        <v>0</v>
      </c>
      <c r="AL125" s="663"/>
      <c r="AM125" s="65" t="e">
        <f t="shared" ca="1" si="16"/>
        <v>#VALUE!</v>
      </c>
      <c r="AN125" s="181"/>
      <c r="AO125" s="181"/>
      <c r="AP125" s="218"/>
      <c r="AQ125" s="218"/>
      <c r="AR125" s="664"/>
      <c r="AS125" s="664"/>
      <c r="AT125" s="664"/>
      <c r="AU125" s="664"/>
      <c r="AV125" s="664"/>
      <c r="AW125" s="87"/>
      <c r="AX125" s="87"/>
      <c r="AY125" s="87"/>
      <c r="AZ125" s="87"/>
      <c r="BA125" s="87"/>
      <c r="BB125" s="87"/>
      <c r="BC125" s="87"/>
    </row>
    <row r="126" spans="1:74" s="88" customFormat="1" ht="15" customHeight="1" x14ac:dyDescent="0.2">
      <c r="A126" s="634"/>
      <c r="B126" s="635"/>
      <c r="C126" s="635"/>
      <c r="D126" s="615"/>
      <c r="E126" s="599"/>
      <c r="F126" s="600"/>
      <c r="G126" s="539"/>
      <c r="H126" s="541"/>
      <c r="I126" s="543"/>
      <c r="J126" s="604"/>
      <c r="K126" s="610" t="str">
        <f ca="1">Translations!$A$79</f>
        <v>Above indicative</v>
      </c>
      <c r="L126" s="611"/>
      <c r="M126" s="183"/>
      <c r="N126" s="519" t="str">
        <f>IF(M127&lt;&gt;"",M126/M127,"")</f>
        <v/>
      </c>
      <c r="O126" s="185"/>
      <c r="P126" s="519" t="str">
        <f>IF(O127&lt;&gt;"",O126/O127,"")</f>
        <v/>
      </c>
      <c r="Q126" s="185"/>
      <c r="R126" s="519" t="str">
        <f>IF(Q127&lt;&gt;"",Q126/Q127,"")</f>
        <v/>
      </c>
      <c r="S126" s="620"/>
      <c r="T126" s="621"/>
      <c r="U126" s="621"/>
      <c r="V126" s="621"/>
      <c r="W126" s="621"/>
      <c r="X126" s="621"/>
      <c r="Y126" s="621"/>
      <c r="Z126" s="621"/>
      <c r="AA126" s="621"/>
      <c r="AB126" s="622"/>
      <c r="AC126" s="143"/>
      <c r="AD126" s="218"/>
      <c r="AE126" s="218"/>
      <c r="AF126" s="218"/>
      <c r="AG126" s="218"/>
      <c r="AH126" s="218"/>
      <c r="AI126" s="218"/>
      <c r="AJ126" s="228" t="e">
        <f t="shared" ca="1" si="15"/>
        <v>#VALUE!</v>
      </c>
      <c r="AK126" s="228">
        <f t="shared" ca="1" si="15"/>
        <v>0</v>
      </c>
      <c r="AL126" s="663"/>
      <c r="AM126" s="65" t="e">
        <f t="shared" ca="1" si="16"/>
        <v>#VALUE!</v>
      </c>
      <c r="AN126" s="181"/>
      <c r="AO126" s="181"/>
      <c r="AP126" s="218"/>
      <c r="AQ126" s="218"/>
      <c r="AR126" s="664"/>
      <c r="AS126" s="664"/>
      <c r="AT126" s="664"/>
      <c r="AU126" s="664"/>
      <c r="AV126" s="664"/>
      <c r="AW126" s="87"/>
      <c r="AX126" s="87"/>
      <c r="AY126" s="87"/>
      <c r="AZ126" s="87"/>
      <c r="BA126" s="87"/>
      <c r="BB126" s="87"/>
      <c r="BC126" s="87"/>
    </row>
    <row r="127" spans="1:74" s="88" customFormat="1" x14ac:dyDescent="0.2">
      <c r="A127" s="636"/>
      <c r="B127" s="637"/>
      <c r="C127" s="637"/>
      <c r="D127" s="616"/>
      <c r="E127" s="601"/>
      <c r="F127" s="602"/>
      <c r="G127" s="540"/>
      <c r="H127" s="520"/>
      <c r="I127" s="544"/>
      <c r="J127" s="605"/>
      <c r="K127" s="612"/>
      <c r="L127" s="613"/>
      <c r="M127" s="184"/>
      <c r="N127" s="520"/>
      <c r="O127" s="186"/>
      <c r="P127" s="520"/>
      <c r="Q127" s="186"/>
      <c r="R127" s="520"/>
      <c r="S127" s="623"/>
      <c r="T127" s="624"/>
      <c r="U127" s="624"/>
      <c r="V127" s="624"/>
      <c r="W127" s="624"/>
      <c r="X127" s="624"/>
      <c r="Y127" s="624"/>
      <c r="Z127" s="624"/>
      <c r="AA127" s="624"/>
      <c r="AB127" s="625"/>
      <c r="AC127" s="143"/>
      <c r="AD127" s="218"/>
      <c r="AE127" s="218"/>
      <c r="AF127" s="218"/>
      <c r="AG127" s="218"/>
      <c r="AH127" s="218"/>
      <c r="AI127" s="218"/>
      <c r="AJ127" s="228" t="e">
        <f t="shared" ca="1" si="15"/>
        <v>#VALUE!</v>
      </c>
      <c r="AK127" s="228">
        <f t="shared" ca="1" si="15"/>
        <v>0</v>
      </c>
      <c r="AL127" s="663"/>
      <c r="AM127" s="65" t="e">
        <f t="shared" ca="1" si="16"/>
        <v>#VALUE!</v>
      </c>
      <c r="AN127" s="181"/>
      <c r="AO127" s="181"/>
      <c r="AP127" s="218"/>
      <c r="AQ127" s="218"/>
      <c r="AR127" s="664"/>
      <c r="AS127" s="664"/>
      <c r="AT127" s="664"/>
      <c r="AU127" s="664"/>
      <c r="AV127" s="664"/>
      <c r="AW127" s="87"/>
      <c r="AX127" s="87"/>
      <c r="AY127" s="87"/>
      <c r="AZ127" s="87"/>
      <c r="BA127" s="87"/>
      <c r="BB127" s="87"/>
      <c r="BC127" s="87"/>
    </row>
    <row r="128" spans="1:74" s="88" customFormat="1" ht="15" customHeight="1" x14ac:dyDescent="0.2">
      <c r="A128" s="632" t="str">
        <f t="shared" ref="A128" ca="1" si="21">IFERROR(INDIRECT(ADDRESS(AL128,5,1,TRUE,"Coverage ind")),"")</f>
        <v/>
      </c>
      <c r="B128" s="633"/>
      <c r="C128" s="633"/>
      <c r="D128" s="614" t="str">
        <f ca="1">Translations!$A$72</f>
        <v>Please select…</v>
      </c>
      <c r="E128" s="597" t="str">
        <f ca="1">Translations!$A$72</f>
        <v>Please select…</v>
      </c>
      <c r="F128" s="598"/>
      <c r="G128" s="539"/>
      <c r="H128" s="519" t="str">
        <f>IF($G130&lt;&gt;"",$G128/$G130,"")</f>
        <v/>
      </c>
      <c r="I128" s="542"/>
      <c r="J128" s="603" t="str">
        <f ca="1">Translations!$A$72</f>
        <v>Please select…</v>
      </c>
      <c r="K128" s="626" t="str">
        <f ca="1">Translations!$A$78</f>
        <v>Indicative</v>
      </c>
      <c r="L128" s="627"/>
      <c r="M128" s="183"/>
      <c r="N128" s="519" t="str">
        <f>IF(M129&lt;&gt;"",M128/M129,"")</f>
        <v/>
      </c>
      <c r="O128" s="185"/>
      <c r="P128" s="519" t="str">
        <f>IF(O129&lt;&gt;"",O128/O129,"")</f>
        <v/>
      </c>
      <c r="Q128" s="185"/>
      <c r="R128" s="519" t="str">
        <f>IF(Q129&lt;&gt;"",Q128/Q129,"")</f>
        <v/>
      </c>
      <c r="S128" s="617"/>
      <c r="T128" s="618"/>
      <c r="U128" s="618"/>
      <c r="V128" s="618"/>
      <c r="W128" s="618"/>
      <c r="X128" s="618"/>
      <c r="Y128" s="618"/>
      <c r="Z128" s="618"/>
      <c r="AA128" s="618"/>
      <c r="AB128" s="619"/>
      <c r="AC128" s="143"/>
      <c r="AD128" s="218"/>
      <c r="AE128" s="218"/>
      <c r="AF128" s="218"/>
      <c r="AG128" s="218"/>
      <c r="AH128" s="218"/>
      <c r="AI128" s="218"/>
      <c r="AJ128" s="228" t="e">
        <f t="shared" ca="1" si="15"/>
        <v>#VALUE!</v>
      </c>
      <c r="AK128" s="228">
        <f t="shared" ca="1" si="15"/>
        <v>0</v>
      </c>
      <c r="AL128" s="663" t="str">
        <f t="shared" ref="AL128" ca="1" si="22">IFERROR(IF(INDIRECT(ADDRESS(ROW()-4,COLUMN()))+1&lt;=AJ128+AK128,INDIRECT(ADDRESS(ROW()-4,COLUMN()))+1,""),"")</f>
        <v/>
      </c>
      <c r="AM128" s="65" t="e">
        <f t="shared" ca="1" si="16"/>
        <v>#VALUE!</v>
      </c>
      <c r="AN128" s="181"/>
      <c r="AO128" s="181"/>
      <c r="AP128" s="218"/>
      <c r="AQ128" s="218"/>
      <c r="AR128" s="664"/>
      <c r="AS128" s="664"/>
      <c r="AT128" s="664"/>
      <c r="AU128" s="664"/>
      <c r="AV128" s="664"/>
      <c r="AW128" s="87"/>
      <c r="AX128" s="87"/>
      <c r="AY128" s="87"/>
      <c r="AZ128" s="87"/>
      <c r="BA128" s="87"/>
      <c r="BB128" s="87"/>
      <c r="BC128" s="87"/>
    </row>
    <row r="129" spans="1:55" s="88" customFormat="1" x14ac:dyDescent="0.2">
      <c r="A129" s="634"/>
      <c r="B129" s="635"/>
      <c r="C129" s="635"/>
      <c r="D129" s="615"/>
      <c r="E129" s="599"/>
      <c r="F129" s="600"/>
      <c r="G129" s="540"/>
      <c r="H129" s="541"/>
      <c r="I129" s="543"/>
      <c r="J129" s="604"/>
      <c r="K129" s="628"/>
      <c r="L129" s="629"/>
      <c r="M129" s="184"/>
      <c r="N129" s="520"/>
      <c r="O129" s="186"/>
      <c r="P129" s="520"/>
      <c r="Q129" s="186"/>
      <c r="R129" s="520"/>
      <c r="S129" s="620"/>
      <c r="T129" s="621"/>
      <c r="U129" s="621"/>
      <c r="V129" s="621"/>
      <c r="W129" s="621"/>
      <c r="X129" s="621"/>
      <c r="Y129" s="621"/>
      <c r="Z129" s="621"/>
      <c r="AA129" s="621"/>
      <c r="AB129" s="622"/>
      <c r="AC129" s="143"/>
      <c r="AD129" s="218"/>
      <c r="AE129" s="218"/>
      <c r="AF129" s="218"/>
      <c r="AG129" s="218"/>
      <c r="AH129" s="218"/>
      <c r="AI129" s="218"/>
      <c r="AJ129" s="228" t="e">
        <f t="shared" ca="1" si="15"/>
        <v>#VALUE!</v>
      </c>
      <c r="AK129" s="228">
        <f t="shared" ca="1" si="15"/>
        <v>0</v>
      </c>
      <c r="AL129" s="663"/>
      <c r="AM129" s="65" t="e">
        <f t="shared" ca="1" si="16"/>
        <v>#VALUE!</v>
      </c>
      <c r="AN129" s="181"/>
      <c r="AO129" s="181"/>
      <c r="AP129" s="218"/>
      <c r="AQ129" s="218"/>
      <c r="AR129" s="664"/>
      <c r="AS129" s="664"/>
      <c r="AT129" s="664"/>
      <c r="AU129" s="664"/>
      <c r="AV129" s="664"/>
      <c r="AW129" s="87"/>
      <c r="AX129" s="87"/>
      <c r="AY129" s="87"/>
      <c r="AZ129" s="87"/>
      <c r="BA129" s="87"/>
      <c r="BB129" s="87"/>
      <c r="BC129" s="87"/>
    </row>
    <row r="130" spans="1:55" s="88" customFormat="1" ht="15" customHeight="1" x14ac:dyDescent="0.2">
      <c r="A130" s="634"/>
      <c r="B130" s="635"/>
      <c r="C130" s="635"/>
      <c r="D130" s="615"/>
      <c r="E130" s="599"/>
      <c r="F130" s="600"/>
      <c r="G130" s="539"/>
      <c r="H130" s="541"/>
      <c r="I130" s="543"/>
      <c r="J130" s="604"/>
      <c r="K130" s="610" t="str">
        <f ca="1">Translations!$A$79</f>
        <v>Above indicative</v>
      </c>
      <c r="L130" s="611"/>
      <c r="M130" s="183"/>
      <c r="N130" s="519" t="str">
        <f>IF(M131&lt;&gt;"",M130/M131,"")</f>
        <v/>
      </c>
      <c r="O130" s="185"/>
      <c r="P130" s="519" t="str">
        <f>IF(O131&lt;&gt;"",O130/O131,"")</f>
        <v/>
      </c>
      <c r="Q130" s="185"/>
      <c r="R130" s="519" t="str">
        <f>IF(Q131&lt;&gt;"",Q130/Q131,"")</f>
        <v/>
      </c>
      <c r="S130" s="620"/>
      <c r="T130" s="621"/>
      <c r="U130" s="621"/>
      <c r="V130" s="621"/>
      <c r="W130" s="621"/>
      <c r="X130" s="621"/>
      <c r="Y130" s="621"/>
      <c r="Z130" s="621"/>
      <c r="AA130" s="621"/>
      <c r="AB130" s="622"/>
      <c r="AC130" s="143"/>
      <c r="AD130" s="218"/>
      <c r="AE130" s="218"/>
      <c r="AF130" s="218"/>
      <c r="AG130" s="218"/>
      <c r="AH130" s="218"/>
      <c r="AI130" s="218"/>
      <c r="AJ130" s="228" t="e">
        <f t="shared" ca="1" si="15"/>
        <v>#VALUE!</v>
      </c>
      <c r="AK130" s="228">
        <f t="shared" ca="1" si="15"/>
        <v>0</v>
      </c>
      <c r="AL130" s="663"/>
      <c r="AM130" s="65" t="e">
        <f t="shared" ca="1" si="16"/>
        <v>#VALUE!</v>
      </c>
      <c r="AN130" s="181"/>
      <c r="AO130" s="181"/>
      <c r="AP130" s="218"/>
      <c r="AQ130" s="218"/>
      <c r="AR130" s="664"/>
      <c r="AS130" s="664"/>
      <c r="AT130" s="664"/>
      <c r="AU130" s="664"/>
      <c r="AV130" s="664"/>
      <c r="AW130" s="87"/>
      <c r="AX130" s="87"/>
      <c r="AY130" s="87"/>
      <c r="AZ130" s="87"/>
      <c r="BA130" s="87"/>
      <c r="BB130" s="87"/>
      <c r="BC130" s="87"/>
    </row>
    <row r="131" spans="1:55" s="88" customFormat="1" x14ac:dyDescent="0.2">
      <c r="A131" s="636"/>
      <c r="B131" s="637"/>
      <c r="C131" s="637"/>
      <c r="D131" s="616"/>
      <c r="E131" s="601"/>
      <c r="F131" s="602"/>
      <c r="G131" s="540"/>
      <c r="H131" s="520"/>
      <c r="I131" s="544"/>
      <c r="J131" s="605"/>
      <c r="K131" s="612"/>
      <c r="L131" s="613"/>
      <c r="M131" s="184"/>
      <c r="N131" s="520"/>
      <c r="O131" s="186"/>
      <c r="P131" s="520"/>
      <c r="Q131" s="186"/>
      <c r="R131" s="520"/>
      <c r="S131" s="623"/>
      <c r="T131" s="624"/>
      <c r="U131" s="624"/>
      <c r="V131" s="624"/>
      <c r="W131" s="624"/>
      <c r="X131" s="624"/>
      <c r="Y131" s="624"/>
      <c r="Z131" s="624"/>
      <c r="AA131" s="624"/>
      <c r="AB131" s="625"/>
      <c r="AC131" s="143"/>
      <c r="AD131" s="218"/>
      <c r="AE131" s="218"/>
      <c r="AF131" s="218"/>
      <c r="AG131" s="218"/>
      <c r="AH131" s="218"/>
      <c r="AI131" s="218"/>
      <c r="AJ131" s="228" t="e">
        <f t="shared" ca="1" si="15"/>
        <v>#VALUE!</v>
      </c>
      <c r="AK131" s="228">
        <f t="shared" ca="1" si="15"/>
        <v>0</v>
      </c>
      <c r="AL131" s="663"/>
      <c r="AM131" s="65" t="e">
        <f t="shared" ca="1" si="16"/>
        <v>#VALUE!</v>
      </c>
      <c r="AN131" s="181"/>
      <c r="AO131" s="181"/>
      <c r="AP131" s="218"/>
      <c r="AQ131" s="218"/>
      <c r="AR131" s="664"/>
      <c r="AS131" s="664"/>
      <c r="AT131" s="664"/>
      <c r="AU131" s="664"/>
      <c r="AV131" s="664"/>
      <c r="AW131" s="87"/>
      <c r="AX131" s="87"/>
      <c r="AY131" s="87"/>
      <c r="AZ131" s="87"/>
      <c r="BA131" s="87"/>
      <c r="BB131" s="87"/>
      <c r="BC131" s="87"/>
    </row>
    <row r="132" spans="1:55" s="88" customFormat="1" ht="15" customHeight="1" x14ac:dyDescent="0.2">
      <c r="A132" s="632" t="str">
        <f t="shared" ref="A132" ca="1" si="23">IFERROR(INDIRECT(ADDRESS(AL132,5,1,TRUE,"Coverage ind")),"")</f>
        <v/>
      </c>
      <c r="B132" s="633"/>
      <c r="C132" s="633"/>
      <c r="D132" s="614" t="str">
        <f ca="1">Translations!$A$72</f>
        <v>Please select…</v>
      </c>
      <c r="E132" s="597" t="str">
        <f ca="1">Translations!$A$72</f>
        <v>Please select…</v>
      </c>
      <c r="F132" s="598"/>
      <c r="G132" s="539"/>
      <c r="H132" s="519" t="str">
        <f>IF($G134&lt;&gt;"",$G132/$G134,"")</f>
        <v/>
      </c>
      <c r="I132" s="542"/>
      <c r="J132" s="603" t="str">
        <f ca="1">Translations!$A$72</f>
        <v>Please select…</v>
      </c>
      <c r="K132" s="626" t="str">
        <f ca="1">Translations!$A$78</f>
        <v>Indicative</v>
      </c>
      <c r="L132" s="627"/>
      <c r="M132" s="183"/>
      <c r="N132" s="519" t="str">
        <f>IF(M133&lt;&gt;"",M132/M133,"")</f>
        <v/>
      </c>
      <c r="O132" s="185"/>
      <c r="P132" s="519" t="str">
        <f>IF(O133&lt;&gt;"",O132/O133,"")</f>
        <v/>
      </c>
      <c r="Q132" s="185"/>
      <c r="R132" s="519" t="str">
        <f>IF(Q133&lt;&gt;"",Q132/Q133,"")</f>
        <v/>
      </c>
      <c r="S132" s="617"/>
      <c r="T132" s="618"/>
      <c r="U132" s="618"/>
      <c r="V132" s="618"/>
      <c r="W132" s="618"/>
      <c r="X132" s="618"/>
      <c r="Y132" s="618"/>
      <c r="Z132" s="618"/>
      <c r="AA132" s="618"/>
      <c r="AB132" s="619"/>
      <c r="AC132" s="143"/>
      <c r="AD132" s="218"/>
      <c r="AE132" s="218"/>
      <c r="AF132" s="218"/>
      <c r="AG132" s="218"/>
      <c r="AH132" s="218"/>
      <c r="AI132" s="218"/>
      <c r="AJ132" s="228" t="e">
        <f t="shared" ca="1" si="15"/>
        <v>#VALUE!</v>
      </c>
      <c r="AK132" s="228">
        <f t="shared" ca="1" si="15"/>
        <v>0</v>
      </c>
      <c r="AL132" s="663" t="str">
        <f t="shared" ref="AL132" ca="1" si="24">IFERROR(IF(INDIRECT(ADDRESS(ROW()-4,COLUMN()))+1&lt;=AJ132+AK132,INDIRECT(ADDRESS(ROW()-4,COLUMN()))+1,""),"")</f>
        <v/>
      </c>
      <c r="AM132" s="65" t="e">
        <f t="shared" ca="1" si="16"/>
        <v>#VALUE!</v>
      </c>
      <c r="AN132" s="181"/>
      <c r="AO132" s="181"/>
      <c r="AP132" s="218"/>
      <c r="AQ132" s="218"/>
      <c r="AR132" s="664"/>
      <c r="AS132" s="664"/>
      <c r="AT132" s="664"/>
      <c r="AU132" s="664"/>
      <c r="AV132" s="664"/>
      <c r="AW132" s="87"/>
      <c r="AX132" s="87"/>
      <c r="AY132" s="87"/>
      <c r="AZ132" s="87"/>
      <c r="BA132" s="87"/>
      <c r="BB132" s="87"/>
      <c r="BC132" s="87"/>
    </row>
    <row r="133" spans="1:55" s="88" customFormat="1" x14ac:dyDescent="0.2">
      <c r="A133" s="634"/>
      <c r="B133" s="635"/>
      <c r="C133" s="635"/>
      <c r="D133" s="615"/>
      <c r="E133" s="599"/>
      <c r="F133" s="600"/>
      <c r="G133" s="540"/>
      <c r="H133" s="541"/>
      <c r="I133" s="543"/>
      <c r="J133" s="604"/>
      <c r="K133" s="628"/>
      <c r="L133" s="629"/>
      <c r="M133" s="184"/>
      <c r="N133" s="520"/>
      <c r="O133" s="186"/>
      <c r="P133" s="520"/>
      <c r="Q133" s="186"/>
      <c r="R133" s="520"/>
      <c r="S133" s="620"/>
      <c r="T133" s="621"/>
      <c r="U133" s="621"/>
      <c r="V133" s="621"/>
      <c r="W133" s="621"/>
      <c r="X133" s="621"/>
      <c r="Y133" s="621"/>
      <c r="Z133" s="621"/>
      <c r="AA133" s="621"/>
      <c r="AB133" s="622"/>
      <c r="AC133" s="143"/>
      <c r="AD133" s="218"/>
      <c r="AE133" s="218"/>
      <c r="AF133" s="218"/>
      <c r="AG133" s="218"/>
      <c r="AH133" s="218"/>
      <c r="AI133" s="218"/>
      <c r="AJ133" s="228" t="e">
        <f t="shared" ca="1" si="15"/>
        <v>#VALUE!</v>
      </c>
      <c r="AK133" s="228">
        <f t="shared" ca="1" si="15"/>
        <v>0</v>
      </c>
      <c r="AL133" s="663"/>
      <c r="AM133" s="65" t="e">
        <f t="shared" ca="1" si="16"/>
        <v>#VALUE!</v>
      </c>
      <c r="AN133" s="181"/>
      <c r="AO133" s="181"/>
      <c r="AP133" s="218"/>
      <c r="AQ133" s="218"/>
      <c r="AR133" s="664"/>
      <c r="AS133" s="664"/>
      <c r="AT133" s="664"/>
      <c r="AU133" s="664"/>
      <c r="AV133" s="664"/>
      <c r="AW133" s="87"/>
      <c r="AX133" s="87"/>
      <c r="AY133" s="87"/>
      <c r="AZ133" s="87"/>
      <c r="BA133" s="87"/>
      <c r="BB133" s="87"/>
      <c r="BC133" s="87"/>
    </row>
    <row r="134" spans="1:55" s="88" customFormat="1" ht="15" customHeight="1" x14ac:dyDescent="0.2">
      <c r="A134" s="634"/>
      <c r="B134" s="635"/>
      <c r="C134" s="635"/>
      <c r="D134" s="615"/>
      <c r="E134" s="599"/>
      <c r="F134" s="600"/>
      <c r="G134" s="539"/>
      <c r="H134" s="541"/>
      <c r="I134" s="543"/>
      <c r="J134" s="604"/>
      <c r="K134" s="610" t="str">
        <f ca="1">Translations!$A$79</f>
        <v>Above indicative</v>
      </c>
      <c r="L134" s="611"/>
      <c r="M134" s="183"/>
      <c r="N134" s="519" t="str">
        <f>IF(M135&lt;&gt;"",M134/M135,"")</f>
        <v/>
      </c>
      <c r="O134" s="185"/>
      <c r="P134" s="519" t="str">
        <f>IF(O135&lt;&gt;"",O134/O135,"")</f>
        <v/>
      </c>
      <c r="Q134" s="185"/>
      <c r="R134" s="519" t="str">
        <f>IF(Q135&lt;&gt;"",Q134/Q135,"")</f>
        <v/>
      </c>
      <c r="S134" s="620"/>
      <c r="T134" s="621"/>
      <c r="U134" s="621"/>
      <c r="V134" s="621"/>
      <c r="W134" s="621"/>
      <c r="X134" s="621"/>
      <c r="Y134" s="621"/>
      <c r="Z134" s="621"/>
      <c r="AA134" s="621"/>
      <c r="AB134" s="622"/>
      <c r="AC134" s="143"/>
      <c r="AD134" s="218"/>
      <c r="AE134" s="218"/>
      <c r="AF134" s="218"/>
      <c r="AG134" s="218"/>
      <c r="AH134" s="218"/>
      <c r="AI134" s="218"/>
      <c r="AJ134" s="228" t="e">
        <f t="shared" ca="1" si="15"/>
        <v>#VALUE!</v>
      </c>
      <c r="AK134" s="228">
        <f t="shared" ca="1" si="15"/>
        <v>0</v>
      </c>
      <c r="AL134" s="663"/>
      <c r="AM134" s="65" t="e">
        <f t="shared" ca="1" si="16"/>
        <v>#VALUE!</v>
      </c>
      <c r="AN134" s="181"/>
      <c r="AO134" s="181"/>
      <c r="AP134" s="218"/>
      <c r="AQ134" s="218"/>
      <c r="AR134" s="664"/>
      <c r="AS134" s="664"/>
      <c r="AT134" s="664"/>
      <c r="AU134" s="664"/>
      <c r="AV134" s="664"/>
      <c r="AW134" s="87"/>
      <c r="AX134" s="87"/>
      <c r="AY134" s="87"/>
      <c r="AZ134" s="87"/>
      <c r="BA134" s="87"/>
      <c r="BB134" s="87"/>
      <c r="BC134" s="87"/>
    </row>
    <row r="135" spans="1:55" s="88" customFormat="1" x14ac:dyDescent="0.2">
      <c r="A135" s="636"/>
      <c r="B135" s="637"/>
      <c r="C135" s="637"/>
      <c r="D135" s="616"/>
      <c r="E135" s="601"/>
      <c r="F135" s="602"/>
      <c r="G135" s="540"/>
      <c r="H135" s="520"/>
      <c r="I135" s="544"/>
      <c r="J135" s="605"/>
      <c r="K135" s="612"/>
      <c r="L135" s="613"/>
      <c r="M135" s="184"/>
      <c r="N135" s="520"/>
      <c r="O135" s="186"/>
      <c r="P135" s="520"/>
      <c r="Q135" s="186"/>
      <c r="R135" s="520"/>
      <c r="S135" s="623"/>
      <c r="T135" s="624"/>
      <c r="U135" s="624"/>
      <c r="V135" s="624"/>
      <c r="W135" s="624"/>
      <c r="X135" s="624"/>
      <c r="Y135" s="624"/>
      <c r="Z135" s="624"/>
      <c r="AA135" s="624"/>
      <c r="AB135" s="625"/>
      <c r="AC135" s="143"/>
      <c r="AD135" s="218"/>
      <c r="AE135" s="218"/>
      <c r="AF135" s="218"/>
      <c r="AG135" s="218"/>
      <c r="AH135" s="218"/>
      <c r="AI135" s="218"/>
      <c r="AJ135" s="228" t="e">
        <f t="shared" ca="1" si="15"/>
        <v>#VALUE!</v>
      </c>
      <c r="AK135" s="228">
        <f t="shared" ca="1" si="15"/>
        <v>0</v>
      </c>
      <c r="AL135" s="663"/>
      <c r="AM135" s="65" t="e">
        <f t="shared" ca="1" si="16"/>
        <v>#VALUE!</v>
      </c>
      <c r="AN135" s="181"/>
      <c r="AO135" s="181"/>
      <c r="AP135" s="218"/>
      <c r="AQ135" s="218"/>
      <c r="AR135" s="664"/>
      <c r="AS135" s="664"/>
      <c r="AT135" s="664"/>
      <c r="AU135" s="664"/>
      <c r="AV135" s="664"/>
      <c r="AW135" s="87"/>
      <c r="AX135" s="87"/>
      <c r="AY135" s="87"/>
      <c r="AZ135" s="87"/>
      <c r="BA135" s="87"/>
      <c r="BB135" s="87"/>
      <c r="BC135" s="87"/>
    </row>
    <row r="136" spans="1:55" s="88" customFormat="1" ht="15" customHeight="1" x14ac:dyDescent="0.2">
      <c r="A136" s="632" t="str">
        <f t="shared" ref="A136" ca="1" si="25">IFERROR(INDIRECT(ADDRESS(AL136,5,1,TRUE,"Coverage ind")),"")</f>
        <v/>
      </c>
      <c r="B136" s="633"/>
      <c r="C136" s="633"/>
      <c r="D136" s="614" t="str">
        <f ca="1">Translations!$A$72</f>
        <v>Please select…</v>
      </c>
      <c r="E136" s="597" t="str">
        <f ca="1">Translations!$A$72</f>
        <v>Please select…</v>
      </c>
      <c r="F136" s="598"/>
      <c r="G136" s="539"/>
      <c r="H136" s="519" t="str">
        <f>IF($G138&lt;&gt;"",$G136/$G138,"")</f>
        <v/>
      </c>
      <c r="I136" s="542"/>
      <c r="J136" s="603" t="str">
        <f ca="1">Translations!$A$72</f>
        <v>Please select…</v>
      </c>
      <c r="K136" s="626" t="str">
        <f ca="1">Translations!$A$78</f>
        <v>Indicative</v>
      </c>
      <c r="L136" s="627"/>
      <c r="M136" s="183"/>
      <c r="N136" s="519" t="str">
        <f>IF(M137&lt;&gt;"",M136/M137,"")</f>
        <v/>
      </c>
      <c r="O136" s="185"/>
      <c r="P136" s="519" t="str">
        <f>IF(O137&lt;&gt;"",O136/O137,"")</f>
        <v/>
      </c>
      <c r="Q136" s="185"/>
      <c r="R136" s="519" t="str">
        <f>IF(Q137&lt;&gt;"",Q136/Q137,"")</f>
        <v/>
      </c>
      <c r="S136" s="617"/>
      <c r="T136" s="618"/>
      <c r="U136" s="618"/>
      <c r="V136" s="618"/>
      <c r="W136" s="618"/>
      <c r="X136" s="618"/>
      <c r="Y136" s="618"/>
      <c r="Z136" s="618"/>
      <c r="AA136" s="618"/>
      <c r="AB136" s="619"/>
      <c r="AC136" s="143"/>
      <c r="AD136" s="218"/>
      <c r="AE136" s="218"/>
      <c r="AF136" s="218"/>
      <c r="AG136" s="218"/>
      <c r="AH136" s="218"/>
      <c r="AI136" s="218"/>
      <c r="AJ136" s="228" t="e">
        <f t="shared" ca="1" si="15"/>
        <v>#VALUE!</v>
      </c>
      <c r="AK136" s="228">
        <f t="shared" ca="1" si="15"/>
        <v>0</v>
      </c>
      <c r="AL136" s="663" t="str">
        <f t="shared" ref="AL136" ca="1" si="26">IFERROR(IF(INDIRECT(ADDRESS(ROW()-4,COLUMN()))+1&lt;=AJ136+AK136,INDIRECT(ADDRESS(ROW()-4,COLUMN()))+1,""),"")</f>
        <v/>
      </c>
      <c r="AM136" s="65" t="e">
        <f t="shared" ca="1" si="16"/>
        <v>#VALUE!</v>
      </c>
      <c r="AN136" s="181"/>
      <c r="AO136" s="181"/>
      <c r="AP136" s="218"/>
      <c r="AQ136" s="218"/>
      <c r="AR136" s="664"/>
      <c r="AS136" s="664"/>
      <c r="AT136" s="664"/>
      <c r="AU136" s="664"/>
      <c r="AV136" s="664"/>
      <c r="AW136" s="87"/>
      <c r="AX136" s="87"/>
      <c r="AY136" s="87"/>
      <c r="AZ136" s="87"/>
      <c r="BA136" s="87"/>
      <c r="BB136" s="87"/>
      <c r="BC136" s="87"/>
    </row>
    <row r="137" spans="1:55" s="88" customFormat="1" x14ac:dyDescent="0.2">
      <c r="A137" s="634"/>
      <c r="B137" s="635"/>
      <c r="C137" s="635"/>
      <c r="D137" s="615"/>
      <c r="E137" s="599"/>
      <c r="F137" s="600"/>
      <c r="G137" s="540"/>
      <c r="H137" s="541"/>
      <c r="I137" s="543"/>
      <c r="J137" s="604"/>
      <c r="K137" s="628"/>
      <c r="L137" s="629"/>
      <c r="M137" s="184"/>
      <c r="N137" s="520"/>
      <c r="O137" s="186"/>
      <c r="P137" s="520"/>
      <c r="Q137" s="186"/>
      <c r="R137" s="520"/>
      <c r="S137" s="620"/>
      <c r="T137" s="621"/>
      <c r="U137" s="621"/>
      <c r="V137" s="621"/>
      <c r="W137" s="621"/>
      <c r="X137" s="621"/>
      <c r="Y137" s="621"/>
      <c r="Z137" s="621"/>
      <c r="AA137" s="621"/>
      <c r="AB137" s="622"/>
      <c r="AC137" s="143"/>
      <c r="AD137" s="218"/>
      <c r="AE137" s="218"/>
      <c r="AF137" s="218"/>
      <c r="AG137" s="218"/>
      <c r="AH137" s="218"/>
      <c r="AI137" s="218"/>
      <c r="AJ137" s="228" t="e">
        <f t="shared" ca="1" si="15"/>
        <v>#VALUE!</v>
      </c>
      <c r="AK137" s="228">
        <f t="shared" ca="1" si="15"/>
        <v>0</v>
      </c>
      <c r="AL137" s="663"/>
      <c r="AM137" s="65" t="e">
        <f t="shared" ca="1" si="16"/>
        <v>#VALUE!</v>
      </c>
      <c r="AN137" s="181"/>
      <c r="AO137" s="181"/>
      <c r="AP137" s="218"/>
      <c r="AQ137" s="218"/>
      <c r="AR137" s="664"/>
      <c r="AS137" s="664"/>
      <c r="AT137" s="664"/>
      <c r="AU137" s="664"/>
      <c r="AV137" s="664"/>
      <c r="AW137" s="87"/>
      <c r="AX137" s="87"/>
      <c r="AY137" s="87"/>
      <c r="AZ137" s="87"/>
      <c r="BA137" s="87"/>
      <c r="BB137" s="87"/>
      <c r="BC137" s="87"/>
    </row>
    <row r="138" spans="1:55" s="88" customFormat="1" ht="15" customHeight="1" x14ac:dyDescent="0.2">
      <c r="A138" s="634"/>
      <c r="B138" s="635"/>
      <c r="C138" s="635"/>
      <c r="D138" s="615"/>
      <c r="E138" s="599"/>
      <c r="F138" s="600"/>
      <c r="G138" s="539"/>
      <c r="H138" s="541"/>
      <c r="I138" s="543"/>
      <c r="J138" s="604"/>
      <c r="K138" s="610" t="str">
        <f ca="1">Translations!$A$79</f>
        <v>Above indicative</v>
      </c>
      <c r="L138" s="611"/>
      <c r="M138" s="183"/>
      <c r="N138" s="519" t="str">
        <f>IF(M139&lt;&gt;"",M138/M139,"")</f>
        <v/>
      </c>
      <c r="O138" s="185"/>
      <c r="P138" s="519" t="str">
        <f>IF(O139&lt;&gt;"",O138/O139,"")</f>
        <v/>
      </c>
      <c r="Q138" s="185"/>
      <c r="R138" s="519" t="str">
        <f>IF(Q139&lt;&gt;"",Q138/Q139,"")</f>
        <v/>
      </c>
      <c r="S138" s="620"/>
      <c r="T138" s="621"/>
      <c r="U138" s="621"/>
      <c r="V138" s="621"/>
      <c r="W138" s="621"/>
      <c r="X138" s="621"/>
      <c r="Y138" s="621"/>
      <c r="Z138" s="621"/>
      <c r="AA138" s="621"/>
      <c r="AB138" s="622"/>
      <c r="AC138" s="143"/>
      <c r="AD138" s="218"/>
      <c r="AE138" s="218"/>
      <c r="AF138" s="218"/>
      <c r="AG138" s="218"/>
      <c r="AH138" s="218"/>
      <c r="AI138" s="218"/>
      <c r="AJ138" s="228" t="e">
        <f t="shared" ca="1" si="15"/>
        <v>#VALUE!</v>
      </c>
      <c r="AK138" s="228">
        <f t="shared" ca="1" si="15"/>
        <v>0</v>
      </c>
      <c r="AL138" s="663"/>
      <c r="AM138" s="65" t="e">
        <f t="shared" ca="1" si="16"/>
        <v>#VALUE!</v>
      </c>
      <c r="AN138" s="181"/>
      <c r="AO138" s="181"/>
      <c r="AP138" s="218"/>
      <c r="AQ138" s="218"/>
      <c r="AR138" s="664"/>
      <c r="AS138" s="664"/>
      <c r="AT138" s="664"/>
      <c r="AU138" s="664"/>
      <c r="AV138" s="664"/>
      <c r="AW138" s="87"/>
      <c r="AX138" s="87"/>
      <c r="AY138" s="87"/>
      <c r="AZ138" s="87"/>
      <c r="BA138" s="87"/>
      <c r="BB138" s="87"/>
      <c r="BC138" s="87"/>
    </row>
    <row r="139" spans="1:55" s="88" customFormat="1" x14ac:dyDescent="0.2">
      <c r="A139" s="636"/>
      <c r="B139" s="637"/>
      <c r="C139" s="637"/>
      <c r="D139" s="616"/>
      <c r="E139" s="601"/>
      <c r="F139" s="602"/>
      <c r="G139" s="540"/>
      <c r="H139" s="520"/>
      <c r="I139" s="544"/>
      <c r="J139" s="605"/>
      <c r="K139" s="612"/>
      <c r="L139" s="613"/>
      <c r="M139" s="184"/>
      <c r="N139" s="520"/>
      <c r="O139" s="186"/>
      <c r="P139" s="520"/>
      <c r="Q139" s="186"/>
      <c r="R139" s="520"/>
      <c r="S139" s="623"/>
      <c r="T139" s="624"/>
      <c r="U139" s="624"/>
      <c r="V139" s="624"/>
      <c r="W139" s="624"/>
      <c r="X139" s="624"/>
      <c r="Y139" s="624"/>
      <c r="Z139" s="624"/>
      <c r="AA139" s="624"/>
      <c r="AB139" s="625"/>
      <c r="AC139" s="143"/>
      <c r="AD139" s="218"/>
      <c r="AE139" s="218"/>
      <c r="AF139" s="218"/>
      <c r="AG139" s="218"/>
      <c r="AH139" s="218"/>
      <c r="AI139" s="218"/>
      <c r="AJ139" s="228" t="e">
        <f t="shared" ca="1" si="15"/>
        <v>#VALUE!</v>
      </c>
      <c r="AK139" s="228">
        <f t="shared" ca="1" si="15"/>
        <v>0</v>
      </c>
      <c r="AL139" s="663"/>
      <c r="AM139" s="65" t="e">
        <f t="shared" ca="1" si="16"/>
        <v>#VALUE!</v>
      </c>
      <c r="AN139" s="181"/>
      <c r="AO139" s="181"/>
      <c r="AP139" s="218"/>
      <c r="AQ139" s="218"/>
      <c r="AR139" s="664"/>
      <c r="AS139" s="664"/>
      <c r="AT139" s="664"/>
      <c r="AU139" s="664"/>
      <c r="AV139" s="664"/>
      <c r="AW139" s="87"/>
      <c r="AX139" s="87"/>
      <c r="AY139" s="87"/>
      <c r="AZ139" s="87"/>
      <c r="BA139" s="87"/>
      <c r="BB139" s="87"/>
      <c r="BC139" s="87"/>
    </row>
    <row r="140" spans="1:55" s="88" customFormat="1" ht="15" customHeight="1" x14ac:dyDescent="0.2">
      <c r="A140" s="632" t="str">
        <f t="shared" ref="A140" ca="1" si="27">IFERROR(INDIRECT(ADDRESS(AL140,5,1,TRUE,"Coverage ind")),"")</f>
        <v/>
      </c>
      <c r="B140" s="633"/>
      <c r="C140" s="633"/>
      <c r="D140" s="614" t="str">
        <f ca="1">Translations!$A$72</f>
        <v>Please select…</v>
      </c>
      <c r="E140" s="597" t="str">
        <f ca="1">Translations!$A$72</f>
        <v>Please select…</v>
      </c>
      <c r="F140" s="598"/>
      <c r="G140" s="539"/>
      <c r="H140" s="519" t="str">
        <f>IF($G142&lt;&gt;"",$G140/$G142,"")</f>
        <v/>
      </c>
      <c r="I140" s="542"/>
      <c r="J140" s="603" t="str">
        <f ca="1">Translations!$A$72</f>
        <v>Please select…</v>
      </c>
      <c r="K140" s="626" t="str">
        <f ca="1">Translations!$A$78</f>
        <v>Indicative</v>
      </c>
      <c r="L140" s="627"/>
      <c r="M140" s="183"/>
      <c r="N140" s="519" t="str">
        <f>IF(M141&lt;&gt;"",M140/M141,"")</f>
        <v/>
      </c>
      <c r="O140" s="185"/>
      <c r="P140" s="519" t="str">
        <f>IF(O141&lt;&gt;"",O140/O141,"")</f>
        <v/>
      </c>
      <c r="Q140" s="185"/>
      <c r="R140" s="519" t="str">
        <f>IF(Q141&lt;&gt;"",Q140/Q141,"")</f>
        <v/>
      </c>
      <c r="S140" s="617"/>
      <c r="T140" s="618"/>
      <c r="U140" s="618"/>
      <c r="V140" s="618"/>
      <c r="W140" s="618"/>
      <c r="X140" s="618"/>
      <c r="Y140" s="618"/>
      <c r="Z140" s="618"/>
      <c r="AA140" s="618"/>
      <c r="AB140" s="619"/>
      <c r="AC140" s="143"/>
      <c r="AD140" s="218"/>
      <c r="AE140" s="218"/>
      <c r="AF140" s="218"/>
      <c r="AG140" s="218"/>
      <c r="AH140" s="218"/>
      <c r="AI140" s="218"/>
      <c r="AJ140" s="228" t="e">
        <f t="shared" ca="1" si="15"/>
        <v>#VALUE!</v>
      </c>
      <c r="AK140" s="228">
        <f t="shared" ca="1" si="15"/>
        <v>0</v>
      </c>
      <c r="AL140" s="663" t="str">
        <f t="shared" ref="AL140" ca="1" si="28">IFERROR(IF(INDIRECT(ADDRESS(ROW()-4,COLUMN()))+1&lt;=AJ140+AK140,INDIRECT(ADDRESS(ROW()-4,COLUMN()))+1,""),"")</f>
        <v/>
      </c>
      <c r="AM140" s="65" t="e">
        <f t="shared" ca="1" si="16"/>
        <v>#VALUE!</v>
      </c>
      <c r="AN140" s="181"/>
      <c r="AO140" s="181"/>
      <c r="AP140" s="218"/>
      <c r="AQ140" s="218"/>
      <c r="AR140" s="664"/>
      <c r="AS140" s="664"/>
      <c r="AT140" s="664"/>
      <c r="AU140" s="664"/>
      <c r="AV140" s="664"/>
      <c r="AW140" s="87"/>
      <c r="AX140" s="87"/>
      <c r="AY140" s="87"/>
      <c r="AZ140" s="87"/>
      <c r="BA140" s="87"/>
      <c r="BB140" s="87"/>
      <c r="BC140" s="87"/>
    </row>
    <row r="141" spans="1:55" s="88" customFormat="1" x14ac:dyDescent="0.2">
      <c r="A141" s="634"/>
      <c r="B141" s="635"/>
      <c r="C141" s="635"/>
      <c r="D141" s="615"/>
      <c r="E141" s="599"/>
      <c r="F141" s="600"/>
      <c r="G141" s="540"/>
      <c r="H141" s="541"/>
      <c r="I141" s="543"/>
      <c r="J141" s="604"/>
      <c r="K141" s="628"/>
      <c r="L141" s="629"/>
      <c r="M141" s="184"/>
      <c r="N141" s="520"/>
      <c r="O141" s="186"/>
      <c r="P141" s="520"/>
      <c r="Q141" s="186"/>
      <c r="R141" s="520"/>
      <c r="S141" s="620"/>
      <c r="T141" s="621"/>
      <c r="U141" s="621"/>
      <c r="V141" s="621"/>
      <c r="W141" s="621"/>
      <c r="X141" s="621"/>
      <c r="Y141" s="621"/>
      <c r="Z141" s="621"/>
      <c r="AA141" s="621"/>
      <c r="AB141" s="622"/>
      <c r="AC141" s="143"/>
      <c r="AD141" s="218"/>
      <c r="AE141" s="218"/>
      <c r="AF141" s="218"/>
      <c r="AG141" s="218"/>
      <c r="AH141" s="218"/>
      <c r="AI141" s="218"/>
      <c r="AJ141" s="228" t="e">
        <f t="shared" ca="1" si="15"/>
        <v>#VALUE!</v>
      </c>
      <c r="AK141" s="228">
        <f t="shared" ca="1" si="15"/>
        <v>0</v>
      </c>
      <c r="AL141" s="663"/>
      <c r="AM141" s="65" t="e">
        <f t="shared" ca="1" si="16"/>
        <v>#VALUE!</v>
      </c>
      <c r="AN141" s="181"/>
      <c r="AO141" s="181"/>
      <c r="AP141" s="218"/>
      <c r="AQ141" s="218"/>
      <c r="AR141" s="664"/>
      <c r="AS141" s="664"/>
      <c r="AT141" s="664"/>
      <c r="AU141" s="664"/>
      <c r="AV141" s="664"/>
      <c r="AW141" s="87"/>
      <c r="AX141" s="87"/>
      <c r="AY141" s="87"/>
      <c r="AZ141" s="87"/>
      <c r="BA141" s="87"/>
      <c r="BB141" s="87"/>
      <c r="BC141" s="87"/>
    </row>
    <row r="142" spans="1:55" s="88" customFormat="1" ht="15" customHeight="1" x14ac:dyDescent="0.2">
      <c r="A142" s="634"/>
      <c r="B142" s="635"/>
      <c r="C142" s="635"/>
      <c r="D142" s="615"/>
      <c r="E142" s="599"/>
      <c r="F142" s="600"/>
      <c r="G142" s="539"/>
      <c r="H142" s="541"/>
      <c r="I142" s="543"/>
      <c r="J142" s="604"/>
      <c r="K142" s="610" t="str">
        <f ca="1">Translations!$A$79</f>
        <v>Above indicative</v>
      </c>
      <c r="L142" s="611"/>
      <c r="M142" s="183"/>
      <c r="N142" s="519" t="str">
        <f>IF(M143&lt;&gt;"",M142/M143,"")</f>
        <v/>
      </c>
      <c r="O142" s="185"/>
      <c r="P142" s="519" t="str">
        <f>IF(O143&lt;&gt;"",O142/O143,"")</f>
        <v/>
      </c>
      <c r="Q142" s="185"/>
      <c r="R142" s="519" t="str">
        <f>IF(Q143&lt;&gt;"",Q142/Q143,"")</f>
        <v/>
      </c>
      <c r="S142" s="620"/>
      <c r="T142" s="621"/>
      <c r="U142" s="621"/>
      <c r="V142" s="621"/>
      <c r="W142" s="621"/>
      <c r="X142" s="621"/>
      <c r="Y142" s="621"/>
      <c r="Z142" s="621"/>
      <c r="AA142" s="621"/>
      <c r="AB142" s="622"/>
      <c r="AC142" s="143"/>
      <c r="AD142" s="218"/>
      <c r="AE142" s="218"/>
      <c r="AF142" s="218"/>
      <c r="AG142" s="218"/>
      <c r="AH142" s="218"/>
      <c r="AI142" s="218"/>
      <c r="AJ142" s="228" t="e">
        <f t="shared" ca="1" si="15"/>
        <v>#VALUE!</v>
      </c>
      <c r="AK142" s="228">
        <f t="shared" ca="1" si="15"/>
        <v>0</v>
      </c>
      <c r="AL142" s="663"/>
      <c r="AM142" s="65" t="e">
        <f t="shared" ca="1" si="16"/>
        <v>#VALUE!</v>
      </c>
      <c r="AN142" s="181"/>
      <c r="AO142" s="181"/>
      <c r="AP142" s="218"/>
      <c r="AQ142" s="218"/>
      <c r="AR142" s="664"/>
      <c r="AS142" s="664"/>
      <c r="AT142" s="664"/>
      <c r="AU142" s="664"/>
      <c r="AV142" s="664"/>
      <c r="AW142" s="87"/>
      <c r="AX142" s="87"/>
      <c r="AY142" s="87"/>
      <c r="AZ142" s="87"/>
      <c r="BA142" s="87"/>
      <c r="BB142" s="87"/>
      <c r="BC142" s="87"/>
    </row>
    <row r="143" spans="1:55" s="88" customFormat="1" x14ac:dyDescent="0.2">
      <c r="A143" s="636"/>
      <c r="B143" s="637"/>
      <c r="C143" s="637"/>
      <c r="D143" s="616"/>
      <c r="E143" s="601"/>
      <c r="F143" s="602"/>
      <c r="G143" s="540"/>
      <c r="H143" s="520"/>
      <c r="I143" s="544"/>
      <c r="J143" s="605"/>
      <c r="K143" s="612"/>
      <c r="L143" s="613"/>
      <c r="M143" s="184"/>
      <c r="N143" s="520"/>
      <c r="O143" s="186"/>
      <c r="P143" s="520"/>
      <c r="Q143" s="186"/>
      <c r="R143" s="520"/>
      <c r="S143" s="623"/>
      <c r="T143" s="624"/>
      <c r="U143" s="624"/>
      <c r="V143" s="624"/>
      <c r="W143" s="624"/>
      <c r="X143" s="624"/>
      <c r="Y143" s="624"/>
      <c r="Z143" s="624"/>
      <c r="AA143" s="624"/>
      <c r="AB143" s="625"/>
      <c r="AC143" s="143"/>
      <c r="AD143" s="218"/>
      <c r="AE143" s="218"/>
      <c r="AF143" s="218"/>
      <c r="AG143" s="218"/>
      <c r="AH143" s="218"/>
      <c r="AI143" s="218"/>
      <c r="AJ143" s="228" t="e">
        <f t="shared" ca="1" si="15"/>
        <v>#VALUE!</v>
      </c>
      <c r="AK143" s="228">
        <f t="shared" ca="1" si="15"/>
        <v>0</v>
      </c>
      <c r="AL143" s="663"/>
      <c r="AM143" s="65" t="e">
        <f t="shared" ca="1" si="16"/>
        <v>#VALUE!</v>
      </c>
      <c r="AN143" s="181"/>
      <c r="AO143" s="181"/>
      <c r="AP143" s="218"/>
      <c r="AQ143" s="218"/>
      <c r="AR143" s="664"/>
      <c r="AS143" s="664"/>
      <c r="AT143" s="664"/>
      <c r="AU143" s="664"/>
      <c r="AV143" s="664"/>
      <c r="AW143" s="87"/>
      <c r="AX143" s="87"/>
      <c r="AY143" s="87"/>
      <c r="AZ143" s="87"/>
      <c r="BA143" s="87"/>
      <c r="BB143" s="87"/>
      <c r="BC143" s="87"/>
    </row>
    <row r="144" spans="1:55" s="88" customFormat="1" ht="15" customHeight="1" x14ac:dyDescent="0.2">
      <c r="A144" s="632" t="str">
        <f t="shared" ref="A144" ca="1" si="29">IFERROR(INDIRECT(ADDRESS(AL144,5,1,TRUE,"Coverage ind")),"")</f>
        <v/>
      </c>
      <c r="B144" s="633"/>
      <c r="C144" s="633"/>
      <c r="D144" s="614" t="str">
        <f ca="1">Translations!$A$72</f>
        <v>Please select…</v>
      </c>
      <c r="E144" s="597" t="str">
        <f ca="1">Translations!$A$72</f>
        <v>Please select…</v>
      </c>
      <c r="F144" s="598"/>
      <c r="G144" s="539"/>
      <c r="H144" s="519" t="str">
        <f>IF($G146&lt;&gt;"",$G144/$G146,"")</f>
        <v/>
      </c>
      <c r="I144" s="542"/>
      <c r="J144" s="603" t="str">
        <f ca="1">Translations!$A$72</f>
        <v>Please select…</v>
      </c>
      <c r="K144" s="626" t="str">
        <f ca="1">Translations!$A$78</f>
        <v>Indicative</v>
      </c>
      <c r="L144" s="627"/>
      <c r="M144" s="183"/>
      <c r="N144" s="519" t="str">
        <f>IF(M145&lt;&gt;"",M144/M145,"")</f>
        <v/>
      </c>
      <c r="O144" s="185"/>
      <c r="P144" s="519" t="str">
        <f>IF(O145&lt;&gt;"",O144/O145,"")</f>
        <v/>
      </c>
      <c r="Q144" s="185"/>
      <c r="R144" s="630" t="str">
        <f>IF(Q145&lt;&gt;"",Q144/Q145,"")</f>
        <v/>
      </c>
      <c r="S144" s="617"/>
      <c r="T144" s="618"/>
      <c r="U144" s="618"/>
      <c r="V144" s="618"/>
      <c r="W144" s="618"/>
      <c r="X144" s="618"/>
      <c r="Y144" s="618"/>
      <c r="Z144" s="618"/>
      <c r="AA144" s="618"/>
      <c r="AB144" s="619"/>
      <c r="AC144" s="143"/>
      <c r="AD144" s="218"/>
      <c r="AE144" s="218"/>
      <c r="AF144" s="218"/>
      <c r="AG144" s="218"/>
      <c r="AH144" s="218"/>
      <c r="AI144" s="218"/>
      <c r="AJ144" s="228" t="e">
        <f t="shared" ca="1" si="15"/>
        <v>#VALUE!</v>
      </c>
      <c r="AK144" s="228">
        <f t="shared" ca="1" si="15"/>
        <v>0</v>
      </c>
      <c r="AL144" s="663" t="str">
        <f t="shared" ref="AL144" ca="1" si="30">IFERROR(IF(INDIRECT(ADDRESS(ROW()-4,COLUMN()))+1&lt;=AJ144+AK144,INDIRECT(ADDRESS(ROW()-4,COLUMN()))+1,""),"")</f>
        <v/>
      </c>
      <c r="AM144" s="65" t="e">
        <f t="shared" ca="1" si="16"/>
        <v>#VALUE!</v>
      </c>
      <c r="AN144" s="181"/>
      <c r="AO144" s="181"/>
      <c r="AP144" s="218"/>
      <c r="AQ144" s="218"/>
      <c r="AR144" s="664"/>
      <c r="AS144" s="664"/>
      <c r="AT144" s="664"/>
      <c r="AU144" s="664"/>
      <c r="AV144" s="664"/>
      <c r="AW144" s="87"/>
      <c r="AX144" s="87"/>
      <c r="AY144" s="87"/>
      <c r="AZ144" s="87"/>
      <c r="BA144" s="87"/>
      <c r="BB144" s="87"/>
      <c r="BC144" s="87"/>
    </row>
    <row r="145" spans="1:75" s="88" customFormat="1" x14ac:dyDescent="0.2">
      <c r="A145" s="634"/>
      <c r="B145" s="635"/>
      <c r="C145" s="635"/>
      <c r="D145" s="615"/>
      <c r="E145" s="599"/>
      <c r="F145" s="600"/>
      <c r="G145" s="540"/>
      <c r="H145" s="541"/>
      <c r="I145" s="543"/>
      <c r="J145" s="604"/>
      <c r="K145" s="628"/>
      <c r="L145" s="629"/>
      <c r="M145" s="184"/>
      <c r="N145" s="520"/>
      <c r="O145" s="186"/>
      <c r="P145" s="520"/>
      <c r="Q145" s="186"/>
      <c r="R145" s="631"/>
      <c r="S145" s="620"/>
      <c r="T145" s="621"/>
      <c r="U145" s="621"/>
      <c r="V145" s="621"/>
      <c r="W145" s="621"/>
      <c r="X145" s="621"/>
      <c r="Y145" s="621"/>
      <c r="Z145" s="621"/>
      <c r="AA145" s="621"/>
      <c r="AB145" s="622"/>
      <c r="AC145" s="143"/>
      <c r="AD145" s="218"/>
      <c r="AE145" s="218"/>
      <c r="AF145" s="218"/>
      <c r="AG145" s="218"/>
      <c r="AH145" s="218"/>
      <c r="AI145" s="218"/>
      <c r="AJ145" s="228" t="e">
        <f t="shared" ca="1" si="15"/>
        <v>#VALUE!</v>
      </c>
      <c r="AK145" s="228">
        <f t="shared" ca="1" si="15"/>
        <v>0</v>
      </c>
      <c r="AL145" s="663"/>
      <c r="AM145" s="65" t="e">
        <f t="shared" ca="1" si="16"/>
        <v>#VALUE!</v>
      </c>
      <c r="AN145" s="181"/>
      <c r="AO145" s="181"/>
      <c r="AP145" s="218"/>
      <c r="AQ145" s="218"/>
      <c r="AR145" s="664"/>
      <c r="AS145" s="664"/>
      <c r="AT145" s="664"/>
      <c r="AU145" s="664"/>
      <c r="AV145" s="664"/>
      <c r="AW145" s="87"/>
      <c r="AX145" s="87"/>
      <c r="AY145" s="87"/>
      <c r="AZ145" s="87"/>
      <c r="BA145" s="87"/>
      <c r="BB145" s="87"/>
      <c r="BC145" s="87"/>
    </row>
    <row r="146" spans="1:75" s="88" customFormat="1" ht="15" customHeight="1" x14ac:dyDescent="0.2">
      <c r="A146" s="634"/>
      <c r="B146" s="635"/>
      <c r="C146" s="635"/>
      <c r="D146" s="615"/>
      <c r="E146" s="599"/>
      <c r="F146" s="600"/>
      <c r="G146" s="539"/>
      <c r="H146" s="541"/>
      <c r="I146" s="543"/>
      <c r="J146" s="604"/>
      <c r="K146" s="610" t="str">
        <f ca="1">Translations!$A$79</f>
        <v>Above indicative</v>
      </c>
      <c r="L146" s="611"/>
      <c r="M146" s="183"/>
      <c r="N146" s="519" t="str">
        <f>IF(M147&lt;&gt;"",M146/M147,"")</f>
        <v/>
      </c>
      <c r="O146" s="185"/>
      <c r="P146" s="519" t="str">
        <f>IF(O147&lt;&gt;"",O146/O147,"")</f>
        <v/>
      </c>
      <c r="Q146" s="185"/>
      <c r="R146" s="630" t="str">
        <f>IF(Q147&lt;&gt;"",Q146/Q147,"")</f>
        <v/>
      </c>
      <c r="S146" s="620"/>
      <c r="T146" s="621"/>
      <c r="U146" s="621"/>
      <c r="V146" s="621"/>
      <c r="W146" s="621"/>
      <c r="X146" s="621"/>
      <c r="Y146" s="621"/>
      <c r="Z146" s="621"/>
      <c r="AA146" s="621"/>
      <c r="AB146" s="622"/>
      <c r="AC146" s="143"/>
      <c r="AD146" s="218"/>
      <c r="AE146" s="218"/>
      <c r="AF146" s="218"/>
      <c r="AG146" s="218"/>
      <c r="AH146" s="218"/>
      <c r="AI146" s="218"/>
      <c r="AJ146" s="228" t="e">
        <f t="shared" ca="1" si="15"/>
        <v>#VALUE!</v>
      </c>
      <c r="AK146" s="228">
        <f t="shared" ca="1" si="15"/>
        <v>0</v>
      </c>
      <c r="AL146" s="663"/>
      <c r="AM146" s="65" t="e">
        <f t="shared" ca="1" si="16"/>
        <v>#VALUE!</v>
      </c>
      <c r="AN146" s="181"/>
      <c r="AO146" s="181"/>
      <c r="AP146" s="218"/>
      <c r="AQ146" s="218"/>
      <c r="AR146" s="664"/>
      <c r="AS146" s="664"/>
      <c r="AT146" s="664"/>
      <c r="AU146" s="664"/>
      <c r="AV146" s="664"/>
      <c r="AW146" s="87"/>
      <c r="AX146" s="87"/>
      <c r="AY146" s="87"/>
      <c r="AZ146" s="87"/>
      <c r="BA146" s="87"/>
      <c r="BB146" s="87"/>
      <c r="BC146" s="87"/>
    </row>
    <row r="147" spans="1:75" s="88" customFormat="1" x14ac:dyDescent="0.2">
      <c r="A147" s="636"/>
      <c r="B147" s="637"/>
      <c r="C147" s="637"/>
      <c r="D147" s="616"/>
      <c r="E147" s="601"/>
      <c r="F147" s="602"/>
      <c r="G147" s="540"/>
      <c r="H147" s="520"/>
      <c r="I147" s="544"/>
      <c r="J147" s="605"/>
      <c r="K147" s="612"/>
      <c r="L147" s="613"/>
      <c r="M147" s="184"/>
      <c r="N147" s="520"/>
      <c r="O147" s="186"/>
      <c r="P147" s="520"/>
      <c r="Q147" s="186"/>
      <c r="R147" s="631"/>
      <c r="S147" s="623"/>
      <c r="T147" s="624"/>
      <c r="U147" s="624"/>
      <c r="V147" s="624"/>
      <c r="W147" s="624"/>
      <c r="X147" s="624"/>
      <c r="Y147" s="624"/>
      <c r="Z147" s="624"/>
      <c r="AA147" s="624"/>
      <c r="AB147" s="625"/>
      <c r="AC147" s="143"/>
      <c r="AD147" s="218"/>
      <c r="AE147" s="218"/>
      <c r="AF147" s="218"/>
      <c r="AG147" s="218"/>
      <c r="AH147" s="218"/>
      <c r="AI147" s="218"/>
      <c r="AJ147" s="228" t="e">
        <f t="shared" ca="1" si="15"/>
        <v>#VALUE!</v>
      </c>
      <c r="AK147" s="228">
        <f t="shared" ca="1" si="15"/>
        <v>0</v>
      </c>
      <c r="AL147" s="663"/>
      <c r="AM147" s="65" t="e">
        <f t="shared" ca="1" si="16"/>
        <v>#VALUE!</v>
      </c>
      <c r="AN147" s="181"/>
      <c r="AO147" s="181"/>
      <c r="AP147" s="218"/>
      <c r="AQ147" s="218"/>
      <c r="AR147" s="664"/>
      <c r="AS147" s="664"/>
      <c r="AT147" s="664"/>
      <c r="AU147" s="664"/>
      <c r="AV147" s="664"/>
      <c r="AW147" s="87"/>
      <c r="AX147" s="87"/>
      <c r="AY147" s="87"/>
      <c r="AZ147" s="87"/>
      <c r="BA147" s="87"/>
      <c r="BB147" s="87"/>
      <c r="BC147" s="87"/>
    </row>
    <row r="148" spans="1:75" s="88" customFormat="1" ht="15" customHeight="1" x14ac:dyDescent="0.2">
      <c r="A148" s="632" t="str">
        <f t="shared" ref="A148" ca="1" si="31">IFERROR(INDIRECT(ADDRESS(AL148,5,1,TRUE,"Coverage ind")),"")</f>
        <v/>
      </c>
      <c r="B148" s="633"/>
      <c r="C148" s="633"/>
      <c r="D148" s="614" t="str">
        <f ca="1">Translations!$A$72</f>
        <v>Please select…</v>
      </c>
      <c r="E148" s="597" t="str">
        <f ca="1">Translations!$A$72</f>
        <v>Please select…</v>
      </c>
      <c r="F148" s="598"/>
      <c r="G148" s="539"/>
      <c r="H148" s="519" t="str">
        <f>IF($G150&lt;&gt;"",$G148/$G150,"")</f>
        <v/>
      </c>
      <c r="I148" s="542"/>
      <c r="J148" s="603" t="str">
        <f ca="1">Translations!$A$72</f>
        <v>Please select…</v>
      </c>
      <c r="K148" s="626" t="str">
        <f ca="1">Translations!$A$78</f>
        <v>Indicative</v>
      </c>
      <c r="L148" s="627"/>
      <c r="M148" s="183"/>
      <c r="N148" s="519" t="str">
        <f>IF(M149&lt;&gt;"",M148/M149,"")</f>
        <v/>
      </c>
      <c r="O148" s="185"/>
      <c r="P148" s="519" t="str">
        <f>IF(O149&lt;&gt;"",O148/O149,"")</f>
        <v/>
      </c>
      <c r="Q148" s="185"/>
      <c r="R148" s="630" t="str">
        <f>IF(Q149&lt;&gt;"",Q148/Q149,"")</f>
        <v/>
      </c>
      <c r="S148" s="617"/>
      <c r="T148" s="618"/>
      <c r="U148" s="618"/>
      <c r="V148" s="618"/>
      <c r="W148" s="618"/>
      <c r="X148" s="618"/>
      <c r="Y148" s="618"/>
      <c r="Z148" s="618"/>
      <c r="AA148" s="618"/>
      <c r="AB148" s="619"/>
      <c r="AC148" s="143"/>
      <c r="AD148" s="218"/>
      <c r="AE148" s="218"/>
      <c r="AF148" s="218"/>
      <c r="AG148" s="218"/>
      <c r="AH148" s="218"/>
      <c r="AI148" s="218"/>
      <c r="AJ148" s="228" t="e">
        <f t="shared" ca="1" si="15"/>
        <v>#VALUE!</v>
      </c>
      <c r="AK148" s="228">
        <f t="shared" ca="1" si="15"/>
        <v>0</v>
      </c>
      <c r="AL148" s="663" t="str">
        <f t="shared" ref="AL148" ca="1" si="32">IFERROR(IF(INDIRECT(ADDRESS(ROW()-4,COLUMN()))+1&lt;=AJ148+AK148,INDIRECT(ADDRESS(ROW()-4,COLUMN()))+1,""),"")</f>
        <v/>
      </c>
      <c r="AM148" s="65" t="e">
        <f t="shared" ca="1" si="16"/>
        <v>#VALUE!</v>
      </c>
      <c r="AN148" s="181"/>
      <c r="AO148" s="181"/>
      <c r="AP148" s="218"/>
      <c r="AQ148" s="218"/>
      <c r="AR148" s="664"/>
      <c r="AS148" s="664"/>
      <c r="AT148" s="664"/>
      <c r="AU148" s="664"/>
      <c r="AV148" s="664"/>
      <c r="AW148" s="87"/>
      <c r="AX148" s="87"/>
      <c r="AY148" s="87"/>
      <c r="AZ148" s="87"/>
      <c r="BA148" s="87"/>
      <c r="BB148" s="87"/>
      <c r="BC148" s="87"/>
    </row>
    <row r="149" spans="1:75" s="88" customFormat="1" x14ac:dyDescent="0.2">
      <c r="A149" s="634"/>
      <c r="B149" s="635"/>
      <c r="C149" s="635"/>
      <c r="D149" s="615"/>
      <c r="E149" s="599"/>
      <c r="F149" s="600"/>
      <c r="G149" s="540"/>
      <c r="H149" s="541"/>
      <c r="I149" s="543"/>
      <c r="J149" s="604"/>
      <c r="K149" s="628"/>
      <c r="L149" s="629"/>
      <c r="M149" s="184"/>
      <c r="N149" s="520"/>
      <c r="O149" s="186"/>
      <c r="P149" s="520"/>
      <c r="Q149" s="186"/>
      <c r="R149" s="631"/>
      <c r="S149" s="620"/>
      <c r="T149" s="621"/>
      <c r="U149" s="621"/>
      <c r="V149" s="621"/>
      <c r="W149" s="621"/>
      <c r="X149" s="621"/>
      <c r="Y149" s="621"/>
      <c r="Z149" s="621"/>
      <c r="AA149" s="621"/>
      <c r="AB149" s="622"/>
      <c r="AC149" s="143"/>
      <c r="AD149" s="218"/>
      <c r="AE149" s="218"/>
      <c r="AF149" s="218"/>
      <c r="AG149" s="218"/>
      <c r="AH149" s="218"/>
      <c r="AI149" s="218"/>
      <c r="AJ149" s="228" t="e">
        <f t="shared" ca="1" si="15"/>
        <v>#VALUE!</v>
      </c>
      <c r="AK149" s="228">
        <f t="shared" ca="1" si="15"/>
        <v>0</v>
      </c>
      <c r="AL149" s="663"/>
      <c r="AM149" s="65" t="e">
        <f t="shared" ca="1" si="16"/>
        <v>#VALUE!</v>
      </c>
      <c r="AN149" s="181"/>
      <c r="AO149" s="181"/>
      <c r="AP149" s="218"/>
      <c r="AQ149" s="218"/>
      <c r="AR149" s="664"/>
      <c r="AS149" s="664"/>
      <c r="AT149" s="664"/>
      <c r="AU149" s="664"/>
      <c r="AV149" s="664"/>
      <c r="AW149" s="87"/>
      <c r="AX149" s="87"/>
      <c r="AY149" s="87"/>
      <c r="AZ149" s="87"/>
      <c r="BA149" s="87"/>
      <c r="BB149" s="87"/>
      <c r="BC149" s="87"/>
    </row>
    <row r="150" spans="1:75" s="88" customFormat="1" ht="15" customHeight="1" x14ac:dyDescent="0.2">
      <c r="A150" s="634"/>
      <c r="B150" s="635"/>
      <c r="C150" s="635"/>
      <c r="D150" s="615"/>
      <c r="E150" s="599"/>
      <c r="F150" s="600"/>
      <c r="G150" s="539"/>
      <c r="H150" s="541"/>
      <c r="I150" s="543"/>
      <c r="J150" s="604"/>
      <c r="K150" s="610" t="str">
        <f ca="1">Translations!$A$79</f>
        <v>Above indicative</v>
      </c>
      <c r="L150" s="611"/>
      <c r="M150" s="183"/>
      <c r="N150" s="519" t="str">
        <f>IF(M151&lt;&gt;"",M150/M151,"")</f>
        <v/>
      </c>
      <c r="O150" s="185"/>
      <c r="P150" s="519" t="str">
        <f>IF(O151&lt;&gt;"",O150/O151,"")</f>
        <v/>
      </c>
      <c r="Q150" s="185"/>
      <c r="R150" s="630" t="str">
        <f>IF(Q151&lt;&gt;"",Q150/Q151,"")</f>
        <v/>
      </c>
      <c r="S150" s="620"/>
      <c r="T150" s="621"/>
      <c r="U150" s="621"/>
      <c r="V150" s="621"/>
      <c r="W150" s="621"/>
      <c r="X150" s="621"/>
      <c r="Y150" s="621"/>
      <c r="Z150" s="621"/>
      <c r="AA150" s="621"/>
      <c r="AB150" s="622"/>
      <c r="AC150" s="143"/>
      <c r="AD150" s="218"/>
      <c r="AE150" s="218"/>
      <c r="AF150" s="218"/>
      <c r="AG150" s="218"/>
      <c r="AH150" s="218"/>
      <c r="AI150" s="218"/>
      <c r="AJ150" s="228" t="e">
        <f t="shared" ca="1" si="15"/>
        <v>#VALUE!</v>
      </c>
      <c r="AK150" s="228">
        <f t="shared" ca="1" si="15"/>
        <v>0</v>
      </c>
      <c r="AL150" s="663"/>
      <c r="AM150" s="65" t="e">
        <f t="shared" ca="1" si="16"/>
        <v>#VALUE!</v>
      </c>
      <c r="AN150" s="181"/>
      <c r="AO150" s="181"/>
      <c r="AP150" s="218"/>
      <c r="AQ150" s="218"/>
      <c r="AR150" s="664"/>
      <c r="AS150" s="664"/>
      <c r="AT150" s="664"/>
      <c r="AU150" s="664"/>
      <c r="AV150" s="664"/>
      <c r="AW150" s="87"/>
      <c r="AX150" s="87"/>
      <c r="AY150" s="87"/>
      <c r="AZ150" s="87"/>
      <c r="BA150" s="87"/>
      <c r="BB150" s="87"/>
      <c r="BC150" s="87"/>
    </row>
    <row r="151" spans="1:75" s="88" customFormat="1" x14ac:dyDescent="0.2">
      <c r="A151" s="636"/>
      <c r="B151" s="637"/>
      <c r="C151" s="637"/>
      <c r="D151" s="616"/>
      <c r="E151" s="601"/>
      <c r="F151" s="602"/>
      <c r="G151" s="540"/>
      <c r="H151" s="520"/>
      <c r="I151" s="544"/>
      <c r="J151" s="605"/>
      <c r="K151" s="612"/>
      <c r="L151" s="613"/>
      <c r="M151" s="184"/>
      <c r="N151" s="520"/>
      <c r="O151" s="186"/>
      <c r="P151" s="520"/>
      <c r="Q151" s="186"/>
      <c r="R151" s="631"/>
      <c r="S151" s="623"/>
      <c r="T151" s="624"/>
      <c r="U151" s="624"/>
      <c r="V151" s="624"/>
      <c r="W151" s="624"/>
      <c r="X151" s="624"/>
      <c r="Y151" s="624"/>
      <c r="Z151" s="624"/>
      <c r="AA151" s="624"/>
      <c r="AB151" s="625"/>
      <c r="AC151" s="143"/>
      <c r="AD151" s="218"/>
      <c r="AE151" s="218"/>
      <c r="AF151" s="218"/>
      <c r="AG151" s="218"/>
      <c r="AH151" s="218"/>
      <c r="AI151" s="218"/>
      <c r="AJ151" s="228" t="e">
        <f t="shared" ca="1" si="15"/>
        <v>#VALUE!</v>
      </c>
      <c r="AK151" s="228">
        <f t="shared" ca="1" si="15"/>
        <v>0</v>
      </c>
      <c r="AL151" s="663"/>
      <c r="AM151" s="65" t="e">
        <f t="shared" ca="1" si="16"/>
        <v>#VALUE!</v>
      </c>
      <c r="AN151" s="181"/>
      <c r="AO151" s="181"/>
      <c r="AP151" s="218"/>
      <c r="AQ151" s="218"/>
      <c r="AR151" s="664"/>
      <c r="AS151" s="664"/>
      <c r="AT151" s="664"/>
      <c r="AU151" s="664"/>
      <c r="AV151" s="664"/>
      <c r="AW151" s="87"/>
      <c r="AX151" s="87"/>
      <c r="AY151" s="87"/>
      <c r="AZ151" s="87"/>
      <c r="BA151" s="87"/>
      <c r="BB151" s="87"/>
      <c r="BC151" s="87"/>
    </row>
    <row r="152" spans="1:75" s="165" customFormat="1" ht="18" customHeight="1" x14ac:dyDescent="0.2">
      <c r="A152" s="146" t="str">
        <f ca="1">Translations!$A$87</f>
        <v>Module budget</v>
      </c>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c r="AA152" s="213"/>
      <c r="AB152" s="214"/>
      <c r="AC152" s="94"/>
      <c r="AD152" s="94"/>
      <c r="AE152" s="94"/>
      <c r="AF152" s="94"/>
      <c r="AG152" s="94"/>
      <c r="AH152" s="94"/>
      <c r="AI152" s="94"/>
      <c r="AJ152" s="94"/>
      <c r="AK152" s="94"/>
      <c r="AL152" s="223"/>
      <c r="AM152" s="94" t="e">
        <f t="shared" ca="1" si="16"/>
        <v>#VALUE!</v>
      </c>
      <c r="AN152" s="94"/>
      <c r="AO152" s="94"/>
      <c r="AP152" s="94"/>
      <c r="AQ152" s="94"/>
      <c r="AR152" s="94"/>
      <c r="AS152" s="94"/>
      <c r="AT152" s="94"/>
      <c r="AU152" s="94"/>
      <c r="AV152" s="163"/>
      <c r="AW152" s="163"/>
      <c r="AX152" s="163"/>
      <c r="AY152" s="163"/>
      <c r="AZ152" s="163"/>
      <c r="BA152" s="163"/>
      <c r="BB152" s="163"/>
      <c r="BC152" s="164"/>
      <c r="BD152" s="164"/>
      <c r="BE152" s="164"/>
      <c r="BF152" s="164"/>
      <c r="BG152" s="164"/>
      <c r="BH152" s="164"/>
      <c r="BI152" s="164"/>
      <c r="BJ152" s="164"/>
      <c r="BK152" s="164"/>
      <c r="BL152" s="164"/>
      <c r="BM152" s="164"/>
      <c r="BN152" s="164"/>
      <c r="BO152" s="164"/>
      <c r="BP152" s="164"/>
      <c r="BQ152" s="164"/>
      <c r="BR152" s="164"/>
      <c r="BS152" s="164"/>
      <c r="BT152" s="164"/>
      <c r="BU152" s="164"/>
    </row>
    <row r="153" spans="1:75" s="161" customFormat="1" ht="18" customHeight="1" x14ac:dyDescent="0.2">
      <c r="A153" s="560" t="str">
        <f ca="1">Translations!$A$84</f>
        <v>Indicative request for entire module</v>
      </c>
      <c r="B153" s="561"/>
      <c r="C153" s="561"/>
      <c r="D153" s="561"/>
      <c r="E153" s="562"/>
      <c r="F153" s="169">
        <f ca="1">SUMIF($K156:$K175,Translations!$A$78,$M156:$M175)+SUMIF($K156:$K175,Translations!$A$78,$O156:$O175)+SUMIF($K156:$K175,Translations!$A$78,$Q156:$Q175)</f>
        <v>0</v>
      </c>
      <c r="G153" s="211"/>
      <c r="H153" s="211"/>
      <c r="I153" s="166"/>
      <c r="J153" s="563" t="str">
        <f ca="1">Translations!$A$85</f>
        <v>Above indicative request for entire module</v>
      </c>
      <c r="K153" s="564"/>
      <c r="L153" s="564"/>
      <c r="M153" s="564"/>
      <c r="N153" s="564"/>
      <c r="O153" s="564"/>
      <c r="P153" s="564"/>
      <c r="Q153" s="565">
        <f ca="1">SUMIF($K156:$K175,Translations!$A$79,$M156:$M175)+SUMIF($K156:$K175,Translations!$A$79,$O156:$O175)+SUMIF($K156:$K175,Translations!$A$79,$Q156:$Q175)</f>
        <v>0</v>
      </c>
      <c r="R153" s="566"/>
      <c r="S153" s="567"/>
      <c r="T153" s="567"/>
      <c r="U153" s="567"/>
      <c r="V153" s="166"/>
      <c r="W153" s="166"/>
      <c r="X153" s="166"/>
      <c r="Y153" s="166"/>
      <c r="Z153" s="166"/>
      <c r="AA153" s="166"/>
      <c r="AB153" s="167"/>
      <c r="AC153" s="98"/>
      <c r="AD153" s="98"/>
      <c r="AE153" s="98"/>
      <c r="AF153" s="98"/>
      <c r="AG153" s="98"/>
      <c r="AH153" s="98"/>
      <c r="AI153" s="98"/>
      <c r="AJ153" s="98"/>
      <c r="AK153" s="98"/>
      <c r="AL153" s="224"/>
      <c r="AM153" s="65" t="e">
        <f t="shared" ca="1" si="16"/>
        <v>#VALUE!</v>
      </c>
      <c r="AN153" s="182">
        <f ca="1">F153</f>
        <v>0</v>
      </c>
      <c r="AO153" s="182">
        <f ca="1">Q153</f>
        <v>0</v>
      </c>
      <c r="AP153" s="98"/>
      <c r="AQ153" s="98"/>
      <c r="AR153" s="98"/>
      <c r="AS153" s="98"/>
      <c r="AT153" s="98"/>
      <c r="AU153" s="98"/>
      <c r="AV153" s="118"/>
      <c r="AW153" s="118"/>
      <c r="AX153" s="118"/>
      <c r="AY153" s="118"/>
      <c r="AZ153" s="118"/>
      <c r="BA153" s="118"/>
      <c r="BB153" s="118"/>
      <c r="BC153" s="160"/>
      <c r="BD153" s="160"/>
      <c r="BE153" s="160"/>
      <c r="BF153" s="160"/>
      <c r="BG153" s="160"/>
      <c r="BH153" s="160"/>
      <c r="BI153" s="160"/>
      <c r="BJ153" s="160"/>
      <c r="BK153" s="160"/>
      <c r="BL153" s="160"/>
      <c r="BM153" s="160"/>
      <c r="BN153" s="160"/>
      <c r="BO153" s="160"/>
      <c r="BP153" s="160"/>
      <c r="BQ153" s="160"/>
      <c r="BR153" s="160"/>
      <c r="BS153" s="160"/>
      <c r="BT153" s="160"/>
      <c r="BU153" s="160"/>
    </row>
    <row r="154" spans="1:75" s="106" customFormat="1" ht="44.25" customHeight="1" x14ac:dyDescent="0.2">
      <c r="A154" s="359" t="str">
        <f ca="1">Translations!$A$86</f>
        <v>Intervention</v>
      </c>
      <c r="B154" s="360"/>
      <c r="C154" s="391"/>
      <c r="D154" s="568" t="str">
        <f ca="1">Translations!$A$88</f>
        <v>Description of Intervention</v>
      </c>
      <c r="E154" s="569"/>
      <c r="F154" s="569"/>
      <c r="G154" s="569"/>
      <c r="H154" s="569"/>
      <c r="I154" s="570"/>
      <c r="J154" s="394" t="str">
        <f ca="1">Translations!$A$67</f>
        <v>Responsible Principal Recipient(s)</v>
      </c>
      <c r="K154" s="359" t="str">
        <f ca="1">Translations!$A$90</f>
        <v>Intervention budget (request to the Global Fund only)</v>
      </c>
      <c r="L154" s="360"/>
      <c r="M154" s="360"/>
      <c r="N154" s="360"/>
      <c r="O154" s="360"/>
      <c r="P154" s="360"/>
      <c r="Q154" s="360"/>
      <c r="R154" s="391"/>
      <c r="S154" s="568" t="str">
        <f ca="1">Translations!$A$91</f>
        <v>Cost Assumptions for the request to the Global Fund</v>
      </c>
      <c r="T154" s="569"/>
      <c r="U154" s="569"/>
      <c r="V154" s="569"/>
      <c r="W154" s="569"/>
      <c r="X154" s="569"/>
      <c r="Y154" s="570"/>
      <c r="Z154" s="556" t="str">
        <f ca="1">Translations!$A$93</f>
        <v>Other funding received for this intervention (including scope of activities funded)</v>
      </c>
      <c r="AA154" s="556"/>
      <c r="AB154" s="556"/>
      <c r="AC154" s="94"/>
      <c r="AD154" s="94"/>
      <c r="AE154" s="94"/>
      <c r="AF154" s="94"/>
      <c r="AG154" s="94"/>
      <c r="AH154" s="94"/>
      <c r="AI154" s="94"/>
      <c r="AJ154" s="94"/>
      <c r="AK154" s="94"/>
      <c r="AL154" s="223"/>
      <c r="AM154" s="65" t="e">
        <f t="shared" ca="1" si="16"/>
        <v>#VALUE!</v>
      </c>
      <c r="AN154" s="94"/>
      <c r="AO154" s="94"/>
      <c r="AP154" s="94"/>
      <c r="AQ154" s="94"/>
      <c r="AR154" s="94"/>
      <c r="AS154" s="94"/>
      <c r="AT154" s="94"/>
      <c r="AU154" s="94"/>
      <c r="AV154" s="94"/>
      <c r="AW154" s="94"/>
      <c r="AX154" s="87"/>
      <c r="AY154" s="87"/>
      <c r="AZ154" s="87"/>
      <c r="BA154" s="87"/>
      <c r="BB154" s="87"/>
      <c r="BC154" s="87"/>
      <c r="BD154" s="87"/>
      <c r="BE154" s="92"/>
      <c r="BF154" s="92"/>
      <c r="BG154" s="92"/>
      <c r="BH154" s="92"/>
      <c r="BI154" s="92"/>
      <c r="BJ154" s="92"/>
      <c r="BK154" s="92"/>
      <c r="BL154" s="92"/>
      <c r="BM154" s="92"/>
      <c r="BN154" s="92"/>
      <c r="BO154" s="92"/>
      <c r="BP154" s="92"/>
      <c r="BQ154" s="92"/>
      <c r="BR154" s="92"/>
      <c r="BS154" s="92"/>
      <c r="BT154" s="92"/>
      <c r="BU154" s="92"/>
      <c r="BV154" s="92"/>
      <c r="BW154" s="92"/>
    </row>
    <row r="155" spans="1:75" s="106" customFormat="1" ht="88.5" customHeight="1" x14ac:dyDescent="0.2">
      <c r="A155" s="392"/>
      <c r="B155" s="396"/>
      <c r="C155" s="393"/>
      <c r="D155" s="557" t="str">
        <f ca="1">Translations!$A$89</f>
        <v>Please describe 1) rationale for Global Fund support, 2) linkages to national strategic plan, 3) target population &amp; geographic scope,  4) implementation approach, and 5) other relevant information. Please differentiate between scope of indicative and above indicative request</v>
      </c>
      <c r="E155" s="558"/>
      <c r="F155" s="558"/>
      <c r="G155" s="558"/>
      <c r="H155" s="558"/>
      <c r="I155" s="559"/>
      <c r="J155" s="395"/>
      <c r="K155" s="209"/>
      <c r="L155" s="210"/>
      <c r="M155" s="379" t="str">
        <f ca="1">Translations!$A$34</f>
        <v>Year 1</v>
      </c>
      <c r="N155" s="381"/>
      <c r="O155" s="556" t="str">
        <f ca="1">Translations!$A$35</f>
        <v>Year 2</v>
      </c>
      <c r="P155" s="556"/>
      <c r="Q155" s="556" t="str">
        <f ca="1">Translations!$A$36</f>
        <v>Year 3</v>
      </c>
      <c r="R155" s="556"/>
      <c r="S155" s="557" t="str">
        <f ca="1">Translations!$A$92</f>
        <v>Please describe: 1) cost assumptions and data sources, 2) key activities, 3) other relevant information. Please differentiate between indicative and above indicative</v>
      </c>
      <c r="T155" s="558"/>
      <c r="U155" s="558"/>
      <c r="V155" s="558"/>
      <c r="W155" s="558"/>
      <c r="X155" s="558"/>
      <c r="Y155" s="559"/>
      <c r="Z155" s="556"/>
      <c r="AA155" s="556"/>
      <c r="AB155" s="556"/>
      <c r="AC155" s="94"/>
      <c r="AD155" s="94"/>
      <c r="AE155" s="94"/>
      <c r="AF155" s="94"/>
      <c r="AG155" s="94"/>
      <c r="AH155" s="94"/>
      <c r="AI155" s="94"/>
      <c r="AJ155" s="94"/>
      <c r="AK155" s="94"/>
      <c r="AL155" s="223"/>
      <c r="AM155" s="65" t="e">
        <f t="shared" ca="1" si="16"/>
        <v>#VALUE!</v>
      </c>
      <c r="AN155" s="94"/>
      <c r="AO155" s="94"/>
      <c r="AP155" s="94"/>
      <c r="AQ155" s="94"/>
      <c r="AR155" s="94"/>
      <c r="AS155" s="94"/>
      <c r="AT155" s="94"/>
      <c r="AU155" s="94"/>
      <c r="AV155" s="94"/>
      <c r="AW155" s="94"/>
      <c r="AX155" s="87"/>
      <c r="AY155" s="87"/>
      <c r="AZ155" s="87"/>
      <c r="BA155" s="87"/>
      <c r="BB155" s="87"/>
      <c r="BC155" s="87"/>
      <c r="BD155" s="87"/>
      <c r="BE155" s="92"/>
      <c r="BF155" s="92"/>
      <c r="BG155" s="92"/>
      <c r="BH155" s="92"/>
      <c r="BI155" s="92"/>
      <c r="BJ155" s="92"/>
      <c r="BK155" s="92"/>
      <c r="BL155" s="92"/>
      <c r="BM155" s="92"/>
      <c r="BN155" s="92"/>
      <c r="BO155" s="92"/>
      <c r="BP155" s="92"/>
      <c r="BQ155" s="92"/>
      <c r="BR155" s="92"/>
      <c r="BS155" s="92"/>
      <c r="BT155" s="92"/>
      <c r="BU155" s="92"/>
      <c r="BV155" s="92"/>
      <c r="BW155" s="92"/>
    </row>
    <row r="156" spans="1:75" s="119" customFormat="1" ht="25.5" customHeight="1" x14ac:dyDescent="0.2">
      <c r="A156" s="590" t="str">
        <f ca="1">Translations!$A$72</f>
        <v>Please select…</v>
      </c>
      <c r="B156" s="591"/>
      <c r="C156" s="591"/>
      <c r="D156" s="640"/>
      <c r="E156" s="640"/>
      <c r="F156" s="640"/>
      <c r="G156" s="640"/>
      <c r="H156" s="640"/>
      <c r="I156" s="640"/>
      <c r="J156" s="647"/>
      <c r="K156" s="589" t="str">
        <f ca="1">Translations!$A$78</f>
        <v>Indicative</v>
      </c>
      <c r="L156" s="589"/>
      <c r="M156" s="638"/>
      <c r="N156" s="638"/>
      <c r="O156" s="639"/>
      <c r="P156" s="639"/>
      <c r="Q156" s="639"/>
      <c r="R156" s="639"/>
      <c r="S156" s="661"/>
      <c r="T156" s="661"/>
      <c r="U156" s="661"/>
      <c r="V156" s="661"/>
      <c r="W156" s="661"/>
      <c r="X156" s="661"/>
      <c r="Y156" s="661"/>
      <c r="Z156" s="657"/>
      <c r="AA156" s="657"/>
      <c r="AB156" s="658"/>
      <c r="AC156" s="145"/>
      <c r="AD156" s="145"/>
      <c r="AE156" s="145"/>
      <c r="AF156" s="98"/>
      <c r="AG156" s="98"/>
      <c r="AH156" s="98"/>
      <c r="AI156" s="98"/>
      <c r="AJ156" s="98"/>
      <c r="AK156" s="98"/>
      <c r="AL156" s="224"/>
      <c r="AM156" s="98"/>
      <c r="AN156" s="94"/>
      <c r="AO156" s="94"/>
      <c r="AP156" s="98"/>
      <c r="AQ156" s="98"/>
      <c r="AR156" s="98"/>
      <c r="AS156" s="98"/>
      <c r="AT156" s="98"/>
      <c r="AU156" s="98"/>
      <c r="AV156" s="98"/>
      <c r="AW156" s="98"/>
      <c r="AX156" s="118"/>
      <c r="AY156" s="118"/>
      <c r="AZ156" s="118"/>
      <c r="BA156" s="118"/>
      <c r="BB156" s="118"/>
      <c r="BC156" s="118"/>
      <c r="BD156" s="118"/>
      <c r="BE156" s="118"/>
      <c r="BF156" s="118"/>
      <c r="BG156" s="118"/>
      <c r="BH156" s="118"/>
      <c r="BI156" s="118"/>
      <c r="BJ156" s="118"/>
      <c r="BK156" s="118"/>
      <c r="BL156" s="118"/>
      <c r="BM156" s="118"/>
      <c r="BN156" s="118"/>
      <c r="BO156" s="118"/>
      <c r="BP156" s="118"/>
      <c r="BQ156" s="118"/>
      <c r="BR156" s="118"/>
      <c r="BS156" s="118"/>
      <c r="BT156" s="118"/>
      <c r="BU156" s="118"/>
      <c r="BV156" s="118"/>
      <c r="BW156" s="118"/>
    </row>
    <row r="157" spans="1:75" s="119" customFormat="1" ht="25.5" customHeight="1" x14ac:dyDescent="0.2">
      <c r="A157" s="592"/>
      <c r="B157" s="593"/>
      <c r="C157" s="593"/>
      <c r="D157" s="641"/>
      <c r="E157" s="641"/>
      <c r="F157" s="641"/>
      <c r="G157" s="641"/>
      <c r="H157" s="641"/>
      <c r="I157" s="641"/>
      <c r="J157" s="648"/>
      <c r="K157" s="643" t="str">
        <f ca="1">Translations!$A$79</f>
        <v>Above indicative</v>
      </c>
      <c r="L157" s="643"/>
      <c r="M157" s="644"/>
      <c r="N157" s="644"/>
      <c r="O157" s="645"/>
      <c r="P157" s="645"/>
      <c r="Q157" s="646"/>
      <c r="R157" s="646"/>
      <c r="S157" s="661"/>
      <c r="T157" s="661"/>
      <c r="U157" s="661"/>
      <c r="V157" s="661"/>
      <c r="W157" s="661"/>
      <c r="X157" s="661"/>
      <c r="Y157" s="661"/>
      <c r="Z157" s="659"/>
      <c r="AA157" s="659"/>
      <c r="AB157" s="660"/>
      <c r="AC157" s="98"/>
      <c r="AD157" s="98"/>
      <c r="AE157" s="98"/>
      <c r="AF157" s="98"/>
      <c r="AG157" s="98"/>
      <c r="AH157" s="98"/>
      <c r="AI157" s="98"/>
      <c r="AJ157" s="98"/>
      <c r="AK157" s="98"/>
      <c r="AL157" s="224"/>
      <c r="AM157" s="98"/>
      <c r="AN157" s="94"/>
      <c r="AO157" s="94"/>
      <c r="AP157" s="98"/>
      <c r="AQ157" s="98"/>
      <c r="AR157" s="98"/>
      <c r="AS157" s="98"/>
      <c r="AT157" s="98"/>
      <c r="AU157" s="98"/>
      <c r="AV157" s="98"/>
      <c r="AW157" s="98"/>
      <c r="AX157" s="118"/>
      <c r="AY157" s="118"/>
      <c r="AZ157" s="118"/>
      <c r="BA157" s="118"/>
      <c r="BB157" s="118"/>
      <c r="BC157" s="118"/>
      <c r="BD157" s="118"/>
      <c r="BE157" s="118"/>
      <c r="BF157" s="118"/>
      <c r="BG157" s="118"/>
      <c r="BH157" s="118"/>
      <c r="BI157" s="118"/>
      <c r="BJ157" s="118"/>
      <c r="BK157" s="118"/>
      <c r="BL157" s="118"/>
      <c r="BM157" s="118"/>
      <c r="BN157" s="118"/>
      <c r="BO157" s="118"/>
      <c r="BP157" s="118"/>
      <c r="BQ157" s="118"/>
      <c r="BR157" s="118"/>
      <c r="BS157" s="118"/>
      <c r="BT157" s="118"/>
      <c r="BU157" s="118"/>
      <c r="BV157" s="118"/>
      <c r="BW157" s="118"/>
    </row>
    <row r="158" spans="1:75" s="119" customFormat="1" ht="25.5" customHeight="1" x14ac:dyDescent="0.2">
      <c r="A158" s="592"/>
      <c r="B158" s="593"/>
      <c r="C158" s="593"/>
      <c r="D158" s="641"/>
      <c r="E158" s="641"/>
      <c r="F158" s="641"/>
      <c r="G158" s="641"/>
      <c r="H158" s="641"/>
      <c r="I158" s="641"/>
      <c r="J158" s="647"/>
      <c r="K158" s="589" t="str">
        <f ca="1">Translations!$A$78</f>
        <v>Indicative</v>
      </c>
      <c r="L158" s="589"/>
      <c r="M158" s="638"/>
      <c r="N158" s="638"/>
      <c r="O158" s="639"/>
      <c r="P158" s="639"/>
      <c r="Q158" s="639"/>
      <c r="R158" s="639"/>
      <c r="S158" s="661"/>
      <c r="T158" s="661"/>
      <c r="U158" s="661"/>
      <c r="V158" s="661"/>
      <c r="W158" s="661"/>
      <c r="X158" s="661"/>
      <c r="Y158" s="661"/>
      <c r="Z158" s="657"/>
      <c r="AA158" s="657"/>
      <c r="AB158" s="658"/>
      <c r="AC158" s="145"/>
      <c r="AD158" s="145"/>
      <c r="AE158" s="145"/>
      <c r="AF158" s="98"/>
      <c r="AG158" s="98"/>
      <c r="AH158" s="98"/>
      <c r="AI158" s="98"/>
      <c r="AJ158" s="98"/>
      <c r="AK158" s="98"/>
      <c r="AL158" s="224"/>
      <c r="AM158" s="98"/>
      <c r="AN158" s="94"/>
      <c r="AO158" s="94"/>
      <c r="AP158" s="98"/>
      <c r="AQ158" s="98"/>
      <c r="AR158" s="98"/>
      <c r="AS158" s="98"/>
      <c r="AT158" s="98"/>
      <c r="AU158" s="98"/>
      <c r="AV158" s="98"/>
      <c r="AW158" s="98"/>
      <c r="AX158" s="118"/>
      <c r="AY158" s="118"/>
      <c r="AZ158" s="118"/>
      <c r="BA158" s="118"/>
      <c r="BB158" s="118"/>
      <c r="BC158" s="118"/>
      <c r="BD158" s="118"/>
      <c r="BE158" s="118"/>
      <c r="BF158" s="118"/>
      <c r="BG158" s="118"/>
      <c r="BH158" s="118"/>
      <c r="BI158" s="118"/>
      <c r="BJ158" s="118"/>
      <c r="BK158" s="118"/>
      <c r="BL158" s="118"/>
      <c r="BM158" s="118"/>
      <c r="BN158" s="118"/>
      <c r="BO158" s="118"/>
      <c r="BP158" s="118"/>
      <c r="BQ158" s="118"/>
      <c r="BR158" s="118"/>
      <c r="BS158" s="118"/>
      <c r="BT158" s="118"/>
      <c r="BU158" s="118"/>
      <c r="BV158" s="118"/>
      <c r="BW158" s="118"/>
    </row>
    <row r="159" spans="1:75" s="119" customFormat="1" ht="25.5" customHeight="1" x14ac:dyDescent="0.2">
      <c r="A159" s="594"/>
      <c r="B159" s="595"/>
      <c r="C159" s="595"/>
      <c r="D159" s="642"/>
      <c r="E159" s="642"/>
      <c r="F159" s="642"/>
      <c r="G159" s="642"/>
      <c r="H159" s="642"/>
      <c r="I159" s="642"/>
      <c r="J159" s="648"/>
      <c r="K159" s="643" t="str">
        <f ca="1">Translations!$A$79</f>
        <v>Above indicative</v>
      </c>
      <c r="L159" s="643"/>
      <c r="M159" s="644"/>
      <c r="N159" s="644"/>
      <c r="O159" s="645"/>
      <c r="P159" s="645"/>
      <c r="Q159" s="646"/>
      <c r="R159" s="646"/>
      <c r="S159" s="661"/>
      <c r="T159" s="661"/>
      <c r="U159" s="661"/>
      <c r="V159" s="661"/>
      <c r="W159" s="661"/>
      <c r="X159" s="661"/>
      <c r="Y159" s="661"/>
      <c r="Z159" s="659"/>
      <c r="AA159" s="659"/>
      <c r="AB159" s="660"/>
      <c r="AC159" s="98"/>
      <c r="AD159" s="98"/>
      <c r="AE159" s="98"/>
      <c r="AF159" s="98"/>
      <c r="AG159" s="98"/>
      <c r="AH159" s="98"/>
      <c r="AI159" s="98"/>
      <c r="AJ159" s="98"/>
      <c r="AK159" s="98"/>
      <c r="AL159" s="224"/>
      <c r="AM159" s="98"/>
      <c r="AN159" s="94"/>
      <c r="AO159" s="94"/>
      <c r="AP159" s="98"/>
      <c r="AQ159" s="98"/>
      <c r="AR159" s="98"/>
      <c r="AS159" s="98"/>
      <c r="AT159" s="98"/>
      <c r="AU159" s="98"/>
      <c r="AV159" s="98"/>
      <c r="AW159" s="98"/>
      <c r="AX159" s="118"/>
      <c r="AY159" s="118"/>
      <c r="AZ159" s="118"/>
      <c r="BA159" s="118"/>
      <c r="BB159" s="118"/>
      <c r="BC159" s="118"/>
      <c r="BD159" s="118"/>
      <c r="BE159" s="118"/>
      <c r="BF159" s="118"/>
      <c r="BG159" s="118"/>
      <c r="BH159" s="118"/>
      <c r="BI159" s="118"/>
      <c r="BJ159" s="118"/>
      <c r="BK159" s="118"/>
      <c r="BL159" s="118"/>
      <c r="BM159" s="118"/>
      <c r="BN159" s="118"/>
      <c r="BO159" s="118"/>
      <c r="BP159" s="118"/>
      <c r="BQ159" s="118"/>
      <c r="BR159" s="118"/>
      <c r="BS159" s="118"/>
      <c r="BT159" s="118"/>
      <c r="BU159" s="118"/>
      <c r="BV159" s="118"/>
      <c r="BW159" s="118"/>
    </row>
    <row r="160" spans="1:75" s="119" customFormat="1" ht="25.5" customHeight="1" x14ac:dyDescent="0.2">
      <c r="A160" s="590" t="str">
        <f ca="1">Translations!$A$72</f>
        <v>Please select…</v>
      </c>
      <c r="B160" s="591"/>
      <c r="C160" s="591"/>
      <c r="D160" s="640"/>
      <c r="E160" s="640"/>
      <c r="F160" s="640"/>
      <c r="G160" s="640"/>
      <c r="H160" s="640"/>
      <c r="I160" s="640"/>
      <c r="J160" s="649"/>
      <c r="K160" s="589" t="str">
        <f ca="1">Translations!$A$78</f>
        <v>Indicative</v>
      </c>
      <c r="L160" s="589"/>
      <c r="M160" s="638"/>
      <c r="N160" s="638"/>
      <c r="O160" s="639"/>
      <c r="P160" s="639"/>
      <c r="Q160" s="639"/>
      <c r="R160" s="639"/>
      <c r="S160" s="661"/>
      <c r="T160" s="661"/>
      <c r="U160" s="661"/>
      <c r="V160" s="661"/>
      <c r="W160" s="661"/>
      <c r="X160" s="661"/>
      <c r="Y160" s="661"/>
      <c r="Z160" s="657"/>
      <c r="AA160" s="657"/>
      <c r="AB160" s="658"/>
      <c r="AC160" s="98"/>
      <c r="AD160" s="98"/>
      <c r="AE160" s="98"/>
      <c r="AF160" s="98"/>
      <c r="AG160" s="98"/>
      <c r="AH160" s="98"/>
      <c r="AI160" s="98"/>
      <c r="AJ160" s="98"/>
      <c r="AK160" s="98"/>
      <c r="AL160" s="224"/>
      <c r="AM160" s="98"/>
      <c r="AN160" s="94"/>
      <c r="AO160" s="94"/>
      <c r="AP160" s="98"/>
      <c r="AQ160" s="98"/>
      <c r="AR160" s="98"/>
      <c r="AS160" s="98"/>
      <c r="AT160" s="98"/>
      <c r="AU160" s="98"/>
      <c r="AV160" s="98"/>
      <c r="AW160" s="98"/>
      <c r="AX160" s="118"/>
      <c r="AY160" s="118"/>
      <c r="AZ160" s="118"/>
      <c r="BA160" s="118"/>
      <c r="BB160" s="118"/>
      <c r="BC160" s="118"/>
      <c r="BD160" s="118"/>
      <c r="BE160" s="118"/>
      <c r="BF160" s="118"/>
      <c r="BG160" s="118"/>
      <c r="BH160" s="118"/>
      <c r="BI160" s="118"/>
      <c r="BJ160" s="118"/>
      <c r="BK160" s="118"/>
      <c r="BL160" s="118"/>
      <c r="BM160" s="118"/>
      <c r="BN160" s="118"/>
      <c r="BO160" s="118"/>
      <c r="BP160" s="118"/>
      <c r="BQ160" s="118"/>
      <c r="BR160" s="118"/>
      <c r="BS160" s="118"/>
      <c r="BT160" s="118"/>
      <c r="BU160" s="118"/>
      <c r="BV160" s="118"/>
      <c r="BW160" s="118"/>
    </row>
    <row r="161" spans="1:75" s="119" customFormat="1" ht="25.5" customHeight="1" x14ac:dyDescent="0.2">
      <c r="A161" s="592"/>
      <c r="B161" s="593"/>
      <c r="C161" s="593"/>
      <c r="D161" s="641"/>
      <c r="E161" s="641"/>
      <c r="F161" s="641"/>
      <c r="G161" s="641"/>
      <c r="H161" s="641"/>
      <c r="I161" s="641"/>
      <c r="J161" s="650"/>
      <c r="K161" s="643" t="str">
        <f ca="1">Translations!$A$79</f>
        <v>Above indicative</v>
      </c>
      <c r="L161" s="643"/>
      <c r="M161" s="644"/>
      <c r="N161" s="644"/>
      <c r="O161" s="645"/>
      <c r="P161" s="645"/>
      <c r="Q161" s="646"/>
      <c r="R161" s="646"/>
      <c r="S161" s="661"/>
      <c r="T161" s="661"/>
      <c r="U161" s="661"/>
      <c r="V161" s="661"/>
      <c r="W161" s="661"/>
      <c r="X161" s="661"/>
      <c r="Y161" s="661"/>
      <c r="Z161" s="659"/>
      <c r="AA161" s="659"/>
      <c r="AB161" s="660"/>
      <c r="AC161" s="98"/>
      <c r="AD161" s="98"/>
      <c r="AE161" s="98"/>
      <c r="AF161" s="98"/>
      <c r="AG161" s="98"/>
      <c r="AH161" s="98"/>
      <c r="AI161" s="98"/>
      <c r="AJ161" s="98"/>
      <c r="AK161" s="98"/>
      <c r="AL161" s="224"/>
      <c r="AM161" s="98"/>
      <c r="AN161" s="94"/>
      <c r="AO161" s="94"/>
      <c r="AP161" s="98"/>
      <c r="AQ161" s="98"/>
      <c r="AR161" s="98"/>
      <c r="AS161" s="98"/>
      <c r="AT161" s="98"/>
      <c r="AU161" s="98"/>
      <c r="AV161" s="98"/>
      <c r="AW161" s="98"/>
      <c r="AX161" s="118"/>
      <c r="AY161" s="118"/>
      <c r="AZ161" s="118"/>
      <c r="BA161" s="118"/>
      <c r="BB161" s="118"/>
      <c r="BC161" s="118"/>
      <c r="BD161" s="118"/>
      <c r="BE161" s="118"/>
      <c r="BF161" s="118"/>
      <c r="BG161" s="118"/>
      <c r="BH161" s="118"/>
      <c r="BI161" s="118"/>
      <c r="BJ161" s="118"/>
      <c r="BK161" s="118"/>
      <c r="BL161" s="118"/>
      <c r="BM161" s="118"/>
      <c r="BN161" s="118"/>
      <c r="BO161" s="118"/>
      <c r="BP161" s="118"/>
      <c r="BQ161" s="118"/>
      <c r="BR161" s="118"/>
      <c r="BS161" s="118"/>
      <c r="BT161" s="118"/>
      <c r="BU161" s="118"/>
      <c r="BV161" s="118"/>
      <c r="BW161" s="118"/>
    </row>
    <row r="162" spans="1:75" s="119" customFormat="1" ht="25.5" customHeight="1" x14ac:dyDescent="0.2">
      <c r="A162" s="592"/>
      <c r="B162" s="593"/>
      <c r="C162" s="593"/>
      <c r="D162" s="641"/>
      <c r="E162" s="641"/>
      <c r="F162" s="641"/>
      <c r="G162" s="641"/>
      <c r="H162" s="641"/>
      <c r="I162" s="641"/>
      <c r="J162" s="647"/>
      <c r="K162" s="589" t="str">
        <f ca="1">Translations!$A$78</f>
        <v>Indicative</v>
      </c>
      <c r="L162" s="589"/>
      <c r="M162" s="638"/>
      <c r="N162" s="638"/>
      <c r="O162" s="639"/>
      <c r="P162" s="639"/>
      <c r="Q162" s="639"/>
      <c r="R162" s="639"/>
      <c r="S162" s="661"/>
      <c r="T162" s="661"/>
      <c r="U162" s="661"/>
      <c r="V162" s="661"/>
      <c r="W162" s="661"/>
      <c r="X162" s="661"/>
      <c r="Y162" s="661"/>
      <c r="Z162" s="657"/>
      <c r="AA162" s="657"/>
      <c r="AB162" s="658"/>
      <c r="AC162" s="145"/>
      <c r="AD162" s="145"/>
      <c r="AE162" s="145"/>
      <c r="AF162" s="98"/>
      <c r="AG162" s="98"/>
      <c r="AH162" s="98"/>
      <c r="AI162" s="98"/>
      <c r="AJ162" s="98"/>
      <c r="AK162" s="98"/>
      <c r="AL162" s="224"/>
      <c r="AM162" s="98"/>
      <c r="AN162" s="94"/>
      <c r="AO162" s="94"/>
      <c r="AP162" s="98"/>
      <c r="AQ162" s="98"/>
      <c r="AR162" s="98"/>
      <c r="AS162" s="98"/>
      <c r="AT162" s="98"/>
      <c r="AU162" s="98"/>
      <c r="AV162" s="98"/>
      <c r="AW162" s="98"/>
      <c r="AX162" s="118"/>
      <c r="AY162" s="118"/>
      <c r="AZ162" s="118"/>
      <c r="BA162" s="118"/>
      <c r="BB162" s="118"/>
      <c r="BC162" s="118"/>
      <c r="BD162" s="118"/>
      <c r="BE162" s="118"/>
      <c r="BF162" s="118"/>
      <c r="BG162" s="118"/>
      <c r="BH162" s="118"/>
      <c r="BI162" s="118"/>
      <c r="BJ162" s="118"/>
      <c r="BK162" s="118"/>
      <c r="BL162" s="118"/>
      <c r="BM162" s="118"/>
      <c r="BN162" s="118"/>
      <c r="BO162" s="118"/>
      <c r="BP162" s="118"/>
      <c r="BQ162" s="118"/>
      <c r="BR162" s="118"/>
      <c r="BS162" s="118"/>
      <c r="BT162" s="118"/>
      <c r="BU162" s="118"/>
      <c r="BV162" s="118"/>
      <c r="BW162" s="118"/>
    </row>
    <row r="163" spans="1:75" s="119" customFormat="1" ht="25.5" customHeight="1" x14ac:dyDescent="0.2">
      <c r="A163" s="594"/>
      <c r="B163" s="595"/>
      <c r="C163" s="595"/>
      <c r="D163" s="642"/>
      <c r="E163" s="642"/>
      <c r="F163" s="642"/>
      <c r="G163" s="642"/>
      <c r="H163" s="642"/>
      <c r="I163" s="642"/>
      <c r="J163" s="648"/>
      <c r="K163" s="643" t="str">
        <f ca="1">Translations!$A$79</f>
        <v>Above indicative</v>
      </c>
      <c r="L163" s="643"/>
      <c r="M163" s="644"/>
      <c r="N163" s="644"/>
      <c r="O163" s="645"/>
      <c r="P163" s="645"/>
      <c r="Q163" s="646"/>
      <c r="R163" s="646"/>
      <c r="S163" s="661"/>
      <c r="T163" s="661"/>
      <c r="U163" s="661"/>
      <c r="V163" s="661"/>
      <c r="W163" s="661"/>
      <c r="X163" s="661"/>
      <c r="Y163" s="661"/>
      <c r="Z163" s="659"/>
      <c r="AA163" s="659"/>
      <c r="AB163" s="660"/>
      <c r="AC163" s="98"/>
      <c r="AD163" s="98"/>
      <c r="AE163" s="98"/>
      <c r="AF163" s="98"/>
      <c r="AG163" s="98"/>
      <c r="AH163" s="98"/>
      <c r="AI163" s="98"/>
      <c r="AJ163" s="98"/>
      <c r="AK163" s="98"/>
      <c r="AL163" s="224"/>
      <c r="AM163" s="98"/>
      <c r="AN163" s="94"/>
      <c r="AO163" s="94"/>
      <c r="AP163" s="98"/>
      <c r="AQ163" s="98"/>
      <c r="AR163" s="98"/>
      <c r="AS163" s="98"/>
      <c r="AT163" s="98"/>
      <c r="AU163" s="98"/>
      <c r="AV163" s="98"/>
      <c r="AW163" s="98"/>
      <c r="AX163" s="118"/>
      <c r="AY163" s="118"/>
      <c r="AZ163" s="118"/>
      <c r="BA163" s="118"/>
      <c r="BB163" s="118"/>
      <c r="BC163" s="118"/>
      <c r="BD163" s="118"/>
      <c r="BE163" s="118"/>
      <c r="BF163" s="118"/>
      <c r="BG163" s="118"/>
      <c r="BH163" s="118"/>
      <c r="BI163" s="118"/>
      <c r="BJ163" s="118"/>
      <c r="BK163" s="118"/>
      <c r="BL163" s="118"/>
      <c r="BM163" s="118"/>
      <c r="BN163" s="118"/>
      <c r="BO163" s="118"/>
      <c r="BP163" s="118"/>
      <c r="BQ163" s="118"/>
      <c r="BR163" s="118"/>
      <c r="BS163" s="118"/>
      <c r="BT163" s="118"/>
      <c r="BU163" s="118"/>
      <c r="BV163" s="118"/>
      <c r="BW163" s="118"/>
    </row>
    <row r="164" spans="1:75" s="119" customFormat="1" ht="25.5" customHeight="1" x14ac:dyDescent="0.2">
      <c r="A164" s="590" t="str">
        <f ca="1">Translations!$A$72</f>
        <v>Please select…</v>
      </c>
      <c r="B164" s="591"/>
      <c r="C164" s="591"/>
      <c r="D164" s="640"/>
      <c r="E164" s="640"/>
      <c r="F164" s="640"/>
      <c r="G164" s="640"/>
      <c r="H164" s="640"/>
      <c r="I164" s="640"/>
      <c r="J164" s="649"/>
      <c r="K164" s="589" t="str">
        <f ca="1">Translations!$A$78</f>
        <v>Indicative</v>
      </c>
      <c r="L164" s="589"/>
      <c r="M164" s="638"/>
      <c r="N164" s="638"/>
      <c r="O164" s="639"/>
      <c r="P164" s="639"/>
      <c r="Q164" s="639"/>
      <c r="R164" s="639"/>
      <c r="S164" s="661"/>
      <c r="T164" s="661"/>
      <c r="U164" s="661"/>
      <c r="V164" s="661"/>
      <c r="W164" s="661"/>
      <c r="X164" s="661"/>
      <c r="Y164" s="661"/>
      <c r="Z164" s="657"/>
      <c r="AA164" s="657"/>
      <c r="AB164" s="658"/>
      <c r="AC164" s="98"/>
      <c r="AD164" s="98"/>
      <c r="AE164" s="98"/>
      <c r="AF164" s="98"/>
      <c r="AG164" s="98"/>
      <c r="AH164" s="98"/>
      <c r="AI164" s="98"/>
      <c r="AJ164" s="98"/>
      <c r="AK164" s="98"/>
      <c r="AL164" s="224"/>
      <c r="AM164" s="98"/>
      <c r="AN164" s="94"/>
      <c r="AO164" s="94"/>
      <c r="AP164" s="98"/>
      <c r="AQ164" s="98"/>
      <c r="AR164" s="98"/>
      <c r="AS164" s="98"/>
      <c r="AT164" s="98"/>
      <c r="AU164" s="98"/>
      <c r="AV164" s="98"/>
      <c r="AW164" s="98"/>
      <c r="AX164" s="118"/>
      <c r="AY164" s="118"/>
      <c r="AZ164" s="118"/>
      <c r="BA164" s="118"/>
      <c r="BB164" s="118"/>
      <c r="BC164" s="118"/>
      <c r="BD164" s="118"/>
      <c r="BE164" s="118"/>
      <c r="BF164" s="118"/>
      <c r="BG164" s="118"/>
      <c r="BH164" s="118"/>
      <c r="BI164" s="118"/>
      <c r="BJ164" s="118"/>
      <c r="BK164" s="118"/>
      <c r="BL164" s="118"/>
      <c r="BM164" s="118"/>
      <c r="BN164" s="118"/>
      <c r="BO164" s="118"/>
      <c r="BP164" s="118"/>
      <c r="BQ164" s="118"/>
      <c r="BR164" s="118"/>
      <c r="BS164" s="118"/>
      <c r="BT164" s="118"/>
      <c r="BU164" s="118"/>
      <c r="BV164" s="118"/>
      <c r="BW164" s="118"/>
    </row>
    <row r="165" spans="1:75" s="119" customFormat="1" ht="25.5" customHeight="1" x14ac:dyDescent="0.2">
      <c r="A165" s="592"/>
      <c r="B165" s="593"/>
      <c r="C165" s="593"/>
      <c r="D165" s="641"/>
      <c r="E165" s="641"/>
      <c r="F165" s="641"/>
      <c r="G165" s="641"/>
      <c r="H165" s="641"/>
      <c r="I165" s="641"/>
      <c r="J165" s="650"/>
      <c r="K165" s="643" t="str">
        <f ca="1">Translations!$A$79</f>
        <v>Above indicative</v>
      </c>
      <c r="L165" s="643"/>
      <c r="M165" s="644"/>
      <c r="N165" s="644"/>
      <c r="O165" s="651"/>
      <c r="P165" s="652"/>
      <c r="Q165" s="645"/>
      <c r="R165" s="645"/>
      <c r="S165" s="661"/>
      <c r="T165" s="661"/>
      <c r="U165" s="661"/>
      <c r="V165" s="661"/>
      <c r="W165" s="661"/>
      <c r="X165" s="661"/>
      <c r="Y165" s="661"/>
      <c r="Z165" s="659"/>
      <c r="AA165" s="659"/>
      <c r="AB165" s="660"/>
      <c r="AC165" s="98"/>
      <c r="AD165" s="98"/>
      <c r="AE165" s="98"/>
      <c r="AF165" s="98"/>
      <c r="AG165" s="98"/>
      <c r="AH165" s="98"/>
      <c r="AI165" s="98"/>
      <c r="AJ165" s="98"/>
      <c r="AK165" s="98"/>
      <c r="AL165" s="224"/>
      <c r="AM165" s="98"/>
      <c r="AN165" s="94"/>
      <c r="AO165" s="94"/>
      <c r="AP165" s="98"/>
      <c r="AQ165" s="98"/>
      <c r="AR165" s="98"/>
      <c r="AS165" s="98"/>
      <c r="AT165" s="98"/>
      <c r="AU165" s="98"/>
      <c r="AV165" s="98"/>
      <c r="AW165" s="98"/>
      <c r="AX165" s="118"/>
      <c r="AY165" s="118"/>
      <c r="AZ165" s="118"/>
      <c r="BA165" s="118"/>
      <c r="BB165" s="118"/>
      <c r="BC165" s="118"/>
      <c r="BD165" s="118"/>
      <c r="BE165" s="118"/>
      <c r="BF165" s="118"/>
      <c r="BG165" s="118"/>
      <c r="BH165" s="118"/>
      <c r="BI165" s="118"/>
      <c r="BJ165" s="118"/>
      <c r="BK165" s="118"/>
      <c r="BL165" s="118"/>
      <c r="BM165" s="118"/>
      <c r="BN165" s="118"/>
      <c r="BO165" s="118"/>
      <c r="BP165" s="118"/>
      <c r="BQ165" s="118"/>
      <c r="BR165" s="118"/>
      <c r="BS165" s="118"/>
      <c r="BT165" s="118"/>
      <c r="BU165" s="118"/>
      <c r="BV165" s="118"/>
      <c r="BW165" s="118"/>
    </row>
    <row r="166" spans="1:75" s="119" customFormat="1" ht="25.5" customHeight="1" x14ac:dyDescent="0.2">
      <c r="A166" s="592"/>
      <c r="B166" s="593"/>
      <c r="C166" s="593"/>
      <c r="D166" s="641"/>
      <c r="E166" s="641"/>
      <c r="F166" s="641"/>
      <c r="G166" s="641"/>
      <c r="H166" s="641"/>
      <c r="I166" s="641"/>
      <c r="J166" s="647"/>
      <c r="K166" s="589" t="str">
        <f ca="1">Translations!$A$78</f>
        <v>Indicative</v>
      </c>
      <c r="L166" s="589"/>
      <c r="M166" s="638"/>
      <c r="N166" s="638"/>
      <c r="O166" s="639"/>
      <c r="P166" s="639"/>
      <c r="Q166" s="639"/>
      <c r="R166" s="639"/>
      <c r="S166" s="661"/>
      <c r="T166" s="661"/>
      <c r="U166" s="661"/>
      <c r="V166" s="661"/>
      <c r="W166" s="661"/>
      <c r="X166" s="661"/>
      <c r="Y166" s="661"/>
      <c r="Z166" s="657"/>
      <c r="AA166" s="657"/>
      <c r="AB166" s="658"/>
      <c r="AC166" s="145"/>
      <c r="AD166" s="145"/>
      <c r="AE166" s="145"/>
      <c r="AF166" s="98"/>
      <c r="AG166" s="98"/>
      <c r="AH166" s="98"/>
      <c r="AI166" s="98"/>
      <c r="AJ166" s="98"/>
      <c r="AK166" s="98"/>
      <c r="AL166" s="224"/>
      <c r="AM166" s="98"/>
      <c r="AN166" s="94"/>
      <c r="AO166" s="94"/>
      <c r="AP166" s="98"/>
      <c r="AQ166" s="98"/>
      <c r="AR166" s="98"/>
      <c r="AS166" s="98"/>
      <c r="AT166" s="98"/>
      <c r="AU166" s="98"/>
      <c r="AV166" s="98"/>
      <c r="AW166" s="98"/>
      <c r="AX166" s="118"/>
      <c r="AY166" s="118"/>
      <c r="AZ166" s="118"/>
      <c r="BA166" s="118"/>
      <c r="BB166" s="118"/>
      <c r="BC166" s="118"/>
      <c r="BD166" s="118"/>
      <c r="BE166" s="118"/>
      <c r="BF166" s="118"/>
      <c r="BG166" s="118"/>
      <c r="BH166" s="118"/>
      <c r="BI166" s="118"/>
      <c r="BJ166" s="118"/>
      <c r="BK166" s="118"/>
      <c r="BL166" s="118"/>
      <c r="BM166" s="118"/>
      <c r="BN166" s="118"/>
      <c r="BO166" s="118"/>
      <c r="BP166" s="118"/>
      <c r="BQ166" s="118"/>
      <c r="BR166" s="118"/>
      <c r="BS166" s="118"/>
      <c r="BT166" s="118"/>
      <c r="BU166" s="118"/>
      <c r="BV166" s="118"/>
      <c r="BW166" s="118"/>
    </row>
    <row r="167" spans="1:75" s="119" customFormat="1" ht="25.5" customHeight="1" x14ac:dyDescent="0.2">
      <c r="A167" s="594"/>
      <c r="B167" s="595"/>
      <c r="C167" s="595"/>
      <c r="D167" s="642"/>
      <c r="E167" s="642"/>
      <c r="F167" s="642"/>
      <c r="G167" s="642"/>
      <c r="H167" s="642"/>
      <c r="I167" s="642"/>
      <c r="J167" s="648"/>
      <c r="K167" s="643" t="str">
        <f ca="1">Translations!$A$79</f>
        <v>Above indicative</v>
      </c>
      <c r="L167" s="643"/>
      <c r="M167" s="644"/>
      <c r="N167" s="644"/>
      <c r="O167" s="645"/>
      <c r="P167" s="645"/>
      <c r="Q167" s="646"/>
      <c r="R167" s="646"/>
      <c r="S167" s="661"/>
      <c r="T167" s="661"/>
      <c r="U167" s="661"/>
      <c r="V167" s="661"/>
      <c r="W167" s="661"/>
      <c r="X167" s="661"/>
      <c r="Y167" s="661"/>
      <c r="Z167" s="659"/>
      <c r="AA167" s="659"/>
      <c r="AB167" s="660"/>
      <c r="AC167" s="98"/>
      <c r="AD167" s="98"/>
      <c r="AE167" s="98"/>
      <c r="AF167" s="98"/>
      <c r="AG167" s="98"/>
      <c r="AH167" s="98"/>
      <c r="AI167" s="98"/>
      <c r="AJ167" s="98"/>
      <c r="AK167" s="98"/>
      <c r="AL167" s="224"/>
      <c r="AM167" s="98"/>
      <c r="AN167" s="94"/>
      <c r="AO167" s="94"/>
      <c r="AP167" s="98"/>
      <c r="AQ167" s="98"/>
      <c r="AR167" s="98"/>
      <c r="AS167" s="98"/>
      <c r="AT167" s="98"/>
      <c r="AU167" s="98"/>
      <c r="AV167" s="98"/>
      <c r="AW167" s="98"/>
      <c r="AX167" s="118"/>
      <c r="AY167" s="118"/>
      <c r="AZ167" s="118"/>
      <c r="BA167" s="118"/>
      <c r="BB167" s="118"/>
      <c r="BC167" s="118"/>
      <c r="BD167" s="118"/>
      <c r="BE167" s="118"/>
      <c r="BF167" s="118"/>
      <c r="BG167" s="118"/>
      <c r="BH167" s="118"/>
      <c r="BI167" s="118"/>
      <c r="BJ167" s="118"/>
      <c r="BK167" s="118"/>
      <c r="BL167" s="118"/>
      <c r="BM167" s="118"/>
      <c r="BN167" s="118"/>
      <c r="BO167" s="118"/>
      <c r="BP167" s="118"/>
      <c r="BQ167" s="118"/>
      <c r="BR167" s="118"/>
      <c r="BS167" s="118"/>
      <c r="BT167" s="118"/>
      <c r="BU167" s="118"/>
      <c r="BV167" s="118"/>
      <c r="BW167" s="118"/>
    </row>
    <row r="168" spans="1:75" s="119" customFormat="1" ht="25.5" customHeight="1" x14ac:dyDescent="0.2">
      <c r="A168" s="590" t="str">
        <f ca="1">Translations!$A$72</f>
        <v>Please select…</v>
      </c>
      <c r="B168" s="591"/>
      <c r="C168" s="591"/>
      <c r="D168" s="640"/>
      <c r="E168" s="640"/>
      <c r="F168" s="640"/>
      <c r="G168" s="640"/>
      <c r="H168" s="640"/>
      <c r="I168" s="640"/>
      <c r="J168" s="649"/>
      <c r="K168" s="589" t="str">
        <f ca="1">Translations!$A$78</f>
        <v>Indicative</v>
      </c>
      <c r="L168" s="589"/>
      <c r="M168" s="638"/>
      <c r="N168" s="638"/>
      <c r="O168" s="639"/>
      <c r="P168" s="639"/>
      <c r="Q168" s="639"/>
      <c r="R168" s="639"/>
      <c r="S168" s="661"/>
      <c r="T168" s="661"/>
      <c r="U168" s="661"/>
      <c r="V168" s="661"/>
      <c r="W168" s="661"/>
      <c r="X168" s="661"/>
      <c r="Y168" s="661"/>
      <c r="Z168" s="657"/>
      <c r="AA168" s="657"/>
      <c r="AB168" s="658"/>
      <c r="AC168" s="98"/>
      <c r="AD168" s="98"/>
      <c r="AE168" s="98"/>
      <c r="AF168" s="98"/>
      <c r="AG168" s="98"/>
      <c r="AH168" s="98"/>
      <c r="AI168" s="98"/>
      <c r="AJ168" s="98"/>
      <c r="AK168" s="98"/>
      <c r="AL168" s="224"/>
      <c r="AM168" s="98"/>
      <c r="AN168" s="94"/>
      <c r="AO168" s="94"/>
      <c r="AP168" s="98"/>
      <c r="AQ168" s="98"/>
      <c r="AR168" s="98"/>
      <c r="AS168" s="98"/>
      <c r="AT168" s="98"/>
      <c r="AU168" s="98"/>
      <c r="AV168" s="98"/>
      <c r="AW168" s="98"/>
      <c r="AX168" s="118"/>
      <c r="AY168" s="118"/>
      <c r="AZ168" s="118"/>
      <c r="BA168" s="118"/>
      <c r="BB168" s="118"/>
      <c r="BC168" s="118"/>
      <c r="BD168" s="118"/>
      <c r="BE168" s="118"/>
      <c r="BF168" s="118"/>
      <c r="BG168" s="118"/>
      <c r="BH168" s="118"/>
      <c r="BI168" s="118"/>
      <c r="BJ168" s="118"/>
      <c r="BK168" s="118"/>
      <c r="BL168" s="118"/>
      <c r="BM168" s="118"/>
      <c r="BN168" s="118"/>
      <c r="BO168" s="118"/>
      <c r="BP168" s="118"/>
      <c r="BQ168" s="118"/>
      <c r="BR168" s="118"/>
      <c r="BS168" s="118"/>
      <c r="BT168" s="118"/>
      <c r="BU168" s="118"/>
      <c r="BV168" s="118"/>
      <c r="BW168" s="118"/>
    </row>
    <row r="169" spans="1:75" s="119" customFormat="1" ht="25.5" customHeight="1" x14ac:dyDescent="0.2">
      <c r="A169" s="592"/>
      <c r="B169" s="593"/>
      <c r="C169" s="593"/>
      <c r="D169" s="641"/>
      <c r="E169" s="641"/>
      <c r="F169" s="641"/>
      <c r="G169" s="641"/>
      <c r="H169" s="641"/>
      <c r="I169" s="641"/>
      <c r="J169" s="650"/>
      <c r="K169" s="643" t="str">
        <f ca="1">Translations!$A$79</f>
        <v>Above indicative</v>
      </c>
      <c r="L169" s="643"/>
      <c r="M169" s="644"/>
      <c r="N169" s="644"/>
      <c r="O169" s="645"/>
      <c r="P169" s="645"/>
      <c r="Q169" s="646"/>
      <c r="R169" s="646"/>
      <c r="S169" s="661"/>
      <c r="T169" s="661"/>
      <c r="U169" s="661"/>
      <c r="V169" s="661"/>
      <c r="W169" s="661"/>
      <c r="X169" s="661"/>
      <c r="Y169" s="661"/>
      <c r="Z169" s="659"/>
      <c r="AA169" s="659"/>
      <c r="AB169" s="660"/>
      <c r="AC169" s="98"/>
      <c r="AD169" s="98"/>
      <c r="AE169" s="98"/>
      <c r="AF169" s="98"/>
      <c r="AG169" s="98"/>
      <c r="AH169" s="98"/>
      <c r="AI169" s="98"/>
      <c r="AJ169" s="98"/>
      <c r="AK169" s="98"/>
      <c r="AL169" s="224"/>
      <c r="AM169" s="98"/>
      <c r="AN169" s="94"/>
      <c r="AO169" s="94"/>
      <c r="AP169" s="98"/>
      <c r="AQ169" s="98"/>
      <c r="AR169" s="98"/>
      <c r="AS169" s="98"/>
      <c r="AT169" s="98"/>
      <c r="AU169" s="98"/>
      <c r="AV169" s="98"/>
      <c r="AW169" s="98"/>
      <c r="AX169" s="118"/>
      <c r="AY169" s="118"/>
      <c r="AZ169" s="118"/>
      <c r="BA169" s="118"/>
      <c r="BB169" s="118"/>
      <c r="BC169" s="118"/>
      <c r="BD169" s="118"/>
      <c r="BE169" s="118"/>
      <c r="BF169" s="118"/>
      <c r="BG169" s="118"/>
      <c r="BH169" s="118"/>
      <c r="BI169" s="118"/>
      <c r="BJ169" s="118"/>
      <c r="BK169" s="118"/>
      <c r="BL169" s="118"/>
      <c r="BM169" s="118"/>
      <c r="BN169" s="118"/>
      <c r="BO169" s="118"/>
      <c r="BP169" s="118"/>
      <c r="BQ169" s="118"/>
      <c r="BR169" s="118"/>
      <c r="BS169" s="118"/>
      <c r="BT169" s="118"/>
      <c r="BU169" s="118"/>
      <c r="BV169" s="118"/>
      <c r="BW169" s="118"/>
    </row>
    <row r="170" spans="1:75" s="119" customFormat="1" ht="25.5" customHeight="1" x14ac:dyDescent="0.2">
      <c r="A170" s="592"/>
      <c r="B170" s="593"/>
      <c r="C170" s="593"/>
      <c r="D170" s="641"/>
      <c r="E170" s="641"/>
      <c r="F170" s="641"/>
      <c r="G170" s="641"/>
      <c r="H170" s="641"/>
      <c r="I170" s="641"/>
      <c r="J170" s="647"/>
      <c r="K170" s="589" t="str">
        <f ca="1">Translations!$A$78</f>
        <v>Indicative</v>
      </c>
      <c r="L170" s="589"/>
      <c r="M170" s="638"/>
      <c r="N170" s="638"/>
      <c r="O170" s="639"/>
      <c r="P170" s="639"/>
      <c r="Q170" s="639"/>
      <c r="R170" s="639"/>
      <c r="S170" s="661"/>
      <c r="T170" s="661"/>
      <c r="U170" s="661"/>
      <c r="V170" s="661"/>
      <c r="W170" s="661"/>
      <c r="X170" s="661"/>
      <c r="Y170" s="661"/>
      <c r="Z170" s="657"/>
      <c r="AA170" s="657"/>
      <c r="AB170" s="658"/>
      <c r="AC170" s="145"/>
      <c r="AD170" s="145"/>
      <c r="AE170" s="145"/>
      <c r="AF170" s="98"/>
      <c r="AG170" s="98"/>
      <c r="AH170" s="98"/>
      <c r="AI170" s="98"/>
      <c r="AJ170" s="98"/>
      <c r="AK170" s="98"/>
      <c r="AL170" s="224"/>
      <c r="AM170" s="98"/>
      <c r="AN170" s="94"/>
      <c r="AO170" s="94"/>
      <c r="AP170" s="98"/>
      <c r="AQ170" s="98"/>
      <c r="AR170" s="98"/>
      <c r="AS170" s="98"/>
      <c r="AT170" s="98"/>
      <c r="AU170" s="98"/>
      <c r="AV170" s="98"/>
      <c r="AW170" s="98"/>
      <c r="AX170" s="118"/>
      <c r="AY170" s="118"/>
      <c r="AZ170" s="118"/>
      <c r="BA170" s="118"/>
      <c r="BB170" s="118"/>
      <c r="BC170" s="118"/>
      <c r="BD170" s="118"/>
      <c r="BE170" s="118"/>
      <c r="BF170" s="118"/>
      <c r="BG170" s="118"/>
      <c r="BH170" s="118"/>
      <c r="BI170" s="118"/>
      <c r="BJ170" s="118"/>
      <c r="BK170" s="118"/>
      <c r="BL170" s="118"/>
      <c r="BM170" s="118"/>
      <c r="BN170" s="118"/>
      <c r="BO170" s="118"/>
      <c r="BP170" s="118"/>
      <c r="BQ170" s="118"/>
      <c r="BR170" s="118"/>
      <c r="BS170" s="118"/>
      <c r="BT170" s="118"/>
      <c r="BU170" s="118"/>
      <c r="BV170" s="118"/>
      <c r="BW170" s="118"/>
    </row>
    <row r="171" spans="1:75" s="119" customFormat="1" ht="25.5" customHeight="1" x14ac:dyDescent="0.2">
      <c r="A171" s="594"/>
      <c r="B171" s="595"/>
      <c r="C171" s="595"/>
      <c r="D171" s="642"/>
      <c r="E171" s="642"/>
      <c r="F171" s="642"/>
      <c r="G171" s="642"/>
      <c r="H171" s="642"/>
      <c r="I171" s="642"/>
      <c r="J171" s="648"/>
      <c r="K171" s="643" t="str">
        <f ca="1">Translations!$A$79</f>
        <v>Above indicative</v>
      </c>
      <c r="L171" s="643"/>
      <c r="M171" s="644"/>
      <c r="N171" s="644"/>
      <c r="O171" s="645"/>
      <c r="P171" s="645"/>
      <c r="Q171" s="646"/>
      <c r="R171" s="646"/>
      <c r="S171" s="661"/>
      <c r="T171" s="661"/>
      <c r="U171" s="661"/>
      <c r="V171" s="661"/>
      <c r="W171" s="661"/>
      <c r="X171" s="661"/>
      <c r="Y171" s="661"/>
      <c r="Z171" s="659"/>
      <c r="AA171" s="659"/>
      <c r="AB171" s="660"/>
      <c r="AC171" s="98"/>
      <c r="AD171" s="98"/>
      <c r="AE171" s="98"/>
      <c r="AF171" s="98"/>
      <c r="AG171" s="98"/>
      <c r="AH171" s="98"/>
      <c r="AI171" s="98"/>
      <c r="AJ171" s="98"/>
      <c r="AK171" s="98"/>
      <c r="AL171" s="224"/>
      <c r="AM171" s="98"/>
      <c r="AN171" s="94"/>
      <c r="AO171" s="94"/>
      <c r="AP171" s="98"/>
      <c r="AQ171" s="98"/>
      <c r="AR171" s="98"/>
      <c r="AS171" s="98"/>
      <c r="AT171" s="98"/>
      <c r="AU171" s="98"/>
      <c r="AV171" s="98"/>
      <c r="AW171" s="98"/>
      <c r="AX171" s="118"/>
      <c r="AY171" s="118"/>
      <c r="AZ171" s="118"/>
      <c r="BA171" s="118"/>
      <c r="BB171" s="118"/>
      <c r="BC171" s="118"/>
      <c r="BD171" s="118"/>
      <c r="BE171" s="118"/>
      <c r="BF171" s="118"/>
      <c r="BG171" s="118"/>
      <c r="BH171" s="118"/>
      <c r="BI171" s="118"/>
      <c r="BJ171" s="118"/>
      <c r="BK171" s="118"/>
      <c r="BL171" s="118"/>
      <c r="BM171" s="118"/>
      <c r="BN171" s="118"/>
      <c r="BO171" s="118"/>
      <c r="BP171" s="118"/>
      <c r="BQ171" s="118"/>
      <c r="BR171" s="118"/>
      <c r="BS171" s="118"/>
      <c r="BT171" s="118"/>
      <c r="BU171" s="118"/>
      <c r="BV171" s="118"/>
      <c r="BW171" s="118"/>
    </row>
    <row r="172" spans="1:75" s="119" customFormat="1" ht="25.5" customHeight="1" x14ac:dyDescent="0.2">
      <c r="A172" s="590" t="str">
        <f ca="1">Translations!$A$72</f>
        <v>Please select…</v>
      </c>
      <c r="B172" s="591"/>
      <c r="C172" s="591"/>
      <c r="D172" s="640"/>
      <c r="E172" s="640"/>
      <c r="F172" s="640"/>
      <c r="G172" s="640"/>
      <c r="H172" s="640"/>
      <c r="I172" s="640"/>
      <c r="J172" s="649"/>
      <c r="K172" s="589" t="str">
        <f ca="1">Translations!$A$78</f>
        <v>Indicative</v>
      </c>
      <c r="L172" s="589"/>
      <c r="M172" s="638"/>
      <c r="N172" s="638"/>
      <c r="O172" s="639"/>
      <c r="P172" s="639"/>
      <c r="Q172" s="639"/>
      <c r="R172" s="639"/>
      <c r="S172" s="661"/>
      <c r="T172" s="661"/>
      <c r="U172" s="661"/>
      <c r="V172" s="661"/>
      <c r="W172" s="661"/>
      <c r="X172" s="661"/>
      <c r="Y172" s="661"/>
      <c r="Z172" s="657"/>
      <c r="AA172" s="657"/>
      <c r="AB172" s="658"/>
      <c r="AC172" s="98"/>
      <c r="AD172" s="98"/>
      <c r="AE172" s="98"/>
      <c r="AF172" s="98"/>
      <c r="AG172" s="98"/>
      <c r="AH172" s="98"/>
      <c r="AI172" s="98"/>
      <c r="AJ172" s="98"/>
      <c r="AK172" s="98"/>
      <c r="AL172" s="224"/>
      <c r="AM172" s="98"/>
      <c r="AN172" s="94"/>
      <c r="AO172" s="94"/>
      <c r="AP172" s="98"/>
      <c r="AQ172" s="98"/>
      <c r="AR172" s="98"/>
      <c r="AS172" s="98"/>
      <c r="AT172" s="98"/>
      <c r="AU172" s="98"/>
      <c r="AV172" s="98"/>
      <c r="AW172" s="98"/>
      <c r="AX172" s="118"/>
      <c r="AY172" s="118"/>
      <c r="AZ172" s="118"/>
      <c r="BA172" s="118"/>
      <c r="BB172" s="118"/>
      <c r="BC172" s="118"/>
      <c r="BD172" s="118"/>
      <c r="BE172" s="118"/>
      <c r="BF172" s="118"/>
      <c r="BG172" s="118"/>
      <c r="BH172" s="118"/>
      <c r="BI172" s="118"/>
      <c r="BJ172" s="118"/>
      <c r="BK172" s="118"/>
      <c r="BL172" s="118"/>
      <c r="BM172" s="118"/>
      <c r="BN172" s="118"/>
      <c r="BO172" s="118"/>
      <c r="BP172" s="118"/>
      <c r="BQ172" s="118"/>
      <c r="BR172" s="118"/>
      <c r="BS172" s="118"/>
      <c r="BT172" s="118"/>
      <c r="BU172" s="118"/>
      <c r="BV172" s="118"/>
      <c r="BW172" s="118"/>
    </row>
    <row r="173" spans="1:75" s="119" customFormat="1" ht="25.5" customHeight="1" x14ac:dyDescent="0.2">
      <c r="A173" s="592"/>
      <c r="B173" s="593"/>
      <c r="C173" s="593"/>
      <c r="D173" s="641"/>
      <c r="E173" s="641"/>
      <c r="F173" s="641"/>
      <c r="G173" s="641"/>
      <c r="H173" s="641"/>
      <c r="I173" s="641"/>
      <c r="J173" s="650"/>
      <c r="K173" s="643" t="str">
        <f ca="1">Translations!$A$79</f>
        <v>Above indicative</v>
      </c>
      <c r="L173" s="643"/>
      <c r="M173" s="644"/>
      <c r="N173" s="644"/>
      <c r="O173" s="645"/>
      <c r="P173" s="645"/>
      <c r="Q173" s="646"/>
      <c r="R173" s="646"/>
      <c r="S173" s="661"/>
      <c r="T173" s="661"/>
      <c r="U173" s="661"/>
      <c r="V173" s="661"/>
      <c r="W173" s="661"/>
      <c r="X173" s="661"/>
      <c r="Y173" s="661"/>
      <c r="Z173" s="659"/>
      <c r="AA173" s="659"/>
      <c r="AB173" s="660"/>
      <c r="AC173" s="98"/>
      <c r="AD173" s="98"/>
      <c r="AE173" s="98"/>
      <c r="AF173" s="98"/>
      <c r="AG173" s="98"/>
      <c r="AH173" s="98"/>
      <c r="AI173" s="98"/>
      <c r="AJ173" s="98"/>
      <c r="AK173" s="98"/>
      <c r="AL173" s="224"/>
      <c r="AM173" s="98"/>
      <c r="AN173" s="94"/>
      <c r="AO173" s="94"/>
      <c r="AP173" s="98"/>
      <c r="AQ173" s="98"/>
      <c r="AR173" s="98"/>
      <c r="AS173" s="98"/>
      <c r="AT173" s="98"/>
      <c r="AU173" s="98"/>
      <c r="AV173" s="98"/>
      <c r="AW173" s="98"/>
      <c r="AX173" s="118"/>
      <c r="AY173" s="118"/>
      <c r="AZ173" s="118"/>
      <c r="BA173" s="118"/>
      <c r="BB173" s="118"/>
      <c r="BC173" s="118"/>
      <c r="BD173" s="118"/>
      <c r="BE173" s="118"/>
      <c r="BF173" s="118"/>
      <c r="BG173" s="118"/>
      <c r="BH173" s="118"/>
      <c r="BI173" s="118"/>
      <c r="BJ173" s="118"/>
      <c r="BK173" s="118"/>
      <c r="BL173" s="118"/>
      <c r="BM173" s="118"/>
      <c r="BN173" s="118"/>
      <c r="BO173" s="118"/>
      <c r="BP173" s="118"/>
      <c r="BQ173" s="118"/>
      <c r="BR173" s="118"/>
      <c r="BS173" s="118"/>
      <c r="BT173" s="118"/>
      <c r="BU173" s="118"/>
      <c r="BV173" s="118"/>
      <c r="BW173" s="118"/>
    </row>
    <row r="174" spans="1:75" s="119" customFormat="1" ht="25.5" customHeight="1" x14ac:dyDescent="0.2">
      <c r="A174" s="592"/>
      <c r="B174" s="593"/>
      <c r="C174" s="593"/>
      <c r="D174" s="641"/>
      <c r="E174" s="641"/>
      <c r="F174" s="641"/>
      <c r="G174" s="641"/>
      <c r="H174" s="641"/>
      <c r="I174" s="641"/>
      <c r="J174" s="649"/>
      <c r="K174" s="589" t="str">
        <f ca="1">Translations!$A$78</f>
        <v>Indicative</v>
      </c>
      <c r="L174" s="589"/>
      <c r="M174" s="638"/>
      <c r="N174" s="638"/>
      <c r="O174" s="639"/>
      <c r="P174" s="639"/>
      <c r="Q174" s="639"/>
      <c r="R174" s="639"/>
      <c r="S174" s="661"/>
      <c r="T174" s="661"/>
      <c r="U174" s="661"/>
      <c r="V174" s="661"/>
      <c r="W174" s="661"/>
      <c r="X174" s="661"/>
      <c r="Y174" s="661"/>
      <c r="Z174" s="661"/>
      <c r="AA174" s="661"/>
      <c r="AB174" s="662"/>
      <c r="AC174" s="98"/>
      <c r="AD174" s="98"/>
      <c r="AE174" s="98"/>
      <c r="AF174" s="98"/>
      <c r="AG174" s="98"/>
      <c r="AH174" s="98"/>
      <c r="AI174" s="98"/>
      <c r="AJ174" s="98"/>
      <c r="AK174" s="98"/>
      <c r="AL174" s="224"/>
      <c r="AM174" s="98"/>
      <c r="AN174" s="94"/>
      <c r="AO174" s="94"/>
      <c r="AP174" s="98"/>
      <c r="AQ174" s="98"/>
      <c r="AR174" s="98"/>
      <c r="AS174" s="98"/>
      <c r="AT174" s="98"/>
      <c r="AU174" s="98"/>
      <c r="AV174" s="98"/>
      <c r="AW174" s="98"/>
      <c r="AX174" s="118"/>
      <c r="AY174" s="118"/>
      <c r="AZ174" s="118"/>
      <c r="BA174" s="118"/>
      <c r="BB174" s="118"/>
      <c r="BC174" s="118"/>
      <c r="BD174" s="118"/>
      <c r="BE174" s="118"/>
      <c r="BF174" s="118"/>
      <c r="BG174" s="118"/>
      <c r="BH174" s="118"/>
      <c r="BI174" s="118"/>
      <c r="BJ174" s="118"/>
      <c r="BK174" s="118"/>
      <c r="BL174" s="118"/>
      <c r="BM174" s="118"/>
      <c r="BN174" s="118"/>
      <c r="BO174" s="118"/>
      <c r="BP174" s="118"/>
      <c r="BQ174" s="118"/>
      <c r="BR174" s="118"/>
      <c r="BS174" s="118"/>
      <c r="BT174" s="118"/>
      <c r="BU174" s="118"/>
      <c r="BV174" s="118"/>
      <c r="BW174" s="118"/>
    </row>
    <row r="175" spans="1:75" s="119" customFormat="1" ht="25.5" customHeight="1" x14ac:dyDescent="0.2">
      <c r="A175" s="594"/>
      <c r="B175" s="595"/>
      <c r="C175" s="595"/>
      <c r="D175" s="642"/>
      <c r="E175" s="642"/>
      <c r="F175" s="642"/>
      <c r="G175" s="642"/>
      <c r="H175" s="642"/>
      <c r="I175" s="642"/>
      <c r="J175" s="650"/>
      <c r="K175" s="643" t="str">
        <f ca="1">Translations!$A$79</f>
        <v>Above indicative</v>
      </c>
      <c r="L175" s="643"/>
      <c r="M175" s="645"/>
      <c r="N175" s="645"/>
      <c r="O175" s="645"/>
      <c r="P175" s="645"/>
      <c r="Q175" s="645"/>
      <c r="R175" s="645"/>
      <c r="S175" s="661"/>
      <c r="T175" s="661"/>
      <c r="U175" s="661"/>
      <c r="V175" s="661"/>
      <c r="W175" s="661"/>
      <c r="X175" s="661"/>
      <c r="Y175" s="661"/>
      <c r="Z175" s="661"/>
      <c r="AA175" s="661"/>
      <c r="AB175" s="662"/>
      <c r="AC175" s="98"/>
      <c r="AD175" s="98"/>
      <c r="AE175" s="98"/>
      <c r="AF175" s="98"/>
      <c r="AG175" s="98"/>
      <c r="AH175" s="98"/>
      <c r="AI175" s="98"/>
      <c r="AJ175" s="98"/>
      <c r="AK175" s="98"/>
      <c r="AL175" s="224"/>
      <c r="AM175" s="98"/>
      <c r="AN175" s="94"/>
      <c r="AO175" s="94"/>
      <c r="AP175" s="98"/>
      <c r="AQ175" s="98"/>
      <c r="AR175" s="98"/>
      <c r="AS175" s="98"/>
      <c r="AT175" s="98"/>
      <c r="AU175" s="98"/>
      <c r="AV175" s="98"/>
      <c r="AW175" s="98"/>
      <c r="AX175" s="118"/>
      <c r="AY175" s="118"/>
      <c r="AZ175" s="118"/>
      <c r="BA175" s="118"/>
      <c r="BB175" s="118"/>
      <c r="BC175" s="118"/>
      <c r="BD175" s="118"/>
      <c r="BE175" s="118"/>
      <c r="BF175" s="118"/>
      <c r="BG175" s="118"/>
      <c r="BH175" s="118"/>
      <c r="BI175" s="118"/>
      <c r="BJ175" s="118"/>
      <c r="BK175" s="118"/>
      <c r="BL175" s="118"/>
      <c r="BM175" s="118"/>
      <c r="BN175" s="118"/>
      <c r="BO175" s="118"/>
      <c r="BP175" s="118"/>
      <c r="BQ175" s="118"/>
      <c r="BR175" s="118"/>
      <c r="BS175" s="118"/>
      <c r="BT175" s="118"/>
      <c r="BU175" s="118"/>
      <c r="BV175" s="118"/>
      <c r="BW175" s="118"/>
    </row>
    <row r="176" spans="1:75" s="106" customFormat="1" ht="18" customHeight="1" x14ac:dyDescent="0.2">
      <c r="A176" s="103"/>
      <c r="B176" s="104"/>
      <c r="C176" s="104"/>
      <c r="D176" s="104"/>
      <c r="E176" s="104"/>
      <c r="F176" s="104"/>
      <c r="G176" s="104"/>
      <c r="H176" s="104"/>
      <c r="I176" s="104"/>
      <c r="J176" s="104"/>
      <c r="K176" s="104"/>
      <c r="L176" s="104"/>
      <c r="M176" s="104"/>
      <c r="N176" s="104"/>
      <c r="O176" s="104"/>
      <c r="P176" s="105"/>
      <c r="Q176" s="105"/>
      <c r="R176" s="105"/>
      <c r="S176" s="105"/>
      <c r="T176" s="105"/>
      <c r="U176" s="105"/>
      <c r="V176" s="105"/>
      <c r="W176" s="105"/>
      <c r="X176" s="105"/>
      <c r="Y176" s="105"/>
      <c r="Z176" s="94"/>
      <c r="AA176" s="94"/>
      <c r="AB176" s="94"/>
      <c r="AC176" s="94"/>
      <c r="AD176" s="94"/>
      <c r="AE176" s="94"/>
      <c r="AF176" s="94"/>
      <c r="AG176" s="94"/>
      <c r="AH176" s="94"/>
      <c r="AI176" s="94"/>
      <c r="AJ176" s="94"/>
      <c r="AK176" s="94"/>
      <c r="AL176" s="223"/>
      <c r="AM176" s="94"/>
      <c r="AN176" s="94"/>
      <c r="AO176" s="94"/>
      <c r="AP176" s="94"/>
      <c r="AQ176" s="94"/>
      <c r="AR176" s="94"/>
      <c r="AS176" s="94"/>
      <c r="AT176" s="94"/>
      <c r="AU176" s="94"/>
      <c r="AV176" s="94"/>
      <c r="AW176" s="94"/>
      <c r="AX176" s="87"/>
      <c r="AY176" s="87"/>
      <c r="AZ176" s="87"/>
      <c r="BA176" s="87"/>
      <c r="BB176" s="87"/>
      <c r="BC176" s="87"/>
      <c r="BD176" s="87"/>
      <c r="BE176" s="92"/>
      <c r="BF176" s="92"/>
      <c r="BG176" s="92"/>
      <c r="BH176" s="92"/>
      <c r="BI176" s="92"/>
      <c r="BJ176" s="92"/>
      <c r="BK176" s="92"/>
      <c r="BL176" s="92"/>
      <c r="BM176" s="92"/>
      <c r="BN176" s="92"/>
      <c r="BO176" s="92"/>
      <c r="BP176" s="92"/>
      <c r="BQ176" s="92"/>
      <c r="BR176" s="92"/>
      <c r="BS176" s="92"/>
      <c r="BT176" s="92"/>
      <c r="BU176" s="92"/>
      <c r="BV176" s="92"/>
      <c r="BW176" s="92"/>
    </row>
  </sheetData>
  <sheetProtection formatCells="0" formatColumns="0" formatRows="0" insertRows="0" deleteRows="0" selectLockedCells="1" sort="0" autoFilter="0"/>
  <mergeCells count="835">
    <mergeCell ref="U39:Z39"/>
    <mergeCell ref="A172:C175"/>
    <mergeCell ref="D172:I175"/>
    <mergeCell ref="J172:J173"/>
    <mergeCell ref="K172:L172"/>
    <mergeCell ref="M172:N172"/>
    <mergeCell ref="O172:P172"/>
    <mergeCell ref="Q172:R172"/>
    <mergeCell ref="S172:Y173"/>
    <mergeCell ref="Z172:AB173"/>
    <mergeCell ref="K173:L173"/>
    <mergeCell ref="M173:N173"/>
    <mergeCell ref="O173:P173"/>
    <mergeCell ref="Q173:R173"/>
    <mergeCell ref="J174:J175"/>
    <mergeCell ref="K174:L174"/>
    <mergeCell ref="M174:N174"/>
    <mergeCell ref="O174:P174"/>
    <mergeCell ref="Q174:R174"/>
    <mergeCell ref="S174:Y175"/>
    <mergeCell ref="Z174:AB175"/>
    <mergeCell ref="K175:L175"/>
    <mergeCell ref="M175:N175"/>
    <mergeCell ref="O175:P175"/>
    <mergeCell ref="Q175:R175"/>
    <mergeCell ref="A168:C171"/>
    <mergeCell ref="D168:I171"/>
    <mergeCell ref="J168:J169"/>
    <mergeCell ref="K168:L168"/>
    <mergeCell ref="M168:N168"/>
    <mergeCell ref="O168:P168"/>
    <mergeCell ref="Q168:R168"/>
    <mergeCell ref="S168:Y169"/>
    <mergeCell ref="Z168:AB169"/>
    <mergeCell ref="K169:L169"/>
    <mergeCell ref="M169:N169"/>
    <mergeCell ref="O169:P169"/>
    <mergeCell ref="Q169:R169"/>
    <mergeCell ref="J170:J171"/>
    <mergeCell ref="K170:L170"/>
    <mergeCell ref="M170:N170"/>
    <mergeCell ref="O170:P170"/>
    <mergeCell ref="Q170:R170"/>
    <mergeCell ref="S170:Y171"/>
    <mergeCell ref="Z170:AB171"/>
    <mergeCell ref="K171:L171"/>
    <mergeCell ref="M171:N171"/>
    <mergeCell ref="O171:P171"/>
    <mergeCell ref="Q171:R171"/>
    <mergeCell ref="A164:C167"/>
    <mergeCell ref="D164:I167"/>
    <mergeCell ref="J164:J165"/>
    <mergeCell ref="K164:L164"/>
    <mergeCell ref="M164:N164"/>
    <mergeCell ref="O164:P164"/>
    <mergeCell ref="Q164:R164"/>
    <mergeCell ref="S164:Y165"/>
    <mergeCell ref="Z164:AB165"/>
    <mergeCell ref="K165:L165"/>
    <mergeCell ref="M165:N165"/>
    <mergeCell ref="Q165:R165"/>
    <mergeCell ref="J166:J167"/>
    <mergeCell ref="K166:L166"/>
    <mergeCell ref="M166:N166"/>
    <mergeCell ref="O166:P166"/>
    <mergeCell ref="Q166:R166"/>
    <mergeCell ref="S166:Y167"/>
    <mergeCell ref="Z166:AB167"/>
    <mergeCell ref="K167:L167"/>
    <mergeCell ref="M167:N167"/>
    <mergeCell ref="O167:P167"/>
    <mergeCell ref="Q167:R167"/>
    <mergeCell ref="O165:P165"/>
    <mergeCell ref="A160:C163"/>
    <mergeCell ref="D160:I163"/>
    <mergeCell ref="J160:J161"/>
    <mergeCell ref="K160:L160"/>
    <mergeCell ref="M160:N160"/>
    <mergeCell ref="O160:P160"/>
    <mergeCell ref="Q160:R160"/>
    <mergeCell ref="S160:Y161"/>
    <mergeCell ref="Z160:AB161"/>
    <mergeCell ref="K161:L161"/>
    <mergeCell ref="M161:N161"/>
    <mergeCell ref="O161:P161"/>
    <mergeCell ref="Q161:R161"/>
    <mergeCell ref="J162:J163"/>
    <mergeCell ref="K162:L162"/>
    <mergeCell ref="M162:N162"/>
    <mergeCell ref="O162:P162"/>
    <mergeCell ref="Q162:R162"/>
    <mergeCell ref="S162:Y163"/>
    <mergeCell ref="Z162:AB163"/>
    <mergeCell ref="K163:L163"/>
    <mergeCell ref="M163:N163"/>
    <mergeCell ref="O163:P163"/>
    <mergeCell ref="Q163:R163"/>
    <mergeCell ref="A156:C159"/>
    <mergeCell ref="D156:I159"/>
    <mergeCell ref="J156:J157"/>
    <mergeCell ref="K156:L156"/>
    <mergeCell ref="M156:N156"/>
    <mergeCell ref="O156:P156"/>
    <mergeCell ref="Q156:R156"/>
    <mergeCell ref="S156:Y157"/>
    <mergeCell ref="Z156:AB157"/>
    <mergeCell ref="K157:L157"/>
    <mergeCell ref="M157:N157"/>
    <mergeCell ref="O157:P157"/>
    <mergeCell ref="Q157:R157"/>
    <mergeCell ref="J158:J159"/>
    <mergeCell ref="K158:L158"/>
    <mergeCell ref="M158:N158"/>
    <mergeCell ref="O158:P158"/>
    <mergeCell ref="Q158:R158"/>
    <mergeCell ref="S158:Y159"/>
    <mergeCell ref="Z158:AB159"/>
    <mergeCell ref="K159:L159"/>
    <mergeCell ref="M159:N159"/>
    <mergeCell ref="O159:P159"/>
    <mergeCell ref="Q159:R159"/>
    <mergeCell ref="A154:C155"/>
    <mergeCell ref="D154:I154"/>
    <mergeCell ref="J154:J155"/>
    <mergeCell ref="K154:R154"/>
    <mergeCell ref="S154:Y154"/>
    <mergeCell ref="Z154:AB155"/>
    <mergeCell ref="D155:I155"/>
    <mergeCell ref="M155:N155"/>
    <mergeCell ref="O155:P155"/>
    <mergeCell ref="Q155:R155"/>
    <mergeCell ref="S155:Y155"/>
    <mergeCell ref="AL148:AL151"/>
    <mergeCell ref="AR148:AV149"/>
    <mergeCell ref="G150:G151"/>
    <mergeCell ref="K150:L151"/>
    <mergeCell ref="N150:N151"/>
    <mergeCell ref="AR150:AV151"/>
    <mergeCell ref="A153:E153"/>
    <mergeCell ref="J153:P153"/>
    <mergeCell ref="Q153:R153"/>
    <mergeCell ref="S153:U153"/>
    <mergeCell ref="A148:C151"/>
    <mergeCell ref="D148:D151"/>
    <mergeCell ref="E148:F151"/>
    <mergeCell ref="G148:G149"/>
    <mergeCell ref="H148:H151"/>
    <mergeCell ref="I148:I151"/>
    <mergeCell ref="J148:J151"/>
    <mergeCell ref="K148:L149"/>
    <mergeCell ref="N148:N149"/>
    <mergeCell ref="P148:P149"/>
    <mergeCell ref="P150:P151"/>
    <mergeCell ref="R150:R151"/>
    <mergeCell ref="AL140:AL143"/>
    <mergeCell ref="AR140:AV141"/>
    <mergeCell ref="G142:G143"/>
    <mergeCell ref="K142:L143"/>
    <mergeCell ref="N142:N143"/>
    <mergeCell ref="P142:P143"/>
    <mergeCell ref="R142:R143"/>
    <mergeCell ref="AR142:AV143"/>
    <mergeCell ref="AL144:AL147"/>
    <mergeCell ref="AR144:AV145"/>
    <mergeCell ref="G146:G147"/>
    <mergeCell ref="K146:L147"/>
    <mergeCell ref="N146:N147"/>
    <mergeCell ref="P146:P147"/>
    <mergeCell ref="R146:R147"/>
    <mergeCell ref="AR146:AV147"/>
    <mergeCell ref="K144:L145"/>
    <mergeCell ref="N144:N145"/>
    <mergeCell ref="P144:P145"/>
    <mergeCell ref="R144:R145"/>
    <mergeCell ref="S144:AB147"/>
    <mergeCell ref="AR134:AV135"/>
    <mergeCell ref="D136:D139"/>
    <mergeCell ref="E136:F139"/>
    <mergeCell ref="G136:G137"/>
    <mergeCell ref="H136:H139"/>
    <mergeCell ref="I136:I139"/>
    <mergeCell ref="J136:J139"/>
    <mergeCell ref="K136:L137"/>
    <mergeCell ref="N136:N137"/>
    <mergeCell ref="P136:P137"/>
    <mergeCell ref="R136:R137"/>
    <mergeCell ref="S136:AB139"/>
    <mergeCell ref="AL136:AL139"/>
    <mergeCell ref="AR136:AV137"/>
    <mergeCell ref="G138:G139"/>
    <mergeCell ref="K138:L139"/>
    <mergeCell ref="N138:N139"/>
    <mergeCell ref="P138:P139"/>
    <mergeCell ref="R138:R139"/>
    <mergeCell ref="AR138:AV139"/>
    <mergeCell ref="D132:D135"/>
    <mergeCell ref="E132:F135"/>
    <mergeCell ref="G132:G133"/>
    <mergeCell ref="H132:H135"/>
    <mergeCell ref="I132:I135"/>
    <mergeCell ref="J132:J135"/>
    <mergeCell ref="K132:L133"/>
    <mergeCell ref="N132:N133"/>
    <mergeCell ref="P132:P133"/>
    <mergeCell ref="G134:G135"/>
    <mergeCell ref="K134:L135"/>
    <mergeCell ref="N134:N135"/>
    <mergeCell ref="P134:P135"/>
    <mergeCell ref="A3:B3"/>
    <mergeCell ref="A4:B4"/>
    <mergeCell ref="A5:B5"/>
    <mergeCell ref="A6:B6"/>
    <mergeCell ref="C3:G3"/>
    <mergeCell ref="C4:G4"/>
    <mergeCell ref="C5:G5"/>
    <mergeCell ref="C6:G6"/>
    <mergeCell ref="AL112:AL115"/>
    <mergeCell ref="S77:AB80"/>
    <mergeCell ref="AL77:AL80"/>
    <mergeCell ref="S73:AB76"/>
    <mergeCell ref="AL73:AL76"/>
    <mergeCell ref="S69:AB72"/>
    <mergeCell ref="AL69:AL72"/>
    <mergeCell ref="S65:AB68"/>
    <mergeCell ref="S61:AB64"/>
    <mergeCell ref="S57:AB60"/>
    <mergeCell ref="R55:R56"/>
    <mergeCell ref="A49:C52"/>
    <mergeCell ref="E45:F48"/>
    <mergeCell ref="O46:P46"/>
    <mergeCell ref="Q46:R46"/>
    <mergeCell ref="H47:H48"/>
    <mergeCell ref="A81:C84"/>
    <mergeCell ref="D81:D84"/>
    <mergeCell ref="E81:F84"/>
    <mergeCell ref="G81:G82"/>
    <mergeCell ref="H81:H84"/>
    <mergeCell ref="I81:I84"/>
    <mergeCell ref="J81:J84"/>
    <mergeCell ref="K81:L82"/>
    <mergeCell ref="N81:N82"/>
    <mergeCell ref="R81:R82"/>
    <mergeCell ref="S81:AB84"/>
    <mergeCell ref="AL81:AL84"/>
    <mergeCell ref="AR81:AV82"/>
    <mergeCell ref="G83:G84"/>
    <mergeCell ref="K83:L84"/>
    <mergeCell ref="N83:N84"/>
    <mergeCell ref="P83:P84"/>
    <mergeCell ref="R83:R84"/>
    <mergeCell ref="AR83:AV84"/>
    <mergeCell ref="AR77:AV78"/>
    <mergeCell ref="G79:G80"/>
    <mergeCell ref="K79:L80"/>
    <mergeCell ref="N79:N80"/>
    <mergeCell ref="P79:P80"/>
    <mergeCell ref="R79:R80"/>
    <mergeCell ref="AR79:AV80"/>
    <mergeCell ref="A77:C80"/>
    <mergeCell ref="D77:D80"/>
    <mergeCell ref="E77:F80"/>
    <mergeCell ref="G77:G78"/>
    <mergeCell ref="H77:H80"/>
    <mergeCell ref="I77:I80"/>
    <mergeCell ref="J77:J80"/>
    <mergeCell ref="K77:L78"/>
    <mergeCell ref="N77:N78"/>
    <mergeCell ref="AR73:AV74"/>
    <mergeCell ref="G75:G76"/>
    <mergeCell ref="K75:L76"/>
    <mergeCell ref="N75:N76"/>
    <mergeCell ref="P75:P76"/>
    <mergeCell ref="R75:R76"/>
    <mergeCell ref="AR75:AV76"/>
    <mergeCell ref="A73:C76"/>
    <mergeCell ref="D73:D76"/>
    <mergeCell ref="E73:F76"/>
    <mergeCell ref="G73:G74"/>
    <mergeCell ref="H73:H76"/>
    <mergeCell ref="I73:I76"/>
    <mergeCell ref="J73:J76"/>
    <mergeCell ref="K73:L74"/>
    <mergeCell ref="N73:N74"/>
    <mergeCell ref="AR69:AV70"/>
    <mergeCell ref="G71:G72"/>
    <mergeCell ref="K71:L72"/>
    <mergeCell ref="N71:N72"/>
    <mergeCell ref="P71:P72"/>
    <mergeCell ref="R71:R72"/>
    <mergeCell ref="AR71:AV72"/>
    <mergeCell ref="A69:C72"/>
    <mergeCell ref="D69:D72"/>
    <mergeCell ref="E69:F72"/>
    <mergeCell ref="G69:G70"/>
    <mergeCell ref="H69:H72"/>
    <mergeCell ref="I69:I72"/>
    <mergeCell ref="J69:J72"/>
    <mergeCell ref="K69:L70"/>
    <mergeCell ref="N69:N70"/>
    <mergeCell ref="AR65:AV66"/>
    <mergeCell ref="G67:G68"/>
    <mergeCell ref="K67:L68"/>
    <mergeCell ref="N67:N68"/>
    <mergeCell ref="P67:P68"/>
    <mergeCell ref="R67:R68"/>
    <mergeCell ref="AR67:AV68"/>
    <mergeCell ref="AL65:AL68"/>
    <mergeCell ref="A65:C68"/>
    <mergeCell ref="D65:D68"/>
    <mergeCell ref="E65:F68"/>
    <mergeCell ref="G65:G66"/>
    <mergeCell ref="H65:H68"/>
    <mergeCell ref="I65:I68"/>
    <mergeCell ref="J65:J68"/>
    <mergeCell ref="K65:L66"/>
    <mergeCell ref="N65:N66"/>
    <mergeCell ref="AR61:AV62"/>
    <mergeCell ref="G63:G64"/>
    <mergeCell ref="K63:L64"/>
    <mergeCell ref="N63:N64"/>
    <mergeCell ref="P63:P64"/>
    <mergeCell ref="R63:R64"/>
    <mergeCell ref="AR63:AV64"/>
    <mergeCell ref="AL61:AL64"/>
    <mergeCell ref="A61:C64"/>
    <mergeCell ref="D61:D64"/>
    <mergeCell ref="E61:F64"/>
    <mergeCell ref="G61:G62"/>
    <mergeCell ref="H61:H64"/>
    <mergeCell ref="I61:I64"/>
    <mergeCell ref="J61:J64"/>
    <mergeCell ref="K61:L62"/>
    <mergeCell ref="N61:N62"/>
    <mergeCell ref="AR57:AV58"/>
    <mergeCell ref="G59:G60"/>
    <mergeCell ref="K59:L60"/>
    <mergeCell ref="N59:N60"/>
    <mergeCell ref="P59:P60"/>
    <mergeCell ref="R59:R60"/>
    <mergeCell ref="AR59:AV60"/>
    <mergeCell ref="AL57:AL60"/>
    <mergeCell ref="A57:C60"/>
    <mergeCell ref="D57:D60"/>
    <mergeCell ref="E57:F60"/>
    <mergeCell ref="G57:G58"/>
    <mergeCell ref="H57:H60"/>
    <mergeCell ref="I57:I60"/>
    <mergeCell ref="J57:J60"/>
    <mergeCell ref="K57:L58"/>
    <mergeCell ref="N57:N58"/>
    <mergeCell ref="J47:J48"/>
    <mergeCell ref="K45:L48"/>
    <mergeCell ref="M45:R45"/>
    <mergeCell ref="P49:P50"/>
    <mergeCell ref="A45:C48"/>
    <mergeCell ref="R49:R50"/>
    <mergeCell ref="E49:F52"/>
    <mergeCell ref="K51:L52"/>
    <mergeCell ref="N51:N52"/>
    <mergeCell ref="P51:P52"/>
    <mergeCell ref="R51:R52"/>
    <mergeCell ref="G49:G50"/>
    <mergeCell ref="H49:H52"/>
    <mergeCell ref="J49:J52"/>
    <mergeCell ref="K49:L50"/>
    <mergeCell ref="N49:N50"/>
    <mergeCell ref="R53:R54"/>
    <mergeCell ref="E53:F56"/>
    <mergeCell ref="G55:G56"/>
    <mergeCell ref="K55:L56"/>
    <mergeCell ref="P1:T1"/>
    <mergeCell ref="A41:AB41"/>
    <mergeCell ref="S49:AB52"/>
    <mergeCell ref="S53:AB56"/>
    <mergeCell ref="R44:AB44"/>
    <mergeCell ref="D43:J43"/>
    <mergeCell ref="P55:P56"/>
    <mergeCell ref="A8:Z8"/>
    <mergeCell ref="A53:C56"/>
    <mergeCell ref="G53:G54"/>
    <mergeCell ref="H53:H56"/>
    <mergeCell ref="J53:J56"/>
    <mergeCell ref="K53:L54"/>
    <mergeCell ref="N53:N54"/>
    <mergeCell ref="P53:P54"/>
    <mergeCell ref="G51:G52"/>
    <mergeCell ref="A43:B43"/>
    <mergeCell ref="O37:P37"/>
    <mergeCell ref="Q37:R37"/>
    <mergeCell ref="M46:N46"/>
    <mergeCell ref="B25:Z25"/>
    <mergeCell ref="B26:Z26"/>
    <mergeCell ref="B27:Z27"/>
    <mergeCell ref="B28:Z28"/>
    <mergeCell ref="B29:Z29"/>
    <mergeCell ref="B20:H20"/>
    <mergeCell ref="Q21:R21"/>
    <mergeCell ref="O21:P21"/>
    <mergeCell ref="B30:Z30"/>
    <mergeCell ref="A24:Z24"/>
    <mergeCell ref="A23:Z23"/>
    <mergeCell ref="Q20:R20"/>
    <mergeCell ref="S21:T21"/>
    <mergeCell ref="I21:J21"/>
    <mergeCell ref="S20:T20"/>
    <mergeCell ref="B21:H21"/>
    <mergeCell ref="L21:N21"/>
    <mergeCell ref="U20:Z20"/>
    <mergeCell ref="U21:Z21"/>
    <mergeCell ref="AJ14:AR16"/>
    <mergeCell ref="AJ17:AR17"/>
    <mergeCell ref="AJ18:AR18"/>
    <mergeCell ref="AJ19:AR19"/>
    <mergeCell ref="AJ20:AR20"/>
    <mergeCell ref="Q18:R18"/>
    <mergeCell ref="B18:H18"/>
    <mergeCell ref="I18:J18"/>
    <mergeCell ref="I20:J20"/>
    <mergeCell ref="B14:H16"/>
    <mergeCell ref="L15:N16"/>
    <mergeCell ref="I19:J19"/>
    <mergeCell ref="Q19:R19"/>
    <mergeCell ref="Q16:R16"/>
    <mergeCell ref="S18:T18"/>
    <mergeCell ref="O14:T14"/>
    <mergeCell ref="U14:Z16"/>
    <mergeCell ref="S19:T19"/>
    <mergeCell ref="I17:J17"/>
    <mergeCell ref="B19:H19"/>
    <mergeCell ref="U17:Z17"/>
    <mergeCell ref="U18:Z18"/>
    <mergeCell ref="U19:Z19"/>
    <mergeCell ref="AJ21:AR21"/>
    <mergeCell ref="AR53:AV54"/>
    <mergeCell ref="AR55:AV56"/>
    <mergeCell ref="AR49:AV50"/>
    <mergeCell ref="AR51:AV52"/>
    <mergeCell ref="AR45:AV48"/>
    <mergeCell ref="AS32:BA34"/>
    <mergeCell ref="AS35:BA35"/>
    <mergeCell ref="AJ37:AR37"/>
    <mergeCell ref="AS37:BA37"/>
    <mergeCell ref="AJ38:AR38"/>
    <mergeCell ref="AL49:AL52"/>
    <mergeCell ref="AL53:AL56"/>
    <mergeCell ref="AL45:AL48"/>
    <mergeCell ref="A14:A16"/>
    <mergeCell ref="S16:T16"/>
    <mergeCell ref="B17:H17"/>
    <mergeCell ref="O15:P15"/>
    <mergeCell ref="O16:P16"/>
    <mergeCell ref="H5:J6"/>
    <mergeCell ref="Q15:R15"/>
    <mergeCell ref="S15:T15"/>
    <mergeCell ref="I14:N14"/>
    <mergeCell ref="A9:Z9"/>
    <mergeCell ref="B10:Z10"/>
    <mergeCell ref="B11:Z11"/>
    <mergeCell ref="B12:Z12"/>
    <mergeCell ref="S17:T17"/>
    <mergeCell ref="Q17:R17"/>
    <mergeCell ref="K15:K16"/>
    <mergeCell ref="S6:T6"/>
    <mergeCell ref="U6:X6"/>
    <mergeCell ref="K4:R4"/>
    <mergeCell ref="K5:R5"/>
    <mergeCell ref="A32:A34"/>
    <mergeCell ref="B32:H34"/>
    <mergeCell ref="I32:N32"/>
    <mergeCell ref="Q33:R33"/>
    <mergeCell ref="S33:T33"/>
    <mergeCell ref="O20:P20"/>
    <mergeCell ref="O17:P17"/>
    <mergeCell ref="O19:P19"/>
    <mergeCell ref="L19:N19"/>
    <mergeCell ref="L20:N20"/>
    <mergeCell ref="O18:P18"/>
    <mergeCell ref="L17:N17"/>
    <mergeCell ref="L18:N18"/>
    <mergeCell ref="H3:J4"/>
    <mergeCell ref="A7:Y7"/>
    <mergeCell ref="I15:J16"/>
    <mergeCell ref="S3:T3"/>
    <mergeCell ref="S4:T4"/>
    <mergeCell ref="S5:T5"/>
    <mergeCell ref="K3:R3"/>
    <mergeCell ref="K6:R6"/>
    <mergeCell ref="U5:X5"/>
    <mergeCell ref="BB32:BJ34"/>
    <mergeCell ref="I33:J34"/>
    <mergeCell ref="K33:K34"/>
    <mergeCell ref="L33:N34"/>
    <mergeCell ref="O33:P33"/>
    <mergeCell ref="O34:P34"/>
    <mergeCell ref="Q34:R34"/>
    <mergeCell ref="S34:T34"/>
    <mergeCell ref="AJ32:AR34"/>
    <mergeCell ref="U32:Z34"/>
    <mergeCell ref="O32:T32"/>
    <mergeCell ref="BB35:BJ35"/>
    <mergeCell ref="B36:H36"/>
    <mergeCell ref="I36:J36"/>
    <mergeCell ref="L36:N36"/>
    <mergeCell ref="O36:P36"/>
    <mergeCell ref="Q36:R36"/>
    <mergeCell ref="S36:T36"/>
    <mergeCell ref="AJ36:AR36"/>
    <mergeCell ref="B35:H35"/>
    <mergeCell ref="I35:J35"/>
    <mergeCell ref="L35:N35"/>
    <mergeCell ref="O35:P35"/>
    <mergeCell ref="Q35:R35"/>
    <mergeCell ref="S35:T35"/>
    <mergeCell ref="AJ35:AR35"/>
    <mergeCell ref="AS36:BA36"/>
    <mergeCell ref="BB36:BJ36"/>
    <mergeCell ref="U35:Z35"/>
    <mergeCell ref="U36:Z36"/>
    <mergeCell ref="BB37:BJ37"/>
    <mergeCell ref="S37:T37"/>
    <mergeCell ref="AS38:BA38"/>
    <mergeCell ref="BB38:BJ38"/>
    <mergeCell ref="B39:H39"/>
    <mergeCell ref="I39:J39"/>
    <mergeCell ref="L39:N39"/>
    <mergeCell ref="O39:P39"/>
    <mergeCell ref="Q39:R39"/>
    <mergeCell ref="BB39:BJ39"/>
    <mergeCell ref="S39:T39"/>
    <mergeCell ref="AJ39:AR39"/>
    <mergeCell ref="AS39:BA39"/>
    <mergeCell ref="B38:H38"/>
    <mergeCell ref="I38:J38"/>
    <mergeCell ref="L38:N38"/>
    <mergeCell ref="O38:P38"/>
    <mergeCell ref="Q38:R38"/>
    <mergeCell ref="S38:T38"/>
    <mergeCell ref="B37:H37"/>
    <mergeCell ref="I37:J37"/>
    <mergeCell ref="L37:N37"/>
    <mergeCell ref="U37:Z37"/>
    <mergeCell ref="U38:Z38"/>
    <mergeCell ref="AR132:AV133"/>
    <mergeCell ref="Q86:R86"/>
    <mergeCell ref="S86:U86"/>
    <mergeCell ref="J87:J88"/>
    <mergeCell ref="P128:P129"/>
    <mergeCell ref="R128:R129"/>
    <mergeCell ref="S128:AB131"/>
    <mergeCell ref="Q90:R90"/>
    <mergeCell ref="J89:J90"/>
    <mergeCell ref="J91:J92"/>
    <mergeCell ref="J107:J108"/>
    <mergeCell ref="J95:J96"/>
    <mergeCell ref="M108:N108"/>
    <mergeCell ref="O108:P108"/>
    <mergeCell ref="J99:J100"/>
    <mergeCell ref="K95:L95"/>
    <mergeCell ref="M95:N95"/>
    <mergeCell ref="O95:P95"/>
    <mergeCell ref="K99:L99"/>
    <mergeCell ref="M99:N99"/>
    <mergeCell ref="O99:P99"/>
    <mergeCell ref="S116:AB119"/>
    <mergeCell ref="M113:N113"/>
    <mergeCell ref="O113:P113"/>
    <mergeCell ref="S120:AB123"/>
    <mergeCell ref="K120:L121"/>
    <mergeCell ref="N120:N121"/>
    <mergeCell ref="AL132:AL135"/>
    <mergeCell ref="K112:L115"/>
    <mergeCell ref="AR120:AV121"/>
    <mergeCell ref="AR122:AV123"/>
    <mergeCell ref="AR124:AV125"/>
    <mergeCell ref="AR126:AV127"/>
    <mergeCell ref="K124:L125"/>
    <mergeCell ref="N124:N125"/>
    <mergeCell ref="AR116:AV117"/>
    <mergeCell ref="AR112:AV115"/>
    <mergeCell ref="M112:R112"/>
    <mergeCell ref="P118:P119"/>
    <mergeCell ref="R118:R119"/>
    <mergeCell ref="AL120:AL123"/>
    <mergeCell ref="AL124:AL127"/>
    <mergeCell ref="AL116:AL119"/>
    <mergeCell ref="AR118:AV119"/>
    <mergeCell ref="K128:L129"/>
    <mergeCell ref="N128:N129"/>
    <mergeCell ref="K130:L131"/>
    <mergeCell ref="N130:N131"/>
    <mergeCell ref="AL128:AL131"/>
    <mergeCell ref="AR128:AV129"/>
    <mergeCell ref="P130:P131"/>
    <mergeCell ref="R130:R131"/>
    <mergeCell ref="AR130:AV131"/>
    <mergeCell ref="A128:C131"/>
    <mergeCell ref="D128:D131"/>
    <mergeCell ref="E128:F131"/>
    <mergeCell ref="G128:G129"/>
    <mergeCell ref="H128:H131"/>
    <mergeCell ref="I128:I131"/>
    <mergeCell ref="J128:J131"/>
    <mergeCell ref="G130:G131"/>
    <mergeCell ref="P120:P121"/>
    <mergeCell ref="I124:I127"/>
    <mergeCell ref="J124:J127"/>
    <mergeCell ref="D120:D123"/>
    <mergeCell ref="E120:F123"/>
    <mergeCell ref="R122:R123"/>
    <mergeCell ref="K126:L127"/>
    <mergeCell ref="N126:N127"/>
    <mergeCell ref="P126:P127"/>
    <mergeCell ref="R126:R127"/>
    <mergeCell ref="P124:P125"/>
    <mergeCell ref="R124:R125"/>
    <mergeCell ref="G124:G125"/>
    <mergeCell ref="H124:H127"/>
    <mergeCell ref="G126:G127"/>
    <mergeCell ref="D124:D127"/>
    <mergeCell ref="E124:F127"/>
    <mergeCell ref="G120:G121"/>
    <mergeCell ref="H120:H123"/>
    <mergeCell ref="G122:G123"/>
    <mergeCell ref="R120:R121"/>
    <mergeCell ref="S124:AB127"/>
    <mergeCell ref="J93:J94"/>
    <mergeCell ref="J97:J98"/>
    <mergeCell ref="M94:N94"/>
    <mergeCell ref="O94:P94"/>
    <mergeCell ref="K90:L90"/>
    <mergeCell ref="M90:N90"/>
    <mergeCell ref="O90:P90"/>
    <mergeCell ref="A124:C127"/>
    <mergeCell ref="J120:J123"/>
    <mergeCell ref="K122:L123"/>
    <mergeCell ref="N122:N123"/>
    <mergeCell ref="P122:P123"/>
    <mergeCell ref="A120:C123"/>
    <mergeCell ref="I120:I123"/>
    <mergeCell ref="A116:C119"/>
    <mergeCell ref="I116:I119"/>
    <mergeCell ref="J116:J119"/>
    <mergeCell ref="I114:I115"/>
    <mergeCell ref="J114:J115"/>
    <mergeCell ref="K116:L117"/>
    <mergeCell ref="N116:N117"/>
    <mergeCell ref="P116:P117"/>
    <mergeCell ref="A89:C92"/>
    <mergeCell ref="Z87:AB88"/>
    <mergeCell ref="Z93:AB94"/>
    <mergeCell ref="S97:Y98"/>
    <mergeCell ref="Q88:R88"/>
    <mergeCell ref="M91:N91"/>
    <mergeCell ref="K91:L91"/>
    <mergeCell ref="O91:P91"/>
    <mergeCell ref="Q91:R91"/>
    <mergeCell ref="K89:L89"/>
    <mergeCell ref="M89:N89"/>
    <mergeCell ref="M92:N92"/>
    <mergeCell ref="O89:P89"/>
    <mergeCell ref="K92:L92"/>
    <mergeCell ref="K93:L93"/>
    <mergeCell ref="K94:L94"/>
    <mergeCell ref="Q95:R95"/>
    <mergeCell ref="K87:R87"/>
    <mergeCell ref="O97:P97"/>
    <mergeCell ref="M88:N88"/>
    <mergeCell ref="O88:P88"/>
    <mergeCell ref="D89:I92"/>
    <mergeCell ref="Q89:R89"/>
    <mergeCell ref="O92:P92"/>
    <mergeCell ref="Q92:R92"/>
    <mergeCell ref="A132:C135"/>
    <mergeCell ref="Z101:AB102"/>
    <mergeCell ref="S89:Y90"/>
    <mergeCell ref="Z89:AB90"/>
    <mergeCell ref="S91:Y92"/>
    <mergeCell ref="Z91:AB92"/>
    <mergeCell ref="S93:Y94"/>
    <mergeCell ref="S101:Y102"/>
    <mergeCell ref="S107:Y108"/>
    <mergeCell ref="Z107:AB108"/>
    <mergeCell ref="Z97:AB98"/>
    <mergeCell ref="S99:Y100"/>
    <mergeCell ref="Z99:AB100"/>
    <mergeCell ref="S95:Y96"/>
    <mergeCell ref="Z95:AB96"/>
    <mergeCell ref="S105:Y106"/>
    <mergeCell ref="Z105:AB106"/>
    <mergeCell ref="S103:Y104"/>
    <mergeCell ref="Z103:AB104"/>
    <mergeCell ref="J101:J102"/>
    <mergeCell ref="U3:Z4"/>
    <mergeCell ref="Y5:Z5"/>
    <mergeCell ref="Y6:Z6"/>
    <mergeCell ref="S88:Y88"/>
    <mergeCell ref="S87:Y87"/>
    <mergeCell ref="D88:I88"/>
    <mergeCell ref="D87:I87"/>
    <mergeCell ref="D45:D48"/>
    <mergeCell ref="D49:D52"/>
    <mergeCell ref="D53:D56"/>
    <mergeCell ref="I47:I48"/>
    <mergeCell ref="G45:J46"/>
    <mergeCell ref="I49:I52"/>
    <mergeCell ref="R47:R48"/>
    <mergeCell ref="P47:P48"/>
    <mergeCell ref="N47:N48"/>
    <mergeCell ref="S45:AB45"/>
    <mergeCell ref="S46:AB48"/>
    <mergeCell ref="I53:I56"/>
    <mergeCell ref="P77:P78"/>
    <mergeCell ref="R77:R78"/>
    <mergeCell ref="P81:P82"/>
    <mergeCell ref="A86:E86"/>
    <mergeCell ref="A87:C88"/>
    <mergeCell ref="Q106:R106"/>
    <mergeCell ref="K104:L104"/>
    <mergeCell ref="M104:N104"/>
    <mergeCell ref="O104:P104"/>
    <mergeCell ref="Q104:R104"/>
    <mergeCell ref="N55:N56"/>
    <mergeCell ref="K96:L96"/>
    <mergeCell ref="M96:N96"/>
    <mergeCell ref="O96:P96"/>
    <mergeCell ref="Q94:R94"/>
    <mergeCell ref="Q96:R96"/>
    <mergeCell ref="P57:P58"/>
    <mergeCell ref="R57:R58"/>
    <mergeCell ref="P61:P62"/>
    <mergeCell ref="R61:R62"/>
    <mergeCell ref="P65:P66"/>
    <mergeCell ref="R65:R66"/>
    <mergeCell ref="P69:P70"/>
    <mergeCell ref="R69:R70"/>
    <mergeCell ref="P73:P74"/>
    <mergeCell ref="R73:R74"/>
    <mergeCell ref="J86:P86"/>
    <mergeCell ref="J105:J106"/>
    <mergeCell ref="O98:P98"/>
    <mergeCell ref="D97:I100"/>
    <mergeCell ref="D101:I104"/>
    <mergeCell ref="D105:I108"/>
    <mergeCell ref="K107:L107"/>
    <mergeCell ref="K108:L108"/>
    <mergeCell ref="Q108:R108"/>
    <mergeCell ref="K97:L97"/>
    <mergeCell ref="K98:L98"/>
    <mergeCell ref="K101:L101"/>
    <mergeCell ref="K102:L102"/>
    <mergeCell ref="M102:N102"/>
    <mergeCell ref="O102:P102"/>
    <mergeCell ref="Q102:R102"/>
    <mergeCell ref="M107:N107"/>
    <mergeCell ref="O107:P107"/>
    <mergeCell ref="Q107:R107"/>
    <mergeCell ref="Q97:R97"/>
    <mergeCell ref="M98:N98"/>
    <mergeCell ref="Q99:R99"/>
    <mergeCell ref="Q98:R98"/>
    <mergeCell ref="K106:L106"/>
    <mergeCell ref="M106:N106"/>
    <mergeCell ref="M97:N97"/>
    <mergeCell ref="O106:P106"/>
    <mergeCell ref="K105:L105"/>
    <mergeCell ref="M105:N105"/>
    <mergeCell ref="O105:P105"/>
    <mergeCell ref="Q105:R105"/>
    <mergeCell ref="A93:C96"/>
    <mergeCell ref="D93:I96"/>
    <mergeCell ref="M93:N93"/>
    <mergeCell ref="O93:P93"/>
    <mergeCell ref="Q93:R93"/>
    <mergeCell ref="M101:N101"/>
    <mergeCell ref="O101:P101"/>
    <mergeCell ref="Q101:R101"/>
    <mergeCell ref="A105:C108"/>
    <mergeCell ref="K100:L100"/>
    <mergeCell ref="M100:N100"/>
    <mergeCell ref="O100:P100"/>
    <mergeCell ref="Q100:R100"/>
    <mergeCell ref="J103:J104"/>
    <mergeCell ref="K103:L103"/>
    <mergeCell ref="M103:N103"/>
    <mergeCell ref="O103:P103"/>
    <mergeCell ref="Q103:R103"/>
    <mergeCell ref="A101:C104"/>
    <mergeCell ref="A97:C100"/>
    <mergeCell ref="A136:C139"/>
    <mergeCell ref="A144:C147"/>
    <mergeCell ref="A140:C143"/>
    <mergeCell ref="D144:D147"/>
    <mergeCell ref="E144:F147"/>
    <mergeCell ref="G144:G145"/>
    <mergeCell ref="H144:H147"/>
    <mergeCell ref="I144:I147"/>
    <mergeCell ref="J144:J147"/>
    <mergeCell ref="D140:D143"/>
    <mergeCell ref="E140:F143"/>
    <mergeCell ref="G140:G141"/>
    <mergeCell ref="H140:H143"/>
    <mergeCell ref="I140:I143"/>
    <mergeCell ref="J140:J143"/>
    <mergeCell ref="R132:R133"/>
    <mergeCell ref="S132:AB135"/>
    <mergeCell ref="R134:R135"/>
    <mergeCell ref="K140:L141"/>
    <mergeCell ref="N140:N141"/>
    <mergeCell ref="P140:P141"/>
    <mergeCell ref="R140:R141"/>
    <mergeCell ref="S140:AB143"/>
    <mergeCell ref="R148:R149"/>
    <mergeCell ref="S148:AB151"/>
    <mergeCell ref="K118:L119"/>
    <mergeCell ref="N118:N119"/>
    <mergeCell ref="A110:B110"/>
    <mergeCell ref="D110:J110"/>
    <mergeCell ref="R111:AB111"/>
    <mergeCell ref="D112:D115"/>
    <mergeCell ref="E112:F115"/>
    <mergeCell ref="G112:J113"/>
    <mergeCell ref="S112:AB112"/>
    <mergeCell ref="S113:AB115"/>
    <mergeCell ref="H114:H115"/>
    <mergeCell ref="N114:N115"/>
    <mergeCell ref="P114:P115"/>
    <mergeCell ref="R114:R115"/>
    <mergeCell ref="R116:R117"/>
    <mergeCell ref="A112:C115"/>
    <mergeCell ref="D116:D119"/>
    <mergeCell ref="E116:F119"/>
    <mergeCell ref="G116:G117"/>
    <mergeCell ref="H116:H119"/>
    <mergeCell ref="G118:G119"/>
    <mergeCell ref="Q113:R113"/>
  </mergeCells>
  <dataValidations count="14">
    <dataValidation allowBlank="1" showInputMessage="1" sqref="U35:U39 U17:U21 BB35:BB39 U14 AS35:AS39 AJ35:AJ39 AA35:AA39 AJ17:AJ21 AJ14 AI31 BB32 U32 AA32 AJ32 AS32 Z7"/>
    <dataValidation type="list" allowBlank="1" showInputMessage="1" showErrorMessage="1" sqref="E49:F84 E116:F151">
      <formula1>TiedTo</formula1>
    </dataValidation>
    <dataValidation type="list" allowBlank="1" showInputMessage="1" showErrorMessage="1" sqref="P1">
      <formula1>"English,French,Spanish,Russian"</formula1>
    </dataValidation>
    <dataValidation type="list" allowBlank="1" showInputMessage="1" showErrorMessage="1" sqref="K3:K6 L5:R6">
      <formula1>PRsInApplicant</formula1>
    </dataValidation>
    <dataValidation type="list" allowBlank="1" showInputMessage="1" sqref="D49:D84 D116:D151">
      <formula1>$S$3:$S$6</formula1>
    </dataValidation>
    <dataValidation type="list" allowBlank="1" showInputMessage="1" showErrorMessage="1" sqref="J89:J108 J156:J175">
      <formula1>$S$3:$S$6</formula1>
    </dataValidation>
    <dataValidation type="list" allowBlank="1" prompt="Please select an indicator" sqref="B17:H21">
      <formula1>ImpactIndInCmp</formula1>
    </dataValidation>
    <dataValidation type="list" allowBlank="1" sqref="B35:H39">
      <formula1>OutcomeIndInCmp</formula1>
    </dataValidation>
    <dataValidation type="list" allowBlank="1" showInputMessage="1" showErrorMessage="1" sqref="L17:N21 J49:J84 J116:J151">
      <formula1>DataSrcInCmp</formula1>
    </dataValidation>
    <dataValidation type="list" allowBlank="1" prompt="Please select a data source" sqref="L35:N39">
      <formula1>DataSrcInCmp</formula1>
    </dataValidation>
    <dataValidation type="list" allowBlank="1" showInputMessage="1" showErrorMessage="1" sqref="D43:J43 D110:J110">
      <formula1>ModulesInCmp</formula1>
    </dataValidation>
    <dataValidation type="list" allowBlank="1" showInputMessage="1" sqref="C3">
      <formula1>Country_Applicant</formula1>
    </dataValidation>
    <dataValidation type="list" allowBlank="1" showInputMessage="1" showErrorMessage="1" sqref="C5">
      <formula1>Years</formula1>
    </dataValidation>
    <dataValidation type="list" allowBlank="1" showInputMessage="1" showErrorMessage="1" sqref="C6">
      <formula1>Months</formula1>
    </dataValidation>
  </dataValidations>
  <pageMargins left="0.7" right="0.7" top="0.75" bottom="0.75" header="0.3" footer="0.3"/>
  <pageSetup paperSize="8" scale="33" fitToHeight="0" orientation="landscape" r:id="rId1"/>
  <headerFooter alignWithMargins="0"/>
  <ignoredErrors>
    <ignoredError sqref="K55 K51 K100 K102 K104 K106 K90 K92 K94 K96 K98" formula="1"/>
  </ignoredErrors>
  <extLst>
    <ext xmlns:x14="http://schemas.microsoft.com/office/spreadsheetml/2009/9/main" uri="{78C0D931-6437-407d-A8EE-F0AAD7539E65}">
      <x14:conditionalFormattings>
        <x14:conditionalFormatting xmlns:xm="http://schemas.microsoft.com/office/excel/2006/main">
          <x14:cfRule type="expression" priority="3" id="{1E91084B-4436-4FC9-9E94-7F572B32A20F}">
            <xm:f>MATCH(A1,'Coverage ind'!E:E,0)</xm:f>
            <x14:dxf>
              <fill>
                <patternFill>
                  <bgColor theme="8" tint="0.79998168889431442"/>
                </patternFill>
              </fill>
            </x14:dxf>
          </x14:cfRule>
          <xm:sqref>A1:A1048576</xm:sqref>
        </x14:conditionalFormatting>
      </x14:conditionalFormattings>
    </ext>
    <ext xmlns:x14="http://schemas.microsoft.com/office/spreadsheetml/2009/9/main" uri="{CCE6A557-97BC-4b89-ADB6-D9C93CAAB3DF}">
      <x14:dataValidations xmlns:xm="http://schemas.microsoft.com/office/excel/2006/main" count="11">
        <x14:dataValidation type="list" allowBlank="1" showInputMessage="1">
          <x14:formula1>
            <xm:f>Cmp!$C$2:$C$5</xm:f>
          </x14:formula1>
          <xm:sqref>C4</xm:sqref>
        </x14:dataValidation>
        <x14:dataValidation type="list" allowBlank="1" showInputMessage="1" showErrorMessage="1">
          <x14:formula1>
            <xm:f>OFFSET(Interven!$E$1,MATCH(AM44,Interven!$A:$A,0)-1,0,COUNTIF(Interven!$A:$A,AM44),1)</xm:f>
          </x14:formula1>
          <xm:sqref>A105:C108</xm:sqref>
        </x14:dataValidation>
        <x14:dataValidation type="list" allowBlank="1" showInputMessage="1" showErrorMessage="1">
          <x14:formula1>
            <xm:f>OFFSET(Interven!$E$1,MATCH(AM111,Interven!$A:$A,0)-1,0,COUNTIF(Interven!$A:$A,AM111),1)</xm:f>
          </x14:formula1>
          <xm:sqref>A172:C175</xm:sqref>
        </x14:dataValidation>
        <x14:dataValidation type="list" allowBlank="1" showInputMessage="1" showErrorMessage="1">
          <x14:formula1>
            <xm:f>OFFSET(Interven!$E$1,MATCH(AM44,Interven!$A:$A,0)-1,0,COUNTIF(Interven!$A:$A,AM44),1)</xm:f>
          </x14:formula1>
          <xm:sqref>A97:C100</xm:sqref>
        </x14:dataValidation>
        <x14:dataValidation type="list" allowBlank="1" showInputMessage="1" showErrorMessage="1">
          <x14:formula1>
            <xm:f>OFFSET(Interven!$E$1,MATCH(AM111,Interven!$A:$A,0)-1,0,COUNTIF(Interven!$A:$A,AM111),1)</xm:f>
          </x14:formula1>
          <xm:sqref>A164:C167</xm:sqref>
        </x14:dataValidation>
        <x14:dataValidation type="list" allowBlank="1" showInputMessage="1" showErrorMessage="1">
          <x14:formula1>
            <xm:f>OFFSET(Interven!$E$1,MATCH(AM44,Interven!$A:$A,0)-1,0,COUNTIF(Interven!$A:$A,AM44),1)</xm:f>
          </x14:formula1>
          <xm:sqref>A101:C104</xm:sqref>
        </x14:dataValidation>
        <x14:dataValidation type="list" allowBlank="1" showInputMessage="1" showErrorMessage="1">
          <x14:formula1>
            <xm:f>OFFSET(Interven!$E$1,MATCH(AM111,Interven!$A:$A,0)-1,0,COUNTIF(Interven!$A:$A,AM111),1)</xm:f>
          </x14:formula1>
          <xm:sqref>A168:C171</xm:sqref>
        </x14:dataValidation>
        <x14:dataValidation type="list" allowBlank="1" showInputMessage="1" showErrorMessage="1">
          <x14:formula1>
            <xm:f>OFFSET(Interven!$E$1,MATCH(AM44,Interven!$A:$A,0)-1,0,COUNTIF(Interven!$A:$A,AM44),1)</xm:f>
          </x14:formula1>
          <xm:sqref>A89:C92</xm:sqref>
        </x14:dataValidation>
        <x14:dataValidation type="list" allowBlank="1" showInputMessage="1" showErrorMessage="1">
          <x14:formula1>
            <xm:f>OFFSET(Interven!$E$1,MATCH(AM44,Interven!$A:$A,0)-1,0,COUNTIF(Interven!$A:$A,AM44),1)</xm:f>
          </x14:formula1>
          <xm:sqref>A93:C96</xm:sqref>
        </x14:dataValidation>
        <x14:dataValidation type="list" allowBlank="1" showInputMessage="1">
          <x14:formula1>
            <xm:f>OFFSET(Interven!$E$1,MATCH(AM111,Interven!$A:$A,0)-1,0,COUNTIF(Interven!$A:$A,AM111),1)</xm:f>
          </x14:formula1>
          <xm:sqref>A160:C163</xm:sqref>
        </x14:dataValidation>
        <x14:dataValidation type="list" allowBlank="1" showInputMessage="1" showErrorMessage="1">
          <x14:formula1>
            <xm:f>OFFSET(Interven!$E$1,MATCH(AM111,Interven!$A:$A,0)-1,0,COUNTIF(Interven!$A:$A,AM111),1)</xm:f>
          </x14:formula1>
          <xm:sqref>A156:C159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9"/>
  <sheetViews>
    <sheetView topLeftCell="J1" workbookViewId="0">
      <selection activeCell="K18" sqref="K18"/>
    </sheetView>
  </sheetViews>
  <sheetFormatPr defaultRowHeight="12.75" x14ac:dyDescent="0.2"/>
  <cols>
    <col min="1" max="1" width="0" hidden="1" customWidth="1"/>
    <col min="2" max="2" width="19.5703125" hidden="1" customWidth="1"/>
    <col min="3" max="6" width="0" style="187" hidden="1" customWidth="1"/>
    <col min="7" max="9" width="0" hidden="1" customWidth="1"/>
    <col min="10" max="10" width="13.85546875" customWidth="1"/>
    <col min="11" max="11" width="16.85546875" customWidth="1"/>
    <col min="12" max="12" width="11.85546875" customWidth="1"/>
    <col min="13" max="13" width="16.28515625" customWidth="1"/>
    <col min="14" max="14" width="8.7109375" customWidth="1"/>
    <col min="15" max="15" width="11.7109375" customWidth="1"/>
    <col min="16" max="16" width="6.42578125" customWidth="1"/>
    <col min="17" max="17" width="18" bestFit="1" customWidth="1"/>
  </cols>
  <sheetData>
    <row r="1" spans="1:16" s="196" customFormat="1" ht="30" customHeight="1" x14ac:dyDescent="0.25">
      <c r="C1" s="197"/>
      <c r="D1" s="197"/>
      <c r="E1" s="197"/>
      <c r="F1" s="197"/>
      <c r="J1" s="203" t="str">
        <f ca="1">Translations!$A$96</f>
        <v>Summary of requested 3 years of funding by module</v>
      </c>
      <c r="K1" s="204"/>
      <c r="L1" s="204"/>
      <c r="M1" s="204"/>
      <c r="N1" s="204"/>
      <c r="O1" s="204"/>
      <c r="P1" s="204"/>
    </row>
    <row r="2" spans="1:16" x14ac:dyDescent="0.2">
      <c r="J2" s="199"/>
      <c r="K2" s="199"/>
      <c r="L2" s="199"/>
      <c r="M2" s="199"/>
      <c r="N2" s="199"/>
      <c r="O2" s="199"/>
      <c r="P2" s="199"/>
    </row>
    <row r="3" spans="1:16" x14ac:dyDescent="0.2">
      <c r="A3" t="s">
        <v>1467</v>
      </c>
      <c r="B3" t="str">
        <f>Modules!D1</f>
        <v>Label</v>
      </c>
      <c r="C3" s="187" t="s">
        <v>889</v>
      </c>
      <c r="D3" s="187" t="s">
        <v>1807</v>
      </c>
      <c r="E3" s="187" t="s">
        <v>1454</v>
      </c>
      <c r="F3" s="187" t="s">
        <v>1808</v>
      </c>
      <c r="G3" t="s">
        <v>1812</v>
      </c>
      <c r="H3" s="187" t="s">
        <v>1809</v>
      </c>
      <c r="J3" s="719" t="str">
        <f ca="1">Translations!$A$97</f>
        <v>To refresh the pivot table with latest amounts entered in the Module budgets on the Concept Note sheet, click anywhere on the pivot table and then press Alt + F5.</v>
      </c>
      <c r="K3" s="719"/>
      <c r="L3" s="719"/>
      <c r="M3" s="719"/>
      <c r="N3" s="719"/>
      <c r="O3" s="719"/>
      <c r="P3" s="719"/>
    </row>
    <row r="4" spans="1:16" x14ac:dyDescent="0.2">
      <c r="A4">
        <f>Modules!C2</f>
        <v>1</v>
      </c>
      <c r="B4" t="str">
        <f ca="1">Modules!D2</f>
        <v>Prevention - General population</v>
      </c>
      <c r="C4" s="187">
        <f ca="1">SUMIF('Concept Note'!AM:AM,A4,'Concept Note'!AN:AN)</f>
        <v>0</v>
      </c>
      <c r="D4" s="198" t="e">
        <f t="shared" ref="D4:D35" ca="1" si="0">C4/SUM(C:C)</f>
        <v>#DIV/0!</v>
      </c>
      <c r="E4" s="187">
        <f ca="1">SUMIF('Concept Note'!$AM:$AM,A4,'Concept Note'!$AO:$AO)</f>
        <v>0</v>
      </c>
      <c r="F4" s="198" t="e">
        <f t="shared" ref="F4:F35" ca="1" si="1">E4/SUM(E:E)</f>
        <v>#DIV/0!</v>
      </c>
      <c r="G4" s="187">
        <f ca="1">SUM(C4,E4)</f>
        <v>0</v>
      </c>
      <c r="H4" s="198" t="e">
        <f t="shared" ref="H4:H35" ca="1" si="2">G4/SUM(G:G)</f>
        <v>#DIV/0!</v>
      </c>
      <c r="J4" s="719"/>
      <c r="K4" s="719"/>
      <c r="L4" s="719"/>
      <c r="M4" s="719"/>
      <c r="N4" s="719"/>
      <c r="O4" s="719"/>
      <c r="P4" s="719"/>
    </row>
    <row r="5" spans="1:16" x14ac:dyDescent="0.2">
      <c r="A5">
        <f>Modules!C8</f>
        <v>2</v>
      </c>
      <c r="B5" t="str">
        <f ca="1">Modules!D8</f>
        <v>PMTCT</v>
      </c>
      <c r="C5" s="187">
        <f ca="1">SUMIF('Concept Note'!AM:AM,A5,'Concept Note'!AN:AN)</f>
        <v>0</v>
      </c>
      <c r="D5" s="198" t="e">
        <f t="shared" ca="1" si="0"/>
        <v>#DIV/0!</v>
      </c>
      <c r="E5" s="187">
        <f ca="1">SUMIF('Concept Note'!$AM:$AM,A5,'Concept Note'!$AO:$AO)</f>
        <v>0</v>
      </c>
      <c r="F5" s="198" t="e">
        <f t="shared" ca="1" si="1"/>
        <v>#DIV/0!</v>
      </c>
      <c r="G5" s="187">
        <f t="shared" ref="G5:G12" ca="1" si="3">SUM(C5,E5)</f>
        <v>0</v>
      </c>
      <c r="H5" s="198" t="e">
        <f t="shared" ca="1" si="2"/>
        <v>#DIV/0!</v>
      </c>
      <c r="J5" s="199"/>
      <c r="K5" s="199"/>
      <c r="L5" s="199"/>
      <c r="M5" s="199"/>
      <c r="N5" s="199"/>
      <c r="O5" s="199"/>
      <c r="P5" s="199"/>
    </row>
    <row r="6" spans="1:16" x14ac:dyDescent="0.2">
      <c r="A6">
        <f>Modules!C9</f>
        <v>3</v>
      </c>
      <c r="B6" t="str">
        <f ca="1">Modules!D9</f>
        <v>Treatment, care and support</v>
      </c>
      <c r="C6" s="187">
        <f ca="1">SUMIF('Concept Note'!AM:AM,A6,'Concept Note'!AN:AN)</f>
        <v>0</v>
      </c>
      <c r="D6" s="198" t="e">
        <f t="shared" ca="1" si="0"/>
        <v>#DIV/0!</v>
      </c>
      <c r="E6" s="187">
        <f ca="1">SUMIF('Concept Note'!$AM:$AM,A6,'Concept Note'!$AO:$AO)</f>
        <v>0</v>
      </c>
      <c r="F6" s="198" t="e">
        <f t="shared" ca="1" si="1"/>
        <v>#DIV/0!</v>
      </c>
      <c r="G6" s="187">
        <f t="shared" ca="1" si="3"/>
        <v>0</v>
      </c>
      <c r="H6" s="198" t="e">
        <f t="shared" ca="1" si="2"/>
        <v>#DIV/0!</v>
      </c>
      <c r="J6" s="205" t="s">
        <v>1810</v>
      </c>
      <c r="K6" s="199" t="s">
        <v>1806</v>
      </c>
      <c r="L6" s="199" t="s">
        <v>1814</v>
      </c>
      <c r="M6" s="199" t="s">
        <v>890</v>
      </c>
      <c r="N6" s="199" t="s">
        <v>1813</v>
      </c>
      <c r="O6" s="199" t="s">
        <v>1816</v>
      </c>
      <c r="P6" s="199" t="s">
        <v>1815</v>
      </c>
    </row>
    <row r="7" spans="1:16" x14ac:dyDescent="0.2">
      <c r="A7">
        <f>Modules!C10</f>
        <v>4</v>
      </c>
      <c r="B7" t="str">
        <f ca="1">Modules!D10</f>
        <v>Monitoring and Evaluation</v>
      </c>
      <c r="C7" s="187">
        <f ca="1">SUMIF('Concept Note'!AM:AM,A7,'Concept Note'!AN:AN)</f>
        <v>0</v>
      </c>
      <c r="D7" s="198" t="e">
        <f t="shared" ca="1" si="0"/>
        <v>#DIV/0!</v>
      </c>
      <c r="E7" s="187">
        <f ca="1">SUMIF('Concept Note'!$AM:$AM,A7,'Concept Note'!$AO:$AO)</f>
        <v>0</v>
      </c>
      <c r="F7" s="198" t="e">
        <f t="shared" ca="1" si="1"/>
        <v>#DIV/0!</v>
      </c>
      <c r="G7" s="187">
        <f t="shared" ca="1" si="3"/>
        <v>0</v>
      </c>
      <c r="H7" s="198" t="e">
        <f t="shared" ca="1" si="2"/>
        <v>#DIV/0!</v>
      </c>
      <c r="J7" s="206" t="s">
        <v>1811</v>
      </c>
      <c r="K7" s="200"/>
      <c r="L7" s="201"/>
      <c r="M7" s="200"/>
      <c r="N7" s="201"/>
      <c r="O7" s="200"/>
      <c r="P7" s="201"/>
    </row>
    <row r="8" spans="1:16" x14ac:dyDescent="0.2">
      <c r="A8">
        <f>Modules!C11</f>
        <v>5</v>
      </c>
      <c r="B8" t="str">
        <f ca="1">Modules!D11</f>
        <v>Program management</v>
      </c>
      <c r="C8" s="187">
        <f ca="1">SUMIF('Concept Note'!AM:AM,A8,'Concept Note'!AN:AN)</f>
        <v>0</v>
      </c>
      <c r="D8" s="198" t="e">
        <f t="shared" ca="1" si="0"/>
        <v>#DIV/0!</v>
      </c>
      <c r="E8" s="187">
        <f ca="1">SUMIF('Concept Note'!$AM:$AM,A8,'Concept Note'!$AO:$AO)</f>
        <v>0</v>
      </c>
      <c r="F8" s="198" t="e">
        <f t="shared" ca="1" si="1"/>
        <v>#DIV/0!</v>
      </c>
      <c r="G8" s="187">
        <f t="shared" ca="1" si="3"/>
        <v>0</v>
      </c>
      <c r="H8" s="198" t="e">
        <f t="shared" ca="1" si="2"/>
        <v>#DIV/0!</v>
      </c>
    </row>
    <row r="9" spans="1:16" x14ac:dyDescent="0.2">
      <c r="A9">
        <f>Modules!C12</f>
        <v>6</v>
      </c>
      <c r="B9" t="str">
        <f ca="1">Modules!D12</f>
        <v>DOTS-based package</v>
      </c>
      <c r="C9" s="187">
        <f ca="1">SUMIF('Concept Note'!AM:AM,A9,'Concept Note'!AN:AN)</f>
        <v>0</v>
      </c>
      <c r="D9" s="198" t="e">
        <f t="shared" ca="1" si="0"/>
        <v>#DIV/0!</v>
      </c>
      <c r="E9" s="187">
        <f ca="1">SUMIF('Concept Note'!$AM:$AM,A9,'Concept Note'!$AO:$AO)</f>
        <v>0</v>
      </c>
      <c r="F9" s="198" t="e">
        <f t="shared" ca="1" si="1"/>
        <v>#DIV/0!</v>
      </c>
      <c r="G9" s="187">
        <f t="shared" ca="1" si="3"/>
        <v>0</v>
      </c>
      <c r="H9" s="198" t="e">
        <f t="shared" ca="1" si="2"/>
        <v>#DIV/0!</v>
      </c>
    </row>
    <row r="10" spans="1:16" x14ac:dyDescent="0.2">
      <c r="A10">
        <f>Modules!C13</f>
        <v>7</v>
      </c>
      <c r="B10" t="str">
        <f ca="1">Modules!D13</f>
        <v>TB/HIV package (in high TB/HIV burden countries or for high risk groups in all countries)</v>
      </c>
      <c r="C10" s="187">
        <f ca="1">SUMIF('Concept Note'!AM:AM,A10,'Concept Note'!AN:AN)</f>
        <v>0</v>
      </c>
      <c r="D10" s="198" t="e">
        <f t="shared" ca="1" si="0"/>
        <v>#DIV/0!</v>
      </c>
      <c r="E10" s="187">
        <f ca="1">SUMIF('Concept Note'!$AM:$AM,A10,'Concept Note'!$AO:$AO)</f>
        <v>0</v>
      </c>
      <c r="F10" s="198" t="e">
        <f t="shared" ca="1" si="1"/>
        <v>#DIV/0!</v>
      </c>
      <c r="G10" s="187">
        <f t="shared" ca="1" si="3"/>
        <v>0</v>
      </c>
      <c r="H10" s="198" t="e">
        <f t="shared" ca="1" si="2"/>
        <v>#DIV/0!</v>
      </c>
    </row>
    <row r="11" spans="1:16" x14ac:dyDescent="0.2">
      <c r="A11">
        <f>Modules!C14</f>
        <v>8</v>
      </c>
      <c r="B11" t="str">
        <f ca="1">Modules!D14</f>
        <v>MDR-TB package (in high MDR-TB burden countries or for high risk groups in all countries)</v>
      </c>
      <c r="C11" s="187">
        <f ca="1">SUMIF('Concept Note'!AM:AM,A11,'Concept Note'!AN:AN)</f>
        <v>0</v>
      </c>
      <c r="D11" s="198" t="e">
        <f t="shared" ca="1" si="0"/>
        <v>#DIV/0!</v>
      </c>
      <c r="E11" s="187">
        <f ca="1">SUMIF('Concept Note'!$AM:$AM,A11,'Concept Note'!$AO:$AO)</f>
        <v>0</v>
      </c>
      <c r="F11" s="198" t="e">
        <f t="shared" ca="1" si="1"/>
        <v>#DIV/0!</v>
      </c>
      <c r="G11" s="187">
        <f t="shared" ca="1" si="3"/>
        <v>0</v>
      </c>
      <c r="H11" s="198" t="e">
        <f t="shared" ca="1" si="2"/>
        <v>#DIV/0!</v>
      </c>
    </row>
    <row r="12" spans="1:16" x14ac:dyDescent="0.2">
      <c r="A12">
        <f>Modules!C15</f>
        <v>9</v>
      </c>
      <c r="B12" t="str">
        <f ca="1">Modules!D15</f>
        <v>Human Rights</v>
      </c>
      <c r="C12" s="187">
        <f ca="1">SUMIF('Concept Note'!AM:AM,A12,'Concept Note'!AN:AN)</f>
        <v>0</v>
      </c>
      <c r="D12" s="198" t="e">
        <f t="shared" ca="1" si="0"/>
        <v>#DIV/0!</v>
      </c>
      <c r="E12" s="187">
        <f ca="1">SUMIF('Concept Note'!$AM:$AM,A12,'Concept Note'!$AO:$AO)</f>
        <v>0</v>
      </c>
      <c r="F12" s="198" t="e">
        <f t="shared" ca="1" si="1"/>
        <v>#DIV/0!</v>
      </c>
      <c r="G12" s="187">
        <f t="shared" ca="1" si="3"/>
        <v>0</v>
      </c>
      <c r="H12" s="198" t="e">
        <f t="shared" ca="1" si="2"/>
        <v>#DIV/0!</v>
      </c>
    </row>
    <row r="13" spans="1:16" x14ac:dyDescent="0.2">
      <c r="A13">
        <f>Modules!C16</f>
        <v>10</v>
      </c>
      <c r="B13" t="str">
        <f ca="1">Modules!D16</f>
        <v>Monitoring and Evaluation</v>
      </c>
      <c r="C13" s="187">
        <f ca="1">SUMIF('Concept Note'!AM:AM,A13,'Concept Note'!AN:AN)</f>
        <v>0</v>
      </c>
      <c r="D13" s="198" t="e">
        <f t="shared" ca="1" si="0"/>
        <v>#DIV/0!</v>
      </c>
      <c r="E13" s="187">
        <f ca="1">SUMIF('Concept Note'!$AM:$AM,A13,'Concept Note'!$AO:$AO)</f>
        <v>0</v>
      </c>
      <c r="F13" s="198" t="e">
        <f t="shared" ca="1" si="1"/>
        <v>#DIV/0!</v>
      </c>
      <c r="G13" s="187">
        <f t="shared" ref="G13:G52" ca="1" si="4">SUM(C13,E13)</f>
        <v>0</v>
      </c>
      <c r="H13" s="198" t="e">
        <f t="shared" ca="1" si="2"/>
        <v>#DIV/0!</v>
      </c>
    </row>
    <row r="14" spans="1:16" x14ac:dyDescent="0.2">
      <c r="A14">
        <f>Modules!C17</f>
        <v>11</v>
      </c>
      <c r="B14" t="str">
        <f ca="1">Modules!D17</f>
        <v>Program Management</v>
      </c>
      <c r="C14" s="187">
        <f ca="1">SUMIF('Concept Note'!AM:AM,A14,'Concept Note'!AN:AN)</f>
        <v>0</v>
      </c>
      <c r="D14" s="198" t="e">
        <f t="shared" ca="1" si="0"/>
        <v>#DIV/0!</v>
      </c>
      <c r="E14" s="187">
        <f ca="1">SUMIF('Concept Note'!$AM:$AM,A14,'Concept Note'!$AO:$AO)</f>
        <v>0</v>
      </c>
      <c r="F14" s="198" t="e">
        <f t="shared" ca="1" si="1"/>
        <v>#DIV/0!</v>
      </c>
      <c r="G14" s="187">
        <f t="shared" ca="1" si="4"/>
        <v>0</v>
      </c>
      <c r="H14" s="198" t="e">
        <f t="shared" ca="1" si="2"/>
        <v>#DIV/0!</v>
      </c>
    </row>
    <row r="15" spans="1:16" x14ac:dyDescent="0.2">
      <c r="A15">
        <f>Modules!C18</f>
        <v>12</v>
      </c>
      <c r="B15" t="str">
        <f ca="1">Modules!D18</f>
        <v>Vector Control (VC)</v>
      </c>
      <c r="C15" s="187">
        <f ca="1">SUMIF('Concept Note'!AM:AM,A15,'Concept Note'!AN:AN)</f>
        <v>0</v>
      </c>
      <c r="D15" s="198" t="e">
        <f t="shared" ca="1" si="0"/>
        <v>#DIV/0!</v>
      </c>
      <c r="E15" s="187">
        <f ca="1">SUMIF('Concept Note'!$AM:$AM,A15,'Concept Note'!$AO:$AO)</f>
        <v>0</v>
      </c>
      <c r="F15" s="198" t="e">
        <f t="shared" ca="1" si="1"/>
        <v>#DIV/0!</v>
      </c>
      <c r="G15" s="187">
        <f t="shared" ca="1" si="4"/>
        <v>0</v>
      </c>
      <c r="H15" s="198" t="e">
        <f t="shared" ca="1" si="2"/>
        <v>#DIV/0!</v>
      </c>
    </row>
    <row r="16" spans="1:16" x14ac:dyDescent="0.2">
      <c r="A16">
        <f>Modules!C19</f>
        <v>13</v>
      </c>
      <c r="B16" t="str">
        <f ca="1">Modules!D19</f>
        <v>Case Management (CM)</v>
      </c>
      <c r="C16" s="187">
        <f ca="1">SUMIF('Concept Note'!AM:AM,A16,'Concept Note'!AN:AN)</f>
        <v>0</v>
      </c>
      <c r="D16" s="198" t="e">
        <f t="shared" ca="1" si="0"/>
        <v>#DIV/0!</v>
      </c>
      <c r="E16" s="187">
        <f ca="1">SUMIF('Concept Note'!$AM:$AM,A16,'Concept Note'!$AO:$AO)</f>
        <v>0</v>
      </c>
      <c r="F16" s="198" t="e">
        <f t="shared" ca="1" si="1"/>
        <v>#DIV/0!</v>
      </c>
      <c r="G16" s="187">
        <f t="shared" ca="1" si="4"/>
        <v>0</v>
      </c>
      <c r="H16" s="198" t="e">
        <f t="shared" ca="1" si="2"/>
        <v>#DIV/0!</v>
      </c>
    </row>
    <row r="17" spans="1:8" x14ac:dyDescent="0.2">
      <c r="A17">
        <f>Modules!C20</f>
        <v>14</v>
      </c>
      <c r="B17" t="str">
        <f ca="1">Modules!D20</f>
        <v>Specific Prevention Interventions (SPI)</v>
      </c>
      <c r="C17" s="187">
        <f ca="1">SUMIF('Concept Note'!AM:AM,A17,'Concept Note'!AN:AN)</f>
        <v>0</v>
      </c>
      <c r="D17" s="198" t="e">
        <f t="shared" ca="1" si="0"/>
        <v>#DIV/0!</v>
      </c>
      <c r="E17" s="187">
        <f ca="1">SUMIF('Concept Note'!$AM:$AM,A17,'Concept Note'!$AO:$AO)</f>
        <v>0</v>
      </c>
      <c r="F17" s="198" t="e">
        <f t="shared" ca="1" si="1"/>
        <v>#DIV/0!</v>
      </c>
      <c r="G17" s="187">
        <f t="shared" ca="1" si="4"/>
        <v>0</v>
      </c>
      <c r="H17" s="198" t="e">
        <f t="shared" ca="1" si="2"/>
        <v>#DIV/0!</v>
      </c>
    </row>
    <row r="18" spans="1:8" x14ac:dyDescent="0.2">
      <c r="A18">
        <f>Modules!C21</f>
        <v>15</v>
      </c>
      <c r="B18" t="str">
        <f ca="1">Modules!D21</f>
        <v>Monitoring and Evaluation (ME)</v>
      </c>
      <c r="C18" s="187">
        <f ca="1">SUMIF('Concept Note'!AM:AM,A18,'Concept Note'!AN:AN)</f>
        <v>0</v>
      </c>
      <c r="D18" s="198" t="e">
        <f t="shared" ca="1" si="0"/>
        <v>#DIV/0!</v>
      </c>
      <c r="E18" s="187">
        <f ca="1">SUMIF('Concept Note'!$AM:$AM,A18,'Concept Note'!$AO:$AO)</f>
        <v>0</v>
      </c>
      <c r="F18" s="198" t="e">
        <f t="shared" ca="1" si="1"/>
        <v>#DIV/0!</v>
      </c>
      <c r="G18" s="187">
        <f t="shared" ca="1" si="4"/>
        <v>0</v>
      </c>
      <c r="H18" s="198" t="e">
        <f t="shared" ca="1" si="2"/>
        <v>#DIV/0!</v>
      </c>
    </row>
    <row r="19" spans="1:8" x14ac:dyDescent="0.2">
      <c r="A19">
        <f>Modules!C22</f>
        <v>16</v>
      </c>
      <c r="B19" t="str">
        <f ca="1">Modules!D22</f>
        <v>Program Management (PM)</v>
      </c>
      <c r="C19" s="187">
        <f ca="1">SUMIF('Concept Note'!AM:AM,A19,'Concept Note'!AN:AN)</f>
        <v>0</v>
      </c>
      <c r="D19" s="198" t="e">
        <f t="shared" ca="1" si="0"/>
        <v>#DIV/0!</v>
      </c>
      <c r="E19" s="187">
        <f ca="1">SUMIF('Concept Note'!$AM:$AM,A19,'Concept Note'!$AO:$AO)</f>
        <v>0</v>
      </c>
      <c r="F19" s="198" t="e">
        <f t="shared" ca="1" si="1"/>
        <v>#DIV/0!</v>
      </c>
      <c r="G19" s="187">
        <f t="shared" ca="1" si="4"/>
        <v>0</v>
      </c>
      <c r="H19" s="198" t="e">
        <f t="shared" ca="1" si="2"/>
        <v>#DIV/0!</v>
      </c>
    </row>
    <row r="20" spans="1:8" x14ac:dyDescent="0.2">
      <c r="A20">
        <f>Modules!C23</f>
        <v>17</v>
      </c>
      <c r="B20" t="str">
        <f ca="1">Modules!D23</f>
        <v>Service Delivery</v>
      </c>
      <c r="C20" s="187">
        <f ca="1">SUMIF('Concept Note'!AM:AM,A20,'Concept Note'!AN:AN)</f>
        <v>0</v>
      </c>
      <c r="D20" s="198" t="e">
        <f t="shared" ca="1" si="0"/>
        <v>#DIV/0!</v>
      </c>
      <c r="E20" s="187">
        <f ca="1">SUMIF('Concept Note'!$AM:$AM,A20,'Concept Note'!$AO:$AO)</f>
        <v>0</v>
      </c>
      <c r="F20" s="198" t="e">
        <f t="shared" ca="1" si="1"/>
        <v>#DIV/0!</v>
      </c>
      <c r="G20" s="187">
        <f t="shared" ca="1" si="4"/>
        <v>0</v>
      </c>
      <c r="H20" s="198" t="e">
        <f t="shared" ca="1" si="2"/>
        <v>#DIV/0!</v>
      </c>
    </row>
    <row r="21" spans="1:8" x14ac:dyDescent="0.2">
      <c r="A21">
        <f>Modules!C24</f>
        <v>18</v>
      </c>
      <c r="B21" t="str">
        <f ca="1">Modules!D24</f>
        <v>Health  Workforce</v>
      </c>
      <c r="C21" s="187">
        <f ca="1">SUMIF('Concept Note'!AM:AM,A21,'Concept Note'!AN:AN)</f>
        <v>0</v>
      </c>
      <c r="D21" s="198" t="e">
        <f t="shared" ca="1" si="0"/>
        <v>#DIV/0!</v>
      </c>
      <c r="E21" s="187">
        <f ca="1">SUMIF('Concept Note'!$AM:$AM,A21,'Concept Note'!$AO:$AO)</f>
        <v>0</v>
      </c>
      <c r="F21" s="198" t="e">
        <f t="shared" ca="1" si="1"/>
        <v>#DIV/0!</v>
      </c>
      <c r="G21" s="187">
        <f t="shared" ca="1" si="4"/>
        <v>0</v>
      </c>
      <c r="H21" s="198" t="e">
        <f t="shared" ca="1" si="2"/>
        <v>#DIV/0!</v>
      </c>
    </row>
    <row r="22" spans="1:8" x14ac:dyDescent="0.2">
      <c r="A22">
        <f>Modules!C25</f>
        <v>19</v>
      </c>
      <c r="B22" t="str">
        <f ca="1">Modules!D25</f>
        <v>Procurement and Supply Chain Management</v>
      </c>
      <c r="C22" s="187">
        <f ca="1">SUMIF('Concept Note'!AM:AM,A22,'Concept Note'!AN:AN)</f>
        <v>0</v>
      </c>
      <c r="D22" s="198" t="e">
        <f t="shared" ca="1" si="0"/>
        <v>#DIV/0!</v>
      </c>
      <c r="E22" s="187">
        <f ca="1">SUMIF('Concept Note'!$AM:$AM,A22,'Concept Note'!$AO:$AO)</f>
        <v>0</v>
      </c>
      <c r="F22" s="198" t="e">
        <f t="shared" ca="1" si="1"/>
        <v>#DIV/0!</v>
      </c>
      <c r="G22" s="187">
        <f t="shared" ca="1" si="4"/>
        <v>0</v>
      </c>
      <c r="H22" s="198" t="e">
        <f t="shared" ca="1" si="2"/>
        <v>#DIV/0!</v>
      </c>
    </row>
    <row r="23" spans="1:8" x14ac:dyDescent="0.2">
      <c r="A23">
        <f>Modules!C26</f>
        <v>20</v>
      </c>
      <c r="B23" t="str">
        <f ca="1">Modules!D26</f>
        <v>Information systems and M&amp;E</v>
      </c>
      <c r="C23" s="187">
        <f ca="1">SUMIF('Concept Note'!AM:AM,A23,'Concept Note'!AN:AN)</f>
        <v>0</v>
      </c>
      <c r="D23" s="198" t="e">
        <f t="shared" ca="1" si="0"/>
        <v>#DIV/0!</v>
      </c>
      <c r="E23" s="187">
        <f ca="1">SUMIF('Concept Note'!$AM:$AM,A23,'Concept Note'!$AO:$AO)</f>
        <v>0</v>
      </c>
      <c r="F23" s="198" t="e">
        <f t="shared" ca="1" si="1"/>
        <v>#DIV/0!</v>
      </c>
      <c r="G23" s="187">
        <f t="shared" ca="1" si="4"/>
        <v>0</v>
      </c>
      <c r="H23" s="198" t="e">
        <f t="shared" ca="1" si="2"/>
        <v>#DIV/0!</v>
      </c>
    </row>
    <row r="24" spans="1:8" x14ac:dyDescent="0.2">
      <c r="A24">
        <f>Modules!C27</f>
        <v>21</v>
      </c>
      <c r="B24" t="str">
        <f ca="1">Modules!D27</f>
        <v>Legal, policy, strategy and regulatory environment</v>
      </c>
      <c r="C24" s="187">
        <f ca="1">SUMIF('Concept Note'!AM:AM,A24,'Concept Note'!AN:AN)</f>
        <v>0</v>
      </c>
      <c r="D24" s="198" t="e">
        <f t="shared" ca="1" si="0"/>
        <v>#DIV/0!</v>
      </c>
      <c r="E24" s="187">
        <f ca="1">SUMIF('Concept Note'!$AM:$AM,A24,'Concept Note'!$AO:$AO)</f>
        <v>0</v>
      </c>
      <c r="F24" s="198" t="e">
        <f t="shared" ca="1" si="1"/>
        <v>#DIV/0!</v>
      </c>
      <c r="G24" s="187">
        <f t="shared" ca="1" si="4"/>
        <v>0</v>
      </c>
      <c r="H24" s="198" t="e">
        <f t="shared" ca="1" si="2"/>
        <v>#DIV/0!</v>
      </c>
    </row>
    <row r="25" spans="1:8" x14ac:dyDescent="0.2">
      <c r="A25">
        <f>Modules!C28</f>
        <v>22</v>
      </c>
      <c r="B25" t="str">
        <f ca="1">Modules!D28</f>
        <v xml:space="preserve">Healthcare financing </v>
      </c>
      <c r="C25" s="187">
        <f ca="1">SUMIF('Concept Note'!AM:AM,A25,'Concept Note'!AN:AN)</f>
        <v>0</v>
      </c>
      <c r="D25" s="198" t="e">
        <f t="shared" ca="1" si="0"/>
        <v>#DIV/0!</v>
      </c>
      <c r="E25" s="187">
        <f ca="1">SUMIF('Concept Note'!$AM:$AM,A25,'Concept Note'!$AO:$AO)</f>
        <v>0</v>
      </c>
      <c r="F25" s="198" t="e">
        <f t="shared" ca="1" si="1"/>
        <v>#DIV/0!</v>
      </c>
      <c r="G25" s="187">
        <f t="shared" ca="1" si="4"/>
        <v>0</v>
      </c>
      <c r="H25" s="198" t="e">
        <f t="shared" ca="1" si="2"/>
        <v>#DIV/0!</v>
      </c>
    </row>
    <row r="26" spans="1:8" x14ac:dyDescent="0.2">
      <c r="A26">
        <f>Modules!C29</f>
        <v>23</v>
      </c>
      <c r="B26" t="str">
        <f ca="1">Modules!D29</f>
        <v>Human Rights</v>
      </c>
      <c r="C26" s="187">
        <f ca="1">SUMIF('Concept Note'!AM:AM,A26,'Concept Note'!AN:AN)</f>
        <v>0</v>
      </c>
      <c r="D26" s="198" t="e">
        <f t="shared" ca="1" si="0"/>
        <v>#DIV/0!</v>
      </c>
      <c r="E26" s="187">
        <f ca="1">SUMIF('Concept Note'!$AM:$AM,A26,'Concept Note'!$AO:$AO)</f>
        <v>0</v>
      </c>
      <c r="F26" s="198" t="e">
        <f t="shared" ca="1" si="1"/>
        <v>#DIV/0!</v>
      </c>
      <c r="G26" s="187">
        <f t="shared" ca="1" si="4"/>
        <v>0</v>
      </c>
      <c r="H26" s="198" t="e">
        <f t="shared" ca="1" si="2"/>
        <v>#DIV/0!</v>
      </c>
    </row>
    <row r="27" spans="1:8" x14ac:dyDescent="0.2">
      <c r="A27">
        <f>Modules!C30</f>
        <v>24</v>
      </c>
      <c r="B27" t="str">
        <f ca="1">Modules!D30</f>
        <v>Program management 
(applicable for standalone HSS grants)</v>
      </c>
      <c r="C27" s="187">
        <f ca="1">SUMIF('Concept Note'!AM:AM,A27,'Concept Note'!AN:AN)</f>
        <v>0</v>
      </c>
      <c r="D27" s="198" t="e">
        <f t="shared" ca="1" si="0"/>
        <v>#DIV/0!</v>
      </c>
      <c r="E27" s="187">
        <f ca="1">SUMIF('Concept Note'!$AM:$AM,A27,'Concept Note'!$AO:$AO)</f>
        <v>0</v>
      </c>
      <c r="F27" s="198" t="e">
        <f t="shared" ca="1" si="1"/>
        <v>#DIV/0!</v>
      </c>
      <c r="G27" s="187">
        <f t="shared" ca="1" si="4"/>
        <v>0</v>
      </c>
      <c r="H27" s="198" t="e">
        <f t="shared" ca="1" si="2"/>
        <v>#DIV/0!</v>
      </c>
    </row>
    <row r="28" spans="1:8" x14ac:dyDescent="0.2">
      <c r="A28">
        <f>Modules!C3</f>
        <v>25</v>
      </c>
      <c r="B28" t="str">
        <f ca="1">Modules!D3</f>
        <v>Prevention - MSM and TGs</v>
      </c>
      <c r="C28" s="187">
        <f ca="1">SUMIF('Concept Note'!AM:AM,A28,'Concept Note'!AN:AN)</f>
        <v>0</v>
      </c>
      <c r="D28" s="198" t="e">
        <f t="shared" ca="1" si="0"/>
        <v>#DIV/0!</v>
      </c>
      <c r="E28" s="187">
        <f ca="1">SUMIF('Concept Note'!$AM:$AM,A28,'Concept Note'!$AO:$AO)</f>
        <v>0</v>
      </c>
      <c r="F28" s="198" t="e">
        <f t="shared" ca="1" si="1"/>
        <v>#DIV/0!</v>
      </c>
      <c r="G28" s="187">
        <f t="shared" ca="1" si="4"/>
        <v>0</v>
      </c>
      <c r="H28" s="198" t="e">
        <f t="shared" ca="1" si="2"/>
        <v>#DIV/0!</v>
      </c>
    </row>
    <row r="29" spans="1:8" x14ac:dyDescent="0.2">
      <c r="A29">
        <f>Modules!C4</f>
        <v>26</v>
      </c>
      <c r="B29" t="str">
        <f ca="1">Modules!D4</f>
        <v>Prevention - Sex Workers and their clients</v>
      </c>
      <c r="C29" s="187">
        <f ca="1">SUMIF('Concept Note'!AM:AM,A29,'Concept Note'!AN:AN)</f>
        <v>0</v>
      </c>
      <c r="D29" s="198" t="e">
        <f t="shared" ca="1" si="0"/>
        <v>#DIV/0!</v>
      </c>
      <c r="E29" s="187">
        <f ca="1">SUMIF('Concept Note'!$AM:$AM,A29,'Concept Note'!$AO:$AO)</f>
        <v>0</v>
      </c>
      <c r="F29" s="198" t="e">
        <f t="shared" ca="1" si="1"/>
        <v>#DIV/0!</v>
      </c>
      <c r="G29" s="187">
        <f t="shared" ca="1" si="4"/>
        <v>0</v>
      </c>
      <c r="H29" s="198" t="e">
        <f t="shared" ca="1" si="2"/>
        <v>#DIV/0!</v>
      </c>
    </row>
    <row r="30" spans="1:8" x14ac:dyDescent="0.2">
      <c r="A30">
        <f>Modules!C5</f>
        <v>27</v>
      </c>
      <c r="B30" t="str">
        <f ca="1">Modules!D5</f>
        <v>Prevention - Harm-reduction programmes for injecting drug users (IDUs) and their partners</v>
      </c>
      <c r="C30" s="187">
        <f ca="1">SUMIF('Concept Note'!AM:AM,A30,'Concept Note'!AN:AN)</f>
        <v>0</v>
      </c>
      <c r="D30" s="198" t="e">
        <f t="shared" ca="1" si="0"/>
        <v>#DIV/0!</v>
      </c>
      <c r="E30" s="187">
        <f ca="1">SUMIF('Concept Note'!$AM:$AM,A30,'Concept Note'!$AO:$AO)</f>
        <v>0</v>
      </c>
      <c r="F30" s="198" t="e">
        <f t="shared" ca="1" si="1"/>
        <v>#DIV/0!</v>
      </c>
      <c r="G30" s="187">
        <f t="shared" ca="1" si="4"/>
        <v>0</v>
      </c>
      <c r="H30" s="198" t="e">
        <f t="shared" ca="1" si="2"/>
        <v>#DIV/0!</v>
      </c>
    </row>
    <row r="31" spans="1:8" x14ac:dyDescent="0.2">
      <c r="A31">
        <f>Modules!C7</f>
        <v>28</v>
      </c>
      <c r="B31" t="str">
        <f ca="1">Modules!D7</f>
        <v>Prevention - Other vulnerable populations (please specify)</v>
      </c>
      <c r="C31" s="187">
        <f ca="1">SUMIF('Concept Note'!AM:AM,A31,'Concept Note'!AN:AN)</f>
        <v>0</v>
      </c>
      <c r="D31" s="198" t="e">
        <f t="shared" ca="1" si="0"/>
        <v>#DIV/0!</v>
      </c>
      <c r="E31" s="187">
        <f ca="1">SUMIF('Concept Note'!$AM:$AM,A31,'Concept Note'!$AO:$AO)</f>
        <v>0</v>
      </c>
      <c r="F31" s="198" t="e">
        <f t="shared" ca="1" si="1"/>
        <v>#DIV/0!</v>
      </c>
      <c r="G31" s="187">
        <f t="shared" ca="1" si="4"/>
        <v>0</v>
      </c>
      <c r="H31" s="198" t="e">
        <f t="shared" ca="1" si="2"/>
        <v>#DIV/0!</v>
      </c>
    </row>
    <row r="32" spans="1:8" x14ac:dyDescent="0.2">
      <c r="A32">
        <f>Modules!C6</f>
        <v>29</v>
      </c>
      <c r="B32" t="str">
        <f ca="1">Modules!D6</f>
        <v>Prevention - Adolescents and youth, in and out of school</v>
      </c>
      <c r="C32" s="187">
        <f ca="1">SUMIF('Concept Note'!AM:AM,A32,'Concept Note'!AN:AN)</f>
        <v>0</v>
      </c>
      <c r="D32" s="198" t="e">
        <f t="shared" ca="1" si="0"/>
        <v>#DIV/0!</v>
      </c>
      <c r="E32" s="187">
        <f ca="1">SUMIF('Concept Note'!$AM:$AM,A32,'Concept Note'!$AO:$AO)</f>
        <v>0</v>
      </c>
      <c r="F32" s="198" t="e">
        <f t="shared" ca="1" si="1"/>
        <v>#DIV/0!</v>
      </c>
      <c r="G32" s="187">
        <f t="shared" ca="1" si="4"/>
        <v>0</v>
      </c>
      <c r="H32" s="198" t="e">
        <f t="shared" ca="1" si="2"/>
        <v>#DIV/0!</v>
      </c>
    </row>
    <row r="33" spans="1:8" x14ac:dyDescent="0.2">
      <c r="A33">
        <f>Modules!C31</f>
        <v>0</v>
      </c>
      <c r="B33">
        <f>Modules!D31</f>
        <v>0</v>
      </c>
      <c r="C33" s="187">
        <f ca="1">SUMIF('Concept Note'!AM:AM,A33,'Concept Note'!AN:AN)</f>
        <v>0</v>
      </c>
      <c r="D33" s="198" t="e">
        <f t="shared" ca="1" si="0"/>
        <v>#DIV/0!</v>
      </c>
      <c r="E33" s="187">
        <f ca="1">SUMIF('Concept Note'!$AM:$AM,A33,'Concept Note'!$AO:$AO)</f>
        <v>0</v>
      </c>
      <c r="F33" s="198" t="e">
        <f t="shared" ca="1" si="1"/>
        <v>#DIV/0!</v>
      </c>
      <c r="G33" s="187">
        <f t="shared" ca="1" si="4"/>
        <v>0</v>
      </c>
      <c r="H33" s="198" t="e">
        <f t="shared" ca="1" si="2"/>
        <v>#DIV/0!</v>
      </c>
    </row>
    <row r="34" spans="1:8" x14ac:dyDescent="0.2">
      <c r="A34">
        <f>Modules!C32</f>
        <v>0</v>
      </c>
      <c r="B34">
        <f>Modules!D32</f>
        <v>0</v>
      </c>
      <c r="C34" s="187">
        <f ca="1">SUMIF('Concept Note'!AM:AM,A34,'Concept Note'!AN:AN)</f>
        <v>0</v>
      </c>
      <c r="D34" s="198" t="e">
        <f t="shared" ca="1" si="0"/>
        <v>#DIV/0!</v>
      </c>
      <c r="E34" s="187">
        <f ca="1">SUMIF('Concept Note'!$AM:$AM,A34,'Concept Note'!$AO:$AO)</f>
        <v>0</v>
      </c>
      <c r="F34" s="198" t="e">
        <f t="shared" ca="1" si="1"/>
        <v>#DIV/0!</v>
      </c>
      <c r="G34" s="187">
        <f t="shared" ca="1" si="4"/>
        <v>0</v>
      </c>
      <c r="H34" s="198" t="e">
        <f t="shared" ca="1" si="2"/>
        <v>#DIV/0!</v>
      </c>
    </row>
    <row r="35" spans="1:8" x14ac:dyDescent="0.2">
      <c r="A35">
        <f>Modules!C33</f>
        <v>0</v>
      </c>
      <c r="B35">
        <f>Modules!D33</f>
        <v>0</v>
      </c>
      <c r="C35" s="187">
        <f ca="1">SUMIF('Concept Note'!AM:AM,A35,'Concept Note'!AN:AN)</f>
        <v>0</v>
      </c>
      <c r="D35" s="198" t="e">
        <f t="shared" ca="1" si="0"/>
        <v>#DIV/0!</v>
      </c>
      <c r="E35" s="187">
        <f ca="1">SUMIF('Concept Note'!$AM:$AM,A35,'Concept Note'!$AO:$AO)</f>
        <v>0</v>
      </c>
      <c r="F35" s="198" t="e">
        <f t="shared" ca="1" si="1"/>
        <v>#DIV/0!</v>
      </c>
      <c r="G35" s="187">
        <f t="shared" ca="1" si="4"/>
        <v>0</v>
      </c>
      <c r="H35" s="198" t="e">
        <f t="shared" ca="1" si="2"/>
        <v>#DIV/0!</v>
      </c>
    </row>
    <row r="36" spans="1:8" x14ac:dyDescent="0.2">
      <c r="A36">
        <f>Modules!C34</f>
        <v>0</v>
      </c>
      <c r="B36">
        <f>Modules!D34</f>
        <v>0</v>
      </c>
      <c r="C36" s="187">
        <f ca="1">SUMIF('Concept Note'!AM:AM,A36,'Concept Note'!AN:AN)</f>
        <v>0</v>
      </c>
      <c r="D36" s="198" t="e">
        <f t="shared" ref="D36:D52" ca="1" si="5">C36/SUM(C:C)</f>
        <v>#DIV/0!</v>
      </c>
      <c r="E36" s="187">
        <f ca="1">SUMIF('Concept Note'!$AM:$AM,A36,'Concept Note'!$AO:$AO)</f>
        <v>0</v>
      </c>
      <c r="F36" s="198" t="e">
        <f t="shared" ref="F36:F52" ca="1" si="6">E36/SUM(E:E)</f>
        <v>#DIV/0!</v>
      </c>
      <c r="G36" s="187">
        <f t="shared" ca="1" si="4"/>
        <v>0</v>
      </c>
      <c r="H36" s="198" t="e">
        <f t="shared" ref="H36:H52" ca="1" si="7">G36/SUM(G:G)</f>
        <v>#DIV/0!</v>
      </c>
    </row>
    <row r="37" spans="1:8" x14ac:dyDescent="0.2">
      <c r="A37">
        <f>Modules!C35</f>
        <v>0</v>
      </c>
      <c r="B37">
        <f>Modules!D35</f>
        <v>0</v>
      </c>
      <c r="C37" s="187">
        <f ca="1">SUMIF('Concept Note'!AM:AM,A37,'Concept Note'!AN:AN)</f>
        <v>0</v>
      </c>
      <c r="D37" s="198" t="e">
        <f t="shared" ca="1" si="5"/>
        <v>#DIV/0!</v>
      </c>
      <c r="E37" s="187">
        <f ca="1">SUMIF('Concept Note'!$AM:$AM,A37,'Concept Note'!$AO:$AO)</f>
        <v>0</v>
      </c>
      <c r="F37" s="198" t="e">
        <f t="shared" ca="1" si="6"/>
        <v>#DIV/0!</v>
      </c>
      <c r="G37" s="187">
        <f t="shared" ca="1" si="4"/>
        <v>0</v>
      </c>
      <c r="H37" s="198" t="e">
        <f t="shared" ca="1" si="7"/>
        <v>#DIV/0!</v>
      </c>
    </row>
    <row r="38" spans="1:8" x14ac:dyDescent="0.2">
      <c r="A38">
        <f>Modules!C36</f>
        <v>0</v>
      </c>
      <c r="B38">
        <f>Modules!D36</f>
        <v>0</v>
      </c>
      <c r="C38" s="187">
        <f ca="1">SUMIF('Concept Note'!AM:AM,A38,'Concept Note'!AN:AN)</f>
        <v>0</v>
      </c>
      <c r="D38" s="198" t="e">
        <f t="shared" ca="1" si="5"/>
        <v>#DIV/0!</v>
      </c>
      <c r="E38" s="187">
        <f ca="1">SUMIF('Concept Note'!$AM:$AM,A38,'Concept Note'!$AO:$AO)</f>
        <v>0</v>
      </c>
      <c r="F38" s="198" t="e">
        <f t="shared" ca="1" si="6"/>
        <v>#DIV/0!</v>
      </c>
      <c r="G38" s="187">
        <f t="shared" ca="1" si="4"/>
        <v>0</v>
      </c>
      <c r="H38" s="198" t="e">
        <f t="shared" ca="1" si="7"/>
        <v>#DIV/0!</v>
      </c>
    </row>
    <row r="39" spans="1:8" x14ac:dyDescent="0.2">
      <c r="A39">
        <f>Modules!C37</f>
        <v>0</v>
      </c>
      <c r="B39">
        <f>Modules!D37</f>
        <v>0</v>
      </c>
      <c r="C39" s="187">
        <f ca="1">SUMIF('Concept Note'!AM:AM,A39,'Concept Note'!AN:AN)</f>
        <v>0</v>
      </c>
      <c r="D39" s="198" t="e">
        <f t="shared" ca="1" si="5"/>
        <v>#DIV/0!</v>
      </c>
      <c r="E39" s="187">
        <f ca="1">SUMIF('Concept Note'!$AM:$AM,A39,'Concept Note'!$AO:$AO)</f>
        <v>0</v>
      </c>
      <c r="F39" s="198" t="e">
        <f t="shared" ca="1" si="6"/>
        <v>#DIV/0!</v>
      </c>
      <c r="G39" s="187">
        <f t="shared" ca="1" si="4"/>
        <v>0</v>
      </c>
      <c r="H39" s="198" t="e">
        <f t="shared" ca="1" si="7"/>
        <v>#DIV/0!</v>
      </c>
    </row>
    <row r="40" spans="1:8" x14ac:dyDescent="0.2">
      <c r="A40">
        <f>Modules!C38</f>
        <v>0</v>
      </c>
      <c r="B40">
        <f>Modules!D38</f>
        <v>0</v>
      </c>
      <c r="C40" s="187">
        <f ca="1">SUMIF('Concept Note'!AM:AM,A40,'Concept Note'!AN:AN)</f>
        <v>0</v>
      </c>
      <c r="D40" s="198" t="e">
        <f t="shared" ca="1" si="5"/>
        <v>#DIV/0!</v>
      </c>
      <c r="E40" s="187">
        <f ca="1">SUMIF('Concept Note'!$AM:$AM,A40,'Concept Note'!$AO:$AO)</f>
        <v>0</v>
      </c>
      <c r="F40" s="198" t="e">
        <f t="shared" ca="1" si="6"/>
        <v>#DIV/0!</v>
      </c>
      <c r="G40" s="187">
        <f t="shared" ca="1" si="4"/>
        <v>0</v>
      </c>
      <c r="H40" s="198" t="e">
        <f t="shared" ca="1" si="7"/>
        <v>#DIV/0!</v>
      </c>
    </row>
    <row r="41" spans="1:8" x14ac:dyDescent="0.2">
      <c r="A41">
        <f>Modules!C39</f>
        <v>0</v>
      </c>
      <c r="B41">
        <f>Modules!D39</f>
        <v>0</v>
      </c>
      <c r="C41" s="187">
        <f ca="1">SUMIF('Concept Note'!AM:AM,A41,'Concept Note'!AN:AN)</f>
        <v>0</v>
      </c>
      <c r="D41" s="198" t="e">
        <f t="shared" ca="1" si="5"/>
        <v>#DIV/0!</v>
      </c>
      <c r="E41" s="187">
        <f ca="1">SUMIF('Concept Note'!$AM:$AM,A41,'Concept Note'!$AO:$AO)</f>
        <v>0</v>
      </c>
      <c r="F41" s="198" t="e">
        <f t="shared" ca="1" si="6"/>
        <v>#DIV/0!</v>
      </c>
      <c r="G41" s="187">
        <f t="shared" ca="1" si="4"/>
        <v>0</v>
      </c>
      <c r="H41" s="198" t="e">
        <f t="shared" ca="1" si="7"/>
        <v>#DIV/0!</v>
      </c>
    </row>
    <row r="42" spans="1:8" x14ac:dyDescent="0.2">
      <c r="A42">
        <f>Modules!C40</f>
        <v>0</v>
      </c>
      <c r="B42">
        <f>Modules!D40</f>
        <v>0</v>
      </c>
      <c r="C42" s="187">
        <f ca="1">SUMIF('Concept Note'!AM:AM,A42,'Concept Note'!AN:AN)</f>
        <v>0</v>
      </c>
      <c r="D42" s="198" t="e">
        <f t="shared" ca="1" si="5"/>
        <v>#DIV/0!</v>
      </c>
      <c r="E42" s="187">
        <f ca="1">SUMIF('Concept Note'!$AM:$AM,A42,'Concept Note'!$AO:$AO)</f>
        <v>0</v>
      </c>
      <c r="F42" s="198" t="e">
        <f t="shared" ca="1" si="6"/>
        <v>#DIV/0!</v>
      </c>
      <c r="G42" s="187">
        <f t="shared" ca="1" si="4"/>
        <v>0</v>
      </c>
      <c r="H42" s="198" t="e">
        <f t="shared" ca="1" si="7"/>
        <v>#DIV/0!</v>
      </c>
    </row>
    <row r="43" spans="1:8" x14ac:dyDescent="0.2">
      <c r="A43">
        <f>Modules!C41</f>
        <v>0</v>
      </c>
      <c r="B43">
        <f>Modules!D41</f>
        <v>0</v>
      </c>
      <c r="C43" s="187">
        <f ca="1">SUMIF('Concept Note'!AM:AM,A43,'Concept Note'!AN:AN)</f>
        <v>0</v>
      </c>
      <c r="D43" s="198" t="e">
        <f t="shared" ca="1" si="5"/>
        <v>#DIV/0!</v>
      </c>
      <c r="E43" s="187">
        <f ca="1">SUMIF('Concept Note'!$AM:$AM,A43,'Concept Note'!$AO:$AO)</f>
        <v>0</v>
      </c>
      <c r="F43" s="198" t="e">
        <f t="shared" ca="1" si="6"/>
        <v>#DIV/0!</v>
      </c>
      <c r="G43" s="187">
        <f t="shared" ca="1" si="4"/>
        <v>0</v>
      </c>
      <c r="H43" s="198" t="e">
        <f t="shared" ca="1" si="7"/>
        <v>#DIV/0!</v>
      </c>
    </row>
    <row r="44" spans="1:8" x14ac:dyDescent="0.2">
      <c r="A44">
        <f>Modules!C42</f>
        <v>0</v>
      </c>
      <c r="B44">
        <f>Modules!D42</f>
        <v>0</v>
      </c>
      <c r="C44" s="187">
        <f ca="1">SUMIF('Concept Note'!AM:AM,A44,'Concept Note'!AN:AN)</f>
        <v>0</v>
      </c>
      <c r="D44" s="198" t="e">
        <f t="shared" ca="1" si="5"/>
        <v>#DIV/0!</v>
      </c>
      <c r="E44" s="187">
        <f ca="1">SUMIF('Concept Note'!$AM:$AM,A44,'Concept Note'!$AO:$AO)</f>
        <v>0</v>
      </c>
      <c r="F44" s="198" t="e">
        <f t="shared" ca="1" si="6"/>
        <v>#DIV/0!</v>
      </c>
      <c r="G44" s="187">
        <f t="shared" ca="1" si="4"/>
        <v>0</v>
      </c>
      <c r="H44" s="198" t="e">
        <f t="shared" ca="1" si="7"/>
        <v>#DIV/0!</v>
      </c>
    </row>
    <row r="45" spans="1:8" x14ac:dyDescent="0.2">
      <c r="A45">
        <f>Modules!C43</f>
        <v>0</v>
      </c>
      <c r="B45">
        <f>Modules!D43</f>
        <v>0</v>
      </c>
      <c r="C45" s="187">
        <f ca="1">SUMIF('Concept Note'!AM:AM,A45,'Concept Note'!AN:AN)</f>
        <v>0</v>
      </c>
      <c r="D45" s="198" t="e">
        <f t="shared" ca="1" si="5"/>
        <v>#DIV/0!</v>
      </c>
      <c r="E45" s="187">
        <f ca="1">SUMIF('Concept Note'!$AM:$AM,A45,'Concept Note'!$AO:$AO)</f>
        <v>0</v>
      </c>
      <c r="F45" s="198" t="e">
        <f t="shared" ca="1" si="6"/>
        <v>#DIV/0!</v>
      </c>
      <c r="G45" s="187">
        <f t="shared" ca="1" si="4"/>
        <v>0</v>
      </c>
      <c r="H45" s="198" t="e">
        <f t="shared" ca="1" si="7"/>
        <v>#DIV/0!</v>
      </c>
    </row>
    <row r="46" spans="1:8" x14ac:dyDescent="0.2">
      <c r="A46">
        <f>Modules!C44</f>
        <v>0</v>
      </c>
      <c r="B46">
        <f>Modules!D44</f>
        <v>0</v>
      </c>
      <c r="C46" s="187">
        <f ca="1">SUMIF('Concept Note'!AM:AM,A46,'Concept Note'!AN:AN)</f>
        <v>0</v>
      </c>
      <c r="D46" s="198" t="e">
        <f t="shared" ca="1" si="5"/>
        <v>#DIV/0!</v>
      </c>
      <c r="E46" s="187">
        <f ca="1">SUMIF('Concept Note'!$AM:$AM,A46,'Concept Note'!$AO:$AO)</f>
        <v>0</v>
      </c>
      <c r="F46" s="198" t="e">
        <f t="shared" ca="1" si="6"/>
        <v>#DIV/0!</v>
      </c>
      <c r="G46" s="187">
        <f t="shared" ca="1" si="4"/>
        <v>0</v>
      </c>
      <c r="H46" s="198" t="e">
        <f t="shared" ca="1" si="7"/>
        <v>#DIV/0!</v>
      </c>
    </row>
    <row r="47" spans="1:8" x14ac:dyDescent="0.2">
      <c r="A47">
        <f>Modules!C45</f>
        <v>0</v>
      </c>
      <c r="B47">
        <f>Modules!D45</f>
        <v>0</v>
      </c>
      <c r="C47" s="187">
        <f ca="1">SUMIF('Concept Note'!AM:AM,A47,'Concept Note'!AN:AN)</f>
        <v>0</v>
      </c>
      <c r="D47" s="198" t="e">
        <f t="shared" ca="1" si="5"/>
        <v>#DIV/0!</v>
      </c>
      <c r="E47" s="187">
        <f ca="1">SUMIF('Concept Note'!$AM:$AM,A47,'Concept Note'!$AO:$AO)</f>
        <v>0</v>
      </c>
      <c r="F47" s="198" t="e">
        <f t="shared" ca="1" si="6"/>
        <v>#DIV/0!</v>
      </c>
      <c r="G47" s="187">
        <f t="shared" ca="1" si="4"/>
        <v>0</v>
      </c>
      <c r="H47" s="198" t="e">
        <f t="shared" ca="1" si="7"/>
        <v>#DIV/0!</v>
      </c>
    </row>
    <row r="48" spans="1:8" x14ac:dyDescent="0.2">
      <c r="A48">
        <f>Modules!C46</f>
        <v>0</v>
      </c>
      <c r="B48">
        <f>Modules!D46</f>
        <v>0</v>
      </c>
      <c r="C48" s="187">
        <f ca="1">SUMIF('Concept Note'!AM:AM,A48,'Concept Note'!AN:AN)</f>
        <v>0</v>
      </c>
      <c r="D48" s="198" t="e">
        <f t="shared" ca="1" si="5"/>
        <v>#DIV/0!</v>
      </c>
      <c r="E48" s="187">
        <f ca="1">SUMIF('Concept Note'!$AM:$AM,A48,'Concept Note'!$AO:$AO)</f>
        <v>0</v>
      </c>
      <c r="F48" s="198" t="e">
        <f t="shared" ca="1" si="6"/>
        <v>#DIV/0!</v>
      </c>
      <c r="G48" s="187">
        <f t="shared" ca="1" si="4"/>
        <v>0</v>
      </c>
      <c r="H48" s="198" t="e">
        <f t="shared" ca="1" si="7"/>
        <v>#DIV/0!</v>
      </c>
    </row>
    <row r="49" spans="1:8" x14ac:dyDescent="0.2">
      <c r="A49">
        <f>Modules!C47</f>
        <v>0</v>
      </c>
      <c r="B49">
        <f>Modules!D47</f>
        <v>0</v>
      </c>
      <c r="C49" s="187">
        <f ca="1">SUMIF('Concept Note'!AM:AM,A49,'Concept Note'!AN:AN)</f>
        <v>0</v>
      </c>
      <c r="D49" s="198" t="e">
        <f t="shared" ca="1" si="5"/>
        <v>#DIV/0!</v>
      </c>
      <c r="E49" s="187">
        <f ca="1">SUMIF('Concept Note'!$AM:$AM,A49,'Concept Note'!$AO:$AO)</f>
        <v>0</v>
      </c>
      <c r="F49" s="198" t="e">
        <f t="shared" ca="1" si="6"/>
        <v>#DIV/0!</v>
      </c>
      <c r="G49" s="187">
        <f t="shared" ca="1" si="4"/>
        <v>0</v>
      </c>
      <c r="H49" s="198" t="e">
        <f t="shared" ca="1" si="7"/>
        <v>#DIV/0!</v>
      </c>
    </row>
    <row r="50" spans="1:8" x14ac:dyDescent="0.2">
      <c r="A50">
        <f>Modules!C48</f>
        <v>0</v>
      </c>
      <c r="B50">
        <f>Modules!D48</f>
        <v>0</v>
      </c>
      <c r="C50" s="187">
        <f ca="1">SUMIF('Concept Note'!AM:AM,A50,'Concept Note'!AN:AN)</f>
        <v>0</v>
      </c>
      <c r="D50" s="198" t="e">
        <f t="shared" ca="1" si="5"/>
        <v>#DIV/0!</v>
      </c>
      <c r="E50" s="187">
        <f ca="1">SUMIF('Concept Note'!$AM:$AM,A50,'Concept Note'!$AO:$AO)</f>
        <v>0</v>
      </c>
      <c r="F50" s="198" t="e">
        <f t="shared" ca="1" si="6"/>
        <v>#DIV/0!</v>
      </c>
      <c r="G50" s="187">
        <f t="shared" ca="1" si="4"/>
        <v>0</v>
      </c>
      <c r="H50" s="198" t="e">
        <f t="shared" ca="1" si="7"/>
        <v>#DIV/0!</v>
      </c>
    </row>
    <row r="51" spans="1:8" x14ac:dyDescent="0.2">
      <c r="A51">
        <f>Modules!C49</f>
        <v>0</v>
      </c>
      <c r="B51">
        <f>Modules!D49</f>
        <v>0</v>
      </c>
      <c r="C51" s="187">
        <f ca="1">SUMIF('Concept Note'!AM:AM,A51,'Concept Note'!AN:AN)</f>
        <v>0</v>
      </c>
      <c r="D51" s="198" t="e">
        <f t="shared" ca="1" si="5"/>
        <v>#DIV/0!</v>
      </c>
      <c r="E51" s="187">
        <f ca="1">SUMIF('Concept Note'!$AM:$AM,A51,'Concept Note'!$AO:$AO)</f>
        <v>0</v>
      </c>
      <c r="F51" s="198" t="e">
        <f t="shared" ca="1" si="6"/>
        <v>#DIV/0!</v>
      </c>
      <c r="G51" s="187">
        <f t="shared" ca="1" si="4"/>
        <v>0</v>
      </c>
      <c r="H51" s="198" t="e">
        <f t="shared" ca="1" si="7"/>
        <v>#DIV/0!</v>
      </c>
    </row>
    <row r="52" spans="1:8" x14ac:dyDescent="0.2">
      <c r="A52">
        <f>Modules!C50</f>
        <v>0</v>
      </c>
      <c r="B52">
        <f>Modules!D50</f>
        <v>0</v>
      </c>
      <c r="C52" s="187">
        <f ca="1">SUMIF('Concept Note'!AM:AM,A52,'Concept Note'!AN:AN)</f>
        <v>0</v>
      </c>
      <c r="D52" s="198" t="e">
        <f t="shared" ca="1" si="5"/>
        <v>#DIV/0!</v>
      </c>
      <c r="E52" s="187">
        <f ca="1">SUMIF('Concept Note'!$AM:$AM,A52,'Concept Note'!$AO:$AO)</f>
        <v>0</v>
      </c>
      <c r="F52" s="198" t="e">
        <f t="shared" ca="1" si="6"/>
        <v>#DIV/0!</v>
      </c>
      <c r="G52" s="187">
        <f t="shared" ca="1" si="4"/>
        <v>0</v>
      </c>
      <c r="H52" s="198" t="e">
        <f t="shared" ca="1" si="7"/>
        <v>#DIV/0!</v>
      </c>
    </row>
    <row r="57" spans="1:8" x14ac:dyDescent="0.2">
      <c r="A57">
        <f ca="1">MATCH(TRUE,INDEX((Modules!I:I&lt;&gt;0),0),0)</f>
        <v>2</v>
      </c>
    </row>
    <row r="58" spans="1:8" x14ac:dyDescent="0.2">
      <c r="A58">
        <f ca="1">MATCH(TRUE,INDEX((INDIRECT(ADDRESS(A57+1,9,1,TRUE,"Modules")):'Modules'!$I$50&lt;&gt;0),0),0)</f>
        <v>6</v>
      </c>
      <c r="B58" t="str">
        <f ca="1">ADDRESS(A57+1,9,1,TRUE,"Modules")</f>
        <v>Modules!$I$3</v>
      </c>
    </row>
    <row r="59" spans="1:8" x14ac:dyDescent="0.2">
      <c r="B59" t="e">
        <f ca="1">VLOOKUP(86,Modules!$I$8:'Modules'!$I$50,1,FALSE)</f>
        <v>#N/A</v>
      </c>
    </row>
    <row r="60" spans="1:8" x14ac:dyDescent="0.2">
      <c r="B60" t="e">
        <f ca="1">VLOOKUP(86,INDIRECT(ADDRESS(A57+1,9,1,TRUE,"Modules")):'Modules'!$I$50,1,FALSE)</f>
        <v>#N/A</v>
      </c>
    </row>
    <row r="62" spans="1:8" x14ac:dyDescent="0.2">
      <c r="B62">
        <f t="array" ref="B62">INDEX(Modules!I:I,0)</f>
        <v>0</v>
      </c>
    </row>
    <row r="63" spans="1:8" x14ac:dyDescent="0.2">
      <c r="B63" t="e">
        <f>VLOOKUP(86,B62,1,FALSE)</f>
        <v>#N/A</v>
      </c>
    </row>
    <row r="67" spans="1:1" x14ac:dyDescent="0.2">
      <c r="A67" t="str">
        <f>Modules!C1</f>
        <v>ModId</v>
      </c>
    </row>
    <row r="68" spans="1:1" x14ac:dyDescent="0.2">
      <c r="A68">
        <f>Modules!C2</f>
        <v>1</v>
      </c>
    </row>
    <row r="69" spans="1:1" x14ac:dyDescent="0.2">
      <c r="A69">
        <f>Modules!C8</f>
        <v>2</v>
      </c>
    </row>
  </sheetData>
  <mergeCells count="1">
    <mergeCell ref="J3:P4"/>
  </mergeCell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V75"/>
  <sheetViews>
    <sheetView zoomScaleNormal="100" workbookViewId="0">
      <selection activeCell="K32" sqref="K32"/>
    </sheetView>
  </sheetViews>
  <sheetFormatPr defaultRowHeight="12.75" x14ac:dyDescent="0.2"/>
  <cols>
    <col min="1" max="22" width="8" customWidth="1"/>
  </cols>
  <sheetData>
    <row r="1" spans="1:22" ht="21.75" customHeight="1" x14ac:dyDescent="0.2">
      <c r="A1" s="720" t="str">
        <f ca="1">Translations!$A$69</f>
        <v>PLEASE PROVIDE TARGET ASSUMPTIONS FOR OUTPUT AND COVERAGE INDICATORS HERE</v>
      </c>
      <c r="B1" s="720"/>
      <c r="C1" s="720"/>
      <c r="D1" s="720"/>
      <c r="E1" s="720"/>
      <c r="F1" s="720"/>
      <c r="G1" s="720"/>
      <c r="H1" s="720"/>
      <c r="I1" s="720"/>
      <c r="J1" s="720"/>
      <c r="K1" s="720"/>
      <c r="L1" s="720"/>
      <c r="M1" s="720"/>
      <c r="N1" s="720"/>
      <c r="O1" s="720"/>
      <c r="P1" s="720"/>
      <c r="Q1" s="720"/>
      <c r="R1" s="720"/>
      <c r="S1" s="720"/>
      <c r="T1" s="720"/>
      <c r="U1" s="720"/>
      <c r="V1" s="720"/>
    </row>
    <row r="2" spans="1:22" ht="15" customHeight="1" x14ac:dyDescent="0.2">
      <c r="A2" s="721" t="str">
        <f ca="1">Translations!$A$70</f>
        <v>It is not compulsory to provide target assumptions for the indicators included in the performance framework, however providing additional information on how targets were set may help to reach a common understanding and agreement between the Principal Recipient and the Global Fund Secretariat and speed up the negotiation process.</v>
      </c>
      <c r="B2" s="721"/>
      <c r="C2" s="721"/>
      <c r="D2" s="721"/>
      <c r="E2" s="721"/>
      <c r="F2" s="721"/>
      <c r="G2" s="721"/>
      <c r="H2" s="721"/>
      <c r="I2" s="721"/>
      <c r="J2" s="721"/>
      <c r="K2" s="721"/>
      <c r="L2" s="721"/>
      <c r="M2" s="721"/>
      <c r="N2" s="721"/>
      <c r="O2" s="721"/>
      <c r="P2" s="721"/>
      <c r="Q2" s="721"/>
      <c r="R2" s="721"/>
      <c r="S2" s="721"/>
      <c r="T2" s="721"/>
      <c r="U2" s="721"/>
      <c r="V2" s="721"/>
    </row>
    <row r="3" spans="1:22" ht="15" customHeight="1" x14ac:dyDescent="0.2">
      <c r="A3" s="721"/>
      <c r="B3" s="721"/>
      <c r="C3" s="721"/>
      <c r="D3" s="721"/>
      <c r="E3" s="721"/>
      <c r="F3" s="721"/>
      <c r="G3" s="721"/>
      <c r="H3" s="721"/>
      <c r="I3" s="721"/>
      <c r="J3" s="721"/>
      <c r="K3" s="721"/>
      <c r="L3" s="721"/>
      <c r="M3" s="721"/>
      <c r="N3" s="721"/>
      <c r="O3" s="721"/>
      <c r="P3" s="721"/>
      <c r="Q3" s="721"/>
      <c r="R3" s="721"/>
      <c r="S3" s="721"/>
      <c r="T3" s="721"/>
      <c r="U3" s="721"/>
      <c r="V3" s="721"/>
    </row>
    <row r="4" spans="1:22" ht="15" customHeight="1" x14ac:dyDescent="0.2">
      <c r="A4" s="721"/>
      <c r="B4" s="721"/>
      <c r="C4" s="721"/>
      <c r="D4" s="721"/>
      <c r="E4" s="721"/>
      <c r="F4" s="721"/>
      <c r="G4" s="721"/>
      <c r="H4" s="721"/>
      <c r="I4" s="721"/>
      <c r="J4" s="721"/>
      <c r="K4" s="721"/>
      <c r="L4" s="721"/>
      <c r="M4" s="721"/>
      <c r="N4" s="721"/>
      <c r="O4" s="721"/>
      <c r="P4" s="721"/>
      <c r="Q4" s="721"/>
      <c r="R4" s="721"/>
      <c r="S4" s="721"/>
      <c r="T4" s="721"/>
      <c r="U4" s="721"/>
      <c r="V4" s="721"/>
    </row>
    <row r="5" spans="1:22" ht="15" customHeight="1" x14ac:dyDescent="0.2">
      <c r="A5" s="721"/>
      <c r="B5" s="721"/>
      <c r="C5" s="721"/>
      <c r="D5" s="721"/>
      <c r="E5" s="721"/>
      <c r="F5" s="721"/>
      <c r="G5" s="721"/>
      <c r="H5" s="721"/>
      <c r="I5" s="721"/>
      <c r="J5" s="721"/>
      <c r="K5" s="721"/>
      <c r="L5" s="721"/>
      <c r="M5" s="721"/>
      <c r="N5" s="721"/>
      <c r="O5" s="721"/>
      <c r="P5" s="721"/>
      <c r="Q5" s="721"/>
      <c r="R5" s="721"/>
      <c r="S5" s="721"/>
      <c r="T5" s="721"/>
      <c r="U5" s="721"/>
      <c r="V5" s="721"/>
    </row>
    <row r="6" spans="1:22" ht="12.75" customHeight="1" x14ac:dyDescent="0.2">
      <c r="A6" s="20"/>
      <c r="B6" s="20"/>
      <c r="C6" s="20"/>
      <c r="D6" s="20"/>
      <c r="E6" s="20"/>
      <c r="F6" s="20"/>
      <c r="G6" s="20"/>
      <c r="H6" s="20"/>
      <c r="I6" s="20"/>
      <c r="J6" s="20"/>
      <c r="K6" s="20"/>
      <c r="L6" s="20"/>
      <c r="M6" s="20"/>
      <c r="N6" s="20"/>
      <c r="O6" s="20"/>
      <c r="P6" s="20"/>
      <c r="Q6" s="20"/>
      <c r="R6" s="20"/>
    </row>
    <row r="7" spans="1:22" ht="12.75" customHeight="1" x14ac:dyDescent="0.2"/>
    <row r="8" spans="1:22" ht="12.75" customHeight="1" x14ac:dyDescent="0.2"/>
    <row r="9" spans="1:22" ht="12.75" customHeight="1" x14ac:dyDescent="0.2"/>
    <row r="10" spans="1:22" ht="12.75" customHeight="1" x14ac:dyDescent="0.2"/>
    <row r="11" spans="1:22" ht="12.75" customHeight="1" x14ac:dyDescent="0.2"/>
    <row r="12" spans="1:22" ht="12.75" customHeight="1" x14ac:dyDescent="0.2"/>
    <row r="13" spans="1:22" ht="12.75" customHeight="1" x14ac:dyDescent="0.2"/>
    <row r="14" spans="1:22" ht="12.75" customHeight="1" x14ac:dyDescent="0.2"/>
    <row r="15" spans="1:22" ht="12.75" customHeight="1" x14ac:dyDescent="0.2"/>
    <row r="16" spans="1:22"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sheetData>
  <sheetProtection insertRows="0" deleteRows="0" sort="0" autoFilter="0"/>
  <mergeCells count="2">
    <mergeCell ref="A1:V1"/>
    <mergeCell ref="A2:V5"/>
  </mergeCells>
  <pageMargins left="0.70866141732283472" right="0.70866141732283472" top="0.74803149606299213" bottom="0.74803149606299213" header="0.31496062992125984" footer="0.31496062992125984"/>
  <pageSetup paperSize="9" scale="7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5"/>
  <sheetViews>
    <sheetView zoomScaleNormal="100" workbookViewId="0">
      <selection activeCell="A6" sqref="A6"/>
    </sheetView>
  </sheetViews>
  <sheetFormatPr defaultRowHeight="12.75" x14ac:dyDescent="0.2"/>
  <cols>
    <col min="1" max="22" width="8" customWidth="1"/>
  </cols>
  <sheetData>
    <row r="1" spans="1:22" ht="21.75" customHeight="1" x14ac:dyDescent="0.2">
      <c r="A1" s="720" t="str">
        <f ca="1">Translations!A94</f>
        <v>PLEASE PROVIDE COST ASSUMPTIONS FOR BUDGET HERE</v>
      </c>
      <c r="B1" s="720"/>
      <c r="C1" s="720"/>
      <c r="D1" s="720"/>
      <c r="E1" s="720"/>
      <c r="F1" s="720"/>
      <c r="G1" s="720"/>
      <c r="H1" s="720"/>
      <c r="I1" s="720"/>
      <c r="J1" s="720"/>
      <c r="K1" s="720"/>
      <c r="L1" s="720"/>
      <c r="M1" s="720"/>
      <c r="N1" s="720"/>
      <c r="O1" s="720"/>
      <c r="P1" s="720"/>
      <c r="Q1" s="720"/>
      <c r="R1" s="720"/>
      <c r="S1" s="720"/>
      <c r="T1" s="720"/>
      <c r="U1" s="720"/>
      <c r="V1" s="720"/>
    </row>
    <row r="2" spans="1:22" ht="15" customHeight="1" x14ac:dyDescent="0.2">
      <c r="A2" s="721" t="str">
        <f ca="1">Translations!A95</f>
        <v>It is not compulsory to provide detailed cost assumptions for the budget, however providing additional information may help to reach a common understanding and agreement between the Principal Recipient and the Global Fund Secretariat and speed up the negotiation process.</v>
      </c>
      <c r="B2" s="721"/>
      <c r="C2" s="721"/>
      <c r="D2" s="721"/>
      <c r="E2" s="721"/>
      <c r="F2" s="721"/>
      <c r="G2" s="721"/>
      <c r="H2" s="721"/>
      <c r="I2" s="721"/>
      <c r="J2" s="721"/>
      <c r="K2" s="721"/>
      <c r="L2" s="721"/>
      <c r="M2" s="721"/>
      <c r="N2" s="721"/>
      <c r="O2" s="721"/>
      <c r="P2" s="721"/>
      <c r="Q2" s="721"/>
      <c r="R2" s="721"/>
      <c r="S2" s="721"/>
      <c r="T2" s="721"/>
      <c r="U2" s="721"/>
      <c r="V2" s="721"/>
    </row>
    <row r="3" spans="1:22" ht="15" customHeight="1" x14ac:dyDescent="0.2">
      <c r="A3" s="721"/>
      <c r="B3" s="721"/>
      <c r="C3" s="721"/>
      <c r="D3" s="721"/>
      <c r="E3" s="721"/>
      <c r="F3" s="721"/>
      <c r="G3" s="721"/>
      <c r="H3" s="721"/>
      <c r="I3" s="721"/>
      <c r="J3" s="721"/>
      <c r="K3" s="721"/>
      <c r="L3" s="721"/>
      <c r="M3" s="721"/>
      <c r="N3" s="721"/>
      <c r="O3" s="721"/>
      <c r="P3" s="721"/>
      <c r="Q3" s="721"/>
      <c r="R3" s="721"/>
      <c r="S3" s="721"/>
      <c r="T3" s="721"/>
      <c r="U3" s="721"/>
      <c r="V3" s="721"/>
    </row>
    <row r="4" spans="1:22" ht="15" customHeight="1" x14ac:dyDescent="0.2">
      <c r="A4" s="721"/>
      <c r="B4" s="721"/>
      <c r="C4" s="721"/>
      <c r="D4" s="721"/>
      <c r="E4" s="721"/>
      <c r="F4" s="721"/>
      <c r="G4" s="721"/>
      <c r="H4" s="721"/>
      <c r="I4" s="721"/>
      <c r="J4" s="721"/>
      <c r="K4" s="721"/>
      <c r="L4" s="721"/>
      <c r="M4" s="721"/>
      <c r="N4" s="721"/>
      <c r="O4" s="721"/>
      <c r="P4" s="721"/>
      <c r="Q4" s="721"/>
      <c r="R4" s="721"/>
      <c r="S4" s="721"/>
      <c r="T4" s="721"/>
      <c r="U4" s="721"/>
      <c r="V4" s="721"/>
    </row>
    <row r="5" spans="1:22" ht="15" customHeight="1" x14ac:dyDescent="0.2">
      <c r="A5" s="721"/>
      <c r="B5" s="721"/>
      <c r="C5" s="721"/>
      <c r="D5" s="721"/>
      <c r="E5" s="721"/>
      <c r="F5" s="721"/>
      <c r="G5" s="721"/>
      <c r="H5" s="721"/>
      <c r="I5" s="721"/>
      <c r="J5" s="721"/>
      <c r="K5" s="721"/>
      <c r="L5" s="721"/>
      <c r="M5" s="721"/>
      <c r="N5" s="721"/>
      <c r="O5" s="721"/>
      <c r="P5" s="721"/>
      <c r="Q5" s="721"/>
      <c r="R5" s="721"/>
      <c r="S5" s="721"/>
      <c r="T5" s="721"/>
      <c r="U5" s="721"/>
      <c r="V5" s="721"/>
    </row>
    <row r="6" spans="1:22" ht="12.75" customHeight="1" x14ac:dyDescent="0.2">
      <c r="A6" s="20"/>
      <c r="B6" s="20"/>
      <c r="C6" s="20"/>
      <c r="D6" s="20"/>
      <c r="E6" s="20"/>
      <c r="F6" s="20"/>
      <c r="G6" s="20"/>
      <c r="H6" s="20"/>
      <c r="I6" s="20"/>
      <c r="J6" s="20"/>
      <c r="K6" s="20"/>
      <c r="L6" s="20"/>
      <c r="M6" s="20"/>
      <c r="N6" s="20"/>
      <c r="O6" s="20"/>
      <c r="P6" s="20"/>
      <c r="Q6" s="20"/>
      <c r="R6" s="20"/>
    </row>
    <row r="7" spans="1:22" ht="12.75" customHeight="1" x14ac:dyDescent="0.2"/>
    <row r="8" spans="1:22" ht="12.75" customHeight="1" x14ac:dyDescent="0.2"/>
    <row r="9" spans="1:22" ht="12.75" customHeight="1" x14ac:dyDescent="0.2"/>
    <row r="10" spans="1:22" ht="12.75" customHeight="1" x14ac:dyDescent="0.2"/>
    <row r="11" spans="1:22" ht="12.75" customHeight="1" x14ac:dyDescent="0.2"/>
    <row r="12" spans="1:22" ht="12.75" customHeight="1" x14ac:dyDescent="0.2"/>
    <row r="13" spans="1:22" ht="12.75" customHeight="1" x14ac:dyDescent="0.2"/>
    <row r="14" spans="1:22" ht="12.75" customHeight="1" x14ac:dyDescent="0.2"/>
    <row r="15" spans="1:22" ht="12.75" customHeight="1" x14ac:dyDescent="0.2"/>
    <row r="16" spans="1:22"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sheetData>
  <sheetProtection insertRows="0" deleteRows="0" sort="0" autoFilter="0"/>
  <mergeCells count="2">
    <mergeCell ref="A1:V1"/>
    <mergeCell ref="A2:V5"/>
  </mergeCells>
  <pageMargins left="0.70866141732283472" right="0.70866141732283472" top="0.74803149606299213" bottom="0.74803149606299213" header="0.31496062992125984" footer="0.31496062992125984"/>
  <pageSetup paperSize="9" scale="7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pane ySplit="1" topLeftCell="A2" activePane="bottomLeft" state="frozen"/>
      <selection activeCell="A2" sqref="A2:V5"/>
      <selection pane="bottomLeft" activeCell="E3" sqref="E3"/>
    </sheetView>
  </sheetViews>
  <sheetFormatPr defaultRowHeight="14.25" x14ac:dyDescent="0.2"/>
  <cols>
    <col min="1" max="1" width="7.140625" style="189" bestFit="1" customWidth="1"/>
    <col min="2" max="2" width="9.140625" style="189"/>
    <col min="3" max="3" width="13.140625" style="189" bestFit="1" customWidth="1"/>
    <col min="4" max="4" width="18.28515625" style="189" customWidth="1"/>
    <col min="5" max="5" width="15" style="189" bestFit="1" customWidth="1"/>
    <col min="6" max="6" width="15.85546875" style="189" bestFit="1" customWidth="1"/>
    <col min="7" max="7" width="15.5703125" style="189" bestFit="1" customWidth="1"/>
    <col min="8" max="10" width="9.140625" style="189"/>
    <col min="11" max="11" width="9.42578125" style="189" bestFit="1" customWidth="1"/>
    <col min="12" max="16384" width="9.140625" style="189"/>
  </cols>
  <sheetData>
    <row r="1" spans="1:8" s="188" customFormat="1" ht="15" x14ac:dyDescent="0.25">
      <c r="A1" s="188" t="s">
        <v>1455</v>
      </c>
      <c r="B1" s="188" t="s">
        <v>1456</v>
      </c>
      <c r="C1" s="188" t="s">
        <v>624</v>
      </c>
      <c r="D1" s="188" t="s">
        <v>1457</v>
      </c>
      <c r="E1" s="188" t="s">
        <v>1458</v>
      </c>
      <c r="F1" s="188" t="s">
        <v>1459</v>
      </c>
      <c r="G1" s="188" t="s">
        <v>1460</v>
      </c>
    </row>
    <row r="2" spans="1:8" x14ac:dyDescent="0.2">
      <c r="A2" s="189">
        <v>1</v>
      </c>
      <c r="B2" s="189" t="s">
        <v>1461</v>
      </c>
      <c r="C2" s="189" t="str">
        <f ca="1">OFFSET(D2,0,LangOffset,1,1)</f>
        <v>HIV/AIDS</v>
      </c>
      <c r="D2" s="189" t="s">
        <v>1462</v>
      </c>
      <c r="E2" s="337" t="s">
        <v>1463</v>
      </c>
      <c r="F2" s="190" t="s">
        <v>1463</v>
      </c>
      <c r="G2" s="190" t="s">
        <v>2696</v>
      </c>
    </row>
    <row r="3" spans="1:8" x14ac:dyDescent="0.2">
      <c r="A3" s="189">
        <v>2</v>
      </c>
      <c r="B3" s="189" t="s">
        <v>1464</v>
      </c>
      <c r="C3" s="189" t="str">
        <f ca="1">OFFSET(D3,0,LangOffset,1,1)</f>
        <v>Tuberculosis</v>
      </c>
      <c r="D3" s="189" t="s">
        <v>78</v>
      </c>
      <c r="E3" s="189" t="s">
        <v>657</v>
      </c>
      <c r="F3" s="190" t="s">
        <v>78</v>
      </c>
      <c r="G3" s="190" t="s">
        <v>2697</v>
      </c>
    </row>
    <row r="4" spans="1:8" x14ac:dyDescent="0.2">
      <c r="A4" s="189">
        <v>3</v>
      </c>
      <c r="B4" s="189" t="s">
        <v>1465</v>
      </c>
      <c r="C4" s="189" t="str">
        <f ca="1">OFFSET(D4,0,LangOffset,1,1)</f>
        <v>Malaria</v>
      </c>
      <c r="D4" s="189" t="s">
        <v>77</v>
      </c>
      <c r="E4" s="189" t="s">
        <v>656</v>
      </c>
      <c r="F4" s="190" t="s">
        <v>77</v>
      </c>
      <c r="G4" s="190" t="s">
        <v>2823</v>
      </c>
    </row>
    <row r="5" spans="1:8" x14ac:dyDescent="0.2">
      <c r="A5" s="189">
        <v>6</v>
      </c>
      <c r="B5" s="189" t="s">
        <v>1466</v>
      </c>
      <c r="C5" s="189" t="str">
        <f ca="1">OFFSET(D5,0,LangOffset,1,1)</f>
        <v>HSS</v>
      </c>
      <c r="D5" s="189" t="s">
        <v>878</v>
      </c>
      <c r="E5" s="189" t="s">
        <v>879</v>
      </c>
      <c r="F5" s="190" t="s">
        <v>880</v>
      </c>
      <c r="G5" s="190" t="s">
        <v>2698</v>
      </c>
      <c r="H5" s="190"/>
    </row>
    <row r="6" spans="1:8" x14ac:dyDescent="0.2">
      <c r="G6" s="190"/>
      <c r="H6" s="190"/>
    </row>
    <row r="7" spans="1:8" x14ac:dyDescent="0.2">
      <c r="G7" s="190"/>
      <c r="H7" s="190"/>
    </row>
    <row r="8" spans="1:8" x14ac:dyDescent="0.2">
      <c r="G8" s="190"/>
      <c r="H8" s="19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pane ySplit="1" topLeftCell="A2" activePane="bottomLeft" state="frozen"/>
      <selection activeCell="A2" sqref="A2:V5"/>
      <selection pane="bottomLeft" activeCell="F6" sqref="F6"/>
    </sheetView>
  </sheetViews>
  <sheetFormatPr defaultRowHeight="14.25" x14ac:dyDescent="0.2"/>
  <cols>
    <col min="1" max="1" width="7.42578125" style="189" bestFit="1" customWidth="1"/>
    <col min="2" max="2" width="10.140625" style="189" bestFit="1" customWidth="1"/>
    <col min="3" max="3" width="7.28515625" style="189" bestFit="1" customWidth="1"/>
    <col min="4" max="4" width="20.7109375" style="189" customWidth="1"/>
    <col min="5" max="5" width="87.28515625" style="189" bestFit="1" customWidth="1"/>
    <col min="6" max="6" width="21.85546875" style="189" customWidth="1"/>
    <col min="7" max="7" width="18.28515625" style="189" customWidth="1"/>
    <col min="8" max="8" width="11.28515625" style="189" bestFit="1" customWidth="1"/>
    <col min="9" max="16384" width="9.140625" style="189"/>
  </cols>
  <sheetData>
    <row r="1" spans="1:9" s="188" customFormat="1" ht="15" x14ac:dyDescent="0.25">
      <c r="A1" s="188" t="s">
        <v>1455</v>
      </c>
      <c r="B1" s="188" t="s">
        <v>1456</v>
      </c>
      <c r="C1" s="188" t="s">
        <v>1467</v>
      </c>
      <c r="D1" s="188" t="s">
        <v>624</v>
      </c>
      <c r="E1" s="188" t="s">
        <v>1468</v>
      </c>
      <c r="F1" s="188" t="s">
        <v>1469</v>
      </c>
      <c r="G1" s="188" t="s">
        <v>1470</v>
      </c>
      <c r="H1" s="188" t="s">
        <v>1471</v>
      </c>
    </row>
    <row r="2" spans="1:9" x14ac:dyDescent="0.2">
      <c r="A2" s="189">
        <v>1</v>
      </c>
      <c r="B2" s="189" t="s">
        <v>1461</v>
      </c>
      <c r="C2" s="189">
        <v>1</v>
      </c>
      <c r="D2" s="189" t="str">
        <f t="shared" ref="D2:D7" ca="1" si="0">OFFSET(E2,0,LangOffset,1,1)</f>
        <v>Prevention - General population</v>
      </c>
      <c r="E2" s="229" t="s">
        <v>1823</v>
      </c>
      <c r="F2" s="241" t="s">
        <v>2917</v>
      </c>
      <c r="G2" s="241" t="s">
        <v>2159</v>
      </c>
      <c r="H2" s="241" t="s">
        <v>2714</v>
      </c>
      <c r="I2" s="189" t="str">
        <f ca="1">IFERROR(MATCH(C2,'Concept Note'!AM:AM,0),"")</f>
        <v/>
      </c>
    </row>
    <row r="3" spans="1:9" x14ac:dyDescent="0.2">
      <c r="A3" s="189">
        <v>1</v>
      </c>
      <c r="B3" s="229" t="s">
        <v>1461</v>
      </c>
      <c r="C3" s="189">
        <v>25</v>
      </c>
      <c r="D3" s="189" t="str">
        <f t="shared" ca="1" si="0"/>
        <v>Prevention - MSM and TGs</v>
      </c>
      <c r="E3" s="229" t="s">
        <v>1824</v>
      </c>
      <c r="F3" s="241" t="s">
        <v>2918</v>
      </c>
      <c r="G3" s="241" t="s">
        <v>2160</v>
      </c>
      <c r="H3" s="241" t="s">
        <v>2715</v>
      </c>
    </row>
    <row r="4" spans="1:9" x14ac:dyDescent="0.2">
      <c r="A4" s="189">
        <v>1</v>
      </c>
      <c r="B4" s="229" t="s">
        <v>1461</v>
      </c>
      <c r="C4" s="189">
        <v>26</v>
      </c>
      <c r="D4" s="189" t="str">
        <f t="shared" ca="1" si="0"/>
        <v>Prevention - Sex Workers and their clients</v>
      </c>
      <c r="E4" s="229" t="s">
        <v>1827</v>
      </c>
      <c r="F4" s="241" t="s">
        <v>2919</v>
      </c>
      <c r="G4" s="241" t="s">
        <v>2161</v>
      </c>
      <c r="H4" s="241" t="s">
        <v>2716</v>
      </c>
    </row>
    <row r="5" spans="1:9" x14ac:dyDescent="0.2">
      <c r="A5" s="189">
        <v>1</v>
      </c>
      <c r="B5" s="229" t="s">
        <v>1461</v>
      </c>
      <c r="C5" s="189">
        <v>27</v>
      </c>
      <c r="D5" s="189" t="str">
        <f t="shared" ca="1" si="0"/>
        <v>Prevention - Harm-reduction programmes for injecting drug users (IDUs) and their partners</v>
      </c>
      <c r="E5" s="229" t="s">
        <v>1825</v>
      </c>
      <c r="F5" s="241" t="s">
        <v>2920</v>
      </c>
      <c r="G5" s="241" t="s">
        <v>2842</v>
      </c>
      <c r="H5" s="241" t="s">
        <v>2717</v>
      </c>
    </row>
    <row r="6" spans="1:9" x14ac:dyDescent="0.2">
      <c r="A6" s="189">
        <v>1</v>
      </c>
      <c r="B6" s="229" t="s">
        <v>1461</v>
      </c>
      <c r="C6" s="189">
        <v>29</v>
      </c>
      <c r="D6" s="189" t="str">
        <f t="shared" ca="1" si="0"/>
        <v>Prevention - Adolescents and youth, in and out of school</v>
      </c>
      <c r="E6" s="243" t="s">
        <v>2163</v>
      </c>
      <c r="F6" s="241" t="s">
        <v>2921</v>
      </c>
      <c r="G6" s="241" t="s">
        <v>2162</v>
      </c>
      <c r="H6" s="241" t="s">
        <v>2718</v>
      </c>
    </row>
    <row r="7" spans="1:9" x14ac:dyDescent="0.2">
      <c r="A7" s="189">
        <v>1</v>
      </c>
      <c r="B7" s="229" t="s">
        <v>1461</v>
      </c>
      <c r="C7" s="189">
        <v>28</v>
      </c>
      <c r="D7" s="189" t="str">
        <f t="shared" ca="1" si="0"/>
        <v>Prevention - Other vulnerable populations (please specify)</v>
      </c>
      <c r="E7" s="229" t="s">
        <v>1826</v>
      </c>
      <c r="F7" s="241" t="s">
        <v>2922</v>
      </c>
      <c r="G7" s="241" t="s">
        <v>2164</v>
      </c>
      <c r="H7" s="241" t="s">
        <v>2719</v>
      </c>
    </row>
    <row r="8" spans="1:9" x14ac:dyDescent="0.2">
      <c r="A8" s="189">
        <v>1</v>
      </c>
      <c r="B8" s="189" t="s">
        <v>1461</v>
      </c>
      <c r="C8" s="189">
        <v>2</v>
      </c>
      <c r="D8" s="189" t="str">
        <f t="shared" ref="D8:D30" ca="1" si="1">OFFSET(E8,0,LangOffset,1,1)</f>
        <v>PMTCT</v>
      </c>
      <c r="E8" s="189" t="s">
        <v>893</v>
      </c>
      <c r="F8" s="190" t="s">
        <v>2178</v>
      </c>
      <c r="G8" s="190" t="s">
        <v>1840</v>
      </c>
      <c r="H8" s="190" t="s">
        <v>2699</v>
      </c>
      <c r="I8" s="189" t="str">
        <f ca="1">IFERROR(MATCH(C8,'Concept Note'!AM:AM,0),"")</f>
        <v/>
      </c>
    </row>
    <row r="9" spans="1:9" x14ac:dyDescent="0.2">
      <c r="A9" s="189">
        <v>1</v>
      </c>
      <c r="B9" s="189" t="s">
        <v>1461</v>
      </c>
      <c r="C9" s="189">
        <v>3</v>
      </c>
      <c r="D9" s="189" t="str">
        <f t="shared" ca="1" si="1"/>
        <v>Treatment, care and support</v>
      </c>
      <c r="E9" s="233" t="s">
        <v>1837</v>
      </c>
      <c r="F9" s="190" t="s">
        <v>2923</v>
      </c>
      <c r="G9" s="190" t="s">
        <v>2843</v>
      </c>
      <c r="H9" s="190" t="s">
        <v>2700</v>
      </c>
      <c r="I9" s="189" t="str">
        <f ca="1">IFERROR(MATCH(C9,'Concept Note'!AM:AM,0),"")</f>
        <v/>
      </c>
    </row>
    <row r="10" spans="1:9" x14ac:dyDescent="0.2">
      <c r="A10" s="189">
        <v>1</v>
      </c>
      <c r="B10" s="189" t="s">
        <v>1461</v>
      </c>
      <c r="C10" s="189">
        <v>4</v>
      </c>
      <c r="D10" s="189" t="str">
        <f t="shared" ca="1" si="1"/>
        <v>Monitoring and Evaluation</v>
      </c>
      <c r="E10" s="189" t="s">
        <v>1473</v>
      </c>
      <c r="F10" s="190" t="s">
        <v>2179</v>
      </c>
      <c r="G10" s="190" t="s">
        <v>1842</v>
      </c>
      <c r="H10" s="190" t="s">
        <v>2701</v>
      </c>
      <c r="I10" s="189" t="str">
        <f ca="1">IFERROR(MATCH(C10,'Concept Note'!AM:AM,0),"")</f>
        <v/>
      </c>
    </row>
    <row r="11" spans="1:9" x14ac:dyDescent="0.2">
      <c r="A11" s="189">
        <v>1</v>
      </c>
      <c r="B11" s="189" t="s">
        <v>1461</v>
      </c>
      <c r="C11" s="189">
        <v>5</v>
      </c>
      <c r="D11" s="189" t="str">
        <f t="shared" ca="1" si="1"/>
        <v>Program management</v>
      </c>
      <c r="E11" s="189" t="s">
        <v>1474</v>
      </c>
      <c r="F11" s="190" t="s">
        <v>2180</v>
      </c>
      <c r="G11" s="190" t="s">
        <v>1843</v>
      </c>
      <c r="H11" s="190" t="s">
        <v>2702</v>
      </c>
      <c r="I11" s="189" t="str">
        <f ca="1">IFERROR(MATCH(C11,'Concept Note'!AM:AM,0),"")</f>
        <v/>
      </c>
    </row>
    <row r="12" spans="1:9" x14ac:dyDescent="0.2">
      <c r="A12" s="189">
        <v>2</v>
      </c>
      <c r="B12" s="189" t="s">
        <v>1464</v>
      </c>
      <c r="C12" s="189">
        <v>6</v>
      </c>
      <c r="D12" s="189" t="str">
        <f t="shared" ca="1" si="1"/>
        <v>DOTS-based package</v>
      </c>
      <c r="E12" s="189" t="s">
        <v>1475</v>
      </c>
      <c r="F12" s="190" t="s">
        <v>2181</v>
      </c>
      <c r="G12" s="190" t="s">
        <v>1844</v>
      </c>
      <c r="H12" s="190" t="s">
        <v>2818</v>
      </c>
      <c r="I12" s="189" t="str">
        <f ca="1">IFERROR(MATCH(C12,'Concept Note'!AM:AM,0),"")</f>
        <v/>
      </c>
    </row>
    <row r="13" spans="1:9" x14ac:dyDescent="0.2">
      <c r="A13" s="189">
        <v>2</v>
      </c>
      <c r="B13" s="189" t="s">
        <v>1464</v>
      </c>
      <c r="C13" s="189">
        <v>7</v>
      </c>
      <c r="D13" s="189" t="str">
        <f t="shared" ca="1" si="1"/>
        <v>TB/HIV package (in high TB/HIV burden countries or for high risk groups in all countries)</v>
      </c>
      <c r="E13" s="189" t="s">
        <v>1476</v>
      </c>
      <c r="F13" s="190" t="s">
        <v>2182</v>
      </c>
      <c r="G13" s="190" t="s">
        <v>1845</v>
      </c>
      <c r="H13" s="190" t="s">
        <v>2703</v>
      </c>
      <c r="I13" s="189" t="str">
        <f ca="1">IFERROR(MATCH(C13,'Concept Note'!AM:AM,0),"")</f>
        <v/>
      </c>
    </row>
    <row r="14" spans="1:9" x14ac:dyDescent="0.2">
      <c r="A14" s="189">
        <v>2</v>
      </c>
      <c r="B14" s="189" t="s">
        <v>1464</v>
      </c>
      <c r="C14" s="189">
        <v>8</v>
      </c>
      <c r="D14" s="189" t="str">
        <f t="shared" ca="1" si="1"/>
        <v>MDR-TB package (in high MDR-TB burden countries or for high risk groups in all countries)</v>
      </c>
      <c r="E14" s="189" t="s">
        <v>1477</v>
      </c>
      <c r="F14" s="190" t="s">
        <v>2183</v>
      </c>
      <c r="G14" s="190" t="s">
        <v>1846</v>
      </c>
      <c r="H14" s="190" t="s">
        <v>2704</v>
      </c>
      <c r="I14" s="189" t="str">
        <f ca="1">IFERROR(MATCH(C14,'Concept Note'!AM:AM,0),"")</f>
        <v/>
      </c>
    </row>
    <row r="15" spans="1:9" x14ac:dyDescent="0.2">
      <c r="A15" s="189">
        <v>2</v>
      </c>
      <c r="B15" s="189" t="s">
        <v>1464</v>
      </c>
      <c r="C15" s="189">
        <v>9</v>
      </c>
      <c r="D15" s="189" t="str">
        <f t="shared" ca="1" si="1"/>
        <v>Human Rights</v>
      </c>
      <c r="E15" s="189" t="s">
        <v>1478</v>
      </c>
      <c r="F15" s="190" t="s">
        <v>2184</v>
      </c>
      <c r="G15" s="190" t="s">
        <v>1847</v>
      </c>
      <c r="H15" s="190" t="s">
        <v>2705</v>
      </c>
      <c r="I15" s="189" t="str">
        <f ca="1">IFERROR(MATCH(C15,'Concept Note'!AM:AM,0),"")</f>
        <v/>
      </c>
    </row>
    <row r="16" spans="1:9" x14ac:dyDescent="0.2">
      <c r="A16" s="189">
        <v>2</v>
      </c>
      <c r="B16" s="189" t="s">
        <v>1464</v>
      </c>
      <c r="C16" s="189">
        <v>10</v>
      </c>
      <c r="D16" s="189" t="str">
        <f t="shared" ca="1" si="1"/>
        <v>Monitoring and Evaluation</v>
      </c>
      <c r="E16" s="189" t="s">
        <v>1473</v>
      </c>
      <c r="F16" s="190" t="s">
        <v>2179</v>
      </c>
      <c r="G16" s="190" t="s">
        <v>1842</v>
      </c>
      <c r="H16" s="190" t="s">
        <v>2701</v>
      </c>
      <c r="I16" s="189" t="str">
        <f ca="1">IFERROR(MATCH(C16,'Concept Note'!AM:AM,0),"")</f>
        <v/>
      </c>
    </row>
    <row r="17" spans="1:9" x14ac:dyDescent="0.2">
      <c r="A17" s="189">
        <v>2</v>
      </c>
      <c r="B17" s="189" t="s">
        <v>1464</v>
      </c>
      <c r="C17" s="189">
        <v>11</v>
      </c>
      <c r="D17" s="189" t="str">
        <f t="shared" ca="1" si="1"/>
        <v>Program Management</v>
      </c>
      <c r="E17" s="189" t="s">
        <v>915</v>
      </c>
      <c r="F17" s="190" t="s">
        <v>2180</v>
      </c>
      <c r="G17" s="190" t="s">
        <v>1843</v>
      </c>
      <c r="H17" s="190" t="s">
        <v>2702</v>
      </c>
      <c r="I17" s="189" t="str">
        <f ca="1">IFERROR(MATCH(C17,'Concept Note'!AM:AM,0),"")</f>
        <v/>
      </c>
    </row>
    <row r="18" spans="1:9" x14ac:dyDescent="0.2">
      <c r="A18" s="189">
        <v>3</v>
      </c>
      <c r="B18" s="189" t="s">
        <v>1465</v>
      </c>
      <c r="C18" s="189">
        <v>12</v>
      </c>
      <c r="D18" s="189" t="str">
        <f t="shared" ca="1" si="1"/>
        <v>Vector Control (VC)</v>
      </c>
      <c r="E18" s="189" t="s">
        <v>1479</v>
      </c>
      <c r="F18" s="190" t="s">
        <v>2185</v>
      </c>
      <c r="G18" s="190" t="s">
        <v>1848</v>
      </c>
      <c r="H18" s="190" t="s">
        <v>2706</v>
      </c>
      <c r="I18" s="189" t="str">
        <f ca="1">IFERROR(MATCH(C18,'Concept Note'!AM:AM,0),"")</f>
        <v/>
      </c>
    </row>
    <row r="19" spans="1:9" x14ac:dyDescent="0.2">
      <c r="A19" s="189">
        <v>3</v>
      </c>
      <c r="B19" s="189" t="s">
        <v>1465</v>
      </c>
      <c r="C19" s="189">
        <v>13</v>
      </c>
      <c r="D19" s="189" t="str">
        <f t="shared" ca="1" si="1"/>
        <v>Case Management (CM)</v>
      </c>
      <c r="E19" s="189" t="s">
        <v>1480</v>
      </c>
      <c r="F19" s="190" t="s">
        <v>2186</v>
      </c>
      <c r="G19" s="190" t="s">
        <v>1849</v>
      </c>
      <c r="H19" s="190" t="s">
        <v>2707</v>
      </c>
      <c r="I19" s="189" t="str">
        <f ca="1">IFERROR(MATCH(C19,'Concept Note'!AM:AM,0),"")</f>
        <v/>
      </c>
    </row>
    <row r="20" spans="1:9" x14ac:dyDescent="0.2">
      <c r="A20" s="189">
        <v>3</v>
      </c>
      <c r="B20" s="189" t="s">
        <v>1465</v>
      </c>
      <c r="C20" s="189">
        <v>14</v>
      </c>
      <c r="D20" s="189" t="str">
        <f t="shared" ca="1" si="1"/>
        <v>Specific Prevention Interventions (SPI)</v>
      </c>
      <c r="E20" s="189" t="s">
        <v>1481</v>
      </c>
      <c r="F20" s="190" t="s">
        <v>2187</v>
      </c>
      <c r="G20" s="190" t="s">
        <v>1850</v>
      </c>
      <c r="H20" s="190" t="s">
        <v>2819</v>
      </c>
      <c r="I20" s="189" t="str">
        <f ca="1">IFERROR(MATCH(C20,'Concept Note'!AM:AM,0),"")</f>
        <v/>
      </c>
    </row>
    <row r="21" spans="1:9" x14ac:dyDescent="0.2">
      <c r="A21" s="189">
        <v>3</v>
      </c>
      <c r="B21" s="189" t="s">
        <v>1465</v>
      </c>
      <c r="C21" s="189">
        <v>15</v>
      </c>
      <c r="D21" s="189" t="str">
        <f t="shared" ca="1" si="1"/>
        <v>Monitoring and Evaluation (ME)</v>
      </c>
      <c r="E21" s="189" t="s">
        <v>1482</v>
      </c>
      <c r="F21" s="190" t="s">
        <v>2179</v>
      </c>
      <c r="G21" s="190" t="s">
        <v>1842</v>
      </c>
      <c r="H21" s="190" t="s">
        <v>2708</v>
      </c>
      <c r="I21" s="189" t="str">
        <f ca="1">IFERROR(MATCH(C21,'Concept Note'!AM:AM,0),"")</f>
        <v/>
      </c>
    </row>
    <row r="22" spans="1:9" x14ac:dyDescent="0.2">
      <c r="A22" s="189">
        <v>3</v>
      </c>
      <c r="B22" s="189" t="s">
        <v>1465</v>
      </c>
      <c r="C22" s="189">
        <v>16</v>
      </c>
      <c r="D22" s="189" t="str">
        <f t="shared" ca="1" si="1"/>
        <v>Program Management (PM)</v>
      </c>
      <c r="E22" s="189" t="s">
        <v>1483</v>
      </c>
      <c r="F22" s="190" t="s">
        <v>2180</v>
      </c>
      <c r="G22" s="190" t="s">
        <v>1843</v>
      </c>
      <c r="H22" s="190" t="s">
        <v>2709</v>
      </c>
      <c r="I22" s="189" t="str">
        <f ca="1">IFERROR(MATCH(C22,'Concept Note'!AM:AM,0),"")</f>
        <v/>
      </c>
    </row>
    <row r="23" spans="1:9" x14ac:dyDescent="0.2">
      <c r="A23" s="189">
        <v>6</v>
      </c>
      <c r="B23" s="189" t="s">
        <v>1466</v>
      </c>
      <c r="C23" s="189">
        <v>17</v>
      </c>
      <c r="D23" s="189" t="str">
        <f t="shared" ca="1" si="1"/>
        <v>Service Delivery</v>
      </c>
      <c r="E23" s="189" t="s">
        <v>1484</v>
      </c>
      <c r="F23" s="190" t="s">
        <v>2188</v>
      </c>
      <c r="G23" s="190" t="s">
        <v>1851</v>
      </c>
      <c r="H23" s="190" t="s">
        <v>2710</v>
      </c>
      <c r="I23" s="189" t="str">
        <f ca="1">IFERROR(MATCH(C23,'Concept Note'!AM:AM,0),"")</f>
        <v/>
      </c>
    </row>
    <row r="24" spans="1:9" x14ac:dyDescent="0.2">
      <c r="A24" s="189">
        <v>6</v>
      </c>
      <c r="B24" s="189" t="s">
        <v>1466</v>
      </c>
      <c r="C24" s="189">
        <v>18</v>
      </c>
      <c r="D24" s="189" t="str">
        <f t="shared" ca="1" si="1"/>
        <v>Health  Workforce</v>
      </c>
      <c r="E24" s="189" t="s">
        <v>1485</v>
      </c>
      <c r="F24" s="190" t="s">
        <v>2189</v>
      </c>
      <c r="G24" s="190" t="s">
        <v>1852</v>
      </c>
      <c r="H24" s="190" t="s">
        <v>2820</v>
      </c>
      <c r="I24" s="189" t="str">
        <f ca="1">IFERROR(MATCH(C24,'Concept Note'!AM:AM,0),"")</f>
        <v/>
      </c>
    </row>
    <row r="25" spans="1:9" x14ac:dyDescent="0.2">
      <c r="A25" s="189">
        <v>6</v>
      </c>
      <c r="B25" s="189" t="s">
        <v>1466</v>
      </c>
      <c r="C25" s="189">
        <v>19</v>
      </c>
      <c r="D25" s="189" t="str">
        <f t="shared" ca="1" si="1"/>
        <v>Procurement and Supply Chain Management</v>
      </c>
      <c r="E25" s="189" t="s">
        <v>1486</v>
      </c>
      <c r="F25" s="190" t="s">
        <v>2190</v>
      </c>
      <c r="G25" s="190" t="s">
        <v>2844</v>
      </c>
      <c r="H25" s="190" t="s">
        <v>2821</v>
      </c>
      <c r="I25" s="189" t="str">
        <f ca="1">IFERROR(MATCH(C25,'Concept Note'!AM:AM,0),"")</f>
        <v/>
      </c>
    </row>
    <row r="26" spans="1:9" x14ac:dyDescent="0.2">
      <c r="A26" s="189">
        <v>6</v>
      </c>
      <c r="B26" s="189" t="s">
        <v>1466</v>
      </c>
      <c r="C26" s="189">
        <v>20</v>
      </c>
      <c r="D26" s="189" t="str">
        <f t="shared" ca="1" si="1"/>
        <v>Information systems and M&amp;E</v>
      </c>
      <c r="E26" s="189" t="s">
        <v>1487</v>
      </c>
      <c r="F26" s="190" t="s">
        <v>2191</v>
      </c>
      <c r="G26" s="190" t="s">
        <v>1853</v>
      </c>
      <c r="H26" s="190" t="s">
        <v>2711</v>
      </c>
      <c r="I26" s="189" t="str">
        <f ca="1">IFERROR(MATCH(C26,'Concept Note'!AM:AM,0),"")</f>
        <v/>
      </c>
    </row>
    <row r="27" spans="1:9" x14ac:dyDescent="0.2">
      <c r="A27" s="189">
        <v>6</v>
      </c>
      <c r="B27" s="189" t="s">
        <v>1466</v>
      </c>
      <c r="C27" s="189">
        <v>21</v>
      </c>
      <c r="D27" s="189" t="str">
        <f t="shared" ca="1" si="1"/>
        <v>Legal, policy, strategy and regulatory environment</v>
      </c>
      <c r="E27" s="189" t="s">
        <v>1488</v>
      </c>
      <c r="F27" s="190" t="s">
        <v>2192</v>
      </c>
      <c r="G27" s="190" t="s">
        <v>2845</v>
      </c>
      <c r="H27" s="190" t="s">
        <v>2822</v>
      </c>
      <c r="I27" s="189" t="str">
        <f ca="1">IFERROR(MATCH(C27,'Concept Note'!AM:AM,0),"")</f>
        <v/>
      </c>
    </row>
    <row r="28" spans="1:9" x14ac:dyDescent="0.2">
      <c r="A28" s="189">
        <v>6</v>
      </c>
      <c r="B28" s="189" t="s">
        <v>1466</v>
      </c>
      <c r="C28" s="189">
        <v>22</v>
      </c>
      <c r="D28" s="189" t="str">
        <f t="shared" ca="1" si="1"/>
        <v xml:space="preserve">Healthcare financing </v>
      </c>
      <c r="E28" s="189" t="s">
        <v>1489</v>
      </c>
      <c r="F28" s="190" t="s">
        <v>2193</v>
      </c>
      <c r="G28" s="190" t="s">
        <v>1854</v>
      </c>
      <c r="H28" s="190" t="s">
        <v>2712</v>
      </c>
      <c r="I28" s="189" t="str">
        <f ca="1">IFERROR(MATCH(C28,'Concept Note'!AM:AM,0),"")</f>
        <v/>
      </c>
    </row>
    <row r="29" spans="1:9" x14ac:dyDescent="0.2">
      <c r="A29" s="189">
        <v>6</v>
      </c>
      <c r="B29" s="189" t="s">
        <v>1466</v>
      </c>
      <c r="C29" s="189">
        <v>23</v>
      </c>
      <c r="D29" s="189" t="str">
        <f t="shared" ca="1" si="1"/>
        <v>Human Rights</v>
      </c>
      <c r="E29" s="189" t="s">
        <v>1478</v>
      </c>
      <c r="F29" s="190" t="s">
        <v>2184</v>
      </c>
      <c r="G29" s="190" t="s">
        <v>1847</v>
      </c>
      <c r="H29" s="190" t="s">
        <v>2705</v>
      </c>
      <c r="I29" s="189" t="str">
        <f ca="1">IFERROR(MATCH(C29,'Concept Note'!AM:AM,0),"")</f>
        <v/>
      </c>
    </row>
    <row r="30" spans="1:9" x14ac:dyDescent="0.2">
      <c r="A30" s="189">
        <v>6</v>
      </c>
      <c r="B30" s="189" t="s">
        <v>1466</v>
      </c>
      <c r="C30" s="189">
        <v>24</v>
      </c>
      <c r="D30" s="189" t="str">
        <f t="shared" ca="1" si="1"/>
        <v>Program management 
(applicable for standalone HSS grants)</v>
      </c>
      <c r="E30" s="189" t="s">
        <v>1490</v>
      </c>
      <c r="F30" s="190" t="s">
        <v>2924</v>
      </c>
      <c r="G30" s="190" t="s">
        <v>1855</v>
      </c>
      <c r="H30" s="190" t="s">
        <v>2713</v>
      </c>
      <c r="I30" s="189" t="str">
        <f ca="1">IFERROR(MATCH(C30,'Concept Note'!AM:AM,0),"")</f>
        <v/>
      </c>
    </row>
    <row r="31" spans="1:9" x14ac:dyDescent="0.2">
      <c r="G31" s="236"/>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3"/>
  <sheetViews>
    <sheetView workbookViewId="0">
      <pane xSplit="3" ySplit="1" topLeftCell="D56" activePane="bottomRight" state="frozen"/>
      <selection activeCell="A2" sqref="A2:V5"/>
      <selection pane="topRight" activeCell="A2" sqref="A2:V5"/>
      <selection pane="bottomLeft" activeCell="A2" sqref="A2:V5"/>
      <selection pane="bottomRight" activeCell="F72" sqref="F72"/>
    </sheetView>
  </sheetViews>
  <sheetFormatPr defaultRowHeight="14.25" x14ac:dyDescent="0.2"/>
  <cols>
    <col min="1" max="1" width="7.28515625" style="191" bestFit="1" customWidth="1"/>
    <col min="2" max="2" width="10.140625" style="191" bestFit="1" customWidth="1"/>
    <col min="3" max="3" width="34.28515625" style="191" customWidth="1"/>
    <col min="4" max="4" width="5.42578125" style="191" bestFit="1" customWidth="1"/>
    <col min="5" max="5" width="13.140625" style="189" bestFit="1" customWidth="1"/>
    <col min="6" max="6" width="67.140625" style="191" customWidth="1"/>
    <col min="7" max="7" width="32" style="191" customWidth="1"/>
    <col min="8" max="8" width="31.28515625" style="191" customWidth="1"/>
    <col min="9" max="9" width="16.28515625" style="191" bestFit="1" customWidth="1"/>
    <col min="10" max="10" width="72.140625" style="191" customWidth="1"/>
    <col min="11" max="11" width="9.140625" style="191"/>
    <col min="12" max="12" width="9.140625" style="240"/>
    <col min="13" max="16384" width="9.140625" style="191"/>
  </cols>
  <sheetData>
    <row r="1" spans="1:12" s="192" customFormat="1" ht="15" x14ac:dyDescent="0.25">
      <c r="A1" s="192" t="s">
        <v>1467</v>
      </c>
      <c r="B1" s="192" t="s">
        <v>1456</v>
      </c>
      <c r="C1" s="192" t="s">
        <v>894</v>
      </c>
      <c r="D1" s="192" t="s">
        <v>1654</v>
      </c>
      <c r="E1" s="188" t="s">
        <v>624</v>
      </c>
      <c r="F1" s="192" t="s">
        <v>1653</v>
      </c>
      <c r="G1" s="192" t="s">
        <v>1652</v>
      </c>
      <c r="H1" s="192" t="s">
        <v>1651</v>
      </c>
      <c r="I1" s="192" t="s">
        <v>1650</v>
      </c>
      <c r="J1" s="192" t="s">
        <v>1989</v>
      </c>
      <c r="K1" s="192" t="s">
        <v>2328</v>
      </c>
      <c r="L1" s="239" t="s">
        <v>1990</v>
      </c>
    </row>
    <row r="2" spans="1:12" x14ac:dyDescent="0.2">
      <c r="A2" s="191">
        <v>1</v>
      </c>
      <c r="B2" s="191" t="s">
        <v>1461</v>
      </c>
      <c r="D2" s="191">
        <v>1</v>
      </c>
      <c r="E2" s="189" t="str">
        <f t="shared" ref="E2:E33" ca="1" si="0">OFFSET(F2,0,LangOffset,1,1)</f>
        <v xml:space="preserve">Behavioural Change as part of programs for General population </v>
      </c>
      <c r="F2" s="191" t="s">
        <v>895</v>
      </c>
      <c r="G2" s="237" t="s">
        <v>2194</v>
      </c>
      <c r="H2" s="242" t="s">
        <v>1856</v>
      </c>
      <c r="I2" s="333" t="s">
        <v>2561</v>
      </c>
    </row>
    <row r="3" spans="1:12" x14ac:dyDescent="0.2">
      <c r="A3" s="191">
        <v>1</v>
      </c>
      <c r="B3" s="191" t="s">
        <v>1461</v>
      </c>
      <c r="D3" s="191">
        <v>2</v>
      </c>
      <c r="E3" s="189" t="str">
        <f t="shared" ca="1" si="0"/>
        <v xml:space="preserve">Condoms as part of programs for General population </v>
      </c>
      <c r="F3" s="191" t="s">
        <v>896</v>
      </c>
      <c r="G3" s="237" t="s">
        <v>2195</v>
      </c>
      <c r="H3" s="237" t="s">
        <v>1857</v>
      </c>
      <c r="I3" s="333" t="s">
        <v>2562</v>
      </c>
    </row>
    <row r="4" spans="1:12" x14ac:dyDescent="0.2">
      <c r="A4" s="191">
        <v>1</v>
      </c>
      <c r="B4" s="191" t="s">
        <v>1461</v>
      </c>
      <c r="D4" s="191">
        <v>3</v>
      </c>
      <c r="E4" s="189" t="str">
        <f t="shared" ca="1" si="0"/>
        <v xml:space="preserve">Male Circumcision </v>
      </c>
      <c r="F4" s="191" t="s">
        <v>897</v>
      </c>
      <c r="G4" s="237" t="s">
        <v>2196</v>
      </c>
      <c r="H4" s="237" t="s">
        <v>1858</v>
      </c>
      <c r="I4" s="333" t="s">
        <v>2563</v>
      </c>
    </row>
    <row r="5" spans="1:12" x14ac:dyDescent="0.2">
      <c r="A5" s="191">
        <v>1</v>
      </c>
      <c r="B5" s="191" t="s">
        <v>1461</v>
      </c>
      <c r="D5" s="191">
        <v>4</v>
      </c>
      <c r="E5" s="189" t="str">
        <f t="shared" ca="1" si="0"/>
        <v xml:space="preserve">HIV testing and Counselling as part of programs for General population </v>
      </c>
      <c r="F5" s="191" t="s">
        <v>1453</v>
      </c>
      <c r="G5" s="237" t="s">
        <v>2197</v>
      </c>
      <c r="H5" s="237" t="s">
        <v>1859</v>
      </c>
      <c r="I5" s="333" t="s">
        <v>2564</v>
      </c>
    </row>
    <row r="6" spans="1:12" x14ac:dyDescent="0.2">
      <c r="A6" s="191">
        <v>1</v>
      </c>
      <c r="B6" s="191" t="s">
        <v>1461</v>
      </c>
      <c r="D6" s="191">
        <v>5</v>
      </c>
      <c r="E6" s="189" t="str">
        <f t="shared" ca="1" si="0"/>
        <v xml:space="preserve">Diagnosis and treatment of STIs as part of programs for General population </v>
      </c>
      <c r="F6" s="191" t="s">
        <v>1649</v>
      </c>
      <c r="G6" s="237" t="s">
        <v>2198</v>
      </c>
      <c r="H6" s="237" t="s">
        <v>1860</v>
      </c>
      <c r="I6" s="333" t="s">
        <v>2565</v>
      </c>
    </row>
    <row r="7" spans="1:12" x14ac:dyDescent="0.2">
      <c r="A7" s="191">
        <v>1</v>
      </c>
      <c r="B7" s="191" t="s">
        <v>1461</v>
      </c>
      <c r="D7" s="191">
        <v>6</v>
      </c>
      <c r="E7" s="189" t="str">
        <f t="shared" ca="1" si="0"/>
        <v xml:space="preserve">Blood Safety </v>
      </c>
      <c r="F7" s="191" t="s">
        <v>898</v>
      </c>
      <c r="G7" s="237" t="s">
        <v>2199</v>
      </c>
      <c r="H7" s="237" t="s">
        <v>1861</v>
      </c>
      <c r="I7" s="333" t="s">
        <v>2566</v>
      </c>
    </row>
    <row r="8" spans="1:12" x14ac:dyDescent="0.2">
      <c r="A8" s="191">
        <v>1</v>
      </c>
      <c r="B8" s="191" t="s">
        <v>1461</v>
      </c>
      <c r="D8" s="191">
        <v>7</v>
      </c>
      <c r="E8" s="189" t="str">
        <f t="shared" ca="1" si="0"/>
        <v xml:space="preserve">Orphan and Vulnerable Children (OVC) Package </v>
      </c>
      <c r="F8" s="191" t="s">
        <v>899</v>
      </c>
      <c r="G8" s="237" t="s">
        <v>2200</v>
      </c>
      <c r="H8" s="237" t="s">
        <v>1862</v>
      </c>
      <c r="I8" s="333" t="s">
        <v>2567</v>
      </c>
    </row>
    <row r="9" spans="1:12" x14ac:dyDescent="0.2">
      <c r="A9" s="191">
        <v>1</v>
      </c>
      <c r="B9" s="191" t="s">
        <v>1461</v>
      </c>
      <c r="D9" s="191">
        <v>8</v>
      </c>
      <c r="E9" s="189" t="str">
        <f t="shared" ca="1" si="0"/>
        <v xml:space="preserve">Community Systems Strengthening -Prevention General Population </v>
      </c>
      <c r="F9" s="191" t="s">
        <v>900</v>
      </c>
      <c r="G9" s="237" t="s">
        <v>2201</v>
      </c>
      <c r="H9" s="237" t="s">
        <v>1863</v>
      </c>
      <c r="I9" s="333" t="s">
        <v>2568</v>
      </c>
    </row>
    <row r="10" spans="1:12" x14ac:dyDescent="0.2">
      <c r="A10" s="191">
        <v>1</v>
      </c>
      <c r="B10" s="191" t="s">
        <v>1461</v>
      </c>
      <c r="D10" s="191">
        <v>9</v>
      </c>
      <c r="E10" s="189" t="str">
        <f t="shared" ca="1" si="0"/>
        <v xml:space="preserve">Removing human rights barriers to accessing services - Prevention General Population </v>
      </c>
      <c r="F10" s="191" t="s">
        <v>1648</v>
      </c>
      <c r="G10" s="237" t="s">
        <v>2202</v>
      </c>
      <c r="H10" s="237" t="s">
        <v>1864</v>
      </c>
      <c r="I10" s="333" t="s">
        <v>2569</v>
      </c>
    </row>
    <row r="11" spans="1:12" x14ac:dyDescent="0.2">
      <c r="A11" s="191">
        <v>1</v>
      </c>
      <c r="B11" s="191" t="s">
        <v>1461</v>
      </c>
      <c r="D11" s="191">
        <v>10</v>
      </c>
      <c r="E11" s="189" t="str">
        <f t="shared" ca="1" si="0"/>
        <v>RMNCH linkages and Gender Based Violence (GBV)</v>
      </c>
      <c r="F11" s="191" t="s">
        <v>901</v>
      </c>
      <c r="G11" s="237" t="s">
        <v>2203</v>
      </c>
      <c r="H11" s="237" t="s">
        <v>1865</v>
      </c>
      <c r="I11" s="333" t="s">
        <v>2570</v>
      </c>
    </row>
    <row r="12" spans="1:12" x14ac:dyDescent="0.2">
      <c r="A12" s="191">
        <v>1</v>
      </c>
      <c r="B12" s="191" t="s">
        <v>1461</v>
      </c>
      <c r="D12" s="191">
        <v>11</v>
      </c>
      <c r="E12" s="189" t="str">
        <f t="shared" ca="1" si="0"/>
        <v xml:space="preserve">Other interventions for General Populations - please specify </v>
      </c>
      <c r="F12" s="191" t="s">
        <v>1647</v>
      </c>
      <c r="G12" s="237" t="s">
        <v>2204</v>
      </c>
      <c r="H12" s="237" t="s">
        <v>1866</v>
      </c>
      <c r="I12" s="333" t="s">
        <v>2571</v>
      </c>
    </row>
    <row r="13" spans="1:12" x14ac:dyDescent="0.2">
      <c r="A13" s="191">
        <v>25</v>
      </c>
      <c r="B13" s="191" t="s">
        <v>1461</v>
      </c>
      <c r="D13" s="191">
        <v>12</v>
      </c>
      <c r="E13" s="189" t="str">
        <f t="shared" ca="1" si="0"/>
        <v>Behavioural Change as part of Programs for MSM and TGs</v>
      </c>
      <c r="F13" s="191" t="s">
        <v>1646</v>
      </c>
      <c r="G13" s="237" t="s">
        <v>2205</v>
      </c>
      <c r="H13" s="237" t="s">
        <v>1867</v>
      </c>
      <c r="I13" s="333" t="s">
        <v>2572</v>
      </c>
    </row>
    <row r="14" spans="1:12" x14ac:dyDescent="0.2">
      <c r="A14" s="191">
        <v>25</v>
      </c>
      <c r="B14" s="191" t="s">
        <v>1461</v>
      </c>
      <c r="D14" s="191">
        <v>13</v>
      </c>
      <c r="E14" s="189" t="str">
        <f t="shared" ca="1" si="0"/>
        <v>Condoms as part of Programs for MSM and TGs</v>
      </c>
      <c r="F14" s="191" t="s">
        <v>902</v>
      </c>
      <c r="G14" s="237" t="s">
        <v>2206</v>
      </c>
      <c r="H14" s="237" t="s">
        <v>1868</v>
      </c>
      <c r="I14" s="333" t="s">
        <v>2573</v>
      </c>
    </row>
    <row r="15" spans="1:12" x14ac:dyDescent="0.2">
      <c r="A15" s="191">
        <v>25</v>
      </c>
      <c r="B15" s="191" t="s">
        <v>1461</v>
      </c>
      <c r="D15" s="191">
        <v>14</v>
      </c>
      <c r="E15" s="189" t="str">
        <f t="shared" ca="1" si="0"/>
        <v>HIV testing and Counselling as part of Programs for MSM and TGs</v>
      </c>
      <c r="F15" s="191" t="s">
        <v>903</v>
      </c>
      <c r="G15" s="237" t="s">
        <v>2207</v>
      </c>
      <c r="H15" s="237" t="s">
        <v>1869</v>
      </c>
      <c r="I15" s="333" t="s">
        <v>2574</v>
      </c>
    </row>
    <row r="16" spans="1:12" x14ac:dyDescent="0.2">
      <c r="A16" s="191">
        <v>25</v>
      </c>
      <c r="B16" s="191" t="s">
        <v>1461</v>
      </c>
      <c r="D16" s="191">
        <v>15</v>
      </c>
      <c r="E16" s="189" t="str">
        <f t="shared" ca="1" si="0"/>
        <v>Diagnosis and treatment of STIs as part of Programs for MSM and TGs</v>
      </c>
      <c r="F16" s="191" t="s">
        <v>1645</v>
      </c>
      <c r="G16" s="237" t="s">
        <v>2208</v>
      </c>
      <c r="H16" s="237" t="s">
        <v>1870</v>
      </c>
      <c r="I16" s="333" t="s">
        <v>2575</v>
      </c>
    </row>
    <row r="17" spans="1:9" x14ac:dyDescent="0.2">
      <c r="A17" s="191">
        <v>25</v>
      </c>
      <c r="B17" s="191" t="s">
        <v>1461</v>
      </c>
      <c r="D17" s="191">
        <v>16</v>
      </c>
      <c r="E17" s="189" t="str">
        <f t="shared" ca="1" si="0"/>
        <v>Diagnosis and treatment of viral hepatitis as part of Programs for MSM and TGs</v>
      </c>
      <c r="F17" s="191" t="s">
        <v>904</v>
      </c>
      <c r="G17" s="237" t="s">
        <v>2209</v>
      </c>
      <c r="H17" s="237" t="s">
        <v>1871</v>
      </c>
      <c r="I17" s="333" t="s">
        <v>2576</v>
      </c>
    </row>
    <row r="18" spans="1:9" x14ac:dyDescent="0.2">
      <c r="A18" s="191">
        <v>25</v>
      </c>
      <c r="B18" s="191" t="s">
        <v>1461</v>
      </c>
      <c r="D18" s="191">
        <v>17</v>
      </c>
      <c r="E18" s="189" t="str">
        <f t="shared" ca="1" si="0"/>
        <v xml:space="preserve">Community Systems Strengthening -Prevention MSM and TGs </v>
      </c>
      <c r="F18" s="191" t="s">
        <v>905</v>
      </c>
      <c r="G18" s="237" t="s">
        <v>2210</v>
      </c>
      <c r="H18" s="237" t="s">
        <v>1872</v>
      </c>
      <c r="I18" s="333" t="s">
        <v>2577</v>
      </c>
    </row>
    <row r="19" spans="1:9" x14ac:dyDescent="0.2">
      <c r="A19" s="191">
        <v>25</v>
      </c>
      <c r="B19" s="191" t="s">
        <v>1461</v>
      </c>
      <c r="D19" s="191">
        <v>18</v>
      </c>
      <c r="E19" s="189" t="str">
        <f t="shared" ca="1" si="0"/>
        <v xml:space="preserve">Removing human rights barriers to accessing services - Prevention MSM and TGs </v>
      </c>
      <c r="F19" s="191" t="s">
        <v>1644</v>
      </c>
      <c r="G19" s="237" t="s">
        <v>2211</v>
      </c>
      <c r="H19" s="242" t="s">
        <v>1873</v>
      </c>
      <c r="I19" s="333" t="s">
        <v>2578</v>
      </c>
    </row>
    <row r="20" spans="1:9" x14ac:dyDescent="0.2">
      <c r="A20" s="191">
        <v>25</v>
      </c>
      <c r="B20" s="191" t="s">
        <v>1461</v>
      </c>
      <c r="D20" s="191">
        <v>19</v>
      </c>
      <c r="E20" s="189" t="str">
        <f t="shared" ca="1" si="0"/>
        <v xml:space="preserve">Other interventions for MSM and TGs -Please specify </v>
      </c>
      <c r="F20" s="191" t="s">
        <v>906</v>
      </c>
      <c r="G20" s="237" t="s">
        <v>2212</v>
      </c>
      <c r="H20" s="237" t="s">
        <v>1874</v>
      </c>
      <c r="I20" s="333" t="s">
        <v>2579</v>
      </c>
    </row>
    <row r="21" spans="1:9" x14ac:dyDescent="0.2">
      <c r="A21" s="191">
        <v>26</v>
      </c>
      <c r="B21" s="191" t="s">
        <v>1461</v>
      </c>
      <c r="D21" s="191">
        <v>20</v>
      </c>
      <c r="E21" s="189" t="str">
        <f t="shared" ca="1" si="0"/>
        <v>Behavioural Change as part of programmes for sex workers and their clients</v>
      </c>
      <c r="F21" s="191" t="s">
        <v>907</v>
      </c>
      <c r="G21" s="237" t="s">
        <v>2213</v>
      </c>
      <c r="H21" s="237" t="s">
        <v>1875</v>
      </c>
      <c r="I21" s="333" t="s">
        <v>2580</v>
      </c>
    </row>
    <row r="22" spans="1:9" x14ac:dyDescent="0.2">
      <c r="A22" s="191">
        <v>26</v>
      </c>
      <c r="B22" s="191" t="s">
        <v>1461</v>
      </c>
      <c r="D22" s="191">
        <v>21</v>
      </c>
      <c r="E22" s="189" t="str">
        <f t="shared" ca="1" si="0"/>
        <v>Condoms as part of programmes for sex workers and their clients</v>
      </c>
      <c r="F22" s="191" t="s">
        <v>908</v>
      </c>
      <c r="G22" s="237" t="s">
        <v>2214</v>
      </c>
      <c r="H22" s="237" t="s">
        <v>1876</v>
      </c>
      <c r="I22" s="333" t="s">
        <v>2581</v>
      </c>
    </row>
    <row r="23" spans="1:9" x14ac:dyDescent="0.2">
      <c r="A23" s="191">
        <v>26</v>
      </c>
      <c r="B23" s="191" t="s">
        <v>1461</v>
      </c>
      <c r="D23" s="191">
        <v>22</v>
      </c>
      <c r="E23" s="189" t="str">
        <f t="shared" ca="1" si="0"/>
        <v>HIV testing and Counselling as part of programmes for sex workers and their clients</v>
      </c>
      <c r="F23" s="191" t="s">
        <v>1637</v>
      </c>
      <c r="G23" s="237" t="s">
        <v>2215</v>
      </c>
      <c r="H23" s="237" t="s">
        <v>1877</v>
      </c>
      <c r="I23" s="333" t="s">
        <v>2582</v>
      </c>
    </row>
    <row r="24" spans="1:9" x14ac:dyDescent="0.2">
      <c r="A24" s="191">
        <v>26</v>
      </c>
      <c r="B24" s="191" t="s">
        <v>1461</v>
      </c>
      <c r="D24" s="191">
        <v>23</v>
      </c>
      <c r="E24" s="189" t="str">
        <f t="shared" ca="1" si="0"/>
        <v>Diagnosis and treatment of STIs as part of programmes for sex workers and their clients</v>
      </c>
      <c r="F24" s="191" t="s">
        <v>1643</v>
      </c>
      <c r="G24" s="237" t="s">
        <v>2216</v>
      </c>
      <c r="H24" s="237" t="s">
        <v>1878</v>
      </c>
      <c r="I24" s="333" t="s">
        <v>2583</v>
      </c>
    </row>
    <row r="25" spans="1:9" x14ac:dyDescent="0.2">
      <c r="A25" s="191">
        <v>26</v>
      </c>
      <c r="B25" s="191" t="s">
        <v>1461</v>
      </c>
      <c r="D25" s="191">
        <v>24</v>
      </c>
      <c r="E25" s="189" t="str">
        <f t="shared" ca="1" si="0"/>
        <v>Harm reduction as part of programmes for sex workers and their clients</v>
      </c>
      <c r="F25" s="191" t="s">
        <v>909</v>
      </c>
      <c r="G25" s="237" t="s">
        <v>2217</v>
      </c>
      <c r="H25" s="237" t="s">
        <v>1879</v>
      </c>
      <c r="I25" s="333" t="s">
        <v>2584</v>
      </c>
    </row>
    <row r="26" spans="1:9" x14ac:dyDescent="0.2">
      <c r="A26" s="191">
        <v>26</v>
      </c>
      <c r="B26" s="191" t="s">
        <v>1461</v>
      </c>
      <c r="D26" s="191">
        <v>25</v>
      </c>
      <c r="E26" s="189" t="str">
        <f t="shared" ca="1" si="0"/>
        <v>Community Systems Strengthening - Prevention sex workers and their clients</v>
      </c>
      <c r="F26" s="191" t="s">
        <v>1642</v>
      </c>
      <c r="G26" s="237" t="s">
        <v>2218</v>
      </c>
      <c r="H26" s="242" t="s">
        <v>1880</v>
      </c>
      <c r="I26" s="333" t="s">
        <v>2585</v>
      </c>
    </row>
    <row r="27" spans="1:9" x14ac:dyDescent="0.2">
      <c r="A27" s="191">
        <v>26</v>
      </c>
      <c r="B27" s="191" t="s">
        <v>1461</v>
      </c>
      <c r="D27" s="191">
        <v>26</v>
      </c>
      <c r="E27" s="189" t="str">
        <f t="shared" ca="1" si="0"/>
        <v>Removing human rights barriers to accessing services - Prevention sex workers and their clients</v>
      </c>
      <c r="F27" s="191" t="s">
        <v>1641</v>
      </c>
      <c r="G27" s="237" t="s">
        <v>2219</v>
      </c>
      <c r="H27" s="237" t="s">
        <v>1881</v>
      </c>
      <c r="I27" s="333" t="s">
        <v>2586</v>
      </c>
    </row>
    <row r="28" spans="1:9" x14ac:dyDescent="0.2">
      <c r="A28" s="191">
        <v>26</v>
      </c>
      <c r="B28" s="191" t="s">
        <v>1461</v>
      </c>
      <c r="D28" s="191">
        <v>27</v>
      </c>
      <c r="E28" s="189" t="str">
        <f t="shared" ca="1" si="0"/>
        <v xml:space="preserve">Other interventions for sex workers and their clients - Please specify </v>
      </c>
      <c r="F28" s="191" t="s">
        <v>1640</v>
      </c>
      <c r="G28" s="237" t="s">
        <v>2220</v>
      </c>
      <c r="H28" s="237" t="s">
        <v>1882</v>
      </c>
      <c r="I28" s="333" t="s">
        <v>2587</v>
      </c>
    </row>
    <row r="29" spans="1:9" x14ac:dyDescent="0.2">
      <c r="A29" s="191">
        <v>27</v>
      </c>
      <c r="B29" s="191" t="s">
        <v>1461</v>
      </c>
      <c r="D29" s="191">
        <v>28</v>
      </c>
      <c r="E29" s="189" t="str">
        <f t="shared" ca="1" si="0"/>
        <v xml:space="preserve">Behavioural Change as part of programmes for IDUs and their partners </v>
      </c>
      <c r="F29" s="191" t="s">
        <v>1639</v>
      </c>
      <c r="G29" s="237" t="s">
        <v>2221</v>
      </c>
      <c r="H29" s="237" t="s">
        <v>1883</v>
      </c>
      <c r="I29" s="333" t="s">
        <v>2588</v>
      </c>
    </row>
    <row r="30" spans="1:9" x14ac:dyDescent="0.2">
      <c r="A30" s="191">
        <v>27</v>
      </c>
      <c r="B30" s="191" t="s">
        <v>1461</v>
      </c>
      <c r="D30" s="191">
        <v>29</v>
      </c>
      <c r="E30" s="189" t="str">
        <f t="shared" ca="1" si="0"/>
        <v>Condoms as part of programmes for IDUs and their partners</v>
      </c>
      <c r="F30" s="191" t="s">
        <v>1638</v>
      </c>
      <c r="G30" s="237" t="s">
        <v>2222</v>
      </c>
      <c r="H30" s="237" t="s">
        <v>1884</v>
      </c>
      <c r="I30" s="333" t="s">
        <v>2589</v>
      </c>
    </row>
    <row r="31" spans="1:9" x14ac:dyDescent="0.2">
      <c r="A31" s="191">
        <v>27</v>
      </c>
      <c r="B31" s="191" t="s">
        <v>1461</v>
      </c>
      <c r="D31" s="191">
        <v>30</v>
      </c>
      <c r="E31" s="189" t="str">
        <f t="shared" ca="1" si="0"/>
        <v>HIV testing and Counselling as part of programmes for sex workers and their clients</v>
      </c>
      <c r="F31" s="191" t="s">
        <v>1637</v>
      </c>
      <c r="G31" s="237" t="s">
        <v>2215</v>
      </c>
      <c r="H31" s="237" t="s">
        <v>1877</v>
      </c>
      <c r="I31" s="333" t="s">
        <v>2582</v>
      </c>
    </row>
    <row r="32" spans="1:9" x14ac:dyDescent="0.2">
      <c r="A32" s="191">
        <v>27</v>
      </c>
      <c r="B32" s="191" t="s">
        <v>1461</v>
      </c>
      <c r="D32" s="191">
        <v>31</v>
      </c>
      <c r="E32" s="189" t="str">
        <f t="shared" ca="1" si="0"/>
        <v>Diagnosis and treatment of STIs as part of programmes for IDUs and their partners</v>
      </c>
      <c r="F32" s="191" t="s">
        <v>1636</v>
      </c>
      <c r="G32" s="237" t="s">
        <v>2223</v>
      </c>
      <c r="H32" s="242" t="s">
        <v>1885</v>
      </c>
      <c r="I32" s="333" t="s">
        <v>2590</v>
      </c>
    </row>
    <row r="33" spans="1:9" x14ac:dyDescent="0.2">
      <c r="A33" s="191">
        <v>27</v>
      </c>
      <c r="B33" s="191" t="s">
        <v>1461</v>
      </c>
      <c r="D33" s="191">
        <v>32</v>
      </c>
      <c r="E33" s="189" t="str">
        <f t="shared" ca="1" si="0"/>
        <v>Needle and Syringe exchange as part of programmes for IDUs and their partners</v>
      </c>
      <c r="F33" s="191" t="s">
        <v>1635</v>
      </c>
      <c r="G33" s="237" t="s">
        <v>2224</v>
      </c>
      <c r="H33" s="237" t="s">
        <v>1886</v>
      </c>
      <c r="I33" s="333" t="s">
        <v>2591</v>
      </c>
    </row>
    <row r="34" spans="1:9" x14ac:dyDescent="0.2">
      <c r="A34" s="191">
        <v>27</v>
      </c>
      <c r="B34" s="191" t="s">
        <v>1461</v>
      </c>
      <c r="D34" s="191">
        <v>33</v>
      </c>
      <c r="E34" s="189" t="str">
        <f t="shared" ref="E34:E65" ca="1" si="1">OFFSET(F34,0,LangOffset,1,1)</f>
        <v>Opioid Substitution Therapy and other drug dependence treatment as part of programmes for IDUs and their partners</v>
      </c>
      <c r="F34" s="191" t="s">
        <v>1634</v>
      </c>
      <c r="G34" s="237" t="s">
        <v>2225</v>
      </c>
      <c r="H34" s="237" t="s">
        <v>1887</v>
      </c>
      <c r="I34" s="333" t="s">
        <v>2592</v>
      </c>
    </row>
    <row r="35" spans="1:9" x14ac:dyDescent="0.2">
      <c r="A35" s="191">
        <v>27</v>
      </c>
      <c r="B35" s="191" t="s">
        <v>1461</v>
      </c>
      <c r="D35" s="191">
        <v>34</v>
      </c>
      <c r="E35" s="189" t="str">
        <f t="shared" ca="1" si="1"/>
        <v>Diagnosis and treatment of viral hepatitis as part of programmes for IDUs and their partners</v>
      </c>
      <c r="F35" s="191" t="s">
        <v>1633</v>
      </c>
      <c r="G35" s="237" t="s">
        <v>2226</v>
      </c>
      <c r="H35" s="237" t="s">
        <v>1888</v>
      </c>
      <c r="I35" s="333" t="s">
        <v>2593</v>
      </c>
    </row>
    <row r="36" spans="1:9" x14ac:dyDescent="0.2">
      <c r="A36" s="191">
        <v>27</v>
      </c>
      <c r="B36" s="191" t="s">
        <v>1461</v>
      </c>
      <c r="D36" s="191">
        <v>35</v>
      </c>
      <c r="E36" s="189" t="str">
        <f t="shared" ca="1" si="1"/>
        <v>Community Systems Strengthening - Prevention IDUs and their partners</v>
      </c>
      <c r="F36" s="191" t="s">
        <v>1632</v>
      </c>
      <c r="G36" s="237" t="s">
        <v>2227</v>
      </c>
      <c r="H36" s="237" t="s">
        <v>1889</v>
      </c>
      <c r="I36" s="333" t="s">
        <v>2594</v>
      </c>
    </row>
    <row r="37" spans="1:9" x14ac:dyDescent="0.2">
      <c r="A37" s="191">
        <v>27</v>
      </c>
      <c r="B37" s="191" t="s">
        <v>1461</v>
      </c>
      <c r="D37" s="191">
        <v>36</v>
      </c>
      <c r="E37" s="189" t="str">
        <f t="shared" ca="1" si="1"/>
        <v>Removing human rights barriers to accessing services - Prevention IDUs and their partners</v>
      </c>
      <c r="F37" s="191" t="s">
        <v>1631</v>
      </c>
      <c r="G37" s="237" t="s">
        <v>2228</v>
      </c>
      <c r="H37" s="237" t="s">
        <v>1890</v>
      </c>
      <c r="I37" s="333" t="s">
        <v>2595</v>
      </c>
    </row>
    <row r="38" spans="1:9" x14ac:dyDescent="0.2">
      <c r="A38" s="191">
        <v>27</v>
      </c>
      <c r="B38" s="191" t="s">
        <v>1461</v>
      </c>
      <c r="D38" s="191">
        <v>37</v>
      </c>
      <c r="E38" s="189" t="str">
        <f t="shared" ca="1" si="1"/>
        <v xml:space="preserve">Other interventions for IDUs and their partners - Please specify </v>
      </c>
      <c r="F38" s="191" t="s">
        <v>1630</v>
      </c>
      <c r="G38" s="237" t="s">
        <v>2229</v>
      </c>
      <c r="H38" s="237" t="s">
        <v>1891</v>
      </c>
      <c r="I38" s="333" t="s">
        <v>2596</v>
      </c>
    </row>
    <row r="39" spans="1:9" x14ac:dyDescent="0.2">
      <c r="A39" s="191">
        <v>28</v>
      </c>
      <c r="B39" s="191" t="s">
        <v>1461</v>
      </c>
      <c r="D39" s="191">
        <v>38</v>
      </c>
      <c r="E39" s="189" t="str">
        <f t="shared" ca="1" si="1"/>
        <v>Behavioural Change as part of programmes for other vulnerable populations</v>
      </c>
      <c r="F39" s="191" t="s">
        <v>910</v>
      </c>
      <c r="G39" s="237" t="s">
        <v>2230</v>
      </c>
      <c r="H39" s="237" t="s">
        <v>1892</v>
      </c>
      <c r="I39" s="333" t="s">
        <v>2597</v>
      </c>
    </row>
    <row r="40" spans="1:9" x14ac:dyDescent="0.2">
      <c r="A40" s="191">
        <v>28</v>
      </c>
      <c r="B40" s="191" t="s">
        <v>1461</v>
      </c>
      <c r="D40" s="191">
        <v>39</v>
      </c>
      <c r="E40" s="189" t="str">
        <f t="shared" ca="1" si="1"/>
        <v>Condoms as part of programmes for other vulnerable populations</v>
      </c>
      <c r="F40" s="191" t="s">
        <v>911</v>
      </c>
      <c r="G40" s="237" t="s">
        <v>2231</v>
      </c>
      <c r="H40" s="237" t="s">
        <v>1893</v>
      </c>
      <c r="I40" s="333" t="s">
        <v>2598</v>
      </c>
    </row>
    <row r="41" spans="1:9" x14ac:dyDescent="0.2">
      <c r="A41" s="191">
        <v>28</v>
      </c>
      <c r="B41" s="191" t="s">
        <v>1461</v>
      </c>
      <c r="D41" s="191">
        <v>40</v>
      </c>
      <c r="E41" s="189" t="str">
        <f t="shared" ca="1" si="1"/>
        <v>HIV testing and Counselling as part of programmes for other vulnerable populations</v>
      </c>
      <c r="F41" s="191" t="s">
        <v>1629</v>
      </c>
      <c r="G41" s="237" t="s">
        <v>2232</v>
      </c>
      <c r="H41" s="242" t="s">
        <v>1894</v>
      </c>
      <c r="I41" s="333" t="s">
        <v>2599</v>
      </c>
    </row>
    <row r="42" spans="1:9" x14ac:dyDescent="0.2">
      <c r="A42" s="191">
        <v>28</v>
      </c>
      <c r="B42" s="191" t="s">
        <v>1461</v>
      </c>
      <c r="D42" s="191">
        <v>41</v>
      </c>
      <c r="E42" s="189" t="str">
        <f t="shared" ca="1" si="1"/>
        <v>Diagnosis and treatment of STIs as part of programmes for other vulnerable populations</v>
      </c>
      <c r="F42" s="191" t="s">
        <v>1628</v>
      </c>
      <c r="G42" s="237" t="s">
        <v>2233</v>
      </c>
      <c r="H42" s="237" t="s">
        <v>1895</v>
      </c>
      <c r="I42" s="333" t="s">
        <v>2600</v>
      </c>
    </row>
    <row r="43" spans="1:9" x14ac:dyDescent="0.2">
      <c r="A43" s="191">
        <v>28</v>
      </c>
      <c r="B43" s="191" t="s">
        <v>1461</v>
      </c>
      <c r="D43" s="191">
        <v>42</v>
      </c>
      <c r="E43" s="189" t="str">
        <f t="shared" ca="1" si="1"/>
        <v>Community Systems Strengthening - Prevention other vulnerable populations</v>
      </c>
      <c r="F43" s="191" t="s">
        <v>1627</v>
      </c>
      <c r="G43" s="237" t="s">
        <v>2234</v>
      </c>
      <c r="H43" s="237" t="s">
        <v>1896</v>
      </c>
      <c r="I43" s="333" t="s">
        <v>2601</v>
      </c>
    </row>
    <row r="44" spans="1:9" x14ac:dyDescent="0.2">
      <c r="A44" s="191">
        <v>28</v>
      </c>
      <c r="B44" s="191" t="s">
        <v>1461</v>
      </c>
      <c r="D44" s="191">
        <v>43</v>
      </c>
      <c r="E44" s="189" t="str">
        <f t="shared" ca="1" si="1"/>
        <v>Removing human rights barriers to accessing services - Prevention other vulnerable populations</v>
      </c>
      <c r="F44" s="191" t="s">
        <v>1626</v>
      </c>
      <c r="G44" s="237" t="s">
        <v>2235</v>
      </c>
      <c r="H44" s="237" t="s">
        <v>1897</v>
      </c>
      <c r="I44" s="333" t="s">
        <v>2602</v>
      </c>
    </row>
    <row r="45" spans="1:9" x14ac:dyDescent="0.2">
      <c r="A45" s="191">
        <v>28</v>
      </c>
      <c r="B45" s="191" t="s">
        <v>1461</v>
      </c>
      <c r="D45" s="191">
        <v>44</v>
      </c>
      <c r="E45" s="189" t="str">
        <f t="shared" ca="1" si="1"/>
        <v xml:space="preserve">Other interventions for other vulnerable populations - Please specify </v>
      </c>
      <c r="F45" s="191" t="s">
        <v>1625</v>
      </c>
      <c r="G45" s="237" t="s">
        <v>2236</v>
      </c>
      <c r="H45" s="237" t="s">
        <v>1898</v>
      </c>
      <c r="I45" s="333" t="s">
        <v>2603</v>
      </c>
    </row>
    <row r="46" spans="1:9" x14ac:dyDescent="0.2">
      <c r="A46" s="191">
        <v>29</v>
      </c>
      <c r="B46" s="191" t="s">
        <v>1461</v>
      </c>
      <c r="D46" s="191">
        <v>45</v>
      </c>
      <c r="E46" s="189" t="str">
        <f t="shared" ca="1" si="1"/>
        <v>Adolescents and youth: Behavioural change</v>
      </c>
      <c r="F46" s="191" t="s">
        <v>1624</v>
      </c>
      <c r="G46" s="237" t="s">
        <v>2237</v>
      </c>
      <c r="H46" s="237" t="s">
        <v>1899</v>
      </c>
      <c r="I46" s="333" t="s">
        <v>2604</v>
      </c>
    </row>
    <row r="47" spans="1:9" x14ac:dyDescent="0.2">
      <c r="A47" s="191">
        <v>29</v>
      </c>
      <c r="B47" s="191" t="s">
        <v>1461</v>
      </c>
      <c r="D47" s="191">
        <v>46</v>
      </c>
      <c r="E47" s="189" t="str">
        <f t="shared" ca="1" si="1"/>
        <v>Behavioural Change as part of programs for adolescent and youth</v>
      </c>
      <c r="F47" s="191" t="s">
        <v>912</v>
      </c>
      <c r="G47" s="237" t="s">
        <v>2238</v>
      </c>
      <c r="H47" s="237" t="s">
        <v>1900</v>
      </c>
      <c r="I47" s="333" t="s">
        <v>2605</v>
      </c>
    </row>
    <row r="48" spans="1:9" x14ac:dyDescent="0.2">
      <c r="A48" s="191">
        <v>29</v>
      </c>
      <c r="B48" s="191" t="s">
        <v>1461</v>
      </c>
      <c r="D48" s="191">
        <v>47</v>
      </c>
      <c r="E48" s="189" t="str">
        <f t="shared" ca="1" si="1"/>
        <v>Condoms part of programs for adolescent and youth</v>
      </c>
      <c r="F48" s="191" t="s">
        <v>913</v>
      </c>
      <c r="G48" s="237" t="s">
        <v>2239</v>
      </c>
      <c r="H48" s="242" t="s">
        <v>1901</v>
      </c>
      <c r="I48" s="333" t="s">
        <v>2606</v>
      </c>
    </row>
    <row r="49" spans="1:9" x14ac:dyDescent="0.2">
      <c r="A49" s="191">
        <v>29</v>
      </c>
      <c r="B49" s="191" t="s">
        <v>1461</v>
      </c>
      <c r="D49" s="191">
        <v>48</v>
      </c>
      <c r="E49" s="189" t="str">
        <f t="shared" ca="1" si="1"/>
        <v>HIV testing and Counselling as part of programs for adolescent and youth</v>
      </c>
      <c r="F49" s="191" t="s">
        <v>1623</v>
      </c>
      <c r="G49" s="237" t="s">
        <v>2240</v>
      </c>
      <c r="H49" s="237" t="s">
        <v>1902</v>
      </c>
      <c r="I49" s="333" t="s">
        <v>2607</v>
      </c>
    </row>
    <row r="50" spans="1:9" x14ac:dyDescent="0.2">
      <c r="A50" s="191">
        <v>29</v>
      </c>
      <c r="B50" s="191" t="s">
        <v>1461</v>
      </c>
      <c r="D50" s="191">
        <v>49</v>
      </c>
      <c r="E50" s="189" t="str">
        <f t="shared" ca="1" si="1"/>
        <v>Male Circumcision as part of programs for adolescent and youth</v>
      </c>
      <c r="F50" s="191" t="s">
        <v>1622</v>
      </c>
      <c r="G50" s="237" t="s">
        <v>2241</v>
      </c>
      <c r="H50" s="237" t="s">
        <v>1903</v>
      </c>
      <c r="I50" s="333" t="s">
        <v>2608</v>
      </c>
    </row>
    <row r="51" spans="1:9" x14ac:dyDescent="0.2">
      <c r="A51" s="191">
        <v>29</v>
      </c>
      <c r="B51" s="191" t="s">
        <v>1461</v>
      </c>
      <c r="D51" s="191">
        <v>50</v>
      </c>
      <c r="E51" s="189" t="str">
        <f t="shared" ca="1" si="1"/>
        <v>Removing human rights barriers to accessing services - Prevention adolescents and youth</v>
      </c>
      <c r="F51" s="191" t="s">
        <v>1621</v>
      </c>
      <c r="G51" s="237" t="s">
        <v>2242</v>
      </c>
      <c r="H51" s="237" t="s">
        <v>1904</v>
      </c>
      <c r="I51" s="333" t="s">
        <v>2609</v>
      </c>
    </row>
    <row r="52" spans="1:9" x14ac:dyDescent="0.2">
      <c r="A52" s="191">
        <v>2</v>
      </c>
      <c r="B52" s="191" t="s">
        <v>1461</v>
      </c>
      <c r="C52" s="191" t="s">
        <v>893</v>
      </c>
      <c r="D52" s="191">
        <v>51</v>
      </c>
      <c r="E52" s="189" t="str">
        <f t="shared" ca="1" si="1"/>
        <v>Prong 1: Primary prevention of HIV infection among women of childbearing age</v>
      </c>
      <c r="F52" s="191" t="s">
        <v>1620</v>
      </c>
      <c r="G52" s="237" t="s">
        <v>2243</v>
      </c>
      <c r="H52" s="237" t="s">
        <v>1905</v>
      </c>
      <c r="I52" s="333" t="s">
        <v>2610</v>
      </c>
    </row>
    <row r="53" spans="1:9" x14ac:dyDescent="0.2">
      <c r="A53" s="191">
        <v>2</v>
      </c>
      <c r="B53" s="191" t="s">
        <v>1461</v>
      </c>
      <c r="C53" s="191" t="s">
        <v>893</v>
      </c>
      <c r="D53" s="191">
        <v>52</v>
      </c>
      <c r="E53" s="189" t="str">
        <f t="shared" ca="1" si="1"/>
        <v>Prong 2: Preventing unintended pregnancies among women living with HIV</v>
      </c>
      <c r="F53" s="191" t="s">
        <v>1619</v>
      </c>
      <c r="G53" s="237" t="s">
        <v>2244</v>
      </c>
      <c r="H53" s="237" t="s">
        <v>1906</v>
      </c>
      <c r="I53" s="333" t="s">
        <v>2611</v>
      </c>
    </row>
    <row r="54" spans="1:9" x14ac:dyDescent="0.2">
      <c r="A54" s="191">
        <v>2</v>
      </c>
      <c r="B54" s="191" t="s">
        <v>1461</v>
      </c>
      <c r="C54" s="191" t="s">
        <v>893</v>
      </c>
      <c r="D54" s="191">
        <v>53</v>
      </c>
      <c r="E54" s="189" t="str">
        <f t="shared" ca="1" si="1"/>
        <v xml:space="preserve">Prong 3: Preventing vertical  HIV transmission </v>
      </c>
      <c r="F54" s="191" t="s">
        <v>1618</v>
      </c>
      <c r="G54" s="237" t="s">
        <v>2245</v>
      </c>
      <c r="H54" s="237" t="s">
        <v>1907</v>
      </c>
      <c r="I54" s="333" t="s">
        <v>2612</v>
      </c>
    </row>
    <row r="55" spans="1:9" x14ac:dyDescent="0.2">
      <c r="A55" s="191">
        <v>2</v>
      </c>
      <c r="B55" s="191" t="s">
        <v>1461</v>
      </c>
      <c r="C55" s="191" t="s">
        <v>893</v>
      </c>
      <c r="D55" s="191">
        <v>54</v>
      </c>
      <c r="E55" s="189" t="str">
        <f t="shared" ca="1" si="1"/>
        <v>Prong 4: Treatment, care and support to mothers living with HIV and their children and families</v>
      </c>
      <c r="F55" s="191" t="s">
        <v>1617</v>
      </c>
      <c r="G55" s="237" t="s">
        <v>2246</v>
      </c>
      <c r="H55" s="237" t="s">
        <v>1908</v>
      </c>
      <c r="I55" s="333" t="s">
        <v>2613</v>
      </c>
    </row>
    <row r="56" spans="1:9" x14ac:dyDescent="0.2">
      <c r="A56" s="191">
        <v>2</v>
      </c>
      <c r="B56" s="191" t="s">
        <v>1461</v>
      </c>
      <c r="C56" s="191" t="s">
        <v>893</v>
      </c>
      <c r="D56" s="191">
        <v>55</v>
      </c>
      <c r="E56" s="189" t="str">
        <f t="shared" ca="1" si="1"/>
        <v>Community Systems Strengthening - PMTCT</v>
      </c>
      <c r="F56" s="191" t="s">
        <v>1616</v>
      </c>
      <c r="G56" s="237" t="s">
        <v>2247</v>
      </c>
      <c r="H56" s="237" t="s">
        <v>1909</v>
      </c>
      <c r="I56" s="333" t="s">
        <v>2614</v>
      </c>
    </row>
    <row r="57" spans="1:9" x14ac:dyDescent="0.2">
      <c r="A57" s="191">
        <v>2</v>
      </c>
      <c r="B57" s="191" t="s">
        <v>1461</v>
      </c>
      <c r="C57" s="191" t="s">
        <v>893</v>
      </c>
      <c r="D57" s="191">
        <v>56</v>
      </c>
      <c r="E57" s="189" t="str">
        <f t="shared" ca="1" si="1"/>
        <v>Removing human rights barriers to accessing services - PMTCT</v>
      </c>
      <c r="F57" s="191" t="s">
        <v>1615</v>
      </c>
      <c r="G57" s="237" t="s">
        <v>2248</v>
      </c>
      <c r="H57" s="237" t="s">
        <v>1910</v>
      </c>
      <c r="I57" s="333" t="s">
        <v>2615</v>
      </c>
    </row>
    <row r="58" spans="1:9" x14ac:dyDescent="0.2">
      <c r="A58" s="191">
        <v>2</v>
      </c>
      <c r="B58" s="191" t="s">
        <v>1461</v>
      </c>
      <c r="C58" s="191" t="s">
        <v>893</v>
      </c>
      <c r="D58" s="191">
        <v>57</v>
      </c>
      <c r="E58" s="189" t="str">
        <f t="shared" ca="1" si="1"/>
        <v xml:space="preserve">Other interventions for PMTCT- Please specify </v>
      </c>
      <c r="F58" s="191" t="s">
        <v>1614</v>
      </c>
      <c r="G58" s="237" t="s">
        <v>2249</v>
      </c>
      <c r="H58" s="237" t="s">
        <v>1911</v>
      </c>
      <c r="I58" s="333" t="s">
        <v>2616</v>
      </c>
    </row>
    <row r="59" spans="1:9" x14ac:dyDescent="0.2">
      <c r="A59" s="191">
        <v>3</v>
      </c>
      <c r="B59" s="191" t="s">
        <v>1461</v>
      </c>
      <c r="C59" s="191" t="s">
        <v>665</v>
      </c>
      <c r="D59" s="191">
        <v>58</v>
      </c>
      <c r="E59" s="189" t="str">
        <f t="shared" ca="1" si="1"/>
        <v xml:space="preserve">Pre-ART Care </v>
      </c>
      <c r="F59" s="191" t="s">
        <v>1613</v>
      </c>
      <c r="G59" s="237" t="s">
        <v>2250</v>
      </c>
      <c r="H59" s="237" t="s">
        <v>1912</v>
      </c>
      <c r="I59" s="333" t="s">
        <v>2617</v>
      </c>
    </row>
    <row r="60" spans="1:9" x14ac:dyDescent="0.2">
      <c r="A60" s="191">
        <v>3</v>
      </c>
      <c r="B60" s="191" t="s">
        <v>1461</v>
      </c>
      <c r="C60" s="191" t="s">
        <v>665</v>
      </c>
      <c r="D60" s="191">
        <v>59</v>
      </c>
      <c r="E60" s="189" t="str">
        <f t="shared" ca="1" si="1"/>
        <v>First-line ART – adults</v>
      </c>
      <c r="F60" s="191" t="s">
        <v>1612</v>
      </c>
      <c r="G60" s="237" t="s">
        <v>2251</v>
      </c>
      <c r="H60" s="237" t="s">
        <v>1913</v>
      </c>
      <c r="I60" s="333" t="s">
        <v>2618</v>
      </c>
    </row>
    <row r="61" spans="1:9" x14ac:dyDescent="0.2">
      <c r="A61" s="191">
        <v>3</v>
      </c>
      <c r="B61" s="191" t="s">
        <v>1461</v>
      </c>
      <c r="C61" s="191" t="s">
        <v>665</v>
      </c>
      <c r="D61" s="191">
        <v>60</v>
      </c>
      <c r="E61" s="189" t="str">
        <f t="shared" ca="1" si="1"/>
        <v>Second-line ART – adults</v>
      </c>
      <c r="F61" s="191" t="s">
        <v>1611</v>
      </c>
      <c r="G61" s="237" t="s">
        <v>2252</v>
      </c>
      <c r="H61" s="237" t="s">
        <v>1914</v>
      </c>
      <c r="I61" s="333" t="s">
        <v>2619</v>
      </c>
    </row>
    <row r="62" spans="1:9" x14ac:dyDescent="0.2">
      <c r="A62" s="191">
        <v>3</v>
      </c>
      <c r="B62" s="191" t="s">
        <v>1461</v>
      </c>
      <c r="C62" s="191" t="s">
        <v>665</v>
      </c>
      <c r="D62" s="191">
        <v>61</v>
      </c>
      <c r="E62" s="189" t="str">
        <f t="shared" ca="1" si="1"/>
        <v>Adult multidrug ART after second-line treatment failure</v>
      </c>
      <c r="F62" s="191" t="s">
        <v>1610</v>
      </c>
      <c r="G62" s="237" t="s">
        <v>2253</v>
      </c>
      <c r="H62" s="237" t="s">
        <v>1915</v>
      </c>
      <c r="I62" s="333" t="s">
        <v>2620</v>
      </c>
    </row>
    <row r="63" spans="1:9" x14ac:dyDescent="0.2">
      <c r="A63" s="191">
        <v>3</v>
      </c>
      <c r="B63" s="191" t="s">
        <v>1461</v>
      </c>
      <c r="C63" s="191" t="s">
        <v>665</v>
      </c>
      <c r="D63" s="191">
        <v>62</v>
      </c>
      <c r="E63" s="189" t="str">
        <f t="shared" ca="1" si="1"/>
        <v>First-line ART – paediatric</v>
      </c>
      <c r="F63" s="191" t="s">
        <v>1609</v>
      </c>
      <c r="G63" s="237" t="s">
        <v>2254</v>
      </c>
      <c r="H63" s="237" t="s">
        <v>1916</v>
      </c>
      <c r="I63" s="333" t="s">
        <v>2621</v>
      </c>
    </row>
    <row r="64" spans="1:9" x14ac:dyDescent="0.2">
      <c r="A64" s="191">
        <v>3</v>
      </c>
      <c r="B64" s="191" t="s">
        <v>1461</v>
      </c>
      <c r="C64" s="191" t="s">
        <v>665</v>
      </c>
      <c r="D64" s="191">
        <v>63</v>
      </c>
      <c r="E64" s="189" t="str">
        <f t="shared" ca="1" si="1"/>
        <v>Second-line ART – paediatric</v>
      </c>
      <c r="F64" s="191" t="s">
        <v>1608</v>
      </c>
      <c r="G64" s="237" t="s">
        <v>2255</v>
      </c>
      <c r="H64" s="237" t="s">
        <v>1917</v>
      </c>
      <c r="I64" s="333" t="s">
        <v>2622</v>
      </c>
    </row>
    <row r="65" spans="1:9" x14ac:dyDescent="0.2">
      <c r="A65" s="191">
        <v>3</v>
      </c>
      <c r="B65" s="191" t="s">
        <v>1461</v>
      </c>
      <c r="C65" s="191" t="s">
        <v>665</v>
      </c>
      <c r="D65" s="191">
        <v>64</v>
      </c>
      <c r="E65" s="189" t="str">
        <f t="shared" ca="1" si="1"/>
        <v xml:space="preserve">Paediatric multidrug ART after second-line treatment failure </v>
      </c>
      <c r="F65" s="191" t="s">
        <v>1607</v>
      </c>
      <c r="G65" s="237" t="s">
        <v>2256</v>
      </c>
      <c r="H65" s="237" t="s">
        <v>1918</v>
      </c>
      <c r="I65" s="333" t="s">
        <v>2623</v>
      </c>
    </row>
    <row r="66" spans="1:9" x14ac:dyDescent="0.2">
      <c r="A66" s="191">
        <v>3</v>
      </c>
      <c r="B66" s="191" t="s">
        <v>1461</v>
      </c>
      <c r="C66" s="191" t="s">
        <v>665</v>
      </c>
      <c r="D66" s="191">
        <v>65</v>
      </c>
      <c r="E66" s="189" t="str">
        <f t="shared" ref="E66:E101" ca="1" si="2">OFFSET(F66,0,LangOffset,1,1)</f>
        <v>Pre and Post-exposure prophylaxis (PrEP and PEP)</v>
      </c>
      <c r="F66" s="191" t="s">
        <v>1606</v>
      </c>
      <c r="G66" s="237" t="s">
        <v>2257</v>
      </c>
      <c r="H66" s="237" t="s">
        <v>1919</v>
      </c>
      <c r="I66" s="333" t="s">
        <v>2624</v>
      </c>
    </row>
    <row r="67" spans="1:9" x14ac:dyDescent="0.2">
      <c r="A67" s="191">
        <v>3</v>
      </c>
      <c r="B67" s="191" t="s">
        <v>1461</v>
      </c>
      <c r="C67" s="191" t="s">
        <v>665</v>
      </c>
      <c r="D67" s="191">
        <v>66</v>
      </c>
      <c r="E67" s="189" t="str">
        <f t="shared" ca="1" si="2"/>
        <v xml:space="preserve">Treatment as prevention </v>
      </c>
      <c r="F67" s="191" t="s">
        <v>1605</v>
      </c>
      <c r="G67" s="237" t="s">
        <v>2258</v>
      </c>
      <c r="H67" s="237" t="s">
        <v>1920</v>
      </c>
      <c r="I67" s="333" t="s">
        <v>2625</v>
      </c>
    </row>
    <row r="68" spans="1:9" x14ac:dyDescent="0.2">
      <c r="A68" s="191">
        <v>3</v>
      </c>
      <c r="B68" s="191" t="s">
        <v>1461</v>
      </c>
      <c r="C68" s="191" t="s">
        <v>665</v>
      </c>
      <c r="D68" s="191">
        <v>67</v>
      </c>
      <c r="E68" s="189" t="str">
        <f t="shared" ca="1" si="2"/>
        <v xml:space="preserve">Treatment monitoring </v>
      </c>
      <c r="F68" s="191" t="s">
        <v>1604</v>
      </c>
      <c r="G68" s="237" t="s">
        <v>2259</v>
      </c>
      <c r="H68" s="237" t="s">
        <v>1921</v>
      </c>
      <c r="I68" s="333" t="s">
        <v>2626</v>
      </c>
    </row>
    <row r="69" spans="1:9" x14ac:dyDescent="0.2">
      <c r="A69" s="191">
        <v>3</v>
      </c>
      <c r="B69" s="191" t="s">
        <v>1461</v>
      </c>
      <c r="C69" s="191" t="s">
        <v>665</v>
      </c>
      <c r="D69" s="191">
        <v>68</v>
      </c>
      <c r="E69" s="189" t="str">
        <f t="shared" ca="1" si="2"/>
        <v xml:space="preserve">Treatment   adherence </v>
      </c>
      <c r="F69" s="191" t="s">
        <v>1603</v>
      </c>
      <c r="G69" s="237" t="s">
        <v>2260</v>
      </c>
      <c r="H69" s="237" t="s">
        <v>1922</v>
      </c>
      <c r="I69" s="333" t="s">
        <v>2627</v>
      </c>
    </row>
    <row r="70" spans="1:9" x14ac:dyDescent="0.2">
      <c r="A70" s="191">
        <v>3</v>
      </c>
      <c r="B70" s="191" t="s">
        <v>1461</v>
      </c>
      <c r="C70" s="191" t="s">
        <v>665</v>
      </c>
      <c r="D70" s="191">
        <v>69</v>
      </c>
      <c r="E70" s="189" t="str">
        <f t="shared" ca="1" si="2"/>
        <v>Prevention, Diagnosis and treatment of  Opportunistic Infections</v>
      </c>
      <c r="F70" s="191" t="s">
        <v>1602</v>
      </c>
      <c r="G70" s="237" t="s">
        <v>2261</v>
      </c>
      <c r="H70" s="237" t="s">
        <v>1923</v>
      </c>
      <c r="I70" s="333" t="s">
        <v>2628</v>
      </c>
    </row>
    <row r="71" spans="1:9" x14ac:dyDescent="0.2">
      <c r="A71" s="191">
        <v>3</v>
      </c>
      <c r="B71" s="191" t="s">
        <v>1461</v>
      </c>
      <c r="C71" s="191" t="s">
        <v>665</v>
      </c>
      <c r="D71" s="191">
        <v>70</v>
      </c>
      <c r="E71" s="189" t="str">
        <f t="shared" ca="1" si="2"/>
        <v xml:space="preserve">Counselling and Psych-social Support </v>
      </c>
      <c r="F71" s="341" t="s">
        <v>2940</v>
      </c>
      <c r="G71" s="342" t="s">
        <v>2941</v>
      </c>
      <c r="H71" s="342" t="s">
        <v>2942</v>
      </c>
      <c r="I71" s="343" t="s">
        <v>2943</v>
      </c>
    </row>
    <row r="72" spans="1:9" x14ac:dyDescent="0.2">
      <c r="A72" s="191">
        <v>3</v>
      </c>
      <c r="B72" s="191" t="s">
        <v>1461</v>
      </c>
      <c r="C72" s="191" t="s">
        <v>665</v>
      </c>
      <c r="D72" s="191">
        <v>71</v>
      </c>
      <c r="E72" s="189" t="str">
        <f t="shared" ca="1" si="2"/>
        <v xml:space="preserve">TB/HIV </v>
      </c>
      <c r="F72" s="191" t="s">
        <v>1601</v>
      </c>
      <c r="G72" s="237" t="s">
        <v>2262</v>
      </c>
      <c r="H72" s="237" t="s">
        <v>1924</v>
      </c>
      <c r="I72" s="333" t="s">
        <v>2629</v>
      </c>
    </row>
    <row r="73" spans="1:9" x14ac:dyDescent="0.2">
      <c r="A73" s="191">
        <v>3</v>
      </c>
      <c r="B73" s="191" t="s">
        <v>1461</v>
      </c>
      <c r="C73" s="191" t="s">
        <v>665</v>
      </c>
      <c r="D73" s="191">
        <v>72</v>
      </c>
      <c r="E73" s="189" t="str">
        <f t="shared" ca="1" si="2"/>
        <v xml:space="preserve">Out-patient care </v>
      </c>
      <c r="F73" s="191" t="s">
        <v>1600</v>
      </c>
      <c r="G73" s="237" t="s">
        <v>2263</v>
      </c>
      <c r="H73" s="237" t="s">
        <v>1925</v>
      </c>
      <c r="I73" s="333" t="s">
        <v>2630</v>
      </c>
    </row>
    <row r="74" spans="1:9" x14ac:dyDescent="0.2">
      <c r="A74" s="191">
        <v>3</v>
      </c>
      <c r="B74" s="191" t="s">
        <v>1461</v>
      </c>
      <c r="C74" s="191" t="s">
        <v>665</v>
      </c>
      <c r="D74" s="191">
        <v>73</v>
      </c>
      <c r="E74" s="189" t="str">
        <f t="shared" ca="1" si="2"/>
        <v xml:space="preserve">In-patient care </v>
      </c>
      <c r="F74" s="191" t="s">
        <v>1599</v>
      </c>
      <c r="G74" s="237" t="s">
        <v>2264</v>
      </c>
      <c r="H74" s="237" t="s">
        <v>1926</v>
      </c>
      <c r="I74" s="333" t="s">
        <v>2631</v>
      </c>
    </row>
    <row r="75" spans="1:9" x14ac:dyDescent="0.2">
      <c r="A75" s="191">
        <v>3</v>
      </c>
      <c r="B75" s="191" t="s">
        <v>1461</v>
      </c>
      <c r="C75" s="191" t="s">
        <v>665</v>
      </c>
      <c r="D75" s="191">
        <v>74</v>
      </c>
      <c r="E75" s="189" t="str">
        <f t="shared" ca="1" si="2"/>
        <v>Community Systems Strengthening - Treatment</v>
      </c>
      <c r="F75" s="191" t="s">
        <v>1598</v>
      </c>
      <c r="G75" s="237" t="s">
        <v>2265</v>
      </c>
      <c r="H75" s="237" t="s">
        <v>1927</v>
      </c>
      <c r="I75" s="333" t="s">
        <v>2632</v>
      </c>
    </row>
    <row r="76" spans="1:9" x14ac:dyDescent="0.2">
      <c r="A76" s="191">
        <v>3</v>
      </c>
      <c r="B76" s="191" t="s">
        <v>1461</v>
      </c>
      <c r="C76" s="191" t="s">
        <v>665</v>
      </c>
      <c r="D76" s="191">
        <v>75</v>
      </c>
      <c r="E76" s="189" t="str">
        <f t="shared" ca="1" si="2"/>
        <v>Removing human rights barriers to accessing services - Treatment</v>
      </c>
      <c r="F76" s="191" t="s">
        <v>1597</v>
      </c>
      <c r="G76" s="237" t="s">
        <v>2266</v>
      </c>
      <c r="H76" s="237" t="s">
        <v>1928</v>
      </c>
      <c r="I76" s="333" t="s">
        <v>2633</v>
      </c>
    </row>
    <row r="77" spans="1:9" x14ac:dyDescent="0.2">
      <c r="A77" s="191">
        <v>3</v>
      </c>
      <c r="B77" s="191" t="s">
        <v>1461</v>
      </c>
      <c r="C77" s="191" t="s">
        <v>665</v>
      </c>
      <c r="D77" s="191">
        <v>76</v>
      </c>
      <c r="E77" s="189" t="str">
        <f t="shared" ca="1" si="2"/>
        <v xml:space="preserve">Other interventions for Treatment - Please specify </v>
      </c>
      <c r="F77" s="191" t="s">
        <v>1596</v>
      </c>
      <c r="G77" s="237" t="s">
        <v>2267</v>
      </c>
      <c r="H77" s="237" t="s">
        <v>1929</v>
      </c>
      <c r="I77" s="333" t="s">
        <v>2634</v>
      </c>
    </row>
    <row r="78" spans="1:9" x14ac:dyDescent="0.2">
      <c r="A78" s="191">
        <v>4</v>
      </c>
      <c r="B78" s="191" t="s">
        <v>1461</v>
      </c>
      <c r="C78" s="191" t="s">
        <v>1473</v>
      </c>
      <c r="D78" s="191">
        <v>77</v>
      </c>
      <c r="E78" s="189" t="str">
        <f t="shared" ca="1" si="2"/>
        <v xml:space="preserve">Routine reporting </v>
      </c>
      <c r="F78" s="191" t="s">
        <v>1595</v>
      </c>
      <c r="G78" s="237" t="s">
        <v>2268</v>
      </c>
      <c r="H78" s="237" t="s">
        <v>1930</v>
      </c>
      <c r="I78" s="333" t="s">
        <v>2635</v>
      </c>
    </row>
    <row r="79" spans="1:9" x14ac:dyDescent="0.2">
      <c r="A79" s="191">
        <v>4</v>
      </c>
      <c r="B79" s="191" t="s">
        <v>1461</v>
      </c>
      <c r="C79" s="191" t="s">
        <v>1473</v>
      </c>
      <c r="D79" s="191">
        <v>78</v>
      </c>
      <c r="E79" s="189" t="str">
        <f t="shared" ca="1" si="2"/>
        <v>Analysis, Review and transparency</v>
      </c>
      <c r="F79" s="191" t="s">
        <v>1594</v>
      </c>
      <c r="G79" s="237" t="s">
        <v>2269</v>
      </c>
      <c r="H79" s="237" t="s">
        <v>1931</v>
      </c>
      <c r="I79" s="333" t="s">
        <v>2636</v>
      </c>
    </row>
    <row r="80" spans="1:9" x14ac:dyDescent="0.2">
      <c r="A80" s="191">
        <v>4</v>
      </c>
      <c r="B80" s="191" t="s">
        <v>1461</v>
      </c>
      <c r="C80" s="191" t="s">
        <v>1473</v>
      </c>
      <c r="D80" s="191">
        <v>79</v>
      </c>
      <c r="E80" s="189" t="str">
        <f t="shared" ca="1" si="2"/>
        <v>Surveys</v>
      </c>
      <c r="F80" s="191" t="s">
        <v>1516</v>
      </c>
      <c r="G80" s="237" t="s">
        <v>2270</v>
      </c>
      <c r="H80" s="237" t="s">
        <v>1932</v>
      </c>
      <c r="I80" s="333" t="s">
        <v>2637</v>
      </c>
    </row>
    <row r="81" spans="1:9" x14ac:dyDescent="0.2">
      <c r="A81" s="191">
        <v>4</v>
      </c>
      <c r="B81" s="191" t="s">
        <v>1461</v>
      </c>
      <c r="C81" s="191" t="s">
        <v>1473</v>
      </c>
      <c r="D81" s="191">
        <v>80</v>
      </c>
      <c r="E81" s="189" t="str">
        <f t="shared" ca="1" si="2"/>
        <v>Administrative and finance data sources</v>
      </c>
      <c r="F81" s="191" t="s">
        <v>1575</v>
      </c>
      <c r="G81" s="237" t="s">
        <v>2271</v>
      </c>
      <c r="H81" s="237" t="s">
        <v>1933</v>
      </c>
      <c r="I81" s="333" t="s">
        <v>2638</v>
      </c>
    </row>
    <row r="82" spans="1:9" x14ac:dyDescent="0.2">
      <c r="A82" s="191">
        <v>4</v>
      </c>
      <c r="B82" s="191" t="s">
        <v>1461</v>
      </c>
      <c r="C82" s="191" t="s">
        <v>1473</v>
      </c>
      <c r="D82" s="191">
        <v>81</v>
      </c>
      <c r="E82" s="189" t="str">
        <f t="shared" ca="1" si="2"/>
        <v>Vital Registration System</v>
      </c>
      <c r="F82" s="191" t="s">
        <v>1538</v>
      </c>
      <c r="G82" s="237" t="s">
        <v>2272</v>
      </c>
      <c r="H82" s="237" t="s">
        <v>1934</v>
      </c>
      <c r="I82" s="333" t="s">
        <v>1796</v>
      </c>
    </row>
    <row r="83" spans="1:9" ht="15" x14ac:dyDescent="0.2">
      <c r="A83" s="191">
        <v>4</v>
      </c>
      <c r="B83" s="191" t="s">
        <v>1461</v>
      </c>
      <c r="C83" s="191" t="s">
        <v>1473</v>
      </c>
      <c r="D83" s="191">
        <v>183</v>
      </c>
      <c r="E83" s="189" t="str">
        <f t="shared" ca="1" si="2"/>
        <v>Other</v>
      </c>
      <c r="F83" s="335" t="s">
        <v>2722</v>
      </c>
      <c r="G83" s="335" t="s">
        <v>2723</v>
      </c>
      <c r="H83" s="335" t="s">
        <v>2724</v>
      </c>
      <c r="I83" s="336" t="s">
        <v>2725</v>
      </c>
    </row>
    <row r="84" spans="1:9" x14ac:dyDescent="0.2">
      <c r="A84" s="191">
        <v>5</v>
      </c>
      <c r="B84" s="191" t="s">
        <v>1461</v>
      </c>
      <c r="C84" s="191" t="s">
        <v>1474</v>
      </c>
      <c r="D84" s="191">
        <v>82</v>
      </c>
      <c r="E84" s="189" t="str">
        <f t="shared" ca="1" si="2"/>
        <v>Planning, coordination and management</v>
      </c>
      <c r="F84" s="191" t="s">
        <v>1537</v>
      </c>
      <c r="G84" s="237" t="s">
        <v>2273</v>
      </c>
      <c r="H84" s="237" t="s">
        <v>1935</v>
      </c>
      <c r="I84" s="333" t="s">
        <v>2639</v>
      </c>
    </row>
    <row r="85" spans="1:9" x14ac:dyDescent="0.2">
      <c r="A85" s="191">
        <v>5</v>
      </c>
      <c r="B85" s="191" t="s">
        <v>1461</v>
      </c>
      <c r="C85" s="191" t="s">
        <v>1474</v>
      </c>
      <c r="D85" s="191">
        <v>83</v>
      </c>
      <c r="E85" s="189" t="str">
        <f t="shared" ca="1" si="2"/>
        <v>Grant management</v>
      </c>
      <c r="F85" s="191" t="s">
        <v>1574</v>
      </c>
      <c r="G85" s="237" t="s">
        <v>2274</v>
      </c>
      <c r="H85" s="237" t="s">
        <v>1936</v>
      </c>
      <c r="I85" s="333" t="s">
        <v>2640</v>
      </c>
    </row>
    <row r="86" spans="1:9" ht="15" x14ac:dyDescent="0.2">
      <c r="A86" s="191">
        <v>5</v>
      </c>
      <c r="B86" s="191" t="s">
        <v>1461</v>
      </c>
      <c r="C86" s="191" t="s">
        <v>1474</v>
      </c>
      <c r="D86" s="191">
        <v>182</v>
      </c>
      <c r="E86" s="189" t="str">
        <f t="shared" ca="1" si="2"/>
        <v>Other</v>
      </c>
      <c r="F86" s="335" t="s">
        <v>2722</v>
      </c>
      <c r="G86" s="335" t="s">
        <v>2723</v>
      </c>
      <c r="H86" s="335" t="s">
        <v>2724</v>
      </c>
      <c r="I86" s="336" t="s">
        <v>2725</v>
      </c>
    </row>
    <row r="87" spans="1:9" x14ac:dyDescent="0.2">
      <c r="A87" s="191">
        <v>6</v>
      </c>
      <c r="B87" s="191" t="s">
        <v>1464</v>
      </c>
      <c r="C87" s="191" t="s">
        <v>1475</v>
      </c>
      <c r="D87" s="191">
        <v>84</v>
      </c>
      <c r="E87" s="189" t="str">
        <f t="shared" ca="1" si="2"/>
        <v>Case detection and diagnosis</v>
      </c>
      <c r="F87" s="191" t="s">
        <v>1593</v>
      </c>
      <c r="G87" s="237" t="s">
        <v>2275</v>
      </c>
      <c r="H87" s="237" t="s">
        <v>1937</v>
      </c>
      <c r="I87" s="333" t="s">
        <v>2641</v>
      </c>
    </row>
    <row r="88" spans="1:9" x14ac:dyDescent="0.2">
      <c r="A88" s="191">
        <v>6</v>
      </c>
      <c r="B88" s="191" t="s">
        <v>1464</v>
      </c>
      <c r="C88" s="191" t="s">
        <v>1475</v>
      </c>
      <c r="D88" s="191">
        <v>85</v>
      </c>
      <c r="E88" s="189" t="str">
        <f t="shared" ca="1" si="2"/>
        <v xml:space="preserve">Treatment
</v>
      </c>
      <c r="F88" s="191" t="s">
        <v>1592</v>
      </c>
      <c r="G88" s="244" t="s">
        <v>2276</v>
      </c>
      <c r="H88" s="238" t="s">
        <v>1841</v>
      </c>
      <c r="I88" s="334" t="s">
        <v>2642</v>
      </c>
    </row>
    <row r="89" spans="1:9" x14ac:dyDescent="0.2">
      <c r="A89" s="191">
        <v>6</v>
      </c>
      <c r="B89" s="191" t="s">
        <v>1464</v>
      </c>
      <c r="C89" s="191" t="s">
        <v>1475</v>
      </c>
      <c r="D89" s="191">
        <v>86</v>
      </c>
      <c r="E89" s="189" t="str">
        <f t="shared" ca="1" si="2"/>
        <v xml:space="preserve">Prevention
</v>
      </c>
      <c r="F89" s="191" t="s">
        <v>1591</v>
      </c>
      <c r="G89" s="244" t="s">
        <v>2277</v>
      </c>
      <c r="H89" s="238" t="s">
        <v>1839</v>
      </c>
      <c r="I89" s="334" t="s">
        <v>2643</v>
      </c>
    </row>
    <row r="90" spans="1:9" x14ac:dyDescent="0.2">
      <c r="A90" s="191">
        <v>6</v>
      </c>
      <c r="B90" s="191" t="s">
        <v>1464</v>
      </c>
      <c r="C90" s="191" t="s">
        <v>1475</v>
      </c>
      <c r="D90" s="191">
        <v>87</v>
      </c>
      <c r="E90" s="189" t="str">
        <f t="shared" ca="1" si="2"/>
        <v xml:space="preserve">Engaging all care providers </v>
      </c>
      <c r="F90" s="191" t="s">
        <v>1590</v>
      </c>
      <c r="G90" s="237" t="s">
        <v>2278</v>
      </c>
      <c r="H90" s="237" t="s">
        <v>1938</v>
      </c>
      <c r="I90" s="333" t="s">
        <v>2644</v>
      </c>
    </row>
    <row r="91" spans="1:9" x14ac:dyDescent="0.2">
      <c r="A91" s="191">
        <v>6</v>
      </c>
      <c r="B91" s="191" t="s">
        <v>1464</v>
      </c>
      <c r="C91" s="191" t="s">
        <v>1475</v>
      </c>
      <c r="D91" s="191">
        <v>88</v>
      </c>
      <c r="E91" s="189" t="str">
        <f t="shared" ca="1" si="2"/>
        <v>Engaging communities and civil society (includes Social mobilisation)</v>
      </c>
      <c r="F91" s="191" t="s">
        <v>1589</v>
      </c>
      <c r="G91" s="237" t="s">
        <v>2279</v>
      </c>
      <c r="H91" s="237" t="s">
        <v>1939</v>
      </c>
      <c r="I91" s="333" t="s">
        <v>2645</v>
      </c>
    </row>
    <row r="92" spans="1:9" x14ac:dyDescent="0.2">
      <c r="A92" s="191">
        <v>6</v>
      </c>
      <c r="B92" s="191" t="s">
        <v>1464</v>
      </c>
      <c r="C92" s="191" t="s">
        <v>1475</v>
      </c>
      <c r="D92" s="191">
        <v>89</v>
      </c>
      <c r="E92" s="189" t="str">
        <f t="shared" ca="1" si="2"/>
        <v>TB screening and treatment among high risk groups</v>
      </c>
      <c r="F92" s="191" t="s">
        <v>1588</v>
      </c>
      <c r="G92" s="237" t="s">
        <v>2280</v>
      </c>
      <c r="H92" s="237" t="s">
        <v>1940</v>
      </c>
      <c r="I92" s="333" t="s">
        <v>2646</v>
      </c>
    </row>
    <row r="93" spans="1:9" x14ac:dyDescent="0.2">
      <c r="A93" s="191">
        <v>6</v>
      </c>
      <c r="B93" s="191" t="s">
        <v>1464</v>
      </c>
      <c r="C93" s="191" t="s">
        <v>1475</v>
      </c>
      <c r="D93" s="191">
        <v>90</v>
      </c>
      <c r="E93" s="189" t="str">
        <f t="shared" ca="1" si="2"/>
        <v>Collaborative activities with other sectors</v>
      </c>
      <c r="F93" s="191" t="s">
        <v>1587</v>
      </c>
      <c r="G93" s="237" t="s">
        <v>2281</v>
      </c>
      <c r="H93" s="237" t="s">
        <v>1941</v>
      </c>
      <c r="I93" s="333" t="s">
        <v>2647</v>
      </c>
    </row>
    <row r="94" spans="1:9" ht="15" x14ac:dyDescent="0.2">
      <c r="A94" s="191">
        <v>6</v>
      </c>
      <c r="B94" s="191" t="s">
        <v>1464</v>
      </c>
      <c r="C94" s="191" t="s">
        <v>1475</v>
      </c>
      <c r="D94" s="191">
        <v>181</v>
      </c>
      <c r="E94" s="189" t="str">
        <f t="shared" ca="1" si="2"/>
        <v>Other</v>
      </c>
      <c r="F94" s="335" t="s">
        <v>2722</v>
      </c>
      <c r="G94" s="335" t="s">
        <v>2723</v>
      </c>
      <c r="H94" s="335" t="s">
        <v>2724</v>
      </c>
      <c r="I94" s="336" t="s">
        <v>2725</v>
      </c>
    </row>
    <row r="95" spans="1:9" x14ac:dyDescent="0.2">
      <c r="A95" s="191">
        <v>7</v>
      </c>
      <c r="B95" s="191" t="s">
        <v>1464</v>
      </c>
      <c r="C95" s="191" t="s">
        <v>1476</v>
      </c>
      <c r="D95" s="191">
        <v>91</v>
      </c>
      <c r="E95" s="189" t="str">
        <f t="shared" ca="1" si="2"/>
        <v xml:space="preserve">TB/HIV collaborative interventions </v>
      </c>
      <c r="F95" s="191" t="s">
        <v>1586</v>
      </c>
      <c r="G95" s="237" t="s">
        <v>2282</v>
      </c>
      <c r="H95" s="237" t="s">
        <v>1942</v>
      </c>
      <c r="I95" s="333" t="s">
        <v>2648</v>
      </c>
    </row>
    <row r="96" spans="1:9" x14ac:dyDescent="0.2">
      <c r="A96" s="191">
        <v>7</v>
      </c>
      <c r="B96" s="191" t="s">
        <v>1464</v>
      </c>
      <c r="C96" s="191" t="s">
        <v>1476</v>
      </c>
      <c r="D96" s="191">
        <v>92</v>
      </c>
      <c r="E96" s="189" t="str">
        <f t="shared" ca="1" si="2"/>
        <v>Engaging all care providers⃰</v>
      </c>
      <c r="F96" s="191" t="s">
        <v>1582</v>
      </c>
      <c r="G96" s="237" t="s">
        <v>2283</v>
      </c>
      <c r="H96" s="237" t="s">
        <v>1943</v>
      </c>
      <c r="I96" s="333" t="s">
        <v>2649</v>
      </c>
    </row>
    <row r="97" spans="1:9" x14ac:dyDescent="0.2">
      <c r="A97" s="191">
        <v>7</v>
      </c>
      <c r="B97" s="191" t="s">
        <v>1464</v>
      </c>
      <c r="C97" s="191" t="s">
        <v>1476</v>
      </c>
      <c r="D97" s="191">
        <v>93</v>
      </c>
      <c r="E97" s="189" t="str">
        <f t="shared" ca="1" si="2"/>
        <v>Engaging communities and civil society (includes Social mobilisation)⃰</v>
      </c>
      <c r="F97" s="191" t="s">
        <v>1581</v>
      </c>
      <c r="G97" s="237" t="s">
        <v>2279</v>
      </c>
      <c r="H97" s="237" t="s">
        <v>1944</v>
      </c>
      <c r="I97" s="333" t="s">
        <v>2650</v>
      </c>
    </row>
    <row r="98" spans="1:9" x14ac:dyDescent="0.2">
      <c r="A98" s="191">
        <v>7</v>
      </c>
      <c r="B98" s="191" t="s">
        <v>1464</v>
      </c>
      <c r="C98" s="191" t="s">
        <v>1476</v>
      </c>
      <c r="D98" s="191">
        <v>94</v>
      </c>
      <c r="E98" s="189" t="str">
        <f t="shared" ca="1" si="2"/>
        <v>TB/HIV screening and treatment among high risk groups</v>
      </c>
      <c r="F98" s="191" t="s">
        <v>1585</v>
      </c>
      <c r="G98" s="237" t="s">
        <v>2284</v>
      </c>
      <c r="H98" s="237" t="s">
        <v>1945</v>
      </c>
      <c r="I98" s="333" t="s">
        <v>2651</v>
      </c>
    </row>
    <row r="99" spans="1:9" x14ac:dyDescent="0.2">
      <c r="A99" s="191">
        <v>7</v>
      </c>
      <c r="B99" s="191" t="s">
        <v>1464</v>
      </c>
      <c r="C99" s="191" t="s">
        <v>1476</v>
      </c>
      <c r="D99" s="191">
        <v>95</v>
      </c>
      <c r="E99" s="189" t="str">
        <f t="shared" ca="1" si="2"/>
        <v>Collaborative activities with other sectors⃰</v>
      </c>
      <c r="F99" s="191" t="s">
        <v>1579</v>
      </c>
      <c r="G99" s="237" t="s">
        <v>2281</v>
      </c>
      <c r="H99" s="237" t="s">
        <v>1946</v>
      </c>
      <c r="I99" s="333" t="s">
        <v>2652</v>
      </c>
    </row>
    <row r="100" spans="1:9" ht="15" x14ac:dyDescent="0.2">
      <c r="A100" s="191">
        <v>7</v>
      </c>
      <c r="B100" s="191" t="s">
        <v>1464</v>
      </c>
      <c r="C100" s="191" t="s">
        <v>1476</v>
      </c>
      <c r="D100" s="191">
        <v>180</v>
      </c>
      <c r="E100" s="189" t="str">
        <f t="shared" ca="1" si="2"/>
        <v>Other</v>
      </c>
      <c r="F100" s="335" t="s">
        <v>2722</v>
      </c>
      <c r="G100" s="335" t="s">
        <v>2723</v>
      </c>
      <c r="H100" s="335" t="s">
        <v>2724</v>
      </c>
      <c r="I100" s="336" t="s">
        <v>2725</v>
      </c>
    </row>
    <row r="101" spans="1:9" x14ac:dyDescent="0.2">
      <c r="A101" s="191">
        <v>8</v>
      </c>
      <c r="B101" s="191" t="s">
        <v>1464</v>
      </c>
      <c r="C101" s="191" t="s">
        <v>1477</v>
      </c>
      <c r="D101" s="191">
        <v>96</v>
      </c>
      <c r="E101" s="189" t="str">
        <f t="shared" ca="1" si="2"/>
        <v>Case Detection and Diagnosis: MDR-TB</v>
      </c>
      <c r="F101" s="191" t="s">
        <v>1584</v>
      </c>
      <c r="G101" s="237" t="s">
        <v>2285</v>
      </c>
      <c r="H101" s="237" t="s">
        <v>1947</v>
      </c>
      <c r="I101" s="333" t="s">
        <v>2653</v>
      </c>
    </row>
    <row r="102" spans="1:9" x14ac:dyDescent="0.2">
      <c r="A102" s="191">
        <v>8</v>
      </c>
      <c r="B102" s="191" t="s">
        <v>1464</v>
      </c>
      <c r="C102" s="191" t="s">
        <v>1477</v>
      </c>
      <c r="D102" s="191">
        <v>97</v>
      </c>
      <c r="E102" s="189" t="str">
        <f t="shared" ref="E102:E137" ca="1" si="3">OFFSET(F102,0,LangOffset,1,1)</f>
        <v>Treatment: MDR-TB</v>
      </c>
      <c r="F102" s="191" t="s">
        <v>1583</v>
      </c>
      <c r="G102" s="237" t="s">
        <v>2286</v>
      </c>
      <c r="H102" s="237" t="s">
        <v>1948</v>
      </c>
      <c r="I102" s="333" t="s">
        <v>2654</v>
      </c>
    </row>
    <row r="103" spans="1:9" x14ac:dyDescent="0.2">
      <c r="A103" s="191">
        <v>8</v>
      </c>
      <c r="B103" s="191" t="s">
        <v>1464</v>
      </c>
      <c r="C103" s="191" t="s">
        <v>1477</v>
      </c>
      <c r="D103" s="191">
        <v>98</v>
      </c>
      <c r="E103" s="189" t="str">
        <f t="shared" ca="1" si="3"/>
        <v>Engaging all care providers⃰</v>
      </c>
      <c r="F103" s="191" t="s">
        <v>1582</v>
      </c>
      <c r="G103" s="237" t="s">
        <v>2283</v>
      </c>
      <c r="H103" s="237" t="s">
        <v>1943</v>
      </c>
      <c r="I103" s="333" t="s">
        <v>2649</v>
      </c>
    </row>
    <row r="104" spans="1:9" x14ac:dyDescent="0.2">
      <c r="A104" s="191">
        <v>8</v>
      </c>
      <c r="B104" s="191" t="s">
        <v>1464</v>
      </c>
      <c r="C104" s="191" t="s">
        <v>1477</v>
      </c>
      <c r="D104" s="191">
        <v>99</v>
      </c>
      <c r="E104" s="189" t="str">
        <f t="shared" ca="1" si="3"/>
        <v>Engaging communities and civil society (includes Social mobilisation)⃰</v>
      </c>
      <c r="F104" s="191" t="s">
        <v>1581</v>
      </c>
      <c r="G104" s="237" t="s">
        <v>2279</v>
      </c>
      <c r="H104" s="237" t="s">
        <v>1944</v>
      </c>
      <c r="I104" s="333" t="s">
        <v>2650</v>
      </c>
    </row>
    <row r="105" spans="1:9" x14ac:dyDescent="0.2">
      <c r="A105" s="191">
        <v>8</v>
      </c>
      <c r="B105" s="191" t="s">
        <v>1464</v>
      </c>
      <c r="C105" s="191" t="s">
        <v>1477</v>
      </c>
      <c r="D105" s="191">
        <v>100</v>
      </c>
      <c r="E105" s="189" t="str">
        <f t="shared" ca="1" si="3"/>
        <v>MDR-TB screening and treatment among high risk groups</v>
      </c>
      <c r="F105" s="191" t="s">
        <v>1580</v>
      </c>
      <c r="G105" s="237" t="s">
        <v>2287</v>
      </c>
      <c r="H105" s="237" t="s">
        <v>1949</v>
      </c>
      <c r="I105" s="333" t="s">
        <v>2655</v>
      </c>
    </row>
    <row r="106" spans="1:9" x14ac:dyDescent="0.2">
      <c r="A106" s="191">
        <v>8</v>
      </c>
      <c r="B106" s="335" t="s">
        <v>1464</v>
      </c>
      <c r="C106" s="191" t="s">
        <v>1477</v>
      </c>
      <c r="D106" s="191">
        <v>101</v>
      </c>
      <c r="E106" s="189" t="str">
        <f t="shared" ca="1" si="3"/>
        <v>Collaborative activities with other sectors⃰</v>
      </c>
      <c r="F106" s="191" t="s">
        <v>1579</v>
      </c>
      <c r="G106" s="237" t="s">
        <v>2281</v>
      </c>
      <c r="H106" s="237" t="s">
        <v>1946</v>
      </c>
      <c r="I106" s="333" t="s">
        <v>2652</v>
      </c>
    </row>
    <row r="107" spans="1:9" ht="15" x14ac:dyDescent="0.2">
      <c r="A107" s="191">
        <v>8</v>
      </c>
      <c r="B107" s="335" t="s">
        <v>1464</v>
      </c>
      <c r="C107" s="191" t="s">
        <v>1477</v>
      </c>
      <c r="D107" s="191">
        <v>179</v>
      </c>
      <c r="E107" s="189" t="str">
        <f t="shared" ca="1" si="3"/>
        <v>Other</v>
      </c>
      <c r="F107" s="335" t="s">
        <v>2722</v>
      </c>
      <c r="G107" s="335" t="s">
        <v>2723</v>
      </c>
      <c r="H107" s="335" t="s">
        <v>2724</v>
      </c>
      <c r="I107" s="336" t="s">
        <v>2725</v>
      </c>
    </row>
    <row r="108" spans="1:9" x14ac:dyDescent="0.2">
      <c r="A108" s="191">
        <v>9</v>
      </c>
      <c r="B108" s="191" t="s">
        <v>1464</v>
      </c>
      <c r="C108" s="191" t="s">
        <v>1478</v>
      </c>
      <c r="D108" s="191">
        <v>102</v>
      </c>
      <c r="E108" s="189" t="str">
        <f t="shared" ca="1" si="3"/>
        <v>Law and policy reform</v>
      </c>
      <c r="F108" s="191" t="s">
        <v>1500</v>
      </c>
      <c r="G108" s="237" t="s">
        <v>2288</v>
      </c>
      <c r="H108" s="237" t="s">
        <v>1950</v>
      </c>
      <c r="I108" s="333" t="s">
        <v>2656</v>
      </c>
    </row>
    <row r="109" spans="1:9" x14ac:dyDescent="0.2">
      <c r="A109" s="191">
        <v>9</v>
      </c>
      <c r="B109" s="191" t="s">
        <v>1464</v>
      </c>
      <c r="C109" s="191" t="s">
        <v>1478</v>
      </c>
      <c r="D109" s="191">
        <v>103</v>
      </c>
      <c r="E109" s="189" t="str">
        <f t="shared" ca="1" si="3"/>
        <v>Training and capacity-building</v>
      </c>
      <c r="F109" s="191" t="s">
        <v>1578</v>
      </c>
      <c r="G109" s="237" t="s">
        <v>2289</v>
      </c>
      <c r="H109" s="237" t="s">
        <v>1951</v>
      </c>
      <c r="I109" s="333" t="s">
        <v>2657</v>
      </c>
    </row>
    <row r="110" spans="1:9" x14ac:dyDescent="0.2">
      <c r="A110" s="191">
        <v>9</v>
      </c>
      <c r="B110" s="191" t="s">
        <v>1464</v>
      </c>
      <c r="C110" s="191" t="s">
        <v>1478</v>
      </c>
      <c r="D110" s="191">
        <v>104</v>
      </c>
      <c r="E110" s="189" t="str">
        <f t="shared" ca="1" si="3"/>
        <v>Access to justice</v>
      </c>
      <c r="F110" s="191" t="s">
        <v>1577</v>
      </c>
      <c r="G110" s="237" t="s">
        <v>2290</v>
      </c>
      <c r="H110" s="237" t="s">
        <v>1952</v>
      </c>
      <c r="I110" s="333" t="s">
        <v>2658</v>
      </c>
    </row>
    <row r="111" spans="1:9" x14ac:dyDescent="0.2">
      <c r="A111" s="191">
        <v>9</v>
      </c>
      <c r="B111" s="191" t="s">
        <v>1464</v>
      </c>
      <c r="C111" s="191" t="s">
        <v>1478</v>
      </c>
      <c r="D111" s="191">
        <v>105</v>
      </c>
      <c r="E111" s="189" t="str">
        <f t="shared" ca="1" si="3"/>
        <v>Human rights monitoring and reporting</v>
      </c>
      <c r="F111" s="191" t="s">
        <v>1576</v>
      </c>
      <c r="G111" s="237" t="s">
        <v>2291</v>
      </c>
      <c r="H111" s="237" t="s">
        <v>1953</v>
      </c>
      <c r="I111" s="333" t="s">
        <v>2659</v>
      </c>
    </row>
    <row r="112" spans="1:9" ht="15" x14ac:dyDescent="0.2">
      <c r="A112" s="191">
        <v>9</v>
      </c>
      <c r="B112" s="191" t="s">
        <v>1464</v>
      </c>
      <c r="C112" s="191" t="s">
        <v>1478</v>
      </c>
      <c r="D112" s="191">
        <v>178</v>
      </c>
      <c r="E112" s="189" t="str">
        <f t="shared" ca="1" si="3"/>
        <v>Other</v>
      </c>
      <c r="F112" s="335" t="s">
        <v>2722</v>
      </c>
      <c r="G112" s="335" t="s">
        <v>2723</v>
      </c>
      <c r="H112" s="335" t="s">
        <v>2724</v>
      </c>
      <c r="I112" s="336" t="s">
        <v>2725</v>
      </c>
    </row>
    <row r="113" spans="1:12" x14ac:dyDescent="0.2">
      <c r="A113" s="191">
        <v>10</v>
      </c>
      <c r="B113" s="191" t="s">
        <v>1464</v>
      </c>
      <c r="C113" s="191" t="s">
        <v>1473</v>
      </c>
      <c r="D113" s="191">
        <v>106</v>
      </c>
      <c r="E113" s="189" t="str">
        <f t="shared" ca="1" si="3"/>
        <v>Routine reporting</v>
      </c>
      <c r="F113" s="191" t="s">
        <v>1520</v>
      </c>
      <c r="G113" s="237" t="s">
        <v>2292</v>
      </c>
      <c r="H113" s="237" t="s">
        <v>1954</v>
      </c>
      <c r="I113" s="333" t="s">
        <v>2660</v>
      </c>
    </row>
    <row r="114" spans="1:12" x14ac:dyDescent="0.2">
      <c r="A114" s="191">
        <v>10</v>
      </c>
      <c r="B114" s="191" t="s">
        <v>1464</v>
      </c>
      <c r="C114" s="191" t="s">
        <v>1473</v>
      </c>
      <c r="D114" s="191">
        <v>107</v>
      </c>
      <c r="E114" s="189" t="str">
        <f t="shared" ca="1" si="3"/>
        <v>Analysis, review and transparency</v>
      </c>
      <c r="F114" s="191" t="s">
        <v>1518</v>
      </c>
      <c r="G114" s="237" t="s">
        <v>2269</v>
      </c>
      <c r="H114" s="237" t="s">
        <v>1931</v>
      </c>
      <c r="I114" s="333" t="s">
        <v>2636</v>
      </c>
    </row>
    <row r="115" spans="1:12" x14ac:dyDescent="0.2">
      <c r="A115" s="191">
        <v>10</v>
      </c>
      <c r="B115" s="191" t="s">
        <v>1464</v>
      </c>
      <c r="C115" s="191" t="s">
        <v>1473</v>
      </c>
      <c r="D115" s="191">
        <v>108</v>
      </c>
      <c r="E115" s="189" t="str">
        <f t="shared" ca="1" si="3"/>
        <v>Surveys</v>
      </c>
      <c r="F115" s="191" t="s">
        <v>1516</v>
      </c>
      <c r="G115" s="237" t="s">
        <v>2270</v>
      </c>
      <c r="H115" s="237" t="s">
        <v>1932</v>
      </c>
      <c r="I115" s="333" t="s">
        <v>2637</v>
      </c>
    </row>
    <row r="116" spans="1:12" x14ac:dyDescent="0.2">
      <c r="A116" s="191">
        <v>10</v>
      </c>
      <c r="B116" s="191" t="s">
        <v>1464</v>
      </c>
      <c r="C116" s="191" t="s">
        <v>1473</v>
      </c>
      <c r="D116" s="191">
        <v>109</v>
      </c>
      <c r="E116" s="189" t="str">
        <f t="shared" ca="1" si="3"/>
        <v>Administrative and finance data sources</v>
      </c>
      <c r="F116" s="191" t="s">
        <v>1575</v>
      </c>
      <c r="G116" s="237" t="s">
        <v>2271</v>
      </c>
      <c r="H116" s="237" t="s">
        <v>1933</v>
      </c>
      <c r="I116" s="333" t="s">
        <v>2638</v>
      </c>
    </row>
    <row r="117" spans="1:12" x14ac:dyDescent="0.2">
      <c r="A117" s="191">
        <v>10</v>
      </c>
      <c r="B117" s="191" t="s">
        <v>1464</v>
      </c>
      <c r="C117" s="191" t="s">
        <v>1473</v>
      </c>
      <c r="D117" s="191">
        <v>110</v>
      </c>
      <c r="E117" s="189" t="str">
        <f t="shared" ca="1" si="3"/>
        <v>Vital registration system</v>
      </c>
      <c r="F117" s="191" t="s">
        <v>567</v>
      </c>
      <c r="G117" s="237" t="s">
        <v>2272</v>
      </c>
      <c r="H117" s="237" t="s">
        <v>1934</v>
      </c>
      <c r="I117" s="333" t="s">
        <v>1796</v>
      </c>
    </row>
    <row r="118" spans="1:12" ht="15" x14ac:dyDescent="0.2">
      <c r="A118" s="191">
        <v>10</v>
      </c>
      <c r="B118" s="191" t="s">
        <v>1464</v>
      </c>
      <c r="C118" s="191" t="s">
        <v>1473</v>
      </c>
      <c r="D118" s="191">
        <v>177</v>
      </c>
      <c r="E118" s="189" t="str">
        <f t="shared" ca="1" si="3"/>
        <v>Other</v>
      </c>
      <c r="F118" s="335" t="s">
        <v>2722</v>
      </c>
      <c r="G118" s="335" t="s">
        <v>2723</v>
      </c>
      <c r="H118" s="335" t="s">
        <v>2724</v>
      </c>
      <c r="I118" s="336" t="s">
        <v>2725</v>
      </c>
    </row>
    <row r="119" spans="1:12" x14ac:dyDescent="0.2">
      <c r="A119" s="191">
        <v>11</v>
      </c>
      <c r="B119" s="191" t="s">
        <v>1464</v>
      </c>
      <c r="C119" s="191" t="s">
        <v>915</v>
      </c>
      <c r="D119" s="191">
        <v>111</v>
      </c>
      <c r="E119" s="189" t="str">
        <f t="shared" ca="1" si="3"/>
        <v>Planning, coordination and management</v>
      </c>
      <c r="F119" s="191" t="s">
        <v>1537</v>
      </c>
      <c r="G119" s="237" t="s">
        <v>2273</v>
      </c>
      <c r="H119" s="237" t="s">
        <v>1935</v>
      </c>
      <c r="I119" s="333" t="s">
        <v>2639</v>
      </c>
    </row>
    <row r="120" spans="1:12" x14ac:dyDescent="0.2">
      <c r="A120" s="191">
        <v>11</v>
      </c>
      <c r="B120" s="191" t="s">
        <v>1464</v>
      </c>
      <c r="C120" s="191" t="s">
        <v>915</v>
      </c>
      <c r="D120" s="191">
        <v>112</v>
      </c>
      <c r="E120" s="189" t="str">
        <f t="shared" ca="1" si="3"/>
        <v>Grant management</v>
      </c>
      <c r="F120" s="191" t="s">
        <v>1574</v>
      </c>
      <c r="G120" s="237" t="s">
        <v>2274</v>
      </c>
      <c r="H120" s="237" t="s">
        <v>1936</v>
      </c>
      <c r="I120" s="333" t="s">
        <v>2640</v>
      </c>
    </row>
    <row r="121" spans="1:12" x14ac:dyDescent="0.2">
      <c r="A121" s="191">
        <v>11</v>
      </c>
      <c r="B121" s="191" t="s">
        <v>1464</v>
      </c>
      <c r="C121" s="191" t="s">
        <v>915</v>
      </c>
      <c r="D121" s="191">
        <v>113</v>
      </c>
      <c r="E121" s="189" t="str">
        <f t="shared" ca="1" si="3"/>
        <v>Supporting procurement and supply management for TB</v>
      </c>
      <c r="F121" s="191" t="s">
        <v>1573</v>
      </c>
      <c r="G121" s="237" t="s">
        <v>2293</v>
      </c>
      <c r="H121" s="237" t="s">
        <v>1955</v>
      </c>
      <c r="I121" s="333" t="s">
        <v>2661</v>
      </c>
    </row>
    <row r="122" spans="1:12" ht="15" x14ac:dyDescent="0.2">
      <c r="A122" s="191">
        <v>11</v>
      </c>
      <c r="B122" s="191" t="s">
        <v>1464</v>
      </c>
      <c r="C122" s="191" t="s">
        <v>915</v>
      </c>
      <c r="D122" s="191">
        <v>176</v>
      </c>
      <c r="E122" s="189" t="str">
        <f t="shared" ca="1" si="3"/>
        <v>Other</v>
      </c>
      <c r="F122" s="335" t="s">
        <v>2722</v>
      </c>
      <c r="G122" s="335" t="s">
        <v>2723</v>
      </c>
      <c r="H122" s="335" t="s">
        <v>2724</v>
      </c>
      <c r="I122" s="336" t="s">
        <v>2725</v>
      </c>
    </row>
    <row r="123" spans="1:12" x14ac:dyDescent="0.2">
      <c r="A123" s="191">
        <v>12</v>
      </c>
      <c r="B123" s="191" t="s">
        <v>1465</v>
      </c>
      <c r="C123" s="191" t="s">
        <v>1479</v>
      </c>
      <c r="D123" s="191">
        <v>114</v>
      </c>
      <c r="E123" s="189" t="str">
        <f t="shared" ca="1" si="3"/>
        <v>Long-lasting Insecticide-treated Nets (LLIN) - Mass Campaign</v>
      </c>
      <c r="F123" s="191" t="s">
        <v>1572</v>
      </c>
      <c r="G123" s="237" t="s">
        <v>2294</v>
      </c>
      <c r="H123" s="237" t="s">
        <v>1956</v>
      </c>
      <c r="I123" s="333" t="s">
        <v>2662</v>
      </c>
      <c r="J123" s="191" t="s">
        <v>1571</v>
      </c>
      <c r="K123" s="191" t="s">
        <v>2329</v>
      </c>
      <c r="L123" s="240" t="s">
        <v>1991</v>
      </c>
    </row>
    <row r="124" spans="1:12" x14ac:dyDescent="0.2">
      <c r="A124" s="191">
        <v>12</v>
      </c>
      <c r="B124" s="191" t="s">
        <v>1465</v>
      </c>
      <c r="C124" s="191" t="s">
        <v>1479</v>
      </c>
      <c r="D124" s="191">
        <v>115</v>
      </c>
      <c r="E124" s="189" t="str">
        <f t="shared" ca="1" si="3"/>
        <v>Long-lasting Insecticide-treated Nets (LLIN) - Routine Distribution</v>
      </c>
      <c r="F124" s="191" t="s">
        <v>1570</v>
      </c>
      <c r="G124" s="237" t="s">
        <v>2295</v>
      </c>
      <c r="H124" s="237" t="s">
        <v>1957</v>
      </c>
      <c r="I124" s="333" t="s">
        <v>2663</v>
      </c>
      <c r="J124" s="191" t="s">
        <v>1569</v>
      </c>
      <c r="K124" s="191" t="s">
        <v>2330</v>
      </c>
      <c r="L124" s="240" t="s">
        <v>1992</v>
      </c>
    </row>
    <row r="125" spans="1:12" x14ac:dyDescent="0.2">
      <c r="A125" s="191">
        <v>12</v>
      </c>
      <c r="B125" s="191" t="s">
        <v>1465</v>
      </c>
      <c r="C125" s="191" t="s">
        <v>1479</v>
      </c>
      <c r="D125" s="191">
        <v>116</v>
      </c>
      <c r="E125" s="189" t="str">
        <f t="shared" ca="1" si="3"/>
        <v>Indoor Residual Spraying (IRS)</v>
      </c>
      <c r="F125" s="191" t="s">
        <v>1568</v>
      </c>
      <c r="G125" s="237" t="s">
        <v>2296</v>
      </c>
      <c r="H125" s="237" t="s">
        <v>1958</v>
      </c>
      <c r="I125" s="333" t="s">
        <v>2664</v>
      </c>
      <c r="J125" s="191" t="s">
        <v>1567</v>
      </c>
      <c r="K125" s="191" t="s">
        <v>2331</v>
      </c>
      <c r="L125" s="240" t="s">
        <v>1993</v>
      </c>
    </row>
    <row r="126" spans="1:12" x14ac:dyDescent="0.2">
      <c r="A126" s="191">
        <v>12</v>
      </c>
      <c r="B126" s="191" t="s">
        <v>1465</v>
      </c>
      <c r="C126" s="191" t="s">
        <v>1479</v>
      </c>
      <c r="D126" s="191">
        <v>117</v>
      </c>
      <c r="E126" s="189" t="str">
        <f t="shared" ca="1" si="3"/>
        <v>Other Vector Control Measures</v>
      </c>
      <c r="F126" s="191" t="s">
        <v>1566</v>
      </c>
      <c r="G126" s="237" t="s">
        <v>2297</v>
      </c>
      <c r="H126" s="237" t="s">
        <v>1959</v>
      </c>
      <c r="I126" s="333" t="s">
        <v>2665</v>
      </c>
      <c r="J126" s="191" t="s">
        <v>1565</v>
      </c>
      <c r="K126" s="191" t="s">
        <v>2332</v>
      </c>
      <c r="L126" s="240" t="s">
        <v>1994</v>
      </c>
    </row>
    <row r="127" spans="1:12" x14ac:dyDescent="0.2">
      <c r="A127" s="191">
        <v>12</v>
      </c>
      <c r="B127" s="191" t="s">
        <v>1465</v>
      </c>
      <c r="C127" s="191" t="s">
        <v>1479</v>
      </c>
      <c r="D127" s="191">
        <v>118</v>
      </c>
      <c r="E127" s="189" t="str">
        <f t="shared" ca="1" si="3"/>
        <v>Entomological Monitoring</v>
      </c>
      <c r="F127" s="191" t="s">
        <v>1564</v>
      </c>
      <c r="G127" s="237" t="s">
        <v>2298</v>
      </c>
      <c r="H127" s="237" t="s">
        <v>1960</v>
      </c>
      <c r="I127" s="333" t="s">
        <v>2666</v>
      </c>
      <c r="J127" s="191" t="s">
        <v>1563</v>
      </c>
      <c r="K127" s="191" t="s">
        <v>2333</v>
      </c>
      <c r="L127" s="240" t="s">
        <v>1995</v>
      </c>
    </row>
    <row r="128" spans="1:12" x14ac:dyDescent="0.2">
      <c r="A128" s="191">
        <v>12</v>
      </c>
      <c r="B128" s="191" t="s">
        <v>1465</v>
      </c>
      <c r="C128" s="191" t="s">
        <v>1479</v>
      </c>
      <c r="D128" s="191">
        <v>119</v>
      </c>
      <c r="E128" s="189" t="str">
        <f t="shared" ca="1" si="3"/>
        <v>ACSM</v>
      </c>
      <c r="F128" s="191" t="s">
        <v>1552</v>
      </c>
      <c r="G128" s="237" t="s">
        <v>2299</v>
      </c>
      <c r="H128" s="237" t="s">
        <v>1961</v>
      </c>
      <c r="I128" s="333" t="s">
        <v>2667</v>
      </c>
      <c r="J128" s="191" t="s">
        <v>1562</v>
      </c>
      <c r="K128" s="191" t="s">
        <v>2334</v>
      </c>
      <c r="L128" s="240" t="s">
        <v>1996</v>
      </c>
    </row>
    <row r="129" spans="1:12" x14ac:dyDescent="0.2">
      <c r="A129" s="191">
        <v>13</v>
      </c>
      <c r="B129" s="191" t="s">
        <v>1465</v>
      </c>
      <c r="C129" s="191" t="s">
        <v>1480</v>
      </c>
      <c r="D129" s="191">
        <v>120</v>
      </c>
      <c r="E129" s="189" t="str">
        <f t="shared" ca="1" si="3"/>
        <v>Facility-based Treatment</v>
      </c>
      <c r="F129" s="191" t="s">
        <v>1561</v>
      </c>
      <c r="G129" s="237" t="s">
        <v>2300</v>
      </c>
      <c r="H129" s="237" t="s">
        <v>1962</v>
      </c>
      <c r="I129" s="333" t="s">
        <v>2668</v>
      </c>
      <c r="J129" s="191" t="s">
        <v>1560</v>
      </c>
      <c r="K129" s="191" t="s">
        <v>2335</v>
      </c>
      <c r="L129" s="240" t="s">
        <v>1997</v>
      </c>
    </row>
    <row r="130" spans="1:12" x14ac:dyDescent="0.2">
      <c r="A130" s="191">
        <v>13</v>
      </c>
      <c r="B130" s="191" t="s">
        <v>1465</v>
      </c>
      <c r="C130" s="191" t="s">
        <v>1480</v>
      </c>
      <c r="D130" s="191">
        <v>121</v>
      </c>
      <c r="E130" s="189" t="str">
        <f t="shared" ca="1" si="3"/>
        <v>Epidemic preparedness and response</v>
      </c>
      <c r="F130" s="191" t="s">
        <v>1559</v>
      </c>
      <c r="G130" s="237" t="s">
        <v>2301</v>
      </c>
      <c r="H130" s="237" t="s">
        <v>1963</v>
      </c>
      <c r="I130" s="333" t="s">
        <v>2669</v>
      </c>
    </row>
    <row r="131" spans="1:12" x14ac:dyDescent="0.2">
      <c r="A131" s="191">
        <v>13</v>
      </c>
      <c r="B131" s="191" t="s">
        <v>1465</v>
      </c>
      <c r="C131" s="191" t="s">
        <v>1480</v>
      </c>
      <c r="D131" s="191">
        <v>122</v>
      </c>
      <c r="E131" s="189" t="str">
        <f t="shared" ca="1" si="3"/>
        <v>Integrated Community Case Management (ICCM)</v>
      </c>
      <c r="F131" s="191" t="s">
        <v>1558</v>
      </c>
      <c r="G131" s="237" t="s">
        <v>2302</v>
      </c>
      <c r="H131" s="237" t="s">
        <v>1964</v>
      </c>
      <c r="I131" s="333" t="s">
        <v>2670</v>
      </c>
    </row>
    <row r="132" spans="1:12" x14ac:dyDescent="0.2">
      <c r="A132" s="191">
        <v>13</v>
      </c>
      <c r="B132" s="191" t="s">
        <v>1465</v>
      </c>
      <c r="C132" s="191" t="s">
        <v>1480</v>
      </c>
      <c r="D132" s="191">
        <v>123</v>
      </c>
      <c r="E132" s="189" t="str">
        <f t="shared" ca="1" si="3"/>
        <v>Active Case Detection and Investigation (malaria elimination phase)</v>
      </c>
      <c r="F132" s="191" t="s">
        <v>1557</v>
      </c>
      <c r="G132" s="237" t="s">
        <v>2303</v>
      </c>
      <c r="H132" s="237" t="s">
        <v>1965</v>
      </c>
      <c r="I132" s="333" t="s">
        <v>2671</v>
      </c>
    </row>
    <row r="133" spans="1:12" x14ac:dyDescent="0.2">
      <c r="A133" s="191">
        <v>13</v>
      </c>
      <c r="B133" s="191" t="s">
        <v>1465</v>
      </c>
      <c r="C133" s="191" t="s">
        <v>1480</v>
      </c>
      <c r="D133" s="191">
        <v>124</v>
      </c>
      <c r="E133" s="189" t="str">
        <f t="shared" ca="1" si="3"/>
        <v>Therapeutic Efficacy Surveillance</v>
      </c>
      <c r="F133" s="191" t="s">
        <v>1556</v>
      </c>
      <c r="G133" s="237" t="s">
        <v>2304</v>
      </c>
      <c r="H133" s="237" t="s">
        <v>1966</v>
      </c>
      <c r="I133" s="333" t="s">
        <v>2672</v>
      </c>
    </row>
    <row r="134" spans="1:12" x14ac:dyDescent="0.2">
      <c r="A134" s="191">
        <v>13</v>
      </c>
      <c r="B134" s="191" t="s">
        <v>1465</v>
      </c>
      <c r="C134" s="191" t="s">
        <v>1480</v>
      </c>
      <c r="D134" s="191">
        <v>125</v>
      </c>
      <c r="E134" s="189" t="str">
        <f t="shared" ca="1" si="3"/>
        <v>Severe Malaria</v>
      </c>
      <c r="F134" s="191" t="s">
        <v>1555</v>
      </c>
      <c r="G134" s="237" t="s">
        <v>2305</v>
      </c>
      <c r="H134" s="237" t="s">
        <v>1967</v>
      </c>
      <c r="I134" s="333" t="s">
        <v>2673</v>
      </c>
    </row>
    <row r="135" spans="1:12" x14ac:dyDescent="0.2">
      <c r="A135" s="191">
        <v>13</v>
      </c>
      <c r="B135" s="191" t="s">
        <v>1465</v>
      </c>
      <c r="C135" s="191" t="s">
        <v>1480</v>
      </c>
      <c r="D135" s="191">
        <v>126</v>
      </c>
      <c r="E135" s="189" t="str">
        <f t="shared" ca="1" si="3"/>
        <v>Private Sector Co-Payment Mechanism</v>
      </c>
      <c r="F135" s="191" t="s">
        <v>1554</v>
      </c>
      <c r="G135" s="237" t="s">
        <v>2306</v>
      </c>
      <c r="H135" s="237" t="s">
        <v>1968</v>
      </c>
      <c r="I135" s="333" t="s">
        <v>2674</v>
      </c>
    </row>
    <row r="136" spans="1:12" x14ac:dyDescent="0.2">
      <c r="A136" s="191">
        <v>13</v>
      </c>
      <c r="B136" s="191" t="s">
        <v>1465</v>
      </c>
      <c r="C136" s="191" t="s">
        <v>1480</v>
      </c>
      <c r="D136" s="191">
        <v>127</v>
      </c>
      <c r="E136" s="189" t="str">
        <f t="shared" ca="1" si="3"/>
        <v>Private sector case management (other)</v>
      </c>
      <c r="F136" s="191" t="s">
        <v>1553</v>
      </c>
      <c r="G136" s="237" t="s">
        <v>2307</v>
      </c>
      <c r="H136" s="237" t="s">
        <v>1969</v>
      </c>
      <c r="I136" s="333" t="s">
        <v>2675</v>
      </c>
    </row>
    <row r="137" spans="1:12" x14ac:dyDescent="0.2">
      <c r="A137" s="191">
        <v>13</v>
      </c>
      <c r="B137" s="191" t="s">
        <v>1465</v>
      </c>
      <c r="C137" s="191" t="s">
        <v>1480</v>
      </c>
      <c r="D137" s="191">
        <v>128</v>
      </c>
      <c r="E137" s="189" t="str">
        <f t="shared" ca="1" si="3"/>
        <v>Ensuring Drug Quality</v>
      </c>
      <c r="F137" s="234" t="s">
        <v>1838</v>
      </c>
      <c r="G137" s="237" t="s">
        <v>2308</v>
      </c>
      <c r="H137" s="237" t="s">
        <v>1970</v>
      </c>
      <c r="I137" s="333" t="s">
        <v>2676</v>
      </c>
    </row>
    <row r="138" spans="1:12" x14ac:dyDescent="0.2">
      <c r="A138" s="191">
        <v>13</v>
      </c>
      <c r="B138" s="191" t="s">
        <v>1465</v>
      </c>
      <c r="C138" s="191" t="s">
        <v>1480</v>
      </c>
      <c r="D138" s="191">
        <v>129</v>
      </c>
      <c r="E138" s="189" t="str">
        <f ca="1">OFFSET(F138,0,LangOffset,1,1)</f>
        <v>ACSM</v>
      </c>
      <c r="F138" s="191" t="s">
        <v>1552</v>
      </c>
      <c r="G138" s="237" t="s">
        <v>2299</v>
      </c>
      <c r="H138" s="237" t="s">
        <v>1961</v>
      </c>
      <c r="I138" s="333" t="s">
        <v>2667</v>
      </c>
      <c r="J138" s="191" t="s">
        <v>1551</v>
      </c>
      <c r="K138" s="191" t="s">
        <v>2336</v>
      </c>
      <c r="L138" s="240" t="s">
        <v>1998</v>
      </c>
    </row>
    <row r="139" spans="1:12" ht="15" x14ac:dyDescent="0.2">
      <c r="A139" s="191">
        <v>13</v>
      </c>
      <c r="B139" s="191" t="s">
        <v>1465</v>
      </c>
      <c r="C139" s="191" t="s">
        <v>1480</v>
      </c>
      <c r="D139" s="191">
        <v>174</v>
      </c>
      <c r="E139" s="189" t="str">
        <f ca="1">OFFSET(F139,0,LangOffset,1,1)</f>
        <v>Other</v>
      </c>
      <c r="F139" s="335" t="s">
        <v>2722</v>
      </c>
      <c r="G139" s="335" t="s">
        <v>2723</v>
      </c>
      <c r="H139" s="335" t="s">
        <v>2724</v>
      </c>
      <c r="I139" s="336" t="s">
        <v>2725</v>
      </c>
    </row>
    <row r="140" spans="1:12" x14ac:dyDescent="0.2">
      <c r="A140" s="191">
        <v>14</v>
      </c>
      <c r="B140" s="191" t="s">
        <v>1465</v>
      </c>
      <c r="C140" s="191" t="s">
        <v>1481</v>
      </c>
      <c r="D140" s="191">
        <v>130</v>
      </c>
      <c r="E140" s="189" t="str">
        <f t="shared" ref="E140:E179" ca="1" si="4">OFFSET(F140,0,LangOffset,1,1)</f>
        <v>Intermittent Preventive Treatment (IPT) - in Pregnancy</v>
      </c>
      <c r="F140" s="191" t="s">
        <v>1550</v>
      </c>
      <c r="G140" s="237" t="s">
        <v>2309</v>
      </c>
      <c r="H140" s="237" t="s">
        <v>1971</v>
      </c>
      <c r="I140" s="333" t="s">
        <v>2677</v>
      </c>
      <c r="J140" s="191" t="s">
        <v>1549</v>
      </c>
      <c r="K140" s="191" t="s">
        <v>2337</v>
      </c>
      <c r="L140" s="240" t="s">
        <v>1999</v>
      </c>
    </row>
    <row r="141" spans="1:12" x14ac:dyDescent="0.2">
      <c r="A141" s="191">
        <v>14</v>
      </c>
      <c r="B141" s="191" t="s">
        <v>1465</v>
      </c>
      <c r="C141" s="191" t="s">
        <v>1481</v>
      </c>
      <c r="D141" s="191">
        <v>131</v>
      </c>
      <c r="E141" s="189" t="str">
        <f t="shared" ca="1" si="4"/>
        <v>Intermittent Preventive Treatment (IPT) - in Infancy</v>
      </c>
      <c r="F141" s="191" t="s">
        <v>1548</v>
      </c>
      <c r="G141" s="237" t="s">
        <v>2310</v>
      </c>
      <c r="H141" s="237" t="s">
        <v>1972</v>
      </c>
      <c r="I141" s="333" t="s">
        <v>2678</v>
      </c>
      <c r="J141" s="191" t="s">
        <v>1547</v>
      </c>
      <c r="K141" s="191" t="s">
        <v>2338</v>
      </c>
      <c r="L141" s="240" t="s">
        <v>2000</v>
      </c>
    </row>
    <row r="142" spans="1:12" x14ac:dyDescent="0.2">
      <c r="A142" s="191">
        <v>14</v>
      </c>
      <c r="B142" s="191" t="s">
        <v>1465</v>
      </c>
      <c r="C142" s="191" t="s">
        <v>1481</v>
      </c>
      <c r="D142" s="191">
        <v>132</v>
      </c>
      <c r="E142" s="189" t="str">
        <f t="shared" ca="1" si="4"/>
        <v>Seasonal Malaria Chemoprevention</v>
      </c>
      <c r="F142" s="232" t="s">
        <v>1835</v>
      </c>
      <c r="G142" s="237" t="s">
        <v>2311</v>
      </c>
      <c r="H142" s="237" t="s">
        <v>1973</v>
      </c>
      <c r="I142" s="333" t="s">
        <v>2679</v>
      </c>
      <c r="J142" s="191" t="s">
        <v>1546</v>
      </c>
      <c r="K142" s="191" t="s">
        <v>2339</v>
      </c>
      <c r="L142" s="240" t="s">
        <v>2001</v>
      </c>
    </row>
    <row r="143" spans="1:12" ht="15" x14ac:dyDescent="0.2">
      <c r="A143" s="191">
        <v>14</v>
      </c>
      <c r="B143" s="191" t="s">
        <v>1465</v>
      </c>
      <c r="C143" s="191" t="s">
        <v>1481</v>
      </c>
      <c r="D143" s="191">
        <v>173</v>
      </c>
      <c r="E143" s="189" t="str">
        <f t="shared" ca="1" si="4"/>
        <v>Other</v>
      </c>
      <c r="F143" s="335" t="s">
        <v>2722</v>
      </c>
      <c r="G143" s="335" t="s">
        <v>2723</v>
      </c>
      <c r="H143" s="335" t="s">
        <v>2724</v>
      </c>
      <c r="I143" s="336" t="s">
        <v>2725</v>
      </c>
    </row>
    <row r="144" spans="1:12" x14ac:dyDescent="0.2">
      <c r="A144" s="191">
        <v>15</v>
      </c>
      <c r="B144" s="191" t="s">
        <v>1465</v>
      </c>
      <c r="C144" s="191" t="s">
        <v>1482</v>
      </c>
      <c r="D144" s="191">
        <v>133</v>
      </c>
      <c r="E144" s="189" t="str">
        <f t="shared" ca="1" si="4"/>
        <v xml:space="preserve">Routine Reporting </v>
      </c>
      <c r="F144" s="191" t="s">
        <v>1545</v>
      </c>
      <c r="G144" s="237" t="s">
        <v>2312</v>
      </c>
      <c r="H144" s="237" t="s">
        <v>1974</v>
      </c>
      <c r="I144" s="333" t="s">
        <v>2635</v>
      </c>
      <c r="J144" s="191" t="s">
        <v>1544</v>
      </c>
      <c r="K144" s="191" t="s">
        <v>2340</v>
      </c>
      <c r="L144" s="240" t="s">
        <v>2002</v>
      </c>
    </row>
    <row r="145" spans="1:12" x14ac:dyDescent="0.2">
      <c r="A145" s="191">
        <v>15</v>
      </c>
      <c r="B145" s="191" t="s">
        <v>1465</v>
      </c>
      <c r="C145" s="191" t="s">
        <v>1482</v>
      </c>
      <c r="D145" s="191">
        <v>134</v>
      </c>
      <c r="E145" s="189" t="str">
        <f t="shared" ca="1" si="4"/>
        <v>Analysis, Review and Transparency</v>
      </c>
      <c r="F145" s="191" t="s">
        <v>1543</v>
      </c>
      <c r="G145" s="237" t="s">
        <v>2269</v>
      </c>
      <c r="H145" s="237" t="s">
        <v>1931</v>
      </c>
      <c r="I145" s="333" t="s">
        <v>2636</v>
      </c>
      <c r="J145" s="191" t="s">
        <v>1542</v>
      </c>
      <c r="K145" s="191" t="s">
        <v>2341</v>
      </c>
      <c r="L145" s="240" t="s">
        <v>2003</v>
      </c>
    </row>
    <row r="146" spans="1:12" x14ac:dyDescent="0.2">
      <c r="A146" s="191">
        <v>15</v>
      </c>
      <c r="B146" s="191" t="s">
        <v>1465</v>
      </c>
      <c r="C146" s="191" t="s">
        <v>1482</v>
      </c>
      <c r="D146" s="191">
        <v>135</v>
      </c>
      <c r="E146" s="189" t="str">
        <f t="shared" ca="1" si="4"/>
        <v>Surveys</v>
      </c>
      <c r="F146" s="191" t="s">
        <v>1516</v>
      </c>
      <c r="G146" s="237" t="s">
        <v>2270</v>
      </c>
      <c r="H146" s="237" t="s">
        <v>1932</v>
      </c>
      <c r="I146" s="333" t="s">
        <v>2637</v>
      </c>
      <c r="J146" s="191" t="s">
        <v>1541</v>
      </c>
      <c r="K146" s="191" t="s">
        <v>2342</v>
      </c>
      <c r="L146" s="240" t="s">
        <v>2004</v>
      </c>
    </row>
    <row r="147" spans="1:12" x14ac:dyDescent="0.2">
      <c r="A147" s="191">
        <v>15</v>
      </c>
      <c r="B147" s="191" t="s">
        <v>1465</v>
      </c>
      <c r="C147" s="191" t="s">
        <v>1482</v>
      </c>
      <c r="D147" s="191">
        <v>136</v>
      </c>
      <c r="E147" s="189" t="str">
        <f t="shared" ca="1" si="4"/>
        <v>Administrative and Finance Data Sources</v>
      </c>
      <c r="F147" s="191" t="s">
        <v>1540</v>
      </c>
      <c r="G147" s="237" t="s">
        <v>2271</v>
      </c>
      <c r="H147" s="237" t="s">
        <v>1933</v>
      </c>
      <c r="I147" s="333" t="s">
        <v>2638</v>
      </c>
      <c r="J147" s="191" t="s">
        <v>1539</v>
      </c>
      <c r="K147" s="191" t="s">
        <v>2343</v>
      </c>
      <c r="L147" s="240" t="s">
        <v>2005</v>
      </c>
    </row>
    <row r="148" spans="1:12" x14ac:dyDescent="0.2">
      <c r="A148" s="191">
        <v>15</v>
      </c>
      <c r="B148" s="191" t="s">
        <v>1465</v>
      </c>
      <c r="C148" s="191" t="s">
        <v>1482</v>
      </c>
      <c r="D148" s="191">
        <v>137</v>
      </c>
      <c r="E148" s="189" t="str">
        <f t="shared" ca="1" si="4"/>
        <v>Vital Registration System</v>
      </c>
      <c r="F148" s="191" t="s">
        <v>1538</v>
      </c>
      <c r="G148" s="237" t="s">
        <v>2272</v>
      </c>
      <c r="H148" s="237" t="s">
        <v>1934</v>
      </c>
      <c r="I148" s="333" t="s">
        <v>1796</v>
      </c>
      <c r="J148" s="191" t="s">
        <v>1511</v>
      </c>
      <c r="K148" s="191" t="s">
        <v>2344</v>
      </c>
      <c r="L148" s="240" t="s">
        <v>2006</v>
      </c>
    </row>
    <row r="149" spans="1:12" ht="15" x14ac:dyDescent="0.2">
      <c r="A149" s="191">
        <v>15</v>
      </c>
      <c r="B149" s="191" t="s">
        <v>1465</v>
      </c>
      <c r="C149" s="191" t="s">
        <v>1482</v>
      </c>
      <c r="D149" s="191">
        <v>172</v>
      </c>
      <c r="E149" s="189" t="str">
        <f t="shared" ca="1" si="4"/>
        <v>Other</v>
      </c>
      <c r="F149" s="335" t="s">
        <v>2722</v>
      </c>
      <c r="G149" s="335" t="s">
        <v>2723</v>
      </c>
      <c r="H149" s="335" t="s">
        <v>2724</v>
      </c>
      <c r="I149" s="336" t="s">
        <v>2725</v>
      </c>
    </row>
    <row r="150" spans="1:12" x14ac:dyDescent="0.2">
      <c r="A150" s="191">
        <v>16</v>
      </c>
      <c r="B150" s="191" t="s">
        <v>1465</v>
      </c>
      <c r="C150" s="191" t="s">
        <v>1483</v>
      </c>
      <c r="D150" s="191">
        <v>138</v>
      </c>
      <c r="E150" s="189" t="str">
        <f t="shared" ca="1" si="4"/>
        <v>Planning, coordination and management</v>
      </c>
      <c r="F150" s="191" t="s">
        <v>1537</v>
      </c>
      <c r="G150" s="237" t="s">
        <v>2273</v>
      </c>
      <c r="H150" s="237" t="s">
        <v>1935</v>
      </c>
      <c r="I150" s="333" t="s">
        <v>2639</v>
      </c>
      <c r="J150" s="191" t="s">
        <v>1536</v>
      </c>
      <c r="K150" s="191" t="s">
        <v>2345</v>
      </c>
      <c r="L150" s="240" t="s">
        <v>2007</v>
      </c>
    </row>
    <row r="151" spans="1:12" x14ac:dyDescent="0.2">
      <c r="A151" s="191">
        <v>16</v>
      </c>
      <c r="B151" s="191" t="s">
        <v>1465</v>
      </c>
      <c r="C151" s="191" t="s">
        <v>1483</v>
      </c>
      <c r="D151" s="191">
        <v>139</v>
      </c>
      <c r="E151" s="189" t="str">
        <f t="shared" ca="1" si="4"/>
        <v>Grant Management</v>
      </c>
      <c r="F151" s="191" t="s">
        <v>1492</v>
      </c>
      <c r="G151" s="237" t="s">
        <v>2274</v>
      </c>
      <c r="H151" s="237" t="s">
        <v>1936</v>
      </c>
      <c r="I151" s="333" t="s">
        <v>2640</v>
      </c>
      <c r="J151" s="191" t="s">
        <v>1491</v>
      </c>
      <c r="K151" s="191" t="s">
        <v>2346</v>
      </c>
      <c r="L151" s="240" t="s">
        <v>2008</v>
      </c>
    </row>
    <row r="152" spans="1:12" ht="15" x14ac:dyDescent="0.2">
      <c r="A152" s="191">
        <v>16</v>
      </c>
      <c r="B152" s="191" t="s">
        <v>1465</v>
      </c>
      <c r="C152" s="191" t="s">
        <v>1483</v>
      </c>
      <c r="D152" s="191">
        <v>171</v>
      </c>
      <c r="E152" s="189" t="str">
        <f t="shared" ca="1" si="4"/>
        <v>Other</v>
      </c>
      <c r="F152" s="335" t="s">
        <v>2722</v>
      </c>
      <c r="G152" s="335" t="s">
        <v>2723</v>
      </c>
      <c r="H152" s="335" t="s">
        <v>2724</v>
      </c>
      <c r="I152" s="336" t="s">
        <v>2725</v>
      </c>
    </row>
    <row r="153" spans="1:12" x14ac:dyDescent="0.2">
      <c r="A153" s="191">
        <v>17</v>
      </c>
      <c r="B153" s="191" t="s">
        <v>1466</v>
      </c>
      <c r="C153" s="191" t="s">
        <v>1484</v>
      </c>
      <c r="D153" s="191">
        <v>140</v>
      </c>
      <c r="E153" s="189" t="str">
        <f t="shared" ca="1" si="4"/>
        <v>Infrastructure</v>
      </c>
      <c r="F153" s="191" t="s">
        <v>1535</v>
      </c>
      <c r="G153" s="237" t="s">
        <v>1535</v>
      </c>
      <c r="H153" s="237" t="s">
        <v>1975</v>
      </c>
      <c r="I153" s="333" t="s">
        <v>2680</v>
      </c>
      <c r="J153" s="191" t="s">
        <v>1534</v>
      </c>
      <c r="K153" s="191" t="s">
        <v>2347</v>
      </c>
      <c r="L153" s="240" t="s">
        <v>2009</v>
      </c>
    </row>
    <row r="154" spans="1:12" x14ac:dyDescent="0.2">
      <c r="A154" s="191">
        <v>17</v>
      </c>
      <c r="B154" s="191" t="s">
        <v>1466</v>
      </c>
      <c r="C154" s="191" t="s">
        <v>1484</v>
      </c>
      <c r="D154" s="191">
        <v>141</v>
      </c>
      <c r="E154" s="189" t="str">
        <f t="shared" ca="1" si="4"/>
        <v xml:space="preserve">Service organization and facility management   </v>
      </c>
      <c r="F154" s="191" t="s">
        <v>1533</v>
      </c>
      <c r="G154" s="237" t="s">
        <v>2313</v>
      </c>
      <c r="H154" s="237" t="s">
        <v>1976</v>
      </c>
      <c r="I154" s="333" t="s">
        <v>2681</v>
      </c>
      <c r="J154" s="191" t="s">
        <v>1532</v>
      </c>
      <c r="K154" s="191" t="s">
        <v>2925</v>
      </c>
      <c r="L154" s="240" t="s">
        <v>2010</v>
      </c>
    </row>
    <row r="155" spans="1:12" x14ac:dyDescent="0.2">
      <c r="A155" s="191">
        <v>17</v>
      </c>
      <c r="B155" s="191" t="s">
        <v>1466</v>
      </c>
      <c r="C155" s="191" t="s">
        <v>1484</v>
      </c>
      <c r="D155" s="191">
        <v>142</v>
      </c>
      <c r="E155" s="189" t="str">
        <f t="shared" ca="1" si="4"/>
        <v>Increasing demand for health services</v>
      </c>
      <c r="F155" s="191" t="s">
        <v>1531</v>
      </c>
      <c r="G155" s="237" t="s">
        <v>2915</v>
      </c>
      <c r="H155" s="237" t="s">
        <v>1977</v>
      </c>
      <c r="I155" s="333" t="s">
        <v>2682</v>
      </c>
      <c r="J155" s="191" t="s">
        <v>1530</v>
      </c>
      <c r="K155" s="191" t="s">
        <v>2348</v>
      </c>
      <c r="L155" s="240" t="s">
        <v>2011</v>
      </c>
    </row>
    <row r="156" spans="1:12" ht="15" x14ac:dyDescent="0.2">
      <c r="A156" s="191">
        <v>17</v>
      </c>
      <c r="B156" s="191" t="s">
        <v>1466</v>
      </c>
      <c r="C156" s="191" t="s">
        <v>1484</v>
      </c>
      <c r="D156" s="191">
        <v>170</v>
      </c>
      <c r="E156" s="189" t="str">
        <f t="shared" ca="1" si="4"/>
        <v>Other</v>
      </c>
      <c r="F156" s="335" t="s">
        <v>2722</v>
      </c>
      <c r="G156" s="335" t="s">
        <v>2723</v>
      </c>
      <c r="H156" s="335" t="s">
        <v>2724</v>
      </c>
      <c r="I156" s="336" t="s">
        <v>2725</v>
      </c>
    </row>
    <row r="157" spans="1:12" x14ac:dyDescent="0.2">
      <c r="A157" s="191">
        <v>18</v>
      </c>
      <c r="B157" s="191" t="s">
        <v>1466</v>
      </c>
      <c r="C157" s="191" t="s">
        <v>1485</v>
      </c>
      <c r="D157" s="191">
        <v>143</v>
      </c>
      <c r="E157" s="189" t="str">
        <f t="shared" ca="1" si="4"/>
        <v>Capacity building</v>
      </c>
      <c r="F157" s="191" t="s">
        <v>1529</v>
      </c>
      <c r="G157" s="237" t="s">
        <v>2314</v>
      </c>
      <c r="H157" s="237" t="s">
        <v>2839</v>
      </c>
      <c r="I157" s="333" t="s">
        <v>2683</v>
      </c>
      <c r="J157" s="191" t="s">
        <v>1528</v>
      </c>
      <c r="K157" s="191" t="s">
        <v>2349</v>
      </c>
      <c r="L157" s="245" t="s">
        <v>2012</v>
      </c>
    </row>
    <row r="158" spans="1:12" x14ac:dyDescent="0.2">
      <c r="A158" s="191">
        <v>18</v>
      </c>
      <c r="B158" s="191" t="s">
        <v>1466</v>
      </c>
      <c r="C158" s="191" t="s">
        <v>1485</v>
      </c>
      <c r="D158" s="191">
        <v>144</v>
      </c>
      <c r="E158" s="189" t="str">
        <f t="shared" ca="1" si="4"/>
        <v>Scaling up and distribution of  workforce</v>
      </c>
      <c r="F158" s="191" t="s">
        <v>1527</v>
      </c>
      <c r="G158" s="237" t="s">
        <v>2315</v>
      </c>
      <c r="H158" s="237" t="s">
        <v>1978</v>
      </c>
      <c r="I158" s="333" t="s">
        <v>2684</v>
      </c>
      <c r="J158" s="191" t="s">
        <v>1526</v>
      </c>
      <c r="K158" s="191" t="s">
        <v>2926</v>
      </c>
      <c r="L158" s="240" t="s">
        <v>2013</v>
      </c>
    </row>
    <row r="159" spans="1:12" x14ac:dyDescent="0.2">
      <c r="A159" s="191">
        <v>18</v>
      </c>
      <c r="B159" s="191" t="s">
        <v>1466</v>
      </c>
      <c r="C159" s="191" t="s">
        <v>1485</v>
      </c>
      <c r="D159" s="191">
        <v>145</v>
      </c>
      <c r="E159" s="189" t="str">
        <f t="shared" ca="1" si="4"/>
        <v>Retention of workforce</v>
      </c>
      <c r="F159" s="232" t="s">
        <v>1836</v>
      </c>
      <c r="G159" s="237" t="s">
        <v>2316</v>
      </c>
      <c r="H159" s="237" t="s">
        <v>1979</v>
      </c>
      <c r="I159" s="333" t="s">
        <v>2685</v>
      </c>
      <c r="J159" s="191" t="s">
        <v>1525</v>
      </c>
      <c r="K159" s="191" t="s">
        <v>2927</v>
      </c>
      <c r="L159" s="240" t="s">
        <v>2014</v>
      </c>
    </row>
    <row r="160" spans="1:12" ht="15" x14ac:dyDescent="0.2">
      <c r="A160" s="191">
        <v>18</v>
      </c>
      <c r="B160" s="191" t="s">
        <v>1466</v>
      </c>
      <c r="C160" s="191" t="s">
        <v>1485</v>
      </c>
      <c r="D160" s="191">
        <v>169</v>
      </c>
      <c r="E160" s="189" t="str">
        <f t="shared" ca="1" si="4"/>
        <v>Other</v>
      </c>
      <c r="F160" s="335" t="s">
        <v>2722</v>
      </c>
      <c r="G160" s="335" t="s">
        <v>2723</v>
      </c>
      <c r="H160" s="335" t="s">
        <v>2724</v>
      </c>
      <c r="I160" s="336" t="s">
        <v>2725</v>
      </c>
    </row>
    <row r="161" spans="1:12" x14ac:dyDescent="0.2">
      <c r="A161" s="191">
        <v>19</v>
      </c>
      <c r="B161" s="191" t="s">
        <v>1466</v>
      </c>
      <c r="C161" s="191" t="s">
        <v>1486</v>
      </c>
      <c r="D161" s="191">
        <v>146</v>
      </c>
      <c r="E161" s="189" t="str">
        <f t="shared" ca="1" si="4"/>
        <v>PSM infrastructure</v>
      </c>
      <c r="F161" s="191" t="s">
        <v>1524</v>
      </c>
      <c r="G161" s="237" t="s">
        <v>2317</v>
      </c>
      <c r="H161" s="237" t="s">
        <v>1980</v>
      </c>
      <c r="I161" s="333" t="s">
        <v>2686</v>
      </c>
      <c r="J161" s="191" t="s">
        <v>1523</v>
      </c>
      <c r="K161" s="191" t="s">
        <v>2928</v>
      </c>
      <c r="L161" s="240" t="s">
        <v>2015</v>
      </c>
    </row>
    <row r="162" spans="1:12" x14ac:dyDescent="0.2">
      <c r="A162" s="191">
        <v>19</v>
      </c>
      <c r="B162" s="191" t="s">
        <v>1466</v>
      </c>
      <c r="C162" s="191" t="s">
        <v>1486</v>
      </c>
      <c r="D162" s="191">
        <v>147</v>
      </c>
      <c r="E162" s="189" t="str">
        <f t="shared" ca="1" si="4"/>
        <v>Operationalization of PSM system</v>
      </c>
      <c r="F162" s="191" t="s">
        <v>1522</v>
      </c>
      <c r="G162" s="237" t="s">
        <v>2318</v>
      </c>
      <c r="H162" s="237" t="s">
        <v>1981</v>
      </c>
      <c r="I162" s="333" t="s">
        <v>2687</v>
      </c>
      <c r="J162" s="191" t="s">
        <v>1521</v>
      </c>
      <c r="K162" s="191" t="s">
        <v>2350</v>
      </c>
      <c r="L162" s="240" t="s">
        <v>2016</v>
      </c>
    </row>
    <row r="163" spans="1:12" ht="15" x14ac:dyDescent="0.2">
      <c r="A163" s="191">
        <v>19</v>
      </c>
      <c r="B163" s="191" t="s">
        <v>1466</v>
      </c>
      <c r="C163" s="191" t="s">
        <v>1486</v>
      </c>
      <c r="D163" s="191">
        <v>168</v>
      </c>
      <c r="E163" s="189" t="str">
        <f t="shared" ca="1" si="4"/>
        <v>Other</v>
      </c>
      <c r="F163" s="335" t="s">
        <v>2722</v>
      </c>
      <c r="G163" s="335" t="s">
        <v>2723</v>
      </c>
      <c r="H163" s="335" t="s">
        <v>2724</v>
      </c>
      <c r="I163" s="336" t="s">
        <v>2725</v>
      </c>
    </row>
    <row r="164" spans="1:12" x14ac:dyDescent="0.2">
      <c r="A164" s="191">
        <v>20</v>
      </c>
      <c r="B164" s="191" t="s">
        <v>1466</v>
      </c>
      <c r="C164" s="191" t="s">
        <v>1487</v>
      </c>
      <c r="D164" s="191">
        <v>148</v>
      </c>
      <c r="E164" s="189" t="str">
        <f t="shared" ca="1" si="4"/>
        <v>Routine reporting</v>
      </c>
      <c r="F164" s="191" t="s">
        <v>1520</v>
      </c>
      <c r="G164" s="237" t="s">
        <v>2292</v>
      </c>
      <c r="H164" s="237" t="s">
        <v>2840</v>
      </c>
      <c r="I164" s="333" t="s">
        <v>2660</v>
      </c>
      <c r="J164" s="191" t="s">
        <v>1519</v>
      </c>
      <c r="K164" s="191" t="s">
        <v>2929</v>
      </c>
      <c r="L164" s="240" t="s">
        <v>2017</v>
      </c>
    </row>
    <row r="165" spans="1:12" x14ac:dyDescent="0.2">
      <c r="A165" s="191">
        <v>20</v>
      </c>
      <c r="B165" s="191" t="s">
        <v>1466</v>
      </c>
      <c r="C165" s="191" t="s">
        <v>1487</v>
      </c>
      <c r="D165" s="191">
        <v>149</v>
      </c>
      <c r="E165" s="189" t="str">
        <f t="shared" ca="1" si="4"/>
        <v>Analysis, review and transparency</v>
      </c>
      <c r="F165" s="191" t="s">
        <v>1518</v>
      </c>
      <c r="G165" s="237" t="s">
        <v>2269</v>
      </c>
      <c r="H165" s="237" t="s">
        <v>1931</v>
      </c>
      <c r="I165" s="333" t="s">
        <v>2636</v>
      </c>
      <c r="J165" s="191" t="s">
        <v>1517</v>
      </c>
      <c r="K165" s="191" t="s">
        <v>2930</v>
      </c>
      <c r="L165" s="240" t="s">
        <v>2018</v>
      </c>
    </row>
    <row r="166" spans="1:12" x14ac:dyDescent="0.2">
      <c r="A166" s="191">
        <v>20</v>
      </c>
      <c r="B166" s="191" t="s">
        <v>1466</v>
      </c>
      <c r="C166" s="191" t="s">
        <v>1487</v>
      </c>
      <c r="D166" s="191">
        <v>150</v>
      </c>
      <c r="E166" s="189" t="str">
        <f t="shared" ca="1" si="4"/>
        <v>Surveys</v>
      </c>
      <c r="F166" s="191" t="s">
        <v>1516</v>
      </c>
      <c r="G166" s="237" t="s">
        <v>2916</v>
      </c>
      <c r="H166" s="237" t="s">
        <v>1932</v>
      </c>
      <c r="I166" s="333" t="s">
        <v>2637</v>
      </c>
      <c r="J166" s="191" t="s">
        <v>1515</v>
      </c>
      <c r="K166" s="191" t="s">
        <v>2351</v>
      </c>
      <c r="L166" s="240" t="s">
        <v>2019</v>
      </c>
    </row>
    <row r="167" spans="1:12" x14ac:dyDescent="0.2">
      <c r="A167" s="191">
        <v>20</v>
      </c>
      <c r="B167" s="191" t="s">
        <v>1466</v>
      </c>
      <c r="C167" s="191" t="s">
        <v>1487</v>
      </c>
      <c r="D167" s="191">
        <v>151</v>
      </c>
      <c r="E167" s="189" t="str">
        <f t="shared" ca="1" si="4"/>
        <v>Administrative and financial data sources</v>
      </c>
      <c r="F167" s="191" t="s">
        <v>1514</v>
      </c>
      <c r="G167" s="237" t="s">
        <v>2271</v>
      </c>
      <c r="H167" s="237" t="s">
        <v>1933</v>
      </c>
      <c r="I167" s="333" t="s">
        <v>2638</v>
      </c>
      <c r="J167" s="191" t="s">
        <v>1513</v>
      </c>
      <c r="K167" s="191" t="s">
        <v>2931</v>
      </c>
      <c r="L167" s="240" t="s">
        <v>2020</v>
      </c>
    </row>
    <row r="168" spans="1:12" x14ac:dyDescent="0.2">
      <c r="A168" s="191">
        <v>20</v>
      </c>
      <c r="B168" s="191" t="s">
        <v>1466</v>
      </c>
      <c r="C168" s="191" t="s">
        <v>1487</v>
      </c>
      <c r="D168" s="191">
        <v>152</v>
      </c>
      <c r="E168" s="189" t="str">
        <f t="shared" ca="1" si="4"/>
        <v>Vital Registration Systems</v>
      </c>
      <c r="F168" s="191" t="s">
        <v>1512</v>
      </c>
      <c r="G168" s="237" t="s">
        <v>2319</v>
      </c>
      <c r="H168" s="237" t="s">
        <v>1982</v>
      </c>
      <c r="I168" s="333" t="s">
        <v>1796</v>
      </c>
      <c r="J168" s="191" t="s">
        <v>1511</v>
      </c>
      <c r="K168" s="191" t="s">
        <v>2344</v>
      </c>
      <c r="L168" s="240" t="s">
        <v>2006</v>
      </c>
    </row>
    <row r="169" spans="1:12" ht="15" x14ac:dyDescent="0.2">
      <c r="A169" s="191">
        <v>20</v>
      </c>
      <c r="B169" s="191" t="s">
        <v>1466</v>
      </c>
      <c r="C169" s="191" t="s">
        <v>1487</v>
      </c>
      <c r="D169" s="191">
        <v>167</v>
      </c>
      <c r="E169" s="189" t="str">
        <f t="shared" ca="1" si="4"/>
        <v>Other</v>
      </c>
      <c r="F169" s="335" t="s">
        <v>2722</v>
      </c>
      <c r="G169" s="335" t="s">
        <v>2723</v>
      </c>
      <c r="H169" s="335" t="s">
        <v>2724</v>
      </c>
      <c r="I169" s="336" t="s">
        <v>2725</v>
      </c>
    </row>
    <row r="170" spans="1:12" x14ac:dyDescent="0.2">
      <c r="A170" s="191">
        <v>21</v>
      </c>
      <c r="B170" s="191" t="s">
        <v>1466</v>
      </c>
      <c r="C170" s="191" t="s">
        <v>1488</v>
      </c>
      <c r="D170" s="191">
        <v>153</v>
      </c>
      <c r="E170" s="189" t="str">
        <f t="shared" ca="1" si="4"/>
        <v>Development and Implementation of legal and policy reform</v>
      </c>
      <c r="F170" s="191" t="s">
        <v>1510</v>
      </c>
      <c r="G170" s="237" t="s">
        <v>2320</v>
      </c>
      <c r="H170" s="237" t="s">
        <v>1983</v>
      </c>
      <c r="I170" s="333" t="s">
        <v>2688</v>
      </c>
      <c r="J170" s="191" t="s">
        <v>1509</v>
      </c>
      <c r="K170" s="191" t="s">
        <v>2352</v>
      </c>
      <c r="L170" s="240" t="s">
        <v>2021</v>
      </c>
    </row>
    <row r="171" spans="1:12" x14ac:dyDescent="0.2">
      <c r="A171" s="191">
        <v>21</v>
      </c>
      <c r="B171" s="191" t="s">
        <v>1466</v>
      </c>
      <c r="C171" s="191" t="s">
        <v>1488</v>
      </c>
      <c r="D171" s="191">
        <v>154</v>
      </c>
      <c r="E171" s="189" t="str">
        <f t="shared" ca="1" si="4"/>
        <v>Advocacy for legal and policy reforms</v>
      </c>
      <c r="F171" s="191" t="s">
        <v>1508</v>
      </c>
      <c r="G171" s="237" t="s">
        <v>2321</v>
      </c>
      <c r="H171" s="237" t="s">
        <v>2841</v>
      </c>
      <c r="I171" s="333" t="s">
        <v>2689</v>
      </c>
      <c r="J171" s="191" t="s">
        <v>1507</v>
      </c>
      <c r="K171" s="191" t="s">
        <v>2932</v>
      </c>
      <c r="L171" s="240" t="s">
        <v>2022</v>
      </c>
    </row>
    <row r="172" spans="1:12" x14ac:dyDescent="0.2">
      <c r="A172" s="191">
        <v>21</v>
      </c>
      <c r="B172" s="191" t="s">
        <v>1466</v>
      </c>
      <c r="C172" s="191" t="s">
        <v>1488</v>
      </c>
      <c r="D172" s="191">
        <v>155</v>
      </c>
      <c r="E172" s="189" t="str">
        <f t="shared" ca="1" si="4"/>
        <v>Monitoring and reporting implementation of laws and policies</v>
      </c>
      <c r="F172" s="191" t="s">
        <v>1506</v>
      </c>
      <c r="G172" s="237" t="s">
        <v>2322</v>
      </c>
      <c r="H172" s="237" t="s">
        <v>1984</v>
      </c>
      <c r="I172" s="333" t="s">
        <v>2690</v>
      </c>
      <c r="J172" s="191" t="s">
        <v>1505</v>
      </c>
      <c r="K172" s="191" t="s">
        <v>2353</v>
      </c>
      <c r="L172" s="240" t="s">
        <v>2023</v>
      </c>
    </row>
    <row r="173" spans="1:12" ht="15" x14ac:dyDescent="0.2">
      <c r="A173" s="191">
        <v>21</v>
      </c>
      <c r="B173" s="191" t="s">
        <v>1466</v>
      </c>
      <c r="C173" s="191" t="s">
        <v>1488</v>
      </c>
      <c r="D173" s="191">
        <v>166</v>
      </c>
      <c r="E173" s="189" t="str">
        <f t="shared" ca="1" si="4"/>
        <v>Other</v>
      </c>
      <c r="F173" s="335" t="s">
        <v>2722</v>
      </c>
      <c r="G173" s="335" t="s">
        <v>2723</v>
      </c>
      <c r="H173" s="335" t="s">
        <v>2724</v>
      </c>
      <c r="I173" s="336" t="s">
        <v>2725</v>
      </c>
    </row>
    <row r="174" spans="1:12" x14ac:dyDescent="0.2">
      <c r="A174" s="191">
        <v>22</v>
      </c>
      <c r="B174" s="191" t="s">
        <v>1466</v>
      </c>
      <c r="C174" s="191" t="s">
        <v>1489</v>
      </c>
      <c r="D174" s="191">
        <v>156</v>
      </c>
      <c r="E174" s="189" t="str">
        <f t="shared" ca="1" si="4"/>
        <v>Financial sustainability</v>
      </c>
      <c r="F174" s="191" t="s">
        <v>1504</v>
      </c>
      <c r="G174" s="237" t="s">
        <v>2323</v>
      </c>
      <c r="H174" s="237" t="s">
        <v>1985</v>
      </c>
      <c r="I174" s="333" t="s">
        <v>2691</v>
      </c>
      <c r="J174" s="191" t="s">
        <v>1503</v>
      </c>
      <c r="K174" s="191" t="s">
        <v>2354</v>
      </c>
      <c r="L174" s="240" t="s">
        <v>2024</v>
      </c>
    </row>
    <row r="175" spans="1:12" x14ac:dyDescent="0.2">
      <c r="A175" s="191">
        <v>22</v>
      </c>
      <c r="B175" s="191" t="s">
        <v>1466</v>
      </c>
      <c r="C175" s="191" t="s">
        <v>1489</v>
      </c>
      <c r="D175" s="191">
        <v>157</v>
      </c>
      <c r="E175" s="189" t="str">
        <f t="shared" ca="1" si="4"/>
        <v>Equity of healthcare financing</v>
      </c>
      <c r="F175" s="191" t="s">
        <v>1502</v>
      </c>
      <c r="G175" s="237" t="s">
        <v>2324</v>
      </c>
      <c r="H175" s="237" t="s">
        <v>1986</v>
      </c>
      <c r="I175" s="333" t="s">
        <v>2692</v>
      </c>
      <c r="J175" s="191" t="s">
        <v>1501</v>
      </c>
      <c r="K175" s="191" t="s">
        <v>2355</v>
      </c>
      <c r="L175" s="240" t="s">
        <v>2025</v>
      </c>
    </row>
    <row r="176" spans="1:12" ht="15" x14ac:dyDescent="0.2">
      <c r="A176" s="191">
        <v>22</v>
      </c>
      <c r="B176" s="191" t="s">
        <v>1466</v>
      </c>
      <c r="C176" s="191" t="s">
        <v>1489</v>
      </c>
      <c r="D176" s="191">
        <v>165</v>
      </c>
      <c r="E176" s="189" t="str">
        <f t="shared" ca="1" si="4"/>
        <v>Other</v>
      </c>
      <c r="F176" s="335" t="s">
        <v>2722</v>
      </c>
      <c r="G176" s="335" t="s">
        <v>2723</v>
      </c>
      <c r="H176" s="335" t="s">
        <v>2724</v>
      </c>
      <c r="I176" s="336" t="s">
        <v>2725</v>
      </c>
    </row>
    <row r="177" spans="1:12" x14ac:dyDescent="0.2">
      <c r="A177" s="191">
        <v>23</v>
      </c>
      <c r="B177" s="191" t="s">
        <v>1466</v>
      </c>
      <c r="C177" s="191" t="s">
        <v>1478</v>
      </c>
      <c r="D177" s="191">
        <v>158</v>
      </c>
      <c r="E177" s="189" t="str">
        <f t="shared" ca="1" si="4"/>
        <v>Law and policy reform</v>
      </c>
      <c r="F177" s="191" t="s">
        <v>1500</v>
      </c>
      <c r="G177" s="237" t="s">
        <v>2288</v>
      </c>
      <c r="H177" s="237" t="s">
        <v>1950</v>
      </c>
      <c r="I177" s="333" t="s">
        <v>2656</v>
      </c>
      <c r="J177" s="191" t="s">
        <v>1499</v>
      </c>
      <c r="K177" s="191" t="s">
        <v>2933</v>
      </c>
      <c r="L177" s="240" t="s">
        <v>2026</v>
      </c>
    </row>
    <row r="178" spans="1:12" x14ac:dyDescent="0.2">
      <c r="A178" s="191">
        <v>23</v>
      </c>
      <c r="B178" s="191" t="s">
        <v>1466</v>
      </c>
      <c r="C178" s="191" t="s">
        <v>1478</v>
      </c>
      <c r="D178" s="191">
        <v>159</v>
      </c>
      <c r="E178" s="189" t="str">
        <f t="shared" ca="1" si="4"/>
        <v xml:space="preserve">Implementation </v>
      </c>
      <c r="F178" s="191" t="s">
        <v>1498</v>
      </c>
      <c r="G178" s="237" t="s">
        <v>2325</v>
      </c>
      <c r="H178" s="237" t="s">
        <v>1987</v>
      </c>
      <c r="I178" s="333" t="s">
        <v>2693</v>
      </c>
      <c r="J178" s="191" t="s">
        <v>1497</v>
      </c>
      <c r="K178" s="191" t="s">
        <v>2934</v>
      </c>
      <c r="L178" s="240" t="s">
        <v>2027</v>
      </c>
    </row>
    <row r="179" spans="1:12" x14ac:dyDescent="0.2">
      <c r="A179" s="191">
        <v>23</v>
      </c>
      <c r="B179" s="191" t="s">
        <v>1466</v>
      </c>
      <c r="C179" s="191" t="s">
        <v>1478</v>
      </c>
      <c r="D179" s="191">
        <v>160</v>
      </c>
      <c r="E179" s="189" t="str">
        <f t="shared" ca="1" si="4"/>
        <v>Enforcement</v>
      </c>
      <c r="F179" s="191" t="s">
        <v>1496</v>
      </c>
      <c r="G179" s="237" t="s">
        <v>2326</v>
      </c>
      <c r="H179" s="237" t="s">
        <v>1988</v>
      </c>
      <c r="I179" s="333" t="s">
        <v>2694</v>
      </c>
      <c r="J179" s="191" t="s">
        <v>1495</v>
      </c>
      <c r="K179" s="191" t="s">
        <v>2935</v>
      </c>
      <c r="L179" s="240" t="s">
        <v>2028</v>
      </c>
    </row>
    <row r="180" spans="1:12" x14ac:dyDescent="0.2">
      <c r="A180" s="191">
        <v>23</v>
      </c>
      <c r="B180" s="191" t="s">
        <v>1466</v>
      </c>
      <c r="C180" s="191" t="s">
        <v>1478</v>
      </c>
      <c r="D180" s="191">
        <v>161</v>
      </c>
      <c r="E180" s="189" t="str">
        <f t="shared" ref="E180:E183" ca="1" si="5">OFFSET(F180,0,LangOffset,1,1)</f>
        <v>Monitoring and reporting implementation of human rights</v>
      </c>
      <c r="F180" s="191" t="s">
        <v>1494</v>
      </c>
      <c r="G180" s="237" t="s">
        <v>2327</v>
      </c>
      <c r="H180" s="237" t="s">
        <v>1953</v>
      </c>
      <c r="I180" s="333" t="s">
        <v>2695</v>
      </c>
      <c r="J180" s="191" t="s">
        <v>1493</v>
      </c>
      <c r="K180" s="191" t="s">
        <v>2356</v>
      </c>
      <c r="L180" s="240" t="s">
        <v>2029</v>
      </c>
    </row>
    <row r="181" spans="1:12" ht="15" x14ac:dyDescent="0.2">
      <c r="A181" s="191">
        <v>23</v>
      </c>
      <c r="B181" s="191" t="s">
        <v>1466</v>
      </c>
      <c r="C181" s="191" t="s">
        <v>1478</v>
      </c>
      <c r="D181" s="191">
        <v>164</v>
      </c>
      <c r="E181" s="189" t="str">
        <f t="shared" ca="1" si="5"/>
        <v>Other</v>
      </c>
      <c r="F181" s="335" t="s">
        <v>2722</v>
      </c>
      <c r="G181" s="335" t="s">
        <v>2723</v>
      </c>
      <c r="H181" s="335" t="s">
        <v>2724</v>
      </c>
      <c r="I181" s="336" t="s">
        <v>2725</v>
      </c>
    </row>
    <row r="182" spans="1:12" x14ac:dyDescent="0.2">
      <c r="A182" s="191">
        <v>24</v>
      </c>
      <c r="B182" s="191" t="s">
        <v>1466</v>
      </c>
      <c r="C182" s="191" t="s">
        <v>1490</v>
      </c>
      <c r="D182" s="191">
        <v>162</v>
      </c>
      <c r="E182" s="189" t="str">
        <f t="shared" ca="1" si="5"/>
        <v>Grant Management</v>
      </c>
      <c r="F182" s="191" t="s">
        <v>1492</v>
      </c>
      <c r="G182" s="237" t="s">
        <v>2274</v>
      </c>
      <c r="H182" s="237" t="s">
        <v>1936</v>
      </c>
      <c r="I182" s="333" t="s">
        <v>2640</v>
      </c>
      <c r="J182" s="191" t="s">
        <v>1491</v>
      </c>
      <c r="K182" s="191" t="s">
        <v>2936</v>
      </c>
      <c r="L182" s="240" t="s">
        <v>2008</v>
      </c>
    </row>
    <row r="183" spans="1:12" ht="15" x14ac:dyDescent="0.2">
      <c r="A183" s="191">
        <v>24</v>
      </c>
      <c r="B183" s="191" t="s">
        <v>1466</v>
      </c>
      <c r="C183" s="191" t="s">
        <v>1490</v>
      </c>
      <c r="D183" s="191">
        <v>163</v>
      </c>
      <c r="E183" s="189" t="str">
        <f t="shared" ca="1" si="5"/>
        <v>Other</v>
      </c>
      <c r="F183" s="335" t="s">
        <v>2722</v>
      </c>
      <c r="G183" s="335" t="s">
        <v>2723</v>
      </c>
      <c r="H183" s="335" t="s">
        <v>2724</v>
      </c>
      <c r="I183" s="336" t="s">
        <v>2725</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[1]Modules!#REF!</xm:f>
          </x14:formula1>
          <xm:sqref>C1:C1048576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workbookViewId="0">
      <pane ySplit="1" topLeftCell="A50" activePane="bottomLeft" state="frozen"/>
      <selection activeCell="A2" sqref="A2:V5"/>
      <selection pane="bottomLeft" activeCell="G74" sqref="G74"/>
    </sheetView>
  </sheetViews>
  <sheetFormatPr defaultRowHeight="14.25" x14ac:dyDescent="0.2"/>
  <cols>
    <col min="1" max="1" width="9.140625" style="189"/>
    <col min="2" max="2" width="10.140625" style="189" bestFit="1" customWidth="1"/>
    <col min="3" max="3" width="38.5703125" style="189" customWidth="1"/>
    <col min="4" max="4" width="10.140625" style="189" bestFit="1" customWidth="1"/>
    <col min="5" max="5" width="36.5703125" style="189" customWidth="1"/>
    <col min="6" max="6" width="113.28515625" style="189" customWidth="1"/>
    <col min="7" max="7" width="22.85546875" style="189" bestFit="1" customWidth="1"/>
    <col min="8" max="8" width="23.140625" style="189" customWidth="1"/>
    <col min="9" max="9" width="23.42578125" style="189" bestFit="1" customWidth="1"/>
    <col min="10" max="16384" width="9.140625" style="189"/>
  </cols>
  <sheetData>
    <row r="1" spans="1:9" s="188" customFormat="1" ht="15" x14ac:dyDescent="0.25">
      <c r="A1" s="188" t="s">
        <v>1467</v>
      </c>
      <c r="B1" s="188" t="s">
        <v>1456</v>
      </c>
      <c r="C1" s="188" t="s">
        <v>894</v>
      </c>
      <c r="D1" s="188" t="s">
        <v>1655</v>
      </c>
      <c r="E1" s="188" t="s">
        <v>624</v>
      </c>
      <c r="F1" s="188" t="s">
        <v>1656</v>
      </c>
      <c r="G1" s="188" t="s">
        <v>1657</v>
      </c>
      <c r="H1" s="188" t="s">
        <v>1658</v>
      </c>
      <c r="I1" s="188" t="s">
        <v>1659</v>
      </c>
    </row>
    <row r="2" spans="1:9" x14ac:dyDescent="0.2">
      <c r="A2" s="189">
        <v>1</v>
      </c>
      <c r="B2" s="189" t="s">
        <v>1461</v>
      </c>
      <c r="D2" s="189">
        <v>1</v>
      </c>
      <c r="E2" s="189" t="str">
        <f t="shared" ref="E2:E33" ca="1" si="0">OFFSET(F2,0,LangOffset,1,1)</f>
        <v># of women and men 15-49 who received an HIV test and know their results</v>
      </c>
      <c r="F2" s="189" t="s">
        <v>1660</v>
      </c>
      <c r="G2" s="190" t="s">
        <v>2357</v>
      </c>
      <c r="H2" s="190" t="s">
        <v>2030</v>
      </c>
      <c r="I2" s="332" t="s">
        <v>2514</v>
      </c>
    </row>
    <row r="3" spans="1:9" x14ac:dyDescent="0.2">
      <c r="A3" s="189">
        <v>1</v>
      </c>
      <c r="B3" s="189" t="s">
        <v>1461</v>
      </c>
      <c r="D3" s="189">
        <v>2</v>
      </c>
      <c r="E3" s="189" t="str">
        <f t="shared" ca="1" si="0"/>
        <v># &amp; % of individuals from the targeted population reached through community outreach with a standardized HIV prevention intervention</v>
      </c>
      <c r="F3" s="189" t="s">
        <v>1661</v>
      </c>
      <c r="G3" s="190" t="s">
        <v>2905</v>
      </c>
      <c r="H3" s="190" t="s">
        <v>2031</v>
      </c>
      <c r="I3" s="332" t="s">
        <v>2515</v>
      </c>
    </row>
    <row r="4" spans="1:9" x14ac:dyDescent="0.2">
      <c r="A4" s="189">
        <v>1</v>
      </c>
      <c r="B4" s="189" t="s">
        <v>1461</v>
      </c>
      <c r="D4" s="189">
        <v>3</v>
      </c>
      <c r="E4" s="189" t="str">
        <f t="shared" ca="1" si="0"/>
        <v xml:space="preserve">% of men 15-49 that are circumcised </v>
      </c>
      <c r="F4" s="189" t="s">
        <v>1662</v>
      </c>
      <c r="G4" s="190" t="s">
        <v>2358</v>
      </c>
      <c r="H4" s="190" t="s">
        <v>2032</v>
      </c>
      <c r="I4" s="332" t="s">
        <v>2516</v>
      </c>
    </row>
    <row r="5" spans="1:9" x14ac:dyDescent="0.2">
      <c r="A5" s="189">
        <v>1</v>
      </c>
      <c r="B5" s="189" t="s">
        <v>1461</v>
      </c>
      <c r="D5" s="189">
        <v>19</v>
      </c>
      <c r="E5" s="189" t="str">
        <f ca="1">OFFSET(F5,0,LangOffset,1,1)</f>
        <v># &amp; % of orphaned and vulnerable children aged 0-17 years whose households received free basic external support in caring for the child according to national guidelines</v>
      </c>
      <c r="F5" s="189" t="s">
        <v>1676</v>
      </c>
      <c r="G5" s="190" t="s">
        <v>2374</v>
      </c>
      <c r="H5" s="190" t="s">
        <v>2033</v>
      </c>
      <c r="I5" s="332" t="s">
        <v>2517</v>
      </c>
    </row>
    <row r="6" spans="1:9" x14ac:dyDescent="0.2">
      <c r="A6" s="189">
        <v>25</v>
      </c>
      <c r="B6" s="189" t="s">
        <v>1461</v>
      </c>
      <c r="D6" s="189">
        <v>4</v>
      </c>
      <c r="E6" s="189" t="str">
        <f t="shared" ca="1" si="0"/>
        <v># &amp; % of MSM reached with HIV prevention programs (defined package of services), report separately for TGs, if applicable</v>
      </c>
      <c r="F6" s="189" t="s">
        <v>1663</v>
      </c>
      <c r="G6" s="190" t="s">
        <v>2359</v>
      </c>
      <c r="H6" s="190" t="s">
        <v>2034</v>
      </c>
      <c r="I6" s="332" t="s">
        <v>2518</v>
      </c>
    </row>
    <row r="7" spans="1:9" x14ac:dyDescent="0.2">
      <c r="A7" s="189">
        <v>25</v>
      </c>
      <c r="B7" s="189" t="s">
        <v>1461</v>
      </c>
      <c r="D7" s="189">
        <v>5</v>
      </c>
      <c r="E7" s="189" t="str">
        <f t="shared" ca="1" si="0"/>
        <v># &amp; % of MSM reached with individual and/or smaller group-level HIV preventive interventions that are based on evidence and/or meet the minimum standards required, report separately for TGs, if applicable</v>
      </c>
      <c r="F7" s="189" t="s">
        <v>1664</v>
      </c>
      <c r="G7" s="190" t="s">
        <v>2360</v>
      </c>
      <c r="H7" s="190" t="s">
        <v>2035</v>
      </c>
      <c r="I7" s="332" t="s">
        <v>2519</v>
      </c>
    </row>
    <row r="8" spans="1:9" x14ac:dyDescent="0.2">
      <c r="A8" s="189">
        <v>25</v>
      </c>
      <c r="B8" s="189" t="s">
        <v>1461</v>
      </c>
      <c r="D8" s="189">
        <v>6</v>
      </c>
      <c r="E8" s="189" t="str">
        <f t="shared" ca="1" si="0"/>
        <v># &amp; % of MSM who received an HIV test and who know the results, report separately for TGs, if applicable</v>
      </c>
      <c r="F8" s="189" t="s">
        <v>1665</v>
      </c>
      <c r="G8" s="190" t="s">
        <v>2361</v>
      </c>
      <c r="H8" s="190" t="s">
        <v>2036</v>
      </c>
      <c r="I8" s="332" t="s">
        <v>2520</v>
      </c>
    </row>
    <row r="9" spans="1:9" x14ac:dyDescent="0.2">
      <c r="A9" s="189">
        <v>26</v>
      </c>
      <c r="B9" s="229" t="s">
        <v>1461</v>
      </c>
      <c r="D9" s="189">
        <v>7</v>
      </c>
      <c r="E9" s="189" t="str">
        <f ca="1">OFFSET(F9,0,LangOffset,1,1)</f>
        <v xml:space="preserve"># &amp; % of SWs reached with HIV prevention programs- defined package of services </v>
      </c>
      <c r="F9" s="229" t="s">
        <v>1828</v>
      </c>
      <c r="G9" s="190" t="s">
        <v>2362</v>
      </c>
      <c r="H9" s="190" t="s">
        <v>2037</v>
      </c>
      <c r="I9" s="332" t="s">
        <v>2521</v>
      </c>
    </row>
    <row r="10" spans="1:9" x14ac:dyDescent="0.2">
      <c r="A10" s="189">
        <v>26</v>
      </c>
      <c r="B10" s="189" t="s">
        <v>1461</v>
      </c>
      <c r="D10" s="189">
        <v>8</v>
      </c>
      <c r="E10" s="189" t="str">
        <f t="shared" ca="1" si="0"/>
        <v># &amp; % of SWs reached with individual and/or smaller group-level HIV preventive interventions that are based on evidence and/or meet the minimum standards required</v>
      </c>
      <c r="F10" s="189" t="s">
        <v>1666</v>
      </c>
      <c r="G10" s="190" t="s">
        <v>2363</v>
      </c>
      <c r="H10" s="190" t="s">
        <v>2038</v>
      </c>
      <c r="I10" s="332" t="s">
        <v>2522</v>
      </c>
    </row>
    <row r="11" spans="1:9" x14ac:dyDescent="0.2">
      <c r="A11" s="189">
        <v>26</v>
      </c>
      <c r="B11" s="189" t="s">
        <v>1461</v>
      </c>
      <c r="D11" s="189">
        <v>9</v>
      </c>
      <c r="E11" s="189" t="str">
        <f t="shared" ca="1" si="0"/>
        <v># &amp; % of SWs that received an HIV test and who know the results</v>
      </c>
      <c r="F11" s="229" t="s">
        <v>1829</v>
      </c>
      <c r="G11" s="190" t="s">
        <v>2364</v>
      </c>
      <c r="H11" s="190" t="s">
        <v>2039</v>
      </c>
      <c r="I11" s="332" t="s">
        <v>2523</v>
      </c>
    </row>
    <row r="12" spans="1:9" x14ac:dyDescent="0.2">
      <c r="A12" s="189">
        <v>27</v>
      </c>
      <c r="B12" s="189" t="s">
        <v>1461</v>
      </c>
      <c r="D12" s="189">
        <v>10</v>
      </c>
      <c r="E12" s="189" t="str">
        <f t="shared" ca="1" si="0"/>
        <v xml:space="preserve"># &amp; % of PWID reached with HIV prevention programs- defined package of services </v>
      </c>
      <c r="F12" s="189" t="s">
        <v>1667</v>
      </c>
      <c r="G12" s="190" t="s">
        <v>2365</v>
      </c>
      <c r="H12" s="190" t="s">
        <v>2040</v>
      </c>
      <c r="I12" s="332" t="s">
        <v>2524</v>
      </c>
    </row>
    <row r="13" spans="1:9" x14ac:dyDescent="0.2">
      <c r="A13" s="189">
        <v>27</v>
      </c>
      <c r="B13" s="189" t="s">
        <v>1461</v>
      </c>
      <c r="D13" s="189">
        <v>11</v>
      </c>
      <c r="E13" s="189" t="str">
        <f t="shared" ca="1" si="0"/>
        <v># &amp; % of PWID reached with individual and/or smaller group-level HIV preventive interventions that are based on evidence and/or meet the minimum standards required</v>
      </c>
      <c r="F13" s="189" t="s">
        <v>1668</v>
      </c>
      <c r="G13" s="190" t="s">
        <v>2366</v>
      </c>
      <c r="H13" s="190" t="s">
        <v>2041</v>
      </c>
      <c r="I13" s="332" t="s">
        <v>2525</v>
      </c>
    </row>
    <row r="14" spans="1:9" x14ac:dyDescent="0.2">
      <c r="A14" s="189">
        <v>27</v>
      </c>
      <c r="B14" s="189" t="s">
        <v>1461</v>
      </c>
      <c r="D14" s="189">
        <v>12</v>
      </c>
      <c r="E14" s="189" t="str">
        <f t="shared" ca="1" si="0"/>
        <v xml:space="preserve"># &amp; % of PWID that received an HIV test and who know the results </v>
      </c>
      <c r="F14" s="189" t="s">
        <v>1669</v>
      </c>
      <c r="G14" s="190" t="s">
        <v>2367</v>
      </c>
      <c r="H14" s="190" t="s">
        <v>2042</v>
      </c>
      <c r="I14" s="332" t="s">
        <v>2795</v>
      </c>
    </row>
    <row r="15" spans="1:9" x14ac:dyDescent="0.2">
      <c r="A15" s="189">
        <v>27</v>
      </c>
      <c r="B15" s="189" t="s">
        <v>1461</v>
      </c>
      <c r="D15" s="189">
        <v>13</v>
      </c>
      <c r="E15" s="189" t="str">
        <f t="shared" ca="1" si="0"/>
        <v># &amp; % of PWID reached with needle and syringe programmes</v>
      </c>
      <c r="F15" s="189" t="s">
        <v>1670</v>
      </c>
      <c r="G15" s="190" t="s">
        <v>2368</v>
      </c>
      <c r="H15" s="190" t="s">
        <v>2043</v>
      </c>
      <c r="I15" s="332" t="s">
        <v>2796</v>
      </c>
    </row>
    <row r="16" spans="1:9" x14ac:dyDescent="0.2">
      <c r="A16" s="189">
        <v>27</v>
      </c>
      <c r="B16" s="189" t="s">
        <v>1461</v>
      </c>
      <c r="D16" s="189">
        <v>14</v>
      </c>
      <c r="E16" s="189" t="str">
        <f t="shared" ca="1" si="0"/>
        <v>Number of needles and syringes distributed per person who inject drugs per year by needle and syringe programmes</v>
      </c>
      <c r="F16" s="189" t="s">
        <v>1671</v>
      </c>
      <c r="G16" s="190" t="s">
        <v>2369</v>
      </c>
      <c r="H16" s="190" t="s">
        <v>2044</v>
      </c>
      <c r="I16" s="332" t="s">
        <v>2526</v>
      </c>
    </row>
    <row r="17" spans="1:9" x14ac:dyDescent="0.2">
      <c r="A17" s="189">
        <v>27</v>
      </c>
      <c r="B17" s="189" t="s">
        <v>1461</v>
      </c>
      <c r="D17" s="189">
        <v>15</v>
      </c>
      <c r="E17" s="189" t="str">
        <f t="shared" ca="1" si="0"/>
        <v># &amp; % of PWID on opioid substitution therapy</v>
      </c>
      <c r="F17" s="189" t="s">
        <v>1672</v>
      </c>
      <c r="G17" s="190" t="s">
        <v>2370</v>
      </c>
      <c r="H17" s="190" t="s">
        <v>2045</v>
      </c>
      <c r="I17" s="332" t="s">
        <v>2527</v>
      </c>
    </row>
    <row r="18" spans="1:9" x14ac:dyDescent="0.2">
      <c r="A18" s="189">
        <v>28</v>
      </c>
      <c r="B18" s="189" t="s">
        <v>1461</v>
      </c>
      <c r="D18" s="189">
        <v>16</v>
      </c>
      <c r="E18" s="189" t="str">
        <f t="shared" ca="1" si="0"/>
        <v xml:space="preserve"># and % of Other Populations (specify) reached with HIV prevention programs- defined package of services </v>
      </c>
      <c r="F18" s="189" t="s">
        <v>1673</v>
      </c>
      <c r="G18" s="190" t="s">
        <v>2371</v>
      </c>
      <c r="H18" s="190" t="s">
        <v>2046</v>
      </c>
      <c r="I18" s="332" t="s">
        <v>2528</v>
      </c>
    </row>
    <row r="19" spans="1:9" x14ac:dyDescent="0.2">
      <c r="A19" s="189">
        <v>28</v>
      </c>
      <c r="B19" s="189" t="s">
        <v>1461</v>
      </c>
      <c r="D19" s="189">
        <v>17</v>
      </c>
      <c r="E19" s="189" t="str">
        <f t="shared" ca="1" si="0"/>
        <v># &amp; % of Other Populations (specify) reached with individual and/or smaller group-level HIV preventive interventions that are based on evidence and/or meet the minimum standards required</v>
      </c>
      <c r="F19" s="189" t="s">
        <v>1674</v>
      </c>
      <c r="G19" s="190" t="s">
        <v>2372</v>
      </c>
      <c r="H19" s="190" t="s">
        <v>2047</v>
      </c>
      <c r="I19" s="332" t="s">
        <v>2529</v>
      </c>
    </row>
    <row r="20" spans="1:9" x14ac:dyDescent="0.2">
      <c r="A20" s="189">
        <v>28</v>
      </c>
      <c r="B20" s="189" t="s">
        <v>1461</v>
      </c>
      <c r="D20" s="189">
        <v>18</v>
      </c>
      <c r="E20" s="189" t="str">
        <f t="shared" ca="1" si="0"/>
        <v xml:space="preserve"># and % of Other Populations (specify) that received an HIV test  and who know the results </v>
      </c>
      <c r="F20" s="189" t="s">
        <v>1675</v>
      </c>
      <c r="G20" s="190" t="s">
        <v>2373</v>
      </c>
      <c r="H20" s="190" t="s">
        <v>2048</v>
      </c>
      <c r="I20" s="332" t="s">
        <v>2530</v>
      </c>
    </row>
    <row r="21" spans="1:9" x14ac:dyDescent="0.2">
      <c r="A21" s="189">
        <v>29</v>
      </c>
      <c r="B21" s="189" t="s">
        <v>1461</v>
      </c>
      <c r="D21" s="189">
        <v>20</v>
      </c>
      <c r="E21" s="189" t="str">
        <f ca="1">OFFSET(F21,0,LangOffset,1,1)</f>
        <v># &amp; % of young people aged 10-24 years reached by life-skills based HIV education in schools</v>
      </c>
      <c r="F21" s="189" t="s">
        <v>1677</v>
      </c>
      <c r="G21" s="190" t="s">
        <v>2375</v>
      </c>
      <c r="H21" s="190" t="s">
        <v>2049</v>
      </c>
      <c r="I21" s="332" t="s">
        <v>2531</v>
      </c>
    </row>
    <row r="22" spans="1:9" x14ac:dyDescent="0.2">
      <c r="A22" s="189">
        <v>2</v>
      </c>
      <c r="B22" s="189" t="s">
        <v>1461</v>
      </c>
      <c r="C22" s="189" t="s">
        <v>893</v>
      </c>
      <c r="D22" s="189">
        <v>21</v>
      </c>
      <c r="E22" s="189" t="str">
        <f t="shared" ca="1" si="0"/>
        <v xml:space="preserve"># &amp; % of HIV-positive pregnant women who received anti-retrovirals to reduce the risk of mother-to-child transmission </v>
      </c>
      <c r="F22" s="189" t="s">
        <v>1678</v>
      </c>
      <c r="G22" s="190" t="s">
        <v>2376</v>
      </c>
      <c r="H22" s="190" t="s">
        <v>2050</v>
      </c>
      <c r="I22" s="332" t="s">
        <v>2532</v>
      </c>
    </row>
    <row r="23" spans="1:9" x14ac:dyDescent="0.2">
      <c r="A23" s="189">
        <v>2</v>
      </c>
      <c r="B23" s="189" t="s">
        <v>1461</v>
      </c>
      <c r="C23" s="189" t="s">
        <v>893</v>
      </c>
      <c r="D23" s="189">
        <v>22</v>
      </c>
      <c r="E23" s="189" t="str">
        <f t="shared" ca="1" si="0"/>
        <v># &amp; % of pregnant women who know their HIV status</v>
      </c>
      <c r="F23" s="189" t="s">
        <v>1679</v>
      </c>
      <c r="G23" s="190" t="s">
        <v>2906</v>
      </c>
      <c r="H23" s="190" t="s">
        <v>2051</v>
      </c>
      <c r="I23" s="332" t="s">
        <v>2533</v>
      </c>
    </row>
    <row r="24" spans="1:9" x14ac:dyDescent="0.2">
      <c r="A24" s="189">
        <v>2</v>
      </c>
      <c r="B24" s="189" t="s">
        <v>1461</v>
      </c>
      <c r="C24" s="189" t="s">
        <v>893</v>
      </c>
      <c r="D24" s="189">
        <v>23</v>
      </c>
      <c r="E24" s="189" t="str">
        <f t="shared" ca="1" si="0"/>
        <v># &amp; % of infants born to HIV-infected women who receive a virological test for HIV within 2 months of birth</v>
      </c>
      <c r="F24" s="189" t="s">
        <v>1680</v>
      </c>
      <c r="G24" s="190" t="s">
        <v>2377</v>
      </c>
      <c r="H24" s="190" t="s">
        <v>2052</v>
      </c>
      <c r="I24" s="332" t="s">
        <v>2534</v>
      </c>
    </row>
    <row r="25" spans="1:9" x14ac:dyDescent="0.2">
      <c r="A25" s="189">
        <v>3</v>
      </c>
      <c r="B25" s="189" t="s">
        <v>1461</v>
      </c>
      <c r="C25" s="189" t="s">
        <v>665</v>
      </c>
      <c r="D25" s="189">
        <v>24</v>
      </c>
      <c r="E25" s="189" t="str">
        <f t="shared" ca="1" si="0"/>
        <v># &amp; % of eligible adults and children currently receiving antiretroviral therapy (disaggregated by age and sex)</v>
      </c>
      <c r="F25" s="189" t="s">
        <v>1681</v>
      </c>
      <c r="G25" s="190" t="s">
        <v>2907</v>
      </c>
      <c r="H25" s="190" t="s">
        <v>2053</v>
      </c>
      <c r="I25" s="332" t="s">
        <v>2797</v>
      </c>
    </row>
    <row r="26" spans="1:9" x14ac:dyDescent="0.2">
      <c r="A26" s="189">
        <v>3</v>
      </c>
      <c r="B26" s="189" t="s">
        <v>1461</v>
      </c>
      <c r="C26" s="189" t="s">
        <v>665</v>
      </c>
      <c r="D26" s="189">
        <v>25</v>
      </c>
      <c r="E26" s="189" t="str">
        <f t="shared" ca="1" si="0"/>
        <v xml:space="preserve"># &amp; % of health facilities dispensing antiretroviral therapy that have experienced a stock-out of at least one required antiretroviral drug in the last 12 month                                                            </v>
      </c>
      <c r="F26" s="189" t="s">
        <v>1682</v>
      </c>
      <c r="G26" s="190" t="s">
        <v>2378</v>
      </c>
      <c r="H26" s="190" t="s">
        <v>2054</v>
      </c>
      <c r="I26" s="332" t="s">
        <v>2535</v>
      </c>
    </row>
    <row r="27" spans="1:9" x14ac:dyDescent="0.2">
      <c r="A27" s="189">
        <v>3</v>
      </c>
      <c r="B27" s="189" t="s">
        <v>1461</v>
      </c>
      <c r="C27" s="189" t="s">
        <v>665</v>
      </c>
      <c r="D27" s="189">
        <v>26</v>
      </c>
      <c r="E27" s="189" t="str">
        <f t="shared" ca="1" si="0"/>
        <v># &amp; % of adults and children enrolled in HIV care who had TB status assessed and recorded during their last visit during the reporting period among all adults and children enrolled in HIV care and seen for care during the reporting period</v>
      </c>
      <c r="F27" s="189" t="s">
        <v>1683</v>
      </c>
      <c r="G27" s="190" t="s">
        <v>2908</v>
      </c>
      <c r="H27" s="190" t="s">
        <v>2055</v>
      </c>
      <c r="I27" s="332" t="s">
        <v>2536</v>
      </c>
    </row>
    <row r="28" spans="1:9" x14ac:dyDescent="0.2">
      <c r="A28" s="189">
        <v>3</v>
      </c>
      <c r="B28" s="189" t="s">
        <v>1461</v>
      </c>
      <c r="C28" s="189" t="s">
        <v>665</v>
      </c>
      <c r="D28" s="189">
        <v>27</v>
      </c>
      <c r="E28" s="189" t="str">
        <f t="shared" ca="1" si="0"/>
        <v># &amp; % of adults and children newly enrolled in HIV care who start treatment of latent TB infection (IPT)</v>
      </c>
      <c r="F28" s="189" t="s">
        <v>1684</v>
      </c>
      <c r="G28" s="190" t="s">
        <v>2379</v>
      </c>
      <c r="H28" s="190" t="s">
        <v>2056</v>
      </c>
      <c r="I28" s="332" t="s">
        <v>2798</v>
      </c>
    </row>
    <row r="29" spans="1:9" x14ac:dyDescent="0.2">
      <c r="A29" s="189">
        <v>3</v>
      </c>
      <c r="B29" s="189" t="s">
        <v>1461</v>
      </c>
      <c r="C29" s="189" t="s">
        <v>665</v>
      </c>
      <c r="D29" s="189">
        <v>28</v>
      </c>
      <c r="E29" s="189" t="str">
        <f t="shared" ca="1" si="0"/>
        <v xml:space="preserve"># &amp; % of TB patients with known HIV status: TB patients registered during the reporting period who had an HIV test result recorded in the TB register among the total number of TB patients registered during the reporting period </v>
      </c>
      <c r="F29" s="189" t="s">
        <v>1685</v>
      </c>
      <c r="G29" s="190" t="s">
        <v>2909</v>
      </c>
      <c r="H29" s="190" t="s">
        <v>2057</v>
      </c>
      <c r="I29" s="332" t="s">
        <v>2537</v>
      </c>
    </row>
    <row r="30" spans="1:9" x14ac:dyDescent="0.2">
      <c r="A30" s="189">
        <v>3</v>
      </c>
      <c r="B30" s="189" t="s">
        <v>1461</v>
      </c>
      <c r="C30" s="189" t="s">
        <v>665</v>
      </c>
      <c r="D30" s="189">
        <v>29</v>
      </c>
      <c r="E30" s="189" t="str">
        <f t="shared" ca="1" si="0"/>
        <v># &amp; % of HIV-positive TB patients given anti-retroviral therapy during TB treatment</v>
      </c>
      <c r="F30" s="189" t="s">
        <v>1686</v>
      </c>
      <c r="G30" s="190" t="s">
        <v>2380</v>
      </c>
      <c r="H30" s="190" t="s">
        <v>2058</v>
      </c>
      <c r="I30" s="332" t="s">
        <v>2538</v>
      </c>
    </row>
    <row r="31" spans="1:9" x14ac:dyDescent="0.2">
      <c r="A31" s="189">
        <v>4</v>
      </c>
      <c r="B31" s="189" t="s">
        <v>1461</v>
      </c>
      <c r="C31" s="189" t="s">
        <v>1473</v>
      </c>
      <c r="D31" s="189">
        <v>30</v>
      </c>
      <c r="E31" s="189" t="str">
        <f t="shared" ca="1" si="0"/>
        <v># &amp; % of reporting units submitting timely reports according to national guidelines</v>
      </c>
      <c r="F31" s="189" t="s">
        <v>1687</v>
      </c>
      <c r="G31" s="190" t="s">
        <v>2381</v>
      </c>
      <c r="H31" s="190" t="s">
        <v>2059</v>
      </c>
      <c r="I31" s="332" t="s">
        <v>2539</v>
      </c>
    </row>
    <row r="32" spans="1:9" x14ac:dyDescent="0.2">
      <c r="A32" s="189">
        <v>6</v>
      </c>
      <c r="B32" s="189" t="s">
        <v>1464</v>
      </c>
      <c r="C32" s="189" t="s">
        <v>1475</v>
      </c>
      <c r="D32" s="189">
        <v>31</v>
      </c>
      <c r="E32" s="189" t="str">
        <f t="shared" ca="1" si="0"/>
        <v xml:space="preserve"># of notified cases of bacteriologically confirmed TB </v>
      </c>
      <c r="F32" s="189" t="s">
        <v>1688</v>
      </c>
      <c r="G32" s="190" t="s">
        <v>2382</v>
      </c>
      <c r="H32" s="190" t="s">
        <v>2060</v>
      </c>
      <c r="I32" s="332" t="s">
        <v>2540</v>
      </c>
    </row>
    <row r="33" spans="1:9" x14ac:dyDescent="0.2">
      <c r="A33" s="189">
        <v>6</v>
      </c>
      <c r="B33" s="189" t="s">
        <v>1464</v>
      </c>
      <c r="C33" s="189" t="s">
        <v>1475</v>
      </c>
      <c r="D33" s="189">
        <v>32</v>
      </c>
      <c r="E33" s="189" t="str">
        <f t="shared" ca="1" si="0"/>
        <v># of notified cases of all forms of TB  (bacteriologically confirmed plus clinically diagnosed)</v>
      </c>
      <c r="F33" s="189" t="s">
        <v>1689</v>
      </c>
      <c r="G33" s="190" t="s">
        <v>2383</v>
      </c>
      <c r="H33" s="190" t="s">
        <v>2061</v>
      </c>
      <c r="I33" s="332" t="s">
        <v>2541</v>
      </c>
    </row>
    <row r="34" spans="1:9" x14ac:dyDescent="0.2">
      <c r="A34" s="189">
        <v>6</v>
      </c>
      <c r="B34" s="189" t="s">
        <v>1464</v>
      </c>
      <c r="C34" s="189" t="s">
        <v>1475</v>
      </c>
      <c r="D34" s="189">
        <v>33</v>
      </c>
      <c r="E34" s="189" t="str">
        <f t="shared" ref="E34:E65" ca="1" si="1">OFFSET(F34,0,LangOffset,1,1)</f>
        <v xml:space="preserve"># &amp; % of laboratories performing microscopy that show adequate performance on External Quality Assurance </v>
      </c>
      <c r="F34" s="189" t="s">
        <v>1690</v>
      </c>
      <c r="G34" s="190" t="s">
        <v>2910</v>
      </c>
      <c r="H34" s="190" t="s">
        <v>2062</v>
      </c>
      <c r="I34" s="332" t="s">
        <v>2799</v>
      </c>
    </row>
    <row r="35" spans="1:9" x14ac:dyDescent="0.2">
      <c r="A35" s="189">
        <v>6</v>
      </c>
      <c r="B35" s="189" t="s">
        <v>1464</v>
      </c>
      <c r="C35" s="189" t="s">
        <v>1475</v>
      </c>
      <c r="D35" s="189">
        <v>34</v>
      </c>
      <c r="E35" s="189" t="str">
        <f t="shared" ca="1" si="1"/>
        <v># &amp; % of bacteriologically confirmed cases successfully treated (cured plus completed treatment) among the bacteriologically confirmed TB cases registered during a specified period.</v>
      </c>
      <c r="F35" s="189" t="s">
        <v>1691</v>
      </c>
      <c r="G35" s="190" t="s">
        <v>2384</v>
      </c>
      <c r="H35" s="190" t="s">
        <v>2063</v>
      </c>
      <c r="I35" s="332" t="s">
        <v>2800</v>
      </c>
    </row>
    <row r="36" spans="1:9" x14ac:dyDescent="0.2">
      <c r="A36" s="189">
        <v>6</v>
      </c>
      <c r="B36" s="189" t="s">
        <v>1464</v>
      </c>
      <c r="C36" s="189" t="s">
        <v>1475</v>
      </c>
      <c r="D36" s="189">
        <v>35</v>
      </c>
      <c r="E36" s="189" t="str">
        <f t="shared" ca="1" si="1"/>
        <v xml:space="preserve"># of children &lt;5 in contact with TB patients who began IPT </v>
      </c>
      <c r="F36" s="189" t="s">
        <v>1692</v>
      </c>
      <c r="G36" s="190" t="s">
        <v>2385</v>
      </c>
      <c r="H36" s="190" t="s">
        <v>2064</v>
      </c>
      <c r="I36" s="332" t="s">
        <v>2542</v>
      </c>
    </row>
    <row r="37" spans="1:9" x14ac:dyDescent="0.2">
      <c r="A37" s="189">
        <v>6</v>
      </c>
      <c r="B37" s="189" t="s">
        <v>1464</v>
      </c>
      <c r="C37" s="189" t="s">
        <v>1475</v>
      </c>
      <c r="D37" s="189">
        <v>36</v>
      </c>
      <c r="E37" s="189" t="str">
        <f t="shared" ca="1" si="1"/>
        <v># &amp; % of reporting units (districts or basic management units) reporting no stock-out of first-line anti-TB drugs on the last day of the quarter</v>
      </c>
      <c r="F37" s="189" t="s">
        <v>1693</v>
      </c>
      <c r="G37" s="190" t="s">
        <v>2386</v>
      </c>
      <c r="H37" s="190" t="s">
        <v>2065</v>
      </c>
      <c r="I37" s="332" t="s">
        <v>2801</v>
      </c>
    </row>
    <row r="38" spans="1:9" x14ac:dyDescent="0.2">
      <c r="A38" s="189">
        <v>6</v>
      </c>
      <c r="B38" s="189" t="s">
        <v>1464</v>
      </c>
      <c r="C38" s="189" t="s">
        <v>1475</v>
      </c>
      <c r="D38" s="189">
        <v>37</v>
      </c>
      <c r="E38" s="189" t="str">
        <f t="shared" ca="1" si="1"/>
        <v># &amp; % of notified TB cases (all forms) contributed by non NTP providers among all TB cases notified in the PPM implementation areas</v>
      </c>
      <c r="F38" s="189" t="s">
        <v>1694</v>
      </c>
      <c r="G38" s="190" t="s">
        <v>2387</v>
      </c>
      <c r="H38" s="190" t="s">
        <v>2066</v>
      </c>
      <c r="I38" s="332" t="s">
        <v>2543</v>
      </c>
    </row>
    <row r="39" spans="1:9" x14ac:dyDescent="0.2">
      <c r="A39" s="189">
        <v>6</v>
      </c>
      <c r="B39" s="189" t="s">
        <v>1464</v>
      </c>
      <c r="C39" s="189" t="s">
        <v>1475</v>
      </c>
      <c r="D39" s="189">
        <v>38</v>
      </c>
      <c r="E39" s="189" t="str">
        <f t="shared" ca="1" si="1"/>
        <v xml:space="preserve"># &amp; % of notified TB cases (all forms) contributed by community health workers and community volunteers among all TB cases notified in the Basic Management Unit </v>
      </c>
      <c r="F39" s="189" t="s">
        <v>1695</v>
      </c>
      <c r="G39" s="190" t="s">
        <v>2388</v>
      </c>
      <c r="H39" s="190" t="s">
        <v>2067</v>
      </c>
      <c r="I39" s="332" t="s">
        <v>2802</v>
      </c>
    </row>
    <row r="40" spans="1:9" x14ac:dyDescent="0.2">
      <c r="A40" s="189">
        <v>6</v>
      </c>
      <c r="B40" s="189" t="s">
        <v>1464</v>
      </c>
      <c r="C40" s="189" t="s">
        <v>1475</v>
      </c>
      <c r="D40" s="189">
        <v>39</v>
      </c>
      <c r="E40" s="189" t="str">
        <f t="shared" ca="1" si="1"/>
        <v xml:space="preserve"># of TB cases (all forms) notified among high risk groups (e.g. prisons) to the national health authorities during a specified period  </v>
      </c>
      <c r="F40" s="230" t="s">
        <v>1830</v>
      </c>
      <c r="G40" s="190" t="s">
        <v>2389</v>
      </c>
      <c r="H40" s="190" t="s">
        <v>2068</v>
      </c>
      <c r="I40" s="332" t="s">
        <v>2544</v>
      </c>
    </row>
    <row r="41" spans="1:9" x14ac:dyDescent="0.2">
      <c r="A41" s="189">
        <v>7</v>
      </c>
      <c r="B41" s="189" t="s">
        <v>1464</v>
      </c>
      <c r="C41" s="189" t="s">
        <v>1476</v>
      </c>
      <c r="D41" s="189">
        <v>40</v>
      </c>
      <c r="E41" s="189" t="str">
        <f t="shared" ca="1" si="1"/>
        <v xml:space="preserve"># &amp; % of TB patients with known HIV status: TB patients registered during the reporting period who had an HIV test result recorded in the TB register among the total number of TB patients registered during the reporting period </v>
      </c>
      <c r="F41" s="189" t="s">
        <v>1685</v>
      </c>
      <c r="G41" s="190" t="s">
        <v>2909</v>
      </c>
      <c r="H41" s="190" t="s">
        <v>2057</v>
      </c>
      <c r="I41" s="332" t="s">
        <v>2537</v>
      </c>
    </row>
    <row r="42" spans="1:9" x14ac:dyDescent="0.2">
      <c r="A42" s="189">
        <v>7</v>
      </c>
      <c r="B42" s="189" t="s">
        <v>1464</v>
      </c>
      <c r="C42" s="189" t="s">
        <v>1476</v>
      </c>
      <c r="D42" s="189">
        <v>41</v>
      </c>
      <c r="E42" s="189" t="str">
        <f t="shared" ca="1" si="1"/>
        <v># &amp; % of HIV-positive TB patients given anti-retroviral therapy during TB treatment</v>
      </c>
      <c r="F42" s="230" t="s">
        <v>1686</v>
      </c>
      <c r="G42" s="190" t="s">
        <v>2380</v>
      </c>
      <c r="H42" s="190" t="s">
        <v>2058</v>
      </c>
      <c r="I42" s="332" t="s">
        <v>2538</v>
      </c>
    </row>
    <row r="43" spans="1:9" x14ac:dyDescent="0.2">
      <c r="A43" s="189">
        <v>7</v>
      </c>
      <c r="B43" s="189" t="s">
        <v>1464</v>
      </c>
      <c r="C43" s="189" t="s">
        <v>1476</v>
      </c>
      <c r="D43" s="189">
        <v>42</v>
      </c>
      <c r="E43" s="189" t="str">
        <f t="shared" ca="1" si="1"/>
        <v xml:space="preserve"># &amp; % of adults and children enrolled in HIV care who had TB status assessed and recorded during their last visit during the reporting period among all adults and children enrolled in HIV care and seen for care during the reporting period </v>
      </c>
      <c r="F43" s="189" t="s">
        <v>1696</v>
      </c>
      <c r="G43" s="190" t="s">
        <v>2911</v>
      </c>
      <c r="H43" s="190" t="s">
        <v>2069</v>
      </c>
      <c r="I43" s="332" t="s">
        <v>2545</v>
      </c>
    </row>
    <row r="44" spans="1:9" x14ac:dyDescent="0.2">
      <c r="A44" s="189">
        <v>7</v>
      </c>
      <c r="B44" s="189" t="s">
        <v>1464</v>
      </c>
      <c r="C44" s="189" t="s">
        <v>1476</v>
      </c>
      <c r="D44" s="189">
        <v>43</v>
      </c>
      <c r="E44" s="189" t="str">
        <f t="shared" ca="1" si="1"/>
        <v xml:space="preserve"># &amp; % of adults and children newly enrolled in HIV care who start treatment for latent TB infection (isoniazid preventive therapy) among the total number of adults and children newly enrolled in HIV care during the reporting period </v>
      </c>
      <c r="F44" s="189" t="s">
        <v>1697</v>
      </c>
      <c r="G44" s="190" t="s">
        <v>2390</v>
      </c>
      <c r="H44" s="190" t="s">
        <v>2070</v>
      </c>
      <c r="I44" s="332" t="s">
        <v>2546</v>
      </c>
    </row>
    <row r="45" spans="1:9" x14ac:dyDescent="0.2">
      <c r="A45" s="189">
        <v>8</v>
      </c>
      <c r="B45" s="189" t="s">
        <v>1464</v>
      </c>
      <c r="C45" s="189" t="s">
        <v>1477</v>
      </c>
      <c r="D45" s="189">
        <v>44</v>
      </c>
      <c r="E45" s="189" t="str">
        <f t="shared" ca="1" si="1"/>
        <v xml:space="preserve"># of  bacteriologically confirmed drug resistant TB (RR-TB and/or MDR-TB) notified to the national TB program  </v>
      </c>
      <c r="F45" s="230" t="s">
        <v>1831</v>
      </c>
      <c r="G45" s="190" t="s">
        <v>2391</v>
      </c>
      <c r="H45" s="190" t="s">
        <v>2071</v>
      </c>
      <c r="I45" s="332" t="s">
        <v>2547</v>
      </c>
    </row>
    <row r="46" spans="1:9" x14ac:dyDescent="0.2">
      <c r="A46" s="189">
        <v>8</v>
      </c>
      <c r="B46" s="189" t="s">
        <v>1464</v>
      </c>
      <c r="C46" s="189" t="s">
        <v>1477</v>
      </c>
      <c r="D46" s="189">
        <v>45</v>
      </c>
      <c r="E46" s="189" t="str">
        <f t="shared" ca="1" si="1"/>
        <v xml:space="preserve"># &amp; % of laboratories showing at least 95% proficiency for isoniazid and rifampicin drug susceptibility testing among the total number of laboratories that undertake drug susceptibility testing during the reporting period </v>
      </c>
      <c r="F46" s="189" t="s">
        <v>1698</v>
      </c>
      <c r="G46" s="190" t="s">
        <v>2392</v>
      </c>
      <c r="H46" s="190" t="s">
        <v>2072</v>
      </c>
      <c r="I46" s="332" t="s">
        <v>2548</v>
      </c>
    </row>
    <row r="47" spans="1:9" x14ac:dyDescent="0.2">
      <c r="A47" s="189">
        <v>8</v>
      </c>
      <c r="B47" s="189" t="s">
        <v>1464</v>
      </c>
      <c r="C47" s="189" t="s">
        <v>1477</v>
      </c>
      <c r="D47" s="189">
        <v>46</v>
      </c>
      <c r="E47" s="189" t="str">
        <f t="shared" ca="1" si="1"/>
        <v xml:space="preserve">#  of cases with bacteriologically confirmed drug resistant TB cases (RR-TB and/or MDR-TB) who began second line treatment </v>
      </c>
      <c r="F47" s="189" t="s">
        <v>1699</v>
      </c>
      <c r="G47" s="190" t="s">
        <v>2393</v>
      </c>
      <c r="H47" s="190" t="s">
        <v>2073</v>
      </c>
      <c r="I47" s="332" t="s">
        <v>2803</v>
      </c>
    </row>
    <row r="48" spans="1:9" x14ac:dyDescent="0.2">
      <c r="A48" s="189">
        <v>8</v>
      </c>
      <c r="B48" s="189" t="s">
        <v>1464</v>
      </c>
      <c r="C48" s="189" t="s">
        <v>1477</v>
      </c>
      <c r="D48" s="189">
        <v>47</v>
      </c>
      <c r="E48" s="189" t="str">
        <f t="shared" ca="1" si="1"/>
        <v># of presumptive cases of drug-resistant TB (RR-TB and/or MDR-TB) that began second-line treatment</v>
      </c>
      <c r="F48" s="189" t="s">
        <v>1700</v>
      </c>
      <c r="G48" s="190" t="s">
        <v>2394</v>
      </c>
      <c r="H48" s="190" t="s">
        <v>2074</v>
      </c>
      <c r="I48" s="332" t="s">
        <v>2804</v>
      </c>
    </row>
    <row r="49" spans="1:9" x14ac:dyDescent="0.2">
      <c r="A49" s="189">
        <v>10</v>
      </c>
      <c r="B49" s="189" t="s">
        <v>1464</v>
      </c>
      <c r="C49" s="189" t="s">
        <v>1473</v>
      </c>
      <c r="D49" s="189">
        <v>48</v>
      </c>
      <c r="E49" s="189" t="str">
        <f t="shared" ca="1" si="1"/>
        <v># &amp; % of reporting units submitting timely reports according to national guidelines</v>
      </c>
      <c r="F49" s="189" t="s">
        <v>1687</v>
      </c>
      <c r="G49" s="190" t="s">
        <v>2381</v>
      </c>
      <c r="H49" s="190" t="s">
        <v>2059</v>
      </c>
      <c r="I49" s="332" t="s">
        <v>2539</v>
      </c>
    </row>
    <row r="50" spans="1:9" x14ac:dyDescent="0.2">
      <c r="A50" s="189">
        <v>12</v>
      </c>
      <c r="B50" s="189" t="s">
        <v>1465</v>
      </c>
      <c r="C50" s="189" t="s">
        <v>1479</v>
      </c>
      <c r="D50" s="189">
        <v>49</v>
      </c>
      <c r="E50" s="189" t="str">
        <f t="shared" ca="1" si="1"/>
        <v>Number of ITNs/LLINs distributed to at-risk populations through mass campaigns</v>
      </c>
      <c r="F50" s="189" t="s">
        <v>1701</v>
      </c>
      <c r="G50" s="190" t="s">
        <v>2912</v>
      </c>
      <c r="H50" s="190" t="s">
        <v>2075</v>
      </c>
      <c r="I50" s="332" t="s">
        <v>2805</v>
      </c>
    </row>
    <row r="51" spans="1:9" x14ac:dyDescent="0.2">
      <c r="A51" s="189">
        <v>12</v>
      </c>
      <c r="B51" s="189" t="s">
        <v>1465</v>
      </c>
      <c r="C51" s="189" t="s">
        <v>1479</v>
      </c>
      <c r="D51" s="189">
        <v>50</v>
      </c>
      <c r="E51" s="189" t="str">
        <f t="shared" ca="1" si="1"/>
        <v># &amp; % of population at risk potentially covered by ITNs distributed (# &amp; %)</v>
      </c>
      <c r="F51" s="189" t="s">
        <v>1702</v>
      </c>
      <c r="G51" s="190" t="s">
        <v>2395</v>
      </c>
      <c r="H51" s="190" t="s">
        <v>2076</v>
      </c>
      <c r="I51" s="332" t="s">
        <v>2549</v>
      </c>
    </row>
    <row r="52" spans="1:9" x14ac:dyDescent="0.2">
      <c r="A52" s="189">
        <v>12</v>
      </c>
      <c r="B52" s="189" t="s">
        <v>1465</v>
      </c>
      <c r="C52" s="189" t="s">
        <v>1479</v>
      </c>
      <c r="D52" s="189">
        <v>51</v>
      </c>
      <c r="E52" s="189" t="str">
        <f t="shared" ca="1" si="1"/>
        <v>Number of ITNs/LLINs distributed to target populations through ANC, EPI etc.</v>
      </c>
      <c r="F52" s="189" t="s">
        <v>1703</v>
      </c>
      <c r="G52" s="190" t="s">
        <v>2913</v>
      </c>
      <c r="H52" s="190" t="s">
        <v>2077</v>
      </c>
      <c r="I52" s="332" t="s">
        <v>2550</v>
      </c>
    </row>
    <row r="53" spans="1:9" x14ac:dyDescent="0.2">
      <c r="A53" s="189">
        <v>12</v>
      </c>
      <c r="B53" s="189" t="s">
        <v>1465</v>
      </c>
      <c r="C53" s="189" t="s">
        <v>1479</v>
      </c>
      <c r="D53" s="189">
        <v>52</v>
      </c>
      <c r="E53" s="189" t="str">
        <f t="shared" ca="1" si="1"/>
        <v># &amp; % of targeted risk groups receiving ITNs - pregnant women, children &lt;5, migrants, etc.</v>
      </c>
      <c r="F53" s="189" t="s">
        <v>1704</v>
      </c>
      <c r="G53" s="190" t="s">
        <v>2396</v>
      </c>
      <c r="H53" s="190" t="s">
        <v>2078</v>
      </c>
      <c r="I53" s="332" t="s">
        <v>2806</v>
      </c>
    </row>
    <row r="54" spans="1:9" x14ac:dyDescent="0.2">
      <c r="A54" s="189">
        <v>12</v>
      </c>
      <c r="B54" s="189" t="s">
        <v>1465</v>
      </c>
      <c r="C54" s="189" t="s">
        <v>1479</v>
      </c>
      <c r="D54" s="189">
        <v>53</v>
      </c>
      <c r="E54" s="189" t="str">
        <f t="shared" ca="1" si="1"/>
        <v># &amp; % of households in targeted areas that received IRS in the last 12 months</v>
      </c>
      <c r="F54" s="189" t="s">
        <v>1705</v>
      </c>
      <c r="G54" s="190" t="s">
        <v>2397</v>
      </c>
      <c r="H54" s="190" t="s">
        <v>2079</v>
      </c>
      <c r="I54" s="332" t="s">
        <v>2551</v>
      </c>
    </row>
    <row r="55" spans="1:9" x14ac:dyDescent="0.2">
      <c r="A55" s="189">
        <v>12</v>
      </c>
      <c r="B55" s="189" t="s">
        <v>1465</v>
      </c>
      <c r="C55" s="189" t="s">
        <v>1479</v>
      </c>
      <c r="D55" s="189">
        <v>54</v>
      </c>
      <c r="E55" s="189" t="str">
        <f t="shared" ca="1" si="1"/>
        <v># &amp; % of population protected by IRS within the last 12 months</v>
      </c>
      <c r="F55" s="189" t="s">
        <v>1706</v>
      </c>
      <c r="G55" s="190" t="s">
        <v>2398</v>
      </c>
      <c r="H55" s="190" t="s">
        <v>2080</v>
      </c>
      <c r="I55" s="332" t="s">
        <v>2552</v>
      </c>
    </row>
    <row r="56" spans="1:9" x14ac:dyDescent="0.2">
      <c r="A56" s="189">
        <v>13</v>
      </c>
      <c r="B56" s="189" t="s">
        <v>1465</v>
      </c>
      <c r="C56" s="189" t="s">
        <v>1480</v>
      </c>
      <c r="D56" s="189">
        <v>55</v>
      </c>
      <c r="E56" s="189" t="str">
        <f t="shared" ca="1" si="1"/>
        <v xml:space="preserve"># &amp; % of suspected malaria cases that receive a parasitological test </v>
      </c>
      <c r="F56" s="189" t="s">
        <v>1707</v>
      </c>
      <c r="G56" s="190" t="s">
        <v>2399</v>
      </c>
      <c r="H56" s="190" t="s">
        <v>2081</v>
      </c>
      <c r="I56" s="332" t="s">
        <v>2553</v>
      </c>
    </row>
    <row r="57" spans="1:9" x14ac:dyDescent="0.2">
      <c r="A57" s="189">
        <v>13</v>
      </c>
      <c r="B57" s="189" t="s">
        <v>1465</v>
      </c>
      <c r="C57" s="189" t="s">
        <v>1480</v>
      </c>
      <c r="D57" s="189">
        <v>56</v>
      </c>
      <c r="E57" s="189" t="str">
        <f t="shared" ca="1" si="1"/>
        <v># &amp; % of confirmed malaria cases that received first-line antimalarial treatment according to national policy (disaggregated by sex)</v>
      </c>
      <c r="F57" s="189" t="s">
        <v>1708</v>
      </c>
      <c r="G57" s="190" t="s">
        <v>2914</v>
      </c>
      <c r="H57" s="190" t="s">
        <v>2082</v>
      </c>
      <c r="I57" s="332" t="s">
        <v>2807</v>
      </c>
    </row>
    <row r="58" spans="1:9" x14ac:dyDescent="0.2">
      <c r="A58" s="189">
        <v>13</v>
      </c>
      <c r="B58" s="189" t="s">
        <v>1465</v>
      </c>
      <c r="C58" s="189" t="s">
        <v>1480</v>
      </c>
      <c r="D58" s="189">
        <v>57</v>
      </c>
      <c r="E58" s="189" t="str">
        <f t="shared" ca="1" si="1"/>
        <v># &amp; % of public sector health facilities or private sector sites without stock-outs of key commodities by month (also report on community health workers with no stock-outs)</v>
      </c>
      <c r="F58" s="189" t="s">
        <v>1709</v>
      </c>
      <c r="G58" s="190" t="s">
        <v>2400</v>
      </c>
      <c r="H58" s="190" t="s">
        <v>2083</v>
      </c>
      <c r="I58" s="332" t="s">
        <v>2808</v>
      </c>
    </row>
    <row r="59" spans="1:9" x14ac:dyDescent="0.2">
      <c r="A59" s="189">
        <v>13</v>
      </c>
      <c r="B59" s="189" t="s">
        <v>1465</v>
      </c>
      <c r="C59" s="189" t="s">
        <v>1480</v>
      </c>
      <c r="D59" s="189">
        <v>58</v>
      </c>
      <c r="E59" s="189" t="str">
        <f t="shared" ca="1" si="1"/>
        <v># &amp; % of confirmed cases fully investigated (including case investigation form, focus investigation form and active case detection) (malaria elimination phase)</v>
      </c>
      <c r="F59" s="189" t="s">
        <v>1710</v>
      </c>
      <c r="G59" s="190" t="s">
        <v>2401</v>
      </c>
      <c r="H59" s="190" t="s">
        <v>2084</v>
      </c>
      <c r="I59" s="332" t="s">
        <v>2554</v>
      </c>
    </row>
    <row r="60" spans="1:9" x14ac:dyDescent="0.2">
      <c r="A60" s="189">
        <v>13</v>
      </c>
      <c r="B60" s="189" t="s">
        <v>1465</v>
      </c>
      <c r="C60" s="189" t="s">
        <v>1480</v>
      </c>
      <c r="D60" s="189">
        <v>59</v>
      </c>
      <c r="E60" s="189" t="str">
        <f t="shared" ca="1" si="1"/>
        <v># &amp; % of foci fully investigated (malaria focus investigation form completed, including data from an entomological investigation) and registered (on register, with maps of each focus) (malaria elimination phase)</v>
      </c>
      <c r="F60" s="230" t="s">
        <v>1832</v>
      </c>
      <c r="G60" s="190" t="s">
        <v>2402</v>
      </c>
      <c r="H60" s="190" t="s">
        <v>2085</v>
      </c>
      <c r="I60" s="332" t="s">
        <v>2555</v>
      </c>
    </row>
    <row r="61" spans="1:9" x14ac:dyDescent="0.2">
      <c r="A61" s="189">
        <v>14</v>
      </c>
      <c r="B61" s="189" t="s">
        <v>1465</v>
      </c>
      <c r="C61" s="189" t="s">
        <v>1481</v>
      </c>
      <c r="D61" s="189">
        <v>60</v>
      </c>
      <c r="E61" s="189" t="str">
        <f t="shared" ca="1" si="1"/>
        <v xml:space="preserve"># &amp; % of women attending ANC who received at least 3 doses of intermittent preventive treatment </v>
      </c>
      <c r="F61" s="189" t="s">
        <v>1711</v>
      </c>
      <c r="G61" s="190" t="s">
        <v>2403</v>
      </c>
      <c r="H61" s="190" t="s">
        <v>2086</v>
      </c>
      <c r="I61" s="332" t="s">
        <v>2809</v>
      </c>
    </row>
    <row r="62" spans="1:9" x14ac:dyDescent="0.2">
      <c r="A62" s="189">
        <v>15</v>
      </c>
      <c r="B62" s="189" t="s">
        <v>1465</v>
      </c>
      <c r="C62" s="189" t="s">
        <v>1482</v>
      </c>
      <c r="D62" s="189">
        <v>61</v>
      </c>
      <c r="E62" s="189" t="str">
        <f t="shared" ca="1" si="1"/>
        <v xml:space="preserve"># &amp; % of reporting units submitting timely reports according to national guidelines </v>
      </c>
      <c r="F62" s="189" t="s">
        <v>1712</v>
      </c>
      <c r="G62" s="190" t="s">
        <v>2404</v>
      </c>
      <c r="H62" s="190" t="s">
        <v>2087</v>
      </c>
      <c r="I62" s="332" t="s">
        <v>2556</v>
      </c>
    </row>
    <row r="63" spans="1:9" x14ac:dyDescent="0.2">
      <c r="A63" s="189">
        <v>17</v>
      </c>
      <c r="B63" s="189" t="s">
        <v>1466</v>
      </c>
      <c r="C63" s="189" t="s">
        <v>1484</v>
      </c>
      <c r="D63" s="189">
        <v>62</v>
      </c>
      <c r="E63" s="189" t="str">
        <f t="shared" ca="1" si="1"/>
        <v># &amp; distribution of health facilities per 10,000 population</v>
      </c>
      <c r="F63" s="189" t="s">
        <v>1713</v>
      </c>
      <c r="G63" s="190" t="s">
        <v>2405</v>
      </c>
      <c r="H63" s="190" t="s">
        <v>2088</v>
      </c>
      <c r="I63" s="332" t="s">
        <v>2810</v>
      </c>
    </row>
    <row r="64" spans="1:9" x14ac:dyDescent="0.2">
      <c r="A64" s="189">
        <v>17</v>
      </c>
      <c r="B64" s="189" t="s">
        <v>1466</v>
      </c>
      <c r="C64" s="189" t="s">
        <v>1484</v>
      </c>
      <c r="D64" s="189">
        <v>63</v>
      </c>
      <c r="E64" s="189" t="str">
        <f t="shared" ca="1" si="1"/>
        <v>General service readiness score for health facilities</v>
      </c>
      <c r="F64" s="231" t="s">
        <v>1833</v>
      </c>
      <c r="G64" s="190" t="s">
        <v>2406</v>
      </c>
      <c r="H64" s="190" t="s">
        <v>2089</v>
      </c>
      <c r="I64" s="332" t="s">
        <v>2557</v>
      </c>
    </row>
    <row r="65" spans="1:9" x14ac:dyDescent="0.2">
      <c r="A65" s="189">
        <v>17</v>
      </c>
      <c r="B65" s="189" t="s">
        <v>1466</v>
      </c>
      <c r="C65" s="189" t="s">
        <v>1484</v>
      </c>
      <c r="D65" s="189">
        <v>64</v>
      </c>
      <c r="E65" s="189" t="str">
        <f t="shared" ca="1" si="1"/>
        <v>Specific service readiness score for health facilities (to be included in the disease specific modules)</v>
      </c>
      <c r="F65" s="193" t="s">
        <v>1714</v>
      </c>
      <c r="G65" s="190" t="s">
        <v>2407</v>
      </c>
      <c r="H65" s="190" t="s">
        <v>2090</v>
      </c>
      <c r="I65" s="332" t="s">
        <v>2558</v>
      </c>
    </row>
    <row r="66" spans="1:9" x14ac:dyDescent="0.2">
      <c r="A66" s="189">
        <v>17</v>
      </c>
      <c r="B66" s="189" t="s">
        <v>1466</v>
      </c>
      <c r="C66" s="189" t="s">
        <v>1484</v>
      </c>
      <c r="D66" s="189">
        <v>65</v>
      </c>
      <c r="E66" s="189" t="str">
        <f t="shared" ref="E66:E74" ca="1" si="2">OFFSET(F66,0,LangOffset,1,1)</f>
        <v># of outpatients visits per 10,000 population</v>
      </c>
      <c r="F66" s="189" t="s">
        <v>1715</v>
      </c>
      <c r="G66" s="190" t="s">
        <v>2408</v>
      </c>
      <c r="H66" s="190" t="s">
        <v>2091</v>
      </c>
      <c r="I66" s="332" t="s">
        <v>2811</v>
      </c>
    </row>
    <row r="67" spans="1:9" x14ac:dyDescent="0.2">
      <c r="A67" s="189">
        <v>18</v>
      </c>
      <c r="B67" s="189" t="s">
        <v>1466</v>
      </c>
      <c r="C67" s="189" t="s">
        <v>1485</v>
      </c>
      <c r="D67" s="189">
        <v>66</v>
      </c>
      <c r="E67" s="189" t="str">
        <f t="shared" ca="1" si="2"/>
        <v># of health workers per 10,000 population (report on community health workers as applicable)</v>
      </c>
      <c r="F67" s="189" t="s">
        <v>1716</v>
      </c>
      <c r="G67" s="190" t="s">
        <v>2409</v>
      </c>
      <c r="H67" s="190" t="s">
        <v>2092</v>
      </c>
      <c r="I67" s="332" t="s">
        <v>2559</v>
      </c>
    </row>
    <row r="68" spans="1:9" x14ac:dyDescent="0.2">
      <c r="A68" s="189">
        <v>18</v>
      </c>
      <c r="B68" s="189" t="s">
        <v>1466</v>
      </c>
      <c r="C68" s="189" t="s">
        <v>1485</v>
      </c>
      <c r="D68" s="189">
        <v>67</v>
      </c>
      <c r="E68" s="189" t="str">
        <f t="shared" ca="1" si="2"/>
        <v>Distribution of health workers (by occupation, specialization, region, sex)</v>
      </c>
      <c r="F68" s="193" t="s">
        <v>1717</v>
      </c>
      <c r="G68" s="190" t="s">
        <v>2410</v>
      </c>
      <c r="H68" s="190" t="s">
        <v>2093</v>
      </c>
      <c r="I68" s="332" t="s">
        <v>2812</v>
      </c>
    </row>
    <row r="69" spans="1:9" x14ac:dyDescent="0.2">
      <c r="A69" s="189">
        <v>18</v>
      </c>
      <c r="B69" s="189" t="s">
        <v>1466</v>
      </c>
      <c r="C69" s="189" t="s">
        <v>1485</v>
      </c>
      <c r="D69" s="189">
        <v>68</v>
      </c>
      <c r="E69" s="189" t="str">
        <f t="shared" ca="1" si="2"/>
        <v># of health workers newly recruited at primary health care facilities in the past 12 months, expressed as a percentage of planned recruitment target</v>
      </c>
      <c r="F69" s="189" t="s">
        <v>1718</v>
      </c>
      <c r="G69" s="190" t="s">
        <v>2411</v>
      </c>
      <c r="H69" s="190" t="s">
        <v>2094</v>
      </c>
      <c r="I69" s="332" t="s">
        <v>2813</v>
      </c>
    </row>
    <row r="70" spans="1:9" x14ac:dyDescent="0.2">
      <c r="A70" s="189">
        <v>18</v>
      </c>
      <c r="B70" s="189" t="s">
        <v>1466</v>
      </c>
      <c r="C70" s="189" t="s">
        <v>1485</v>
      </c>
      <c r="D70" s="189">
        <v>69</v>
      </c>
      <c r="E70" s="189" t="str">
        <f t="shared" ca="1" si="2"/>
        <v>Annual rate of retention of service providers at primary health care facilities</v>
      </c>
      <c r="F70" s="189" t="s">
        <v>1719</v>
      </c>
      <c r="G70" s="190" t="s">
        <v>2412</v>
      </c>
      <c r="H70" s="190" t="s">
        <v>2095</v>
      </c>
      <c r="I70" s="332" t="s">
        <v>2814</v>
      </c>
    </row>
    <row r="71" spans="1:9" x14ac:dyDescent="0.2">
      <c r="A71" s="189">
        <v>19</v>
      </c>
      <c r="B71" s="189" t="s">
        <v>1466</v>
      </c>
      <c r="C71" s="189" t="s">
        <v>1486</v>
      </c>
      <c r="D71" s="189">
        <v>70</v>
      </c>
      <c r="E71" s="189" t="str">
        <f t="shared" ca="1" si="2"/>
        <v>% of health facilities reporting no stock-outs of essential drugs</v>
      </c>
      <c r="F71" s="189" t="s">
        <v>1720</v>
      </c>
      <c r="G71" s="190" t="s">
        <v>2413</v>
      </c>
      <c r="H71" s="190" t="s">
        <v>2096</v>
      </c>
      <c r="I71" s="332" t="s">
        <v>2815</v>
      </c>
    </row>
    <row r="72" spans="1:9" x14ac:dyDescent="0.2">
      <c r="A72" s="189">
        <v>20</v>
      </c>
      <c r="B72" s="189" t="s">
        <v>1466</v>
      </c>
      <c r="C72" s="189" t="s">
        <v>1487</v>
      </c>
      <c r="D72" s="189">
        <v>71</v>
      </c>
      <c r="E72" s="189" t="str">
        <f t="shared" ca="1" si="2"/>
        <v># &amp; % of reporting units at the national, provincial or district level submitting timely reports according to national guidelines</v>
      </c>
      <c r="F72" s="189" t="s">
        <v>1721</v>
      </c>
      <c r="G72" s="190" t="s">
        <v>2414</v>
      </c>
      <c r="H72" s="190" t="s">
        <v>2097</v>
      </c>
      <c r="I72" s="332" t="s">
        <v>2816</v>
      </c>
    </row>
    <row r="73" spans="1:9" x14ac:dyDescent="0.2">
      <c r="A73" s="189">
        <v>20</v>
      </c>
      <c r="B73" s="189" t="s">
        <v>1466</v>
      </c>
      <c r="C73" s="189" t="s">
        <v>1487</v>
      </c>
      <c r="D73" s="189">
        <v>72</v>
      </c>
      <c r="E73" s="189" t="str">
        <f t="shared" ca="1" si="2"/>
        <v># &amp; % of deaths registered (as reported by civil or sample registration systems, hospitals, community-based reporting systems) among the total deaths for the same period and geographical region</v>
      </c>
      <c r="F73" s="230" t="s">
        <v>1834</v>
      </c>
      <c r="G73" s="190" t="s">
        <v>2415</v>
      </c>
      <c r="H73" s="190" t="s">
        <v>2098</v>
      </c>
      <c r="I73" s="332" t="s">
        <v>2817</v>
      </c>
    </row>
    <row r="74" spans="1:9" x14ac:dyDescent="0.2">
      <c r="A74" s="189">
        <v>22</v>
      </c>
      <c r="B74" s="189" t="s">
        <v>1466</v>
      </c>
      <c r="C74" s="189" t="s">
        <v>1489</v>
      </c>
      <c r="D74" s="189">
        <v>73</v>
      </c>
      <c r="E74" s="189" t="str">
        <f t="shared" ca="1" si="2"/>
        <v>Government expenditure on health as percentage of general government expenditure</v>
      </c>
      <c r="F74" s="189" t="s">
        <v>1722</v>
      </c>
      <c r="G74" s="190" t="s">
        <v>2416</v>
      </c>
      <c r="H74" s="190" t="s">
        <v>2099</v>
      </c>
      <c r="I74" s="332" t="s">
        <v>2560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[1]Modules!#REF!</xm:f>
          </x14:formula1>
          <xm:sqref>C1:C1048576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2"/>
  <sheetViews>
    <sheetView workbookViewId="0">
      <pane ySplit="1" topLeftCell="A2" activePane="bottomLeft" state="frozen"/>
      <selection activeCell="A2" sqref="A2:V5"/>
      <selection pane="bottomLeft" activeCell="G23" sqref="G23"/>
    </sheetView>
  </sheetViews>
  <sheetFormatPr defaultRowHeight="14.25" x14ac:dyDescent="0.2"/>
  <cols>
    <col min="1" max="1" width="7.42578125" style="189" bestFit="1" customWidth="1"/>
    <col min="2" max="2" width="10.140625" style="189" bestFit="1" customWidth="1"/>
    <col min="3" max="3" width="14.28515625" style="189" customWidth="1"/>
    <col min="4" max="4" width="10.85546875" style="189" bestFit="1" customWidth="1"/>
    <col min="5" max="5" width="13.140625" style="189" bestFit="1" customWidth="1"/>
    <col min="6" max="6" width="118.5703125" style="189" customWidth="1"/>
    <col min="7" max="7" width="44.85546875" style="189" customWidth="1"/>
    <col min="8" max="8" width="29.85546875" style="189" customWidth="1"/>
    <col min="9" max="9" width="22.5703125" style="189" bestFit="1" customWidth="1"/>
    <col min="10" max="10" width="13.140625" style="189" customWidth="1"/>
    <col min="11" max="16384" width="9.140625" style="189"/>
  </cols>
  <sheetData>
    <row r="1" spans="1:10" s="188" customFormat="1" ht="15" x14ac:dyDescent="0.25">
      <c r="A1" s="188" t="s">
        <v>1455</v>
      </c>
      <c r="B1" s="188" t="s">
        <v>1456</v>
      </c>
      <c r="C1" s="188" t="s">
        <v>894</v>
      </c>
      <c r="D1" s="188" t="s">
        <v>1723</v>
      </c>
      <c r="E1" s="188" t="s">
        <v>624</v>
      </c>
      <c r="F1" s="188" t="s">
        <v>1724</v>
      </c>
      <c r="G1" s="188" t="s">
        <v>1725</v>
      </c>
      <c r="H1" s="188" t="s">
        <v>1726</v>
      </c>
      <c r="I1" s="188" t="s">
        <v>1727</v>
      </c>
      <c r="J1" s="194"/>
    </row>
    <row r="2" spans="1:10" x14ac:dyDescent="0.2">
      <c r="A2" s="189">
        <v>1</v>
      </c>
      <c r="B2" s="189" t="s">
        <v>1461</v>
      </c>
      <c r="C2" s="189" t="s">
        <v>1472</v>
      </c>
      <c r="D2" s="189">
        <v>1</v>
      </c>
      <c r="E2" s="189" t="str">
        <f t="shared" ref="E2:E22" ca="1" si="0">OFFSET(F2,0,LangOffset,1,1)</f>
        <v>% of women and men aged 15–49 years who have had more than one sexual partner in the past 12 months (disaggregated by 15-19 and 20-24 age groups)</v>
      </c>
      <c r="F2" s="189" t="s">
        <v>1728</v>
      </c>
      <c r="G2" s="190" t="s">
        <v>2417</v>
      </c>
      <c r="H2" s="190" t="s">
        <v>2100</v>
      </c>
      <c r="I2" s="332" t="s">
        <v>2787</v>
      </c>
    </row>
    <row r="3" spans="1:10" x14ac:dyDescent="0.2">
      <c r="A3" s="189">
        <v>1</v>
      </c>
      <c r="B3" s="189" t="s">
        <v>1461</v>
      </c>
      <c r="C3" s="189" t="s">
        <v>1472</v>
      </c>
      <c r="D3" s="189">
        <v>2</v>
      </c>
      <c r="E3" s="189" t="str">
        <f t="shared" ca="1" si="0"/>
        <v>% of women and men aged 15–49 years who have had more than one sexual partner in the past 12 months reporting the use of a condom during their last sexual intercourse (disaggregated by 15-19 and 20-24 age groups)</v>
      </c>
      <c r="F3" s="189" t="s">
        <v>1729</v>
      </c>
      <c r="G3" s="190" t="s">
        <v>2418</v>
      </c>
      <c r="H3" s="190" t="s">
        <v>2101</v>
      </c>
      <c r="I3" s="332" t="s">
        <v>2788</v>
      </c>
    </row>
    <row r="4" spans="1:10" x14ac:dyDescent="0.2">
      <c r="A4" s="189">
        <v>1</v>
      </c>
      <c r="B4" s="189" t="s">
        <v>1461</v>
      </c>
      <c r="C4" s="189" t="s">
        <v>1472</v>
      </c>
      <c r="D4" s="189">
        <v>3</v>
      </c>
      <c r="E4" s="189" t="str">
        <f t="shared" ca="1" si="0"/>
        <v>% of men reporting the use of a condom the last time they had anal sex with a male partner</v>
      </c>
      <c r="F4" s="189" t="s">
        <v>1730</v>
      </c>
      <c r="G4" s="190" t="s">
        <v>2419</v>
      </c>
      <c r="H4" s="190" t="s">
        <v>2102</v>
      </c>
      <c r="I4" s="332" t="s">
        <v>2501</v>
      </c>
    </row>
    <row r="5" spans="1:10" x14ac:dyDescent="0.2">
      <c r="A5" s="189">
        <v>1</v>
      </c>
      <c r="B5" s="189" t="s">
        <v>1461</v>
      </c>
      <c r="C5" s="189" t="s">
        <v>1472</v>
      </c>
      <c r="D5" s="189">
        <v>4</v>
      </c>
      <c r="E5" s="189" t="str">
        <f t="shared" ca="1" si="0"/>
        <v>% of sex workers reporting use of a condom with their most recent client</v>
      </c>
      <c r="F5" s="189" t="s">
        <v>1731</v>
      </c>
      <c r="G5" s="190" t="s">
        <v>2420</v>
      </c>
      <c r="H5" s="190" t="s">
        <v>2103</v>
      </c>
      <c r="I5" s="332" t="s">
        <v>2502</v>
      </c>
    </row>
    <row r="6" spans="1:10" x14ac:dyDescent="0.2">
      <c r="A6" s="189">
        <v>1</v>
      </c>
      <c r="B6" s="189" t="s">
        <v>1461</v>
      </c>
      <c r="C6" s="189" t="s">
        <v>1472</v>
      </c>
      <c r="D6" s="189">
        <v>5</v>
      </c>
      <c r="E6" s="189" t="str">
        <f t="shared" ca="1" si="0"/>
        <v>% of PWID who reported using sterile injecting equipment the last time they injected</v>
      </c>
      <c r="F6" s="189" t="s">
        <v>1732</v>
      </c>
      <c r="G6" s="190" t="s">
        <v>2421</v>
      </c>
      <c r="H6" s="190" t="s">
        <v>2104</v>
      </c>
      <c r="I6" s="332" t="s">
        <v>2503</v>
      </c>
    </row>
    <row r="7" spans="1:10" x14ac:dyDescent="0.2">
      <c r="A7" s="189">
        <v>1</v>
      </c>
      <c r="B7" s="189" t="s">
        <v>1461</v>
      </c>
      <c r="C7" s="189" t="s">
        <v>1472</v>
      </c>
      <c r="D7" s="189">
        <v>6</v>
      </c>
      <c r="E7" s="189" t="str">
        <f t="shared" ca="1" si="0"/>
        <v xml:space="preserve">% of other populations (specify) who report the use of a condom at last sexual intercourse </v>
      </c>
      <c r="F7" s="189" t="s">
        <v>1733</v>
      </c>
      <c r="G7" s="190" t="s">
        <v>2422</v>
      </c>
      <c r="H7" s="190" t="s">
        <v>2105</v>
      </c>
      <c r="I7" s="332" t="s">
        <v>2504</v>
      </c>
    </row>
    <row r="8" spans="1:10" x14ac:dyDescent="0.2">
      <c r="A8" s="189">
        <v>1</v>
      </c>
      <c r="B8" s="189" t="s">
        <v>1461</v>
      </c>
      <c r="C8" s="189" t="s">
        <v>1472</v>
      </c>
      <c r="D8" s="189">
        <v>7</v>
      </c>
      <c r="E8" s="189" t="str">
        <f t="shared" ca="1" si="0"/>
        <v xml:space="preserve">% of current school attendance among orphans and non-orphans </v>
      </c>
      <c r="F8" s="189" t="s">
        <v>1734</v>
      </c>
      <c r="G8" s="190" t="s">
        <v>2423</v>
      </c>
      <c r="H8" s="190" t="s">
        <v>2106</v>
      </c>
      <c r="I8" s="332" t="s">
        <v>2789</v>
      </c>
    </row>
    <row r="9" spans="1:10" x14ac:dyDescent="0.2">
      <c r="A9" s="189">
        <v>1</v>
      </c>
      <c r="B9" s="189" t="s">
        <v>1461</v>
      </c>
      <c r="C9" s="189" t="s">
        <v>665</v>
      </c>
      <c r="D9" s="189">
        <v>8</v>
      </c>
      <c r="E9" s="189" t="str">
        <f t="shared" ca="1" si="0"/>
        <v>% of adults and children with HIV, known to be on treatment 12 months after initiation of ART (disaggregated by age and sex). Report also for 24 and 36 months</v>
      </c>
      <c r="F9" s="191" t="s">
        <v>1735</v>
      </c>
      <c r="G9" s="190" t="s">
        <v>2904</v>
      </c>
      <c r="H9" s="190" t="s">
        <v>2107</v>
      </c>
      <c r="I9" s="332" t="s">
        <v>2790</v>
      </c>
    </row>
    <row r="10" spans="1:10" x14ac:dyDescent="0.2">
      <c r="A10" s="189">
        <v>2</v>
      </c>
      <c r="B10" s="189" t="s">
        <v>1464</v>
      </c>
      <c r="D10" s="189">
        <v>9</v>
      </c>
      <c r="E10" s="189" t="str">
        <f t="shared" ca="1" si="0"/>
        <v>Case notification rate per 100,000 population- bacteriologically confirmed (new and relapse cases), (disaggregated by age and sex)</v>
      </c>
      <c r="F10" s="189" t="s">
        <v>1736</v>
      </c>
      <c r="G10" s="190" t="s">
        <v>2424</v>
      </c>
      <c r="H10" s="190" t="s">
        <v>2834</v>
      </c>
      <c r="I10" s="332" t="s">
        <v>2791</v>
      </c>
    </row>
    <row r="11" spans="1:10" x14ac:dyDescent="0.2">
      <c r="A11" s="189">
        <v>2</v>
      </c>
      <c r="B11" s="189" t="s">
        <v>1464</v>
      </c>
      <c r="D11" s="189">
        <v>10</v>
      </c>
      <c r="E11" s="189" t="str">
        <f t="shared" ca="1" si="0"/>
        <v>Case notification rate of all forms of TB per 100,000 population- bacteriologically confirmed plus clinically diagnosed (disaggregated by age and sex)</v>
      </c>
      <c r="F11" s="189" t="s">
        <v>1737</v>
      </c>
      <c r="G11" s="190" t="s">
        <v>2425</v>
      </c>
      <c r="H11" s="190" t="s">
        <v>2835</v>
      </c>
      <c r="I11" s="332" t="s">
        <v>2792</v>
      </c>
    </row>
    <row r="12" spans="1:10" x14ac:dyDescent="0.2">
      <c r="A12" s="189">
        <v>2</v>
      </c>
      <c r="B12" s="189" t="s">
        <v>1464</v>
      </c>
      <c r="D12" s="189">
        <v>11</v>
      </c>
      <c r="E12" s="189" t="str">
        <f t="shared" ca="1" si="0"/>
        <v>Treatment success rate- bacteriologically confirmed TB cases (disaggregated by age and sex)</v>
      </c>
      <c r="F12" s="189" t="s">
        <v>1738</v>
      </c>
      <c r="G12" s="190" t="s">
        <v>2426</v>
      </c>
      <c r="H12" s="190" t="s">
        <v>2836</v>
      </c>
      <c r="I12" s="332" t="s">
        <v>2793</v>
      </c>
    </row>
    <row r="13" spans="1:10" x14ac:dyDescent="0.2">
      <c r="A13" s="189">
        <v>2</v>
      </c>
      <c r="B13" s="189" t="s">
        <v>1464</v>
      </c>
      <c r="D13" s="189">
        <v>12</v>
      </c>
      <c r="E13" s="189" t="str">
        <f t="shared" ca="1" si="0"/>
        <v>Treatment success rate- all forms of TB</v>
      </c>
      <c r="F13" s="189" t="s">
        <v>1739</v>
      </c>
      <c r="G13" s="190" t="s">
        <v>2427</v>
      </c>
      <c r="H13" s="190" t="s">
        <v>2108</v>
      </c>
      <c r="I13" s="332" t="s">
        <v>2505</v>
      </c>
    </row>
    <row r="14" spans="1:10" x14ac:dyDescent="0.2">
      <c r="A14" s="189">
        <v>2</v>
      </c>
      <c r="B14" s="189" t="s">
        <v>1464</v>
      </c>
      <c r="D14" s="189">
        <v>13</v>
      </c>
      <c r="E14" s="189" t="str">
        <f t="shared" ca="1" si="0"/>
        <v>Notification of MDR-TB: Notified cases of bacteriologically confirmed, drug resistant TB (RR-TB and/or MDR-TB) as a proportion of the estimated MDR TB cases among the notified TB cases (# &amp; %)</v>
      </c>
      <c r="F14" s="189" t="s">
        <v>1740</v>
      </c>
      <c r="G14" s="190" t="s">
        <v>2428</v>
      </c>
      <c r="H14" s="190" t="s">
        <v>2109</v>
      </c>
      <c r="I14" s="332" t="s">
        <v>2506</v>
      </c>
    </row>
    <row r="15" spans="1:10" x14ac:dyDescent="0.2">
      <c r="A15" s="189">
        <v>2</v>
      </c>
      <c r="B15" s="189" t="s">
        <v>1464</v>
      </c>
      <c r="D15" s="189">
        <v>14</v>
      </c>
      <c r="E15" s="189" t="str">
        <f t="shared" ca="1" si="0"/>
        <v xml:space="preserve">Treatment success rate- MDR-TB </v>
      </c>
      <c r="F15" s="189" t="s">
        <v>1741</v>
      </c>
      <c r="G15" s="190" t="s">
        <v>2429</v>
      </c>
      <c r="H15" s="190" t="s">
        <v>2837</v>
      </c>
      <c r="I15" s="332" t="s">
        <v>2507</v>
      </c>
    </row>
    <row r="16" spans="1:10" x14ac:dyDescent="0.2">
      <c r="A16" s="189">
        <v>2</v>
      </c>
      <c r="B16" s="189" t="s">
        <v>1464</v>
      </c>
      <c r="D16" s="189">
        <v>15</v>
      </c>
      <c r="E16" s="189" t="str">
        <f t="shared" ca="1" si="0"/>
        <v xml:space="preserve">% of bacteriologically confirmed drug </v>
      </c>
      <c r="F16" s="189" t="s">
        <v>1742</v>
      </c>
      <c r="G16" s="190" t="s">
        <v>2430</v>
      </c>
      <c r="H16" s="190" t="s">
        <v>2110</v>
      </c>
      <c r="I16" s="332" t="s">
        <v>2508</v>
      </c>
    </row>
    <row r="17" spans="1:9" x14ac:dyDescent="0.2">
      <c r="A17" s="189">
        <v>3</v>
      </c>
      <c r="B17" s="189" t="s">
        <v>1465</v>
      </c>
      <c r="D17" s="189">
        <v>16</v>
      </c>
      <c r="E17" s="189" t="str">
        <f t="shared" ca="1" si="0"/>
        <v>Proportion of population that slept under an ITN the previous night (disaggregated by age, sex, pregnancy status, geographical location)</v>
      </c>
      <c r="F17" s="189" t="s">
        <v>1743</v>
      </c>
      <c r="G17" s="190" t="s">
        <v>2431</v>
      </c>
      <c r="H17" s="190" t="s">
        <v>2838</v>
      </c>
      <c r="I17" s="332" t="s">
        <v>2794</v>
      </c>
    </row>
    <row r="18" spans="1:9" x14ac:dyDescent="0.2">
      <c r="A18" s="189">
        <v>3</v>
      </c>
      <c r="B18" s="189" t="s">
        <v>1465</v>
      </c>
      <c r="D18" s="189">
        <v>17</v>
      </c>
      <c r="E18" s="189" t="str">
        <f t="shared" ca="1" si="0"/>
        <v>Proportion of households with at least one ITN for every two people and/or sprayed by IRS within the last 12 months</v>
      </c>
      <c r="F18" s="189" t="s">
        <v>1744</v>
      </c>
      <c r="G18" s="190" t="s">
        <v>2432</v>
      </c>
      <c r="H18" s="190" t="s">
        <v>2111</v>
      </c>
      <c r="I18" s="332" t="s">
        <v>2509</v>
      </c>
    </row>
    <row r="19" spans="1:9" x14ac:dyDescent="0.2">
      <c r="A19" s="189">
        <v>3</v>
      </c>
      <c r="B19" s="189" t="s">
        <v>1465</v>
      </c>
      <c r="D19" s="189">
        <v>18</v>
      </c>
      <c r="E19" s="189" t="str">
        <f t="shared" ca="1" si="0"/>
        <v>Proportion of households with at least one ITN</v>
      </c>
      <c r="F19" s="189" t="s">
        <v>1745</v>
      </c>
      <c r="G19" s="190" t="s">
        <v>2433</v>
      </c>
      <c r="H19" s="190" t="s">
        <v>2112</v>
      </c>
      <c r="I19" s="332" t="s">
        <v>2510</v>
      </c>
    </row>
    <row r="20" spans="1:9" x14ac:dyDescent="0.2">
      <c r="A20" s="189">
        <v>3</v>
      </c>
      <c r="B20" s="189" t="s">
        <v>1465</v>
      </c>
      <c r="D20" s="189">
        <v>19</v>
      </c>
      <c r="E20" s="189" t="str">
        <f t="shared" ca="1" si="0"/>
        <v>Proportion of households with at least one ITN for every two people</v>
      </c>
      <c r="F20" s="189" t="s">
        <v>1746</v>
      </c>
      <c r="G20" s="190" t="s">
        <v>2434</v>
      </c>
      <c r="H20" s="190" t="s">
        <v>2113</v>
      </c>
      <c r="I20" s="332" t="s">
        <v>2511</v>
      </c>
    </row>
    <row r="21" spans="1:9" x14ac:dyDescent="0.2">
      <c r="A21" s="189">
        <v>6</v>
      </c>
      <c r="B21" s="189" t="s">
        <v>1466</v>
      </c>
      <c r="D21" s="189">
        <v>20</v>
      </c>
      <c r="E21" s="189" t="str">
        <f t="shared" ca="1" si="0"/>
        <v>% of women attending antenatal care</v>
      </c>
      <c r="F21" s="189" t="s">
        <v>1747</v>
      </c>
      <c r="G21" s="190" t="s">
        <v>2435</v>
      </c>
      <c r="H21" s="190" t="s">
        <v>2114</v>
      </c>
      <c r="I21" s="332" t="s">
        <v>2512</v>
      </c>
    </row>
    <row r="22" spans="1:9" x14ac:dyDescent="0.2">
      <c r="A22" s="189">
        <v>6</v>
      </c>
      <c r="B22" s="189" t="s">
        <v>1466</v>
      </c>
      <c r="D22" s="189">
        <v>21</v>
      </c>
      <c r="E22" s="189" t="str">
        <f t="shared" ca="1" si="0"/>
        <v xml:space="preserve">% of births attended by skilled birth health professional </v>
      </c>
      <c r="F22" s="189" t="s">
        <v>1748</v>
      </c>
      <c r="G22" s="190" t="s">
        <v>2436</v>
      </c>
      <c r="H22" s="190" t="s">
        <v>2115</v>
      </c>
      <c r="I22" s="332" t="s">
        <v>2513</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[1]Modules!#REF!</xm:f>
          </x14:formula1>
          <xm:sqref>C1:C1048576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7"/>
  <sheetViews>
    <sheetView topLeftCell="C1" workbookViewId="0">
      <pane ySplit="1" topLeftCell="A2" activePane="bottomLeft" state="frozen"/>
      <selection activeCell="A2" sqref="A2:V5"/>
      <selection pane="bottomLeft" activeCell="H29" sqref="H29"/>
    </sheetView>
  </sheetViews>
  <sheetFormatPr defaultRowHeight="14.25" x14ac:dyDescent="0.2"/>
  <cols>
    <col min="1" max="1" width="7.42578125" style="189" bestFit="1" customWidth="1"/>
    <col min="2" max="2" width="10.140625" style="189" bestFit="1" customWidth="1"/>
    <col min="3" max="3" width="18.28515625" style="189" customWidth="1"/>
    <col min="4" max="4" width="10.7109375" style="189" bestFit="1" customWidth="1"/>
    <col min="5" max="5" width="13.140625" style="189" bestFit="1" customWidth="1"/>
    <col min="6" max="6" width="94.42578125" style="189" bestFit="1" customWidth="1"/>
    <col min="7" max="7" width="19.28515625" style="189" bestFit="1" customWidth="1"/>
    <col min="8" max="8" width="20.28515625" style="189" bestFit="1" customWidth="1"/>
    <col min="9" max="9" width="20" style="189" bestFit="1" customWidth="1"/>
    <col min="10" max="16384" width="9.140625" style="189"/>
  </cols>
  <sheetData>
    <row r="1" spans="1:9" s="188" customFormat="1" ht="15" x14ac:dyDescent="0.25">
      <c r="A1" s="188" t="s">
        <v>1455</v>
      </c>
      <c r="B1" s="188" t="s">
        <v>1456</v>
      </c>
      <c r="C1" s="188" t="s">
        <v>894</v>
      </c>
      <c r="D1" s="188" t="s">
        <v>1749</v>
      </c>
      <c r="E1" s="188" t="s">
        <v>624</v>
      </c>
      <c r="F1" s="188" t="s">
        <v>1750</v>
      </c>
      <c r="G1" s="188" t="s">
        <v>1751</v>
      </c>
      <c r="H1" s="188" t="s">
        <v>1752</v>
      </c>
      <c r="I1" s="188" t="s">
        <v>1753</v>
      </c>
    </row>
    <row r="2" spans="1:9" x14ac:dyDescent="0.2">
      <c r="A2" s="189">
        <v>1</v>
      </c>
      <c r="B2" s="189" t="s">
        <v>1461</v>
      </c>
      <c r="C2" s="189" t="s">
        <v>1472</v>
      </c>
      <c r="D2" s="189">
        <v>1</v>
      </c>
      <c r="E2" s="189" t="str">
        <f t="shared" ref="E2:E27" ca="1" si="0">OFFSET(F2,0,LangOffset,1,1)</f>
        <v>% of young women and men aged 15-24 years who are HIV infected</v>
      </c>
      <c r="F2" s="189" t="s">
        <v>1754</v>
      </c>
      <c r="G2" s="190" t="s">
        <v>2437</v>
      </c>
      <c r="H2" s="190" t="s">
        <v>2116</v>
      </c>
      <c r="I2" s="332" t="s">
        <v>2778</v>
      </c>
    </row>
    <row r="3" spans="1:9" x14ac:dyDescent="0.2">
      <c r="A3" s="189">
        <v>1</v>
      </c>
      <c r="B3" s="189" t="s">
        <v>1461</v>
      </c>
      <c r="C3" s="189" t="s">
        <v>1472</v>
      </c>
      <c r="D3" s="189">
        <v>2</v>
      </c>
      <c r="E3" s="189" t="str">
        <f t="shared" ca="1" si="0"/>
        <v>HIV prevalence among 15-49 age group</v>
      </c>
      <c r="F3" s="189" t="s">
        <v>1755</v>
      </c>
      <c r="G3" s="190" t="s">
        <v>2438</v>
      </c>
      <c r="H3" s="190" t="s">
        <v>2117</v>
      </c>
      <c r="I3" s="332" t="s">
        <v>2483</v>
      </c>
    </row>
    <row r="4" spans="1:9" x14ac:dyDescent="0.2">
      <c r="A4" s="189">
        <v>1</v>
      </c>
      <c r="B4" s="189" t="s">
        <v>1461</v>
      </c>
      <c r="C4" s="189" t="s">
        <v>1472</v>
      </c>
      <c r="D4" s="189">
        <v>3</v>
      </c>
      <c r="E4" s="189" t="str">
        <f t="shared" ca="1" si="0"/>
        <v>New HIV infections (per 100 person-year population)</v>
      </c>
      <c r="F4" s="189" t="s">
        <v>1756</v>
      </c>
      <c r="G4" s="190" t="s">
        <v>2439</v>
      </c>
      <c r="H4" s="190" t="s">
        <v>2118</v>
      </c>
      <c r="I4" s="332" t="s">
        <v>2484</v>
      </c>
    </row>
    <row r="5" spans="1:9" x14ac:dyDescent="0.2">
      <c r="A5" s="189">
        <v>1</v>
      </c>
      <c r="B5" s="189" t="s">
        <v>1461</v>
      </c>
      <c r="C5" s="189" t="s">
        <v>1472</v>
      </c>
      <c r="D5" s="189">
        <v>4</v>
      </c>
      <c r="E5" s="189" t="str">
        <f t="shared" ca="1" si="0"/>
        <v>AIDS related mortality (disaggregated by age and sex)</v>
      </c>
      <c r="F5" s="189" t="s">
        <v>1757</v>
      </c>
      <c r="G5" s="190" t="s">
        <v>2440</v>
      </c>
      <c r="H5" s="190" t="s">
        <v>2831</v>
      </c>
      <c r="I5" s="332" t="s">
        <v>2779</v>
      </c>
    </row>
    <row r="6" spans="1:9" x14ac:dyDescent="0.2">
      <c r="A6" s="189">
        <v>1</v>
      </c>
      <c r="B6" s="189" t="s">
        <v>1461</v>
      </c>
      <c r="C6" s="189" t="s">
        <v>1472</v>
      </c>
      <c r="D6" s="189">
        <v>5</v>
      </c>
      <c r="E6" s="189" t="str">
        <f t="shared" ca="1" si="0"/>
        <v>Modelled lives saved based on latest epidemiological data</v>
      </c>
      <c r="F6" s="189" t="s">
        <v>1758</v>
      </c>
      <c r="G6" s="190" t="s">
        <v>2441</v>
      </c>
      <c r="H6" s="190" t="s">
        <v>2129</v>
      </c>
      <c r="I6" s="332" t="s">
        <v>2485</v>
      </c>
    </row>
    <row r="7" spans="1:9" x14ac:dyDescent="0.2">
      <c r="A7" s="189">
        <v>1</v>
      </c>
      <c r="B7" s="189" t="s">
        <v>1461</v>
      </c>
      <c r="C7" s="189" t="s">
        <v>1472</v>
      </c>
      <c r="D7" s="189">
        <v>6</v>
      </c>
      <c r="E7" s="189" t="str">
        <f t="shared" ca="1" si="0"/>
        <v xml:space="preserve">Percentage of men who have sex with men who are living with HIV </v>
      </c>
      <c r="F7" s="189" t="s">
        <v>1759</v>
      </c>
      <c r="G7" s="190" t="s">
        <v>2442</v>
      </c>
      <c r="H7" s="190" t="s">
        <v>2119</v>
      </c>
      <c r="I7" s="332" t="s">
        <v>2780</v>
      </c>
    </row>
    <row r="8" spans="1:9" x14ac:dyDescent="0.2">
      <c r="A8" s="189">
        <v>1</v>
      </c>
      <c r="B8" s="189" t="s">
        <v>1461</v>
      </c>
      <c r="C8" s="189" t="s">
        <v>1472</v>
      </c>
      <c r="D8" s="189">
        <v>7</v>
      </c>
      <c r="E8" s="189" t="str">
        <f t="shared" ca="1" si="0"/>
        <v xml:space="preserve">Percentage of sex workers who are living with HIV </v>
      </c>
      <c r="F8" s="189" t="s">
        <v>1760</v>
      </c>
      <c r="G8" s="190" t="s">
        <v>2443</v>
      </c>
      <c r="H8" s="190" t="s">
        <v>2120</v>
      </c>
      <c r="I8" s="332" t="s">
        <v>2781</v>
      </c>
    </row>
    <row r="9" spans="1:9" x14ac:dyDescent="0.2">
      <c r="A9" s="189">
        <v>1</v>
      </c>
      <c r="B9" s="189" t="s">
        <v>1461</v>
      </c>
      <c r="C9" s="189" t="s">
        <v>1472</v>
      </c>
      <c r="D9" s="189">
        <v>8</v>
      </c>
      <c r="E9" s="189" t="str">
        <f t="shared" ca="1" si="0"/>
        <v>Percentage of people who inject drugs who are living with HIV</v>
      </c>
      <c r="F9" s="189" t="s">
        <v>1761</v>
      </c>
      <c r="G9" s="190" t="s">
        <v>2444</v>
      </c>
      <c r="H9" s="190" t="s">
        <v>2121</v>
      </c>
      <c r="I9" s="332" t="s">
        <v>2782</v>
      </c>
    </row>
    <row r="10" spans="1:9" x14ac:dyDescent="0.2">
      <c r="A10" s="189">
        <v>1</v>
      </c>
      <c r="B10" s="189" t="s">
        <v>1461</v>
      </c>
      <c r="C10" s="189" t="s">
        <v>1472</v>
      </c>
      <c r="D10" s="189">
        <v>9</v>
      </c>
      <c r="E10" s="189" t="str">
        <f t="shared" ca="1" si="0"/>
        <v>Percentage of Other Populations (specify) who are living with HIV</v>
      </c>
      <c r="F10" s="189" t="s">
        <v>1762</v>
      </c>
      <c r="G10" s="190" t="s">
        <v>2445</v>
      </c>
      <c r="H10" s="190" t="s">
        <v>2122</v>
      </c>
      <c r="I10" s="332" t="s">
        <v>2486</v>
      </c>
    </row>
    <row r="11" spans="1:9" x14ac:dyDescent="0.2">
      <c r="A11" s="189">
        <v>1</v>
      </c>
      <c r="B11" s="189" t="s">
        <v>1461</v>
      </c>
      <c r="C11" s="189" t="s">
        <v>1472</v>
      </c>
      <c r="D11" s="189">
        <v>10</v>
      </c>
      <c r="E11" s="189" t="str">
        <f t="shared" ca="1" si="0"/>
        <v>STI prevalence (key populations, pregnant women, as applicable)</v>
      </c>
      <c r="F11" s="189" t="s">
        <v>1763</v>
      </c>
      <c r="G11" s="190" t="s">
        <v>2446</v>
      </c>
      <c r="H11" s="190" t="s">
        <v>2123</v>
      </c>
      <c r="I11" s="332" t="s">
        <v>2783</v>
      </c>
    </row>
    <row r="12" spans="1:9" x14ac:dyDescent="0.2">
      <c r="A12" s="189">
        <v>1</v>
      </c>
      <c r="B12" s="189" t="s">
        <v>1461</v>
      </c>
      <c r="C12" s="189" t="s">
        <v>893</v>
      </c>
      <c r="D12" s="189">
        <v>11</v>
      </c>
      <c r="E12" s="189" t="str">
        <f t="shared" ca="1" si="0"/>
        <v>% of infants born to HIV infected mothers who are infected</v>
      </c>
      <c r="F12" s="189" t="s">
        <v>1764</v>
      </c>
      <c r="G12" s="190" t="s">
        <v>2447</v>
      </c>
      <c r="H12" s="190" t="s">
        <v>2124</v>
      </c>
      <c r="I12" s="332" t="s">
        <v>2784</v>
      </c>
    </row>
    <row r="13" spans="1:9" x14ac:dyDescent="0.2">
      <c r="A13" s="189">
        <v>2</v>
      </c>
      <c r="B13" s="189" t="s">
        <v>1464</v>
      </c>
      <c r="D13" s="189">
        <v>12</v>
      </c>
      <c r="E13" s="189" t="str">
        <f t="shared" ca="1" si="0"/>
        <v>TB incidence rate</v>
      </c>
      <c r="F13" s="189" t="s">
        <v>1765</v>
      </c>
      <c r="G13" s="190" t="s">
        <v>2448</v>
      </c>
      <c r="H13" s="190" t="s">
        <v>2125</v>
      </c>
      <c r="I13" s="332" t="s">
        <v>2487</v>
      </c>
    </row>
    <row r="14" spans="1:9" x14ac:dyDescent="0.2">
      <c r="A14" s="189">
        <v>2</v>
      </c>
      <c r="B14" s="189" t="s">
        <v>1464</v>
      </c>
      <c r="D14" s="189">
        <v>13</v>
      </c>
      <c r="E14" s="189" t="str">
        <f t="shared" ca="1" si="0"/>
        <v>TB prevalence rate</v>
      </c>
      <c r="F14" s="189" t="s">
        <v>745</v>
      </c>
      <c r="G14" s="190" t="s">
        <v>2449</v>
      </c>
      <c r="H14" s="190" t="s">
        <v>2126</v>
      </c>
      <c r="I14" s="332" t="s">
        <v>2488</v>
      </c>
    </row>
    <row r="15" spans="1:9" x14ac:dyDescent="0.2">
      <c r="A15" s="189">
        <v>2</v>
      </c>
      <c r="B15" s="189" t="s">
        <v>1464</v>
      </c>
      <c r="D15" s="189">
        <v>14</v>
      </c>
      <c r="E15" s="189" t="str">
        <f t="shared" ca="1" si="0"/>
        <v>TB mortality rate</v>
      </c>
      <c r="F15" s="189" t="s">
        <v>746</v>
      </c>
      <c r="G15" s="190" t="s">
        <v>2450</v>
      </c>
      <c r="H15" s="190" t="s">
        <v>2127</v>
      </c>
      <c r="I15" s="332" t="s">
        <v>2489</v>
      </c>
    </row>
    <row r="16" spans="1:9" x14ac:dyDescent="0.2">
      <c r="A16" s="189">
        <v>2</v>
      </c>
      <c r="B16" s="189" t="s">
        <v>1464</v>
      </c>
      <c r="D16" s="189">
        <v>15</v>
      </c>
      <c r="E16" s="189" t="str">
        <f t="shared" ca="1" si="0"/>
        <v xml:space="preserve">MDR prevalence  among new TB patients </v>
      </c>
      <c r="F16" s="189" t="s">
        <v>1766</v>
      </c>
      <c r="G16" s="190" t="s">
        <v>2903</v>
      </c>
      <c r="H16" s="190" t="s">
        <v>2128</v>
      </c>
      <c r="I16" s="332" t="s">
        <v>2490</v>
      </c>
    </row>
    <row r="17" spans="1:9" x14ac:dyDescent="0.2">
      <c r="A17" s="189">
        <v>2</v>
      </c>
      <c r="B17" s="189" t="s">
        <v>1464</v>
      </c>
      <c r="D17" s="189">
        <v>16</v>
      </c>
      <c r="E17" s="189" t="str">
        <f t="shared" ca="1" si="0"/>
        <v>Modeled lives saved (based on latest epidemiological data)</v>
      </c>
      <c r="F17" s="189" t="s">
        <v>1767</v>
      </c>
      <c r="G17" s="190" t="s">
        <v>2451</v>
      </c>
      <c r="H17" s="190" t="s">
        <v>2129</v>
      </c>
      <c r="I17" s="332" t="s">
        <v>2485</v>
      </c>
    </row>
    <row r="18" spans="1:9" x14ac:dyDescent="0.2">
      <c r="A18" s="189">
        <v>3</v>
      </c>
      <c r="B18" s="189" t="s">
        <v>1465</v>
      </c>
      <c r="D18" s="189">
        <v>17</v>
      </c>
      <c r="E18" s="189" t="str">
        <f t="shared" ca="1" si="0"/>
        <v xml:space="preserve">Confirmed malaria cases (microscopy or RDT) per 1000 persons per year (disaggregated by sex) </v>
      </c>
      <c r="F18" s="189" t="s">
        <v>1768</v>
      </c>
      <c r="G18" s="190" t="s">
        <v>2452</v>
      </c>
      <c r="H18" s="190" t="s">
        <v>2832</v>
      </c>
      <c r="I18" s="332" t="s">
        <v>2785</v>
      </c>
    </row>
    <row r="19" spans="1:9" x14ac:dyDescent="0.2">
      <c r="A19" s="189">
        <v>3</v>
      </c>
      <c r="B19" s="189" t="s">
        <v>1465</v>
      </c>
      <c r="D19" s="189">
        <v>18</v>
      </c>
      <c r="E19" s="189" t="str">
        <f t="shared" ca="1" si="0"/>
        <v>Reported malaria cases (disaggregated by sex)</v>
      </c>
      <c r="F19" s="189" t="s">
        <v>1769</v>
      </c>
      <c r="G19" s="190" t="s">
        <v>2453</v>
      </c>
      <c r="H19" s="190" t="s">
        <v>2833</v>
      </c>
      <c r="I19" s="332" t="s">
        <v>2786</v>
      </c>
    </row>
    <row r="20" spans="1:9" x14ac:dyDescent="0.2">
      <c r="A20" s="189">
        <v>3</v>
      </c>
      <c r="B20" s="189" t="s">
        <v>1465</v>
      </c>
      <c r="D20" s="189">
        <v>19</v>
      </c>
      <c r="E20" s="189" t="str">
        <f t="shared" ca="1" si="0"/>
        <v>Parasite prevalence: Proportion of children aged 6-59 months with malaria infection</v>
      </c>
      <c r="F20" s="189" t="s">
        <v>1770</v>
      </c>
      <c r="G20" s="190" t="s">
        <v>2454</v>
      </c>
      <c r="H20" s="190" t="s">
        <v>2130</v>
      </c>
      <c r="I20" s="332" t="s">
        <v>2491</v>
      </c>
    </row>
    <row r="21" spans="1:9" x14ac:dyDescent="0.2">
      <c r="A21" s="189">
        <v>3</v>
      </c>
      <c r="B21" s="189" t="s">
        <v>1465</v>
      </c>
      <c r="D21" s="189">
        <v>20</v>
      </c>
      <c r="E21" s="189" t="str">
        <f t="shared" ca="1" si="0"/>
        <v>Inpatient malaria deaths per 100o persons per year</v>
      </c>
      <c r="F21" s="189" t="s">
        <v>1771</v>
      </c>
      <c r="G21" s="190" t="s">
        <v>2455</v>
      </c>
      <c r="H21" s="190" t="s">
        <v>2131</v>
      </c>
      <c r="I21" s="332" t="s">
        <v>2492</v>
      </c>
    </row>
    <row r="22" spans="1:9" x14ac:dyDescent="0.2">
      <c r="A22" s="189">
        <v>3</v>
      </c>
      <c r="B22" s="189" t="s">
        <v>1465</v>
      </c>
      <c r="D22" s="189">
        <v>21</v>
      </c>
      <c r="E22" s="189" t="str">
        <f t="shared" ca="1" si="0"/>
        <v>Malaria test positivity rate</v>
      </c>
      <c r="F22" s="189" t="s">
        <v>1772</v>
      </c>
      <c r="G22" s="190" t="s">
        <v>2456</v>
      </c>
      <c r="H22" s="190" t="s">
        <v>2132</v>
      </c>
      <c r="I22" s="332" t="s">
        <v>2493</v>
      </c>
    </row>
    <row r="23" spans="1:9" x14ac:dyDescent="0.2">
      <c r="A23" s="189">
        <v>3</v>
      </c>
      <c r="B23" s="189" t="s">
        <v>1465</v>
      </c>
      <c r="D23" s="189">
        <v>22</v>
      </c>
      <c r="E23" s="189" t="str">
        <f t="shared" ca="1" si="0"/>
        <v>All-cause under-5 mortality rate</v>
      </c>
      <c r="F23" s="189" t="s">
        <v>1773</v>
      </c>
      <c r="G23" s="190" t="s">
        <v>2457</v>
      </c>
      <c r="H23" s="190" t="s">
        <v>2133</v>
      </c>
      <c r="I23" s="332" t="s">
        <v>2494</v>
      </c>
    </row>
    <row r="24" spans="1:9" x14ac:dyDescent="0.2">
      <c r="A24" s="189">
        <v>3</v>
      </c>
      <c r="B24" s="189" t="s">
        <v>1465</v>
      </c>
      <c r="D24" s="189">
        <v>23</v>
      </c>
      <c r="E24" s="189" t="str">
        <f t="shared" ca="1" si="0"/>
        <v>Modeled lives saved (based on latest epidemiological data)</v>
      </c>
      <c r="F24" s="189" t="s">
        <v>1767</v>
      </c>
      <c r="G24" s="190" t="s">
        <v>2451</v>
      </c>
      <c r="H24" s="190" t="s">
        <v>2129</v>
      </c>
      <c r="I24" s="332" t="s">
        <v>2485</v>
      </c>
    </row>
    <row r="25" spans="1:9" x14ac:dyDescent="0.2">
      <c r="A25" s="189">
        <v>6</v>
      </c>
      <c r="B25" s="189" t="s">
        <v>1466</v>
      </c>
      <c r="D25" s="189">
        <v>24</v>
      </c>
      <c r="E25" s="189" t="str">
        <f t="shared" ca="1" si="0"/>
        <v>Under 5 mortality rate per 1000 live births</v>
      </c>
      <c r="F25" s="189" t="s">
        <v>1774</v>
      </c>
      <c r="G25" s="190" t="s">
        <v>2458</v>
      </c>
      <c r="H25" s="190" t="s">
        <v>2134</v>
      </c>
      <c r="I25" s="332" t="s">
        <v>2495</v>
      </c>
    </row>
    <row r="26" spans="1:9" x14ac:dyDescent="0.2">
      <c r="A26" s="189">
        <v>6</v>
      </c>
      <c r="B26" s="189" t="s">
        <v>1466</v>
      </c>
      <c r="D26" s="189">
        <v>25</v>
      </c>
      <c r="E26" s="189" t="str">
        <f t="shared" ca="1" si="0"/>
        <v xml:space="preserve">Maternal mortality ratio </v>
      </c>
      <c r="F26" s="189" t="s">
        <v>1775</v>
      </c>
      <c r="G26" s="190" t="s">
        <v>2459</v>
      </c>
      <c r="H26" s="190" t="s">
        <v>2135</v>
      </c>
      <c r="I26" s="332" t="s">
        <v>2496</v>
      </c>
    </row>
    <row r="27" spans="1:9" x14ac:dyDescent="0.2">
      <c r="A27" s="189">
        <v>6</v>
      </c>
      <c r="B27" s="189" t="s">
        <v>1466</v>
      </c>
      <c r="D27" s="189">
        <v>26</v>
      </c>
      <c r="E27" s="189" t="str">
        <f t="shared" ca="1" si="0"/>
        <v>Ratio of household out-of-pocket payments for health to total expenditure on health</v>
      </c>
      <c r="F27" s="189" t="s">
        <v>1776</v>
      </c>
      <c r="G27" s="190" t="s">
        <v>2460</v>
      </c>
      <c r="H27" s="190" t="s">
        <v>2136</v>
      </c>
      <c r="I27" s="332" t="s">
        <v>2497</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[1]Modules!#REF!</xm:f>
          </x14:formula1>
          <xm:sqref>C1:C1048576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
  <sheetViews>
    <sheetView workbookViewId="0">
      <pane ySplit="1" topLeftCell="A38" activePane="bottomLeft" state="frozen"/>
      <selection activeCell="A2" sqref="A2:V5"/>
      <selection pane="bottomLeft" activeCell="F67" sqref="F67"/>
    </sheetView>
  </sheetViews>
  <sheetFormatPr defaultRowHeight="14.25" x14ac:dyDescent="0.2"/>
  <cols>
    <col min="1" max="2" width="9.140625" style="3"/>
    <col min="3" max="3" width="10.85546875" style="3" bestFit="1" customWidth="1"/>
    <col min="4" max="4" width="10.85546875" style="3" customWidth="1"/>
    <col min="5" max="5" width="45.85546875" style="3" bestFit="1" customWidth="1"/>
    <col min="6" max="6" width="27.5703125" style="3" customWidth="1"/>
    <col min="7" max="7" width="27.28515625" style="3" customWidth="1"/>
    <col min="8" max="8" width="27.7109375" style="3" customWidth="1"/>
    <col min="9" max="16384" width="9.140625" style="3"/>
  </cols>
  <sheetData>
    <row r="1" spans="1:8" s="195" customFormat="1" ht="15" x14ac:dyDescent="0.25">
      <c r="A1" s="195" t="s">
        <v>1455</v>
      </c>
      <c r="B1" s="195" t="s">
        <v>1456</v>
      </c>
      <c r="C1" s="195" t="s">
        <v>1777</v>
      </c>
      <c r="D1" s="195" t="s">
        <v>624</v>
      </c>
      <c r="E1" s="195" t="s">
        <v>1778</v>
      </c>
      <c r="F1" s="195" t="s">
        <v>1779</v>
      </c>
      <c r="G1" s="195" t="s">
        <v>1780</v>
      </c>
      <c r="H1" s="195" t="s">
        <v>1781</v>
      </c>
    </row>
    <row r="2" spans="1:8" x14ac:dyDescent="0.2">
      <c r="A2" s="3">
        <v>1</v>
      </c>
      <c r="B2" s="3" t="s">
        <v>1461</v>
      </c>
      <c r="C2" s="3">
        <v>1</v>
      </c>
      <c r="D2" s="3" t="str">
        <f t="shared" ref="D2:D33" ca="1" si="0">OFFSET(E2,0,LangOffset,1,1)</f>
        <v>HMIS</v>
      </c>
      <c r="E2" s="3" t="s">
        <v>44</v>
      </c>
      <c r="F2" s="3" t="s">
        <v>44</v>
      </c>
      <c r="G2" s="3" t="s">
        <v>666</v>
      </c>
      <c r="H2" s="3" t="s">
        <v>1782</v>
      </c>
    </row>
    <row r="3" spans="1:8" x14ac:dyDescent="0.2">
      <c r="A3" s="3">
        <v>1</v>
      </c>
      <c r="B3" s="3" t="s">
        <v>1461</v>
      </c>
      <c r="C3" s="3">
        <v>2</v>
      </c>
      <c r="D3" s="3" t="str">
        <f t="shared" ca="1" si="0"/>
        <v>Patient records</v>
      </c>
      <c r="E3" s="3" t="s">
        <v>43</v>
      </c>
      <c r="F3" s="3" t="s">
        <v>667</v>
      </c>
      <c r="G3" s="3" t="s">
        <v>668</v>
      </c>
      <c r="H3" s="3" t="s">
        <v>1783</v>
      </c>
    </row>
    <row r="4" spans="1:8" x14ac:dyDescent="0.2">
      <c r="A4" s="3">
        <v>1</v>
      </c>
      <c r="B4" s="3" t="s">
        <v>1461</v>
      </c>
      <c r="C4" s="3">
        <v>3</v>
      </c>
      <c r="D4" s="3" t="str">
        <f t="shared" ca="1" si="0"/>
        <v>Training records</v>
      </c>
      <c r="E4" s="3" t="s">
        <v>42</v>
      </c>
      <c r="F4" s="3" t="s">
        <v>669</v>
      </c>
      <c r="G4" s="3" t="s">
        <v>670</v>
      </c>
      <c r="H4" s="3" t="s">
        <v>1784</v>
      </c>
    </row>
    <row r="5" spans="1:8" x14ac:dyDescent="0.2">
      <c r="A5" s="3">
        <v>1</v>
      </c>
      <c r="B5" s="3" t="s">
        <v>1461</v>
      </c>
      <c r="C5" s="3">
        <v>4</v>
      </c>
      <c r="D5" s="3" t="str">
        <f t="shared" ca="1" si="0"/>
        <v>MICS (Multiple Indicator Cluster Survey)</v>
      </c>
      <c r="E5" s="3" t="s">
        <v>41</v>
      </c>
      <c r="F5" s="3" t="s">
        <v>671</v>
      </c>
      <c r="G5" s="3" t="s">
        <v>672</v>
      </c>
      <c r="H5" s="3" t="s">
        <v>673</v>
      </c>
    </row>
    <row r="6" spans="1:8" x14ac:dyDescent="0.2">
      <c r="A6" s="3">
        <v>1</v>
      </c>
      <c r="B6" s="3" t="s">
        <v>1461</v>
      </c>
      <c r="C6" s="3">
        <v>5</v>
      </c>
      <c r="D6" s="3" t="str">
        <f t="shared" ca="1" si="0"/>
        <v>DHS/DHS+ (Demographic and Health
Survey)</v>
      </c>
      <c r="E6" s="3" t="s">
        <v>40</v>
      </c>
      <c r="F6" s="3" t="s">
        <v>674</v>
      </c>
      <c r="G6" s="3" t="s">
        <v>675</v>
      </c>
      <c r="H6" s="3" t="s">
        <v>676</v>
      </c>
    </row>
    <row r="7" spans="1:8" x14ac:dyDescent="0.2">
      <c r="A7" s="3">
        <v>1</v>
      </c>
      <c r="B7" s="3" t="s">
        <v>1461</v>
      </c>
      <c r="C7" s="3">
        <v>6</v>
      </c>
      <c r="D7" s="3" t="str">
        <f t="shared" ca="1" si="0"/>
        <v>AIS (AIDS Indicator Survey)</v>
      </c>
      <c r="E7" s="3" t="s">
        <v>39</v>
      </c>
      <c r="F7" s="3" t="s">
        <v>677</v>
      </c>
      <c r="G7" s="3" t="s">
        <v>678</v>
      </c>
      <c r="H7" s="3" t="s">
        <v>679</v>
      </c>
    </row>
    <row r="8" spans="1:8" x14ac:dyDescent="0.2">
      <c r="A8" s="3">
        <v>1</v>
      </c>
      <c r="B8" s="3" t="s">
        <v>1461</v>
      </c>
      <c r="C8" s="3">
        <v>7</v>
      </c>
      <c r="D8" s="3" t="str">
        <f t="shared" ca="1" si="0"/>
        <v>BSS (Behavioral Surveillance Survey)</v>
      </c>
      <c r="E8" s="3" t="s">
        <v>38</v>
      </c>
      <c r="F8" s="3" t="s">
        <v>680</v>
      </c>
      <c r="G8" s="3" t="s">
        <v>681</v>
      </c>
      <c r="H8" s="3" t="s">
        <v>682</v>
      </c>
    </row>
    <row r="9" spans="1:8" x14ac:dyDescent="0.2">
      <c r="A9" s="3">
        <v>1</v>
      </c>
      <c r="B9" s="3" t="s">
        <v>1461</v>
      </c>
      <c r="C9" s="3">
        <v>8</v>
      </c>
      <c r="D9" s="3" t="str">
        <f t="shared" ca="1" si="0"/>
        <v>Health Facility survey</v>
      </c>
      <c r="E9" s="3" t="s">
        <v>37</v>
      </c>
      <c r="F9" s="3" t="s">
        <v>683</v>
      </c>
      <c r="G9" s="3" t="s">
        <v>684</v>
      </c>
      <c r="H9" s="3" t="s">
        <v>685</v>
      </c>
    </row>
    <row r="10" spans="1:8" x14ac:dyDescent="0.2">
      <c r="A10" s="3">
        <v>1</v>
      </c>
      <c r="B10" s="3" t="s">
        <v>1461</v>
      </c>
      <c r="C10" s="3">
        <v>9</v>
      </c>
      <c r="D10" s="3" t="str">
        <f t="shared" ca="1" si="0"/>
        <v>SAMS (Service Availability Mapping
Survey)</v>
      </c>
      <c r="E10" s="3" t="s">
        <v>36</v>
      </c>
      <c r="F10" s="3" t="s">
        <v>686</v>
      </c>
      <c r="G10" s="3" t="s">
        <v>687</v>
      </c>
      <c r="H10" s="3" t="s">
        <v>688</v>
      </c>
    </row>
    <row r="11" spans="1:8" x14ac:dyDescent="0.2">
      <c r="A11" s="3">
        <v>1</v>
      </c>
      <c r="B11" s="3" t="s">
        <v>1461</v>
      </c>
      <c r="C11" s="3">
        <v>10</v>
      </c>
      <c r="D11" s="3" t="str">
        <f t="shared" ca="1" si="0"/>
        <v>Households survey</v>
      </c>
      <c r="E11" s="3" t="s">
        <v>35</v>
      </c>
      <c r="F11" s="3" t="s">
        <v>689</v>
      </c>
      <c r="G11" s="3" t="s">
        <v>690</v>
      </c>
      <c r="H11" s="3" t="s">
        <v>691</v>
      </c>
    </row>
    <row r="12" spans="1:8" x14ac:dyDescent="0.2">
      <c r="A12" s="3">
        <v>1</v>
      </c>
      <c r="B12" s="3" t="s">
        <v>1461</v>
      </c>
      <c r="C12" s="3">
        <v>11</v>
      </c>
      <c r="D12" s="3" t="str">
        <f t="shared" ca="1" si="0"/>
        <v>Specific surveys and research (specify)</v>
      </c>
      <c r="E12" s="3" t="s">
        <v>34</v>
      </c>
      <c r="F12" s="3" t="s">
        <v>692</v>
      </c>
      <c r="G12" s="3" t="s">
        <v>693</v>
      </c>
      <c r="H12" s="3" t="s">
        <v>694</v>
      </c>
    </row>
    <row r="13" spans="1:8" x14ac:dyDescent="0.2">
      <c r="A13" s="3">
        <v>1</v>
      </c>
      <c r="B13" s="3" t="s">
        <v>1461</v>
      </c>
      <c r="C13" s="3">
        <v>12</v>
      </c>
      <c r="D13" s="3" t="str">
        <f t="shared" ca="1" si="0"/>
        <v>Reports (specify)</v>
      </c>
      <c r="E13" s="3" t="s">
        <v>33</v>
      </c>
      <c r="F13" s="3" t="s">
        <v>695</v>
      </c>
      <c r="G13" s="3" t="s">
        <v>696</v>
      </c>
      <c r="H13" s="3" t="s">
        <v>1785</v>
      </c>
    </row>
    <row r="14" spans="1:8" x14ac:dyDescent="0.2">
      <c r="A14" s="3">
        <v>1</v>
      </c>
      <c r="B14" s="3" t="s">
        <v>1461</v>
      </c>
      <c r="C14" s="3">
        <v>13</v>
      </c>
      <c r="D14" s="3" t="str">
        <f t="shared" ca="1" si="0"/>
        <v>Vital and disease-specific registry</v>
      </c>
      <c r="E14" s="3" t="s">
        <v>32</v>
      </c>
      <c r="F14" s="3" t="s">
        <v>697</v>
      </c>
      <c r="G14" s="3" t="s">
        <v>698</v>
      </c>
      <c r="H14" s="3" t="s">
        <v>1786</v>
      </c>
    </row>
    <row r="15" spans="1:8" x14ac:dyDescent="0.2">
      <c r="A15" s="3">
        <v>1</v>
      </c>
      <c r="B15" s="3" t="s">
        <v>1461</v>
      </c>
      <c r="C15" s="3">
        <v>14</v>
      </c>
      <c r="D15" s="3" t="str">
        <f t="shared" ca="1" si="0"/>
        <v>Operational Research</v>
      </c>
      <c r="E15" s="3" t="s">
        <v>31</v>
      </c>
      <c r="F15" s="3" t="s">
        <v>654</v>
      </c>
      <c r="G15" s="3" t="s">
        <v>655</v>
      </c>
      <c r="H15" s="3" t="s">
        <v>1787</v>
      </c>
    </row>
    <row r="16" spans="1:8" x14ac:dyDescent="0.2">
      <c r="A16" s="3">
        <v>1</v>
      </c>
      <c r="B16" s="3" t="s">
        <v>1461</v>
      </c>
      <c r="C16" s="3">
        <v>15</v>
      </c>
      <c r="D16" s="3" t="str">
        <f t="shared" ca="1" si="0"/>
        <v>Health Provider survey</v>
      </c>
      <c r="E16" s="3" t="s">
        <v>30</v>
      </c>
      <c r="F16" s="3" t="s">
        <v>699</v>
      </c>
      <c r="G16" s="3" t="s">
        <v>700</v>
      </c>
      <c r="H16" s="3" t="s">
        <v>701</v>
      </c>
    </row>
    <row r="17" spans="1:8" x14ac:dyDescent="0.2">
      <c r="A17" s="3">
        <v>1</v>
      </c>
      <c r="B17" s="3" t="s">
        <v>1461</v>
      </c>
      <c r="C17" s="3">
        <v>16</v>
      </c>
      <c r="D17" s="3" t="str">
        <f t="shared" ca="1" si="0"/>
        <v>National Health Account</v>
      </c>
      <c r="E17" s="3" t="s">
        <v>29</v>
      </c>
      <c r="F17" s="3" t="s">
        <v>702</v>
      </c>
      <c r="G17" s="3" t="s">
        <v>703</v>
      </c>
      <c r="H17" s="3" t="s">
        <v>704</v>
      </c>
    </row>
    <row r="18" spans="1:8" x14ac:dyDescent="0.2">
      <c r="A18" s="3">
        <v>1</v>
      </c>
      <c r="B18" s="3" t="s">
        <v>1461</v>
      </c>
      <c r="C18" s="3">
        <v>17</v>
      </c>
      <c r="D18" s="3" t="str">
        <f t="shared" ca="1" si="0"/>
        <v>Administrative records</v>
      </c>
      <c r="E18" s="3" t="s">
        <v>28</v>
      </c>
      <c r="F18" s="3" t="s">
        <v>705</v>
      </c>
      <c r="G18" s="3" t="s">
        <v>706</v>
      </c>
      <c r="H18" s="3" t="s">
        <v>1788</v>
      </c>
    </row>
    <row r="19" spans="1:8" x14ac:dyDescent="0.2">
      <c r="A19" s="3">
        <v>2</v>
      </c>
      <c r="B19" s="3" t="s">
        <v>1464</v>
      </c>
      <c r="C19" s="3">
        <v>18</v>
      </c>
      <c r="D19" s="3" t="str">
        <f t="shared" ca="1" si="0"/>
        <v>R&amp;R TB system, quarterly reports</v>
      </c>
      <c r="E19" s="3" t="s">
        <v>52</v>
      </c>
      <c r="F19" s="3" t="s">
        <v>707</v>
      </c>
      <c r="G19" s="3" t="s">
        <v>708</v>
      </c>
      <c r="H19" s="3" t="s">
        <v>1789</v>
      </c>
    </row>
    <row r="20" spans="1:8" x14ac:dyDescent="0.2">
      <c r="A20" s="3">
        <v>2</v>
      </c>
      <c r="B20" s="3" t="s">
        <v>1464</v>
      </c>
      <c r="C20" s="3">
        <v>19</v>
      </c>
      <c r="D20" s="3" t="str">
        <f t="shared" ca="1" si="0"/>
        <v xml:space="preserve">R&amp;R TB system, yearly management report </v>
      </c>
      <c r="E20" s="3" t="s">
        <v>51</v>
      </c>
      <c r="F20" s="3" t="s">
        <v>709</v>
      </c>
      <c r="G20" s="3" t="s">
        <v>710</v>
      </c>
      <c r="H20" s="3" t="s">
        <v>1790</v>
      </c>
    </row>
    <row r="21" spans="1:8" x14ac:dyDescent="0.2">
      <c r="A21" s="3">
        <v>2</v>
      </c>
      <c r="B21" s="3" t="s">
        <v>1464</v>
      </c>
      <c r="C21" s="3">
        <v>20</v>
      </c>
      <c r="D21" s="3" t="str">
        <f t="shared" ca="1" si="0"/>
        <v>TB prevalence survey</v>
      </c>
      <c r="E21" s="3" t="s">
        <v>50</v>
      </c>
      <c r="F21" s="3" t="s">
        <v>711</v>
      </c>
      <c r="G21" s="3" t="s">
        <v>712</v>
      </c>
      <c r="H21" s="3" t="s">
        <v>1791</v>
      </c>
    </row>
    <row r="22" spans="1:8" x14ac:dyDescent="0.2">
      <c r="A22" s="3">
        <v>2</v>
      </c>
      <c r="B22" s="3" t="s">
        <v>1464</v>
      </c>
      <c r="C22" s="3">
        <v>21</v>
      </c>
      <c r="D22" s="3" t="str">
        <f t="shared" ca="1" si="0"/>
        <v>Vital registration system</v>
      </c>
      <c r="E22" s="3" t="s">
        <v>567</v>
      </c>
      <c r="F22" s="3" t="s">
        <v>753</v>
      </c>
      <c r="G22" s="3" t="s">
        <v>754</v>
      </c>
      <c r="H22" s="3" t="s">
        <v>752</v>
      </c>
    </row>
    <row r="23" spans="1:8" x14ac:dyDescent="0.2">
      <c r="A23" s="3">
        <v>2</v>
      </c>
      <c r="B23" s="3" t="s">
        <v>1464</v>
      </c>
      <c r="C23" s="3">
        <v>22</v>
      </c>
      <c r="D23" s="3" t="str">
        <f t="shared" ca="1" si="0"/>
        <v>TB patient register</v>
      </c>
      <c r="E23" s="3" t="s">
        <v>49</v>
      </c>
      <c r="F23" s="3" t="s">
        <v>713</v>
      </c>
      <c r="G23" s="3" t="s">
        <v>714</v>
      </c>
      <c r="H23" s="3" t="s">
        <v>1792</v>
      </c>
    </row>
    <row r="24" spans="1:8" x14ac:dyDescent="0.2">
      <c r="A24" s="3">
        <v>2</v>
      </c>
      <c r="B24" s="3" t="s">
        <v>1464</v>
      </c>
      <c r="C24" s="3">
        <v>23</v>
      </c>
      <c r="D24" s="3" t="str">
        <f t="shared" ca="1" si="0"/>
        <v>TB laboratory register</v>
      </c>
      <c r="E24" s="3" t="s">
        <v>48</v>
      </c>
      <c r="F24" s="3" t="s">
        <v>715</v>
      </c>
      <c r="G24" s="3" t="s">
        <v>716</v>
      </c>
      <c r="H24" s="3" t="s">
        <v>1793</v>
      </c>
    </row>
    <row r="25" spans="1:8" x14ac:dyDescent="0.2">
      <c r="A25" s="3">
        <v>2</v>
      </c>
      <c r="B25" s="3" t="s">
        <v>1464</v>
      </c>
      <c r="C25" s="3">
        <v>24</v>
      </c>
      <c r="D25" s="3" t="str">
        <f t="shared" ca="1" si="0"/>
        <v>TB treatment card</v>
      </c>
      <c r="E25" s="3" t="s">
        <v>47</v>
      </c>
      <c r="F25" s="3" t="s">
        <v>717</v>
      </c>
      <c r="G25" s="3" t="s">
        <v>718</v>
      </c>
      <c r="H25" s="3" t="s">
        <v>1794</v>
      </c>
    </row>
    <row r="26" spans="1:8" x14ac:dyDescent="0.2">
      <c r="A26" s="3">
        <v>2</v>
      </c>
      <c r="B26" s="3" t="s">
        <v>1464</v>
      </c>
      <c r="C26" s="3">
        <v>25</v>
      </c>
      <c r="D26" s="3" t="str">
        <f t="shared" ca="1" si="0"/>
        <v>Training records</v>
      </c>
      <c r="E26" s="3" t="s">
        <v>42</v>
      </c>
      <c r="F26" s="3" t="s">
        <v>669</v>
      </c>
      <c r="G26" s="3" t="s">
        <v>670</v>
      </c>
      <c r="H26" s="3" t="s">
        <v>1784</v>
      </c>
    </row>
    <row r="27" spans="1:8" x14ac:dyDescent="0.2">
      <c r="A27" s="3">
        <v>2</v>
      </c>
      <c r="B27" s="3" t="s">
        <v>1464</v>
      </c>
      <c r="C27" s="3">
        <v>26</v>
      </c>
      <c r="D27" s="3" t="str">
        <f t="shared" ca="1" si="0"/>
        <v>Specify- Reports, Surveys, Questionnaires etc.</v>
      </c>
      <c r="E27" s="3" t="s">
        <v>46</v>
      </c>
      <c r="F27" s="3" t="s">
        <v>719</v>
      </c>
      <c r="G27" s="3" t="s">
        <v>720</v>
      </c>
      <c r="H27" s="3" t="s">
        <v>1795</v>
      </c>
    </row>
    <row r="28" spans="1:8" x14ac:dyDescent="0.2">
      <c r="A28" s="3">
        <v>2</v>
      </c>
      <c r="B28" s="3" t="s">
        <v>1464</v>
      </c>
      <c r="C28" s="3">
        <v>27</v>
      </c>
      <c r="D28" s="3" t="str">
        <f t="shared" ca="1" si="0"/>
        <v>Health Provider survey</v>
      </c>
      <c r="E28" s="3" t="s">
        <v>30</v>
      </c>
      <c r="F28" s="3" t="s">
        <v>699</v>
      </c>
      <c r="G28" s="3" t="s">
        <v>700</v>
      </c>
      <c r="H28" s="3" t="s">
        <v>701</v>
      </c>
    </row>
    <row r="29" spans="1:8" x14ac:dyDescent="0.2">
      <c r="A29" s="3">
        <v>2</v>
      </c>
      <c r="B29" s="3" t="s">
        <v>1464</v>
      </c>
      <c r="C29" s="3">
        <v>28</v>
      </c>
      <c r="D29" s="3" t="str">
        <f t="shared" ca="1" si="0"/>
        <v>Health Facility survey</v>
      </c>
      <c r="E29" s="3" t="s">
        <v>37</v>
      </c>
      <c r="F29" s="3" t="s">
        <v>683</v>
      </c>
      <c r="G29" s="3" t="s">
        <v>684</v>
      </c>
      <c r="H29" s="3" t="s">
        <v>685</v>
      </c>
    </row>
    <row r="30" spans="1:8" x14ac:dyDescent="0.2">
      <c r="A30" s="3">
        <v>2</v>
      </c>
      <c r="B30" s="3" t="s">
        <v>1464</v>
      </c>
      <c r="C30" s="3">
        <v>29</v>
      </c>
      <c r="D30" s="3" t="str">
        <f t="shared" ca="1" si="0"/>
        <v>National Health Account</v>
      </c>
      <c r="E30" s="3" t="s">
        <v>29</v>
      </c>
      <c r="F30" s="3" t="s">
        <v>702</v>
      </c>
      <c r="G30" s="3" t="s">
        <v>703</v>
      </c>
      <c r="H30" s="3" t="s">
        <v>704</v>
      </c>
    </row>
    <row r="31" spans="1:8" x14ac:dyDescent="0.2">
      <c r="A31" s="3">
        <v>2</v>
      </c>
      <c r="B31" s="3" t="s">
        <v>1464</v>
      </c>
      <c r="C31" s="3">
        <v>30</v>
      </c>
      <c r="D31" s="3" t="str">
        <f t="shared" ca="1" si="0"/>
        <v>Households survey</v>
      </c>
      <c r="E31" s="3" t="s">
        <v>35</v>
      </c>
      <c r="F31" s="3" t="s">
        <v>689</v>
      </c>
      <c r="G31" s="3" t="s">
        <v>690</v>
      </c>
      <c r="H31" s="3" t="s">
        <v>691</v>
      </c>
    </row>
    <row r="32" spans="1:8" x14ac:dyDescent="0.2">
      <c r="A32" s="3">
        <v>2</v>
      </c>
      <c r="B32" s="3" t="s">
        <v>1464</v>
      </c>
      <c r="C32" s="3">
        <v>31</v>
      </c>
      <c r="D32" s="3" t="str">
        <f t="shared" ca="1" si="0"/>
        <v>SAMS (Service Availability Mapping Survey)</v>
      </c>
      <c r="E32" s="3" t="s">
        <v>45</v>
      </c>
      <c r="F32" s="3" t="s">
        <v>686</v>
      </c>
      <c r="G32" s="3" t="s">
        <v>721</v>
      </c>
      <c r="H32" s="3" t="s">
        <v>722</v>
      </c>
    </row>
    <row r="33" spans="1:8" x14ac:dyDescent="0.2">
      <c r="A33" s="3">
        <v>2</v>
      </c>
      <c r="B33" s="3" t="s">
        <v>1464</v>
      </c>
      <c r="C33" s="3">
        <v>32</v>
      </c>
      <c r="D33" s="3" t="str">
        <f t="shared" ca="1" si="0"/>
        <v>Administrative records</v>
      </c>
      <c r="E33" s="3" t="s">
        <v>28</v>
      </c>
      <c r="F33" s="3" t="s">
        <v>723</v>
      </c>
      <c r="G33" s="3" t="s">
        <v>706</v>
      </c>
      <c r="H33" s="3" t="s">
        <v>1788</v>
      </c>
    </row>
    <row r="34" spans="1:8" x14ac:dyDescent="0.2">
      <c r="A34" s="3">
        <v>3</v>
      </c>
      <c r="B34" s="3" t="s">
        <v>1465</v>
      </c>
      <c r="C34" s="3">
        <v>33</v>
      </c>
      <c r="D34" s="3" t="str">
        <f t="shared" ref="D34:D65" ca="1" si="1">OFFSET(E34,0,LangOffset,1,1)</f>
        <v>DHS/DHS+ (Demographic and Health Survey)</v>
      </c>
      <c r="E34" s="3" t="s">
        <v>60</v>
      </c>
      <c r="F34" s="3" t="s">
        <v>674</v>
      </c>
      <c r="G34" s="3" t="s">
        <v>724</v>
      </c>
      <c r="H34" s="3" t="s">
        <v>676</v>
      </c>
    </row>
    <row r="35" spans="1:8" x14ac:dyDescent="0.2">
      <c r="A35" s="3">
        <v>3</v>
      </c>
      <c r="B35" s="3" t="s">
        <v>1465</v>
      </c>
      <c r="C35" s="3">
        <v>34</v>
      </c>
      <c r="D35" s="3" t="str">
        <f t="shared" ca="1" si="1"/>
        <v>MIS (Malaria Indicator Survey)</v>
      </c>
      <c r="E35" s="3" t="s">
        <v>59</v>
      </c>
      <c r="F35" s="3" t="s">
        <v>725</v>
      </c>
      <c r="G35" s="3" t="s">
        <v>726</v>
      </c>
      <c r="H35" s="3" t="s">
        <v>727</v>
      </c>
    </row>
    <row r="36" spans="1:8" x14ac:dyDescent="0.2">
      <c r="A36" s="3">
        <v>3</v>
      </c>
      <c r="B36" s="3" t="s">
        <v>1465</v>
      </c>
      <c r="C36" s="3">
        <v>35</v>
      </c>
      <c r="D36" s="3" t="str">
        <f t="shared" ca="1" si="1"/>
        <v>MICS (Multiple Indicator Cluster Survey)</v>
      </c>
      <c r="E36" s="3" t="s">
        <v>41</v>
      </c>
      <c r="F36" s="3" t="s">
        <v>671</v>
      </c>
      <c r="G36" s="3" t="s">
        <v>672</v>
      </c>
      <c r="H36" s="3" t="s">
        <v>673</v>
      </c>
    </row>
    <row r="37" spans="1:8" x14ac:dyDescent="0.2">
      <c r="A37" s="3">
        <v>3</v>
      </c>
      <c r="B37" s="3" t="s">
        <v>1465</v>
      </c>
      <c r="C37" s="3">
        <v>36</v>
      </c>
      <c r="D37" s="3" t="str">
        <f t="shared" ca="1" si="1"/>
        <v>Situation Analysis</v>
      </c>
      <c r="E37" s="3" t="s">
        <v>58</v>
      </c>
      <c r="F37" s="3" t="s">
        <v>728</v>
      </c>
      <c r="G37" s="3" t="s">
        <v>729</v>
      </c>
      <c r="H37" s="3" t="s">
        <v>730</v>
      </c>
    </row>
    <row r="38" spans="1:8" x14ac:dyDescent="0.2">
      <c r="A38" s="3">
        <v>3</v>
      </c>
      <c r="B38" s="3" t="s">
        <v>1465</v>
      </c>
      <c r="C38" s="3">
        <v>37</v>
      </c>
      <c r="D38" s="3" t="str">
        <f t="shared" ca="1" si="1"/>
        <v>HMIS</v>
      </c>
      <c r="E38" s="3" t="s">
        <v>44</v>
      </c>
      <c r="F38" s="3" t="s">
        <v>44</v>
      </c>
      <c r="G38" s="3" t="s">
        <v>666</v>
      </c>
      <c r="H38" s="3" t="s">
        <v>1782</v>
      </c>
    </row>
    <row r="39" spans="1:8" x14ac:dyDescent="0.2">
      <c r="A39" s="3">
        <v>3</v>
      </c>
      <c r="B39" s="3" t="s">
        <v>1465</v>
      </c>
      <c r="C39" s="3">
        <v>38</v>
      </c>
      <c r="D39" s="3" t="str">
        <f t="shared" ca="1" si="1"/>
        <v>Health Facility survey</v>
      </c>
      <c r="E39" s="3" t="s">
        <v>37</v>
      </c>
      <c r="F39" s="3" t="s">
        <v>683</v>
      </c>
      <c r="G39" s="3" t="s">
        <v>684</v>
      </c>
      <c r="H39" s="3" t="s">
        <v>685</v>
      </c>
    </row>
    <row r="40" spans="1:8" x14ac:dyDescent="0.2">
      <c r="A40" s="3">
        <v>3</v>
      </c>
      <c r="B40" s="3" t="s">
        <v>1465</v>
      </c>
      <c r="C40" s="3">
        <v>39</v>
      </c>
      <c r="D40" s="3" t="str">
        <f t="shared" ca="1" si="1"/>
        <v>Health Provider survey</v>
      </c>
      <c r="E40" s="3" t="s">
        <v>30</v>
      </c>
      <c r="F40" s="3" t="s">
        <v>699</v>
      </c>
      <c r="G40" s="3" t="s">
        <v>700</v>
      </c>
      <c r="H40" s="3" t="s">
        <v>701</v>
      </c>
    </row>
    <row r="41" spans="1:8" x14ac:dyDescent="0.2">
      <c r="A41" s="3">
        <v>3</v>
      </c>
      <c r="B41" s="3" t="s">
        <v>1465</v>
      </c>
      <c r="C41" s="3">
        <v>40</v>
      </c>
      <c r="D41" s="3" t="str">
        <f t="shared" ca="1" si="1"/>
        <v>Key informant survey</v>
      </c>
      <c r="E41" s="3" t="s">
        <v>57</v>
      </c>
      <c r="F41" s="3" t="s">
        <v>731</v>
      </c>
      <c r="G41" s="3" t="s">
        <v>732</v>
      </c>
      <c r="H41" s="3" t="s">
        <v>733</v>
      </c>
    </row>
    <row r="42" spans="1:8" x14ac:dyDescent="0.2">
      <c r="A42" s="3">
        <v>3</v>
      </c>
      <c r="B42" s="3" t="s">
        <v>1465</v>
      </c>
      <c r="C42" s="3">
        <v>41</v>
      </c>
      <c r="D42" s="3" t="str">
        <f t="shared" ca="1" si="1"/>
        <v>Households survey</v>
      </c>
      <c r="E42" s="3" t="s">
        <v>35</v>
      </c>
      <c r="F42" s="3" t="s">
        <v>689</v>
      </c>
      <c r="G42" s="3" t="s">
        <v>690</v>
      </c>
      <c r="H42" s="3" t="s">
        <v>691</v>
      </c>
    </row>
    <row r="43" spans="1:8" x14ac:dyDescent="0.2">
      <c r="A43" s="3">
        <v>3</v>
      </c>
      <c r="B43" s="3" t="s">
        <v>1465</v>
      </c>
      <c r="C43" s="3">
        <v>42</v>
      </c>
      <c r="D43" s="3" t="str">
        <f t="shared" ca="1" si="1"/>
        <v>Vital registration systems</v>
      </c>
      <c r="E43" s="3" t="s">
        <v>734</v>
      </c>
      <c r="F43" s="3" t="s">
        <v>735</v>
      </c>
      <c r="G43" s="3" t="s">
        <v>736</v>
      </c>
      <c r="H43" s="3" t="s">
        <v>1796</v>
      </c>
    </row>
    <row r="44" spans="1:8" x14ac:dyDescent="0.2">
      <c r="A44" s="3">
        <v>3</v>
      </c>
      <c r="B44" s="3" t="s">
        <v>1465</v>
      </c>
      <c r="C44" s="3">
        <v>43</v>
      </c>
      <c r="D44" s="3" t="str">
        <f t="shared" ca="1" si="1"/>
        <v>Training records</v>
      </c>
      <c r="E44" s="3" t="s">
        <v>42</v>
      </c>
      <c r="F44" s="3" t="s">
        <v>669</v>
      </c>
      <c r="G44" s="3" t="s">
        <v>670</v>
      </c>
      <c r="H44" s="3" t="s">
        <v>1784</v>
      </c>
    </row>
    <row r="45" spans="1:8" x14ac:dyDescent="0.2">
      <c r="A45" s="3">
        <v>3</v>
      </c>
      <c r="B45" s="3" t="s">
        <v>1465</v>
      </c>
      <c r="C45" s="3">
        <v>44</v>
      </c>
      <c r="D45" s="3" t="str">
        <f t="shared" ca="1" si="1"/>
        <v>Patients records</v>
      </c>
      <c r="E45" s="3" t="s">
        <v>56</v>
      </c>
      <c r="F45" s="3" t="s">
        <v>667</v>
      </c>
      <c r="G45" s="3" t="s">
        <v>737</v>
      </c>
      <c r="H45" s="3" t="s">
        <v>1783</v>
      </c>
    </row>
    <row r="46" spans="1:8" x14ac:dyDescent="0.2">
      <c r="A46" s="3">
        <v>3</v>
      </c>
      <c r="B46" s="3" t="s">
        <v>1465</v>
      </c>
      <c r="C46" s="3">
        <v>45</v>
      </c>
      <c r="D46" s="3" t="str">
        <f t="shared" ca="1" si="1"/>
        <v>Surveillance systems</v>
      </c>
      <c r="E46" s="3" t="s">
        <v>55</v>
      </c>
      <c r="F46" s="3" t="s">
        <v>738</v>
      </c>
      <c r="G46" s="3" t="s">
        <v>739</v>
      </c>
      <c r="H46" s="3" t="s">
        <v>1797</v>
      </c>
    </row>
    <row r="47" spans="1:8" x14ac:dyDescent="0.2">
      <c r="A47" s="3">
        <v>3</v>
      </c>
      <c r="B47" s="3" t="s">
        <v>1465</v>
      </c>
      <c r="C47" s="3">
        <v>46</v>
      </c>
      <c r="D47" s="3" t="str">
        <f t="shared" ca="1" si="1"/>
        <v>Other report, specify</v>
      </c>
      <c r="E47" s="3" t="s">
        <v>54</v>
      </c>
      <c r="F47" s="3" t="s">
        <v>1798</v>
      </c>
      <c r="G47" s="3" t="s">
        <v>740</v>
      </c>
      <c r="H47" s="3" t="s">
        <v>1799</v>
      </c>
    </row>
    <row r="48" spans="1:8" x14ac:dyDescent="0.2">
      <c r="A48" s="3">
        <v>3</v>
      </c>
      <c r="B48" s="3" t="s">
        <v>1465</v>
      </c>
      <c r="C48" s="3">
        <v>47</v>
      </c>
      <c r="D48" s="3" t="str">
        <f t="shared" ca="1" si="1"/>
        <v>National Health Account</v>
      </c>
      <c r="E48" s="3" t="s">
        <v>29</v>
      </c>
      <c r="F48" s="3" t="s">
        <v>702</v>
      </c>
      <c r="G48" s="3" t="s">
        <v>703</v>
      </c>
      <c r="H48" s="3" t="s">
        <v>704</v>
      </c>
    </row>
    <row r="49" spans="1:8" x14ac:dyDescent="0.2">
      <c r="A49" s="3">
        <v>3</v>
      </c>
      <c r="B49" s="3" t="s">
        <v>1465</v>
      </c>
      <c r="C49" s="3">
        <v>48</v>
      </c>
      <c r="D49" s="3" t="str">
        <f t="shared" ca="1" si="1"/>
        <v>SAMS (Service Availability Mapping Survey)</v>
      </c>
      <c r="E49" s="3" t="s">
        <v>45</v>
      </c>
      <c r="F49" s="3" t="s">
        <v>686</v>
      </c>
      <c r="G49" s="3" t="s">
        <v>721</v>
      </c>
      <c r="H49" s="3" t="s">
        <v>722</v>
      </c>
    </row>
    <row r="50" spans="1:8" x14ac:dyDescent="0.2">
      <c r="A50" s="3">
        <v>3</v>
      </c>
      <c r="B50" s="3" t="s">
        <v>1465</v>
      </c>
      <c r="C50" s="3">
        <v>49</v>
      </c>
      <c r="D50" s="3" t="str">
        <f t="shared" ca="1" si="1"/>
        <v>Other survey, specify</v>
      </c>
      <c r="E50" s="3" t="s">
        <v>53</v>
      </c>
      <c r="F50" s="3" t="s">
        <v>741</v>
      </c>
      <c r="G50" s="3" t="s">
        <v>742</v>
      </c>
      <c r="H50" s="3" t="s">
        <v>743</v>
      </c>
    </row>
    <row r="51" spans="1:8" x14ac:dyDescent="0.2">
      <c r="A51" s="3">
        <v>3</v>
      </c>
      <c r="B51" s="3" t="s">
        <v>1465</v>
      </c>
      <c r="C51" s="3">
        <v>50</v>
      </c>
      <c r="D51" s="3" t="str">
        <f t="shared" ca="1" si="1"/>
        <v>Administrative records</v>
      </c>
      <c r="E51" s="3" t="s">
        <v>28</v>
      </c>
      <c r="F51" s="3" t="s">
        <v>705</v>
      </c>
      <c r="G51" s="3" t="s">
        <v>706</v>
      </c>
      <c r="H51" s="3" t="s">
        <v>1788</v>
      </c>
    </row>
    <row r="52" spans="1:8" x14ac:dyDescent="0.2">
      <c r="A52" s="3">
        <v>6</v>
      </c>
      <c r="B52" s="3" t="s">
        <v>1466</v>
      </c>
      <c r="C52" s="3">
        <v>51</v>
      </c>
      <c r="D52" s="3" t="str">
        <f t="shared" ca="1" si="1"/>
        <v>HMIS</v>
      </c>
      <c r="E52" s="3" t="s">
        <v>44</v>
      </c>
      <c r="F52" s="3" t="s">
        <v>44</v>
      </c>
      <c r="G52" s="3" t="s">
        <v>666</v>
      </c>
      <c r="H52" s="3" t="s">
        <v>1782</v>
      </c>
    </row>
    <row r="53" spans="1:8" x14ac:dyDescent="0.2">
      <c r="A53" s="3">
        <v>6</v>
      </c>
      <c r="B53" s="3" t="s">
        <v>1466</v>
      </c>
      <c r="C53" s="3">
        <v>52</v>
      </c>
      <c r="D53" s="3" t="str">
        <f t="shared" ca="1" si="1"/>
        <v>Patient records</v>
      </c>
      <c r="E53" s="3" t="s">
        <v>43</v>
      </c>
      <c r="F53" s="3" t="s">
        <v>667</v>
      </c>
      <c r="G53" s="3" t="s">
        <v>737</v>
      </c>
      <c r="H53" s="3" t="s">
        <v>1783</v>
      </c>
    </row>
    <row r="54" spans="1:8" x14ac:dyDescent="0.2">
      <c r="A54" s="3">
        <v>7</v>
      </c>
      <c r="B54" s="3" t="s">
        <v>1466</v>
      </c>
      <c r="C54" s="3">
        <v>53</v>
      </c>
      <c r="D54" s="3" t="str">
        <f t="shared" ca="1" si="1"/>
        <v>Training records</v>
      </c>
      <c r="E54" s="3" t="s">
        <v>42</v>
      </c>
      <c r="F54" s="3" t="s">
        <v>669</v>
      </c>
      <c r="G54" s="3" t="s">
        <v>670</v>
      </c>
      <c r="H54" s="3" t="s">
        <v>1784</v>
      </c>
    </row>
    <row r="55" spans="1:8" x14ac:dyDescent="0.2">
      <c r="A55" s="3">
        <v>8</v>
      </c>
      <c r="B55" s="3" t="s">
        <v>1466</v>
      </c>
      <c r="C55" s="3">
        <v>54</v>
      </c>
      <c r="D55" s="3" t="str">
        <f t="shared" ca="1" si="1"/>
        <v>MICS (Multiple Indicator Cluster Survey)</v>
      </c>
      <c r="E55" s="3" t="s">
        <v>41</v>
      </c>
      <c r="F55" s="3" t="s">
        <v>671</v>
      </c>
      <c r="G55" s="3" t="s">
        <v>672</v>
      </c>
      <c r="H55" s="3" t="s">
        <v>673</v>
      </c>
    </row>
    <row r="56" spans="1:8" x14ac:dyDescent="0.2">
      <c r="A56" s="3">
        <v>9</v>
      </c>
      <c r="B56" s="3" t="s">
        <v>1466</v>
      </c>
      <c r="C56" s="3">
        <v>55</v>
      </c>
      <c r="D56" s="3" t="str">
        <f t="shared" ca="1" si="1"/>
        <v>DHS/DHS+ (Demographic and Health Survey)</v>
      </c>
      <c r="E56" s="3" t="s">
        <v>60</v>
      </c>
      <c r="F56" s="3" t="s">
        <v>674</v>
      </c>
      <c r="G56" s="3" t="s">
        <v>675</v>
      </c>
      <c r="H56" s="3" t="s">
        <v>676</v>
      </c>
    </row>
    <row r="57" spans="1:8" x14ac:dyDescent="0.2">
      <c r="A57" s="3">
        <v>10</v>
      </c>
      <c r="B57" s="3" t="s">
        <v>1466</v>
      </c>
      <c r="C57" s="3">
        <v>56</v>
      </c>
      <c r="D57" s="3" t="str">
        <f t="shared" ca="1" si="1"/>
        <v>AIS (AIDS Indicator Survey)</v>
      </c>
      <c r="E57" s="3" t="s">
        <v>39</v>
      </c>
      <c r="F57" s="3" t="s">
        <v>677</v>
      </c>
      <c r="G57" s="3" t="s">
        <v>678</v>
      </c>
      <c r="H57" s="3" t="s">
        <v>679</v>
      </c>
    </row>
    <row r="58" spans="1:8" x14ac:dyDescent="0.2">
      <c r="A58" s="3">
        <v>11</v>
      </c>
      <c r="B58" s="3" t="s">
        <v>1466</v>
      </c>
      <c r="C58" s="3">
        <v>57</v>
      </c>
      <c r="D58" s="3" t="str">
        <f t="shared" ca="1" si="1"/>
        <v>BSS (Behavioral Surveillance Survey)</v>
      </c>
      <c r="E58" s="3" t="s">
        <v>38</v>
      </c>
      <c r="F58" s="3" t="s">
        <v>680</v>
      </c>
      <c r="G58" s="3" t="s">
        <v>681</v>
      </c>
      <c r="H58" s="3" t="s">
        <v>682</v>
      </c>
    </row>
    <row r="59" spans="1:8" x14ac:dyDescent="0.2">
      <c r="A59" s="3">
        <v>12</v>
      </c>
      <c r="B59" s="3" t="s">
        <v>1466</v>
      </c>
      <c r="C59" s="3">
        <v>58</v>
      </c>
      <c r="D59" s="3" t="str">
        <f t="shared" ca="1" si="1"/>
        <v>Health Facility survey</v>
      </c>
      <c r="E59" s="3" t="s">
        <v>37</v>
      </c>
      <c r="F59" s="3" t="s">
        <v>683</v>
      </c>
      <c r="G59" s="3" t="s">
        <v>684</v>
      </c>
      <c r="H59" s="3" t="s">
        <v>685</v>
      </c>
    </row>
    <row r="60" spans="1:8" x14ac:dyDescent="0.2">
      <c r="A60" s="3">
        <v>13</v>
      </c>
      <c r="B60" s="3" t="s">
        <v>1466</v>
      </c>
      <c r="C60" s="3">
        <v>59</v>
      </c>
      <c r="D60" s="3" t="str">
        <f t="shared" ca="1" si="1"/>
        <v>SAMS (Service Availability Mapping Survey)</v>
      </c>
      <c r="E60" s="3" t="s">
        <v>45</v>
      </c>
      <c r="F60" s="3" t="s">
        <v>686</v>
      </c>
      <c r="G60" s="3" t="s">
        <v>687</v>
      </c>
      <c r="H60" s="3" t="s">
        <v>688</v>
      </c>
    </row>
    <row r="61" spans="1:8" x14ac:dyDescent="0.2">
      <c r="A61" s="3">
        <v>14</v>
      </c>
      <c r="B61" s="3" t="s">
        <v>1466</v>
      </c>
      <c r="C61" s="3">
        <v>60</v>
      </c>
      <c r="D61" s="3" t="str">
        <f t="shared" ca="1" si="1"/>
        <v>Households survey</v>
      </c>
      <c r="E61" s="3" t="s">
        <v>35</v>
      </c>
      <c r="F61" s="3" t="s">
        <v>689</v>
      </c>
      <c r="G61" s="3" t="s">
        <v>690</v>
      </c>
      <c r="H61" s="3" t="s">
        <v>691</v>
      </c>
    </row>
    <row r="62" spans="1:8" x14ac:dyDescent="0.2">
      <c r="A62" s="3">
        <v>15</v>
      </c>
      <c r="B62" s="3" t="s">
        <v>1466</v>
      </c>
      <c r="C62" s="3">
        <v>61</v>
      </c>
      <c r="D62" s="3" t="str">
        <f t="shared" ca="1" si="1"/>
        <v>Specific surveys and research (specify)</v>
      </c>
      <c r="E62" s="3" t="s">
        <v>34</v>
      </c>
      <c r="F62" s="3" t="s">
        <v>692</v>
      </c>
      <c r="G62" s="3" t="s">
        <v>693</v>
      </c>
      <c r="H62" s="3" t="s">
        <v>694</v>
      </c>
    </row>
    <row r="63" spans="1:8" x14ac:dyDescent="0.2">
      <c r="A63" s="3">
        <v>16</v>
      </c>
      <c r="B63" s="3" t="s">
        <v>1466</v>
      </c>
      <c r="C63" s="3">
        <v>62</v>
      </c>
      <c r="D63" s="3" t="str">
        <f t="shared" ca="1" si="1"/>
        <v>Reports (specify)</v>
      </c>
      <c r="E63" s="3" t="s">
        <v>33</v>
      </c>
      <c r="F63" s="3" t="s">
        <v>695</v>
      </c>
      <c r="G63" s="3" t="s">
        <v>696</v>
      </c>
      <c r="H63" s="3" t="s">
        <v>1785</v>
      </c>
    </row>
    <row r="64" spans="1:8" x14ac:dyDescent="0.2">
      <c r="A64" s="3">
        <v>17</v>
      </c>
      <c r="B64" s="3" t="s">
        <v>1466</v>
      </c>
      <c r="C64" s="3">
        <v>63</v>
      </c>
      <c r="D64" s="3" t="str">
        <f t="shared" ca="1" si="1"/>
        <v>Vital and disease-specific registry</v>
      </c>
      <c r="E64" s="3" t="s">
        <v>32</v>
      </c>
      <c r="F64" s="3" t="s">
        <v>697</v>
      </c>
      <c r="G64" s="3" t="s">
        <v>698</v>
      </c>
      <c r="H64" s="3" t="s">
        <v>1786</v>
      </c>
    </row>
    <row r="65" spans="1:8" x14ac:dyDescent="0.2">
      <c r="A65" s="3">
        <v>18</v>
      </c>
      <c r="B65" s="3" t="s">
        <v>1466</v>
      </c>
      <c r="C65" s="3">
        <v>64</v>
      </c>
      <c r="D65" s="3" t="str">
        <f t="shared" ca="1" si="1"/>
        <v>Operational Research</v>
      </c>
      <c r="E65" s="3" t="s">
        <v>31</v>
      </c>
      <c r="F65" s="3" t="s">
        <v>654</v>
      </c>
      <c r="G65" s="3" t="s">
        <v>655</v>
      </c>
      <c r="H65" s="3" t="s">
        <v>1787</v>
      </c>
    </row>
    <row r="66" spans="1:8" x14ac:dyDescent="0.2">
      <c r="A66" s="3">
        <v>19</v>
      </c>
      <c r="B66" s="3" t="s">
        <v>1466</v>
      </c>
      <c r="C66" s="3">
        <v>65</v>
      </c>
      <c r="D66" s="3" t="str">
        <f t="shared" ref="D66" ca="1" si="2">OFFSET(E66,0,LangOffset,1,1)</f>
        <v>Health Provider survey</v>
      </c>
      <c r="E66" s="3" t="s">
        <v>30</v>
      </c>
      <c r="F66" s="3" t="s">
        <v>699</v>
      </c>
      <c r="G66" s="3" t="s">
        <v>700</v>
      </c>
      <c r="H66" s="3" t="s">
        <v>701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autoPageBreaks="0"/>
  </sheetPr>
  <dimension ref="A1:Y403"/>
  <sheetViews>
    <sheetView showRuler="0" topLeftCell="O220" zoomScaleNormal="100" zoomScaleSheetLayoutView="100" workbookViewId="0">
      <selection activeCell="Q252" sqref="Q252"/>
    </sheetView>
  </sheetViews>
  <sheetFormatPr defaultColWidth="8.85546875" defaultRowHeight="12.75" x14ac:dyDescent="0.2"/>
  <cols>
    <col min="1" max="2" width="14.28515625" style="7" bestFit="1" customWidth="1"/>
    <col min="3" max="3" width="14.42578125" style="7" customWidth="1"/>
    <col min="4" max="4" width="12.42578125" style="7" bestFit="1" customWidth="1"/>
    <col min="5" max="5" width="14.28515625" style="7" customWidth="1"/>
    <col min="6" max="6" width="2.42578125" style="7" customWidth="1"/>
    <col min="7" max="7" width="19.85546875" style="7" bestFit="1" customWidth="1"/>
    <col min="8" max="12" width="19.85546875" style="7" customWidth="1"/>
    <col min="13" max="13" width="11.42578125" style="7" bestFit="1" customWidth="1"/>
    <col min="14" max="15" width="46.5703125" style="7" customWidth="1"/>
    <col min="16" max="16" width="2.140625" style="7" customWidth="1"/>
    <col min="17" max="17" width="43.5703125" style="7" bestFit="1" customWidth="1"/>
    <col min="18" max="18" width="97.28515625" style="7" bestFit="1" customWidth="1"/>
    <col min="19" max="19" width="15.42578125" style="7" bestFit="1" customWidth="1"/>
    <col min="20" max="20" width="4.42578125" style="7" customWidth="1"/>
    <col min="21" max="21" width="24.140625" style="7" bestFit="1" customWidth="1"/>
    <col min="22" max="23" width="24.140625" style="7" customWidth="1"/>
    <col min="24" max="24" width="30.140625" style="7" customWidth="1"/>
    <col min="25" max="25" width="38.5703125" style="7" customWidth="1"/>
    <col min="26" max="26" width="3.7109375" style="7" customWidth="1"/>
    <col min="27" max="16384" width="8.85546875" style="7"/>
  </cols>
  <sheetData>
    <row r="1" spans="1:25" x14ac:dyDescent="0.2">
      <c r="A1" s="35" t="s">
        <v>808</v>
      </c>
      <c r="B1" s="35"/>
      <c r="C1" s="35"/>
      <c r="D1" s="35"/>
      <c r="E1" s="35"/>
      <c r="F1" s="35"/>
      <c r="G1" s="35" t="s">
        <v>73</v>
      </c>
      <c r="H1" s="35"/>
      <c r="I1" s="35"/>
      <c r="J1" s="35"/>
      <c r="K1" s="35"/>
      <c r="L1" s="35"/>
      <c r="M1" s="722" t="s">
        <v>1356</v>
      </c>
      <c r="N1" s="722" t="s">
        <v>1360</v>
      </c>
      <c r="O1" s="723" t="s">
        <v>1361</v>
      </c>
      <c r="P1" s="68"/>
      <c r="Q1" s="722" t="s">
        <v>74</v>
      </c>
      <c r="R1" s="722" t="s">
        <v>75</v>
      </c>
      <c r="S1" s="722" t="s">
        <v>76</v>
      </c>
      <c r="T1" s="722"/>
      <c r="U1" s="722" t="s">
        <v>549</v>
      </c>
      <c r="V1" s="722" t="s">
        <v>660</v>
      </c>
      <c r="W1" s="722" t="s">
        <v>661</v>
      </c>
      <c r="X1" s="722" t="s">
        <v>662</v>
      </c>
      <c r="Y1" s="722" t="s">
        <v>663</v>
      </c>
    </row>
    <row r="2" spans="1:25" x14ac:dyDescent="0.2">
      <c r="A2" s="41" t="s">
        <v>813</v>
      </c>
      <c r="B2" s="41" t="s">
        <v>809</v>
      </c>
      <c r="C2" s="41" t="s">
        <v>810</v>
      </c>
      <c r="D2" s="41" t="s">
        <v>811</v>
      </c>
      <c r="E2" s="41" t="s">
        <v>812</v>
      </c>
      <c r="F2" s="35"/>
      <c r="G2" s="35" t="s">
        <v>73</v>
      </c>
      <c r="H2" s="36" t="s">
        <v>771</v>
      </c>
      <c r="I2" s="36" t="s">
        <v>772</v>
      </c>
      <c r="J2" s="36" t="s">
        <v>773</v>
      </c>
      <c r="K2" s="36" t="s">
        <v>774</v>
      </c>
      <c r="L2" s="36"/>
      <c r="M2" s="722"/>
      <c r="N2" s="722"/>
      <c r="O2" s="724"/>
      <c r="P2" s="69"/>
      <c r="Q2" s="722"/>
      <c r="R2" s="722"/>
      <c r="S2" s="722"/>
      <c r="T2" s="722"/>
      <c r="U2" s="722"/>
      <c r="V2" s="722"/>
      <c r="W2" s="722"/>
      <c r="X2" s="722"/>
      <c r="Y2" s="722"/>
    </row>
    <row r="3" spans="1:25" x14ac:dyDescent="0.2">
      <c r="A3" s="8" t="str">
        <f ca="1">OFFSET($B3,0,LangOffset,1,1)</f>
        <v>Please select…</v>
      </c>
      <c r="B3" s="23" t="s">
        <v>0</v>
      </c>
      <c r="C3" s="24" t="s">
        <v>763</v>
      </c>
      <c r="D3" s="38" t="s">
        <v>747</v>
      </c>
      <c r="E3" s="24" t="s">
        <v>744</v>
      </c>
      <c r="F3" s="8"/>
      <c r="G3" s="8" t="str">
        <f t="shared" ref="G3:G15" ca="1" si="0">OFFSET($H3,0,LangOffset,1,1)</f>
        <v>Please select…</v>
      </c>
      <c r="H3" s="23" t="s">
        <v>0</v>
      </c>
      <c r="I3" s="23" t="s">
        <v>763</v>
      </c>
      <c r="J3" s="38" t="s">
        <v>747</v>
      </c>
      <c r="K3" s="24" t="s">
        <v>744</v>
      </c>
      <c r="L3" s="24"/>
      <c r="M3" s="39">
        <f ca="1">VLOOKUP(MonthSelected,G2:L15,6,FALSE)</f>
        <v>0</v>
      </c>
      <c r="N3" s="66" t="str">
        <f ca="1">Translations!A72</f>
        <v>Please select…</v>
      </c>
      <c r="O3" s="66"/>
      <c r="P3" s="66"/>
      <c r="Q3" s="67" t="s">
        <v>80</v>
      </c>
      <c r="R3" s="67" t="s">
        <v>921</v>
      </c>
      <c r="S3" s="67" t="s">
        <v>442</v>
      </c>
      <c r="T3" s="8"/>
      <c r="U3" s="31" t="str">
        <f ca="1">OFFSET($V3,0,LangOffset,1,1)</f>
        <v>Please select…</v>
      </c>
      <c r="V3" s="31" t="s">
        <v>0</v>
      </c>
      <c r="W3" s="33" t="s">
        <v>763</v>
      </c>
      <c r="X3" s="40" t="s">
        <v>747</v>
      </c>
      <c r="Y3" s="32" t="s">
        <v>744</v>
      </c>
    </row>
    <row r="4" spans="1:25" x14ac:dyDescent="0.2">
      <c r="A4" s="8">
        <f ca="1">OFFSET($B4,0,LangOffset,1,1)</f>
        <v>2013</v>
      </c>
      <c r="B4" s="10">
        <v>2013</v>
      </c>
      <c r="C4" s="10">
        <v>2013</v>
      </c>
      <c r="D4" s="10">
        <v>2013</v>
      </c>
      <c r="E4" s="10">
        <v>2013</v>
      </c>
      <c r="F4" s="8"/>
      <c r="G4" s="8" t="str">
        <f t="shared" ca="1" si="0"/>
        <v>January</v>
      </c>
      <c r="H4" s="23" t="s">
        <v>69</v>
      </c>
      <c r="I4" s="23" t="s">
        <v>768</v>
      </c>
      <c r="J4" s="37" t="s">
        <v>769</v>
      </c>
      <c r="K4" s="24" t="s">
        <v>770</v>
      </c>
      <c r="L4" s="39">
        <v>1</v>
      </c>
      <c r="N4" s="9" t="s">
        <v>79</v>
      </c>
      <c r="O4" s="9" t="s">
        <v>80</v>
      </c>
      <c r="P4" s="9"/>
      <c r="Q4" s="67" t="s">
        <v>80</v>
      </c>
      <c r="R4" s="67" t="s">
        <v>82</v>
      </c>
      <c r="S4" s="67" t="s">
        <v>917</v>
      </c>
      <c r="T4" s="8"/>
      <c r="U4" s="31" t="str">
        <f ca="1">OFFSET($V4,0,LangOffset,1,1)</f>
        <v>Current grant</v>
      </c>
      <c r="V4" s="31" t="s">
        <v>550</v>
      </c>
      <c r="W4" s="33" t="s">
        <v>755</v>
      </c>
      <c r="X4" s="30" t="s">
        <v>748</v>
      </c>
      <c r="Y4" s="32" t="s">
        <v>757</v>
      </c>
    </row>
    <row r="5" spans="1:25" x14ac:dyDescent="0.2">
      <c r="A5" s="8">
        <f ca="1">OFFSET($B5,0,LangOffset,1,1)</f>
        <v>2014</v>
      </c>
      <c r="B5" s="10">
        <v>2014</v>
      </c>
      <c r="C5" s="10">
        <v>2014</v>
      </c>
      <c r="D5" s="10">
        <v>2014</v>
      </c>
      <c r="E5" s="10">
        <v>2014</v>
      </c>
      <c r="F5" s="8"/>
      <c r="G5" s="8" t="str">
        <f t="shared" ca="1" si="0"/>
        <v>February</v>
      </c>
      <c r="H5" s="10" t="s">
        <v>526</v>
      </c>
      <c r="I5" s="24" t="s">
        <v>781</v>
      </c>
      <c r="J5" s="37" t="s">
        <v>782</v>
      </c>
      <c r="K5" s="24" t="s">
        <v>806</v>
      </c>
      <c r="L5" s="39">
        <v>2</v>
      </c>
      <c r="N5" s="9" t="s">
        <v>81</v>
      </c>
      <c r="O5" s="9" t="s">
        <v>87</v>
      </c>
      <c r="P5" s="9"/>
      <c r="Q5" s="67" t="s">
        <v>80</v>
      </c>
      <c r="R5" s="67" t="s">
        <v>84</v>
      </c>
      <c r="S5" s="67" t="s">
        <v>918</v>
      </c>
      <c r="T5" s="8"/>
      <c r="U5" s="31" t="str">
        <f ca="1">OFFSET($V5,0,LangOffset,1,1)</f>
        <v>Multiple Global Fund grants</v>
      </c>
      <c r="V5" s="31" t="s">
        <v>551</v>
      </c>
      <c r="W5" s="34" t="s">
        <v>759</v>
      </c>
      <c r="X5" s="30" t="s">
        <v>749</v>
      </c>
      <c r="Y5" s="32" t="s">
        <v>761</v>
      </c>
    </row>
    <row r="6" spans="1:25" ht="14.25" customHeight="1" x14ac:dyDescent="0.2">
      <c r="A6" s="8">
        <f ca="1">OFFSET($B6,0,LangOffset,1,1)</f>
        <v>2015</v>
      </c>
      <c r="B6" s="8">
        <v>2015</v>
      </c>
      <c r="C6" s="8">
        <v>2015</v>
      </c>
      <c r="D6" s="8">
        <v>2015</v>
      </c>
      <c r="E6" s="8">
        <v>2015</v>
      </c>
      <c r="F6" s="8"/>
      <c r="G6" s="8" t="str">
        <f t="shared" ca="1" si="0"/>
        <v>March</v>
      </c>
      <c r="H6" s="10" t="s">
        <v>527</v>
      </c>
      <c r="I6" s="24" t="s">
        <v>783</v>
      </c>
      <c r="J6" s="37" t="s">
        <v>804</v>
      </c>
      <c r="K6" s="24" t="s">
        <v>805</v>
      </c>
      <c r="L6" s="8">
        <v>3</v>
      </c>
      <c r="N6" s="9" t="s">
        <v>83</v>
      </c>
      <c r="O6" s="9" t="s">
        <v>90</v>
      </c>
      <c r="P6" s="9"/>
      <c r="Q6" s="67" t="s">
        <v>80</v>
      </c>
      <c r="R6" s="67" t="s">
        <v>916</v>
      </c>
      <c r="S6" s="67" t="s">
        <v>112</v>
      </c>
      <c r="T6" s="8"/>
      <c r="U6" s="31" t="str">
        <f ca="1">OFFSET($V6,0,LangOffset,1,1)</f>
        <v>Global Fund and other donors</v>
      </c>
      <c r="V6" s="31" t="s">
        <v>552</v>
      </c>
      <c r="W6" s="34" t="s">
        <v>760</v>
      </c>
      <c r="X6" s="30" t="s">
        <v>750</v>
      </c>
      <c r="Y6" s="32" t="s">
        <v>762</v>
      </c>
    </row>
    <row r="7" spans="1:25" x14ac:dyDescent="0.2">
      <c r="A7" s="8"/>
      <c r="B7" s="10"/>
      <c r="C7" s="24"/>
      <c r="D7" s="38"/>
      <c r="E7" s="24"/>
      <c r="F7" s="8"/>
      <c r="G7" s="8" t="str">
        <f t="shared" ca="1" si="0"/>
        <v>April</v>
      </c>
      <c r="H7" s="8" t="s">
        <v>70</v>
      </c>
      <c r="I7" s="23" t="s">
        <v>775</v>
      </c>
      <c r="J7" s="38" t="s">
        <v>776</v>
      </c>
      <c r="K7" s="24" t="s">
        <v>807</v>
      </c>
      <c r="L7" s="39">
        <v>4</v>
      </c>
      <c r="N7" s="9" t="s">
        <v>85</v>
      </c>
      <c r="O7" s="9" t="s">
        <v>92</v>
      </c>
      <c r="P7" s="9"/>
      <c r="Q7" s="67" t="s">
        <v>80</v>
      </c>
      <c r="R7" s="67" t="s">
        <v>919</v>
      </c>
      <c r="S7" s="67" t="s">
        <v>920</v>
      </c>
      <c r="T7" s="8"/>
      <c r="U7" s="31" t="str">
        <f ca="1">OFFSET($V7,0,LangOffset,1,1)</f>
        <v>National program</v>
      </c>
      <c r="V7" s="31" t="s">
        <v>553</v>
      </c>
      <c r="W7" s="33" t="s">
        <v>756</v>
      </c>
      <c r="X7" s="30" t="s">
        <v>751</v>
      </c>
      <c r="Y7" s="32" t="s">
        <v>758</v>
      </c>
    </row>
    <row r="8" spans="1:25" x14ac:dyDescent="0.2">
      <c r="A8" s="8"/>
      <c r="B8" s="8"/>
      <c r="C8" s="23"/>
      <c r="D8" s="23"/>
      <c r="E8" s="24"/>
      <c r="F8" s="8"/>
      <c r="G8" s="8" t="str">
        <f t="shared" ca="1" si="0"/>
        <v>May</v>
      </c>
      <c r="H8" s="10" t="s">
        <v>528</v>
      </c>
      <c r="I8" s="24" t="s">
        <v>784</v>
      </c>
      <c r="J8" s="38" t="s">
        <v>802</v>
      </c>
      <c r="K8" s="24" t="s">
        <v>801</v>
      </c>
      <c r="L8" s="8">
        <v>5</v>
      </c>
      <c r="N8" s="9" t="s">
        <v>86</v>
      </c>
      <c r="O8" s="9" t="s">
        <v>96</v>
      </c>
      <c r="P8" s="9"/>
      <c r="Q8" s="67" t="s">
        <v>87</v>
      </c>
      <c r="R8" s="67" t="s">
        <v>88</v>
      </c>
      <c r="S8" s="67" t="s">
        <v>442</v>
      </c>
      <c r="T8" s="8"/>
      <c r="U8" s="8"/>
      <c r="V8" s="8"/>
      <c r="W8" s="8"/>
      <c r="X8" s="8"/>
      <c r="Y8" s="8"/>
    </row>
    <row r="9" spans="1:25" x14ac:dyDescent="0.2">
      <c r="A9" s="8"/>
      <c r="B9" s="10"/>
      <c r="C9" s="24"/>
      <c r="D9" s="24"/>
      <c r="E9" s="24"/>
      <c r="F9" s="8"/>
      <c r="G9" s="8" t="str">
        <f t="shared" ca="1" si="0"/>
        <v>June</v>
      </c>
      <c r="H9" s="10" t="s">
        <v>529</v>
      </c>
      <c r="I9" s="24" t="s">
        <v>785</v>
      </c>
      <c r="J9" s="38" t="s">
        <v>803</v>
      </c>
      <c r="K9" s="24" t="s">
        <v>800</v>
      </c>
      <c r="L9" s="39">
        <v>6</v>
      </c>
      <c r="N9" s="9" t="s">
        <v>89</v>
      </c>
      <c r="O9" s="9" t="s">
        <v>101</v>
      </c>
      <c r="P9" s="9"/>
      <c r="Q9" s="67" t="s">
        <v>90</v>
      </c>
      <c r="R9" s="67" t="s">
        <v>922</v>
      </c>
      <c r="S9" s="67" t="s">
        <v>442</v>
      </c>
      <c r="T9" s="8"/>
      <c r="U9" s="8"/>
      <c r="V9" s="8"/>
      <c r="W9" s="8"/>
      <c r="X9" s="8"/>
      <c r="Y9" s="8"/>
    </row>
    <row r="10" spans="1:25" x14ac:dyDescent="0.2">
      <c r="A10" s="8"/>
      <c r="B10" s="10"/>
      <c r="C10" s="24"/>
      <c r="D10" s="24"/>
      <c r="E10" s="24"/>
      <c r="F10" s="8"/>
      <c r="G10" s="8" t="str">
        <f t="shared" ca="1" si="0"/>
        <v>July</v>
      </c>
      <c r="H10" s="8" t="s">
        <v>71</v>
      </c>
      <c r="I10" s="23" t="s">
        <v>777</v>
      </c>
      <c r="J10" s="23" t="s">
        <v>778</v>
      </c>
      <c r="K10" s="24" t="s">
        <v>799</v>
      </c>
      <c r="L10" s="8">
        <v>7</v>
      </c>
      <c r="N10" s="9" t="s">
        <v>91</v>
      </c>
      <c r="O10" s="9" t="s">
        <v>107</v>
      </c>
      <c r="P10" s="9"/>
      <c r="Q10" s="67" t="s">
        <v>92</v>
      </c>
      <c r="R10" s="67" t="s">
        <v>93</v>
      </c>
      <c r="S10" s="67" t="s">
        <v>1219</v>
      </c>
      <c r="T10" s="8"/>
      <c r="U10" s="8"/>
      <c r="V10" s="8"/>
      <c r="W10" s="8"/>
      <c r="X10" s="8"/>
      <c r="Y10" s="8"/>
    </row>
    <row r="11" spans="1:25" x14ac:dyDescent="0.2">
      <c r="A11" s="8"/>
      <c r="B11" s="8"/>
      <c r="C11" s="23"/>
      <c r="D11" s="23"/>
      <c r="E11" s="24"/>
      <c r="F11" s="8"/>
      <c r="G11" s="8" t="str">
        <f t="shared" ca="1" si="0"/>
        <v>August</v>
      </c>
      <c r="H11" s="10" t="s">
        <v>530</v>
      </c>
      <c r="I11" s="24" t="s">
        <v>796</v>
      </c>
      <c r="J11" s="24" t="s">
        <v>797</v>
      </c>
      <c r="K11" s="24" t="s">
        <v>798</v>
      </c>
      <c r="L11" s="39">
        <v>8</v>
      </c>
      <c r="N11" s="9" t="s">
        <v>94</v>
      </c>
      <c r="O11" s="9" t="s">
        <v>110</v>
      </c>
      <c r="P11" s="9"/>
      <c r="Q11" s="67" t="s">
        <v>92</v>
      </c>
      <c r="R11" s="67" t="s">
        <v>923</v>
      </c>
      <c r="S11" s="67" t="s">
        <v>442</v>
      </c>
      <c r="T11" s="8"/>
      <c r="U11" s="8"/>
      <c r="V11" s="8"/>
      <c r="W11" s="8"/>
      <c r="X11" s="8"/>
      <c r="Y11" s="8"/>
    </row>
    <row r="12" spans="1:25" x14ac:dyDescent="0.2">
      <c r="A12" s="8"/>
      <c r="B12" s="10"/>
      <c r="C12" s="10"/>
      <c r="D12" s="10"/>
      <c r="E12" s="10"/>
      <c r="F12" s="8"/>
      <c r="G12" s="8" t="str">
        <f t="shared" ca="1" si="0"/>
        <v>September</v>
      </c>
      <c r="H12" s="10" t="s">
        <v>531</v>
      </c>
      <c r="I12" s="24" t="s">
        <v>786</v>
      </c>
      <c r="J12" s="24" t="s">
        <v>795</v>
      </c>
      <c r="K12" s="24" t="s">
        <v>794</v>
      </c>
      <c r="L12" s="8">
        <v>9</v>
      </c>
      <c r="N12" s="9" t="s">
        <v>1362</v>
      </c>
      <c r="O12" s="9"/>
      <c r="P12" s="9"/>
      <c r="Q12" s="67" t="s">
        <v>96</v>
      </c>
      <c r="R12" s="67" t="s">
        <v>97</v>
      </c>
      <c r="S12" s="67" t="s">
        <v>1219</v>
      </c>
      <c r="T12" s="8"/>
      <c r="U12" s="8"/>
      <c r="V12" s="8"/>
      <c r="W12" s="8"/>
      <c r="X12" s="8"/>
      <c r="Y12" s="8"/>
    </row>
    <row r="13" spans="1:25" x14ac:dyDescent="0.2">
      <c r="A13" s="8"/>
      <c r="B13" s="10"/>
      <c r="C13" s="10"/>
      <c r="D13" s="10"/>
      <c r="E13" s="10"/>
      <c r="F13" s="8"/>
      <c r="G13" s="8" t="str">
        <f t="shared" ca="1" si="0"/>
        <v>October</v>
      </c>
      <c r="H13" s="8" t="s">
        <v>72</v>
      </c>
      <c r="I13" s="23" t="s">
        <v>779</v>
      </c>
      <c r="J13" s="23" t="s">
        <v>780</v>
      </c>
      <c r="K13" s="24" t="s">
        <v>793</v>
      </c>
      <c r="L13" s="39">
        <v>10</v>
      </c>
      <c r="N13" s="9" t="s">
        <v>95</v>
      </c>
      <c r="O13" s="9" t="s">
        <v>118</v>
      </c>
      <c r="P13" s="9"/>
      <c r="Q13" s="67" t="s">
        <v>96</v>
      </c>
      <c r="R13" s="67" t="s">
        <v>99</v>
      </c>
      <c r="S13" s="67" t="s">
        <v>1220</v>
      </c>
      <c r="T13" s="8"/>
      <c r="U13" s="8"/>
      <c r="V13" s="8"/>
      <c r="W13" s="8"/>
      <c r="X13" s="8"/>
      <c r="Y13" s="8"/>
    </row>
    <row r="14" spans="1:25" x14ac:dyDescent="0.2">
      <c r="A14" s="8"/>
      <c r="B14" s="10"/>
      <c r="C14" s="10"/>
      <c r="D14" s="10"/>
      <c r="E14" s="10"/>
      <c r="F14" s="8"/>
      <c r="G14" s="8" t="str">
        <f t="shared" ca="1" si="0"/>
        <v>Novermber</v>
      </c>
      <c r="H14" s="10" t="s">
        <v>532</v>
      </c>
      <c r="I14" s="10" t="s">
        <v>787</v>
      </c>
      <c r="J14" s="10" t="s">
        <v>791</v>
      </c>
      <c r="K14" s="10" t="s">
        <v>792</v>
      </c>
      <c r="L14" s="8">
        <v>11</v>
      </c>
      <c r="N14" s="9" t="s">
        <v>98</v>
      </c>
      <c r="O14" s="9" t="s">
        <v>121</v>
      </c>
      <c r="P14" s="9"/>
      <c r="Q14" s="67" t="s">
        <v>101</v>
      </c>
      <c r="R14" s="67" t="s">
        <v>1221</v>
      </c>
      <c r="S14" s="67" t="s">
        <v>1222</v>
      </c>
      <c r="T14" s="8"/>
      <c r="U14" s="8"/>
      <c r="V14" s="8"/>
      <c r="W14" s="8"/>
      <c r="X14" s="8"/>
      <c r="Y14" s="8"/>
    </row>
    <row r="15" spans="1:25" x14ac:dyDescent="0.2">
      <c r="A15" s="8"/>
      <c r="B15" s="8"/>
      <c r="C15" s="8"/>
      <c r="D15" s="8"/>
      <c r="E15" s="8"/>
      <c r="F15" s="8"/>
      <c r="G15" s="8" t="str">
        <f t="shared" ca="1" si="0"/>
        <v>December</v>
      </c>
      <c r="H15" s="10" t="s">
        <v>533</v>
      </c>
      <c r="I15" s="10" t="s">
        <v>789</v>
      </c>
      <c r="J15" s="10" t="s">
        <v>790</v>
      </c>
      <c r="K15" s="10" t="s">
        <v>788</v>
      </c>
      <c r="L15" s="39">
        <v>12</v>
      </c>
      <c r="N15" s="9" t="s">
        <v>100</v>
      </c>
      <c r="O15" s="9" t="s">
        <v>124</v>
      </c>
      <c r="P15" s="9"/>
      <c r="Q15" s="67" t="s">
        <v>101</v>
      </c>
      <c r="R15" s="67" t="s">
        <v>924</v>
      </c>
      <c r="S15" s="67" t="s">
        <v>925</v>
      </c>
      <c r="T15" s="8"/>
      <c r="U15" s="8"/>
      <c r="V15" s="8"/>
      <c r="W15" s="8"/>
      <c r="X15" s="8"/>
      <c r="Y15" s="8"/>
    </row>
    <row r="16" spans="1:25" x14ac:dyDescent="0.2">
      <c r="A16" s="8"/>
      <c r="B16" s="8"/>
      <c r="C16" s="10"/>
      <c r="D16" s="10"/>
      <c r="E16" s="10"/>
      <c r="F16" s="8"/>
      <c r="G16" s="8"/>
      <c r="H16" s="10"/>
      <c r="I16" s="10"/>
      <c r="J16" s="10"/>
      <c r="K16" s="10"/>
      <c r="L16" s="10"/>
      <c r="M16" s="8"/>
      <c r="N16" s="9" t="s">
        <v>102</v>
      </c>
      <c r="O16" s="9" t="s">
        <v>133</v>
      </c>
      <c r="P16" s="9"/>
      <c r="Q16" s="67" t="s">
        <v>101</v>
      </c>
      <c r="R16" s="67" t="s">
        <v>104</v>
      </c>
      <c r="S16" s="67" t="s">
        <v>105</v>
      </c>
      <c r="T16" s="8"/>
      <c r="U16" s="8"/>
      <c r="V16" s="8"/>
      <c r="W16" s="8"/>
      <c r="X16" s="8"/>
      <c r="Y16" s="8"/>
    </row>
    <row r="17" spans="1:25" x14ac:dyDescent="0.2">
      <c r="A17" s="8"/>
      <c r="B17" s="8"/>
      <c r="C17" s="10"/>
      <c r="D17" s="10"/>
      <c r="E17" s="10"/>
      <c r="F17" s="8"/>
      <c r="G17" s="8"/>
      <c r="H17" s="8"/>
      <c r="I17" s="8"/>
      <c r="J17" s="8"/>
      <c r="K17" s="8"/>
      <c r="L17" s="8"/>
      <c r="M17" s="8"/>
      <c r="N17" s="9" t="s">
        <v>103</v>
      </c>
      <c r="O17" s="9" t="s">
        <v>134</v>
      </c>
      <c r="P17" s="9"/>
      <c r="Q17" s="67" t="s">
        <v>107</v>
      </c>
      <c r="R17" s="67" t="s">
        <v>926</v>
      </c>
      <c r="S17" s="67" t="s">
        <v>442</v>
      </c>
      <c r="T17" s="8"/>
      <c r="U17" s="8"/>
      <c r="V17" s="8"/>
      <c r="W17" s="8"/>
      <c r="X17" s="8"/>
      <c r="Y17" s="8"/>
    </row>
    <row r="18" spans="1:25" x14ac:dyDescent="0.2">
      <c r="A18" s="8"/>
      <c r="B18" s="8"/>
      <c r="C18" s="8"/>
      <c r="D18" s="8"/>
      <c r="E18" s="8"/>
      <c r="F18" s="8"/>
      <c r="G18" s="8"/>
      <c r="H18" s="8"/>
      <c r="I18" s="10"/>
      <c r="J18" s="10"/>
      <c r="K18" s="10"/>
      <c r="L18" s="10"/>
      <c r="M18" s="8"/>
      <c r="N18" s="9" t="s">
        <v>106</v>
      </c>
      <c r="O18" s="9" t="s">
        <v>140</v>
      </c>
      <c r="P18" s="9"/>
      <c r="Q18" s="67" t="s">
        <v>107</v>
      </c>
      <c r="R18" s="67" t="s">
        <v>927</v>
      </c>
      <c r="S18" s="67" t="s">
        <v>442</v>
      </c>
      <c r="T18" s="8"/>
      <c r="U18" s="8"/>
      <c r="V18" s="8"/>
      <c r="W18" s="8"/>
      <c r="X18" s="8"/>
      <c r="Y18" s="8"/>
    </row>
    <row r="19" spans="1:25" x14ac:dyDescent="0.2">
      <c r="A19" s="8"/>
      <c r="B19" s="8"/>
      <c r="C19" s="10"/>
      <c r="D19" s="10"/>
      <c r="E19" s="10"/>
      <c r="F19" s="8"/>
      <c r="G19" s="8"/>
      <c r="H19" s="8"/>
      <c r="I19" s="10"/>
      <c r="J19" s="10"/>
      <c r="K19" s="10"/>
      <c r="L19" s="10"/>
      <c r="M19" s="8"/>
      <c r="N19" s="9" t="s">
        <v>108</v>
      </c>
      <c r="O19" s="9" t="s">
        <v>142</v>
      </c>
      <c r="P19" s="9"/>
      <c r="Q19" s="67" t="s">
        <v>110</v>
      </c>
      <c r="R19" s="67" t="s">
        <v>931</v>
      </c>
      <c r="S19" s="67" t="s">
        <v>932</v>
      </c>
      <c r="T19" s="8"/>
      <c r="U19" s="8"/>
      <c r="V19" s="8"/>
      <c r="W19" s="8"/>
      <c r="X19" s="8"/>
      <c r="Y19" s="8"/>
    </row>
    <row r="20" spans="1:25" x14ac:dyDescent="0.2">
      <c r="A20" s="8"/>
      <c r="B20" s="8"/>
      <c r="C20" s="10"/>
      <c r="D20" s="10"/>
      <c r="E20" s="10"/>
      <c r="F20" s="8"/>
      <c r="G20" s="8"/>
      <c r="H20" s="8"/>
      <c r="I20" s="8"/>
      <c r="J20" s="8"/>
      <c r="K20" s="8"/>
      <c r="L20" s="8"/>
      <c r="M20" s="8"/>
      <c r="N20" s="9" t="s">
        <v>109</v>
      </c>
      <c r="O20" s="9" t="s">
        <v>145</v>
      </c>
      <c r="P20" s="9"/>
      <c r="Q20" s="67" t="s">
        <v>110</v>
      </c>
      <c r="R20" s="67" t="s">
        <v>928</v>
      </c>
      <c r="S20" s="67" t="s">
        <v>112</v>
      </c>
      <c r="T20" s="8"/>
      <c r="U20" s="8"/>
      <c r="V20" s="8"/>
      <c r="W20" s="8"/>
      <c r="X20" s="8"/>
      <c r="Y20" s="8"/>
    </row>
    <row r="21" spans="1:25" x14ac:dyDescent="0.2">
      <c r="A21" s="8"/>
      <c r="B21" s="8"/>
      <c r="C21" s="8"/>
      <c r="D21" s="8"/>
      <c r="E21" s="8"/>
      <c r="F21" s="8"/>
      <c r="G21" s="8"/>
      <c r="H21" s="8"/>
      <c r="I21" s="10"/>
      <c r="J21" s="10"/>
      <c r="K21" s="10"/>
      <c r="L21" s="10"/>
      <c r="M21" s="8"/>
      <c r="N21" s="9" t="s">
        <v>111</v>
      </c>
      <c r="O21" s="9" t="s">
        <v>150</v>
      </c>
      <c r="P21" s="9"/>
      <c r="Q21" s="67" t="s">
        <v>110</v>
      </c>
      <c r="R21" s="67" t="s">
        <v>114</v>
      </c>
      <c r="S21" s="67" t="s">
        <v>442</v>
      </c>
      <c r="T21" s="8"/>
      <c r="U21" s="8"/>
      <c r="V21" s="8"/>
      <c r="W21" s="8"/>
      <c r="X21" s="8"/>
      <c r="Y21" s="8"/>
    </row>
    <row r="22" spans="1:25" x14ac:dyDescent="0.2">
      <c r="A22" s="8"/>
      <c r="B22" s="8"/>
      <c r="C22" s="8"/>
      <c r="D22" s="8"/>
      <c r="E22" s="8"/>
      <c r="F22" s="8"/>
      <c r="G22" s="8"/>
      <c r="H22" s="8"/>
      <c r="I22" s="10"/>
      <c r="J22" s="10"/>
      <c r="K22" s="10"/>
      <c r="L22" s="10"/>
      <c r="M22" s="8"/>
      <c r="N22" s="9" t="s">
        <v>113</v>
      </c>
      <c r="O22" s="9" t="s">
        <v>152</v>
      </c>
      <c r="P22" s="9"/>
      <c r="Q22" s="67" t="s">
        <v>110</v>
      </c>
      <c r="R22" s="67" t="s">
        <v>1223</v>
      </c>
      <c r="S22" s="67" t="s">
        <v>1224</v>
      </c>
      <c r="T22" s="8"/>
      <c r="U22" s="8"/>
      <c r="V22" s="8"/>
      <c r="W22" s="8"/>
      <c r="X22" s="8"/>
      <c r="Y22" s="8"/>
    </row>
    <row r="23" spans="1:25" x14ac:dyDescent="0.2">
      <c r="A23" s="8"/>
      <c r="B23" s="8"/>
      <c r="C23" s="8"/>
      <c r="D23" s="8"/>
      <c r="E23" s="8"/>
      <c r="F23" s="8"/>
      <c r="G23" s="8"/>
      <c r="H23" s="8"/>
      <c r="I23" s="8"/>
      <c r="J23" s="8"/>
      <c r="K23" s="8"/>
      <c r="L23" s="8"/>
      <c r="M23" s="8"/>
      <c r="N23" s="9" t="s">
        <v>115</v>
      </c>
      <c r="O23" s="9" t="s">
        <v>160</v>
      </c>
      <c r="P23" s="9"/>
      <c r="Q23" s="67" t="s">
        <v>110</v>
      </c>
      <c r="R23" s="67" t="s">
        <v>929</v>
      </c>
      <c r="S23" s="67" t="s">
        <v>930</v>
      </c>
      <c r="T23" s="8"/>
      <c r="U23" s="8"/>
      <c r="V23" s="8"/>
      <c r="W23" s="8"/>
      <c r="X23" s="8"/>
      <c r="Y23" s="8"/>
    </row>
    <row r="24" spans="1:25" x14ac:dyDescent="0.2">
      <c r="A24" s="8"/>
      <c r="B24" s="8"/>
      <c r="C24" s="8"/>
      <c r="D24" s="8"/>
      <c r="E24" s="8"/>
      <c r="F24" s="8"/>
      <c r="G24" s="8"/>
      <c r="H24" s="8"/>
      <c r="I24" s="8"/>
      <c r="J24" s="8"/>
      <c r="K24" s="8"/>
      <c r="L24" s="8"/>
      <c r="M24" s="8"/>
      <c r="N24" s="9" t="s">
        <v>116</v>
      </c>
      <c r="O24" s="9" t="s">
        <v>168</v>
      </c>
      <c r="P24" s="9"/>
      <c r="Q24" s="67" t="s">
        <v>118</v>
      </c>
      <c r="R24" s="67" t="s">
        <v>119</v>
      </c>
      <c r="S24" s="67" t="s">
        <v>1219</v>
      </c>
      <c r="T24" s="8"/>
      <c r="U24" s="8"/>
      <c r="V24" s="8"/>
      <c r="W24" s="8"/>
      <c r="X24" s="8"/>
      <c r="Y24" s="8"/>
    </row>
    <row r="25" spans="1:25" x14ac:dyDescent="0.2">
      <c r="A25" s="8"/>
      <c r="B25" s="8"/>
      <c r="C25" s="8"/>
      <c r="D25" s="8"/>
      <c r="E25" s="8"/>
      <c r="F25" s="8"/>
      <c r="G25" s="8"/>
      <c r="H25" s="8"/>
      <c r="I25" s="8"/>
      <c r="J25" s="8"/>
      <c r="K25" s="8"/>
      <c r="L25" s="8"/>
      <c r="M25" s="8"/>
      <c r="N25" s="9" t="s">
        <v>117</v>
      </c>
      <c r="O25" s="9" t="s">
        <v>173</v>
      </c>
      <c r="P25" s="9"/>
      <c r="Q25" s="67" t="s">
        <v>121</v>
      </c>
      <c r="R25" s="67" t="s">
        <v>933</v>
      </c>
      <c r="S25" s="67" t="s">
        <v>934</v>
      </c>
      <c r="T25" s="8"/>
      <c r="U25" s="8"/>
      <c r="V25" s="8"/>
      <c r="W25" s="8"/>
      <c r="X25" s="8"/>
      <c r="Y25" s="8"/>
    </row>
    <row r="26" spans="1:25" x14ac:dyDescent="0.2">
      <c r="A26" s="8"/>
      <c r="B26" s="8"/>
      <c r="C26" s="8"/>
      <c r="D26" s="8"/>
      <c r="E26" s="8"/>
      <c r="F26" s="8"/>
      <c r="G26" s="8"/>
      <c r="H26" s="8"/>
      <c r="I26" s="8"/>
      <c r="J26" s="8"/>
      <c r="K26" s="8"/>
      <c r="L26" s="8"/>
      <c r="M26" s="8"/>
      <c r="N26" s="9" t="s">
        <v>120</v>
      </c>
      <c r="O26" s="9" t="s">
        <v>179</v>
      </c>
      <c r="P26" s="9"/>
      <c r="Q26" s="67" t="s">
        <v>121</v>
      </c>
      <c r="R26" s="67" t="s">
        <v>1225</v>
      </c>
      <c r="S26" s="67" t="s">
        <v>1219</v>
      </c>
      <c r="T26" s="8"/>
      <c r="U26" s="8"/>
      <c r="V26" s="8"/>
      <c r="W26" s="8"/>
      <c r="X26" s="8"/>
      <c r="Y26" s="8"/>
    </row>
    <row r="27" spans="1:25" x14ac:dyDescent="0.2">
      <c r="A27" s="8"/>
      <c r="B27" s="8"/>
      <c r="C27" s="8"/>
      <c r="D27" s="8"/>
      <c r="E27" s="8"/>
      <c r="F27" s="8"/>
      <c r="G27" s="8"/>
      <c r="H27" s="8"/>
      <c r="I27" s="8"/>
      <c r="J27" s="8"/>
      <c r="K27" s="8"/>
      <c r="L27" s="8"/>
      <c r="M27" s="8"/>
      <c r="N27" s="9" t="s">
        <v>122</v>
      </c>
      <c r="O27" s="9" t="s">
        <v>182</v>
      </c>
      <c r="P27" s="9"/>
      <c r="Q27" s="67" t="s">
        <v>124</v>
      </c>
      <c r="R27" s="67" t="s">
        <v>125</v>
      </c>
      <c r="S27" s="67" t="s">
        <v>1219</v>
      </c>
      <c r="T27" s="8"/>
      <c r="U27" s="8"/>
      <c r="V27" s="8"/>
      <c r="W27" s="8"/>
      <c r="X27" s="8"/>
      <c r="Y27" s="8"/>
    </row>
    <row r="28" spans="1:25" x14ac:dyDescent="0.2">
      <c r="A28" s="8"/>
      <c r="B28" s="8"/>
      <c r="C28" s="8"/>
      <c r="D28" s="8"/>
      <c r="E28" s="8"/>
      <c r="F28" s="8"/>
      <c r="G28" s="8"/>
      <c r="H28" s="8"/>
      <c r="I28" s="8"/>
      <c r="J28" s="8"/>
      <c r="K28" s="8"/>
      <c r="L28" s="8"/>
      <c r="M28" s="8"/>
      <c r="N28" s="9" t="s">
        <v>123</v>
      </c>
      <c r="O28" s="9" t="s">
        <v>186</v>
      </c>
      <c r="P28" s="9"/>
      <c r="Q28" s="67" t="s">
        <v>124</v>
      </c>
      <c r="R28" s="67" t="s">
        <v>935</v>
      </c>
      <c r="S28" s="67" t="s">
        <v>936</v>
      </c>
      <c r="T28" s="8"/>
      <c r="U28" s="8"/>
      <c r="V28" s="8"/>
      <c r="W28" s="8"/>
      <c r="X28" s="8"/>
      <c r="Y28" s="8"/>
    </row>
    <row r="29" spans="1:25" x14ac:dyDescent="0.2">
      <c r="A29" s="8"/>
      <c r="B29" s="8"/>
      <c r="C29" s="8"/>
      <c r="D29" s="8"/>
      <c r="E29" s="8"/>
      <c r="F29" s="8"/>
      <c r="G29" s="8"/>
      <c r="H29" s="8"/>
      <c r="I29" s="8"/>
      <c r="J29" s="8"/>
      <c r="K29" s="8"/>
      <c r="L29" s="8"/>
      <c r="M29" s="8"/>
      <c r="N29" s="9" t="s">
        <v>126</v>
      </c>
      <c r="O29" s="9" t="s">
        <v>193</v>
      </c>
      <c r="P29" s="9"/>
      <c r="Q29" s="67" t="s">
        <v>124</v>
      </c>
      <c r="R29" s="67" t="s">
        <v>941</v>
      </c>
      <c r="S29" s="67" t="s">
        <v>442</v>
      </c>
      <c r="T29" s="8"/>
      <c r="U29" s="8"/>
      <c r="V29" s="8"/>
      <c r="W29" s="8"/>
      <c r="X29" s="8"/>
      <c r="Y29" s="8"/>
    </row>
    <row r="30" spans="1:25" x14ac:dyDescent="0.2">
      <c r="A30" s="8"/>
      <c r="B30" s="8"/>
      <c r="C30" s="8"/>
      <c r="D30" s="8"/>
      <c r="E30" s="8"/>
      <c r="F30" s="8"/>
      <c r="G30" s="8"/>
      <c r="H30" s="8"/>
      <c r="I30" s="8"/>
      <c r="J30" s="8"/>
      <c r="K30" s="8"/>
      <c r="L30" s="8"/>
      <c r="M30" s="8"/>
      <c r="N30" s="9" t="s">
        <v>127</v>
      </c>
      <c r="O30" s="9" t="s">
        <v>196</v>
      </c>
      <c r="P30" s="9"/>
      <c r="Q30" s="67" t="s">
        <v>124</v>
      </c>
      <c r="R30" s="67" t="s">
        <v>937</v>
      </c>
      <c r="S30" s="67" t="s">
        <v>938</v>
      </c>
      <c r="T30" s="8"/>
      <c r="U30" s="8"/>
      <c r="V30" s="8"/>
      <c r="W30" s="8"/>
      <c r="X30" s="8"/>
      <c r="Y30" s="8"/>
    </row>
    <row r="31" spans="1:25" x14ac:dyDescent="0.2">
      <c r="A31" s="8"/>
      <c r="B31" s="8"/>
      <c r="C31" s="8"/>
      <c r="D31" s="8"/>
      <c r="E31" s="8"/>
      <c r="F31" s="8"/>
      <c r="G31" s="8"/>
      <c r="H31" s="8"/>
      <c r="I31" s="8"/>
      <c r="J31" s="8"/>
      <c r="K31" s="8"/>
      <c r="L31" s="8"/>
      <c r="M31" s="8"/>
      <c r="N31" s="9" t="s">
        <v>128</v>
      </c>
      <c r="O31" s="9" t="s">
        <v>199</v>
      </c>
      <c r="P31" s="9"/>
      <c r="Q31" s="67" t="s">
        <v>124</v>
      </c>
      <c r="R31" s="67" t="s">
        <v>130</v>
      </c>
      <c r="S31" s="67" t="s">
        <v>1226</v>
      </c>
      <c r="T31" s="8"/>
      <c r="U31" s="8"/>
      <c r="V31" s="8"/>
      <c r="W31" s="8"/>
      <c r="X31" s="8"/>
      <c r="Y31" s="8"/>
    </row>
    <row r="32" spans="1:25" x14ac:dyDescent="0.2">
      <c r="A32" s="8"/>
      <c r="B32" s="8"/>
      <c r="C32" s="8"/>
      <c r="D32" s="8"/>
      <c r="E32" s="8"/>
      <c r="F32" s="8"/>
      <c r="G32" s="8"/>
      <c r="H32" s="8"/>
      <c r="I32" s="8"/>
      <c r="J32" s="8"/>
      <c r="K32" s="8"/>
      <c r="L32" s="8"/>
      <c r="M32" s="8"/>
      <c r="N32" s="9" t="s">
        <v>129</v>
      </c>
      <c r="O32" s="9" t="s">
        <v>207</v>
      </c>
      <c r="P32" s="9"/>
      <c r="Q32" s="67" t="s">
        <v>124</v>
      </c>
      <c r="R32" s="67" t="s">
        <v>939</v>
      </c>
      <c r="S32" s="67" t="s">
        <v>940</v>
      </c>
      <c r="T32" s="8"/>
      <c r="U32" s="8"/>
      <c r="V32" s="8"/>
      <c r="W32" s="8"/>
      <c r="X32" s="8"/>
      <c r="Y32" s="8"/>
    </row>
    <row r="33" spans="1:25" x14ac:dyDescent="0.2">
      <c r="A33" s="8"/>
      <c r="B33" s="8"/>
      <c r="C33" s="8"/>
      <c r="D33" s="8"/>
      <c r="E33" s="8"/>
      <c r="F33" s="8"/>
      <c r="G33" s="8"/>
      <c r="H33" s="8"/>
      <c r="I33" s="8"/>
      <c r="J33" s="8"/>
      <c r="K33" s="8"/>
      <c r="L33" s="8"/>
      <c r="M33" s="8"/>
      <c r="N33" s="9" t="s">
        <v>1363</v>
      </c>
      <c r="O33" s="9" t="s">
        <v>216</v>
      </c>
      <c r="P33" s="9"/>
      <c r="Q33" s="67" t="s">
        <v>133</v>
      </c>
      <c r="R33" s="67" t="s">
        <v>942</v>
      </c>
      <c r="S33" s="67" t="s">
        <v>442</v>
      </c>
      <c r="T33" s="8"/>
      <c r="U33" s="8"/>
      <c r="V33" s="8"/>
      <c r="W33" s="8"/>
      <c r="X33" s="8"/>
      <c r="Y33" s="8"/>
    </row>
    <row r="34" spans="1:25" x14ac:dyDescent="0.2">
      <c r="A34" s="8"/>
      <c r="B34" s="8"/>
      <c r="C34" s="8"/>
      <c r="D34" s="8"/>
      <c r="E34" s="8"/>
      <c r="F34" s="8"/>
      <c r="G34" s="8"/>
      <c r="H34" s="8"/>
      <c r="I34" s="8"/>
      <c r="J34" s="8"/>
      <c r="K34" s="8"/>
      <c r="L34" s="8"/>
      <c r="M34" s="8"/>
      <c r="N34" s="9" t="s">
        <v>131</v>
      </c>
      <c r="O34" s="9" t="s">
        <v>212</v>
      </c>
      <c r="P34" s="9"/>
      <c r="Q34" s="67" t="s">
        <v>134</v>
      </c>
      <c r="R34" s="67" t="s">
        <v>944</v>
      </c>
      <c r="S34" s="67" t="s">
        <v>945</v>
      </c>
      <c r="T34" s="8"/>
      <c r="U34" s="8"/>
      <c r="V34" s="8"/>
      <c r="W34" s="8"/>
      <c r="X34" s="8"/>
      <c r="Y34" s="8"/>
    </row>
    <row r="35" spans="1:25" x14ac:dyDescent="0.2">
      <c r="A35" s="8"/>
      <c r="B35" s="8"/>
      <c r="C35" s="8"/>
      <c r="D35" s="8"/>
      <c r="E35" s="8"/>
      <c r="F35" s="8"/>
      <c r="G35" s="8"/>
      <c r="H35" s="8"/>
      <c r="I35" s="8"/>
      <c r="J35" s="8"/>
      <c r="K35" s="8"/>
      <c r="L35" s="8"/>
      <c r="M35" s="8"/>
      <c r="N35" s="9" t="s">
        <v>135</v>
      </c>
      <c r="O35" s="9" t="s">
        <v>223</v>
      </c>
      <c r="P35" s="9"/>
      <c r="Q35" s="67" t="s">
        <v>134</v>
      </c>
      <c r="R35" s="67" t="s">
        <v>136</v>
      </c>
      <c r="S35" s="67" t="s">
        <v>1219</v>
      </c>
      <c r="T35" s="8"/>
      <c r="U35" s="8"/>
      <c r="V35" s="8"/>
      <c r="W35" s="8"/>
      <c r="X35" s="8"/>
      <c r="Y35" s="8"/>
    </row>
    <row r="36" spans="1:25" x14ac:dyDescent="0.2">
      <c r="A36" s="8"/>
      <c r="B36" s="8"/>
      <c r="C36" s="8"/>
      <c r="D36" s="8"/>
      <c r="E36" s="8"/>
      <c r="F36" s="8"/>
      <c r="G36" s="8"/>
      <c r="H36" s="8"/>
      <c r="I36" s="8"/>
      <c r="J36" s="8"/>
      <c r="K36" s="8"/>
      <c r="L36" s="8"/>
      <c r="M36" s="8"/>
      <c r="N36" s="9" t="s">
        <v>137</v>
      </c>
      <c r="O36" s="9" t="s">
        <v>226</v>
      </c>
      <c r="P36" s="9"/>
      <c r="Q36" s="67" t="s">
        <v>134</v>
      </c>
      <c r="R36" s="67" t="s">
        <v>138</v>
      </c>
      <c r="S36" s="67" t="s">
        <v>943</v>
      </c>
      <c r="T36" s="8"/>
      <c r="U36" s="8"/>
      <c r="V36" s="8"/>
      <c r="W36" s="8"/>
      <c r="X36" s="8"/>
      <c r="Y36" s="8"/>
    </row>
    <row r="37" spans="1:25" x14ac:dyDescent="0.2">
      <c r="A37" s="8"/>
      <c r="B37" s="8"/>
      <c r="C37" s="8"/>
      <c r="D37" s="8"/>
      <c r="E37" s="8"/>
      <c r="F37" s="8"/>
      <c r="G37" s="8"/>
      <c r="H37" s="8"/>
      <c r="I37" s="8"/>
      <c r="J37" s="8"/>
      <c r="K37" s="8"/>
      <c r="L37" s="8"/>
      <c r="M37" s="8"/>
      <c r="N37" s="9" t="s">
        <v>139</v>
      </c>
      <c r="O37" s="9" t="s">
        <v>230</v>
      </c>
      <c r="P37" s="9"/>
      <c r="Q37" s="67" t="s">
        <v>134</v>
      </c>
      <c r="R37" s="67" t="s">
        <v>1227</v>
      </c>
      <c r="S37" s="67" t="s">
        <v>1228</v>
      </c>
      <c r="T37" s="8"/>
      <c r="U37" s="8"/>
      <c r="V37" s="8"/>
      <c r="W37" s="8"/>
      <c r="X37" s="8"/>
      <c r="Y37" s="8"/>
    </row>
    <row r="38" spans="1:25" x14ac:dyDescent="0.2">
      <c r="A38" s="8"/>
      <c r="B38" s="8"/>
      <c r="C38" s="8"/>
      <c r="D38" s="8"/>
      <c r="E38" s="8"/>
      <c r="F38" s="8"/>
      <c r="G38" s="8"/>
      <c r="H38" s="8"/>
      <c r="I38" s="8"/>
      <c r="J38" s="8"/>
      <c r="K38" s="8"/>
      <c r="L38" s="8"/>
      <c r="M38" s="8"/>
      <c r="N38" s="9" t="s">
        <v>141</v>
      </c>
      <c r="O38" s="9" t="s">
        <v>231</v>
      </c>
      <c r="P38" s="9"/>
      <c r="Q38" s="67" t="s">
        <v>140</v>
      </c>
      <c r="R38" s="67" t="s">
        <v>1229</v>
      </c>
      <c r="S38" s="67" t="s">
        <v>1219</v>
      </c>
      <c r="T38" s="8"/>
      <c r="U38" s="8"/>
      <c r="V38" s="8"/>
      <c r="W38" s="8"/>
      <c r="X38" s="8"/>
      <c r="Y38" s="8"/>
    </row>
    <row r="39" spans="1:25" x14ac:dyDescent="0.2">
      <c r="A39" s="8"/>
      <c r="B39" s="8"/>
      <c r="C39" s="8"/>
      <c r="D39" s="8"/>
      <c r="E39" s="8"/>
      <c r="F39" s="8"/>
      <c r="G39" s="8"/>
      <c r="H39" s="8"/>
      <c r="I39" s="8"/>
      <c r="J39" s="8"/>
      <c r="K39" s="8"/>
      <c r="L39" s="8"/>
      <c r="M39" s="8"/>
      <c r="N39" s="9" t="s">
        <v>144</v>
      </c>
      <c r="O39" s="9" t="s">
        <v>233</v>
      </c>
      <c r="P39" s="9"/>
      <c r="Q39" s="67" t="s">
        <v>142</v>
      </c>
      <c r="R39" s="67" t="s">
        <v>143</v>
      </c>
      <c r="S39" s="67" t="s">
        <v>932</v>
      </c>
      <c r="T39" s="8"/>
      <c r="U39" s="8"/>
      <c r="V39" s="8"/>
      <c r="W39" s="8"/>
      <c r="X39" s="8"/>
      <c r="Y39" s="8"/>
    </row>
    <row r="40" spans="1:25" x14ac:dyDescent="0.2">
      <c r="A40" s="8"/>
      <c r="B40" s="8"/>
      <c r="C40" s="8"/>
      <c r="D40" s="8"/>
      <c r="E40" s="8"/>
      <c r="F40" s="8"/>
      <c r="G40" s="8"/>
      <c r="H40" s="8"/>
      <c r="I40" s="8"/>
      <c r="J40" s="8"/>
      <c r="K40" s="8"/>
      <c r="L40" s="8"/>
      <c r="M40" s="8"/>
      <c r="N40" s="9" t="s">
        <v>146</v>
      </c>
      <c r="O40" s="9" t="s">
        <v>235</v>
      </c>
      <c r="P40" s="9"/>
      <c r="Q40" s="67" t="s">
        <v>145</v>
      </c>
      <c r="R40" s="67" t="s">
        <v>946</v>
      </c>
      <c r="S40" s="67" t="s">
        <v>947</v>
      </c>
      <c r="T40" s="8"/>
      <c r="U40" s="8"/>
      <c r="V40" s="8"/>
      <c r="W40" s="8"/>
      <c r="X40" s="8"/>
      <c r="Y40" s="8"/>
    </row>
    <row r="41" spans="1:25" x14ac:dyDescent="0.2">
      <c r="A41" s="8"/>
      <c r="B41" s="8"/>
      <c r="C41" s="8"/>
      <c r="D41" s="8"/>
      <c r="E41" s="8"/>
      <c r="F41" s="8"/>
      <c r="G41" s="8"/>
      <c r="H41" s="8"/>
      <c r="I41" s="8"/>
      <c r="J41" s="8"/>
      <c r="K41" s="8"/>
      <c r="L41" s="8"/>
      <c r="M41" s="8"/>
      <c r="N41" s="9" t="s">
        <v>189</v>
      </c>
      <c r="O41" s="9" t="s">
        <v>352</v>
      </c>
      <c r="P41" s="9"/>
      <c r="Q41" s="67" t="s">
        <v>145</v>
      </c>
      <c r="R41" s="67" t="s">
        <v>952</v>
      </c>
      <c r="S41" s="67" t="s">
        <v>953</v>
      </c>
      <c r="T41" s="8"/>
      <c r="U41" s="8"/>
      <c r="V41" s="8"/>
      <c r="W41" s="8"/>
      <c r="X41" s="8"/>
      <c r="Y41" s="8"/>
    </row>
    <row r="42" spans="1:25" x14ac:dyDescent="0.2">
      <c r="A42" s="8"/>
      <c r="B42" s="8"/>
      <c r="C42" s="8"/>
      <c r="D42" s="8"/>
      <c r="E42" s="8"/>
      <c r="F42" s="8"/>
      <c r="G42" s="8"/>
      <c r="H42" s="8"/>
      <c r="I42" s="8"/>
      <c r="J42" s="8"/>
      <c r="K42" s="8"/>
      <c r="L42" s="8"/>
      <c r="M42" s="8"/>
      <c r="N42" s="9" t="s">
        <v>147</v>
      </c>
      <c r="O42" s="9" t="s">
        <v>239</v>
      </c>
      <c r="P42" s="9"/>
      <c r="Q42" s="67" t="s">
        <v>145</v>
      </c>
      <c r="R42" s="67" t="s">
        <v>948</v>
      </c>
      <c r="S42" s="67" t="s">
        <v>949</v>
      </c>
      <c r="T42" s="8"/>
      <c r="U42" s="8"/>
      <c r="V42" s="8"/>
      <c r="W42" s="8"/>
      <c r="X42" s="8"/>
      <c r="Y42" s="8"/>
    </row>
    <row r="43" spans="1:25" x14ac:dyDescent="0.2">
      <c r="A43" s="8"/>
      <c r="B43" s="8"/>
      <c r="C43" s="8"/>
      <c r="D43" s="8"/>
      <c r="E43" s="8"/>
      <c r="F43" s="8"/>
      <c r="G43" s="8"/>
      <c r="H43" s="8"/>
      <c r="I43" s="8"/>
      <c r="J43" s="8"/>
      <c r="K43" s="8"/>
      <c r="L43" s="8"/>
      <c r="M43" s="8"/>
      <c r="N43" s="9" t="s">
        <v>148</v>
      </c>
      <c r="O43" s="9" t="s">
        <v>244</v>
      </c>
      <c r="P43" s="9"/>
      <c r="Q43" s="67" t="s">
        <v>145</v>
      </c>
      <c r="R43" s="67" t="s">
        <v>950</v>
      </c>
      <c r="S43" s="67" t="s">
        <v>951</v>
      </c>
      <c r="T43" s="8"/>
      <c r="U43" s="8"/>
      <c r="V43" s="8"/>
      <c r="W43" s="8"/>
      <c r="X43" s="8"/>
      <c r="Y43" s="8"/>
    </row>
    <row r="44" spans="1:25" x14ac:dyDescent="0.2">
      <c r="A44" s="8"/>
      <c r="B44" s="8"/>
      <c r="C44" s="8"/>
      <c r="D44" s="8"/>
      <c r="E44" s="8"/>
      <c r="F44" s="8"/>
      <c r="G44" s="8"/>
      <c r="H44" s="8"/>
      <c r="I44" s="8"/>
      <c r="J44" s="8"/>
      <c r="K44" s="8"/>
      <c r="L44" s="8"/>
      <c r="M44" s="8"/>
      <c r="N44" s="9" t="s">
        <v>149</v>
      </c>
      <c r="O44" s="9" t="s">
        <v>249</v>
      </c>
      <c r="P44" s="9"/>
      <c r="Q44" s="67" t="s">
        <v>150</v>
      </c>
      <c r="R44" s="67" t="s">
        <v>954</v>
      </c>
      <c r="S44" s="67" t="s">
        <v>442</v>
      </c>
      <c r="T44" s="8"/>
      <c r="U44" s="8"/>
      <c r="V44" s="8"/>
      <c r="W44" s="8"/>
      <c r="X44" s="8"/>
      <c r="Y44" s="8"/>
    </row>
    <row r="45" spans="1:25" x14ac:dyDescent="0.2">
      <c r="A45" s="8"/>
      <c r="B45" s="8"/>
      <c r="C45" s="8"/>
      <c r="D45" s="8"/>
      <c r="E45" s="8"/>
      <c r="F45" s="8"/>
      <c r="G45" s="8"/>
      <c r="H45" s="8"/>
      <c r="I45" s="8"/>
      <c r="J45" s="8"/>
      <c r="K45" s="8"/>
      <c r="L45" s="8"/>
      <c r="M45" s="8"/>
      <c r="N45" s="9" t="s">
        <v>151</v>
      </c>
      <c r="O45" s="9" t="s">
        <v>253</v>
      </c>
      <c r="P45" s="9"/>
      <c r="Q45" s="67" t="s">
        <v>152</v>
      </c>
      <c r="R45" s="67" t="s">
        <v>153</v>
      </c>
      <c r="S45" s="67" t="s">
        <v>1219</v>
      </c>
      <c r="T45" s="8"/>
      <c r="U45" s="8"/>
      <c r="V45" s="8"/>
      <c r="W45" s="8"/>
      <c r="X45" s="8"/>
      <c r="Y45" s="8"/>
    </row>
    <row r="46" spans="1:25" x14ac:dyDescent="0.2">
      <c r="A46" s="8"/>
      <c r="B46" s="8"/>
      <c r="C46" s="8"/>
      <c r="D46" s="8"/>
      <c r="E46" s="8"/>
      <c r="F46" s="8"/>
      <c r="G46" s="8"/>
      <c r="H46" s="8"/>
      <c r="I46" s="8"/>
      <c r="J46" s="8"/>
      <c r="K46" s="8"/>
      <c r="L46" s="8"/>
      <c r="M46" s="8"/>
      <c r="N46" s="9" t="s">
        <v>154</v>
      </c>
      <c r="O46" s="9" t="s">
        <v>258</v>
      </c>
      <c r="P46" s="9"/>
      <c r="Q46" s="67" t="s">
        <v>152</v>
      </c>
      <c r="R46" s="67" t="s">
        <v>155</v>
      </c>
      <c r="S46" s="67" t="s">
        <v>957</v>
      </c>
      <c r="T46" s="8"/>
      <c r="U46" s="8"/>
      <c r="V46" s="8"/>
      <c r="W46" s="8"/>
      <c r="X46" s="8"/>
      <c r="Y46" s="8"/>
    </row>
    <row r="47" spans="1:25" x14ac:dyDescent="0.2">
      <c r="A47" s="8"/>
      <c r="B47" s="8"/>
      <c r="C47" s="8"/>
      <c r="D47" s="8"/>
      <c r="E47" s="8"/>
      <c r="F47" s="8"/>
      <c r="G47" s="8"/>
      <c r="H47" s="8"/>
      <c r="I47" s="8"/>
      <c r="J47" s="8"/>
      <c r="K47" s="8"/>
      <c r="L47" s="8"/>
      <c r="M47" s="8"/>
      <c r="N47" s="9" t="s">
        <v>156</v>
      </c>
      <c r="O47" s="9" t="s">
        <v>260</v>
      </c>
      <c r="P47" s="9"/>
      <c r="Q47" s="67" t="s">
        <v>152</v>
      </c>
      <c r="R47" s="67" t="s">
        <v>1230</v>
      </c>
      <c r="S47" s="67" t="s">
        <v>1231</v>
      </c>
      <c r="T47" s="8"/>
      <c r="U47" s="8"/>
      <c r="V47" s="8"/>
      <c r="W47" s="8"/>
      <c r="X47" s="8"/>
      <c r="Y47" s="8"/>
    </row>
    <row r="48" spans="1:25" x14ac:dyDescent="0.2">
      <c r="A48" s="8"/>
      <c r="B48" s="8"/>
      <c r="C48" s="8"/>
      <c r="D48" s="8"/>
      <c r="E48" s="8"/>
      <c r="F48" s="8"/>
      <c r="G48" s="8"/>
      <c r="H48" s="8"/>
      <c r="I48" s="8"/>
      <c r="J48" s="8"/>
      <c r="K48" s="8"/>
      <c r="L48" s="8"/>
      <c r="M48" s="8"/>
      <c r="N48" s="9" t="s">
        <v>157</v>
      </c>
      <c r="O48" s="9" t="s">
        <v>263</v>
      </c>
      <c r="P48" s="9"/>
      <c r="Q48" s="67" t="s">
        <v>152</v>
      </c>
      <c r="R48" s="67" t="s">
        <v>1232</v>
      </c>
      <c r="S48" s="67" t="s">
        <v>1233</v>
      </c>
      <c r="T48" s="8"/>
      <c r="U48" s="8"/>
      <c r="V48" s="8"/>
      <c r="W48" s="8"/>
      <c r="X48" s="8"/>
      <c r="Y48" s="8"/>
    </row>
    <row r="49" spans="1:25" x14ac:dyDescent="0.2">
      <c r="A49" s="8"/>
      <c r="B49" s="8"/>
      <c r="C49" s="8"/>
      <c r="D49" s="8"/>
      <c r="E49" s="8"/>
      <c r="F49" s="8"/>
      <c r="G49" s="8"/>
      <c r="H49" s="8"/>
      <c r="I49" s="8"/>
      <c r="J49" s="8"/>
      <c r="K49" s="8"/>
      <c r="L49" s="8"/>
      <c r="M49" s="8"/>
      <c r="N49" s="9" t="s">
        <v>158</v>
      </c>
      <c r="O49" s="9" t="s">
        <v>268</v>
      </c>
      <c r="P49" s="9"/>
      <c r="Q49" s="67" t="s">
        <v>152</v>
      </c>
      <c r="R49" s="67" t="s">
        <v>955</v>
      </c>
      <c r="S49" s="67" t="s">
        <v>956</v>
      </c>
      <c r="T49" s="8"/>
      <c r="U49" s="8"/>
      <c r="V49" s="8"/>
      <c r="W49" s="8"/>
      <c r="X49" s="8"/>
      <c r="Y49" s="8"/>
    </row>
    <row r="50" spans="1:25" x14ac:dyDescent="0.2">
      <c r="A50" s="8"/>
      <c r="B50" s="8"/>
      <c r="C50" s="8"/>
      <c r="D50" s="8"/>
      <c r="E50" s="8"/>
      <c r="F50" s="8"/>
      <c r="G50" s="8"/>
      <c r="H50" s="8"/>
      <c r="I50" s="8"/>
      <c r="J50" s="8"/>
      <c r="K50" s="8"/>
      <c r="L50" s="8"/>
      <c r="M50" s="8"/>
      <c r="N50" s="9" t="s">
        <v>159</v>
      </c>
      <c r="O50" s="9" t="s">
        <v>271</v>
      </c>
      <c r="P50" s="9"/>
      <c r="Q50" s="67" t="s">
        <v>152</v>
      </c>
      <c r="R50" s="67" t="s">
        <v>1234</v>
      </c>
      <c r="S50" s="67" t="s">
        <v>1235</v>
      </c>
      <c r="T50" s="8"/>
      <c r="U50" s="8"/>
      <c r="V50" s="8"/>
      <c r="W50" s="8"/>
      <c r="X50" s="8"/>
      <c r="Y50" s="8"/>
    </row>
    <row r="51" spans="1:25" x14ac:dyDescent="0.2">
      <c r="A51" s="8"/>
      <c r="B51" s="8"/>
      <c r="C51" s="8"/>
      <c r="D51" s="8"/>
      <c r="E51" s="8"/>
      <c r="F51" s="8"/>
      <c r="G51" s="8"/>
      <c r="H51" s="8"/>
      <c r="I51" s="8"/>
      <c r="J51" s="8"/>
      <c r="K51" s="8"/>
      <c r="L51" s="8"/>
      <c r="M51" s="8"/>
      <c r="N51" s="9" t="s">
        <v>162</v>
      </c>
      <c r="O51" s="9" t="s">
        <v>275</v>
      </c>
      <c r="P51" s="9"/>
      <c r="Q51" s="67" t="s">
        <v>160</v>
      </c>
      <c r="R51" s="67" t="s">
        <v>161</v>
      </c>
      <c r="S51" s="67" t="s">
        <v>959</v>
      </c>
      <c r="T51" s="8"/>
      <c r="U51" s="8"/>
      <c r="V51" s="8"/>
      <c r="W51" s="8"/>
      <c r="X51" s="8"/>
      <c r="Y51" s="8"/>
    </row>
    <row r="52" spans="1:25" x14ac:dyDescent="0.2">
      <c r="A52" s="8"/>
      <c r="B52" s="8"/>
      <c r="C52" s="8"/>
      <c r="D52" s="8"/>
      <c r="E52" s="8"/>
      <c r="F52" s="8"/>
      <c r="G52" s="8"/>
      <c r="H52" s="8"/>
      <c r="I52" s="8"/>
      <c r="J52" s="8"/>
      <c r="K52" s="8"/>
      <c r="L52" s="8"/>
      <c r="M52" s="8"/>
      <c r="N52" s="9" t="s">
        <v>163</v>
      </c>
      <c r="O52" s="9" t="s">
        <v>284</v>
      </c>
      <c r="P52" s="9"/>
      <c r="Q52" s="67" t="s">
        <v>160</v>
      </c>
      <c r="R52" s="67" t="s">
        <v>1236</v>
      </c>
      <c r="S52" s="67" t="s">
        <v>1237</v>
      </c>
      <c r="T52" s="8"/>
      <c r="U52" s="8"/>
      <c r="V52" s="8"/>
      <c r="W52" s="8"/>
      <c r="X52" s="8"/>
      <c r="Y52" s="8"/>
    </row>
    <row r="53" spans="1:25" x14ac:dyDescent="0.2">
      <c r="A53" s="8"/>
      <c r="B53" s="8"/>
      <c r="C53" s="8"/>
      <c r="D53" s="8"/>
      <c r="E53" s="8"/>
      <c r="F53" s="8"/>
      <c r="G53" s="8"/>
      <c r="H53" s="8"/>
      <c r="I53" s="8"/>
      <c r="J53" s="8"/>
      <c r="K53" s="8"/>
      <c r="L53" s="8"/>
      <c r="M53" s="8"/>
      <c r="N53" s="9" t="s">
        <v>164</v>
      </c>
      <c r="O53" s="9" t="s">
        <v>287</v>
      </c>
      <c r="P53" s="9"/>
      <c r="Q53" s="67" t="s">
        <v>160</v>
      </c>
      <c r="R53" s="67" t="s">
        <v>1238</v>
      </c>
      <c r="S53" s="67" t="s">
        <v>1009</v>
      </c>
      <c r="T53" s="8"/>
      <c r="U53" s="8"/>
      <c r="V53" s="8"/>
      <c r="W53" s="8"/>
      <c r="X53" s="8"/>
      <c r="Y53" s="8"/>
    </row>
    <row r="54" spans="1:25" x14ac:dyDescent="0.2">
      <c r="A54" s="8"/>
      <c r="B54" s="8"/>
      <c r="C54" s="8"/>
      <c r="D54" s="8"/>
      <c r="E54" s="8"/>
      <c r="F54" s="8"/>
      <c r="G54" s="8"/>
      <c r="H54" s="8"/>
      <c r="I54" s="8"/>
      <c r="J54" s="8"/>
      <c r="K54" s="8"/>
      <c r="L54" s="8"/>
      <c r="M54" s="8"/>
      <c r="N54" s="9" t="s">
        <v>165</v>
      </c>
      <c r="O54" s="9" t="s">
        <v>294</v>
      </c>
      <c r="P54" s="9"/>
      <c r="Q54" s="67" t="s">
        <v>160</v>
      </c>
      <c r="R54" s="67" t="s">
        <v>1239</v>
      </c>
      <c r="S54" s="67" t="s">
        <v>1240</v>
      </c>
      <c r="T54" s="8"/>
      <c r="U54" s="8"/>
      <c r="V54" s="8"/>
      <c r="W54" s="8"/>
      <c r="X54" s="8"/>
      <c r="Y54" s="8"/>
    </row>
    <row r="55" spans="1:25" x14ac:dyDescent="0.2">
      <c r="A55" s="8"/>
      <c r="B55" s="8"/>
      <c r="C55" s="8"/>
      <c r="D55" s="8"/>
      <c r="E55" s="8"/>
      <c r="F55" s="8"/>
      <c r="G55" s="8"/>
      <c r="H55" s="8"/>
      <c r="I55" s="8"/>
      <c r="J55" s="8"/>
      <c r="K55" s="8"/>
      <c r="L55" s="8"/>
      <c r="M55" s="8"/>
      <c r="N55" s="9" t="s">
        <v>167</v>
      </c>
      <c r="O55" s="9" t="s">
        <v>298</v>
      </c>
      <c r="P55" s="9"/>
      <c r="Q55" s="67" t="s">
        <v>160</v>
      </c>
      <c r="R55" s="67" t="s">
        <v>166</v>
      </c>
      <c r="S55" s="67" t="s">
        <v>958</v>
      </c>
      <c r="T55" s="8"/>
      <c r="U55" s="8"/>
      <c r="V55" s="8"/>
      <c r="W55" s="8"/>
      <c r="X55" s="8"/>
      <c r="Y55" s="8"/>
    </row>
    <row r="56" spans="1:25" x14ac:dyDescent="0.2">
      <c r="A56" s="8"/>
      <c r="B56" s="8"/>
      <c r="C56" s="8"/>
      <c r="D56" s="8"/>
      <c r="E56" s="8"/>
      <c r="F56" s="8"/>
      <c r="G56" s="8"/>
      <c r="H56" s="8"/>
      <c r="I56" s="8"/>
      <c r="J56" s="8"/>
      <c r="K56" s="8"/>
      <c r="L56" s="8"/>
      <c r="M56" s="8"/>
      <c r="N56" s="9" t="s">
        <v>1364</v>
      </c>
      <c r="O56" s="9" t="s">
        <v>299</v>
      </c>
      <c r="P56" s="9"/>
      <c r="Q56" s="67" t="s">
        <v>168</v>
      </c>
      <c r="R56" s="67" t="s">
        <v>169</v>
      </c>
      <c r="S56" s="67" t="s">
        <v>442</v>
      </c>
      <c r="T56" s="8"/>
      <c r="U56" s="8"/>
      <c r="V56" s="8"/>
      <c r="W56" s="8"/>
      <c r="X56" s="8"/>
      <c r="Y56" s="8"/>
    </row>
    <row r="57" spans="1:25" x14ac:dyDescent="0.2">
      <c r="A57" s="8"/>
      <c r="B57" s="8"/>
      <c r="C57" s="8"/>
      <c r="D57" s="8"/>
      <c r="E57" s="8"/>
      <c r="F57" s="8"/>
      <c r="G57" s="8"/>
      <c r="H57" s="8"/>
      <c r="I57" s="8"/>
      <c r="J57" s="8"/>
      <c r="K57" s="8"/>
      <c r="L57" s="8"/>
      <c r="M57" s="8"/>
      <c r="N57" s="9" t="s">
        <v>170</v>
      </c>
      <c r="O57" s="9" t="s">
        <v>303</v>
      </c>
      <c r="P57" s="9"/>
      <c r="Q57" s="67" t="s">
        <v>168</v>
      </c>
      <c r="R57" s="67" t="s">
        <v>960</v>
      </c>
      <c r="S57" s="67" t="s">
        <v>961</v>
      </c>
      <c r="T57" s="8"/>
      <c r="U57" s="8"/>
      <c r="V57" s="8"/>
      <c r="W57" s="8"/>
      <c r="X57" s="8"/>
      <c r="Y57" s="8"/>
    </row>
    <row r="58" spans="1:25" x14ac:dyDescent="0.2">
      <c r="A58" s="8"/>
      <c r="B58" s="8"/>
      <c r="C58" s="8"/>
      <c r="D58" s="8"/>
      <c r="E58" s="8"/>
      <c r="F58" s="8"/>
      <c r="G58" s="8"/>
      <c r="H58" s="8"/>
      <c r="I58" s="8"/>
      <c r="J58" s="8"/>
      <c r="K58" s="8"/>
      <c r="L58" s="8"/>
      <c r="M58" s="8"/>
      <c r="N58" s="9" t="s">
        <v>171</v>
      </c>
      <c r="O58" s="9" t="s">
        <v>306</v>
      </c>
      <c r="P58" s="9"/>
      <c r="Q58" s="67" t="s">
        <v>168</v>
      </c>
      <c r="R58" s="67" t="s">
        <v>962</v>
      </c>
      <c r="S58" s="67" t="s">
        <v>963</v>
      </c>
      <c r="T58" s="8"/>
      <c r="U58" s="8"/>
      <c r="V58" s="8"/>
      <c r="W58" s="8"/>
      <c r="X58" s="8"/>
      <c r="Y58" s="8"/>
    </row>
    <row r="59" spans="1:25" x14ac:dyDescent="0.2">
      <c r="A59" s="8"/>
      <c r="B59" s="8"/>
      <c r="C59" s="8"/>
      <c r="D59" s="8"/>
      <c r="E59" s="8"/>
      <c r="F59" s="8"/>
      <c r="G59" s="8"/>
      <c r="H59" s="8"/>
      <c r="I59" s="8"/>
      <c r="J59" s="8"/>
      <c r="K59" s="8"/>
      <c r="L59" s="8"/>
      <c r="M59" s="8"/>
      <c r="N59" s="9" t="s">
        <v>172</v>
      </c>
      <c r="O59" s="9" t="s">
        <v>311</v>
      </c>
      <c r="P59" s="9"/>
      <c r="Q59" s="67" t="s">
        <v>168</v>
      </c>
      <c r="R59" s="67" t="s">
        <v>964</v>
      </c>
      <c r="S59" s="67" t="s">
        <v>965</v>
      </c>
      <c r="T59" s="8"/>
      <c r="U59" s="8"/>
      <c r="V59" s="8"/>
      <c r="W59" s="8"/>
      <c r="X59" s="8"/>
      <c r="Y59" s="8"/>
    </row>
    <row r="60" spans="1:25" x14ac:dyDescent="0.2">
      <c r="A60" s="8"/>
      <c r="B60" s="8"/>
      <c r="C60" s="8"/>
      <c r="D60" s="8"/>
      <c r="E60" s="8"/>
      <c r="F60" s="8"/>
      <c r="G60" s="8"/>
      <c r="H60" s="8"/>
      <c r="I60" s="8"/>
      <c r="J60" s="8"/>
      <c r="K60" s="8"/>
      <c r="L60" s="8"/>
      <c r="M60" s="8"/>
      <c r="N60" s="9" t="s">
        <v>174</v>
      </c>
      <c r="O60" s="9" t="s">
        <v>316</v>
      </c>
      <c r="P60" s="9"/>
      <c r="Q60" s="67" t="s">
        <v>168</v>
      </c>
      <c r="R60" s="67" t="s">
        <v>1241</v>
      </c>
      <c r="S60" s="67" t="s">
        <v>1242</v>
      </c>
      <c r="T60" s="8"/>
      <c r="U60" s="8"/>
      <c r="V60" s="8"/>
      <c r="W60" s="8"/>
      <c r="X60" s="8"/>
      <c r="Y60" s="8"/>
    </row>
    <row r="61" spans="1:25" x14ac:dyDescent="0.2">
      <c r="A61" s="8"/>
      <c r="B61" s="8"/>
      <c r="C61" s="8"/>
      <c r="D61" s="8"/>
      <c r="E61" s="8"/>
      <c r="F61" s="8"/>
      <c r="G61" s="8"/>
      <c r="H61" s="8"/>
      <c r="I61" s="8"/>
      <c r="J61" s="8"/>
      <c r="K61" s="8"/>
      <c r="L61" s="8"/>
      <c r="M61" s="8"/>
      <c r="N61" s="9" t="s">
        <v>176</v>
      </c>
      <c r="O61" s="9" t="s">
        <v>334</v>
      </c>
      <c r="P61" s="9"/>
      <c r="Q61" s="67" t="s">
        <v>173</v>
      </c>
      <c r="R61" s="67" t="s">
        <v>969</v>
      </c>
      <c r="S61" s="67" t="s">
        <v>442</v>
      </c>
      <c r="T61" s="8"/>
      <c r="U61" s="8"/>
      <c r="V61" s="8"/>
      <c r="W61" s="8"/>
      <c r="X61" s="8"/>
      <c r="Y61" s="8"/>
    </row>
    <row r="62" spans="1:25" x14ac:dyDescent="0.2">
      <c r="A62" s="8"/>
      <c r="B62" s="8"/>
      <c r="C62" s="8"/>
      <c r="D62" s="8"/>
      <c r="E62" s="8"/>
      <c r="F62" s="8"/>
      <c r="G62" s="8"/>
      <c r="H62" s="8"/>
      <c r="I62" s="8"/>
      <c r="J62" s="8"/>
      <c r="K62" s="8"/>
      <c r="L62" s="8"/>
      <c r="M62" s="8"/>
      <c r="N62" s="9" t="s">
        <v>178</v>
      </c>
      <c r="O62" s="9" t="s">
        <v>341</v>
      </c>
      <c r="P62" s="9"/>
      <c r="Q62" s="67" t="s">
        <v>173</v>
      </c>
      <c r="R62" s="67" t="s">
        <v>175</v>
      </c>
      <c r="S62" s="67" t="s">
        <v>968</v>
      </c>
      <c r="T62" s="8"/>
      <c r="U62" s="8"/>
      <c r="V62" s="8"/>
      <c r="W62" s="8"/>
      <c r="X62" s="8"/>
      <c r="Y62" s="8"/>
    </row>
    <row r="63" spans="1:25" x14ac:dyDescent="0.2">
      <c r="A63" s="8"/>
      <c r="B63" s="8"/>
      <c r="C63" s="8"/>
      <c r="D63" s="8"/>
      <c r="E63" s="8"/>
      <c r="F63" s="8"/>
      <c r="G63" s="8"/>
      <c r="H63" s="8"/>
      <c r="I63" s="8"/>
      <c r="J63" s="8"/>
      <c r="K63" s="8"/>
      <c r="L63" s="8"/>
      <c r="M63" s="8"/>
      <c r="N63" s="9" t="s">
        <v>180</v>
      </c>
      <c r="O63" s="9" t="s">
        <v>342</v>
      </c>
      <c r="P63" s="9"/>
      <c r="Q63" s="67" t="s">
        <v>173</v>
      </c>
      <c r="R63" s="67" t="s">
        <v>966</v>
      </c>
      <c r="S63" s="67" t="s">
        <v>967</v>
      </c>
      <c r="T63" s="8"/>
      <c r="U63" s="8"/>
      <c r="V63" s="8"/>
      <c r="W63" s="8"/>
      <c r="X63" s="8"/>
      <c r="Y63" s="8"/>
    </row>
    <row r="64" spans="1:25" x14ac:dyDescent="0.2">
      <c r="A64" s="8"/>
      <c r="B64" s="8"/>
      <c r="C64" s="8"/>
      <c r="D64" s="8"/>
      <c r="E64" s="8"/>
      <c r="F64" s="8"/>
      <c r="G64" s="8"/>
      <c r="H64" s="8"/>
      <c r="I64" s="8"/>
      <c r="J64" s="8"/>
      <c r="K64" s="8"/>
      <c r="L64" s="8"/>
      <c r="M64" s="8"/>
      <c r="N64" s="9" t="s">
        <v>181</v>
      </c>
      <c r="O64" s="9" t="s">
        <v>344</v>
      </c>
      <c r="P64" s="9"/>
      <c r="Q64" s="67" t="s">
        <v>173</v>
      </c>
      <c r="R64" s="67" t="s">
        <v>177</v>
      </c>
      <c r="S64" s="67" t="s">
        <v>1243</v>
      </c>
      <c r="T64" s="8"/>
      <c r="U64" s="8"/>
      <c r="V64" s="8"/>
      <c r="W64" s="8"/>
      <c r="X64" s="8"/>
      <c r="Y64" s="8"/>
    </row>
    <row r="65" spans="1:25" x14ac:dyDescent="0.2">
      <c r="A65" s="8"/>
      <c r="B65" s="8"/>
      <c r="C65" s="8"/>
      <c r="D65" s="8"/>
      <c r="E65" s="8"/>
      <c r="F65" s="8"/>
      <c r="G65" s="8"/>
      <c r="H65" s="8"/>
      <c r="I65" s="8"/>
      <c r="J65" s="8"/>
      <c r="K65" s="8"/>
      <c r="L65" s="8"/>
      <c r="M65" s="8"/>
      <c r="N65" s="9" t="s">
        <v>184</v>
      </c>
      <c r="O65" s="9" t="s">
        <v>346</v>
      </c>
      <c r="P65" s="9"/>
      <c r="Q65" s="67" t="s">
        <v>489</v>
      </c>
      <c r="R65" s="67" t="s">
        <v>177</v>
      </c>
      <c r="S65" s="67" t="s">
        <v>1243</v>
      </c>
      <c r="T65" s="8"/>
      <c r="U65" s="8"/>
      <c r="V65" s="8"/>
      <c r="W65" s="8"/>
      <c r="X65" s="8"/>
      <c r="Y65" s="8"/>
    </row>
    <row r="66" spans="1:25" x14ac:dyDescent="0.2">
      <c r="A66" s="8"/>
      <c r="B66" s="8"/>
      <c r="C66" s="8"/>
      <c r="D66" s="8"/>
      <c r="E66" s="8"/>
      <c r="F66" s="8"/>
      <c r="G66" s="8"/>
      <c r="H66" s="8"/>
      <c r="I66" s="8"/>
      <c r="J66" s="8"/>
      <c r="K66" s="8"/>
      <c r="L66" s="8"/>
      <c r="M66" s="8"/>
      <c r="N66" s="9" t="s">
        <v>185</v>
      </c>
      <c r="O66" s="9" t="s">
        <v>348</v>
      </c>
      <c r="P66" s="9"/>
      <c r="Q66" s="67" t="s">
        <v>179</v>
      </c>
      <c r="R66" s="67" t="s">
        <v>972</v>
      </c>
      <c r="S66" s="67" t="s">
        <v>973</v>
      </c>
      <c r="T66" s="8"/>
      <c r="U66" s="8"/>
      <c r="V66" s="8"/>
      <c r="W66" s="8"/>
      <c r="X66" s="8"/>
      <c r="Y66" s="8"/>
    </row>
    <row r="67" spans="1:25" x14ac:dyDescent="0.2">
      <c r="A67" s="8"/>
      <c r="B67" s="8"/>
      <c r="C67" s="8"/>
      <c r="D67" s="8"/>
      <c r="E67" s="8"/>
      <c r="F67" s="8"/>
      <c r="G67" s="8"/>
      <c r="H67" s="8"/>
      <c r="I67" s="8"/>
      <c r="J67" s="8"/>
      <c r="K67" s="8"/>
      <c r="L67" s="8"/>
      <c r="M67" s="8"/>
      <c r="N67" s="9" t="s">
        <v>187</v>
      </c>
      <c r="O67" s="9" t="s">
        <v>349</v>
      </c>
      <c r="P67" s="9"/>
      <c r="Q67" s="67" t="s">
        <v>179</v>
      </c>
      <c r="R67" s="67" t="s">
        <v>970</v>
      </c>
      <c r="S67" s="67" t="s">
        <v>971</v>
      </c>
      <c r="T67" s="8"/>
      <c r="U67" s="8"/>
      <c r="V67" s="8"/>
      <c r="W67" s="8"/>
      <c r="X67" s="8"/>
      <c r="Y67" s="8"/>
    </row>
    <row r="68" spans="1:25" x14ac:dyDescent="0.2">
      <c r="A68" s="8"/>
      <c r="B68" s="8"/>
      <c r="C68" s="8"/>
      <c r="D68" s="8"/>
      <c r="E68" s="8"/>
      <c r="F68" s="8"/>
      <c r="G68" s="8"/>
      <c r="H68" s="8"/>
      <c r="I68" s="8"/>
      <c r="J68" s="8"/>
      <c r="K68" s="8"/>
      <c r="L68" s="8"/>
      <c r="M68" s="8"/>
      <c r="N68" s="9" t="s">
        <v>191</v>
      </c>
      <c r="O68" s="9" t="s">
        <v>353</v>
      </c>
      <c r="P68" s="9"/>
      <c r="Q68" s="67" t="s">
        <v>182</v>
      </c>
      <c r="R68" s="67" t="s">
        <v>183</v>
      </c>
      <c r="S68" s="67" t="s">
        <v>1219</v>
      </c>
      <c r="T68" s="8"/>
      <c r="U68" s="8"/>
      <c r="V68" s="8"/>
      <c r="W68" s="8"/>
      <c r="X68" s="8"/>
      <c r="Y68" s="8"/>
    </row>
    <row r="69" spans="1:25" x14ac:dyDescent="0.2">
      <c r="A69" s="8"/>
      <c r="B69" s="8"/>
      <c r="C69" s="8"/>
      <c r="D69" s="8"/>
      <c r="E69" s="8"/>
      <c r="F69" s="8"/>
      <c r="G69" s="8"/>
      <c r="H69" s="8"/>
      <c r="I69" s="8"/>
      <c r="J69" s="8"/>
      <c r="K69" s="8"/>
      <c r="L69" s="8"/>
      <c r="M69" s="8"/>
      <c r="N69" s="9" t="s">
        <v>192</v>
      </c>
      <c r="O69" s="9" t="s">
        <v>355</v>
      </c>
      <c r="P69" s="9"/>
      <c r="Q69" s="67" t="s">
        <v>182</v>
      </c>
      <c r="R69" s="67" t="s">
        <v>974</v>
      </c>
      <c r="S69" s="67" t="s">
        <v>959</v>
      </c>
      <c r="T69" s="8"/>
      <c r="U69" s="8"/>
      <c r="V69" s="8"/>
      <c r="W69" s="8"/>
      <c r="X69" s="8"/>
      <c r="Y69" s="8"/>
    </row>
    <row r="70" spans="1:25" x14ac:dyDescent="0.2">
      <c r="A70" s="8"/>
      <c r="B70" s="8"/>
      <c r="C70" s="8"/>
      <c r="D70" s="8"/>
      <c r="E70" s="8"/>
      <c r="F70" s="8"/>
      <c r="G70" s="8"/>
      <c r="H70" s="8"/>
      <c r="I70" s="8"/>
      <c r="J70" s="8"/>
      <c r="K70" s="8"/>
      <c r="L70" s="8"/>
      <c r="M70" s="8"/>
      <c r="N70" s="9" t="s">
        <v>198</v>
      </c>
      <c r="O70" s="9" t="s">
        <v>361</v>
      </c>
      <c r="P70" s="9"/>
      <c r="Q70" s="67" t="s">
        <v>182</v>
      </c>
      <c r="R70" s="67" t="s">
        <v>975</v>
      </c>
      <c r="S70" s="67" t="s">
        <v>442</v>
      </c>
      <c r="T70" s="8"/>
      <c r="U70" s="8"/>
      <c r="V70" s="8"/>
      <c r="W70" s="8"/>
      <c r="X70" s="8"/>
      <c r="Y70" s="8"/>
    </row>
    <row r="71" spans="1:25" x14ac:dyDescent="0.2">
      <c r="A71" s="8"/>
      <c r="B71" s="8"/>
      <c r="C71" s="8"/>
      <c r="D71" s="8"/>
      <c r="E71" s="8"/>
      <c r="F71" s="8"/>
      <c r="G71" s="8"/>
      <c r="H71" s="8"/>
      <c r="I71" s="8"/>
      <c r="J71" s="8"/>
      <c r="K71" s="8"/>
      <c r="L71" s="8"/>
      <c r="M71" s="8"/>
      <c r="N71" s="9" t="s">
        <v>1365</v>
      </c>
      <c r="O71" s="9"/>
      <c r="P71" s="9"/>
      <c r="Q71" s="67" t="s">
        <v>186</v>
      </c>
      <c r="R71" s="67" t="s">
        <v>977</v>
      </c>
      <c r="S71" s="67" t="s">
        <v>978</v>
      </c>
      <c r="T71" s="8"/>
      <c r="U71" s="8"/>
      <c r="V71" s="8"/>
      <c r="W71" s="8"/>
      <c r="X71" s="8"/>
      <c r="Y71" s="8"/>
    </row>
    <row r="72" spans="1:25" x14ac:dyDescent="0.2">
      <c r="A72" s="8"/>
      <c r="B72" s="8"/>
      <c r="C72" s="8"/>
      <c r="D72" s="8"/>
      <c r="E72" s="8"/>
      <c r="F72" s="8"/>
      <c r="G72" s="8"/>
      <c r="H72" s="8"/>
      <c r="I72" s="8"/>
      <c r="J72" s="8"/>
      <c r="K72" s="8"/>
      <c r="L72" s="8"/>
      <c r="M72" s="8"/>
      <c r="N72" s="9" t="s">
        <v>200</v>
      </c>
      <c r="O72" s="9" t="s">
        <v>362</v>
      </c>
      <c r="P72" s="9"/>
      <c r="Q72" s="67" t="s">
        <v>186</v>
      </c>
      <c r="R72" s="67" t="s">
        <v>188</v>
      </c>
      <c r="S72" s="67" t="s">
        <v>1219</v>
      </c>
      <c r="T72" s="8"/>
      <c r="U72" s="8"/>
      <c r="V72" s="8"/>
      <c r="W72" s="8"/>
      <c r="X72" s="8"/>
      <c r="Y72" s="8"/>
    </row>
    <row r="73" spans="1:25" x14ac:dyDescent="0.2">
      <c r="A73" s="8"/>
      <c r="B73" s="8"/>
      <c r="C73" s="8"/>
      <c r="D73" s="8"/>
      <c r="E73" s="8"/>
      <c r="F73" s="8"/>
      <c r="G73" s="8"/>
      <c r="H73" s="8"/>
      <c r="I73" s="8"/>
      <c r="J73" s="8"/>
      <c r="K73" s="8"/>
      <c r="L73" s="8"/>
      <c r="M73" s="8"/>
      <c r="N73" s="9" t="s">
        <v>203</v>
      </c>
      <c r="O73" s="9" t="s">
        <v>364</v>
      </c>
      <c r="P73" s="9"/>
      <c r="Q73" s="67" t="s">
        <v>186</v>
      </c>
      <c r="R73" s="67" t="s">
        <v>190</v>
      </c>
      <c r="S73" s="67" t="s">
        <v>976</v>
      </c>
      <c r="T73" s="8"/>
      <c r="U73" s="8"/>
      <c r="V73" s="8"/>
      <c r="W73" s="8"/>
      <c r="X73" s="8"/>
      <c r="Y73" s="8"/>
    </row>
    <row r="74" spans="1:25" x14ac:dyDescent="0.2">
      <c r="A74" s="8"/>
      <c r="B74" s="8"/>
      <c r="C74" s="8"/>
      <c r="D74" s="8"/>
      <c r="E74" s="8"/>
      <c r="F74" s="8"/>
      <c r="G74" s="8"/>
      <c r="H74" s="8"/>
      <c r="I74" s="8"/>
      <c r="J74" s="8"/>
      <c r="K74" s="8"/>
      <c r="L74" s="8"/>
      <c r="M74" s="8"/>
      <c r="N74" s="9" t="s">
        <v>205</v>
      </c>
      <c r="O74" s="9" t="s">
        <v>369</v>
      </c>
      <c r="P74" s="9"/>
      <c r="Q74" s="67" t="s">
        <v>186</v>
      </c>
      <c r="R74" s="67" t="s">
        <v>1244</v>
      </c>
      <c r="S74" s="67" t="s">
        <v>1245</v>
      </c>
      <c r="T74" s="8"/>
      <c r="U74" s="8"/>
      <c r="V74" s="8"/>
      <c r="W74" s="8"/>
      <c r="X74" s="8"/>
      <c r="Y74" s="8"/>
    </row>
    <row r="75" spans="1:25" x14ac:dyDescent="0.2">
      <c r="A75" s="8"/>
      <c r="B75" s="8"/>
      <c r="C75" s="8"/>
      <c r="D75" s="8"/>
      <c r="E75" s="8"/>
      <c r="F75" s="8"/>
      <c r="G75" s="8"/>
      <c r="H75" s="8"/>
      <c r="I75" s="8"/>
      <c r="J75" s="8"/>
      <c r="K75" s="8"/>
      <c r="L75" s="8"/>
      <c r="M75" s="8"/>
      <c r="N75" s="9" t="s">
        <v>206</v>
      </c>
      <c r="O75" s="9" t="s">
        <v>370</v>
      </c>
      <c r="P75" s="9"/>
      <c r="Q75" s="67" t="s">
        <v>193</v>
      </c>
      <c r="R75" s="67" t="s">
        <v>194</v>
      </c>
      <c r="S75" s="67" t="s">
        <v>979</v>
      </c>
      <c r="T75" s="8"/>
      <c r="U75" s="8"/>
      <c r="V75" s="8"/>
      <c r="W75" s="8"/>
      <c r="X75" s="8"/>
      <c r="Y75" s="8"/>
    </row>
    <row r="76" spans="1:25" x14ac:dyDescent="0.2">
      <c r="A76" s="8"/>
      <c r="B76" s="8"/>
      <c r="C76" s="8"/>
      <c r="D76" s="8"/>
      <c r="E76" s="8"/>
      <c r="F76" s="8"/>
      <c r="G76" s="8"/>
      <c r="H76" s="8"/>
      <c r="I76" s="8"/>
      <c r="J76" s="8"/>
      <c r="K76" s="8"/>
      <c r="L76" s="8"/>
      <c r="M76" s="8"/>
      <c r="N76" s="9" t="s">
        <v>209</v>
      </c>
      <c r="O76" s="9" t="s">
        <v>376</v>
      </c>
      <c r="P76" s="9"/>
      <c r="Q76" s="67" t="s">
        <v>196</v>
      </c>
      <c r="R76" s="67" t="s">
        <v>197</v>
      </c>
      <c r="S76" s="67" t="s">
        <v>980</v>
      </c>
      <c r="T76" s="8"/>
      <c r="U76" s="8"/>
      <c r="V76" s="8"/>
      <c r="W76" s="8"/>
      <c r="X76" s="8"/>
      <c r="Y76" s="8"/>
    </row>
    <row r="77" spans="1:25" x14ac:dyDescent="0.2">
      <c r="A77" s="8"/>
      <c r="B77" s="8"/>
      <c r="C77" s="8"/>
      <c r="D77" s="8"/>
      <c r="E77" s="8"/>
      <c r="F77" s="8"/>
      <c r="G77" s="8"/>
      <c r="H77" s="8"/>
      <c r="I77" s="8"/>
      <c r="J77" s="8"/>
      <c r="K77" s="8"/>
      <c r="L77" s="8"/>
      <c r="M77" s="8"/>
      <c r="N77" s="9" t="s">
        <v>211</v>
      </c>
      <c r="O77" s="9" t="s">
        <v>1098</v>
      </c>
      <c r="P77" s="9"/>
      <c r="Q77" s="67" t="s">
        <v>199</v>
      </c>
      <c r="R77" s="67" t="s">
        <v>983</v>
      </c>
      <c r="S77" s="67" t="s">
        <v>984</v>
      </c>
      <c r="T77" s="8"/>
      <c r="U77" s="8"/>
      <c r="V77" s="8"/>
      <c r="W77" s="8"/>
      <c r="X77" s="8"/>
      <c r="Y77" s="8"/>
    </row>
    <row r="78" spans="1:25" x14ac:dyDescent="0.2">
      <c r="A78" s="8"/>
      <c r="B78" s="8"/>
      <c r="C78" s="8"/>
      <c r="D78" s="8"/>
      <c r="E78" s="8"/>
      <c r="F78" s="8"/>
      <c r="G78" s="8"/>
      <c r="H78" s="8"/>
      <c r="I78" s="8"/>
      <c r="J78" s="8"/>
      <c r="K78" s="8"/>
      <c r="L78" s="8"/>
      <c r="M78" s="8"/>
      <c r="N78" s="9" t="s">
        <v>213</v>
      </c>
      <c r="O78" s="9" t="s">
        <v>377</v>
      </c>
      <c r="P78" s="9"/>
      <c r="Q78" s="67" t="s">
        <v>199</v>
      </c>
      <c r="R78" s="67" t="s">
        <v>981</v>
      </c>
      <c r="S78" s="67" t="s">
        <v>314</v>
      </c>
      <c r="T78" s="8"/>
      <c r="U78" s="8"/>
      <c r="V78" s="8"/>
      <c r="W78" s="8"/>
      <c r="X78" s="8"/>
      <c r="Y78" s="8"/>
    </row>
    <row r="79" spans="1:25" x14ac:dyDescent="0.2">
      <c r="A79" s="8"/>
      <c r="B79" s="8"/>
      <c r="C79" s="8"/>
      <c r="D79" s="8"/>
      <c r="E79" s="8"/>
      <c r="F79" s="8"/>
      <c r="G79" s="8"/>
      <c r="H79" s="8"/>
      <c r="I79" s="8"/>
      <c r="J79" s="8"/>
      <c r="K79" s="8"/>
      <c r="L79" s="8"/>
      <c r="M79" s="8"/>
      <c r="N79" s="9" t="s">
        <v>214</v>
      </c>
      <c r="O79" s="9" t="s">
        <v>379</v>
      </c>
      <c r="P79" s="9"/>
      <c r="Q79" s="67" t="s">
        <v>199</v>
      </c>
      <c r="R79" s="67" t="s">
        <v>201</v>
      </c>
      <c r="S79" s="67" t="s">
        <v>202</v>
      </c>
      <c r="T79" s="8"/>
      <c r="U79" s="8"/>
      <c r="V79" s="8"/>
      <c r="W79" s="8"/>
      <c r="X79" s="8"/>
      <c r="Y79" s="8"/>
    </row>
    <row r="80" spans="1:25" x14ac:dyDescent="0.2">
      <c r="A80" s="8"/>
      <c r="B80" s="8"/>
      <c r="C80" s="8"/>
      <c r="D80" s="8"/>
      <c r="E80" s="8"/>
      <c r="F80" s="8"/>
      <c r="G80" s="8"/>
      <c r="H80" s="8"/>
      <c r="I80" s="8"/>
      <c r="J80" s="8"/>
      <c r="K80" s="8"/>
      <c r="L80" s="8"/>
      <c r="M80" s="8"/>
      <c r="N80" s="9" t="s">
        <v>215</v>
      </c>
      <c r="O80" s="9" t="s">
        <v>382</v>
      </c>
      <c r="P80" s="9"/>
      <c r="Q80" s="67" t="s">
        <v>199</v>
      </c>
      <c r="R80" s="67" t="s">
        <v>982</v>
      </c>
      <c r="S80" s="67" t="s">
        <v>204</v>
      </c>
      <c r="T80" s="8"/>
      <c r="U80" s="8"/>
      <c r="V80" s="8"/>
      <c r="W80" s="8"/>
      <c r="X80" s="8"/>
      <c r="Y80" s="8"/>
    </row>
    <row r="81" spans="1:25" x14ac:dyDescent="0.2">
      <c r="A81" s="8"/>
      <c r="B81" s="8"/>
      <c r="C81" s="8"/>
      <c r="D81" s="8"/>
      <c r="E81" s="8"/>
      <c r="F81" s="8"/>
      <c r="G81" s="8"/>
      <c r="H81" s="8"/>
      <c r="I81" s="8"/>
      <c r="J81" s="8"/>
      <c r="K81" s="8"/>
      <c r="L81" s="8"/>
      <c r="M81" s="8"/>
      <c r="N81" s="9" t="s">
        <v>218</v>
      </c>
      <c r="O81" s="9" t="s">
        <v>385</v>
      </c>
      <c r="P81" s="9"/>
      <c r="Q81" s="67" t="s">
        <v>207</v>
      </c>
      <c r="R81" s="67" t="s">
        <v>208</v>
      </c>
      <c r="S81" s="67" t="s">
        <v>985</v>
      </c>
      <c r="T81" s="8"/>
      <c r="U81" s="8"/>
      <c r="V81" s="8"/>
      <c r="W81" s="8"/>
      <c r="X81" s="8"/>
      <c r="Y81" s="8"/>
    </row>
    <row r="82" spans="1:25" x14ac:dyDescent="0.2">
      <c r="A82" s="8"/>
      <c r="B82" s="8"/>
      <c r="C82" s="8"/>
      <c r="D82" s="8"/>
      <c r="E82" s="8"/>
      <c r="F82" s="8"/>
      <c r="G82" s="8"/>
      <c r="H82" s="8"/>
      <c r="I82" s="8"/>
      <c r="J82" s="8"/>
      <c r="K82" s="8"/>
      <c r="L82" s="8"/>
      <c r="M82" s="8"/>
      <c r="N82" s="9" t="s">
        <v>219</v>
      </c>
      <c r="O82" s="9" t="s">
        <v>387</v>
      </c>
      <c r="P82" s="9"/>
      <c r="Q82" s="67" t="s">
        <v>207</v>
      </c>
      <c r="R82" s="67" t="s">
        <v>210</v>
      </c>
      <c r="S82" s="67" t="s">
        <v>442</v>
      </c>
      <c r="T82" s="8"/>
      <c r="U82" s="8"/>
      <c r="V82" s="8"/>
      <c r="W82" s="8"/>
      <c r="X82" s="8"/>
      <c r="Y82" s="8"/>
    </row>
    <row r="83" spans="1:25" x14ac:dyDescent="0.2">
      <c r="A83" s="8"/>
      <c r="B83" s="8"/>
      <c r="C83" s="8"/>
      <c r="D83" s="8"/>
      <c r="E83" s="8"/>
      <c r="F83" s="8"/>
      <c r="G83" s="8"/>
      <c r="H83" s="8"/>
      <c r="I83" s="8"/>
      <c r="J83" s="8"/>
      <c r="K83" s="8"/>
      <c r="L83" s="8"/>
      <c r="M83" s="8"/>
      <c r="N83" s="9" t="s">
        <v>220</v>
      </c>
      <c r="O83" s="9" t="s">
        <v>388</v>
      </c>
      <c r="P83" s="9"/>
      <c r="Q83" s="67" t="s">
        <v>212</v>
      </c>
      <c r="R83" s="67" t="s">
        <v>986</v>
      </c>
      <c r="S83" s="67" t="s">
        <v>959</v>
      </c>
      <c r="T83" s="8"/>
      <c r="U83" s="8"/>
      <c r="V83" s="8"/>
      <c r="W83" s="8"/>
      <c r="X83" s="8"/>
      <c r="Y83" s="8"/>
    </row>
    <row r="84" spans="1:25" x14ac:dyDescent="0.2">
      <c r="A84" s="8"/>
      <c r="B84" s="8"/>
      <c r="C84" s="8"/>
      <c r="D84" s="8"/>
      <c r="E84" s="8"/>
      <c r="F84" s="8"/>
      <c r="G84" s="8"/>
      <c r="H84" s="8"/>
      <c r="I84" s="8"/>
      <c r="J84" s="8"/>
      <c r="K84" s="8"/>
      <c r="L84" s="8"/>
      <c r="M84" s="8"/>
      <c r="N84" s="9" t="s">
        <v>222</v>
      </c>
      <c r="O84" s="9" t="s">
        <v>390</v>
      </c>
      <c r="P84" s="9"/>
      <c r="Q84" s="67" t="s">
        <v>212</v>
      </c>
      <c r="R84" s="67" t="s">
        <v>991</v>
      </c>
      <c r="S84" s="67" t="s">
        <v>442</v>
      </c>
      <c r="T84" s="8"/>
      <c r="U84" s="8"/>
      <c r="V84" s="8"/>
      <c r="W84" s="8"/>
      <c r="X84" s="8"/>
      <c r="Y84" s="8"/>
    </row>
    <row r="85" spans="1:25" x14ac:dyDescent="0.2">
      <c r="A85" s="8"/>
      <c r="B85" s="8"/>
      <c r="C85" s="8"/>
      <c r="D85" s="8"/>
      <c r="E85" s="8"/>
      <c r="F85" s="8"/>
      <c r="G85" s="8"/>
      <c r="H85" s="8"/>
      <c r="I85" s="8"/>
      <c r="J85" s="8"/>
      <c r="K85" s="8"/>
      <c r="L85" s="8"/>
      <c r="M85" s="8"/>
      <c r="N85" s="9" t="s">
        <v>224</v>
      </c>
      <c r="O85" s="9" t="s">
        <v>392</v>
      </c>
      <c r="P85" s="9"/>
      <c r="Q85" s="67" t="s">
        <v>212</v>
      </c>
      <c r="R85" s="67" t="s">
        <v>989</v>
      </c>
      <c r="S85" s="67" t="s">
        <v>990</v>
      </c>
      <c r="T85" s="8"/>
      <c r="U85" s="8"/>
      <c r="V85" s="8"/>
      <c r="W85" s="8"/>
      <c r="X85" s="8"/>
      <c r="Y85" s="8"/>
    </row>
    <row r="86" spans="1:25" x14ac:dyDescent="0.2">
      <c r="A86" s="8"/>
      <c r="B86" s="8"/>
      <c r="C86" s="8"/>
      <c r="D86" s="8"/>
      <c r="E86" s="8"/>
      <c r="F86" s="8"/>
      <c r="G86" s="8"/>
      <c r="H86" s="8"/>
      <c r="I86" s="8"/>
      <c r="J86" s="8"/>
      <c r="K86" s="8"/>
      <c r="L86" s="8"/>
      <c r="M86" s="8"/>
      <c r="N86" s="9" t="s">
        <v>225</v>
      </c>
      <c r="O86" s="9" t="s">
        <v>394</v>
      </c>
      <c r="P86" s="9"/>
      <c r="Q86" s="67" t="s">
        <v>212</v>
      </c>
      <c r="R86" s="67" t="s">
        <v>987</v>
      </c>
      <c r="S86" s="67" t="s">
        <v>988</v>
      </c>
      <c r="T86" s="8"/>
      <c r="U86" s="8"/>
      <c r="V86" s="8"/>
      <c r="W86" s="8"/>
      <c r="X86" s="8"/>
      <c r="Y86" s="8"/>
    </row>
    <row r="87" spans="1:25" x14ac:dyDescent="0.2">
      <c r="A87" s="8"/>
      <c r="B87" s="8"/>
      <c r="C87" s="8"/>
      <c r="D87" s="8"/>
      <c r="E87" s="8"/>
      <c r="F87" s="8"/>
      <c r="G87" s="8"/>
      <c r="H87" s="8"/>
      <c r="I87" s="8"/>
      <c r="J87" s="8"/>
      <c r="K87" s="8"/>
      <c r="L87" s="8"/>
      <c r="M87" s="8"/>
      <c r="N87" s="9" t="s">
        <v>228</v>
      </c>
      <c r="O87" s="9" t="s">
        <v>396</v>
      </c>
      <c r="P87" s="9"/>
      <c r="Q87" s="67" t="s">
        <v>216</v>
      </c>
      <c r="R87" s="67" t="s">
        <v>217</v>
      </c>
      <c r="S87" s="67" t="s">
        <v>1219</v>
      </c>
      <c r="T87" s="8"/>
      <c r="U87" s="8"/>
      <c r="V87" s="8"/>
      <c r="W87" s="8"/>
      <c r="X87" s="8"/>
      <c r="Y87" s="8"/>
    </row>
    <row r="88" spans="1:25" x14ac:dyDescent="0.2">
      <c r="A88" s="8"/>
      <c r="B88" s="8"/>
      <c r="C88" s="8"/>
      <c r="D88" s="8"/>
      <c r="E88" s="8"/>
      <c r="F88" s="8"/>
      <c r="G88" s="8"/>
      <c r="H88" s="8"/>
      <c r="I88" s="8"/>
      <c r="J88" s="8"/>
      <c r="K88" s="8"/>
      <c r="L88" s="8"/>
      <c r="M88" s="8"/>
      <c r="N88" s="9" t="s">
        <v>241</v>
      </c>
      <c r="O88" s="9" t="s">
        <v>411</v>
      </c>
      <c r="P88" s="9"/>
      <c r="Q88" s="67" t="s">
        <v>216</v>
      </c>
      <c r="R88" s="67" t="s">
        <v>996</v>
      </c>
      <c r="S88" s="67" t="s">
        <v>442</v>
      </c>
      <c r="T88" s="8"/>
      <c r="U88" s="8"/>
      <c r="V88" s="8"/>
      <c r="W88" s="8"/>
      <c r="X88" s="8"/>
      <c r="Y88" s="8"/>
    </row>
    <row r="89" spans="1:25" x14ac:dyDescent="0.2">
      <c r="A89" s="8"/>
      <c r="B89" s="8"/>
      <c r="C89" s="8"/>
      <c r="D89" s="8"/>
      <c r="E89" s="8"/>
      <c r="F89" s="8"/>
      <c r="G89" s="8"/>
      <c r="H89" s="8"/>
      <c r="I89" s="8"/>
      <c r="J89" s="8"/>
      <c r="K89" s="8"/>
      <c r="L89" s="8"/>
      <c r="M89" s="8"/>
      <c r="N89" s="9" t="s">
        <v>243</v>
      </c>
      <c r="O89" s="9" t="s">
        <v>413</v>
      </c>
      <c r="P89" s="9"/>
      <c r="Q89" s="67" t="s">
        <v>216</v>
      </c>
      <c r="R89" s="67" t="s">
        <v>992</v>
      </c>
      <c r="S89" s="67" t="s">
        <v>958</v>
      </c>
      <c r="T89" s="8"/>
      <c r="U89" s="8"/>
      <c r="V89" s="8"/>
      <c r="W89" s="8"/>
      <c r="X89" s="8"/>
      <c r="Y89" s="8"/>
    </row>
    <row r="90" spans="1:25" x14ac:dyDescent="0.2">
      <c r="A90" s="8"/>
      <c r="B90" s="8"/>
      <c r="C90" s="8"/>
      <c r="D90" s="8"/>
      <c r="E90" s="8"/>
      <c r="F90" s="8"/>
      <c r="G90" s="8"/>
      <c r="H90" s="8"/>
      <c r="I90" s="8"/>
      <c r="J90" s="8"/>
      <c r="K90" s="8"/>
      <c r="L90" s="8"/>
      <c r="M90" s="8"/>
      <c r="N90" s="9" t="s">
        <v>246</v>
      </c>
      <c r="O90" s="9" t="s">
        <v>415</v>
      </c>
      <c r="P90" s="9"/>
      <c r="Q90" s="67" t="s">
        <v>216</v>
      </c>
      <c r="R90" s="67" t="s">
        <v>1246</v>
      </c>
      <c r="S90" s="67" t="s">
        <v>1247</v>
      </c>
      <c r="T90" s="8"/>
      <c r="U90" s="8"/>
      <c r="V90" s="8"/>
      <c r="W90" s="8"/>
      <c r="X90" s="8"/>
      <c r="Y90" s="8"/>
    </row>
    <row r="91" spans="1:25" x14ac:dyDescent="0.2">
      <c r="A91" s="8"/>
      <c r="B91" s="8"/>
      <c r="C91" s="8"/>
      <c r="D91" s="8"/>
      <c r="E91" s="8"/>
      <c r="F91" s="8"/>
      <c r="G91" s="8"/>
      <c r="H91" s="8"/>
      <c r="I91" s="8"/>
      <c r="J91" s="8"/>
      <c r="K91" s="8"/>
      <c r="L91" s="8"/>
      <c r="M91" s="8"/>
      <c r="N91" s="9" t="s">
        <v>248</v>
      </c>
      <c r="O91" s="9" t="s">
        <v>419</v>
      </c>
      <c r="P91" s="9"/>
      <c r="Q91" s="67" t="s">
        <v>216</v>
      </c>
      <c r="R91" s="67" t="s">
        <v>994</v>
      </c>
      <c r="S91" s="67" t="s">
        <v>995</v>
      </c>
      <c r="T91" s="8"/>
      <c r="U91" s="8"/>
      <c r="V91" s="8"/>
      <c r="W91" s="8"/>
      <c r="X91" s="8"/>
      <c r="Y91" s="8"/>
    </row>
    <row r="92" spans="1:25" x14ac:dyDescent="0.2">
      <c r="A92" s="8"/>
      <c r="B92" s="8"/>
      <c r="C92" s="8"/>
      <c r="D92" s="8"/>
      <c r="E92" s="8"/>
      <c r="F92" s="8"/>
      <c r="G92" s="8"/>
      <c r="H92" s="8"/>
      <c r="I92" s="8"/>
      <c r="J92" s="8"/>
      <c r="K92" s="8"/>
      <c r="L92" s="8"/>
      <c r="M92" s="8"/>
      <c r="N92" s="9" t="s">
        <v>250</v>
      </c>
      <c r="O92" s="9" t="s">
        <v>420</v>
      </c>
      <c r="P92" s="9"/>
      <c r="Q92" s="67" t="s">
        <v>216</v>
      </c>
      <c r="R92" s="67" t="s">
        <v>993</v>
      </c>
      <c r="S92" s="67" t="s">
        <v>221</v>
      </c>
      <c r="T92" s="8"/>
      <c r="U92" s="8"/>
      <c r="V92" s="8"/>
      <c r="W92" s="8"/>
      <c r="X92" s="8"/>
      <c r="Y92" s="8"/>
    </row>
    <row r="93" spans="1:25" x14ac:dyDescent="0.2">
      <c r="A93" s="8"/>
      <c r="B93" s="8"/>
      <c r="C93" s="8"/>
      <c r="D93" s="8"/>
      <c r="E93" s="8"/>
      <c r="F93" s="8"/>
      <c r="G93" s="8"/>
      <c r="H93" s="8"/>
      <c r="I93" s="8"/>
      <c r="J93" s="8"/>
      <c r="K93" s="8"/>
      <c r="L93" s="8"/>
      <c r="M93" s="8"/>
      <c r="N93" s="9" t="s">
        <v>252</v>
      </c>
      <c r="O93" s="9" t="s">
        <v>422</v>
      </c>
      <c r="P93" s="9"/>
      <c r="Q93" s="67" t="s">
        <v>216</v>
      </c>
      <c r="R93" s="67" t="s">
        <v>1248</v>
      </c>
      <c r="S93" s="67" t="s">
        <v>1247</v>
      </c>
      <c r="T93" s="8"/>
      <c r="U93" s="8"/>
      <c r="V93" s="8"/>
      <c r="W93" s="8"/>
      <c r="X93" s="8"/>
      <c r="Y93" s="8"/>
    </row>
    <row r="94" spans="1:25" x14ac:dyDescent="0.2">
      <c r="A94" s="8"/>
      <c r="B94" s="8"/>
      <c r="C94" s="8"/>
      <c r="D94" s="8"/>
      <c r="E94" s="8"/>
      <c r="F94" s="8"/>
      <c r="G94" s="8"/>
      <c r="H94" s="8"/>
      <c r="I94" s="8"/>
      <c r="J94" s="8"/>
      <c r="K94" s="8"/>
      <c r="L94" s="8"/>
      <c r="M94" s="8"/>
      <c r="N94" s="9" t="s">
        <v>255</v>
      </c>
      <c r="O94" s="9" t="s">
        <v>428</v>
      </c>
      <c r="P94" s="9"/>
      <c r="Q94" s="67" t="s">
        <v>1249</v>
      </c>
      <c r="R94" s="67" t="s">
        <v>1248</v>
      </c>
      <c r="S94" s="67" t="s">
        <v>1247</v>
      </c>
      <c r="T94" s="8"/>
      <c r="U94" s="8"/>
      <c r="V94" s="8"/>
      <c r="W94" s="8"/>
      <c r="X94" s="8"/>
      <c r="Y94" s="8"/>
    </row>
    <row r="95" spans="1:25" x14ac:dyDescent="0.2">
      <c r="A95" s="8"/>
      <c r="B95" s="8"/>
      <c r="C95" s="8"/>
      <c r="D95" s="8"/>
      <c r="E95" s="8"/>
      <c r="F95" s="8"/>
      <c r="G95" s="8"/>
      <c r="H95" s="8"/>
      <c r="I95" s="8"/>
      <c r="J95" s="8"/>
      <c r="K95" s="8"/>
      <c r="L95" s="8"/>
      <c r="M95" s="8"/>
      <c r="N95" s="9" t="s">
        <v>257</v>
      </c>
      <c r="O95" s="9" t="s">
        <v>432</v>
      </c>
      <c r="P95" s="9"/>
      <c r="Q95" s="67" t="s">
        <v>485</v>
      </c>
      <c r="R95" s="67" t="s">
        <v>1248</v>
      </c>
      <c r="S95" s="67" t="s">
        <v>1247</v>
      </c>
      <c r="T95" s="8"/>
      <c r="U95" s="8"/>
      <c r="V95" s="8"/>
      <c r="W95" s="8"/>
      <c r="X95" s="8"/>
      <c r="Y95" s="8"/>
    </row>
    <row r="96" spans="1:25" x14ac:dyDescent="0.2">
      <c r="A96" s="8"/>
      <c r="B96" s="8"/>
      <c r="C96" s="8"/>
      <c r="D96" s="8"/>
      <c r="E96" s="8"/>
      <c r="F96" s="8"/>
      <c r="G96" s="8"/>
      <c r="H96" s="8"/>
      <c r="I96" s="8"/>
      <c r="J96" s="8"/>
      <c r="K96" s="8"/>
      <c r="L96" s="8"/>
      <c r="M96" s="8"/>
      <c r="N96" s="9" t="s">
        <v>259</v>
      </c>
      <c r="O96" s="9" t="s">
        <v>434</v>
      </c>
      <c r="P96" s="9"/>
      <c r="Q96" s="67" t="s">
        <v>223</v>
      </c>
      <c r="R96" s="67" t="s">
        <v>997</v>
      </c>
      <c r="S96" s="67" t="s">
        <v>998</v>
      </c>
      <c r="T96" s="8"/>
      <c r="U96" s="8"/>
      <c r="V96" s="8"/>
      <c r="W96" s="8"/>
      <c r="X96" s="8"/>
      <c r="Y96" s="8"/>
    </row>
    <row r="97" spans="1:25" x14ac:dyDescent="0.2">
      <c r="A97" s="8"/>
      <c r="B97" s="8"/>
      <c r="C97" s="8"/>
      <c r="D97" s="8"/>
      <c r="E97" s="8"/>
      <c r="F97" s="8"/>
      <c r="G97" s="8"/>
      <c r="H97" s="8"/>
      <c r="I97" s="8"/>
      <c r="J97" s="8"/>
      <c r="K97" s="8"/>
      <c r="L97" s="8"/>
      <c r="M97" s="8"/>
      <c r="N97" s="9" t="s">
        <v>262</v>
      </c>
      <c r="O97" s="9" t="s">
        <v>436</v>
      </c>
      <c r="P97" s="9"/>
      <c r="Q97" s="67" t="s">
        <v>223</v>
      </c>
      <c r="R97" s="67" t="s">
        <v>999</v>
      </c>
      <c r="S97" s="67" t="s">
        <v>1000</v>
      </c>
      <c r="T97" s="8"/>
      <c r="U97" s="8"/>
      <c r="V97" s="8"/>
      <c r="W97" s="8"/>
      <c r="X97" s="8"/>
      <c r="Y97" s="8"/>
    </row>
    <row r="98" spans="1:25" x14ac:dyDescent="0.2">
      <c r="A98" s="8"/>
      <c r="B98" s="8"/>
      <c r="C98" s="8"/>
      <c r="D98" s="8"/>
      <c r="E98" s="8"/>
      <c r="F98" s="8"/>
      <c r="G98" s="8"/>
      <c r="H98" s="8"/>
      <c r="I98" s="8"/>
      <c r="J98" s="8"/>
      <c r="K98" s="8"/>
      <c r="L98" s="8"/>
      <c r="M98" s="8"/>
      <c r="N98" s="9" t="s">
        <v>264</v>
      </c>
      <c r="O98" s="9" t="s">
        <v>438</v>
      </c>
      <c r="P98" s="9"/>
      <c r="Q98" s="67" t="s">
        <v>226</v>
      </c>
      <c r="R98" s="67" t="s">
        <v>227</v>
      </c>
      <c r="S98" s="67" t="s">
        <v>1219</v>
      </c>
      <c r="T98" s="8"/>
      <c r="U98" s="8"/>
      <c r="V98" s="8"/>
      <c r="W98" s="8"/>
      <c r="X98" s="8"/>
      <c r="Y98" s="8"/>
    </row>
    <row r="99" spans="1:25" x14ac:dyDescent="0.2">
      <c r="A99" s="8"/>
      <c r="B99" s="8"/>
      <c r="C99" s="8"/>
      <c r="D99" s="8"/>
      <c r="E99" s="8"/>
      <c r="F99" s="8"/>
      <c r="G99" s="8"/>
      <c r="H99" s="8"/>
      <c r="I99" s="8"/>
      <c r="J99" s="8"/>
      <c r="K99" s="8"/>
      <c r="L99" s="8"/>
      <c r="M99" s="8"/>
      <c r="N99" s="9" t="s">
        <v>265</v>
      </c>
      <c r="O99" s="9" t="s">
        <v>443</v>
      </c>
      <c r="P99" s="9"/>
      <c r="Q99" s="67" t="s">
        <v>226</v>
      </c>
      <c r="R99" s="67" t="s">
        <v>229</v>
      </c>
      <c r="S99" s="67" t="s">
        <v>968</v>
      </c>
      <c r="T99" s="8"/>
      <c r="U99" s="8"/>
      <c r="V99" s="8"/>
      <c r="W99" s="8"/>
      <c r="X99" s="8"/>
      <c r="Y99" s="8"/>
    </row>
    <row r="100" spans="1:25" x14ac:dyDescent="0.2">
      <c r="A100" s="8"/>
      <c r="B100" s="8"/>
      <c r="C100" s="8"/>
      <c r="D100" s="8"/>
      <c r="E100" s="8"/>
      <c r="F100" s="8"/>
      <c r="G100" s="8"/>
      <c r="H100" s="8"/>
      <c r="I100" s="8"/>
      <c r="J100" s="8"/>
      <c r="K100" s="8"/>
      <c r="L100" s="8"/>
      <c r="M100" s="8"/>
      <c r="N100" s="9" t="s">
        <v>1366</v>
      </c>
      <c r="O100" s="9" t="s">
        <v>1367</v>
      </c>
      <c r="P100" s="9"/>
      <c r="Q100" s="67" t="s">
        <v>226</v>
      </c>
      <c r="R100" s="67" t="s">
        <v>1008</v>
      </c>
      <c r="S100" s="67" t="s">
        <v>1009</v>
      </c>
      <c r="T100" s="8"/>
      <c r="U100" s="8"/>
      <c r="V100" s="8"/>
      <c r="W100" s="8"/>
      <c r="X100" s="8"/>
      <c r="Y100" s="8"/>
    </row>
    <row r="101" spans="1:25" x14ac:dyDescent="0.2">
      <c r="A101" s="8"/>
      <c r="B101" s="8"/>
      <c r="C101" s="8"/>
      <c r="D101" s="8"/>
      <c r="E101" s="8"/>
      <c r="F101" s="8"/>
      <c r="G101" s="8"/>
      <c r="H101" s="8"/>
      <c r="I101" s="8"/>
      <c r="J101" s="8"/>
      <c r="K101" s="8"/>
      <c r="L101" s="8"/>
      <c r="M101" s="8"/>
      <c r="N101" s="9" t="s">
        <v>266</v>
      </c>
      <c r="O101" s="9" t="s">
        <v>445</v>
      </c>
      <c r="P101" s="9"/>
      <c r="Q101" s="67" t="s">
        <v>226</v>
      </c>
      <c r="R101" s="67" t="s">
        <v>1004</v>
      </c>
      <c r="S101" s="67" t="s">
        <v>1005</v>
      </c>
      <c r="T101" s="8"/>
      <c r="U101" s="8"/>
      <c r="V101" s="8"/>
      <c r="W101" s="8"/>
      <c r="X101" s="8"/>
      <c r="Y101" s="8"/>
    </row>
    <row r="102" spans="1:25" x14ac:dyDescent="0.2">
      <c r="A102" s="8"/>
      <c r="B102" s="8"/>
      <c r="C102" s="8"/>
      <c r="D102" s="8"/>
      <c r="E102" s="8"/>
      <c r="F102" s="8"/>
      <c r="G102" s="8"/>
      <c r="H102" s="8"/>
      <c r="I102" s="8"/>
      <c r="J102" s="8"/>
      <c r="K102" s="8"/>
      <c r="L102" s="8"/>
      <c r="M102" s="8"/>
      <c r="N102" s="9" t="s">
        <v>270</v>
      </c>
      <c r="O102" s="9" t="s">
        <v>448</v>
      </c>
      <c r="P102" s="9"/>
      <c r="Q102" s="67" t="s">
        <v>226</v>
      </c>
      <c r="R102" s="67" t="s">
        <v>1006</v>
      </c>
      <c r="S102" s="67" t="s">
        <v>1007</v>
      </c>
      <c r="T102" s="8"/>
      <c r="U102" s="8"/>
      <c r="V102" s="8"/>
      <c r="W102" s="8"/>
      <c r="X102" s="8"/>
      <c r="Y102" s="8"/>
    </row>
    <row r="103" spans="1:25" x14ac:dyDescent="0.2">
      <c r="A103" s="8"/>
      <c r="B103" s="8"/>
      <c r="C103" s="8"/>
      <c r="D103" s="8"/>
      <c r="E103" s="8"/>
      <c r="F103" s="8"/>
      <c r="G103" s="8"/>
      <c r="H103" s="8"/>
      <c r="I103" s="8"/>
      <c r="J103" s="8"/>
      <c r="K103" s="8"/>
      <c r="L103" s="8"/>
      <c r="M103" s="8"/>
      <c r="N103" s="9" t="s">
        <v>274</v>
      </c>
      <c r="O103" s="9" t="s">
        <v>455</v>
      </c>
      <c r="P103" s="9"/>
      <c r="Q103" s="67" t="s">
        <v>226</v>
      </c>
      <c r="R103" s="67" t="s">
        <v>1001</v>
      </c>
      <c r="S103" s="67" t="s">
        <v>1002</v>
      </c>
      <c r="T103" s="8"/>
      <c r="U103" s="8"/>
      <c r="V103" s="8"/>
      <c r="W103" s="8"/>
      <c r="X103" s="8"/>
      <c r="Y103" s="8"/>
    </row>
    <row r="104" spans="1:25" x14ac:dyDescent="0.2">
      <c r="A104" s="8"/>
      <c r="B104" s="8"/>
      <c r="C104" s="8"/>
      <c r="D104" s="8"/>
      <c r="E104" s="8"/>
      <c r="F104" s="8"/>
      <c r="G104" s="8"/>
      <c r="H104" s="8"/>
      <c r="I104" s="8"/>
      <c r="J104" s="8"/>
      <c r="K104" s="8"/>
      <c r="L104" s="8"/>
      <c r="M104" s="8"/>
      <c r="N104" s="9" t="s">
        <v>1368</v>
      </c>
      <c r="O104" s="9" t="s">
        <v>457</v>
      </c>
      <c r="P104" s="9"/>
      <c r="Q104" s="67" t="s">
        <v>226</v>
      </c>
      <c r="R104" s="67" t="s">
        <v>1003</v>
      </c>
      <c r="S104" s="67" t="s">
        <v>958</v>
      </c>
      <c r="T104" s="8"/>
      <c r="U104" s="8"/>
      <c r="V104" s="8"/>
      <c r="W104" s="8"/>
      <c r="X104" s="8"/>
      <c r="Y104" s="8"/>
    </row>
    <row r="105" spans="1:25" x14ac:dyDescent="0.2">
      <c r="A105" s="8"/>
      <c r="B105" s="8"/>
      <c r="C105" s="8"/>
      <c r="D105" s="8"/>
      <c r="E105" s="8"/>
      <c r="F105" s="8"/>
      <c r="G105" s="8"/>
      <c r="H105" s="8"/>
      <c r="I105" s="8"/>
      <c r="J105" s="8"/>
      <c r="K105" s="8"/>
      <c r="L105" s="8"/>
      <c r="M105" s="8"/>
      <c r="N105" s="9" t="s">
        <v>278</v>
      </c>
      <c r="O105" s="9" t="s">
        <v>459</v>
      </c>
      <c r="P105" s="9"/>
      <c r="Q105" s="67" t="s">
        <v>230</v>
      </c>
      <c r="R105" s="67" t="s">
        <v>1010</v>
      </c>
      <c r="S105" s="67" t="s">
        <v>442</v>
      </c>
      <c r="T105" s="8"/>
      <c r="U105" s="8"/>
      <c r="V105" s="8"/>
      <c r="W105" s="8"/>
      <c r="X105" s="8"/>
      <c r="Y105" s="8"/>
    </row>
    <row r="106" spans="1:25" x14ac:dyDescent="0.2">
      <c r="A106" s="8"/>
      <c r="B106" s="8"/>
      <c r="C106" s="8"/>
      <c r="D106" s="8"/>
      <c r="E106" s="8"/>
      <c r="F106" s="8"/>
      <c r="G106" s="8"/>
      <c r="H106" s="8"/>
      <c r="I106" s="8"/>
      <c r="J106" s="8"/>
      <c r="K106" s="8"/>
      <c r="L106" s="8"/>
      <c r="M106" s="8"/>
      <c r="N106" s="9" t="s">
        <v>280</v>
      </c>
      <c r="O106" s="9" t="s">
        <v>460</v>
      </c>
      <c r="P106" s="9"/>
      <c r="Q106" s="67" t="s">
        <v>231</v>
      </c>
      <c r="R106" s="67" t="s">
        <v>232</v>
      </c>
      <c r="S106" s="67" t="s">
        <v>1219</v>
      </c>
      <c r="T106" s="8"/>
      <c r="U106" s="8"/>
      <c r="V106" s="8"/>
      <c r="W106" s="8"/>
      <c r="X106" s="8"/>
      <c r="Y106" s="8"/>
    </row>
    <row r="107" spans="1:25" x14ac:dyDescent="0.2">
      <c r="A107" s="8"/>
      <c r="B107" s="8"/>
      <c r="C107" s="8"/>
      <c r="D107" s="8"/>
      <c r="E107" s="8"/>
      <c r="F107" s="8"/>
      <c r="G107" s="8"/>
      <c r="H107" s="8"/>
      <c r="I107" s="8"/>
      <c r="J107" s="8"/>
      <c r="K107" s="8"/>
      <c r="L107" s="8"/>
      <c r="M107" s="8"/>
      <c r="N107" s="9" t="s">
        <v>297</v>
      </c>
      <c r="O107" s="9" t="s">
        <v>1329</v>
      </c>
      <c r="P107" s="9"/>
      <c r="Q107" s="67" t="s">
        <v>233</v>
      </c>
      <c r="R107" s="67" t="s">
        <v>234</v>
      </c>
      <c r="S107" s="67" t="s">
        <v>1250</v>
      </c>
      <c r="T107" s="8"/>
      <c r="U107" s="8"/>
      <c r="V107" s="8"/>
      <c r="W107" s="8"/>
      <c r="X107" s="8"/>
      <c r="Y107" s="8"/>
    </row>
    <row r="108" spans="1:25" x14ac:dyDescent="0.2">
      <c r="A108" s="8"/>
      <c r="B108" s="8"/>
      <c r="C108" s="8"/>
      <c r="D108" s="8"/>
      <c r="E108" s="8"/>
      <c r="F108" s="8"/>
      <c r="G108" s="8"/>
      <c r="H108" s="8"/>
      <c r="I108" s="8"/>
      <c r="J108" s="8"/>
      <c r="K108" s="8"/>
      <c r="L108" s="8"/>
      <c r="M108" s="8"/>
      <c r="N108" s="9" t="s">
        <v>1369</v>
      </c>
      <c r="O108" s="9" t="s">
        <v>1370</v>
      </c>
      <c r="P108" s="9"/>
      <c r="Q108" s="67" t="s">
        <v>235</v>
      </c>
      <c r="R108" s="67" t="s">
        <v>1014</v>
      </c>
      <c r="S108" s="67" t="s">
        <v>1015</v>
      </c>
      <c r="T108" s="8"/>
      <c r="U108" s="8"/>
      <c r="V108" s="8"/>
      <c r="W108" s="8"/>
      <c r="X108" s="8"/>
      <c r="Y108" s="8"/>
    </row>
    <row r="109" spans="1:25" x14ac:dyDescent="0.2">
      <c r="A109" s="8"/>
      <c r="B109" s="8"/>
      <c r="C109" s="8"/>
      <c r="D109" s="8"/>
      <c r="E109" s="8"/>
      <c r="F109" s="8"/>
      <c r="G109" s="8"/>
      <c r="H109" s="8"/>
      <c r="I109" s="8"/>
      <c r="J109" s="8"/>
      <c r="K109" s="8"/>
      <c r="L109" s="8"/>
      <c r="M109" s="8"/>
      <c r="N109" s="9" t="s">
        <v>281</v>
      </c>
      <c r="O109" s="9" t="s">
        <v>464</v>
      </c>
      <c r="P109" s="9"/>
      <c r="Q109" s="67" t="s">
        <v>235</v>
      </c>
      <c r="R109" s="67" t="s">
        <v>236</v>
      </c>
      <c r="S109" s="67" t="s">
        <v>1011</v>
      </c>
      <c r="T109" s="8"/>
      <c r="U109" s="8"/>
      <c r="V109" s="8"/>
      <c r="W109" s="8"/>
      <c r="X109" s="8"/>
      <c r="Y109" s="8"/>
    </row>
    <row r="110" spans="1:25" x14ac:dyDescent="0.2">
      <c r="A110" s="8"/>
      <c r="B110" s="8"/>
      <c r="C110" s="8"/>
      <c r="D110" s="8"/>
      <c r="E110" s="8"/>
      <c r="F110" s="8"/>
      <c r="G110" s="8"/>
      <c r="H110" s="8"/>
      <c r="I110" s="8"/>
      <c r="J110" s="8"/>
      <c r="K110" s="8"/>
      <c r="L110" s="8"/>
      <c r="M110" s="8"/>
      <c r="N110" s="9" t="s">
        <v>283</v>
      </c>
      <c r="O110" s="9" t="s">
        <v>1289</v>
      </c>
      <c r="P110" s="9"/>
      <c r="Q110" s="67" t="s">
        <v>235</v>
      </c>
      <c r="R110" s="67" t="s">
        <v>237</v>
      </c>
      <c r="S110" s="67" t="s">
        <v>1016</v>
      </c>
      <c r="T110" s="8"/>
      <c r="U110" s="8"/>
      <c r="V110" s="8"/>
      <c r="W110" s="8"/>
      <c r="X110" s="8"/>
      <c r="Y110" s="8"/>
    </row>
    <row r="111" spans="1:25" x14ac:dyDescent="0.2">
      <c r="A111" s="8"/>
      <c r="B111" s="8"/>
      <c r="C111" s="8"/>
      <c r="D111" s="8"/>
      <c r="E111" s="8"/>
      <c r="F111" s="8"/>
      <c r="G111" s="8"/>
      <c r="H111" s="8"/>
      <c r="I111" s="8"/>
      <c r="J111" s="8"/>
      <c r="K111" s="8"/>
      <c r="L111" s="8"/>
      <c r="M111" s="8"/>
      <c r="N111" s="9" t="s">
        <v>288</v>
      </c>
      <c r="O111" s="9" t="s">
        <v>469</v>
      </c>
      <c r="P111" s="9"/>
      <c r="Q111" s="67" t="s">
        <v>235</v>
      </c>
      <c r="R111" s="67" t="s">
        <v>1012</v>
      </c>
      <c r="S111" s="67" t="s">
        <v>1013</v>
      </c>
      <c r="T111" s="8"/>
      <c r="U111" s="8"/>
      <c r="V111" s="8"/>
      <c r="W111" s="8"/>
      <c r="X111" s="8"/>
      <c r="Y111" s="8"/>
    </row>
    <row r="112" spans="1:25" x14ac:dyDescent="0.2">
      <c r="A112" s="8"/>
      <c r="B112" s="8"/>
      <c r="C112" s="8"/>
      <c r="D112" s="8"/>
      <c r="E112" s="8"/>
      <c r="F112" s="8"/>
      <c r="G112" s="8"/>
      <c r="H112" s="8"/>
      <c r="I112" s="8"/>
      <c r="J112" s="8"/>
      <c r="K112" s="8"/>
      <c r="L112" s="8"/>
      <c r="M112" s="8"/>
      <c r="N112" s="9" t="s">
        <v>1371</v>
      </c>
      <c r="O112" s="9" t="s">
        <v>1249</v>
      </c>
      <c r="P112" s="9"/>
      <c r="Q112" s="67" t="s">
        <v>235</v>
      </c>
      <c r="R112" s="67" t="s">
        <v>238</v>
      </c>
      <c r="S112" s="67" t="s">
        <v>1251</v>
      </c>
      <c r="T112" s="8"/>
      <c r="U112" s="8"/>
      <c r="V112" s="8"/>
      <c r="W112" s="8"/>
      <c r="X112" s="8"/>
      <c r="Y112" s="8"/>
    </row>
    <row r="113" spans="1:25" x14ac:dyDescent="0.2">
      <c r="A113" s="8"/>
      <c r="B113" s="8"/>
      <c r="C113" s="8"/>
      <c r="D113" s="8"/>
      <c r="E113" s="8"/>
      <c r="F113" s="8"/>
      <c r="G113" s="8"/>
      <c r="H113" s="8"/>
      <c r="I113" s="8"/>
      <c r="J113" s="8"/>
      <c r="K113" s="8"/>
      <c r="L113" s="8"/>
      <c r="M113" s="8"/>
      <c r="N113" s="9" t="s">
        <v>290</v>
      </c>
      <c r="O113" s="9" t="s">
        <v>472</v>
      </c>
      <c r="P113" s="9"/>
      <c r="Q113" s="67" t="s">
        <v>239</v>
      </c>
      <c r="R113" s="67" t="s">
        <v>1018</v>
      </c>
      <c r="S113" s="67" t="s">
        <v>442</v>
      </c>
      <c r="T113" s="8"/>
      <c r="U113" s="8"/>
      <c r="V113" s="8"/>
      <c r="W113" s="8"/>
      <c r="X113" s="8"/>
      <c r="Y113" s="8"/>
    </row>
    <row r="114" spans="1:25" x14ac:dyDescent="0.2">
      <c r="A114" s="8"/>
      <c r="B114" s="8"/>
      <c r="C114" s="8"/>
      <c r="D114" s="8"/>
      <c r="E114" s="8"/>
      <c r="F114" s="8"/>
      <c r="G114" s="8"/>
      <c r="H114" s="8"/>
      <c r="I114" s="8"/>
      <c r="J114" s="8"/>
      <c r="K114" s="8"/>
      <c r="L114" s="8"/>
      <c r="M114" s="8"/>
      <c r="N114" s="9" t="s">
        <v>292</v>
      </c>
      <c r="O114" s="9" t="s">
        <v>474</v>
      </c>
      <c r="P114" s="9"/>
      <c r="Q114" s="67" t="s">
        <v>239</v>
      </c>
      <c r="R114" s="67" t="s">
        <v>240</v>
      </c>
      <c r="S114" s="67" t="s">
        <v>968</v>
      </c>
      <c r="T114" s="8"/>
      <c r="U114" s="8"/>
      <c r="V114" s="8"/>
      <c r="W114" s="8"/>
      <c r="X114" s="8"/>
      <c r="Y114" s="8"/>
    </row>
    <row r="115" spans="1:25" x14ac:dyDescent="0.2">
      <c r="A115" s="8"/>
      <c r="B115" s="8"/>
      <c r="C115" s="8"/>
      <c r="D115" s="8"/>
      <c r="E115" s="8"/>
      <c r="F115" s="8"/>
      <c r="G115" s="8"/>
      <c r="H115" s="8"/>
      <c r="I115" s="8"/>
      <c r="J115" s="8"/>
      <c r="K115" s="8"/>
      <c r="L115" s="8"/>
      <c r="M115" s="8"/>
      <c r="N115" s="9" t="s">
        <v>293</v>
      </c>
      <c r="O115" s="9" t="s">
        <v>477</v>
      </c>
      <c r="P115" s="9"/>
      <c r="Q115" s="67" t="s">
        <v>239</v>
      </c>
      <c r="R115" s="67" t="s">
        <v>1252</v>
      </c>
      <c r="S115" s="67" t="s">
        <v>442</v>
      </c>
      <c r="T115" s="8"/>
      <c r="U115" s="8"/>
      <c r="V115" s="8"/>
      <c r="W115" s="8"/>
      <c r="X115" s="8"/>
      <c r="Y115" s="8"/>
    </row>
    <row r="116" spans="1:25" x14ac:dyDescent="0.2">
      <c r="A116" s="8"/>
      <c r="B116" s="8"/>
      <c r="C116" s="8"/>
      <c r="D116" s="8"/>
      <c r="E116" s="8"/>
      <c r="F116" s="8"/>
      <c r="G116" s="8"/>
      <c r="H116" s="8"/>
      <c r="I116" s="8"/>
      <c r="J116" s="8"/>
      <c r="K116" s="8"/>
      <c r="L116" s="8"/>
      <c r="M116" s="8"/>
      <c r="N116" s="9" t="s">
        <v>296</v>
      </c>
      <c r="O116" s="9" t="s">
        <v>479</v>
      </c>
      <c r="P116" s="9"/>
      <c r="Q116" s="67" t="s">
        <v>239</v>
      </c>
      <c r="R116" s="67" t="s">
        <v>242</v>
      </c>
      <c r="S116" s="67" t="s">
        <v>1017</v>
      </c>
      <c r="T116" s="8"/>
      <c r="U116" s="8"/>
      <c r="V116" s="8"/>
      <c r="W116" s="8"/>
      <c r="X116" s="8"/>
      <c r="Y116" s="8"/>
    </row>
    <row r="117" spans="1:25" x14ac:dyDescent="0.2">
      <c r="A117" s="8"/>
      <c r="B117" s="8"/>
      <c r="C117" s="8"/>
      <c r="D117" s="8"/>
      <c r="E117" s="8"/>
      <c r="F117" s="8"/>
      <c r="G117" s="8"/>
      <c r="H117" s="8"/>
      <c r="I117" s="8"/>
      <c r="J117" s="8"/>
      <c r="K117" s="8"/>
      <c r="L117" s="8"/>
      <c r="M117" s="8"/>
      <c r="N117" s="9" t="s">
        <v>1372</v>
      </c>
      <c r="O117" s="9" t="s">
        <v>480</v>
      </c>
      <c r="P117" s="9"/>
      <c r="Q117" s="67" t="s">
        <v>244</v>
      </c>
      <c r="R117" s="67" t="s">
        <v>245</v>
      </c>
      <c r="S117" s="67" t="s">
        <v>510</v>
      </c>
      <c r="T117" s="8"/>
      <c r="U117" s="8"/>
      <c r="V117" s="8"/>
      <c r="W117" s="8"/>
      <c r="X117" s="8"/>
      <c r="Y117" s="8"/>
    </row>
    <row r="118" spans="1:25" x14ac:dyDescent="0.2">
      <c r="A118" s="8"/>
      <c r="B118" s="8"/>
      <c r="C118" s="8"/>
      <c r="D118" s="8"/>
      <c r="E118" s="8"/>
      <c r="F118" s="8"/>
      <c r="G118" s="8"/>
      <c r="H118" s="8"/>
      <c r="I118" s="8"/>
      <c r="J118" s="8"/>
      <c r="K118" s="8"/>
      <c r="L118" s="8"/>
      <c r="M118" s="8"/>
      <c r="N118" s="9" t="s">
        <v>301</v>
      </c>
      <c r="O118" s="9" t="s">
        <v>481</v>
      </c>
      <c r="P118" s="9"/>
      <c r="Q118" s="67" t="s">
        <v>244</v>
      </c>
      <c r="R118" s="67" t="s">
        <v>247</v>
      </c>
      <c r="S118" s="67" t="s">
        <v>1019</v>
      </c>
      <c r="T118" s="8"/>
      <c r="U118" s="8"/>
      <c r="V118" s="8"/>
      <c r="W118" s="8"/>
      <c r="X118" s="8"/>
      <c r="Y118" s="8"/>
    </row>
    <row r="119" spans="1:25" x14ac:dyDescent="0.2">
      <c r="A119" s="8"/>
      <c r="B119" s="8"/>
      <c r="C119" s="8"/>
      <c r="D119" s="8"/>
      <c r="E119" s="8"/>
      <c r="F119" s="8"/>
      <c r="G119" s="8"/>
      <c r="H119" s="8"/>
      <c r="I119" s="8"/>
      <c r="J119" s="8"/>
      <c r="K119" s="8"/>
      <c r="L119" s="8"/>
      <c r="M119" s="8"/>
      <c r="N119" s="9" t="s">
        <v>1373</v>
      </c>
      <c r="O119" s="9" t="s">
        <v>484</v>
      </c>
      <c r="P119" s="9"/>
      <c r="Q119" s="67" t="s">
        <v>249</v>
      </c>
      <c r="R119" s="67" t="s">
        <v>1253</v>
      </c>
      <c r="S119" s="67" t="s">
        <v>1219</v>
      </c>
      <c r="T119" s="8"/>
      <c r="U119" s="8"/>
      <c r="V119" s="8"/>
      <c r="W119" s="8"/>
      <c r="X119" s="8"/>
      <c r="Y119" s="8"/>
    </row>
    <row r="120" spans="1:25" x14ac:dyDescent="0.2">
      <c r="A120" s="8"/>
      <c r="B120" s="8"/>
      <c r="C120" s="8"/>
      <c r="D120" s="8"/>
      <c r="E120" s="8"/>
      <c r="F120" s="8"/>
      <c r="G120" s="8"/>
      <c r="H120" s="8"/>
      <c r="I120" s="8"/>
      <c r="J120" s="8"/>
      <c r="K120" s="8"/>
      <c r="L120" s="8"/>
      <c r="M120" s="8"/>
      <c r="N120" s="9" t="s">
        <v>302</v>
      </c>
      <c r="O120" s="9" t="s">
        <v>485</v>
      </c>
      <c r="P120" s="9"/>
      <c r="Q120" s="67" t="s">
        <v>249</v>
      </c>
      <c r="R120" s="67" t="s">
        <v>251</v>
      </c>
      <c r="S120" s="67" t="s">
        <v>1020</v>
      </c>
      <c r="T120" s="8"/>
      <c r="U120" s="8"/>
      <c r="V120" s="8"/>
      <c r="W120" s="8"/>
      <c r="X120" s="8"/>
      <c r="Y120" s="8"/>
    </row>
    <row r="121" spans="1:25" x14ac:dyDescent="0.2">
      <c r="A121" s="8"/>
      <c r="B121" s="8"/>
      <c r="C121" s="8"/>
      <c r="D121" s="8"/>
      <c r="E121" s="8"/>
      <c r="F121" s="8"/>
      <c r="G121" s="8"/>
      <c r="H121" s="8"/>
      <c r="I121" s="8"/>
      <c r="J121" s="8"/>
      <c r="K121" s="8"/>
      <c r="L121" s="8"/>
      <c r="M121" s="8"/>
      <c r="N121" s="9" t="s">
        <v>305</v>
      </c>
      <c r="O121" s="9" t="s">
        <v>488</v>
      </c>
      <c r="P121" s="9"/>
      <c r="Q121" s="67" t="s">
        <v>253</v>
      </c>
      <c r="R121" s="67" t="s">
        <v>254</v>
      </c>
      <c r="S121" s="67" t="s">
        <v>1219</v>
      </c>
      <c r="T121" s="8"/>
      <c r="U121" s="8"/>
      <c r="V121" s="8"/>
      <c r="W121" s="8"/>
      <c r="X121" s="8"/>
      <c r="Y121" s="8"/>
    </row>
    <row r="122" spans="1:25" x14ac:dyDescent="0.2">
      <c r="A122" s="8"/>
      <c r="B122" s="8"/>
      <c r="C122" s="8"/>
      <c r="D122" s="8"/>
      <c r="E122" s="8"/>
      <c r="F122" s="8"/>
      <c r="G122" s="8"/>
      <c r="H122" s="8"/>
      <c r="I122" s="8"/>
      <c r="J122" s="8"/>
      <c r="K122" s="8"/>
      <c r="L122" s="8"/>
      <c r="M122" s="8"/>
      <c r="N122" s="9" t="s">
        <v>308</v>
      </c>
      <c r="O122" s="9" t="s">
        <v>489</v>
      </c>
      <c r="P122" s="9"/>
      <c r="Q122" s="67" t="s">
        <v>253</v>
      </c>
      <c r="R122" s="67" t="s">
        <v>256</v>
      </c>
      <c r="S122" s="67" t="s">
        <v>1021</v>
      </c>
      <c r="T122" s="8"/>
      <c r="U122" s="8"/>
      <c r="V122" s="8"/>
      <c r="W122" s="8"/>
      <c r="X122" s="8"/>
      <c r="Y122" s="8"/>
    </row>
    <row r="123" spans="1:25" x14ac:dyDescent="0.2">
      <c r="A123" s="8"/>
      <c r="B123" s="8"/>
      <c r="C123" s="8"/>
      <c r="D123" s="8"/>
      <c r="E123" s="8"/>
      <c r="F123" s="8"/>
      <c r="G123" s="8"/>
      <c r="H123" s="8"/>
      <c r="I123" s="8"/>
      <c r="J123" s="8"/>
      <c r="K123" s="8"/>
      <c r="L123" s="8"/>
      <c r="M123" s="8"/>
      <c r="N123" s="9" t="s">
        <v>310</v>
      </c>
      <c r="O123" s="9" t="s">
        <v>492</v>
      </c>
      <c r="P123" s="9"/>
      <c r="Q123" s="67" t="s">
        <v>258</v>
      </c>
      <c r="R123" s="67" t="s">
        <v>1022</v>
      </c>
      <c r="S123" s="67" t="s">
        <v>1023</v>
      </c>
      <c r="T123" s="8"/>
      <c r="U123" s="8"/>
      <c r="V123" s="8"/>
      <c r="W123" s="8"/>
      <c r="X123" s="8"/>
      <c r="Y123" s="8"/>
    </row>
    <row r="124" spans="1:25" x14ac:dyDescent="0.2">
      <c r="A124" s="8"/>
      <c r="B124" s="8"/>
      <c r="C124" s="8"/>
      <c r="D124" s="8"/>
      <c r="E124" s="8"/>
      <c r="F124" s="8"/>
      <c r="G124" s="8"/>
      <c r="H124" s="8"/>
      <c r="I124" s="8"/>
      <c r="J124" s="8"/>
      <c r="K124" s="8"/>
      <c r="L124" s="8"/>
      <c r="M124" s="8"/>
      <c r="N124" s="9" t="s">
        <v>313</v>
      </c>
      <c r="O124" s="9" t="s">
        <v>493</v>
      </c>
      <c r="P124" s="9"/>
      <c r="Q124" s="67" t="s">
        <v>260</v>
      </c>
      <c r="R124" s="67" t="s">
        <v>261</v>
      </c>
      <c r="S124" s="67" t="s">
        <v>442</v>
      </c>
      <c r="T124" s="8"/>
      <c r="U124" s="8"/>
      <c r="V124" s="8"/>
      <c r="W124" s="8"/>
      <c r="X124" s="8"/>
      <c r="Y124" s="8"/>
    </row>
    <row r="125" spans="1:25" x14ac:dyDescent="0.2">
      <c r="A125" s="8"/>
      <c r="B125" s="8"/>
      <c r="C125" s="8"/>
      <c r="D125" s="8"/>
      <c r="E125" s="8"/>
      <c r="F125" s="8"/>
      <c r="G125" s="8"/>
      <c r="H125" s="8"/>
      <c r="I125" s="8"/>
      <c r="J125" s="8"/>
      <c r="K125" s="8"/>
      <c r="L125" s="8"/>
      <c r="M125" s="8"/>
      <c r="N125" s="9" t="s">
        <v>315</v>
      </c>
      <c r="O125" s="9" t="s">
        <v>494</v>
      </c>
      <c r="P125" s="9"/>
      <c r="Q125" s="67" t="s">
        <v>263</v>
      </c>
      <c r="R125" s="67" t="s">
        <v>1028</v>
      </c>
      <c r="S125" s="67" t="s">
        <v>442</v>
      </c>
      <c r="T125" s="8"/>
      <c r="U125" s="8"/>
      <c r="V125" s="8"/>
      <c r="W125" s="8"/>
      <c r="X125" s="8"/>
      <c r="Y125" s="8"/>
    </row>
    <row r="126" spans="1:25" x14ac:dyDescent="0.2">
      <c r="A126" s="8"/>
      <c r="B126" s="8"/>
      <c r="C126" s="8"/>
      <c r="D126" s="8"/>
      <c r="E126" s="8"/>
      <c r="F126" s="8"/>
      <c r="G126" s="8"/>
      <c r="H126" s="8"/>
      <c r="I126" s="8"/>
      <c r="J126" s="8"/>
      <c r="K126" s="8"/>
      <c r="L126" s="8"/>
      <c r="M126" s="8"/>
      <c r="N126" s="9" t="s">
        <v>317</v>
      </c>
      <c r="O126" s="9" t="s">
        <v>495</v>
      </c>
      <c r="P126" s="9"/>
      <c r="Q126" s="67" t="s">
        <v>263</v>
      </c>
      <c r="R126" s="67" t="s">
        <v>1026</v>
      </c>
      <c r="S126" s="67" t="s">
        <v>1027</v>
      </c>
      <c r="T126" s="8"/>
      <c r="U126" s="8"/>
      <c r="V126" s="8"/>
      <c r="W126" s="8"/>
      <c r="X126" s="8"/>
      <c r="Y126" s="8"/>
    </row>
    <row r="127" spans="1:25" x14ac:dyDescent="0.2">
      <c r="A127" s="8"/>
      <c r="B127" s="8"/>
      <c r="C127" s="8"/>
      <c r="D127" s="8"/>
      <c r="E127" s="8"/>
      <c r="F127" s="8"/>
      <c r="G127" s="8"/>
      <c r="H127" s="8"/>
      <c r="I127" s="8"/>
      <c r="J127" s="8"/>
      <c r="K127" s="8"/>
      <c r="L127" s="8"/>
      <c r="M127" s="8"/>
      <c r="N127" s="9" t="s">
        <v>319</v>
      </c>
      <c r="O127" s="9" t="s">
        <v>497</v>
      </c>
      <c r="P127" s="9"/>
      <c r="Q127" s="67" t="s">
        <v>263</v>
      </c>
      <c r="R127" s="67" t="s">
        <v>1254</v>
      </c>
      <c r="S127" s="67" t="s">
        <v>1255</v>
      </c>
      <c r="T127" s="8"/>
      <c r="U127" s="8"/>
      <c r="V127" s="8"/>
      <c r="W127" s="8"/>
      <c r="X127" s="8"/>
      <c r="Y127" s="8"/>
    </row>
    <row r="128" spans="1:25" x14ac:dyDescent="0.2">
      <c r="A128" s="8"/>
      <c r="B128" s="8"/>
      <c r="C128" s="8"/>
      <c r="D128" s="8"/>
      <c r="E128" s="8"/>
      <c r="F128" s="8"/>
      <c r="G128" s="8"/>
      <c r="H128" s="8"/>
      <c r="I128" s="8"/>
      <c r="J128" s="8"/>
      <c r="K128" s="8"/>
      <c r="L128" s="8"/>
      <c r="M128" s="8"/>
      <c r="N128" s="9" t="s">
        <v>321</v>
      </c>
      <c r="O128" s="9" t="s">
        <v>1210</v>
      </c>
      <c r="P128" s="9"/>
      <c r="Q128" s="67" t="s">
        <v>263</v>
      </c>
      <c r="R128" s="67" t="s">
        <v>1024</v>
      </c>
      <c r="S128" s="67" t="s">
        <v>1025</v>
      </c>
      <c r="T128" s="8"/>
      <c r="U128" s="8"/>
      <c r="V128" s="8"/>
      <c r="W128" s="8"/>
      <c r="X128" s="8"/>
      <c r="Y128" s="8"/>
    </row>
    <row r="129" spans="1:25" x14ac:dyDescent="0.2">
      <c r="A129" s="8"/>
      <c r="B129" s="8"/>
      <c r="C129" s="8"/>
      <c r="D129" s="8"/>
      <c r="E129" s="8"/>
      <c r="F129" s="8"/>
      <c r="G129" s="8"/>
      <c r="H129" s="8"/>
      <c r="I129" s="8"/>
      <c r="J129" s="8"/>
      <c r="K129" s="8"/>
      <c r="L129" s="8"/>
      <c r="M129" s="8"/>
      <c r="N129" s="9" t="s">
        <v>323</v>
      </c>
      <c r="O129" s="9" t="s">
        <v>500</v>
      </c>
      <c r="P129" s="9"/>
      <c r="Q129" s="67" t="s">
        <v>268</v>
      </c>
      <c r="R129" s="67" t="s">
        <v>269</v>
      </c>
      <c r="S129" s="67" t="s">
        <v>442</v>
      </c>
      <c r="T129" s="8"/>
      <c r="U129" s="8"/>
      <c r="V129" s="8"/>
      <c r="W129" s="8"/>
      <c r="X129" s="8"/>
      <c r="Y129" s="8"/>
    </row>
    <row r="130" spans="1:25" x14ac:dyDescent="0.2">
      <c r="A130" s="8"/>
      <c r="B130" s="8"/>
      <c r="C130" s="8"/>
      <c r="D130" s="8"/>
      <c r="E130" s="8"/>
      <c r="F130" s="8"/>
      <c r="G130" s="8"/>
      <c r="H130" s="8"/>
      <c r="I130" s="8"/>
      <c r="J130" s="8"/>
      <c r="K130" s="8"/>
      <c r="L130" s="8"/>
      <c r="M130" s="8"/>
      <c r="N130" s="9" t="s">
        <v>1374</v>
      </c>
      <c r="O130" s="9"/>
      <c r="P130" s="9"/>
      <c r="Q130" s="67" t="s">
        <v>271</v>
      </c>
      <c r="R130" s="67" t="s">
        <v>272</v>
      </c>
      <c r="S130" s="67" t="s">
        <v>1219</v>
      </c>
      <c r="T130" s="8"/>
      <c r="U130" s="8"/>
      <c r="V130" s="8"/>
      <c r="W130" s="8"/>
      <c r="X130" s="8"/>
      <c r="Y130" s="8"/>
    </row>
    <row r="131" spans="1:25" x14ac:dyDescent="0.2">
      <c r="A131" s="8"/>
      <c r="B131" s="8"/>
      <c r="C131" s="8"/>
      <c r="D131" s="8"/>
      <c r="E131" s="8"/>
      <c r="F131" s="8"/>
      <c r="G131" s="8"/>
      <c r="H131" s="8"/>
      <c r="I131" s="8"/>
      <c r="J131" s="8"/>
      <c r="K131" s="8"/>
      <c r="L131" s="8"/>
      <c r="M131" s="8"/>
      <c r="N131" s="9" t="s">
        <v>324</v>
      </c>
      <c r="O131" s="9" t="s">
        <v>503</v>
      </c>
      <c r="P131" s="9"/>
      <c r="Q131" s="67" t="s">
        <v>271</v>
      </c>
      <c r="R131" s="67" t="s">
        <v>273</v>
      </c>
      <c r="S131" s="67" t="s">
        <v>442</v>
      </c>
      <c r="T131" s="8"/>
      <c r="U131" s="8"/>
      <c r="V131" s="8"/>
      <c r="W131" s="8"/>
      <c r="X131" s="8"/>
      <c r="Y131" s="8"/>
    </row>
    <row r="132" spans="1:25" x14ac:dyDescent="0.2">
      <c r="A132" s="8"/>
      <c r="B132" s="8"/>
      <c r="C132" s="8"/>
      <c r="D132" s="8"/>
      <c r="E132" s="8"/>
      <c r="F132" s="8"/>
      <c r="G132" s="8"/>
      <c r="H132" s="8"/>
      <c r="I132" s="8"/>
      <c r="J132" s="8"/>
      <c r="K132" s="8"/>
      <c r="L132" s="8"/>
      <c r="M132" s="8"/>
      <c r="N132" s="9" t="s">
        <v>328</v>
      </c>
      <c r="O132" s="9" t="s">
        <v>508</v>
      </c>
      <c r="P132" s="9"/>
      <c r="Q132" s="67" t="s">
        <v>275</v>
      </c>
      <c r="R132" s="67" t="s">
        <v>276</v>
      </c>
      <c r="S132" s="67" t="s">
        <v>1032</v>
      </c>
      <c r="T132" s="8"/>
      <c r="U132" s="8"/>
      <c r="V132" s="8"/>
      <c r="W132" s="8"/>
      <c r="X132" s="8"/>
      <c r="Y132" s="8"/>
    </row>
    <row r="133" spans="1:25" x14ac:dyDescent="0.2">
      <c r="A133" s="8"/>
      <c r="B133" s="8"/>
      <c r="C133" s="8"/>
      <c r="D133" s="8"/>
      <c r="E133" s="8"/>
      <c r="F133" s="8"/>
      <c r="G133" s="8"/>
      <c r="H133" s="8"/>
      <c r="I133" s="8"/>
      <c r="J133" s="8"/>
      <c r="K133" s="8"/>
      <c r="L133" s="8"/>
      <c r="M133" s="8"/>
      <c r="N133" s="9" t="s">
        <v>330</v>
      </c>
      <c r="O133" s="9" t="s">
        <v>512</v>
      </c>
      <c r="P133" s="9"/>
      <c r="Q133" s="67" t="s">
        <v>275</v>
      </c>
      <c r="R133" s="67" t="s">
        <v>277</v>
      </c>
      <c r="S133" s="67" t="s">
        <v>442</v>
      </c>
      <c r="T133" s="8"/>
      <c r="U133" s="8"/>
      <c r="V133" s="8"/>
      <c r="W133" s="8"/>
      <c r="X133" s="8"/>
      <c r="Y133" s="8"/>
    </row>
    <row r="134" spans="1:25" x14ac:dyDescent="0.2">
      <c r="A134" s="8"/>
      <c r="B134" s="8"/>
      <c r="C134" s="8"/>
      <c r="D134" s="8"/>
      <c r="E134" s="8"/>
      <c r="F134" s="8"/>
      <c r="G134" s="8"/>
      <c r="H134" s="8"/>
      <c r="I134" s="8"/>
      <c r="J134" s="8"/>
      <c r="K134" s="8"/>
      <c r="L134" s="8"/>
      <c r="M134" s="8"/>
      <c r="N134" s="9" t="s">
        <v>331</v>
      </c>
      <c r="O134" s="9" t="s">
        <v>517</v>
      </c>
      <c r="P134" s="9"/>
      <c r="Q134" s="67" t="s">
        <v>275</v>
      </c>
      <c r="R134" s="67" t="s">
        <v>279</v>
      </c>
      <c r="S134" s="67" t="s">
        <v>1029</v>
      </c>
      <c r="T134" s="8"/>
      <c r="U134" s="8"/>
      <c r="V134" s="8"/>
      <c r="W134" s="8"/>
      <c r="X134" s="8"/>
      <c r="Y134" s="8"/>
    </row>
    <row r="135" spans="1:25" x14ac:dyDescent="0.2">
      <c r="A135" s="8"/>
      <c r="B135" s="8"/>
      <c r="C135" s="8"/>
      <c r="D135" s="8"/>
      <c r="E135" s="8"/>
      <c r="F135" s="8"/>
      <c r="G135" s="8"/>
      <c r="H135" s="8"/>
      <c r="I135" s="8"/>
      <c r="J135" s="8"/>
      <c r="K135" s="8"/>
      <c r="L135" s="8"/>
      <c r="M135" s="8"/>
      <c r="N135" s="9" t="s">
        <v>333</v>
      </c>
      <c r="O135" s="9" t="s">
        <v>521</v>
      </c>
      <c r="P135" s="9"/>
      <c r="Q135" s="67" t="s">
        <v>275</v>
      </c>
      <c r="R135" s="67" t="s">
        <v>1030</v>
      </c>
      <c r="S135" s="67" t="s">
        <v>938</v>
      </c>
      <c r="T135" s="8"/>
      <c r="U135" s="8"/>
      <c r="V135" s="8"/>
      <c r="W135" s="8"/>
      <c r="X135" s="8"/>
      <c r="Y135" s="8"/>
    </row>
    <row r="136" spans="1:25" x14ac:dyDescent="0.2">
      <c r="A136" s="8"/>
      <c r="B136" s="8"/>
      <c r="C136" s="8"/>
      <c r="D136" s="8"/>
      <c r="E136" s="8"/>
      <c r="F136" s="8"/>
      <c r="G136" s="8"/>
      <c r="H136" s="8"/>
      <c r="I136" s="8"/>
      <c r="J136" s="8"/>
      <c r="K136" s="8"/>
      <c r="L136" s="8"/>
      <c r="M136" s="8"/>
      <c r="N136" s="9" t="s">
        <v>1375</v>
      </c>
      <c r="O136" s="9"/>
      <c r="P136" s="9"/>
      <c r="Q136" s="67" t="s">
        <v>275</v>
      </c>
      <c r="R136" s="67" t="s">
        <v>1031</v>
      </c>
      <c r="S136" s="67" t="s">
        <v>282</v>
      </c>
      <c r="T136" s="8"/>
      <c r="U136" s="8"/>
      <c r="V136" s="8"/>
      <c r="W136" s="8"/>
      <c r="X136" s="8"/>
      <c r="Y136" s="8"/>
    </row>
    <row r="137" spans="1:25" x14ac:dyDescent="0.2">
      <c r="A137" s="8"/>
      <c r="B137" s="8"/>
      <c r="C137" s="8"/>
      <c r="D137" s="8"/>
      <c r="E137" s="8"/>
      <c r="F137" s="8"/>
      <c r="G137" s="8"/>
      <c r="H137" s="8"/>
      <c r="I137" s="8"/>
      <c r="J137" s="8"/>
      <c r="K137" s="8"/>
      <c r="L137" s="8"/>
      <c r="M137" s="8"/>
      <c r="N137" s="9" t="s">
        <v>1376</v>
      </c>
      <c r="O137" s="9"/>
      <c r="P137" s="9"/>
      <c r="Q137" s="67" t="s">
        <v>1115</v>
      </c>
      <c r="R137" s="67" t="s">
        <v>1031</v>
      </c>
      <c r="S137" s="67" t="s">
        <v>282</v>
      </c>
      <c r="T137" s="8"/>
      <c r="U137" s="8"/>
      <c r="V137" s="8"/>
      <c r="W137" s="8"/>
      <c r="X137" s="8"/>
      <c r="Y137" s="8"/>
    </row>
    <row r="138" spans="1:25" x14ac:dyDescent="0.2">
      <c r="A138" s="8"/>
      <c r="B138" s="8"/>
      <c r="C138" s="8"/>
      <c r="D138" s="8"/>
      <c r="E138" s="8"/>
      <c r="F138" s="8"/>
      <c r="G138" s="8"/>
      <c r="H138" s="8"/>
      <c r="I138" s="8"/>
      <c r="J138" s="8"/>
      <c r="K138" s="8"/>
      <c r="L138" s="8"/>
      <c r="M138" s="8"/>
      <c r="N138" s="9" t="s">
        <v>1377</v>
      </c>
      <c r="O138" s="9"/>
      <c r="P138" s="9"/>
      <c r="Q138" s="67" t="s">
        <v>284</v>
      </c>
      <c r="R138" s="67" t="s">
        <v>285</v>
      </c>
      <c r="S138" s="67" t="s">
        <v>1033</v>
      </c>
      <c r="T138" s="8"/>
      <c r="U138" s="8"/>
      <c r="V138" s="8"/>
      <c r="W138" s="8"/>
      <c r="X138" s="8"/>
      <c r="Y138" s="8"/>
    </row>
    <row r="139" spans="1:25" x14ac:dyDescent="0.2">
      <c r="A139" s="8"/>
      <c r="B139" s="8"/>
      <c r="C139" s="8"/>
      <c r="D139" s="8"/>
      <c r="E139" s="8"/>
      <c r="F139" s="8"/>
      <c r="G139" s="8"/>
      <c r="H139" s="8"/>
      <c r="I139" s="8"/>
      <c r="J139" s="8"/>
      <c r="K139" s="8"/>
      <c r="L139" s="8"/>
      <c r="M139" s="8"/>
      <c r="N139" s="9" t="s">
        <v>1378</v>
      </c>
      <c r="O139" s="9"/>
      <c r="P139" s="9"/>
      <c r="Q139" s="67" t="s">
        <v>284</v>
      </c>
      <c r="R139" s="67" t="s">
        <v>1034</v>
      </c>
      <c r="S139" s="67" t="s">
        <v>1035</v>
      </c>
      <c r="T139" s="8"/>
      <c r="U139" s="8"/>
      <c r="V139" s="8"/>
      <c r="W139" s="8"/>
      <c r="X139" s="8"/>
      <c r="Y139" s="8"/>
    </row>
    <row r="140" spans="1:25" x14ac:dyDescent="0.2">
      <c r="A140" s="8"/>
      <c r="B140" s="8"/>
      <c r="C140" s="8"/>
      <c r="D140" s="8"/>
      <c r="E140" s="8"/>
      <c r="F140" s="8"/>
      <c r="G140" s="8"/>
      <c r="H140" s="8"/>
      <c r="I140" s="8"/>
      <c r="J140" s="8"/>
      <c r="K140" s="8"/>
      <c r="L140" s="8"/>
      <c r="M140" s="8"/>
      <c r="N140" s="9" t="s">
        <v>1379</v>
      </c>
      <c r="O140" s="9"/>
      <c r="P140" s="9"/>
      <c r="Q140" s="67" t="s">
        <v>287</v>
      </c>
      <c r="R140" s="67" t="s">
        <v>1040</v>
      </c>
      <c r="S140" s="67" t="s">
        <v>925</v>
      </c>
      <c r="T140" s="8"/>
      <c r="U140" s="8"/>
      <c r="V140" s="8"/>
      <c r="W140" s="8"/>
      <c r="X140" s="8"/>
      <c r="Y140" s="8"/>
    </row>
    <row r="141" spans="1:25" x14ac:dyDescent="0.2">
      <c r="A141" s="8"/>
      <c r="B141" s="8"/>
      <c r="C141" s="8"/>
      <c r="D141" s="8"/>
      <c r="E141" s="8"/>
      <c r="F141" s="8"/>
      <c r="G141" s="8"/>
      <c r="H141" s="8"/>
      <c r="I141" s="8"/>
      <c r="J141" s="8"/>
      <c r="K141" s="8"/>
      <c r="L141" s="8"/>
      <c r="M141" s="8"/>
      <c r="N141" s="9" t="s">
        <v>1380</v>
      </c>
      <c r="O141" s="9" t="s">
        <v>370</v>
      </c>
      <c r="P141" s="9"/>
      <c r="Q141" s="67" t="s">
        <v>287</v>
      </c>
      <c r="R141" s="67" t="s">
        <v>289</v>
      </c>
      <c r="S141" s="67" t="s">
        <v>1038</v>
      </c>
      <c r="T141" s="8"/>
      <c r="U141" s="8"/>
      <c r="V141" s="8"/>
      <c r="W141" s="8"/>
      <c r="X141" s="8"/>
      <c r="Y141" s="8"/>
    </row>
    <row r="142" spans="1:25" x14ac:dyDescent="0.2">
      <c r="A142" s="8"/>
      <c r="B142" s="8"/>
      <c r="C142" s="8"/>
      <c r="D142" s="8"/>
      <c r="E142" s="8"/>
      <c r="F142" s="8"/>
      <c r="G142" s="8"/>
      <c r="H142" s="8"/>
      <c r="I142" s="8"/>
      <c r="J142" s="8"/>
      <c r="K142" s="8"/>
      <c r="L142" s="8"/>
      <c r="M142" s="8"/>
      <c r="N142" s="9" t="s">
        <v>132</v>
      </c>
      <c r="O142" s="9" t="s">
        <v>216</v>
      </c>
      <c r="P142" s="9"/>
      <c r="Q142" s="67" t="s">
        <v>287</v>
      </c>
      <c r="R142" s="67" t="s">
        <v>291</v>
      </c>
      <c r="S142" s="67" t="s">
        <v>1039</v>
      </c>
      <c r="T142" s="8"/>
      <c r="U142" s="8"/>
      <c r="V142" s="8"/>
      <c r="W142" s="8"/>
      <c r="X142" s="8"/>
      <c r="Y142" s="8"/>
    </row>
    <row r="143" spans="1:25" x14ac:dyDescent="0.2">
      <c r="A143" s="8"/>
      <c r="B143" s="8"/>
      <c r="C143" s="8"/>
      <c r="D143" s="8"/>
      <c r="E143" s="8"/>
      <c r="F143" s="8"/>
      <c r="G143" s="8"/>
      <c r="H143" s="8"/>
      <c r="I143" s="8"/>
      <c r="J143" s="8"/>
      <c r="K143" s="8"/>
      <c r="L143" s="8"/>
      <c r="M143" s="8"/>
      <c r="N143" s="9" t="s">
        <v>1381</v>
      </c>
      <c r="O143" s="9" t="s">
        <v>448</v>
      </c>
      <c r="P143" s="9"/>
      <c r="Q143" s="67" t="s">
        <v>287</v>
      </c>
      <c r="R143" s="67" t="s">
        <v>1036</v>
      </c>
      <c r="S143" s="67" t="s">
        <v>1037</v>
      </c>
      <c r="T143" s="8"/>
      <c r="U143" s="8"/>
      <c r="V143" s="8"/>
      <c r="W143" s="8"/>
      <c r="X143" s="8"/>
      <c r="Y143" s="8"/>
    </row>
    <row r="144" spans="1:25" x14ac:dyDescent="0.2">
      <c r="A144" s="8"/>
      <c r="B144" s="8"/>
      <c r="C144" s="8"/>
      <c r="D144" s="8"/>
      <c r="E144" s="8"/>
      <c r="F144" s="8"/>
      <c r="G144" s="8"/>
      <c r="H144" s="8"/>
      <c r="I144" s="8"/>
      <c r="J144" s="8"/>
      <c r="K144" s="8"/>
      <c r="L144" s="8"/>
      <c r="M144" s="8"/>
      <c r="N144" s="9" t="s">
        <v>1382</v>
      </c>
      <c r="O144" s="9"/>
      <c r="P144" s="9"/>
      <c r="Q144" s="67" t="s">
        <v>287</v>
      </c>
      <c r="R144" s="67" t="s">
        <v>1256</v>
      </c>
      <c r="S144" s="67" t="s">
        <v>1257</v>
      </c>
      <c r="T144" s="8"/>
      <c r="U144" s="8"/>
      <c r="V144" s="8"/>
      <c r="W144" s="8"/>
      <c r="X144" s="8"/>
      <c r="Y144" s="8"/>
    </row>
    <row r="145" spans="1:25" x14ac:dyDescent="0.2">
      <c r="A145" s="8"/>
      <c r="B145" s="8"/>
      <c r="C145" s="8"/>
      <c r="D145" s="8"/>
      <c r="E145" s="8"/>
      <c r="F145" s="8"/>
      <c r="G145" s="8"/>
      <c r="H145" s="8"/>
      <c r="I145" s="8"/>
      <c r="J145" s="8"/>
      <c r="K145" s="8"/>
      <c r="L145" s="8"/>
      <c r="M145" s="8"/>
      <c r="N145" s="9" t="s">
        <v>1383</v>
      </c>
      <c r="O145" s="9" t="s">
        <v>448</v>
      </c>
      <c r="P145" s="9"/>
      <c r="Q145" s="67" t="s">
        <v>294</v>
      </c>
      <c r="R145" s="67" t="s">
        <v>295</v>
      </c>
      <c r="S145" s="67" t="s">
        <v>1041</v>
      </c>
      <c r="T145" s="8"/>
      <c r="U145" s="8"/>
      <c r="V145" s="8"/>
      <c r="W145" s="8"/>
      <c r="X145" s="8"/>
      <c r="Y145" s="8"/>
    </row>
    <row r="146" spans="1:25" x14ac:dyDescent="0.2">
      <c r="A146" s="8"/>
      <c r="B146" s="8"/>
      <c r="C146" s="8"/>
      <c r="D146" s="8"/>
      <c r="E146" s="8"/>
      <c r="F146" s="8"/>
      <c r="G146" s="8"/>
      <c r="H146" s="8"/>
      <c r="I146" s="8"/>
      <c r="J146" s="8"/>
      <c r="K146" s="8"/>
      <c r="L146" s="8"/>
      <c r="M146" s="8"/>
      <c r="N146" s="9" t="s">
        <v>1384</v>
      </c>
      <c r="O146" s="9" t="s">
        <v>485</v>
      </c>
      <c r="P146" s="9"/>
      <c r="Q146" s="67" t="s">
        <v>294</v>
      </c>
      <c r="R146" s="67" t="s">
        <v>1044</v>
      </c>
      <c r="S146" s="67" t="s">
        <v>442</v>
      </c>
      <c r="T146" s="8"/>
      <c r="U146" s="8"/>
      <c r="V146" s="8"/>
      <c r="W146" s="8"/>
      <c r="X146" s="8"/>
      <c r="Y146" s="8"/>
    </row>
    <row r="147" spans="1:25" x14ac:dyDescent="0.2">
      <c r="A147" s="8"/>
      <c r="B147" s="8"/>
      <c r="C147" s="8"/>
      <c r="D147" s="8"/>
      <c r="E147" s="8"/>
      <c r="F147" s="8"/>
      <c r="G147" s="8"/>
      <c r="H147" s="8"/>
      <c r="I147" s="8"/>
      <c r="J147" s="8"/>
      <c r="K147" s="8"/>
      <c r="L147" s="8"/>
      <c r="M147" s="8"/>
      <c r="N147" s="9" t="s">
        <v>1385</v>
      </c>
      <c r="O147" s="9"/>
      <c r="P147" s="9"/>
      <c r="Q147" s="67" t="s">
        <v>294</v>
      </c>
      <c r="R147" s="67" t="s">
        <v>1042</v>
      </c>
      <c r="S147" s="67" t="s">
        <v>1043</v>
      </c>
      <c r="T147" s="8"/>
      <c r="U147" s="8"/>
      <c r="V147" s="8"/>
      <c r="W147" s="8"/>
      <c r="X147" s="8"/>
      <c r="Y147" s="8"/>
    </row>
    <row r="148" spans="1:25" x14ac:dyDescent="0.2">
      <c r="A148" s="8"/>
      <c r="B148" s="8"/>
      <c r="C148" s="8"/>
      <c r="D148" s="8"/>
      <c r="E148" s="8"/>
      <c r="F148" s="8"/>
      <c r="G148" s="8"/>
      <c r="H148" s="8"/>
      <c r="I148" s="8"/>
      <c r="J148" s="8"/>
      <c r="K148" s="8"/>
      <c r="L148" s="8"/>
      <c r="M148" s="8"/>
      <c r="N148" s="9" t="s">
        <v>286</v>
      </c>
      <c r="O148" s="9" t="s">
        <v>467</v>
      </c>
      <c r="P148" s="9"/>
      <c r="Q148" s="67" t="s">
        <v>1129</v>
      </c>
      <c r="R148" s="67" t="s">
        <v>1042</v>
      </c>
      <c r="S148" s="67" t="s">
        <v>1043</v>
      </c>
      <c r="T148" s="8"/>
      <c r="U148" s="8"/>
      <c r="V148" s="8"/>
      <c r="W148" s="8"/>
      <c r="X148" s="8"/>
      <c r="Y148" s="8"/>
    </row>
    <row r="149" spans="1:25" x14ac:dyDescent="0.2">
      <c r="A149" s="8"/>
      <c r="B149" s="8"/>
      <c r="C149" s="8"/>
      <c r="D149" s="8"/>
      <c r="E149" s="8"/>
      <c r="F149" s="8"/>
      <c r="G149" s="8"/>
      <c r="H149" s="8"/>
      <c r="I149" s="8"/>
      <c r="J149" s="8"/>
      <c r="K149" s="8"/>
      <c r="L149" s="8"/>
      <c r="M149" s="8"/>
      <c r="N149" s="9" t="s">
        <v>325</v>
      </c>
      <c r="O149" s="9" t="s">
        <v>506</v>
      </c>
      <c r="P149" s="9"/>
      <c r="Q149" s="67" t="s">
        <v>298</v>
      </c>
      <c r="R149" s="67" t="s">
        <v>1048</v>
      </c>
      <c r="S149" s="67" t="s">
        <v>1005</v>
      </c>
      <c r="T149" s="8"/>
      <c r="U149" s="8"/>
      <c r="V149" s="8"/>
      <c r="W149" s="8"/>
      <c r="X149" s="8"/>
      <c r="Y149" s="8"/>
    </row>
    <row r="150" spans="1:25" x14ac:dyDescent="0.2">
      <c r="A150" s="8"/>
      <c r="B150" s="8"/>
      <c r="C150" s="8"/>
      <c r="D150" s="8"/>
      <c r="E150" s="8"/>
      <c r="F150" s="8"/>
      <c r="G150" s="8"/>
      <c r="H150" s="8"/>
      <c r="I150" s="8"/>
      <c r="J150" s="8"/>
      <c r="K150" s="8"/>
      <c r="L150" s="8"/>
      <c r="M150" s="8"/>
      <c r="N150" s="9" t="s">
        <v>1386</v>
      </c>
      <c r="O150" s="9" t="s">
        <v>401</v>
      </c>
      <c r="P150" s="9"/>
      <c r="Q150" s="67" t="s">
        <v>298</v>
      </c>
      <c r="R150" s="67" t="s">
        <v>1045</v>
      </c>
      <c r="S150" s="67" t="s">
        <v>938</v>
      </c>
      <c r="T150" s="8"/>
      <c r="U150" s="8"/>
      <c r="V150" s="8"/>
      <c r="W150" s="8"/>
      <c r="X150" s="8"/>
      <c r="Y150" s="8"/>
    </row>
    <row r="151" spans="1:25" x14ac:dyDescent="0.2">
      <c r="A151" s="8"/>
      <c r="B151" s="8"/>
      <c r="C151" s="8"/>
      <c r="D151" s="8"/>
      <c r="E151" s="8"/>
      <c r="F151" s="8"/>
      <c r="G151" s="8"/>
      <c r="H151" s="8"/>
      <c r="I151" s="8"/>
      <c r="J151" s="8"/>
      <c r="K151" s="8"/>
      <c r="L151" s="8"/>
      <c r="M151" s="8"/>
      <c r="N151" s="9" t="s">
        <v>1387</v>
      </c>
      <c r="O151" s="9" t="s">
        <v>402</v>
      </c>
      <c r="P151" s="9"/>
      <c r="Q151" s="67" t="s">
        <v>298</v>
      </c>
      <c r="R151" s="67" t="s">
        <v>1049</v>
      </c>
      <c r="S151" s="67" t="s">
        <v>959</v>
      </c>
      <c r="T151" s="8"/>
      <c r="U151" s="8"/>
      <c r="V151" s="8"/>
      <c r="W151" s="8"/>
      <c r="X151" s="8"/>
      <c r="Y151" s="8"/>
    </row>
    <row r="152" spans="1:25" x14ac:dyDescent="0.2">
      <c r="A152" s="8"/>
      <c r="B152" s="8"/>
      <c r="C152" s="8"/>
      <c r="D152" s="8"/>
      <c r="E152" s="8"/>
      <c r="F152" s="8"/>
      <c r="G152" s="8"/>
      <c r="H152" s="8"/>
      <c r="I152" s="8"/>
      <c r="J152" s="8"/>
      <c r="K152" s="8"/>
      <c r="L152" s="8"/>
      <c r="M152" s="8"/>
      <c r="N152" s="9" t="s">
        <v>1388</v>
      </c>
      <c r="O152" s="9"/>
      <c r="P152" s="9"/>
      <c r="Q152" s="67" t="s">
        <v>298</v>
      </c>
      <c r="R152" s="67" t="s">
        <v>1046</v>
      </c>
      <c r="S152" s="67" t="s">
        <v>1047</v>
      </c>
      <c r="T152" s="8"/>
      <c r="U152" s="8"/>
      <c r="V152" s="8"/>
      <c r="W152" s="8"/>
      <c r="X152" s="8"/>
      <c r="Y152" s="8"/>
    </row>
    <row r="153" spans="1:25" x14ac:dyDescent="0.2">
      <c r="A153" s="8"/>
      <c r="B153" s="8"/>
      <c r="C153" s="8"/>
      <c r="D153" s="8"/>
      <c r="E153" s="8"/>
      <c r="F153" s="8"/>
      <c r="G153" s="8"/>
      <c r="H153" s="8"/>
      <c r="I153" s="8"/>
      <c r="J153" s="8"/>
      <c r="K153" s="8"/>
      <c r="L153" s="8"/>
      <c r="M153" s="8"/>
      <c r="N153" s="8" t="s">
        <v>1389</v>
      </c>
      <c r="O153" s="8"/>
      <c r="P153" s="8"/>
      <c r="Q153" s="67" t="s">
        <v>299</v>
      </c>
      <c r="R153" s="67" t="s">
        <v>300</v>
      </c>
      <c r="S153" s="67" t="s">
        <v>1219</v>
      </c>
      <c r="T153" s="8"/>
      <c r="U153" s="8"/>
      <c r="V153" s="8"/>
      <c r="W153" s="8"/>
      <c r="X153" s="8"/>
      <c r="Y153" s="8"/>
    </row>
    <row r="154" spans="1:25" x14ac:dyDescent="0.2">
      <c r="A154" s="8"/>
      <c r="B154" s="8"/>
      <c r="C154" s="8"/>
      <c r="D154" s="8"/>
      <c r="E154" s="8"/>
      <c r="F154" s="8"/>
      <c r="G154" s="8"/>
      <c r="H154" s="8"/>
      <c r="I154" s="8"/>
      <c r="J154" s="8"/>
      <c r="K154" s="8"/>
      <c r="L154" s="8"/>
      <c r="M154" s="8"/>
      <c r="N154" s="10" t="s">
        <v>2720</v>
      </c>
      <c r="O154" s="10" t="s">
        <v>2721</v>
      </c>
      <c r="P154" s="8"/>
      <c r="Q154" s="67" t="s">
        <v>299</v>
      </c>
      <c r="R154" s="67" t="s">
        <v>1052</v>
      </c>
      <c r="S154" s="67" t="s">
        <v>1053</v>
      </c>
      <c r="T154" s="8"/>
      <c r="U154" s="8"/>
      <c r="V154" s="8"/>
      <c r="W154" s="8"/>
      <c r="X154" s="8"/>
      <c r="Y154" s="8"/>
    </row>
    <row r="155" spans="1:25" x14ac:dyDescent="0.2">
      <c r="A155" s="8"/>
      <c r="B155" s="8"/>
      <c r="C155" s="8"/>
      <c r="D155" s="8"/>
      <c r="E155" s="8"/>
      <c r="F155" s="8"/>
      <c r="G155" s="8"/>
      <c r="H155" s="8"/>
      <c r="I155" s="8"/>
      <c r="J155" s="8"/>
      <c r="K155" s="8"/>
      <c r="L155" s="8"/>
      <c r="M155" s="8"/>
      <c r="N155" s="8" t="s">
        <v>1390</v>
      </c>
      <c r="O155" s="8"/>
      <c r="P155" s="8"/>
      <c r="Q155" s="67" t="s">
        <v>299</v>
      </c>
      <c r="R155" s="67" t="s">
        <v>1050</v>
      </c>
      <c r="S155" s="67" t="s">
        <v>1051</v>
      </c>
      <c r="T155" s="8"/>
      <c r="U155" s="8"/>
      <c r="V155" s="8"/>
      <c r="W155" s="8"/>
      <c r="X155" s="8"/>
      <c r="Y155" s="8"/>
    </row>
    <row r="156" spans="1:25" x14ac:dyDescent="0.2">
      <c r="A156" s="8"/>
      <c r="B156" s="8"/>
      <c r="C156" s="8"/>
      <c r="D156" s="8"/>
      <c r="E156" s="8"/>
      <c r="F156" s="8"/>
      <c r="G156" s="8"/>
      <c r="H156" s="8"/>
      <c r="I156" s="8"/>
      <c r="J156" s="8"/>
      <c r="K156" s="8"/>
      <c r="L156" s="8"/>
      <c r="M156" s="8"/>
      <c r="N156" s="8" t="s">
        <v>1391</v>
      </c>
      <c r="O156" s="8"/>
      <c r="P156" s="8"/>
      <c r="Q156" s="67" t="s">
        <v>303</v>
      </c>
      <c r="R156" s="67" t="s">
        <v>304</v>
      </c>
      <c r="S156" s="67" t="s">
        <v>442</v>
      </c>
      <c r="T156" s="8"/>
      <c r="U156" s="8"/>
      <c r="V156" s="8"/>
      <c r="W156" s="8"/>
      <c r="X156" s="8"/>
      <c r="Y156" s="8"/>
    </row>
    <row r="157" spans="1:25" x14ac:dyDescent="0.2">
      <c r="A157" s="8"/>
      <c r="B157" s="8"/>
      <c r="C157" s="8"/>
      <c r="D157" s="8"/>
      <c r="E157" s="8"/>
      <c r="F157" s="8"/>
      <c r="G157" s="8"/>
      <c r="H157" s="8"/>
      <c r="I157" s="8"/>
      <c r="J157" s="8"/>
      <c r="K157" s="8"/>
      <c r="L157" s="8"/>
      <c r="M157" s="8"/>
      <c r="N157" s="8" t="s">
        <v>1392</v>
      </c>
      <c r="O157" s="8" t="s">
        <v>407</v>
      </c>
      <c r="P157" s="8"/>
      <c r="Q157" s="67" t="s">
        <v>306</v>
      </c>
      <c r="R157" s="67" t="s">
        <v>307</v>
      </c>
      <c r="S157" s="67" t="s">
        <v>1219</v>
      </c>
      <c r="T157" s="8"/>
      <c r="U157" s="8"/>
      <c r="V157" s="8"/>
      <c r="W157" s="8"/>
      <c r="X157" s="8"/>
      <c r="Y157" s="8"/>
    </row>
    <row r="158" spans="1:25" x14ac:dyDescent="0.2">
      <c r="A158" s="8"/>
      <c r="B158" s="8"/>
      <c r="C158" s="8"/>
      <c r="D158" s="8"/>
      <c r="E158" s="8"/>
      <c r="F158" s="8"/>
      <c r="G158" s="8"/>
      <c r="H158" s="8"/>
      <c r="I158" s="8"/>
      <c r="J158" s="8"/>
      <c r="K158" s="8"/>
      <c r="L158" s="8"/>
      <c r="M158" s="8"/>
      <c r="N158" s="8" t="s">
        <v>1393</v>
      </c>
      <c r="O158" s="8" t="s">
        <v>404</v>
      </c>
      <c r="P158" s="8"/>
      <c r="Q158" s="67" t="s">
        <v>306</v>
      </c>
      <c r="R158" s="67" t="s">
        <v>309</v>
      </c>
      <c r="S158" s="67" t="s">
        <v>1054</v>
      </c>
      <c r="T158" s="8"/>
      <c r="U158" s="8"/>
      <c r="V158" s="8"/>
      <c r="W158" s="8"/>
      <c r="X158" s="8"/>
      <c r="Y158" s="8"/>
    </row>
    <row r="159" spans="1:25" x14ac:dyDescent="0.2">
      <c r="A159" s="8"/>
      <c r="B159" s="8"/>
      <c r="C159" s="8"/>
      <c r="D159" s="8"/>
      <c r="E159" s="8"/>
      <c r="F159" s="8"/>
      <c r="G159" s="8"/>
      <c r="H159" s="8"/>
      <c r="I159" s="8"/>
      <c r="J159" s="8"/>
      <c r="K159" s="8"/>
      <c r="L159" s="8"/>
      <c r="M159" s="8"/>
      <c r="N159" s="8" t="s">
        <v>1394</v>
      </c>
      <c r="O159" s="8" t="s">
        <v>1115</v>
      </c>
      <c r="P159" s="8"/>
      <c r="Q159" s="67" t="s">
        <v>306</v>
      </c>
      <c r="R159" s="67" t="s">
        <v>1258</v>
      </c>
      <c r="S159" s="67" t="s">
        <v>1247</v>
      </c>
      <c r="T159" s="8"/>
      <c r="U159" s="8"/>
      <c r="V159" s="8"/>
      <c r="W159" s="8"/>
      <c r="X159" s="8"/>
      <c r="Y159" s="8"/>
    </row>
    <row r="160" spans="1:25" x14ac:dyDescent="0.2">
      <c r="A160" s="8"/>
      <c r="B160" s="8"/>
      <c r="C160" s="8"/>
      <c r="D160" s="8"/>
      <c r="E160" s="8"/>
      <c r="F160" s="8"/>
      <c r="G160" s="8"/>
      <c r="H160" s="8"/>
      <c r="I160" s="8"/>
      <c r="J160" s="8"/>
      <c r="K160" s="8"/>
      <c r="L160" s="8"/>
      <c r="M160" s="8"/>
      <c r="N160" s="8" t="s">
        <v>1395</v>
      </c>
      <c r="O160" s="8" t="s">
        <v>399</v>
      </c>
      <c r="P160" s="8"/>
      <c r="Q160" s="67" t="s">
        <v>311</v>
      </c>
      <c r="R160" s="67" t="s">
        <v>312</v>
      </c>
      <c r="S160" s="67" t="s">
        <v>1219</v>
      </c>
      <c r="T160" s="8"/>
      <c r="U160" s="8"/>
      <c r="V160" s="8"/>
      <c r="W160" s="8"/>
      <c r="X160" s="8"/>
      <c r="Y160" s="8"/>
    </row>
    <row r="161" spans="1:25" x14ac:dyDescent="0.2">
      <c r="A161" s="8"/>
      <c r="B161" s="8"/>
      <c r="C161" s="8"/>
      <c r="D161" s="8"/>
      <c r="E161" s="8"/>
      <c r="F161" s="8"/>
      <c r="G161" s="8"/>
      <c r="H161" s="8"/>
      <c r="I161" s="8"/>
      <c r="J161" s="8"/>
      <c r="K161" s="8"/>
      <c r="L161" s="8"/>
      <c r="M161" s="8"/>
      <c r="N161" s="8" t="s">
        <v>1396</v>
      </c>
      <c r="O161" s="8" t="s">
        <v>1287</v>
      </c>
      <c r="P161" s="8"/>
      <c r="Q161" s="67" t="s">
        <v>311</v>
      </c>
      <c r="R161" s="67" t="s">
        <v>1055</v>
      </c>
      <c r="S161" s="67" t="s">
        <v>314</v>
      </c>
      <c r="T161" s="8"/>
      <c r="U161" s="8"/>
      <c r="V161" s="8"/>
      <c r="W161" s="8"/>
      <c r="X161" s="8"/>
      <c r="Y161" s="8"/>
    </row>
    <row r="162" spans="1:25" x14ac:dyDescent="0.2">
      <c r="A162" s="8"/>
      <c r="B162" s="8"/>
      <c r="C162" s="8"/>
      <c r="D162" s="8"/>
      <c r="E162" s="8"/>
      <c r="F162" s="8"/>
      <c r="G162" s="8"/>
      <c r="H162" s="8"/>
      <c r="I162" s="8"/>
      <c r="J162" s="8"/>
      <c r="K162" s="8"/>
      <c r="L162" s="8"/>
      <c r="M162" s="8"/>
      <c r="N162" s="8" t="s">
        <v>1397</v>
      </c>
      <c r="O162" s="8"/>
      <c r="P162" s="8"/>
      <c r="Q162" s="67" t="s">
        <v>311</v>
      </c>
      <c r="R162" s="67" t="s">
        <v>1056</v>
      </c>
      <c r="S162" s="67" t="s">
        <v>442</v>
      </c>
      <c r="T162" s="8"/>
      <c r="U162" s="8"/>
      <c r="V162" s="8"/>
      <c r="W162" s="8"/>
      <c r="X162" s="8"/>
      <c r="Y162" s="8"/>
    </row>
    <row r="163" spans="1:25" x14ac:dyDescent="0.2">
      <c r="A163" s="8"/>
      <c r="B163" s="8"/>
      <c r="C163" s="8"/>
      <c r="D163" s="8"/>
      <c r="E163" s="8"/>
      <c r="F163" s="8"/>
      <c r="G163" s="8"/>
      <c r="H163" s="8"/>
      <c r="I163" s="8"/>
      <c r="J163" s="8"/>
      <c r="K163" s="8"/>
      <c r="L163" s="8"/>
      <c r="M163" s="8"/>
      <c r="N163" s="8" t="s">
        <v>1398</v>
      </c>
      <c r="O163" s="8"/>
      <c r="P163" s="8"/>
      <c r="Q163" s="67" t="s">
        <v>316</v>
      </c>
      <c r="R163" s="67" t="s">
        <v>1058</v>
      </c>
      <c r="S163" s="67" t="s">
        <v>932</v>
      </c>
      <c r="T163" s="8"/>
      <c r="U163" s="8"/>
      <c r="V163" s="8"/>
      <c r="W163" s="8"/>
      <c r="X163" s="8"/>
      <c r="Y163" s="8"/>
    </row>
    <row r="164" spans="1:25" x14ac:dyDescent="0.2">
      <c r="A164" s="8"/>
      <c r="B164" s="8"/>
      <c r="C164" s="8"/>
      <c r="D164" s="8"/>
      <c r="E164" s="8"/>
      <c r="F164" s="8"/>
      <c r="G164" s="8"/>
      <c r="H164" s="8"/>
      <c r="I164" s="8"/>
      <c r="J164" s="8"/>
      <c r="K164" s="8"/>
      <c r="L164" s="8"/>
      <c r="M164" s="8"/>
      <c r="N164" s="8" t="s">
        <v>1399</v>
      </c>
      <c r="O164" s="8"/>
      <c r="P164" s="8"/>
      <c r="Q164" s="67" t="s">
        <v>316</v>
      </c>
      <c r="R164" s="67" t="s">
        <v>318</v>
      </c>
      <c r="S164" s="67" t="s">
        <v>1259</v>
      </c>
      <c r="T164" s="8"/>
      <c r="U164" s="8"/>
      <c r="V164" s="8"/>
      <c r="W164" s="8"/>
      <c r="X164" s="8"/>
      <c r="Y164" s="8"/>
    </row>
    <row r="165" spans="1:25" x14ac:dyDescent="0.2">
      <c r="A165" s="8"/>
      <c r="B165" s="8"/>
      <c r="C165" s="8"/>
      <c r="D165" s="8"/>
      <c r="E165" s="8"/>
      <c r="F165" s="8"/>
      <c r="G165" s="8"/>
      <c r="H165" s="8"/>
      <c r="I165" s="8"/>
      <c r="J165" s="8"/>
      <c r="K165" s="8"/>
      <c r="L165" s="8"/>
      <c r="M165" s="8"/>
      <c r="N165" s="8" t="s">
        <v>1400</v>
      </c>
      <c r="O165" s="8"/>
      <c r="P165" s="8"/>
      <c r="Q165" s="67" t="s">
        <v>316</v>
      </c>
      <c r="R165" s="67" t="s">
        <v>320</v>
      </c>
      <c r="S165" s="67" t="s">
        <v>1061</v>
      </c>
      <c r="T165" s="8"/>
      <c r="U165" s="8"/>
      <c r="V165" s="8"/>
      <c r="W165" s="8"/>
      <c r="X165" s="8"/>
      <c r="Y165" s="8"/>
    </row>
    <row r="166" spans="1:25" x14ac:dyDescent="0.2">
      <c r="A166" s="8"/>
      <c r="B166" s="8"/>
      <c r="C166" s="8"/>
      <c r="D166" s="8"/>
      <c r="E166" s="8"/>
      <c r="F166" s="8"/>
      <c r="G166" s="8"/>
      <c r="H166" s="8"/>
      <c r="I166" s="8"/>
      <c r="J166" s="8"/>
      <c r="K166" s="8"/>
      <c r="L166" s="8"/>
      <c r="M166" s="8"/>
      <c r="N166" s="8" t="s">
        <v>1401</v>
      </c>
      <c r="O166" s="8"/>
      <c r="P166" s="8"/>
      <c r="Q166" s="67" t="s">
        <v>316</v>
      </c>
      <c r="R166" s="67" t="s">
        <v>322</v>
      </c>
      <c r="S166" s="67" t="s">
        <v>1062</v>
      </c>
      <c r="T166" s="8"/>
      <c r="U166" s="8"/>
      <c r="V166" s="8"/>
      <c r="W166" s="8"/>
      <c r="X166" s="8"/>
      <c r="Y166" s="8"/>
    </row>
    <row r="167" spans="1:25" x14ac:dyDescent="0.2">
      <c r="A167" s="8"/>
      <c r="B167" s="8"/>
      <c r="C167" s="8"/>
      <c r="D167" s="8"/>
      <c r="E167" s="8"/>
      <c r="F167" s="8"/>
      <c r="G167" s="8"/>
      <c r="H167" s="8"/>
      <c r="I167" s="8"/>
      <c r="J167" s="8"/>
      <c r="K167" s="8"/>
      <c r="L167" s="8"/>
      <c r="M167" s="8"/>
      <c r="N167" s="8" t="s">
        <v>1402</v>
      </c>
      <c r="O167" s="8"/>
      <c r="P167" s="8"/>
      <c r="Q167" s="67" t="s">
        <v>316</v>
      </c>
      <c r="R167" s="67" t="s">
        <v>1260</v>
      </c>
      <c r="S167" s="67" t="s">
        <v>1261</v>
      </c>
      <c r="T167" s="8"/>
      <c r="U167" s="8"/>
      <c r="V167" s="8"/>
      <c r="W167" s="8"/>
      <c r="X167" s="8"/>
      <c r="Y167" s="8"/>
    </row>
    <row r="168" spans="1:25" x14ac:dyDescent="0.2">
      <c r="A168" s="8"/>
      <c r="B168" s="8"/>
      <c r="C168" s="8"/>
      <c r="D168" s="8"/>
      <c r="E168" s="8"/>
      <c r="F168" s="8"/>
      <c r="G168" s="8"/>
      <c r="H168" s="8"/>
      <c r="I168" s="8"/>
      <c r="J168" s="8"/>
      <c r="K168" s="8"/>
      <c r="L168" s="8"/>
      <c r="M168" s="8"/>
      <c r="N168" s="8" t="s">
        <v>1403</v>
      </c>
      <c r="O168" s="8" t="s">
        <v>1126</v>
      </c>
      <c r="P168" s="8"/>
      <c r="Q168" s="67" t="s">
        <v>316</v>
      </c>
      <c r="R168" s="67" t="s">
        <v>1063</v>
      </c>
      <c r="S168" s="67" t="s">
        <v>1064</v>
      </c>
      <c r="T168" s="8"/>
      <c r="U168" s="8"/>
      <c r="V168" s="8"/>
      <c r="W168" s="8"/>
      <c r="X168" s="8"/>
      <c r="Y168" s="8"/>
    </row>
    <row r="169" spans="1:25" x14ac:dyDescent="0.2">
      <c r="A169" s="8"/>
      <c r="B169" s="8"/>
      <c r="C169" s="8"/>
      <c r="D169" s="8"/>
      <c r="E169" s="8"/>
      <c r="F169" s="8"/>
      <c r="G169" s="8"/>
      <c r="H169" s="8"/>
      <c r="I169" s="8"/>
      <c r="J169" s="8"/>
      <c r="K169" s="8"/>
      <c r="L169" s="8"/>
      <c r="M169" s="8"/>
      <c r="N169" s="8" t="s">
        <v>1404</v>
      </c>
      <c r="O169" s="8"/>
      <c r="P169" s="8"/>
      <c r="Q169" s="67" t="s">
        <v>316</v>
      </c>
      <c r="R169" s="67" t="s">
        <v>326</v>
      </c>
      <c r="S169" s="67" t="s">
        <v>327</v>
      </c>
      <c r="T169" s="8"/>
      <c r="U169" s="8"/>
      <c r="V169" s="8"/>
      <c r="W169" s="8"/>
      <c r="X169" s="8"/>
      <c r="Y169" s="8"/>
    </row>
    <row r="170" spans="1:25" x14ac:dyDescent="0.2">
      <c r="A170" s="8"/>
      <c r="B170" s="8"/>
      <c r="C170" s="8"/>
      <c r="D170" s="8"/>
      <c r="E170" s="8"/>
      <c r="F170" s="8"/>
      <c r="G170" s="8"/>
      <c r="H170" s="8"/>
      <c r="I170" s="8"/>
      <c r="J170" s="8"/>
      <c r="K170" s="8"/>
      <c r="L170" s="8"/>
      <c r="M170" s="8"/>
      <c r="N170" s="8" t="s">
        <v>1405</v>
      </c>
      <c r="O170" s="8"/>
      <c r="P170" s="8"/>
      <c r="Q170" s="67" t="s">
        <v>316</v>
      </c>
      <c r="R170" s="67" t="s">
        <v>329</v>
      </c>
      <c r="S170" s="67" t="s">
        <v>1060</v>
      </c>
      <c r="T170" s="8"/>
      <c r="U170" s="8"/>
      <c r="V170" s="8"/>
      <c r="W170" s="8"/>
      <c r="X170" s="8"/>
      <c r="Y170" s="8"/>
    </row>
    <row r="171" spans="1:25" x14ac:dyDescent="0.2">
      <c r="A171" s="8"/>
      <c r="B171" s="8"/>
      <c r="C171" s="8"/>
      <c r="D171" s="8"/>
      <c r="E171" s="8"/>
      <c r="F171" s="8"/>
      <c r="G171" s="8"/>
      <c r="H171" s="8"/>
      <c r="I171" s="8"/>
      <c r="J171" s="8"/>
      <c r="K171" s="8"/>
      <c r="L171" s="8"/>
      <c r="M171" s="8"/>
      <c r="N171" s="8" t="s">
        <v>1406</v>
      </c>
      <c r="O171" s="8"/>
      <c r="P171" s="8"/>
      <c r="Q171" s="67" t="s">
        <v>316</v>
      </c>
      <c r="R171" s="67" t="s">
        <v>1057</v>
      </c>
      <c r="S171" s="67" t="s">
        <v>958</v>
      </c>
      <c r="T171" s="8"/>
      <c r="U171" s="8"/>
      <c r="V171" s="8"/>
      <c r="W171" s="8"/>
      <c r="X171" s="8"/>
      <c r="Y171" s="8"/>
    </row>
    <row r="172" spans="1:25" x14ac:dyDescent="0.2">
      <c r="A172" s="8"/>
      <c r="B172" s="8"/>
      <c r="C172" s="8"/>
      <c r="D172" s="8"/>
      <c r="E172" s="8"/>
      <c r="F172" s="8"/>
      <c r="G172" s="8"/>
      <c r="H172" s="8"/>
      <c r="I172" s="8"/>
      <c r="J172" s="8"/>
      <c r="K172" s="8"/>
      <c r="L172" s="8"/>
      <c r="M172" s="8"/>
      <c r="N172" s="8" t="s">
        <v>1407</v>
      </c>
      <c r="O172" s="8"/>
      <c r="P172" s="8"/>
      <c r="Q172" s="67" t="s">
        <v>316</v>
      </c>
      <c r="R172" s="67" t="s">
        <v>1059</v>
      </c>
      <c r="S172" s="67" t="s">
        <v>332</v>
      </c>
      <c r="T172" s="8"/>
      <c r="U172" s="8"/>
      <c r="V172" s="8"/>
      <c r="W172" s="8"/>
      <c r="X172" s="8"/>
      <c r="Y172" s="8"/>
    </row>
    <row r="173" spans="1:25" x14ac:dyDescent="0.2">
      <c r="A173" s="8"/>
      <c r="B173" s="8"/>
      <c r="C173" s="8"/>
      <c r="D173" s="8"/>
      <c r="E173" s="8"/>
      <c r="F173" s="8"/>
      <c r="G173" s="8"/>
      <c r="H173" s="8"/>
      <c r="I173" s="8"/>
      <c r="J173" s="8"/>
      <c r="K173" s="8"/>
      <c r="L173" s="8"/>
      <c r="M173" s="8"/>
      <c r="N173" s="8" t="s">
        <v>1408</v>
      </c>
      <c r="O173" s="8" t="s">
        <v>406</v>
      </c>
      <c r="P173" s="8"/>
      <c r="Q173" s="67" t="s">
        <v>334</v>
      </c>
      <c r="R173" s="67" t="s">
        <v>1069</v>
      </c>
      <c r="S173" s="67" t="s">
        <v>442</v>
      </c>
      <c r="T173" s="8"/>
      <c r="U173" s="8"/>
      <c r="V173" s="8"/>
      <c r="W173" s="8"/>
      <c r="X173" s="8"/>
      <c r="Y173" s="8"/>
    </row>
    <row r="174" spans="1:25" x14ac:dyDescent="0.2">
      <c r="A174" s="8"/>
      <c r="B174" s="8"/>
      <c r="C174" s="8"/>
      <c r="D174" s="8"/>
      <c r="E174" s="8"/>
      <c r="F174" s="8"/>
      <c r="G174" s="8"/>
      <c r="H174" s="8"/>
      <c r="I174" s="8"/>
      <c r="J174" s="8"/>
      <c r="K174" s="8"/>
      <c r="L174" s="8"/>
      <c r="M174" s="8"/>
      <c r="N174" s="8" t="s">
        <v>1409</v>
      </c>
      <c r="O174" s="8"/>
      <c r="P174" s="8"/>
      <c r="Q174" s="67" t="s">
        <v>334</v>
      </c>
      <c r="R174" s="67" t="s">
        <v>335</v>
      </c>
      <c r="S174" s="67" t="s">
        <v>1073</v>
      </c>
      <c r="T174" s="8"/>
      <c r="U174" s="8"/>
      <c r="V174" s="8"/>
      <c r="W174" s="8"/>
      <c r="X174" s="8"/>
      <c r="Y174" s="8"/>
    </row>
    <row r="175" spans="1:25" x14ac:dyDescent="0.2">
      <c r="A175" s="8"/>
      <c r="B175" s="8"/>
      <c r="C175" s="8"/>
      <c r="D175" s="8"/>
      <c r="E175" s="8"/>
      <c r="F175" s="8"/>
      <c r="G175" s="8"/>
      <c r="H175" s="8"/>
      <c r="I175" s="8"/>
      <c r="J175" s="8"/>
      <c r="K175" s="8"/>
      <c r="L175" s="8"/>
      <c r="M175" s="8"/>
      <c r="N175" s="8" t="s">
        <v>1410</v>
      </c>
      <c r="O175" s="8" t="s">
        <v>1119</v>
      </c>
      <c r="P175" s="8"/>
      <c r="Q175" s="67" t="s">
        <v>334</v>
      </c>
      <c r="R175" s="67" t="s">
        <v>1067</v>
      </c>
      <c r="S175" s="67" t="s">
        <v>336</v>
      </c>
      <c r="T175" s="8"/>
      <c r="U175" s="8"/>
      <c r="V175" s="8"/>
      <c r="W175" s="8"/>
      <c r="X175" s="8"/>
      <c r="Y175" s="8"/>
    </row>
    <row r="176" spans="1:25" x14ac:dyDescent="0.2">
      <c r="A176" s="8"/>
      <c r="B176" s="8"/>
      <c r="C176" s="8"/>
      <c r="D176" s="8"/>
      <c r="E176" s="8"/>
      <c r="F176" s="8"/>
      <c r="G176" s="8"/>
      <c r="H176" s="8"/>
      <c r="I176" s="8"/>
      <c r="J176" s="8"/>
      <c r="K176" s="8"/>
      <c r="L176" s="8"/>
      <c r="M176" s="8"/>
      <c r="N176" s="8" t="s">
        <v>1411</v>
      </c>
      <c r="O176" s="8"/>
      <c r="P176" s="8"/>
      <c r="Q176" s="67" t="s">
        <v>334</v>
      </c>
      <c r="R176" s="67" t="s">
        <v>337</v>
      </c>
      <c r="S176" s="67" t="s">
        <v>1065</v>
      </c>
      <c r="T176" s="8"/>
      <c r="U176" s="8"/>
      <c r="V176" s="8"/>
      <c r="W176" s="8"/>
      <c r="X176" s="8"/>
      <c r="Y176" s="8"/>
    </row>
    <row r="177" spans="1:25" x14ac:dyDescent="0.2">
      <c r="A177" s="8"/>
      <c r="B177" s="8"/>
      <c r="C177" s="8"/>
      <c r="D177" s="8"/>
      <c r="E177" s="8"/>
      <c r="F177" s="8"/>
      <c r="G177" s="8"/>
      <c r="H177" s="8"/>
      <c r="I177" s="8"/>
      <c r="J177" s="8"/>
      <c r="K177" s="8"/>
      <c r="L177" s="8"/>
      <c r="M177" s="8"/>
      <c r="N177" s="8" t="s">
        <v>1412</v>
      </c>
      <c r="O177" s="8"/>
      <c r="P177" s="8"/>
      <c r="Q177" s="67" t="s">
        <v>334</v>
      </c>
      <c r="R177" s="67" t="s">
        <v>338</v>
      </c>
      <c r="S177" s="67" t="s">
        <v>1066</v>
      </c>
      <c r="T177" s="8"/>
      <c r="U177" s="8"/>
      <c r="V177" s="8"/>
      <c r="W177" s="8"/>
      <c r="X177" s="8"/>
      <c r="Y177" s="8"/>
    </row>
    <row r="178" spans="1:25" x14ac:dyDescent="0.2">
      <c r="A178" s="8"/>
      <c r="B178" s="8"/>
      <c r="C178" s="8"/>
      <c r="D178" s="8"/>
      <c r="E178" s="8"/>
      <c r="F178" s="8"/>
      <c r="G178" s="8"/>
      <c r="H178" s="8"/>
      <c r="I178" s="8"/>
      <c r="J178" s="8"/>
      <c r="K178" s="8"/>
      <c r="L178" s="8"/>
      <c r="M178" s="8"/>
      <c r="N178" s="8" t="s">
        <v>1413</v>
      </c>
      <c r="O178" s="8"/>
      <c r="P178" s="8"/>
      <c r="Q178" s="67" t="s">
        <v>334</v>
      </c>
      <c r="R178" s="67" t="s">
        <v>1068</v>
      </c>
      <c r="S178" s="67" t="s">
        <v>925</v>
      </c>
      <c r="T178" s="8"/>
      <c r="U178" s="8"/>
      <c r="V178" s="8"/>
      <c r="W178" s="8"/>
      <c r="X178" s="8"/>
      <c r="Y178" s="8"/>
    </row>
    <row r="179" spans="1:25" x14ac:dyDescent="0.2">
      <c r="A179" s="8"/>
      <c r="B179" s="8"/>
      <c r="C179" s="8"/>
      <c r="D179" s="8"/>
      <c r="E179" s="8"/>
      <c r="F179" s="8"/>
      <c r="G179" s="8"/>
      <c r="H179" s="8"/>
      <c r="I179" s="8"/>
      <c r="J179" s="8"/>
      <c r="K179" s="8"/>
      <c r="L179" s="8"/>
      <c r="M179" s="8"/>
      <c r="N179" s="8" t="s">
        <v>1414</v>
      </c>
      <c r="O179" s="8"/>
      <c r="P179" s="8"/>
      <c r="Q179" s="67" t="s">
        <v>334</v>
      </c>
      <c r="R179" s="67" t="s">
        <v>1070</v>
      </c>
      <c r="S179" s="67" t="s">
        <v>1071</v>
      </c>
      <c r="T179" s="8"/>
      <c r="U179" s="8"/>
      <c r="V179" s="8"/>
      <c r="W179" s="8"/>
      <c r="X179" s="8"/>
      <c r="Y179" s="8"/>
    </row>
    <row r="180" spans="1:25" x14ac:dyDescent="0.2">
      <c r="A180" s="8"/>
      <c r="B180" s="8"/>
      <c r="C180" s="8"/>
      <c r="D180" s="8"/>
      <c r="E180" s="8"/>
      <c r="F180" s="8"/>
      <c r="G180" s="8"/>
      <c r="H180" s="8"/>
      <c r="I180" s="8"/>
      <c r="J180" s="8"/>
      <c r="K180" s="8"/>
      <c r="L180" s="8"/>
      <c r="M180" s="8"/>
      <c r="N180" s="8" t="s">
        <v>1415</v>
      </c>
      <c r="O180" s="8"/>
      <c r="P180" s="8"/>
      <c r="Q180" s="67" t="s">
        <v>334</v>
      </c>
      <c r="R180" s="67" t="s">
        <v>339</v>
      </c>
      <c r="S180" s="67" t="s">
        <v>1262</v>
      </c>
      <c r="T180" s="8"/>
      <c r="U180" s="8"/>
      <c r="V180" s="8"/>
      <c r="W180" s="8"/>
      <c r="X180" s="8"/>
      <c r="Y180" s="8"/>
    </row>
    <row r="181" spans="1:25" x14ac:dyDescent="0.2">
      <c r="A181" s="8"/>
      <c r="B181" s="8"/>
      <c r="C181" s="8"/>
      <c r="D181" s="8"/>
      <c r="E181" s="8"/>
      <c r="F181" s="8"/>
      <c r="G181" s="8"/>
      <c r="H181" s="8"/>
      <c r="I181" s="8"/>
      <c r="J181" s="8"/>
      <c r="K181" s="8"/>
      <c r="L181" s="8"/>
      <c r="M181" s="8"/>
      <c r="N181" s="8" t="s">
        <v>1416</v>
      </c>
      <c r="O181" s="8"/>
      <c r="P181" s="8"/>
      <c r="Q181" s="67" t="s">
        <v>334</v>
      </c>
      <c r="R181" s="67" t="s">
        <v>1072</v>
      </c>
      <c r="S181" s="67" t="s">
        <v>340</v>
      </c>
      <c r="T181" s="8"/>
      <c r="U181" s="8"/>
      <c r="V181" s="8"/>
      <c r="W181" s="8"/>
      <c r="X181" s="8"/>
      <c r="Y181" s="8"/>
    </row>
    <row r="182" spans="1:25" x14ac:dyDescent="0.2">
      <c r="A182" s="8"/>
      <c r="B182" s="8"/>
      <c r="C182" s="8"/>
      <c r="D182" s="8"/>
      <c r="E182" s="8"/>
      <c r="F182" s="8"/>
      <c r="G182" s="8"/>
      <c r="H182" s="8"/>
      <c r="I182" s="8"/>
      <c r="J182" s="8"/>
      <c r="K182" s="8"/>
      <c r="L182" s="8"/>
      <c r="M182" s="8"/>
      <c r="N182" s="8" t="s">
        <v>1417</v>
      </c>
      <c r="O182" s="8" t="s">
        <v>1129</v>
      </c>
      <c r="P182" s="8"/>
      <c r="Q182" s="67" t="s">
        <v>341</v>
      </c>
      <c r="R182" s="67" t="s">
        <v>1263</v>
      </c>
      <c r="S182" s="67" t="s">
        <v>1219</v>
      </c>
      <c r="T182" s="8"/>
      <c r="U182" s="8"/>
      <c r="V182" s="8"/>
      <c r="W182" s="8"/>
      <c r="X182" s="8"/>
      <c r="Y182" s="8"/>
    </row>
    <row r="183" spans="1:25" x14ac:dyDescent="0.2">
      <c r="A183" s="8"/>
      <c r="B183" s="8"/>
      <c r="C183" s="8"/>
      <c r="D183" s="8"/>
      <c r="E183" s="8"/>
      <c r="F183" s="8"/>
      <c r="G183" s="8"/>
      <c r="H183" s="8"/>
      <c r="I183" s="8"/>
      <c r="J183" s="8"/>
      <c r="K183" s="8"/>
      <c r="L183" s="8"/>
      <c r="M183" s="8"/>
      <c r="N183" s="8" t="s">
        <v>1418</v>
      </c>
      <c r="O183" s="8"/>
      <c r="P183" s="8"/>
      <c r="Q183" s="67" t="s">
        <v>342</v>
      </c>
      <c r="R183" s="67" t="s">
        <v>343</v>
      </c>
      <c r="S183" s="67" t="s">
        <v>1219</v>
      </c>
      <c r="T183" s="8"/>
      <c r="U183" s="8"/>
      <c r="V183" s="8"/>
      <c r="W183" s="8"/>
      <c r="X183" s="8"/>
      <c r="Y183" s="8"/>
    </row>
    <row r="184" spans="1:25" x14ac:dyDescent="0.2">
      <c r="A184" s="8"/>
      <c r="B184" s="8"/>
      <c r="C184" s="8"/>
      <c r="D184" s="8"/>
      <c r="E184" s="8"/>
      <c r="F184" s="8"/>
      <c r="G184" s="8"/>
      <c r="H184" s="8"/>
      <c r="I184" s="8"/>
      <c r="J184" s="8"/>
      <c r="K184" s="8"/>
      <c r="L184" s="8"/>
      <c r="M184" s="8"/>
      <c r="N184" s="8" t="s">
        <v>1419</v>
      </c>
      <c r="O184" s="8"/>
      <c r="P184" s="8"/>
      <c r="Q184" s="67" t="s">
        <v>344</v>
      </c>
      <c r="R184" s="67" t="s">
        <v>345</v>
      </c>
      <c r="S184" s="67" t="s">
        <v>442</v>
      </c>
      <c r="T184" s="8"/>
      <c r="U184" s="8"/>
      <c r="V184" s="8"/>
      <c r="W184" s="8"/>
      <c r="X184" s="8"/>
      <c r="Y184" s="8"/>
    </row>
    <row r="185" spans="1:25" x14ac:dyDescent="0.2">
      <c r="A185" s="8"/>
      <c r="B185" s="8"/>
      <c r="C185" s="8"/>
      <c r="D185" s="8"/>
      <c r="E185" s="8"/>
      <c r="F185" s="8"/>
      <c r="G185" s="8"/>
      <c r="H185" s="8"/>
      <c r="I185" s="8"/>
      <c r="J185" s="8"/>
      <c r="K185" s="8"/>
      <c r="L185" s="8"/>
      <c r="M185" s="8"/>
      <c r="N185" s="8" t="s">
        <v>1420</v>
      </c>
      <c r="O185" s="8" t="s">
        <v>1421</v>
      </c>
      <c r="P185" s="8"/>
      <c r="Q185" s="67" t="s">
        <v>346</v>
      </c>
      <c r="R185" s="67" t="s">
        <v>347</v>
      </c>
      <c r="S185" s="67" t="s">
        <v>442</v>
      </c>
      <c r="T185" s="8"/>
      <c r="U185" s="8"/>
      <c r="V185" s="8"/>
      <c r="W185" s="8"/>
      <c r="X185" s="8"/>
      <c r="Y185" s="8"/>
    </row>
    <row r="186" spans="1:25" x14ac:dyDescent="0.2">
      <c r="A186" s="8"/>
      <c r="B186" s="8"/>
      <c r="C186" s="8"/>
      <c r="D186" s="8"/>
      <c r="E186" s="8"/>
      <c r="F186" s="8"/>
      <c r="G186" s="8"/>
      <c r="H186" s="8"/>
      <c r="I186" s="8"/>
      <c r="J186" s="8"/>
      <c r="K186" s="8"/>
      <c r="L186" s="8"/>
      <c r="M186" s="8"/>
      <c r="N186" s="8" t="s">
        <v>1422</v>
      </c>
      <c r="O186" s="8"/>
      <c r="P186" s="8"/>
      <c r="Q186" s="67" t="s">
        <v>348</v>
      </c>
      <c r="R186" s="67" t="s">
        <v>1076</v>
      </c>
      <c r="S186" s="67" t="s">
        <v>1077</v>
      </c>
      <c r="T186" s="8"/>
      <c r="U186" s="8"/>
      <c r="V186" s="8"/>
      <c r="W186" s="8"/>
      <c r="X186" s="8"/>
      <c r="Y186" s="8"/>
    </row>
    <row r="187" spans="1:25" x14ac:dyDescent="0.2">
      <c r="A187" s="8"/>
      <c r="B187" s="8"/>
      <c r="C187" s="8"/>
      <c r="D187" s="8"/>
      <c r="E187" s="8"/>
      <c r="F187" s="8"/>
      <c r="G187" s="8"/>
      <c r="H187" s="8"/>
      <c r="I187" s="8"/>
      <c r="J187" s="8"/>
      <c r="K187" s="8"/>
      <c r="L187" s="8"/>
      <c r="M187" s="8"/>
      <c r="N187" s="8" t="s">
        <v>1423</v>
      </c>
      <c r="O187" s="8"/>
      <c r="P187" s="8"/>
      <c r="Q187" s="67" t="s">
        <v>348</v>
      </c>
      <c r="R187" s="67" t="s">
        <v>1074</v>
      </c>
      <c r="S187" s="67" t="s">
        <v>1075</v>
      </c>
      <c r="T187" s="8"/>
      <c r="U187" s="8"/>
      <c r="V187" s="8"/>
      <c r="W187" s="8"/>
      <c r="X187" s="8"/>
      <c r="Y187" s="8"/>
    </row>
    <row r="188" spans="1:25" x14ac:dyDescent="0.2">
      <c r="A188" s="8"/>
      <c r="B188" s="8"/>
      <c r="C188" s="8"/>
      <c r="D188" s="8"/>
      <c r="E188" s="8"/>
      <c r="F188" s="8"/>
      <c r="G188" s="8"/>
      <c r="H188" s="8"/>
      <c r="I188" s="8"/>
      <c r="J188" s="8"/>
      <c r="K188" s="8"/>
      <c r="L188" s="8"/>
      <c r="M188" s="8"/>
      <c r="N188" s="8" t="s">
        <v>1424</v>
      </c>
      <c r="O188" s="8" t="s">
        <v>1130</v>
      </c>
      <c r="P188" s="8"/>
      <c r="Q188" s="67" t="s">
        <v>349</v>
      </c>
      <c r="R188" s="67" t="s">
        <v>350</v>
      </c>
      <c r="S188" s="67" t="s">
        <v>1264</v>
      </c>
      <c r="T188" s="8"/>
      <c r="U188" s="8"/>
      <c r="V188" s="8"/>
      <c r="W188" s="8"/>
      <c r="X188" s="8"/>
      <c r="Y188" s="8"/>
    </row>
    <row r="189" spans="1:25" x14ac:dyDescent="0.2">
      <c r="A189" s="8"/>
      <c r="B189" s="8"/>
      <c r="C189" s="8"/>
      <c r="D189" s="8"/>
      <c r="E189" s="8"/>
      <c r="F189" s="8"/>
      <c r="G189" s="8"/>
      <c r="H189" s="8"/>
      <c r="I189" s="8"/>
      <c r="J189" s="8"/>
      <c r="K189" s="8"/>
      <c r="L189" s="8"/>
      <c r="M189" s="8"/>
      <c r="N189" s="8" t="s">
        <v>1425</v>
      </c>
      <c r="O189" s="8" t="s">
        <v>1285</v>
      </c>
      <c r="P189" s="8"/>
      <c r="Q189" s="67" t="s">
        <v>349</v>
      </c>
      <c r="R189" s="67" t="s">
        <v>351</v>
      </c>
      <c r="S189" s="67" t="s">
        <v>1081</v>
      </c>
      <c r="T189" s="8"/>
      <c r="U189" s="8"/>
      <c r="V189" s="8"/>
      <c r="W189" s="8"/>
      <c r="X189" s="8"/>
      <c r="Y189" s="8"/>
    </row>
    <row r="190" spans="1:25" x14ac:dyDescent="0.2">
      <c r="A190" s="8"/>
      <c r="B190" s="8"/>
      <c r="C190" s="8"/>
      <c r="D190" s="8"/>
      <c r="E190" s="8"/>
      <c r="F190" s="8"/>
      <c r="G190" s="8"/>
      <c r="H190" s="8"/>
      <c r="I190" s="8"/>
      <c r="J190" s="8"/>
      <c r="K190" s="8"/>
      <c r="L190" s="8"/>
      <c r="M190" s="8"/>
      <c r="N190" s="8" t="s">
        <v>1426</v>
      </c>
      <c r="O190" s="8"/>
      <c r="P190" s="8"/>
      <c r="Q190" s="67" t="s">
        <v>349</v>
      </c>
      <c r="R190" s="67" t="s">
        <v>1084</v>
      </c>
      <c r="S190" s="67" t="s">
        <v>932</v>
      </c>
      <c r="T190" s="8"/>
      <c r="U190" s="8"/>
      <c r="V190" s="8"/>
      <c r="W190" s="8"/>
      <c r="X190" s="8"/>
      <c r="Y190" s="8"/>
    </row>
    <row r="191" spans="1:25" x14ac:dyDescent="0.2">
      <c r="A191" s="8"/>
      <c r="B191" s="8"/>
      <c r="C191" s="8"/>
      <c r="D191" s="8"/>
      <c r="E191" s="8"/>
      <c r="F191" s="8"/>
      <c r="G191" s="8"/>
      <c r="H191" s="8"/>
      <c r="I191" s="8"/>
      <c r="J191" s="8"/>
      <c r="K191" s="8"/>
      <c r="L191" s="8"/>
      <c r="M191" s="8"/>
      <c r="N191" s="8" t="s">
        <v>1427</v>
      </c>
      <c r="O191" s="8"/>
      <c r="P191" s="8"/>
      <c r="Q191" s="67" t="s">
        <v>349</v>
      </c>
      <c r="R191" s="67" t="s">
        <v>1080</v>
      </c>
      <c r="S191" s="67" t="s">
        <v>968</v>
      </c>
      <c r="T191" s="8"/>
      <c r="U191" s="8"/>
      <c r="V191" s="8"/>
      <c r="W191" s="8"/>
      <c r="X191" s="8"/>
      <c r="Y191" s="8"/>
    </row>
    <row r="192" spans="1:25" x14ac:dyDescent="0.2">
      <c r="A192" s="8"/>
      <c r="B192" s="8"/>
      <c r="C192" s="8"/>
      <c r="D192" s="8"/>
      <c r="E192" s="8"/>
      <c r="F192" s="8"/>
      <c r="G192" s="8"/>
      <c r="H192" s="8"/>
      <c r="I192" s="8"/>
      <c r="J192" s="8"/>
      <c r="K192" s="8"/>
      <c r="L192" s="8"/>
      <c r="M192" s="8"/>
      <c r="N192" s="8" t="s">
        <v>1428</v>
      </c>
      <c r="O192" s="8"/>
      <c r="P192" s="8"/>
      <c r="Q192" s="67" t="s">
        <v>349</v>
      </c>
      <c r="R192" s="67" t="s">
        <v>1082</v>
      </c>
      <c r="S192" s="67" t="s">
        <v>1083</v>
      </c>
      <c r="T192" s="8"/>
      <c r="U192" s="8"/>
      <c r="V192" s="8"/>
      <c r="W192" s="8"/>
      <c r="X192" s="8"/>
      <c r="Y192" s="8"/>
    </row>
    <row r="193" spans="1:25" x14ac:dyDescent="0.2">
      <c r="A193" s="8"/>
      <c r="B193" s="8"/>
      <c r="C193" s="8"/>
      <c r="D193" s="8"/>
      <c r="E193" s="8"/>
      <c r="F193" s="8"/>
      <c r="G193" s="8"/>
      <c r="H193" s="8"/>
      <c r="I193" s="8"/>
      <c r="J193" s="8"/>
      <c r="K193" s="8"/>
      <c r="L193" s="8"/>
      <c r="M193" s="8"/>
      <c r="N193" s="8" t="s">
        <v>1429</v>
      </c>
      <c r="O193" s="8" t="s">
        <v>409</v>
      </c>
      <c r="P193" s="8"/>
      <c r="Q193" s="67" t="s">
        <v>349</v>
      </c>
      <c r="R193" s="67" t="s">
        <v>1078</v>
      </c>
      <c r="S193" s="67" t="s">
        <v>1079</v>
      </c>
      <c r="T193" s="8"/>
      <c r="U193" s="8"/>
      <c r="V193" s="8"/>
      <c r="W193" s="8"/>
      <c r="X193" s="8"/>
      <c r="Y193" s="8"/>
    </row>
    <row r="194" spans="1:25" x14ac:dyDescent="0.2">
      <c r="A194" s="8"/>
      <c r="B194" s="8"/>
      <c r="C194" s="8"/>
      <c r="D194" s="8"/>
      <c r="E194" s="8"/>
      <c r="F194" s="8"/>
      <c r="G194" s="8"/>
      <c r="H194" s="8"/>
      <c r="I194" s="8"/>
      <c r="J194" s="8"/>
      <c r="K194" s="8"/>
      <c r="L194" s="8"/>
      <c r="M194" s="8"/>
      <c r="N194" s="8" t="s">
        <v>1430</v>
      </c>
      <c r="O194" s="8"/>
      <c r="P194" s="8"/>
      <c r="Q194" s="67" t="s">
        <v>484</v>
      </c>
      <c r="R194" s="67" t="s">
        <v>1078</v>
      </c>
      <c r="S194" s="67" t="s">
        <v>1079</v>
      </c>
      <c r="T194" s="8"/>
      <c r="U194" s="8"/>
      <c r="V194" s="8"/>
      <c r="W194" s="8"/>
      <c r="X194" s="8"/>
      <c r="Y194" s="8"/>
    </row>
    <row r="195" spans="1:25" x14ac:dyDescent="0.2">
      <c r="A195" s="8"/>
      <c r="B195" s="8"/>
      <c r="C195" s="8"/>
      <c r="D195" s="8"/>
      <c r="E195" s="8"/>
      <c r="F195" s="8"/>
      <c r="G195" s="8"/>
      <c r="H195" s="8"/>
      <c r="I195" s="8"/>
      <c r="J195" s="8"/>
      <c r="K195" s="8"/>
      <c r="L195" s="8"/>
      <c r="M195" s="8"/>
      <c r="N195" s="8" t="s">
        <v>1431</v>
      </c>
      <c r="O195" s="8" t="s">
        <v>1124</v>
      </c>
      <c r="P195" s="8"/>
      <c r="Q195" s="67" t="s">
        <v>352</v>
      </c>
      <c r="R195" s="67" t="s">
        <v>1265</v>
      </c>
      <c r="S195" s="67" t="s">
        <v>1266</v>
      </c>
      <c r="T195" s="8"/>
      <c r="U195" s="8"/>
      <c r="V195" s="8"/>
      <c r="W195" s="8"/>
      <c r="X195" s="8"/>
      <c r="Y195" s="8"/>
    </row>
    <row r="196" spans="1:25" x14ac:dyDescent="0.2">
      <c r="A196" s="8"/>
      <c r="B196" s="8"/>
      <c r="C196" s="8"/>
      <c r="D196" s="8"/>
      <c r="E196" s="8"/>
      <c r="F196" s="8"/>
      <c r="G196" s="8"/>
      <c r="H196" s="8"/>
      <c r="I196" s="8"/>
      <c r="J196" s="8"/>
      <c r="K196" s="8"/>
      <c r="L196" s="8"/>
      <c r="M196" s="8"/>
      <c r="N196" s="8" t="s">
        <v>1432</v>
      </c>
      <c r="O196" s="8"/>
      <c r="P196" s="8"/>
      <c r="Q196" s="67" t="s">
        <v>353</v>
      </c>
      <c r="R196" s="67" t="s">
        <v>354</v>
      </c>
      <c r="S196" s="67" t="s">
        <v>442</v>
      </c>
      <c r="T196" s="8"/>
      <c r="U196" s="8"/>
      <c r="V196" s="8"/>
      <c r="W196" s="8"/>
      <c r="X196" s="8"/>
      <c r="Y196" s="8"/>
    </row>
    <row r="197" spans="1:25" x14ac:dyDescent="0.2">
      <c r="A197" s="8"/>
      <c r="B197" s="8"/>
      <c r="C197" s="8"/>
      <c r="D197" s="8"/>
      <c r="E197" s="8"/>
      <c r="F197" s="8"/>
      <c r="G197" s="8"/>
      <c r="H197" s="8"/>
      <c r="I197" s="8"/>
      <c r="J197" s="8"/>
      <c r="K197" s="8"/>
      <c r="L197" s="8"/>
      <c r="M197" s="8"/>
      <c r="N197" s="8" t="s">
        <v>1433</v>
      </c>
      <c r="O197" s="8"/>
      <c r="P197" s="8"/>
      <c r="Q197" s="67" t="s">
        <v>353</v>
      </c>
      <c r="R197" s="67" t="s">
        <v>1085</v>
      </c>
      <c r="S197" s="67" t="s">
        <v>1086</v>
      </c>
      <c r="T197" s="8"/>
      <c r="U197" s="8"/>
      <c r="V197" s="8"/>
      <c r="W197" s="8"/>
      <c r="X197" s="8"/>
      <c r="Y197" s="8"/>
    </row>
    <row r="198" spans="1:25" x14ac:dyDescent="0.2">
      <c r="A198" s="8"/>
      <c r="B198" s="8"/>
      <c r="C198" s="8"/>
      <c r="D198" s="8"/>
      <c r="E198" s="8"/>
      <c r="F198" s="8"/>
      <c r="G198" s="8"/>
      <c r="H198" s="8"/>
      <c r="I198" s="8"/>
      <c r="J198" s="8"/>
      <c r="K198" s="8"/>
      <c r="L198" s="8"/>
      <c r="M198" s="8"/>
      <c r="N198" s="8" t="s">
        <v>1434</v>
      </c>
      <c r="O198" s="8"/>
      <c r="P198" s="8"/>
      <c r="Q198" s="67" t="s">
        <v>355</v>
      </c>
      <c r="R198" s="67" t="s">
        <v>356</v>
      </c>
      <c r="S198" s="67" t="s">
        <v>1073</v>
      </c>
      <c r="T198" s="8"/>
      <c r="U198" s="8"/>
      <c r="V198" s="8"/>
      <c r="W198" s="8"/>
      <c r="X198" s="8"/>
      <c r="Y198" s="8"/>
    </row>
    <row r="199" spans="1:25" x14ac:dyDescent="0.2">
      <c r="A199" s="8"/>
      <c r="B199" s="8"/>
      <c r="C199" s="8"/>
      <c r="D199" s="8"/>
      <c r="E199" s="8"/>
      <c r="F199" s="8"/>
      <c r="G199" s="8"/>
      <c r="H199" s="8"/>
      <c r="I199" s="8"/>
      <c r="J199" s="8"/>
      <c r="K199" s="8"/>
      <c r="L199" s="8"/>
      <c r="M199" s="8"/>
      <c r="N199" s="8" t="s">
        <v>1435</v>
      </c>
      <c r="O199" s="8"/>
      <c r="P199" s="8"/>
      <c r="Q199" s="67" t="s">
        <v>355</v>
      </c>
      <c r="R199" s="67" t="s">
        <v>357</v>
      </c>
      <c r="S199" s="67" t="s">
        <v>1087</v>
      </c>
      <c r="T199" s="8"/>
      <c r="U199" s="8"/>
      <c r="V199" s="8"/>
      <c r="W199" s="8"/>
      <c r="X199" s="8"/>
      <c r="Y199" s="8"/>
    </row>
    <row r="200" spans="1:25" x14ac:dyDescent="0.2">
      <c r="A200" s="8"/>
      <c r="B200" s="8"/>
      <c r="C200" s="8"/>
      <c r="D200" s="8"/>
      <c r="E200" s="8"/>
      <c r="F200" s="8"/>
      <c r="G200" s="8"/>
      <c r="H200" s="8"/>
      <c r="I200" s="8"/>
      <c r="J200" s="8"/>
      <c r="K200" s="8"/>
      <c r="L200" s="8"/>
      <c r="M200" s="8"/>
      <c r="N200" s="8" t="s">
        <v>1436</v>
      </c>
      <c r="O200" s="8" t="s">
        <v>399</v>
      </c>
      <c r="P200" s="8"/>
      <c r="Q200" s="67" t="s">
        <v>355</v>
      </c>
      <c r="R200" s="67" t="s">
        <v>358</v>
      </c>
      <c r="S200" s="67" t="s">
        <v>359</v>
      </c>
      <c r="T200" s="8"/>
      <c r="U200" s="8"/>
      <c r="V200" s="8"/>
      <c r="W200" s="8"/>
      <c r="X200" s="8"/>
      <c r="Y200" s="8"/>
    </row>
    <row r="201" spans="1:25" x14ac:dyDescent="0.2">
      <c r="A201" s="8"/>
      <c r="B201" s="8"/>
      <c r="C201" s="8"/>
      <c r="D201" s="8"/>
      <c r="E201" s="8"/>
      <c r="F201" s="8"/>
      <c r="G201" s="8"/>
      <c r="H201" s="8"/>
      <c r="I201" s="8"/>
      <c r="J201" s="8"/>
      <c r="K201" s="8"/>
      <c r="L201" s="8"/>
      <c r="M201" s="8"/>
      <c r="N201" s="8" t="s">
        <v>1437</v>
      </c>
      <c r="O201" s="8"/>
      <c r="P201" s="8"/>
      <c r="Q201" s="67" t="s">
        <v>355</v>
      </c>
      <c r="R201" s="67" t="s">
        <v>1267</v>
      </c>
      <c r="S201" s="67" t="s">
        <v>1219</v>
      </c>
      <c r="T201" s="8"/>
      <c r="U201" s="8"/>
      <c r="V201" s="8"/>
      <c r="W201" s="8"/>
      <c r="X201" s="8"/>
      <c r="Y201" s="8"/>
    </row>
    <row r="202" spans="1:25" x14ac:dyDescent="0.2">
      <c r="A202" s="8"/>
      <c r="B202" s="8"/>
      <c r="C202" s="8"/>
      <c r="D202" s="8"/>
      <c r="E202" s="8"/>
      <c r="F202" s="8"/>
      <c r="G202" s="8"/>
      <c r="H202" s="8"/>
      <c r="I202" s="8"/>
      <c r="J202" s="8"/>
      <c r="K202" s="8"/>
      <c r="L202" s="8"/>
      <c r="M202" s="8"/>
      <c r="N202" s="8" t="s">
        <v>195</v>
      </c>
      <c r="O202" s="8" t="s">
        <v>355</v>
      </c>
      <c r="P202" s="8"/>
      <c r="Q202" s="67" t="s">
        <v>355</v>
      </c>
      <c r="R202" s="67" t="s">
        <v>360</v>
      </c>
      <c r="S202" s="67" t="s">
        <v>1268</v>
      </c>
      <c r="T202" s="8"/>
      <c r="U202" s="8"/>
      <c r="V202" s="8"/>
      <c r="W202" s="8"/>
      <c r="X202" s="8"/>
      <c r="Y202" s="8"/>
    </row>
    <row r="203" spans="1:25" x14ac:dyDescent="0.2">
      <c r="A203" s="8"/>
      <c r="B203" s="8"/>
      <c r="C203" s="8"/>
      <c r="D203" s="8"/>
      <c r="E203" s="8"/>
      <c r="F203" s="8"/>
      <c r="G203" s="8"/>
      <c r="H203" s="8"/>
      <c r="I203" s="8"/>
      <c r="J203" s="8"/>
      <c r="K203" s="8"/>
      <c r="L203" s="8"/>
      <c r="M203" s="8"/>
      <c r="N203" s="8" t="s">
        <v>1438</v>
      </c>
      <c r="O203" s="8" t="s">
        <v>448</v>
      </c>
      <c r="P203" s="8"/>
      <c r="Q203" s="67" t="s">
        <v>361</v>
      </c>
      <c r="R203" s="67" t="s">
        <v>1088</v>
      </c>
      <c r="S203" s="67" t="s">
        <v>925</v>
      </c>
      <c r="T203" s="8"/>
      <c r="U203" s="8"/>
      <c r="V203" s="8"/>
      <c r="W203" s="8"/>
      <c r="X203" s="8"/>
      <c r="Y203" s="8"/>
    </row>
    <row r="204" spans="1:25" x14ac:dyDescent="0.2">
      <c r="A204" s="8"/>
      <c r="B204" s="8"/>
      <c r="C204" s="8"/>
      <c r="D204" s="8"/>
      <c r="E204" s="8"/>
      <c r="F204" s="8"/>
      <c r="G204" s="8"/>
      <c r="H204" s="8"/>
      <c r="I204" s="8"/>
      <c r="J204" s="8"/>
      <c r="K204" s="8"/>
      <c r="L204" s="8"/>
      <c r="M204" s="8"/>
      <c r="N204" s="8" t="s">
        <v>267</v>
      </c>
      <c r="O204" s="8" t="s">
        <v>448</v>
      </c>
      <c r="P204" s="8"/>
      <c r="Q204" s="67" t="s">
        <v>362</v>
      </c>
      <c r="R204" s="67" t="s">
        <v>1090</v>
      </c>
      <c r="S204" s="67" t="s">
        <v>932</v>
      </c>
      <c r="T204" s="8"/>
      <c r="U204" s="8"/>
      <c r="V204" s="8"/>
      <c r="W204" s="8"/>
      <c r="X204" s="8"/>
      <c r="Y204" s="8"/>
    </row>
    <row r="205" spans="1:25" x14ac:dyDescent="0.2">
      <c r="A205" s="8"/>
      <c r="B205" s="8"/>
      <c r="C205" s="8"/>
      <c r="D205" s="8"/>
      <c r="E205" s="8"/>
      <c r="F205" s="8"/>
      <c r="G205" s="8"/>
      <c r="H205" s="8"/>
      <c r="I205" s="8"/>
      <c r="J205" s="8"/>
      <c r="K205" s="8"/>
      <c r="L205" s="8"/>
      <c r="M205" s="8"/>
      <c r="N205" s="8"/>
      <c r="O205" s="8"/>
      <c r="P205" s="8"/>
      <c r="Q205" s="67" t="s">
        <v>362</v>
      </c>
      <c r="R205" s="67" t="s">
        <v>363</v>
      </c>
      <c r="S205" s="67" t="s">
        <v>1089</v>
      </c>
      <c r="T205" s="8"/>
      <c r="U205" s="8"/>
      <c r="V205" s="8"/>
      <c r="W205" s="8"/>
      <c r="X205" s="8"/>
      <c r="Y205" s="8"/>
    </row>
    <row r="206" spans="1:25" x14ac:dyDescent="0.2">
      <c r="A206" s="8"/>
      <c r="B206" s="8"/>
      <c r="C206" s="8"/>
      <c r="D206" s="8"/>
      <c r="E206" s="8"/>
      <c r="F206" s="8"/>
      <c r="G206" s="8"/>
      <c r="H206" s="8"/>
      <c r="I206" s="8"/>
      <c r="J206" s="8"/>
      <c r="K206" s="8"/>
      <c r="L206" s="8"/>
      <c r="M206" s="8"/>
      <c r="N206" s="8"/>
      <c r="O206" s="8"/>
      <c r="P206" s="8"/>
      <c r="Q206" s="67" t="s">
        <v>362</v>
      </c>
      <c r="R206" s="67" t="s">
        <v>1091</v>
      </c>
      <c r="S206" s="67" t="s">
        <v>932</v>
      </c>
      <c r="T206" s="8"/>
      <c r="U206" s="8"/>
      <c r="V206" s="8"/>
      <c r="W206" s="8"/>
      <c r="X206" s="8"/>
      <c r="Y206" s="8"/>
    </row>
    <row r="207" spans="1:25" x14ac:dyDescent="0.2">
      <c r="A207" s="8"/>
      <c r="B207" s="8"/>
      <c r="C207" s="8"/>
      <c r="D207" s="8"/>
      <c r="E207" s="8"/>
      <c r="F207" s="8"/>
      <c r="G207" s="8"/>
      <c r="H207" s="8"/>
      <c r="I207" s="8"/>
      <c r="J207" s="8"/>
      <c r="K207" s="8"/>
      <c r="L207" s="8"/>
      <c r="M207" s="8"/>
      <c r="N207" s="8"/>
      <c r="O207" s="8"/>
      <c r="P207" s="8"/>
      <c r="Q207" s="67" t="s">
        <v>364</v>
      </c>
      <c r="R207" s="67" t="s">
        <v>365</v>
      </c>
      <c r="S207" s="67" t="s">
        <v>1219</v>
      </c>
      <c r="T207" s="8"/>
      <c r="U207" s="8"/>
      <c r="V207" s="8"/>
      <c r="W207" s="8"/>
      <c r="X207" s="8"/>
      <c r="Y207" s="8"/>
    </row>
    <row r="208" spans="1:25" x14ac:dyDescent="0.2">
      <c r="A208" s="8"/>
      <c r="B208" s="8"/>
      <c r="C208" s="8"/>
      <c r="D208" s="8"/>
      <c r="E208" s="8"/>
      <c r="F208" s="8"/>
      <c r="G208" s="8"/>
      <c r="H208" s="8"/>
      <c r="I208" s="8"/>
      <c r="J208" s="8"/>
      <c r="K208" s="8"/>
      <c r="L208" s="8"/>
      <c r="M208" s="8"/>
      <c r="N208" s="8"/>
      <c r="O208" s="8"/>
      <c r="P208" s="8"/>
      <c r="Q208" s="67" t="s">
        <v>364</v>
      </c>
      <c r="R208" s="67" t="s">
        <v>366</v>
      </c>
      <c r="S208" s="67" t="s">
        <v>925</v>
      </c>
      <c r="T208" s="8"/>
      <c r="U208" s="8"/>
      <c r="V208" s="8"/>
      <c r="W208" s="8"/>
      <c r="X208" s="8"/>
      <c r="Y208" s="8"/>
    </row>
    <row r="209" spans="1:25" x14ac:dyDescent="0.2">
      <c r="A209" s="8"/>
      <c r="B209" s="8"/>
      <c r="C209" s="8"/>
      <c r="D209" s="8"/>
      <c r="E209" s="8"/>
      <c r="F209" s="8"/>
      <c r="G209" s="8"/>
      <c r="H209" s="8"/>
      <c r="I209" s="8"/>
      <c r="J209" s="8"/>
      <c r="K209" s="8"/>
      <c r="L209" s="8"/>
      <c r="M209" s="8"/>
      <c r="N209" s="8"/>
      <c r="O209" s="8"/>
      <c r="P209" s="8"/>
      <c r="Q209" s="67" t="s">
        <v>364</v>
      </c>
      <c r="R209" s="67" t="s">
        <v>1269</v>
      </c>
      <c r="S209" s="67" t="s">
        <v>1270</v>
      </c>
      <c r="T209" s="8"/>
      <c r="U209" s="8"/>
      <c r="V209" s="8"/>
      <c r="W209" s="8"/>
      <c r="X209" s="8"/>
      <c r="Y209" s="8"/>
    </row>
    <row r="210" spans="1:25" x14ac:dyDescent="0.2">
      <c r="A210" s="8"/>
      <c r="B210" s="8"/>
      <c r="C210" s="8"/>
      <c r="D210" s="8"/>
      <c r="E210" s="8"/>
      <c r="F210" s="8"/>
      <c r="G210" s="8"/>
      <c r="H210" s="8"/>
      <c r="I210" s="8"/>
      <c r="J210" s="8"/>
      <c r="K210" s="8"/>
      <c r="L210" s="8"/>
      <c r="M210" s="8"/>
      <c r="N210" s="8"/>
      <c r="O210" s="8"/>
      <c r="P210" s="8"/>
      <c r="Q210" s="67" t="s">
        <v>367</v>
      </c>
      <c r="R210" s="67" t="s">
        <v>367</v>
      </c>
      <c r="S210" s="67" t="s">
        <v>368</v>
      </c>
      <c r="T210" s="8"/>
      <c r="U210" s="8"/>
      <c r="V210" s="8"/>
      <c r="W210" s="8"/>
      <c r="X210" s="8"/>
      <c r="Y210" s="8"/>
    </row>
    <row r="211" spans="1:25" x14ac:dyDescent="0.2">
      <c r="A211" s="8"/>
      <c r="B211" s="8"/>
      <c r="C211" s="8"/>
      <c r="D211" s="8"/>
      <c r="E211" s="8"/>
      <c r="F211" s="8"/>
      <c r="G211" s="8"/>
      <c r="H211" s="8"/>
      <c r="I211" s="8"/>
      <c r="J211" s="8"/>
      <c r="K211" s="8"/>
      <c r="L211" s="8"/>
      <c r="M211" s="8"/>
      <c r="N211" s="8"/>
      <c r="O211" s="8"/>
      <c r="P211" s="8"/>
      <c r="Q211" s="67" t="s">
        <v>369</v>
      </c>
      <c r="R211" s="67" t="s">
        <v>1092</v>
      </c>
      <c r="S211" s="67" t="s">
        <v>442</v>
      </c>
      <c r="T211" s="8"/>
      <c r="U211" s="8"/>
      <c r="V211" s="8"/>
      <c r="W211" s="8"/>
      <c r="X211" s="8"/>
      <c r="Y211" s="8"/>
    </row>
    <row r="212" spans="1:25" x14ac:dyDescent="0.2">
      <c r="A212" s="8"/>
      <c r="B212" s="8"/>
      <c r="C212" s="8"/>
      <c r="D212" s="8"/>
      <c r="E212" s="8"/>
      <c r="F212" s="8"/>
      <c r="G212" s="8"/>
      <c r="H212" s="8"/>
      <c r="I212" s="8"/>
      <c r="J212" s="8"/>
      <c r="K212" s="8"/>
      <c r="L212" s="8"/>
      <c r="M212" s="8"/>
      <c r="N212" s="8"/>
      <c r="O212" s="8"/>
      <c r="P212" s="8"/>
      <c r="Q212" s="67" t="s">
        <v>370</v>
      </c>
      <c r="R212" s="67" t="s">
        <v>1271</v>
      </c>
      <c r="S212" s="67" t="s">
        <v>1247</v>
      </c>
      <c r="T212" s="8"/>
      <c r="U212" s="8"/>
      <c r="V212" s="8"/>
      <c r="W212" s="8"/>
      <c r="X212" s="8"/>
      <c r="Y212" s="8"/>
    </row>
    <row r="213" spans="1:25" x14ac:dyDescent="0.2">
      <c r="A213" s="8"/>
      <c r="B213" s="8"/>
      <c r="C213" s="8"/>
      <c r="D213" s="8"/>
      <c r="E213" s="8"/>
      <c r="F213" s="8"/>
      <c r="G213" s="8"/>
      <c r="H213" s="8"/>
      <c r="I213" s="8"/>
      <c r="J213" s="8"/>
      <c r="K213" s="8"/>
      <c r="L213" s="8"/>
      <c r="M213" s="8"/>
      <c r="N213" s="8"/>
      <c r="O213" s="8"/>
      <c r="P213" s="8"/>
      <c r="Q213" s="67" t="s">
        <v>370</v>
      </c>
      <c r="R213" s="67" t="s">
        <v>1093</v>
      </c>
      <c r="S213" s="67" t="s">
        <v>938</v>
      </c>
      <c r="T213" s="8"/>
      <c r="U213" s="8"/>
      <c r="V213" s="8"/>
      <c r="W213" s="8"/>
      <c r="X213" s="8"/>
      <c r="Y213" s="8"/>
    </row>
    <row r="214" spans="1:25" x14ac:dyDescent="0.2">
      <c r="A214" s="8"/>
      <c r="B214" s="8"/>
      <c r="C214" s="8"/>
      <c r="D214" s="8"/>
      <c r="E214" s="8"/>
      <c r="F214" s="8"/>
      <c r="G214" s="8"/>
      <c r="H214" s="8"/>
      <c r="I214" s="8"/>
      <c r="J214" s="8"/>
      <c r="K214" s="8"/>
      <c r="L214" s="8"/>
      <c r="M214" s="8"/>
      <c r="N214" s="8"/>
      <c r="O214" s="8"/>
      <c r="P214" s="8"/>
      <c r="Q214" s="67" t="s">
        <v>370</v>
      </c>
      <c r="R214" s="67" t="s">
        <v>371</v>
      </c>
      <c r="S214" s="67" t="s">
        <v>1272</v>
      </c>
      <c r="T214" s="8"/>
      <c r="U214" s="8"/>
      <c r="V214" s="8"/>
      <c r="W214" s="8"/>
      <c r="X214" s="8"/>
      <c r="Y214" s="8"/>
    </row>
    <row r="215" spans="1:25" x14ac:dyDescent="0.2">
      <c r="A215" s="8"/>
      <c r="B215" s="8"/>
      <c r="C215" s="8"/>
      <c r="D215" s="8"/>
      <c r="E215" s="8"/>
      <c r="F215" s="8"/>
      <c r="G215" s="8"/>
      <c r="H215" s="8"/>
      <c r="I215" s="8"/>
      <c r="J215" s="8"/>
      <c r="K215" s="8"/>
      <c r="L215" s="8"/>
      <c r="M215" s="8"/>
      <c r="N215" s="8"/>
      <c r="O215" s="8"/>
      <c r="P215" s="8"/>
      <c r="Q215" s="67" t="s">
        <v>370</v>
      </c>
      <c r="R215" s="67" t="s">
        <v>372</v>
      </c>
      <c r="S215" s="67" t="s">
        <v>1273</v>
      </c>
      <c r="T215" s="8"/>
      <c r="U215" s="8"/>
      <c r="V215" s="8"/>
      <c r="W215" s="8"/>
      <c r="X215" s="8"/>
      <c r="Y215" s="8"/>
    </row>
    <row r="216" spans="1:25" x14ac:dyDescent="0.2">
      <c r="A216" s="8"/>
      <c r="B216" s="8"/>
      <c r="C216" s="8"/>
      <c r="D216" s="8"/>
      <c r="E216" s="8"/>
      <c r="F216" s="8"/>
      <c r="G216" s="8"/>
      <c r="H216" s="8"/>
      <c r="I216" s="8"/>
      <c r="J216" s="8"/>
      <c r="K216" s="8"/>
      <c r="L216" s="8"/>
      <c r="M216" s="8"/>
      <c r="N216" s="8"/>
      <c r="O216" s="8"/>
      <c r="P216" s="8"/>
      <c r="Q216" s="67" t="s">
        <v>370</v>
      </c>
      <c r="R216" s="67" t="s">
        <v>1274</v>
      </c>
      <c r="S216" s="67" t="s">
        <v>1275</v>
      </c>
      <c r="T216" s="8"/>
      <c r="U216" s="8"/>
      <c r="V216" s="8"/>
      <c r="W216" s="8"/>
      <c r="X216" s="8"/>
      <c r="Y216" s="8"/>
    </row>
    <row r="217" spans="1:25" x14ac:dyDescent="0.2">
      <c r="A217" s="8"/>
      <c r="B217" s="8"/>
      <c r="C217" s="8"/>
      <c r="D217" s="8"/>
      <c r="E217" s="8"/>
      <c r="F217" s="8"/>
      <c r="G217" s="8"/>
      <c r="H217" s="8"/>
      <c r="I217" s="8"/>
      <c r="J217" s="8"/>
      <c r="K217" s="8"/>
      <c r="L217" s="8"/>
      <c r="M217" s="8"/>
      <c r="N217" s="8"/>
      <c r="O217" s="8"/>
      <c r="P217" s="8"/>
      <c r="Q217" s="67" t="s">
        <v>370</v>
      </c>
      <c r="R217" s="67" t="s">
        <v>373</v>
      </c>
      <c r="S217" s="67" t="s">
        <v>1276</v>
      </c>
      <c r="T217" s="8"/>
      <c r="U217" s="8"/>
      <c r="V217" s="8"/>
      <c r="W217" s="8"/>
      <c r="X217" s="8"/>
      <c r="Y217" s="8"/>
    </row>
    <row r="218" spans="1:25" x14ac:dyDescent="0.2">
      <c r="A218" s="8"/>
      <c r="B218" s="8"/>
      <c r="C218" s="8"/>
      <c r="D218" s="8"/>
      <c r="E218" s="8"/>
      <c r="F218" s="8"/>
      <c r="G218" s="8"/>
      <c r="H218" s="8"/>
      <c r="I218" s="8"/>
      <c r="J218" s="8"/>
      <c r="K218" s="8"/>
      <c r="L218" s="8"/>
      <c r="M218" s="8"/>
      <c r="N218" s="8"/>
      <c r="O218" s="8"/>
      <c r="P218" s="8"/>
      <c r="Q218" s="67" t="s">
        <v>370</v>
      </c>
      <c r="R218" s="67" t="s">
        <v>1094</v>
      </c>
      <c r="S218" s="67" t="s">
        <v>1095</v>
      </c>
      <c r="T218" s="8"/>
      <c r="U218" s="8"/>
      <c r="V218" s="8"/>
      <c r="W218" s="8"/>
      <c r="X218" s="8"/>
      <c r="Y218" s="8"/>
    </row>
    <row r="219" spans="1:25" x14ac:dyDescent="0.2">
      <c r="A219" s="8"/>
      <c r="B219" s="8"/>
      <c r="C219" s="8"/>
      <c r="D219" s="8"/>
      <c r="E219" s="8"/>
      <c r="F219" s="8"/>
      <c r="G219" s="8"/>
      <c r="H219" s="8"/>
      <c r="I219" s="8"/>
      <c r="J219" s="8"/>
      <c r="K219" s="8"/>
      <c r="L219" s="8"/>
      <c r="M219" s="8"/>
      <c r="N219" s="8"/>
      <c r="O219" s="8"/>
      <c r="P219" s="8"/>
      <c r="Q219" s="67" t="s">
        <v>370</v>
      </c>
      <c r="R219" s="67" t="s">
        <v>374</v>
      </c>
      <c r="S219" s="67" t="s">
        <v>375</v>
      </c>
      <c r="T219" s="8"/>
      <c r="U219" s="8"/>
      <c r="V219" s="8"/>
      <c r="W219" s="8"/>
      <c r="X219" s="8"/>
      <c r="Y219" s="8"/>
    </row>
    <row r="220" spans="1:25" x14ac:dyDescent="0.2">
      <c r="A220" s="8"/>
      <c r="B220" s="8"/>
      <c r="C220" s="8"/>
      <c r="D220" s="8"/>
      <c r="E220" s="8"/>
      <c r="F220" s="8"/>
      <c r="G220" s="8"/>
      <c r="H220" s="8"/>
      <c r="I220" s="8"/>
      <c r="J220" s="8"/>
      <c r="K220" s="8"/>
      <c r="L220" s="8"/>
      <c r="M220" s="8"/>
      <c r="N220" s="8"/>
      <c r="O220" s="8"/>
      <c r="P220" s="8"/>
      <c r="Q220" s="67" t="s">
        <v>376</v>
      </c>
      <c r="R220" s="67" t="s">
        <v>1097</v>
      </c>
      <c r="S220" s="67" t="s">
        <v>1073</v>
      </c>
      <c r="T220" s="8"/>
      <c r="U220" s="8"/>
      <c r="V220" s="8"/>
      <c r="W220" s="8"/>
      <c r="X220" s="8"/>
      <c r="Y220" s="8"/>
    </row>
    <row r="221" spans="1:25" x14ac:dyDescent="0.2">
      <c r="A221" s="8"/>
      <c r="B221" s="8"/>
      <c r="C221" s="8"/>
      <c r="D221" s="8"/>
      <c r="E221" s="8"/>
      <c r="F221" s="8"/>
      <c r="G221" s="8"/>
      <c r="H221" s="8"/>
      <c r="I221" s="8"/>
      <c r="J221" s="8"/>
      <c r="K221" s="8"/>
      <c r="L221" s="8"/>
      <c r="M221" s="8"/>
      <c r="N221" s="8"/>
      <c r="O221" s="8"/>
      <c r="P221" s="8"/>
      <c r="Q221" s="67" t="s">
        <v>376</v>
      </c>
      <c r="R221" s="67" t="s">
        <v>1096</v>
      </c>
      <c r="S221" s="67" t="s">
        <v>442</v>
      </c>
      <c r="T221" s="8"/>
      <c r="U221" s="8"/>
      <c r="V221" s="8"/>
      <c r="W221" s="8"/>
      <c r="X221" s="8"/>
      <c r="Y221" s="8"/>
    </row>
    <row r="222" spans="1:25" x14ac:dyDescent="0.2">
      <c r="A222" s="8"/>
      <c r="B222" s="8"/>
      <c r="C222" s="8"/>
      <c r="D222" s="8"/>
      <c r="E222" s="8"/>
      <c r="F222" s="8"/>
      <c r="G222" s="8"/>
      <c r="H222" s="8"/>
      <c r="I222" s="8"/>
      <c r="J222" s="8"/>
      <c r="K222" s="8"/>
      <c r="L222" s="8"/>
      <c r="M222" s="8"/>
      <c r="N222" s="8"/>
      <c r="O222" s="8"/>
      <c r="P222" s="8"/>
      <c r="Q222" s="67" t="s">
        <v>1098</v>
      </c>
      <c r="R222" s="67" t="s">
        <v>1099</v>
      </c>
      <c r="S222" s="67" t="s">
        <v>1100</v>
      </c>
      <c r="T222" s="8"/>
      <c r="U222" s="8"/>
      <c r="V222" s="8"/>
      <c r="W222" s="8"/>
      <c r="X222" s="8"/>
      <c r="Y222" s="8"/>
    </row>
    <row r="223" spans="1:25" x14ac:dyDescent="0.2">
      <c r="A223" s="8"/>
      <c r="B223" s="8"/>
      <c r="C223" s="8"/>
      <c r="D223" s="8"/>
      <c r="E223" s="8"/>
      <c r="F223" s="8"/>
      <c r="G223" s="8"/>
      <c r="H223" s="8"/>
      <c r="I223" s="8"/>
      <c r="J223" s="8"/>
      <c r="K223" s="8"/>
      <c r="L223" s="8"/>
      <c r="M223" s="8"/>
      <c r="N223" s="8"/>
      <c r="O223" s="8"/>
      <c r="P223" s="8"/>
      <c r="Q223" s="67" t="s">
        <v>377</v>
      </c>
      <c r="R223" s="67" t="s">
        <v>378</v>
      </c>
      <c r="S223" s="67" t="s">
        <v>1219</v>
      </c>
      <c r="T223" s="8"/>
      <c r="U223" s="8"/>
      <c r="V223" s="8"/>
      <c r="W223" s="8"/>
      <c r="X223" s="8"/>
      <c r="Y223" s="8"/>
    </row>
    <row r="224" spans="1:25" x14ac:dyDescent="0.2">
      <c r="A224" s="8"/>
      <c r="B224" s="8"/>
      <c r="C224" s="8"/>
      <c r="D224" s="8"/>
      <c r="E224" s="8"/>
      <c r="F224" s="8"/>
      <c r="G224" s="8"/>
      <c r="H224" s="8"/>
      <c r="I224" s="8"/>
      <c r="J224" s="8"/>
      <c r="K224" s="8"/>
      <c r="L224" s="8"/>
      <c r="M224" s="8"/>
      <c r="N224" s="8"/>
      <c r="O224" s="8"/>
      <c r="P224" s="8"/>
      <c r="Q224" s="67" t="s">
        <v>379</v>
      </c>
      <c r="R224" s="67" t="s">
        <v>1102</v>
      </c>
      <c r="S224" s="67" t="s">
        <v>442</v>
      </c>
      <c r="T224" s="8"/>
      <c r="U224" s="8"/>
      <c r="V224" s="8"/>
      <c r="W224" s="8"/>
      <c r="X224" s="8"/>
      <c r="Y224" s="8"/>
    </row>
    <row r="225" spans="1:25" x14ac:dyDescent="0.2">
      <c r="A225" s="8"/>
      <c r="B225" s="8"/>
      <c r="C225" s="8"/>
      <c r="D225" s="8"/>
      <c r="E225" s="8"/>
      <c r="F225" s="8"/>
      <c r="G225" s="8"/>
      <c r="H225" s="8"/>
      <c r="I225" s="8"/>
      <c r="J225" s="8"/>
      <c r="K225" s="8"/>
      <c r="L225" s="8"/>
      <c r="M225" s="8"/>
      <c r="N225" s="8"/>
      <c r="O225" s="8"/>
      <c r="P225" s="8"/>
      <c r="Q225" s="67" t="s">
        <v>379</v>
      </c>
      <c r="R225" s="67" t="s">
        <v>380</v>
      </c>
      <c r="S225" s="67" t="s">
        <v>1101</v>
      </c>
      <c r="T225" s="8"/>
      <c r="U225" s="8"/>
      <c r="V225" s="8"/>
      <c r="W225" s="8"/>
      <c r="X225" s="8"/>
      <c r="Y225" s="8"/>
    </row>
    <row r="226" spans="1:25" x14ac:dyDescent="0.2">
      <c r="A226" s="8"/>
      <c r="B226" s="8"/>
      <c r="C226" s="8"/>
      <c r="D226" s="8"/>
      <c r="E226" s="8"/>
      <c r="F226" s="8"/>
      <c r="G226" s="8"/>
      <c r="H226" s="8"/>
      <c r="I226" s="8"/>
      <c r="J226" s="8"/>
      <c r="K226" s="8"/>
      <c r="L226" s="8"/>
      <c r="M226" s="8"/>
      <c r="N226" s="8"/>
      <c r="O226" s="8"/>
      <c r="P226" s="8"/>
      <c r="Q226" s="67" t="s">
        <v>379</v>
      </c>
      <c r="R226" s="67" t="s">
        <v>1277</v>
      </c>
      <c r="S226" s="207" t="s">
        <v>1219</v>
      </c>
      <c r="T226" s="8"/>
      <c r="U226" s="8"/>
      <c r="V226" s="8"/>
      <c r="W226" s="8"/>
      <c r="X226" s="8"/>
      <c r="Y226" s="8"/>
    </row>
    <row r="227" spans="1:25" x14ac:dyDescent="0.2">
      <c r="A227" s="8"/>
      <c r="B227" s="8"/>
      <c r="C227" s="8"/>
      <c r="D227" s="8"/>
      <c r="E227" s="8"/>
      <c r="F227" s="8"/>
      <c r="G227" s="8"/>
      <c r="H227" s="8"/>
      <c r="I227" s="8"/>
      <c r="J227" s="8"/>
      <c r="K227" s="8"/>
      <c r="L227" s="8"/>
      <c r="M227" s="8"/>
      <c r="N227" s="8"/>
      <c r="O227" s="8"/>
      <c r="P227" s="8"/>
      <c r="Q227" s="67" t="s">
        <v>379</v>
      </c>
      <c r="R227" s="67" t="s">
        <v>381</v>
      </c>
      <c r="S227" s="67" t="s">
        <v>1103</v>
      </c>
      <c r="T227" s="8"/>
      <c r="U227" s="8"/>
      <c r="V227" s="8"/>
      <c r="W227" s="8"/>
      <c r="X227" s="8"/>
      <c r="Y227" s="8"/>
    </row>
    <row r="228" spans="1:25" x14ac:dyDescent="0.2">
      <c r="A228" s="8"/>
      <c r="B228" s="8"/>
      <c r="C228" s="8"/>
      <c r="D228" s="8"/>
      <c r="E228" s="8"/>
      <c r="F228" s="8"/>
      <c r="G228" s="8"/>
      <c r="H228" s="8"/>
      <c r="I228" s="8"/>
      <c r="J228" s="8"/>
      <c r="K228" s="8"/>
      <c r="L228" s="8"/>
      <c r="M228" s="8"/>
      <c r="N228" s="8"/>
      <c r="O228" s="8"/>
      <c r="P228" s="8"/>
      <c r="Q228" s="67" t="s">
        <v>382</v>
      </c>
      <c r="R228" s="67" t="s">
        <v>383</v>
      </c>
      <c r="S228" s="67" t="s">
        <v>1219</v>
      </c>
      <c r="T228" s="8"/>
      <c r="U228" s="8"/>
      <c r="V228" s="8"/>
      <c r="W228" s="8"/>
      <c r="X228" s="8"/>
      <c r="Y228" s="8"/>
    </row>
    <row r="229" spans="1:25" x14ac:dyDescent="0.2">
      <c r="A229" s="8"/>
      <c r="B229" s="8"/>
      <c r="C229" s="8"/>
      <c r="D229" s="8"/>
      <c r="E229" s="8"/>
      <c r="F229" s="8"/>
      <c r="G229" s="8"/>
      <c r="H229" s="8"/>
      <c r="I229" s="8"/>
      <c r="J229" s="8"/>
      <c r="K229" s="8"/>
      <c r="L229" s="8"/>
      <c r="M229" s="8"/>
      <c r="N229" s="8"/>
      <c r="O229" s="8"/>
      <c r="P229" s="8"/>
      <c r="Q229" s="67" t="s">
        <v>382</v>
      </c>
      <c r="R229" s="67" t="s">
        <v>384</v>
      </c>
      <c r="S229" s="67" t="s">
        <v>959</v>
      </c>
      <c r="T229" s="8"/>
      <c r="U229" s="8"/>
      <c r="V229" s="8"/>
      <c r="W229" s="8"/>
      <c r="X229" s="8"/>
      <c r="Y229" s="8"/>
    </row>
    <row r="230" spans="1:25" x14ac:dyDescent="0.2">
      <c r="A230" s="8"/>
      <c r="B230" s="8"/>
      <c r="C230" s="8"/>
      <c r="D230" s="8"/>
      <c r="E230" s="8"/>
      <c r="F230" s="8"/>
      <c r="G230" s="8"/>
      <c r="H230" s="8"/>
      <c r="I230" s="8"/>
      <c r="J230" s="8"/>
      <c r="K230" s="8"/>
      <c r="L230" s="8"/>
      <c r="M230" s="8"/>
      <c r="N230" s="8"/>
      <c r="O230" s="8"/>
      <c r="P230" s="8"/>
      <c r="Q230" s="67" t="s">
        <v>385</v>
      </c>
      <c r="R230" s="67" t="s">
        <v>386</v>
      </c>
      <c r="S230" s="67" t="s">
        <v>1032</v>
      </c>
      <c r="T230" s="8"/>
      <c r="U230" s="8"/>
      <c r="V230" s="8"/>
      <c r="W230" s="8"/>
      <c r="X230" s="8"/>
      <c r="Y230" s="8"/>
    </row>
    <row r="231" spans="1:25" x14ac:dyDescent="0.2">
      <c r="A231" s="8"/>
      <c r="B231" s="8"/>
      <c r="C231" s="8"/>
      <c r="D231" s="8"/>
      <c r="E231" s="8"/>
      <c r="F231" s="8"/>
      <c r="G231" s="8"/>
      <c r="H231" s="8"/>
      <c r="I231" s="8"/>
      <c r="J231" s="8"/>
      <c r="K231" s="8"/>
      <c r="L231" s="8"/>
      <c r="M231" s="8"/>
      <c r="N231" s="8"/>
      <c r="O231" s="8"/>
      <c r="P231" s="8"/>
      <c r="Q231" s="67" t="s">
        <v>385</v>
      </c>
      <c r="R231" s="67" t="s">
        <v>1104</v>
      </c>
      <c r="S231" s="67" t="s">
        <v>1105</v>
      </c>
      <c r="T231" s="8"/>
      <c r="U231" s="8"/>
      <c r="V231" s="8"/>
      <c r="W231" s="8"/>
      <c r="X231" s="8"/>
      <c r="Y231" s="8"/>
    </row>
    <row r="232" spans="1:25" x14ac:dyDescent="0.2">
      <c r="A232" s="8"/>
      <c r="B232" s="8"/>
      <c r="C232" s="8"/>
      <c r="D232" s="8"/>
      <c r="E232" s="8"/>
      <c r="F232" s="8"/>
      <c r="G232" s="8"/>
      <c r="H232" s="8"/>
      <c r="I232" s="8"/>
      <c r="J232" s="8"/>
      <c r="K232" s="8"/>
      <c r="L232" s="8"/>
      <c r="M232" s="8"/>
      <c r="N232" s="8"/>
      <c r="O232" s="8"/>
      <c r="P232" s="8"/>
      <c r="Q232" s="67" t="s">
        <v>385</v>
      </c>
      <c r="R232" s="67" t="s">
        <v>1278</v>
      </c>
      <c r="S232" s="67" t="s">
        <v>1279</v>
      </c>
      <c r="T232" s="8"/>
      <c r="U232" s="8"/>
      <c r="V232" s="8"/>
      <c r="W232" s="8"/>
      <c r="X232" s="8"/>
      <c r="Y232" s="8"/>
    </row>
    <row r="233" spans="1:25" x14ac:dyDescent="0.2">
      <c r="A233" s="8"/>
      <c r="B233" s="8"/>
      <c r="C233" s="8"/>
      <c r="D233" s="8"/>
      <c r="E233" s="8"/>
      <c r="F233" s="8"/>
      <c r="G233" s="8"/>
      <c r="H233" s="8"/>
      <c r="I233" s="8"/>
      <c r="J233" s="8"/>
      <c r="K233" s="8"/>
      <c r="L233" s="8"/>
      <c r="M233" s="8"/>
      <c r="N233" s="8"/>
      <c r="O233" s="8"/>
      <c r="P233" s="8"/>
      <c r="Q233" s="67" t="s">
        <v>387</v>
      </c>
      <c r="R233" s="67" t="s">
        <v>1106</v>
      </c>
      <c r="S233" s="67" t="s">
        <v>1107</v>
      </c>
      <c r="T233" s="8"/>
      <c r="U233" s="8"/>
      <c r="V233" s="8"/>
      <c r="W233" s="8"/>
      <c r="X233" s="8"/>
      <c r="Y233" s="8"/>
    </row>
    <row r="234" spans="1:25" x14ac:dyDescent="0.2">
      <c r="A234" s="8"/>
      <c r="B234" s="8"/>
      <c r="C234" s="8"/>
      <c r="D234" s="8"/>
      <c r="E234" s="8"/>
      <c r="F234" s="8"/>
      <c r="G234" s="8"/>
      <c r="H234" s="8"/>
      <c r="I234" s="8"/>
      <c r="J234" s="8"/>
      <c r="K234" s="8"/>
      <c r="L234" s="8"/>
      <c r="M234" s="8"/>
      <c r="N234" s="8"/>
      <c r="O234" s="8"/>
      <c r="P234" s="8"/>
      <c r="Q234" s="67" t="s">
        <v>388</v>
      </c>
      <c r="R234" s="67" t="s">
        <v>1109</v>
      </c>
      <c r="S234" s="67" t="s">
        <v>1110</v>
      </c>
      <c r="T234" s="8"/>
      <c r="U234" s="8"/>
      <c r="V234" s="8"/>
      <c r="W234" s="8"/>
      <c r="X234" s="8"/>
      <c r="Y234" s="8"/>
    </row>
    <row r="235" spans="1:25" x14ac:dyDescent="0.2">
      <c r="A235" s="8"/>
      <c r="B235" s="8"/>
      <c r="C235" s="8"/>
      <c r="D235" s="8"/>
      <c r="E235" s="8"/>
      <c r="F235" s="8"/>
      <c r="G235" s="8"/>
      <c r="H235" s="8"/>
      <c r="I235" s="8"/>
      <c r="J235" s="8"/>
      <c r="K235" s="8"/>
      <c r="L235" s="8"/>
      <c r="M235" s="8"/>
      <c r="N235" s="8"/>
      <c r="O235" s="8"/>
      <c r="P235" s="8"/>
      <c r="Q235" s="67" t="s">
        <v>388</v>
      </c>
      <c r="R235" s="67" t="s">
        <v>389</v>
      </c>
      <c r="S235" s="67" t="s">
        <v>1108</v>
      </c>
      <c r="T235" s="8"/>
      <c r="U235" s="8"/>
      <c r="V235" s="8"/>
      <c r="W235" s="8"/>
      <c r="X235" s="8"/>
      <c r="Y235" s="8"/>
    </row>
    <row r="236" spans="1:25" x14ac:dyDescent="0.2">
      <c r="A236" s="8"/>
      <c r="B236" s="8"/>
      <c r="C236" s="8"/>
      <c r="D236" s="8"/>
      <c r="E236" s="8"/>
      <c r="F236" s="8"/>
      <c r="G236" s="8"/>
      <c r="H236" s="8"/>
      <c r="I236" s="8"/>
      <c r="J236" s="8"/>
      <c r="K236" s="8"/>
      <c r="L236" s="8"/>
      <c r="M236" s="8"/>
      <c r="N236" s="8"/>
      <c r="O236" s="8"/>
      <c r="P236" s="8"/>
      <c r="Q236" s="67" t="s">
        <v>390</v>
      </c>
      <c r="R236" s="67" t="s">
        <v>391</v>
      </c>
      <c r="S236" s="67" t="s">
        <v>442</v>
      </c>
      <c r="T236" s="8"/>
      <c r="U236" s="8"/>
      <c r="V236" s="8"/>
      <c r="W236" s="8"/>
      <c r="X236" s="8"/>
      <c r="Y236" s="8"/>
    </row>
    <row r="237" spans="1:25" x14ac:dyDescent="0.2">
      <c r="A237" s="8"/>
      <c r="B237" s="8"/>
      <c r="C237" s="8"/>
      <c r="D237" s="8"/>
      <c r="E237" s="8"/>
      <c r="F237" s="8"/>
      <c r="G237" s="8"/>
      <c r="H237" s="8"/>
      <c r="I237" s="8"/>
      <c r="J237" s="8"/>
      <c r="K237" s="8"/>
      <c r="L237" s="8"/>
      <c r="M237" s="8"/>
      <c r="N237" s="8"/>
      <c r="O237" s="8"/>
      <c r="P237" s="8"/>
      <c r="Q237" s="67" t="s">
        <v>392</v>
      </c>
      <c r="R237" s="67" t="s">
        <v>393</v>
      </c>
      <c r="S237" s="67" t="s">
        <v>1219</v>
      </c>
      <c r="T237" s="8"/>
      <c r="U237" s="8"/>
      <c r="V237" s="8"/>
      <c r="W237" s="8"/>
      <c r="X237" s="8"/>
      <c r="Y237" s="8"/>
    </row>
    <row r="238" spans="1:25" x14ac:dyDescent="0.2">
      <c r="A238" s="8"/>
      <c r="B238" s="8"/>
      <c r="C238" s="8"/>
      <c r="D238" s="8"/>
      <c r="E238" s="8"/>
      <c r="F238" s="8"/>
      <c r="G238" s="8"/>
      <c r="H238" s="8"/>
      <c r="I238" s="8"/>
      <c r="J238" s="8"/>
      <c r="K238" s="8"/>
      <c r="L238" s="8"/>
      <c r="M238" s="8"/>
      <c r="N238" s="8"/>
      <c r="O238" s="8"/>
      <c r="P238" s="8"/>
      <c r="Q238" s="67" t="s">
        <v>394</v>
      </c>
      <c r="R238" s="67" t="s">
        <v>395</v>
      </c>
      <c r="S238" s="67" t="s">
        <v>442</v>
      </c>
      <c r="T238" s="8"/>
      <c r="U238" s="8"/>
      <c r="V238" s="8"/>
      <c r="W238" s="8"/>
      <c r="X238" s="8"/>
      <c r="Y238" s="8"/>
    </row>
    <row r="239" spans="1:25" x14ac:dyDescent="0.2">
      <c r="A239" s="8"/>
      <c r="B239" s="8"/>
      <c r="C239" s="8"/>
      <c r="D239" s="8"/>
      <c r="E239" s="8"/>
      <c r="F239" s="8"/>
      <c r="G239" s="8"/>
      <c r="H239" s="8"/>
      <c r="I239" s="8"/>
      <c r="J239" s="8"/>
      <c r="K239" s="8"/>
      <c r="L239" s="8"/>
      <c r="M239" s="8"/>
      <c r="N239" s="8"/>
      <c r="O239" s="8"/>
      <c r="P239" s="8"/>
      <c r="Q239" s="67" t="s">
        <v>396</v>
      </c>
      <c r="R239" s="67" t="s">
        <v>1113</v>
      </c>
      <c r="S239" s="67" t="s">
        <v>1114</v>
      </c>
      <c r="T239" s="8"/>
      <c r="U239" s="8"/>
      <c r="V239" s="8"/>
      <c r="W239" s="8"/>
      <c r="X239" s="8"/>
      <c r="Y239" s="8"/>
    </row>
    <row r="240" spans="1:25" x14ac:dyDescent="0.2">
      <c r="A240" s="8"/>
      <c r="B240" s="8"/>
      <c r="C240" s="8"/>
      <c r="D240" s="8"/>
      <c r="E240" s="8"/>
      <c r="F240" s="8"/>
      <c r="G240" s="8"/>
      <c r="H240" s="8"/>
      <c r="I240" s="8"/>
      <c r="J240" s="8"/>
      <c r="K240" s="8"/>
      <c r="L240" s="8"/>
      <c r="M240" s="8"/>
      <c r="N240" s="8"/>
      <c r="O240" s="8"/>
      <c r="P240" s="8"/>
      <c r="Q240" s="67" t="s">
        <v>396</v>
      </c>
      <c r="R240" s="67" t="s">
        <v>397</v>
      </c>
      <c r="S240" s="67" t="s">
        <v>442</v>
      </c>
      <c r="T240" s="8"/>
      <c r="U240" s="8"/>
      <c r="V240" s="8"/>
      <c r="W240" s="8"/>
      <c r="X240" s="8"/>
      <c r="Y240" s="8"/>
    </row>
    <row r="241" spans="1:25" x14ac:dyDescent="0.2">
      <c r="A241" s="8"/>
      <c r="B241" s="8"/>
      <c r="C241" s="8"/>
      <c r="D241" s="8"/>
      <c r="E241" s="8"/>
      <c r="F241" s="8"/>
      <c r="G241" s="8"/>
      <c r="H241" s="8"/>
      <c r="I241" s="8"/>
      <c r="J241" s="8"/>
      <c r="K241" s="8"/>
      <c r="L241" s="8"/>
      <c r="M241" s="8"/>
      <c r="N241" s="8"/>
      <c r="O241" s="8"/>
      <c r="P241" s="8"/>
      <c r="Q241" s="67" t="s">
        <v>396</v>
      </c>
      <c r="R241" s="67" t="s">
        <v>398</v>
      </c>
      <c r="S241" s="67" t="s">
        <v>1222</v>
      </c>
      <c r="T241" s="8"/>
      <c r="U241" s="8"/>
      <c r="V241" s="8"/>
      <c r="W241" s="8"/>
      <c r="X241" s="8"/>
      <c r="Y241" s="8"/>
    </row>
    <row r="242" spans="1:25" x14ac:dyDescent="0.2">
      <c r="A242" s="8"/>
      <c r="B242" s="8"/>
      <c r="C242" s="8"/>
      <c r="D242" s="8"/>
      <c r="E242" s="8"/>
      <c r="F242" s="8"/>
      <c r="G242" s="8"/>
      <c r="H242" s="8"/>
      <c r="I242" s="8"/>
      <c r="J242" s="8"/>
      <c r="K242" s="8"/>
      <c r="L242" s="8"/>
      <c r="M242" s="8"/>
      <c r="N242" s="8"/>
      <c r="O242" s="8"/>
      <c r="P242" s="8"/>
      <c r="Q242" s="67" t="s">
        <v>396</v>
      </c>
      <c r="R242" s="67" t="s">
        <v>1111</v>
      </c>
      <c r="S242" s="67" t="s">
        <v>1112</v>
      </c>
      <c r="T242" s="8"/>
      <c r="U242" s="8"/>
      <c r="V242" s="8"/>
      <c r="W242" s="8"/>
      <c r="X242" s="8"/>
      <c r="Y242" s="8"/>
    </row>
    <row r="243" spans="1:25" x14ac:dyDescent="0.2">
      <c r="A243" s="8"/>
      <c r="B243" s="8"/>
      <c r="C243" s="8"/>
      <c r="D243" s="8"/>
      <c r="E243" s="8"/>
      <c r="F243" s="8"/>
      <c r="G243" s="8"/>
      <c r="H243" s="8"/>
      <c r="I243" s="8"/>
      <c r="J243" s="8"/>
      <c r="K243" s="8"/>
      <c r="L243" s="8"/>
      <c r="M243" s="8"/>
      <c r="N243" s="8"/>
      <c r="O243" s="8"/>
      <c r="P243" s="8"/>
      <c r="Q243" s="67" t="s">
        <v>399</v>
      </c>
      <c r="R243" s="67" t="s">
        <v>1280</v>
      </c>
      <c r="S243" s="67" t="s">
        <v>400</v>
      </c>
      <c r="T243" s="8"/>
      <c r="U243" s="8"/>
      <c r="V243" s="8"/>
      <c r="W243" s="8"/>
      <c r="X243" s="8"/>
      <c r="Y243" s="8"/>
    </row>
    <row r="244" spans="1:25" x14ac:dyDescent="0.2">
      <c r="A244" s="8"/>
      <c r="B244" s="8"/>
      <c r="C244" s="8"/>
      <c r="D244" s="8"/>
      <c r="E244" s="8"/>
      <c r="F244" s="8"/>
      <c r="G244" s="8"/>
      <c r="H244" s="8"/>
      <c r="I244" s="8"/>
      <c r="J244" s="8"/>
      <c r="K244" s="8"/>
      <c r="L244" s="8"/>
      <c r="M244" s="8"/>
      <c r="N244" s="8"/>
      <c r="O244" s="8"/>
      <c r="P244" s="8"/>
      <c r="Q244" s="67" t="s">
        <v>401</v>
      </c>
      <c r="R244" s="67" t="s">
        <v>1116</v>
      </c>
      <c r="S244" s="67" t="s">
        <v>1117</v>
      </c>
      <c r="T244" s="8"/>
      <c r="U244" s="8"/>
      <c r="V244" s="8"/>
      <c r="W244" s="8"/>
      <c r="X244" s="8"/>
      <c r="Y244" s="8"/>
    </row>
    <row r="245" spans="1:25" x14ac:dyDescent="0.2">
      <c r="A245" s="8"/>
      <c r="B245" s="8"/>
      <c r="C245" s="8"/>
      <c r="D245" s="8"/>
      <c r="E245" s="8"/>
      <c r="F245" s="8"/>
      <c r="G245" s="8"/>
      <c r="H245" s="8"/>
      <c r="I245" s="8"/>
      <c r="J245" s="8"/>
      <c r="K245" s="8"/>
      <c r="L245" s="8"/>
      <c r="M245" s="8"/>
      <c r="N245" s="8"/>
      <c r="O245" s="8"/>
      <c r="P245" s="8"/>
      <c r="Q245" s="67" t="s">
        <v>402</v>
      </c>
      <c r="R245" s="67" t="s">
        <v>403</v>
      </c>
      <c r="S245" s="67" t="s">
        <v>1281</v>
      </c>
      <c r="T245" s="8"/>
      <c r="U245" s="8"/>
      <c r="V245" s="8"/>
      <c r="W245" s="8"/>
      <c r="X245" s="8"/>
      <c r="Y245" s="8"/>
    </row>
    <row r="246" spans="1:25" x14ac:dyDescent="0.2">
      <c r="A246" s="8"/>
      <c r="B246" s="8"/>
      <c r="C246" s="8"/>
      <c r="D246" s="8"/>
      <c r="E246" s="8"/>
      <c r="F246" s="8"/>
      <c r="G246" s="8"/>
      <c r="H246" s="8"/>
      <c r="I246" s="8"/>
      <c r="J246" s="8"/>
      <c r="K246" s="8"/>
      <c r="L246" s="8"/>
      <c r="M246" s="8"/>
      <c r="N246" s="8"/>
      <c r="O246" s="8"/>
      <c r="P246" s="8"/>
      <c r="Q246" s="67" t="s">
        <v>404</v>
      </c>
      <c r="R246" s="67" t="s">
        <v>405</v>
      </c>
      <c r="S246" s="67" t="s">
        <v>1118</v>
      </c>
      <c r="T246" s="8"/>
      <c r="U246" s="8"/>
      <c r="V246" s="8"/>
      <c r="W246" s="8"/>
      <c r="X246" s="8"/>
      <c r="Y246" s="8"/>
    </row>
    <row r="247" spans="1:25" x14ac:dyDescent="0.2">
      <c r="A247" s="8"/>
      <c r="B247" s="8"/>
      <c r="C247" s="8"/>
      <c r="D247" s="8"/>
      <c r="E247" s="8"/>
      <c r="F247" s="8"/>
      <c r="G247" s="8"/>
      <c r="H247" s="8"/>
      <c r="I247" s="8"/>
      <c r="J247" s="8"/>
      <c r="K247" s="8"/>
      <c r="L247" s="8"/>
      <c r="M247" s="8"/>
      <c r="N247" s="8"/>
      <c r="O247" s="8"/>
      <c r="P247" s="8"/>
      <c r="Q247" s="67" t="s">
        <v>1119</v>
      </c>
      <c r="R247" s="67" t="s">
        <v>1120</v>
      </c>
      <c r="S247" s="67" t="s">
        <v>1121</v>
      </c>
      <c r="T247" s="8"/>
      <c r="U247" s="8"/>
      <c r="V247" s="8"/>
      <c r="W247" s="8"/>
      <c r="X247" s="8"/>
      <c r="Y247" s="8"/>
    </row>
    <row r="248" spans="1:25" x14ac:dyDescent="0.2">
      <c r="A248" s="8"/>
      <c r="B248" s="8"/>
      <c r="C248" s="8"/>
      <c r="D248" s="8"/>
      <c r="E248" s="8"/>
      <c r="F248" s="8"/>
      <c r="G248" s="8"/>
      <c r="H248" s="8"/>
      <c r="I248" s="8"/>
      <c r="J248" s="8"/>
      <c r="K248" s="8"/>
      <c r="L248" s="8"/>
      <c r="M248" s="8"/>
      <c r="N248" s="8"/>
      <c r="O248" s="8"/>
      <c r="P248" s="8"/>
      <c r="Q248" s="67" t="s">
        <v>432</v>
      </c>
      <c r="R248" s="67" t="s">
        <v>1120</v>
      </c>
      <c r="S248" s="67" t="s">
        <v>1121</v>
      </c>
      <c r="T248" s="8"/>
      <c r="U248" s="8"/>
      <c r="V248" s="8"/>
      <c r="W248" s="8"/>
      <c r="X248" s="8"/>
      <c r="Y248" s="8"/>
    </row>
    <row r="249" spans="1:25" x14ac:dyDescent="0.2">
      <c r="A249" s="8"/>
      <c r="B249" s="8"/>
      <c r="C249" s="8"/>
      <c r="D249" s="8"/>
      <c r="E249" s="8"/>
      <c r="F249" s="8"/>
      <c r="G249" s="8"/>
      <c r="H249" s="8"/>
      <c r="I249" s="8"/>
      <c r="J249" s="8"/>
      <c r="K249" s="8"/>
      <c r="L249" s="8"/>
      <c r="M249" s="8"/>
      <c r="N249" s="8"/>
      <c r="O249" s="8"/>
      <c r="P249" s="8"/>
      <c r="Q249" s="67" t="s">
        <v>406</v>
      </c>
      <c r="R249" s="67" t="s">
        <v>1122</v>
      </c>
      <c r="S249" s="67" t="s">
        <v>1123</v>
      </c>
      <c r="T249" s="8"/>
      <c r="U249" s="8"/>
      <c r="V249" s="8"/>
      <c r="W249" s="8"/>
      <c r="X249" s="8"/>
      <c r="Y249" s="8"/>
    </row>
    <row r="250" spans="1:25" x14ac:dyDescent="0.2">
      <c r="A250" s="8"/>
      <c r="B250" s="8"/>
      <c r="C250" s="8"/>
      <c r="D250" s="8"/>
      <c r="E250" s="8"/>
      <c r="F250" s="8"/>
      <c r="G250" s="8"/>
      <c r="H250" s="8"/>
      <c r="I250" s="8"/>
      <c r="J250" s="8"/>
      <c r="K250" s="8"/>
      <c r="L250" s="8"/>
      <c r="M250" s="8"/>
      <c r="N250" s="8"/>
      <c r="O250" s="8"/>
      <c r="P250" s="8"/>
      <c r="Q250" s="207" t="s">
        <v>2721</v>
      </c>
      <c r="R250" s="207" t="s">
        <v>2937</v>
      </c>
      <c r="S250" s="207" t="s">
        <v>2939</v>
      </c>
      <c r="T250" s="8"/>
      <c r="U250" s="8"/>
      <c r="V250" s="8"/>
      <c r="W250" s="8"/>
      <c r="X250" s="8"/>
      <c r="Y250" s="8"/>
    </row>
    <row r="251" spans="1:25" x14ac:dyDescent="0.2">
      <c r="A251" s="8"/>
      <c r="B251" s="8"/>
      <c r="C251" s="8"/>
      <c r="D251" s="8"/>
      <c r="E251" s="8"/>
      <c r="F251" s="8"/>
      <c r="G251" s="8"/>
      <c r="H251" s="8"/>
      <c r="I251" s="8"/>
      <c r="J251" s="8"/>
      <c r="K251" s="8"/>
      <c r="L251" s="8"/>
      <c r="M251" s="8"/>
      <c r="N251" s="8"/>
      <c r="O251" s="8"/>
      <c r="P251" s="8"/>
      <c r="Q251" s="339" t="s">
        <v>2721</v>
      </c>
      <c r="R251" s="340" t="s">
        <v>2938</v>
      </c>
      <c r="S251" s="339" t="s">
        <v>1247</v>
      </c>
      <c r="T251" s="8"/>
      <c r="U251" s="8"/>
      <c r="V251" s="8"/>
      <c r="W251" s="8"/>
      <c r="X251" s="8"/>
      <c r="Y251" s="8"/>
    </row>
    <row r="252" spans="1:25" x14ac:dyDescent="0.2">
      <c r="A252" s="8"/>
      <c r="B252" s="8"/>
      <c r="C252" s="8"/>
      <c r="D252" s="8"/>
      <c r="E252" s="8"/>
      <c r="F252" s="8"/>
      <c r="G252" s="8"/>
      <c r="H252" s="8"/>
      <c r="I252" s="8"/>
      <c r="J252" s="8"/>
      <c r="K252" s="8"/>
      <c r="L252" s="8"/>
      <c r="M252" s="8"/>
      <c r="N252" s="8"/>
      <c r="O252" s="8"/>
      <c r="P252" s="8"/>
      <c r="Q252" s="67" t="s">
        <v>407</v>
      </c>
      <c r="R252" s="67" t="s">
        <v>408</v>
      </c>
      <c r="S252" s="67" t="s">
        <v>1282</v>
      </c>
      <c r="T252" s="8"/>
      <c r="U252" s="8"/>
      <c r="V252" s="8"/>
      <c r="W252" s="8"/>
      <c r="X252" s="8"/>
      <c r="Y252" s="8"/>
    </row>
    <row r="253" spans="1:25" x14ac:dyDescent="0.2">
      <c r="A253" s="8"/>
      <c r="B253" s="8"/>
      <c r="C253" s="8"/>
      <c r="D253" s="8"/>
      <c r="E253" s="8"/>
      <c r="F253" s="8"/>
      <c r="G253" s="8"/>
      <c r="H253" s="8"/>
      <c r="I253" s="8"/>
      <c r="J253" s="8"/>
      <c r="K253" s="8"/>
      <c r="L253" s="8"/>
      <c r="M253" s="8"/>
      <c r="N253" s="8"/>
      <c r="O253" s="8"/>
      <c r="P253" s="8"/>
      <c r="Q253" s="67" t="s">
        <v>409</v>
      </c>
      <c r="R253" s="67" t="s">
        <v>1283</v>
      </c>
      <c r="S253" s="67" t="s">
        <v>1284</v>
      </c>
      <c r="T253" s="8"/>
      <c r="U253" s="8"/>
      <c r="V253" s="8"/>
      <c r="W253" s="8"/>
      <c r="X253" s="8"/>
      <c r="Y253" s="8"/>
    </row>
    <row r="254" spans="1:25" x14ac:dyDescent="0.2">
      <c r="A254" s="8"/>
      <c r="B254" s="8"/>
      <c r="C254" s="8"/>
      <c r="D254" s="8"/>
      <c r="E254" s="8"/>
      <c r="F254" s="8"/>
      <c r="G254" s="8"/>
      <c r="H254" s="8"/>
      <c r="I254" s="8"/>
      <c r="J254" s="8"/>
      <c r="K254" s="8"/>
      <c r="L254" s="8"/>
      <c r="M254" s="8"/>
      <c r="N254" s="8"/>
      <c r="O254" s="8"/>
      <c r="P254" s="8"/>
      <c r="Q254" s="67" t="s">
        <v>1124</v>
      </c>
      <c r="R254" s="67" t="s">
        <v>1125</v>
      </c>
      <c r="S254" s="67" t="s">
        <v>984</v>
      </c>
      <c r="T254" s="8"/>
      <c r="U254" s="8"/>
      <c r="V254" s="8"/>
      <c r="W254" s="8"/>
      <c r="X254" s="8"/>
      <c r="Y254" s="8"/>
    </row>
    <row r="255" spans="1:25" x14ac:dyDescent="0.2">
      <c r="A255" s="8"/>
      <c r="B255" s="8"/>
      <c r="C255" s="8"/>
      <c r="D255" s="8"/>
      <c r="E255" s="8"/>
      <c r="F255" s="8"/>
      <c r="G255" s="8"/>
      <c r="H255" s="8"/>
      <c r="I255" s="8"/>
      <c r="J255" s="8"/>
      <c r="K255" s="8"/>
      <c r="L255" s="8"/>
      <c r="M255" s="8"/>
      <c r="N255" s="8"/>
      <c r="O255" s="8"/>
      <c r="P255" s="8"/>
      <c r="Q255" s="67" t="s">
        <v>1126</v>
      </c>
      <c r="R255" s="67" t="s">
        <v>1127</v>
      </c>
      <c r="S255" s="67" t="s">
        <v>1128</v>
      </c>
      <c r="T255" s="8"/>
      <c r="U255" s="8"/>
      <c r="V255" s="8"/>
      <c r="W255" s="8"/>
      <c r="X255" s="8"/>
      <c r="Y255" s="8"/>
    </row>
    <row r="256" spans="1:25" x14ac:dyDescent="0.2">
      <c r="A256" s="8"/>
      <c r="B256" s="8"/>
      <c r="C256" s="8"/>
      <c r="D256" s="8"/>
      <c r="E256" s="8"/>
      <c r="F256" s="8"/>
      <c r="G256" s="8"/>
      <c r="H256" s="8"/>
      <c r="I256" s="8"/>
      <c r="J256" s="8"/>
      <c r="K256" s="8"/>
      <c r="L256" s="8"/>
      <c r="M256" s="8"/>
      <c r="N256" s="8"/>
      <c r="O256" s="8"/>
      <c r="P256" s="8"/>
      <c r="Q256" s="67" t="s">
        <v>1130</v>
      </c>
      <c r="R256" s="67" t="s">
        <v>1131</v>
      </c>
      <c r="S256" s="67" t="s">
        <v>1132</v>
      </c>
      <c r="T256" s="8"/>
      <c r="U256" s="8"/>
      <c r="V256" s="8"/>
      <c r="W256" s="8"/>
      <c r="X256" s="8"/>
      <c r="Y256" s="8"/>
    </row>
    <row r="257" spans="1:25" x14ac:dyDescent="0.2">
      <c r="A257" s="8"/>
      <c r="B257" s="8"/>
      <c r="C257" s="8"/>
      <c r="D257" s="8"/>
      <c r="E257" s="8"/>
      <c r="F257" s="8"/>
      <c r="G257" s="8"/>
      <c r="H257" s="8"/>
      <c r="I257" s="8"/>
      <c r="J257" s="8"/>
      <c r="K257" s="8"/>
      <c r="L257" s="8"/>
      <c r="M257" s="8"/>
      <c r="N257" s="8"/>
      <c r="O257" s="8"/>
      <c r="P257" s="8"/>
      <c r="Q257" s="67" t="s">
        <v>1285</v>
      </c>
      <c r="R257" s="67" t="s">
        <v>1286</v>
      </c>
      <c r="S257" s="67" t="s">
        <v>1247</v>
      </c>
      <c r="T257" s="8"/>
      <c r="U257" s="8"/>
      <c r="V257" s="8"/>
      <c r="W257" s="8"/>
      <c r="X257" s="8"/>
      <c r="Y257" s="8"/>
    </row>
    <row r="258" spans="1:25" x14ac:dyDescent="0.2">
      <c r="A258" s="8"/>
      <c r="B258" s="8"/>
      <c r="C258" s="8"/>
      <c r="D258" s="8"/>
      <c r="E258" s="8"/>
      <c r="F258" s="8"/>
      <c r="G258" s="8"/>
      <c r="H258" s="8"/>
      <c r="I258" s="8"/>
      <c r="J258" s="8"/>
      <c r="K258" s="8"/>
      <c r="L258" s="8"/>
      <c r="M258" s="8"/>
      <c r="N258" s="8"/>
      <c r="O258" s="8"/>
      <c r="P258" s="8"/>
      <c r="Q258" s="67" t="s">
        <v>415</v>
      </c>
      <c r="R258" s="67" t="s">
        <v>1286</v>
      </c>
      <c r="S258" s="67" t="s">
        <v>1247</v>
      </c>
      <c r="T258" s="8"/>
      <c r="U258" s="8"/>
      <c r="V258" s="8"/>
      <c r="W258" s="8"/>
      <c r="X258" s="8"/>
      <c r="Y258" s="8"/>
    </row>
    <row r="259" spans="1:25" x14ac:dyDescent="0.2">
      <c r="A259" s="8"/>
      <c r="B259" s="8"/>
      <c r="C259" s="8"/>
      <c r="D259" s="8"/>
      <c r="E259" s="8"/>
      <c r="F259" s="8"/>
      <c r="G259" s="8"/>
      <c r="H259" s="8"/>
      <c r="I259" s="8"/>
      <c r="J259" s="8"/>
      <c r="K259" s="8"/>
      <c r="L259" s="8"/>
      <c r="M259" s="8"/>
      <c r="N259" s="8"/>
      <c r="O259" s="8"/>
      <c r="P259" s="8"/>
      <c r="Q259" s="67" t="s">
        <v>1287</v>
      </c>
      <c r="R259" s="67" t="s">
        <v>410</v>
      </c>
      <c r="S259" s="67" t="s">
        <v>1288</v>
      </c>
      <c r="T259" s="8"/>
      <c r="U259" s="8"/>
      <c r="V259" s="8"/>
      <c r="W259" s="8"/>
      <c r="X259" s="8"/>
      <c r="Y259" s="8"/>
    </row>
    <row r="260" spans="1:25" x14ac:dyDescent="0.2">
      <c r="A260" s="8"/>
      <c r="B260" s="8"/>
      <c r="C260" s="8"/>
      <c r="D260" s="8"/>
      <c r="E260" s="8"/>
      <c r="F260" s="8"/>
      <c r="G260" s="8"/>
      <c r="H260" s="8"/>
      <c r="I260" s="8"/>
      <c r="J260" s="8"/>
      <c r="K260" s="8"/>
      <c r="L260" s="8"/>
      <c r="M260" s="8"/>
      <c r="N260" s="8"/>
      <c r="O260" s="8"/>
      <c r="P260" s="8"/>
      <c r="Q260" s="67" t="s">
        <v>1289</v>
      </c>
      <c r="R260" s="67" t="s">
        <v>410</v>
      </c>
      <c r="S260" s="67" t="s">
        <v>1288</v>
      </c>
      <c r="T260" s="8"/>
      <c r="U260" s="8"/>
      <c r="V260" s="8"/>
      <c r="W260" s="8"/>
      <c r="X260" s="8"/>
      <c r="Y260" s="8"/>
    </row>
    <row r="261" spans="1:25" x14ac:dyDescent="0.2">
      <c r="A261" s="8"/>
      <c r="B261" s="8"/>
      <c r="C261" s="8"/>
      <c r="D261" s="8"/>
      <c r="E261" s="8"/>
      <c r="F261" s="8"/>
      <c r="G261" s="8"/>
      <c r="H261" s="8"/>
      <c r="I261" s="8"/>
      <c r="J261" s="8"/>
      <c r="K261" s="8"/>
      <c r="L261" s="8"/>
      <c r="M261" s="8"/>
      <c r="N261" s="8"/>
      <c r="O261" s="8"/>
      <c r="P261" s="8"/>
      <c r="Q261" s="67" t="s">
        <v>411</v>
      </c>
      <c r="R261" s="67" t="s">
        <v>412</v>
      </c>
      <c r="S261" s="67" t="s">
        <v>1219</v>
      </c>
      <c r="T261" s="8"/>
      <c r="U261" s="8"/>
      <c r="V261" s="8"/>
      <c r="W261" s="8"/>
      <c r="X261" s="8"/>
      <c r="Y261" s="8"/>
    </row>
    <row r="262" spans="1:25" x14ac:dyDescent="0.2">
      <c r="A262" s="8"/>
      <c r="B262" s="8"/>
      <c r="C262" s="8"/>
      <c r="D262" s="8"/>
      <c r="E262" s="8"/>
      <c r="F262" s="8"/>
      <c r="G262" s="8"/>
      <c r="H262" s="8"/>
      <c r="I262" s="8"/>
      <c r="J262" s="8"/>
      <c r="K262" s="8"/>
      <c r="L262" s="8"/>
      <c r="M262" s="8"/>
      <c r="N262" s="8"/>
      <c r="O262" s="8"/>
      <c r="P262" s="8"/>
      <c r="Q262" s="67" t="s">
        <v>411</v>
      </c>
      <c r="R262" s="67" t="s">
        <v>1290</v>
      </c>
      <c r="S262" s="67" t="s">
        <v>1224</v>
      </c>
      <c r="T262" s="8"/>
      <c r="U262" s="8"/>
      <c r="V262" s="8"/>
      <c r="W262" s="8"/>
      <c r="X262" s="8"/>
      <c r="Y262" s="8"/>
    </row>
    <row r="263" spans="1:25" x14ac:dyDescent="0.2">
      <c r="A263" s="8"/>
      <c r="B263" s="8"/>
      <c r="C263" s="8"/>
      <c r="D263" s="8"/>
      <c r="E263" s="8"/>
      <c r="F263" s="8"/>
      <c r="G263" s="8"/>
      <c r="H263" s="8"/>
      <c r="I263" s="8"/>
      <c r="J263" s="8"/>
      <c r="K263" s="8"/>
      <c r="L263" s="8"/>
      <c r="M263" s="8"/>
      <c r="N263" s="8"/>
      <c r="O263" s="8"/>
      <c r="P263" s="8"/>
      <c r="Q263" s="67" t="s">
        <v>411</v>
      </c>
      <c r="R263" s="67" t="s">
        <v>1291</v>
      </c>
      <c r="S263" s="67" t="s">
        <v>1242</v>
      </c>
      <c r="T263" s="8"/>
      <c r="U263" s="8"/>
      <c r="V263" s="8"/>
      <c r="W263" s="8"/>
      <c r="X263" s="8"/>
      <c r="Y263" s="8"/>
    </row>
    <row r="264" spans="1:25" x14ac:dyDescent="0.2">
      <c r="A264" s="8"/>
      <c r="B264" s="8"/>
      <c r="C264" s="8"/>
      <c r="D264" s="8"/>
      <c r="E264" s="8"/>
      <c r="F264" s="8"/>
      <c r="G264" s="8"/>
      <c r="H264" s="8"/>
      <c r="I264" s="8"/>
      <c r="J264" s="8"/>
      <c r="K264" s="8"/>
      <c r="L264" s="8"/>
      <c r="M264" s="8"/>
      <c r="N264" s="8"/>
      <c r="O264" s="8"/>
      <c r="P264" s="8"/>
      <c r="Q264" s="67" t="s">
        <v>413</v>
      </c>
      <c r="R264" s="67" t="s">
        <v>414</v>
      </c>
      <c r="S264" s="67" t="s">
        <v>1133</v>
      </c>
      <c r="T264" s="8"/>
      <c r="U264" s="8"/>
      <c r="V264" s="8"/>
      <c r="W264" s="8"/>
      <c r="X264" s="8"/>
      <c r="Y264" s="8"/>
    </row>
    <row r="265" spans="1:25" x14ac:dyDescent="0.2">
      <c r="A265" s="8"/>
      <c r="B265" s="8"/>
      <c r="C265" s="8"/>
      <c r="D265" s="8"/>
      <c r="E265" s="8"/>
      <c r="F265" s="8"/>
      <c r="G265" s="8"/>
      <c r="H265" s="8"/>
      <c r="I265" s="8"/>
      <c r="J265" s="8"/>
      <c r="K265" s="8"/>
      <c r="L265" s="8"/>
      <c r="M265" s="8"/>
      <c r="N265" s="8"/>
      <c r="O265" s="8"/>
      <c r="P265" s="8"/>
      <c r="Q265" s="67" t="s">
        <v>413</v>
      </c>
      <c r="R265" s="67" t="s">
        <v>1134</v>
      </c>
      <c r="S265" s="67" t="s">
        <v>1135</v>
      </c>
      <c r="T265" s="8"/>
      <c r="U265" s="8"/>
      <c r="V265" s="8"/>
      <c r="W265" s="8"/>
      <c r="X265" s="8"/>
      <c r="Y265" s="8"/>
    </row>
    <row r="266" spans="1:25" x14ac:dyDescent="0.2">
      <c r="A266" s="8"/>
      <c r="B266" s="8"/>
      <c r="C266" s="8"/>
      <c r="D266" s="8"/>
      <c r="E266" s="8"/>
      <c r="F266" s="8"/>
      <c r="G266" s="8"/>
      <c r="H266" s="8"/>
      <c r="I266" s="8"/>
      <c r="J266" s="8"/>
      <c r="K266" s="8"/>
      <c r="L266" s="8"/>
      <c r="M266" s="8"/>
      <c r="N266" s="8"/>
      <c r="O266" s="8"/>
      <c r="P266" s="8"/>
      <c r="Q266" s="67" t="s">
        <v>415</v>
      </c>
      <c r="R266" s="67" t="s">
        <v>416</v>
      </c>
      <c r="S266" s="67" t="s">
        <v>442</v>
      </c>
      <c r="T266" s="8"/>
      <c r="U266" s="8"/>
      <c r="V266" s="8"/>
      <c r="W266" s="8"/>
      <c r="X266" s="8"/>
      <c r="Y266" s="8"/>
    </row>
    <row r="267" spans="1:25" x14ac:dyDescent="0.2">
      <c r="A267" s="8"/>
      <c r="B267" s="8"/>
      <c r="C267" s="8"/>
      <c r="D267" s="8"/>
      <c r="E267" s="8"/>
      <c r="F267" s="8"/>
      <c r="G267" s="8"/>
      <c r="H267" s="8"/>
      <c r="I267" s="8"/>
      <c r="J267" s="8"/>
      <c r="K267" s="8"/>
      <c r="L267" s="8"/>
      <c r="M267" s="8"/>
      <c r="N267" s="8"/>
      <c r="O267" s="8"/>
      <c r="P267" s="8"/>
      <c r="Q267" s="67" t="s">
        <v>415</v>
      </c>
      <c r="R267" s="67" t="s">
        <v>417</v>
      </c>
      <c r="S267" s="67" t="s">
        <v>1219</v>
      </c>
      <c r="T267" s="8"/>
      <c r="U267" s="8"/>
      <c r="V267" s="8"/>
      <c r="W267" s="8"/>
      <c r="X267" s="8"/>
      <c r="Y267" s="8"/>
    </row>
    <row r="268" spans="1:25" x14ac:dyDescent="0.2">
      <c r="A268" s="8"/>
      <c r="B268" s="8"/>
      <c r="C268" s="8"/>
      <c r="D268" s="8"/>
      <c r="E268" s="8"/>
      <c r="F268" s="8"/>
      <c r="G268" s="8"/>
      <c r="H268" s="8"/>
      <c r="I268" s="8"/>
      <c r="J268" s="8"/>
      <c r="K268" s="8"/>
      <c r="L268" s="8"/>
      <c r="M268" s="8"/>
      <c r="N268" s="8"/>
      <c r="O268" s="8"/>
      <c r="P268" s="8"/>
      <c r="Q268" s="67" t="s">
        <v>415</v>
      </c>
      <c r="R268" s="67" t="s">
        <v>1292</v>
      </c>
      <c r="S268" s="67" t="s">
        <v>1293</v>
      </c>
      <c r="T268" s="8"/>
      <c r="U268" s="8"/>
      <c r="V268" s="8"/>
      <c r="W268" s="8"/>
      <c r="X268" s="8"/>
      <c r="Y268" s="8"/>
    </row>
    <row r="269" spans="1:25" x14ac:dyDescent="0.2">
      <c r="A269" s="8"/>
      <c r="B269" s="8"/>
      <c r="C269" s="8"/>
      <c r="D269" s="8"/>
      <c r="E269" s="8"/>
      <c r="F269" s="8"/>
      <c r="G269" s="8"/>
      <c r="H269" s="8"/>
      <c r="I269" s="8"/>
      <c r="J269" s="8"/>
      <c r="K269" s="8"/>
      <c r="L269" s="8"/>
      <c r="M269" s="8"/>
      <c r="N269" s="8"/>
      <c r="O269" s="8"/>
      <c r="P269" s="8"/>
      <c r="Q269" s="67" t="s">
        <v>415</v>
      </c>
      <c r="R269" s="67" t="s">
        <v>418</v>
      </c>
      <c r="S269" s="67" t="s">
        <v>1136</v>
      </c>
      <c r="T269" s="8"/>
      <c r="U269" s="8"/>
      <c r="V269" s="8"/>
      <c r="W269" s="8"/>
      <c r="X269" s="8"/>
      <c r="Y269" s="8"/>
    </row>
    <row r="270" spans="1:25" x14ac:dyDescent="0.2">
      <c r="A270" s="8"/>
      <c r="B270" s="8"/>
      <c r="C270" s="8"/>
      <c r="D270" s="8"/>
      <c r="E270" s="8"/>
      <c r="F270" s="8"/>
      <c r="G270" s="8"/>
      <c r="H270" s="8"/>
      <c r="I270" s="8"/>
      <c r="J270" s="8"/>
      <c r="K270" s="8"/>
      <c r="L270" s="8"/>
      <c r="M270" s="8"/>
      <c r="N270" s="8"/>
      <c r="O270" s="8"/>
      <c r="P270" s="8"/>
      <c r="Q270" s="67" t="s">
        <v>419</v>
      </c>
      <c r="R270" s="67" t="s">
        <v>1137</v>
      </c>
      <c r="S270" s="67" t="s">
        <v>1138</v>
      </c>
      <c r="T270" s="8"/>
      <c r="U270" s="8"/>
      <c r="V270" s="8"/>
      <c r="W270" s="8"/>
      <c r="X270" s="8"/>
      <c r="Y270" s="8"/>
    </row>
    <row r="271" spans="1:25" x14ac:dyDescent="0.2">
      <c r="A271" s="8"/>
      <c r="B271" s="8"/>
      <c r="C271" s="8"/>
      <c r="D271" s="8"/>
      <c r="E271" s="8"/>
      <c r="F271" s="8"/>
      <c r="G271" s="8"/>
      <c r="H271" s="8"/>
      <c r="I271" s="8"/>
      <c r="J271" s="8"/>
      <c r="K271" s="8"/>
      <c r="L271" s="8"/>
      <c r="M271" s="8"/>
      <c r="N271" s="8"/>
      <c r="O271" s="8"/>
      <c r="P271" s="8"/>
      <c r="Q271" s="67" t="s">
        <v>419</v>
      </c>
      <c r="R271" s="67" t="s">
        <v>1139</v>
      </c>
      <c r="S271" s="67" t="s">
        <v>1140</v>
      </c>
      <c r="T271" s="8"/>
      <c r="U271" s="8"/>
      <c r="V271" s="8"/>
      <c r="W271" s="8"/>
      <c r="X271" s="8"/>
      <c r="Y271" s="8"/>
    </row>
    <row r="272" spans="1:25" x14ac:dyDescent="0.2">
      <c r="A272" s="8"/>
      <c r="B272" s="8"/>
      <c r="C272" s="8"/>
      <c r="D272" s="8"/>
      <c r="E272" s="8"/>
      <c r="F272" s="8"/>
      <c r="G272" s="8"/>
      <c r="H272" s="8"/>
      <c r="I272" s="8"/>
      <c r="J272" s="8"/>
      <c r="K272" s="8"/>
      <c r="L272" s="8"/>
      <c r="M272" s="8"/>
      <c r="N272" s="8"/>
      <c r="O272" s="8"/>
      <c r="P272" s="8"/>
      <c r="Q272" s="67" t="s">
        <v>420</v>
      </c>
      <c r="R272" s="67" t="s">
        <v>1141</v>
      </c>
      <c r="S272" s="67" t="s">
        <v>938</v>
      </c>
      <c r="T272" s="8"/>
      <c r="U272" s="8"/>
      <c r="V272" s="8"/>
      <c r="W272" s="8"/>
      <c r="X272" s="8"/>
      <c r="Y272" s="8"/>
    </row>
    <row r="273" spans="1:25" x14ac:dyDescent="0.2">
      <c r="A273" s="8"/>
      <c r="B273" s="8"/>
      <c r="C273" s="8"/>
      <c r="D273" s="8"/>
      <c r="E273" s="8"/>
      <c r="F273" s="8"/>
      <c r="G273" s="8"/>
      <c r="H273" s="8"/>
      <c r="I273" s="8"/>
      <c r="J273" s="8"/>
      <c r="K273" s="8"/>
      <c r="L273" s="8"/>
      <c r="M273" s="8"/>
      <c r="N273" s="8"/>
      <c r="O273" s="8"/>
      <c r="P273" s="8"/>
      <c r="Q273" s="67" t="s">
        <v>420</v>
      </c>
      <c r="R273" s="67" t="s">
        <v>1146</v>
      </c>
      <c r="S273" s="67" t="s">
        <v>1147</v>
      </c>
      <c r="T273" s="8"/>
      <c r="U273" s="8"/>
      <c r="V273" s="8"/>
      <c r="W273" s="8"/>
      <c r="X273" s="8"/>
      <c r="Y273" s="8"/>
    </row>
    <row r="274" spans="1:25" x14ac:dyDescent="0.2">
      <c r="A274" s="8"/>
      <c r="B274" s="8"/>
      <c r="C274" s="8"/>
      <c r="D274" s="8"/>
      <c r="E274" s="8"/>
      <c r="F274" s="8"/>
      <c r="G274" s="8"/>
      <c r="H274" s="8"/>
      <c r="I274" s="8"/>
      <c r="J274" s="8"/>
      <c r="K274" s="8"/>
      <c r="L274" s="8"/>
      <c r="M274" s="8"/>
      <c r="N274" s="8"/>
      <c r="O274" s="8"/>
      <c r="P274" s="8"/>
      <c r="Q274" s="67" t="s">
        <v>420</v>
      </c>
      <c r="R274" s="67" t="s">
        <v>1144</v>
      </c>
      <c r="S274" s="67" t="s">
        <v>1145</v>
      </c>
      <c r="T274" s="8"/>
      <c r="U274" s="8"/>
      <c r="V274" s="8"/>
      <c r="W274" s="8"/>
      <c r="X274" s="8"/>
      <c r="Y274" s="8"/>
    </row>
    <row r="275" spans="1:25" x14ac:dyDescent="0.2">
      <c r="A275" s="8"/>
      <c r="B275" s="8"/>
      <c r="C275" s="8"/>
      <c r="D275" s="8"/>
      <c r="E275" s="8"/>
      <c r="F275" s="8"/>
      <c r="G275" s="8"/>
      <c r="H275" s="8"/>
      <c r="I275" s="8"/>
      <c r="J275" s="8"/>
      <c r="K275" s="8"/>
      <c r="L275" s="8"/>
      <c r="M275" s="8"/>
      <c r="N275" s="8"/>
      <c r="O275" s="8"/>
      <c r="P275" s="8"/>
      <c r="Q275" s="67" t="s">
        <v>420</v>
      </c>
      <c r="R275" s="67" t="s">
        <v>421</v>
      </c>
      <c r="S275" s="67" t="s">
        <v>1219</v>
      </c>
      <c r="T275" s="8"/>
      <c r="U275" s="8"/>
      <c r="V275" s="8"/>
      <c r="W275" s="8"/>
      <c r="X275" s="8"/>
      <c r="Y275" s="8"/>
    </row>
    <row r="276" spans="1:25" x14ac:dyDescent="0.2">
      <c r="A276" s="8"/>
      <c r="B276" s="8"/>
      <c r="C276" s="8"/>
      <c r="D276" s="8"/>
      <c r="E276" s="8"/>
      <c r="F276" s="8"/>
      <c r="G276" s="8"/>
      <c r="H276" s="8"/>
      <c r="I276" s="8"/>
      <c r="J276" s="8"/>
      <c r="K276" s="8"/>
      <c r="L276" s="8"/>
      <c r="M276" s="8"/>
      <c r="N276" s="8"/>
      <c r="O276" s="8"/>
      <c r="P276" s="8"/>
      <c r="Q276" s="67" t="s">
        <v>420</v>
      </c>
      <c r="R276" s="67" t="s">
        <v>1142</v>
      </c>
      <c r="S276" s="67" t="s">
        <v>1143</v>
      </c>
      <c r="T276" s="8"/>
      <c r="U276" s="8"/>
      <c r="V276" s="8"/>
      <c r="W276" s="8"/>
      <c r="X276" s="8"/>
      <c r="Y276" s="8"/>
    </row>
    <row r="277" spans="1:25" x14ac:dyDescent="0.2">
      <c r="A277" s="8"/>
      <c r="B277" s="8"/>
      <c r="C277" s="8"/>
      <c r="D277" s="8"/>
      <c r="E277" s="8"/>
      <c r="F277" s="8"/>
      <c r="G277" s="8"/>
      <c r="H277" s="8"/>
      <c r="I277" s="8"/>
      <c r="J277" s="8"/>
      <c r="K277" s="8"/>
      <c r="L277" s="8"/>
      <c r="M277" s="8"/>
      <c r="N277" s="8"/>
      <c r="O277" s="8"/>
      <c r="P277" s="8"/>
      <c r="Q277" s="67" t="s">
        <v>422</v>
      </c>
      <c r="R277" s="67" t="s">
        <v>423</v>
      </c>
      <c r="S277" s="67" t="s">
        <v>1294</v>
      </c>
      <c r="T277" s="8"/>
      <c r="U277" s="8"/>
      <c r="V277" s="8"/>
      <c r="W277" s="8"/>
      <c r="X277" s="8"/>
      <c r="Y277" s="8"/>
    </row>
    <row r="278" spans="1:25" x14ac:dyDescent="0.2">
      <c r="A278" s="8"/>
      <c r="B278" s="8"/>
      <c r="C278" s="8"/>
      <c r="D278" s="8"/>
      <c r="E278" s="8"/>
      <c r="F278" s="8"/>
      <c r="G278" s="8"/>
      <c r="H278" s="8"/>
      <c r="I278" s="8"/>
      <c r="J278" s="8"/>
      <c r="K278" s="8"/>
      <c r="L278" s="8"/>
      <c r="M278" s="8"/>
      <c r="N278" s="8"/>
      <c r="O278" s="8"/>
      <c r="P278" s="8"/>
      <c r="Q278" s="67" t="s">
        <v>422</v>
      </c>
      <c r="R278" s="67" t="s">
        <v>424</v>
      </c>
      <c r="S278" s="67" t="s">
        <v>1149</v>
      </c>
      <c r="T278" s="8"/>
      <c r="U278" s="8"/>
      <c r="V278" s="8"/>
      <c r="W278" s="8"/>
      <c r="X278" s="8"/>
      <c r="Y278" s="8"/>
    </row>
    <row r="279" spans="1:25" x14ac:dyDescent="0.2">
      <c r="A279" s="8"/>
      <c r="B279" s="8"/>
      <c r="C279" s="8"/>
      <c r="D279" s="8"/>
      <c r="E279" s="8"/>
      <c r="F279" s="8"/>
      <c r="G279" s="8"/>
      <c r="H279" s="8"/>
      <c r="I279" s="8"/>
      <c r="J279" s="8"/>
      <c r="K279" s="8"/>
      <c r="L279" s="8"/>
      <c r="M279" s="8"/>
      <c r="N279" s="8"/>
      <c r="O279" s="8"/>
      <c r="P279" s="8"/>
      <c r="Q279" s="67" t="s">
        <v>422</v>
      </c>
      <c r="R279" s="67" t="s">
        <v>425</v>
      </c>
      <c r="S279" s="67" t="s">
        <v>1295</v>
      </c>
      <c r="T279" s="8"/>
      <c r="U279" s="8"/>
      <c r="V279" s="8"/>
      <c r="W279" s="8"/>
      <c r="X279" s="8"/>
      <c r="Y279" s="8"/>
    </row>
    <row r="280" spans="1:25" x14ac:dyDescent="0.2">
      <c r="A280" s="8"/>
      <c r="B280" s="8"/>
      <c r="C280" s="8"/>
      <c r="D280" s="8"/>
      <c r="E280" s="8"/>
      <c r="F280" s="8"/>
      <c r="G280" s="8"/>
      <c r="H280" s="8"/>
      <c r="I280" s="8"/>
      <c r="J280" s="8"/>
      <c r="K280" s="8"/>
      <c r="L280" s="8"/>
      <c r="M280" s="8"/>
      <c r="N280" s="8"/>
      <c r="O280" s="8"/>
      <c r="P280" s="8"/>
      <c r="Q280" s="67" t="s">
        <v>422</v>
      </c>
      <c r="R280" s="67" t="s">
        <v>426</v>
      </c>
      <c r="S280" s="67" t="s">
        <v>1148</v>
      </c>
      <c r="T280" s="8"/>
      <c r="U280" s="8"/>
      <c r="V280" s="8"/>
      <c r="W280" s="8"/>
      <c r="X280" s="8"/>
      <c r="Y280" s="8"/>
    </row>
    <row r="281" spans="1:25" x14ac:dyDescent="0.2">
      <c r="A281" s="8"/>
      <c r="B281" s="8"/>
      <c r="C281" s="8"/>
      <c r="D281" s="8"/>
      <c r="E281" s="8"/>
      <c r="F281" s="8"/>
      <c r="G281" s="8"/>
      <c r="H281" s="8"/>
      <c r="I281" s="8"/>
      <c r="J281" s="8"/>
      <c r="K281" s="8"/>
      <c r="L281" s="8"/>
      <c r="M281" s="8"/>
      <c r="N281" s="8"/>
      <c r="O281" s="8"/>
      <c r="P281" s="8"/>
      <c r="Q281" s="67" t="s">
        <v>422</v>
      </c>
      <c r="R281" s="67" t="s">
        <v>1154</v>
      </c>
      <c r="S281" s="67" t="s">
        <v>1155</v>
      </c>
      <c r="T281" s="8"/>
      <c r="U281" s="8"/>
      <c r="V281" s="8"/>
      <c r="W281" s="8"/>
      <c r="X281" s="8"/>
      <c r="Y281" s="8"/>
    </row>
    <row r="282" spans="1:25" x14ac:dyDescent="0.2">
      <c r="A282" s="8"/>
      <c r="B282" s="8"/>
      <c r="C282" s="8"/>
      <c r="D282" s="8"/>
      <c r="E282" s="8"/>
      <c r="F282" s="8"/>
      <c r="G282" s="8"/>
      <c r="H282" s="8"/>
      <c r="I282" s="8"/>
      <c r="J282" s="8"/>
      <c r="K282" s="8"/>
      <c r="L282" s="8"/>
      <c r="M282" s="8"/>
      <c r="N282" s="8"/>
      <c r="O282" s="8"/>
      <c r="P282" s="8"/>
      <c r="Q282" s="67" t="s">
        <v>422</v>
      </c>
      <c r="R282" s="67" t="s">
        <v>1152</v>
      </c>
      <c r="S282" s="67" t="s">
        <v>1153</v>
      </c>
      <c r="T282" s="8"/>
      <c r="U282" s="8"/>
      <c r="V282" s="8"/>
      <c r="W282" s="8"/>
      <c r="X282" s="8"/>
      <c r="Y282" s="8"/>
    </row>
    <row r="283" spans="1:25" x14ac:dyDescent="0.2">
      <c r="A283" s="8"/>
      <c r="B283" s="8"/>
      <c r="C283" s="8"/>
      <c r="D283" s="8"/>
      <c r="E283" s="8"/>
      <c r="F283" s="8"/>
      <c r="G283" s="8"/>
      <c r="H283" s="8"/>
      <c r="I283" s="8"/>
      <c r="J283" s="8"/>
      <c r="K283" s="8"/>
      <c r="L283" s="8"/>
      <c r="M283" s="8"/>
      <c r="N283" s="8"/>
      <c r="O283" s="8"/>
      <c r="P283" s="8"/>
      <c r="Q283" s="67" t="s">
        <v>422</v>
      </c>
      <c r="R283" s="67" t="s">
        <v>1156</v>
      </c>
      <c r="S283" s="67" t="s">
        <v>427</v>
      </c>
      <c r="T283" s="8"/>
      <c r="U283" s="8"/>
      <c r="V283" s="8"/>
      <c r="W283" s="8"/>
      <c r="X283" s="8"/>
      <c r="Y283" s="8"/>
    </row>
    <row r="284" spans="1:25" x14ac:dyDescent="0.2">
      <c r="A284" s="8"/>
      <c r="B284" s="8"/>
      <c r="C284" s="8"/>
      <c r="D284" s="8"/>
      <c r="E284" s="8"/>
      <c r="F284" s="8"/>
      <c r="G284" s="8"/>
      <c r="H284" s="8"/>
      <c r="I284" s="8"/>
      <c r="J284" s="8"/>
      <c r="K284" s="8"/>
      <c r="L284" s="8"/>
      <c r="M284" s="8"/>
      <c r="N284" s="8"/>
      <c r="O284" s="8"/>
      <c r="P284" s="8"/>
      <c r="Q284" s="67" t="s">
        <v>422</v>
      </c>
      <c r="R284" s="67" t="s">
        <v>1150</v>
      </c>
      <c r="S284" s="67" t="s">
        <v>1151</v>
      </c>
      <c r="T284" s="8"/>
      <c r="U284" s="8"/>
      <c r="V284" s="8"/>
      <c r="W284" s="8"/>
      <c r="X284" s="8"/>
      <c r="Y284" s="8"/>
    </row>
    <row r="285" spans="1:25" x14ac:dyDescent="0.2">
      <c r="A285" s="8"/>
      <c r="B285" s="8"/>
      <c r="C285" s="8"/>
      <c r="D285" s="8"/>
      <c r="E285" s="8"/>
      <c r="F285" s="8"/>
      <c r="G285" s="8"/>
      <c r="H285" s="8"/>
      <c r="I285" s="8"/>
      <c r="J285" s="8"/>
      <c r="K285" s="8"/>
      <c r="L285" s="8"/>
      <c r="M285" s="8"/>
      <c r="N285" s="8"/>
      <c r="O285" s="8"/>
      <c r="P285" s="8"/>
      <c r="Q285" s="67" t="s">
        <v>422</v>
      </c>
      <c r="R285" s="67" t="s">
        <v>1296</v>
      </c>
      <c r="S285" s="67" t="s">
        <v>1297</v>
      </c>
      <c r="T285" s="8"/>
      <c r="U285" s="8"/>
      <c r="V285" s="8"/>
      <c r="W285" s="8"/>
      <c r="X285" s="8"/>
      <c r="Y285" s="8"/>
    </row>
    <row r="286" spans="1:25" x14ac:dyDescent="0.2">
      <c r="A286" s="8"/>
      <c r="B286" s="8"/>
      <c r="C286" s="8"/>
      <c r="D286" s="8"/>
      <c r="E286" s="8"/>
      <c r="F286" s="8"/>
      <c r="G286" s="8"/>
      <c r="H286" s="8"/>
      <c r="I286" s="8"/>
      <c r="J286" s="8"/>
      <c r="K286" s="8"/>
      <c r="L286" s="8"/>
      <c r="M286" s="8"/>
      <c r="N286" s="8"/>
      <c r="O286" s="8"/>
      <c r="P286" s="8"/>
      <c r="Q286" s="67" t="s">
        <v>428</v>
      </c>
      <c r="R286" s="67" t="s">
        <v>1162</v>
      </c>
      <c r="S286" s="67" t="s">
        <v>1163</v>
      </c>
      <c r="T286" s="8"/>
      <c r="U286" s="8"/>
      <c r="V286" s="8"/>
      <c r="W286" s="8"/>
      <c r="X286" s="8"/>
      <c r="Y286" s="8"/>
    </row>
    <row r="287" spans="1:25" x14ac:dyDescent="0.2">
      <c r="A287" s="8"/>
      <c r="B287" s="8"/>
      <c r="C287" s="8"/>
      <c r="D287" s="8"/>
      <c r="E287" s="8"/>
      <c r="F287" s="8"/>
      <c r="G287" s="8"/>
      <c r="H287" s="8"/>
      <c r="I287" s="8"/>
      <c r="J287" s="8"/>
      <c r="K287" s="8"/>
      <c r="L287" s="8"/>
      <c r="M287" s="8"/>
      <c r="N287" s="8"/>
      <c r="O287" s="8"/>
      <c r="P287" s="8"/>
      <c r="Q287" s="67" t="s">
        <v>428</v>
      </c>
      <c r="R287" s="67" t="s">
        <v>1164</v>
      </c>
      <c r="S287" s="67" t="s">
        <v>1165</v>
      </c>
      <c r="T287" s="8"/>
      <c r="U287" s="8"/>
      <c r="V287" s="8"/>
      <c r="W287" s="8"/>
      <c r="X287" s="8"/>
      <c r="Y287" s="8"/>
    </row>
    <row r="288" spans="1:25" x14ac:dyDescent="0.2">
      <c r="A288" s="8"/>
      <c r="B288" s="8"/>
      <c r="C288" s="8"/>
      <c r="D288" s="8"/>
      <c r="E288" s="8"/>
      <c r="F288" s="8"/>
      <c r="G288" s="8"/>
      <c r="H288" s="8"/>
      <c r="I288" s="8"/>
      <c r="J288" s="8"/>
      <c r="K288" s="8"/>
      <c r="L288" s="8"/>
      <c r="M288" s="8"/>
      <c r="N288" s="8"/>
      <c r="O288" s="8"/>
      <c r="P288" s="8"/>
      <c r="Q288" s="67" t="s">
        <v>428</v>
      </c>
      <c r="R288" s="67" t="s">
        <v>429</v>
      </c>
      <c r="S288" s="67" t="s">
        <v>1160</v>
      </c>
      <c r="T288" s="8"/>
      <c r="U288" s="8"/>
      <c r="V288" s="8"/>
      <c r="W288" s="8"/>
      <c r="X288" s="8"/>
      <c r="Y288" s="8"/>
    </row>
    <row r="289" spans="1:25" x14ac:dyDescent="0.2">
      <c r="A289" s="8"/>
      <c r="B289" s="8"/>
      <c r="C289" s="8"/>
      <c r="D289" s="8"/>
      <c r="E289" s="8"/>
      <c r="F289" s="8"/>
      <c r="G289" s="8"/>
      <c r="H289" s="8"/>
      <c r="I289" s="8"/>
      <c r="J289" s="8"/>
      <c r="K289" s="8"/>
      <c r="L289" s="8"/>
      <c r="M289" s="8"/>
      <c r="N289" s="8"/>
      <c r="O289" s="8"/>
      <c r="P289" s="8"/>
      <c r="Q289" s="67" t="s">
        <v>428</v>
      </c>
      <c r="R289" s="67" t="s">
        <v>1157</v>
      </c>
      <c r="S289" s="67" t="s">
        <v>1158</v>
      </c>
      <c r="T289" s="8"/>
      <c r="U289" s="8"/>
      <c r="V289" s="8"/>
      <c r="W289" s="8"/>
      <c r="X289" s="8"/>
      <c r="Y289" s="8"/>
    </row>
    <row r="290" spans="1:25" x14ac:dyDescent="0.2">
      <c r="A290" s="8"/>
      <c r="B290" s="8"/>
      <c r="C290" s="8"/>
      <c r="D290" s="8"/>
      <c r="E290" s="8"/>
      <c r="F290" s="8"/>
      <c r="G290" s="8"/>
      <c r="H290" s="8"/>
      <c r="I290" s="8"/>
      <c r="J290" s="8"/>
      <c r="K290" s="8"/>
      <c r="L290" s="8"/>
      <c r="M290" s="8"/>
      <c r="N290" s="8"/>
      <c r="O290" s="8"/>
      <c r="P290" s="8"/>
      <c r="Q290" s="67" t="s">
        <v>428</v>
      </c>
      <c r="R290" s="67" t="s">
        <v>430</v>
      </c>
      <c r="S290" s="67" t="s">
        <v>1159</v>
      </c>
      <c r="T290" s="8"/>
      <c r="U290" s="8"/>
      <c r="V290" s="8"/>
      <c r="W290" s="8"/>
      <c r="X290" s="8"/>
      <c r="Y290" s="8"/>
    </row>
    <row r="291" spans="1:25" x14ac:dyDescent="0.2">
      <c r="A291" s="8"/>
      <c r="B291" s="8"/>
      <c r="C291" s="8"/>
      <c r="D291" s="8"/>
      <c r="E291" s="8"/>
      <c r="F291" s="8"/>
      <c r="G291" s="8"/>
      <c r="H291" s="8"/>
      <c r="I291" s="8"/>
      <c r="J291" s="8"/>
      <c r="K291" s="8"/>
      <c r="L291" s="8"/>
      <c r="M291" s="8"/>
      <c r="N291" s="8"/>
      <c r="O291" s="8"/>
      <c r="P291" s="8"/>
      <c r="Q291" s="67" t="s">
        <v>428</v>
      </c>
      <c r="R291" s="67" t="s">
        <v>431</v>
      </c>
      <c r="S291" s="67" t="s">
        <v>1161</v>
      </c>
      <c r="T291" s="8"/>
      <c r="U291" s="8"/>
      <c r="V291" s="8"/>
      <c r="W291" s="8"/>
      <c r="X291" s="8"/>
      <c r="Y291" s="8"/>
    </row>
    <row r="292" spans="1:25" x14ac:dyDescent="0.2">
      <c r="A292" s="8"/>
      <c r="B292" s="8"/>
      <c r="C292" s="8"/>
      <c r="D292" s="8"/>
      <c r="E292" s="8"/>
      <c r="F292" s="8"/>
      <c r="G292" s="8"/>
      <c r="H292" s="8"/>
      <c r="I292" s="8"/>
      <c r="J292" s="8"/>
      <c r="K292" s="8"/>
      <c r="L292" s="8"/>
      <c r="M292" s="8"/>
      <c r="N292" s="8"/>
      <c r="O292" s="8"/>
      <c r="P292" s="8"/>
      <c r="Q292" s="67" t="s">
        <v>428</v>
      </c>
      <c r="R292" s="67" t="s">
        <v>1298</v>
      </c>
      <c r="S292" s="67" t="s">
        <v>1299</v>
      </c>
      <c r="T292" s="8"/>
      <c r="U292" s="8"/>
      <c r="V292" s="8"/>
      <c r="W292" s="8"/>
      <c r="X292" s="8"/>
      <c r="Y292" s="8"/>
    </row>
    <row r="293" spans="1:25" x14ac:dyDescent="0.2">
      <c r="A293" s="8"/>
      <c r="B293" s="8"/>
      <c r="C293" s="8"/>
      <c r="D293" s="8"/>
      <c r="E293" s="8"/>
      <c r="F293" s="8"/>
      <c r="G293" s="8"/>
      <c r="H293" s="8"/>
      <c r="I293" s="8"/>
      <c r="J293" s="8"/>
      <c r="K293" s="8"/>
      <c r="L293" s="8"/>
      <c r="M293" s="8"/>
      <c r="N293" s="8"/>
      <c r="O293" s="8"/>
      <c r="P293" s="8"/>
      <c r="Q293" s="67" t="s">
        <v>432</v>
      </c>
      <c r="R293" s="67" t="s">
        <v>433</v>
      </c>
      <c r="S293" s="67" t="s">
        <v>1219</v>
      </c>
      <c r="T293" s="8"/>
      <c r="U293" s="8"/>
      <c r="V293" s="8"/>
      <c r="W293" s="8"/>
      <c r="X293" s="8"/>
      <c r="Y293" s="8"/>
    </row>
    <row r="294" spans="1:25" x14ac:dyDescent="0.2">
      <c r="A294" s="8"/>
      <c r="B294" s="8"/>
      <c r="C294" s="8"/>
      <c r="D294" s="8"/>
      <c r="E294" s="8"/>
      <c r="F294" s="8"/>
      <c r="G294" s="8"/>
      <c r="H294" s="8"/>
      <c r="I294" s="8"/>
      <c r="J294" s="8"/>
      <c r="K294" s="8"/>
      <c r="L294" s="8"/>
      <c r="M294" s="8"/>
      <c r="N294" s="8"/>
      <c r="O294" s="8"/>
      <c r="P294" s="8"/>
      <c r="Q294" s="67" t="s">
        <v>434</v>
      </c>
      <c r="R294" s="67" t="s">
        <v>435</v>
      </c>
      <c r="S294" s="67" t="s">
        <v>444</v>
      </c>
      <c r="T294" s="8"/>
      <c r="U294" s="8"/>
      <c r="V294" s="8"/>
      <c r="W294" s="8"/>
      <c r="X294" s="8"/>
      <c r="Y294" s="8"/>
    </row>
    <row r="295" spans="1:25" x14ac:dyDescent="0.2">
      <c r="A295" s="8"/>
      <c r="B295" s="8"/>
      <c r="C295" s="8"/>
      <c r="D295" s="8"/>
      <c r="E295" s="8"/>
      <c r="F295" s="8"/>
      <c r="G295" s="8"/>
      <c r="H295" s="8"/>
      <c r="I295" s="8"/>
      <c r="J295" s="8"/>
      <c r="K295" s="8"/>
      <c r="L295" s="8"/>
      <c r="M295" s="8"/>
      <c r="N295" s="8"/>
      <c r="O295" s="8"/>
      <c r="P295" s="8"/>
      <c r="Q295" s="67" t="s">
        <v>434</v>
      </c>
      <c r="R295" s="67" t="s">
        <v>1300</v>
      </c>
      <c r="S295" s="67" t="s">
        <v>1247</v>
      </c>
      <c r="T295" s="8"/>
      <c r="U295" s="8"/>
      <c r="V295" s="8"/>
      <c r="W295" s="8"/>
      <c r="X295" s="8"/>
      <c r="Y295" s="8"/>
    </row>
    <row r="296" spans="1:25" x14ac:dyDescent="0.2">
      <c r="A296" s="8"/>
      <c r="B296" s="8"/>
      <c r="C296" s="8"/>
      <c r="D296" s="8"/>
      <c r="E296" s="8"/>
      <c r="F296" s="8"/>
      <c r="G296" s="8"/>
      <c r="H296" s="8"/>
      <c r="I296" s="8"/>
      <c r="J296" s="8"/>
      <c r="K296" s="8"/>
      <c r="L296" s="8"/>
      <c r="M296" s="8"/>
      <c r="N296" s="8"/>
      <c r="O296" s="8"/>
      <c r="P296" s="8"/>
      <c r="Q296" s="67" t="s">
        <v>434</v>
      </c>
      <c r="R296" s="67" t="s">
        <v>1301</v>
      </c>
      <c r="S296" s="67" t="s">
        <v>1302</v>
      </c>
      <c r="T296" s="8"/>
      <c r="U296" s="8"/>
      <c r="V296" s="8"/>
      <c r="W296" s="8"/>
      <c r="X296" s="8"/>
      <c r="Y296" s="8"/>
    </row>
    <row r="297" spans="1:25" x14ac:dyDescent="0.2">
      <c r="A297" s="8"/>
      <c r="B297" s="8"/>
      <c r="C297" s="8"/>
      <c r="D297" s="8"/>
      <c r="E297" s="8"/>
      <c r="F297" s="8"/>
      <c r="G297" s="8"/>
      <c r="H297" s="8"/>
      <c r="I297" s="8"/>
      <c r="J297" s="8"/>
      <c r="K297" s="8"/>
      <c r="L297" s="8"/>
      <c r="M297" s="8"/>
      <c r="N297" s="8"/>
      <c r="O297" s="8"/>
      <c r="P297" s="8"/>
      <c r="Q297" s="67" t="s">
        <v>434</v>
      </c>
      <c r="R297" s="67" t="s">
        <v>1303</v>
      </c>
      <c r="S297" s="67" t="s">
        <v>1304</v>
      </c>
      <c r="T297" s="8"/>
      <c r="U297" s="8"/>
      <c r="V297" s="8"/>
      <c r="W297" s="8"/>
      <c r="X297" s="8"/>
      <c r="Y297" s="8"/>
    </row>
    <row r="298" spans="1:25" x14ac:dyDescent="0.2">
      <c r="A298" s="8"/>
      <c r="B298" s="8"/>
      <c r="C298" s="8"/>
      <c r="D298" s="8"/>
      <c r="E298" s="8"/>
      <c r="F298" s="8"/>
      <c r="G298" s="8"/>
      <c r="H298" s="8"/>
      <c r="I298" s="8"/>
      <c r="J298" s="8"/>
      <c r="K298" s="8"/>
      <c r="L298" s="8"/>
      <c r="M298" s="8"/>
      <c r="N298" s="8"/>
      <c r="O298" s="8"/>
      <c r="P298" s="8"/>
      <c r="Q298" s="67" t="s">
        <v>434</v>
      </c>
      <c r="R298" s="67" t="s">
        <v>1305</v>
      </c>
      <c r="S298" s="67" t="s">
        <v>1222</v>
      </c>
      <c r="T298" s="8"/>
      <c r="U298" s="8"/>
      <c r="V298" s="8"/>
      <c r="W298" s="8"/>
      <c r="X298" s="8"/>
      <c r="Y298" s="8"/>
    </row>
    <row r="299" spans="1:25" x14ac:dyDescent="0.2">
      <c r="A299" s="8"/>
      <c r="B299" s="8"/>
      <c r="C299" s="8"/>
      <c r="D299" s="8"/>
      <c r="E299" s="8"/>
      <c r="F299" s="8"/>
      <c r="G299" s="8"/>
      <c r="H299" s="8"/>
      <c r="I299" s="8"/>
      <c r="J299" s="8"/>
      <c r="K299" s="8"/>
      <c r="L299" s="8"/>
      <c r="M299" s="8"/>
      <c r="N299" s="8"/>
      <c r="O299" s="8"/>
      <c r="P299" s="8"/>
      <c r="Q299" s="67" t="s">
        <v>436</v>
      </c>
      <c r="R299" s="67" t="s">
        <v>437</v>
      </c>
      <c r="S299" s="67" t="s">
        <v>1166</v>
      </c>
      <c r="T299" s="8"/>
      <c r="U299" s="8"/>
      <c r="V299" s="8"/>
      <c r="W299" s="8"/>
      <c r="X299" s="8"/>
      <c r="Y299" s="8"/>
    </row>
    <row r="300" spans="1:25" x14ac:dyDescent="0.2">
      <c r="A300" s="8"/>
      <c r="B300" s="8"/>
      <c r="C300" s="8"/>
      <c r="D300" s="8"/>
      <c r="E300" s="8"/>
      <c r="F300" s="8"/>
      <c r="G300" s="8"/>
      <c r="H300" s="8"/>
      <c r="I300" s="8"/>
      <c r="J300" s="8"/>
      <c r="K300" s="8"/>
      <c r="L300" s="8"/>
      <c r="M300" s="8"/>
      <c r="N300" s="8"/>
      <c r="O300" s="8"/>
      <c r="P300" s="8"/>
      <c r="Q300" s="67" t="s">
        <v>436</v>
      </c>
      <c r="R300" s="67" t="s">
        <v>1167</v>
      </c>
      <c r="S300" s="67" t="s">
        <v>1168</v>
      </c>
      <c r="T300" s="8"/>
      <c r="U300" s="8"/>
      <c r="V300" s="8"/>
      <c r="W300" s="8"/>
      <c r="X300" s="8"/>
      <c r="Y300" s="8"/>
    </row>
    <row r="301" spans="1:25" x14ac:dyDescent="0.2">
      <c r="A301" s="8"/>
      <c r="B301" s="8"/>
      <c r="C301" s="8"/>
      <c r="D301" s="8"/>
      <c r="E301" s="8"/>
      <c r="F301" s="8"/>
      <c r="G301" s="8"/>
      <c r="H301" s="8"/>
      <c r="I301" s="8"/>
      <c r="J301" s="8"/>
      <c r="K301" s="8"/>
      <c r="L301" s="8"/>
      <c r="M301" s="8"/>
      <c r="N301" s="8"/>
      <c r="O301" s="8"/>
      <c r="P301" s="8"/>
      <c r="Q301" s="67" t="s">
        <v>438</v>
      </c>
      <c r="R301" s="67" t="s">
        <v>439</v>
      </c>
      <c r="S301" s="67" t="s">
        <v>968</v>
      </c>
      <c r="T301" s="8"/>
      <c r="U301" s="8"/>
      <c r="V301" s="8"/>
      <c r="W301" s="8"/>
      <c r="X301" s="8"/>
      <c r="Y301" s="8"/>
    </row>
    <row r="302" spans="1:25" x14ac:dyDescent="0.2">
      <c r="A302" s="8"/>
      <c r="B302" s="8"/>
      <c r="C302" s="8"/>
      <c r="D302" s="8"/>
      <c r="E302" s="8"/>
      <c r="F302" s="8"/>
      <c r="G302" s="8"/>
      <c r="H302" s="8"/>
      <c r="I302" s="8"/>
      <c r="J302" s="8"/>
      <c r="K302" s="8"/>
      <c r="L302" s="8"/>
      <c r="M302" s="8"/>
      <c r="N302" s="8"/>
      <c r="O302" s="8"/>
      <c r="P302" s="8"/>
      <c r="Q302" s="67" t="s">
        <v>438</v>
      </c>
      <c r="R302" s="67" t="s">
        <v>1169</v>
      </c>
      <c r="S302" s="67" t="s">
        <v>1170</v>
      </c>
      <c r="T302" s="8"/>
      <c r="U302" s="8"/>
      <c r="V302" s="8"/>
      <c r="W302" s="8"/>
      <c r="X302" s="8"/>
      <c r="Y302" s="8"/>
    </row>
    <row r="303" spans="1:25" x14ac:dyDescent="0.2">
      <c r="A303" s="8"/>
      <c r="B303" s="8"/>
      <c r="C303" s="8"/>
      <c r="D303" s="8"/>
      <c r="E303" s="8"/>
      <c r="F303" s="8"/>
      <c r="G303" s="8"/>
      <c r="H303" s="8"/>
      <c r="I303" s="8"/>
      <c r="J303" s="8"/>
      <c r="K303" s="8"/>
      <c r="L303" s="8"/>
      <c r="M303" s="8"/>
      <c r="N303" s="8"/>
      <c r="O303" s="8"/>
      <c r="P303" s="8"/>
      <c r="Q303" s="67" t="s">
        <v>438</v>
      </c>
      <c r="R303" s="67" t="s">
        <v>440</v>
      </c>
      <c r="S303" s="67" t="s">
        <v>1306</v>
      </c>
      <c r="T303" s="8"/>
      <c r="U303" s="8"/>
      <c r="V303" s="8"/>
      <c r="W303" s="8"/>
      <c r="X303" s="8"/>
      <c r="Y303" s="8"/>
    </row>
    <row r="304" spans="1:25" x14ac:dyDescent="0.2">
      <c r="A304" s="8"/>
      <c r="B304" s="8"/>
      <c r="C304" s="8"/>
      <c r="D304" s="8"/>
      <c r="E304" s="8"/>
      <c r="F304" s="8"/>
      <c r="G304" s="8"/>
      <c r="H304" s="8"/>
      <c r="I304" s="8"/>
      <c r="J304" s="8"/>
      <c r="K304" s="8"/>
      <c r="L304" s="8"/>
      <c r="M304" s="8"/>
      <c r="N304" s="8"/>
      <c r="O304" s="8"/>
      <c r="P304" s="8"/>
      <c r="Q304" s="67" t="s">
        <v>438</v>
      </c>
      <c r="R304" s="67" t="s">
        <v>441</v>
      </c>
      <c r="S304" s="67" t="s">
        <v>1171</v>
      </c>
      <c r="T304" s="8"/>
      <c r="U304" s="8"/>
      <c r="V304" s="8"/>
      <c r="W304" s="8"/>
      <c r="X304" s="8"/>
      <c r="Y304" s="8"/>
    </row>
    <row r="305" spans="1:25" x14ac:dyDescent="0.2">
      <c r="A305" s="8"/>
      <c r="B305" s="8"/>
      <c r="C305" s="8"/>
      <c r="D305" s="8"/>
      <c r="E305" s="8"/>
      <c r="F305" s="8"/>
      <c r="G305" s="8"/>
      <c r="H305" s="8"/>
      <c r="I305" s="8"/>
      <c r="J305" s="8"/>
      <c r="K305" s="8"/>
      <c r="L305" s="8"/>
      <c r="M305" s="8"/>
      <c r="N305" s="8"/>
      <c r="O305" s="8"/>
      <c r="P305" s="8"/>
      <c r="Q305" s="67" t="s">
        <v>443</v>
      </c>
      <c r="R305" s="67" t="s">
        <v>1307</v>
      </c>
      <c r="S305" s="67" t="s">
        <v>1308</v>
      </c>
      <c r="T305" s="8"/>
      <c r="U305" s="8"/>
      <c r="V305" s="8"/>
      <c r="W305" s="8"/>
      <c r="X305" s="8"/>
      <c r="Y305" s="8"/>
    </row>
    <row r="306" spans="1:25" x14ac:dyDescent="0.2">
      <c r="A306" s="8"/>
      <c r="B306" s="8"/>
      <c r="C306" s="8"/>
      <c r="D306" s="8"/>
      <c r="E306" s="8"/>
      <c r="F306" s="8"/>
      <c r="G306" s="8"/>
      <c r="H306" s="8"/>
      <c r="I306" s="8"/>
      <c r="J306" s="8"/>
      <c r="K306" s="8"/>
      <c r="L306" s="8"/>
      <c r="M306" s="8"/>
      <c r="N306" s="8"/>
      <c r="O306" s="8"/>
      <c r="P306" s="8"/>
      <c r="Q306" s="67" t="s">
        <v>443</v>
      </c>
      <c r="R306" s="67" t="s">
        <v>1309</v>
      </c>
      <c r="S306" s="67" t="s">
        <v>1310</v>
      </c>
      <c r="T306" s="8"/>
      <c r="U306" s="8"/>
      <c r="V306" s="8"/>
      <c r="W306" s="8"/>
      <c r="X306" s="8"/>
      <c r="Y306" s="8"/>
    </row>
    <row r="307" spans="1:25" x14ac:dyDescent="0.2">
      <c r="A307" s="8"/>
      <c r="B307" s="8"/>
      <c r="C307" s="8"/>
      <c r="D307" s="8"/>
      <c r="E307" s="8"/>
      <c r="F307" s="8"/>
      <c r="G307" s="8"/>
      <c r="H307" s="8"/>
      <c r="I307" s="8"/>
      <c r="J307" s="8"/>
      <c r="K307" s="8"/>
      <c r="L307" s="8"/>
      <c r="M307" s="8"/>
      <c r="N307" s="8"/>
      <c r="O307" s="8"/>
      <c r="P307" s="8"/>
      <c r="Q307" s="67" t="s">
        <v>443</v>
      </c>
      <c r="R307" s="67" t="s">
        <v>1172</v>
      </c>
      <c r="S307" s="67" t="s">
        <v>444</v>
      </c>
      <c r="T307" s="8"/>
      <c r="U307" s="8"/>
      <c r="V307" s="8"/>
      <c r="W307" s="8"/>
      <c r="X307" s="8"/>
      <c r="Y307" s="8"/>
    </row>
    <row r="308" spans="1:25" x14ac:dyDescent="0.2">
      <c r="A308" s="8"/>
      <c r="B308" s="8"/>
      <c r="C308" s="8"/>
      <c r="D308" s="8"/>
      <c r="E308" s="8"/>
      <c r="F308" s="8"/>
      <c r="G308" s="8"/>
      <c r="H308" s="8"/>
      <c r="I308" s="8"/>
      <c r="J308" s="8"/>
      <c r="K308" s="8"/>
      <c r="L308" s="8"/>
      <c r="M308" s="8"/>
      <c r="N308" s="8"/>
      <c r="O308" s="8"/>
      <c r="P308" s="8"/>
      <c r="Q308" s="67" t="s">
        <v>443</v>
      </c>
      <c r="R308" s="67" t="s">
        <v>1311</v>
      </c>
      <c r="S308" s="67" t="s">
        <v>1312</v>
      </c>
      <c r="T308" s="8"/>
      <c r="U308" s="8"/>
      <c r="V308" s="8"/>
      <c r="W308" s="8"/>
      <c r="X308" s="8"/>
      <c r="Y308" s="8"/>
    </row>
    <row r="309" spans="1:25" x14ac:dyDescent="0.2">
      <c r="A309" s="8"/>
      <c r="B309" s="8"/>
      <c r="C309" s="8"/>
      <c r="D309" s="8"/>
      <c r="E309" s="8"/>
      <c r="F309" s="8"/>
      <c r="G309" s="8"/>
      <c r="H309" s="8"/>
      <c r="I309" s="8"/>
      <c r="J309" s="8"/>
      <c r="K309" s="8"/>
      <c r="L309" s="8"/>
      <c r="M309" s="8"/>
      <c r="N309" s="8"/>
      <c r="O309" s="8"/>
      <c r="P309" s="8"/>
      <c r="Q309" s="67" t="s">
        <v>445</v>
      </c>
      <c r="R309" s="67" t="s">
        <v>446</v>
      </c>
      <c r="S309" s="67" t="s">
        <v>442</v>
      </c>
      <c r="T309" s="8"/>
      <c r="U309" s="8"/>
      <c r="V309" s="8"/>
      <c r="W309" s="8"/>
      <c r="X309" s="8"/>
      <c r="Y309" s="8"/>
    </row>
    <row r="310" spans="1:25" x14ac:dyDescent="0.2">
      <c r="A310" s="8"/>
      <c r="B310" s="8"/>
      <c r="C310" s="8"/>
      <c r="D310" s="8"/>
      <c r="E310" s="8"/>
      <c r="F310" s="8"/>
      <c r="G310" s="8"/>
      <c r="H310" s="8"/>
      <c r="I310" s="8"/>
      <c r="J310" s="8"/>
      <c r="K310" s="8"/>
      <c r="L310" s="8"/>
      <c r="M310" s="8"/>
      <c r="N310" s="8"/>
      <c r="O310" s="8"/>
      <c r="P310" s="8"/>
      <c r="Q310" s="67" t="s">
        <v>445</v>
      </c>
      <c r="R310" s="67" t="s">
        <v>447</v>
      </c>
      <c r="S310" s="67" t="s">
        <v>1313</v>
      </c>
      <c r="T310" s="8"/>
      <c r="U310" s="8"/>
      <c r="V310" s="8"/>
      <c r="W310" s="8"/>
      <c r="X310" s="8"/>
      <c r="Y310" s="8"/>
    </row>
    <row r="311" spans="1:25" x14ac:dyDescent="0.2">
      <c r="A311" s="8"/>
      <c r="B311" s="8"/>
      <c r="C311" s="8"/>
      <c r="D311" s="8"/>
      <c r="E311" s="8"/>
      <c r="F311" s="8"/>
      <c r="G311" s="8"/>
      <c r="H311" s="8"/>
      <c r="I311" s="8"/>
      <c r="J311" s="8"/>
      <c r="K311" s="8"/>
      <c r="L311" s="8"/>
      <c r="M311" s="8"/>
      <c r="N311" s="8"/>
      <c r="O311" s="8"/>
      <c r="P311" s="8"/>
      <c r="Q311" s="67" t="s">
        <v>448</v>
      </c>
      <c r="R311" s="67" t="s">
        <v>449</v>
      </c>
      <c r="S311" s="67" t="s">
        <v>450</v>
      </c>
      <c r="T311" s="8"/>
      <c r="U311" s="8"/>
      <c r="V311" s="8"/>
      <c r="W311" s="8"/>
      <c r="X311" s="8"/>
      <c r="Y311" s="8"/>
    </row>
    <row r="312" spans="1:25" x14ac:dyDescent="0.2">
      <c r="A312" s="8"/>
      <c r="B312" s="8"/>
      <c r="C312" s="8"/>
      <c r="D312" s="8"/>
      <c r="E312" s="8"/>
      <c r="F312" s="8"/>
      <c r="G312" s="8"/>
      <c r="H312" s="8"/>
      <c r="I312" s="8"/>
      <c r="J312" s="8"/>
      <c r="K312" s="8"/>
      <c r="L312" s="8"/>
      <c r="M312" s="8"/>
      <c r="N312" s="8"/>
      <c r="O312" s="8"/>
      <c r="P312" s="8"/>
      <c r="Q312" s="67" t="s">
        <v>448</v>
      </c>
      <c r="R312" s="67" t="s">
        <v>451</v>
      </c>
      <c r="S312" s="67" t="s">
        <v>452</v>
      </c>
      <c r="T312" s="8"/>
      <c r="U312" s="8"/>
      <c r="V312" s="8"/>
      <c r="W312" s="8"/>
      <c r="X312" s="8"/>
      <c r="Y312" s="8"/>
    </row>
    <row r="313" spans="1:25" x14ac:dyDescent="0.2">
      <c r="A313" s="8"/>
      <c r="B313" s="8"/>
      <c r="C313" s="8"/>
      <c r="D313" s="8"/>
      <c r="E313" s="8"/>
      <c r="F313" s="8"/>
      <c r="G313" s="8"/>
      <c r="H313" s="8"/>
      <c r="I313" s="8"/>
      <c r="J313" s="8"/>
      <c r="K313" s="8"/>
      <c r="L313" s="8"/>
      <c r="M313" s="8"/>
      <c r="N313" s="8"/>
      <c r="O313" s="8"/>
      <c r="P313" s="8"/>
      <c r="Q313" s="67" t="s">
        <v>448</v>
      </c>
      <c r="R313" s="67" t="s">
        <v>453</v>
      </c>
      <c r="S313" s="67" t="s">
        <v>1314</v>
      </c>
      <c r="T313" s="8"/>
      <c r="U313" s="8"/>
      <c r="V313" s="8"/>
      <c r="W313" s="8"/>
      <c r="X313" s="8"/>
      <c r="Y313" s="8"/>
    </row>
    <row r="314" spans="1:25" x14ac:dyDescent="0.2">
      <c r="A314" s="8"/>
      <c r="B314" s="8"/>
      <c r="C314" s="8"/>
      <c r="D314" s="8"/>
      <c r="E314" s="8"/>
      <c r="F314" s="8"/>
      <c r="G314" s="8"/>
      <c r="H314" s="8"/>
      <c r="I314" s="8"/>
      <c r="J314" s="8"/>
      <c r="K314" s="8"/>
      <c r="L314" s="8"/>
      <c r="M314" s="8"/>
      <c r="N314" s="8"/>
      <c r="O314" s="8"/>
      <c r="P314" s="8"/>
      <c r="Q314" s="67" t="s">
        <v>448</v>
      </c>
      <c r="R314" s="67" t="s">
        <v>454</v>
      </c>
      <c r="S314" s="67" t="s">
        <v>1315</v>
      </c>
      <c r="T314" s="8"/>
      <c r="U314" s="8"/>
      <c r="V314" s="8"/>
      <c r="W314" s="8"/>
      <c r="X314" s="8"/>
      <c r="Y314" s="8"/>
    </row>
    <row r="315" spans="1:25" x14ac:dyDescent="0.2">
      <c r="A315" s="8"/>
      <c r="B315" s="8"/>
      <c r="C315" s="8"/>
      <c r="D315" s="8"/>
      <c r="E315" s="8"/>
      <c r="F315" s="8"/>
      <c r="G315" s="8"/>
      <c r="H315" s="8"/>
      <c r="I315" s="8"/>
      <c r="J315" s="8"/>
      <c r="K315" s="8"/>
      <c r="L315" s="8"/>
      <c r="M315" s="8"/>
      <c r="N315" s="8"/>
      <c r="O315" s="8"/>
      <c r="P315" s="8"/>
      <c r="Q315" s="67" t="s">
        <v>455</v>
      </c>
      <c r="R315" s="67" t="s">
        <v>456</v>
      </c>
      <c r="S315" s="67" t="s">
        <v>442</v>
      </c>
      <c r="T315" s="8"/>
      <c r="U315" s="8"/>
      <c r="V315" s="8"/>
      <c r="W315" s="8"/>
      <c r="X315" s="8"/>
      <c r="Y315" s="8"/>
    </row>
    <row r="316" spans="1:25" x14ac:dyDescent="0.2">
      <c r="A316" s="8"/>
      <c r="B316" s="8"/>
      <c r="C316" s="8"/>
      <c r="D316" s="8"/>
      <c r="E316" s="8"/>
      <c r="F316" s="8"/>
      <c r="G316" s="8"/>
      <c r="H316" s="8"/>
      <c r="I316" s="8"/>
      <c r="J316" s="8"/>
      <c r="K316" s="8"/>
      <c r="L316" s="8"/>
      <c r="M316" s="8"/>
      <c r="N316" s="8"/>
      <c r="O316" s="8"/>
      <c r="P316" s="8"/>
      <c r="Q316" s="67" t="s">
        <v>457</v>
      </c>
      <c r="R316" s="67" t="s">
        <v>458</v>
      </c>
      <c r="S316" s="67" t="s">
        <v>1219</v>
      </c>
      <c r="T316" s="8"/>
      <c r="U316" s="8"/>
      <c r="V316" s="8"/>
      <c r="W316" s="8"/>
      <c r="X316" s="8"/>
      <c r="Y316" s="8"/>
    </row>
    <row r="317" spans="1:25" x14ac:dyDescent="0.2">
      <c r="A317" s="8"/>
      <c r="B317" s="8"/>
      <c r="C317" s="8"/>
      <c r="D317" s="8"/>
      <c r="E317" s="8"/>
      <c r="F317" s="8"/>
      <c r="G317" s="8"/>
      <c r="H317" s="8"/>
      <c r="I317" s="8"/>
      <c r="J317" s="8"/>
      <c r="K317" s="8"/>
      <c r="L317" s="8"/>
      <c r="M317" s="8"/>
      <c r="N317" s="8"/>
      <c r="O317" s="8"/>
      <c r="P317" s="8"/>
      <c r="Q317" s="67" t="s">
        <v>459</v>
      </c>
      <c r="R317" s="67" t="s">
        <v>1174</v>
      </c>
      <c r="S317" s="67" t="s">
        <v>959</v>
      </c>
      <c r="T317" s="8"/>
      <c r="U317" s="8"/>
      <c r="V317" s="8"/>
      <c r="W317" s="8"/>
      <c r="X317" s="8"/>
      <c r="Y317" s="8"/>
    </row>
    <row r="318" spans="1:25" x14ac:dyDescent="0.2">
      <c r="A318" s="8"/>
      <c r="B318" s="8"/>
      <c r="C318" s="8"/>
      <c r="D318" s="8"/>
      <c r="E318" s="8"/>
      <c r="F318" s="8"/>
      <c r="G318" s="8"/>
      <c r="H318" s="8"/>
      <c r="I318" s="8"/>
      <c r="J318" s="8"/>
      <c r="K318" s="8"/>
      <c r="L318" s="8"/>
      <c r="M318" s="8"/>
      <c r="N318" s="8"/>
      <c r="O318" s="8"/>
      <c r="P318" s="8"/>
      <c r="Q318" s="67" t="s">
        <v>459</v>
      </c>
      <c r="R318" s="67" t="s">
        <v>1177</v>
      </c>
      <c r="S318" s="67" t="s">
        <v>1178</v>
      </c>
      <c r="T318" s="8"/>
      <c r="U318" s="8"/>
      <c r="V318" s="8"/>
      <c r="W318" s="8"/>
      <c r="X318" s="8"/>
      <c r="Y318" s="8"/>
    </row>
    <row r="319" spans="1:25" x14ac:dyDescent="0.2">
      <c r="A319" s="8"/>
      <c r="B319" s="8"/>
      <c r="C319" s="8"/>
      <c r="D319" s="8"/>
      <c r="E319" s="8"/>
      <c r="F319" s="8"/>
      <c r="G319" s="8"/>
      <c r="H319" s="8"/>
      <c r="I319" s="8"/>
      <c r="J319" s="8"/>
      <c r="K319" s="8"/>
      <c r="L319" s="8"/>
      <c r="M319" s="8"/>
      <c r="N319" s="8"/>
      <c r="O319" s="8"/>
      <c r="P319" s="8"/>
      <c r="Q319" s="67" t="s">
        <v>459</v>
      </c>
      <c r="R319" s="67" t="s">
        <v>1173</v>
      </c>
      <c r="S319" s="67" t="s">
        <v>1002</v>
      </c>
      <c r="T319" s="8"/>
      <c r="U319" s="8"/>
      <c r="V319" s="8"/>
      <c r="W319" s="8"/>
      <c r="X319" s="8"/>
      <c r="Y319" s="8"/>
    </row>
    <row r="320" spans="1:25" x14ac:dyDescent="0.2">
      <c r="A320" s="8"/>
      <c r="B320" s="8"/>
      <c r="C320" s="8"/>
      <c r="D320" s="8"/>
      <c r="E320" s="8"/>
      <c r="F320" s="8"/>
      <c r="G320" s="8"/>
      <c r="H320" s="8"/>
      <c r="I320" s="8"/>
      <c r="J320" s="8"/>
      <c r="K320" s="8"/>
      <c r="L320" s="8"/>
      <c r="M320" s="8"/>
      <c r="N320" s="8"/>
      <c r="O320" s="8"/>
      <c r="P320" s="8"/>
      <c r="Q320" s="67" t="s">
        <v>459</v>
      </c>
      <c r="R320" s="67" t="s">
        <v>1175</v>
      </c>
      <c r="S320" s="67" t="s">
        <v>1176</v>
      </c>
      <c r="T320" s="8"/>
      <c r="U320" s="8"/>
      <c r="V320" s="8"/>
      <c r="W320" s="8"/>
      <c r="X320" s="8"/>
      <c r="Y320" s="8"/>
    </row>
    <row r="321" spans="1:25" x14ac:dyDescent="0.2">
      <c r="A321" s="8"/>
      <c r="B321" s="8"/>
      <c r="C321" s="8"/>
      <c r="D321" s="8"/>
      <c r="E321" s="8"/>
      <c r="F321" s="8"/>
      <c r="G321" s="8"/>
      <c r="H321" s="8"/>
      <c r="I321" s="8"/>
      <c r="J321" s="8"/>
      <c r="K321" s="8"/>
      <c r="L321" s="8"/>
      <c r="M321" s="8"/>
      <c r="N321" s="8"/>
      <c r="O321" s="8"/>
      <c r="P321" s="8"/>
      <c r="Q321" s="67" t="s">
        <v>459</v>
      </c>
      <c r="R321" s="67" t="s">
        <v>1316</v>
      </c>
      <c r="S321" s="67" t="s">
        <v>1233</v>
      </c>
      <c r="T321" s="8"/>
      <c r="U321" s="8"/>
      <c r="V321" s="8"/>
      <c r="W321" s="8"/>
      <c r="X321" s="8"/>
      <c r="Y321" s="8"/>
    </row>
    <row r="322" spans="1:25" x14ac:dyDescent="0.2">
      <c r="A322" s="8"/>
      <c r="B322" s="8"/>
      <c r="C322" s="8"/>
      <c r="D322" s="8"/>
      <c r="E322" s="8"/>
      <c r="F322" s="8"/>
      <c r="G322" s="8"/>
      <c r="H322" s="8"/>
      <c r="I322" s="8"/>
      <c r="J322" s="8"/>
      <c r="K322" s="8"/>
      <c r="L322" s="8"/>
      <c r="M322" s="8"/>
      <c r="N322" s="8"/>
      <c r="O322" s="8"/>
      <c r="P322" s="8"/>
      <c r="Q322" s="67" t="s">
        <v>460</v>
      </c>
      <c r="R322" s="67" t="s">
        <v>461</v>
      </c>
      <c r="S322" s="67" t="s">
        <v>1179</v>
      </c>
      <c r="T322" s="8"/>
      <c r="U322" s="8"/>
      <c r="V322" s="8"/>
      <c r="W322" s="8"/>
      <c r="X322" s="8"/>
      <c r="Y322" s="8"/>
    </row>
    <row r="323" spans="1:25" x14ac:dyDescent="0.2">
      <c r="A323" s="8"/>
      <c r="B323" s="8"/>
      <c r="C323" s="8"/>
      <c r="D323" s="8"/>
      <c r="E323" s="8"/>
      <c r="F323" s="8"/>
      <c r="G323" s="8"/>
      <c r="H323" s="8"/>
      <c r="I323" s="8"/>
      <c r="J323" s="8"/>
      <c r="K323" s="8"/>
      <c r="L323" s="8"/>
      <c r="M323" s="8"/>
      <c r="N323" s="8"/>
      <c r="O323" s="8"/>
      <c r="P323" s="8"/>
      <c r="Q323" s="67" t="s">
        <v>460</v>
      </c>
      <c r="R323" s="67" t="s">
        <v>1180</v>
      </c>
      <c r="S323" s="67" t="s">
        <v>442</v>
      </c>
      <c r="T323" s="8"/>
      <c r="U323" s="8"/>
      <c r="V323" s="8"/>
      <c r="W323" s="8"/>
      <c r="X323" s="8"/>
      <c r="Y323" s="8"/>
    </row>
    <row r="324" spans="1:25" x14ac:dyDescent="0.2">
      <c r="A324" s="8"/>
      <c r="B324" s="8"/>
      <c r="C324" s="8"/>
      <c r="D324" s="8"/>
      <c r="E324" s="8"/>
      <c r="F324" s="8"/>
      <c r="G324" s="8"/>
      <c r="H324" s="8"/>
      <c r="I324" s="8"/>
      <c r="J324" s="8"/>
      <c r="K324" s="8"/>
      <c r="L324" s="8"/>
      <c r="M324" s="8"/>
      <c r="N324" s="8"/>
      <c r="O324" s="8"/>
      <c r="P324" s="8"/>
      <c r="Q324" s="67" t="s">
        <v>460</v>
      </c>
      <c r="R324" s="67" t="s">
        <v>462</v>
      </c>
      <c r="S324" s="67" t="s">
        <v>1317</v>
      </c>
      <c r="T324" s="8"/>
      <c r="U324" s="8"/>
      <c r="V324" s="8"/>
      <c r="W324" s="8"/>
      <c r="X324" s="8"/>
      <c r="Y324" s="8"/>
    </row>
    <row r="325" spans="1:25" x14ac:dyDescent="0.2">
      <c r="A325" s="8"/>
      <c r="B325" s="8"/>
      <c r="C325" s="8"/>
      <c r="D325" s="8"/>
      <c r="E325" s="8"/>
      <c r="F325" s="8"/>
      <c r="G325" s="8"/>
      <c r="H325" s="8"/>
      <c r="I325" s="8"/>
      <c r="J325" s="8"/>
      <c r="K325" s="8"/>
      <c r="L325" s="8"/>
      <c r="M325" s="8"/>
      <c r="N325" s="8"/>
      <c r="O325" s="8"/>
      <c r="P325" s="8"/>
      <c r="Q325" s="67" t="s">
        <v>460</v>
      </c>
      <c r="R325" s="67" t="s">
        <v>463</v>
      </c>
      <c r="S325" s="67" t="s">
        <v>1318</v>
      </c>
      <c r="T325" s="8"/>
      <c r="U325" s="8"/>
      <c r="V325" s="8"/>
      <c r="W325" s="8"/>
      <c r="X325" s="8"/>
      <c r="Y325" s="8"/>
    </row>
    <row r="326" spans="1:25" x14ac:dyDescent="0.2">
      <c r="A326" s="8"/>
      <c r="B326" s="8"/>
      <c r="C326" s="8"/>
      <c r="D326" s="8"/>
      <c r="E326" s="8"/>
      <c r="F326" s="8"/>
      <c r="G326" s="8"/>
      <c r="H326" s="8"/>
      <c r="I326" s="8"/>
      <c r="J326" s="8"/>
      <c r="K326" s="8"/>
      <c r="L326" s="8"/>
      <c r="M326" s="8"/>
      <c r="N326" s="8"/>
      <c r="O326" s="8"/>
      <c r="P326" s="8"/>
      <c r="Q326" s="67" t="s">
        <v>464</v>
      </c>
      <c r="R326" s="67" t="s">
        <v>1319</v>
      </c>
      <c r="S326" s="67" t="s">
        <v>465</v>
      </c>
      <c r="T326" s="8"/>
      <c r="U326" s="8"/>
      <c r="V326" s="8"/>
      <c r="W326" s="8"/>
      <c r="X326" s="8"/>
      <c r="Y326" s="8"/>
    </row>
    <row r="327" spans="1:25" x14ac:dyDescent="0.2">
      <c r="A327" s="8"/>
      <c r="B327" s="8"/>
      <c r="C327" s="8"/>
      <c r="D327" s="8"/>
      <c r="E327" s="8"/>
      <c r="F327" s="8"/>
      <c r="G327" s="8"/>
      <c r="H327" s="8"/>
      <c r="I327" s="8"/>
      <c r="J327" s="8"/>
      <c r="K327" s="8"/>
      <c r="L327" s="8"/>
      <c r="M327" s="8"/>
      <c r="N327" s="8"/>
      <c r="O327" s="8"/>
      <c r="P327" s="8"/>
      <c r="Q327" s="67" t="s">
        <v>464</v>
      </c>
      <c r="R327" s="67" t="s">
        <v>1182</v>
      </c>
      <c r="S327" s="67" t="s">
        <v>1032</v>
      </c>
      <c r="T327" s="8"/>
      <c r="U327" s="8"/>
      <c r="V327" s="8"/>
      <c r="W327" s="8"/>
      <c r="X327" s="8"/>
      <c r="Y327" s="8"/>
    </row>
    <row r="328" spans="1:25" x14ac:dyDescent="0.2">
      <c r="A328" s="8"/>
      <c r="B328" s="8"/>
      <c r="C328" s="8"/>
      <c r="D328" s="8"/>
      <c r="E328" s="8"/>
      <c r="F328" s="8"/>
      <c r="G328" s="8"/>
      <c r="H328" s="8"/>
      <c r="I328" s="8"/>
      <c r="J328" s="8"/>
      <c r="K328" s="8"/>
      <c r="L328" s="8"/>
      <c r="M328" s="8"/>
      <c r="N328" s="8"/>
      <c r="O328" s="8"/>
      <c r="P328" s="8"/>
      <c r="Q328" s="67" t="s">
        <v>464</v>
      </c>
      <c r="R328" s="67" t="s">
        <v>466</v>
      </c>
      <c r="S328" s="67" t="s">
        <v>442</v>
      </c>
      <c r="T328" s="8"/>
      <c r="U328" s="8"/>
      <c r="V328" s="8"/>
      <c r="W328" s="8"/>
      <c r="X328" s="8"/>
      <c r="Y328" s="8"/>
    </row>
    <row r="329" spans="1:25" x14ac:dyDescent="0.2">
      <c r="A329" s="8"/>
      <c r="B329" s="8"/>
      <c r="C329" s="8"/>
      <c r="D329" s="8"/>
      <c r="E329" s="8"/>
      <c r="F329" s="8"/>
      <c r="G329" s="8"/>
      <c r="H329" s="8"/>
      <c r="I329" s="8"/>
      <c r="J329" s="8"/>
      <c r="K329" s="8"/>
      <c r="L329" s="8"/>
      <c r="M329" s="8"/>
      <c r="N329" s="8"/>
      <c r="O329" s="8"/>
      <c r="P329" s="8"/>
      <c r="Q329" s="67" t="s">
        <v>464</v>
      </c>
      <c r="R329" s="67" t="s">
        <v>1181</v>
      </c>
      <c r="S329" s="67" t="s">
        <v>938</v>
      </c>
      <c r="T329" s="8"/>
      <c r="U329" s="8"/>
      <c r="V329" s="8"/>
      <c r="W329" s="8"/>
      <c r="X329" s="8"/>
      <c r="Y329" s="8"/>
    </row>
    <row r="330" spans="1:25" x14ac:dyDescent="0.2">
      <c r="A330" s="8"/>
      <c r="B330" s="8"/>
      <c r="C330" s="8"/>
      <c r="D330" s="8"/>
      <c r="E330" s="8"/>
      <c r="F330" s="8"/>
      <c r="G330" s="8"/>
      <c r="H330" s="8"/>
      <c r="I330" s="8"/>
      <c r="J330" s="8"/>
      <c r="K330" s="8"/>
      <c r="L330" s="8"/>
      <c r="M330" s="8"/>
      <c r="N330" s="8"/>
      <c r="O330" s="8"/>
      <c r="P330" s="8"/>
      <c r="Q330" s="67" t="s">
        <v>467</v>
      </c>
      <c r="R330" s="67" t="s">
        <v>468</v>
      </c>
      <c r="S330" s="67" t="s">
        <v>1266</v>
      </c>
      <c r="T330" s="8"/>
      <c r="U330" s="8"/>
      <c r="V330" s="8"/>
      <c r="W330" s="8"/>
      <c r="X330" s="8"/>
      <c r="Y330" s="8"/>
    </row>
    <row r="331" spans="1:25" x14ac:dyDescent="0.2">
      <c r="A331" s="8"/>
      <c r="B331" s="8"/>
      <c r="C331" s="8"/>
      <c r="D331" s="8"/>
      <c r="E331" s="8"/>
      <c r="F331" s="8"/>
      <c r="G331" s="8"/>
      <c r="H331" s="8"/>
      <c r="I331" s="8"/>
      <c r="J331" s="8"/>
      <c r="K331" s="8"/>
      <c r="L331" s="8"/>
      <c r="M331" s="8"/>
      <c r="N331" s="8"/>
      <c r="O331" s="8"/>
      <c r="P331" s="8"/>
      <c r="Q331" s="67" t="s">
        <v>467</v>
      </c>
      <c r="R331" s="67" t="s">
        <v>1320</v>
      </c>
      <c r="S331" s="67" t="s">
        <v>1222</v>
      </c>
      <c r="T331" s="8"/>
      <c r="U331" s="8"/>
      <c r="V331" s="8"/>
      <c r="W331" s="8"/>
      <c r="X331" s="8"/>
      <c r="Y331" s="8"/>
    </row>
    <row r="332" spans="1:25" x14ac:dyDescent="0.2">
      <c r="A332" s="8"/>
      <c r="B332" s="8"/>
      <c r="C332" s="8"/>
      <c r="D332" s="8"/>
      <c r="E332" s="8"/>
      <c r="F332" s="8"/>
      <c r="G332" s="8"/>
      <c r="H332" s="8"/>
      <c r="I332" s="8"/>
      <c r="J332" s="8"/>
      <c r="K332" s="8"/>
      <c r="L332" s="8"/>
      <c r="M332" s="8"/>
      <c r="N332" s="8"/>
      <c r="O332" s="8"/>
      <c r="P332" s="8"/>
      <c r="Q332" s="67" t="s">
        <v>469</v>
      </c>
      <c r="R332" s="67" t="s">
        <v>1183</v>
      </c>
      <c r="S332" s="67" t="s">
        <v>442</v>
      </c>
      <c r="T332" s="8"/>
      <c r="U332" s="8"/>
      <c r="V332" s="8"/>
      <c r="W332" s="8"/>
      <c r="X332" s="8"/>
      <c r="Y332" s="8"/>
    </row>
    <row r="333" spans="1:25" x14ac:dyDescent="0.2">
      <c r="A333" s="8"/>
      <c r="B333" s="8"/>
      <c r="C333" s="8"/>
      <c r="D333" s="8"/>
      <c r="E333" s="8"/>
      <c r="F333" s="8"/>
      <c r="G333" s="8"/>
      <c r="H333" s="8"/>
      <c r="I333" s="8"/>
      <c r="J333" s="8"/>
      <c r="K333" s="8"/>
      <c r="L333" s="8"/>
      <c r="M333" s="8"/>
      <c r="N333" s="8"/>
      <c r="O333" s="8"/>
      <c r="P333" s="8"/>
      <c r="Q333" s="67" t="s">
        <v>469</v>
      </c>
      <c r="R333" s="67" t="s">
        <v>470</v>
      </c>
      <c r="S333" s="67" t="s">
        <v>1321</v>
      </c>
      <c r="T333" s="8"/>
      <c r="U333" s="8"/>
      <c r="V333" s="8"/>
      <c r="W333" s="8"/>
      <c r="X333" s="8"/>
      <c r="Y333" s="8"/>
    </row>
    <row r="334" spans="1:25" x14ac:dyDescent="0.2">
      <c r="A334" s="8"/>
      <c r="B334" s="8"/>
      <c r="C334" s="8"/>
      <c r="D334" s="8"/>
      <c r="E334" s="8"/>
      <c r="F334" s="8"/>
      <c r="G334" s="8"/>
      <c r="H334" s="8"/>
      <c r="I334" s="8"/>
      <c r="J334" s="8"/>
      <c r="K334" s="8"/>
      <c r="L334" s="8"/>
      <c r="M334" s="8"/>
      <c r="N334" s="8"/>
      <c r="O334" s="8"/>
      <c r="P334" s="8"/>
      <c r="Q334" s="67" t="s">
        <v>469</v>
      </c>
      <c r="R334" s="67" t="s">
        <v>1322</v>
      </c>
      <c r="S334" s="207" t="s">
        <v>1818</v>
      </c>
      <c r="T334" s="8"/>
      <c r="U334" s="8"/>
      <c r="V334" s="8"/>
      <c r="W334" s="8"/>
      <c r="X334" s="8"/>
      <c r="Y334" s="8"/>
    </row>
    <row r="335" spans="1:25" x14ac:dyDescent="0.2">
      <c r="A335" s="8"/>
      <c r="B335" s="8"/>
      <c r="C335" s="8"/>
      <c r="D335" s="8"/>
      <c r="E335" s="8"/>
      <c r="F335" s="8"/>
      <c r="G335" s="8"/>
      <c r="H335" s="8"/>
      <c r="I335" s="8"/>
      <c r="J335" s="8"/>
      <c r="K335" s="8"/>
      <c r="L335" s="8"/>
      <c r="M335" s="8"/>
      <c r="N335" s="8"/>
      <c r="O335" s="8"/>
      <c r="P335" s="8"/>
      <c r="Q335" s="67" t="s">
        <v>469</v>
      </c>
      <c r="R335" s="67" t="s">
        <v>471</v>
      </c>
      <c r="S335" s="67" t="s">
        <v>932</v>
      </c>
      <c r="T335" s="8"/>
      <c r="U335" s="8"/>
      <c r="V335" s="8"/>
      <c r="W335" s="8"/>
      <c r="X335" s="8"/>
      <c r="Y335" s="8"/>
    </row>
    <row r="336" spans="1:25" x14ac:dyDescent="0.2">
      <c r="A336" s="8"/>
      <c r="B336" s="8"/>
      <c r="C336" s="8"/>
      <c r="D336" s="8"/>
      <c r="E336" s="8"/>
      <c r="F336" s="8"/>
      <c r="G336" s="8"/>
      <c r="H336" s="8"/>
      <c r="I336" s="8"/>
      <c r="J336" s="8"/>
      <c r="K336" s="8"/>
      <c r="L336" s="8"/>
      <c r="M336" s="8"/>
      <c r="N336" s="8"/>
      <c r="O336" s="8"/>
      <c r="P336" s="8"/>
      <c r="Q336" s="67" t="s">
        <v>469</v>
      </c>
      <c r="R336" s="67" t="s">
        <v>1323</v>
      </c>
      <c r="S336" s="67" t="s">
        <v>1324</v>
      </c>
      <c r="T336" s="8"/>
      <c r="U336" s="8"/>
      <c r="V336" s="8"/>
      <c r="W336" s="8"/>
      <c r="X336" s="8"/>
      <c r="Y336" s="8"/>
    </row>
    <row r="337" spans="1:25" x14ac:dyDescent="0.2">
      <c r="A337" s="8"/>
      <c r="B337" s="8"/>
      <c r="C337" s="8"/>
      <c r="D337" s="8"/>
      <c r="E337" s="8"/>
      <c r="F337" s="8"/>
      <c r="G337" s="8"/>
      <c r="H337" s="8"/>
      <c r="I337" s="8"/>
      <c r="J337" s="8"/>
      <c r="K337" s="8"/>
      <c r="L337" s="8"/>
      <c r="M337" s="8"/>
      <c r="N337" s="8"/>
      <c r="O337" s="8"/>
      <c r="P337" s="8"/>
      <c r="Q337" s="67" t="s">
        <v>469</v>
      </c>
      <c r="R337" s="67" t="s">
        <v>1184</v>
      </c>
      <c r="S337" s="67" t="s">
        <v>1185</v>
      </c>
      <c r="T337" s="8"/>
      <c r="U337" s="8"/>
      <c r="V337" s="8"/>
      <c r="W337" s="8"/>
      <c r="X337" s="8"/>
      <c r="Y337" s="8"/>
    </row>
    <row r="338" spans="1:25" x14ac:dyDescent="0.2">
      <c r="A338" s="8"/>
      <c r="B338" s="8"/>
      <c r="C338" s="8"/>
      <c r="D338" s="8"/>
      <c r="E338" s="8"/>
      <c r="F338" s="8"/>
      <c r="G338" s="8"/>
      <c r="H338" s="8"/>
      <c r="I338" s="8"/>
      <c r="J338" s="8"/>
      <c r="K338" s="8"/>
      <c r="L338" s="8"/>
      <c r="M338" s="8"/>
      <c r="N338" s="8"/>
      <c r="O338" s="8"/>
      <c r="P338" s="8"/>
      <c r="Q338" s="67" t="s">
        <v>1249</v>
      </c>
      <c r="R338" s="67" t="s">
        <v>1325</v>
      </c>
      <c r="S338" s="67" t="s">
        <v>1247</v>
      </c>
      <c r="T338" s="8"/>
      <c r="U338" s="8"/>
      <c r="V338" s="8"/>
      <c r="W338" s="8"/>
      <c r="X338" s="8"/>
      <c r="Y338" s="8"/>
    </row>
    <row r="339" spans="1:25" x14ac:dyDescent="0.2">
      <c r="A339" s="8"/>
      <c r="B339" s="8"/>
      <c r="C339" s="8"/>
      <c r="D339" s="8"/>
      <c r="E339" s="8"/>
      <c r="F339" s="8"/>
      <c r="G339" s="8"/>
      <c r="H339" s="8"/>
      <c r="I339" s="8"/>
      <c r="J339" s="8"/>
      <c r="K339" s="8"/>
      <c r="L339" s="8"/>
      <c r="M339" s="8"/>
      <c r="N339" s="8"/>
      <c r="O339" s="8"/>
      <c r="P339" s="8"/>
      <c r="Q339" s="67" t="s">
        <v>1249</v>
      </c>
      <c r="R339" s="67" t="s">
        <v>476</v>
      </c>
      <c r="S339" s="67" t="s">
        <v>1219</v>
      </c>
      <c r="T339" s="8"/>
      <c r="U339" s="8"/>
      <c r="V339" s="8"/>
      <c r="W339" s="8"/>
      <c r="X339" s="8"/>
      <c r="Y339" s="8"/>
    </row>
    <row r="340" spans="1:25" x14ac:dyDescent="0.2">
      <c r="A340" s="8"/>
      <c r="B340" s="8"/>
      <c r="C340" s="8"/>
      <c r="D340" s="8"/>
      <c r="E340" s="8"/>
      <c r="F340" s="8"/>
      <c r="G340" s="8"/>
      <c r="H340" s="8"/>
      <c r="I340" s="8"/>
      <c r="J340" s="8"/>
      <c r="K340" s="8"/>
      <c r="L340" s="8"/>
      <c r="M340" s="8"/>
      <c r="N340" s="8"/>
      <c r="O340" s="8"/>
      <c r="P340" s="8"/>
      <c r="Q340" s="67" t="s">
        <v>472</v>
      </c>
      <c r="R340" s="67" t="s">
        <v>1187</v>
      </c>
      <c r="S340" s="67" t="s">
        <v>442</v>
      </c>
      <c r="T340" s="8"/>
      <c r="U340" s="8"/>
      <c r="V340" s="8"/>
      <c r="W340" s="8"/>
      <c r="X340" s="8"/>
      <c r="Y340" s="8"/>
    </row>
    <row r="341" spans="1:25" x14ac:dyDescent="0.2">
      <c r="A341" s="8"/>
      <c r="B341" s="8"/>
      <c r="C341" s="8"/>
      <c r="D341" s="8"/>
      <c r="E341" s="8"/>
      <c r="F341" s="8"/>
      <c r="G341" s="8"/>
      <c r="H341" s="8"/>
      <c r="I341" s="8"/>
      <c r="J341" s="8"/>
      <c r="K341" s="8"/>
      <c r="L341" s="8"/>
      <c r="M341" s="8"/>
      <c r="N341" s="8"/>
      <c r="O341" s="8"/>
      <c r="P341" s="8"/>
      <c r="Q341" s="67" t="s">
        <v>472</v>
      </c>
      <c r="R341" s="67" t="s">
        <v>473</v>
      </c>
      <c r="S341" s="67" t="s">
        <v>1186</v>
      </c>
      <c r="T341" s="8"/>
      <c r="U341" s="8"/>
      <c r="V341" s="8"/>
      <c r="W341" s="8"/>
      <c r="X341" s="8"/>
      <c r="Y341" s="8"/>
    </row>
    <row r="342" spans="1:25" x14ac:dyDescent="0.2">
      <c r="A342" s="8"/>
      <c r="B342" s="8"/>
      <c r="C342" s="8"/>
      <c r="D342" s="8"/>
      <c r="E342" s="8"/>
      <c r="F342" s="8"/>
      <c r="G342" s="8"/>
      <c r="H342" s="8"/>
      <c r="I342" s="8"/>
      <c r="J342" s="8"/>
      <c r="K342" s="8"/>
      <c r="L342" s="8"/>
      <c r="M342" s="8"/>
      <c r="N342" s="8"/>
      <c r="O342" s="8"/>
      <c r="P342" s="8"/>
      <c r="Q342" s="67" t="s">
        <v>472</v>
      </c>
      <c r="R342" s="67" t="s">
        <v>1326</v>
      </c>
      <c r="S342" s="67" t="s">
        <v>1327</v>
      </c>
      <c r="T342" s="8"/>
      <c r="U342" s="8"/>
      <c r="V342" s="8"/>
      <c r="W342" s="8"/>
      <c r="X342" s="8"/>
      <c r="Y342" s="8"/>
    </row>
    <row r="343" spans="1:25" x14ac:dyDescent="0.2">
      <c r="A343" s="8"/>
      <c r="B343" s="8"/>
      <c r="C343" s="8"/>
      <c r="D343" s="8"/>
      <c r="E343" s="8"/>
      <c r="F343" s="8"/>
      <c r="G343" s="8"/>
      <c r="H343" s="8"/>
      <c r="I343" s="8"/>
      <c r="J343" s="8"/>
      <c r="K343" s="8"/>
      <c r="L343" s="8"/>
      <c r="M343" s="8"/>
      <c r="N343" s="8"/>
      <c r="O343" s="8"/>
      <c r="P343" s="8"/>
      <c r="Q343" s="67" t="s">
        <v>472</v>
      </c>
      <c r="R343" s="67" t="s">
        <v>1328</v>
      </c>
      <c r="S343" s="67" t="s">
        <v>1136</v>
      </c>
      <c r="T343" s="8"/>
      <c r="U343" s="8"/>
      <c r="V343" s="8"/>
      <c r="W343" s="8"/>
      <c r="X343" s="8"/>
      <c r="Y343" s="8"/>
    </row>
    <row r="344" spans="1:25" x14ac:dyDescent="0.2">
      <c r="A344" s="8"/>
      <c r="B344" s="8"/>
      <c r="C344" s="8"/>
      <c r="D344" s="8"/>
      <c r="E344" s="8"/>
      <c r="F344" s="8"/>
      <c r="G344" s="8"/>
      <c r="H344" s="8"/>
      <c r="I344" s="8"/>
      <c r="J344" s="8"/>
      <c r="K344" s="8"/>
      <c r="L344" s="8"/>
      <c r="M344" s="8"/>
      <c r="N344" s="8"/>
      <c r="O344" s="8"/>
      <c r="P344" s="8"/>
      <c r="Q344" s="67" t="s">
        <v>474</v>
      </c>
      <c r="R344" s="67" t="s">
        <v>475</v>
      </c>
      <c r="S344" s="67" t="s">
        <v>1219</v>
      </c>
      <c r="T344" s="8"/>
      <c r="U344" s="8"/>
      <c r="V344" s="8"/>
      <c r="W344" s="8"/>
      <c r="X344" s="8"/>
      <c r="Y344" s="8"/>
    </row>
    <row r="345" spans="1:25" x14ac:dyDescent="0.2">
      <c r="A345" s="8"/>
      <c r="B345" s="8"/>
      <c r="C345" s="8"/>
      <c r="D345" s="8"/>
      <c r="E345" s="8"/>
      <c r="F345" s="8"/>
      <c r="G345" s="8"/>
      <c r="H345" s="8"/>
      <c r="I345" s="8"/>
      <c r="J345" s="8"/>
      <c r="K345" s="8"/>
      <c r="L345" s="8"/>
      <c r="M345" s="8"/>
      <c r="N345" s="8"/>
      <c r="O345" s="8"/>
      <c r="P345" s="8"/>
      <c r="Q345" s="67" t="s">
        <v>477</v>
      </c>
      <c r="R345" s="67" t="s">
        <v>478</v>
      </c>
      <c r="S345" s="67" t="s">
        <v>1188</v>
      </c>
      <c r="T345" s="8"/>
      <c r="U345" s="8"/>
      <c r="V345" s="8"/>
      <c r="W345" s="8"/>
      <c r="X345" s="8"/>
      <c r="Y345" s="8"/>
    </row>
    <row r="346" spans="1:25" x14ac:dyDescent="0.2">
      <c r="B346" s="8"/>
      <c r="C346" s="8"/>
      <c r="D346" s="8"/>
      <c r="E346" s="8"/>
      <c r="F346" s="8"/>
      <c r="G346" s="8"/>
      <c r="H346" s="8"/>
      <c r="I346" s="8"/>
      <c r="J346" s="8"/>
      <c r="K346" s="8"/>
      <c r="L346" s="8"/>
      <c r="M346" s="8"/>
      <c r="N346" s="8"/>
      <c r="O346" s="8"/>
      <c r="P346" s="8"/>
      <c r="Q346" s="67" t="s">
        <v>477</v>
      </c>
      <c r="R346" s="67" t="s">
        <v>1189</v>
      </c>
      <c r="S346" s="67" t="s">
        <v>442</v>
      </c>
      <c r="T346" s="8"/>
      <c r="U346" s="8"/>
      <c r="V346" s="8"/>
      <c r="W346" s="8"/>
      <c r="X346" s="8"/>
      <c r="Y346" s="8"/>
    </row>
    <row r="347" spans="1:25" x14ac:dyDescent="0.2">
      <c r="C347" s="8"/>
      <c r="D347" s="8"/>
      <c r="E347" s="8"/>
      <c r="F347" s="8"/>
      <c r="G347" s="8"/>
      <c r="H347" s="8"/>
      <c r="I347" s="8"/>
      <c r="J347" s="8"/>
      <c r="K347" s="8"/>
      <c r="L347" s="8"/>
      <c r="M347" s="8"/>
      <c r="Q347" s="67" t="s">
        <v>479</v>
      </c>
      <c r="R347" s="67" t="s">
        <v>1190</v>
      </c>
      <c r="S347" s="67" t="s">
        <v>1191</v>
      </c>
      <c r="T347" s="8"/>
      <c r="U347" s="8"/>
      <c r="V347" s="8"/>
      <c r="W347" s="8"/>
      <c r="X347" s="8"/>
      <c r="Y347" s="8"/>
    </row>
    <row r="348" spans="1:25" x14ac:dyDescent="0.2">
      <c r="C348" s="8"/>
      <c r="D348" s="8"/>
      <c r="E348" s="8"/>
      <c r="H348" s="8"/>
      <c r="I348" s="8"/>
      <c r="J348" s="8"/>
      <c r="K348" s="8"/>
      <c r="L348" s="8"/>
      <c r="Q348" s="67" t="s">
        <v>1329</v>
      </c>
      <c r="R348" s="67" t="s">
        <v>1330</v>
      </c>
      <c r="S348" s="67"/>
    </row>
    <row r="349" spans="1:25" x14ac:dyDescent="0.2">
      <c r="C349" s="8"/>
      <c r="D349" s="8"/>
      <c r="E349" s="8"/>
      <c r="I349" s="8"/>
      <c r="J349" s="8"/>
      <c r="K349" s="8"/>
      <c r="L349" s="8"/>
      <c r="Q349" s="67" t="s">
        <v>480</v>
      </c>
      <c r="R349" s="67" t="s">
        <v>1331</v>
      </c>
      <c r="S349" s="67" t="s">
        <v>1219</v>
      </c>
    </row>
    <row r="350" spans="1:25" x14ac:dyDescent="0.2">
      <c r="C350" s="8"/>
      <c r="D350" s="8"/>
      <c r="E350" s="8"/>
      <c r="I350" s="8"/>
      <c r="J350" s="8"/>
      <c r="K350" s="8"/>
      <c r="L350" s="8"/>
      <c r="Q350" s="67" t="s">
        <v>481</v>
      </c>
      <c r="R350" s="67" t="s">
        <v>482</v>
      </c>
      <c r="S350" s="67" t="s">
        <v>1219</v>
      </c>
    </row>
    <row r="351" spans="1:25" x14ac:dyDescent="0.2">
      <c r="C351" s="8"/>
      <c r="D351" s="8"/>
      <c r="E351" s="8"/>
      <c r="I351" s="8"/>
      <c r="J351" s="8"/>
      <c r="K351" s="8"/>
      <c r="L351" s="8"/>
      <c r="Q351" s="67" t="s">
        <v>481</v>
      </c>
      <c r="R351" s="67" t="s">
        <v>483</v>
      </c>
      <c r="S351" s="67" t="s">
        <v>1268</v>
      </c>
    </row>
    <row r="352" spans="1:25" x14ac:dyDescent="0.2">
      <c r="C352" s="8"/>
      <c r="D352" s="8"/>
      <c r="E352" s="8"/>
      <c r="I352" s="8"/>
      <c r="J352" s="8"/>
      <c r="K352" s="8"/>
      <c r="L352" s="8"/>
      <c r="Q352" s="67" t="s">
        <v>484</v>
      </c>
      <c r="R352" s="67" t="s">
        <v>1194</v>
      </c>
      <c r="S352" s="67" t="s">
        <v>442</v>
      </c>
    </row>
    <row r="353" spans="9:19" x14ac:dyDescent="0.2">
      <c r="I353" s="8"/>
      <c r="J353" s="8"/>
      <c r="K353" s="8"/>
      <c r="L353" s="8"/>
      <c r="Q353" s="67" t="s">
        <v>484</v>
      </c>
      <c r="R353" s="67" t="s">
        <v>1192</v>
      </c>
      <c r="S353" s="67" t="s">
        <v>1193</v>
      </c>
    </row>
    <row r="354" spans="9:19" x14ac:dyDescent="0.2">
      <c r="I354" s="8"/>
      <c r="J354" s="8"/>
      <c r="K354" s="8"/>
      <c r="L354" s="8"/>
      <c r="Q354" s="67" t="s">
        <v>484</v>
      </c>
      <c r="R354" s="67" t="s">
        <v>1332</v>
      </c>
      <c r="S354" s="67" t="s">
        <v>1276</v>
      </c>
    </row>
    <row r="355" spans="9:19" x14ac:dyDescent="0.2">
      <c r="Q355" s="67" t="s">
        <v>484</v>
      </c>
      <c r="R355" s="67" t="s">
        <v>1333</v>
      </c>
      <c r="S355" s="67" t="s">
        <v>1247</v>
      </c>
    </row>
    <row r="356" spans="9:19" x14ac:dyDescent="0.2">
      <c r="Q356" s="67" t="s">
        <v>485</v>
      </c>
      <c r="R356" s="67" t="s">
        <v>486</v>
      </c>
      <c r="S356" s="67" t="s">
        <v>442</v>
      </c>
    </row>
    <row r="357" spans="9:19" x14ac:dyDescent="0.2">
      <c r="Q357" s="67" t="s">
        <v>485</v>
      </c>
      <c r="R357" s="67" t="s">
        <v>487</v>
      </c>
      <c r="S357" s="67" t="s">
        <v>1334</v>
      </c>
    </row>
    <row r="358" spans="9:19" x14ac:dyDescent="0.2">
      <c r="Q358" s="67" t="s">
        <v>485</v>
      </c>
      <c r="R358" s="67" t="s">
        <v>1335</v>
      </c>
      <c r="S358" s="67" t="s">
        <v>1222</v>
      </c>
    </row>
    <row r="359" spans="9:19" x14ac:dyDescent="0.2">
      <c r="Q359" s="67" t="s">
        <v>485</v>
      </c>
      <c r="R359" s="67" t="s">
        <v>1195</v>
      </c>
      <c r="S359" s="67" t="s">
        <v>1196</v>
      </c>
    </row>
    <row r="360" spans="9:19" x14ac:dyDescent="0.2">
      <c r="Q360" s="67" t="s">
        <v>488</v>
      </c>
      <c r="R360" s="67" t="s">
        <v>1197</v>
      </c>
      <c r="S360" s="67" t="s">
        <v>925</v>
      </c>
    </row>
    <row r="361" spans="9:19" x14ac:dyDescent="0.2">
      <c r="Q361" s="67" t="s">
        <v>489</v>
      </c>
      <c r="R361" s="67" t="s">
        <v>490</v>
      </c>
      <c r="S361" s="67" t="s">
        <v>1219</v>
      </c>
    </row>
    <row r="362" spans="9:19" x14ac:dyDescent="0.2">
      <c r="Q362" s="67" t="s">
        <v>489</v>
      </c>
      <c r="R362" s="67" t="s">
        <v>1336</v>
      </c>
      <c r="S362" s="67" t="s">
        <v>1247</v>
      </c>
    </row>
    <row r="363" spans="9:19" x14ac:dyDescent="0.2">
      <c r="Q363" s="67" t="s">
        <v>489</v>
      </c>
      <c r="R363" s="67" t="s">
        <v>491</v>
      </c>
      <c r="S363" s="67" t="s">
        <v>442</v>
      </c>
    </row>
    <row r="364" spans="9:19" x14ac:dyDescent="0.2">
      <c r="Q364" s="67" t="s">
        <v>492</v>
      </c>
      <c r="R364" s="67" t="s">
        <v>1200</v>
      </c>
      <c r="S364" s="67" t="s">
        <v>1201</v>
      </c>
    </row>
    <row r="365" spans="9:19" x14ac:dyDescent="0.2">
      <c r="Q365" s="67" t="s">
        <v>492</v>
      </c>
      <c r="R365" s="67" t="s">
        <v>1198</v>
      </c>
      <c r="S365" s="67" t="s">
        <v>1199</v>
      </c>
    </row>
    <row r="366" spans="9:19" x14ac:dyDescent="0.2">
      <c r="Q366" s="67" t="s">
        <v>492</v>
      </c>
      <c r="R366" s="67" t="s">
        <v>1337</v>
      </c>
      <c r="S366" s="67" t="s">
        <v>1338</v>
      </c>
    </row>
    <row r="367" spans="9:19" x14ac:dyDescent="0.2">
      <c r="Q367" s="67" t="s">
        <v>493</v>
      </c>
      <c r="R367" s="67" t="s">
        <v>1202</v>
      </c>
      <c r="S367" s="67" t="s">
        <v>442</v>
      </c>
    </row>
    <row r="368" spans="9:19" x14ac:dyDescent="0.2">
      <c r="Q368" s="67" t="s">
        <v>494</v>
      </c>
      <c r="R368" s="67" t="s">
        <v>1339</v>
      </c>
      <c r="S368" s="67" t="s">
        <v>1219</v>
      </c>
    </row>
    <row r="369" spans="17:19" x14ac:dyDescent="0.2">
      <c r="Q369" s="67" t="s">
        <v>495</v>
      </c>
      <c r="R369" s="67" t="s">
        <v>496</v>
      </c>
      <c r="S369" s="67" t="s">
        <v>1205</v>
      </c>
    </row>
    <row r="370" spans="17:19" x14ac:dyDescent="0.2">
      <c r="Q370" s="67" t="s">
        <v>495</v>
      </c>
      <c r="R370" s="67" t="s">
        <v>1203</v>
      </c>
      <c r="S370" s="67" t="s">
        <v>1204</v>
      </c>
    </row>
    <row r="371" spans="17:19" x14ac:dyDescent="0.2">
      <c r="Q371" s="67" t="s">
        <v>497</v>
      </c>
      <c r="R371" s="67" t="s">
        <v>1208</v>
      </c>
      <c r="S371" s="67" t="s">
        <v>1209</v>
      </c>
    </row>
    <row r="372" spans="17:19" x14ac:dyDescent="0.2">
      <c r="Q372" s="67" t="s">
        <v>497</v>
      </c>
      <c r="R372" s="67" t="s">
        <v>498</v>
      </c>
      <c r="S372" s="67" t="s">
        <v>1206</v>
      </c>
    </row>
    <row r="373" spans="17:19" x14ac:dyDescent="0.2">
      <c r="Q373" s="67" t="s">
        <v>497</v>
      </c>
      <c r="R373" s="67" t="s">
        <v>1340</v>
      </c>
      <c r="S373" s="67" t="s">
        <v>1341</v>
      </c>
    </row>
    <row r="374" spans="17:19" x14ac:dyDescent="0.2">
      <c r="Q374" s="67" t="s">
        <v>497</v>
      </c>
      <c r="R374" s="67" t="s">
        <v>1342</v>
      </c>
      <c r="S374" s="67" t="s">
        <v>442</v>
      </c>
    </row>
    <row r="375" spans="17:19" x14ac:dyDescent="0.2">
      <c r="Q375" s="67" t="s">
        <v>497</v>
      </c>
      <c r="R375" s="67" t="s">
        <v>1343</v>
      </c>
      <c r="S375" s="67" t="s">
        <v>1219</v>
      </c>
    </row>
    <row r="376" spans="17:19" x14ac:dyDescent="0.2">
      <c r="Q376" s="67" t="s">
        <v>497</v>
      </c>
      <c r="R376" s="67" t="s">
        <v>499</v>
      </c>
      <c r="S376" s="67" t="s">
        <v>1207</v>
      </c>
    </row>
    <row r="377" spans="17:19" x14ac:dyDescent="0.2">
      <c r="Q377" s="67" t="s">
        <v>1210</v>
      </c>
      <c r="R377" s="67" t="s">
        <v>1213</v>
      </c>
      <c r="S377" s="67" t="s">
        <v>1214</v>
      </c>
    </row>
    <row r="378" spans="17:19" x14ac:dyDescent="0.2">
      <c r="Q378" s="67" t="s">
        <v>1210</v>
      </c>
      <c r="R378" s="67" t="s">
        <v>1211</v>
      </c>
      <c r="S378" s="67" t="s">
        <v>1212</v>
      </c>
    </row>
    <row r="379" spans="17:19" x14ac:dyDescent="0.2">
      <c r="Q379" s="67" t="s">
        <v>500</v>
      </c>
      <c r="R379" s="67" t="s">
        <v>501</v>
      </c>
      <c r="S379" s="67" t="s">
        <v>1073</v>
      </c>
    </row>
    <row r="380" spans="17:19" x14ac:dyDescent="0.2">
      <c r="Q380" s="67" t="s">
        <v>500</v>
      </c>
      <c r="R380" s="67" t="s">
        <v>502</v>
      </c>
      <c r="S380" s="67" t="s">
        <v>1344</v>
      </c>
    </row>
    <row r="381" spans="17:19" x14ac:dyDescent="0.2">
      <c r="Q381" s="67" t="s">
        <v>500</v>
      </c>
      <c r="R381" s="67" t="s">
        <v>1345</v>
      </c>
      <c r="S381" s="67" t="s">
        <v>1346</v>
      </c>
    </row>
    <row r="382" spans="17:19" x14ac:dyDescent="0.2">
      <c r="Q382" s="67" t="s">
        <v>500</v>
      </c>
      <c r="R382" s="67" t="s">
        <v>1347</v>
      </c>
      <c r="S382" s="67" t="s">
        <v>1219</v>
      </c>
    </row>
    <row r="383" spans="17:19" x14ac:dyDescent="0.2">
      <c r="Q383" s="67" t="s">
        <v>503</v>
      </c>
      <c r="R383" s="67" t="s">
        <v>504</v>
      </c>
      <c r="S383" s="67" t="s">
        <v>442</v>
      </c>
    </row>
    <row r="384" spans="17:19" x14ac:dyDescent="0.2">
      <c r="Q384" s="67" t="s">
        <v>503</v>
      </c>
      <c r="R384" s="67" t="s">
        <v>505</v>
      </c>
      <c r="S384" s="67" t="s">
        <v>1215</v>
      </c>
    </row>
    <row r="385" spans="17:19" x14ac:dyDescent="0.2">
      <c r="Q385" s="67" t="s">
        <v>503</v>
      </c>
      <c r="R385" s="67" t="s">
        <v>1348</v>
      </c>
      <c r="S385" s="67" t="s">
        <v>1349</v>
      </c>
    </row>
    <row r="386" spans="17:19" x14ac:dyDescent="0.2">
      <c r="Q386" s="67" t="s">
        <v>506</v>
      </c>
      <c r="R386" s="67" t="s">
        <v>507</v>
      </c>
      <c r="S386" s="67" t="s">
        <v>1219</v>
      </c>
    </row>
    <row r="387" spans="17:19" x14ac:dyDescent="0.2">
      <c r="Q387" s="67" t="s">
        <v>508</v>
      </c>
      <c r="R387" s="67" t="s">
        <v>1350</v>
      </c>
      <c r="S387" s="67" t="s">
        <v>442</v>
      </c>
    </row>
    <row r="388" spans="17:19" x14ac:dyDescent="0.2">
      <c r="Q388" s="67" t="s">
        <v>508</v>
      </c>
      <c r="R388" s="67" t="s">
        <v>1351</v>
      </c>
      <c r="S388" s="67" t="s">
        <v>1019</v>
      </c>
    </row>
    <row r="389" spans="17:19" x14ac:dyDescent="0.2">
      <c r="Q389" s="67" t="s">
        <v>508</v>
      </c>
      <c r="R389" s="67" t="s">
        <v>1352</v>
      </c>
      <c r="S389" s="67" t="s">
        <v>509</v>
      </c>
    </row>
    <row r="390" spans="17:19" x14ac:dyDescent="0.2">
      <c r="Q390" s="67" t="s">
        <v>508</v>
      </c>
      <c r="R390" s="67" t="s">
        <v>1353</v>
      </c>
      <c r="S390" s="67" t="s">
        <v>510</v>
      </c>
    </row>
    <row r="391" spans="17:19" x14ac:dyDescent="0.2">
      <c r="Q391" s="67" t="s">
        <v>508</v>
      </c>
      <c r="R391" s="67" t="s">
        <v>511</v>
      </c>
      <c r="S391" s="67" t="s">
        <v>1219</v>
      </c>
    </row>
    <row r="392" spans="17:19" x14ac:dyDescent="0.2">
      <c r="Q392" s="67" t="s">
        <v>512</v>
      </c>
      <c r="R392" s="67" t="s">
        <v>1217</v>
      </c>
      <c r="S392" s="67" t="s">
        <v>442</v>
      </c>
    </row>
    <row r="393" spans="17:19" x14ac:dyDescent="0.2">
      <c r="Q393" s="67" t="s">
        <v>512</v>
      </c>
      <c r="R393" s="67" t="s">
        <v>513</v>
      </c>
      <c r="S393" s="67" t="s">
        <v>1216</v>
      </c>
    </row>
    <row r="394" spans="17:19" x14ac:dyDescent="0.2">
      <c r="Q394" s="67" t="s">
        <v>512</v>
      </c>
      <c r="R394" s="67" t="s">
        <v>514</v>
      </c>
      <c r="S394" s="67" t="s">
        <v>932</v>
      </c>
    </row>
    <row r="395" spans="17:19" x14ac:dyDescent="0.2">
      <c r="Q395" s="67" t="s">
        <v>512</v>
      </c>
      <c r="R395" s="67" t="s">
        <v>515</v>
      </c>
      <c r="S395" s="67" t="s">
        <v>516</v>
      </c>
    </row>
    <row r="396" spans="17:19" x14ac:dyDescent="0.2">
      <c r="Q396" s="67" t="s">
        <v>512</v>
      </c>
      <c r="R396" s="67" t="s">
        <v>1354</v>
      </c>
      <c r="S396" s="67" t="s">
        <v>1219</v>
      </c>
    </row>
    <row r="397" spans="17:19" x14ac:dyDescent="0.2">
      <c r="Q397" s="67" t="s">
        <v>517</v>
      </c>
      <c r="R397" s="67" t="s">
        <v>518</v>
      </c>
      <c r="S397" s="67" t="s">
        <v>1218</v>
      </c>
    </row>
    <row r="398" spans="17:19" x14ac:dyDescent="0.2">
      <c r="Q398" s="67" t="s">
        <v>517</v>
      </c>
      <c r="R398" s="67" t="s">
        <v>519</v>
      </c>
      <c r="S398" s="67" t="s">
        <v>520</v>
      </c>
    </row>
    <row r="399" spans="17:19" x14ac:dyDescent="0.2">
      <c r="Q399" s="67" t="s">
        <v>521</v>
      </c>
      <c r="R399" s="67" t="s">
        <v>522</v>
      </c>
      <c r="S399" s="67" t="s">
        <v>442</v>
      </c>
    </row>
    <row r="400" spans="17:19" x14ac:dyDescent="0.2">
      <c r="Q400" s="67" t="s">
        <v>521</v>
      </c>
      <c r="R400" s="67" t="s">
        <v>523</v>
      </c>
      <c r="S400" s="67" t="s">
        <v>1219</v>
      </c>
    </row>
    <row r="401" spans="17:19" x14ac:dyDescent="0.2">
      <c r="Q401" s="67" t="s">
        <v>521</v>
      </c>
      <c r="R401" s="67" t="s">
        <v>524</v>
      </c>
      <c r="S401" s="67" t="s">
        <v>1073</v>
      </c>
    </row>
    <row r="402" spans="17:19" x14ac:dyDescent="0.2">
      <c r="Q402" s="67" t="s">
        <v>521</v>
      </c>
      <c r="R402" s="67" t="s">
        <v>525</v>
      </c>
      <c r="S402" s="67" t="s">
        <v>1355</v>
      </c>
    </row>
    <row r="403" spans="17:19" x14ac:dyDescent="0.2">
      <c r="Q403" s="207"/>
      <c r="S403" s="338"/>
    </row>
  </sheetData>
  <sheetProtection insertRows="0" deleteRows="0" sort="0" autoFilter="0"/>
  <mergeCells count="12">
    <mergeCell ref="N1:N2"/>
    <mergeCell ref="Q1:Q2"/>
    <mergeCell ref="R1:R2"/>
    <mergeCell ref="M1:M2"/>
    <mergeCell ref="S1:S2"/>
    <mergeCell ref="O1:O2"/>
    <mergeCell ref="U1:U2"/>
    <mergeCell ref="X1:X2"/>
    <mergeCell ref="Y1:Y2"/>
    <mergeCell ref="T1:T2"/>
    <mergeCell ref="W1:W2"/>
    <mergeCell ref="V1:V2"/>
  </mergeCells>
  <conditionalFormatting sqref="Q3:Q58 Q60:Q72 Q74:Q122 Q124:Q217 Q220:Q345">
    <cfRule type="containsText" dxfId="1" priority="3" stopIfTrue="1" operator="containsText" text=";">
      <formula>NOT(ISERROR(SEARCH(";",Q3)))</formula>
    </cfRule>
  </conditionalFormatting>
  <conditionalFormatting sqref="Q403">
    <cfRule type="containsText" dxfId="0" priority="2" stopIfTrue="1" operator="containsText" text=";">
      <formula>NOT(ISERROR(SEARCH(";",Q403)))</formula>
    </cfRule>
  </conditionalFormatting>
  <dataValidations count="1">
    <dataValidation type="list" allowBlank="1" showInputMessage="1" showErrorMessage="1" sqref="F3">
      <formula1>"PR,R11"</formula1>
    </dataValidation>
  </dataValidations>
  <pageMargins left="0.75" right="0.75" top="1" bottom="1" header="0.5" footer="0.5"/>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F97"/>
  <sheetViews>
    <sheetView topLeftCell="B73" workbookViewId="0">
      <selection activeCell="C98" sqref="C98"/>
    </sheetView>
  </sheetViews>
  <sheetFormatPr defaultRowHeight="12.75" x14ac:dyDescent="0.2"/>
  <cols>
    <col min="1" max="5" width="30.7109375" style="171" customWidth="1"/>
    <col min="6" max="6" width="20.7109375" customWidth="1"/>
  </cols>
  <sheetData>
    <row r="1" spans="1:6" s="12" customFormat="1" ht="20.100000000000001" customHeight="1" x14ac:dyDescent="0.2">
      <c r="A1" s="170" t="s">
        <v>536</v>
      </c>
      <c r="B1" s="171"/>
      <c r="C1" s="172">
        <f>IF(Language="English",0,IF(Language="French",1,IF(Language="Spanish",2,IF(Language="Russian",3))))</f>
        <v>0</v>
      </c>
      <c r="D1" s="172" t="str">
        <f ca="1">RIGHT(LEFT(ComponentSelected,2),1)</f>
        <v>l</v>
      </c>
      <c r="E1" s="172"/>
      <c r="F1" s="19"/>
    </row>
    <row r="2" spans="1:6" s="12" customFormat="1" ht="20.100000000000001" customHeight="1" x14ac:dyDescent="0.2">
      <c r="A2" s="170" t="s">
        <v>624</v>
      </c>
      <c r="B2" s="170" t="s">
        <v>537</v>
      </c>
      <c r="C2" s="170" t="s">
        <v>625</v>
      </c>
      <c r="D2" s="170" t="s">
        <v>626</v>
      </c>
      <c r="E2" s="170" t="s">
        <v>627</v>
      </c>
      <c r="F2" s="19"/>
    </row>
    <row r="3" spans="1:6" s="12" customFormat="1" ht="30.75" customHeight="1" x14ac:dyDescent="0.2">
      <c r="A3" s="4" t="s">
        <v>891</v>
      </c>
      <c r="B3" s="4" t="s">
        <v>891</v>
      </c>
      <c r="C3" s="4" t="s">
        <v>2846</v>
      </c>
      <c r="D3" s="4"/>
      <c r="E3" s="4" t="s">
        <v>2726</v>
      </c>
    </row>
    <row r="4" spans="1:6" s="12" customFormat="1" ht="114.75" x14ac:dyDescent="0.2">
      <c r="A4" s="4" t="str">
        <f ca="1">OFFSET($B4,0,LangOffset,1,1)</f>
        <v>This table provides guidance on how to fill out the modular approach template. Cells highlighted in green will be completed during grant negotiation.</v>
      </c>
      <c r="B4" s="4" t="s">
        <v>892</v>
      </c>
      <c r="C4" s="4" t="s">
        <v>2847</v>
      </c>
      <c r="D4" s="173" t="s">
        <v>2824</v>
      </c>
      <c r="E4" s="4" t="s">
        <v>2727</v>
      </c>
    </row>
    <row r="5" spans="1:6" ht="12.75" customHeight="1" x14ac:dyDescent="0.2">
      <c r="A5" s="4" t="str">
        <f t="shared" ref="A5:A34" ca="1" si="0">OFFSET($B5,0,LangOffset,1,1)</f>
        <v>Periodic Review</v>
      </c>
      <c r="B5" s="4" t="s">
        <v>535</v>
      </c>
      <c r="C5" s="4" t="s">
        <v>2848</v>
      </c>
      <c r="D5" s="4" t="s">
        <v>825</v>
      </c>
      <c r="E5" s="4" t="s">
        <v>2728</v>
      </c>
      <c r="F5" s="19"/>
    </row>
    <row r="6" spans="1:6" ht="12.95" customHeight="1" x14ac:dyDescent="0.2">
      <c r="A6" s="4" t="str">
        <f t="shared" ca="1" si="0"/>
        <v>Please carefully review the instructions work sheet before completing this template</v>
      </c>
      <c r="B6" s="4" t="s">
        <v>63</v>
      </c>
      <c r="C6" s="4" t="s">
        <v>2849</v>
      </c>
      <c r="D6" s="4" t="s">
        <v>637</v>
      </c>
      <c r="E6" s="4" t="s">
        <v>648</v>
      </c>
      <c r="F6" s="19"/>
    </row>
    <row r="7" spans="1:6" ht="12.95" customHeight="1" x14ac:dyDescent="0.2">
      <c r="A7" s="4" t="str">
        <f t="shared" ca="1" si="0"/>
        <v>A. Program details</v>
      </c>
      <c r="B7" s="4" t="s">
        <v>27</v>
      </c>
      <c r="C7" s="4" t="s">
        <v>2850</v>
      </c>
      <c r="D7" s="4" t="s">
        <v>638</v>
      </c>
      <c r="E7" s="4" t="s">
        <v>2729</v>
      </c>
      <c r="F7" s="19"/>
    </row>
    <row r="8" spans="1:6" ht="12.95" customHeight="1" x14ac:dyDescent="0.2">
      <c r="A8" s="4" t="str">
        <f t="shared" ca="1" si="0"/>
        <v>Country / Applicant:</v>
      </c>
      <c r="B8" s="4" t="s">
        <v>68</v>
      </c>
      <c r="C8" s="4" t="s">
        <v>2851</v>
      </c>
      <c r="D8" s="4" t="s">
        <v>826</v>
      </c>
      <c r="E8" s="4" t="s">
        <v>649</v>
      </c>
      <c r="F8" s="19"/>
    </row>
    <row r="9" spans="1:6" ht="12.95" customHeight="1" x14ac:dyDescent="0.2">
      <c r="A9" s="4" t="str">
        <f t="shared" ca="1" si="0"/>
        <v>Component:</v>
      </c>
      <c r="B9" s="4" t="s">
        <v>539</v>
      </c>
      <c r="C9" s="4" t="s">
        <v>629</v>
      </c>
      <c r="D9" s="4" t="s">
        <v>827</v>
      </c>
      <c r="E9" s="4" t="s">
        <v>2730</v>
      </c>
      <c r="F9" s="19"/>
    </row>
    <row r="10" spans="1:6" ht="12.95" customHeight="1" x14ac:dyDescent="0.2">
      <c r="A10" s="4" t="str">
        <f t="shared" ca="1" si="0"/>
        <v>Start Year:</v>
      </c>
      <c r="B10" s="4" t="s">
        <v>538</v>
      </c>
      <c r="C10" s="4" t="s">
        <v>630</v>
      </c>
      <c r="D10" s="4" t="s">
        <v>828</v>
      </c>
      <c r="E10" s="4" t="s">
        <v>2731</v>
      </c>
      <c r="F10" s="19"/>
    </row>
    <row r="11" spans="1:6" ht="12.95" customHeight="1" x14ac:dyDescent="0.2">
      <c r="A11" s="4" t="str">
        <f t="shared" ca="1" si="0"/>
        <v>Start Month:</v>
      </c>
      <c r="B11" s="4" t="s">
        <v>548</v>
      </c>
      <c r="C11" s="4" t="s">
        <v>631</v>
      </c>
      <c r="D11" s="4" t="s">
        <v>829</v>
      </c>
      <c r="E11" s="4" t="s">
        <v>2732</v>
      </c>
      <c r="F11" s="19"/>
    </row>
    <row r="12" spans="1:6" ht="12.95" customHeight="1" x14ac:dyDescent="0.2">
      <c r="A12" s="4" t="str">
        <f t="shared" ca="1" si="0"/>
        <v>SSF/grant number:</v>
      </c>
      <c r="B12" s="4" t="s">
        <v>877</v>
      </c>
      <c r="C12" s="4" t="s">
        <v>2852</v>
      </c>
      <c r="D12" s="4" t="s">
        <v>830</v>
      </c>
      <c r="E12" s="4" t="s">
        <v>2733</v>
      </c>
      <c r="F12" s="19"/>
    </row>
    <row r="13" spans="1:6" ht="12.95" customHeight="1" x14ac:dyDescent="0.2">
      <c r="A13" s="4" t="str">
        <f t="shared" ca="1" si="0"/>
        <v>Principal Recipients</v>
      </c>
      <c r="B13" s="4" t="s">
        <v>545</v>
      </c>
      <c r="C13" s="4" t="s">
        <v>2853</v>
      </c>
      <c r="D13" s="4" t="s">
        <v>831</v>
      </c>
      <c r="E13" s="4" t="s">
        <v>2734</v>
      </c>
      <c r="F13" s="19"/>
    </row>
    <row r="14" spans="1:6" ht="12.95" customHeight="1" x14ac:dyDescent="0.2">
      <c r="A14" s="4" t="str">
        <f t="shared" ca="1" si="0"/>
        <v>(Please select from list or add a new one)</v>
      </c>
      <c r="B14" s="4" t="s">
        <v>555</v>
      </c>
      <c r="C14" s="4" t="s">
        <v>2854</v>
      </c>
      <c r="D14" s="4" t="s">
        <v>832</v>
      </c>
      <c r="E14" s="4" t="s">
        <v>2735</v>
      </c>
      <c r="F14" s="19"/>
    </row>
    <row r="15" spans="1:6" ht="12.95" customHeight="1" x14ac:dyDescent="0.2">
      <c r="A15" s="4" t="str">
        <f t="shared" ca="1" si="0"/>
        <v>Reporting periods</v>
      </c>
      <c r="B15" s="4" t="s">
        <v>544</v>
      </c>
      <c r="C15" s="4" t="s">
        <v>2855</v>
      </c>
      <c r="D15" s="4" t="s">
        <v>818</v>
      </c>
      <c r="E15" s="4" t="s">
        <v>2736</v>
      </c>
      <c r="F15" s="19"/>
    </row>
    <row r="16" spans="1:6" ht="12.95" customHeight="1" x14ac:dyDescent="0.2">
      <c r="A16" s="4" t="str">
        <f t="shared" ca="1" si="0"/>
        <v>Period Covered: from</v>
      </c>
      <c r="B16" s="4" t="s">
        <v>26</v>
      </c>
      <c r="C16" s="4" t="s">
        <v>2856</v>
      </c>
      <c r="D16" s="4" t="s">
        <v>833</v>
      </c>
      <c r="E16" s="4" t="s">
        <v>2737</v>
      </c>
      <c r="F16" s="19"/>
    </row>
    <row r="17" spans="1:6" ht="12.95" customHeight="1" x14ac:dyDescent="0.2">
      <c r="A17" s="4" t="str">
        <f t="shared" ca="1" si="0"/>
        <v>Period Covered: to</v>
      </c>
      <c r="B17" s="4" t="s">
        <v>25</v>
      </c>
      <c r="C17" s="4" t="s">
        <v>2857</v>
      </c>
      <c r="D17" s="4" t="s">
        <v>834</v>
      </c>
      <c r="E17" s="4" t="s">
        <v>2738</v>
      </c>
      <c r="F17" s="19"/>
    </row>
    <row r="18" spans="1:6" ht="12.95" customHeight="1" x14ac:dyDescent="0.2">
      <c r="A18" s="4" t="str">
        <f t="shared" ca="1" si="0"/>
        <v>Due date Progress Update</v>
      </c>
      <c r="B18" s="4" t="s">
        <v>540</v>
      </c>
      <c r="C18" s="4" t="s">
        <v>2858</v>
      </c>
      <c r="D18" s="4" t="s">
        <v>819</v>
      </c>
      <c r="E18" s="4" t="s">
        <v>2739</v>
      </c>
      <c r="F18" s="19"/>
    </row>
    <row r="19" spans="1:6" ht="12.95" customHeight="1" x14ac:dyDescent="0.2">
      <c r="A19" s="4" t="str">
        <f t="shared" ca="1" si="0"/>
        <v>Disbursement Request (Y,N)</v>
      </c>
      <c r="B19" s="4" t="s">
        <v>62</v>
      </c>
      <c r="C19" s="4" t="s">
        <v>2859</v>
      </c>
      <c r="D19" s="4" t="s">
        <v>835</v>
      </c>
      <c r="E19" s="4" t="s">
        <v>650</v>
      </c>
      <c r="F19" s="19"/>
    </row>
    <row r="20" spans="1:6" ht="12.95" customHeight="1" x14ac:dyDescent="0.2">
      <c r="A20" s="4" t="str">
        <f t="shared" ca="1" si="0"/>
        <v xml:space="preserve">Due date periodic review </v>
      </c>
      <c r="B20" s="4" t="s">
        <v>541</v>
      </c>
      <c r="C20" s="4" t="s">
        <v>632</v>
      </c>
      <c r="D20" s="4" t="s">
        <v>639</v>
      </c>
      <c r="E20" s="4" t="s">
        <v>2740</v>
      </c>
      <c r="F20" s="19"/>
    </row>
    <row r="21" spans="1:6" ht="12.95" customHeight="1" x14ac:dyDescent="0.2">
      <c r="A21" s="4" t="str">
        <f t="shared" ca="1" si="0"/>
        <v>Audit report due dates</v>
      </c>
      <c r="B21" s="4" t="s">
        <v>664</v>
      </c>
      <c r="C21" s="4" t="s">
        <v>815</v>
      </c>
      <c r="D21" s="4" t="s">
        <v>640</v>
      </c>
      <c r="E21" s="4" t="s">
        <v>2741</v>
      </c>
      <c r="F21" s="19"/>
    </row>
    <row r="22" spans="1:6" ht="12.95" customHeight="1" x14ac:dyDescent="0.2">
      <c r="A22" s="4" t="str">
        <f t="shared" ca="1" si="0"/>
        <v xml:space="preserve">Period </v>
      </c>
      <c r="B22" s="4" t="s">
        <v>547</v>
      </c>
      <c r="C22" s="4" t="s">
        <v>2860</v>
      </c>
      <c r="D22" s="4" t="s">
        <v>836</v>
      </c>
      <c r="E22" s="4" t="s">
        <v>2742</v>
      </c>
      <c r="F22" s="19"/>
    </row>
    <row r="23" spans="1:6" ht="12.95" customHeight="1" x14ac:dyDescent="0.2">
      <c r="A23" s="4" t="str">
        <f t="shared" ca="1" si="0"/>
        <v>Year 4</v>
      </c>
      <c r="B23" s="4" t="s">
        <v>2</v>
      </c>
      <c r="C23" s="4" t="s">
        <v>2861</v>
      </c>
      <c r="D23" s="4" t="s">
        <v>837</v>
      </c>
      <c r="E23" s="4" t="s">
        <v>2743</v>
      </c>
      <c r="F23" s="19"/>
    </row>
    <row r="24" spans="1:6" ht="12.95" customHeight="1" x14ac:dyDescent="0.2">
      <c r="A24" s="4" t="str">
        <f t="shared" ca="1" si="0"/>
        <v>Year 5</v>
      </c>
      <c r="B24" s="4" t="s">
        <v>1</v>
      </c>
      <c r="C24" s="4" t="s">
        <v>2862</v>
      </c>
      <c r="D24" s="4" t="s">
        <v>838</v>
      </c>
      <c r="E24" s="4" t="s">
        <v>2744</v>
      </c>
      <c r="F24" s="19"/>
    </row>
    <row r="25" spans="1:6" ht="12.95" customHeight="1" x14ac:dyDescent="0.2">
      <c r="A25" s="4" t="str">
        <f t="shared" ca="1" si="0"/>
        <v>B. Program goals and impact indicators</v>
      </c>
      <c r="B25" s="4" t="s">
        <v>24</v>
      </c>
      <c r="C25" s="4" t="s">
        <v>2863</v>
      </c>
      <c r="D25" s="173" t="s">
        <v>816</v>
      </c>
      <c r="E25" s="4" t="s">
        <v>2745</v>
      </c>
      <c r="F25" s="19"/>
    </row>
    <row r="26" spans="1:6" ht="12.95" customHeight="1" x14ac:dyDescent="0.2">
      <c r="A26" s="4" t="str">
        <f t="shared" ca="1" si="0"/>
        <v xml:space="preserve">  Goals:</v>
      </c>
      <c r="B26" s="4" t="s">
        <v>542</v>
      </c>
      <c r="C26" s="4" t="s">
        <v>2864</v>
      </c>
      <c r="D26" s="173" t="s">
        <v>876</v>
      </c>
      <c r="E26" s="4" t="s">
        <v>2746</v>
      </c>
      <c r="F26" s="19"/>
    </row>
    <row r="27" spans="1:6" ht="12.95" customHeight="1" x14ac:dyDescent="0.2">
      <c r="A27" s="4" t="str">
        <f t="shared" ca="1" si="0"/>
        <v>Linked to goal(s) #</v>
      </c>
      <c r="B27" s="4" t="s">
        <v>565</v>
      </c>
      <c r="C27" s="4" t="s">
        <v>633</v>
      </c>
      <c r="D27" s="173" t="s">
        <v>820</v>
      </c>
      <c r="E27" s="4" t="s">
        <v>2747</v>
      </c>
      <c r="F27" s="19"/>
    </row>
    <row r="28" spans="1:6" ht="12.95" customHeight="1" x14ac:dyDescent="0.2">
      <c r="A28" s="4" t="str">
        <f t="shared" ca="1" si="0"/>
        <v>Impact indicator</v>
      </c>
      <c r="B28" s="4" t="s">
        <v>65</v>
      </c>
      <c r="C28" s="4" t="s">
        <v>2865</v>
      </c>
      <c r="D28" s="4" t="s">
        <v>839</v>
      </c>
      <c r="E28" s="4" t="s">
        <v>2748</v>
      </c>
      <c r="F28" s="19"/>
    </row>
    <row r="29" spans="1:6" ht="12.95" customHeight="1" x14ac:dyDescent="0.2">
      <c r="A29" s="4" t="str">
        <f t="shared" ca="1" si="0"/>
        <v>Baseline</v>
      </c>
      <c r="B29" s="4" t="s">
        <v>22</v>
      </c>
      <c r="C29" s="4" t="s">
        <v>2866</v>
      </c>
      <c r="D29" s="173" t="s">
        <v>821</v>
      </c>
      <c r="E29" s="4" t="s">
        <v>2749</v>
      </c>
      <c r="F29" s="19"/>
    </row>
    <row r="30" spans="1:6" ht="12.95" customHeight="1" x14ac:dyDescent="0.2">
      <c r="A30" s="4" t="str">
        <f t="shared" ca="1" si="0"/>
        <v>Targets</v>
      </c>
      <c r="B30" s="4" t="s">
        <v>21</v>
      </c>
      <c r="C30" s="4" t="s">
        <v>2867</v>
      </c>
      <c r="D30" s="4" t="s">
        <v>840</v>
      </c>
      <c r="E30" s="4" t="s">
        <v>2750</v>
      </c>
      <c r="F30" s="19"/>
    </row>
    <row r="31" spans="1:6" ht="12.95" customHeight="1" x14ac:dyDescent="0.2">
      <c r="A31" s="4" t="str">
        <f t="shared" ca="1" si="0"/>
        <v>Value</v>
      </c>
      <c r="B31" s="4" t="s">
        <v>1447</v>
      </c>
      <c r="C31" s="4" t="s">
        <v>2868</v>
      </c>
      <c r="D31" s="4" t="s">
        <v>641</v>
      </c>
      <c r="E31" s="4" t="s">
        <v>2751</v>
      </c>
      <c r="F31" s="19"/>
    </row>
    <row r="32" spans="1:6" ht="12.95" customHeight="1" x14ac:dyDescent="0.2">
      <c r="A32" s="4" t="str">
        <f t="shared" ca="1" si="0"/>
        <v xml:space="preserve">Year </v>
      </c>
      <c r="B32" s="4" t="s">
        <v>554</v>
      </c>
      <c r="C32" s="4" t="s">
        <v>2869</v>
      </c>
      <c r="D32" s="4" t="s">
        <v>841</v>
      </c>
      <c r="E32" s="4" t="s">
        <v>2752</v>
      </c>
      <c r="F32" s="19"/>
    </row>
    <row r="33" spans="1:6" ht="12.95" customHeight="1" x14ac:dyDescent="0.2">
      <c r="A33" s="4" t="str">
        <f t="shared" ca="1" si="0"/>
        <v>Source</v>
      </c>
      <c r="B33" s="4" t="s">
        <v>9</v>
      </c>
      <c r="C33" s="4" t="s">
        <v>9</v>
      </c>
      <c r="D33" s="4" t="s">
        <v>842</v>
      </c>
      <c r="E33" s="4" t="s">
        <v>2753</v>
      </c>
      <c r="F33" s="19"/>
    </row>
    <row r="34" spans="1:6" ht="12.95" customHeight="1" x14ac:dyDescent="0.2">
      <c r="A34" s="4" t="str">
        <f t="shared" ca="1" si="0"/>
        <v>Year 1</v>
      </c>
      <c r="B34" s="4" t="s">
        <v>543</v>
      </c>
      <c r="C34" s="4" t="s">
        <v>2870</v>
      </c>
      <c r="D34" s="4" t="s">
        <v>843</v>
      </c>
      <c r="E34" s="4" t="s">
        <v>2754</v>
      </c>
      <c r="F34" s="19"/>
    </row>
    <row r="35" spans="1:6" ht="12.95" customHeight="1" x14ac:dyDescent="0.2">
      <c r="A35" s="4" t="str">
        <f t="shared" ref="A35:A66" ca="1" si="1">OFFSET($B35,0,LangOffset,1,1)</f>
        <v>Year 2</v>
      </c>
      <c r="B35" s="4" t="s">
        <v>18</v>
      </c>
      <c r="C35" s="4" t="s">
        <v>2871</v>
      </c>
      <c r="D35" s="4" t="s">
        <v>844</v>
      </c>
      <c r="E35" s="4" t="s">
        <v>2755</v>
      </c>
      <c r="F35" s="19"/>
    </row>
    <row r="36" spans="1:6" ht="12.95" customHeight="1" x14ac:dyDescent="0.2">
      <c r="A36" s="4" t="str">
        <f t="shared" ca="1" si="1"/>
        <v>Year 3</v>
      </c>
      <c r="B36" s="4" t="s">
        <v>17</v>
      </c>
      <c r="C36" s="4" t="s">
        <v>2872</v>
      </c>
      <c r="D36" s="4" t="s">
        <v>845</v>
      </c>
      <c r="E36" s="4" t="s">
        <v>2756</v>
      </c>
      <c r="F36" s="19"/>
    </row>
    <row r="37" spans="1:6" ht="12.95" customHeight="1" x14ac:dyDescent="0.2">
      <c r="A37" s="4" t="str">
        <f t="shared" ca="1" si="1"/>
        <v>Year 4</v>
      </c>
      <c r="B37" s="4" t="s">
        <v>2</v>
      </c>
      <c r="C37" s="4" t="s">
        <v>2861</v>
      </c>
      <c r="D37" s="4" t="s">
        <v>837</v>
      </c>
      <c r="E37" s="4" t="s">
        <v>2743</v>
      </c>
      <c r="F37" s="19"/>
    </row>
    <row r="38" spans="1:6" ht="12.95" customHeight="1" x14ac:dyDescent="0.2">
      <c r="A38" s="4" t="str">
        <f t="shared" ca="1" si="1"/>
        <v>Year 5</v>
      </c>
      <c r="B38" s="4" t="s">
        <v>1</v>
      </c>
      <c r="C38" s="4" t="s">
        <v>2862</v>
      </c>
      <c r="D38" s="4" t="s">
        <v>838</v>
      </c>
      <c r="E38" s="4" t="s">
        <v>2744</v>
      </c>
      <c r="F38" s="19"/>
    </row>
    <row r="39" spans="1:6" ht="12.95" customHeight="1" x14ac:dyDescent="0.2">
      <c r="A39" s="4" t="str">
        <f t="shared" ca="1" si="1"/>
        <v>Report due date</v>
      </c>
      <c r="B39" s="4" t="s">
        <v>16</v>
      </c>
      <c r="C39" s="4" t="s">
        <v>814</v>
      </c>
      <c r="D39" s="4" t="s">
        <v>642</v>
      </c>
      <c r="E39" s="4" t="s">
        <v>2757</v>
      </c>
      <c r="F39" s="19"/>
    </row>
    <row r="40" spans="1:6" ht="12.95" customHeight="1" x14ac:dyDescent="0.2">
      <c r="A40" s="4" t="str">
        <f t="shared" ca="1" si="1"/>
        <v>Comments</v>
      </c>
      <c r="B40" s="4" t="s">
        <v>20</v>
      </c>
      <c r="C40" s="4" t="s">
        <v>817</v>
      </c>
      <c r="D40" s="4" t="s">
        <v>643</v>
      </c>
      <c r="E40" s="4" t="s">
        <v>651</v>
      </c>
      <c r="F40" s="19"/>
    </row>
    <row r="41" spans="1:6" ht="12.95" customHeight="1" x14ac:dyDescent="0.2">
      <c r="A41" s="4" t="str">
        <f t="shared" ca="1" si="1"/>
        <v>C. Program objectives and outcome indicators</v>
      </c>
      <c r="B41" s="4" t="s">
        <v>67</v>
      </c>
      <c r="C41" s="4" t="s">
        <v>634</v>
      </c>
      <c r="D41" s="4" t="s">
        <v>644</v>
      </c>
      <c r="E41" s="4" t="s">
        <v>2758</v>
      </c>
      <c r="F41" s="19"/>
    </row>
    <row r="42" spans="1:6" ht="12.95" customHeight="1" x14ac:dyDescent="0.2">
      <c r="A42" s="4" t="str">
        <f t="shared" ca="1" si="1"/>
        <v xml:space="preserve">     Objectives:</v>
      </c>
      <c r="B42" s="4" t="s">
        <v>23</v>
      </c>
      <c r="C42" s="4" t="s">
        <v>2873</v>
      </c>
      <c r="D42" s="4" t="s">
        <v>846</v>
      </c>
      <c r="E42" s="4" t="s">
        <v>2759</v>
      </c>
      <c r="F42" s="19"/>
    </row>
    <row r="43" spans="1:6" ht="12.95" customHeight="1" x14ac:dyDescent="0.2">
      <c r="A43" s="4" t="str">
        <f t="shared" ca="1" si="1"/>
        <v xml:space="preserve">Linked to objective(s) # </v>
      </c>
      <c r="B43" s="4" t="s">
        <v>566</v>
      </c>
      <c r="C43" s="4" t="s">
        <v>635</v>
      </c>
      <c r="D43" s="4" t="s">
        <v>645</v>
      </c>
      <c r="E43" s="4" t="s">
        <v>2760</v>
      </c>
      <c r="F43" s="19"/>
    </row>
    <row r="44" spans="1:6" ht="12.95" customHeight="1" x14ac:dyDescent="0.2">
      <c r="A44" s="4" t="str">
        <f t="shared" ca="1" si="1"/>
        <v>Outcome indicator</v>
      </c>
      <c r="B44" s="4" t="s">
        <v>66</v>
      </c>
      <c r="C44" s="4" t="s">
        <v>2874</v>
      </c>
      <c r="D44" s="4" t="s">
        <v>847</v>
      </c>
      <c r="E44" s="4" t="s">
        <v>2761</v>
      </c>
      <c r="F44" s="19"/>
    </row>
    <row r="45" spans="1:6" ht="12.95" customHeight="1" x14ac:dyDescent="0.2">
      <c r="A45" s="4" t="str">
        <f t="shared" ca="1" si="1"/>
        <v>D. Service delivery areas and output/coverage indicators</v>
      </c>
      <c r="B45" s="4" t="s">
        <v>563</v>
      </c>
      <c r="C45" s="4" t="s">
        <v>636</v>
      </c>
      <c r="D45" s="173" t="s">
        <v>822</v>
      </c>
      <c r="E45" s="4" t="s">
        <v>652</v>
      </c>
      <c r="F45" s="19"/>
    </row>
    <row r="46" spans="1:6" ht="12.95" customHeight="1" x14ac:dyDescent="0.2">
      <c r="A46" s="4" t="str">
        <f t="shared" ca="1" si="1"/>
        <v>Objective &amp; Indicator Number</v>
      </c>
      <c r="B46" s="4" t="s">
        <v>564</v>
      </c>
      <c r="C46" s="4" t="s">
        <v>2875</v>
      </c>
      <c r="D46" s="4" t="s">
        <v>848</v>
      </c>
      <c r="E46" s="4" t="s">
        <v>2762</v>
      </c>
      <c r="F46" s="19"/>
    </row>
    <row r="47" spans="1:6" ht="12.95" customHeight="1" x14ac:dyDescent="0.2">
      <c r="A47" s="4" t="str">
        <f t="shared" ca="1" si="1"/>
        <v>Indicator</v>
      </c>
      <c r="B47" s="4" t="s">
        <v>11</v>
      </c>
      <c r="C47" s="4" t="s">
        <v>2876</v>
      </c>
      <c r="D47" s="4" t="s">
        <v>849</v>
      </c>
      <c r="E47" s="4" t="s">
        <v>2763</v>
      </c>
      <c r="F47" s="19"/>
    </row>
    <row r="48" spans="1:6" ht="12.95" customHeight="1" x14ac:dyDescent="0.2">
      <c r="A48" s="4" t="str">
        <f t="shared" ca="1" si="1"/>
        <v>Service Delivery Area</v>
      </c>
      <c r="B48" s="4" t="s">
        <v>12</v>
      </c>
      <c r="C48" s="4" t="s">
        <v>2877</v>
      </c>
      <c r="D48" s="4" t="s">
        <v>850</v>
      </c>
      <c r="E48" s="4" t="s">
        <v>2764</v>
      </c>
      <c r="F48" s="19"/>
    </row>
    <row r="49" spans="1:6" ht="12.95" customHeight="1" x14ac:dyDescent="0.2">
      <c r="A49" s="4" t="str">
        <f t="shared" ca="1" si="1"/>
        <v xml:space="preserve">Coverage/Output indicator </v>
      </c>
      <c r="B49" s="4" t="s">
        <v>1801</v>
      </c>
      <c r="C49" s="4" t="s">
        <v>1357</v>
      </c>
      <c r="D49" s="173" t="s">
        <v>1358</v>
      </c>
      <c r="E49" s="4" t="s">
        <v>1359</v>
      </c>
      <c r="F49" s="19"/>
    </row>
    <row r="50" spans="1:6" ht="12.95" customHeight="1" x14ac:dyDescent="0.2">
      <c r="A50" s="4" t="str">
        <f t="shared" ca="1" si="1"/>
        <v>Final target previous implementation period</v>
      </c>
      <c r="B50" s="4" t="s">
        <v>556</v>
      </c>
      <c r="C50" s="4" t="s">
        <v>2878</v>
      </c>
      <c r="D50" s="4" t="s">
        <v>646</v>
      </c>
      <c r="E50" s="4" t="s">
        <v>2765</v>
      </c>
      <c r="F50" s="19"/>
    </row>
    <row r="51" spans="1:6" ht="12.95" customHeight="1" x14ac:dyDescent="0.2">
      <c r="A51" s="4" t="str">
        <f t="shared" ca="1" si="1"/>
        <v>Latest available baseline/result</v>
      </c>
      <c r="B51" s="4" t="s">
        <v>546</v>
      </c>
      <c r="C51" s="4" t="s">
        <v>2879</v>
      </c>
      <c r="D51" s="4" t="s">
        <v>823</v>
      </c>
      <c r="E51" s="4" t="s">
        <v>653</v>
      </c>
      <c r="F51" s="19"/>
    </row>
    <row r="52" spans="1:6" ht="12.95" customHeight="1" x14ac:dyDescent="0.2">
      <c r="A52" s="4" t="str">
        <f t="shared" ca="1" si="1"/>
        <v>Latest Available Results</v>
      </c>
      <c r="B52" s="4" t="s">
        <v>534</v>
      </c>
      <c r="C52" s="4" t="s">
        <v>2880</v>
      </c>
      <c r="D52" s="4" t="s">
        <v>851</v>
      </c>
      <c r="E52" s="4" t="s">
        <v>2766</v>
      </c>
      <c r="F52" s="19"/>
    </row>
    <row r="53" spans="1:6" ht="12.95" customHeight="1" x14ac:dyDescent="0.2">
      <c r="A53" s="4" t="str">
        <f t="shared" ca="1" si="1"/>
        <v>Period 1</v>
      </c>
      <c r="B53" s="4" t="s">
        <v>8</v>
      </c>
      <c r="C53" s="4" t="s">
        <v>2881</v>
      </c>
      <c r="D53" s="4" t="s">
        <v>852</v>
      </c>
      <c r="E53" s="4" t="s">
        <v>864</v>
      </c>
      <c r="F53" s="19"/>
    </row>
    <row r="54" spans="1:6" ht="12.95" customHeight="1" x14ac:dyDescent="0.2">
      <c r="A54" s="4" t="str">
        <f t="shared" ca="1" si="1"/>
        <v>Period 2</v>
      </c>
      <c r="B54" s="4" t="s">
        <v>7</v>
      </c>
      <c r="C54" s="4" t="s">
        <v>2882</v>
      </c>
      <c r="D54" s="4" t="s">
        <v>853</v>
      </c>
      <c r="E54" s="4" t="s">
        <v>865</v>
      </c>
      <c r="F54" s="19"/>
    </row>
    <row r="55" spans="1:6" ht="12.95" customHeight="1" x14ac:dyDescent="0.2">
      <c r="A55" s="4" t="str">
        <f t="shared" ca="1" si="1"/>
        <v>Period 3</v>
      </c>
      <c r="B55" s="4" t="s">
        <v>6</v>
      </c>
      <c r="C55" s="4" t="s">
        <v>2883</v>
      </c>
      <c r="D55" s="4" t="s">
        <v>854</v>
      </c>
      <c r="E55" s="4" t="s">
        <v>866</v>
      </c>
      <c r="F55" s="19"/>
    </row>
    <row r="56" spans="1:6" ht="12.95" customHeight="1" x14ac:dyDescent="0.2">
      <c r="A56" s="4" t="str">
        <f t="shared" ca="1" si="1"/>
        <v>Period 4</v>
      </c>
      <c r="B56" s="4" t="s">
        <v>5</v>
      </c>
      <c r="C56" s="4" t="s">
        <v>2884</v>
      </c>
      <c r="D56" s="4" t="s">
        <v>855</v>
      </c>
      <c r="E56" s="4" t="s">
        <v>867</v>
      </c>
      <c r="F56" s="19"/>
    </row>
    <row r="57" spans="1:6" ht="12.95" customHeight="1" x14ac:dyDescent="0.2">
      <c r="A57" s="4" t="str">
        <f t="shared" ca="1" si="1"/>
        <v>Period 5</v>
      </c>
      <c r="B57" s="4" t="s">
        <v>4</v>
      </c>
      <c r="C57" s="4" t="s">
        <v>2885</v>
      </c>
      <c r="D57" s="4" t="s">
        <v>856</v>
      </c>
      <c r="E57" s="4" t="s">
        <v>868</v>
      </c>
      <c r="F57" s="19"/>
    </row>
    <row r="58" spans="1:6" ht="12.95" customHeight="1" x14ac:dyDescent="0.2">
      <c r="A58" s="4" t="str">
        <f t="shared" ca="1" si="1"/>
        <v>Period 6</v>
      </c>
      <c r="B58" s="4" t="s">
        <v>3</v>
      </c>
      <c r="C58" s="4" t="s">
        <v>2886</v>
      </c>
      <c r="D58" s="4" t="s">
        <v>857</v>
      </c>
      <c r="E58" s="4" t="s">
        <v>869</v>
      </c>
      <c r="F58" s="19"/>
    </row>
    <row r="59" spans="1:6" ht="12.95" customHeight="1" x14ac:dyDescent="0.2">
      <c r="A59" s="4" t="str">
        <f t="shared" ca="1" si="1"/>
        <v>Period 7</v>
      </c>
      <c r="B59" s="4" t="s">
        <v>557</v>
      </c>
      <c r="C59" s="4" t="s">
        <v>2887</v>
      </c>
      <c r="D59" s="4" t="s">
        <v>858</v>
      </c>
      <c r="E59" s="4" t="s">
        <v>870</v>
      </c>
      <c r="F59" s="19"/>
    </row>
    <row r="60" spans="1:6" ht="12.95" customHeight="1" x14ac:dyDescent="0.2">
      <c r="A60" s="4" t="str">
        <f t="shared" ca="1" si="1"/>
        <v>Period 8</v>
      </c>
      <c r="B60" s="4" t="s">
        <v>558</v>
      </c>
      <c r="C60" s="4" t="s">
        <v>2888</v>
      </c>
      <c r="D60" s="4" t="s">
        <v>859</v>
      </c>
      <c r="E60" s="4" t="s">
        <v>871</v>
      </c>
      <c r="F60" s="19"/>
    </row>
    <row r="61" spans="1:6" ht="12.95" customHeight="1" x14ac:dyDescent="0.2">
      <c r="A61" s="4" t="str">
        <f t="shared" ca="1" si="1"/>
        <v>Period 9</v>
      </c>
      <c r="B61" s="4" t="s">
        <v>559</v>
      </c>
      <c r="C61" s="4" t="s">
        <v>2889</v>
      </c>
      <c r="D61" s="4" t="s">
        <v>860</v>
      </c>
      <c r="E61" s="4" t="s">
        <v>872</v>
      </c>
      <c r="F61" s="19"/>
    </row>
    <row r="62" spans="1:6" ht="12.95" customHeight="1" x14ac:dyDescent="0.2">
      <c r="A62" s="4" t="str">
        <f t="shared" ca="1" si="1"/>
        <v>Period 10</v>
      </c>
      <c r="B62" s="4" t="s">
        <v>560</v>
      </c>
      <c r="C62" s="4" t="s">
        <v>2890</v>
      </c>
      <c r="D62" s="4" t="s">
        <v>861</v>
      </c>
      <c r="E62" s="4" t="s">
        <v>873</v>
      </c>
      <c r="F62" s="19"/>
    </row>
    <row r="63" spans="1:6" ht="12.95" customHeight="1" x14ac:dyDescent="0.2">
      <c r="A63" s="4" t="str">
        <f t="shared" ca="1" si="1"/>
        <v>Period 11</v>
      </c>
      <c r="B63" s="4" t="s">
        <v>561</v>
      </c>
      <c r="C63" s="4" t="s">
        <v>2891</v>
      </c>
      <c r="D63" s="4" t="s">
        <v>862</v>
      </c>
      <c r="E63" s="4" t="s">
        <v>874</v>
      </c>
      <c r="F63" s="19"/>
    </row>
    <row r="64" spans="1:6" ht="12.95" customHeight="1" x14ac:dyDescent="0.2">
      <c r="A64" s="4" t="str">
        <f t="shared" ca="1" si="1"/>
        <v>Period 12</v>
      </c>
      <c r="B64" s="4" t="s">
        <v>562</v>
      </c>
      <c r="C64" s="4" t="s">
        <v>2892</v>
      </c>
      <c r="D64" s="4" t="s">
        <v>863</v>
      </c>
      <c r="E64" s="4" t="s">
        <v>875</v>
      </c>
      <c r="F64" s="19"/>
    </row>
    <row r="65" spans="1:6" x14ac:dyDescent="0.2">
      <c r="A65" s="4" t="str">
        <f t="shared" ca="1" si="1"/>
        <v>Target cumulation</v>
      </c>
      <c r="B65" s="4" t="s">
        <v>10</v>
      </c>
      <c r="C65" s="4" t="s">
        <v>765</v>
      </c>
      <c r="D65" s="4" t="s">
        <v>824</v>
      </c>
      <c r="E65" s="4" t="s">
        <v>2767</v>
      </c>
      <c r="F65" s="19"/>
    </row>
    <row r="66" spans="1:6" x14ac:dyDescent="0.2">
      <c r="A66" s="4" t="str">
        <f t="shared" ca="1" si="1"/>
        <v>Tied to</v>
      </c>
      <c r="B66" s="4" t="s">
        <v>61</v>
      </c>
      <c r="C66" s="4" t="s">
        <v>658</v>
      </c>
      <c r="D66" s="4" t="s">
        <v>659</v>
      </c>
      <c r="E66" s="4" t="s">
        <v>764</v>
      </c>
      <c r="F66" s="19"/>
    </row>
    <row r="67" spans="1:6" ht="25.5" x14ac:dyDescent="0.2">
      <c r="A67" s="4" t="str">
        <f ca="1">OFFSET($B67,0,LangOffset,1,1)</f>
        <v>Responsible Principal Recipient(s)</v>
      </c>
      <c r="B67" s="4" t="s">
        <v>914</v>
      </c>
      <c r="C67" s="4" t="s">
        <v>2893</v>
      </c>
      <c r="D67" s="4" t="s">
        <v>831</v>
      </c>
      <c r="E67" s="4" t="s">
        <v>2768</v>
      </c>
      <c r="F67" s="19"/>
    </row>
    <row r="68" spans="1:6" ht="12.95" customHeight="1" x14ac:dyDescent="0.2">
      <c r="A68" s="4" t="str">
        <f t="shared" ref="A68:A72" ca="1" si="2">OFFSET($B68,0,LangOffset,1,1)</f>
        <v>Top 10</v>
      </c>
      <c r="B68" s="4" t="s">
        <v>64</v>
      </c>
      <c r="C68" s="4" t="s">
        <v>64</v>
      </c>
      <c r="D68" s="22" t="s">
        <v>64</v>
      </c>
      <c r="E68" s="4" t="s">
        <v>2769</v>
      </c>
      <c r="F68" s="19"/>
    </row>
    <row r="69" spans="1:6" ht="63.75" x14ac:dyDescent="0.2">
      <c r="A69" s="4" t="str">
        <f t="shared" ca="1" si="2"/>
        <v>PLEASE PROVIDE TARGET ASSUMPTIONS FOR OUTPUT AND COVERAGE INDICATORS HERE</v>
      </c>
      <c r="B69" s="4" t="s">
        <v>881</v>
      </c>
      <c r="C69" s="4" t="s">
        <v>2894</v>
      </c>
      <c r="D69" s="173" t="s">
        <v>882</v>
      </c>
      <c r="E69" s="4" t="s">
        <v>883</v>
      </c>
    </row>
    <row r="70" spans="1:6" ht="191.25" x14ac:dyDescent="0.2">
      <c r="A70" s="4" t="str">
        <f t="shared" ca="1" si="2"/>
        <v>It is not compulsory to provide target assumptions for the indicators included in the performance framework, however providing additional information on how targets were set may help to reach a common understanding and agreement between the Principal Recipient and the Global Fund Secretariat and speed up the negotiation process.</v>
      </c>
      <c r="B70" s="174" t="s">
        <v>628</v>
      </c>
      <c r="C70" s="174" t="s">
        <v>2895</v>
      </c>
      <c r="D70" s="174" t="s">
        <v>647</v>
      </c>
      <c r="E70" s="174" t="s">
        <v>2770</v>
      </c>
    </row>
    <row r="71" spans="1:6" x14ac:dyDescent="0.2">
      <c r="A71" s="4" t="str">
        <f t="shared" ca="1" si="2"/>
        <v>PR</v>
      </c>
      <c r="B71" s="174" t="s">
        <v>75</v>
      </c>
      <c r="C71" s="175" t="s">
        <v>766</v>
      </c>
      <c r="D71" s="174" t="s">
        <v>766</v>
      </c>
      <c r="E71" s="174" t="s">
        <v>767</v>
      </c>
    </row>
    <row r="72" spans="1:6" x14ac:dyDescent="0.2">
      <c r="A72" s="4" t="str">
        <f t="shared" ca="1" si="2"/>
        <v>Please select…</v>
      </c>
      <c r="B72" s="174" t="s">
        <v>0</v>
      </c>
      <c r="C72" s="174" t="s">
        <v>763</v>
      </c>
      <c r="D72" s="174" t="s">
        <v>747</v>
      </c>
      <c r="E72" s="174" t="s">
        <v>2771</v>
      </c>
    </row>
    <row r="73" spans="1:6" ht="25.5" x14ac:dyDescent="0.2">
      <c r="A73" s="4" t="str">
        <f t="shared" ref="A73:A97" ca="1" si="3">OFFSET($B73,0,LangOffset,1,1)</f>
        <v>Comments and Assumptions</v>
      </c>
      <c r="B73" s="176" t="s">
        <v>887</v>
      </c>
      <c r="C73" s="177" t="s">
        <v>2169</v>
      </c>
      <c r="D73" s="235" t="s">
        <v>2137</v>
      </c>
      <c r="E73" s="330" t="s">
        <v>2482</v>
      </c>
    </row>
    <row r="74" spans="1:6" x14ac:dyDescent="0.2">
      <c r="A74" s="4" t="str">
        <f t="shared" ca="1" si="3"/>
        <v>D. Modules</v>
      </c>
      <c r="B74" s="176" t="s">
        <v>886</v>
      </c>
      <c r="C74" s="177" t="s">
        <v>886</v>
      </c>
      <c r="D74" s="235" t="s">
        <v>2138</v>
      </c>
      <c r="E74" s="330" t="s">
        <v>2465</v>
      </c>
    </row>
    <row r="75" spans="1:6" x14ac:dyDescent="0.2">
      <c r="A75" s="4" t="str">
        <f t="shared" ca="1" si="3"/>
        <v>Module</v>
      </c>
      <c r="B75" s="176" t="s">
        <v>894</v>
      </c>
      <c r="C75" s="177" t="s">
        <v>894</v>
      </c>
      <c r="D75" s="235" t="s">
        <v>2139</v>
      </c>
      <c r="E75" s="330" t="s">
        <v>2466</v>
      </c>
    </row>
    <row r="76" spans="1:6" ht="25.5" x14ac:dyDescent="0.2">
      <c r="A76" s="4" t="str">
        <f t="shared" ca="1" si="3"/>
        <v>Measurement framework for module</v>
      </c>
      <c r="B76" s="176" t="s">
        <v>888</v>
      </c>
      <c r="C76" s="177" t="s">
        <v>2170</v>
      </c>
      <c r="D76" s="235" t="s">
        <v>2140</v>
      </c>
      <c r="E76" s="330" t="s">
        <v>2467</v>
      </c>
    </row>
    <row r="77" spans="1:6" ht="38.25" x14ac:dyDescent="0.2">
      <c r="A77" s="4" t="str">
        <f t="shared" ca="1" si="3"/>
        <v>Total requested
amount</v>
      </c>
      <c r="B77" s="176" t="s">
        <v>1452</v>
      </c>
      <c r="C77" s="177" t="s">
        <v>2167</v>
      </c>
      <c r="D77" s="177" t="s">
        <v>2141</v>
      </c>
      <c r="E77" s="331" t="s">
        <v>2468</v>
      </c>
    </row>
    <row r="78" spans="1:6" x14ac:dyDescent="0.2">
      <c r="A78" s="4" t="str">
        <f t="shared" ca="1" si="3"/>
        <v>Indicative</v>
      </c>
      <c r="B78" s="176" t="s">
        <v>889</v>
      </c>
      <c r="C78" s="177" t="s">
        <v>2168</v>
      </c>
      <c r="D78" s="177" t="s">
        <v>2142</v>
      </c>
      <c r="E78" s="331" t="s">
        <v>2469</v>
      </c>
    </row>
    <row r="79" spans="1:6" x14ac:dyDescent="0.2">
      <c r="A79" s="4" t="str">
        <f t="shared" ca="1" si="3"/>
        <v>Above indicative</v>
      </c>
      <c r="B79" s="176" t="s">
        <v>890</v>
      </c>
      <c r="C79" s="177" t="s">
        <v>2896</v>
      </c>
      <c r="D79" s="177" t="s">
        <v>2143</v>
      </c>
      <c r="E79" s="331" t="s">
        <v>2470</v>
      </c>
    </row>
    <row r="80" spans="1:6" x14ac:dyDescent="0.2">
      <c r="A80" s="4" t="str">
        <f t="shared" ca="1" si="3"/>
        <v>Language:</v>
      </c>
      <c r="B80" s="176" t="s">
        <v>884</v>
      </c>
      <c r="C80" s="177" t="s">
        <v>1445</v>
      </c>
      <c r="D80" s="177" t="s">
        <v>1444</v>
      </c>
      <c r="E80" s="331" t="s">
        <v>1446</v>
      </c>
    </row>
    <row r="81" spans="1:5" ht="25.5" x14ac:dyDescent="0.2">
      <c r="A81" s="4" t="str">
        <f t="shared" ca="1" si="3"/>
        <v xml:space="preserve">Modular Approach - Concept Note </v>
      </c>
      <c r="B81" s="176" t="s">
        <v>885</v>
      </c>
      <c r="C81" s="177" t="s">
        <v>2165</v>
      </c>
      <c r="D81" s="177" t="s">
        <v>2144</v>
      </c>
      <c r="E81" s="331" t="s">
        <v>2471</v>
      </c>
    </row>
    <row r="82" spans="1:5" x14ac:dyDescent="0.2">
      <c r="A82" s="4" t="str">
        <f t="shared" ca="1" si="3"/>
        <v>Target assumptions</v>
      </c>
      <c r="B82" s="176" t="s">
        <v>613</v>
      </c>
      <c r="C82" s="177" t="s">
        <v>2897</v>
      </c>
      <c r="D82" s="177" t="s">
        <v>2145</v>
      </c>
      <c r="E82" s="331" t="s">
        <v>2472</v>
      </c>
    </row>
    <row r="83" spans="1:5" ht="140.25" x14ac:dyDescent="0.2">
      <c r="A83" s="4" t="str">
        <f t="shared" ca="1" si="3"/>
        <v>Please describe: 1) overall assumptions used in calculating targets, 2) anticipated rate of scale-up, 3) population size estimates, 4) description of indicator/package of services, 5) data source, 6) other relevant information</v>
      </c>
      <c r="B83" s="176" t="s">
        <v>1802</v>
      </c>
      <c r="C83" s="177" t="s">
        <v>2171</v>
      </c>
      <c r="D83" s="177" t="s">
        <v>2825</v>
      </c>
      <c r="E83" s="331" t="s">
        <v>2772</v>
      </c>
    </row>
    <row r="84" spans="1:5" ht="38.25" x14ac:dyDescent="0.2">
      <c r="A84" s="4" t="str">
        <f t="shared" ca="1" si="3"/>
        <v>Indicative request for entire module</v>
      </c>
      <c r="B84" s="176" t="s">
        <v>1450</v>
      </c>
      <c r="C84" s="177" t="s">
        <v>2175</v>
      </c>
      <c r="D84" s="177" t="s">
        <v>2146</v>
      </c>
      <c r="E84" s="331" t="s">
        <v>2473</v>
      </c>
    </row>
    <row r="85" spans="1:5" ht="38.25" x14ac:dyDescent="0.2">
      <c r="A85" s="4" t="str">
        <f t="shared" ca="1" si="3"/>
        <v>Above indicative request for entire module</v>
      </c>
      <c r="B85" s="176" t="s">
        <v>1451</v>
      </c>
      <c r="C85" s="177" t="s">
        <v>2898</v>
      </c>
      <c r="D85" s="177" t="s">
        <v>2147</v>
      </c>
      <c r="E85" s="331" t="s">
        <v>2474</v>
      </c>
    </row>
    <row r="86" spans="1:5" x14ac:dyDescent="0.2">
      <c r="A86" s="4" t="str">
        <f t="shared" ca="1" si="3"/>
        <v>Intervention</v>
      </c>
      <c r="B86" s="176" t="s">
        <v>1448</v>
      </c>
      <c r="C86" s="177" t="s">
        <v>1448</v>
      </c>
      <c r="D86" s="177" t="s">
        <v>2148</v>
      </c>
      <c r="E86" s="331" t="s">
        <v>2475</v>
      </c>
    </row>
    <row r="87" spans="1:5" x14ac:dyDescent="0.2">
      <c r="A87" s="4" t="str">
        <f t="shared" ca="1" si="3"/>
        <v>Module budget</v>
      </c>
      <c r="B87" s="176" t="s">
        <v>1449</v>
      </c>
      <c r="C87" s="177" t="s">
        <v>2174</v>
      </c>
      <c r="D87" s="177" t="s">
        <v>2149</v>
      </c>
      <c r="E87" s="331" t="s">
        <v>2476</v>
      </c>
    </row>
    <row r="88" spans="1:5" x14ac:dyDescent="0.2">
      <c r="A88" s="4" t="str">
        <f t="shared" ca="1" si="3"/>
        <v>Description of Intervention</v>
      </c>
      <c r="B88" s="176" t="s">
        <v>1442</v>
      </c>
      <c r="C88" s="177" t="s">
        <v>2176</v>
      </c>
      <c r="D88" s="177" t="s">
        <v>2150</v>
      </c>
      <c r="E88" s="331" t="s">
        <v>2477</v>
      </c>
    </row>
    <row r="89" spans="1:5" ht="165.75" x14ac:dyDescent="0.2">
      <c r="A89" s="4" t="str">
        <f t="shared" ca="1" si="3"/>
        <v>Please describe 1) rationale for Global Fund support, 2) linkages to national strategic plan, 3) target population &amp; geographic scope,  4) implementation approach, and 5) other relevant information. Please differentiate between scope of indicative and above indicative request</v>
      </c>
      <c r="B89" s="176" t="s">
        <v>1443</v>
      </c>
      <c r="C89" s="177" t="s">
        <v>2899</v>
      </c>
      <c r="D89" s="177" t="s">
        <v>2826</v>
      </c>
      <c r="E89" s="331" t="s">
        <v>2773</v>
      </c>
    </row>
    <row r="90" spans="1:5" ht="38.25" x14ac:dyDescent="0.2">
      <c r="A90" s="4" t="str">
        <f t="shared" ca="1" si="3"/>
        <v>Intervention budget (request to the Global Fund only)</v>
      </c>
      <c r="B90" s="176" t="s">
        <v>1439</v>
      </c>
      <c r="C90" s="177" t="s">
        <v>2900</v>
      </c>
      <c r="D90" s="177" t="s">
        <v>2151</v>
      </c>
      <c r="E90" s="331" t="s">
        <v>2478</v>
      </c>
    </row>
    <row r="91" spans="1:5" ht="51" x14ac:dyDescent="0.2">
      <c r="A91" s="4" t="str">
        <f t="shared" ca="1" si="3"/>
        <v>Cost Assumptions for the request to the Global Fund</v>
      </c>
      <c r="B91" s="176" t="s">
        <v>1441</v>
      </c>
      <c r="C91" s="177" t="s">
        <v>2901</v>
      </c>
      <c r="D91" s="177" t="s">
        <v>2827</v>
      </c>
      <c r="E91" s="331" t="s">
        <v>2479</v>
      </c>
    </row>
    <row r="92" spans="1:5" ht="140.25" x14ac:dyDescent="0.2">
      <c r="A92" s="4" t="str">
        <f t="shared" ca="1" si="3"/>
        <v>Please describe: 1) cost assumptions and data sources, 2) key activities, 3) other relevant information. Please differentiate between indicative and above indicative</v>
      </c>
      <c r="B92" s="176" t="s">
        <v>1822</v>
      </c>
      <c r="C92" s="177" t="s">
        <v>2902</v>
      </c>
      <c r="D92" s="177" t="s">
        <v>2828</v>
      </c>
      <c r="E92" s="331" t="s">
        <v>2774</v>
      </c>
    </row>
    <row r="93" spans="1:5" ht="63.75" x14ac:dyDescent="0.2">
      <c r="A93" s="4" t="str">
        <f t="shared" ca="1" si="3"/>
        <v>Other funding received for this intervention (including scope of activities funded)</v>
      </c>
      <c r="B93" s="176" t="s">
        <v>1440</v>
      </c>
      <c r="C93" s="177" t="s">
        <v>2177</v>
      </c>
      <c r="D93" s="177" t="s">
        <v>2152</v>
      </c>
      <c r="E93" s="331" t="s">
        <v>2775</v>
      </c>
    </row>
    <row r="94" spans="1:5" ht="38.25" x14ac:dyDescent="0.2">
      <c r="A94" s="4" t="str">
        <f ca="1">OFFSET($B94,0,LangOffset,1,1)</f>
        <v>PLEASE PROVIDE COST ASSUMPTIONS FOR BUDGET HERE</v>
      </c>
      <c r="B94" s="176" t="s">
        <v>1803</v>
      </c>
      <c r="C94" s="177" t="s">
        <v>2461</v>
      </c>
      <c r="D94" s="177" t="s">
        <v>2829</v>
      </c>
      <c r="E94" s="331" t="s">
        <v>2480</v>
      </c>
    </row>
    <row r="95" spans="1:5" ht="140.25" x14ac:dyDescent="0.2">
      <c r="A95" s="4" t="str">
        <f t="shared" ca="1" si="3"/>
        <v>It is not compulsory to provide detailed cost assumptions for the budget, however providing additional information may help to reach a common understanding and agreement between the Principal Recipient and the Global Fund Secretariat and speed up the negotiation process.</v>
      </c>
      <c r="B95" s="176" t="s">
        <v>1804</v>
      </c>
      <c r="C95" s="177" t="s">
        <v>2462</v>
      </c>
      <c r="D95" s="177" t="s">
        <v>2830</v>
      </c>
      <c r="E95" s="331" t="s">
        <v>2481</v>
      </c>
    </row>
    <row r="96" spans="1:5" ht="38.25" x14ac:dyDescent="0.2">
      <c r="A96" s="4" t="str">
        <f t="shared" ca="1" si="3"/>
        <v>Summary of requested 3 years of funding by module</v>
      </c>
      <c r="B96" s="202" t="s">
        <v>1805</v>
      </c>
      <c r="C96" s="177" t="s">
        <v>2463</v>
      </c>
      <c r="D96" s="177" t="s">
        <v>2153</v>
      </c>
      <c r="E96" s="331" t="s">
        <v>2776</v>
      </c>
    </row>
    <row r="97" spans="1:5" ht="102" x14ac:dyDescent="0.2">
      <c r="A97" s="4" t="str">
        <f t="shared" ca="1" si="3"/>
        <v>To refresh the pivot table with latest amounts entered in the Module budgets on the Concept Note sheet, click anywhere on the pivot table and then press Alt + F5.</v>
      </c>
      <c r="B97" s="202" t="s">
        <v>1817</v>
      </c>
      <c r="C97" s="177" t="s">
        <v>2464</v>
      </c>
      <c r="D97" s="177" t="s">
        <v>2154</v>
      </c>
      <c r="E97" s="331" t="s">
        <v>2777</v>
      </c>
    </row>
  </sheetData>
  <sheetProtection insertRows="0" deleteRows="0" sort="0" autoFilter="0"/>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14"/>
  <sheetViews>
    <sheetView workbookViewId="0"/>
  </sheetViews>
  <sheetFormatPr defaultRowHeight="12.75" x14ac:dyDescent="0.2"/>
  <cols>
    <col min="1" max="1" width="3" bestFit="1" customWidth="1"/>
    <col min="2" max="2" width="21.42578125" bestFit="1" customWidth="1"/>
    <col min="3" max="3" width="12.85546875" bestFit="1" customWidth="1"/>
    <col min="4" max="4" width="4.28515625" bestFit="1" customWidth="1"/>
    <col min="5" max="5" width="13.42578125" bestFit="1" customWidth="1"/>
    <col min="6" max="6" width="36.140625" bestFit="1" customWidth="1"/>
    <col min="7" max="7" width="3.85546875" bestFit="1" customWidth="1"/>
    <col min="8" max="8" width="6.7109375" bestFit="1" customWidth="1"/>
    <col min="9" max="9" width="4.7109375" bestFit="1" customWidth="1"/>
    <col min="10" max="10" width="7.7109375" bestFit="1" customWidth="1"/>
  </cols>
  <sheetData>
    <row r="1" spans="1:10" x14ac:dyDescent="0.2">
      <c r="A1" s="19">
        <v>13</v>
      </c>
      <c r="B1" s="19" t="s">
        <v>568</v>
      </c>
      <c r="C1" s="19" t="s">
        <v>569</v>
      </c>
      <c r="D1" s="19" t="s">
        <v>570</v>
      </c>
      <c r="E1" s="19" t="s">
        <v>571</v>
      </c>
      <c r="F1" s="19" t="s">
        <v>572</v>
      </c>
      <c r="G1" s="19" t="s">
        <v>573</v>
      </c>
      <c r="H1" s="19" t="s">
        <v>574</v>
      </c>
      <c r="I1" s="19" t="s">
        <v>575</v>
      </c>
      <c r="J1" s="19" t="s">
        <v>576</v>
      </c>
    </row>
    <row r="2" spans="1:10" x14ac:dyDescent="0.2">
      <c r="A2" s="19"/>
      <c r="B2" s="19" t="s">
        <v>577</v>
      </c>
      <c r="C2" s="19" t="s">
        <v>578</v>
      </c>
      <c r="D2" s="19" t="s">
        <v>579</v>
      </c>
      <c r="E2" s="19" t="s">
        <v>580</v>
      </c>
      <c r="F2" s="21" t="s">
        <v>581</v>
      </c>
      <c r="G2" s="19">
        <v>7</v>
      </c>
      <c r="H2" s="19">
        <v>4</v>
      </c>
      <c r="I2" s="19">
        <v>1</v>
      </c>
      <c r="J2" s="19">
        <v>1</v>
      </c>
    </row>
    <row r="3" spans="1:10" x14ac:dyDescent="0.2">
      <c r="A3" s="19"/>
      <c r="B3" s="19" t="s">
        <v>577</v>
      </c>
      <c r="C3" s="19" t="s">
        <v>582</v>
      </c>
      <c r="D3" s="19" t="s">
        <v>583</v>
      </c>
      <c r="E3" s="19" t="s">
        <v>587</v>
      </c>
      <c r="F3" s="21" t="s">
        <v>584</v>
      </c>
      <c r="G3" s="19">
        <v>4</v>
      </c>
      <c r="H3" s="19">
        <v>4</v>
      </c>
      <c r="I3" s="19">
        <v>4</v>
      </c>
      <c r="J3" s="19">
        <v>4</v>
      </c>
    </row>
    <row r="4" spans="1:10" x14ac:dyDescent="0.2">
      <c r="A4" s="19"/>
      <c r="B4" s="19" t="s">
        <v>577</v>
      </c>
      <c r="C4" s="19" t="s">
        <v>585</v>
      </c>
      <c r="D4" s="19" t="s">
        <v>586</v>
      </c>
      <c r="E4" s="19" t="s">
        <v>587</v>
      </c>
      <c r="F4" s="21" t="s">
        <v>588</v>
      </c>
      <c r="G4" s="19">
        <v>4</v>
      </c>
      <c r="H4" s="19">
        <v>12</v>
      </c>
      <c r="I4" s="19">
        <v>5</v>
      </c>
      <c r="J4" s="19">
        <v>14</v>
      </c>
    </row>
    <row r="5" spans="1:10" x14ac:dyDescent="0.2">
      <c r="A5" s="19"/>
      <c r="B5" s="19" t="s">
        <v>577</v>
      </c>
      <c r="C5" s="19" t="s">
        <v>589</v>
      </c>
      <c r="D5" s="19" t="s">
        <v>590</v>
      </c>
      <c r="E5" s="19" t="s">
        <v>587</v>
      </c>
      <c r="F5" s="21" t="s">
        <v>591</v>
      </c>
      <c r="G5" s="19">
        <v>11</v>
      </c>
      <c r="H5" s="19">
        <v>4</v>
      </c>
      <c r="I5" s="19">
        <v>2</v>
      </c>
      <c r="J5" s="19">
        <v>22</v>
      </c>
    </row>
    <row r="6" spans="1:10" x14ac:dyDescent="0.2">
      <c r="A6" s="19"/>
      <c r="B6" s="19" t="s">
        <v>577</v>
      </c>
      <c r="C6" s="19" t="s">
        <v>592</v>
      </c>
      <c r="D6" s="19" t="s">
        <v>593</v>
      </c>
      <c r="E6" s="19" t="s">
        <v>580</v>
      </c>
      <c r="F6" s="21" t="s">
        <v>594</v>
      </c>
      <c r="G6" s="19">
        <v>20</v>
      </c>
      <c r="H6" s="19">
        <v>1</v>
      </c>
      <c r="I6" s="19">
        <v>1</v>
      </c>
      <c r="J6" s="19">
        <v>34</v>
      </c>
    </row>
    <row r="7" spans="1:10" x14ac:dyDescent="0.2">
      <c r="A7" s="19"/>
      <c r="B7" s="19" t="s">
        <v>577</v>
      </c>
      <c r="C7" s="19" t="s">
        <v>595</v>
      </c>
      <c r="D7" s="19" t="s">
        <v>596</v>
      </c>
      <c r="E7" s="19" t="s">
        <v>587</v>
      </c>
      <c r="F7" s="21" t="s">
        <v>597</v>
      </c>
      <c r="G7" s="19">
        <v>29</v>
      </c>
      <c r="H7" s="19">
        <v>1</v>
      </c>
      <c r="I7" s="19">
        <v>5</v>
      </c>
      <c r="J7" s="19">
        <v>34</v>
      </c>
    </row>
    <row r="8" spans="1:10" x14ac:dyDescent="0.2">
      <c r="A8" s="19"/>
      <c r="B8" s="19" t="s">
        <v>577</v>
      </c>
      <c r="C8" s="19" t="s">
        <v>598</v>
      </c>
      <c r="D8" s="19" t="s">
        <v>599</v>
      </c>
      <c r="E8" s="19" t="s">
        <v>580</v>
      </c>
      <c r="F8" s="21" t="s">
        <v>600</v>
      </c>
      <c r="G8" s="19">
        <v>36</v>
      </c>
      <c r="H8" s="19">
        <v>1</v>
      </c>
      <c r="I8" s="19">
        <v>1</v>
      </c>
      <c r="J8" s="19">
        <v>34</v>
      </c>
    </row>
    <row r="9" spans="1:10" x14ac:dyDescent="0.2">
      <c r="A9" s="19"/>
      <c r="B9" s="19" t="s">
        <v>577</v>
      </c>
      <c r="C9" s="19" t="s">
        <v>601</v>
      </c>
      <c r="D9" s="19" t="s">
        <v>602</v>
      </c>
      <c r="E9" s="19" t="s">
        <v>587</v>
      </c>
      <c r="F9" s="21" t="s">
        <v>603</v>
      </c>
      <c r="G9" s="19">
        <v>47</v>
      </c>
      <c r="H9" s="19">
        <v>1</v>
      </c>
      <c r="I9" s="19">
        <v>5</v>
      </c>
      <c r="J9" s="19">
        <v>34</v>
      </c>
    </row>
    <row r="10" spans="1:10" x14ac:dyDescent="0.2">
      <c r="A10" s="19"/>
      <c r="B10" s="19" t="s">
        <v>577</v>
      </c>
      <c r="C10" s="19" t="s">
        <v>604</v>
      </c>
      <c r="D10" s="19" t="s">
        <v>605</v>
      </c>
      <c r="E10" s="19" t="s">
        <v>587</v>
      </c>
      <c r="F10" s="21" t="s">
        <v>606</v>
      </c>
      <c r="G10" s="19">
        <v>58</v>
      </c>
      <c r="H10" s="19">
        <v>1</v>
      </c>
      <c r="I10" s="19">
        <v>40</v>
      </c>
      <c r="J10" s="19">
        <v>55</v>
      </c>
    </row>
    <row r="11" spans="1:10" x14ac:dyDescent="0.2">
      <c r="A11" s="19"/>
      <c r="B11" s="19" t="s">
        <v>577</v>
      </c>
      <c r="C11" s="19" t="s">
        <v>607</v>
      </c>
      <c r="D11" s="19" t="s">
        <v>608</v>
      </c>
      <c r="E11" s="19" t="s">
        <v>580</v>
      </c>
      <c r="F11" s="21" t="s">
        <v>609</v>
      </c>
      <c r="G11" s="19">
        <v>6</v>
      </c>
      <c r="H11" s="19">
        <v>8</v>
      </c>
      <c r="I11" s="19">
        <v>1</v>
      </c>
      <c r="J11" s="19">
        <v>1</v>
      </c>
    </row>
    <row r="12" spans="1:10" x14ac:dyDescent="0.2">
      <c r="A12" s="19"/>
      <c r="B12" s="19" t="s">
        <v>577</v>
      </c>
      <c r="C12" s="19" t="s">
        <v>610</v>
      </c>
      <c r="D12" s="19" t="s">
        <v>611</v>
      </c>
      <c r="E12" s="19" t="s">
        <v>580</v>
      </c>
      <c r="F12" s="21" t="s">
        <v>612</v>
      </c>
      <c r="G12" s="19">
        <v>6</v>
      </c>
      <c r="H12" s="19">
        <v>4</v>
      </c>
      <c r="I12" s="19">
        <v>1</v>
      </c>
      <c r="J12" s="19">
        <v>1</v>
      </c>
    </row>
    <row r="13" spans="1:10" x14ac:dyDescent="0.2">
      <c r="A13" s="19"/>
      <c r="B13" s="19" t="s">
        <v>613</v>
      </c>
      <c r="C13" s="19" t="s">
        <v>622</v>
      </c>
      <c r="D13" s="19" t="s">
        <v>615</v>
      </c>
      <c r="E13" s="19" t="s">
        <v>580</v>
      </c>
      <c r="F13" s="21" t="s">
        <v>616</v>
      </c>
      <c r="G13" s="19">
        <v>1</v>
      </c>
      <c r="H13" s="19">
        <v>1</v>
      </c>
      <c r="I13" s="19">
        <v>5</v>
      </c>
      <c r="J13" s="19">
        <v>18</v>
      </c>
    </row>
    <row r="14" spans="1:10" x14ac:dyDescent="0.2">
      <c r="A14" s="19"/>
      <c r="B14" s="19" t="s">
        <v>613</v>
      </c>
      <c r="C14" s="19" t="s">
        <v>614</v>
      </c>
      <c r="D14" s="19" t="s">
        <v>615</v>
      </c>
      <c r="E14" s="19" t="s">
        <v>580</v>
      </c>
      <c r="F14" s="21" t="s">
        <v>616</v>
      </c>
      <c r="G14" s="19">
        <v>1</v>
      </c>
      <c r="H14" s="19">
        <v>1</v>
      </c>
      <c r="I14" s="19">
        <v>5</v>
      </c>
      <c r="J14" s="19">
        <v>18</v>
      </c>
    </row>
  </sheetData>
  <sheetProtection insertRows="0" deleteRows="0" sort="0" autoFilter="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
  <dimension ref="A1:B4"/>
  <sheetViews>
    <sheetView workbookViewId="0"/>
  </sheetViews>
  <sheetFormatPr defaultRowHeight="12.75" x14ac:dyDescent="0.2"/>
  <cols>
    <col min="1" max="1" width="9.5703125" bestFit="1" customWidth="1"/>
    <col min="2" max="2" width="54.28515625" bestFit="1" customWidth="1"/>
  </cols>
  <sheetData>
    <row r="1" spans="1:2" x14ac:dyDescent="0.2">
      <c r="A1" s="19" t="s">
        <v>617</v>
      </c>
      <c r="B1" s="19" t="s">
        <v>19</v>
      </c>
    </row>
    <row r="2" spans="1:2" x14ac:dyDescent="0.2">
      <c r="A2" s="19" t="s">
        <v>618</v>
      </c>
      <c r="B2" s="19" t="s">
        <v>619</v>
      </c>
    </row>
    <row r="3" spans="1:2" x14ac:dyDescent="0.2">
      <c r="A3" s="19" t="s">
        <v>617</v>
      </c>
      <c r="B3" s="19" t="s">
        <v>620</v>
      </c>
    </row>
    <row r="4" spans="1:2" x14ac:dyDescent="0.2">
      <c r="A4" s="19" t="s">
        <v>621</v>
      </c>
      <c r="B4" s="19" t="s">
        <v>623</v>
      </c>
    </row>
  </sheetData>
  <sheetProtection insertRows="0" deleteRows="0" sort="0" autoFilter="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dms="http://schemas.microsoft.com/office/2006/documentManagement/types" targetNamespace="f127e3a1-6a43-4b35-8211-dfdf2a8cacea" elementFormDefault="qualified">
    <xsd:import namespace="http://schemas.microsoft.com/office/2006/documentManagement/type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314838B5-8B34-4975-BDC8-B1BA1944AC3C}">
  <ds:schemaRefs>
    <ds:schemaRef ds:uri="http://schemas.microsoft.com/sharepoint/v3/contenttype/forms"/>
  </ds:schemaRefs>
</ds:datastoreItem>
</file>

<file path=customXml/itemProps2.xml><?xml version="1.0" encoding="utf-8"?>
<ds:datastoreItem xmlns:ds="http://schemas.openxmlformats.org/officeDocument/2006/customXml" ds:itemID="{4DAA8D18-B959-4364-8729-4981EBB79EB3}">
  <ds:schemaRefs>
    <ds:schemaRef ds:uri="http://schemas.microsoft.com/office/2006/metadata/longProperties"/>
  </ds:schemaRefs>
</ds:datastoreItem>
</file>

<file path=customXml/itemProps3.xml><?xml version="1.0" encoding="utf-8"?>
<ds:datastoreItem xmlns:ds="http://schemas.openxmlformats.org/officeDocument/2006/customXml" ds:itemID="{DAB21ED7-E1CF-4E36-AF06-5C3F37323468}">
  <ds:schemaRefs>
    <ds:schemaRef ds:uri="http://schemas.openxmlformats.org/package/2006/metadata/core-properties"/>
    <ds:schemaRef ds:uri="http://purl.org/dc/dcmitype/"/>
    <ds:schemaRef ds:uri="http://purl.org/dc/terms/"/>
    <ds:schemaRef ds:uri="http://schemas.microsoft.com/office/2006/documentManagement/types"/>
    <ds:schemaRef ds:uri="http://www.w3.org/XML/1998/namespace"/>
    <ds:schemaRef ds:uri="f127e3a1-6a43-4b35-8211-dfdf2a8cacea"/>
    <ds:schemaRef ds:uri="http://schemas.microsoft.com/sharepoint/v3"/>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B02C7BF1-2003-4ABB-943C-AC7D7DCC90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127e3a1-6a43-4b35-8211-dfdf2a8cacea"/>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12</vt:i4>
      </vt:variant>
    </vt:vector>
  </HeadingPairs>
  <TitlesOfParts>
    <vt:vector size="29" baseType="lpstr">
      <vt:lpstr>Instructions en</vt:lpstr>
      <vt:lpstr>Instructions fr</vt:lpstr>
      <vt:lpstr>Instructions es</vt:lpstr>
      <vt:lpstr>Instructions ru</vt:lpstr>
      <vt:lpstr>Concept Note</vt:lpstr>
      <vt:lpstr>Summary budget</vt:lpstr>
      <vt:lpstr>Target assumptions - optional</vt:lpstr>
      <vt:lpstr>Cost assumptions - optional</vt:lpstr>
      <vt:lpstr>Cmp</vt:lpstr>
      <vt:lpstr>Modules</vt:lpstr>
      <vt:lpstr>Interven</vt:lpstr>
      <vt:lpstr>Coverage ind</vt:lpstr>
      <vt:lpstr>Outcome ind</vt:lpstr>
      <vt:lpstr>Impact ind</vt:lpstr>
      <vt:lpstr>Data src</vt:lpstr>
      <vt:lpstr>Definitions</vt:lpstr>
      <vt:lpstr>Translations</vt:lpstr>
      <vt:lpstr>ComponentSelected</vt:lpstr>
      <vt:lpstr>Country_Applicant</vt:lpstr>
      <vt:lpstr>LangOffset</vt:lpstr>
      <vt:lpstr>Language</vt:lpstr>
      <vt:lpstr>MonthIndex</vt:lpstr>
      <vt:lpstr>Months</vt:lpstr>
      <vt:lpstr>MonthSelected</vt:lpstr>
      <vt:lpstr>PRs</vt:lpstr>
      <vt:lpstr>StartYearSelected</vt:lpstr>
      <vt:lpstr>TiedTo</vt:lpstr>
      <vt:lpstr>Years</vt:lpstr>
      <vt:lpstr>YearSelected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Core_NewFundingModelModularTemplate_Attachment_en.xlsx</dc:title>
  <dc:creator/>
  <cp:lastModifiedBy/>
  <dcterms:created xsi:type="dcterms:W3CDTF">2011-08-15T15:21:04Z</dcterms:created>
  <dcterms:modified xsi:type="dcterms:W3CDTF">2013-07-25T08:48:02Z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ound">
    <vt:lpwstr>Round 11</vt:lpwstr>
  </property>
  <property fmtid="{D5CDD505-2E9C-101B-9397-08002B2CF9AE}" pid="3" name="Section">
    <vt:lpwstr>Performance Framework</vt:lpwstr>
  </property>
  <property fmtid="{D5CDD505-2E9C-101B-9397-08002B2CF9AE}" pid="4" name="OptionButton1">
    <vt:lpwstr>0</vt:lpwstr>
  </property>
  <property fmtid="{D5CDD505-2E9C-101B-9397-08002B2CF9AE}" pid="5" name="Template-ID">
    <vt:lpwstr/>
  </property>
  <property fmtid="{D5CDD505-2E9C-101B-9397-08002B2CF9AE}" pid="6" name="Language">
    <vt:lpwstr>English</vt:lpwstr>
  </property>
  <property fmtid="{D5CDD505-2E9C-101B-9397-08002B2CF9AE}" pid="7" name="Multi">
    <vt:lpwstr>Single</vt:lpwstr>
  </property>
  <property fmtid="{D5CDD505-2E9C-101B-9397-08002B2CF9AE}" pid="8" name="Final">
    <vt:lpwstr>1</vt:lpwstr>
  </property>
  <property fmtid="{D5CDD505-2E9C-101B-9397-08002B2CF9AE}" pid="9" name="Document Type">
    <vt:lpwstr>Periodic Review</vt:lpwstr>
  </property>
  <property fmtid="{D5CDD505-2E9C-101B-9397-08002B2CF9AE}" pid="10" name="PublishStatus">
    <vt:lpwstr>New</vt:lpwstr>
  </property>
  <property fmtid="{D5CDD505-2E9C-101B-9397-08002B2CF9AE}" pid="11" name="ContentType">
    <vt:lpwstr>Document</vt:lpwstr>
  </property>
  <property fmtid="{D5CDD505-2E9C-101B-9397-08002B2CF9AE}" pid="12" name="ContentTypeId">
    <vt:lpwstr>0x010100D7AE33814D636243AB6A9FA2A045E8DA</vt:lpwstr>
  </property>
  <property fmtid="{D5CDD505-2E9C-101B-9397-08002B2CF9AE}" pid="13" name="Enterprise Asset Reference">
    <vt:lpwstr/>
  </property>
  <property fmtid="{D5CDD505-2E9C-101B-9397-08002B2CF9AE}" pid="14" name="Validation">
    <vt:lpwstr>Submited</vt:lpwstr>
  </property>
  <property fmtid="{D5CDD505-2E9C-101B-9397-08002B2CF9AE}" pid="15" name="AssetAutoExtraction">
    <vt:lpwstr/>
  </property>
  <property fmtid="{D5CDD505-2E9C-101B-9397-08002B2CF9AE}" pid="16" name="WorkflowCreationPath">
    <vt:lpwstr>2f7debbc-2b8d-44a1-9e0a-4005030c88f4,28;2f7debbc-2b8d-44a1-9e0a-4005030c88f4,30;2f7debbc-2b8d-44a1-9e0a-4005030c88f4,32;2f7debbc-2b8d-44a1-9e0a-4005030c88f4,6;</vt:lpwstr>
  </property>
  <property fmtid="{D5CDD505-2E9C-101B-9397-08002B2CF9AE}" pid="17" name="EktContentLanguage">
    <vt:i4>1033</vt:i4>
  </property>
  <property fmtid="{D5CDD505-2E9C-101B-9397-08002B2CF9AE}" pid="18" name="EktQuickLink">
    <vt:lpwstr>DownloadAsset.aspx?id=26597</vt:lpwstr>
  </property>
  <property fmtid="{D5CDD505-2E9C-101B-9397-08002B2CF9AE}" pid="19" name="EktContentType">
    <vt:i4>101</vt:i4>
  </property>
  <property fmtid="{D5CDD505-2E9C-101B-9397-08002B2CF9AE}" pid="20" name="EktContentSubType">
    <vt:i4>0</vt:i4>
  </property>
  <property fmtid="{D5CDD505-2E9C-101B-9397-08002B2CF9AE}" pid="21" name="EktFolderName">
    <vt:lpwstr/>
  </property>
  <property fmtid="{D5CDD505-2E9C-101B-9397-08002B2CF9AE}" pid="22" name="EktCmsPath">
    <vt:lpwstr/>
  </property>
  <property fmtid="{D5CDD505-2E9C-101B-9397-08002B2CF9AE}" pid="23" name="EktExpiryType">
    <vt:i4>1</vt:i4>
  </property>
  <property fmtid="{D5CDD505-2E9C-101B-9397-08002B2CF9AE}" pid="24" name="EktDateCreated">
    <vt:lpwstr>2011-11-15T10:34:43Z</vt:lpwstr>
  </property>
  <property fmtid="{D5CDD505-2E9C-101B-9397-08002B2CF9AE}" pid="25" name="EktDateModified">
    <vt:lpwstr>2012-04-30T10:51:36Z</vt:lpwstr>
  </property>
  <property fmtid="{D5CDD505-2E9C-101B-9397-08002B2CF9AE}" pid="26" name="EktTaxCategory">
    <vt:lpwstr> #eksep# \Navigation\documents\monitoring_evaluation #eksep# </vt:lpwstr>
  </property>
  <property fmtid="{D5CDD505-2E9C-101B-9397-08002B2CF9AE}" pid="27" name="EktDisabledTaxCategory">
    <vt:lpwstr/>
  </property>
  <property fmtid="{D5CDD505-2E9C-101B-9397-08002B2CF9AE}" pid="28" name="EktCmsSize">
    <vt:i4>728576</vt:i4>
  </property>
  <property fmtid="{D5CDD505-2E9C-101B-9397-08002B2CF9AE}" pid="29" name="EktSearchable">
    <vt:i4>1</vt:i4>
  </property>
  <property fmtid="{D5CDD505-2E9C-101B-9397-08002B2CF9AE}" pid="30" name="EktEDescription">
    <vt:lpwstr>&amp;lt;p&amp;gt;$Meta$  $Ranges$  Translations  HSS  Definitions  Drops  Malaria  TB  HIV  Target assumptions  Performance Framework  Instructions ru  Instructions sp  Instructions fr  Instructions en  Afghanistan  Albania  Algeria  Alter_Vida___Centro_de_Estudi</vt:lpwstr>
  </property>
  <property fmtid="{D5CDD505-2E9C-101B-9397-08002B2CF9AE}" pid="31" name="EktFile_Size">
    <vt:lpwstr>696 KB</vt:lpwstr>
  </property>
  <property fmtid="{D5CDD505-2E9C-101B-9397-08002B2CF9AE}" pid="32" name="EktFile_Type">
    <vt:lpwstr>XLS</vt:lpwstr>
  </property>
</Properties>
</file>